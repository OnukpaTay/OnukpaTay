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Verification Notes" sheetId="1" state="visible" r:id="rId1"/>
    <sheet name="Prelims" sheetId="2" state="visible" r:id="rId2"/>
    <sheet name="structural works" sheetId="3" state="visible" r:id="rId3"/>
    <sheet name="architectural works" sheetId="4" state="visible" r:id="rId4"/>
    <sheet name="general summary" sheetId="5" state="visible" r:id="rId5"/>
    <sheet name="Verification Take-off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_(* #,##0.00_);_(* \(#,##0.00\);_(* \-??_);_(@_)"/>
    <numFmt numFmtId="165" formatCode="_(* #,##0_);_(* \(#,##0\);_(* \-??_);_(@_)"/>
    <numFmt numFmtId="166" formatCode="_-* #,##0.00_-;\-* #,##0.00_-;_-* &quot;-&quot;??_-;_-@_-"/>
    <numFmt numFmtId="167" formatCode="_-* #,##0.00_-;\-* #,##0.00_-;_-* \-??_-;_-@_-"/>
    <numFmt numFmtId="168" formatCode="#,##0.0"/>
  </numFmts>
  <fonts count="2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Calibri"/>
      <family val="2"/>
      <color theme="1"/>
      <sz val="11"/>
    </font>
    <font>
      <name val="Arial"/>
      <charset val="1"/>
      <family val="2"/>
      <sz val="10"/>
    </font>
    <font>
      <name val="Calibri"/>
      <charset val="1"/>
      <family val="2"/>
      <sz val="11"/>
    </font>
    <font>
      <name val="Times New Roman"/>
      <charset val="1"/>
      <family val="1"/>
      <sz val="12"/>
    </font>
    <font>
      <name val="Times New Roman"/>
      <charset val="1"/>
      <family val="1"/>
      <b val="1"/>
      <sz val="12"/>
    </font>
    <font>
      <name val="Times New Roman"/>
      <charset val="1"/>
      <family val="1"/>
      <b val="1"/>
      <sz val="12"/>
      <u val="single"/>
    </font>
    <font>
      <name val="Times New Roman"/>
      <charset val="1"/>
      <family val="1"/>
      <sz val="12"/>
      <u val="single"/>
    </font>
    <font>
      <name val="Calibri"/>
      <charset val="1"/>
      <family val="2"/>
      <color theme="1"/>
      <sz val="11"/>
    </font>
    <font>
      <name val="Times New Roman"/>
      <charset val="1"/>
      <family val="1"/>
      <color theme="1"/>
      <sz val="12"/>
    </font>
    <font>
      <name val="Times New Roman"/>
      <charset val="1"/>
      <family val="1"/>
      <color theme="1"/>
      <sz val="12"/>
      <u val="single"/>
    </font>
    <font>
      <name val="Times New Roman"/>
      <family val="1"/>
      <sz val="12"/>
    </font>
    <font>
      <name val="Times New Roman"/>
      <family val="1"/>
      <b val="1"/>
      <sz val="12"/>
    </font>
    <font>
      <name val="Times New Roman"/>
      <family val="1"/>
      <b val="1"/>
      <sz val="12"/>
      <u val="single"/>
    </font>
    <font>
      <name val="Times New Roman"/>
      <family val="1"/>
      <color theme="1"/>
      <sz val="12"/>
    </font>
    <font>
      <name val="Arial"/>
      <family val="2"/>
      <sz val="10"/>
    </font>
    <font>
      <name val="Times New Roman"/>
      <family val="1"/>
      <b val="1"/>
      <color theme="1"/>
      <sz val="12"/>
    </font>
    <font>
      <name val="Arial"/>
      <b val="1"/>
      <sz val="12"/>
    </font>
    <font>
      <name val="Arial"/>
      <i val="1"/>
      <sz val="9"/>
    </font>
    <font>
      <name val="Arial"/>
      <b val="1"/>
      <color rgb="00FFFFFF"/>
      <sz val="9"/>
    </font>
    <font>
      <name val="Arial"/>
      <b val="1"/>
      <sz val="10"/>
    </font>
    <font>
      <name val="Arial"/>
      <sz val="9"/>
    </font>
    <font>
      <name val="Arial"/>
      <b val="1"/>
      <sz val="9"/>
    </font>
    <font>
      <name val="Times New Roman"/>
      <b val="1"/>
      <sz val="12"/>
    </font>
    <font>
      <name val="Times New Roman"/>
      <color rgb="00C00000"/>
      <sz val="12"/>
    </font>
    <font>
      <name val="Times New Roman"/>
      <b val="1"/>
      <color rgb="00C00000"/>
      <sz val="12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14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 style="double">
        <color auto="1"/>
      </right>
      <top/>
      <bottom style="thin">
        <color auto="1"/>
      </bottom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hair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double">
        <color auto="1"/>
      </left>
      <right style="double">
        <color auto="1"/>
      </right>
      <top style="thin">
        <color rgb="FFB7B7B7"/>
      </top>
      <bottom style="thin">
        <color rgb="FFB7B7B7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thin">
        <color indexed="64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1">
    <xf numFmtId="0" fontId="1" fillId="0" borderId="0"/>
    <xf numFmtId="166" fontId="1" fillId="0" borderId="0"/>
    <xf numFmtId="0" fontId="2" fillId="0" borderId="0"/>
    <xf numFmtId="164" fontId="9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16" fillId="0" borderId="0"/>
    <xf numFmtId="43" fontId="16" fillId="0" borderId="0"/>
  </cellStyleXfs>
  <cellXfs count="256">
    <xf numFmtId="0" fontId="0" fillId="0" borderId="0" pivotButton="0" quotePrefix="0" xfId="0"/>
    <xf numFmtId="0" fontId="6" fillId="0" borderId="2" applyAlignment="1" pivotButton="0" quotePrefix="0" xfId="2">
      <alignment horizontal="left" wrapText="1"/>
    </xf>
    <xf numFmtId="3" fontId="6" fillId="0" borderId="2" applyAlignment="1" pivotButton="0" quotePrefix="0" xfId="2">
      <alignment horizontal="center" wrapText="1"/>
    </xf>
    <xf numFmtId="0" fontId="6" fillId="0" borderId="2" applyAlignment="1" pivotButton="0" quotePrefix="0" xfId="2">
      <alignment horizontal="center" wrapText="1"/>
    </xf>
    <xf numFmtId="0" fontId="0" fillId="0" borderId="0" applyAlignment="1" pivotButton="0" quotePrefix="0" xfId="0">
      <alignment wrapText="1"/>
    </xf>
    <xf numFmtId="3" fontId="6" fillId="0" borderId="1" applyAlignment="1" pivotButton="0" quotePrefix="0" xfId="2">
      <alignment horizontal="right" wrapText="1"/>
    </xf>
    <xf numFmtId="3" fontId="6" fillId="0" borderId="1" applyAlignment="1" pivotButton="0" quotePrefix="0" xfId="2">
      <alignment horizontal="center" wrapText="1"/>
    </xf>
    <xf numFmtId="0" fontId="6" fillId="0" borderId="1" applyAlignment="1" pivotButton="0" quotePrefix="0" xfId="2">
      <alignment horizontal="center" wrapText="1"/>
    </xf>
    <xf numFmtId="0" fontId="5" fillId="0" borderId="2" applyAlignment="1" pivotButton="0" quotePrefix="0" xfId="2">
      <alignment wrapText="1"/>
    </xf>
    <xf numFmtId="0" fontId="6" fillId="0" borderId="2" applyAlignment="1" pivotButton="0" quotePrefix="0" xfId="2">
      <alignment wrapText="1"/>
    </xf>
    <xf numFmtId="0" fontId="7" fillId="0" borderId="2" applyAlignment="1" pivotButton="0" quotePrefix="0" xfId="2">
      <alignment wrapText="1"/>
    </xf>
    <xf numFmtId="0" fontId="5" fillId="0" borderId="2" applyAlignment="1" pivotButton="0" quotePrefix="0" xfId="2">
      <alignment horizontal="center" wrapText="1"/>
    </xf>
    <xf numFmtId="3" fontId="5" fillId="0" borderId="2" applyAlignment="1" pivotButton="0" quotePrefix="0" xfId="2">
      <alignment horizontal="center" wrapText="1"/>
    </xf>
    <xf numFmtId="3" fontId="5" fillId="0" borderId="2" applyAlignment="1" pivotButton="0" quotePrefix="0" xfId="2">
      <alignment wrapText="1"/>
    </xf>
    <xf numFmtId="4" fontId="5" fillId="0" borderId="2" applyAlignment="1" pivotButton="0" quotePrefix="0" xfId="2">
      <alignment horizontal="center" wrapText="1"/>
    </xf>
    <xf numFmtId="0" fontId="8" fillId="0" borderId="2" applyAlignment="1" pivotButton="0" quotePrefix="0" xfId="2">
      <alignment wrapText="1"/>
    </xf>
    <xf numFmtId="4" fontId="5" fillId="0" borderId="2" applyAlignment="1" pivotButton="0" quotePrefix="0" xfId="2">
      <alignment wrapText="1"/>
    </xf>
    <xf numFmtId="164" fontId="5" fillId="0" borderId="0" applyAlignment="1" pivotButton="0" quotePrefix="0" xfId="2">
      <alignment wrapText="1"/>
    </xf>
    <xf numFmtId="0" fontId="2" fillId="0" borderId="0" applyAlignment="1" pivotButton="0" quotePrefix="0" xfId="2">
      <alignment wrapText="1"/>
    </xf>
    <xf numFmtId="4" fontId="5" fillId="0" borderId="3" applyAlignment="1" pivotButton="0" quotePrefix="0" xfId="2">
      <alignment wrapText="1"/>
    </xf>
    <xf numFmtId="0" fontId="5" fillId="0" borderId="1" applyAlignment="1" pivotButton="0" quotePrefix="0" xfId="2">
      <alignment horizontal="center" wrapText="1"/>
    </xf>
    <xf numFmtId="0" fontId="6" fillId="0" borderId="1" applyAlignment="1" pivotButton="0" quotePrefix="0" xfId="2">
      <alignment wrapText="1"/>
    </xf>
    <xf numFmtId="4" fontId="6" fillId="0" borderId="1" applyAlignment="1" pivotButton="0" quotePrefix="0" xfId="2">
      <alignment horizontal="center" wrapText="1"/>
    </xf>
    <xf numFmtId="4" fontId="6" fillId="0" borderId="1" applyAlignment="1" pivotButton="0" quotePrefix="0" xfId="2">
      <alignment wrapText="1"/>
    </xf>
    <xf numFmtId="0" fontId="5" fillId="0" borderId="4" applyAlignment="1" pivotButton="0" quotePrefix="0" xfId="2">
      <alignment horizontal="center" wrapText="1"/>
    </xf>
    <xf numFmtId="0" fontId="6" fillId="0" borderId="4" applyAlignment="1" pivotButton="0" quotePrefix="0" xfId="2">
      <alignment wrapText="1"/>
    </xf>
    <xf numFmtId="3" fontId="6" fillId="0" borderId="4" applyAlignment="1" pivotButton="0" quotePrefix="0" xfId="2">
      <alignment horizontal="center" wrapText="1"/>
    </xf>
    <xf numFmtId="0" fontId="6" fillId="0" borderId="4" applyAlignment="1" pivotButton="0" quotePrefix="0" xfId="2">
      <alignment horizontal="center" wrapText="1"/>
    </xf>
    <xf numFmtId="4" fontId="6" fillId="0" borderId="4" applyAlignment="1" pivotButton="0" quotePrefix="0" xfId="2">
      <alignment horizontal="center" wrapText="1"/>
    </xf>
    <xf numFmtId="4" fontId="6" fillId="0" borderId="4" applyAlignment="1" pivotButton="0" quotePrefix="0" xfId="2">
      <alignment wrapText="1"/>
    </xf>
    <xf numFmtId="4" fontId="6" fillId="0" borderId="2" applyAlignment="1" pivotButton="0" quotePrefix="0" xfId="2">
      <alignment horizontal="center" wrapText="1"/>
    </xf>
    <xf numFmtId="165" fontId="5" fillId="0" borderId="2" applyAlignment="1" pivotButton="0" quotePrefix="0" xfId="3">
      <alignment horizontal="left" vertical="center" wrapText="1"/>
    </xf>
    <xf numFmtId="3" fontId="5" fillId="0" borderId="2" applyAlignment="1" pivotButton="0" quotePrefix="0" xfId="2">
      <alignment horizontal="left" wrapText="1"/>
    </xf>
    <xf numFmtId="1" fontId="5" fillId="0" borderId="2" applyAlignment="1" pivotButton="0" quotePrefix="0" xfId="2">
      <alignment horizontal="center" wrapText="1"/>
    </xf>
    <xf numFmtId="4" fontId="5" fillId="2" borderId="2" applyAlignment="1" pivotButton="0" quotePrefix="0" xfId="2">
      <alignment wrapText="1"/>
    </xf>
    <xf numFmtId="4" fontId="6" fillId="0" borderId="5" applyAlignment="1" pivotButton="0" quotePrefix="0" xfId="2">
      <alignment wrapText="1"/>
    </xf>
    <xf numFmtId="4" fontId="6" fillId="0" borderId="2" applyAlignment="1" pivotButton="0" quotePrefix="0" xfId="2">
      <alignment wrapText="1"/>
    </xf>
    <xf numFmtId="0" fontId="5" fillId="0" borderId="0" applyAlignment="1" pivotButton="0" quotePrefix="0" xfId="2">
      <alignment wrapText="1"/>
    </xf>
    <xf numFmtId="0" fontId="8" fillId="0" borderId="2" applyAlignment="1" pivotButton="0" quotePrefix="0" xfId="2">
      <alignment horizontal="center" wrapText="1"/>
    </xf>
    <xf numFmtId="4" fontId="6" fillId="0" borderId="6" applyAlignment="1" pivotButton="0" quotePrefix="0" xfId="2">
      <alignment wrapText="1"/>
    </xf>
    <xf numFmtId="0" fontId="12" fillId="0" borderId="2" applyAlignment="1" pivotButton="0" quotePrefix="0" xfId="2">
      <alignment wrapText="1"/>
    </xf>
    <xf numFmtId="166" fontId="2" fillId="0" borderId="0" pivotButton="0" quotePrefix="0" xfId="1"/>
    <xf numFmtId="0" fontId="14" fillId="0" borderId="2" pivotButton="0" quotePrefix="0" xfId="2"/>
    <xf numFmtId="166" fontId="5" fillId="0" borderId="2" pivotButton="0" quotePrefix="0" xfId="1"/>
    <xf numFmtId="0" fontId="12" fillId="0" borderId="2" pivotButton="0" quotePrefix="0" xfId="2"/>
    <xf numFmtId="3" fontId="0" fillId="0" borderId="0" applyAlignment="1" pivotButton="0" quotePrefix="0" xfId="0">
      <alignment wrapText="1"/>
    </xf>
    <xf numFmtId="0" fontId="2" fillId="0" borderId="0" pivotButton="0" quotePrefix="0" xfId="2"/>
    <xf numFmtId="0" fontId="5" fillId="0" borderId="0" applyAlignment="1" pivotButton="0" quotePrefix="0" xfId="2">
      <alignment horizontal="center"/>
    </xf>
    <xf numFmtId="0" fontId="5" fillId="0" borderId="0" pivotButton="0" quotePrefix="0" xfId="2"/>
    <xf numFmtId="3" fontId="5" fillId="0" borderId="0" pivotButton="0" quotePrefix="0" xfId="2"/>
    <xf numFmtId="0" fontId="6" fillId="0" borderId="1" applyAlignment="1" pivotButton="0" quotePrefix="0" xfId="2">
      <alignment horizontal="center"/>
    </xf>
    <xf numFmtId="3" fontId="6" fillId="0" borderId="1" applyAlignment="1" pivotButton="0" quotePrefix="0" xfId="2">
      <alignment horizontal="center"/>
    </xf>
    <xf numFmtId="3" fontId="6" fillId="0" borderId="1" applyAlignment="1" pivotButton="0" quotePrefix="0" xfId="2">
      <alignment horizontal="right"/>
    </xf>
    <xf numFmtId="0" fontId="6" fillId="0" borderId="2" applyAlignment="1" pivotButton="0" quotePrefix="0" xfId="2">
      <alignment horizontal="center"/>
    </xf>
    <xf numFmtId="0" fontId="6" fillId="0" borderId="2" applyAlignment="1" pivotButton="0" quotePrefix="0" xfId="2">
      <alignment horizontal="left"/>
    </xf>
    <xf numFmtId="3" fontId="6" fillId="0" borderId="2" applyAlignment="1" pivotButton="0" quotePrefix="0" xfId="2">
      <alignment horizontal="center"/>
    </xf>
    <xf numFmtId="0" fontId="5" fillId="0" borderId="2" applyAlignment="1" pivotButton="0" quotePrefix="0" xfId="2">
      <alignment horizontal="center"/>
    </xf>
    <xf numFmtId="3" fontId="5" fillId="0" borderId="2" applyAlignment="1" pivotButton="0" quotePrefix="0" xfId="2">
      <alignment horizontal="center"/>
    </xf>
    <xf numFmtId="3" fontId="5" fillId="0" borderId="2" pivotButton="0" quotePrefix="0" xfId="2"/>
    <xf numFmtId="0" fontId="7" fillId="0" borderId="2" pivotButton="0" quotePrefix="0" xfId="2"/>
    <xf numFmtId="0" fontId="8" fillId="0" borderId="2" pivotButton="0" quotePrefix="0" xfId="2"/>
    <xf numFmtId="0" fontId="5" fillId="0" borderId="2" pivotButton="0" quotePrefix="0" xfId="2"/>
    <xf numFmtId="4" fontId="5" fillId="0" borderId="2" applyAlignment="1" pivotButton="0" quotePrefix="0" xfId="2">
      <alignment horizontal="center"/>
    </xf>
    <xf numFmtId="4" fontId="5" fillId="0" borderId="2" pivotButton="0" quotePrefix="0" xfId="2"/>
    <xf numFmtId="0" fontId="6" fillId="0" borderId="2" pivotButton="0" quotePrefix="0" xfId="2"/>
    <xf numFmtId="4" fontId="5" fillId="0" borderId="3" pivotButton="0" quotePrefix="0" xfId="2"/>
    <xf numFmtId="0" fontId="5" fillId="0" borderId="1" applyAlignment="1" pivotButton="0" quotePrefix="0" xfId="2">
      <alignment horizontal="center"/>
    </xf>
    <xf numFmtId="0" fontId="6" fillId="0" borderId="1" pivotButton="0" quotePrefix="0" xfId="2"/>
    <xf numFmtId="4" fontId="6" fillId="0" borderId="1" pivotButton="0" quotePrefix="0" xfId="2"/>
    <xf numFmtId="0" fontId="5" fillId="0" borderId="4" applyAlignment="1" pivotButton="0" quotePrefix="0" xfId="2">
      <alignment horizontal="center"/>
    </xf>
    <xf numFmtId="0" fontId="6" fillId="0" borderId="4" pivotButton="0" quotePrefix="0" xfId="2"/>
    <xf numFmtId="3" fontId="6" fillId="0" borderId="4" applyAlignment="1" pivotButton="0" quotePrefix="0" xfId="2">
      <alignment horizontal="center"/>
    </xf>
    <xf numFmtId="0" fontId="6" fillId="0" borderId="4" applyAlignment="1" pivotButton="0" quotePrefix="0" xfId="2">
      <alignment horizontal="center"/>
    </xf>
    <xf numFmtId="4" fontId="6" fillId="0" borderId="4" applyAlignment="1" pivotButton="0" quotePrefix="0" xfId="2">
      <alignment horizontal="center"/>
    </xf>
    <xf numFmtId="4" fontId="6" fillId="0" borderId="4" pivotButton="0" quotePrefix="0" xfId="2"/>
    <xf numFmtId="4" fontId="5" fillId="0" borderId="2" applyAlignment="1" pivotButton="0" quotePrefix="0" xfId="5">
      <alignment horizontal="center"/>
    </xf>
    <xf numFmtId="0" fontId="5" fillId="0" borderId="2" applyAlignment="1" pivotButton="0" quotePrefix="0" xfId="5">
      <alignment horizontal="center"/>
    </xf>
    <xf numFmtId="0" fontId="8" fillId="0" borderId="2" applyAlignment="1" pivotButton="0" quotePrefix="0" xfId="5">
      <alignment horizontal="left"/>
    </xf>
    <xf numFmtId="3" fontId="5" fillId="0" borderId="2" applyAlignment="1" pivotButton="0" quotePrefix="0" xfId="5">
      <alignment horizontal="center"/>
    </xf>
    <xf numFmtId="3" fontId="5" fillId="0" borderId="2" applyAlignment="1" pivotButton="0" quotePrefix="0" xfId="7">
      <alignment horizontal="center"/>
    </xf>
    <xf numFmtId="0" fontId="8" fillId="0" borderId="2" pivotButton="0" quotePrefix="0" xfId="5"/>
    <xf numFmtId="0" fontId="5" fillId="0" borderId="2" pivotButton="0" quotePrefix="0" xfId="5"/>
    <xf numFmtId="4" fontId="5" fillId="0" borderId="2" applyAlignment="1" pivotButton="0" quotePrefix="0" xfId="7">
      <alignment horizontal="center"/>
    </xf>
    <xf numFmtId="1" fontId="5" fillId="0" borderId="2" applyAlignment="1" pivotButton="0" quotePrefix="0" xfId="5">
      <alignment horizontal="center"/>
    </xf>
    <xf numFmtId="0" fontId="5" fillId="0" borderId="1" pivotButton="0" quotePrefix="0" xfId="2"/>
    <xf numFmtId="4" fontId="5" fillId="0" borderId="1" pivotButton="0" quotePrefix="0" xfId="2"/>
    <xf numFmtId="0" fontId="6" fillId="0" borderId="0" pivotButton="0" quotePrefix="0" xfId="2"/>
    <xf numFmtId="4" fontId="5" fillId="0" borderId="0" pivotButton="0" quotePrefix="0" xfId="2"/>
    <xf numFmtId="4" fontId="6" fillId="0" borderId="0" pivotButton="0" quotePrefix="0" xfId="2"/>
    <xf numFmtId="0" fontId="6" fillId="0" borderId="1" applyAlignment="1" pivotButton="0" quotePrefix="0" xfId="2">
      <alignment horizontal="left"/>
    </xf>
    <xf numFmtId="3" fontId="5" fillId="0" borderId="1" applyAlignment="1" pivotButton="0" quotePrefix="0" xfId="2">
      <alignment horizontal="center"/>
    </xf>
    <xf numFmtId="3" fontId="5" fillId="0" borderId="1" pivotButton="0" quotePrefix="0" xfId="2"/>
    <xf numFmtId="0" fontId="6" fillId="0" borderId="0" applyAlignment="1" pivotButton="0" quotePrefix="0" xfId="2">
      <alignment horizontal="left"/>
    </xf>
    <xf numFmtId="164" fontId="5" fillId="0" borderId="2" applyAlignment="1" pivotButton="0" quotePrefix="0" xfId="3">
      <alignment horizontal="center" wrapText="1"/>
    </xf>
    <xf numFmtId="4" fontId="5" fillId="0" borderId="2" applyAlignment="1" pivotButton="0" quotePrefix="0" xfId="2">
      <alignment horizontal="right" wrapText="1"/>
    </xf>
    <xf numFmtId="0" fontId="5" fillId="0" borderId="2" applyAlignment="1" pivotButton="0" quotePrefix="0" xfId="8">
      <alignment horizontal="center" wrapText="1"/>
    </xf>
    <xf numFmtId="0" fontId="11" fillId="0" borderId="2" applyAlignment="1" pivotButton="0" quotePrefix="0" xfId="2">
      <alignment wrapText="1"/>
    </xf>
    <xf numFmtId="167" fontId="5" fillId="0" borderId="2" applyAlignment="1" pivotButton="0" quotePrefix="0" xfId="4">
      <alignment wrapText="1"/>
    </xf>
    <xf numFmtId="3" fontId="5" fillId="0" borderId="1" applyAlignment="1" pivotButton="0" quotePrefix="0" xfId="2">
      <alignment horizontal="center" wrapText="1"/>
    </xf>
    <xf numFmtId="0" fontId="5" fillId="0" borderId="1" applyAlignment="1" pivotButton="0" quotePrefix="0" xfId="2">
      <alignment wrapText="1"/>
    </xf>
    <xf numFmtId="0" fontId="10" fillId="0" borderId="2" applyAlignment="1" pivotButton="0" quotePrefix="0" xfId="2">
      <alignment wrapText="1"/>
    </xf>
    <xf numFmtId="0" fontId="7" fillId="0" borderId="2" applyAlignment="1" pivotButton="0" quotePrefix="0" xfId="2">
      <alignment horizontal="left" wrapText="1"/>
    </xf>
    <xf numFmtId="4" fontId="5" fillId="0" borderId="1" applyAlignment="1" pivotButton="0" quotePrefix="0" xfId="2">
      <alignment horizontal="center" wrapText="1"/>
    </xf>
    <xf numFmtId="4" fontId="5" fillId="0" borderId="1" applyAlignment="1" pivotButton="0" quotePrefix="0" xfId="2">
      <alignment wrapText="1"/>
    </xf>
    <xf numFmtId="4" fontId="5" fillId="0" borderId="0" applyAlignment="1" pivotButton="0" quotePrefix="0" xfId="2">
      <alignment horizontal="center" wrapText="1"/>
    </xf>
    <xf numFmtId="4" fontId="5" fillId="0" borderId="0" applyAlignment="1" pivotButton="0" quotePrefix="0" xfId="2">
      <alignment wrapText="1"/>
    </xf>
    <xf numFmtId="0" fontId="13" fillId="0" borderId="2" applyAlignment="1" pivotButton="0" quotePrefix="0" xfId="2">
      <alignment wrapText="1"/>
    </xf>
    <xf numFmtId="0" fontId="14" fillId="0" borderId="2" applyAlignment="1" pivotButton="0" quotePrefix="0" xfId="2">
      <alignment wrapText="1"/>
    </xf>
    <xf numFmtId="0" fontId="15" fillId="0" borderId="0" applyAlignment="1" pivotButton="0" quotePrefix="0" xfId="0">
      <alignment vertical="top" wrapText="1"/>
    </xf>
    <xf numFmtId="0" fontId="15" fillId="0" borderId="2" applyAlignment="1" pivotButton="0" quotePrefix="0" xfId="0">
      <alignment wrapText="1"/>
    </xf>
    <xf numFmtId="0" fontId="15" fillId="0" borderId="0" applyAlignment="1" pivotButton="0" quotePrefix="0" xfId="0">
      <alignment wrapText="1"/>
    </xf>
    <xf numFmtId="0" fontId="15" fillId="0" borderId="2" applyAlignment="1" pivotButton="0" quotePrefix="0" xfId="0">
      <alignment horizontal="center" wrapText="1"/>
    </xf>
    <xf numFmtId="0" fontId="15" fillId="0" borderId="0" applyAlignment="1" pivotButton="0" quotePrefix="0" xfId="0">
      <alignment horizontal="center" wrapText="1"/>
    </xf>
    <xf numFmtId="4" fontId="15" fillId="0" borderId="2" applyAlignment="1" pivotButton="0" quotePrefix="0" xfId="0">
      <alignment horizontal="center" wrapText="1"/>
    </xf>
    <xf numFmtId="0" fontId="14" fillId="0" borderId="7" applyAlignment="1" pivotButton="0" quotePrefix="0" xfId="2">
      <alignment wrapText="1"/>
    </xf>
    <xf numFmtId="0" fontId="5" fillId="0" borderId="7" applyAlignment="1" pivotButton="0" quotePrefix="0" xfId="2">
      <alignment wrapText="1"/>
    </xf>
    <xf numFmtId="0" fontId="15" fillId="0" borderId="9" applyAlignment="1" pivotButton="0" quotePrefix="0" xfId="0">
      <alignment horizontal="center" wrapText="1"/>
    </xf>
    <xf numFmtId="4" fontId="15" fillId="0" borderId="9" applyAlignment="1" pivotButton="0" quotePrefix="0" xfId="0">
      <alignment horizontal="center" wrapText="1"/>
    </xf>
    <xf numFmtId="0" fontId="15" fillId="0" borderId="8" applyAlignment="1" pivotButton="0" quotePrefix="0" xfId="0">
      <alignment horizontal="left" wrapText="1"/>
    </xf>
    <xf numFmtId="0" fontId="13" fillId="0" borderId="1" applyAlignment="1" pivotButton="0" quotePrefix="0" xfId="2">
      <alignment horizontal="center" wrapText="1"/>
    </xf>
    <xf numFmtId="3" fontId="13" fillId="0" borderId="1" applyAlignment="1" pivotButton="0" quotePrefix="0" xfId="2">
      <alignment horizontal="center" wrapText="1"/>
    </xf>
    <xf numFmtId="0" fontId="13" fillId="0" borderId="2" applyAlignment="1" pivotButton="0" quotePrefix="0" xfId="2">
      <alignment horizontal="center" wrapText="1"/>
    </xf>
    <xf numFmtId="3" fontId="13" fillId="0" borderId="2" applyAlignment="1" pivotButton="0" quotePrefix="0" xfId="2">
      <alignment horizontal="center" wrapText="1"/>
    </xf>
    <xf numFmtId="166" fontId="5" fillId="0" borderId="1" pivotButton="0" quotePrefix="0" xfId="1"/>
    <xf numFmtId="166" fontId="2" fillId="0" borderId="0" pivotButton="0" quotePrefix="0" xfId="2"/>
    <xf numFmtId="0" fontId="14" fillId="0" borderId="2" applyAlignment="1" pivotButton="0" quotePrefix="0" xfId="2">
      <alignment horizontal="left" wrapText="1"/>
    </xf>
    <xf numFmtId="166" fontId="6" fillId="0" borderId="1" applyAlignment="1" pivotButton="0" quotePrefix="0" xfId="1">
      <alignment horizontal="center"/>
    </xf>
    <xf numFmtId="166" fontId="6" fillId="0" borderId="2" applyAlignment="1" pivotButton="0" quotePrefix="0" xfId="1">
      <alignment horizontal="center"/>
    </xf>
    <xf numFmtId="166" fontId="5" fillId="0" borderId="3" pivotButton="0" quotePrefix="0" xfId="1"/>
    <xf numFmtId="166" fontId="0" fillId="0" borderId="0" pivotButton="0" quotePrefix="0" xfId="1"/>
    <xf numFmtId="3" fontId="13" fillId="0" borderId="1" applyAlignment="1" pivotButton="0" quotePrefix="0" xfId="2">
      <alignment horizontal="right" wrapText="1"/>
    </xf>
    <xf numFmtId="0" fontId="13" fillId="0" borderId="10" applyAlignment="1" pivotButton="0" quotePrefix="0" xfId="2">
      <alignment horizontal="center" wrapText="1"/>
    </xf>
    <xf numFmtId="0" fontId="13" fillId="0" borderId="10" applyAlignment="1" pivotButton="0" quotePrefix="0" xfId="9">
      <alignment horizontal="center" wrapText="1"/>
    </xf>
    <xf numFmtId="3" fontId="13" fillId="0" borderId="10" applyAlignment="1" pivotButton="0" quotePrefix="0" xfId="2">
      <alignment horizontal="center" wrapText="1"/>
    </xf>
    <xf numFmtId="3" fontId="13" fillId="0" borderId="10" applyAlignment="1" pivotButton="0" quotePrefix="0" xfId="2">
      <alignment horizontal="right" wrapText="1"/>
    </xf>
    <xf numFmtId="3" fontId="13" fillId="0" borderId="2" applyAlignment="1" pivotButton="0" quotePrefix="0" xfId="2">
      <alignment horizontal="right" wrapText="1"/>
    </xf>
    <xf numFmtId="0" fontId="12" fillId="0" borderId="2" applyAlignment="1" pivotButton="0" quotePrefix="0" xfId="9">
      <alignment wrapText="1"/>
    </xf>
    <xf numFmtId="0" fontId="12" fillId="0" borderId="2" applyAlignment="1" pivotButton="0" quotePrefix="0" xfId="9">
      <alignment horizontal="center"/>
    </xf>
    <xf numFmtId="0" fontId="12" fillId="0" borderId="2" pivotButton="0" quotePrefix="0" xfId="9"/>
    <xf numFmtId="3" fontId="12" fillId="0" borderId="2" applyAlignment="1" pivotButton="0" quotePrefix="0" xfId="3">
      <alignment horizontal="center"/>
    </xf>
    <xf numFmtId="43" fontId="12" fillId="0" borderId="2" applyAlignment="1" pivotButton="0" quotePrefix="0" xfId="10">
      <alignment horizontal="right"/>
    </xf>
    <xf numFmtId="0" fontId="14" fillId="0" borderId="2" applyAlignment="1" pivotButton="0" quotePrefix="0" xfId="9">
      <alignment horizontal="center"/>
    </xf>
    <xf numFmtId="43" fontId="12" fillId="0" borderId="11" applyAlignment="1" pivotButton="0" quotePrefix="0" xfId="10">
      <alignment horizontal="right"/>
    </xf>
    <xf numFmtId="0" fontId="14" fillId="0" borderId="2" pivotButton="0" quotePrefix="0" xfId="9"/>
    <xf numFmtId="0" fontId="12" fillId="0" borderId="12" applyAlignment="1" pivotButton="0" quotePrefix="0" xfId="9">
      <alignment horizontal="center"/>
    </xf>
    <xf numFmtId="0" fontId="12" fillId="0" borderId="12" pivotButton="0" quotePrefix="0" xfId="9"/>
    <xf numFmtId="3" fontId="12" fillId="0" borderId="12" applyAlignment="1" pivotButton="0" quotePrefix="0" xfId="3">
      <alignment horizontal="center"/>
    </xf>
    <xf numFmtId="43" fontId="12" fillId="0" borderId="12" applyAlignment="1" pivotButton="0" quotePrefix="0" xfId="10">
      <alignment horizontal="right"/>
    </xf>
    <xf numFmtId="0" fontId="17" fillId="0" borderId="2" applyAlignment="1" pivotButton="0" quotePrefix="0" xfId="0">
      <alignment wrapText="1"/>
    </xf>
    <xf numFmtId="4" fontId="0" fillId="0" borderId="0" applyAlignment="1" pivotButton="0" quotePrefix="0" xfId="0">
      <alignment wrapText="1"/>
    </xf>
    <xf numFmtId="168" fontId="5" fillId="0" borderId="2" applyAlignment="1" pivotButton="0" quotePrefix="0" xfId="2">
      <alignment wrapText="1"/>
    </xf>
    <xf numFmtId="0" fontId="18" fillId="0" borderId="0" applyAlignment="1" pivotButton="0" quotePrefix="0" xfId="0">
      <alignment vertical="top" wrapText="1"/>
    </xf>
    <xf numFmtId="0" fontId="27" fillId="0" borderId="0" applyAlignment="1" pivotButton="0" quotePrefix="0" xfId="0">
      <alignment vertical="top" wrapText="1"/>
    </xf>
    <xf numFmtId="0" fontId="21" fillId="0" borderId="0" applyAlignment="1" pivotButton="0" quotePrefix="0" xfId="0">
      <alignment vertical="top" wrapText="1"/>
    </xf>
    <xf numFmtId="3" fontId="24" fillId="4" borderId="1" applyAlignment="1" pivotButton="0" quotePrefix="0" xfId="2">
      <alignment horizontal="center" wrapText="1"/>
    </xf>
    <xf numFmtId="3" fontId="6" fillId="0" borderId="1" applyAlignment="1" pivotButton="0" quotePrefix="0" xfId="0">
      <alignment horizontal="center" wrapText="1"/>
    </xf>
    <xf numFmtId="3" fontId="6" fillId="0" borderId="1" applyAlignment="1" pivotButton="0" quotePrefix="0" xfId="0">
      <alignment horizontal="right" wrapText="1"/>
    </xf>
    <xf numFmtId="0" fontId="24" fillId="4" borderId="0" applyAlignment="1" pivotButton="0" quotePrefix="0" xfId="0">
      <alignment horizontal="center" wrapText="1"/>
    </xf>
    <xf numFmtId="3" fontId="6" fillId="0" borderId="2" applyAlignment="1" pivotButton="0" quotePrefix="0" xfId="0">
      <alignment horizontal="center" wrapText="1"/>
    </xf>
    <xf numFmtId="3" fontId="5" fillId="0" borderId="2" applyAlignment="1" pivotButton="0" quotePrefix="0" xfId="0">
      <alignment horizontal="center" wrapText="1"/>
    </xf>
    <xf numFmtId="3" fontId="5" fillId="0" borderId="2" applyAlignment="1" pivotButton="0" quotePrefix="0" xfId="0">
      <alignment wrapText="1"/>
    </xf>
    <xf numFmtId="4" fontId="5" fillId="0" borderId="2" applyAlignment="1" pivotButton="0" quotePrefix="0" xfId="0">
      <alignment horizontal="center" wrapText="1"/>
    </xf>
    <xf numFmtId="4" fontId="24" fillId="4" borderId="2" applyAlignment="1" pivotButton="0" quotePrefix="0" xfId="2">
      <alignment horizontal="center" wrapText="1"/>
    </xf>
    <xf numFmtId="4" fontId="5" fillId="4" borderId="2" applyAlignment="1" pivotButton="0" quotePrefix="0" xfId="2">
      <alignment horizontal="center" wrapText="1"/>
    </xf>
    <xf numFmtId="4" fontId="5" fillId="0" borderId="2" applyAlignment="1" pivotButton="0" quotePrefix="0" xfId="0">
      <alignment wrapText="1"/>
    </xf>
    <xf numFmtId="0" fontId="22" fillId="0" borderId="0" applyAlignment="1" pivotButton="0" quotePrefix="0" xfId="0">
      <alignment vertical="top" wrapText="1"/>
    </xf>
    <xf numFmtId="0" fontId="25" fillId="0" borderId="2" applyAlignment="1" pivotButton="0" quotePrefix="0" xfId="2">
      <alignment vertical="top" wrapText="1"/>
    </xf>
    <xf numFmtId="4" fontId="6" fillId="0" borderId="1" applyAlignment="1" pivotButton="0" quotePrefix="0" xfId="0">
      <alignment horizontal="center" wrapText="1"/>
    </xf>
    <xf numFmtId="4" fontId="6" fillId="0" borderId="1" applyAlignment="1" pivotButton="0" quotePrefix="0" xfId="0">
      <alignment wrapText="1"/>
    </xf>
    <xf numFmtId="4" fontId="6" fillId="0" borderId="4" applyAlignment="1" pivotButton="0" quotePrefix="0" xfId="0">
      <alignment horizontal="center" wrapText="1"/>
    </xf>
    <xf numFmtId="4" fontId="6" fillId="0" borderId="4" applyAlignment="1" pivotButton="0" quotePrefix="0" xfId="0">
      <alignment wrapText="1"/>
    </xf>
    <xf numFmtId="4" fontId="6" fillId="0" borderId="2" applyAlignment="1" pivotButton="0" quotePrefix="0" xfId="0">
      <alignment horizontal="center" wrapText="1"/>
    </xf>
    <xf numFmtId="165" fontId="5" fillId="0" borderId="2" applyAlignment="1" pivotButton="0" quotePrefix="0" xfId="3">
      <alignment horizontal="left" vertical="center" wrapText="1"/>
    </xf>
    <xf numFmtId="4" fontId="24" fillId="4" borderId="2" applyAlignment="1" pivotButton="0" quotePrefix="0" xfId="2">
      <alignment horizontal="left" vertical="center" wrapText="1"/>
    </xf>
    <xf numFmtId="165" fontId="5" fillId="0" borderId="2" applyAlignment="1" pivotButton="0" quotePrefix="0" xfId="2">
      <alignment horizontal="left" vertical="center" wrapText="1"/>
    </xf>
    <xf numFmtId="4" fontId="5" fillId="2" borderId="2" applyAlignment="1" pivotButton="0" quotePrefix="0" xfId="2">
      <alignment horizontal="center" wrapText="1"/>
    </xf>
    <xf numFmtId="4" fontId="5" fillId="2" borderId="2" applyAlignment="1" pivotButton="0" quotePrefix="0" xfId="0">
      <alignment wrapText="1"/>
    </xf>
    <xf numFmtId="4" fontId="26" fillId="4" borderId="2" applyAlignment="1" pivotButton="0" quotePrefix="0" xfId="2">
      <alignment horizontal="center" wrapText="1"/>
    </xf>
    <xf numFmtId="0" fontId="5" fillId="5" borderId="2" applyAlignment="1" pivotButton="0" quotePrefix="0" xfId="2">
      <alignment horizontal="center" wrapText="1"/>
    </xf>
    <xf numFmtId="0" fontId="25" fillId="5" borderId="2" applyAlignment="1" pivotButton="0" quotePrefix="0" xfId="2">
      <alignment wrapText="1"/>
    </xf>
    <xf numFmtId="3" fontId="5" fillId="5" borderId="2" applyAlignment="1" pivotButton="0" quotePrefix="0" xfId="2">
      <alignment horizontal="center" wrapText="1"/>
    </xf>
    <xf numFmtId="4" fontId="5" fillId="5" borderId="2" applyAlignment="1" pivotButton="0" quotePrefix="0" xfId="2">
      <alignment horizontal="center" wrapText="1"/>
    </xf>
    <xf numFmtId="4" fontId="5" fillId="5" borderId="2" applyAlignment="1" pivotButton="0" quotePrefix="0" xfId="2">
      <alignment wrapText="1"/>
    </xf>
    <xf numFmtId="0" fontId="22" fillId="5" borderId="0" applyAlignment="1" pivotButton="0" quotePrefix="0" xfId="2">
      <alignment vertical="top" wrapText="1"/>
    </xf>
    <xf numFmtId="0" fontId="22" fillId="0" borderId="0" applyAlignment="1" pivotButton="0" quotePrefix="0" xfId="2">
      <alignment vertical="top" wrapText="1"/>
    </xf>
    <xf numFmtId="3" fontId="6" fillId="0" borderId="1" applyAlignment="1" pivotButton="0" quotePrefix="0" xfId="0">
      <alignment horizontal="center"/>
    </xf>
    <xf numFmtId="3" fontId="6" fillId="0" borderId="1" applyAlignment="1" pivotButton="0" quotePrefix="0" xfId="0">
      <alignment horizontal="right"/>
    </xf>
    <xf numFmtId="4" fontId="5" fillId="0" borderId="2" pivotButton="0" quotePrefix="0" xfId="0"/>
    <xf numFmtId="3" fontId="5" fillId="0" borderId="2" applyAlignment="1" pivotButton="0" quotePrefix="0" xfId="0">
      <alignment horizontal="center"/>
    </xf>
    <xf numFmtId="0" fontId="5" fillId="0" borderId="2" pivotButton="0" quotePrefix="0" xfId="0"/>
    <xf numFmtId="4" fontId="5" fillId="0" borderId="2" applyAlignment="1" pivotButton="0" quotePrefix="0" xfId="0">
      <alignment horizontal="center"/>
    </xf>
    <xf numFmtId="0" fontId="25" fillId="0" borderId="2" applyAlignment="1" pivotButton="0" quotePrefix="0" xfId="5">
      <alignment vertical="top" wrapText="1"/>
    </xf>
    <xf numFmtId="4" fontId="24" fillId="4" borderId="2" applyAlignment="1" pivotButton="0" quotePrefix="0" xfId="2">
      <alignment horizontal="center"/>
    </xf>
    <xf numFmtId="4" fontId="5" fillId="4" borderId="2" applyAlignment="1" pivotButton="0" quotePrefix="0" xfId="7">
      <alignment horizontal="center"/>
    </xf>
    <xf numFmtId="1" fontId="5" fillId="0" borderId="2" applyAlignment="1" pivotButton="0" quotePrefix="0" xfId="2">
      <alignment horizontal="center"/>
    </xf>
    <xf numFmtId="4" fontId="5" fillId="4" borderId="2" applyAlignment="1" pivotButton="0" quotePrefix="0" xfId="2">
      <alignment horizontal="center"/>
    </xf>
    <xf numFmtId="0" fontId="5" fillId="5" borderId="2" applyAlignment="1" pivotButton="0" quotePrefix="0" xfId="5">
      <alignment horizontal="center"/>
    </xf>
    <xf numFmtId="0" fontId="25" fillId="5" borderId="2" applyAlignment="1" pivotButton="0" quotePrefix="0" xfId="5">
      <alignment wrapText="1"/>
    </xf>
    <xf numFmtId="3" fontId="5" fillId="5" borderId="2" applyAlignment="1" pivotButton="0" quotePrefix="0" xfId="5">
      <alignment horizontal="center"/>
    </xf>
    <xf numFmtId="4" fontId="5" fillId="5" borderId="2" applyAlignment="1" pivotButton="0" quotePrefix="0" xfId="0">
      <alignment horizontal="center"/>
    </xf>
    <xf numFmtId="0" fontId="22" fillId="5" borderId="0" applyAlignment="1" pivotButton="0" quotePrefix="0" xfId="0">
      <alignment vertical="top" wrapText="1"/>
    </xf>
    <xf numFmtId="4" fontId="5" fillId="0" borderId="1" pivotButton="0" quotePrefix="0" xfId="0"/>
    <xf numFmtId="4" fontId="6" fillId="0" borderId="1" pivotButton="0" quotePrefix="0" xfId="0"/>
    <xf numFmtId="4" fontId="5" fillId="0" borderId="0" pivotButton="0" quotePrefix="0" xfId="0"/>
    <xf numFmtId="4" fontId="6" fillId="0" borderId="0" pivotButton="0" quotePrefix="0" xfId="0"/>
    <xf numFmtId="3" fontId="6" fillId="0" borderId="2" applyAlignment="1" pivotButton="0" quotePrefix="0" xfId="0">
      <alignment horizontal="center"/>
    </xf>
    <xf numFmtId="166" fontId="5" fillId="0" borderId="2" applyAlignment="1" pivotButton="0" quotePrefix="0" xfId="1">
      <alignment horizontal="center"/>
    </xf>
    <xf numFmtId="166" fontId="5" fillId="0" borderId="2" pivotButton="0" quotePrefix="0" xfId="2"/>
    <xf numFmtId="3" fontId="5" fillId="0" borderId="2" pivotButton="0" quotePrefix="0" xfId="1"/>
    <xf numFmtId="3" fontId="5" fillId="0" borderId="2" pivotButton="0" quotePrefix="0" xfId="0"/>
    <xf numFmtId="4" fontId="5" fillId="0" borderId="1" applyAlignment="1" pivotButton="0" quotePrefix="0" xfId="2">
      <alignment horizontal="center"/>
    </xf>
    <xf numFmtId="3" fontId="5" fillId="0" borderId="1" pivotButton="0" quotePrefix="0" xfId="0"/>
    <xf numFmtId="4" fontId="2" fillId="0" borderId="0" pivotButton="0" quotePrefix="0" xfId="2"/>
    <xf numFmtId="3" fontId="5" fillId="0" borderId="0" pivotButton="0" quotePrefix="0" xfId="0"/>
    <xf numFmtId="4" fontId="5" fillId="5" borderId="2" applyAlignment="1" pivotButton="0" quotePrefix="0" xfId="0">
      <alignment horizontal="center" wrapText="1"/>
    </xf>
    <xf numFmtId="4" fontId="5" fillId="5" borderId="2" applyAlignment="1" pivotButton="0" quotePrefix="0" xfId="0">
      <alignment wrapText="1"/>
    </xf>
    <xf numFmtId="168" fontId="5" fillId="0" borderId="2" applyAlignment="1" pivotButton="0" quotePrefix="0" xfId="0">
      <alignment wrapText="1"/>
    </xf>
    <xf numFmtId="4" fontId="5" fillId="0" borderId="2" applyAlignment="1" pivotButton="0" quotePrefix="0" xfId="0">
      <alignment horizontal="right" wrapText="1"/>
    </xf>
    <xf numFmtId="0" fontId="5" fillId="0" borderId="2" applyAlignment="1" pivotButton="0" quotePrefix="0" xfId="3">
      <alignment wrapText="1"/>
    </xf>
    <xf numFmtId="164" fontId="5" fillId="0" borderId="2" applyAlignment="1" pivotButton="0" quotePrefix="0" xfId="0">
      <alignment horizontal="center" wrapText="1"/>
    </xf>
    <xf numFmtId="0" fontId="5" fillId="0" borderId="2" applyAlignment="1" pivotButton="0" quotePrefix="0" xfId="3">
      <alignment horizontal="center" wrapText="1"/>
    </xf>
    <xf numFmtId="0" fontId="1" fillId="0" borderId="0" pivotButton="0" quotePrefix="0" xfId="0"/>
    <xf numFmtId="0" fontId="25" fillId="0" borderId="8" applyAlignment="1" pivotButton="0" quotePrefix="0" xfId="0">
      <alignment vertical="top" wrapText="1"/>
    </xf>
    <xf numFmtId="4" fontId="24" fillId="4" borderId="9" applyAlignment="1" pivotButton="0" quotePrefix="0" xfId="2">
      <alignment horizontal="center" wrapText="1"/>
    </xf>
    <xf numFmtId="0" fontId="15" fillId="0" borderId="9" applyAlignment="1" pivotButton="0" quotePrefix="0" xfId="2">
      <alignment horizontal="center" wrapText="1"/>
    </xf>
    <xf numFmtId="0" fontId="5" fillId="0" borderId="2" applyAlignment="1" pivotButton="0" quotePrefix="0" xfId="0">
      <alignment horizontal="center" wrapText="1"/>
    </xf>
    <xf numFmtId="3" fontId="5" fillId="4" borderId="2" applyAlignment="1" pivotButton="0" quotePrefix="0" xfId="2">
      <alignment horizontal="center" wrapText="1"/>
    </xf>
    <xf numFmtId="3" fontId="5" fillId="5" borderId="2" applyAlignment="1" pivotButton="0" quotePrefix="0" xfId="0">
      <alignment wrapText="1"/>
    </xf>
    <xf numFmtId="167" fontId="5" fillId="0" borderId="2" applyAlignment="1" pivotButton="0" quotePrefix="0" xfId="4">
      <alignment horizontal="center" wrapText="1"/>
    </xf>
    <xf numFmtId="167" fontId="5" fillId="0" borderId="2" applyAlignment="1" pivotButton="0" quotePrefix="0" xfId="2">
      <alignment wrapText="1"/>
    </xf>
    <xf numFmtId="168" fontId="5" fillId="4" borderId="2" applyAlignment="1" pivotButton="0" quotePrefix="0" xfId="2">
      <alignment horizontal="center" wrapText="1"/>
    </xf>
    <xf numFmtId="0" fontId="22" fillId="0" borderId="0" pivotButton="0" quotePrefix="0" xfId="0"/>
    <xf numFmtId="167" fontId="5" fillId="0" borderId="2" applyAlignment="1" pivotButton="0" quotePrefix="0" xfId="0">
      <alignment wrapText="1"/>
    </xf>
    <xf numFmtId="4" fontId="5" fillId="0" borderId="1" applyAlignment="1" pivotButton="0" quotePrefix="0" xfId="0">
      <alignment wrapText="1"/>
    </xf>
    <xf numFmtId="4" fontId="2" fillId="0" borderId="0" applyAlignment="1" pivotButton="0" quotePrefix="0" xfId="2">
      <alignment wrapText="1"/>
    </xf>
    <xf numFmtId="4" fontId="5" fillId="0" borderId="0" applyAlignment="1" pivotButton="0" quotePrefix="0" xfId="0">
      <alignment wrapText="1"/>
    </xf>
    <xf numFmtId="4" fontId="24" fillId="4" borderId="2" applyAlignment="1" pivotButton="0" quotePrefix="0" xfId="0">
      <alignment horizontal="center" wrapText="1"/>
    </xf>
    <xf numFmtId="0" fontId="15" fillId="0" borderId="0" applyAlignment="1" pivotButton="0" quotePrefix="0" xfId="2">
      <alignment horizontal="center" wrapText="1"/>
    </xf>
    <xf numFmtId="4" fontId="15" fillId="4" borderId="0" applyAlignment="1" pivotButton="0" quotePrefix="0" xfId="2">
      <alignment horizontal="center" wrapText="1"/>
    </xf>
    <xf numFmtId="4" fontId="15" fillId="0" borderId="0" applyAlignment="1" pivotButton="0" quotePrefix="0" xfId="2">
      <alignment horizontal="center" wrapText="1"/>
    </xf>
    <xf numFmtId="4" fontId="15" fillId="0" borderId="2" applyAlignment="1" pivotButton="0" quotePrefix="0" xfId="2">
      <alignment horizontal="center" wrapText="1"/>
    </xf>
    <xf numFmtId="4" fontId="5" fillId="0" borderId="3" applyAlignment="1" pivotButton="0" quotePrefix="0" xfId="0">
      <alignment wrapText="1"/>
    </xf>
    <xf numFmtId="166" fontId="0" fillId="0" borderId="0" pivotButton="0" quotePrefix="0" xfId="1"/>
    <xf numFmtId="166" fontId="6" fillId="0" borderId="1" applyAlignment="1" pivotButton="0" quotePrefix="0" xfId="1">
      <alignment horizontal="center"/>
    </xf>
    <xf numFmtId="166" fontId="6" fillId="0" borderId="2" applyAlignment="1" pivotButton="0" quotePrefix="0" xfId="1">
      <alignment horizontal="center"/>
    </xf>
    <xf numFmtId="166" fontId="5" fillId="0" borderId="2" pivotButton="0" quotePrefix="0" xfId="1"/>
    <xf numFmtId="166" fontId="2" fillId="0" borderId="0" pivotButton="0" quotePrefix="0" xfId="2"/>
    <xf numFmtId="166" fontId="2" fillId="0" borderId="0" pivotButton="0" quotePrefix="0" xfId="1"/>
    <xf numFmtId="166" fontId="5" fillId="0" borderId="3" pivotButton="0" quotePrefix="0" xfId="1"/>
    <xf numFmtId="166" fontId="5" fillId="0" borderId="1" pivotButton="0" quotePrefix="0" xfId="1"/>
    <xf numFmtId="0" fontId="18" fillId="0" borderId="0" pivotButton="0" quotePrefix="0" xfId="0"/>
    <xf numFmtId="0" fontId="19" fillId="0" borderId="0" pivotButton="0" quotePrefix="0" xfId="0"/>
    <xf numFmtId="0" fontId="20" fillId="3" borderId="13" applyAlignment="1" pivotButton="0" quotePrefix="0" xfId="0">
      <alignment vertical="center" wrapText="1"/>
    </xf>
    <xf numFmtId="0" fontId="21" fillId="0" borderId="0" pivotButton="0" quotePrefix="0" xfId="0"/>
    <xf numFmtId="0" fontId="22" fillId="0" borderId="13" applyAlignment="1" pivotButton="0" quotePrefix="0" xfId="0">
      <alignment vertical="top" wrapText="1"/>
    </xf>
    <xf numFmtId="4" fontId="23" fillId="0" borderId="13" applyAlignment="1" pivotButton="0" quotePrefix="0" xfId="0">
      <alignment vertical="top" wrapText="1"/>
    </xf>
  </cellXfs>
  <cellStyles count="11">
    <cellStyle name="Normal" xfId="0" builtinId="0"/>
    <cellStyle name="Comma" xfId="1" builtinId="3"/>
    <cellStyle name="Normal 6" xfId="2"/>
    <cellStyle name="Comma 2" xfId="3"/>
    <cellStyle name="Normal 2" xfId="4"/>
    <cellStyle name="Normal 3" xfId="5"/>
    <cellStyle name="Normal 4" xfId="6"/>
    <cellStyle name="Normal 5" xfId="7"/>
    <cellStyle name="Normal 8" xfId="8"/>
    <cellStyle name="Normal 2 2" xfId="9"/>
    <cellStyle name="Comma 2 3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51" t="inlineStr">
        <is>
          <t>BOQ VERIFICATION - PROPOSED KANESHIE BLOCK N REDEVELOPMENT</t>
        </is>
      </c>
    </row>
    <row r="2">
      <c r="A2" s="152" t="inlineStr">
        <is>
          <t>Drawings used: Structural SHC-KANESHIE-STR-000 to 107 (108 sheets); Architectural SHC-NORTH K-ARCH-101 to 606 (59 sheets).</t>
        </is>
      </c>
    </row>
    <row r="3">
      <c r="A3" s="152" t="inlineStr"/>
    </row>
    <row r="4">
      <c r="A4" s="153" t="inlineStr">
        <is>
          <t>HOW TO READ THE BOQ SHEETS</t>
        </is>
      </c>
    </row>
    <row r="5">
      <c r="A5" s="152" t="inlineStr">
        <is>
          <t>Column C = original BOQ quantity (unchanged). Column D "Verified Qty" (green) = quantity measured from the drawings; it links to the Verification Take-off sheet where every calculation is shown.</t>
        </is>
      </c>
    </row>
    <row r="6">
      <c r="A6" s="152" t="inlineStr">
        <is>
          <t>Column F "Verified Unit": red where the unit has been corrected (e.g. edges of bed m2 -&gt; m; hinges nr -&gt; pairs; provisional sums -&gt; item).</t>
        </is>
      </c>
    </row>
    <row r="7">
      <c r="A7" s="152" t="inlineStr">
        <is>
          <t>Description text in red "[PER DRAWINGS: ...]" = the drawings describe the item differently; the original description is kept above it.</t>
        </is>
      </c>
    </row>
    <row r="8">
      <c r="A8" s="152" t="inlineStr">
        <is>
          <t>Rows shaded yellow (item codes N1..N12, A1, D1, W, X) are ADDED items omitted from the BOQ. They sit inside the existing page totals.</t>
        </is>
      </c>
    </row>
    <row r="9">
      <c r="A9" s="152" t="inlineStr">
        <is>
          <t>Column H "Amount" now = Rate x Verified Qty. Column I gives remarks.</t>
        </is>
      </c>
    </row>
    <row r="10">
      <c r="A10" s="152" t="inlineStr"/>
    </row>
    <row r="11">
      <c r="A11" s="153" t="inlineStr">
        <is>
          <t>KEY FINDINGS</t>
        </is>
      </c>
    </row>
    <row r="12">
      <c r="A12" s="152" t="inlineStr">
        <is>
          <t>1. Superstructure columns: BOQ multiplies concrete, formwork and reinforcement by 5. The base figures already represent all floors - the x5 overstates them five-fold.</t>
        </is>
      </c>
    </row>
    <row r="13">
      <c r="A13" s="152" t="inlineStr">
        <is>
          <t>2. Concrete walls (306 m3) understate the shear/lift/emergency core walls (c.667 m3 measured). The formwork formula refers to the column line.</t>
        </is>
      </c>
    </row>
    <row r="14">
      <c r="A14" s="152" t="inlineStr">
        <is>
          <t>3. Beams (c.211 m3 concrete, c.111 t steel, c.2,100 m2 formwork), Y20 wall bars (82 t), raft edge formwork, slab edges and stair formwork are not in the BOQ - added.</t>
        </is>
      </c>
    </row>
    <row r="15">
      <c r="A15" s="152" t="inlineStr">
        <is>
          <t>4. Lintels 360 m3 is excessive - lintels over all scheduled openings measure c.56 m3. Suspended slabs measure c.3,326 m3 (BOQ 2,790); slab reinforcement Y12 586 t (BOQ 315 t) per the bar bending schedules.</t>
        </is>
      </c>
    </row>
    <row r="16">
      <c r="A16" s="152" t="inlineStr">
        <is>
          <t>5. Doors and windows: quantities agree with the schedules except DW2 (1 nr, BOQ 2). Several door descriptions are mismatched with the schedule (fire ratings / leaf types) - corrected in red.</t>
        </is>
      </c>
    </row>
    <row r="17">
      <c r="A17" s="152" t="inlineStr">
        <is>
          <t>6. Floor tiles: the tile sizes in the BOQ read "60x60mm" etc. - drawings are 600x600mm. 60x120 tile is a FLOOR tile to lobbies (legend), not wall. PU resin to parking decks and wall tiles to washrooms are not billed - added.</t>
        </is>
      </c>
    </row>
    <row r="18">
      <c r="A18" s="152" t="inlineStr"/>
    </row>
    <row r="19">
      <c r="A19" s="153" t="inlineStr">
        <is>
          <t>MEASUREMENT METHOD</t>
        </is>
      </c>
    </row>
    <row r="20">
      <c r="A20" s="152" t="inlineStr">
        <is>
          <t>Slab areas, slab perimeters and beam lengths were measured directly from the structural GA sheets (vector/raster geometry calibrated on grid 1-12 = 36,500 mm and A1-Q = 34,350 mm).</t>
        </is>
      </c>
    </row>
    <row r="21">
      <c r="A21" s="152" t="inlineStr">
        <is>
          <t>Block wall lengths were measured from the architectural floor plans at 1:100 (wall outlines converted to centre-lines; door/window gaps excluded). Wall thickness classes: &lt;=210mm band = 150 walls, 210-245 = 200 walls, &gt;245 = RC core walls (excluded from blockwork).</t>
        </is>
      </c>
    </row>
    <row r="22">
      <c r="A22" s="152" t="inlineStr">
        <is>
          <t>Floor finishes: rooms segmented from the plans and classified by room label (washroom, corridor, bedroom...) using the tiling-layout legend; manual corrections are listed on the take-off sheet.</t>
        </is>
      </c>
    </row>
    <row r="23">
      <c r="A23" s="152" t="inlineStr">
        <is>
          <t>Reinforcement quantities come from the separate Reinforcement Take-off workbook (bar bending schedules, 1,306 t total).</t>
        </is>
      </c>
    </row>
    <row r="24">
      <c r="A24" s="152" t="inlineStr">
        <is>
          <t>Measured quantities are net (no waste). Measurement by digital scaling is accurate to about +/-3-5% on walls and finishes; check critical items before tender.</t>
        </is>
      </c>
    </row>
    <row r="25">
      <c r="A25" s="152" t="inlineStr"/>
    </row>
    <row r="26">
      <c r="A26" s="153" t="inlineStr">
        <is>
          <t>QUERIES FOR THE DESIGN TEAM (RFI)</t>
        </is>
      </c>
    </row>
    <row r="27">
      <c r="A27" s="152" t="inlineStr">
        <is>
          <t>a) Raft section A-A shows 2,700 of fill below the raft but levels (-1.000 raft top, -4.000 formation) give 1,700.</t>
        </is>
      </c>
    </row>
    <row r="28">
      <c r="A28" s="152" t="inlineStr">
        <is>
          <t>b) No GF slab / bed detail on structural drawings (BOQ items J, K).</t>
        </is>
      </c>
    </row>
    <row r="29">
      <c r="A29" s="152" t="inlineStr">
        <is>
          <t>c) Architectural M1/M2/M3 levels are 300 mm above structural SSLs (+2800/+5500/+8200 vs +2500/+5200/+7900).</t>
        </is>
      </c>
    </row>
    <row r="30">
      <c r="A30" s="152" t="inlineStr">
        <is>
          <t>d) Service/goods lift: only two lift shafts are shown.</t>
        </is>
      </c>
    </row>
    <row r="31">
      <c r="A31" s="152" t="inlineStr">
        <is>
          <t>e) Wall-tile height in washrooms, roof drainage layout and burglar-proofing extent are not dimensioned.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tabSelected="1" workbookViewId="0">
      <selection activeCell="F50" sqref="F50"/>
    </sheetView>
  </sheetViews>
  <sheetFormatPr baseColWidth="8" defaultColWidth="9.09765625" defaultRowHeight="15.6"/>
  <cols>
    <col width="9.09765625" customWidth="1" style="110" min="1" max="1"/>
    <col width="48.09765625" bestFit="1" customWidth="1" style="110" min="2" max="2"/>
    <col width="4.59765625" bestFit="1" customWidth="1" style="110" min="3" max="3"/>
    <col width="5" bestFit="1" customWidth="1" style="110" min="4" max="4"/>
    <col width="5.69921875" bestFit="1" customWidth="1" style="110" min="5" max="5"/>
    <col width="14.59765625" bestFit="1" customWidth="1" style="110" min="6" max="6"/>
    <col width="9.09765625" customWidth="1" style="110" min="7" max="16384"/>
  </cols>
  <sheetData>
    <row r="1" ht="16.8" customHeight="1" thickBot="1" thickTop="1">
      <c r="A1" s="119" t="inlineStr">
        <is>
          <t>Item</t>
        </is>
      </c>
      <c r="B1" s="119" t="inlineStr">
        <is>
          <t>Description</t>
        </is>
      </c>
      <c r="C1" s="120" t="inlineStr">
        <is>
          <t>Qty</t>
        </is>
      </c>
      <c r="D1" s="119" t="inlineStr">
        <is>
          <t>Unit</t>
        </is>
      </c>
      <c r="E1" s="120" t="inlineStr">
        <is>
          <t>Rate</t>
        </is>
      </c>
      <c r="F1" s="130" t="inlineStr">
        <is>
          <t>Amount</t>
        </is>
      </c>
    </row>
    <row r="2" ht="31.8" customHeight="1" thickTop="1">
      <c r="A2" s="131" t="n"/>
      <c r="B2" s="132" t="inlineStr">
        <is>
          <t>BILL NO. 1- PRELIMINARIES AND GENERAL CONDITIONS</t>
        </is>
      </c>
      <c r="C2" s="133" t="n"/>
      <c r="D2" s="131" t="n"/>
      <c r="E2" s="133" t="n"/>
      <c r="F2" s="134" t="n"/>
    </row>
    <row r="3">
      <c r="A3" s="121" t="n"/>
      <c r="B3" s="121" t="n"/>
      <c r="C3" s="122" t="n"/>
      <c r="D3" s="121" t="n"/>
      <c r="E3" s="122" t="n"/>
      <c r="F3" s="135" t="n"/>
    </row>
    <row r="4" ht="31.2" customHeight="1">
      <c r="A4" s="109" t="n"/>
      <c r="B4" s="148" t="inlineStr">
        <is>
          <t>NAME: PROPOSED KANESHIE BLOCK N REDEVELOPMENT</t>
        </is>
      </c>
      <c r="C4" s="109" t="n"/>
      <c r="D4" s="109" t="n"/>
      <c r="E4" s="109" t="n"/>
      <c r="F4" s="109" t="n"/>
    </row>
    <row r="5" ht="31.2" customHeight="1">
      <c r="A5" s="109" t="n"/>
      <c r="B5" s="148" t="inlineStr">
        <is>
          <t>CLIENT/ CONSULTANTS: STATE HOUSING PROJECT</t>
        </is>
      </c>
      <c r="C5" s="109" t="n"/>
      <c r="D5" s="109" t="n"/>
      <c r="E5" s="109" t="n"/>
      <c r="F5" s="109" t="n"/>
    </row>
    <row r="6">
      <c r="A6" s="109" t="n"/>
      <c r="B6" s="148" t="inlineStr">
        <is>
          <t>CONTRACTOR: FBC PARTNERS GHANA LTD</t>
        </is>
      </c>
      <c r="C6" s="109" t="n"/>
      <c r="D6" s="109" t="n"/>
      <c r="E6" s="109" t="n"/>
      <c r="F6" s="109" t="n"/>
    </row>
    <row r="7" ht="46.8" customHeight="1">
      <c r="A7" s="109" t="n"/>
      <c r="B7" s="148" t="inlineStr">
        <is>
          <t>DRAWING: STRUCTURAL, ARCHITECTURAL, MEP DRAWINGS - KANESHIE BLOCK N REDEVELOPMENT</t>
        </is>
      </c>
      <c r="C7" s="109" t="n"/>
      <c r="D7" s="109" t="n"/>
      <c r="E7" s="109" t="n"/>
      <c r="F7" s="109" t="n"/>
    </row>
    <row r="8">
      <c r="A8" s="109" t="n"/>
      <c r="B8" s="109" t="n"/>
      <c r="C8" s="109" t="n"/>
      <c r="D8" s="109" t="n"/>
      <c r="E8" s="109" t="n"/>
      <c r="F8" s="109" t="n"/>
    </row>
    <row r="9" ht="31.2" customHeight="1">
      <c r="A9" s="109" t="n"/>
      <c r="B9" s="136" t="inlineStr">
        <is>
          <t>(The Contractor is free to price for additional items under Preliminaries not included in the List below)</t>
        </is>
      </c>
      <c r="C9" s="109" t="n"/>
      <c r="D9" s="109" t="n"/>
      <c r="E9" s="109" t="n"/>
      <c r="F9" s="109" t="n"/>
    </row>
    <row r="10">
      <c r="A10" s="109" t="n"/>
      <c r="B10" s="109" t="n"/>
      <c r="C10" s="109" t="n"/>
      <c r="D10" s="109" t="n"/>
      <c r="E10" s="109" t="n"/>
      <c r="F10" s="109" t="n"/>
    </row>
    <row r="11">
      <c r="A11" s="137" t="inlineStr">
        <is>
          <t>A</t>
        </is>
      </c>
      <c r="B11" s="138" t="inlineStr">
        <is>
          <t>Performance Security</t>
        </is>
      </c>
      <c r="C11" s="139" t="n"/>
      <c r="D11" s="137" t="n"/>
      <c r="E11" s="140" t="n"/>
      <c r="F11" s="140" t="n"/>
    </row>
    <row r="12">
      <c r="A12" s="137" t="n"/>
      <c r="B12" s="138" t="n"/>
      <c r="C12" s="139" t="n"/>
      <c r="D12" s="137" t="n"/>
      <c r="E12" s="140" t="n"/>
      <c r="F12" s="140" t="n"/>
    </row>
    <row r="13">
      <c r="A13" s="137" t="inlineStr">
        <is>
          <t>B</t>
        </is>
      </c>
      <c r="B13" s="138" t="inlineStr">
        <is>
          <t>Offices for use by Contractor</t>
        </is>
      </c>
      <c r="C13" s="139" t="n"/>
      <c r="D13" s="137" t="n"/>
      <c r="E13" s="140" t="n"/>
      <c r="F13" s="140" t="n"/>
    </row>
    <row r="14">
      <c r="A14" s="137" t="n"/>
      <c r="B14" s="138" t="n"/>
      <c r="C14" s="139" t="n"/>
      <c r="D14" s="137" t="n"/>
      <c r="E14" s="140" t="n"/>
      <c r="F14" s="140" t="n"/>
    </row>
    <row r="15">
      <c r="A15" s="137" t="inlineStr">
        <is>
          <t>C</t>
        </is>
      </c>
      <c r="B15" s="138" t="inlineStr">
        <is>
          <t>Offices for use by the Engineer</t>
        </is>
      </c>
      <c r="C15" s="139" t="n"/>
      <c r="D15" s="137" t="n"/>
      <c r="E15" s="140" t="n"/>
      <c r="F15" s="140" t="n"/>
    </row>
    <row r="16">
      <c r="A16" s="137" t="n"/>
      <c r="B16" s="138" t="n"/>
      <c r="C16" s="139" t="n"/>
      <c r="D16" s="137" t="n"/>
      <c r="E16" s="140" t="n"/>
      <c r="F16" s="140" t="n"/>
    </row>
    <row r="17">
      <c r="A17" s="137" t="inlineStr">
        <is>
          <t>D</t>
        </is>
      </c>
      <c r="B17" s="138" t="inlineStr">
        <is>
          <t>Watching and Protection of the Works</t>
        </is>
      </c>
      <c r="C17" s="139" t="n"/>
      <c r="D17" s="137" t="n"/>
      <c r="E17" s="140" t="n"/>
      <c r="F17" s="140" t="n"/>
    </row>
    <row r="18">
      <c r="A18" s="137" t="n"/>
      <c r="B18" s="138" t="n"/>
      <c r="C18" s="139" t="n"/>
      <c r="D18" s="137" t="n"/>
      <c r="E18" s="140" t="n"/>
      <c r="F18" s="140" t="n"/>
    </row>
    <row r="19">
      <c r="A19" s="137" t="inlineStr">
        <is>
          <t>E</t>
        </is>
      </c>
      <c r="B19" s="138" t="inlineStr">
        <is>
          <t>Transport for Workpeople</t>
        </is>
      </c>
      <c r="C19" s="139" t="n"/>
      <c r="D19" s="137" t="n"/>
      <c r="E19" s="140" t="n"/>
      <c r="F19" s="140" t="n"/>
    </row>
    <row r="20">
      <c r="A20" s="137" t="n"/>
      <c r="B20" s="138" t="n"/>
      <c r="C20" s="139" t="n"/>
      <c r="D20" s="137" t="n"/>
      <c r="E20" s="140" t="n"/>
      <c r="F20" s="140" t="n"/>
    </row>
    <row r="21">
      <c r="A21" s="137" t="inlineStr">
        <is>
          <t>F</t>
        </is>
      </c>
      <c r="B21" s="138" t="inlineStr">
        <is>
          <t>First Aid Equipment</t>
        </is>
      </c>
      <c r="C21" s="139" t="n"/>
      <c r="D21" s="137" t="n"/>
      <c r="E21" s="140" t="n"/>
      <c r="F21" s="140" t="n"/>
    </row>
    <row r="22">
      <c r="A22" s="137" t="n"/>
      <c r="B22" s="138" t="n"/>
      <c r="C22" s="139" t="n"/>
      <c r="D22" s="137" t="n"/>
      <c r="E22" s="140" t="n"/>
      <c r="F22" s="140" t="n"/>
    </row>
    <row r="23">
      <c r="A23" s="137" t="inlineStr">
        <is>
          <t>G</t>
        </is>
      </c>
      <c r="B23" s="138" t="inlineStr">
        <is>
          <t>Project Signboard</t>
        </is>
      </c>
      <c r="C23" s="139" t="n"/>
      <c r="D23" s="137" t="n"/>
      <c r="E23" s="140" t="n"/>
      <c r="F23" s="140" t="n"/>
    </row>
    <row r="24">
      <c r="A24" s="137" t="n"/>
      <c r="B24" s="138" t="n"/>
      <c r="C24" s="139" t="n"/>
      <c r="D24" s="137" t="n"/>
      <c r="E24" s="140" t="n"/>
      <c r="F24" s="140" t="n"/>
    </row>
    <row r="25">
      <c r="A25" s="137" t="inlineStr">
        <is>
          <t>H</t>
        </is>
      </c>
      <c r="B25" s="138" t="inlineStr">
        <is>
          <t>Setting Out of the Works</t>
        </is>
      </c>
      <c r="C25" s="139" t="n"/>
      <c r="D25" s="137" t="n"/>
      <c r="E25" s="140" t="n"/>
      <c r="F25" s="140" t="n"/>
    </row>
    <row r="26">
      <c r="A26" s="137" t="n"/>
      <c r="B26" s="138" t="n"/>
      <c r="C26" s="139" t="n"/>
      <c r="D26" s="137" t="n"/>
      <c r="E26" s="140" t="n"/>
      <c r="F26" s="140" t="n"/>
    </row>
    <row r="27">
      <c r="A27" s="137" t="inlineStr">
        <is>
          <t>J</t>
        </is>
      </c>
      <c r="B27" s="138" t="inlineStr">
        <is>
          <t>Agent or Foreman-in-Charge</t>
        </is>
      </c>
      <c r="C27" s="139" t="n"/>
      <c r="D27" s="137" t="n"/>
      <c r="E27" s="140" t="n"/>
      <c r="F27" s="140" t="n"/>
    </row>
    <row r="28">
      <c r="A28" s="137" t="n"/>
      <c r="B28" s="138" t="n"/>
      <c r="C28" s="139" t="n"/>
      <c r="D28" s="137" t="n"/>
      <c r="E28" s="140" t="n"/>
      <c r="F28" s="140" t="n"/>
    </row>
    <row r="29">
      <c r="A29" s="137" t="inlineStr">
        <is>
          <t>K</t>
        </is>
      </c>
      <c r="B29" s="138" t="inlineStr">
        <is>
          <t>Plant, tools and Vehicles</t>
        </is>
      </c>
      <c r="C29" s="139" t="n"/>
      <c r="D29" s="137" t="n"/>
      <c r="E29" s="140" t="n"/>
      <c r="F29" s="140" t="n"/>
    </row>
    <row r="30">
      <c r="A30" s="137" t="n"/>
      <c r="B30" s="138" t="n"/>
      <c r="C30" s="139" t="n"/>
      <c r="D30" s="137" t="n"/>
      <c r="E30" s="140" t="n"/>
      <c r="F30" s="140" t="n"/>
    </row>
    <row r="31">
      <c r="A31" s="137" t="inlineStr">
        <is>
          <t>L</t>
        </is>
      </c>
      <c r="B31" s="138" t="inlineStr">
        <is>
          <t>Branded PPEs</t>
        </is>
      </c>
      <c r="C31" s="139" t="n"/>
      <c r="D31" s="137" t="n"/>
      <c r="E31" s="140" t="n"/>
      <c r="F31" s="140" t="n"/>
    </row>
    <row r="32">
      <c r="A32" s="137" t="n"/>
      <c r="B32" s="138" t="n"/>
      <c r="C32" s="139" t="n"/>
      <c r="D32" s="137" t="n"/>
      <c r="E32" s="140" t="n"/>
      <c r="F32" s="140" t="n"/>
    </row>
    <row r="33">
      <c r="A33" s="137" t="inlineStr">
        <is>
          <t>M</t>
        </is>
      </c>
      <c r="B33" s="138" t="inlineStr">
        <is>
          <t>Security and protection</t>
        </is>
      </c>
      <c r="C33" s="139" t="n"/>
      <c r="D33" s="137" t="n"/>
      <c r="E33" s="140" t="n"/>
      <c r="F33" s="140" t="n"/>
    </row>
    <row r="34">
      <c r="A34" s="137" t="n"/>
      <c r="B34" s="138" t="n"/>
      <c r="C34" s="139" t="n"/>
      <c r="D34" s="137" t="n"/>
      <c r="E34" s="140" t="n"/>
      <c r="F34" s="140" t="n"/>
    </row>
    <row r="35">
      <c r="A35" s="137" t="inlineStr">
        <is>
          <t>N</t>
        </is>
      </c>
      <c r="B35" s="138" t="inlineStr">
        <is>
          <t>All facilities, temporary works and services</t>
        </is>
      </c>
      <c r="C35" s="139" t="n"/>
      <c r="D35" s="137" t="n"/>
      <c r="E35" s="140" t="n"/>
      <c r="F35" s="140" t="n"/>
    </row>
    <row r="36">
      <c r="A36" s="137" t="n"/>
      <c r="B36" s="138" t="n"/>
      <c r="C36" s="139" t="n"/>
      <c r="D36" s="137" t="n"/>
      <c r="E36" s="140" t="n"/>
      <c r="F36" s="140" t="n"/>
    </row>
    <row r="37">
      <c r="A37" s="137" t="inlineStr">
        <is>
          <t>P</t>
        </is>
      </c>
      <c r="B37" s="138" t="inlineStr">
        <is>
          <t>Allow for providing all scaffolding, and apparatus</t>
        </is>
      </c>
      <c r="C37" s="139" t="n"/>
      <c r="D37" s="137" t="n"/>
      <c r="E37" s="140" t="n"/>
      <c r="F37" s="140" t="n"/>
    </row>
    <row r="38">
      <c r="A38" s="137" t="n"/>
      <c r="B38" s="138" t="inlineStr">
        <is>
          <t>profiles and apparatus generraly required for the</t>
        </is>
      </c>
      <c r="C38" s="139" t="n"/>
      <c r="D38" s="137" t="n"/>
      <c r="E38" s="140" t="n"/>
      <c r="F38" s="140" t="n"/>
    </row>
    <row r="39">
      <c r="A39" s="137" t="n"/>
      <c r="B39" s="138" t="inlineStr">
        <is>
          <t>proper execution of the Works. The Contractor</t>
        </is>
      </c>
      <c r="C39" s="139" t="n"/>
      <c r="D39" s="137" t="n"/>
      <c r="E39" s="140" t="n"/>
      <c r="F39" s="140" t="n"/>
    </row>
    <row r="40">
      <c r="A40" s="137" t="n"/>
      <c r="B40" s="138" t="inlineStr">
        <is>
          <t>shall provide without extra charge all labour and</t>
        </is>
      </c>
      <c r="C40" s="139" t="n"/>
      <c r="D40" s="137" t="n"/>
      <c r="E40" s="140" t="n"/>
      <c r="F40" s="140" t="n"/>
    </row>
    <row r="41">
      <c r="A41" s="137" t="n"/>
      <c r="B41" s="138" t="inlineStr">
        <is>
          <t>equipment or apparatus required by the Engineer</t>
        </is>
      </c>
      <c r="C41" s="139" t="n"/>
      <c r="D41" s="137" t="n"/>
      <c r="E41" s="140" t="n"/>
      <c r="F41" s="140" t="n"/>
    </row>
    <row r="42">
      <c r="A42" s="137" t="n"/>
      <c r="B42" s="138" t="inlineStr">
        <is>
          <t>for the testing and measuring the Works and for</t>
        </is>
      </c>
      <c r="C42" s="139" t="n"/>
      <c r="D42" s="137" t="n"/>
      <c r="E42" s="140" t="n"/>
      <c r="F42" s="140" t="n"/>
    </row>
    <row r="43">
      <c r="A43" s="137" t="n"/>
      <c r="B43" s="138" t="inlineStr">
        <is>
          <t>weighing, proving or testing the efficiency of any</t>
        </is>
      </c>
      <c r="C43" s="139" t="n"/>
      <c r="D43" s="137" t="n"/>
      <c r="E43" s="140" t="n"/>
      <c r="F43" s="140" t="n"/>
    </row>
    <row r="44">
      <c r="A44" s="137" t="n"/>
      <c r="B44" s="138" t="inlineStr">
        <is>
          <t xml:space="preserve">portion of the Works </t>
        </is>
      </c>
      <c r="C44" s="139" t="n"/>
      <c r="D44" s="137" t="n"/>
      <c r="E44" s="140" t="n"/>
      <c r="F44" s="140" t="n"/>
    </row>
    <row r="45">
      <c r="A45" s="137" t="n"/>
      <c r="B45" s="138" t="n"/>
      <c r="C45" s="139" t="n"/>
      <c r="D45" s="137" t="n"/>
      <c r="E45" s="140" t="n"/>
      <c r="F45" s="140" t="n"/>
    </row>
    <row r="46">
      <c r="A46" s="137" t="inlineStr">
        <is>
          <t>Q</t>
        </is>
      </c>
      <c r="B46" s="138" t="inlineStr">
        <is>
          <t>Water for the works</t>
        </is>
      </c>
      <c r="C46" s="139" t="n"/>
      <c r="D46" s="137" t="n"/>
      <c r="E46" s="140" t="n"/>
      <c r="F46" s="140" t="n"/>
    </row>
    <row r="47">
      <c r="A47" s="137" t="n"/>
      <c r="B47" s="138" t="n"/>
      <c r="C47" s="139" t="n"/>
      <c r="D47" s="137" t="n"/>
      <c r="E47" s="140" t="n"/>
      <c r="F47" s="140" t="n"/>
    </row>
    <row r="48">
      <c r="A48" s="137" t="n"/>
      <c r="B48" s="141" t="inlineStr">
        <is>
          <t>BILL NO. 1</t>
        </is>
      </c>
      <c r="C48" s="139" t="n"/>
      <c r="D48" s="137" t="n"/>
      <c r="E48" s="140" t="n"/>
      <c r="F48" s="142" t="n"/>
    </row>
    <row r="49">
      <c r="A49" s="137" t="n"/>
      <c r="B49" s="143" t="inlineStr">
        <is>
          <t>GENERAL ITEMS (PRELIMINARIES)</t>
        </is>
      </c>
      <c r="C49" s="139" t="n"/>
      <c r="D49" s="137" t="n"/>
      <c r="E49" s="140" t="n"/>
      <c r="F49" s="140" t="n"/>
    </row>
    <row r="50" ht="16.2" customHeight="1" thickBot="1">
      <c r="A50" s="144" t="n"/>
      <c r="B50" s="145" t="inlineStr">
        <is>
          <t>Carried to General Summay</t>
        </is>
      </c>
      <c r="C50" s="146" t="n"/>
      <c r="D50" s="144" t="n"/>
      <c r="E50" s="147" t="n"/>
      <c r="F50" s="147" t="n"/>
    </row>
    <row r="51" ht="16.2" customHeight="1" thickTop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B196"/>
  <sheetViews>
    <sheetView topLeftCell="A229" zoomScale="85" zoomScaleNormal="85" workbookViewId="0">
      <selection activeCell="F28" sqref="F28"/>
    </sheetView>
  </sheetViews>
  <sheetFormatPr baseColWidth="8" defaultColWidth="9.09765625" defaultRowHeight="13.8"/>
  <cols>
    <col width="6" bestFit="1" customWidth="1" style="4" min="1" max="1"/>
    <col width="52" bestFit="1" customWidth="1" style="4" min="2" max="2"/>
    <col width="11" customWidth="1" style="4" min="3" max="4"/>
    <col width="13" customWidth="1" min="4" max="4"/>
    <col width="7" customWidth="1" style="4" min="5" max="5"/>
    <col width="8" bestFit="1" customWidth="1" style="4" min="6" max="6"/>
    <col width="11" bestFit="1" customWidth="1" style="4" min="7" max="8"/>
    <col width="16" customWidth="1" min="8" max="8"/>
    <col width="60" customWidth="1" style="4" min="9" max="16384"/>
  </cols>
  <sheetData>
    <row r="1" ht="17.25" customHeight="1" thickBot="1" thickTop="1">
      <c r="A1" s="7" t="inlineStr">
        <is>
          <t>Item</t>
        </is>
      </c>
      <c r="B1" s="7" t="inlineStr">
        <is>
          <t>Description</t>
        </is>
      </c>
      <c r="C1" s="6" t="inlineStr">
        <is>
          <t>Qty</t>
        </is>
      </c>
      <c r="D1" s="154" t="inlineStr">
        <is>
          <t>Verified Qty</t>
        </is>
      </c>
      <c r="E1" s="7" t="inlineStr">
        <is>
          <t>Unit</t>
        </is>
      </c>
      <c r="F1" s="154" t="inlineStr">
        <is>
          <t>Verified Unit</t>
        </is>
      </c>
      <c r="G1" s="155" t="inlineStr">
        <is>
          <t>Rate</t>
        </is>
      </c>
      <c r="H1" s="156" t="inlineStr">
        <is>
          <t>Amount</t>
        </is>
      </c>
      <c r="I1" s="157" t="inlineStr">
        <is>
          <t>Verification remarks</t>
        </is>
      </c>
    </row>
    <row r="2" ht="32.25" customHeight="1" thickTop="1">
      <c r="A2" s="3" t="n"/>
      <c r="B2" s="1" t="inlineStr">
        <is>
          <t>PROPOSED KANESHIE BLOCK N REDEVELOPMENT</t>
        </is>
      </c>
      <c r="C2" s="2" t="n"/>
      <c r="D2" s="2" t="n"/>
      <c r="E2" s="3" t="n"/>
      <c r="F2" s="2" t="n"/>
      <c r="G2" s="158" t="n"/>
      <c r="H2" s="158" t="n"/>
    </row>
    <row r="3" ht="15.75" customHeight="1">
      <c r="A3" s="11" t="n"/>
      <c r="B3" s="10" t="inlineStr">
        <is>
          <t>SUBSTRUCTURE</t>
        </is>
      </c>
      <c r="C3" s="12" t="n"/>
      <c r="D3" s="12" t="n"/>
      <c r="E3" s="11" t="n"/>
      <c r="F3" s="12" t="n"/>
      <c r="G3" s="159" t="n"/>
      <c r="H3" s="160" t="n"/>
    </row>
    <row r="4" ht="15.75" customHeight="1">
      <c r="A4" s="11" t="n"/>
      <c r="B4" s="10" t="inlineStr">
        <is>
          <t>D GROUNDWORK (D20 EXCAVATION)</t>
        </is>
      </c>
      <c r="C4" s="12" t="n"/>
      <c r="D4" s="12" t="n"/>
      <c r="E4" s="11" t="n"/>
      <c r="F4" s="12" t="n"/>
      <c r="G4" s="161" t="n"/>
      <c r="H4" s="160" t="n"/>
    </row>
    <row r="5" ht="15.75" customHeight="1">
      <c r="A5" s="11" t="n"/>
      <c r="B5" s="10" t="n"/>
      <c r="C5" s="12" t="n"/>
      <c r="D5" s="12" t="n"/>
      <c r="E5" s="11" t="n"/>
      <c r="F5" s="12" t="n"/>
      <c r="G5" s="161" t="n"/>
      <c r="H5" s="160" t="n"/>
    </row>
    <row r="6" ht="15.75" customHeight="1">
      <c r="A6" s="11" t="n"/>
      <c r="B6" s="15" t="inlineStr">
        <is>
          <t>Site Preparation</t>
        </is>
      </c>
      <c r="C6" s="12" t="n"/>
      <c r="D6" s="12" t="n"/>
      <c r="E6" s="11" t="n"/>
      <c r="F6" s="12" t="n"/>
      <c r="G6" s="159" t="n"/>
      <c r="H6" s="160" t="n"/>
    </row>
    <row r="7" ht="15.75" customHeight="1">
      <c r="A7" s="11" t="n"/>
      <c r="B7" s="10" t="n"/>
      <c r="C7" s="12" t="n"/>
      <c r="D7" s="12" t="n"/>
      <c r="E7" s="11" t="n"/>
      <c r="F7" s="12" t="n"/>
      <c r="G7" s="159" t="n"/>
      <c r="H7" s="160" t="n"/>
    </row>
    <row r="8" ht="31.5" customHeight="1">
      <c r="A8" s="11" t="inlineStr">
        <is>
          <t>A</t>
        </is>
      </c>
      <c r="B8" s="8" t="inlineStr">
        <is>
          <t>Clear site of all vegetation, grub up their roots and dispose-off</t>
        </is>
      </c>
      <c r="C8" s="12" t="n">
        <v>2369</v>
      </c>
      <c r="D8" s="162">
        <f>'Verification Take-off'!E6</f>
        <v>2299.0095</v>
      </c>
      <c r="E8" s="11" t="inlineStr">
        <is>
          <t>m2</t>
        </is>
      </c>
      <c r="F8" s="163" t="inlineStr">
        <is>
          <t>m2</t>
        </is>
      </c>
      <c r="G8" s="161" t="n"/>
      <c r="H8" s="164">
        <f>G8*D8</f>
        <v>0.0</v>
      </c>
      <c r="I8" s="165" t="inlineStr">
        <is>
          <t>Plot + Parking-22 forecourt</t>
        </is>
      </c>
    </row>
    <row r="9" ht="15.75" customHeight="1">
      <c r="A9" s="11" t="n"/>
      <c r="B9" s="8" t="n"/>
      <c r="C9" s="12" t="n"/>
      <c r="D9" s="12" t="n"/>
      <c r="E9" s="11" t="n"/>
      <c r="F9" s="14" t="n"/>
      <c r="G9" s="161" t="n"/>
      <c r="H9" s="164" t="n"/>
    </row>
    <row r="10" ht="47.25" customHeight="1">
      <c r="A10" s="11" t="inlineStr">
        <is>
          <t>B</t>
        </is>
      </c>
      <c r="B10" s="8" t="inlineStr">
        <is>
          <t>Excavate oversite to remove vegetable soil average 150mm deep and deposit on site for re-use average 50m from excavation.</t>
        </is>
      </c>
      <c r="C10" s="12" t="n">
        <v>1477</v>
      </c>
      <c r="D10" s="162">
        <f>'Verification Take-off'!E7</f>
        <v>1800.0</v>
      </c>
      <c r="E10" s="11" t="inlineStr">
        <is>
          <t>m2</t>
        </is>
      </c>
      <c r="F10" s="163" t="inlineStr">
        <is>
          <t>m2</t>
        </is>
      </c>
      <c r="G10" s="161" t="n"/>
      <c r="H10" s="164">
        <f>G10*D10</f>
        <v>0.0</v>
      </c>
      <c r="I10" s="165" t="inlineStr">
        <is>
          <t>BOQ 1,477 m2 = raft only; excavation footprint 45 x 40 m</t>
        </is>
      </c>
    </row>
    <row r="11" ht="15.75" customHeight="1">
      <c r="A11" s="11" t="n"/>
      <c r="B11" s="8" t="n"/>
      <c r="C11" s="12" t="n"/>
      <c r="D11" s="12" t="n"/>
      <c r="E11" s="11" t="n"/>
      <c r="F11" s="14" t="n"/>
      <c r="G11" s="161" t="n"/>
      <c r="H11" s="164" t="n"/>
    </row>
    <row r="12" ht="31.5" customHeight="1">
      <c r="A12" s="11" t="inlineStr">
        <is>
          <t>C</t>
        </is>
      </c>
      <c r="B12" s="8" t="inlineStr">
        <is>
          <t xml:space="preserve">Excavate raft foundation to reduce levels maximum depth 4.00m </t>
        </is>
      </c>
      <c r="C12" s="12">
        <f>C10*4.1</f>
        <v>6055.7</v>
      </c>
      <c r="D12" s="162">
        <f>'Verification Take-off'!E8</f>
        <v>7200.0</v>
      </c>
      <c r="E12" s="11" t="inlineStr">
        <is>
          <t>m3</t>
        </is>
      </c>
      <c r="F12" s="163" t="inlineStr">
        <is>
          <t>m3</t>
        </is>
      </c>
      <c r="G12" s="161" t="n"/>
      <c r="H12" s="164">
        <f>G12*D12</f>
        <v>0.0</v>
      </c>
      <c r="I12" s="165" t="inlineStr"/>
    </row>
    <row r="13" ht="15.75" customHeight="1">
      <c r="A13" s="11" t="n"/>
      <c r="B13" s="8" t="n"/>
      <c r="C13" s="12" t="n"/>
      <c r="D13" s="12" t="n"/>
      <c r="E13" s="11" t="n"/>
      <c r="F13" s="14" t="n"/>
      <c r="G13" s="161" t="n"/>
      <c r="H13" s="164" t="n"/>
    </row>
    <row r="14" ht="47.25" customHeight="1">
      <c r="A14" s="11" t="inlineStr">
        <is>
          <t>D</t>
        </is>
      </c>
      <c r="B14" s="166" t="inlineStr">
        <is>
          <t>Fill to make up levels thickness 1300mm with waterproof external membrane with high strength biaxial geogridover geotextile 300mm thick 
[PER DRAWINGS: fill over raft is c.1.0m thick (raft top -1.000 to underside of hardcore -0.000)]</t>
        </is>
      </c>
      <c r="C14" s="12">
        <f>C10*1.1</f>
        <v>1624.7</v>
      </c>
      <c r="D14" s="162">
        <f>'Verification Take-off'!E9</f>
        <v>1445.34475</v>
      </c>
      <c r="E14" s="11" t="inlineStr">
        <is>
          <t>m3</t>
        </is>
      </c>
      <c r="F14" s="163" t="inlineStr">
        <is>
          <t>m3</t>
        </is>
      </c>
      <c r="G14" s="161" t="n"/>
      <c r="H14" s="164">
        <f>G14*D14</f>
        <v>0.0</v>
      </c>
      <c r="I14" s="165" t="inlineStr">
        <is>
          <t>BOQ uses 1.1 x oversite area</t>
        </is>
      </c>
    </row>
    <row r="15" ht="15.75" customHeight="1">
      <c r="A15" s="11" t="n"/>
      <c r="B15" s="8" t="n"/>
      <c r="C15" s="12" t="n"/>
      <c r="D15" s="12" t="n"/>
      <c r="E15" s="11" t="n"/>
      <c r="F15" s="14" t="n"/>
      <c r="G15" s="161" t="n"/>
      <c r="H15" s="164" t="n"/>
    </row>
    <row r="16" ht="47.25" customHeight="1">
      <c r="A16" s="11" t="inlineStr">
        <is>
          <t>E</t>
        </is>
      </c>
      <c r="B16" s="166" t="inlineStr">
        <is>
          <t>Fill to make up levels thickness 1300mm with 300mm thick compacted crushed rock layers between layers until formation level and well compacted
[PER DRAWINGS: crushed rock/geogrid layers are c.1,700 thick between raft underside (-2.300) and formation (-4.000)]</t>
        </is>
      </c>
      <c r="C16" s="12">
        <f>C10*1.3</f>
        <v>1920.1000000000001</v>
      </c>
      <c r="D16" s="162">
        <f>'Verification Take-off'!E10</f>
        <v>3060.0</v>
      </c>
      <c r="E16" s="11" t="inlineStr">
        <is>
          <t>m3</t>
        </is>
      </c>
      <c r="F16" s="163" t="inlineStr">
        <is>
          <t>m3</t>
        </is>
      </c>
      <c r="G16" s="161" t="n"/>
      <c r="H16" s="164">
        <f>G16*D16</f>
        <v>0.0</v>
      </c>
      <c r="I16" s="165" t="inlineStr">
        <is>
          <t>RFI: Section A-A dims show 2,700</t>
        </is>
      </c>
    </row>
    <row r="17" ht="15.75" customHeight="1">
      <c r="A17" s="11" t="n"/>
      <c r="B17" s="8" t="n"/>
      <c r="C17" s="12" t="n"/>
      <c r="D17" s="12" t="n"/>
      <c r="E17" s="11" t="n"/>
      <c r="F17" s="14" t="n"/>
      <c r="G17" s="14" t="n"/>
      <c r="H17" s="164" t="n"/>
    </row>
    <row r="18" ht="15.75" customHeight="1">
      <c r="A18" s="11" t="n"/>
      <c r="B18" s="8" t="inlineStr">
        <is>
          <t>Backfill and compact selected material around</t>
        </is>
      </c>
      <c r="C18" s="12" t="n"/>
      <c r="D18" s="12" t="n"/>
      <c r="E18" s="11" t="n"/>
      <c r="F18" s="14" t="n"/>
      <c r="G18" s="14" t="n"/>
      <c r="H18" s="164" t="n"/>
    </row>
    <row r="19" ht="15.75" customHeight="1">
      <c r="A19" s="11" t="inlineStr">
        <is>
          <t>F</t>
        </is>
      </c>
      <c r="B19" s="8" t="inlineStr">
        <is>
          <t>foundations</t>
        </is>
      </c>
      <c r="C19" s="12" t="n">
        <v>1255</v>
      </c>
      <c r="D19" s="162">
        <f>'Verification Take-off'!E11</f>
        <v>745.1999999999999</v>
      </c>
      <c r="E19" s="11" t="inlineStr">
        <is>
          <t>m3</t>
        </is>
      </c>
      <c r="F19" s="163" t="inlineStr">
        <is>
          <t>m3</t>
        </is>
      </c>
      <c r="G19" s="14" t="n"/>
      <c r="H19" s="164">
        <f>G19*D19</f>
        <v>0.0</v>
      </c>
      <c r="I19" s="165" t="inlineStr"/>
    </row>
    <row r="20" ht="15.75" customHeight="1">
      <c r="A20" s="11" t="n"/>
      <c r="B20" s="8" t="n"/>
      <c r="C20" s="12" t="n"/>
      <c r="D20" s="12" t="n"/>
      <c r="E20" s="11" t="n"/>
      <c r="F20" s="14" t="n"/>
      <c r="G20" s="14" t="n"/>
      <c r="H20" s="164" t="n"/>
    </row>
    <row r="21" ht="15.75" customHeight="1">
      <c r="A21" s="11" t="n"/>
      <c r="B21" s="8" t="inlineStr">
        <is>
          <t>Load up surplus excavated material</t>
        </is>
      </c>
      <c r="C21" s="12" t="n"/>
      <c r="D21" s="12" t="n"/>
      <c r="E21" s="11" t="n"/>
      <c r="F21" s="14" t="n"/>
      <c r="G21" s="14" t="n"/>
      <c r="H21" s="164" t="n"/>
    </row>
    <row r="22" ht="15.75" customHeight="1">
      <c r="A22" s="11" t="inlineStr">
        <is>
          <t>G</t>
        </is>
      </c>
      <c r="B22" s="8" t="inlineStr">
        <is>
          <t>and remove from site</t>
        </is>
      </c>
      <c r="C22" s="12">
        <f>C12-C16-C48-C52-C37-C34</f>
        <v>3799.1999999999994</v>
      </c>
      <c r="D22" s="162">
        <f>'Verification Take-off'!E12</f>
        <v>6454.8</v>
      </c>
      <c r="E22" s="11" t="inlineStr">
        <is>
          <t>m3</t>
        </is>
      </c>
      <c r="F22" s="163" t="inlineStr">
        <is>
          <t>m3</t>
        </is>
      </c>
      <c r="G22" s="14" t="n"/>
      <c r="H22" s="164">
        <f>G22*D22</f>
        <v>0.0</v>
      </c>
      <c r="I22" s="165" t="inlineStr"/>
    </row>
    <row r="23" ht="15.75" customHeight="1">
      <c r="A23" s="11" t="n"/>
      <c r="B23" s="8" t="n"/>
      <c r="C23" s="12" t="n"/>
      <c r="D23" s="12" t="n"/>
      <c r="E23" s="11" t="n"/>
      <c r="F23" s="14" t="n"/>
      <c r="G23" s="14" t="n"/>
      <c r="H23" s="164" t="n"/>
    </row>
    <row r="24" ht="15.75" customHeight="1">
      <c r="A24" s="11" t="n"/>
      <c r="B24" s="10" t="inlineStr">
        <is>
          <t>Hardcore Filling</t>
        </is>
      </c>
      <c r="C24" s="12" t="n"/>
      <c r="D24" s="12" t="n"/>
      <c r="E24" s="11" t="n"/>
      <c r="F24" s="14" t="n"/>
      <c r="G24" s="14" t="n"/>
      <c r="H24" s="164" t="n"/>
    </row>
    <row r="25" ht="15.75" customHeight="1">
      <c r="A25" s="11" t="inlineStr">
        <is>
          <t>H</t>
        </is>
      </c>
      <c r="B25" s="8" t="inlineStr">
        <is>
          <t>Approved imported granular material</t>
        </is>
      </c>
      <c r="C25" s="12" t="n"/>
      <c r="D25" s="12" t="n"/>
      <c r="E25" s="11" t="n"/>
      <c r="F25" s="14" t="n"/>
      <c r="G25" s="14" t="n"/>
      <c r="H25" s="164" t="n"/>
    </row>
    <row r="26" ht="15.75" customHeight="1">
      <c r="A26" s="11" t="n"/>
      <c r="B26" s="8" t="inlineStr">
        <is>
          <t xml:space="preserve">Filling to make up levels: depositing and </t>
        </is>
      </c>
      <c r="C26" s="12" t="n"/>
      <c r="D26" s="12" t="n"/>
      <c r="E26" s="11" t="n"/>
      <c r="F26" s="14" t="n"/>
      <c r="G26" s="14" t="n"/>
      <c r="H26" s="164" t="n"/>
    </row>
    <row r="27" ht="15.75" customHeight="1">
      <c r="A27" s="11" t="n"/>
      <c r="B27" s="8" t="inlineStr">
        <is>
          <t>compacting in layers 150mm maximum</t>
        </is>
      </c>
      <c r="C27" s="12" t="n"/>
      <c r="D27" s="12" t="n"/>
      <c r="E27" s="11" t="n"/>
      <c r="F27" s="14" t="n"/>
      <c r="G27" s="14" t="n"/>
      <c r="H27" s="164" t="n"/>
    </row>
    <row r="28" ht="15.75" customHeight="1">
      <c r="A28" s="11" t="n"/>
      <c r="B28" s="8" t="inlineStr">
        <is>
          <t>thickness</t>
        </is>
      </c>
      <c r="C28" s="12">
        <f>C10*0.15</f>
        <v>221.54999999999998</v>
      </c>
      <c r="D28" s="162">
        <f>'Verification Take-off'!E13</f>
        <v>221.4</v>
      </c>
      <c r="E28" s="11" t="inlineStr">
        <is>
          <t>m3</t>
        </is>
      </c>
      <c r="F28" s="163" t="inlineStr">
        <is>
          <t>m3</t>
        </is>
      </c>
      <c r="G28" s="14" t="n"/>
      <c r="H28" s="164">
        <f>G28*D28</f>
        <v>0.0</v>
      </c>
      <c r="I28" s="165" t="inlineStr"/>
    </row>
    <row r="29" ht="15.75" customHeight="1">
      <c r="A29" s="11" t="n"/>
      <c r="B29" s="8" t="n"/>
      <c r="C29" s="12" t="n"/>
      <c r="D29" s="12" t="n"/>
      <c r="E29" s="11" t="n"/>
      <c r="F29" s="14" t="n"/>
      <c r="G29" s="161" t="n"/>
      <c r="H29" s="164" t="n"/>
    </row>
    <row r="30" ht="15.75" customHeight="1">
      <c r="A30" s="11" t="n"/>
      <c r="B30" s="9" t="inlineStr">
        <is>
          <t>E10 IN SITU CONCRETE</t>
        </is>
      </c>
      <c r="C30" s="12" t="n"/>
      <c r="D30" s="12" t="n"/>
      <c r="E30" s="11" t="n"/>
      <c r="F30" s="14" t="n"/>
      <c r="G30" s="161" t="n"/>
      <c r="H30" s="164" t="n"/>
    </row>
    <row r="31" ht="15.75" customHeight="1">
      <c r="A31" s="11" t="n"/>
      <c r="B31" s="10" t="inlineStr">
        <is>
          <t>Concreteworks</t>
        </is>
      </c>
      <c r="C31" s="12" t="n"/>
      <c r="D31" s="12" t="n"/>
      <c r="E31" s="11" t="n"/>
      <c r="F31" s="14" t="n"/>
      <c r="G31" s="161" t="n"/>
      <c r="H31" s="164" t="n"/>
    </row>
    <row r="32" ht="15.75" customHeight="1">
      <c r="A32" s="11" t="n"/>
      <c r="B32" s="15" t="inlineStr">
        <is>
          <t>Plain in-situ concrete(1:4:8-38mmAggre)</t>
        </is>
      </c>
      <c r="C32" s="12" t="n"/>
      <c r="D32" s="12" t="n"/>
      <c r="E32" s="11" t="n"/>
      <c r="F32" s="14" t="n"/>
      <c r="G32" s="161" t="n"/>
      <c r="H32" s="164" t="n"/>
    </row>
    <row r="33" ht="15.75" customHeight="1">
      <c r="A33" s="11" t="n"/>
      <c r="B33" s="15" t="inlineStr">
        <is>
          <t>as described in:</t>
        </is>
      </c>
      <c r="C33" s="12" t="n"/>
      <c r="D33" s="12" t="n"/>
      <c r="E33" s="11" t="n"/>
      <c r="F33" s="14" t="n"/>
      <c r="G33" s="161" t="n"/>
      <c r="H33" s="164" t="n"/>
    </row>
    <row r="34" ht="15.75" customHeight="1">
      <c r="A34" s="11" t="inlineStr">
        <is>
          <t>J</t>
        </is>
      </c>
      <c r="B34" s="166" t="inlineStr">
        <is>
          <t>Blinding 
[PER DRAWINGS: blinding minimum 100mm thick (General Notes item 1.0/3)]</t>
        </is>
      </c>
      <c r="C34" s="12">
        <f>C10*0.05</f>
        <v>73.85000000000001</v>
      </c>
      <c r="D34" s="162">
        <f>'Verification Take-off'!E14</f>
        <v>147.6</v>
      </c>
      <c r="E34" s="11" t="inlineStr">
        <is>
          <t>m3</t>
        </is>
      </c>
      <c r="F34" s="163" t="inlineStr">
        <is>
          <t>m3</t>
        </is>
      </c>
      <c r="G34" s="161" t="n"/>
      <c r="H34" s="164">
        <f>G34*D34</f>
        <v>0.0</v>
      </c>
      <c r="I34" s="165" t="inlineStr"/>
    </row>
    <row r="35" ht="15.75" customHeight="1">
      <c r="A35" s="11" t="n"/>
      <c r="B35" s="8" t="n"/>
      <c r="C35" s="12" t="n"/>
      <c r="D35" s="12" t="n"/>
      <c r="E35" s="11" t="n"/>
      <c r="F35" s="14" t="n"/>
      <c r="G35" s="161" t="n"/>
      <c r="H35" s="164" t="n"/>
    </row>
    <row r="36" ht="15.75" customHeight="1">
      <c r="A36" s="11" t="n"/>
      <c r="B36" s="8" t="n"/>
      <c r="C36" s="12" t="n"/>
      <c r="D36" s="12" t="n"/>
      <c r="E36" s="11" t="n"/>
      <c r="F36" s="14" t="n"/>
      <c r="G36" s="161" t="n"/>
      <c r="H36" s="164" t="n"/>
    </row>
    <row r="37" ht="15.75" customHeight="1">
      <c r="A37" s="11" t="inlineStr">
        <is>
          <t>K</t>
        </is>
      </c>
      <c r="B37" s="8" t="inlineStr">
        <is>
          <t>150mm thick  Bed</t>
        </is>
      </c>
      <c r="C37" s="12">
        <f>0.15*C10</f>
        <v>221.54999999999998</v>
      </c>
      <c r="D37" s="162">
        <f>'Verification Take-off'!E15</f>
        <v>221.4</v>
      </c>
      <c r="E37" s="11" t="inlineStr">
        <is>
          <t>m3</t>
        </is>
      </c>
      <c r="F37" s="163" t="inlineStr">
        <is>
          <t>m3</t>
        </is>
      </c>
      <c r="G37" s="161" t="n"/>
      <c r="H37" s="164">
        <f>G37*D37</f>
        <v>0.0</v>
      </c>
      <c r="I37" s="165" t="inlineStr">
        <is>
          <t>No GF slab detail issued - RFI</t>
        </is>
      </c>
    </row>
    <row r="38" ht="15.75" customHeight="1">
      <c r="A38" s="11" t="n"/>
      <c r="B38" s="8" t="n"/>
      <c r="C38" s="12" t="n"/>
      <c r="D38" s="12" t="n"/>
      <c r="E38" s="11" t="n"/>
      <c r="F38" s="14" t="n"/>
      <c r="G38" s="161" t="n"/>
      <c r="H38" s="164" t="n"/>
    </row>
    <row r="39" ht="15.75" customHeight="1">
      <c r="A39" s="11" t="n"/>
      <c r="B39" s="8" t="n"/>
      <c r="C39" s="12" t="n"/>
      <c r="D39" s="12" t="n"/>
      <c r="E39" s="11" t="n"/>
      <c r="F39" s="14" t="n"/>
      <c r="G39" s="161" t="n"/>
      <c r="H39" s="164" t="n"/>
    </row>
    <row r="40" ht="15.75" customHeight="1">
      <c r="A40" s="11" t="n"/>
      <c r="B40" s="8" t="n"/>
      <c r="C40" s="12" t="n"/>
      <c r="D40" s="12" t="n"/>
      <c r="E40" s="11" t="n"/>
      <c r="F40" s="14" t="n"/>
      <c r="G40" s="161" t="n"/>
      <c r="H40" s="164" t="n"/>
    </row>
    <row r="41" ht="16.5" customHeight="1" thickBot="1">
      <c r="A41" s="11" t="n"/>
      <c r="B41" s="8" t="n"/>
      <c r="C41" s="12" t="n"/>
      <c r="D41" s="12" t="n"/>
      <c r="E41" s="11" t="n"/>
      <c r="F41" s="14" t="n"/>
      <c r="G41" s="161" t="n"/>
      <c r="H41" s="164" t="n"/>
    </row>
    <row r="42" ht="17.25" customHeight="1" thickBot="1" thickTop="1">
      <c r="A42" s="20" t="n"/>
      <c r="B42" s="21" t="inlineStr">
        <is>
          <t>TO COLLECTION</t>
        </is>
      </c>
      <c r="C42" s="6" t="n"/>
      <c r="D42" s="6" t="n"/>
      <c r="E42" s="7" t="n"/>
      <c r="F42" s="22" t="n"/>
      <c r="G42" s="167" t="n"/>
      <c r="H42" s="168">
        <f>SUM(H2:H35)</f>
        <v>0.0</v>
      </c>
    </row>
    <row r="43" ht="17.25" customHeight="1" thickBot="1" thickTop="1">
      <c r="A43" s="24" t="n"/>
      <c r="B43" s="25" t="n"/>
      <c r="C43" s="26" t="n"/>
      <c r="D43" s="26" t="n"/>
      <c r="E43" s="27" t="n"/>
      <c r="F43" s="28" t="n"/>
      <c r="G43" s="169" t="n"/>
      <c r="H43" s="170" t="n"/>
    </row>
    <row r="44" ht="17.25" customHeight="1" thickBot="1" thickTop="1">
      <c r="A44" s="7" t="inlineStr">
        <is>
          <t>Item</t>
        </is>
      </c>
      <c r="B44" s="7" t="inlineStr">
        <is>
          <t>Description</t>
        </is>
      </c>
      <c r="C44" s="6" t="inlineStr">
        <is>
          <t>Qty</t>
        </is>
      </c>
      <c r="D44" s="154" t="inlineStr">
        <is>
          <t>Verified Qty</t>
        </is>
      </c>
      <c r="E44" s="7" t="inlineStr">
        <is>
          <t>Unit</t>
        </is>
      </c>
      <c r="F44" s="154" t="inlineStr">
        <is>
          <t>Verified Unit</t>
        </is>
      </c>
      <c r="G44" s="155" t="inlineStr">
        <is>
          <t>Rate</t>
        </is>
      </c>
      <c r="H44" s="156" t="inlineStr">
        <is>
          <t>Amount</t>
        </is>
      </c>
      <c r="I44" s="157" t="inlineStr">
        <is>
          <t>Verification remarks</t>
        </is>
      </c>
    </row>
    <row r="45" ht="16.5" customHeight="1" thickTop="1">
      <c r="A45" s="11" t="n"/>
      <c r="B45" s="9" t="inlineStr">
        <is>
          <t>E10 IN SITU CONCRETE</t>
        </is>
      </c>
      <c r="C45" s="12" t="n"/>
      <c r="D45" s="12" t="n"/>
      <c r="E45" s="11" t="n"/>
      <c r="F45" s="14" t="n"/>
      <c r="G45" s="171" t="n"/>
      <c r="H45" s="164" t="n"/>
    </row>
    <row r="46" ht="15.75" customHeight="1">
      <c r="A46" s="11" t="n"/>
      <c r="B46" s="15" t="inlineStr">
        <is>
          <t>Vibrated in situ concrete C40</t>
        </is>
      </c>
      <c r="C46" s="12" t="n"/>
      <c r="D46" s="12" t="n"/>
      <c r="E46" s="11" t="n"/>
      <c r="F46" s="14" t="n"/>
      <c r="G46" s="161" t="n"/>
      <c r="H46" s="164" t="n"/>
    </row>
    <row r="47" ht="15.75" customHeight="1">
      <c r="A47" s="11" t="n"/>
      <c r="B47" s="15" t="inlineStr">
        <is>
          <t>as described in:</t>
        </is>
      </c>
      <c r="C47" s="12" t="n"/>
      <c r="D47" s="12" t="n"/>
      <c r="E47" s="11" t="n"/>
      <c r="F47" s="14" t="n"/>
      <c r="G47" s="161" t="n"/>
      <c r="H47" s="164" t="n"/>
    </row>
    <row r="48" ht="15.75" customHeight="1">
      <c r="A48" s="11" t="inlineStr">
        <is>
          <t>A</t>
        </is>
      </c>
      <c r="B48" s="8" t="inlineStr">
        <is>
          <t>Concrete walls</t>
        </is>
      </c>
      <c r="C48" s="172" t="n">
        <v>34</v>
      </c>
      <c r="D48" s="173">
        <f>'Verification Take-off'!E17</f>
        <v>22.569625</v>
      </c>
      <c r="E48" s="11" t="inlineStr">
        <is>
          <t>m3</t>
        </is>
      </c>
      <c r="F48" s="163" t="inlineStr">
        <is>
          <t>m3</t>
        </is>
      </c>
      <c r="G48" s="161" t="n"/>
      <c r="H48" s="164">
        <f>G48*D48</f>
        <v>0.0</v>
      </c>
      <c r="I48" s="165" t="inlineStr"/>
    </row>
    <row r="49" ht="15.75" customHeight="1">
      <c r="A49" s="11" t="n"/>
      <c r="B49" s="8" t="n"/>
      <c r="C49" s="172" t="n"/>
      <c r="D49" s="174" t="n"/>
      <c r="E49" s="11" t="n"/>
      <c r="F49" s="14" t="n"/>
      <c r="G49" s="161" t="n"/>
      <c r="H49" s="164" t="n"/>
    </row>
    <row r="50" ht="15.75" customHeight="1">
      <c r="A50" s="11" t="inlineStr">
        <is>
          <t>B</t>
        </is>
      </c>
      <c r="B50" s="8" t="inlineStr">
        <is>
          <t>Concrete in raft</t>
        </is>
      </c>
      <c r="C50" s="172">
        <f>C10*1.3</f>
        <v>1920.1000000000001</v>
      </c>
      <c r="D50" s="173">
        <f>'Verification Take-off'!E18</f>
        <v>1918.8</v>
      </c>
      <c r="E50" s="11" t="inlineStr">
        <is>
          <t>m3</t>
        </is>
      </c>
      <c r="F50" s="163" t="inlineStr">
        <is>
          <t>m3</t>
        </is>
      </c>
      <c r="G50" s="161" t="n"/>
      <c r="H50" s="164">
        <f>G50*D50</f>
        <v>0.0</v>
      </c>
      <c r="I50" s="165" t="inlineStr"/>
    </row>
    <row r="51" ht="15.75" customHeight="1">
      <c r="A51" s="11" t="n"/>
      <c r="B51" s="8" t="n"/>
      <c r="C51" s="172" t="n"/>
      <c r="D51" s="174" t="n"/>
      <c r="E51" s="11" t="n"/>
      <c r="F51" s="14" t="n"/>
      <c r="G51" s="161" t="n"/>
      <c r="H51" s="164" t="n"/>
    </row>
    <row r="52" ht="15.75" customHeight="1">
      <c r="A52" s="11" t="inlineStr">
        <is>
          <t>C</t>
        </is>
      </c>
      <c r="B52" s="8" t="inlineStr">
        <is>
          <t>Concrete in columns</t>
        </is>
      </c>
      <c r="C52" s="172" t="n">
        <v>7</v>
      </c>
      <c r="D52" s="173">
        <f>'Verification Take-off'!E19</f>
        <v>17.281875</v>
      </c>
      <c r="E52" s="11" t="inlineStr">
        <is>
          <t>m3</t>
        </is>
      </c>
      <c r="F52" s="163" t="inlineStr">
        <is>
          <t>m3</t>
        </is>
      </c>
      <c r="G52" s="161" t="n"/>
      <c r="H52" s="164">
        <f>G52*D52</f>
        <v>0.0</v>
      </c>
      <c r="I52" s="165" t="inlineStr">
        <is>
          <t>BOQ 7 m3 too low: 35 columns x 1.3m</t>
        </is>
      </c>
    </row>
    <row r="53" ht="15.75" customHeight="1">
      <c r="A53" s="11" t="n"/>
      <c r="B53" s="8" t="n"/>
      <c r="C53" s="32" t="n"/>
      <c r="D53" s="32" t="n"/>
      <c r="E53" s="11" t="n"/>
      <c r="F53" s="14" t="n"/>
      <c r="G53" s="161" t="n"/>
      <c r="H53" s="164" t="n"/>
    </row>
    <row r="54" ht="15.75" customHeight="1">
      <c r="A54" s="11" t="n"/>
      <c r="B54" s="9" t="inlineStr">
        <is>
          <t>E30 REINFORCEMENT</t>
        </is>
      </c>
      <c r="C54" s="12" t="n"/>
      <c r="D54" s="12" t="n"/>
      <c r="E54" s="11" t="n"/>
      <c r="F54" s="14" t="n"/>
      <c r="G54" s="161" t="n"/>
      <c r="H54" s="164" t="n"/>
    </row>
    <row r="55" ht="15.75" customHeight="1">
      <c r="A55" s="11" t="n"/>
      <c r="B55" s="15" t="inlineStr">
        <is>
          <t>High Tensile yield round bar reinforcement (standard)</t>
        </is>
      </c>
      <c r="C55" s="12" t="n"/>
      <c r="D55" s="12" t="n"/>
      <c r="E55" s="11" t="n"/>
      <c r="F55" s="14" t="n"/>
      <c r="G55" s="161" t="n"/>
      <c r="H55" s="164" t="n"/>
    </row>
    <row r="56" ht="15.75" customHeight="1">
      <c r="A56" s="11" t="inlineStr">
        <is>
          <t>D</t>
        </is>
      </c>
      <c r="B56" s="40" t="inlineStr">
        <is>
          <t>20mm in raft</t>
        </is>
      </c>
      <c r="C56" s="12" t="n">
        <v>2.467</v>
      </c>
      <c r="D56" s="162">
        <f>'Verification Take-off'!E20</f>
        <v>2.466</v>
      </c>
      <c r="E56" s="11" t="inlineStr">
        <is>
          <t>t</t>
        </is>
      </c>
      <c r="F56" s="163" t="inlineStr">
        <is>
          <t>t</t>
        </is>
      </c>
      <c r="G56" s="161" t="n"/>
      <c r="H56" s="164">
        <f>G56*D56</f>
        <v>0.0</v>
      </c>
      <c r="I56" s="165" t="inlineStr"/>
    </row>
    <row r="57" ht="15.75" customHeight="1">
      <c r="A57" s="11" t="n"/>
      <c r="B57" s="15" t="n"/>
      <c r="C57" s="12" t="n"/>
      <c r="D57" s="12" t="n"/>
      <c r="E57" s="11" t="n"/>
      <c r="F57" s="14" t="n"/>
      <c r="G57" s="161" t="n"/>
      <c r="H57" s="164" t="n"/>
    </row>
    <row r="58" ht="15.75" customHeight="1">
      <c r="A58" s="11" t="inlineStr">
        <is>
          <t>E</t>
        </is>
      </c>
      <c r="B58" s="8" t="inlineStr">
        <is>
          <t>25mm diameter in raft</t>
        </is>
      </c>
      <c r="C58" s="12" t="n">
        <v>180</v>
      </c>
      <c r="D58" s="162">
        <f>'Verification Take-off'!E21</f>
        <v>184.672</v>
      </c>
      <c r="E58" s="11" t="inlineStr">
        <is>
          <t>t</t>
        </is>
      </c>
      <c r="F58" s="163" t="inlineStr">
        <is>
          <t>t</t>
        </is>
      </c>
      <c r="G58" s="161" t="n"/>
      <c r="H58" s="164">
        <f>G58*D58</f>
        <v>0.0</v>
      </c>
      <c r="I58" s="165" t="inlineStr"/>
    </row>
    <row r="59" ht="15.75" customHeight="1">
      <c r="A59" s="11" t="n"/>
      <c r="B59" s="8" t="n"/>
      <c r="C59" s="12" t="n"/>
      <c r="D59" s="12" t="n"/>
      <c r="E59" s="11" t="n"/>
      <c r="F59" s="14" t="n"/>
      <c r="G59" s="161" t="n"/>
      <c r="H59" s="164" t="n"/>
    </row>
    <row r="60" ht="15.75" customHeight="1">
      <c r="A60" s="11" t="inlineStr">
        <is>
          <t>F</t>
        </is>
      </c>
      <c r="B60" s="166" t="inlineStr">
        <is>
          <t>10mm diamter for concrete
[PER DRAWINGS: Y10 links to columns &amp; walls (raft to GF)]</t>
        </is>
      </c>
      <c r="C60" s="12" t="n">
        <v>2.574</v>
      </c>
      <c r="D60" s="162">
        <f>'Verification Take-off'!E22</f>
        <v>4.029</v>
      </c>
      <c r="E60" s="11" t="inlineStr">
        <is>
          <t>t</t>
        </is>
      </c>
      <c r="F60" s="163" t="inlineStr">
        <is>
          <t>t</t>
        </is>
      </c>
      <c r="G60" s="161" t="n"/>
      <c r="H60" s="164">
        <f>G60*D60</f>
        <v>0.0</v>
      </c>
      <c r="I60" s="165" t="inlineStr"/>
    </row>
    <row r="61" ht="15.75" customHeight="1">
      <c r="A61" s="11" t="n"/>
      <c r="B61" s="8" t="n"/>
      <c r="C61" s="12" t="n"/>
      <c r="D61" s="12" t="n"/>
      <c r="E61" s="11" t="n"/>
      <c r="F61" s="14" t="n"/>
      <c r="G61" s="161" t="n"/>
      <c r="H61" s="164" t="n"/>
    </row>
    <row r="62" ht="15.75" customHeight="1">
      <c r="A62" s="11" t="inlineStr">
        <is>
          <t>G</t>
        </is>
      </c>
      <c r="B62" s="166" t="inlineStr">
        <is>
          <t>12mm diamter for concrete
[PER DRAWINGS: Y12 to walls (raft to GF)]</t>
        </is>
      </c>
      <c r="C62" s="12" t="n">
        <v>1.566</v>
      </c>
      <c r="D62" s="162">
        <f>'Verification Take-off'!E23</f>
        <v>1.2530000000000001</v>
      </c>
      <c r="E62" s="11" t="inlineStr">
        <is>
          <t>t</t>
        </is>
      </c>
      <c r="F62" s="163" t="inlineStr">
        <is>
          <t>t</t>
        </is>
      </c>
      <c r="G62" s="161" t="n"/>
      <c r="H62" s="164">
        <f>G62*D62</f>
        <v>0.0</v>
      </c>
      <c r="I62" s="165" t="inlineStr"/>
    </row>
    <row r="63" ht="15.75" customHeight="1">
      <c r="A63" s="11" t="n"/>
      <c r="B63" s="15" t="n"/>
      <c r="C63" s="12" t="n"/>
      <c r="D63" s="12" t="n"/>
      <c r="E63" s="11" t="n"/>
      <c r="F63" s="14" t="n"/>
      <c r="G63" s="161" t="n"/>
      <c r="H63" s="164" t="n"/>
    </row>
    <row r="64" ht="15.75" customHeight="1">
      <c r="A64" s="11" t="inlineStr">
        <is>
          <t>H</t>
        </is>
      </c>
      <c r="B64" s="166" t="inlineStr">
        <is>
          <t>25mm diamter for concrete
[PER DRAWINGS: Y25 to columns &amp; walls (raft to GF)]</t>
        </is>
      </c>
      <c r="C64" s="12" t="n">
        <v>1.414</v>
      </c>
      <c r="D64" s="162">
        <f>'Verification Take-off'!E24</f>
        <v>21.305999999999997</v>
      </c>
      <c r="E64" s="11" t="inlineStr">
        <is>
          <t>t</t>
        </is>
      </c>
      <c r="F64" s="163" t="inlineStr">
        <is>
          <t>t</t>
        </is>
      </c>
      <c r="G64" s="161" t="n"/>
      <c r="H64" s="164">
        <f>G64*D64</f>
        <v>0.0</v>
      </c>
      <c r="I64" s="165" t="inlineStr"/>
    </row>
    <row r="65" ht="15.75" customHeight="1">
      <c r="A65" s="11" t="n"/>
      <c r="B65" s="15" t="n"/>
      <c r="C65" s="12" t="n"/>
      <c r="D65" s="12" t="n"/>
      <c r="E65" s="11" t="n"/>
      <c r="F65" s="14" t="n"/>
      <c r="G65" s="161" t="n"/>
      <c r="H65" s="164" t="n"/>
    </row>
    <row r="66" ht="15.75" customHeight="1">
      <c r="A66" s="11" t="n"/>
      <c r="B66" s="9" t="inlineStr">
        <is>
          <t>E20 FORMWORK</t>
        </is>
      </c>
      <c r="C66" s="14" t="n"/>
      <c r="D66" s="14" t="n"/>
      <c r="E66" s="11" t="n"/>
      <c r="F66" s="14" t="n"/>
      <c r="G66" s="161" t="n"/>
      <c r="H66" s="164" t="n"/>
    </row>
    <row r="67" ht="15.75" customHeight="1">
      <c r="A67" s="11" t="n"/>
      <c r="B67" s="8" t="inlineStr">
        <is>
          <t>Concrete Walls</t>
        </is>
      </c>
      <c r="C67" s="12" t="n">
        <v>137</v>
      </c>
      <c r="D67" s="162">
        <f>'Verification Take-off'!E26</f>
        <v>180.557</v>
      </c>
      <c r="E67" s="11" t="inlineStr">
        <is>
          <t>m2</t>
        </is>
      </c>
      <c r="F67" s="163" t="inlineStr">
        <is>
          <t>m2</t>
        </is>
      </c>
      <c r="G67" s="161" t="n"/>
      <c r="H67" s="164">
        <f>G67*D67</f>
        <v>0.0</v>
      </c>
      <c r="I67" s="165" t="inlineStr">
        <is>
          <t>Both faces, 1.3m high</t>
        </is>
      </c>
    </row>
    <row r="68" ht="15.75" customHeight="1">
      <c r="A68" s="11" t="n"/>
      <c r="B68" s="8" t="n"/>
      <c r="C68" s="12" t="n"/>
      <c r="D68" s="12" t="n"/>
      <c r="E68" s="11" t="n"/>
      <c r="F68" s="175" t="n"/>
      <c r="G68" s="161" t="n"/>
      <c r="H68" s="176" t="n"/>
    </row>
    <row r="69" ht="15.75" customHeight="1">
      <c r="A69" s="11" t="inlineStr">
        <is>
          <t>J</t>
        </is>
      </c>
      <c r="B69" s="166" t="inlineStr">
        <is>
          <t>Edges of bed 150mm wide
[PER DRAWINGS: edge 150mm high - measured in linear metres]</t>
        </is>
      </c>
      <c r="C69" s="12" t="n">
        <v>154</v>
      </c>
      <c r="D69" s="162">
        <f>'Verification Take-off'!E27</f>
        <v>154.0</v>
      </c>
      <c r="E69" s="11" t="inlineStr">
        <is>
          <t>m2</t>
        </is>
      </c>
      <c r="F69" s="177" t="inlineStr">
        <is>
          <t>m</t>
        </is>
      </c>
      <c r="G69" s="161" t="n"/>
      <c r="H69" s="164">
        <f>G69*D69</f>
        <v>0.0</v>
      </c>
      <c r="I69" s="165" t="inlineStr">
        <is>
          <t>Unit corrected m2 -&gt; m (edge not exceeding 250mm)</t>
        </is>
      </c>
    </row>
    <row r="70" ht="15.75" customHeight="1">
      <c r="A70" s="11" t="n"/>
      <c r="B70" s="8" t="n"/>
      <c r="C70" s="12" t="n"/>
      <c r="D70" s="12" t="n"/>
      <c r="E70" s="11" t="n"/>
      <c r="F70" s="14" t="n"/>
      <c r="G70" s="161" t="n"/>
      <c r="H70" s="164" t="n"/>
    </row>
    <row r="71" ht="15.75" customHeight="1">
      <c r="A71" s="178" t="inlineStr">
        <is>
          <t>N1</t>
        </is>
      </c>
      <c r="B71" s="179" t="inlineStr">
        <is>
          <t>Y20 in columns (raft to GF)</t>
        </is>
      </c>
      <c r="C71" s="180" t="n"/>
      <c r="D71" s="162">
        <f>'Verification Take-off'!E25</f>
        <v>0.338</v>
      </c>
      <c r="E71" s="178" t="inlineStr">
        <is>
          <t>-</t>
        </is>
      </c>
      <c r="F71" s="163" t="inlineStr">
        <is>
          <t>t</t>
        </is>
      </c>
      <c r="G71" s="181" t="n"/>
      <c r="H71" s="182">
        <f>G71*D71</f>
        <v>0.0</v>
      </c>
      <c r="I71" s="183" t="inlineStr"/>
      <c r="J71" s="18" t="n"/>
      <c r="K71" s="18" t="n"/>
      <c r="L71" s="18" t="n"/>
      <c r="M71" s="18" t="n"/>
      <c r="N71" s="18" t="n"/>
      <c r="O71" s="18" t="n"/>
      <c r="P71" s="18" t="n"/>
      <c r="Q71" s="18" t="n"/>
      <c r="R71" s="18" t="n"/>
      <c r="S71" s="18" t="n"/>
      <c r="T71" s="18" t="n"/>
      <c r="U71" s="18" t="n"/>
      <c r="V71" s="18" t="n"/>
      <c r="W71" s="18" t="n"/>
      <c r="X71" s="18" t="n"/>
      <c r="Y71" s="18" t="n"/>
      <c r="Z71" s="18" t="n"/>
      <c r="AA71" s="18" t="n"/>
      <c r="AB71" s="18" t="n"/>
      <c r="AC71" s="18" t="n"/>
      <c r="AD71" s="18" t="n"/>
      <c r="AE71" s="18" t="n"/>
      <c r="AF71" s="18" t="n"/>
      <c r="AG71" s="18" t="n"/>
      <c r="AH71" s="18" t="n"/>
      <c r="AI71" s="18" t="n"/>
      <c r="AJ71" s="18" t="n"/>
      <c r="AK71" s="18" t="n"/>
      <c r="AL71" s="18" t="n"/>
      <c r="AM71" s="18" t="n"/>
      <c r="AN71" s="18" t="n"/>
      <c r="AO71" s="18" t="n"/>
      <c r="AP71" s="18" t="n"/>
      <c r="AQ71" s="18" t="n"/>
      <c r="AR71" s="18" t="n"/>
      <c r="AS71" s="18" t="n"/>
      <c r="AT71" s="18" t="n"/>
      <c r="AU71" s="18" t="n"/>
      <c r="AV71" s="18" t="n"/>
      <c r="AW71" s="18" t="n"/>
      <c r="AX71" s="18" t="n"/>
      <c r="AY71" s="18" t="n"/>
      <c r="AZ71" s="18" t="n"/>
      <c r="BA71" s="18" t="n"/>
      <c r="BB71" s="18" t="n"/>
      <c r="BC71" s="18" t="n"/>
      <c r="BD71" s="18" t="n"/>
      <c r="BE71" s="18" t="n"/>
      <c r="BF71" s="18" t="n"/>
      <c r="BG71" s="18" t="n"/>
      <c r="BH71" s="18" t="n"/>
      <c r="BI71" s="18" t="n"/>
      <c r="BJ71" s="18" t="n"/>
      <c r="BK71" s="18" t="n"/>
      <c r="BL71" s="18" t="n"/>
      <c r="BM71" s="18" t="n"/>
      <c r="BN71" s="18" t="n"/>
      <c r="BO71" s="18" t="n"/>
      <c r="BP71" s="18" t="n"/>
      <c r="BQ71" s="18" t="n"/>
      <c r="BR71" s="18" t="n"/>
      <c r="BS71" s="18" t="n"/>
      <c r="BT71" s="18" t="n"/>
      <c r="BU71" s="18" t="n"/>
      <c r="BV71" s="18" t="n"/>
      <c r="BW71" s="18" t="n"/>
      <c r="BX71" s="18" t="n"/>
      <c r="BY71" s="18" t="n"/>
      <c r="BZ71" s="18" t="n"/>
      <c r="CA71" s="18" t="n"/>
      <c r="CB71" s="18" t="n"/>
      <c r="CC71" s="18" t="n"/>
      <c r="CD71" s="18" t="n"/>
      <c r="CE71" s="18" t="n"/>
      <c r="CF71" s="18" t="n"/>
      <c r="CG71" s="18" t="n"/>
      <c r="CH71" s="18" t="n"/>
      <c r="CI71" s="18" t="n"/>
      <c r="CJ71" s="18" t="n"/>
      <c r="CK71" s="18" t="n"/>
      <c r="CL71" s="18" t="n"/>
      <c r="CM71" s="18" t="n"/>
      <c r="CN71" s="18" t="n"/>
      <c r="CO71" s="18" t="n"/>
      <c r="CP71" s="18" t="n"/>
      <c r="CQ71" s="18" t="n"/>
      <c r="CR71" s="18" t="n"/>
      <c r="CS71" s="18" t="n"/>
      <c r="CT71" s="18" t="n"/>
      <c r="CU71" s="18" t="n"/>
      <c r="CV71" s="18" t="n"/>
      <c r="CW71" s="18" t="n"/>
      <c r="CX71" s="18" t="n"/>
      <c r="CY71" s="18" t="n"/>
      <c r="CZ71" s="18" t="n"/>
      <c r="DA71" s="18" t="n"/>
      <c r="DB71" s="18" t="n"/>
      <c r="DC71" s="18" t="n"/>
      <c r="DD71" s="18" t="n"/>
      <c r="DE71" s="18" t="n"/>
      <c r="DF71" s="18" t="n"/>
      <c r="DG71" s="18" t="n"/>
      <c r="DH71" s="18" t="n"/>
      <c r="DI71" s="18" t="n"/>
      <c r="DJ71" s="18" t="n"/>
      <c r="DK71" s="18" t="n"/>
      <c r="DL71" s="18" t="n"/>
      <c r="DM71" s="18" t="n"/>
      <c r="DN71" s="18" t="n"/>
      <c r="DO71" s="18" t="n"/>
      <c r="DP71" s="18" t="n"/>
      <c r="DQ71" s="18" t="n"/>
      <c r="DR71" s="18" t="n"/>
      <c r="DS71" s="18" t="n"/>
      <c r="DT71" s="18" t="n"/>
      <c r="DU71" s="18" t="n"/>
      <c r="DV71" s="18" t="n"/>
      <c r="DW71" s="18" t="n"/>
      <c r="DX71" s="18" t="n"/>
      <c r="DY71" s="18" t="n"/>
      <c r="DZ71" s="18" t="n"/>
      <c r="EA71" s="18" t="n"/>
      <c r="EB71" s="18" t="n"/>
      <c r="EC71" s="18" t="n"/>
      <c r="ED71" s="18" t="n"/>
      <c r="EE71" s="18" t="n"/>
      <c r="EF71" s="18" t="n"/>
      <c r="EG71" s="18" t="n"/>
      <c r="EH71" s="18" t="n"/>
      <c r="EI71" s="18" t="n"/>
      <c r="EJ71" s="18" t="n"/>
      <c r="EK71" s="18" t="n"/>
      <c r="EL71" s="18" t="n"/>
      <c r="EM71" s="18" t="n"/>
      <c r="EN71" s="18" t="n"/>
      <c r="EO71" s="18" t="n"/>
      <c r="EP71" s="18" t="n"/>
      <c r="EQ71" s="18" t="n"/>
      <c r="ER71" s="18" t="n"/>
      <c r="ES71" s="18" t="n"/>
      <c r="ET71" s="18" t="n"/>
      <c r="EU71" s="18" t="n"/>
      <c r="EV71" s="18" t="n"/>
      <c r="EW71" s="18" t="n"/>
      <c r="EX71" s="18" t="n"/>
      <c r="EY71" s="18" t="n"/>
      <c r="EZ71" s="18" t="n"/>
      <c r="FA71" s="18" t="n"/>
      <c r="FB71" s="18" t="n"/>
      <c r="FC71" s="18" t="n"/>
      <c r="FD71" s="18" t="n"/>
      <c r="FE71" s="18" t="n"/>
      <c r="FF71" s="18" t="n"/>
      <c r="FG71" s="18" t="n"/>
      <c r="FH71" s="18" t="n"/>
      <c r="FI71" s="18" t="n"/>
      <c r="FJ71" s="18" t="n"/>
      <c r="FK71" s="18" t="n"/>
      <c r="FL71" s="18" t="n"/>
      <c r="FM71" s="18" t="n"/>
      <c r="FN71" s="18" t="n"/>
      <c r="FO71" s="18" t="n"/>
      <c r="FP71" s="18" t="n"/>
      <c r="FQ71" s="18" t="n"/>
      <c r="FR71" s="18" t="n"/>
      <c r="FS71" s="18" t="n"/>
      <c r="FT71" s="18" t="n"/>
      <c r="FU71" s="18" t="n"/>
      <c r="FV71" s="18" t="n"/>
      <c r="FW71" s="18" t="n"/>
      <c r="FX71" s="18" t="n"/>
      <c r="FY71" s="18" t="n"/>
      <c r="FZ71" s="18" t="n"/>
      <c r="GA71" s="18" t="n"/>
      <c r="GB71" s="18" t="n"/>
      <c r="GC71" s="18" t="n"/>
      <c r="GD71" s="18" t="n"/>
      <c r="GE71" s="18" t="n"/>
      <c r="GF71" s="18" t="n"/>
      <c r="GG71" s="18" t="n"/>
      <c r="GH71" s="18" t="n"/>
      <c r="GI71" s="18" t="n"/>
      <c r="GJ71" s="18" t="n"/>
      <c r="GK71" s="18" t="n"/>
      <c r="GL71" s="18" t="n"/>
      <c r="GM71" s="18" t="n"/>
      <c r="GN71" s="18" t="n"/>
      <c r="GO71" s="18" t="n"/>
      <c r="GP71" s="18" t="n"/>
      <c r="GQ71" s="18" t="n"/>
      <c r="GR71" s="18" t="n"/>
      <c r="GS71" s="18" t="n"/>
      <c r="GT71" s="18" t="n"/>
      <c r="GU71" s="18" t="n"/>
      <c r="GV71" s="18" t="n"/>
      <c r="GW71" s="18" t="n"/>
      <c r="GX71" s="18" t="n"/>
      <c r="GY71" s="18" t="n"/>
      <c r="GZ71" s="18" t="n"/>
      <c r="HA71" s="18" t="n"/>
      <c r="HB71" s="18" t="n"/>
    </row>
    <row r="72" ht="15.75" customHeight="1">
      <c r="A72" s="178" t="inlineStr">
        <is>
          <t>N2</t>
        </is>
      </c>
      <c r="B72" s="179" t="inlineStr">
        <is>
          <t>Formwork to edges of raft 1300mm high</t>
        </is>
      </c>
      <c r="C72" s="180" t="n"/>
      <c r="D72" s="162">
        <f>'Verification Take-off'!E28</f>
        <v>200.20000000000002</v>
      </c>
      <c r="E72" s="178" t="inlineStr">
        <is>
          <t>-</t>
        </is>
      </c>
      <c r="F72" s="163" t="inlineStr">
        <is>
          <t>m2</t>
        </is>
      </c>
      <c r="G72" s="181" t="n"/>
      <c r="H72" s="182">
        <f>G72*D72</f>
        <v>0.0</v>
      </c>
      <c r="I72" s="183" t="inlineStr"/>
      <c r="J72" s="18" t="n"/>
      <c r="K72" s="18" t="n"/>
      <c r="L72" s="18" t="n"/>
      <c r="M72" s="18" t="n"/>
      <c r="N72" s="18" t="n"/>
      <c r="O72" s="18" t="n"/>
      <c r="P72" s="18" t="n"/>
      <c r="Q72" s="18" t="n"/>
      <c r="R72" s="18" t="n"/>
      <c r="S72" s="18" t="n"/>
      <c r="T72" s="18" t="n"/>
      <c r="U72" s="18" t="n"/>
      <c r="V72" s="18" t="n"/>
      <c r="W72" s="18" t="n"/>
      <c r="X72" s="18" t="n"/>
      <c r="Y72" s="18" t="n"/>
      <c r="Z72" s="18" t="n"/>
      <c r="AA72" s="18" t="n"/>
      <c r="AB72" s="18" t="n"/>
      <c r="AC72" s="18" t="n"/>
      <c r="AD72" s="18" t="n"/>
      <c r="AE72" s="18" t="n"/>
      <c r="AF72" s="18" t="n"/>
      <c r="AG72" s="18" t="n"/>
      <c r="AH72" s="18" t="n"/>
      <c r="AI72" s="18" t="n"/>
      <c r="AJ72" s="18" t="n"/>
      <c r="AK72" s="18" t="n"/>
      <c r="AL72" s="18" t="n"/>
      <c r="AM72" s="18" t="n"/>
      <c r="AN72" s="18" t="n"/>
      <c r="AO72" s="18" t="n"/>
      <c r="AP72" s="18" t="n"/>
      <c r="AQ72" s="18" t="n"/>
      <c r="AR72" s="18" t="n"/>
      <c r="AS72" s="18" t="n"/>
      <c r="AT72" s="18" t="n"/>
      <c r="AU72" s="18" t="n"/>
      <c r="AV72" s="18" t="n"/>
      <c r="AW72" s="18" t="n"/>
      <c r="AX72" s="18" t="n"/>
      <c r="AY72" s="18" t="n"/>
      <c r="AZ72" s="18" t="n"/>
      <c r="BA72" s="18" t="n"/>
      <c r="BB72" s="18" t="n"/>
      <c r="BC72" s="18" t="n"/>
      <c r="BD72" s="18" t="n"/>
      <c r="BE72" s="18" t="n"/>
      <c r="BF72" s="18" t="n"/>
      <c r="BG72" s="18" t="n"/>
      <c r="BH72" s="18" t="n"/>
      <c r="BI72" s="18" t="n"/>
      <c r="BJ72" s="18" t="n"/>
      <c r="BK72" s="18" t="n"/>
      <c r="BL72" s="18" t="n"/>
      <c r="BM72" s="18" t="n"/>
      <c r="BN72" s="18" t="n"/>
      <c r="BO72" s="18" t="n"/>
      <c r="BP72" s="18" t="n"/>
      <c r="BQ72" s="18" t="n"/>
      <c r="BR72" s="18" t="n"/>
      <c r="BS72" s="18" t="n"/>
      <c r="BT72" s="18" t="n"/>
      <c r="BU72" s="18" t="n"/>
      <c r="BV72" s="18" t="n"/>
      <c r="BW72" s="18" t="n"/>
      <c r="BX72" s="18" t="n"/>
      <c r="BY72" s="18" t="n"/>
      <c r="BZ72" s="18" t="n"/>
      <c r="CA72" s="18" t="n"/>
      <c r="CB72" s="18" t="n"/>
      <c r="CC72" s="18" t="n"/>
      <c r="CD72" s="18" t="n"/>
      <c r="CE72" s="18" t="n"/>
      <c r="CF72" s="18" t="n"/>
      <c r="CG72" s="18" t="n"/>
      <c r="CH72" s="18" t="n"/>
      <c r="CI72" s="18" t="n"/>
      <c r="CJ72" s="18" t="n"/>
      <c r="CK72" s="18" t="n"/>
      <c r="CL72" s="18" t="n"/>
      <c r="CM72" s="18" t="n"/>
      <c r="CN72" s="18" t="n"/>
      <c r="CO72" s="18" t="n"/>
      <c r="CP72" s="18" t="n"/>
      <c r="CQ72" s="18" t="n"/>
      <c r="CR72" s="18" t="n"/>
      <c r="CS72" s="18" t="n"/>
      <c r="CT72" s="18" t="n"/>
      <c r="CU72" s="18" t="n"/>
      <c r="CV72" s="18" t="n"/>
      <c r="CW72" s="18" t="n"/>
      <c r="CX72" s="18" t="n"/>
      <c r="CY72" s="18" t="n"/>
      <c r="CZ72" s="18" t="n"/>
      <c r="DA72" s="18" t="n"/>
      <c r="DB72" s="18" t="n"/>
      <c r="DC72" s="18" t="n"/>
      <c r="DD72" s="18" t="n"/>
      <c r="DE72" s="18" t="n"/>
      <c r="DF72" s="18" t="n"/>
      <c r="DG72" s="18" t="n"/>
      <c r="DH72" s="18" t="n"/>
      <c r="DI72" s="18" t="n"/>
      <c r="DJ72" s="18" t="n"/>
      <c r="DK72" s="18" t="n"/>
      <c r="DL72" s="18" t="n"/>
      <c r="DM72" s="18" t="n"/>
      <c r="DN72" s="18" t="n"/>
      <c r="DO72" s="18" t="n"/>
      <c r="DP72" s="18" t="n"/>
      <c r="DQ72" s="18" t="n"/>
      <c r="DR72" s="18" t="n"/>
      <c r="DS72" s="18" t="n"/>
      <c r="DT72" s="18" t="n"/>
      <c r="DU72" s="18" t="n"/>
      <c r="DV72" s="18" t="n"/>
      <c r="DW72" s="18" t="n"/>
      <c r="DX72" s="18" t="n"/>
      <c r="DY72" s="18" t="n"/>
      <c r="DZ72" s="18" t="n"/>
      <c r="EA72" s="18" t="n"/>
      <c r="EB72" s="18" t="n"/>
      <c r="EC72" s="18" t="n"/>
      <c r="ED72" s="18" t="n"/>
      <c r="EE72" s="18" t="n"/>
      <c r="EF72" s="18" t="n"/>
      <c r="EG72" s="18" t="n"/>
      <c r="EH72" s="18" t="n"/>
      <c r="EI72" s="18" t="n"/>
      <c r="EJ72" s="18" t="n"/>
      <c r="EK72" s="18" t="n"/>
      <c r="EL72" s="18" t="n"/>
      <c r="EM72" s="18" t="n"/>
      <c r="EN72" s="18" t="n"/>
      <c r="EO72" s="18" t="n"/>
      <c r="EP72" s="18" t="n"/>
      <c r="EQ72" s="18" t="n"/>
      <c r="ER72" s="18" t="n"/>
      <c r="ES72" s="18" t="n"/>
      <c r="ET72" s="18" t="n"/>
      <c r="EU72" s="18" t="n"/>
      <c r="EV72" s="18" t="n"/>
      <c r="EW72" s="18" t="n"/>
      <c r="EX72" s="18" t="n"/>
      <c r="EY72" s="18" t="n"/>
      <c r="EZ72" s="18" t="n"/>
      <c r="FA72" s="18" t="n"/>
      <c r="FB72" s="18" t="n"/>
      <c r="FC72" s="18" t="n"/>
      <c r="FD72" s="18" t="n"/>
      <c r="FE72" s="18" t="n"/>
      <c r="FF72" s="18" t="n"/>
      <c r="FG72" s="18" t="n"/>
      <c r="FH72" s="18" t="n"/>
      <c r="FI72" s="18" t="n"/>
      <c r="FJ72" s="18" t="n"/>
      <c r="FK72" s="18" t="n"/>
      <c r="FL72" s="18" t="n"/>
      <c r="FM72" s="18" t="n"/>
      <c r="FN72" s="18" t="n"/>
      <c r="FO72" s="18" t="n"/>
      <c r="FP72" s="18" t="n"/>
      <c r="FQ72" s="18" t="n"/>
      <c r="FR72" s="18" t="n"/>
      <c r="FS72" s="18" t="n"/>
      <c r="FT72" s="18" t="n"/>
      <c r="FU72" s="18" t="n"/>
      <c r="FV72" s="18" t="n"/>
      <c r="FW72" s="18" t="n"/>
      <c r="FX72" s="18" t="n"/>
      <c r="FY72" s="18" t="n"/>
      <c r="FZ72" s="18" t="n"/>
      <c r="GA72" s="18" t="n"/>
      <c r="GB72" s="18" t="n"/>
      <c r="GC72" s="18" t="n"/>
      <c r="GD72" s="18" t="n"/>
      <c r="GE72" s="18" t="n"/>
      <c r="GF72" s="18" t="n"/>
      <c r="GG72" s="18" t="n"/>
      <c r="GH72" s="18" t="n"/>
      <c r="GI72" s="18" t="n"/>
      <c r="GJ72" s="18" t="n"/>
      <c r="GK72" s="18" t="n"/>
      <c r="GL72" s="18" t="n"/>
      <c r="GM72" s="18" t="n"/>
      <c r="GN72" s="18" t="n"/>
      <c r="GO72" s="18" t="n"/>
      <c r="GP72" s="18" t="n"/>
      <c r="GQ72" s="18" t="n"/>
      <c r="GR72" s="18" t="n"/>
      <c r="GS72" s="18" t="n"/>
      <c r="GT72" s="18" t="n"/>
      <c r="GU72" s="18" t="n"/>
      <c r="GV72" s="18" t="n"/>
      <c r="GW72" s="18" t="n"/>
      <c r="GX72" s="18" t="n"/>
      <c r="GY72" s="18" t="n"/>
      <c r="GZ72" s="18" t="n"/>
      <c r="HA72" s="18" t="n"/>
      <c r="HB72" s="18" t="n"/>
    </row>
    <row r="73" ht="15.75" customHeight="1">
      <c r="A73" s="11" t="n"/>
      <c r="B73" s="8" t="inlineStr">
        <is>
          <t>BLOCK WORK</t>
        </is>
      </c>
      <c r="C73" s="12" t="n"/>
      <c r="D73" s="12" t="n"/>
      <c r="E73" s="11" t="n"/>
      <c r="F73" s="14" t="n"/>
      <c r="G73" s="14" t="n"/>
      <c r="H73" s="16" t="n"/>
      <c r="I73" s="18" t="n"/>
      <c r="J73" s="18" t="n"/>
      <c r="K73" s="18" t="n"/>
      <c r="L73" s="18" t="n"/>
      <c r="M73" s="18" t="n"/>
      <c r="N73" s="18" t="n"/>
      <c r="O73" s="18" t="n"/>
      <c r="P73" s="18" t="n"/>
      <c r="Q73" s="18" t="n"/>
      <c r="R73" s="18" t="n"/>
      <c r="S73" s="18" t="n"/>
      <c r="T73" s="18" t="n"/>
      <c r="U73" s="18" t="n"/>
      <c r="V73" s="18" t="n"/>
      <c r="W73" s="18" t="n"/>
      <c r="X73" s="18" t="n"/>
      <c r="Y73" s="18" t="n"/>
      <c r="Z73" s="18" t="n"/>
      <c r="AA73" s="18" t="n"/>
      <c r="AB73" s="18" t="n"/>
      <c r="AC73" s="18" t="n"/>
      <c r="AD73" s="18" t="n"/>
      <c r="AE73" s="18" t="n"/>
      <c r="AF73" s="18" t="n"/>
      <c r="AG73" s="18" t="n"/>
      <c r="AH73" s="18" t="n"/>
      <c r="AI73" s="18" t="n"/>
      <c r="AJ73" s="18" t="n"/>
      <c r="AK73" s="18" t="n"/>
      <c r="AL73" s="18" t="n"/>
      <c r="AM73" s="18" t="n"/>
      <c r="AN73" s="18" t="n"/>
      <c r="AO73" s="18" t="n"/>
      <c r="AP73" s="18" t="n"/>
      <c r="AQ73" s="18" t="n"/>
      <c r="AR73" s="18" t="n"/>
      <c r="AS73" s="18" t="n"/>
      <c r="AT73" s="18" t="n"/>
      <c r="AU73" s="18" t="n"/>
      <c r="AV73" s="18" t="n"/>
      <c r="AW73" s="18" t="n"/>
      <c r="AX73" s="18" t="n"/>
      <c r="AY73" s="18" t="n"/>
      <c r="AZ73" s="18" t="n"/>
      <c r="BA73" s="18" t="n"/>
      <c r="BB73" s="18" t="n"/>
      <c r="BC73" s="18" t="n"/>
      <c r="BD73" s="18" t="n"/>
      <c r="BE73" s="18" t="n"/>
      <c r="BF73" s="18" t="n"/>
      <c r="BG73" s="18" t="n"/>
      <c r="BH73" s="18" t="n"/>
      <c r="BI73" s="18" t="n"/>
      <c r="BJ73" s="18" t="n"/>
      <c r="BK73" s="18" t="n"/>
      <c r="BL73" s="18" t="n"/>
      <c r="BM73" s="18" t="n"/>
      <c r="BN73" s="18" t="n"/>
      <c r="BO73" s="18" t="n"/>
      <c r="BP73" s="18" t="n"/>
      <c r="BQ73" s="18" t="n"/>
      <c r="BR73" s="18" t="n"/>
      <c r="BS73" s="18" t="n"/>
      <c r="BT73" s="18" t="n"/>
      <c r="BU73" s="18" t="n"/>
      <c r="BV73" s="18" t="n"/>
      <c r="BW73" s="18" t="n"/>
      <c r="BX73" s="18" t="n"/>
      <c r="BY73" s="18" t="n"/>
      <c r="BZ73" s="18" t="n"/>
      <c r="CA73" s="18" t="n"/>
      <c r="CB73" s="18" t="n"/>
      <c r="CC73" s="18" t="n"/>
      <c r="CD73" s="18" t="n"/>
      <c r="CE73" s="18" t="n"/>
      <c r="CF73" s="18" t="n"/>
      <c r="CG73" s="18" t="n"/>
      <c r="CH73" s="18" t="n"/>
      <c r="CI73" s="18" t="n"/>
      <c r="CJ73" s="18" t="n"/>
      <c r="CK73" s="18" t="n"/>
      <c r="CL73" s="18" t="n"/>
      <c r="CM73" s="18" t="n"/>
      <c r="CN73" s="18" t="n"/>
      <c r="CO73" s="18" t="n"/>
      <c r="CP73" s="18" t="n"/>
      <c r="CQ73" s="18" t="n"/>
      <c r="CR73" s="18" t="n"/>
      <c r="CS73" s="18" t="n"/>
      <c r="CT73" s="18" t="n"/>
      <c r="CU73" s="18" t="n"/>
      <c r="CV73" s="18" t="n"/>
      <c r="CW73" s="18" t="n"/>
      <c r="CX73" s="18" t="n"/>
      <c r="CY73" s="18" t="n"/>
      <c r="CZ73" s="18" t="n"/>
      <c r="DA73" s="18" t="n"/>
      <c r="DB73" s="18" t="n"/>
      <c r="DC73" s="18" t="n"/>
      <c r="DD73" s="18" t="n"/>
      <c r="DE73" s="18" t="n"/>
      <c r="DF73" s="18" t="n"/>
      <c r="DG73" s="18" t="n"/>
      <c r="DH73" s="18" t="n"/>
      <c r="DI73" s="18" t="n"/>
      <c r="DJ73" s="18" t="n"/>
      <c r="DK73" s="18" t="n"/>
      <c r="DL73" s="18" t="n"/>
      <c r="DM73" s="18" t="n"/>
      <c r="DN73" s="18" t="n"/>
      <c r="DO73" s="18" t="n"/>
      <c r="DP73" s="18" t="n"/>
      <c r="DQ73" s="18" t="n"/>
      <c r="DR73" s="18" t="n"/>
      <c r="DS73" s="18" t="n"/>
      <c r="DT73" s="18" t="n"/>
      <c r="DU73" s="18" t="n"/>
      <c r="DV73" s="18" t="n"/>
      <c r="DW73" s="18" t="n"/>
      <c r="DX73" s="18" t="n"/>
      <c r="DY73" s="18" t="n"/>
      <c r="DZ73" s="18" t="n"/>
      <c r="EA73" s="18" t="n"/>
      <c r="EB73" s="18" t="n"/>
      <c r="EC73" s="18" t="n"/>
      <c r="ED73" s="18" t="n"/>
      <c r="EE73" s="18" t="n"/>
      <c r="EF73" s="18" t="n"/>
      <c r="EG73" s="18" t="n"/>
      <c r="EH73" s="18" t="n"/>
      <c r="EI73" s="18" t="n"/>
      <c r="EJ73" s="18" t="n"/>
      <c r="EK73" s="18" t="n"/>
      <c r="EL73" s="18" t="n"/>
      <c r="EM73" s="18" t="n"/>
      <c r="EN73" s="18" t="n"/>
      <c r="EO73" s="18" t="n"/>
      <c r="EP73" s="18" t="n"/>
      <c r="EQ73" s="18" t="n"/>
      <c r="ER73" s="18" t="n"/>
      <c r="ES73" s="18" t="n"/>
      <c r="ET73" s="18" t="n"/>
      <c r="EU73" s="18" t="n"/>
      <c r="EV73" s="18" t="n"/>
      <c r="EW73" s="18" t="n"/>
      <c r="EX73" s="18" t="n"/>
      <c r="EY73" s="18" t="n"/>
      <c r="EZ73" s="18" t="n"/>
      <c r="FA73" s="18" t="n"/>
      <c r="FB73" s="18" t="n"/>
      <c r="FC73" s="18" t="n"/>
      <c r="FD73" s="18" t="n"/>
      <c r="FE73" s="18" t="n"/>
      <c r="FF73" s="18" t="n"/>
      <c r="FG73" s="18" t="n"/>
      <c r="FH73" s="18" t="n"/>
      <c r="FI73" s="18" t="n"/>
      <c r="FJ73" s="18" t="n"/>
      <c r="FK73" s="18" t="n"/>
      <c r="FL73" s="18" t="n"/>
      <c r="FM73" s="18" t="n"/>
      <c r="FN73" s="18" t="n"/>
      <c r="FO73" s="18" t="n"/>
      <c r="FP73" s="18" t="n"/>
      <c r="FQ73" s="18" t="n"/>
      <c r="FR73" s="18" t="n"/>
      <c r="FS73" s="18" t="n"/>
      <c r="FT73" s="18" t="n"/>
      <c r="FU73" s="18" t="n"/>
      <c r="FV73" s="18" t="n"/>
      <c r="FW73" s="18" t="n"/>
      <c r="FX73" s="18" t="n"/>
      <c r="FY73" s="18" t="n"/>
      <c r="FZ73" s="18" t="n"/>
      <c r="GA73" s="18" t="n"/>
      <c r="GB73" s="18" t="n"/>
      <c r="GC73" s="18" t="n"/>
      <c r="GD73" s="18" t="n"/>
      <c r="GE73" s="18" t="n"/>
      <c r="GF73" s="18" t="n"/>
      <c r="GG73" s="18" t="n"/>
      <c r="GH73" s="18" t="n"/>
      <c r="GI73" s="18" t="n"/>
      <c r="GJ73" s="18" t="n"/>
      <c r="GK73" s="18" t="n"/>
      <c r="GL73" s="18" t="n"/>
      <c r="GM73" s="18" t="n"/>
      <c r="GN73" s="18" t="n"/>
      <c r="GO73" s="18" t="n"/>
      <c r="GP73" s="18" t="n"/>
      <c r="GQ73" s="18" t="n"/>
      <c r="GR73" s="18" t="n"/>
      <c r="GS73" s="18" t="n"/>
      <c r="GT73" s="18" t="n"/>
      <c r="GU73" s="18" t="n"/>
      <c r="GV73" s="18" t="n"/>
      <c r="GW73" s="18" t="n"/>
      <c r="GX73" s="18" t="n"/>
      <c r="GY73" s="18" t="n"/>
      <c r="GZ73" s="18" t="n"/>
      <c r="HA73" s="18" t="n"/>
      <c r="HB73" s="18" t="n"/>
    </row>
    <row r="74" ht="15.75" customHeight="1">
      <c r="A74" s="11" t="inlineStr">
        <is>
          <t>K</t>
        </is>
      </c>
      <c r="B74" s="8" t="inlineStr">
        <is>
          <t>150mm walls to plinth</t>
        </is>
      </c>
      <c r="C74" s="12" t="n">
        <v>202</v>
      </c>
      <c r="D74" s="162">
        <f>'Verification Take-off'!E30</f>
        <v>200.20000000000002</v>
      </c>
      <c r="E74" s="11" t="inlineStr">
        <is>
          <t>m2</t>
        </is>
      </c>
      <c r="F74" s="163" t="inlineStr">
        <is>
          <t>m2</t>
        </is>
      </c>
      <c r="G74" s="14" t="n"/>
      <c r="H74" s="16">
        <f>G74*D74</f>
        <v>0.0</v>
      </c>
      <c r="I74" s="184" t="inlineStr"/>
      <c r="J74" s="18" t="n"/>
      <c r="K74" s="18" t="n"/>
      <c r="L74" s="18" t="n"/>
      <c r="M74" s="18" t="n"/>
      <c r="N74" s="18" t="n"/>
      <c r="O74" s="18" t="n"/>
      <c r="P74" s="18" t="n"/>
      <c r="Q74" s="18" t="n"/>
      <c r="R74" s="18" t="n"/>
      <c r="S74" s="18" t="n"/>
      <c r="T74" s="18" t="n"/>
      <c r="U74" s="18" t="n"/>
      <c r="V74" s="18" t="n"/>
      <c r="W74" s="18" t="n"/>
      <c r="X74" s="18" t="n"/>
      <c r="Y74" s="18" t="n"/>
      <c r="Z74" s="18" t="n"/>
      <c r="AA74" s="18" t="n"/>
      <c r="AB74" s="18" t="n"/>
      <c r="AC74" s="18" t="n"/>
      <c r="AD74" s="18" t="n"/>
      <c r="AE74" s="18" t="n"/>
      <c r="AF74" s="18" t="n"/>
      <c r="AG74" s="18" t="n"/>
      <c r="AH74" s="18" t="n"/>
      <c r="AI74" s="18" t="n"/>
      <c r="AJ74" s="18" t="n"/>
      <c r="AK74" s="18" t="n"/>
      <c r="AL74" s="18" t="n"/>
      <c r="AM74" s="18" t="n"/>
      <c r="AN74" s="18" t="n"/>
      <c r="AO74" s="18" t="n"/>
      <c r="AP74" s="18" t="n"/>
      <c r="AQ74" s="18" t="n"/>
      <c r="AR74" s="18" t="n"/>
      <c r="AS74" s="18" t="n"/>
      <c r="AT74" s="18" t="n"/>
      <c r="AU74" s="18" t="n"/>
      <c r="AV74" s="18" t="n"/>
      <c r="AW74" s="18" t="n"/>
      <c r="AX74" s="18" t="n"/>
      <c r="AY74" s="18" t="n"/>
      <c r="AZ74" s="18" t="n"/>
      <c r="BA74" s="18" t="n"/>
      <c r="BB74" s="18" t="n"/>
      <c r="BC74" s="18" t="n"/>
      <c r="BD74" s="18" t="n"/>
      <c r="BE74" s="18" t="n"/>
      <c r="BF74" s="18" t="n"/>
      <c r="BG74" s="18" t="n"/>
      <c r="BH74" s="18" t="n"/>
      <c r="BI74" s="18" t="n"/>
      <c r="BJ74" s="18" t="n"/>
      <c r="BK74" s="18" t="n"/>
      <c r="BL74" s="18" t="n"/>
      <c r="BM74" s="18" t="n"/>
      <c r="BN74" s="18" t="n"/>
      <c r="BO74" s="18" t="n"/>
      <c r="BP74" s="18" t="n"/>
      <c r="BQ74" s="18" t="n"/>
      <c r="BR74" s="18" t="n"/>
      <c r="BS74" s="18" t="n"/>
      <c r="BT74" s="18" t="n"/>
      <c r="BU74" s="18" t="n"/>
      <c r="BV74" s="18" t="n"/>
      <c r="BW74" s="18" t="n"/>
      <c r="BX74" s="18" t="n"/>
      <c r="BY74" s="18" t="n"/>
      <c r="BZ74" s="18" t="n"/>
      <c r="CA74" s="18" t="n"/>
      <c r="CB74" s="18" t="n"/>
      <c r="CC74" s="18" t="n"/>
      <c r="CD74" s="18" t="n"/>
      <c r="CE74" s="18" t="n"/>
      <c r="CF74" s="18" t="n"/>
      <c r="CG74" s="18" t="n"/>
      <c r="CH74" s="18" t="n"/>
      <c r="CI74" s="18" t="n"/>
      <c r="CJ74" s="18" t="n"/>
      <c r="CK74" s="18" t="n"/>
      <c r="CL74" s="18" t="n"/>
      <c r="CM74" s="18" t="n"/>
      <c r="CN74" s="18" t="n"/>
      <c r="CO74" s="18" t="n"/>
      <c r="CP74" s="18" t="n"/>
      <c r="CQ74" s="18" t="n"/>
      <c r="CR74" s="18" t="n"/>
      <c r="CS74" s="18" t="n"/>
      <c r="CT74" s="18" t="n"/>
      <c r="CU74" s="18" t="n"/>
      <c r="CV74" s="18" t="n"/>
      <c r="CW74" s="18" t="n"/>
      <c r="CX74" s="18" t="n"/>
      <c r="CY74" s="18" t="n"/>
      <c r="CZ74" s="18" t="n"/>
      <c r="DA74" s="18" t="n"/>
      <c r="DB74" s="18" t="n"/>
      <c r="DC74" s="18" t="n"/>
      <c r="DD74" s="18" t="n"/>
      <c r="DE74" s="18" t="n"/>
      <c r="DF74" s="18" t="n"/>
      <c r="DG74" s="18" t="n"/>
      <c r="DH74" s="18" t="n"/>
      <c r="DI74" s="18" t="n"/>
      <c r="DJ74" s="18" t="n"/>
      <c r="DK74" s="18" t="n"/>
      <c r="DL74" s="18" t="n"/>
      <c r="DM74" s="18" t="n"/>
      <c r="DN74" s="18" t="n"/>
      <c r="DO74" s="18" t="n"/>
      <c r="DP74" s="18" t="n"/>
      <c r="DQ74" s="18" t="n"/>
      <c r="DR74" s="18" t="n"/>
      <c r="DS74" s="18" t="n"/>
      <c r="DT74" s="18" t="n"/>
      <c r="DU74" s="18" t="n"/>
      <c r="DV74" s="18" t="n"/>
      <c r="DW74" s="18" t="n"/>
      <c r="DX74" s="18" t="n"/>
      <c r="DY74" s="18" t="n"/>
      <c r="DZ74" s="18" t="n"/>
      <c r="EA74" s="18" t="n"/>
      <c r="EB74" s="18" t="n"/>
      <c r="EC74" s="18" t="n"/>
      <c r="ED74" s="18" t="n"/>
      <c r="EE74" s="18" t="n"/>
      <c r="EF74" s="18" t="n"/>
      <c r="EG74" s="18" t="n"/>
      <c r="EH74" s="18" t="n"/>
      <c r="EI74" s="18" t="n"/>
      <c r="EJ74" s="18" t="n"/>
      <c r="EK74" s="18" t="n"/>
      <c r="EL74" s="18" t="n"/>
      <c r="EM74" s="18" t="n"/>
      <c r="EN74" s="18" t="n"/>
      <c r="EO74" s="18" t="n"/>
      <c r="EP74" s="18" t="n"/>
      <c r="EQ74" s="18" t="n"/>
      <c r="ER74" s="18" t="n"/>
      <c r="ES74" s="18" t="n"/>
      <c r="ET74" s="18" t="n"/>
      <c r="EU74" s="18" t="n"/>
      <c r="EV74" s="18" t="n"/>
      <c r="EW74" s="18" t="n"/>
      <c r="EX74" s="18" t="n"/>
      <c r="EY74" s="18" t="n"/>
      <c r="EZ74" s="18" t="n"/>
      <c r="FA74" s="18" t="n"/>
      <c r="FB74" s="18" t="n"/>
      <c r="FC74" s="18" t="n"/>
      <c r="FD74" s="18" t="n"/>
      <c r="FE74" s="18" t="n"/>
      <c r="FF74" s="18" t="n"/>
      <c r="FG74" s="18" t="n"/>
      <c r="FH74" s="18" t="n"/>
      <c r="FI74" s="18" t="n"/>
      <c r="FJ74" s="18" t="n"/>
      <c r="FK74" s="18" t="n"/>
      <c r="FL74" s="18" t="n"/>
      <c r="FM74" s="18" t="n"/>
      <c r="FN74" s="18" t="n"/>
      <c r="FO74" s="18" t="n"/>
      <c r="FP74" s="18" t="n"/>
      <c r="FQ74" s="18" t="n"/>
      <c r="FR74" s="18" t="n"/>
      <c r="FS74" s="18" t="n"/>
      <c r="FT74" s="18" t="n"/>
      <c r="FU74" s="18" t="n"/>
      <c r="FV74" s="18" t="n"/>
      <c r="FW74" s="18" t="n"/>
      <c r="FX74" s="18" t="n"/>
      <c r="FY74" s="18" t="n"/>
      <c r="FZ74" s="18" t="n"/>
      <c r="GA74" s="18" t="n"/>
      <c r="GB74" s="18" t="n"/>
      <c r="GC74" s="18" t="n"/>
      <c r="GD74" s="18" t="n"/>
      <c r="GE74" s="18" t="n"/>
      <c r="GF74" s="18" t="n"/>
      <c r="GG74" s="18" t="n"/>
      <c r="GH74" s="18" t="n"/>
      <c r="GI74" s="18" t="n"/>
      <c r="GJ74" s="18" t="n"/>
      <c r="GK74" s="18" t="n"/>
      <c r="GL74" s="18" t="n"/>
      <c r="GM74" s="18" t="n"/>
      <c r="GN74" s="18" t="n"/>
      <c r="GO74" s="18" t="n"/>
      <c r="GP74" s="18" t="n"/>
      <c r="GQ74" s="18" t="n"/>
      <c r="GR74" s="18" t="n"/>
      <c r="GS74" s="18" t="n"/>
      <c r="GT74" s="18" t="n"/>
      <c r="GU74" s="18" t="n"/>
      <c r="GV74" s="18" t="n"/>
      <c r="GW74" s="18" t="n"/>
      <c r="GX74" s="18" t="n"/>
      <c r="GY74" s="18" t="n"/>
      <c r="GZ74" s="18" t="n"/>
      <c r="HA74" s="18" t="n"/>
      <c r="HB74" s="18" t="n"/>
    </row>
    <row r="75" ht="15.75" customHeight="1">
      <c r="A75" s="11" t="n"/>
      <c r="B75" s="8" t="n"/>
      <c r="C75" s="12" t="n"/>
      <c r="D75" s="12" t="n"/>
      <c r="E75" s="11" t="n"/>
      <c r="F75" s="14" t="n"/>
      <c r="G75" s="14" t="n"/>
      <c r="H75" s="16" t="n"/>
      <c r="I75" s="18" t="n"/>
      <c r="J75" s="18" t="n"/>
      <c r="K75" s="18" t="n"/>
      <c r="L75" s="18" t="n"/>
      <c r="M75" s="18" t="n"/>
      <c r="N75" s="18" t="n"/>
      <c r="O75" s="18" t="n"/>
      <c r="P75" s="18" t="n"/>
      <c r="Q75" s="18" t="n"/>
      <c r="R75" s="18" t="n"/>
      <c r="S75" s="18" t="n"/>
      <c r="T75" s="18" t="n"/>
      <c r="U75" s="18" t="n"/>
      <c r="V75" s="18" t="n"/>
      <c r="W75" s="18" t="n"/>
      <c r="X75" s="18" t="n"/>
      <c r="Y75" s="18" t="n"/>
      <c r="Z75" s="18" t="n"/>
      <c r="AA75" s="18" t="n"/>
      <c r="AB75" s="18" t="n"/>
      <c r="AC75" s="18" t="n"/>
      <c r="AD75" s="18" t="n"/>
      <c r="AE75" s="18" t="n"/>
      <c r="AF75" s="18" t="n"/>
      <c r="AG75" s="18" t="n"/>
      <c r="AH75" s="18" t="n"/>
      <c r="AI75" s="18" t="n"/>
      <c r="AJ75" s="18" t="n"/>
      <c r="AK75" s="18" t="n"/>
      <c r="AL75" s="18" t="n"/>
      <c r="AM75" s="18" t="n"/>
      <c r="AN75" s="18" t="n"/>
      <c r="AO75" s="18" t="n"/>
      <c r="AP75" s="18" t="n"/>
      <c r="AQ75" s="18" t="n"/>
      <c r="AR75" s="18" t="n"/>
      <c r="AS75" s="18" t="n"/>
      <c r="AT75" s="18" t="n"/>
      <c r="AU75" s="18" t="n"/>
      <c r="AV75" s="18" t="n"/>
      <c r="AW75" s="18" t="n"/>
      <c r="AX75" s="18" t="n"/>
      <c r="AY75" s="18" t="n"/>
      <c r="AZ75" s="18" t="n"/>
      <c r="BA75" s="18" t="n"/>
      <c r="BB75" s="18" t="n"/>
      <c r="BC75" s="18" t="n"/>
      <c r="BD75" s="18" t="n"/>
      <c r="BE75" s="18" t="n"/>
      <c r="BF75" s="18" t="n"/>
      <c r="BG75" s="18" t="n"/>
      <c r="BH75" s="18" t="n"/>
      <c r="BI75" s="18" t="n"/>
      <c r="BJ75" s="18" t="n"/>
      <c r="BK75" s="18" t="n"/>
      <c r="BL75" s="18" t="n"/>
      <c r="BM75" s="18" t="n"/>
      <c r="BN75" s="18" t="n"/>
      <c r="BO75" s="18" t="n"/>
      <c r="BP75" s="18" t="n"/>
      <c r="BQ75" s="18" t="n"/>
      <c r="BR75" s="18" t="n"/>
      <c r="BS75" s="18" t="n"/>
      <c r="BT75" s="18" t="n"/>
      <c r="BU75" s="18" t="n"/>
      <c r="BV75" s="18" t="n"/>
      <c r="BW75" s="18" t="n"/>
      <c r="BX75" s="18" t="n"/>
      <c r="BY75" s="18" t="n"/>
      <c r="BZ75" s="18" t="n"/>
      <c r="CA75" s="18" t="n"/>
      <c r="CB75" s="18" t="n"/>
      <c r="CC75" s="18" t="n"/>
      <c r="CD75" s="18" t="n"/>
      <c r="CE75" s="18" t="n"/>
      <c r="CF75" s="18" t="n"/>
      <c r="CG75" s="18" t="n"/>
      <c r="CH75" s="18" t="n"/>
      <c r="CI75" s="18" t="n"/>
      <c r="CJ75" s="18" t="n"/>
      <c r="CK75" s="18" t="n"/>
      <c r="CL75" s="18" t="n"/>
      <c r="CM75" s="18" t="n"/>
      <c r="CN75" s="18" t="n"/>
      <c r="CO75" s="18" t="n"/>
      <c r="CP75" s="18" t="n"/>
      <c r="CQ75" s="18" t="n"/>
      <c r="CR75" s="18" t="n"/>
      <c r="CS75" s="18" t="n"/>
      <c r="CT75" s="18" t="n"/>
      <c r="CU75" s="18" t="n"/>
      <c r="CV75" s="18" t="n"/>
      <c r="CW75" s="18" t="n"/>
      <c r="CX75" s="18" t="n"/>
      <c r="CY75" s="18" t="n"/>
      <c r="CZ75" s="18" t="n"/>
      <c r="DA75" s="18" t="n"/>
      <c r="DB75" s="18" t="n"/>
      <c r="DC75" s="18" t="n"/>
      <c r="DD75" s="18" t="n"/>
      <c r="DE75" s="18" t="n"/>
      <c r="DF75" s="18" t="n"/>
      <c r="DG75" s="18" t="n"/>
      <c r="DH75" s="18" t="n"/>
      <c r="DI75" s="18" t="n"/>
      <c r="DJ75" s="18" t="n"/>
      <c r="DK75" s="18" t="n"/>
      <c r="DL75" s="18" t="n"/>
      <c r="DM75" s="18" t="n"/>
      <c r="DN75" s="18" t="n"/>
      <c r="DO75" s="18" t="n"/>
      <c r="DP75" s="18" t="n"/>
      <c r="DQ75" s="18" t="n"/>
      <c r="DR75" s="18" t="n"/>
      <c r="DS75" s="18" t="n"/>
      <c r="DT75" s="18" t="n"/>
      <c r="DU75" s="18" t="n"/>
      <c r="DV75" s="18" t="n"/>
      <c r="DW75" s="18" t="n"/>
      <c r="DX75" s="18" t="n"/>
      <c r="DY75" s="18" t="n"/>
      <c r="DZ75" s="18" t="n"/>
      <c r="EA75" s="18" t="n"/>
      <c r="EB75" s="18" t="n"/>
      <c r="EC75" s="18" t="n"/>
      <c r="ED75" s="18" t="n"/>
      <c r="EE75" s="18" t="n"/>
      <c r="EF75" s="18" t="n"/>
      <c r="EG75" s="18" t="n"/>
      <c r="EH75" s="18" t="n"/>
      <c r="EI75" s="18" t="n"/>
      <c r="EJ75" s="18" t="n"/>
      <c r="EK75" s="18" t="n"/>
      <c r="EL75" s="18" t="n"/>
      <c r="EM75" s="18" t="n"/>
      <c r="EN75" s="18" t="n"/>
      <c r="EO75" s="18" t="n"/>
      <c r="EP75" s="18" t="n"/>
      <c r="EQ75" s="18" t="n"/>
      <c r="ER75" s="18" t="n"/>
      <c r="ES75" s="18" t="n"/>
      <c r="ET75" s="18" t="n"/>
      <c r="EU75" s="18" t="n"/>
      <c r="EV75" s="18" t="n"/>
      <c r="EW75" s="18" t="n"/>
      <c r="EX75" s="18" t="n"/>
      <c r="EY75" s="18" t="n"/>
      <c r="EZ75" s="18" t="n"/>
      <c r="FA75" s="18" t="n"/>
      <c r="FB75" s="18" t="n"/>
      <c r="FC75" s="18" t="n"/>
      <c r="FD75" s="18" t="n"/>
      <c r="FE75" s="18" t="n"/>
      <c r="FF75" s="18" t="n"/>
      <c r="FG75" s="18" t="n"/>
      <c r="FH75" s="18" t="n"/>
      <c r="FI75" s="18" t="n"/>
      <c r="FJ75" s="18" t="n"/>
      <c r="FK75" s="18" t="n"/>
      <c r="FL75" s="18" t="n"/>
      <c r="FM75" s="18" t="n"/>
      <c r="FN75" s="18" t="n"/>
      <c r="FO75" s="18" t="n"/>
      <c r="FP75" s="18" t="n"/>
      <c r="FQ75" s="18" t="n"/>
      <c r="FR75" s="18" t="n"/>
      <c r="FS75" s="18" t="n"/>
      <c r="FT75" s="18" t="n"/>
      <c r="FU75" s="18" t="n"/>
      <c r="FV75" s="18" t="n"/>
      <c r="FW75" s="18" t="n"/>
      <c r="FX75" s="18" t="n"/>
      <c r="FY75" s="18" t="n"/>
      <c r="FZ75" s="18" t="n"/>
      <c r="GA75" s="18" t="n"/>
      <c r="GB75" s="18" t="n"/>
      <c r="GC75" s="18" t="n"/>
      <c r="GD75" s="18" t="n"/>
      <c r="GE75" s="18" t="n"/>
      <c r="GF75" s="18" t="n"/>
      <c r="GG75" s="18" t="n"/>
      <c r="GH75" s="18" t="n"/>
      <c r="GI75" s="18" t="n"/>
      <c r="GJ75" s="18" t="n"/>
      <c r="GK75" s="18" t="n"/>
      <c r="GL75" s="18" t="n"/>
      <c r="GM75" s="18" t="n"/>
      <c r="GN75" s="18" t="n"/>
      <c r="GO75" s="18" t="n"/>
      <c r="GP75" s="18" t="n"/>
      <c r="GQ75" s="18" t="n"/>
      <c r="GR75" s="18" t="n"/>
      <c r="GS75" s="18" t="n"/>
      <c r="GT75" s="18" t="n"/>
      <c r="GU75" s="18" t="n"/>
      <c r="GV75" s="18" t="n"/>
      <c r="GW75" s="18" t="n"/>
      <c r="GX75" s="18" t="n"/>
      <c r="GY75" s="18" t="n"/>
      <c r="GZ75" s="18" t="n"/>
      <c r="HA75" s="18" t="n"/>
      <c r="HB75" s="18" t="n"/>
    </row>
    <row r="76" ht="15.75" customHeight="1">
      <c r="A76" s="178" t="inlineStr">
        <is>
          <t>N3</t>
        </is>
      </c>
      <c r="B76" s="179" t="inlineStr">
        <is>
          <t>Formwork to sides of columns (raft to GF)</t>
        </is>
      </c>
      <c r="C76" s="180" t="n"/>
      <c r="D76" s="162">
        <f>'Verification Take-off'!E29</f>
        <v>136.95499999999998</v>
      </c>
      <c r="E76" s="178" t="inlineStr">
        <is>
          <t>-</t>
        </is>
      </c>
      <c r="F76" s="163" t="inlineStr">
        <is>
          <t>m2</t>
        </is>
      </c>
      <c r="G76" s="181" t="n"/>
      <c r="H76" s="182">
        <f>G76*D76</f>
        <v>0.0</v>
      </c>
      <c r="I76" s="183" t="inlineStr"/>
      <c r="J76" s="18" t="n"/>
      <c r="K76" s="18" t="n"/>
      <c r="L76" s="18" t="n"/>
      <c r="M76" s="18" t="n"/>
      <c r="N76" s="18" t="n"/>
      <c r="O76" s="18" t="n"/>
      <c r="P76" s="18" t="n"/>
      <c r="Q76" s="18" t="n"/>
      <c r="R76" s="18" t="n"/>
      <c r="S76" s="18" t="n"/>
      <c r="T76" s="18" t="n"/>
      <c r="U76" s="18" t="n"/>
      <c r="V76" s="18" t="n"/>
      <c r="W76" s="18" t="n"/>
      <c r="X76" s="18" t="n"/>
      <c r="Y76" s="18" t="n"/>
      <c r="Z76" s="18" t="n"/>
      <c r="AA76" s="18" t="n"/>
      <c r="AB76" s="18" t="n"/>
      <c r="AC76" s="18" t="n"/>
      <c r="AD76" s="18" t="n"/>
      <c r="AE76" s="18" t="n"/>
      <c r="AF76" s="18" t="n"/>
      <c r="AG76" s="18" t="n"/>
      <c r="AH76" s="18" t="n"/>
      <c r="AI76" s="18" t="n"/>
      <c r="AJ76" s="18" t="n"/>
      <c r="AK76" s="18" t="n"/>
      <c r="AL76" s="18" t="n"/>
      <c r="AM76" s="18" t="n"/>
      <c r="AN76" s="18" t="n"/>
      <c r="AO76" s="18" t="n"/>
      <c r="AP76" s="18" t="n"/>
      <c r="AQ76" s="18" t="n"/>
      <c r="AR76" s="18" t="n"/>
      <c r="AS76" s="18" t="n"/>
      <c r="AT76" s="18" t="n"/>
      <c r="AU76" s="18" t="n"/>
      <c r="AV76" s="18" t="n"/>
      <c r="AW76" s="18" t="n"/>
      <c r="AX76" s="18" t="n"/>
      <c r="AY76" s="18" t="n"/>
      <c r="AZ76" s="18" t="n"/>
      <c r="BA76" s="18" t="n"/>
      <c r="BB76" s="18" t="n"/>
      <c r="BC76" s="18" t="n"/>
      <c r="BD76" s="18" t="n"/>
      <c r="BE76" s="18" t="n"/>
      <c r="BF76" s="18" t="n"/>
      <c r="BG76" s="18" t="n"/>
      <c r="BH76" s="18" t="n"/>
      <c r="BI76" s="18" t="n"/>
      <c r="BJ76" s="18" t="n"/>
      <c r="BK76" s="18" t="n"/>
      <c r="BL76" s="18" t="n"/>
      <c r="BM76" s="18" t="n"/>
      <c r="BN76" s="18" t="n"/>
      <c r="BO76" s="18" t="n"/>
      <c r="BP76" s="18" t="n"/>
      <c r="BQ76" s="18" t="n"/>
      <c r="BR76" s="18" t="n"/>
      <c r="BS76" s="18" t="n"/>
      <c r="BT76" s="18" t="n"/>
      <c r="BU76" s="18" t="n"/>
      <c r="BV76" s="18" t="n"/>
      <c r="BW76" s="18" t="n"/>
      <c r="BX76" s="18" t="n"/>
      <c r="BY76" s="18" t="n"/>
      <c r="BZ76" s="18" t="n"/>
      <c r="CA76" s="18" t="n"/>
      <c r="CB76" s="18" t="n"/>
      <c r="CC76" s="18" t="n"/>
      <c r="CD76" s="18" t="n"/>
      <c r="CE76" s="18" t="n"/>
      <c r="CF76" s="18" t="n"/>
      <c r="CG76" s="18" t="n"/>
      <c r="CH76" s="18" t="n"/>
      <c r="CI76" s="18" t="n"/>
      <c r="CJ76" s="18" t="n"/>
      <c r="CK76" s="18" t="n"/>
      <c r="CL76" s="18" t="n"/>
      <c r="CM76" s="18" t="n"/>
      <c r="CN76" s="18" t="n"/>
      <c r="CO76" s="18" t="n"/>
      <c r="CP76" s="18" t="n"/>
      <c r="CQ76" s="18" t="n"/>
      <c r="CR76" s="18" t="n"/>
      <c r="CS76" s="18" t="n"/>
      <c r="CT76" s="18" t="n"/>
      <c r="CU76" s="18" t="n"/>
      <c r="CV76" s="18" t="n"/>
      <c r="CW76" s="18" t="n"/>
      <c r="CX76" s="18" t="n"/>
      <c r="CY76" s="18" t="n"/>
      <c r="CZ76" s="18" t="n"/>
      <c r="DA76" s="18" t="n"/>
      <c r="DB76" s="18" t="n"/>
      <c r="DC76" s="18" t="n"/>
      <c r="DD76" s="18" t="n"/>
      <c r="DE76" s="18" t="n"/>
      <c r="DF76" s="18" t="n"/>
      <c r="DG76" s="18" t="n"/>
      <c r="DH76" s="18" t="n"/>
      <c r="DI76" s="18" t="n"/>
      <c r="DJ76" s="18" t="n"/>
      <c r="DK76" s="18" t="n"/>
      <c r="DL76" s="18" t="n"/>
      <c r="DM76" s="18" t="n"/>
      <c r="DN76" s="18" t="n"/>
      <c r="DO76" s="18" t="n"/>
      <c r="DP76" s="18" t="n"/>
      <c r="DQ76" s="18" t="n"/>
      <c r="DR76" s="18" t="n"/>
      <c r="DS76" s="18" t="n"/>
      <c r="DT76" s="18" t="n"/>
      <c r="DU76" s="18" t="n"/>
      <c r="DV76" s="18" t="n"/>
      <c r="DW76" s="18" t="n"/>
      <c r="DX76" s="18" t="n"/>
      <c r="DY76" s="18" t="n"/>
      <c r="DZ76" s="18" t="n"/>
      <c r="EA76" s="18" t="n"/>
      <c r="EB76" s="18" t="n"/>
      <c r="EC76" s="18" t="n"/>
      <c r="ED76" s="18" t="n"/>
      <c r="EE76" s="18" t="n"/>
      <c r="EF76" s="18" t="n"/>
      <c r="EG76" s="18" t="n"/>
      <c r="EH76" s="18" t="n"/>
      <c r="EI76" s="18" t="n"/>
      <c r="EJ76" s="18" t="n"/>
      <c r="EK76" s="18" t="n"/>
      <c r="EL76" s="18" t="n"/>
      <c r="EM76" s="18" t="n"/>
      <c r="EN76" s="18" t="n"/>
      <c r="EO76" s="18" t="n"/>
      <c r="EP76" s="18" t="n"/>
      <c r="EQ76" s="18" t="n"/>
      <c r="ER76" s="18" t="n"/>
      <c r="ES76" s="18" t="n"/>
      <c r="ET76" s="18" t="n"/>
      <c r="EU76" s="18" t="n"/>
      <c r="EV76" s="18" t="n"/>
      <c r="EW76" s="18" t="n"/>
      <c r="EX76" s="18" t="n"/>
      <c r="EY76" s="18" t="n"/>
      <c r="EZ76" s="18" t="n"/>
      <c r="FA76" s="18" t="n"/>
      <c r="FB76" s="18" t="n"/>
      <c r="FC76" s="18" t="n"/>
      <c r="FD76" s="18" t="n"/>
      <c r="FE76" s="18" t="n"/>
      <c r="FF76" s="18" t="n"/>
      <c r="FG76" s="18" t="n"/>
      <c r="FH76" s="18" t="n"/>
      <c r="FI76" s="18" t="n"/>
      <c r="FJ76" s="18" t="n"/>
      <c r="FK76" s="18" t="n"/>
      <c r="FL76" s="18" t="n"/>
      <c r="FM76" s="18" t="n"/>
      <c r="FN76" s="18" t="n"/>
      <c r="FO76" s="18" t="n"/>
      <c r="FP76" s="18" t="n"/>
      <c r="FQ76" s="18" t="n"/>
      <c r="FR76" s="18" t="n"/>
      <c r="FS76" s="18" t="n"/>
      <c r="FT76" s="18" t="n"/>
      <c r="FU76" s="18" t="n"/>
      <c r="FV76" s="18" t="n"/>
      <c r="FW76" s="18" t="n"/>
      <c r="FX76" s="18" t="n"/>
      <c r="FY76" s="18" t="n"/>
      <c r="FZ76" s="18" t="n"/>
      <c r="GA76" s="18" t="n"/>
      <c r="GB76" s="18" t="n"/>
      <c r="GC76" s="18" t="n"/>
      <c r="GD76" s="18" t="n"/>
      <c r="GE76" s="18" t="n"/>
      <c r="GF76" s="18" t="n"/>
      <c r="GG76" s="18" t="n"/>
      <c r="GH76" s="18" t="n"/>
      <c r="GI76" s="18" t="n"/>
      <c r="GJ76" s="18" t="n"/>
      <c r="GK76" s="18" t="n"/>
      <c r="GL76" s="18" t="n"/>
      <c r="GM76" s="18" t="n"/>
      <c r="GN76" s="18" t="n"/>
      <c r="GO76" s="18" t="n"/>
      <c r="GP76" s="18" t="n"/>
      <c r="GQ76" s="18" t="n"/>
      <c r="GR76" s="18" t="n"/>
      <c r="GS76" s="18" t="n"/>
      <c r="GT76" s="18" t="n"/>
      <c r="GU76" s="18" t="n"/>
      <c r="GV76" s="18" t="n"/>
      <c r="GW76" s="18" t="n"/>
      <c r="GX76" s="18" t="n"/>
      <c r="GY76" s="18" t="n"/>
      <c r="GZ76" s="18" t="n"/>
      <c r="HA76" s="18" t="n"/>
      <c r="HB76" s="18" t="n"/>
    </row>
    <row r="77" ht="15.75" customHeight="1">
      <c r="A77" s="11" t="n"/>
      <c r="B77" s="8" t="n"/>
      <c r="C77" s="12" t="n"/>
      <c r="D77" s="12" t="n"/>
      <c r="E77" s="11" t="n"/>
      <c r="F77" s="14" t="n"/>
      <c r="G77" s="14" t="n"/>
      <c r="H77" s="16" t="n"/>
      <c r="I77" s="18" t="n"/>
      <c r="J77" s="18" t="n"/>
      <c r="K77" s="18" t="n"/>
      <c r="L77" s="18" t="n"/>
      <c r="M77" s="18" t="n"/>
      <c r="N77" s="18" t="n"/>
      <c r="O77" s="18" t="n"/>
      <c r="P77" s="18" t="n"/>
      <c r="Q77" s="18" t="n"/>
      <c r="R77" s="18" t="n"/>
      <c r="S77" s="18" t="n"/>
      <c r="T77" s="18" t="n"/>
      <c r="U77" s="18" t="n"/>
      <c r="V77" s="18" t="n"/>
      <c r="W77" s="18" t="n"/>
      <c r="X77" s="18" t="n"/>
      <c r="Y77" s="18" t="n"/>
      <c r="Z77" s="18" t="n"/>
      <c r="AA77" s="18" t="n"/>
      <c r="AB77" s="18" t="n"/>
      <c r="AC77" s="18" t="n"/>
      <c r="AD77" s="18" t="n"/>
      <c r="AE77" s="18" t="n"/>
      <c r="AF77" s="18" t="n"/>
      <c r="AG77" s="18" t="n"/>
      <c r="AH77" s="18" t="n"/>
      <c r="AI77" s="18" t="n"/>
      <c r="AJ77" s="18" t="n"/>
      <c r="AK77" s="18" t="n"/>
      <c r="AL77" s="18" t="n"/>
      <c r="AM77" s="18" t="n"/>
      <c r="AN77" s="18" t="n"/>
      <c r="AO77" s="18" t="n"/>
      <c r="AP77" s="18" t="n"/>
      <c r="AQ77" s="18" t="n"/>
      <c r="AR77" s="18" t="n"/>
      <c r="AS77" s="18" t="n"/>
      <c r="AT77" s="18" t="n"/>
      <c r="AU77" s="18" t="n"/>
      <c r="AV77" s="18" t="n"/>
      <c r="AW77" s="18" t="n"/>
      <c r="AX77" s="18" t="n"/>
      <c r="AY77" s="18" t="n"/>
      <c r="AZ77" s="18" t="n"/>
      <c r="BA77" s="18" t="n"/>
      <c r="BB77" s="18" t="n"/>
      <c r="BC77" s="18" t="n"/>
      <c r="BD77" s="18" t="n"/>
      <c r="BE77" s="18" t="n"/>
      <c r="BF77" s="18" t="n"/>
      <c r="BG77" s="18" t="n"/>
      <c r="BH77" s="18" t="n"/>
      <c r="BI77" s="18" t="n"/>
      <c r="BJ77" s="18" t="n"/>
      <c r="BK77" s="18" t="n"/>
      <c r="BL77" s="18" t="n"/>
      <c r="BM77" s="18" t="n"/>
      <c r="BN77" s="18" t="n"/>
      <c r="BO77" s="18" t="n"/>
      <c r="BP77" s="18" t="n"/>
      <c r="BQ77" s="18" t="n"/>
      <c r="BR77" s="18" t="n"/>
      <c r="BS77" s="18" t="n"/>
      <c r="BT77" s="18" t="n"/>
      <c r="BU77" s="18" t="n"/>
      <c r="BV77" s="18" t="n"/>
      <c r="BW77" s="18" t="n"/>
      <c r="BX77" s="18" t="n"/>
      <c r="BY77" s="18" t="n"/>
      <c r="BZ77" s="18" t="n"/>
      <c r="CA77" s="18" t="n"/>
      <c r="CB77" s="18" t="n"/>
      <c r="CC77" s="18" t="n"/>
      <c r="CD77" s="18" t="n"/>
      <c r="CE77" s="18" t="n"/>
      <c r="CF77" s="18" t="n"/>
      <c r="CG77" s="18" t="n"/>
      <c r="CH77" s="18" t="n"/>
      <c r="CI77" s="18" t="n"/>
      <c r="CJ77" s="18" t="n"/>
      <c r="CK77" s="18" t="n"/>
      <c r="CL77" s="18" t="n"/>
      <c r="CM77" s="18" t="n"/>
      <c r="CN77" s="18" t="n"/>
      <c r="CO77" s="18" t="n"/>
      <c r="CP77" s="18" t="n"/>
      <c r="CQ77" s="18" t="n"/>
      <c r="CR77" s="18" t="n"/>
      <c r="CS77" s="18" t="n"/>
      <c r="CT77" s="18" t="n"/>
      <c r="CU77" s="18" t="n"/>
      <c r="CV77" s="18" t="n"/>
      <c r="CW77" s="18" t="n"/>
      <c r="CX77" s="18" t="n"/>
      <c r="CY77" s="18" t="n"/>
      <c r="CZ77" s="18" t="n"/>
      <c r="DA77" s="18" t="n"/>
      <c r="DB77" s="18" t="n"/>
      <c r="DC77" s="18" t="n"/>
      <c r="DD77" s="18" t="n"/>
      <c r="DE77" s="18" t="n"/>
      <c r="DF77" s="18" t="n"/>
      <c r="DG77" s="18" t="n"/>
      <c r="DH77" s="18" t="n"/>
      <c r="DI77" s="18" t="n"/>
      <c r="DJ77" s="18" t="n"/>
      <c r="DK77" s="18" t="n"/>
      <c r="DL77" s="18" t="n"/>
      <c r="DM77" s="18" t="n"/>
      <c r="DN77" s="18" t="n"/>
      <c r="DO77" s="18" t="n"/>
      <c r="DP77" s="18" t="n"/>
      <c r="DQ77" s="18" t="n"/>
      <c r="DR77" s="18" t="n"/>
      <c r="DS77" s="18" t="n"/>
      <c r="DT77" s="18" t="n"/>
      <c r="DU77" s="18" t="n"/>
      <c r="DV77" s="18" t="n"/>
      <c r="DW77" s="18" t="n"/>
      <c r="DX77" s="18" t="n"/>
      <c r="DY77" s="18" t="n"/>
      <c r="DZ77" s="18" t="n"/>
      <c r="EA77" s="18" t="n"/>
      <c r="EB77" s="18" t="n"/>
      <c r="EC77" s="18" t="n"/>
      <c r="ED77" s="18" t="n"/>
      <c r="EE77" s="18" t="n"/>
      <c r="EF77" s="18" t="n"/>
      <c r="EG77" s="18" t="n"/>
      <c r="EH77" s="18" t="n"/>
      <c r="EI77" s="18" t="n"/>
      <c r="EJ77" s="18" t="n"/>
      <c r="EK77" s="18" t="n"/>
      <c r="EL77" s="18" t="n"/>
      <c r="EM77" s="18" t="n"/>
      <c r="EN77" s="18" t="n"/>
      <c r="EO77" s="18" t="n"/>
      <c r="EP77" s="18" t="n"/>
      <c r="EQ77" s="18" t="n"/>
      <c r="ER77" s="18" t="n"/>
      <c r="ES77" s="18" t="n"/>
      <c r="ET77" s="18" t="n"/>
      <c r="EU77" s="18" t="n"/>
      <c r="EV77" s="18" t="n"/>
      <c r="EW77" s="18" t="n"/>
      <c r="EX77" s="18" t="n"/>
      <c r="EY77" s="18" t="n"/>
      <c r="EZ77" s="18" t="n"/>
      <c r="FA77" s="18" t="n"/>
      <c r="FB77" s="18" t="n"/>
      <c r="FC77" s="18" t="n"/>
      <c r="FD77" s="18" t="n"/>
      <c r="FE77" s="18" t="n"/>
      <c r="FF77" s="18" t="n"/>
      <c r="FG77" s="18" t="n"/>
      <c r="FH77" s="18" t="n"/>
      <c r="FI77" s="18" t="n"/>
      <c r="FJ77" s="18" t="n"/>
      <c r="FK77" s="18" t="n"/>
      <c r="FL77" s="18" t="n"/>
      <c r="FM77" s="18" t="n"/>
      <c r="FN77" s="18" t="n"/>
      <c r="FO77" s="18" t="n"/>
      <c r="FP77" s="18" t="n"/>
      <c r="FQ77" s="18" t="n"/>
      <c r="FR77" s="18" t="n"/>
      <c r="FS77" s="18" t="n"/>
      <c r="FT77" s="18" t="n"/>
      <c r="FU77" s="18" t="n"/>
      <c r="FV77" s="18" t="n"/>
      <c r="FW77" s="18" t="n"/>
      <c r="FX77" s="18" t="n"/>
      <c r="FY77" s="18" t="n"/>
      <c r="FZ77" s="18" t="n"/>
      <c r="GA77" s="18" t="n"/>
      <c r="GB77" s="18" t="n"/>
      <c r="GC77" s="18" t="n"/>
      <c r="GD77" s="18" t="n"/>
      <c r="GE77" s="18" t="n"/>
      <c r="GF77" s="18" t="n"/>
      <c r="GG77" s="18" t="n"/>
      <c r="GH77" s="18" t="n"/>
      <c r="GI77" s="18" t="n"/>
      <c r="GJ77" s="18" t="n"/>
      <c r="GK77" s="18" t="n"/>
      <c r="GL77" s="18" t="n"/>
      <c r="GM77" s="18" t="n"/>
      <c r="GN77" s="18" t="n"/>
      <c r="GO77" s="18" t="n"/>
      <c r="GP77" s="18" t="n"/>
      <c r="GQ77" s="18" t="n"/>
      <c r="GR77" s="18" t="n"/>
      <c r="GS77" s="18" t="n"/>
      <c r="GT77" s="18" t="n"/>
      <c r="GU77" s="18" t="n"/>
      <c r="GV77" s="18" t="n"/>
      <c r="GW77" s="18" t="n"/>
      <c r="GX77" s="18" t="n"/>
      <c r="GY77" s="18" t="n"/>
      <c r="GZ77" s="18" t="n"/>
      <c r="HA77" s="18" t="n"/>
      <c r="HB77" s="18" t="n"/>
    </row>
    <row r="78" ht="15.75" customHeight="1">
      <c r="A78" s="11" t="n"/>
      <c r="B78" s="11" t="n"/>
      <c r="C78" s="12" t="n"/>
      <c r="D78" s="12" t="n"/>
      <c r="E78" s="11" t="n"/>
      <c r="F78" s="14" t="n"/>
      <c r="G78" s="14" t="n"/>
      <c r="H78" s="16" t="n"/>
      <c r="I78" s="18" t="n"/>
      <c r="J78" s="18" t="n"/>
      <c r="K78" s="18" t="n"/>
      <c r="L78" s="18" t="n"/>
      <c r="M78" s="18" t="n"/>
      <c r="N78" s="18" t="n"/>
      <c r="O78" s="18" t="n"/>
      <c r="P78" s="18" t="n"/>
      <c r="Q78" s="18" t="n"/>
      <c r="R78" s="18" t="n"/>
      <c r="S78" s="18" t="n"/>
      <c r="T78" s="18" t="n"/>
      <c r="U78" s="18" t="n"/>
      <c r="V78" s="18" t="n"/>
      <c r="W78" s="18" t="n"/>
      <c r="X78" s="18" t="n"/>
      <c r="Y78" s="18" t="n"/>
      <c r="Z78" s="18" t="n"/>
      <c r="AA78" s="18" t="n"/>
      <c r="AB78" s="18" t="n"/>
      <c r="AC78" s="18" t="n"/>
      <c r="AD78" s="18" t="n"/>
      <c r="AE78" s="18" t="n"/>
      <c r="AF78" s="18" t="n"/>
      <c r="AG78" s="18" t="n"/>
      <c r="AH78" s="18" t="n"/>
      <c r="AI78" s="18" t="n"/>
      <c r="AJ78" s="18" t="n"/>
      <c r="AK78" s="18" t="n"/>
      <c r="AL78" s="18" t="n"/>
      <c r="AM78" s="18" t="n"/>
      <c r="AN78" s="18" t="n"/>
      <c r="AO78" s="18" t="n"/>
      <c r="AP78" s="18" t="n"/>
      <c r="AQ78" s="18" t="n"/>
      <c r="AR78" s="18" t="n"/>
      <c r="AS78" s="18" t="n"/>
      <c r="AT78" s="18" t="n"/>
      <c r="AU78" s="18" t="n"/>
      <c r="AV78" s="18" t="n"/>
      <c r="AW78" s="18" t="n"/>
      <c r="AX78" s="18" t="n"/>
      <c r="AY78" s="18" t="n"/>
      <c r="AZ78" s="18" t="n"/>
      <c r="BA78" s="18" t="n"/>
      <c r="BB78" s="18" t="n"/>
      <c r="BC78" s="18" t="n"/>
      <c r="BD78" s="18" t="n"/>
      <c r="BE78" s="18" t="n"/>
      <c r="BF78" s="18" t="n"/>
      <c r="BG78" s="18" t="n"/>
      <c r="BH78" s="18" t="n"/>
      <c r="BI78" s="18" t="n"/>
      <c r="BJ78" s="18" t="n"/>
      <c r="BK78" s="18" t="n"/>
      <c r="BL78" s="18" t="n"/>
      <c r="BM78" s="18" t="n"/>
      <c r="BN78" s="18" t="n"/>
      <c r="BO78" s="18" t="n"/>
      <c r="BP78" s="18" t="n"/>
      <c r="BQ78" s="18" t="n"/>
      <c r="BR78" s="18" t="n"/>
      <c r="BS78" s="18" t="n"/>
      <c r="BT78" s="18" t="n"/>
      <c r="BU78" s="18" t="n"/>
      <c r="BV78" s="18" t="n"/>
      <c r="BW78" s="18" t="n"/>
      <c r="BX78" s="18" t="n"/>
      <c r="BY78" s="18" t="n"/>
      <c r="BZ78" s="18" t="n"/>
      <c r="CA78" s="18" t="n"/>
      <c r="CB78" s="18" t="n"/>
      <c r="CC78" s="18" t="n"/>
      <c r="CD78" s="18" t="n"/>
      <c r="CE78" s="18" t="n"/>
      <c r="CF78" s="18" t="n"/>
      <c r="CG78" s="18" t="n"/>
      <c r="CH78" s="18" t="n"/>
      <c r="CI78" s="18" t="n"/>
      <c r="CJ78" s="18" t="n"/>
      <c r="CK78" s="18" t="n"/>
      <c r="CL78" s="18" t="n"/>
      <c r="CM78" s="18" t="n"/>
      <c r="CN78" s="18" t="n"/>
      <c r="CO78" s="18" t="n"/>
      <c r="CP78" s="18" t="n"/>
      <c r="CQ78" s="18" t="n"/>
      <c r="CR78" s="18" t="n"/>
      <c r="CS78" s="18" t="n"/>
      <c r="CT78" s="18" t="n"/>
      <c r="CU78" s="18" t="n"/>
      <c r="CV78" s="18" t="n"/>
      <c r="CW78" s="18" t="n"/>
      <c r="CX78" s="18" t="n"/>
      <c r="CY78" s="18" t="n"/>
      <c r="CZ78" s="18" t="n"/>
      <c r="DA78" s="18" t="n"/>
      <c r="DB78" s="18" t="n"/>
      <c r="DC78" s="18" t="n"/>
      <c r="DD78" s="18" t="n"/>
      <c r="DE78" s="18" t="n"/>
      <c r="DF78" s="18" t="n"/>
      <c r="DG78" s="18" t="n"/>
      <c r="DH78" s="18" t="n"/>
      <c r="DI78" s="18" t="n"/>
      <c r="DJ78" s="18" t="n"/>
      <c r="DK78" s="18" t="n"/>
      <c r="DL78" s="18" t="n"/>
      <c r="DM78" s="18" t="n"/>
      <c r="DN78" s="18" t="n"/>
      <c r="DO78" s="18" t="n"/>
      <c r="DP78" s="18" t="n"/>
      <c r="DQ78" s="18" t="n"/>
      <c r="DR78" s="18" t="n"/>
      <c r="DS78" s="18" t="n"/>
      <c r="DT78" s="18" t="n"/>
      <c r="DU78" s="18" t="n"/>
      <c r="DV78" s="18" t="n"/>
      <c r="DW78" s="18" t="n"/>
      <c r="DX78" s="18" t="n"/>
      <c r="DY78" s="18" t="n"/>
      <c r="DZ78" s="18" t="n"/>
      <c r="EA78" s="18" t="n"/>
      <c r="EB78" s="18" t="n"/>
      <c r="EC78" s="18" t="n"/>
      <c r="ED78" s="18" t="n"/>
      <c r="EE78" s="18" t="n"/>
      <c r="EF78" s="18" t="n"/>
      <c r="EG78" s="18" t="n"/>
      <c r="EH78" s="18" t="n"/>
      <c r="EI78" s="18" t="n"/>
      <c r="EJ78" s="18" t="n"/>
      <c r="EK78" s="18" t="n"/>
      <c r="EL78" s="18" t="n"/>
      <c r="EM78" s="18" t="n"/>
      <c r="EN78" s="18" t="n"/>
      <c r="EO78" s="18" t="n"/>
      <c r="EP78" s="18" t="n"/>
      <c r="EQ78" s="18" t="n"/>
      <c r="ER78" s="18" t="n"/>
      <c r="ES78" s="18" t="n"/>
      <c r="ET78" s="18" t="n"/>
      <c r="EU78" s="18" t="n"/>
      <c r="EV78" s="18" t="n"/>
      <c r="EW78" s="18" t="n"/>
      <c r="EX78" s="18" t="n"/>
      <c r="EY78" s="18" t="n"/>
      <c r="EZ78" s="18" t="n"/>
      <c r="FA78" s="18" t="n"/>
      <c r="FB78" s="18" t="n"/>
      <c r="FC78" s="18" t="n"/>
      <c r="FD78" s="18" t="n"/>
      <c r="FE78" s="18" t="n"/>
      <c r="FF78" s="18" t="n"/>
      <c r="FG78" s="18" t="n"/>
      <c r="FH78" s="18" t="n"/>
      <c r="FI78" s="18" t="n"/>
      <c r="FJ78" s="18" t="n"/>
      <c r="FK78" s="18" t="n"/>
      <c r="FL78" s="18" t="n"/>
      <c r="FM78" s="18" t="n"/>
      <c r="FN78" s="18" t="n"/>
      <c r="FO78" s="18" t="n"/>
      <c r="FP78" s="18" t="n"/>
      <c r="FQ78" s="18" t="n"/>
      <c r="FR78" s="18" t="n"/>
      <c r="FS78" s="18" t="n"/>
      <c r="FT78" s="18" t="n"/>
      <c r="FU78" s="18" t="n"/>
      <c r="FV78" s="18" t="n"/>
      <c r="FW78" s="18" t="n"/>
      <c r="FX78" s="18" t="n"/>
      <c r="FY78" s="18" t="n"/>
      <c r="FZ78" s="18" t="n"/>
      <c r="GA78" s="18" t="n"/>
      <c r="GB78" s="18" t="n"/>
      <c r="GC78" s="18" t="n"/>
      <c r="GD78" s="18" t="n"/>
      <c r="GE78" s="18" t="n"/>
      <c r="GF78" s="18" t="n"/>
      <c r="GG78" s="18" t="n"/>
      <c r="GH78" s="18" t="n"/>
      <c r="GI78" s="18" t="n"/>
      <c r="GJ78" s="18" t="n"/>
      <c r="GK78" s="18" t="n"/>
      <c r="GL78" s="18" t="n"/>
      <c r="GM78" s="18" t="n"/>
      <c r="GN78" s="18" t="n"/>
      <c r="GO78" s="18" t="n"/>
      <c r="GP78" s="18" t="n"/>
      <c r="GQ78" s="18" t="n"/>
      <c r="GR78" s="18" t="n"/>
      <c r="GS78" s="18" t="n"/>
      <c r="GT78" s="18" t="n"/>
      <c r="GU78" s="18" t="n"/>
      <c r="GV78" s="18" t="n"/>
      <c r="GW78" s="18" t="n"/>
      <c r="GX78" s="18" t="n"/>
      <c r="GY78" s="18" t="n"/>
      <c r="GZ78" s="18" t="n"/>
      <c r="HA78" s="18" t="n"/>
      <c r="HB78" s="18" t="n"/>
    </row>
    <row r="79" ht="15.75" customHeight="1">
      <c r="A79" s="11" t="n"/>
      <c r="B79" s="8" t="inlineStr">
        <is>
          <t>TO COLLECTION</t>
        </is>
      </c>
      <c r="C79" s="12" t="n"/>
      <c r="D79" s="12" t="n"/>
      <c r="E79" s="11" t="n"/>
      <c r="F79" s="14" t="n"/>
      <c r="G79" s="14" t="n"/>
      <c r="H79" s="35">
        <f>SUM(H37:H78)</f>
        <v>0.0</v>
      </c>
      <c r="I79" s="18" t="n"/>
      <c r="J79" s="18" t="n"/>
      <c r="K79" s="18" t="n"/>
      <c r="L79" s="18" t="n"/>
      <c r="M79" s="18" t="n"/>
      <c r="N79" s="18" t="n"/>
      <c r="O79" s="18" t="n"/>
      <c r="P79" s="18" t="n"/>
      <c r="Q79" s="18" t="n"/>
      <c r="R79" s="18" t="n"/>
      <c r="S79" s="18" t="n"/>
      <c r="T79" s="18" t="n"/>
      <c r="U79" s="18" t="n"/>
      <c r="V79" s="18" t="n"/>
      <c r="W79" s="18" t="n"/>
      <c r="X79" s="18" t="n"/>
      <c r="Y79" s="18" t="n"/>
      <c r="Z79" s="18" t="n"/>
      <c r="AA79" s="18" t="n"/>
      <c r="AB79" s="18" t="n"/>
      <c r="AC79" s="18" t="n"/>
      <c r="AD79" s="18" t="n"/>
      <c r="AE79" s="18" t="n"/>
      <c r="AF79" s="18" t="n"/>
      <c r="AG79" s="18" t="n"/>
      <c r="AH79" s="18" t="n"/>
      <c r="AI79" s="18" t="n"/>
      <c r="AJ79" s="18" t="n"/>
      <c r="AK79" s="18" t="n"/>
      <c r="AL79" s="18" t="n"/>
      <c r="AM79" s="18" t="n"/>
      <c r="AN79" s="18" t="n"/>
      <c r="AO79" s="18" t="n"/>
      <c r="AP79" s="18" t="n"/>
      <c r="AQ79" s="18" t="n"/>
      <c r="AR79" s="18" t="n"/>
      <c r="AS79" s="18" t="n"/>
      <c r="AT79" s="18" t="n"/>
      <c r="AU79" s="18" t="n"/>
      <c r="AV79" s="18" t="n"/>
      <c r="AW79" s="18" t="n"/>
      <c r="AX79" s="18" t="n"/>
      <c r="AY79" s="18" t="n"/>
      <c r="AZ79" s="18" t="n"/>
      <c r="BA79" s="18" t="n"/>
      <c r="BB79" s="18" t="n"/>
      <c r="BC79" s="18" t="n"/>
      <c r="BD79" s="18" t="n"/>
      <c r="BE79" s="18" t="n"/>
      <c r="BF79" s="18" t="n"/>
      <c r="BG79" s="18" t="n"/>
      <c r="BH79" s="18" t="n"/>
      <c r="BI79" s="18" t="n"/>
      <c r="BJ79" s="18" t="n"/>
      <c r="BK79" s="18" t="n"/>
      <c r="BL79" s="18" t="n"/>
      <c r="BM79" s="18" t="n"/>
      <c r="BN79" s="18" t="n"/>
      <c r="BO79" s="18" t="n"/>
      <c r="BP79" s="18" t="n"/>
      <c r="BQ79" s="18" t="n"/>
      <c r="BR79" s="18" t="n"/>
      <c r="BS79" s="18" t="n"/>
      <c r="BT79" s="18" t="n"/>
      <c r="BU79" s="18" t="n"/>
      <c r="BV79" s="18" t="n"/>
      <c r="BW79" s="18" t="n"/>
      <c r="BX79" s="18" t="n"/>
      <c r="BY79" s="18" t="n"/>
      <c r="BZ79" s="18" t="n"/>
      <c r="CA79" s="18" t="n"/>
      <c r="CB79" s="18" t="n"/>
      <c r="CC79" s="18" t="n"/>
      <c r="CD79" s="18" t="n"/>
      <c r="CE79" s="18" t="n"/>
      <c r="CF79" s="18" t="n"/>
      <c r="CG79" s="18" t="n"/>
      <c r="CH79" s="18" t="n"/>
      <c r="CI79" s="18" t="n"/>
      <c r="CJ79" s="18" t="n"/>
      <c r="CK79" s="18" t="n"/>
      <c r="CL79" s="18" t="n"/>
      <c r="CM79" s="18" t="n"/>
      <c r="CN79" s="18" t="n"/>
      <c r="CO79" s="18" t="n"/>
      <c r="CP79" s="18" t="n"/>
      <c r="CQ79" s="18" t="n"/>
      <c r="CR79" s="18" t="n"/>
      <c r="CS79" s="18" t="n"/>
      <c r="CT79" s="18" t="n"/>
      <c r="CU79" s="18" t="n"/>
      <c r="CV79" s="18" t="n"/>
      <c r="CW79" s="18" t="n"/>
      <c r="CX79" s="18" t="n"/>
      <c r="CY79" s="18" t="n"/>
      <c r="CZ79" s="18" t="n"/>
      <c r="DA79" s="18" t="n"/>
      <c r="DB79" s="18" t="n"/>
      <c r="DC79" s="18" t="n"/>
      <c r="DD79" s="18" t="n"/>
      <c r="DE79" s="18" t="n"/>
      <c r="DF79" s="18" t="n"/>
      <c r="DG79" s="18" t="n"/>
      <c r="DH79" s="18" t="n"/>
      <c r="DI79" s="18" t="n"/>
      <c r="DJ79" s="18" t="n"/>
      <c r="DK79" s="18" t="n"/>
      <c r="DL79" s="18" t="n"/>
      <c r="DM79" s="18" t="n"/>
      <c r="DN79" s="18" t="n"/>
      <c r="DO79" s="18" t="n"/>
      <c r="DP79" s="18" t="n"/>
      <c r="DQ79" s="18" t="n"/>
      <c r="DR79" s="18" t="n"/>
      <c r="DS79" s="18" t="n"/>
      <c r="DT79" s="18" t="n"/>
      <c r="DU79" s="18" t="n"/>
      <c r="DV79" s="18" t="n"/>
      <c r="DW79" s="18" t="n"/>
      <c r="DX79" s="18" t="n"/>
      <c r="DY79" s="18" t="n"/>
      <c r="DZ79" s="18" t="n"/>
      <c r="EA79" s="18" t="n"/>
      <c r="EB79" s="18" t="n"/>
      <c r="EC79" s="18" t="n"/>
      <c r="ED79" s="18" t="n"/>
      <c r="EE79" s="18" t="n"/>
      <c r="EF79" s="18" t="n"/>
      <c r="EG79" s="18" t="n"/>
      <c r="EH79" s="18" t="n"/>
      <c r="EI79" s="18" t="n"/>
      <c r="EJ79" s="18" t="n"/>
      <c r="EK79" s="18" t="n"/>
      <c r="EL79" s="18" t="n"/>
      <c r="EM79" s="18" t="n"/>
      <c r="EN79" s="18" t="n"/>
      <c r="EO79" s="18" t="n"/>
      <c r="EP79" s="18" t="n"/>
      <c r="EQ79" s="18" t="n"/>
      <c r="ER79" s="18" t="n"/>
      <c r="ES79" s="18" t="n"/>
      <c r="ET79" s="18" t="n"/>
      <c r="EU79" s="18" t="n"/>
      <c r="EV79" s="18" t="n"/>
      <c r="EW79" s="18" t="n"/>
      <c r="EX79" s="18" t="n"/>
      <c r="EY79" s="18" t="n"/>
      <c r="EZ79" s="18" t="n"/>
      <c r="FA79" s="18" t="n"/>
      <c r="FB79" s="18" t="n"/>
      <c r="FC79" s="18" t="n"/>
      <c r="FD79" s="18" t="n"/>
      <c r="FE79" s="18" t="n"/>
      <c r="FF79" s="18" t="n"/>
      <c r="FG79" s="18" t="n"/>
      <c r="FH79" s="18" t="n"/>
      <c r="FI79" s="18" t="n"/>
      <c r="FJ79" s="18" t="n"/>
      <c r="FK79" s="18" t="n"/>
      <c r="FL79" s="18" t="n"/>
      <c r="FM79" s="18" t="n"/>
      <c r="FN79" s="18" t="n"/>
      <c r="FO79" s="18" t="n"/>
      <c r="FP79" s="18" t="n"/>
      <c r="FQ79" s="18" t="n"/>
      <c r="FR79" s="18" t="n"/>
      <c r="FS79" s="18" t="n"/>
      <c r="FT79" s="18" t="n"/>
      <c r="FU79" s="18" t="n"/>
      <c r="FV79" s="18" t="n"/>
      <c r="FW79" s="18" t="n"/>
      <c r="FX79" s="18" t="n"/>
      <c r="FY79" s="18" t="n"/>
      <c r="FZ79" s="18" t="n"/>
      <c r="GA79" s="18" t="n"/>
      <c r="GB79" s="18" t="n"/>
      <c r="GC79" s="18" t="n"/>
      <c r="GD79" s="18" t="n"/>
      <c r="GE79" s="18" t="n"/>
      <c r="GF79" s="18" t="n"/>
      <c r="GG79" s="18" t="n"/>
      <c r="GH79" s="18" t="n"/>
      <c r="GI79" s="18" t="n"/>
      <c r="GJ79" s="18" t="n"/>
      <c r="GK79" s="18" t="n"/>
      <c r="GL79" s="18" t="n"/>
      <c r="GM79" s="18" t="n"/>
      <c r="GN79" s="18" t="n"/>
      <c r="GO79" s="18" t="n"/>
      <c r="GP79" s="18" t="n"/>
      <c r="GQ79" s="18" t="n"/>
      <c r="GR79" s="18" t="n"/>
      <c r="GS79" s="18" t="n"/>
      <c r="GT79" s="18" t="n"/>
      <c r="GU79" s="18" t="n"/>
      <c r="GV79" s="18" t="n"/>
      <c r="GW79" s="18" t="n"/>
      <c r="GX79" s="18" t="n"/>
      <c r="GY79" s="18" t="n"/>
      <c r="GZ79" s="18" t="n"/>
      <c r="HA79" s="18" t="n"/>
      <c r="HB79" s="18" t="n"/>
    </row>
    <row r="80" ht="15.75" customHeight="1">
      <c r="A80" s="11" t="n"/>
      <c r="B80" s="8" t="n"/>
      <c r="C80" s="12" t="n"/>
      <c r="D80" s="12" t="n"/>
      <c r="E80" s="11" t="n"/>
      <c r="F80" s="14" t="n"/>
      <c r="G80" s="14" t="n"/>
      <c r="H80" s="36" t="n"/>
      <c r="I80" s="18" t="n"/>
      <c r="J80" s="18" t="n"/>
      <c r="K80" s="18" t="n"/>
      <c r="L80" s="18" t="n"/>
      <c r="M80" s="18" t="n"/>
      <c r="N80" s="18" t="n"/>
      <c r="O80" s="18" t="n"/>
      <c r="P80" s="18" t="n"/>
      <c r="Q80" s="18" t="n"/>
      <c r="R80" s="18" t="n"/>
      <c r="S80" s="18" t="n"/>
      <c r="T80" s="18" t="n"/>
      <c r="U80" s="18" t="n"/>
      <c r="V80" s="18" t="n"/>
      <c r="W80" s="18" t="n"/>
      <c r="X80" s="18" t="n"/>
      <c r="Y80" s="18" t="n"/>
      <c r="Z80" s="18" t="n"/>
      <c r="AA80" s="18" t="n"/>
      <c r="AB80" s="18" t="n"/>
      <c r="AC80" s="18" t="n"/>
      <c r="AD80" s="18" t="n"/>
      <c r="AE80" s="18" t="n"/>
      <c r="AF80" s="18" t="n"/>
      <c r="AG80" s="18" t="n"/>
      <c r="AH80" s="18" t="n"/>
      <c r="AI80" s="18" t="n"/>
      <c r="AJ80" s="18" t="n"/>
      <c r="AK80" s="18" t="n"/>
      <c r="AL80" s="18" t="n"/>
      <c r="AM80" s="18" t="n"/>
      <c r="AN80" s="18" t="n"/>
      <c r="AO80" s="18" t="n"/>
      <c r="AP80" s="18" t="n"/>
      <c r="AQ80" s="18" t="n"/>
      <c r="AR80" s="18" t="n"/>
      <c r="AS80" s="18" t="n"/>
      <c r="AT80" s="18" t="n"/>
      <c r="AU80" s="18" t="n"/>
      <c r="AV80" s="18" t="n"/>
      <c r="AW80" s="18" t="n"/>
      <c r="AX80" s="18" t="n"/>
      <c r="AY80" s="18" t="n"/>
      <c r="AZ80" s="18" t="n"/>
      <c r="BA80" s="18" t="n"/>
      <c r="BB80" s="18" t="n"/>
      <c r="BC80" s="18" t="n"/>
      <c r="BD80" s="18" t="n"/>
      <c r="BE80" s="18" t="n"/>
      <c r="BF80" s="18" t="n"/>
      <c r="BG80" s="18" t="n"/>
      <c r="BH80" s="18" t="n"/>
      <c r="BI80" s="18" t="n"/>
      <c r="BJ80" s="18" t="n"/>
      <c r="BK80" s="18" t="n"/>
      <c r="BL80" s="18" t="n"/>
      <c r="BM80" s="18" t="n"/>
      <c r="BN80" s="18" t="n"/>
      <c r="BO80" s="18" t="n"/>
      <c r="BP80" s="18" t="n"/>
      <c r="BQ80" s="18" t="n"/>
      <c r="BR80" s="18" t="n"/>
      <c r="BS80" s="18" t="n"/>
      <c r="BT80" s="18" t="n"/>
      <c r="BU80" s="18" t="n"/>
      <c r="BV80" s="18" t="n"/>
      <c r="BW80" s="18" t="n"/>
      <c r="BX80" s="18" t="n"/>
      <c r="BY80" s="18" t="n"/>
      <c r="BZ80" s="18" t="n"/>
      <c r="CA80" s="18" t="n"/>
      <c r="CB80" s="18" t="n"/>
      <c r="CC80" s="18" t="n"/>
      <c r="CD80" s="18" t="n"/>
      <c r="CE80" s="18" t="n"/>
      <c r="CF80" s="18" t="n"/>
      <c r="CG80" s="18" t="n"/>
      <c r="CH80" s="18" t="n"/>
      <c r="CI80" s="18" t="n"/>
      <c r="CJ80" s="18" t="n"/>
      <c r="CK80" s="18" t="n"/>
      <c r="CL80" s="18" t="n"/>
      <c r="CM80" s="18" t="n"/>
      <c r="CN80" s="18" t="n"/>
      <c r="CO80" s="18" t="n"/>
      <c r="CP80" s="18" t="n"/>
      <c r="CQ80" s="18" t="n"/>
      <c r="CR80" s="18" t="n"/>
      <c r="CS80" s="18" t="n"/>
      <c r="CT80" s="18" t="n"/>
      <c r="CU80" s="18" t="n"/>
      <c r="CV80" s="18" t="n"/>
      <c r="CW80" s="18" t="n"/>
      <c r="CX80" s="18" t="n"/>
      <c r="CY80" s="18" t="n"/>
      <c r="CZ80" s="18" t="n"/>
      <c r="DA80" s="18" t="n"/>
      <c r="DB80" s="18" t="n"/>
      <c r="DC80" s="18" t="n"/>
      <c r="DD80" s="18" t="n"/>
      <c r="DE80" s="18" t="n"/>
      <c r="DF80" s="18" t="n"/>
      <c r="DG80" s="18" t="n"/>
      <c r="DH80" s="18" t="n"/>
      <c r="DI80" s="18" t="n"/>
      <c r="DJ80" s="18" t="n"/>
      <c r="DK80" s="18" t="n"/>
      <c r="DL80" s="18" t="n"/>
      <c r="DM80" s="18" t="n"/>
      <c r="DN80" s="18" t="n"/>
      <c r="DO80" s="18" t="n"/>
      <c r="DP80" s="18" t="n"/>
      <c r="DQ80" s="18" t="n"/>
      <c r="DR80" s="18" t="n"/>
      <c r="DS80" s="18" t="n"/>
      <c r="DT80" s="18" t="n"/>
      <c r="DU80" s="18" t="n"/>
      <c r="DV80" s="18" t="n"/>
      <c r="DW80" s="18" t="n"/>
      <c r="DX80" s="18" t="n"/>
      <c r="DY80" s="18" t="n"/>
      <c r="DZ80" s="18" t="n"/>
      <c r="EA80" s="18" t="n"/>
      <c r="EB80" s="18" t="n"/>
      <c r="EC80" s="18" t="n"/>
      <c r="ED80" s="18" t="n"/>
      <c r="EE80" s="18" t="n"/>
      <c r="EF80" s="18" t="n"/>
      <c r="EG80" s="18" t="n"/>
      <c r="EH80" s="18" t="n"/>
      <c r="EI80" s="18" t="n"/>
      <c r="EJ80" s="18" t="n"/>
      <c r="EK80" s="18" t="n"/>
      <c r="EL80" s="18" t="n"/>
      <c r="EM80" s="18" t="n"/>
      <c r="EN80" s="18" t="n"/>
      <c r="EO80" s="18" t="n"/>
      <c r="EP80" s="18" t="n"/>
      <c r="EQ80" s="18" t="n"/>
      <c r="ER80" s="18" t="n"/>
      <c r="ES80" s="18" t="n"/>
      <c r="ET80" s="18" t="n"/>
      <c r="EU80" s="18" t="n"/>
      <c r="EV80" s="18" t="n"/>
      <c r="EW80" s="18" t="n"/>
      <c r="EX80" s="18" t="n"/>
      <c r="EY80" s="18" t="n"/>
      <c r="EZ80" s="18" t="n"/>
      <c r="FA80" s="18" t="n"/>
      <c r="FB80" s="18" t="n"/>
      <c r="FC80" s="18" t="n"/>
      <c r="FD80" s="18" t="n"/>
      <c r="FE80" s="18" t="n"/>
      <c r="FF80" s="18" t="n"/>
      <c r="FG80" s="18" t="n"/>
      <c r="FH80" s="18" t="n"/>
      <c r="FI80" s="18" t="n"/>
      <c r="FJ80" s="18" t="n"/>
      <c r="FK80" s="18" t="n"/>
      <c r="FL80" s="18" t="n"/>
      <c r="FM80" s="18" t="n"/>
      <c r="FN80" s="18" t="n"/>
      <c r="FO80" s="18" t="n"/>
      <c r="FP80" s="18" t="n"/>
      <c r="FQ80" s="18" t="n"/>
      <c r="FR80" s="18" t="n"/>
      <c r="FS80" s="18" t="n"/>
      <c r="FT80" s="18" t="n"/>
      <c r="FU80" s="18" t="n"/>
      <c r="FV80" s="18" t="n"/>
      <c r="FW80" s="18" t="n"/>
      <c r="FX80" s="18" t="n"/>
      <c r="FY80" s="18" t="n"/>
      <c r="FZ80" s="18" t="n"/>
      <c r="GA80" s="18" t="n"/>
      <c r="GB80" s="18" t="n"/>
      <c r="GC80" s="18" t="n"/>
      <c r="GD80" s="18" t="n"/>
      <c r="GE80" s="18" t="n"/>
      <c r="GF80" s="18" t="n"/>
      <c r="GG80" s="18" t="n"/>
      <c r="GH80" s="18" t="n"/>
      <c r="GI80" s="18" t="n"/>
      <c r="GJ80" s="18" t="n"/>
      <c r="GK80" s="18" t="n"/>
      <c r="GL80" s="18" t="n"/>
      <c r="GM80" s="18" t="n"/>
      <c r="GN80" s="18" t="n"/>
      <c r="GO80" s="18" t="n"/>
      <c r="GP80" s="18" t="n"/>
      <c r="GQ80" s="18" t="n"/>
      <c r="GR80" s="18" t="n"/>
      <c r="GS80" s="18" t="n"/>
      <c r="GT80" s="18" t="n"/>
      <c r="GU80" s="18" t="n"/>
      <c r="GV80" s="18" t="n"/>
      <c r="GW80" s="18" t="n"/>
      <c r="GX80" s="18" t="n"/>
      <c r="GY80" s="18" t="n"/>
      <c r="GZ80" s="18" t="n"/>
      <c r="HA80" s="18" t="n"/>
      <c r="HB80" s="18" t="n"/>
    </row>
    <row r="81" ht="15.75" customHeight="1">
      <c r="A81" s="11" t="n"/>
      <c r="B81" s="8" t="n"/>
      <c r="C81" s="12" t="n"/>
      <c r="D81" s="12" t="n"/>
      <c r="E81" s="11" t="n"/>
      <c r="F81" s="14" t="n"/>
      <c r="G81" s="14" t="n"/>
      <c r="H81" s="36" t="n"/>
      <c r="I81" s="18" t="n"/>
      <c r="J81" s="18" t="n"/>
      <c r="K81" s="18" t="n"/>
      <c r="L81" s="18" t="n"/>
      <c r="M81" s="18" t="n"/>
      <c r="N81" s="18" t="n"/>
      <c r="O81" s="18" t="n"/>
      <c r="P81" s="18" t="n"/>
      <c r="Q81" s="18" t="n"/>
      <c r="R81" s="18" t="n"/>
      <c r="S81" s="18" t="n"/>
      <c r="T81" s="18" t="n"/>
      <c r="U81" s="18" t="n"/>
      <c r="V81" s="18" t="n"/>
      <c r="W81" s="18" t="n"/>
      <c r="X81" s="18" t="n"/>
      <c r="Y81" s="18" t="n"/>
      <c r="Z81" s="18" t="n"/>
      <c r="AA81" s="18" t="n"/>
      <c r="AB81" s="18" t="n"/>
      <c r="AC81" s="18" t="n"/>
      <c r="AD81" s="18" t="n"/>
      <c r="AE81" s="18" t="n"/>
      <c r="AF81" s="18" t="n"/>
      <c r="AG81" s="18" t="n"/>
      <c r="AH81" s="18" t="n"/>
      <c r="AI81" s="18" t="n"/>
      <c r="AJ81" s="18" t="n"/>
      <c r="AK81" s="18" t="n"/>
      <c r="AL81" s="18" t="n"/>
      <c r="AM81" s="18" t="n"/>
      <c r="AN81" s="18" t="n"/>
      <c r="AO81" s="18" t="n"/>
      <c r="AP81" s="18" t="n"/>
      <c r="AQ81" s="18" t="n"/>
      <c r="AR81" s="18" t="n"/>
      <c r="AS81" s="18" t="n"/>
      <c r="AT81" s="18" t="n"/>
      <c r="AU81" s="18" t="n"/>
      <c r="AV81" s="18" t="n"/>
      <c r="AW81" s="18" t="n"/>
      <c r="AX81" s="18" t="n"/>
      <c r="AY81" s="18" t="n"/>
      <c r="AZ81" s="18" t="n"/>
      <c r="BA81" s="18" t="n"/>
      <c r="BB81" s="18" t="n"/>
      <c r="BC81" s="18" t="n"/>
      <c r="BD81" s="18" t="n"/>
      <c r="BE81" s="18" t="n"/>
      <c r="BF81" s="18" t="n"/>
      <c r="BG81" s="18" t="n"/>
      <c r="BH81" s="18" t="n"/>
      <c r="BI81" s="18" t="n"/>
      <c r="BJ81" s="18" t="n"/>
      <c r="BK81" s="18" t="n"/>
      <c r="BL81" s="18" t="n"/>
      <c r="BM81" s="18" t="n"/>
      <c r="BN81" s="18" t="n"/>
      <c r="BO81" s="18" t="n"/>
      <c r="BP81" s="18" t="n"/>
      <c r="BQ81" s="18" t="n"/>
      <c r="BR81" s="18" t="n"/>
      <c r="BS81" s="18" t="n"/>
      <c r="BT81" s="18" t="n"/>
      <c r="BU81" s="18" t="n"/>
      <c r="BV81" s="18" t="n"/>
      <c r="BW81" s="18" t="n"/>
      <c r="BX81" s="18" t="n"/>
      <c r="BY81" s="18" t="n"/>
      <c r="BZ81" s="18" t="n"/>
      <c r="CA81" s="18" t="n"/>
      <c r="CB81" s="18" t="n"/>
      <c r="CC81" s="18" t="n"/>
      <c r="CD81" s="18" t="n"/>
      <c r="CE81" s="18" t="n"/>
      <c r="CF81" s="18" t="n"/>
      <c r="CG81" s="18" t="n"/>
      <c r="CH81" s="18" t="n"/>
      <c r="CI81" s="18" t="n"/>
      <c r="CJ81" s="18" t="n"/>
      <c r="CK81" s="18" t="n"/>
      <c r="CL81" s="18" t="n"/>
      <c r="CM81" s="18" t="n"/>
      <c r="CN81" s="18" t="n"/>
      <c r="CO81" s="18" t="n"/>
      <c r="CP81" s="18" t="n"/>
      <c r="CQ81" s="18" t="n"/>
      <c r="CR81" s="18" t="n"/>
      <c r="CS81" s="18" t="n"/>
      <c r="CT81" s="18" t="n"/>
      <c r="CU81" s="18" t="n"/>
      <c r="CV81" s="18" t="n"/>
      <c r="CW81" s="18" t="n"/>
      <c r="CX81" s="18" t="n"/>
      <c r="CY81" s="18" t="n"/>
      <c r="CZ81" s="18" t="n"/>
      <c r="DA81" s="18" t="n"/>
      <c r="DB81" s="18" t="n"/>
      <c r="DC81" s="18" t="n"/>
      <c r="DD81" s="18" t="n"/>
      <c r="DE81" s="18" t="n"/>
      <c r="DF81" s="18" t="n"/>
      <c r="DG81" s="18" t="n"/>
      <c r="DH81" s="18" t="n"/>
      <c r="DI81" s="18" t="n"/>
      <c r="DJ81" s="18" t="n"/>
      <c r="DK81" s="18" t="n"/>
      <c r="DL81" s="18" t="n"/>
      <c r="DM81" s="18" t="n"/>
      <c r="DN81" s="18" t="n"/>
      <c r="DO81" s="18" t="n"/>
      <c r="DP81" s="18" t="n"/>
      <c r="DQ81" s="18" t="n"/>
      <c r="DR81" s="18" t="n"/>
      <c r="DS81" s="18" t="n"/>
      <c r="DT81" s="18" t="n"/>
      <c r="DU81" s="18" t="n"/>
      <c r="DV81" s="18" t="n"/>
      <c r="DW81" s="18" t="n"/>
      <c r="DX81" s="18" t="n"/>
      <c r="DY81" s="18" t="n"/>
      <c r="DZ81" s="18" t="n"/>
      <c r="EA81" s="18" t="n"/>
      <c r="EB81" s="18" t="n"/>
      <c r="EC81" s="18" t="n"/>
      <c r="ED81" s="18" t="n"/>
      <c r="EE81" s="18" t="n"/>
      <c r="EF81" s="18" t="n"/>
      <c r="EG81" s="18" t="n"/>
      <c r="EH81" s="18" t="n"/>
      <c r="EI81" s="18" t="n"/>
      <c r="EJ81" s="18" t="n"/>
      <c r="EK81" s="18" t="n"/>
      <c r="EL81" s="18" t="n"/>
      <c r="EM81" s="18" t="n"/>
      <c r="EN81" s="18" t="n"/>
      <c r="EO81" s="18" t="n"/>
      <c r="EP81" s="18" t="n"/>
      <c r="EQ81" s="18" t="n"/>
      <c r="ER81" s="18" t="n"/>
      <c r="ES81" s="18" t="n"/>
      <c r="ET81" s="18" t="n"/>
      <c r="EU81" s="18" t="n"/>
      <c r="EV81" s="18" t="n"/>
      <c r="EW81" s="18" t="n"/>
      <c r="EX81" s="18" t="n"/>
      <c r="EY81" s="18" t="n"/>
      <c r="EZ81" s="18" t="n"/>
      <c r="FA81" s="18" t="n"/>
      <c r="FB81" s="18" t="n"/>
      <c r="FC81" s="18" t="n"/>
      <c r="FD81" s="18" t="n"/>
      <c r="FE81" s="18" t="n"/>
      <c r="FF81" s="18" t="n"/>
      <c r="FG81" s="18" t="n"/>
      <c r="FH81" s="18" t="n"/>
      <c r="FI81" s="18" t="n"/>
      <c r="FJ81" s="18" t="n"/>
      <c r="FK81" s="18" t="n"/>
      <c r="FL81" s="18" t="n"/>
      <c r="FM81" s="18" t="n"/>
      <c r="FN81" s="18" t="n"/>
      <c r="FO81" s="18" t="n"/>
      <c r="FP81" s="18" t="n"/>
      <c r="FQ81" s="18" t="n"/>
      <c r="FR81" s="18" t="n"/>
      <c r="FS81" s="18" t="n"/>
      <c r="FT81" s="18" t="n"/>
      <c r="FU81" s="18" t="n"/>
      <c r="FV81" s="18" t="n"/>
      <c r="FW81" s="18" t="n"/>
      <c r="FX81" s="18" t="n"/>
      <c r="FY81" s="18" t="n"/>
      <c r="FZ81" s="18" t="n"/>
      <c r="GA81" s="18" t="n"/>
      <c r="GB81" s="18" t="n"/>
      <c r="GC81" s="18" t="n"/>
      <c r="GD81" s="18" t="n"/>
      <c r="GE81" s="18" t="n"/>
      <c r="GF81" s="18" t="n"/>
      <c r="GG81" s="18" t="n"/>
      <c r="GH81" s="18" t="n"/>
      <c r="GI81" s="18" t="n"/>
      <c r="GJ81" s="18" t="n"/>
      <c r="GK81" s="18" t="n"/>
      <c r="GL81" s="18" t="n"/>
      <c r="GM81" s="18" t="n"/>
      <c r="GN81" s="18" t="n"/>
      <c r="GO81" s="18" t="n"/>
      <c r="GP81" s="18" t="n"/>
      <c r="GQ81" s="18" t="n"/>
      <c r="GR81" s="18" t="n"/>
      <c r="GS81" s="18" t="n"/>
      <c r="GT81" s="18" t="n"/>
      <c r="GU81" s="18" t="n"/>
      <c r="GV81" s="18" t="n"/>
      <c r="GW81" s="18" t="n"/>
      <c r="GX81" s="18" t="n"/>
      <c r="GY81" s="18" t="n"/>
      <c r="GZ81" s="18" t="n"/>
      <c r="HA81" s="18" t="n"/>
      <c r="HB81" s="37" t="inlineStr">
        <is>
          <t> </t>
        </is>
      </c>
    </row>
    <row r="82" ht="15.75" customHeight="1">
      <c r="A82" s="11" t="n"/>
      <c r="B82" s="38" t="inlineStr">
        <is>
          <t>COLLECTION</t>
        </is>
      </c>
      <c r="C82" s="12" t="n"/>
      <c r="D82" s="12" t="n"/>
      <c r="E82" s="11" t="n"/>
      <c r="F82" s="14" t="n"/>
      <c r="G82" s="14" t="n"/>
      <c r="H82" s="16" t="n"/>
      <c r="I82" s="18" t="n"/>
      <c r="J82" s="18" t="n"/>
      <c r="K82" s="18" t="n"/>
      <c r="L82" s="18" t="n"/>
      <c r="M82" s="18" t="n"/>
      <c r="N82" s="18" t="n"/>
      <c r="O82" s="18" t="n"/>
      <c r="P82" s="18" t="n"/>
      <c r="Q82" s="18" t="n"/>
      <c r="R82" s="18" t="n"/>
      <c r="S82" s="18" t="n"/>
      <c r="T82" s="18" t="n"/>
      <c r="U82" s="18" t="n"/>
      <c r="V82" s="18" t="n"/>
      <c r="W82" s="18" t="n"/>
      <c r="X82" s="18" t="n"/>
      <c r="Y82" s="18" t="n"/>
      <c r="Z82" s="18" t="n"/>
      <c r="AA82" s="18" t="n"/>
      <c r="AB82" s="18" t="n"/>
      <c r="AC82" s="18" t="n"/>
      <c r="AD82" s="18" t="n"/>
      <c r="AE82" s="18" t="n"/>
      <c r="AF82" s="18" t="n"/>
      <c r="AG82" s="18" t="n"/>
      <c r="AH82" s="18" t="n"/>
      <c r="AI82" s="18" t="n"/>
      <c r="AJ82" s="18" t="n"/>
      <c r="AK82" s="18" t="n"/>
      <c r="AL82" s="18" t="n"/>
      <c r="AM82" s="18" t="n"/>
      <c r="AN82" s="18" t="n"/>
      <c r="AO82" s="18" t="n"/>
      <c r="AP82" s="18" t="n"/>
      <c r="AQ82" s="18" t="n"/>
      <c r="AR82" s="18" t="n"/>
      <c r="AS82" s="18" t="n"/>
      <c r="AT82" s="18" t="n"/>
      <c r="AU82" s="18" t="n"/>
      <c r="AV82" s="18" t="n"/>
      <c r="AW82" s="18" t="n"/>
      <c r="AX82" s="18" t="n"/>
      <c r="AY82" s="18" t="n"/>
      <c r="AZ82" s="18" t="n"/>
      <c r="BA82" s="18" t="n"/>
      <c r="BB82" s="18" t="n"/>
      <c r="BC82" s="18" t="n"/>
      <c r="BD82" s="18" t="n"/>
      <c r="BE82" s="18" t="n"/>
      <c r="BF82" s="18" t="n"/>
      <c r="BG82" s="18" t="n"/>
      <c r="BH82" s="18" t="n"/>
      <c r="BI82" s="18" t="n"/>
      <c r="BJ82" s="18" t="n"/>
      <c r="BK82" s="18" t="n"/>
      <c r="BL82" s="18" t="n"/>
      <c r="BM82" s="18" t="n"/>
      <c r="BN82" s="18" t="n"/>
      <c r="BO82" s="18" t="n"/>
      <c r="BP82" s="18" t="n"/>
      <c r="BQ82" s="18" t="n"/>
      <c r="BR82" s="18" t="n"/>
      <c r="BS82" s="18" t="n"/>
      <c r="BT82" s="18" t="n"/>
      <c r="BU82" s="18" t="n"/>
      <c r="BV82" s="18" t="n"/>
      <c r="BW82" s="18" t="n"/>
      <c r="BX82" s="18" t="n"/>
      <c r="BY82" s="18" t="n"/>
      <c r="BZ82" s="18" t="n"/>
      <c r="CA82" s="18" t="n"/>
      <c r="CB82" s="18" t="n"/>
      <c r="CC82" s="18" t="n"/>
      <c r="CD82" s="18" t="n"/>
      <c r="CE82" s="18" t="n"/>
      <c r="CF82" s="18" t="n"/>
      <c r="CG82" s="18" t="n"/>
      <c r="CH82" s="18" t="n"/>
      <c r="CI82" s="18" t="n"/>
      <c r="CJ82" s="18" t="n"/>
      <c r="CK82" s="18" t="n"/>
      <c r="CL82" s="18" t="n"/>
      <c r="CM82" s="18" t="n"/>
      <c r="CN82" s="18" t="n"/>
      <c r="CO82" s="18" t="n"/>
      <c r="CP82" s="18" t="n"/>
      <c r="CQ82" s="18" t="n"/>
      <c r="CR82" s="18" t="n"/>
      <c r="CS82" s="18" t="n"/>
      <c r="CT82" s="18" t="n"/>
      <c r="CU82" s="18" t="n"/>
      <c r="CV82" s="18" t="n"/>
      <c r="CW82" s="18" t="n"/>
      <c r="CX82" s="18" t="n"/>
      <c r="CY82" s="18" t="n"/>
      <c r="CZ82" s="18" t="n"/>
      <c r="DA82" s="18" t="n"/>
      <c r="DB82" s="18" t="n"/>
      <c r="DC82" s="18" t="n"/>
      <c r="DD82" s="18" t="n"/>
      <c r="DE82" s="18" t="n"/>
      <c r="DF82" s="18" t="n"/>
      <c r="DG82" s="18" t="n"/>
      <c r="DH82" s="18" t="n"/>
      <c r="DI82" s="18" t="n"/>
      <c r="DJ82" s="18" t="n"/>
      <c r="DK82" s="18" t="n"/>
      <c r="DL82" s="18" t="n"/>
      <c r="DM82" s="18" t="n"/>
      <c r="DN82" s="18" t="n"/>
      <c r="DO82" s="18" t="n"/>
      <c r="DP82" s="18" t="n"/>
      <c r="DQ82" s="18" t="n"/>
      <c r="DR82" s="18" t="n"/>
      <c r="DS82" s="18" t="n"/>
      <c r="DT82" s="18" t="n"/>
      <c r="DU82" s="18" t="n"/>
      <c r="DV82" s="18" t="n"/>
      <c r="DW82" s="18" t="n"/>
      <c r="DX82" s="18" t="n"/>
      <c r="DY82" s="18" t="n"/>
      <c r="DZ82" s="18" t="n"/>
      <c r="EA82" s="18" t="n"/>
      <c r="EB82" s="18" t="n"/>
      <c r="EC82" s="18" t="n"/>
      <c r="ED82" s="18" t="n"/>
      <c r="EE82" s="18" t="n"/>
      <c r="EF82" s="18" t="n"/>
      <c r="EG82" s="18" t="n"/>
      <c r="EH82" s="18" t="n"/>
      <c r="EI82" s="18" t="n"/>
      <c r="EJ82" s="18" t="n"/>
      <c r="EK82" s="18" t="n"/>
      <c r="EL82" s="18" t="n"/>
      <c r="EM82" s="18" t="n"/>
      <c r="EN82" s="18" t="n"/>
      <c r="EO82" s="18" t="n"/>
      <c r="EP82" s="18" t="n"/>
      <c r="EQ82" s="18" t="n"/>
      <c r="ER82" s="18" t="n"/>
      <c r="ES82" s="18" t="n"/>
      <c r="ET82" s="18" t="n"/>
      <c r="EU82" s="18" t="n"/>
      <c r="EV82" s="18" t="n"/>
      <c r="EW82" s="18" t="n"/>
      <c r="EX82" s="18" t="n"/>
      <c r="EY82" s="18" t="n"/>
      <c r="EZ82" s="18" t="n"/>
      <c r="FA82" s="18" t="n"/>
      <c r="FB82" s="18" t="n"/>
      <c r="FC82" s="18" t="n"/>
      <c r="FD82" s="18" t="n"/>
      <c r="FE82" s="18" t="n"/>
      <c r="FF82" s="18" t="n"/>
      <c r="FG82" s="18" t="n"/>
      <c r="FH82" s="18" t="n"/>
      <c r="FI82" s="18" t="n"/>
      <c r="FJ82" s="18" t="n"/>
      <c r="FK82" s="18" t="n"/>
      <c r="FL82" s="18" t="n"/>
      <c r="FM82" s="18" t="n"/>
      <c r="FN82" s="18" t="n"/>
      <c r="FO82" s="18" t="n"/>
      <c r="FP82" s="18" t="n"/>
      <c r="FQ82" s="18" t="n"/>
      <c r="FR82" s="18" t="n"/>
      <c r="FS82" s="18" t="n"/>
      <c r="FT82" s="18" t="n"/>
      <c r="FU82" s="18" t="n"/>
      <c r="FV82" s="18" t="n"/>
      <c r="FW82" s="18" t="n"/>
      <c r="FX82" s="18" t="n"/>
      <c r="FY82" s="18" t="n"/>
      <c r="FZ82" s="18" t="n"/>
      <c r="GA82" s="18" t="n"/>
      <c r="GB82" s="18" t="n"/>
      <c r="GC82" s="18" t="n"/>
      <c r="GD82" s="18" t="n"/>
      <c r="GE82" s="18" t="n"/>
      <c r="GF82" s="18" t="n"/>
      <c r="GG82" s="18" t="n"/>
      <c r="GH82" s="18" t="n"/>
      <c r="GI82" s="18" t="n"/>
      <c r="GJ82" s="18" t="n"/>
      <c r="GK82" s="18" t="n"/>
      <c r="GL82" s="18" t="n"/>
      <c r="GM82" s="18" t="n"/>
      <c r="GN82" s="18" t="n"/>
      <c r="GO82" s="18" t="n"/>
      <c r="GP82" s="18" t="n"/>
      <c r="GQ82" s="18" t="n"/>
      <c r="GR82" s="18" t="n"/>
      <c r="GS82" s="18" t="n"/>
      <c r="GT82" s="18" t="n"/>
      <c r="GU82" s="18" t="n"/>
      <c r="GV82" s="18" t="n"/>
      <c r="GW82" s="18" t="n"/>
      <c r="GX82" s="18" t="n"/>
      <c r="GY82" s="18" t="n"/>
      <c r="GZ82" s="18" t="n"/>
      <c r="HA82" s="18" t="n"/>
      <c r="HB82" s="18" t="n"/>
    </row>
    <row r="83" ht="15.75" customHeight="1">
      <c r="A83" s="11" t="n"/>
      <c r="B83" s="11" t="inlineStr">
        <is>
          <t>Page 1</t>
        </is>
      </c>
      <c r="C83" s="12" t="n"/>
      <c r="D83" s="12" t="n"/>
      <c r="E83" s="11" t="n"/>
      <c r="F83" s="14" t="n"/>
      <c r="G83" s="14" t="n"/>
      <c r="H83" s="39">
        <f>H42</f>
        <v>0.0</v>
      </c>
      <c r="I83" s="18" t="n"/>
      <c r="J83" s="18" t="n"/>
      <c r="K83" s="18" t="n"/>
      <c r="L83" s="18" t="n"/>
      <c r="M83" s="18" t="n"/>
      <c r="N83" s="18" t="n"/>
      <c r="O83" s="18" t="n"/>
      <c r="P83" s="18" t="n"/>
      <c r="Q83" s="18" t="n"/>
      <c r="R83" s="18" t="n"/>
      <c r="S83" s="18" t="n"/>
      <c r="T83" s="18" t="n"/>
      <c r="U83" s="18" t="n"/>
      <c r="V83" s="18" t="n"/>
      <c r="W83" s="18" t="n"/>
      <c r="X83" s="18" t="n"/>
      <c r="Y83" s="18" t="n"/>
      <c r="Z83" s="18" t="n"/>
      <c r="AA83" s="18" t="n"/>
      <c r="AB83" s="18" t="n"/>
      <c r="AC83" s="18" t="n"/>
      <c r="AD83" s="18" t="n"/>
      <c r="AE83" s="18" t="n"/>
      <c r="AF83" s="18" t="n"/>
      <c r="AG83" s="18" t="n"/>
      <c r="AH83" s="18" t="n"/>
      <c r="AI83" s="18" t="n"/>
      <c r="AJ83" s="18" t="n"/>
      <c r="AK83" s="18" t="n"/>
      <c r="AL83" s="18" t="n"/>
      <c r="AM83" s="18" t="n"/>
      <c r="AN83" s="18" t="n"/>
      <c r="AO83" s="18" t="n"/>
      <c r="AP83" s="18" t="n"/>
      <c r="AQ83" s="18" t="n"/>
      <c r="AR83" s="18" t="n"/>
      <c r="AS83" s="18" t="n"/>
      <c r="AT83" s="18" t="n"/>
      <c r="AU83" s="18" t="n"/>
      <c r="AV83" s="18" t="n"/>
      <c r="AW83" s="18" t="n"/>
      <c r="AX83" s="18" t="n"/>
      <c r="AY83" s="18" t="n"/>
      <c r="AZ83" s="18" t="n"/>
      <c r="BA83" s="18" t="n"/>
      <c r="BB83" s="18" t="n"/>
      <c r="BC83" s="18" t="n"/>
      <c r="BD83" s="18" t="n"/>
      <c r="BE83" s="18" t="n"/>
      <c r="BF83" s="18" t="n"/>
      <c r="BG83" s="18" t="n"/>
      <c r="BH83" s="18" t="n"/>
      <c r="BI83" s="18" t="n"/>
      <c r="BJ83" s="18" t="n"/>
      <c r="BK83" s="18" t="n"/>
      <c r="BL83" s="18" t="n"/>
      <c r="BM83" s="18" t="n"/>
      <c r="BN83" s="18" t="n"/>
      <c r="BO83" s="18" t="n"/>
      <c r="BP83" s="18" t="n"/>
      <c r="BQ83" s="18" t="n"/>
      <c r="BR83" s="18" t="n"/>
      <c r="BS83" s="18" t="n"/>
      <c r="BT83" s="18" t="n"/>
      <c r="BU83" s="18" t="n"/>
      <c r="BV83" s="18" t="n"/>
      <c r="BW83" s="18" t="n"/>
      <c r="BX83" s="18" t="n"/>
      <c r="BY83" s="18" t="n"/>
      <c r="BZ83" s="18" t="n"/>
      <c r="CA83" s="18" t="n"/>
      <c r="CB83" s="18" t="n"/>
      <c r="CC83" s="18" t="n"/>
      <c r="CD83" s="18" t="n"/>
      <c r="CE83" s="18" t="n"/>
      <c r="CF83" s="18" t="n"/>
      <c r="CG83" s="18" t="n"/>
      <c r="CH83" s="18" t="n"/>
      <c r="CI83" s="18" t="n"/>
      <c r="CJ83" s="18" t="n"/>
      <c r="CK83" s="18" t="n"/>
      <c r="CL83" s="18" t="n"/>
      <c r="CM83" s="18" t="n"/>
      <c r="CN83" s="18" t="n"/>
      <c r="CO83" s="18" t="n"/>
      <c r="CP83" s="18" t="n"/>
      <c r="CQ83" s="18" t="n"/>
      <c r="CR83" s="18" t="n"/>
      <c r="CS83" s="18" t="n"/>
      <c r="CT83" s="18" t="n"/>
      <c r="CU83" s="18" t="n"/>
      <c r="CV83" s="18" t="n"/>
      <c r="CW83" s="18" t="n"/>
      <c r="CX83" s="18" t="n"/>
      <c r="CY83" s="18" t="n"/>
      <c r="CZ83" s="18" t="n"/>
      <c r="DA83" s="18" t="n"/>
      <c r="DB83" s="18" t="n"/>
      <c r="DC83" s="18" t="n"/>
      <c r="DD83" s="18" t="n"/>
      <c r="DE83" s="18" t="n"/>
      <c r="DF83" s="18" t="n"/>
      <c r="DG83" s="18" t="n"/>
      <c r="DH83" s="18" t="n"/>
      <c r="DI83" s="18" t="n"/>
      <c r="DJ83" s="18" t="n"/>
      <c r="DK83" s="18" t="n"/>
      <c r="DL83" s="18" t="n"/>
      <c r="DM83" s="18" t="n"/>
      <c r="DN83" s="18" t="n"/>
      <c r="DO83" s="18" t="n"/>
      <c r="DP83" s="18" t="n"/>
      <c r="DQ83" s="18" t="n"/>
      <c r="DR83" s="18" t="n"/>
      <c r="DS83" s="18" t="n"/>
      <c r="DT83" s="18" t="n"/>
      <c r="DU83" s="18" t="n"/>
      <c r="DV83" s="18" t="n"/>
      <c r="DW83" s="18" t="n"/>
      <c r="DX83" s="18" t="n"/>
      <c r="DY83" s="18" t="n"/>
      <c r="DZ83" s="18" t="n"/>
      <c r="EA83" s="18" t="n"/>
      <c r="EB83" s="18" t="n"/>
      <c r="EC83" s="18" t="n"/>
      <c r="ED83" s="18" t="n"/>
      <c r="EE83" s="18" t="n"/>
      <c r="EF83" s="18" t="n"/>
      <c r="EG83" s="18" t="n"/>
      <c r="EH83" s="18" t="n"/>
      <c r="EI83" s="18" t="n"/>
      <c r="EJ83" s="18" t="n"/>
      <c r="EK83" s="18" t="n"/>
      <c r="EL83" s="18" t="n"/>
      <c r="EM83" s="18" t="n"/>
      <c r="EN83" s="18" t="n"/>
      <c r="EO83" s="18" t="n"/>
      <c r="EP83" s="18" t="n"/>
      <c r="EQ83" s="18" t="n"/>
      <c r="ER83" s="18" t="n"/>
      <c r="ES83" s="18" t="n"/>
      <c r="ET83" s="18" t="n"/>
      <c r="EU83" s="18" t="n"/>
      <c r="EV83" s="18" t="n"/>
      <c r="EW83" s="18" t="n"/>
      <c r="EX83" s="18" t="n"/>
      <c r="EY83" s="18" t="n"/>
      <c r="EZ83" s="18" t="n"/>
      <c r="FA83" s="18" t="n"/>
      <c r="FB83" s="18" t="n"/>
      <c r="FC83" s="18" t="n"/>
      <c r="FD83" s="18" t="n"/>
      <c r="FE83" s="18" t="n"/>
      <c r="FF83" s="18" t="n"/>
      <c r="FG83" s="18" t="n"/>
      <c r="FH83" s="18" t="n"/>
      <c r="FI83" s="18" t="n"/>
      <c r="FJ83" s="18" t="n"/>
      <c r="FK83" s="18" t="n"/>
      <c r="FL83" s="18" t="n"/>
      <c r="FM83" s="18" t="n"/>
      <c r="FN83" s="18" t="n"/>
      <c r="FO83" s="18" t="n"/>
      <c r="FP83" s="18" t="n"/>
      <c r="FQ83" s="18" t="n"/>
      <c r="FR83" s="18" t="n"/>
      <c r="FS83" s="18" t="n"/>
      <c r="FT83" s="18" t="n"/>
      <c r="FU83" s="18" t="n"/>
      <c r="FV83" s="18" t="n"/>
      <c r="FW83" s="18" t="n"/>
      <c r="FX83" s="18" t="n"/>
      <c r="FY83" s="18" t="n"/>
      <c r="FZ83" s="18" t="n"/>
      <c r="GA83" s="18" t="n"/>
      <c r="GB83" s="18" t="n"/>
      <c r="GC83" s="18" t="n"/>
      <c r="GD83" s="18" t="n"/>
      <c r="GE83" s="18" t="n"/>
      <c r="GF83" s="18" t="n"/>
      <c r="GG83" s="18" t="n"/>
      <c r="GH83" s="18" t="n"/>
      <c r="GI83" s="18" t="n"/>
      <c r="GJ83" s="18" t="n"/>
      <c r="GK83" s="18" t="n"/>
      <c r="GL83" s="18" t="n"/>
      <c r="GM83" s="18" t="n"/>
      <c r="GN83" s="18" t="n"/>
      <c r="GO83" s="18" t="n"/>
      <c r="GP83" s="18" t="n"/>
      <c r="GQ83" s="18" t="n"/>
      <c r="GR83" s="18" t="n"/>
      <c r="GS83" s="18" t="n"/>
      <c r="GT83" s="18" t="n"/>
      <c r="GU83" s="18" t="n"/>
      <c r="GV83" s="18" t="n"/>
      <c r="GW83" s="18" t="n"/>
      <c r="GX83" s="18" t="n"/>
      <c r="GY83" s="18" t="n"/>
      <c r="GZ83" s="18" t="n"/>
      <c r="HA83" s="18" t="n"/>
      <c r="HB83" s="18" t="n"/>
    </row>
    <row r="84" ht="15.75" customHeight="1">
      <c r="A84" s="11" t="n"/>
      <c r="B84" s="11" t="n"/>
      <c r="C84" s="12" t="n"/>
      <c r="D84" s="12" t="n"/>
      <c r="E84" s="11" t="n"/>
      <c r="F84" s="14" t="n"/>
      <c r="G84" s="14" t="n"/>
      <c r="H84" s="16" t="n"/>
      <c r="I84" s="18" t="n"/>
      <c r="J84" s="18" t="n"/>
      <c r="K84" s="18" t="n"/>
      <c r="L84" s="18" t="n"/>
      <c r="M84" s="18" t="n"/>
      <c r="N84" s="18" t="n"/>
      <c r="O84" s="18" t="n"/>
      <c r="P84" s="18" t="n"/>
      <c r="Q84" s="18" t="n"/>
      <c r="R84" s="18" t="n"/>
      <c r="S84" s="18" t="n"/>
      <c r="T84" s="18" t="n"/>
      <c r="U84" s="18" t="n"/>
      <c r="V84" s="18" t="n"/>
      <c r="W84" s="18" t="n"/>
      <c r="X84" s="18" t="n"/>
      <c r="Y84" s="18" t="n"/>
      <c r="Z84" s="18" t="n"/>
      <c r="AA84" s="18" t="n"/>
      <c r="AB84" s="18" t="n"/>
      <c r="AC84" s="18" t="n"/>
      <c r="AD84" s="18" t="n"/>
      <c r="AE84" s="18" t="n"/>
      <c r="AF84" s="18" t="n"/>
      <c r="AG84" s="18" t="n"/>
      <c r="AH84" s="18" t="n"/>
      <c r="AI84" s="18" t="n"/>
      <c r="AJ84" s="18" t="n"/>
      <c r="AK84" s="18" t="n"/>
      <c r="AL84" s="18" t="n"/>
      <c r="AM84" s="18" t="n"/>
      <c r="AN84" s="18" t="n"/>
      <c r="AO84" s="18" t="n"/>
      <c r="AP84" s="18" t="n"/>
      <c r="AQ84" s="18" t="n"/>
      <c r="AR84" s="18" t="n"/>
      <c r="AS84" s="18" t="n"/>
      <c r="AT84" s="18" t="n"/>
      <c r="AU84" s="18" t="n"/>
      <c r="AV84" s="18" t="n"/>
      <c r="AW84" s="18" t="n"/>
      <c r="AX84" s="18" t="n"/>
      <c r="AY84" s="18" t="n"/>
      <c r="AZ84" s="18" t="n"/>
      <c r="BA84" s="18" t="n"/>
      <c r="BB84" s="18" t="n"/>
      <c r="BC84" s="18" t="n"/>
      <c r="BD84" s="18" t="n"/>
      <c r="BE84" s="18" t="n"/>
      <c r="BF84" s="18" t="n"/>
      <c r="BG84" s="18" t="n"/>
      <c r="BH84" s="18" t="n"/>
      <c r="BI84" s="18" t="n"/>
      <c r="BJ84" s="18" t="n"/>
      <c r="BK84" s="18" t="n"/>
      <c r="BL84" s="18" t="n"/>
      <c r="BM84" s="18" t="n"/>
      <c r="BN84" s="18" t="n"/>
      <c r="BO84" s="18" t="n"/>
      <c r="BP84" s="18" t="n"/>
      <c r="BQ84" s="18" t="n"/>
      <c r="BR84" s="18" t="n"/>
      <c r="BS84" s="18" t="n"/>
      <c r="BT84" s="18" t="n"/>
      <c r="BU84" s="18" t="n"/>
      <c r="BV84" s="18" t="n"/>
      <c r="BW84" s="18" t="n"/>
      <c r="BX84" s="18" t="n"/>
      <c r="BY84" s="18" t="n"/>
      <c r="BZ84" s="18" t="n"/>
      <c r="CA84" s="18" t="n"/>
      <c r="CB84" s="18" t="n"/>
      <c r="CC84" s="18" t="n"/>
      <c r="CD84" s="18" t="n"/>
      <c r="CE84" s="18" t="n"/>
      <c r="CF84" s="18" t="n"/>
      <c r="CG84" s="18" t="n"/>
      <c r="CH84" s="18" t="n"/>
      <c r="CI84" s="18" t="n"/>
      <c r="CJ84" s="18" t="n"/>
      <c r="CK84" s="18" t="n"/>
      <c r="CL84" s="18" t="n"/>
      <c r="CM84" s="18" t="n"/>
      <c r="CN84" s="18" t="n"/>
      <c r="CO84" s="18" t="n"/>
      <c r="CP84" s="18" t="n"/>
      <c r="CQ84" s="18" t="n"/>
      <c r="CR84" s="18" t="n"/>
      <c r="CS84" s="18" t="n"/>
      <c r="CT84" s="18" t="n"/>
      <c r="CU84" s="18" t="n"/>
      <c r="CV84" s="18" t="n"/>
      <c r="CW84" s="18" t="n"/>
      <c r="CX84" s="18" t="n"/>
      <c r="CY84" s="18" t="n"/>
      <c r="CZ84" s="18" t="n"/>
      <c r="DA84" s="18" t="n"/>
      <c r="DB84" s="18" t="n"/>
      <c r="DC84" s="18" t="n"/>
      <c r="DD84" s="18" t="n"/>
      <c r="DE84" s="18" t="n"/>
      <c r="DF84" s="18" t="n"/>
      <c r="DG84" s="18" t="n"/>
      <c r="DH84" s="18" t="n"/>
      <c r="DI84" s="18" t="n"/>
      <c r="DJ84" s="18" t="n"/>
      <c r="DK84" s="18" t="n"/>
      <c r="DL84" s="18" t="n"/>
      <c r="DM84" s="18" t="n"/>
      <c r="DN84" s="18" t="n"/>
      <c r="DO84" s="18" t="n"/>
      <c r="DP84" s="18" t="n"/>
      <c r="DQ84" s="18" t="n"/>
      <c r="DR84" s="18" t="n"/>
      <c r="DS84" s="18" t="n"/>
      <c r="DT84" s="18" t="n"/>
      <c r="DU84" s="18" t="n"/>
      <c r="DV84" s="18" t="n"/>
      <c r="DW84" s="18" t="n"/>
      <c r="DX84" s="18" t="n"/>
      <c r="DY84" s="18" t="n"/>
      <c r="DZ84" s="18" t="n"/>
      <c r="EA84" s="18" t="n"/>
      <c r="EB84" s="18" t="n"/>
      <c r="EC84" s="18" t="n"/>
      <c r="ED84" s="18" t="n"/>
      <c r="EE84" s="18" t="n"/>
      <c r="EF84" s="18" t="n"/>
      <c r="EG84" s="18" t="n"/>
      <c r="EH84" s="18" t="n"/>
      <c r="EI84" s="18" t="n"/>
      <c r="EJ84" s="18" t="n"/>
      <c r="EK84" s="18" t="n"/>
      <c r="EL84" s="18" t="n"/>
      <c r="EM84" s="18" t="n"/>
      <c r="EN84" s="18" t="n"/>
      <c r="EO84" s="18" t="n"/>
      <c r="EP84" s="18" t="n"/>
      <c r="EQ84" s="18" t="n"/>
      <c r="ER84" s="18" t="n"/>
      <c r="ES84" s="18" t="n"/>
      <c r="ET84" s="18" t="n"/>
      <c r="EU84" s="18" t="n"/>
      <c r="EV84" s="18" t="n"/>
      <c r="EW84" s="18" t="n"/>
      <c r="EX84" s="18" t="n"/>
      <c r="EY84" s="18" t="n"/>
      <c r="EZ84" s="18" t="n"/>
      <c r="FA84" s="18" t="n"/>
      <c r="FB84" s="18" t="n"/>
      <c r="FC84" s="18" t="n"/>
      <c r="FD84" s="18" t="n"/>
      <c r="FE84" s="18" t="n"/>
      <c r="FF84" s="18" t="n"/>
      <c r="FG84" s="18" t="n"/>
      <c r="FH84" s="18" t="n"/>
      <c r="FI84" s="18" t="n"/>
      <c r="FJ84" s="18" t="n"/>
      <c r="FK84" s="18" t="n"/>
      <c r="FL84" s="18" t="n"/>
      <c r="FM84" s="18" t="n"/>
      <c r="FN84" s="18" t="n"/>
      <c r="FO84" s="18" t="n"/>
      <c r="FP84" s="18" t="n"/>
      <c r="FQ84" s="18" t="n"/>
      <c r="FR84" s="18" t="n"/>
      <c r="FS84" s="18" t="n"/>
      <c r="FT84" s="18" t="n"/>
      <c r="FU84" s="18" t="n"/>
      <c r="FV84" s="18" t="n"/>
      <c r="FW84" s="18" t="n"/>
      <c r="FX84" s="18" t="n"/>
      <c r="FY84" s="18" t="n"/>
      <c r="FZ84" s="18" t="n"/>
      <c r="GA84" s="18" t="n"/>
      <c r="GB84" s="18" t="n"/>
      <c r="GC84" s="18" t="n"/>
      <c r="GD84" s="18" t="n"/>
      <c r="GE84" s="18" t="n"/>
      <c r="GF84" s="18" t="n"/>
      <c r="GG84" s="18" t="n"/>
      <c r="GH84" s="18" t="n"/>
      <c r="GI84" s="18" t="n"/>
      <c r="GJ84" s="18" t="n"/>
      <c r="GK84" s="18" t="n"/>
      <c r="GL84" s="18" t="n"/>
      <c r="GM84" s="18" t="n"/>
      <c r="GN84" s="18" t="n"/>
      <c r="GO84" s="18" t="n"/>
      <c r="GP84" s="18" t="n"/>
      <c r="GQ84" s="18" t="n"/>
      <c r="GR84" s="18" t="n"/>
      <c r="GS84" s="18" t="n"/>
      <c r="GT84" s="18" t="n"/>
      <c r="GU84" s="18" t="n"/>
      <c r="GV84" s="18" t="n"/>
      <c r="GW84" s="18" t="n"/>
      <c r="GX84" s="18" t="n"/>
      <c r="GY84" s="18" t="n"/>
      <c r="GZ84" s="18" t="n"/>
      <c r="HA84" s="18" t="n"/>
      <c r="HB84" s="18" t="n"/>
    </row>
    <row r="85" ht="15.75" customHeight="1">
      <c r="A85" s="11" t="n"/>
      <c r="B85" s="11" t="inlineStr">
        <is>
          <t>Page 2</t>
        </is>
      </c>
      <c r="C85" s="12" t="n"/>
      <c r="D85" s="12" t="n"/>
      <c r="E85" s="11" t="n"/>
      <c r="F85" s="14" t="n"/>
      <c r="G85" s="14" t="n"/>
      <c r="H85" s="39">
        <f>H79</f>
        <v>0.0</v>
      </c>
      <c r="I85" s="18" t="n"/>
      <c r="J85" s="18" t="n"/>
      <c r="K85" s="18" t="n"/>
      <c r="L85" s="18" t="n"/>
      <c r="M85" s="18" t="n"/>
      <c r="N85" s="18" t="n"/>
      <c r="O85" s="18" t="n"/>
      <c r="P85" s="18" t="n"/>
      <c r="Q85" s="18" t="n"/>
      <c r="R85" s="18" t="n"/>
      <c r="S85" s="18" t="n"/>
      <c r="T85" s="18" t="n"/>
      <c r="U85" s="18" t="n"/>
      <c r="V85" s="18" t="n"/>
      <c r="W85" s="18" t="n"/>
      <c r="X85" s="18" t="n"/>
      <c r="Y85" s="18" t="n"/>
      <c r="Z85" s="18" t="n"/>
      <c r="AA85" s="18" t="n"/>
      <c r="AB85" s="18" t="n"/>
      <c r="AC85" s="18" t="n"/>
      <c r="AD85" s="18" t="n"/>
      <c r="AE85" s="18" t="n"/>
      <c r="AF85" s="18" t="n"/>
      <c r="AG85" s="18" t="n"/>
      <c r="AH85" s="18" t="n"/>
      <c r="AI85" s="18" t="n"/>
      <c r="AJ85" s="18" t="n"/>
      <c r="AK85" s="18" t="n"/>
      <c r="AL85" s="18" t="n"/>
      <c r="AM85" s="18" t="n"/>
      <c r="AN85" s="18" t="n"/>
      <c r="AO85" s="18" t="n"/>
      <c r="AP85" s="18" t="n"/>
      <c r="AQ85" s="18" t="n"/>
      <c r="AR85" s="18" t="n"/>
      <c r="AS85" s="18" t="n"/>
      <c r="AT85" s="18" t="n"/>
      <c r="AU85" s="18" t="n"/>
      <c r="AV85" s="18" t="n"/>
      <c r="AW85" s="18" t="n"/>
      <c r="AX85" s="18" t="n"/>
      <c r="AY85" s="18" t="n"/>
      <c r="AZ85" s="18" t="n"/>
      <c r="BA85" s="18" t="n"/>
      <c r="BB85" s="18" t="n"/>
      <c r="BC85" s="18" t="n"/>
      <c r="BD85" s="18" t="n"/>
      <c r="BE85" s="18" t="n"/>
      <c r="BF85" s="18" t="n"/>
      <c r="BG85" s="18" t="n"/>
      <c r="BH85" s="18" t="n"/>
      <c r="BI85" s="18" t="n"/>
      <c r="BJ85" s="18" t="n"/>
      <c r="BK85" s="18" t="n"/>
      <c r="BL85" s="18" t="n"/>
      <c r="BM85" s="18" t="n"/>
      <c r="BN85" s="18" t="n"/>
      <c r="BO85" s="18" t="n"/>
      <c r="BP85" s="18" t="n"/>
      <c r="BQ85" s="18" t="n"/>
      <c r="BR85" s="18" t="n"/>
      <c r="BS85" s="18" t="n"/>
      <c r="BT85" s="18" t="n"/>
      <c r="BU85" s="18" t="n"/>
      <c r="BV85" s="18" t="n"/>
      <c r="BW85" s="18" t="n"/>
      <c r="BX85" s="18" t="n"/>
      <c r="BY85" s="18" t="n"/>
      <c r="BZ85" s="18" t="n"/>
      <c r="CA85" s="18" t="n"/>
      <c r="CB85" s="18" t="n"/>
      <c r="CC85" s="18" t="n"/>
      <c r="CD85" s="18" t="n"/>
      <c r="CE85" s="18" t="n"/>
      <c r="CF85" s="18" t="n"/>
      <c r="CG85" s="18" t="n"/>
      <c r="CH85" s="18" t="n"/>
      <c r="CI85" s="18" t="n"/>
      <c r="CJ85" s="18" t="n"/>
      <c r="CK85" s="18" t="n"/>
      <c r="CL85" s="18" t="n"/>
      <c r="CM85" s="18" t="n"/>
      <c r="CN85" s="18" t="n"/>
      <c r="CO85" s="18" t="n"/>
      <c r="CP85" s="18" t="n"/>
      <c r="CQ85" s="18" t="n"/>
      <c r="CR85" s="18" t="n"/>
      <c r="CS85" s="18" t="n"/>
      <c r="CT85" s="18" t="n"/>
      <c r="CU85" s="18" t="n"/>
      <c r="CV85" s="18" t="n"/>
      <c r="CW85" s="18" t="n"/>
      <c r="CX85" s="18" t="n"/>
      <c r="CY85" s="18" t="n"/>
      <c r="CZ85" s="18" t="n"/>
      <c r="DA85" s="18" t="n"/>
      <c r="DB85" s="18" t="n"/>
      <c r="DC85" s="18" t="n"/>
      <c r="DD85" s="18" t="n"/>
      <c r="DE85" s="18" t="n"/>
      <c r="DF85" s="18" t="n"/>
      <c r="DG85" s="18" t="n"/>
      <c r="DH85" s="18" t="n"/>
      <c r="DI85" s="18" t="n"/>
      <c r="DJ85" s="18" t="n"/>
      <c r="DK85" s="18" t="n"/>
      <c r="DL85" s="18" t="n"/>
      <c r="DM85" s="18" t="n"/>
      <c r="DN85" s="18" t="n"/>
      <c r="DO85" s="18" t="n"/>
      <c r="DP85" s="18" t="n"/>
      <c r="DQ85" s="18" t="n"/>
      <c r="DR85" s="18" t="n"/>
      <c r="DS85" s="18" t="n"/>
      <c r="DT85" s="18" t="n"/>
      <c r="DU85" s="18" t="n"/>
      <c r="DV85" s="18" t="n"/>
      <c r="DW85" s="18" t="n"/>
      <c r="DX85" s="18" t="n"/>
      <c r="DY85" s="18" t="n"/>
      <c r="DZ85" s="18" t="n"/>
      <c r="EA85" s="18" t="n"/>
      <c r="EB85" s="18" t="n"/>
      <c r="EC85" s="18" t="n"/>
      <c r="ED85" s="18" t="n"/>
      <c r="EE85" s="18" t="n"/>
      <c r="EF85" s="18" t="n"/>
      <c r="EG85" s="18" t="n"/>
      <c r="EH85" s="18" t="n"/>
      <c r="EI85" s="18" t="n"/>
      <c r="EJ85" s="18" t="n"/>
      <c r="EK85" s="18" t="n"/>
      <c r="EL85" s="18" t="n"/>
      <c r="EM85" s="18" t="n"/>
      <c r="EN85" s="18" t="n"/>
      <c r="EO85" s="18" t="n"/>
      <c r="EP85" s="18" t="n"/>
      <c r="EQ85" s="18" t="n"/>
      <c r="ER85" s="18" t="n"/>
      <c r="ES85" s="18" t="n"/>
      <c r="ET85" s="18" t="n"/>
      <c r="EU85" s="18" t="n"/>
      <c r="EV85" s="18" t="n"/>
      <c r="EW85" s="18" t="n"/>
      <c r="EX85" s="18" t="n"/>
      <c r="EY85" s="18" t="n"/>
      <c r="EZ85" s="18" t="n"/>
      <c r="FA85" s="18" t="n"/>
      <c r="FB85" s="18" t="n"/>
      <c r="FC85" s="18" t="n"/>
      <c r="FD85" s="18" t="n"/>
      <c r="FE85" s="18" t="n"/>
      <c r="FF85" s="18" t="n"/>
      <c r="FG85" s="18" t="n"/>
      <c r="FH85" s="18" t="n"/>
      <c r="FI85" s="18" t="n"/>
      <c r="FJ85" s="18" t="n"/>
      <c r="FK85" s="18" t="n"/>
      <c r="FL85" s="18" t="n"/>
      <c r="FM85" s="18" t="n"/>
      <c r="FN85" s="18" t="n"/>
      <c r="FO85" s="18" t="n"/>
      <c r="FP85" s="18" t="n"/>
      <c r="FQ85" s="18" t="n"/>
      <c r="FR85" s="18" t="n"/>
      <c r="FS85" s="18" t="n"/>
      <c r="FT85" s="18" t="n"/>
      <c r="FU85" s="18" t="n"/>
      <c r="FV85" s="18" t="n"/>
      <c r="FW85" s="18" t="n"/>
      <c r="FX85" s="18" t="n"/>
      <c r="FY85" s="18" t="n"/>
      <c r="FZ85" s="18" t="n"/>
      <c r="GA85" s="18" t="n"/>
      <c r="GB85" s="18" t="n"/>
      <c r="GC85" s="18" t="n"/>
      <c r="GD85" s="18" t="n"/>
      <c r="GE85" s="18" t="n"/>
      <c r="GF85" s="18" t="n"/>
      <c r="GG85" s="18" t="n"/>
      <c r="GH85" s="18" t="n"/>
      <c r="GI85" s="18" t="n"/>
      <c r="GJ85" s="18" t="n"/>
      <c r="GK85" s="18" t="n"/>
      <c r="GL85" s="18" t="n"/>
      <c r="GM85" s="18" t="n"/>
      <c r="GN85" s="18" t="n"/>
      <c r="GO85" s="18" t="n"/>
      <c r="GP85" s="18" t="n"/>
      <c r="GQ85" s="18" t="n"/>
      <c r="GR85" s="18" t="n"/>
      <c r="GS85" s="18" t="n"/>
      <c r="GT85" s="18" t="n"/>
      <c r="GU85" s="18" t="n"/>
      <c r="GV85" s="18" t="n"/>
      <c r="GW85" s="18" t="n"/>
      <c r="GX85" s="18" t="n"/>
      <c r="GY85" s="18" t="n"/>
      <c r="GZ85" s="18" t="n"/>
      <c r="HA85" s="18" t="n"/>
      <c r="HB85" s="18" t="n"/>
    </row>
    <row r="86" ht="16.5" customHeight="1" thickBot="1">
      <c r="A86" s="11" t="n"/>
      <c r="B86" s="11" t="n"/>
      <c r="C86" s="12" t="n"/>
      <c r="D86" s="12" t="n"/>
      <c r="E86" s="11" t="n"/>
      <c r="F86" s="14" t="n"/>
      <c r="G86" s="14" t="n"/>
      <c r="H86" s="36" t="n"/>
      <c r="I86" s="18" t="n"/>
      <c r="J86" s="18" t="n"/>
      <c r="K86" s="18" t="n"/>
      <c r="L86" s="18" t="n"/>
      <c r="M86" s="18" t="n"/>
      <c r="N86" s="18" t="n"/>
      <c r="O86" s="18" t="n"/>
      <c r="P86" s="18" t="n"/>
      <c r="Q86" s="18" t="n"/>
      <c r="R86" s="18" t="n"/>
      <c r="S86" s="18" t="n"/>
      <c r="T86" s="18" t="n"/>
      <c r="U86" s="18" t="n"/>
      <c r="V86" s="18" t="n"/>
      <c r="W86" s="18" t="n"/>
      <c r="X86" s="18" t="n"/>
      <c r="Y86" s="18" t="n"/>
      <c r="Z86" s="18" t="n"/>
      <c r="AA86" s="18" t="n"/>
      <c r="AB86" s="18" t="n"/>
      <c r="AC86" s="18" t="n"/>
      <c r="AD86" s="18" t="n"/>
      <c r="AE86" s="18" t="n"/>
      <c r="AF86" s="18" t="n"/>
      <c r="AG86" s="18" t="n"/>
      <c r="AH86" s="18" t="n"/>
      <c r="AI86" s="18" t="n"/>
      <c r="AJ86" s="18" t="n"/>
      <c r="AK86" s="18" t="n"/>
      <c r="AL86" s="18" t="n"/>
      <c r="AM86" s="18" t="n"/>
      <c r="AN86" s="18" t="n"/>
      <c r="AO86" s="18" t="n"/>
      <c r="AP86" s="18" t="n"/>
      <c r="AQ86" s="18" t="n"/>
      <c r="AR86" s="18" t="n"/>
      <c r="AS86" s="18" t="n"/>
      <c r="AT86" s="18" t="n"/>
      <c r="AU86" s="18" t="n"/>
      <c r="AV86" s="18" t="n"/>
      <c r="AW86" s="18" t="n"/>
      <c r="AX86" s="18" t="n"/>
      <c r="AY86" s="18" t="n"/>
      <c r="AZ86" s="18" t="n"/>
      <c r="BA86" s="18" t="n"/>
      <c r="BB86" s="18" t="n"/>
      <c r="BC86" s="18" t="n"/>
      <c r="BD86" s="18" t="n"/>
      <c r="BE86" s="18" t="n"/>
      <c r="BF86" s="18" t="n"/>
      <c r="BG86" s="18" t="n"/>
      <c r="BH86" s="18" t="n"/>
      <c r="BI86" s="18" t="n"/>
      <c r="BJ86" s="18" t="n"/>
      <c r="BK86" s="18" t="n"/>
      <c r="BL86" s="18" t="n"/>
      <c r="BM86" s="18" t="n"/>
      <c r="BN86" s="18" t="n"/>
      <c r="BO86" s="18" t="n"/>
      <c r="BP86" s="18" t="n"/>
      <c r="BQ86" s="18" t="n"/>
      <c r="BR86" s="18" t="n"/>
      <c r="BS86" s="18" t="n"/>
      <c r="BT86" s="18" t="n"/>
      <c r="BU86" s="18" t="n"/>
      <c r="BV86" s="18" t="n"/>
      <c r="BW86" s="18" t="n"/>
      <c r="BX86" s="18" t="n"/>
      <c r="BY86" s="18" t="n"/>
      <c r="BZ86" s="18" t="n"/>
      <c r="CA86" s="18" t="n"/>
      <c r="CB86" s="18" t="n"/>
      <c r="CC86" s="18" t="n"/>
      <c r="CD86" s="18" t="n"/>
      <c r="CE86" s="18" t="n"/>
      <c r="CF86" s="18" t="n"/>
      <c r="CG86" s="18" t="n"/>
      <c r="CH86" s="18" t="n"/>
      <c r="CI86" s="18" t="n"/>
      <c r="CJ86" s="18" t="n"/>
      <c r="CK86" s="18" t="n"/>
      <c r="CL86" s="18" t="n"/>
      <c r="CM86" s="18" t="n"/>
      <c r="CN86" s="18" t="n"/>
      <c r="CO86" s="18" t="n"/>
      <c r="CP86" s="18" t="n"/>
      <c r="CQ86" s="18" t="n"/>
      <c r="CR86" s="18" t="n"/>
      <c r="CS86" s="18" t="n"/>
      <c r="CT86" s="18" t="n"/>
      <c r="CU86" s="18" t="n"/>
      <c r="CV86" s="18" t="n"/>
      <c r="CW86" s="18" t="n"/>
      <c r="CX86" s="18" t="n"/>
      <c r="CY86" s="18" t="n"/>
      <c r="CZ86" s="18" t="n"/>
      <c r="DA86" s="18" t="n"/>
      <c r="DB86" s="18" t="n"/>
      <c r="DC86" s="18" t="n"/>
      <c r="DD86" s="18" t="n"/>
      <c r="DE86" s="18" t="n"/>
      <c r="DF86" s="18" t="n"/>
      <c r="DG86" s="18" t="n"/>
      <c r="DH86" s="18" t="n"/>
      <c r="DI86" s="18" t="n"/>
      <c r="DJ86" s="18" t="n"/>
      <c r="DK86" s="18" t="n"/>
      <c r="DL86" s="18" t="n"/>
      <c r="DM86" s="18" t="n"/>
      <c r="DN86" s="18" t="n"/>
      <c r="DO86" s="18" t="n"/>
      <c r="DP86" s="18" t="n"/>
      <c r="DQ86" s="18" t="n"/>
      <c r="DR86" s="18" t="n"/>
      <c r="DS86" s="18" t="n"/>
      <c r="DT86" s="18" t="n"/>
      <c r="DU86" s="18" t="n"/>
      <c r="DV86" s="18" t="n"/>
      <c r="DW86" s="18" t="n"/>
      <c r="DX86" s="18" t="n"/>
      <c r="DY86" s="18" t="n"/>
      <c r="DZ86" s="18" t="n"/>
      <c r="EA86" s="18" t="n"/>
      <c r="EB86" s="18" t="n"/>
      <c r="EC86" s="18" t="n"/>
      <c r="ED86" s="18" t="n"/>
      <c r="EE86" s="18" t="n"/>
      <c r="EF86" s="18" t="n"/>
      <c r="EG86" s="18" t="n"/>
      <c r="EH86" s="18" t="n"/>
      <c r="EI86" s="18" t="n"/>
      <c r="EJ86" s="18" t="n"/>
      <c r="EK86" s="18" t="n"/>
      <c r="EL86" s="18" t="n"/>
      <c r="EM86" s="18" t="n"/>
      <c r="EN86" s="18" t="n"/>
      <c r="EO86" s="18" t="n"/>
      <c r="EP86" s="18" t="n"/>
      <c r="EQ86" s="18" t="n"/>
      <c r="ER86" s="18" t="n"/>
      <c r="ES86" s="18" t="n"/>
      <c r="ET86" s="18" t="n"/>
      <c r="EU86" s="18" t="n"/>
      <c r="EV86" s="18" t="n"/>
      <c r="EW86" s="18" t="n"/>
      <c r="EX86" s="18" t="n"/>
      <c r="EY86" s="18" t="n"/>
      <c r="EZ86" s="18" t="n"/>
      <c r="FA86" s="18" t="n"/>
      <c r="FB86" s="18" t="n"/>
      <c r="FC86" s="18" t="n"/>
      <c r="FD86" s="18" t="n"/>
      <c r="FE86" s="18" t="n"/>
      <c r="FF86" s="18" t="n"/>
      <c r="FG86" s="18" t="n"/>
      <c r="FH86" s="18" t="n"/>
      <c r="FI86" s="18" t="n"/>
      <c r="FJ86" s="18" t="n"/>
      <c r="FK86" s="18" t="n"/>
      <c r="FL86" s="18" t="n"/>
      <c r="FM86" s="18" t="n"/>
      <c r="FN86" s="18" t="n"/>
      <c r="FO86" s="18" t="n"/>
      <c r="FP86" s="18" t="n"/>
      <c r="FQ86" s="18" t="n"/>
      <c r="FR86" s="18" t="n"/>
      <c r="FS86" s="18" t="n"/>
      <c r="FT86" s="18" t="n"/>
      <c r="FU86" s="18" t="n"/>
      <c r="FV86" s="18" t="n"/>
      <c r="FW86" s="18" t="n"/>
      <c r="FX86" s="18" t="n"/>
      <c r="FY86" s="18" t="n"/>
      <c r="FZ86" s="18" t="n"/>
      <c r="GA86" s="18" t="n"/>
      <c r="GB86" s="18" t="n"/>
      <c r="GC86" s="18" t="n"/>
      <c r="GD86" s="18" t="n"/>
      <c r="GE86" s="18" t="n"/>
      <c r="GF86" s="18" t="n"/>
      <c r="GG86" s="18" t="n"/>
      <c r="GH86" s="18" t="n"/>
      <c r="GI86" s="18" t="n"/>
      <c r="GJ86" s="18" t="n"/>
      <c r="GK86" s="18" t="n"/>
      <c r="GL86" s="18" t="n"/>
      <c r="GM86" s="18" t="n"/>
      <c r="GN86" s="18" t="n"/>
      <c r="GO86" s="18" t="n"/>
      <c r="GP86" s="18" t="n"/>
      <c r="GQ86" s="18" t="n"/>
      <c r="GR86" s="18" t="n"/>
      <c r="GS86" s="18" t="n"/>
      <c r="GT86" s="18" t="n"/>
      <c r="GU86" s="18" t="n"/>
      <c r="GV86" s="18" t="n"/>
      <c r="GW86" s="18" t="n"/>
      <c r="GX86" s="18" t="n"/>
      <c r="GY86" s="18" t="n"/>
      <c r="GZ86" s="18" t="n"/>
      <c r="HA86" s="18" t="n"/>
      <c r="HB86" s="18" t="n"/>
    </row>
    <row r="87" ht="17.25" customHeight="1" thickBot="1" thickTop="1">
      <c r="A87" s="20" t="n"/>
      <c r="B87" s="21" t="inlineStr">
        <is>
          <t>SUBSTRUCTURE TO SUMMARY</t>
        </is>
      </c>
      <c r="C87" s="6" t="n"/>
      <c r="D87" s="6" t="n"/>
      <c r="E87" s="7" t="n"/>
      <c r="F87" s="22" t="n"/>
      <c r="G87" s="22" t="n"/>
      <c r="H87" s="23">
        <f>SUM(H83:H86)</f>
        <v>0.0</v>
      </c>
      <c r="I87" s="18" t="n"/>
      <c r="J87" s="18" t="n"/>
      <c r="K87" s="18" t="n"/>
      <c r="L87" s="18" t="n"/>
      <c r="M87" s="18" t="n"/>
      <c r="N87" s="18" t="n"/>
      <c r="O87" s="18" t="n"/>
      <c r="P87" s="18" t="n"/>
      <c r="Q87" s="18" t="n"/>
      <c r="R87" s="18" t="n"/>
      <c r="S87" s="18" t="n"/>
      <c r="T87" s="18" t="n"/>
      <c r="U87" s="18" t="n"/>
      <c r="V87" s="18" t="n"/>
      <c r="W87" s="18" t="n"/>
      <c r="X87" s="18" t="n"/>
      <c r="Y87" s="18" t="n"/>
      <c r="Z87" s="18" t="n"/>
      <c r="AA87" s="18" t="n"/>
      <c r="AB87" s="18" t="n"/>
      <c r="AC87" s="18" t="n"/>
      <c r="AD87" s="18" t="n"/>
      <c r="AE87" s="18" t="n"/>
      <c r="AF87" s="18" t="n"/>
      <c r="AG87" s="18" t="n"/>
      <c r="AH87" s="18" t="n"/>
      <c r="AI87" s="18" t="n"/>
      <c r="AJ87" s="18" t="n"/>
      <c r="AK87" s="18" t="n"/>
      <c r="AL87" s="18" t="n"/>
      <c r="AM87" s="18" t="n"/>
      <c r="AN87" s="18" t="n"/>
      <c r="AO87" s="18" t="n"/>
      <c r="AP87" s="18" t="n"/>
      <c r="AQ87" s="18" t="n"/>
      <c r="AR87" s="18" t="n"/>
      <c r="AS87" s="18" t="n"/>
      <c r="AT87" s="18" t="n"/>
      <c r="AU87" s="18" t="n"/>
      <c r="AV87" s="18" t="n"/>
      <c r="AW87" s="18" t="n"/>
      <c r="AX87" s="18" t="n"/>
      <c r="AY87" s="18" t="n"/>
      <c r="AZ87" s="18" t="n"/>
      <c r="BA87" s="18" t="n"/>
      <c r="BB87" s="18" t="n"/>
      <c r="BC87" s="18" t="n"/>
      <c r="BD87" s="18" t="n"/>
      <c r="BE87" s="18" t="n"/>
      <c r="BF87" s="18" t="n"/>
      <c r="BG87" s="18" t="n"/>
      <c r="BH87" s="18" t="n"/>
      <c r="BI87" s="18" t="n"/>
      <c r="BJ87" s="18" t="n"/>
      <c r="BK87" s="18" t="n"/>
      <c r="BL87" s="18" t="n"/>
      <c r="BM87" s="18" t="n"/>
      <c r="BN87" s="18" t="n"/>
      <c r="BO87" s="18" t="n"/>
      <c r="BP87" s="18" t="n"/>
      <c r="BQ87" s="18" t="n"/>
      <c r="BR87" s="18" t="n"/>
      <c r="BS87" s="18" t="n"/>
      <c r="BT87" s="18" t="n"/>
      <c r="BU87" s="18" t="n"/>
      <c r="BV87" s="18" t="n"/>
      <c r="BW87" s="18" t="n"/>
      <c r="BX87" s="18" t="n"/>
      <c r="BY87" s="18" t="n"/>
      <c r="BZ87" s="18" t="n"/>
      <c r="CA87" s="18" t="n"/>
      <c r="CB87" s="18" t="n"/>
      <c r="CC87" s="18" t="n"/>
      <c r="CD87" s="18" t="n"/>
      <c r="CE87" s="18" t="n"/>
      <c r="CF87" s="18" t="n"/>
      <c r="CG87" s="18" t="n"/>
      <c r="CH87" s="18" t="n"/>
      <c r="CI87" s="18" t="n"/>
      <c r="CJ87" s="18" t="n"/>
      <c r="CK87" s="18" t="n"/>
      <c r="CL87" s="18" t="n"/>
      <c r="CM87" s="18" t="n"/>
      <c r="CN87" s="18" t="n"/>
      <c r="CO87" s="18" t="n"/>
      <c r="CP87" s="18" t="n"/>
      <c r="CQ87" s="18" t="n"/>
      <c r="CR87" s="18" t="n"/>
      <c r="CS87" s="18" t="n"/>
      <c r="CT87" s="18" t="n"/>
      <c r="CU87" s="18" t="n"/>
      <c r="CV87" s="18" t="n"/>
      <c r="CW87" s="18" t="n"/>
      <c r="CX87" s="18" t="n"/>
      <c r="CY87" s="18" t="n"/>
      <c r="CZ87" s="18" t="n"/>
      <c r="DA87" s="18" t="n"/>
      <c r="DB87" s="18" t="n"/>
      <c r="DC87" s="18" t="n"/>
      <c r="DD87" s="18" t="n"/>
      <c r="DE87" s="18" t="n"/>
      <c r="DF87" s="18" t="n"/>
      <c r="DG87" s="18" t="n"/>
      <c r="DH87" s="18" t="n"/>
      <c r="DI87" s="18" t="n"/>
      <c r="DJ87" s="18" t="n"/>
      <c r="DK87" s="18" t="n"/>
      <c r="DL87" s="18" t="n"/>
      <c r="DM87" s="18" t="n"/>
      <c r="DN87" s="18" t="n"/>
      <c r="DO87" s="18" t="n"/>
      <c r="DP87" s="18" t="n"/>
      <c r="DQ87" s="18" t="n"/>
      <c r="DR87" s="18" t="n"/>
      <c r="DS87" s="18" t="n"/>
      <c r="DT87" s="18" t="n"/>
      <c r="DU87" s="18" t="n"/>
      <c r="DV87" s="18" t="n"/>
      <c r="DW87" s="18" t="n"/>
      <c r="DX87" s="18" t="n"/>
      <c r="DY87" s="18" t="n"/>
      <c r="DZ87" s="18" t="n"/>
      <c r="EA87" s="18" t="n"/>
      <c r="EB87" s="18" t="n"/>
      <c r="EC87" s="18" t="n"/>
      <c r="ED87" s="18" t="n"/>
      <c r="EE87" s="18" t="n"/>
      <c r="EF87" s="18" t="n"/>
      <c r="EG87" s="18" t="n"/>
      <c r="EH87" s="18" t="n"/>
      <c r="EI87" s="18" t="n"/>
      <c r="EJ87" s="18" t="n"/>
      <c r="EK87" s="18" t="n"/>
      <c r="EL87" s="18" t="n"/>
      <c r="EM87" s="18" t="n"/>
      <c r="EN87" s="18" t="n"/>
      <c r="EO87" s="18" t="n"/>
      <c r="EP87" s="18" t="n"/>
      <c r="EQ87" s="18" t="n"/>
      <c r="ER87" s="18" t="n"/>
      <c r="ES87" s="18" t="n"/>
      <c r="ET87" s="18" t="n"/>
      <c r="EU87" s="18" t="n"/>
      <c r="EV87" s="18" t="n"/>
      <c r="EW87" s="18" t="n"/>
      <c r="EX87" s="18" t="n"/>
      <c r="EY87" s="18" t="n"/>
      <c r="EZ87" s="18" t="n"/>
      <c r="FA87" s="18" t="n"/>
      <c r="FB87" s="18" t="n"/>
      <c r="FC87" s="18" t="n"/>
      <c r="FD87" s="18" t="n"/>
      <c r="FE87" s="18" t="n"/>
      <c r="FF87" s="18" t="n"/>
      <c r="FG87" s="18" t="n"/>
      <c r="FH87" s="18" t="n"/>
      <c r="FI87" s="18" t="n"/>
      <c r="FJ87" s="18" t="n"/>
      <c r="FK87" s="18" t="n"/>
      <c r="FL87" s="18" t="n"/>
      <c r="FM87" s="18" t="n"/>
      <c r="FN87" s="18" t="n"/>
      <c r="FO87" s="18" t="n"/>
      <c r="FP87" s="18" t="n"/>
      <c r="FQ87" s="18" t="n"/>
      <c r="FR87" s="18" t="n"/>
      <c r="FS87" s="18" t="n"/>
      <c r="FT87" s="18" t="n"/>
      <c r="FU87" s="18" t="n"/>
      <c r="FV87" s="18" t="n"/>
      <c r="FW87" s="18" t="n"/>
      <c r="FX87" s="18" t="n"/>
      <c r="FY87" s="18" t="n"/>
      <c r="FZ87" s="18" t="n"/>
      <c r="GA87" s="18" t="n"/>
      <c r="GB87" s="18" t="n"/>
      <c r="GC87" s="18" t="n"/>
      <c r="GD87" s="18" t="n"/>
      <c r="GE87" s="18" t="n"/>
      <c r="GF87" s="18" t="n"/>
      <c r="GG87" s="18" t="n"/>
      <c r="GH87" s="18" t="n"/>
      <c r="GI87" s="18" t="n"/>
      <c r="GJ87" s="18" t="n"/>
      <c r="GK87" s="18" t="n"/>
      <c r="GL87" s="18" t="n"/>
      <c r="GM87" s="18" t="n"/>
      <c r="GN87" s="18" t="n"/>
      <c r="GO87" s="18" t="n"/>
      <c r="GP87" s="18" t="n"/>
      <c r="GQ87" s="18" t="n"/>
      <c r="GR87" s="18" t="n"/>
      <c r="GS87" s="18" t="n"/>
      <c r="GT87" s="18" t="n"/>
      <c r="GU87" s="18" t="n"/>
      <c r="GV87" s="18" t="n"/>
      <c r="GW87" s="18" t="n"/>
      <c r="GX87" s="18" t="n"/>
      <c r="GY87" s="18" t="n"/>
      <c r="GZ87" s="18" t="n"/>
      <c r="HA87" s="18" t="n"/>
      <c r="HB87" s="18" t="n"/>
    </row>
    <row r="88" ht="17.25" customHeight="1" thickBot="1" thickTop="1">
      <c r="A88" s="69" t="n"/>
      <c r="B88" s="70" t="n"/>
      <c r="C88" s="71" t="n"/>
      <c r="D88" s="71" t="n"/>
      <c r="E88" s="72" t="n"/>
      <c r="F88" s="73" t="n"/>
      <c r="G88" s="73" t="n"/>
      <c r="H88" s="74" t="n"/>
      <c r="I88" s="46" t="n"/>
      <c r="J88" s="46" t="n"/>
      <c r="K88" s="46" t="n"/>
      <c r="L88" s="46" t="n"/>
      <c r="M88" s="46" t="n"/>
      <c r="N88" s="46" t="n"/>
      <c r="O88" s="46" t="n"/>
      <c r="P88" s="46" t="n"/>
      <c r="Q88" s="46" t="n"/>
      <c r="R88" s="46" t="n"/>
      <c r="S88" s="46" t="n"/>
      <c r="T88" s="46" t="n"/>
      <c r="U88" s="46" t="n"/>
      <c r="V88" s="46" t="n"/>
      <c r="W88" s="46" t="n"/>
      <c r="X88" s="46" t="n"/>
      <c r="Y88" s="46" t="n"/>
      <c r="Z88" s="46" t="n"/>
      <c r="AA88" s="46" t="n"/>
      <c r="AB88" s="46" t="n"/>
      <c r="AC88" s="46" t="n"/>
      <c r="AD88" s="46" t="n"/>
      <c r="AE88" s="46" t="n"/>
      <c r="AF88" s="46" t="n"/>
      <c r="AG88" s="46" t="n"/>
      <c r="AH88" s="46" t="n"/>
      <c r="AI88" s="46" t="n"/>
      <c r="AJ88" s="46" t="n"/>
      <c r="AK88" s="46" t="n"/>
      <c r="AL88" s="46" t="n"/>
      <c r="AM88" s="46" t="n"/>
      <c r="AN88" s="46" t="n"/>
      <c r="AO88" s="46" t="n"/>
      <c r="AP88" s="46" t="n"/>
      <c r="AQ88" s="46" t="n"/>
      <c r="AR88" s="46" t="n"/>
      <c r="AS88" s="46" t="n"/>
      <c r="AT88" s="46" t="n"/>
      <c r="AU88" s="46" t="n"/>
      <c r="AV88" s="46" t="n"/>
      <c r="AW88" s="46" t="n"/>
      <c r="AX88" s="46" t="n"/>
      <c r="AY88" s="46" t="n"/>
      <c r="AZ88" s="46" t="n"/>
      <c r="BA88" s="46" t="n"/>
      <c r="BB88" s="46" t="n"/>
      <c r="BC88" s="46" t="n"/>
      <c r="BD88" s="46" t="n"/>
      <c r="BE88" s="46" t="n"/>
      <c r="BF88" s="46" t="n"/>
      <c r="BG88" s="46" t="n"/>
      <c r="BH88" s="46" t="n"/>
      <c r="BI88" s="46" t="n"/>
      <c r="BJ88" s="46" t="n"/>
      <c r="BK88" s="46" t="n"/>
      <c r="BL88" s="46" t="n"/>
      <c r="BM88" s="46" t="n"/>
      <c r="BN88" s="46" t="n"/>
      <c r="BO88" s="46" t="n"/>
      <c r="BP88" s="46" t="n"/>
      <c r="BQ88" s="46" t="n"/>
      <c r="BR88" s="46" t="n"/>
      <c r="BS88" s="46" t="n"/>
      <c r="BT88" s="46" t="n"/>
      <c r="BU88" s="46" t="n"/>
      <c r="BV88" s="46" t="n"/>
      <c r="BW88" s="46" t="n"/>
      <c r="BX88" s="46" t="n"/>
      <c r="BY88" s="46" t="n"/>
      <c r="BZ88" s="46" t="n"/>
      <c r="CA88" s="46" t="n"/>
      <c r="CB88" s="46" t="n"/>
      <c r="CC88" s="46" t="n"/>
      <c r="CD88" s="46" t="n"/>
      <c r="CE88" s="46" t="n"/>
      <c r="CF88" s="46" t="n"/>
      <c r="CG88" s="46" t="n"/>
      <c r="CH88" s="46" t="n"/>
      <c r="CI88" s="46" t="n"/>
      <c r="CJ88" s="46" t="n"/>
      <c r="CK88" s="46" t="n"/>
      <c r="CL88" s="46" t="n"/>
      <c r="CM88" s="46" t="n"/>
      <c r="CN88" s="46" t="n"/>
      <c r="CO88" s="46" t="n"/>
      <c r="CP88" s="46" t="n"/>
      <c r="CQ88" s="46" t="n"/>
      <c r="CR88" s="46" t="n"/>
      <c r="CS88" s="46" t="n"/>
      <c r="CT88" s="46" t="n"/>
      <c r="CU88" s="46" t="n"/>
      <c r="CV88" s="46" t="n"/>
      <c r="CW88" s="46" t="n"/>
      <c r="CX88" s="46" t="n"/>
      <c r="CY88" s="46" t="n"/>
      <c r="CZ88" s="46" t="n"/>
      <c r="DA88" s="46" t="n"/>
      <c r="DB88" s="46" t="n"/>
      <c r="DC88" s="46" t="n"/>
      <c r="DD88" s="46" t="n"/>
      <c r="DE88" s="46" t="n"/>
      <c r="DF88" s="46" t="n"/>
      <c r="DG88" s="46" t="n"/>
      <c r="DH88" s="46" t="n"/>
      <c r="DI88" s="46" t="n"/>
      <c r="DJ88" s="46" t="n"/>
      <c r="DK88" s="46" t="n"/>
      <c r="DL88" s="46" t="n"/>
      <c r="DM88" s="46" t="n"/>
      <c r="DN88" s="46" t="n"/>
      <c r="DO88" s="46" t="n"/>
      <c r="DP88" s="46" t="n"/>
      <c r="DQ88" s="46" t="n"/>
      <c r="DR88" s="46" t="n"/>
      <c r="DS88" s="46" t="n"/>
      <c r="DT88" s="46" t="n"/>
      <c r="DU88" s="46" t="n"/>
      <c r="DV88" s="46" t="n"/>
      <c r="DW88" s="46" t="n"/>
      <c r="DX88" s="46" t="n"/>
      <c r="DY88" s="46" t="n"/>
      <c r="DZ88" s="46" t="n"/>
      <c r="EA88" s="46" t="n"/>
      <c r="EB88" s="46" t="n"/>
      <c r="EC88" s="46" t="n"/>
      <c r="ED88" s="46" t="n"/>
      <c r="EE88" s="46" t="n"/>
      <c r="EF88" s="46" t="n"/>
      <c r="EG88" s="46" t="n"/>
      <c r="EH88" s="46" t="n"/>
      <c r="EI88" s="46" t="n"/>
      <c r="EJ88" s="46" t="n"/>
      <c r="EK88" s="46" t="n"/>
      <c r="EL88" s="46" t="n"/>
      <c r="EM88" s="46" t="n"/>
      <c r="EN88" s="46" t="n"/>
      <c r="EO88" s="46" t="n"/>
      <c r="EP88" s="46" t="n"/>
      <c r="EQ88" s="46" t="n"/>
      <c r="ER88" s="46" t="n"/>
      <c r="ES88" s="46" t="n"/>
      <c r="ET88" s="46" t="n"/>
      <c r="EU88" s="46" t="n"/>
      <c r="EV88" s="46" t="n"/>
      <c r="EW88" s="46" t="n"/>
      <c r="EX88" s="46" t="n"/>
      <c r="EY88" s="46" t="n"/>
      <c r="EZ88" s="46" t="n"/>
      <c r="FA88" s="46" t="n"/>
      <c r="FB88" s="46" t="n"/>
      <c r="FC88" s="46" t="n"/>
      <c r="FD88" s="46" t="n"/>
      <c r="FE88" s="46" t="n"/>
      <c r="FF88" s="46" t="n"/>
      <c r="FG88" s="46" t="n"/>
      <c r="FH88" s="46" t="n"/>
      <c r="FI88" s="46" t="n"/>
      <c r="FJ88" s="46" t="n"/>
      <c r="FK88" s="46" t="n"/>
      <c r="FL88" s="46" t="n"/>
      <c r="FM88" s="46" t="n"/>
      <c r="FN88" s="46" t="n"/>
      <c r="FO88" s="46" t="n"/>
      <c r="FP88" s="46" t="n"/>
      <c r="FQ88" s="46" t="n"/>
      <c r="FR88" s="46" t="n"/>
      <c r="FS88" s="46" t="n"/>
      <c r="FT88" s="46" t="n"/>
      <c r="FU88" s="46" t="n"/>
      <c r="FV88" s="46" t="n"/>
      <c r="FW88" s="46" t="n"/>
      <c r="FX88" s="46" t="n"/>
      <c r="FY88" s="46" t="n"/>
      <c r="FZ88" s="46" t="n"/>
      <c r="GA88" s="46" t="n"/>
      <c r="GB88" s="46" t="n"/>
      <c r="GC88" s="46" t="n"/>
      <c r="GD88" s="46" t="n"/>
      <c r="GE88" s="46" t="n"/>
      <c r="GF88" s="46" t="n"/>
      <c r="GG88" s="46" t="n"/>
      <c r="GH88" s="46" t="n"/>
      <c r="GI88" s="46" t="n"/>
      <c r="GJ88" s="46" t="n"/>
      <c r="GK88" s="46" t="n"/>
      <c r="GL88" s="46" t="n"/>
      <c r="GM88" s="46" t="n"/>
      <c r="GN88" s="46" t="n"/>
      <c r="GO88" s="46" t="n"/>
      <c r="GP88" s="46" t="n"/>
      <c r="GQ88" s="46" t="n"/>
      <c r="GR88" s="46" t="n"/>
      <c r="GS88" s="46" t="n"/>
      <c r="GT88" s="46" t="n"/>
      <c r="GU88" s="46" t="n"/>
      <c r="GV88" s="46" t="n"/>
      <c r="GW88" s="46" t="n"/>
      <c r="GX88" s="46" t="n"/>
      <c r="GY88" s="46" t="n"/>
      <c r="GZ88" s="46" t="n"/>
      <c r="HA88" s="46" t="n"/>
      <c r="HB88" s="46" t="n"/>
    </row>
    <row r="89" ht="17.25" customHeight="1" thickBot="1" thickTop="1">
      <c r="A89" s="50" t="inlineStr">
        <is>
          <t>Item</t>
        </is>
      </c>
      <c r="B89" s="50" t="inlineStr">
        <is>
          <t>Description</t>
        </is>
      </c>
      <c r="C89" s="51" t="inlineStr">
        <is>
          <t>Qty</t>
        </is>
      </c>
      <c r="D89" s="154" t="inlineStr">
        <is>
          <t>Verified Qty</t>
        </is>
      </c>
      <c r="E89" s="50" t="inlineStr">
        <is>
          <t>Unit</t>
        </is>
      </c>
      <c r="F89" s="154" t="inlineStr">
        <is>
          <t>Verified Unit</t>
        </is>
      </c>
      <c r="G89" s="185" t="inlineStr">
        <is>
          <t>Rate</t>
        </is>
      </c>
      <c r="H89" s="186" t="inlineStr">
        <is>
          <t>Amount</t>
        </is>
      </c>
      <c r="I89" s="157" t="inlineStr">
        <is>
          <t>Verification remarks</t>
        </is>
      </c>
    </row>
    <row r="90" ht="16.5" customHeight="1" thickTop="1">
      <c r="A90" s="56" t="n"/>
      <c r="B90" s="64" t="inlineStr">
        <is>
          <t>E10 IN SITU CONCRETE</t>
        </is>
      </c>
      <c r="C90" s="56" t="n"/>
      <c r="D90" s="56" t="n"/>
      <c r="E90" s="56" t="n"/>
      <c r="F90" s="62" t="n"/>
      <c r="G90" s="187" t="n"/>
      <c r="H90" s="187" t="n"/>
    </row>
    <row r="91" ht="15.75" customHeight="1">
      <c r="A91" s="76" t="n"/>
      <c r="B91" s="77" t="inlineStr">
        <is>
          <t>CONCRTRE WORK</t>
        </is>
      </c>
      <c r="C91" s="78" t="n"/>
      <c r="D91" s="78" t="n"/>
      <c r="E91" s="76" t="n"/>
      <c r="F91" s="79" t="n"/>
      <c r="G91" s="188" t="n"/>
      <c r="H91" s="188" t="n"/>
    </row>
    <row r="92" ht="15.75" customHeight="1">
      <c r="A92" s="76" t="n"/>
      <c r="B92" s="77" t="inlineStr">
        <is>
          <t>REINFORCED IN-SITU CONCRTE</t>
        </is>
      </c>
      <c r="C92" s="78" t="n"/>
      <c r="D92" s="78" t="n"/>
      <c r="E92" s="76" t="n"/>
      <c r="F92" s="79" t="n"/>
      <c r="G92" s="188" t="n"/>
      <c r="H92" s="188" t="n"/>
    </row>
    <row r="93" ht="15.75" customHeight="1">
      <c r="A93" s="76" t="n"/>
      <c r="B93" s="80" t="inlineStr">
        <is>
          <t>Vibrated in- situ concreteC40</t>
        </is>
      </c>
      <c r="C93" s="78" t="n"/>
      <c r="D93" s="78" t="n"/>
      <c r="E93" s="76" t="n"/>
      <c r="F93" s="79" t="n"/>
      <c r="G93" s="188" t="n"/>
      <c r="H93" s="188" t="n"/>
    </row>
    <row r="94" ht="15.75" customHeight="1">
      <c r="A94" s="76" t="n"/>
      <c r="B94" s="80" t="inlineStr">
        <is>
          <t>as described in:</t>
        </is>
      </c>
      <c r="C94" s="78" t="n"/>
      <c r="D94" s="78" t="n"/>
      <c r="E94" s="56" t="n"/>
      <c r="F94" s="79" t="n"/>
      <c r="G94" s="189" t="n"/>
      <c r="H94" s="188" t="n"/>
    </row>
    <row r="95" ht="15.75" customHeight="1">
      <c r="A95" s="76" t="n"/>
      <c r="B95" s="81" t="n"/>
      <c r="C95" s="78" t="n"/>
      <c r="D95" s="57" t="n"/>
      <c r="E95" s="76" t="n"/>
      <c r="F95" s="82" t="n"/>
      <c r="G95" s="190" t="n"/>
      <c r="H95" s="190" t="n"/>
    </row>
    <row r="96" ht="15.75" customHeight="1">
      <c r="A96" s="76" t="inlineStr">
        <is>
          <t>A</t>
        </is>
      </c>
      <c r="B96" s="191" t="inlineStr">
        <is>
          <t>Lintel 
[PER DRAWINGS: lintels 150x225 over all door/window openings]</t>
        </is>
      </c>
      <c r="C96" s="78">
        <f>5*72</f>
        <v>360.0</v>
      </c>
      <c r="D96" s="192">
        <f>'Verification Take-off'!E32</f>
        <v>56.413124999999994</v>
      </c>
      <c r="E96" s="56" t="inlineStr">
        <is>
          <t>m3</t>
        </is>
      </c>
      <c r="F96" s="193" t="inlineStr">
        <is>
          <t>m3</t>
        </is>
      </c>
      <c r="G96" s="161" t="n"/>
      <c r="H96" s="190">
        <f>G96*D96</f>
        <v>0.0</v>
      </c>
      <c r="I96" s="165" t="inlineStr">
        <is>
          <t>BOQ 5 x 72 = 360 m3 is excessive</t>
        </is>
      </c>
    </row>
    <row r="97" ht="15.75" customHeight="1">
      <c r="A97" s="76" t="n"/>
      <c r="B97" s="81" t="n"/>
      <c r="C97" s="78" t="n"/>
      <c r="D97" s="57" t="n"/>
      <c r="E97" s="76" t="n"/>
      <c r="F97" s="82" t="n"/>
      <c r="G97" s="190" t="n"/>
      <c r="H97" s="190" t="n"/>
    </row>
    <row r="98" ht="15.75" customHeight="1">
      <c r="A98" s="76" t="inlineStr">
        <is>
          <t>B</t>
        </is>
      </c>
      <c r="B98" s="81" t="inlineStr">
        <is>
          <t>Columns</t>
        </is>
      </c>
      <c r="C98" s="78">
        <f>5*354</f>
        <v>1770.0</v>
      </c>
      <c r="D98" s="192">
        <f>'Verification Take-off'!E33</f>
        <v>433.45631249999997</v>
      </c>
      <c r="E98" s="56" t="inlineStr">
        <is>
          <t>m3</t>
        </is>
      </c>
      <c r="F98" s="193" t="inlineStr">
        <is>
          <t>m3</t>
        </is>
      </c>
      <c r="G98" s="161" t="n"/>
      <c r="H98" s="190">
        <f>G98*D98</f>
        <v>0.0</v>
      </c>
      <c r="I98" s="165" t="inlineStr">
        <is>
          <t>BOQ multiplies by 5 in error; measured all floors</t>
        </is>
      </c>
    </row>
    <row r="99" ht="15.75" customHeight="1">
      <c r="A99" s="76" t="n"/>
      <c r="B99" s="81" t="n"/>
      <c r="C99" s="78" t="n"/>
      <c r="D99" s="57" t="n"/>
      <c r="E99" s="56" t="n"/>
      <c r="F99" s="82" t="n"/>
      <c r="G99" s="190" t="n"/>
      <c r="H99" s="190" t="n"/>
    </row>
    <row r="100" ht="15.75" customHeight="1">
      <c r="A100" s="76" t="inlineStr">
        <is>
          <t>C</t>
        </is>
      </c>
      <c r="B100" s="81" t="inlineStr">
        <is>
          <t>Concrete wall</t>
        </is>
      </c>
      <c r="C100" s="78" t="n">
        <v>306</v>
      </c>
      <c r="D100" s="192">
        <f>'Verification Take-off'!E34</f>
        <v>667.387875</v>
      </c>
      <c r="E100" s="56" t="inlineStr">
        <is>
          <t>m3</t>
        </is>
      </c>
      <c r="F100" s="193" t="inlineStr">
        <is>
          <t>m3</t>
        </is>
      </c>
      <c r="G100" s="161" t="n"/>
      <c r="H100" s="190">
        <f>G100*D100</f>
        <v>0.0</v>
      </c>
      <c r="I100" s="165" t="inlineStr">
        <is>
          <t>Shear, lift &amp; emergency core walls all floors</t>
        </is>
      </c>
    </row>
    <row r="101" ht="15.75" customHeight="1">
      <c r="A101" s="76" t="n"/>
      <c r="B101" s="81" t="n"/>
      <c r="C101" s="78" t="n"/>
      <c r="D101" s="57" t="n"/>
      <c r="E101" s="76" t="n"/>
      <c r="F101" s="82" t="n"/>
      <c r="G101" s="190" t="n"/>
      <c r="H101" s="190" t="n"/>
    </row>
    <row r="102" ht="15.75" customHeight="1">
      <c r="A102" s="76" t="inlineStr">
        <is>
          <t>D</t>
        </is>
      </c>
      <c r="B102" s="81" t="inlineStr">
        <is>
          <t>Stairs</t>
        </is>
      </c>
      <c r="C102" s="78" t="n">
        <v>120</v>
      </c>
      <c r="D102" s="192">
        <f>'Verification Take-off'!E35</f>
        <v>124.5299393939394</v>
      </c>
      <c r="E102" s="56" t="inlineStr">
        <is>
          <t>m3</t>
        </is>
      </c>
      <c r="F102" s="193" t="inlineStr">
        <is>
          <t>m3</t>
        </is>
      </c>
      <c r="G102" s="161" t="n"/>
      <c r="H102" s="190">
        <f>G102*D102</f>
        <v>0.0</v>
      </c>
      <c r="I102" s="165" t="inlineStr"/>
    </row>
    <row r="103" ht="15.75" customHeight="1">
      <c r="A103" s="76" t="n"/>
      <c r="B103" s="81" t="n"/>
      <c r="C103" s="78" t="n"/>
      <c r="D103" s="57" t="n"/>
      <c r="E103" s="56" t="n"/>
      <c r="F103" s="82" t="n"/>
      <c r="G103" s="190" t="n"/>
      <c r="H103" s="190" t="n"/>
    </row>
    <row r="104" ht="15.75" customHeight="1">
      <c r="A104" s="76" t="inlineStr">
        <is>
          <t>E</t>
        </is>
      </c>
      <c r="B104" s="81" t="inlineStr">
        <is>
          <t>Suspended slab</t>
        </is>
      </c>
      <c r="C104" s="78" t="n">
        <v>2790</v>
      </c>
      <c r="D104" s="192">
        <f>'Verification Take-off'!E36</f>
        <v>3325.765</v>
      </c>
      <c r="E104" s="56" t="inlineStr">
        <is>
          <t>m3</t>
        </is>
      </c>
      <c r="F104" s="193" t="inlineStr">
        <is>
          <t>m3</t>
        </is>
      </c>
      <c r="G104" s="161" t="n"/>
      <c r="H104" s="190">
        <f>G104*D104</f>
        <v>0.0</v>
      </c>
      <c r="I104" s="165" t="inlineStr"/>
    </row>
    <row r="105" ht="15.75" customHeight="1">
      <c r="A105" s="76" t="n"/>
      <c r="B105" s="81" t="n"/>
      <c r="C105" s="78" t="n"/>
      <c r="D105" s="57" t="n"/>
      <c r="E105" s="76" t="n"/>
      <c r="F105" s="82" t="n"/>
      <c r="G105" s="190" t="n"/>
      <c r="H105" s="190" t="n"/>
    </row>
    <row r="106" ht="15.75" customHeight="1">
      <c r="A106" s="76" t="inlineStr">
        <is>
          <t>F</t>
        </is>
      </c>
      <c r="B106" s="81" t="inlineStr">
        <is>
          <t>Coppings</t>
        </is>
      </c>
      <c r="C106" s="78" t="n">
        <v>15</v>
      </c>
      <c r="D106" s="192">
        <f>'Verification Take-off'!E37</f>
        <v>13.716</v>
      </c>
      <c r="E106" s="56" t="inlineStr">
        <is>
          <t>m3</t>
        </is>
      </c>
      <c r="F106" s="193" t="inlineStr">
        <is>
          <t>m3</t>
        </is>
      </c>
      <c r="G106" s="161" t="n"/>
      <c r="H106" s="190">
        <f>G106*D106</f>
        <v>0.0</v>
      </c>
      <c r="I106" s="165" t="inlineStr"/>
    </row>
    <row r="107" ht="15.75" customHeight="1">
      <c r="A107" s="76" t="n"/>
      <c r="B107" s="80" t="n"/>
      <c r="C107" s="78" t="n"/>
      <c r="D107" s="57" t="n"/>
      <c r="E107" s="76" t="n"/>
      <c r="F107" s="82" t="n"/>
      <c r="G107" s="190" t="n"/>
      <c r="H107" s="190" t="n"/>
    </row>
    <row r="108" ht="15.75" customHeight="1">
      <c r="A108" s="76" t="n"/>
      <c r="B108" s="64" t="inlineStr">
        <is>
          <t>E30 REINFORCEMENT</t>
        </is>
      </c>
      <c r="C108" s="78" t="n"/>
      <c r="D108" s="78" t="n"/>
      <c r="E108" s="76" t="n"/>
      <c r="F108" s="82" t="n"/>
      <c r="G108" s="190" t="n"/>
      <c r="H108" s="190" t="n"/>
    </row>
    <row r="109" ht="15.75" customHeight="1">
      <c r="A109" s="76" t="n"/>
      <c r="B109" s="15" t="inlineStr">
        <is>
          <t>High Tensile yield round bar reinforcement (standard)</t>
        </is>
      </c>
      <c r="C109" s="78" t="n"/>
      <c r="D109" s="78" t="n"/>
      <c r="E109" s="76" t="n"/>
      <c r="F109" s="82" t="n"/>
      <c r="G109" s="190" t="n"/>
      <c r="H109" s="190" t="n"/>
    </row>
    <row r="110" ht="15.6" customHeight="1">
      <c r="A110" s="11" t="inlineStr">
        <is>
          <t>G</t>
        </is>
      </c>
      <c r="B110" s="8" t="inlineStr">
        <is>
          <t>10mm Diameter in columns</t>
        </is>
      </c>
      <c r="C110" s="33">
        <f>5*56.331</f>
        <v>281.65500000000003</v>
      </c>
      <c r="D110" s="162">
        <f>'Verification Take-off'!E40</f>
        <v>48.472</v>
      </c>
      <c r="E110" s="11" t="inlineStr">
        <is>
          <t>t</t>
        </is>
      </c>
      <c r="F110" s="163" t="inlineStr">
        <is>
          <t>t</t>
        </is>
      </c>
      <c r="G110" s="161" t="n"/>
      <c r="H110" s="164">
        <f>G110*D110</f>
        <v>0.0</v>
      </c>
      <c r="I110" s="165" t="inlineStr">
        <is>
          <t>BOQ x5 multiplier is an error - figure already covers all floors</t>
        </is>
      </c>
    </row>
    <row r="111" ht="15.6" customHeight="1">
      <c r="A111" s="11" t="n"/>
      <c r="B111" s="8" t="n"/>
      <c r="C111" s="33" t="n"/>
      <c r="D111" s="33" t="n"/>
      <c r="E111" s="11" t="n"/>
      <c r="F111" s="14" t="n"/>
      <c r="G111" s="161" t="n"/>
      <c r="H111" s="164" t="n"/>
    </row>
    <row r="112" ht="15.6" customHeight="1">
      <c r="A112" s="11" t="inlineStr">
        <is>
          <t>H</t>
        </is>
      </c>
      <c r="B112" s="8" t="inlineStr">
        <is>
          <t>20mm Diameter in columns</t>
        </is>
      </c>
      <c r="C112" s="33">
        <f>5*59.146</f>
        <v>295.73</v>
      </c>
      <c r="D112" s="162">
        <f>'Verification Take-off'!E41</f>
        <v>56.589</v>
      </c>
      <c r="E112" s="11" t="inlineStr">
        <is>
          <t>t</t>
        </is>
      </c>
      <c r="F112" s="163" t="inlineStr">
        <is>
          <t>t</t>
        </is>
      </c>
      <c r="G112" s="161" t="n"/>
      <c r="H112" s="164">
        <f>G112*D112</f>
        <v>0.0</v>
      </c>
      <c r="I112" s="165" t="inlineStr">
        <is>
          <t>BOQ x5 multiplier is an error</t>
        </is>
      </c>
    </row>
    <row r="113" ht="15.6" customHeight="1">
      <c r="A113" s="11" t="n"/>
      <c r="B113" s="8" t="n"/>
      <c r="C113" s="33" t="n"/>
      <c r="D113" s="33" t="n"/>
      <c r="E113" s="11" t="n"/>
      <c r="F113" s="14" t="n"/>
      <c r="G113" s="161" t="n"/>
      <c r="H113" s="164" t="n"/>
    </row>
    <row r="114" ht="15.6" customHeight="1">
      <c r="A114" s="11" t="inlineStr">
        <is>
          <t>J</t>
        </is>
      </c>
      <c r="B114" s="8" t="inlineStr">
        <is>
          <t>25mm Diameter in columns</t>
        </is>
      </c>
      <c r="C114" s="33">
        <f>5*29.375</f>
        <v>146.875</v>
      </c>
      <c r="D114" s="162">
        <f>'Verification Take-off'!E42</f>
        <v>29.946</v>
      </c>
      <c r="E114" s="11" t="inlineStr">
        <is>
          <t>t</t>
        </is>
      </c>
      <c r="F114" s="163" t="inlineStr">
        <is>
          <t>t</t>
        </is>
      </c>
      <c r="G114" s="161" t="n"/>
      <c r="H114" s="164">
        <f>G114*D114</f>
        <v>0.0</v>
      </c>
      <c r="I114" s="165" t="inlineStr">
        <is>
          <t>BOQ x5 multiplier is an error</t>
        </is>
      </c>
    </row>
    <row r="115" ht="15.6" customHeight="1">
      <c r="A115" s="76" t="n"/>
      <c r="B115" s="81" t="n"/>
      <c r="C115" s="83" t="n"/>
      <c r="D115" s="194" t="n"/>
      <c r="E115" s="76" t="n"/>
      <c r="F115" s="82" t="n"/>
      <c r="G115" s="190" t="n"/>
      <c r="H115" s="190" t="n"/>
    </row>
    <row r="116" ht="15.6" customHeight="1">
      <c r="A116" s="11" t="inlineStr">
        <is>
          <t>K</t>
        </is>
      </c>
      <c r="B116" s="166" t="inlineStr">
        <is>
          <t>10mm diameter in stairs
[PER DRAWINGS: stairs use 12mm (Y12) and 16mm bars - no 10mm in stair BBS]</t>
        </is>
      </c>
      <c r="C116" s="12" t="n">
        <v>8.548</v>
      </c>
      <c r="D116" s="162">
        <f>'Verification Take-off'!E43</f>
        <v>10.116</v>
      </c>
      <c r="E116" s="11" t="inlineStr">
        <is>
          <t>t</t>
        </is>
      </c>
      <c r="F116" s="163" t="inlineStr">
        <is>
          <t>t</t>
        </is>
      </c>
      <c r="G116" s="161" t="n"/>
      <c r="H116" s="164">
        <f>G116*D116</f>
        <v>0.0</v>
      </c>
      <c r="I116" s="165" t="inlineStr"/>
    </row>
    <row r="117" ht="15.6" customHeight="1">
      <c r="A117" s="11" t="n"/>
      <c r="B117" s="8" t="n"/>
      <c r="C117" s="12" t="n"/>
      <c r="D117" s="12" t="n"/>
      <c r="E117" s="11" t="n"/>
      <c r="F117" s="14" t="n"/>
      <c r="G117" s="161" t="n"/>
      <c r="H117" s="164" t="n"/>
    </row>
    <row r="118" ht="15.6" customHeight="1">
      <c r="A118" s="11" t="inlineStr">
        <is>
          <t>L</t>
        </is>
      </c>
      <c r="B118" s="8" t="inlineStr">
        <is>
          <t>16mm diameter in stairs</t>
        </is>
      </c>
      <c r="C118" s="12" t="n">
        <v>19.878</v>
      </c>
      <c r="D118" s="162">
        <f>'Verification Take-off'!E44</f>
        <v>16.226</v>
      </c>
      <c r="E118" s="11" t="inlineStr">
        <is>
          <t>t</t>
        </is>
      </c>
      <c r="F118" s="163" t="inlineStr">
        <is>
          <t>t</t>
        </is>
      </c>
      <c r="G118" s="161" t="n"/>
      <c r="H118" s="164">
        <f>G118*D118</f>
        <v>0.0</v>
      </c>
      <c r="I118" s="165" t="inlineStr"/>
    </row>
    <row r="119" ht="15.6" customHeight="1">
      <c r="A119" s="76" t="n"/>
      <c r="B119" s="81" t="n"/>
      <c r="C119" s="83" t="n"/>
      <c r="D119" s="194" t="n"/>
      <c r="E119" s="76" t="n"/>
      <c r="F119" s="82" t="n"/>
      <c r="G119" s="190" t="n"/>
      <c r="H119" s="190" t="n"/>
    </row>
    <row r="120" ht="15.6" customHeight="1">
      <c r="A120" s="11" t="inlineStr">
        <is>
          <t>M</t>
        </is>
      </c>
      <c r="B120" s="166" t="inlineStr">
        <is>
          <t>10mm diamter for concrete
[PER DRAWINGS: 10mm links in shear &amp; lift walls]</t>
        </is>
      </c>
      <c r="C120" s="12">
        <f>9*2.574</f>
        <v>23.165999999999997</v>
      </c>
      <c r="D120" s="162">
        <f>'Verification Take-off'!E45</f>
        <v>26.192999999999998</v>
      </c>
      <c r="E120" s="11" t="inlineStr">
        <is>
          <t>t</t>
        </is>
      </c>
      <c r="F120" s="163" t="inlineStr">
        <is>
          <t>t</t>
        </is>
      </c>
      <c r="G120" s="161" t="n"/>
      <c r="H120" s="164">
        <f>G120*D120</f>
        <v>0.0</v>
      </c>
      <c r="I120" s="165" t="inlineStr"/>
    </row>
    <row r="121" ht="15.6" customHeight="1">
      <c r="A121" s="11" t="n"/>
      <c r="B121" s="8" t="n"/>
      <c r="C121" s="12" t="n"/>
      <c r="D121" s="12" t="n"/>
      <c r="E121" s="11" t="n"/>
      <c r="F121" s="14" t="n"/>
      <c r="G121" s="161" t="n"/>
      <c r="H121" s="164" t="n"/>
    </row>
    <row r="122" ht="15.6" customHeight="1">
      <c r="A122" s="11" t="inlineStr">
        <is>
          <t>N</t>
        </is>
      </c>
      <c r="B122" s="166" t="inlineStr">
        <is>
          <t>12mm diamter for concrete
[PER DRAWINGS: 12mm horizontal bars in shear, lift &amp; ramp walls]</t>
        </is>
      </c>
      <c r="C122" s="12">
        <f>9*1.566</f>
        <v>14.094000000000001</v>
      </c>
      <c r="D122" s="162">
        <f>'Verification Take-off'!E46</f>
        <v>36.327000000000005</v>
      </c>
      <c r="E122" s="11" t="inlineStr">
        <is>
          <t>t</t>
        </is>
      </c>
      <c r="F122" s="163" t="inlineStr">
        <is>
          <t>t</t>
        </is>
      </c>
      <c r="G122" s="161" t="n"/>
      <c r="H122" s="164">
        <f>G122*D122</f>
        <v>0.0</v>
      </c>
      <c r="I122" s="165" t="inlineStr"/>
    </row>
    <row r="123" ht="15.6" customHeight="1">
      <c r="A123" s="11" t="n"/>
      <c r="B123" s="15" t="n"/>
      <c r="C123" s="12" t="n"/>
      <c r="D123" s="12" t="n"/>
      <c r="E123" s="11" t="n"/>
      <c r="F123" s="14" t="n"/>
      <c r="G123" s="161" t="n"/>
      <c r="H123" s="164" t="n"/>
    </row>
    <row r="124" ht="15.6" customHeight="1">
      <c r="A124" s="11" t="inlineStr">
        <is>
          <t>P</t>
        </is>
      </c>
      <c r="B124" s="166" t="inlineStr">
        <is>
          <t>25mm diamter for concrete
[PER DRAWINGS: 25mm vertical bars in shear &amp; lift walls]</t>
        </is>
      </c>
      <c r="C124" s="12">
        <f>9*1.414</f>
        <v>12.725999999999999</v>
      </c>
      <c r="D124" s="162">
        <f>'Verification Take-off'!E47</f>
        <v>77.017</v>
      </c>
      <c r="E124" s="11" t="inlineStr">
        <is>
          <t>t</t>
        </is>
      </c>
      <c r="F124" s="163" t="inlineStr">
        <is>
          <t>t</t>
        </is>
      </c>
      <c r="G124" s="161" t="n"/>
      <c r="H124" s="164">
        <f>G124*D124</f>
        <v>0.0</v>
      </c>
      <c r="I124" s="165" t="inlineStr"/>
    </row>
    <row r="125" ht="15.6" customHeight="1">
      <c r="A125" s="76" t="n"/>
      <c r="B125" s="81" t="n"/>
      <c r="C125" s="83" t="n"/>
      <c r="D125" s="194" t="n"/>
      <c r="E125" s="76" t="n"/>
      <c r="F125" s="82" t="n"/>
      <c r="G125" s="190" t="n"/>
      <c r="H125" s="190" t="n"/>
    </row>
    <row r="126" ht="15.6" customHeight="1">
      <c r="A126" s="76" t="inlineStr">
        <is>
          <t>Q</t>
        </is>
      </c>
      <c r="B126" s="81" t="inlineStr">
        <is>
          <t>12mm diameter for suspended slab</t>
        </is>
      </c>
      <c r="C126" s="12" t="n">
        <v>315</v>
      </c>
      <c r="D126" s="162">
        <f>'Verification Take-off'!E48</f>
        <v>586.2669999999999</v>
      </c>
      <c r="E126" s="11" t="inlineStr">
        <is>
          <t>t</t>
        </is>
      </c>
      <c r="F126" s="163" t="inlineStr">
        <is>
          <t>t</t>
        </is>
      </c>
      <c r="G126" s="161" t="n"/>
      <c r="H126" s="164">
        <f>G126*D126</f>
        <v>0.0</v>
      </c>
      <c r="I126" s="165" t="inlineStr"/>
    </row>
    <row r="127" ht="15.6" customHeight="1">
      <c r="A127" s="76" t="n"/>
      <c r="B127" s="81" t="n"/>
      <c r="C127" s="83" t="n"/>
      <c r="D127" s="194" t="n"/>
      <c r="E127" s="76" t="n"/>
      <c r="F127" s="82" t="n"/>
      <c r="G127" s="190" t="n"/>
      <c r="H127" s="190" t="n"/>
    </row>
    <row r="128" ht="15.6" customHeight="1">
      <c r="A128" s="76" t="inlineStr">
        <is>
          <t>R</t>
        </is>
      </c>
      <c r="B128" s="81" t="inlineStr">
        <is>
          <t>16mm diameter for suspended slab</t>
        </is>
      </c>
      <c r="C128" s="12" t="n">
        <v>51</v>
      </c>
      <c r="D128" s="162">
        <f>'Verification Take-off'!E49</f>
        <v>11.42</v>
      </c>
      <c r="E128" s="11" t="inlineStr">
        <is>
          <t>t</t>
        </is>
      </c>
      <c r="F128" s="163" t="inlineStr">
        <is>
          <t>t</t>
        </is>
      </c>
      <c r="G128" s="161" t="n"/>
      <c r="H128" s="164">
        <f>G128*D128</f>
        <v>0.0</v>
      </c>
      <c r="I128" s="165" t="inlineStr"/>
    </row>
    <row r="129" ht="15.6" customHeight="1">
      <c r="A129" s="76" t="n"/>
      <c r="B129" s="81" t="n"/>
      <c r="C129" s="83" t="n"/>
      <c r="D129" s="194" t="n"/>
      <c r="E129" s="76" t="n"/>
      <c r="F129" s="82" t="n"/>
      <c r="G129" s="190" t="n"/>
      <c r="H129" s="190" t="n"/>
    </row>
    <row r="130" ht="15.6" customHeight="1">
      <c r="A130" s="76" t="n"/>
      <c r="B130" s="81" t="n"/>
      <c r="C130" s="83" t="n"/>
      <c r="D130" s="194" t="n"/>
      <c r="E130" s="76" t="n"/>
      <c r="F130" s="82" t="n"/>
      <c r="G130" s="190" t="n"/>
      <c r="H130" s="190" t="n"/>
    </row>
    <row r="131" ht="15.6" customHeight="1">
      <c r="A131" s="76" t="n"/>
      <c r="B131" s="64" t="inlineStr">
        <is>
          <t>E20 FORMWORK</t>
        </is>
      </c>
      <c r="C131" s="75" t="n"/>
      <c r="D131" s="75" t="n"/>
      <c r="E131" s="76" t="n"/>
      <c r="F131" s="82" t="n"/>
      <c r="G131" s="190" t="n"/>
      <c r="H131" s="190" t="n"/>
    </row>
    <row r="132" ht="15.6" customHeight="1">
      <c r="A132" s="76" t="n"/>
      <c r="B132" s="80" t="inlineStr">
        <is>
          <t>Formwork as described to:</t>
        </is>
      </c>
      <c r="C132" s="78" t="n"/>
      <c r="D132" s="78" t="n"/>
      <c r="E132" s="76" t="n"/>
      <c r="F132" s="82" t="n"/>
      <c r="G132" s="190" t="n"/>
      <c r="H132" s="190" t="n"/>
    </row>
    <row r="133" ht="15.6" customHeight="1">
      <c r="A133" s="76" t="n"/>
      <c r="B133" s="80" t="n"/>
      <c r="C133" s="78" t="n"/>
      <c r="D133" s="78" t="n"/>
      <c r="E133" s="76" t="n"/>
      <c r="F133" s="82" t="n"/>
      <c r="G133" s="190" t="n"/>
      <c r="H133" s="190" t="n"/>
    </row>
    <row r="134" ht="15.6" customHeight="1">
      <c r="A134" s="76" t="inlineStr">
        <is>
          <t>S</t>
        </is>
      </c>
      <c r="B134" s="81" t="inlineStr">
        <is>
          <t xml:space="preserve">Side and soffits of Lintel / copping  </t>
        </is>
      </c>
      <c r="C134" s="78">
        <f>C96/0.3</f>
        <v>1200.0</v>
      </c>
      <c r="D134" s="192">
        <f>'Verification Take-off'!E56</f>
        <v>1094.34</v>
      </c>
      <c r="E134" s="56" t="inlineStr">
        <is>
          <t>m2</t>
        </is>
      </c>
      <c r="F134" s="195" t="inlineStr">
        <is>
          <t>m2</t>
        </is>
      </c>
      <c r="G134" s="161" t="n"/>
      <c r="H134" s="164">
        <f>G134*D134</f>
        <v>0.0</v>
      </c>
      <c r="I134" s="165" t="inlineStr"/>
    </row>
    <row r="135" ht="15.6" customHeight="1">
      <c r="A135" s="76" t="n"/>
      <c r="B135" s="81" t="n"/>
      <c r="C135" s="78" t="n"/>
      <c r="D135" s="57" t="n"/>
      <c r="E135" s="76" t="n"/>
      <c r="F135" s="82" t="n"/>
      <c r="G135" s="190" t="n"/>
      <c r="H135" s="190" t="n"/>
    </row>
    <row r="136" ht="15.6" customHeight="1">
      <c r="A136" s="76" t="inlineStr">
        <is>
          <t>T</t>
        </is>
      </c>
      <c r="B136" s="81" t="inlineStr">
        <is>
          <t>Columns</t>
        </is>
      </c>
      <c r="C136" s="78">
        <f>5*1558.2</f>
        <v>7791.0</v>
      </c>
      <c r="D136" s="192">
        <f>'Verification Take-off'!E57</f>
        <v>3440.5275</v>
      </c>
      <c r="E136" s="56" t="inlineStr">
        <is>
          <t>m2</t>
        </is>
      </c>
      <c r="F136" s="195" t="inlineStr">
        <is>
          <t>m2</t>
        </is>
      </c>
      <c r="G136" s="161" t="n"/>
      <c r="H136" s="164">
        <f>G136*D136</f>
        <v>0.0</v>
      </c>
      <c r="I136" s="165" t="inlineStr">
        <is>
          <t>BOQ x5 multiplier is an error</t>
        </is>
      </c>
    </row>
    <row r="137" ht="15.6" customHeight="1">
      <c r="A137" s="76" t="n"/>
      <c r="B137" s="81" t="n"/>
      <c r="C137" s="78" t="n"/>
      <c r="D137" s="57" t="n"/>
      <c r="E137" s="76" t="n"/>
      <c r="F137" s="82" t="n"/>
      <c r="G137" s="190" t="n"/>
      <c r="H137" s="190" t="n"/>
    </row>
    <row r="138" ht="15.6" customHeight="1">
      <c r="A138" s="76" t="inlineStr">
        <is>
          <t>U</t>
        </is>
      </c>
      <c r="B138" s="81" t="inlineStr">
        <is>
          <t>Suspended slab</t>
        </is>
      </c>
      <c r="C138" s="78" t="n">
        <v>12402</v>
      </c>
      <c r="D138" s="192">
        <f>'Verification Take-off'!E58</f>
        <v>13380.1</v>
      </c>
      <c r="E138" s="56" t="inlineStr">
        <is>
          <t>m2</t>
        </is>
      </c>
      <c r="F138" s="195" t="inlineStr">
        <is>
          <t>m2</t>
        </is>
      </c>
      <c r="G138" s="161" t="n"/>
      <c r="H138" s="164">
        <f>G138*D138</f>
        <v>0.0</v>
      </c>
      <c r="I138" s="165" t="inlineStr"/>
    </row>
    <row r="139" ht="15.6" customHeight="1">
      <c r="A139" s="76" t="n"/>
      <c r="B139" s="81" t="n"/>
      <c r="C139" s="78" t="n"/>
      <c r="D139" s="57" t="n"/>
      <c r="E139" s="76" t="n"/>
      <c r="F139" s="82" t="n"/>
      <c r="G139" s="190" t="n"/>
      <c r="H139" s="190" t="n"/>
    </row>
    <row r="140" ht="15.6" customHeight="1">
      <c r="A140" s="76" t="inlineStr">
        <is>
          <t>V</t>
        </is>
      </c>
      <c r="B140" s="81" t="inlineStr">
        <is>
          <t>Concrete wall</t>
        </is>
      </c>
      <c r="C140" s="78">
        <f>C98/0.25</f>
        <v>7080.0</v>
      </c>
      <c r="D140" s="192">
        <f>'Verification Take-off'!E59</f>
        <v>5339.103</v>
      </c>
      <c r="E140" s="56" t="inlineStr">
        <is>
          <t>m2</t>
        </is>
      </c>
      <c r="F140" s="195" t="inlineStr">
        <is>
          <t>m2</t>
        </is>
      </c>
      <c r="G140" s="161" t="n"/>
      <c r="H140" s="164">
        <f>G140*D140</f>
        <v>0.0</v>
      </c>
      <c r="I140" s="165" t="inlineStr">
        <is>
          <t>BOQ formula =C98/0.25 refers to column concrete - error</t>
        </is>
      </c>
    </row>
    <row r="141" ht="15.6" customHeight="1">
      <c r="A141" s="76" t="n"/>
      <c r="B141" s="81" t="n"/>
      <c r="C141" s="78" t="n"/>
      <c r="D141" s="57" t="n"/>
      <c r="E141" s="76" t="n"/>
      <c r="F141" s="82" t="n"/>
      <c r="G141" s="190" t="n"/>
      <c r="H141" s="190" t="n"/>
    </row>
    <row r="142" ht="15.6" customHeight="1">
      <c r="A142" s="196" t="inlineStr">
        <is>
          <t>N4</t>
        </is>
      </c>
      <c r="B142" s="197" t="inlineStr">
        <is>
          <t>Vibrated in-situ concrete C40 in beams (downstands)</t>
        </is>
      </c>
      <c r="C142" s="198" t="n"/>
      <c r="D142" s="192">
        <f>'Verification Take-off'!E38</f>
        <v>210.69699999999997</v>
      </c>
      <c r="E142" s="196" t="inlineStr">
        <is>
          <t>-</t>
        </is>
      </c>
      <c r="F142" s="193" t="inlineStr">
        <is>
          <t>m3</t>
        </is>
      </c>
      <c r="G142" s="199" t="n"/>
      <c r="H142" s="199">
        <f>G142*D142</f>
        <v>0.0</v>
      </c>
      <c r="I142" s="200" t="inlineStr">
        <is>
          <t>ADDED - omitted from BOQ</t>
        </is>
      </c>
    </row>
    <row r="143" ht="15.6" customHeight="1">
      <c r="A143" s="196" t="inlineStr">
        <is>
          <t>N5</t>
        </is>
      </c>
      <c r="B143" s="197" t="inlineStr">
        <is>
          <t>20mm diameter in shear &amp; lift walls</t>
        </is>
      </c>
      <c r="C143" s="198" t="n"/>
      <c r="D143" s="192">
        <f>'Verification Take-off'!E50</f>
        <v>82.152</v>
      </c>
      <c r="E143" s="196" t="inlineStr">
        <is>
          <t>-</t>
        </is>
      </c>
      <c r="F143" s="193" t="inlineStr">
        <is>
          <t>t</t>
        </is>
      </c>
      <c r="G143" s="199" t="n"/>
      <c r="H143" s="199">
        <f>G143*D143</f>
        <v>0.0</v>
      </c>
      <c r="I143" s="200" t="inlineStr">
        <is>
          <t>ADDED - omitted from BOQ</t>
        </is>
      </c>
    </row>
    <row r="144" ht="15.6" customHeight="1">
      <c r="A144" s="196" t="inlineStr">
        <is>
          <t>N6</t>
        </is>
      </c>
      <c r="B144" s="197" t="inlineStr">
        <is>
          <t>10mm diameter in beams (links)</t>
        </is>
      </c>
      <c r="C144" s="198" t="n"/>
      <c r="D144" s="192">
        <f>'Verification Take-off'!E51</f>
        <v>19.686</v>
      </c>
      <c r="E144" s="196" t="inlineStr">
        <is>
          <t>-</t>
        </is>
      </c>
      <c r="F144" s="193" t="inlineStr">
        <is>
          <t>t</t>
        </is>
      </c>
      <c r="G144" s="199" t="n"/>
      <c r="H144" s="199">
        <f>G144*D144</f>
        <v>0.0</v>
      </c>
      <c r="I144" s="200" t="inlineStr">
        <is>
          <t>ADDED - omitted from BOQ</t>
        </is>
      </c>
    </row>
    <row r="145" ht="15.6" customHeight="1">
      <c r="A145" s="196" t="inlineStr">
        <is>
          <t>N7</t>
        </is>
      </c>
      <c r="B145" s="197" t="inlineStr">
        <is>
          <t>16mm diameter in beams</t>
        </is>
      </c>
      <c r="C145" s="198" t="n"/>
      <c r="D145" s="192">
        <f>'Verification Take-off'!E52</f>
        <v>14.785</v>
      </c>
      <c r="E145" s="196" t="inlineStr">
        <is>
          <t>-</t>
        </is>
      </c>
      <c r="F145" s="193" t="inlineStr">
        <is>
          <t>t</t>
        </is>
      </c>
      <c r="G145" s="199" t="n"/>
      <c r="H145" s="199">
        <f>G145*D145</f>
        <v>0.0</v>
      </c>
      <c r="I145" s="200" t="inlineStr">
        <is>
          <t>ADDED - omitted from BOQ</t>
        </is>
      </c>
    </row>
    <row r="146" ht="15.6" customHeight="1">
      <c r="A146" s="196" t="inlineStr">
        <is>
          <t>N8</t>
        </is>
      </c>
      <c r="B146" s="197" t="inlineStr">
        <is>
          <t>20mm diameter in beams</t>
        </is>
      </c>
      <c r="C146" s="198" t="n"/>
      <c r="D146" s="192">
        <f>'Verification Take-off'!E53</f>
        <v>22.563</v>
      </c>
      <c r="E146" s="196" t="inlineStr">
        <is>
          <t>-</t>
        </is>
      </c>
      <c r="F146" s="193" t="inlineStr">
        <is>
          <t>t</t>
        </is>
      </c>
      <c r="G146" s="199" t="n"/>
      <c r="H146" s="199">
        <f>G146*D146</f>
        <v>0.0</v>
      </c>
      <c r="I146" s="200" t="inlineStr">
        <is>
          <t>ADDED - omitted from BOQ</t>
        </is>
      </c>
    </row>
    <row r="147" ht="15.6" customHeight="1">
      <c r="A147" s="196" t="inlineStr">
        <is>
          <t>N9</t>
        </is>
      </c>
      <c r="B147" s="197" t="inlineStr">
        <is>
          <t>25mm diameter in beams</t>
        </is>
      </c>
      <c r="C147" s="198" t="n"/>
      <c r="D147" s="192">
        <f>'Verification Take-off'!E54</f>
        <v>54.392</v>
      </c>
      <c r="E147" s="196" t="inlineStr">
        <is>
          <t>-</t>
        </is>
      </c>
      <c r="F147" s="193" t="inlineStr">
        <is>
          <t>t</t>
        </is>
      </c>
      <c r="G147" s="199" t="n"/>
      <c r="H147" s="199">
        <f>G147*D147</f>
        <v>0.0</v>
      </c>
      <c r="I147" s="200" t="inlineStr">
        <is>
          <t>ADDED - omitted from BOQ</t>
        </is>
      </c>
    </row>
    <row r="148" ht="15.6" customHeight="1">
      <c r="A148" s="196" t="inlineStr">
        <is>
          <t>N10</t>
        </is>
      </c>
      <c r="B148" s="197" t="inlineStr">
        <is>
          <t>Formwork to sides and soffits of beams</t>
        </is>
      </c>
      <c r="C148" s="198" t="n"/>
      <c r="D148" s="192">
        <f>'Verification Take-off'!E60</f>
        <v>2097.75</v>
      </c>
      <c r="E148" s="196" t="inlineStr">
        <is>
          <t>-</t>
        </is>
      </c>
      <c r="F148" s="193" t="inlineStr">
        <is>
          <t>m2</t>
        </is>
      </c>
      <c r="G148" s="199" t="n"/>
      <c r="H148" s="199">
        <f>G148*D148</f>
        <v>0.0</v>
      </c>
      <c r="I148" s="200" t="inlineStr">
        <is>
          <t>ADDED - omitted from BOQ</t>
        </is>
      </c>
    </row>
    <row r="149" ht="15.6" customHeight="1">
      <c r="A149" s="196" t="inlineStr">
        <is>
          <t>N11</t>
        </is>
      </c>
      <c r="B149" s="197" t="inlineStr">
        <is>
          <t>Formwork to edges of suspended slabs 250mm high</t>
        </is>
      </c>
      <c r="C149" s="198" t="n"/>
      <c r="D149" s="192">
        <f>'Verification Take-off'!E61</f>
        <v>3734.1000000000004</v>
      </c>
      <c r="E149" s="196" t="inlineStr">
        <is>
          <t>-</t>
        </is>
      </c>
      <c r="F149" s="193" t="inlineStr">
        <is>
          <t>m</t>
        </is>
      </c>
      <c r="G149" s="199" t="n"/>
      <c r="H149" s="199">
        <f>G149*D149</f>
        <v>0.0</v>
      </c>
      <c r="I149" s="200" t="inlineStr">
        <is>
          <t>ADDED - omitted from BOQ</t>
        </is>
      </c>
    </row>
    <row r="150" ht="15.6" customHeight="1">
      <c r="A150" s="196" t="inlineStr">
        <is>
          <t>N12</t>
        </is>
      </c>
      <c r="B150" s="197" t="inlineStr">
        <is>
          <t>Formwork to soffits of stair flights, landings and risers</t>
        </is>
      </c>
      <c r="C150" s="198" t="n"/>
      <c r="D150" s="192">
        <f>'Verification Take-off'!E62</f>
        <v>731.8607999999999</v>
      </c>
      <c r="E150" s="196" t="inlineStr">
        <is>
          <t>-</t>
        </is>
      </c>
      <c r="F150" s="193" t="inlineStr">
        <is>
          <t>m2</t>
        </is>
      </c>
      <c r="G150" s="199" t="n"/>
      <c r="H150" s="199">
        <f>G150*D150</f>
        <v>0.0</v>
      </c>
      <c r="I150" s="200" t="inlineStr">
        <is>
          <t>ADDED - omitted from BOQ</t>
        </is>
      </c>
    </row>
    <row r="151" ht="16.2" customHeight="1" thickBot="1">
      <c r="A151" s="76" t="n"/>
      <c r="B151" s="81" t="n"/>
      <c r="C151" s="78" t="n"/>
      <c r="D151" s="57" t="n"/>
      <c r="E151" s="76" t="n"/>
      <c r="F151" s="82" t="n"/>
      <c r="G151" s="190" t="n"/>
      <c r="H151" s="190" t="n"/>
    </row>
    <row r="152" ht="16.8" customHeight="1" thickBot="1" thickTop="1">
      <c r="A152" s="84" t="n"/>
      <c r="B152" s="67" t="inlineStr">
        <is>
          <t>REINFORCEMENT CONCRETE WORKS TO SUMMARY</t>
        </is>
      </c>
      <c r="C152" s="66" t="n"/>
      <c r="D152" s="66" t="n"/>
      <c r="E152" s="84" t="n"/>
      <c r="F152" s="85" t="n"/>
      <c r="G152" s="201" t="n"/>
      <c r="H152" s="202">
        <f>SUM(H91:H151)</f>
        <v>0.0</v>
      </c>
    </row>
    <row r="153" ht="16.8" customHeight="1" thickBot="1" thickTop="1">
      <c r="A153" s="48" t="n"/>
      <c r="B153" s="86" t="n"/>
      <c r="C153" s="47" t="n"/>
      <c r="D153" s="47" t="n"/>
      <c r="E153" s="48" t="n"/>
      <c r="F153" s="87" t="n"/>
      <c r="G153" s="203" t="n"/>
      <c r="H153" s="204" t="n"/>
    </row>
    <row r="154" ht="16.8" customHeight="1" thickBot="1" thickTop="1">
      <c r="A154" s="50" t="inlineStr">
        <is>
          <t>Item</t>
        </is>
      </c>
      <c r="B154" s="50" t="inlineStr">
        <is>
          <t>Description</t>
        </is>
      </c>
      <c r="C154" s="51" t="inlineStr">
        <is>
          <t>Qty</t>
        </is>
      </c>
      <c r="D154" s="154" t="inlineStr">
        <is>
          <t>Verified Qty</t>
        </is>
      </c>
      <c r="E154" s="50" t="inlineStr">
        <is>
          <t>Unit</t>
        </is>
      </c>
      <c r="F154" s="154" t="inlineStr">
        <is>
          <t>Verified Unit</t>
        </is>
      </c>
      <c r="G154" s="185" t="inlineStr">
        <is>
          <t>Rate</t>
        </is>
      </c>
      <c r="H154" s="186" t="inlineStr">
        <is>
          <t>Amount</t>
        </is>
      </c>
      <c r="I154" s="157" t="inlineStr">
        <is>
          <t>Verification remarks</t>
        </is>
      </c>
    </row>
    <row r="155" ht="16.2" customHeight="1" thickTop="1">
      <c r="A155" s="53" t="n"/>
      <c r="B155" s="54" t="n"/>
      <c r="C155" s="55" t="n"/>
      <c r="D155" s="55" t="n"/>
      <c r="E155" s="53" t="n"/>
      <c r="F155" s="55" t="n"/>
      <c r="G155" s="205" t="n"/>
      <c r="H155" s="205" t="n"/>
    </row>
    <row r="156" ht="15.6" customHeight="1">
      <c r="A156" s="56" t="n"/>
      <c r="B156" s="59" t="inlineStr">
        <is>
          <t>GENERAL SUMMARY</t>
        </is>
      </c>
      <c r="C156" s="57" t="n"/>
      <c r="D156" s="57" t="n"/>
      <c r="E156" s="56" t="n"/>
      <c r="F156" s="57" t="n"/>
      <c r="G156" s="58" t="n"/>
      <c r="H156" s="58" t="n"/>
      <c r="I156" s="46" t="n"/>
      <c r="J156" s="46" t="n"/>
      <c r="K156" s="46" t="n"/>
      <c r="L156" s="46" t="n"/>
      <c r="M156" s="46" t="n"/>
      <c r="N156" s="46" t="n"/>
      <c r="O156" s="46" t="n"/>
      <c r="P156" s="46" t="n"/>
      <c r="Q156" s="46" t="n"/>
      <c r="R156" s="46" t="n"/>
      <c r="S156" s="46" t="n"/>
      <c r="T156" s="46" t="n"/>
      <c r="U156" s="46" t="n"/>
      <c r="V156" s="46" t="n"/>
      <c r="W156" s="46" t="n"/>
      <c r="X156" s="46" t="n"/>
      <c r="Y156" s="46" t="n"/>
      <c r="Z156" s="46" t="n"/>
      <c r="AA156" s="46" t="n"/>
      <c r="AB156" s="46" t="n"/>
      <c r="AC156" s="46" t="n"/>
      <c r="AD156" s="46" t="n"/>
      <c r="AE156" s="46" t="n"/>
      <c r="AF156" s="46" t="n"/>
      <c r="AG156" s="46" t="n"/>
      <c r="AH156" s="46" t="n"/>
      <c r="AI156" s="46" t="n"/>
      <c r="AJ156" s="46" t="n"/>
      <c r="AK156" s="46" t="n"/>
      <c r="AL156" s="46" t="n"/>
      <c r="AM156" s="46" t="n"/>
      <c r="AN156" s="46" t="n"/>
      <c r="AO156" s="46" t="n"/>
      <c r="AP156" s="46" t="n"/>
      <c r="AQ156" s="46" t="n"/>
      <c r="AR156" s="46" t="n"/>
      <c r="AS156" s="46" t="n"/>
      <c r="AT156" s="46" t="n"/>
      <c r="AU156" s="46" t="n"/>
      <c r="AV156" s="46" t="n"/>
      <c r="AW156" s="46" t="n"/>
      <c r="AX156" s="46" t="n"/>
      <c r="AY156" s="46" t="n"/>
      <c r="AZ156" s="46" t="n"/>
      <c r="BA156" s="46" t="n"/>
      <c r="BB156" s="46" t="n"/>
      <c r="BC156" s="46" t="n"/>
      <c r="BD156" s="46" t="n"/>
      <c r="BE156" s="46" t="n"/>
      <c r="BF156" s="46" t="n"/>
      <c r="BG156" s="46" t="n"/>
      <c r="BH156" s="46" t="n"/>
      <c r="BI156" s="46" t="n"/>
      <c r="BJ156" s="46" t="n"/>
      <c r="BK156" s="46" t="n"/>
      <c r="BL156" s="46" t="n"/>
      <c r="BM156" s="46" t="n"/>
      <c r="BN156" s="46" t="n"/>
      <c r="BO156" s="46" t="n"/>
      <c r="BP156" s="46" t="n"/>
      <c r="BQ156" s="46" t="n"/>
      <c r="BR156" s="46" t="n"/>
      <c r="BS156" s="46" t="n"/>
      <c r="BT156" s="46" t="n"/>
      <c r="BU156" s="46" t="n"/>
      <c r="BV156" s="46" t="n"/>
      <c r="BW156" s="46" t="n"/>
      <c r="BX156" s="46" t="n"/>
      <c r="BY156" s="46" t="n"/>
      <c r="BZ156" s="46" t="n"/>
      <c r="CA156" s="46" t="n"/>
      <c r="CB156" s="46" t="n"/>
      <c r="CC156" s="46" t="n"/>
      <c r="CD156" s="46" t="n"/>
      <c r="CE156" s="46" t="n"/>
      <c r="CF156" s="46" t="n"/>
      <c r="CG156" s="46" t="n"/>
      <c r="CH156" s="46" t="n"/>
      <c r="CI156" s="46" t="n"/>
      <c r="CJ156" s="46" t="n"/>
      <c r="CK156" s="46" t="n"/>
      <c r="CL156" s="46" t="n"/>
      <c r="CM156" s="46" t="n"/>
      <c r="CN156" s="46" t="n"/>
      <c r="CO156" s="46" t="n"/>
      <c r="CP156" s="46" t="n"/>
      <c r="CQ156" s="46" t="n"/>
      <c r="CR156" s="46" t="n"/>
      <c r="CS156" s="46" t="n"/>
      <c r="CT156" s="46" t="n"/>
      <c r="CU156" s="46" t="n"/>
      <c r="CV156" s="46" t="n"/>
      <c r="CW156" s="46" t="n"/>
      <c r="CX156" s="46" t="n"/>
      <c r="CY156" s="46" t="n"/>
      <c r="CZ156" s="46" t="n"/>
      <c r="DA156" s="46" t="n"/>
      <c r="DB156" s="46" t="n"/>
      <c r="DC156" s="46" t="n"/>
      <c r="DD156" s="46" t="n"/>
      <c r="DE156" s="46" t="n"/>
      <c r="DF156" s="46" t="n"/>
      <c r="DG156" s="46" t="n"/>
      <c r="DH156" s="46" t="n"/>
      <c r="DI156" s="46" t="n"/>
      <c r="DJ156" s="46" t="n"/>
      <c r="DK156" s="46" t="n"/>
      <c r="DL156" s="46" t="n"/>
      <c r="DM156" s="46" t="n"/>
      <c r="DN156" s="46" t="n"/>
      <c r="DO156" s="46" t="n"/>
      <c r="DP156" s="46" t="n"/>
      <c r="DQ156" s="46" t="n"/>
      <c r="DR156" s="46" t="n"/>
      <c r="DS156" s="46" t="n"/>
      <c r="DT156" s="46" t="n"/>
      <c r="DU156" s="46" t="n"/>
      <c r="DV156" s="46" t="n"/>
      <c r="DW156" s="46" t="n"/>
      <c r="DX156" s="46" t="n"/>
      <c r="DY156" s="46" t="n"/>
      <c r="DZ156" s="46" t="n"/>
      <c r="EA156" s="46" t="n"/>
      <c r="EB156" s="46" t="n"/>
      <c r="EC156" s="46" t="n"/>
      <c r="ED156" s="46" t="n"/>
      <c r="EE156" s="46" t="n"/>
      <c r="EF156" s="46" t="n"/>
      <c r="EG156" s="46" t="n"/>
      <c r="EH156" s="46" t="n"/>
      <c r="EI156" s="46" t="n"/>
      <c r="EJ156" s="46" t="n"/>
      <c r="EK156" s="46" t="n"/>
      <c r="EL156" s="46" t="n"/>
      <c r="EM156" s="46" t="n"/>
      <c r="EN156" s="46" t="n"/>
      <c r="EO156" s="46" t="n"/>
      <c r="EP156" s="46" t="n"/>
      <c r="EQ156" s="46" t="n"/>
      <c r="ER156" s="46" t="n"/>
      <c r="ES156" s="46" t="n"/>
      <c r="ET156" s="46" t="n"/>
      <c r="EU156" s="46" t="n"/>
      <c r="EV156" s="46" t="n"/>
      <c r="EW156" s="46" t="n"/>
      <c r="EX156" s="46" t="n"/>
      <c r="EY156" s="46" t="n"/>
      <c r="EZ156" s="46" t="n"/>
      <c r="FA156" s="46" t="n"/>
      <c r="FB156" s="46" t="n"/>
      <c r="FC156" s="46" t="n"/>
      <c r="FD156" s="46" t="n"/>
      <c r="FE156" s="46" t="n"/>
      <c r="FF156" s="46" t="n"/>
      <c r="FG156" s="46" t="n"/>
      <c r="FH156" s="46" t="n"/>
      <c r="FI156" s="46" t="n"/>
      <c r="FJ156" s="46" t="n"/>
      <c r="FK156" s="46" t="n"/>
      <c r="FL156" s="46" t="n"/>
      <c r="FM156" s="46" t="n"/>
      <c r="FN156" s="46" t="n"/>
      <c r="FO156" s="46" t="n"/>
      <c r="FP156" s="46" t="n"/>
      <c r="FQ156" s="46" t="n"/>
      <c r="FR156" s="46" t="n"/>
      <c r="FS156" s="46" t="n"/>
      <c r="FT156" s="46" t="n"/>
      <c r="FU156" s="46" t="n"/>
      <c r="FV156" s="46" t="n"/>
      <c r="FW156" s="46" t="n"/>
      <c r="FX156" s="46" t="n"/>
      <c r="FY156" s="46" t="n"/>
      <c r="FZ156" s="46" t="n"/>
      <c r="GA156" s="46" t="n"/>
      <c r="GB156" s="46" t="n"/>
      <c r="GC156" s="46" t="n"/>
      <c r="GD156" s="46" t="n"/>
      <c r="GE156" s="46" t="n"/>
      <c r="GF156" s="46" t="n"/>
      <c r="GG156" s="46" t="n"/>
      <c r="GH156" s="46" t="n"/>
      <c r="GI156" s="46" t="n"/>
      <c r="GJ156" s="46" t="n"/>
      <c r="GK156" s="46" t="n"/>
      <c r="GL156" s="46" t="n"/>
      <c r="GM156" s="46" t="n"/>
      <c r="GN156" s="46" t="n"/>
      <c r="GO156" s="46" t="n"/>
      <c r="GP156" s="46" t="n"/>
      <c r="GQ156" s="46" t="n"/>
      <c r="GR156" s="46" t="n"/>
      <c r="GS156" s="46" t="n"/>
      <c r="GT156" s="46" t="n"/>
      <c r="GU156" s="46" t="n"/>
      <c r="GV156" s="46" t="n"/>
      <c r="GW156" s="46" t="n"/>
      <c r="GX156" s="46" t="n"/>
      <c r="GY156" s="46" t="n"/>
      <c r="GZ156" s="46" t="n"/>
      <c r="HA156" s="46" t="n"/>
      <c r="HB156" s="46" t="n"/>
    </row>
    <row r="157" ht="15.6" customHeight="1">
      <c r="A157" s="56" t="n"/>
      <c r="B157" s="59" t="n"/>
      <c r="C157" s="57" t="n"/>
      <c r="D157" s="57" t="n"/>
      <c r="E157" s="56" t="n"/>
      <c r="F157" s="206" t="n"/>
      <c r="G157" s="58" t="n"/>
      <c r="H157" s="207" t="n"/>
      <c r="I157" s="46" t="n"/>
      <c r="J157" s="46" t="n"/>
      <c r="K157" s="46" t="n"/>
      <c r="L157" s="46" t="n"/>
      <c r="M157" s="46" t="n"/>
      <c r="N157" s="46" t="n"/>
      <c r="O157" s="46" t="n"/>
      <c r="P157" s="46" t="n"/>
      <c r="Q157" s="46" t="n"/>
      <c r="R157" s="46" t="n"/>
      <c r="S157" s="46" t="n"/>
      <c r="T157" s="46" t="n"/>
      <c r="U157" s="46" t="n"/>
      <c r="V157" s="46" t="n"/>
      <c r="W157" s="46" t="n"/>
      <c r="X157" s="46" t="n"/>
      <c r="Y157" s="46" t="n"/>
      <c r="Z157" s="46" t="n"/>
      <c r="AA157" s="46" t="n"/>
      <c r="AB157" s="46" t="n"/>
      <c r="AC157" s="46" t="n"/>
      <c r="AD157" s="46" t="n"/>
      <c r="AE157" s="46" t="n"/>
      <c r="AF157" s="46" t="n"/>
      <c r="AG157" s="46" t="n"/>
      <c r="AH157" s="46" t="n"/>
      <c r="AI157" s="46" t="n"/>
      <c r="AJ157" s="46" t="n"/>
      <c r="AK157" s="46" t="n"/>
      <c r="AL157" s="46" t="n"/>
      <c r="AM157" s="46" t="n"/>
      <c r="AN157" s="46" t="n"/>
      <c r="AO157" s="46" t="n"/>
      <c r="AP157" s="46" t="n"/>
      <c r="AQ157" s="46" t="n"/>
      <c r="AR157" s="46" t="n"/>
      <c r="AS157" s="46" t="n"/>
      <c r="AT157" s="46" t="n"/>
      <c r="AU157" s="46" t="n"/>
      <c r="AV157" s="46" t="n"/>
      <c r="AW157" s="46" t="n"/>
      <c r="AX157" s="46" t="n"/>
      <c r="AY157" s="46" t="n"/>
      <c r="AZ157" s="46" t="n"/>
      <c r="BA157" s="46" t="n"/>
      <c r="BB157" s="46" t="n"/>
      <c r="BC157" s="46" t="n"/>
      <c r="BD157" s="46" t="n"/>
      <c r="BE157" s="46" t="n"/>
      <c r="BF157" s="46" t="n"/>
      <c r="BG157" s="46" t="n"/>
      <c r="BH157" s="46" t="n"/>
      <c r="BI157" s="46" t="n"/>
      <c r="BJ157" s="46" t="n"/>
      <c r="BK157" s="46" t="n"/>
      <c r="BL157" s="46" t="n"/>
      <c r="BM157" s="46" t="n"/>
      <c r="BN157" s="46" t="n"/>
      <c r="BO157" s="46" t="n"/>
      <c r="BP157" s="46" t="n"/>
      <c r="BQ157" s="46" t="n"/>
      <c r="BR157" s="46" t="n"/>
      <c r="BS157" s="46" t="n"/>
      <c r="BT157" s="46" t="n"/>
      <c r="BU157" s="46" t="n"/>
      <c r="BV157" s="46" t="n"/>
      <c r="BW157" s="46" t="n"/>
      <c r="BX157" s="46" t="n"/>
      <c r="BY157" s="46" t="n"/>
      <c r="BZ157" s="46" t="n"/>
      <c r="CA157" s="46" t="n"/>
      <c r="CB157" s="46" t="n"/>
      <c r="CC157" s="46" t="n"/>
      <c r="CD157" s="46" t="n"/>
      <c r="CE157" s="46" t="n"/>
      <c r="CF157" s="46" t="n"/>
      <c r="CG157" s="46" t="n"/>
      <c r="CH157" s="46" t="n"/>
      <c r="CI157" s="46" t="n"/>
      <c r="CJ157" s="46" t="n"/>
      <c r="CK157" s="46" t="n"/>
      <c r="CL157" s="46" t="n"/>
      <c r="CM157" s="46" t="n"/>
      <c r="CN157" s="46" t="n"/>
      <c r="CO157" s="46" t="n"/>
      <c r="CP157" s="46" t="n"/>
      <c r="CQ157" s="46" t="n"/>
      <c r="CR157" s="46" t="n"/>
      <c r="CS157" s="46" t="n"/>
      <c r="CT157" s="46" t="n"/>
      <c r="CU157" s="46" t="n"/>
      <c r="CV157" s="46" t="n"/>
      <c r="CW157" s="46" t="n"/>
      <c r="CX157" s="46" t="n"/>
      <c r="CY157" s="46" t="n"/>
      <c r="CZ157" s="46" t="n"/>
      <c r="DA157" s="46" t="n"/>
      <c r="DB157" s="46" t="n"/>
      <c r="DC157" s="46" t="n"/>
      <c r="DD157" s="46" t="n"/>
      <c r="DE157" s="46" t="n"/>
      <c r="DF157" s="46" t="n"/>
      <c r="DG157" s="46" t="n"/>
      <c r="DH157" s="46" t="n"/>
      <c r="DI157" s="46" t="n"/>
      <c r="DJ157" s="46" t="n"/>
      <c r="DK157" s="46" t="n"/>
      <c r="DL157" s="46" t="n"/>
      <c r="DM157" s="46" t="n"/>
      <c r="DN157" s="46" t="n"/>
      <c r="DO157" s="46" t="n"/>
      <c r="DP157" s="46" t="n"/>
      <c r="DQ157" s="46" t="n"/>
      <c r="DR157" s="46" t="n"/>
      <c r="DS157" s="46" t="n"/>
      <c r="DT157" s="46" t="n"/>
      <c r="DU157" s="46" t="n"/>
      <c r="DV157" s="46" t="n"/>
      <c r="DW157" s="46" t="n"/>
      <c r="DX157" s="46" t="n"/>
      <c r="DY157" s="46" t="n"/>
      <c r="DZ157" s="46" t="n"/>
      <c r="EA157" s="46" t="n"/>
      <c r="EB157" s="46" t="n"/>
      <c r="EC157" s="46" t="n"/>
      <c r="ED157" s="46" t="n"/>
      <c r="EE157" s="46" t="n"/>
      <c r="EF157" s="46" t="n"/>
      <c r="EG157" s="46" t="n"/>
      <c r="EH157" s="46" t="n"/>
      <c r="EI157" s="46" t="n"/>
      <c r="EJ157" s="46" t="n"/>
      <c r="EK157" s="46" t="n"/>
      <c r="EL157" s="46" t="n"/>
      <c r="EM157" s="46" t="n"/>
      <c r="EN157" s="46" t="n"/>
      <c r="EO157" s="46" t="n"/>
      <c r="EP157" s="46" t="n"/>
      <c r="EQ157" s="46" t="n"/>
      <c r="ER157" s="46" t="n"/>
      <c r="ES157" s="46" t="n"/>
      <c r="ET157" s="46" t="n"/>
      <c r="EU157" s="46" t="n"/>
      <c r="EV157" s="46" t="n"/>
      <c r="EW157" s="46" t="n"/>
      <c r="EX157" s="46" t="n"/>
      <c r="EY157" s="46" t="n"/>
      <c r="EZ157" s="46" t="n"/>
      <c r="FA157" s="46" t="n"/>
      <c r="FB157" s="46" t="n"/>
      <c r="FC157" s="46" t="n"/>
      <c r="FD157" s="46" t="n"/>
      <c r="FE157" s="46" t="n"/>
      <c r="FF157" s="46" t="n"/>
      <c r="FG157" s="46" t="n"/>
      <c r="FH157" s="46" t="n"/>
      <c r="FI157" s="46" t="n"/>
      <c r="FJ157" s="46" t="n"/>
      <c r="FK157" s="46" t="n"/>
      <c r="FL157" s="46" t="n"/>
      <c r="FM157" s="46" t="n"/>
      <c r="FN157" s="46" t="n"/>
      <c r="FO157" s="46" t="n"/>
      <c r="FP157" s="46" t="n"/>
      <c r="FQ157" s="46" t="n"/>
      <c r="FR157" s="46" t="n"/>
      <c r="FS157" s="46" t="n"/>
      <c r="FT157" s="46" t="n"/>
      <c r="FU157" s="46" t="n"/>
      <c r="FV157" s="46" t="n"/>
      <c r="FW157" s="46" t="n"/>
      <c r="FX157" s="46" t="n"/>
      <c r="FY157" s="46" t="n"/>
      <c r="FZ157" s="46" t="n"/>
      <c r="GA157" s="46" t="n"/>
      <c r="GB157" s="46" t="n"/>
      <c r="GC157" s="46" t="n"/>
      <c r="GD157" s="46" t="n"/>
      <c r="GE157" s="46" t="n"/>
      <c r="GF157" s="46" t="n"/>
      <c r="GG157" s="46" t="n"/>
      <c r="GH157" s="46" t="n"/>
      <c r="GI157" s="46" t="n"/>
      <c r="GJ157" s="46" t="n"/>
      <c r="GK157" s="46" t="n"/>
      <c r="GL157" s="46" t="n"/>
      <c r="GM157" s="46" t="n"/>
      <c r="GN157" s="46" t="n"/>
      <c r="GO157" s="46" t="n"/>
      <c r="GP157" s="46" t="n"/>
      <c r="GQ157" s="46" t="n"/>
      <c r="GR157" s="46" t="n"/>
      <c r="GS157" s="46" t="n"/>
      <c r="GT157" s="46" t="n"/>
      <c r="GU157" s="46" t="n"/>
      <c r="GV157" s="46" t="n"/>
      <c r="GW157" s="46" t="n"/>
      <c r="GX157" s="46" t="n"/>
      <c r="GY157" s="46" t="n"/>
      <c r="GZ157" s="46" t="n"/>
      <c r="HA157" s="46" t="n"/>
      <c r="HB157" s="46" t="n"/>
    </row>
    <row r="158" ht="15.6" customHeight="1">
      <c r="A158" s="56" t="n"/>
      <c r="B158" s="59" t="n"/>
      <c r="C158" s="57" t="n"/>
      <c r="D158" s="57" t="n"/>
      <c r="E158" s="56" t="n"/>
      <c r="F158" s="57" t="n"/>
      <c r="G158" s="58" t="n"/>
      <c r="H158" s="58" t="n"/>
      <c r="I158" s="46" t="n"/>
      <c r="J158" s="46" t="n"/>
      <c r="K158" s="46" t="n"/>
      <c r="L158" s="46" t="n"/>
      <c r="M158" s="46" t="n"/>
      <c r="N158" s="46" t="n"/>
      <c r="O158" s="46" t="n"/>
      <c r="P158" s="46" t="n"/>
      <c r="Q158" s="46" t="n"/>
      <c r="R158" s="46" t="n"/>
      <c r="S158" s="46" t="n"/>
      <c r="T158" s="46" t="n"/>
      <c r="U158" s="46" t="n"/>
      <c r="V158" s="46" t="n"/>
      <c r="W158" s="46" t="n"/>
      <c r="X158" s="46" t="n"/>
      <c r="Y158" s="46" t="n"/>
      <c r="Z158" s="46" t="n"/>
      <c r="AA158" s="46" t="n"/>
      <c r="AB158" s="46" t="n"/>
      <c r="AC158" s="46" t="n"/>
      <c r="AD158" s="46" t="n"/>
      <c r="AE158" s="46" t="n"/>
      <c r="AF158" s="46" t="n"/>
      <c r="AG158" s="46" t="n"/>
      <c r="AH158" s="46" t="n"/>
      <c r="AI158" s="46" t="n"/>
      <c r="AJ158" s="46" t="n"/>
      <c r="AK158" s="46" t="n"/>
      <c r="AL158" s="46" t="n"/>
      <c r="AM158" s="46" t="n"/>
      <c r="AN158" s="46" t="n"/>
      <c r="AO158" s="46" t="n"/>
      <c r="AP158" s="46" t="n"/>
      <c r="AQ158" s="46" t="n"/>
      <c r="AR158" s="46" t="n"/>
      <c r="AS158" s="46" t="n"/>
      <c r="AT158" s="46" t="n"/>
      <c r="AU158" s="46" t="n"/>
      <c r="AV158" s="46" t="n"/>
      <c r="AW158" s="46" t="n"/>
      <c r="AX158" s="46" t="n"/>
      <c r="AY158" s="46" t="n"/>
      <c r="AZ158" s="46" t="n"/>
      <c r="BA158" s="46" t="n"/>
      <c r="BB158" s="46" t="n"/>
      <c r="BC158" s="46" t="n"/>
      <c r="BD158" s="46" t="n"/>
      <c r="BE158" s="46" t="n"/>
      <c r="BF158" s="46" t="n"/>
      <c r="BG158" s="46" t="n"/>
      <c r="BH158" s="46" t="n"/>
      <c r="BI158" s="46" t="n"/>
      <c r="BJ158" s="46" t="n"/>
      <c r="BK158" s="46" t="n"/>
      <c r="BL158" s="46" t="n"/>
      <c r="BM158" s="46" t="n"/>
      <c r="BN158" s="46" t="n"/>
      <c r="BO158" s="46" t="n"/>
      <c r="BP158" s="46" t="n"/>
      <c r="BQ158" s="46" t="n"/>
      <c r="BR158" s="46" t="n"/>
      <c r="BS158" s="46" t="n"/>
      <c r="BT158" s="46" t="n"/>
      <c r="BU158" s="46" t="n"/>
      <c r="BV158" s="46" t="n"/>
      <c r="BW158" s="46" t="n"/>
      <c r="BX158" s="46" t="n"/>
      <c r="BY158" s="46" t="n"/>
      <c r="BZ158" s="46" t="n"/>
      <c r="CA158" s="46" t="n"/>
      <c r="CB158" s="46" t="n"/>
      <c r="CC158" s="46" t="n"/>
      <c r="CD158" s="46" t="n"/>
      <c r="CE158" s="46" t="n"/>
      <c r="CF158" s="46" t="n"/>
      <c r="CG158" s="46" t="n"/>
      <c r="CH158" s="46" t="n"/>
      <c r="CI158" s="46" t="n"/>
      <c r="CJ158" s="46" t="n"/>
      <c r="CK158" s="46" t="n"/>
      <c r="CL158" s="46" t="n"/>
      <c r="CM158" s="46" t="n"/>
      <c r="CN158" s="46" t="n"/>
      <c r="CO158" s="46" t="n"/>
      <c r="CP158" s="46" t="n"/>
      <c r="CQ158" s="46" t="n"/>
      <c r="CR158" s="46" t="n"/>
      <c r="CS158" s="46" t="n"/>
      <c r="CT158" s="46" t="n"/>
      <c r="CU158" s="46" t="n"/>
      <c r="CV158" s="46" t="n"/>
      <c r="CW158" s="46" t="n"/>
      <c r="CX158" s="46" t="n"/>
      <c r="CY158" s="46" t="n"/>
      <c r="CZ158" s="46" t="n"/>
      <c r="DA158" s="46" t="n"/>
      <c r="DB158" s="46" t="n"/>
      <c r="DC158" s="46" t="n"/>
      <c r="DD158" s="46" t="n"/>
      <c r="DE158" s="46" t="n"/>
      <c r="DF158" s="46" t="n"/>
      <c r="DG158" s="46" t="n"/>
      <c r="DH158" s="46" t="n"/>
      <c r="DI158" s="46" t="n"/>
      <c r="DJ158" s="46" t="n"/>
      <c r="DK158" s="46" t="n"/>
      <c r="DL158" s="46" t="n"/>
      <c r="DM158" s="46" t="n"/>
      <c r="DN158" s="46" t="n"/>
      <c r="DO158" s="46" t="n"/>
      <c r="DP158" s="46" t="n"/>
      <c r="DQ158" s="46" t="n"/>
      <c r="DR158" s="46" t="n"/>
      <c r="DS158" s="46" t="n"/>
      <c r="DT158" s="46" t="n"/>
      <c r="DU158" s="46" t="n"/>
      <c r="DV158" s="46" t="n"/>
      <c r="DW158" s="46" t="n"/>
      <c r="DX158" s="46" t="n"/>
      <c r="DY158" s="46" t="n"/>
      <c r="DZ158" s="46" t="n"/>
      <c r="EA158" s="46" t="n"/>
      <c r="EB158" s="46" t="n"/>
      <c r="EC158" s="46" t="n"/>
      <c r="ED158" s="46" t="n"/>
      <c r="EE158" s="46" t="n"/>
      <c r="EF158" s="46" t="n"/>
      <c r="EG158" s="46" t="n"/>
      <c r="EH158" s="46" t="n"/>
      <c r="EI158" s="46" t="n"/>
      <c r="EJ158" s="46" t="n"/>
      <c r="EK158" s="46" t="n"/>
      <c r="EL158" s="46" t="n"/>
      <c r="EM158" s="46" t="n"/>
      <c r="EN158" s="46" t="n"/>
      <c r="EO158" s="46" t="n"/>
      <c r="EP158" s="46" t="n"/>
      <c r="EQ158" s="46" t="n"/>
      <c r="ER158" s="46" t="n"/>
      <c r="ES158" s="46" t="n"/>
      <c r="ET158" s="46" t="n"/>
      <c r="EU158" s="46" t="n"/>
      <c r="EV158" s="46" t="n"/>
      <c r="EW158" s="46" t="n"/>
      <c r="EX158" s="46" t="n"/>
      <c r="EY158" s="46" t="n"/>
      <c r="EZ158" s="46" t="n"/>
      <c r="FA158" s="46" t="n"/>
      <c r="FB158" s="46" t="n"/>
      <c r="FC158" s="46" t="n"/>
      <c r="FD158" s="46" t="n"/>
      <c r="FE158" s="46" t="n"/>
      <c r="FF158" s="46" t="n"/>
      <c r="FG158" s="46" t="n"/>
      <c r="FH158" s="46" t="n"/>
      <c r="FI158" s="46" t="n"/>
      <c r="FJ158" s="46" t="n"/>
      <c r="FK158" s="46" t="n"/>
      <c r="FL158" s="46" t="n"/>
      <c r="FM158" s="46" t="n"/>
      <c r="FN158" s="46" t="n"/>
      <c r="FO158" s="46" t="n"/>
      <c r="FP158" s="46" t="n"/>
      <c r="FQ158" s="46" t="n"/>
      <c r="FR158" s="46" t="n"/>
      <c r="FS158" s="46" t="n"/>
      <c r="FT158" s="46" t="n"/>
      <c r="FU158" s="46" t="n"/>
      <c r="FV158" s="46" t="n"/>
      <c r="FW158" s="46" t="n"/>
      <c r="FX158" s="46" t="n"/>
      <c r="FY158" s="46" t="n"/>
      <c r="FZ158" s="46" t="n"/>
      <c r="GA158" s="46" t="n"/>
      <c r="GB158" s="46" t="n"/>
      <c r="GC158" s="46" t="n"/>
      <c r="GD158" s="46" t="n"/>
      <c r="GE158" s="46" t="n"/>
      <c r="GF158" s="46" t="n"/>
      <c r="GG158" s="46" t="n"/>
      <c r="GH158" s="46" t="n"/>
      <c r="GI158" s="46" t="n"/>
      <c r="GJ158" s="46" t="n"/>
      <c r="GK158" s="46" t="n"/>
      <c r="GL158" s="46" t="n"/>
      <c r="GM158" s="46" t="n"/>
      <c r="GN158" s="46" t="n"/>
      <c r="GO158" s="46" t="n"/>
      <c r="GP158" s="46" t="n"/>
      <c r="GQ158" s="46" t="n"/>
      <c r="GR158" s="46" t="n"/>
      <c r="GS158" s="46" t="n"/>
      <c r="GT158" s="46" t="n"/>
      <c r="GU158" s="46" t="n"/>
      <c r="GV158" s="46" t="n"/>
      <c r="GW158" s="46" t="n"/>
      <c r="GX158" s="46" t="n"/>
      <c r="GY158" s="46" t="n"/>
      <c r="GZ158" s="46" t="n"/>
      <c r="HA158" s="46" t="n"/>
      <c r="HB158" s="46" t="n"/>
    </row>
    <row r="159" ht="15.6" customHeight="1">
      <c r="A159" s="56" t="inlineStr">
        <is>
          <t>A</t>
        </is>
      </c>
      <c r="B159" s="44" t="inlineStr">
        <is>
          <t>SUBSTRUCTURE</t>
        </is>
      </c>
      <c r="C159" s="57" t="n"/>
      <c r="D159" s="57" t="n"/>
      <c r="E159" s="56" t="n"/>
      <c r="F159" s="206" t="n"/>
      <c r="G159" s="58" t="n"/>
      <c r="H159" s="207">
        <f>H87</f>
        <v>0.0</v>
      </c>
      <c r="I159" s="46" t="n"/>
      <c r="J159" s="46" t="n"/>
      <c r="K159" s="46" t="n"/>
      <c r="L159" s="46" t="n"/>
      <c r="M159" s="46" t="n"/>
      <c r="N159" s="46" t="n"/>
      <c r="O159" s="46" t="n"/>
      <c r="P159" s="46" t="n"/>
      <c r="Q159" s="46" t="n"/>
      <c r="R159" s="46" t="n"/>
      <c r="S159" s="46" t="n"/>
      <c r="T159" s="46" t="n"/>
      <c r="U159" s="46" t="n"/>
      <c r="V159" s="46" t="n"/>
      <c r="W159" s="46" t="n"/>
      <c r="X159" s="46" t="n"/>
      <c r="Y159" s="46" t="n"/>
      <c r="Z159" s="46" t="n"/>
      <c r="AA159" s="46" t="n"/>
      <c r="AB159" s="46" t="n"/>
      <c r="AC159" s="46" t="n"/>
      <c r="AD159" s="46" t="n"/>
      <c r="AE159" s="46" t="n"/>
      <c r="AF159" s="46" t="n"/>
      <c r="AG159" s="46" t="n"/>
      <c r="AH159" s="46" t="n"/>
      <c r="AI159" s="46" t="n"/>
      <c r="AJ159" s="46" t="n"/>
      <c r="AK159" s="46" t="n"/>
      <c r="AL159" s="46" t="n"/>
      <c r="AM159" s="46" t="n"/>
      <c r="AN159" s="46" t="n"/>
      <c r="AO159" s="46" t="n"/>
      <c r="AP159" s="46" t="n"/>
      <c r="AQ159" s="46" t="n"/>
      <c r="AR159" s="46" t="n"/>
      <c r="AS159" s="46" t="n"/>
      <c r="AT159" s="46" t="n"/>
      <c r="AU159" s="46" t="n"/>
      <c r="AV159" s="46" t="n"/>
      <c r="AW159" s="46" t="n"/>
      <c r="AX159" s="46" t="n"/>
      <c r="AY159" s="46" t="n"/>
      <c r="AZ159" s="46" t="n"/>
      <c r="BA159" s="46" t="n"/>
      <c r="BB159" s="46" t="n"/>
      <c r="BC159" s="46" t="n"/>
      <c r="BD159" s="46" t="n"/>
      <c r="BE159" s="46" t="n"/>
      <c r="BF159" s="46" t="n"/>
      <c r="BG159" s="46" t="n"/>
      <c r="BH159" s="46" t="n"/>
      <c r="BI159" s="46" t="n"/>
      <c r="BJ159" s="46" t="n"/>
      <c r="BK159" s="46" t="n"/>
      <c r="BL159" s="46" t="n"/>
      <c r="BM159" s="46" t="n"/>
      <c r="BN159" s="46" t="n"/>
      <c r="BO159" s="46" t="n"/>
      <c r="BP159" s="46" t="n"/>
      <c r="BQ159" s="46" t="n"/>
      <c r="BR159" s="46" t="n"/>
      <c r="BS159" s="46" t="n"/>
      <c r="BT159" s="46" t="n"/>
      <c r="BU159" s="46" t="n"/>
      <c r="BV159" s="46" t="n"/>
      <c r="BW159" s="46" t="n"/>
      <c r="BX159" s="46" t="n"/>
      <c r="BY159" s="46" t="n"/>
      <c r="BZ159" s="46" t="n"/>
      <c r="CA159" s="46" t="n"/>
      <c r="CB159" s="46" t="n"/>
      <c r="CC159" s="46" t="n"/>
      <c r="CD159" s="46" t="n"/>
      <c r="CE159" s="46" t="n"/>
      <c r="CF159" s="46" t="n"/>
      <c r="CG159" s="46" t="n"/>
      <c r="CH159" s="46" t="n"/>
      <c r="CI159" s="46" t="n"/>
      <c r="CJ159" s="46" t="n"/>
      <c r="CK159" s="46" t="n"/>
      <c r="CL159" s="46" t="n"/>
      <c r="CM159" s="46" t="n"/>
      <c r="CN159" s="46" t="n"/>
      <c r="CO159" s="46" t="n"/>
      <c r="CP159" s="46" t="n"/>
      <c r="CQ159" s="46" t="n"/>
      <c r="CR159" s="46" t="n"/>
      <c r="CS159" s="46" t="n"/>
      <c r="CT159" s="46" t="n"/>
      <c r="CU159" s="46" t="n"/>
      <c r="CV159" s="46" t="n"/>
      <c r="CW159" s="46" t="n"/>
      <c r="CX159" s="46" t="n"/>
      <c r="CY159" s="46" t="n"/>
      <c r="CZ159" s="46" t="n"/>
      <c r="DA159" s="46" t="n"/>
      <c r="DB159" s="46" t="n"/>
      <c r="DC159" s="46" t="n"/>
      <c r="DD159" s="46" t="n"/>
      <c r="DE159" s="46" t="n"/>
      <c r="DF159" s="46" t="n"/>
      <c r="DG159" s="46" t="n"/>
      <c r="DH159" s="46" t="n"/>
      <c r="DI159" s="46" t="n"/>
      <c r="DJ159" s="46" t="n"/>
      <c r="DK159" s="46" t="n"/>
      <c r="DL159" s="46" t="n"/>
      <c r="DM159" s="46" t="n"/>
      <c r="DN159" s="46" t="n"/>
      <c r="DO159" s="46" t="n"/>
      <c r="DP159" s="46" t="n"/>
      <c r="DQ159" s="46" t="n"/>
      <c r="DR159" s="46" t="n"/>
      <c r="DS159" s="46" t="n"/>
      <c r="DT159" s="46" t="n"/>
      <c r="DU159" s="46" t="n"/>
      <c r="DV159" s="46" t="n"/>
      <c r="DW159" s="46" t="n"/>
      <c r="DX159" s="46" t="n"/>
      <c r="DY159" s="46" t="n"/>
      <c r="DZ159" s="46" t="n"/>
      <c r="EA159" s="46" t="n"/>
      <c r="EB159" s="46" t="n"/>
      <c r="EC159" s="46" t="n"/>
      <c r="ED159" s="46" t="n"/>
      <c r="EE159" s="46" t="n"/>
      <c r="EF159" s="46" t="n"/>
      <c r="EG159" s="46" t="n"/>
      <c r="EH159" s="46" t="n"/>
      <c r="EI159" s="46" t="n"/>
      <c r="EJ159" s="46" t="n"/>
      <c r="EK159" s="46" t="n"/>
      <c r="EL159" s="46" t="n"/>
      <c r="EM159" s="46" t="n"/>
      <c r="EN159" s="46" t="n"/>
      <c r="EO159" s="46" t="n"/>
      <c r="EP159" s="46" t="n"/>
      <c r="EQ159" s="46" t="n"/>
      <c r="ER159" s="46" t="n"/>
      <c r="ES159" s="46" t="n"/>
      <c r="ET159" s="46" t="n"/>
      <c r="EU159" s="46" t="n"/>
      <c r="EV159" s="46" t="n"/>
      <c r="EW159" s="46" t="n"/>
      <c r="EX159" s="46" t="n"/>
      <c r="EY159" s="46" t="n"/>
      <c r="EZ159" s="46" t="n"/>
      <c r="FA159" s="46" t="n"/>
      <c r="FB159" s="46" t="n"/>
      <c r="FC159" s="46" t="n"/>
      <c r="FD159" s="46" t="n"/>
      <c r="FE159" s="46" t="n"/>
      <c r="FF159" s="46" t="n"/>
      <c r="FG159" s="46" t="n"/>
      <c r="FH159" s="46" t="n"/>
      <c r="FI159" s="46" t="n"/>
      <c r="FJ159" s="46" t="n"/>
      <c r="FK159" s="46" t="n"/>
      <c r="FL159" s="46" t="n"/>
      <c r="FM159" s="46" t="n"/>
      <c r="FN159" s="46" t="n"/>
      <c r="FO159" s="46" t="n"/>
      <c r="FP159" s="46" t="n"/>
      <c r="FQ159" s="46" t="n"/>
      <c r="FR159" s="46" t="n"/>
      <c r="FS159" s="46" t="n"/>
      <c r="FT159" s="46" t="n"/>
      <c r="FU159" s="46" t="n"/>
      <c r="FV159" s="46" t="n"/>
      <c r="FW159" s="46" t="n"/>
      <c r="FX159" s="46" t="n"/>
      <c r="FY159" s="46" t="n"/>
      <c r="FZ159" s="46" t="n"/>
      <c r="GA159" s="46" t="n"/>
      <c r="GB159" s="46" t="n"/>
      <c r="GC159" s="46" t="n"/>
      <c r="GD159" s="46" t="n"/>
      <c r="GE159" s="46" t="n"/>
      <c r="GF159" s="46" t="n"/>
      <c r="GG159" s="46" t="n"/>
      <c r="GH159" s="46" t="n"/>
      <c r="GI159" s="46" t="n"/>
      <c r="GJ159" s="46" t="n"/>
      <c r="GK159" s="46" t="n"/>
      <c r="GL159" s="46" t="n"/>
      <c r="GM159" s="46" t="n"/>
      <c r="GN159" s="46" t="n"/>
      <c r="GO159" s="46" t="n"/>
      <c r="GP159" s="46" t="n"/>
      <c r="GQ159" s="46" t="n"/>
      <c r="GR159" s="46" t="n"/>
      <c r="GS159" s="46" t="n"/>
      <c r="GT159" s="46" t="n"/>
      <c r="GU159" s="46" t="n"/>
      <c r="GV159" s="46" t="n"/>
      <c r="GW159" s="46" t="n"/>
      <c r="GX159" s="46" t="n"/>
      <c r="GY159" s="46" t="n"/>
      <c r="GZ159" s="46" t="n"/>
      <c r="HA159" s="46" t="n"/>
      <c r="HB159" s="46" t="n"/>
    </row>
    <row r="160" ht="15.6" customHeight="1">
      <c r="A160" s="56" t="n"/>
      <c r="B160" s="60" t="n"/>
      <c r="C160" s="57" t="n"/>
      <c r="D160" s="57" t="n"/>
      <c r="E160" s="56" t="n"/>
      <c r="F160" s="57" t="n"/>
      <c r="G160" s="58" t="n"/>
      <c r="H160" s="58" t="n"/>
      <c r="I160" s="46" t="n"/>
      <c r="J160" s="46" t="n"/>
      <c r="K160" s="46" t="n"/>
      <c r="L160" s="46" t="n"/>
      <c r="M160" s="46" t="n"/>
      <c r="N160" s="46" t="n"/>
      <c r="O160" s="46" t="n"/>
      <c r="P160" s="46" t="n"/>
      <c r="Q160" s="46" t="n"/>
      <c r="R160" s="46" t="n"/>
      <c r="S160" s="46" t="n"/>
      <c r="T160" s="46" t="n"/>
      <c r="U160" s="46" t="n"/>
      <c r="V160" s="46" t="n"/>
      <c r="W160" s="46" t="n"/>
      <c r="X160" s="46" t="n"/>
      <c r="Y160" s="46" t="n"/>
      <c r="Z160" s="46" t="n"/>
      <c r="AA160" s="46" t="n"/>
      <c r="AB160" s="46" t="n"/>
      <c r="AC160" s="46" t="n"/>
      <c r="AD160" s="46" t="n"/>
      <c r="AE160" s="46" t="n"/>
      <c r="AF160" s="46" t="n"/>
      <c r="AG160" s="46" t="n"/>
      <c r="AH160" s="46" t="n"/>
      <c r="AI160" s="46" t="n"/>
      <c r="AJ160" s="46" t="n"/>
      <c r="AK160" s="46" t="n"/>
      <c r="AL160" s="46" t="n"/>
      <c r="AM160" s="46" t="n"/>
      <c r="AN160" s="46" t="n"/>
      <c r="AO160" s="46" t="n"/>
      <c r="AP160" s="46" t="n"/>
      <c r="AQ160" s="46" t="n"/>
      <c r="AR160" s="46" t="n"/>
      <c r="AS160" s="46" t="n"/>
      <c r="AT160" s="46" t="n"/>
      <c r="AU160" s="46" t="n"/>
      <c r="AV160" s="46" t="n"/>
      <c r="AW160" s="46" t="n"/>
      <c r="AX160" s="46" t="n"/>
      <c r="AY160" s="46" t="n"/>
      <c r="AZ160" s="46" t="n"/>
      <c r="BA160" s="46" t="n"/>
      <c r="BB160" s="46" t="n"/>
      <c r="BC160" s="46" t="n"/>
      <c r="BD160" s="46" t="n"/>
      <c r="BE160" s="46" t="n"/>
      <c r="BF160" s="46" t="n"/>
      <c r="BG160" s="46" t="n"/>
      <c r="BH160" s="46" t="n"/>
      <c r="BI160" s="46" t="n"/>
      <c r="BJ160" s="46" t="n"/>
      <c r="BK160" s="46" t="n"/>
      <c r="BL160" s="46" t="n"/>
      <c r="BM160" s="46" t="n"/>
      <c r="BN160" s="46" t="n"/>
      <c r="BO160" s="46" t="n"/>
      <c r="BP160" s="46" t="n"/>
      <c r="BQ160" s="46" t="n"/>
      <c r="BR160" s="46" t="n"/>
      <c r="BS160" s="46" t="n"/>
      <c r="BT160" s="46" t="n"/>
      <c r="BU160" s="46" t="n"/>
      <c r="BV160" s="46" t="n"/>
      <c r="BW160" s="46" t="n"/>
      <c r="BX160" s="46" t="n"/>
      <c r="BY160" s="46" t="n"/>
      <c r="BZ160" s="46" t="n"/>
      <c r="CA160" s="46" t="n"/>
      <c r="CB160" s="46" t="n"/>
      <c r="CC160" s="46" t="n"/>
      <c r="CD160" s="46" t="n"/>
      <c r="CE160" s="46" t="n"/>
      <c r="CF160" s="46" t="n"/>
      <c r="CG160" s="46" t="n"/>
      <c r="CH160" s="46" t="n"/>
      <c r="CI160" s="46" t="n"/>
      <c r="CJ160" s="46" t="n"/>
      <c r="CK160" s="46" t="n"/>
      <c r="CL160" s="46" t="n"/>
      <c r="CM160" s="46" t="n"/>
      <c r="CN160" s="46" t="n"/>
      <c r="CO160" s="46" t="n"/>
      <c r="CP160" s="46" t="n"/>
      <c r="CQ160" s="46" t="n"/>
      <c r="CR160" s="46" t="n"/>
      <c r="CS160" s="46" t="n"/>
      <c r="CT160" s="46" t="n"/>
      <c r="CU160" s="46" t="n"/>
      <c r="CV160" s="46" t="n"/>
      <c r="CW160" s="46" t="n"/>
      <c r="CX160" s="46" t="n"/>
      <c r="CY160" s="46" t="n"/>
      <c r="CZ160" s="46" t="n"/>
      <c r="DA160" s="46" t="n"/>
      <c r="DB160" s="46" t="n"/>
      <c r="DC160" s="46" t="n"/>
      <c r="DD160" s="46" t="n"/>
      <c r="DE160" s="46" t="n"/>
      <c r="DF160" s="46" t="n"/>
      <c r="DG160" s="46" t="n"/>
      <c r="DH160" s="46" t="n"/>
      <c r="DI160" s="46" t="n"/>
      <c r="DJ160" s="46" t="n"/>
      <c r="DK160" s="46" t="n"/>
      <c r="DL160" s="46" t="n"/>
      <c r="DM160" s="46" t="n"/>
      <c r="DN160" s="46" t="n"/>
      <c r="DO160" s="46" t="n"/>
      <c r="DP160" s="46" t="n"/>
      <c r="DQ160" s="46" t="n"/>
      <c r="DR160" s="46" t="n"/>
      <c r="DS160" s="46" t="n"/>
      <c r="DT160" s="46" t="n"/>
      <c r="DU160" s="46" t="n"/>
      <c r="DV160" s="46" t="n"/>
      <c r="DW160" s="46" t="n"/>
      <c r="DX160" s="46" t="n"/>
      <c r="DY160" s="46" t="n"/>
      <c r="DZ160" s="46" t="n"/>
      <c r="EA160" s="46" t="n"/>
      <c r="EB160" s="46" t="n"/>
      <c r="EC160" s="46" t="n"/>
      <c r="ED160" s="46" t="n"/>
      <c r="EE160" s="46" t="n"/>
      <c r="EF160" s="46" t="n"/>
      <c r="EG160" s="46" t="n"/>
      <c r="EH160" s="46" t="n"/>
      <c r="EI160" s="46" t="n"/>
      <c r="EJ160" s="46" t="n"/>
      <c r="EK160" s="46" t="n"/>
      <c r="EL160" s="46" t="n"/>
      <c r="EM160" s="46" t="n"/>
      <c r="EN160" s="46" t="n"/>
      <c r="EO160" s="46" t="n"/>
      <c r="EP160" s="46" t="n"/>
      <c r="EQ160" s="46" t="n"/>
      <c r="ER160" s="46" t="n"/>
      <c r="ES160" s="46" t="n"/>
      <c r="ET160" s="46" t="n"/>
      <c r="EU160" s="46" t="n"/>
      <c r="EV160" s="46" t="n"/>
      <c r="EW160" s="46" t="n"/>
      <c r="EX160" s="46" t="n"/>
      <c r="EY160" s="46" t="n"/>
      <c r="EZ160" s="46" t="n"/>
      <c r="FA160" s="46" t="n"/>
      <c r="FB160" s="46" t="n"/>
      <c r="FC160" s="46" t="n"/>
      <c r="FD160" s="46" t="n"/>
      <c r="FE160" s="46" t="n"/>
      <c r="FF160" s="46" t="n"/>
      <c r="FG160" s="46" t="n"/>
      <c r="FH160" s="46" t="n"/>
      <c r="FI160" s="46" t="n"/>
      <c r="FJ160" s="46" t="n"/>
      <c r="FK160" s="46" t="n"/>
      <c r="FL160" s="46" t="n"/>
      <c r="FM160" s="46" t="n"/>
      <c r="FN160" s="46" t="n"/>
      <c r="FO160" s="46" t="n"/>
      <c r="FP160" s="46" t="n"/>
      <c r="FQ160" s="46" t="n"/>
      <c r="FR160" s="46" t="n"/>
      <c r="FS160" s="46" t="n"/>
      <c r="FT160" s="46" t="n"/>
      <c r="FU160" s="46" t="n"/>
      <c r="FV160" s="46" t="n"/>
      <c r="FW160" s="46" t="n"/>
      <c r="FX160" s="46" t="n"/>
      <c r="FY160" s="46" t="n"/>
      <c r="FZ160" s="46" t="n"/>
      <c r="GA160" s="46" t="n"/>
      <c r="GB160" s="46" t="n"/>
      <c r="GC160" s="46" t="n"/>
      <c r="GD160" s="46" t="n"/>
      <c r="GE160" s="46" t="n"/>
      <c r="GF160" s="46" t="n"/>
      <c r="GG160" s="46" t="n"/>
      <c r="GH160" s="46" t="n"/>
      <c r="GI160" s="46" t="n"/>
      <c r="GJ160" s="46" t="n"/>
      <c r="GK160" s="46" t="n"/>
      <c r="GL160" s="46" t="n"/>
      <c r="GM160" s="46" t="n"/>
      <c r="GN160" s="46" t="n"/>
      <c r="GO160" s="46" t="n"/>
      <c r="GP160" s="46" t="n"/>
      <c r="GQ160" s="46" t="n"/>
      <c r="GR160" s="46" t="n"/>
      <c r="GS160" s="46" t="n"/>
      <c r="GT160" s="46" t="n"/>
      <c r="GU160" s="46" t="n"/>
      <c r="GV160" s="46" t="n"/>
      <c r="GW160" s="46" t="n"/>
      <c r="GX160" s="46" t="n"/>
      <c r="GY160" s="46" t="n"/>
      <c r="GZ160" s="46" t="n"/>
      <c r="HA160" s="46" t="n"/>
      <c r="HB160" s="46" t="n"/>
    </row>
    <row r="161" ht="15.6" customHeight="1">
      <c r="A161" s="56" t="inlineStr">
        <is>
          <t>B</t>
        </is>
      </c>
      <c r="B161" s="44" t="inlineStr">
        <is>
          <t>SUPERSTRUCTURE</t>
        </is>
      </c>
      <c r="C161" s="57" t="n"/>
      <c r="D161" s="57" t="n"/>
      <c r="E161" s="56" t="n"/>
      <c r="F161" s="206" t="n"/>
      <c r="G161" s="58" t="n"/>
      <c r="H161" s="207">
        <f>H152</f>
        <v>0.0</v>
      </c>
      <c r="I161" s="46" t="n"/>
      <c r="J161" s="46" t="n"/>
      <c r="K161" s="46" t="n"/>
      <c r="L161" s="46" t="n"/>
      <c r="M161" s="46" t="n"/>
      <c r="N161" s="46" t="n"/>
      <c r="O161" s="46" t="n"/>
      <c r="P161" s="46" t="n"/>
      <c r="Q161" s="46" t="n"/>
      <c r="R161" s="46" t="n"/>
      <c r="S161" s="46" t="n"/>
      <c r="T161" s="46" t="n"/>
      <c r="U161" s="46" t="n"/>
      <c r="V161" s="46" t="n"/>
      <c r="W161" s="46" t="n"/>
      <c r="X161" s="46" t="n"/>
      <c r="Y161" s="46" t="n"/>
      <c r="Z161" s="46" t="n"/>
      <c r="AA161" s="46" t="n"/>
      <c r="AB161" s="46" t="n"/>
      <c r="AC161" s="46" t="n"/>
      <c r="AD161" s="46" t="n"/>
      <c r="AE161" s="46" t="n"/>
      <c r="AF161" s="46" t="n"/>
      <c r="AG161" s="46" t="n"/>
      <c r="AH161" s="46" t="n"/>
      <c r="AI161" s="46" t="n"/>
      <c r="AJ161" s="46" t="n"/>
      <c r="AK161" s="46" t="n"/>
      <c r="AL161" s="46" t="n"/>
      <c r="AM161" s="46" t="n"/>
      <c r="AN161" s="46" t="n"/>
      <c r="AO161" s="46" t="n"/>
      <c r="AP161" s="46" t="n"/>
      <c r="AQ161" s="46" t="n"/>
      <c r="AR161" s="46" t="n"/>
      <c r="AS161" s="46" t="n"/>
      <c r="AT161" s="46" t="n"/>
      <c r="AU161" s="46" t="n"/>
      <c r="AV161" s="46" t="n"/>
      <c r="AW161" s="46" t="n"/>
      <c r="AX161" s="46" t="n"/>
      <c r="AY161" s="46" t="n"/>
      <c r="AZ161" s="46" t="n"/>
      <c r="BA161" s="46" t="n"/>
      <c r="BB161" s="46" t="n"/>
      <c r="BC161" s="46" t="n"/>
      <c r="BD161" s="46" t="n"/>
      <c r="BE161" s="46" t="n"/>
      <c r="BF161" s="46" t="n"/>
      <c r="BG161" s="46" t="n"/>
      <c r="BH161" s="46" t="n"/>
      <c r="BI161" s="46" t="n"/>
      <c r="BJ161" s="46" t="n"/>
      <c r="BK161" s="46" t="n"/>
      <c r="BL161" s="46" t="n"/>
      <c r="BM161" s="46" t="n"/>
      <c r="BN161" s="46" t="n"/>
      <c r="BO161" s="46" t="n"/>
      <c r="BP161" s="46" t="n"/>
      <c r="BQ161" s="46" t="n"/>
      <c r="BR161" s="46" t="n"/>
      <c r="BS161" s="46" t="n"/>
      <c r="BT161" s="46" t="n"/>
      <c r="BU161" s="46" t="n"/>
      <c r="BV161" s="46" t="n"/>
      <c r="BW161" s="46" t="n"/>
      <c r="BX161" s="46" t="n"/>
      <c r="BY161" s="46" t="n"/>
      <c r="BZ161" s="46" t="n"/>
      <c r="CA161" s="46" t="n"/>
      <c r="CB161" s="46" t="n"/>
      <c r="CC161" s="46" t="n"/>
      <c r="CD161" s="46" t="n"/>
      <c r="CE161" s="46" t="n"/>
      <c r="CF161" s="46" t="n"/>
      <c r="CG161" s="46" t="n"/>
      <c r="CH161" s="46" t="n"/>
      <c r="CI161" s="46" t="n"/>
      <c r="CJ161" s="46" t="n"/>
      <c r="CK161" s="46" t="n"/>
      <c r="CL161" s="46" t="n"/>
      <c r="CM161" s="46" t="n"/>
      <c r="CN161" s="46" t="n"/>
      <c r="CO161" s="46" t="n"/>
      <c r="CP161" s="46" t="n"/>
      <c r="CQ161" s="46" t="n"/>
      <c r="CR161" s="46" t="n"/>
      <c r="CS161" s="46" t="n"/>
      <c r="CT161" s="46" t="n"/>
      <c r="CU161" s="46" t="n"/>
      <c r="CV161" s="46" t="n"/>
      <c r="CW161" s="46" t="n"/>
      <c r="CX161" s="46" t="n"/>
      <c r="CY161" s="46" t="n"/>
      <c r="CZ161" s="46" t="n"/>
      <c r="DA161" s="46" t="n"/>
      <c r="DB161" s="46" t="n"/>
      <c r="DC161" s="46" t="n"/>
      <c r="DD161" s="46" t="n"/>
      <c r="DE161" s="46" t="n"/>
      <c r="DF161" s="46" t="n"/>
      <c r="DG161" s="46" t="n"/>
      <c r="DH161" s="46" t="n"/>
      <c r="DI161" s="46" t="n"/>
      <c r="DJ161" s="46" t="n"/>
      <c r="DK161" s="46" t="n"/>
      <c r="DL161" s="46" t="n"/>
      <c r="DM161" s="46" t="n"/>
      <c r="DN161" s="46" t="n"/>
      <c r="DO161" s="46" t="n"/>
      <c r="DP161" s="46" t="n"/>
      <c r="DQ161" s="46" t="n"/>
      <c r="DR161" s="46" t="n"/>
      <c r="DS161" s="46" t="n"/>
      <c r="DT161" s="46" t="n"/>
      <c r="DU161" s="46" t="n"/>
      <c r="DV161" s="46" t="n"/>
      <c r="DW161" s="46" t="n"/>
      <c r="DX161" s="46" t="n"/>
      <c r="DY161" s="46" t="n"/>
      <c r="DZ161" s="46" t="n"/>
      <c r="EA161" s="46" t="n"/>
      <c r="EB161" s="46" t="n"/>
      <c r="EC161" s="46" t="n"/>
      <c r="ED161" s="46" t="n"/>
      <c r="EE161" s="46" t="n"/>
      <c r="EF161" s="46" t="n"/>
      <c r="EG161" s="46" t="n"/>
      <c r="EH161" s="46" t="n"/>
      <c r="EI161" s="46" t="n"/>
      <c r="EJ161" s="46" t="n"/>
      <c r="EK161" s="46" t="n"/>
      <c r="EL161" s="46" t="n"/>
      <c r="EM161" s="46" t="n"/>
      <c r="EN161" s="46" t="n"/>
      <c r="EO161" s="46" t="n"/>
      <c r="EP161" s="46" t="n"/>
      <c r="EQ161" s="46" t="n"/>
      <c r="ER161" s="46" t="n"/>
      <c r="ES161" s="46" t="n"/>
      <c r="ET161" s="46" t="n"/>
      <c r="EU161" s="46" t="n"/>
      <c r="EV161" s="46" t="n"/>
      <c r="EW161" s="46" t="n"/>
      <c r="EX161" s="46" t="n"/>
      <c r="EY161" s="46" t="n"/>
      <c r="EZ161" s="46" t="n"/>
      <c r="FA161" s="46" t="n"/>
      <c r="FB161" s="46" t="n"/>
      <c r="FC161" s="46" t="n"/>
      <c r="FD161" s="46" t="n"/>
      <c r="FE161" s="46" t="n"/>
      <c r="FF161" s="46" t="n"/>
      <c r="FG161" s="46" t="n"/>
      <c r="FH161" s="46" t="n"/>
      <c r="FI161" s="46" t="n"/>
      <c r="FJ161" s="46" t="n"/>
      <c r="FK161" s="46" t="n"/>
      <c r="FL161" s="46" t="n"/>
      <c r="FM161" s="46" t="n"/>
      <c r="FN161" s="46" t="n"/>
      <c r="FO161" s="46" t="n"/>
      <c r="FP161" s="46" t="n"/>
      <c r="FQ161" s="46" t="n"/>
      <c r="FR161" s="46" t="n"/>
      <c r="FS161" s="46" t="n"/>
      <c r="FT161" s="46" t="n"/>
      <c r="FU161" s="46" t="n"/>
      <c r="FV161" s="46" t="n"/>
      <c r="FW161" s="46" t="n"/>
      <c r="FX161" s="46" t="n"/>
      <c r="FY161" s="46" t="n"/>
      <c r="FZ161" s="46" t="n"/>
      <c r="GA161" s="46" t="n"/>
      <c r="GB161" s="46" t="n"/>
      <c r="GC161" s="46" t="n"/>
      <c r="GD161" s="46" t="n"/>
      <c r="GE161" s="46" t="n"/>
      <c r="GF161" s="46" t="n"/>
      <c r="GG161" s="46" t="n"/>
      <c r="GH161" s="46" t="n"/>
      <c r="GI161" s="46" t="n"/>
      <c r="GJ161" s="46" t="n"/>
      <c r="GK161" s="46" t="n"/>
      <c r="GL161" s="46" t="n"/>
      <c r="GM161" s="46" t="n"/>
      <c r="GN161" s="46" t="n"/>
      <c r="GO161" s="46" t="n"/>
      <c r="GP161" s="46" t="n"/>
      <c r="GQ161" s="46" t="n"/>
      <c r="GR161" s="46" t="n"/>
      <c r="GS161" s="46" t="n"/>
      <c r="GT161" s="46" t="n"/>
      <c r="GU161" s="46" t="n"/>
      <c r="GV161" s="46" t="n"/>
      <c r="GW161" s="46" t="n"/>
      <c r="GX161" s="46" t="n"/>
      <c r="GY161" s="46" t="n"/>
      <c r="GZ161" s="46" t="n"/>
      <c r="HA161" s="46" t="n"/>
      <c r="HB161" s="46" t="n"/>
    </row>
    <row r="162" ht="15.6" customHeight="1">
      <c r="A162" s="56" t="n"/>
      <c r="B162" s="60" t="n"/>
      <c r="C162" s="57" t="n"/>
      <c r="D162" s="57" t="n"/>
      <c r="E162" s="56" t="n"/>
      <c r="F162" s="57" t="n"/>
      <c r="G162" s="58" t="n"/>
      <c r="H162" s="208" t="n"/>
      <c r="I162" s="46" t="n"/>
      <c r="J162" s="46" t="n"/>
      <c r="K162" s="46" t="n"/>
      <c r="L162" s="46" t="n"/>
      <c r="M162" s="46" t="n"/>
      <c r="N162" s="46" t="n"/>
      <c r="O162" s="46" t="n"/>
      <c r="P162" s="46" t="n"/>
      <c r="Q162" s="46" t="n"/>
      <c r="R162" s="46" t="n"/>
      <c r="S162" s="46" t="n"/>
      <c r="T162" s="46" t="n"/>
      <c r="U162" s="46" t="n"/>
      <c r="V162" s="46" t="n"/>
      <c r="W162" s="46" t="n"/>
      <c r="X162" s="46" t="n"/>
      <c r="Y162" s="46" t="n"/>
      <c r="Z162" s="46" t="n"/>
      <c r="AA162" s="46" t="n"/>
      <c r="AB162" s="46" t="n"/>
      <c r="AC162" s="46" t="n"/>
      <c r="AD162" s="46" t="n"/>
      <c r="AE162" s="46" t="n"/>
      <c r="AF162" s="46" t="n"/>
      <c r="AG162" s="46" t="n"/>
      <c r="AH162" s="46" t="n"/>
      <c r="AI162" s="46" t="n"/>
      <c r="AJ162" s="46" t="n"/>
      <c r="AK162" s="46" t="n"/>
      <c r="AL162" s="46" t="n"/>
      <c r="AM162" s="46" t="n"/>
      <c r="AN162" s="46" t="n"/>
      <c r="AO162" s="46" t="n"/>
      <c r="AP162" s="46" t="n"/>
      <c r="AQ162" s="46" t="n"/>
      <c r="AR162" s="46" t="n"/>
      <c r="AS162" s="46" t="n"/>
      <c r="AT162" s="46" t="n"/>
      <c r="AU162" s="46" t="n"/>
      <c r="AV162" s="46" t="n"/>
      <c r="AW162" s="46" t="n"/>
      <c r="AX162" s="46" t="n"/>
      <c r="AY162" s="46" t="n"/>
      <c r="AZ162" s="46" t="n"/>
      <c r="BA162" s="46" t="n"/>
      <c r="BB162" s="46" t="n"/>
      <c r="BC162" s="46" t="n"/>
      <c r="BD162" s="46" t="n"/>
      <c r="BE162" s="46" t="n"/>
      <c r="BF162" s="46" t="n"/>
      <c r="BG162" s="46" t="n"/>
      <c r="BH162" s="46" t="n"/>
      <c r="BI162" s="46" t="n"/>
      <c r="BJ162" s="46" t="n"/>
      <c r="BK162" s="46" t="n"/>
      <c r="BL162" s="46" t="n"/>
      <c r="BM162" s="46" t="n"/>
      <c r="BN162" s="46" t="n"/>
      <c r="BO162" s="46" t="n"/>
      <c r="BP162" s="46" t="n"/>
      <c r="BQ162" s="46" t="n"/>
      <c r="BR162" s="46" t="n"/>
      <c r="BS162" s="46" t="n"/>
      <c r="BT162" s="46" t="n"/>
      <c r="BU162" s="46" t="n"/>
      <c r="BV162" s="46" t="n"/>
      <c r="BW162" s="46" t="n"/>
      <c r="BX162" s="46" t="n"/>
      <c r="BY162" s="46" t="n"/>
      <c r="BZ162" s="46" t="n"/>
      <c r="CA162" s="46" t="n"/>
      <c r="CB162" s="46" t="n"/>
      <c r="CC162" s="46" t="n"/>
      <c r="CD162" s="46" t="n"/>
      <c r="CE162" s="46" t="n"/>
      <c r="CF162" s="46" t="n"/>
      <c r="CG162" s="46" t="n"/>
      <c r="CH162" s="46" t="n"/>
      <c r="CI162" s="46" t="n"/>
      <c r="CJ162" s="46" t="n"/>
      <c r="CK162" s="46" t="n"/>
      <c r="CL162" s="46" t="n"/>
      <c r="CM162" s="46" t="n"/>
      <c r="CN162" s="46" t="n"/>
      <c r="CO162" s="46" t="n"/>
      <c r="CP162" s="46" t="n"/>
      <c r="CQ162" s="46" t="n"/>
      <c r="CR162" s="46" t="n"/>
      <c r="CS162" s="46" t="n"/>
      <c r="CT162" s="46" t="n"/>
      <c r="CU162" s="46" t="n"/>
      <c r="CV162" s="46" t="n"/>
      <c r="CW162" s="46" t="n"/>
      <c r="CX162" s="46" t="n"/>
      <c r="CY162" s="46" t="n"/>
      <c r="CZ162" s="46" t="n"/>
      <c r="DA162" s="46" t="n"/>
      <c r="DB162" s="46" t="n"/>
      <c r="DC162" s="46" t="n"/>
      <c r="DD162" s="46" t="n"/>
      <c r="DE162" s="46" t="n"/>
      <c r="DF162" s="46" t="n"/>
      <c r="DG162" s="46" t="n"/>
      <c r="DH162" s="46" t="n"/>
      <c r="DI162" s="46" t="n"/>
      <c r="DJ162" s="46" t="n"/>
      <c r="DK162" s="46" t="n"/>
      <c r="DL162" s="46" t="n"/>
      <c r="DM162" s="46" t="n"/>
      <c r="DN162" s="46" t="n"/>
      <c r="DO162" s="46" t="n"/>
      <c r="DP162" s="46" t="n"/>
      <c r="DQ162" s="46" t="n"/>
      <c r="DR162" s="46" t="n"/>
      <c r="DS162" s="46" t="n"/>
      <c r="DT162" s="46" t="n"/>
      <c r="DU162" s="46" t="n"/>
      <c r="DV162" s="46" t="n"/>
      <c r="DW162" s="46" t="n"/>
      <c r="DX162" s="46" t="n"/>
      <c r="DY162" s="46" t="n"/>
      <c r="DZ162" s="46" t="n"/>
      <c r="EA162" s="46" t="n"/>
      <c r="EB162" s="46" t="n"/>
      <c r="EC162" s="46" t="n"/>
      <c r="ED162" s="46" t="n"/>
      <c r="EE162" s="46" t="n"/>
      <c r="EF162" s="46" t="n"/>
      <c r="EG162" s="46" t="n"/>
      <c r="EH162" s="46" t="n"/>
      <c r="EI162" s="46" t="n"/>
      <c r="EJ162" s="46" t="n"/>
      <c r="EK162" s="46" t="n"/>
      <c r="EL162" s="46" t="n"/>
      <c r="EM162" s="46" t="n"/>
      <c r="EN162" s="46" t="n"/>
      <c r="EO162" s="46" t="n"/>
      <c r="EP162" s="46" t="n"/>
      <c r="EQ162" s="46" t="n"/>
      <c r="ER162" s="46" t="n"/>
      <c r="ES162" s="46" t="n"/>
      <c r="ET162" s="46" t="n"/>
      <c r="EU162" s="46" t="n"/>
      <c r="EV162" s="46" t="n"/>
      <c r="EW162" s="46" t="n"/>
      <c r="EX162" s="46" t="n"/>
      <c r="EY162" s="46" t="n"/>
      <c r="EZ162" s="46" t="n"/>
      <c r="FA162" s="46" t="n"/>
      <c r="FB162" s="46" t="n"/>
      <c r="FC162" s="46" t="n"/>
      <c r="FD162" s="46" t="n"/>
      <c r="FE162" s="46" t="n"/>
      <c r="FF162" s="46" t="n"/>
      <c r="FG162" s="46" t="n"/>
      <c r="FH162" s="46" t="n"/>
      <c r="FI162" s="46" t="n"/>
      <c r="FJ162" s="46" t="n"/>
      <c r="FK162" s="46" t="n"/>
      <c r="FL162" s="46" t="n"/>
      <c r="FM162" s="46" t="n"/>
      <c r="FN162" s="46" t="n"/>
      <c r="FO162" s="46" t="n"/>
      <c r="FP162" s="46" t="n"/>
      <c r="FQ162" s="46" t="n"/>
      <c r="FR162" s="46" t="n"/>
      <c r="FS162" s="46" t="n"/>
      <c r="FT162" s="46" t="n"/>
      <c r="FU162" s="46" t="n"/>
      <c r="FV162" s="46" t="n"/>
      <c r="FW162" s="46" t="n"/>
      <c r="FX162" s="46" t="n"/>
      <c r="FY162" s="46" t="n"/>
      <c r="FZ162" s="46" t="n"/>
      <c r="GA162" s="46" t="n"/>
      <c r="GB162" s="46" t="n"/>
      <c r="GC162" s="46" t="n"/>
      <c r="GD162" s="46" t="n"/>
      <c r="GE162" s="46" t="n"/>
      <c r="GF162" s="46" t="n"/>
      <c r="GG162" s="46" t="n"/>
      <c r="GH162" s="46" t="n"/>
      <c r="GI162" s="46" t="n"/>
      <c r="GJ162" s="46" t="n"/>
      <c r="GK162" s="46" t="n"/>
      <c r="GL162" s="46" t="n"/>
      <c r="GM162" s="46" t="n"/>
      <c r="GN162" s="46" t="n"/>
      <c r="GO162" s="46" t="n"/>
      <c r="GP162" s="46" t="n"/>
      <c r="GQ162" s="46" t="n"/>
      <c r="GR162" s="46" t="n"/>
      <c r="GS162" s="46" t="n"/>
      <c r="GT162" s="46" t="n"/>
      <c r="GU162" s="46" t="n"/>
      <c r="GV162" s="46" t="n"/>
      <c r="GW162" s="46" t="n"/>
      <c r="GX162" s="46" t="n"/>
      <c r="GY162" s="46" t="n"/>
      <c r="GZ162" s="46" t="n"/>
      <c r="HA162" s="46" t="n"/>
      <c r="HB162" s="46" t="n"/>
    </row>
    <row r="163" ht="15.6" customHeight="1">
      <c r="A163" s="56" t="n"/>
      <c r="B163" s="61" t="n"/>
      <c r="C163" s="57" t="n"/>
      <c r="D163" s="57" t="n"/>
      <c r="E163" s="56" t="n"/>
      <c r="F163" s="62" t="n"/>
      <c r="G163" s="63" t="n"/>
      <c r="H163" s="63" t="n"/>
      <c r="I163" s="46" t="n"/>
      <c r="J163" s="46" t="n"/>
      <c r="K163" s="46" t="n"/>
      <c r="L163" s="46" t="n"/>
      <c r="M163" s="46" t="n"/>
      <c r="N163" s="46" t="n"/>
      <c r="O163" s="46" t="n"/>
      <c r="P163" s="46" t="n"/>
      <c r="Q163" s="46" t="n"/>
      <c r="R163" s="46" t="n"/>
      <c r="S163" s="46" t="n"/>
      <c r="T163" s="46" t="n"/>
      <c r="U163" s="46" t="n"/>
      <c r="V163" s="46" t="n"/>
      <c r="W163" s="46" t="n"/>
      <c r="X163" s="46" t="n"/>
      <c r="Y163" s="46" t="n"/>
      <c r="Z163" s="46" t="n"/>
      <c r="AA163" s="46" t="n"/>
      <c r="AB163" s="46" t="n"/>
      <c r="AC163" s="46" t="n"/>
      <c r="AD163" s="46" t="n"/>
      <c r="AE163" s="46" t="n"/>
      <c r="AF163" s="46" t="n"/>
      <c r="AG163" s="46" t="n"/>
      <c r="AH163" s="46" t="n"/>
      <c r="AI163" s="46" t="n"/>
      <c r="AJ163" s="46" t="n"/>
      <c r="AK163" s="46" t="n"/>
      <c r="AL163" s="46" t="n"/>
      <c r="AM163" s="46" t="n"/>
      <c r="AN163" s="46" t="n"/>
      <c r="AO163" s="46" t="n"/>
      <c r="AP163" s="46" t="n"/>
      <c r="AQ163" s="46" t="n"/>
      <c r="AR163" s="46" t="n"/>
      <c r="AS163" s="46" t="n"/>
      <c r="AT163" s="46" t="n"/>
      <c r="AU163" s="46" t="n"/>
      <c r="AV163" s="46" t="n"/>
      <c r="AW163" s="46" t="n"/>
      <c r="AX163" s="46" t="n"/>
      <c r="AY163" s="46" t="n"/>
      <c r="AZ163" s="46" t="n"/>
      <c r="BA163" s="46" t="n"/>
      <c r="BB163" s="46" t="n"/>
      <c r="BC163" s="46" t="n"/>
      <c r="BD163" s="46" t="n"/>
      <c r="BE163" s="46" t="n"/>
      <c r="BF163" s="46" t="n"/>
      <c r="BG163" s="46" t="n"/>
      <c r="BH163" s="46" t="n"/>
      <c r="BI163" s="46" t="n"/>
      <c r="BJ163" s="46" t="n"/>
      <c r="BK163" s="46" t="n"/>
      <c r="BL163" s="46" t="n"/>
      <c r="BM163" s="46" t="n"/>
      <c r="BN163" s="46" t="n"/>
      <c r="BO163" s="46" t="n"/>
      <c r="BP163" s="46" t="n"/>
      <c r="BQ163" s="46" t="n"/>
      <c r="BR163" s="46" t="n"/>
      <c r="BS163" s="46" t="n"/>
      <c r="BT163" s="46" t="n"/>
      <c r="BU163" s="46" t="n"/>
      <c r="BV163" s="46" t="n"/>
      <c r="BW163" s="46" t="n"/>
      <c r="BX163" s="46" t="n"/>
      <c r="BY163" s="46" t="n"/>
      <c r="BZ163" s="46" t="n"/>
      <c r="CA163" s="46" t="n"/>
      <c r="CB163" s="46" t="n"/>
      <c r="CC163" s="46" t="n"/>
      <c r="CD163" s="46" t="n"/>
      <c r="CE163" s="46" t="n"/>
      <c r="CF163" s="46" t="n"/>
      <c r="CG163" s="46" t="n"/>
      <c r="CH163" s="46" t="n"/>
      <c r="CI163" s="46" t="n"/>
      <c r="CJ163" s="46" t="n"/>
      <c r="CK163" s="46" t="n"/>
      <c r="CL163" s="46" t="n"/>
      <c r="CM163" s="46" t="n"/>
      <c r="CN163" s="46" t="n"/>
      <c r="CO163" s="46" t="n"/>
      <c r="CP163" s="46" t="n"/>
      <c r="CQ163" s="46" t="n"/>
      <c r="CR163" s="46" t="n"/>
      <c r="CS163" s="46" t="n"/>
      <c r="CT163" s="46" t="n"/>
      <c r="CU163" s="46" t="n"/>
      <c r="CV163" s="46" t="n"/>
      <c r="CW163" s="46" t="n"/>
      <c r="CX163" s="46" t="n"/>
      <c r="CY163" s="46" t="n"/>
      <c r="CZ163" s="46" t="n"/>
      <c r="DA163" s="46" t="n"/>
      <c r="DB163" s="46" t="n"/>
      <c r="DC163" s="46" t="n"/>
      <c r="DD163" s="46" t="n"/>
      <c r="DE163" s="46" t="n"/>
      <c r="DF163" s="46" t="n"/>
      <c r="DG163" s="46" t="n"/>
      <c r="DH163" s="46" t="n"/>
      <c r="DI163" s="46" t="n"/>
      <c r="DJ163" s="46" t="n"/>
      <c r="DK163" s="46" t="n"/>
      <c r="DL163" s="46" t="n"/>
      <c r="DM163" s="46" t="n"/>
      <c r="DN163" s="46" t="n"/>
      <c r="DO163" s="46" t="n"/>
      <c r="DP163" s="46" t="n"/>
      <c r="DQ163" s="46" t="n"/>
      <c r="DR163" s="46" t="n"/>
      <c r="DS163" s="46" t="n"/>
      <c r="DT163" s="46" t="n"/>
      <c r="DU163" s="46" t="n"/>
      <c r="DV163" s="46" t="n"/>
      <c r="DW163" s="46" t="n"/>
      <c r="DX163" s="46" t="n"/>
      <c r="DY163" s="46" t="n"/>
      <c r="DZ163" s="46" t="n"/>
      <c r="EA163" s="46" t="n"/>
      <c r="EB163" s="46" t="n"/>
      <c r="EC163" s="46" t="n"/>
      <c r="ED163" s="46" t="n"/>
      <c r="EE163" s="46" t="n"/>
      <c r="EF163" s="46" t="n"/>
      <c r="EG163" s="46" t="n"/>
      <c r="EH163" s="46" t="n"/>
      <c r="EI163" s="46" t="n"/>
      <c r="EJ163" s="46" t="n"/>
      <c r="EK163" s="46" t="n"/>
      <c r="EL163" s="46" t="n"/>
      <c r="EM163" s="46" t="n"/>
      <c r="EN163" s="46" t="n"/>
      <c r="EO163" s="46" t="n"/>
      <c r="EP163" s="46" t="n"/>
      <c r="EQ163" s="46" t="n"/>
      <c r="ER163" s="46" t="n"/>
      <c r="ES163" s="46" t="n"/>
      <c r="ET163" s="46" t="n"/>
      <c r="EU163" s="46" t="n"/>
      <c r="EV163" s="46" t="n"/>
      <c r="EW163" s="46" t="n"/>
      <c r="EX163" s="46" t="n"/>
      <c r="EY163" s="46" t="n"/>
      <c r="EZ163" s="46" t="n"/>
      <c r="FA163" s="46" t="n"/>
      <c r="FB163" s="46" t="n"/>
      <c r="FC163" s="46" t="n"/>
      <c r="FD163" s="46" t="n"/>
      <c r="FE163" s="46" t="n"/>
      <c r="FF163" s="46" t="n"/>
      <c r="FG163" s="46" t="n"/>
      <c r="FH163" s="46" t="n"/>
      <c r="FI163" s="46" t="n"/>
      <c r="FJ163" s="46" t="n"/>
      <c r="FK163" s="46" t="n"/>
      <c r="FL163" s="46" t="n"/>
      <c r="FM163" s="46" t="n"/>
      <c r="FN163" s="46" t="n"/>
      <c r="FO163" s="46" t="n"/>
      <c r="FP163" s="46" t="n"/>
      <c r="FQ163" s="46" t="n"/>
      <c r="FR163" s="46" t="n"/>
      <c r="FS163" s="46" t="n"/>
      <c r="FT163" s="46" t="n"/>
      <c r="FU163" s="46" t="n"/>
      <c r="FV163" s="46" t="n"/>
      <c r="FW163" s="46" t="n"/>
      <c r="FX163" s="46" t="n"/>
      <c r="FY163" s="46" t="n"/>
      <c r="FZ163" s="46" t="n"/>
      <c r="GA163" s="46" t="n"/>
      <c r="GB163" s="46" t="n"/>
      <c r="GC163" s="46" t="n"/>
      <c r="GD163" s="46" t="n"/>
      <c r="GE163" s="46" t="n"/>
      <c r="GF163" s="46" t="n"/>
      <c r="GG163" s="46" t="n"/>
      <c r="GH163" s="46" t="n"/>
      <c r="GI163" s="46" t="n"/>
      <c r="GJ163" s="46" t="n"/>
      <c r="GK163" s="46" t="n"/>
      <c r="GL163" s="46" t="n"/>
      <c r="GM163" s="46" t="n"/>
      <c r="GN163" s="46" t="n"/>
      <c r="GO163" s="46" t="n"/>
      <c r="GP163" s="46" t="n"/>
      <c r="GQ163" s="46" t="n"/>
      <c r="GR163" s="46" t="n"/>
      <c r="GS163" s="46" t="n"/>
      <c r="GT163" s="46" t="n"/>
      <c r="GU163" s="46" t="n"/>
      <c r="GV163" s="46" t="n"/>
      <c r="GW163" s="46" t="n"/>
      <c r="GX163" s="46" t="n"/>
      <c r="GY163" s="46" t="n"/>
      <c r="GZ163" s="46" t="n"/>
      <c r="HA163" s="46" t="n"/>
      <c r="HB163" s="46" t="n"/>
    </row>
    <row r="164" ht="15.6" customHeight="1">
      <c r="A164" s="56" t="n"/>
      <c r="B164" s="61" t="n"/>
      <c r="C164" s="57" t="n"/>
      <c r="D164" s="57" t="n"/>
      <c r="E164" s="56" t="n"/>
      <c r="F164" s="62" t="n"/>
      <c r="G164" s="62" t="n"/>
      <c r="H164" s="65" t="n"/>
      <c r="I164" s="46" t="n"/>
      <c r="J164" s="46" t="n"/>
      <c r="K164" s="46" t="n"/>
      <c r="L164" s="46" t="n"/>
      <c r="M164" s="46" t="n"/>
      <c r="N164" s="46" t="n"/>
      <c r="O164" s="46" t="n"/>
      <c r="P164" s="46" t="n"/>
      <c r="Q164" s="46" t="n"/>
      <c r="R164" s="46" t="n"/>
      <c r="S164" s="46" t="n"/>
      <c r="T164" s="46" t="n"/>
      <c r="U164" s="46" t="n"/>
      <c r="V164" s="46" t="n"/>
      <c r="W164" s="46" t="n"/>
      <c r="X164" s="46" t="n"/>
      <c r="Y164" s="46" t="n"/>
      <c r="Z164" s="46" t="n"/>
      <c r="AA164" s="46" t="n"/>
      <c r="AB164" s="46" t="n"/>
      <c r="AC164" s="46" t="n"/>
      <c r="AD164" s="46" t="n"/>
      <c r="AE164" s="46" t="n"/>
      <c r="AF164" s="46" t="n"/>
      <c r="AG164" s="46" t="n"/>
      <c r="AH164" s="46" t="n"/>
      <c r="AI164" s="46" t="n"/>
      <c r="AJ164" s="46" t="n"/>
      <c r="AK164" s="46" t="n"/>
      <c r="AL164" s="46" t="n"/>
      <c r="AM164" s="46" t="n"/>
      <c r="AN164" s="46" t="n"/>
      <c r="AO164" s="46" t="n"/>
      <c r="AP164" s="46" t="n"/>
      <c r="AQ164" s="46" t="n"/>
      <c r="AR164" s="46" t="n"/>
      <c r="AS164" s="46" t="n"/>
      <c r="AT164" s="46" t="n"/>
      <c r="AU164" s="46" t="n"/>
      <c r="AV164" s="46" t="n"/>
      <c r="AW164" s="46" t="n"/>
      <c r="AX164" s="46" t="n"/>
      <c r="AY164" s="46" t="n"/>
      <c r="AZ164" s="46" t="n"/>
      <c r="BA164" s="46" t="n"/>
      <c r="BB164" s="46" t="n"/>
      <c r="BC164" s="46" t="n"/>
      <c r="BD164" s="46" t="n"/>
      <c r="BE164" s="46" t="n"/>
      <c r="BF164" s="46" t="n"/>
      <c r="BG164" s="46" t="n"/>
      <c r="BH164" s="46" t="n"/>
      <c r="BI164" s="46" t="n"/>
      <c r="BJ164" s="46" t="n"/>
      <c r="BK164" s="46" t="n"/>
      <c r="BL164" s="46" t="n"/>
      <c r="BM164" s="46" t="n"/>
      <c r="BN164" s="46" t="n"/>
      <c r="BO164" s="46" t="n"/>
      <c r="BP164" s="46" t="n"/>
      <c r="BQ164" s="46" t="n"/>
      <c r="BR164" s="46" t="n"/>
      <c r="BS164" s="46" t="n"/>
      <c r="BT164" s="46" t="n"/>
      <c r="BU164" s="46" t="n"/>
      <c r="BV164" s="46" t="n"/>
      <c r="BW164" s="46" t="n"/>
      <c r="BX164" s="46" t="n"/>
      <c r="BY164" s="46" t="n"/>
      <c r="BZ164" s="46" t="n"/>
      <c r="CA164" s="46" t="n"/>
      <c r="CB164" s="46" t="n"/>
      <c r="CC164" s="46" t="n"/>
      <c r="CD164" s="46" t="n"/>
      <c r="CE164" s="46" t="n"/>
      <c r="CF164" s="46" t="n"/>
      <c r="CG164" s="46" t="n"/>
      <c r="CH164" s="46" t="n"/>
      <c r="CI164" s="46" t="n"/>
      <c r="CJ164" s="46" t="n"/>
      <c r="CK164" s="46" t="n"/>
      <c r="CL164" s="46" t="n"/>
      <c r="CM164" s="46" t="n"/>
      <c r="CN164" s="46" t="n"/>
      <c r="CO164" s="46" t="n"/>
      <c r="CP164" s="46" t="n"/>
      <c r="CQ164" s="46" t="n"/>
      <c r="CR164" s="46" t="n"/>
      <c r="CS164" s="46" t="n"/>
      <c r="CT164" s="46" t="n"/>
      <c r="CU164" s="46" t="n"/>
      <c r="CV164" s="46" t="n"/>
      <c r="CW164" s="46" t="n"/>
      <c r="CX164" s="46" t="n"/>
      <c r="CY164" s="46" t="n"/>
      <c r="CZ164" s="46" t="n"/>
      <c r="DA164" s="46" t="n"/>
      <c r="DB164" s="46" t="n"/>
      <c r="DC164" s="46" t="n"/>
      <c r="DD164" s="46" t="n"/>
      <c r="DE164" s="46" t="n"/>
      <c r="DF164" s="46" t="n"/>
      <c r="DG164" s="46" t="n"/>
      <c r="DH164" s="46" t="n"/>
      <c r="DI164" s="46" t="n"/>
      <c r="DJ164" s="46" t="n"/>
      <c r="DK164" s="46" t="n"/>
      <c r="DL164" s="46" t="n"/>
      <c r="DM164" s="46" t="n"/>
      <c r="DN164" s="46" t="n"/>
      <c r="DO164" s="46" t="n"/>
      <c r="DP164" s="46" t="n"/>
      <c r="DQ164" s="46" t="n"/>
      <c r="DR164" s="46" t="n"/>
      <c r="DS164" s="46" t="n"/>
      <c r="DT164" s="46" t="n"/>
      <c r="DU164" s="46" t="n"/>
      <c r="DV164" s="46" t="n"/>
      <c r="DW164" s="46" t="n"/>
      <c r="DX164" s="46" t="n"/>
      <c r="DY164" s="46" t="n"/>
      <c r="DZ164" s="46" t="n"/>
      <c r="EA164" s="46" t="n"/>
      <c r="EB164" s="46" t="n"/>
      <c r="EC164" s="46" t="n"/>
      <c r="ED164" s="46" t="n"/>
      <c r="EE164" s="46" t="n"/>
      <c r="EF164" s="46" t="n"/>
      <c r="EG164" s="46" t="n"/>
      <c r="EH164" s="46" t="n"/>
      <c r="EI164" s="46" t="n"/>
      <c r="EJ164" s="46" t="n"/>
      <c r="EK164" s="46" t="n"/>
      <c r="EL164" s="46" t="n"/>
      <c r="EM164" s="46" t="n"/>
      <c r="EN164" s="46" t="n"/>
      <c r="EO164" s="46" t="n"/>
      <c r="EP164" s="46" t="n"/>
      <c r="EQ164" s="46" t="n"/>
      <c r="ER164" s="46" t="n"/>
      <c r="ES164" s="46" t="n"/>
      <c r="ET164" s="46" t="n"/>
      <c r="EU164" s="46" t="n"/>
      <c r="EV164" s="46" t="n"/>
      <c r="EW164" s="46" t="n"/>
      <c r="EX164" s="46" t="n"/>
      <c r="EY164" s="46" t="n"/>
      <c r="EZ164" s="46" t="n"/>
      <c r="FA164" s="46" t="n"/>
      <c r="FB164" s="46" t="n"/>
      <c r="FC164" s="46" t="n"/>
      <c r="FD164" s="46" t="n"/>
      <c r="FE164" s="46" t="n"/>
      <c r="FF164" s="46" t="n"/>
      <c r="FG164" s="46" t="n"/>
      <c r="FH164" s="46" t="n"/>
      <c r="FI164" s="46" t="n"/>
      <c r="FJ164" s="46" t="n"/>
      <c r="FK164" s="46" t="n"/>
      <c r="FL164" s="46" t="n"/>
      <c r="FM164" s="46" t="n"/>
      <c r="FN164" s="46" t="n"/>
      <c r="FO164" s="46" t="n"/>
      <c r="FP164" s="46" t="n"/>
      <c r="FQ164" s="46" t="n"/>
      <c r="FR164" s="46" t="n"/>
      <c r="FS164" s="46" t="n"/>
      <c r="FT164" s="46" t="n"/>
      <c r="FU164" s="46" t="n"/>
      <c r="FV164" s="46" t="n"/>
      <c r="FW164" s="46" t="n"/>
      <c r="FX164" s="46" t="n"/>
      <c r="FY164" s="46" t="n"/>
      <c r="FZ164" s="46" t="n"/>
      <c r="GA164" s="46" t="n"/>
      <c r="GB164" s="46" t="n"/>
      <c r="GC164" s="46" t="n"/>
      <c r="GD164" s="46" t="n"/>
      <c r="GE164" s="46" t="n"/>
      <c r="GF164" s="46" t="n"/>
      <c r="GG164" s="46" t="n"/>
      <c r="GH164" s="46" t="n"/>
      <c r="GI164" s="46" t="n"/>
      <c r="GJ164" s="46" t="n"/>
      <c r="GK164" s="46" t="n"/>
      <c r="GL164" s="46" t="n"/>
      <c r="GM164" s="46" t="n"/>
      <c r="GN164" s="46" t="n"/>
      <c r="GO164" s="46" t="n"/>
      <c r="GP164" s="46" t="n"/>
      <c r="GQ164" s="46" t="n"/>
      <c r="GR164" s="46" t="n"/>
      <c r="GS164" s="46" t="n"/>
      <c r="GT164" s="46" t="n"/>
      <c r="GU164" s="46" t="n"/>
      <c r="GV164" s="46" t="n"/>
      <c r="GW164" s="46" t="n"/>
      <c r="GX164" s="46" t="n"/>
      <c r="GY164" s="46" t="n"/>
      <c r="GZ164" s="46" t="n"/>
      <c r="HA164" s="46" t="n"/>
      <c r="HB164" s="46" t="n"/>
    </row>
    <row r="165" ht="15.6" customHeight="1">
      <c r="A165" s="56" t="n"/>
      <c r="B165" s="61" t="n"/>
      <c r="C165" s="57" t="n"/>
      <c r="D165" s="57" t="n"/>
      <c r="E165" s="56" t="n"/>
      <c r="F165" s="57" t="n"/>
      <c r="G165" s="58" t="n"/>
      <c r="H165" s="58" t="n"/>
      <c r="I165" s="46" t="n"/>
      <c r="J165" s="46" t="n"/>
      <c r="K165" s="46" t="n"/>
      <c r="L165" s="46" t="n"/>
      <c r="M165" s="46" t="n"/>
      <c r="N165" s="46" t="n"/>
      <c r="O165" s="46" t="n"/>
      <c r="P165" s="46" t="n"/>
      <c r="Q165" s="46" t="n"/>
      <c r="R165" s="46" t="n"/>
      <c r="S165" s="46" t="n"/>
      <c r="T165" s="46" t="n"/>
      <c r="U165" s="46" t="n"/>
      <c r="V165" s="46" t="n"/>
      <c r="W165" s="46" t="n"/>
      <c r="X165" s="46" t="n"/>
      <c r="Y165" s="46" t="n"/>
      <c r="Z165" s="46" t="n"/>
      <c r="AA165" s="46" t="n"/>
      <c r="AB165" s="46" t="n"/>
      <c r="AC165" s="46" t="n"/>
      <c r="AD165" s="46" t="n"/>
      <c r="AE165" s="46" t="n"/>
      <c r="AF165" s="46" t="n"/>
      <c r="AG165" s="46" t="n"/>
      <c r="AH165" s="46" t="n"/>
      <c r="AI165" s="46" t="n"/>
      <c r="AJ165" s="46" t="n"/>
      <c r="AK165" s="46" t="n"/>
      <c r="AL165" s="46" t="n"/>
      <c r="AM165" s="46" t="n"/>
      <c r="AN165" s="46" t="n"/>
      <c r="AO165" s="46" t="n"/>
      <c r="AP165" s="46" t="n"/>
      <c r="AQ165" s="46" t="n"/>
      <c r="AR165" s="46" t="n"/>
      <c r="AS165" s="46" t="n"/>
      <c r="AT165" s="46" t="n"/>
      <c r="AU165" s="46" t="n"/>
      <c r="AV165" s="46" t="n"/>
      <c r="AW165" s="46" t="n"/>
      <c r="AX165" s="46" t="n"/>
      <c r="AY165" s="46" t="n"/>
      <c r="AZ165" s="46" t="n"/>
      <c r="BA165" s="46" t="n"/>
      <c r="BB165" s="46" t="n"/>
      <c r="BC165" s="46" t="n"/>
      <c r="BD165" s="46" t="n"/>
      <c r="BE165" s="46" t="n"/>
      <c r="BF165" s="46" t="n"/>
      <c r="BG165" s="46" t="n"/>
      <c r="BH165" s="46" t="n"/>
      <c r="BI165" s="46" t="n"/>
      <c r="BJ165" s="46" t="n"/>
      <c r="BK165" s="46" t="n"/>
      <c r="BL165" s="46" t="n"/>
      <c r="BM165" s="46" t="n"/>
      <c r="BN165" s="46" t="n"/>
      <c r="BO165" s="46" t="n"/>
      <c r="BP165" s="46" t="n"/>
      <c r="BQ165" s="46" t="n"/>
      <c r="BR165" s="46" t="n"/>
      <c r="BS165" s="46" t="n"/>
      <c r="BT165" s="46" t="n"/>
      <c r="BU165" s="46" t="n"/>
      <c r="BV165" s="46" t="n"/>
      <c r="BW165" s="46" t="n"/>
      <c r="BX165" s="46" t="n"/>
      <c r="BY165" s="46" t="n"/>
      <c r="BZ165" s="46" t="n"/>
      <c r="CA165" s="46" t="n"/>
      <c r="CB165" s="46" t="n"/>
      <c r="CC165" s="46" t="n"/>
      <c r="CD165" s="46" t="n"/>
      <c r="CE165" s="46" t="n"/>
      <c r="CF165" s="46" t="n"/>
      <c r="CG165" s="46" t="n"/>
      <c r="CH165" s="46" t="n"/>
      <c r="CI165" s="46" t="n"/>
      <c r="CJ165" s="46" t="n"/>
      <c r="CK165" s="46" t="n"/>
      <c r="CL165" s="46" t="n"/>
      <c r="CM165" s="46" t="n"/>
      <c r="CN165" s="46" t="n"/>
      <c r="CO165" s="46" t="n"/>
      <c r="CP165" s="46" t="n"/>
      <c r="CQ165" s="46" t="n"/>
      <c r="CR165" s="46" t="n"/>
      <c r="CS165" s="46" t="n"/>
      <c r="CT165" s="46" t="n"/>
      <c r="CU165" s="46" t="n"/>
      <c r="CV165" s="46" t="n"/>
      <c r="CW165" s="46" t="n"/>
      <c r="CX165" s="46" t="n"/>
      <c r="CY165" s="46" t="n"/>
      <c r="CZ165" s="46" t="n"/>
      <c r="DA165" s="46" t="n"/>
      <c r="DB165" s="46" t="n"/>
      <c r="DC165" s="46" t="n"/>
      <c r="DD165" s="46" t="n"/>
      <c r="DE165" s="46" t="n"/>
      <c r="DF165" s="46" t="n"/>
      <c r="DG165" s="46" t="n"/>
      <c r="DH165" s="46" t="n"/>
      <c r="DI165" s="46" t="n"/>
      <c r="DJ165" s="46" t="n"/>
      <c r="DK165" s="46" t="n"/>
      <c r="DL165" s="46" t="n"/>
      <c r="DM165" s="46" t="n"/>
      <c r="DN165" s="46" t="n"/>
      <c r="DO165" s="46" t="n"/>
      <c r="DP165" s="46" t="n"/>
      <c r="DQ165" s="46" t="n"/>
      <c r="DR165" s="46" t="n"/>
      <c r="DS165" s="46" t="n"/>
      <c r="DT165" s="46" t="n"/>
      <c r="DU165" s="46" t="n"/>
      <c r="DV165" s="46" t="n"/>
      <c r="DW165" s="46" t="n"/>
      <c r="DX165" s="46" t="n"/>
      <c r="DY165" s="46" t="n"/>
      <c r="DZ165" s="46" t="n"/>
      <c r="EA165" s="46" t="n"/>
      <c r="EB165" s="46" t="n"/>
      <c r="EC165" s="46" t="n"/>
      <c r="ED165" s="46" t="n"/>
      <c r="EE165" s="46" t="n"/>
      <c r="EF165" s="46" t="n"/>
      <c r="EG165" s="46" t="n"/>
      <c r="EH165" s="46" t="n"/>
      <c r="EI165" s="46" t="n"/>
      <c r="EJ165" s="46" t="n"/>
      <c r="EK165" s="46" t="n"/>
      <c r="EL165" s="46" t="n"/>
      <c r="EM165" s="46" t="n"/>
      <c r="EN165" s="46" t="n"/>
      <c r="EO165" s="46" t="n"/>
      <c r="EP165" s="46" t="n"/>
      <c r="EQ165" s="46" t="n"/>
      <c r="ER165" s="46" t="n"/>
      <c r="ES165" s="46" t="n"/>
      <c r="ET165" s="46" t="n"/>
      <c r="EU165" s="46" t="n"/>
      <c r="EV165" s="46" t="n"/>
      <c r="EW165" s="46" t="n"/>
      <c r="EX165" s="46" t="n"/>
      <c r="EY165" s="46" t="n"/>
      <c r="EZ165" s="46" t="n"/>
      <c r="FA165" s="46" t="n"/>
      <c r="FB165" s="46" t="n"/>
      <c r="FC165" s="46" t="n"/>
      <c r="FD165" s="46" t="n"/>
      <c r="FE165" s="46" t="n"/>
      <c r="FF165" s="46" t="n"/>
      <c r="FG165" s="46" t="n"/>
      <c r="FH165" s="46" t="n"/>
      <c r="FI165" s="46" t="n"/>
      <c r="FJ165" s="46" t="n"/>
      <c r="FK165" s="46" t="n"/>
      <c r="FL165" s="46" t="n"/>
      <c r="FM165" s="46" t="n"/>
      <c r="FN165" s="46" t="n"/>
      <c r="FO165" s="46" t="n"/>
      <c r="FP165" s="46" t="n"/>
      <c r="FQ165" s="46" t="n"/>
      <c r="FR165" s="46" t="n"/>
      <c r="FS165" s="46" t="n"/>
      <c r="FT165" s="46" t="n"/>
      <c r="FU165" s="46" t="n"/>
      <c r="FV165" s="46" t="n"/>
      <c r="FW165" s="46" t="n"/>
      <c r="FX165" s="46" t="n"/>
      <c r="FY165" s="46" t="n"/>
      <c r="FZ165" s="46" t="n"/>
      <c r="GA165" s="46" t="n"/>
      <c r="GB165" s="46" t="n"/>
      <c r="GC165" s="46" t="n"/>
      <c r="GD165" s="46" t="n"/>
      <c r="GE165" s="46" t="n"/>
      <c r="GF165" s="46" t="n"/>
      <c r="GG165" s="46" t="n"/>
      <c r="GH165" s="46" t="n"/>
      <c r="GI165" s="46" t="n"/>
      <c r="GJ165" s="46" t="n"/>
      <c r="GK165" s="46" t="n"/>
      <c r="GL165" s="46" t="n"/>
      <c r="GM165" s="46" t="n"/>
      <c r="GN165" s="46" t="n"/>
      <c r="GO165" s="46" t="n"/>
      <c r="GP165" s="46" t="n"/>
      <c r="GQ165" s="46" t="n"/>
      <c r="GR165" s="46" t="n"/>
      <c r="GS165" s="46" t="n"/>
      <c r="GT165" s="46" t="n"/>
      <c r="GU165" s="46" t="n"/>
      <c r="GV165" s="46" t="n"/>
      <c r="GW165" s="46" t="n"/>
      <c r="GX165" s="46" t="n"/>
      <c r="GY165" s="46" t="n"/>
      <c r="GZ165" s="46" t="n"/>
      <c r="HA165" s="46" t="n"/>
      <c r="HB165" s="46" t="n"/>
    </row>
    <row r="166" ht="15.6" customHeight="1">
      <c r="A166" s="56" t="n"/>
      <c r="B166" s="42" t="inlineStr">
        <is>
          <t>TOTAL</t>
        </is>
      </c>
      <c r="C166" s="57" t="n"/>
      <c r="D166" s="57" t="n"/>
      <c r="E166" s="56" t="n"/>
      <c r="F166" s="206" t="n"/>
      <c r="G166" s="58" t="n"/>
      <c r="H166" s="207">
        <f>SUM(H158:H165)</f>
        <v>0.0</v>
      </c>
      <c r="I166" s="46" t="n"/>
      <c r="J166" s="46" t="n"/>
      <c r="K166" s="46" t="n"/>
      <c r="L166" s="46" t="n"/>
      <c r="M166" s="46" t="n"/>
      <c r="N166" s="46" t="n"/>
      <c r="O166" s="46" t="n"/>
      <c r="P166" s="46" t="n"/>
      <c r="Q166" s="46" t="n"/>
      <c r="R166" s="46" t="n"/>
      <c r="S166" s="46" t="n"/>
      <c r="T166" s="46" t="n"/>
      <c r="U166" s="46" t="n"/>
      <c r="V166" s="46" t="n"/>
      <c r="W166" s="46" t="n"/>
      <c r="X166" s="46" t="n"/>
      <c r="Y166" s="46" t="n"/>
      <c r="Z166" s="46" t="n"/>
      <c r="AA166" s="46" t="n"/>
      <c r="AB166" s="46" t="n"/>
      <c r="AC166" s="46" t="n"/>
      <c r="AD166" s="46" t="n"/>
      <c r="AE166" s="46" t="n"/>
      <c r="AF166" s="46" t="n"/>
      <c r="AG166" s="46" t="n"/>
      <c r="AH166" s="46" t="n"/>
      <c r="AI166" s="46" t="n"/>
      <c r="AJ166" s="46" t="n"/>
      <c r="AK166" s="46" t="n"/>
      <c r="AL166" s="46" t="n"/>
      <c r="AM166" s="46" t="n"/>
      <c r="AN166" s="46" t="n"/>
      <c r="AO166" s="46" t="n"/>
      <c r="AP166" s="46" t="n"/>
      <c r="AQ166" s="46" t="n"/>
      <c r="AR166" s="46" t="n"/>
      <c r="AS166" s="46" t="n"/>
      <c r="AT166" s="46" t="n"/>
      <c r="AU166" s="46" t="n"/>
      <c r="AV166" s="46" t="n"/>
      <c r="AW166" s="46" t="n"/>
      <c r="AX166" s="46" t="n"/>
      <c r="AY166" s="46" t="n"/>
      <c r="AZ166" s="46" t="n"/>
      <c r="BA166" s="46" t="n"/>
      <c r="BB166" s="46" t="n"/>
      <c r="BC166" s="46" t="n"/>
      <c r="BD166" s="46" t="n"/>
      <c r="BE166" s="46" t="n"/>
      <c r="BF166" s="46" t="n"/>
      <c r="BG166" s="46" t="n"/>
      <c r="BH166" s="46" t="n"/>
      <c r="BI166" s="46" t="n"/>
      <c r="BJ166" s="46" t="n"/>
      <c r="BK166" s="46" t="n"/>
      <c r="BL166" s="46" t="n"/>
      <c r="BM166" s="46" t="n"/>
      <c r="BN166" s="46" t="n"/>
      <c r="BO166" s="46" t="n"/>
      <c r="BP166" s="46" t="n"/>
      <c r="BQ166" s="46" t="n"/>
      <c r="BR166" s="46" t="n"/>
      <c r="BS166" s="46" t="n"/>
      <c r="BT166" s="46" t="n"/>
      <c r="BU166" s="46" t="n"/>
      <c r="BV166" s="46" t="n"/>
      <c r="BW166" s="46" t="n"/>
      <c r="BX166" s="46" t="n"/>
      <c r="BY166" s="46" t="n"/>
      <c r="BZ166" s="46" t="n"/>
      <c r="CA166" s="46" t="n"/>
      <c r="CB166" s="46" t="n"/>
      <c r="CC166" s="46" t="n"/>
      <c r="CD166" s="46" t="n"/>
      <c r="CE166" s="46" t="n"/>
      <c r="CF166" s="46" t="n"/>
      <c r="CG166" s="46" t="n"/>
      <c r="CH166" s="46" t="n"/>
      <c r="CI166" s="46" t="n"/>
      <c r="CJ166" s="46" t="n"/>
      <c r="CK166" s="46" t="n"/>
      <c r="CL166" s="46" t="n"/>
      <c r="CM166" s="46" t="n"/>
      <c r="CN166" s="46" t="n"/>
      <c r="CO166" s="46" t="n"/>
      <c r="CP166" s="46" t="n"/>
      <c r="CQ166" s="46" t="n"/>
      <c r="CR166" s="46" t="n"/>
      <c r="CS166" s="46" t="n"/>
      <c r="CT166" s="46" t="n"/>
      <c r="CU166" s="46" t="n"/>
      <c r="CV166" s="46" t="n"/>
      <c r="CW166" s="46" t="n"/>
      <c r="CX166" s="46" t="n"/>
      <c r="CY166" s="46" t="n"/>
      <c r="CZ166" s="46" t="n"/>
      <c r="DA166" s="46" t="n"/>
      <c r="DB166" s="46" t="n"/>
      <c r="DC166" s="46" t="n"/>
      <c r="DD166" s="46" t="n"/>
      <c r="DE166" s="46" t="n"/>
      <c r="DF166" s="46" t="n"/>
      <c r="DG166" s="46" t="n"/>
      <c r="DH166" s="46" t="n"/>
      <c r="DI166" s="46" t="n"/>
      <c r="DJ166" s="46" t="n"/>
      <c r="DK166" s="46" t="n"/>
      <c r="DL166" s="46" t="n"/>
      <c r="DM166" s="46" t="n"/>
      <c r="DN166" s="46" t="n"/>
      <c r="DO166" s="46" t="n"/>
      <c r="DP166" s="46" t="n"/>
      <c r="DQ166" s="46" t="n"/>
      <c r="DR166" s="46" t="n"/>
      <c r="DS166" s="46" t="n"/>
      <c r="DT166" s="46" t="n"/>
      <c r="DU166" s="46" t="n"/>
      <c r="DV166" s="46" t="n"/>
      <c r="DW166" s="46" t="n"/>
      <c r="DX166" s="46" t="n"/>
      <c r="DY166" s="46" t="n"/>
      <c r="DZ166" s="46" t="n"/>
      <c r="EA166" s="46" t="n"/>
      <c r="EB166" s="46" t="n"/>
      <c r="EC166" s="46" t="n"/>
      <c r="ED166" s="46" t="n"/>
      <c r="EE166" s="46" t="n"/>
      <c r="EF166" s="46" t="n"/>
      <c r="EG166" s="46" t="n"/>
      <c r="EH166" s="46" t="n"/>
      <c r="EI166" s="46" t="n"/>
      <c r="EJ166" s="46" t="n"/>
      <c r="EK166" s="46" t="n"/>
      <c r="EL166" s="46" t="n"/>
      <c r="EM166" s="46" t="n"/>
      <c r="EN166" s="46" t="n"/>
      <c r="EO166" s="46" t="n"/>
      <c r="EP166" s="46" t="n"/>
      <c r="EQ166" s="46" t="n"/>
      <c r="ER166" s="46" t="n"/>
      <c r="ES166" s="46" t="n"/>
      <c r="ET166" s="46" t="n"/>
      <c r="EU166" s="46" t="n"/>
      <c r="EV166" s="46" t="n"/>
      <c r="EW166" s="46" t="n"/>
      <c r="EX166" s="46" t="n"/>
      <c r="EY166" s="46" t="n"/>
      <c r="EZ166" s="46" t="n"/>
      <c r="FA166" s="46" t="n"/>
      <c r="FB166" s="46" t="n"/>
      <c r="FC166" s="46" t="n"/>
      <c r="FD166" s="46" t="n"/>
      <c r="FE166" s="46" t="n"/>
      <c r="FF166" s="46" t="n"/>
      <c r="FG166" s="46" t="n"/>
      <c r="FH166" s="46" t="n"/>
      <c r="FI166" s="46" t="n"/>
      <c r="FJ166" s="46" t="n"/>
      <c r="FK166" s="46" t="n"/>
      <c r="FL166" s="46" t="n"/>
      <c r="FM166" s="46" t="n"/>
      <c r="FN166" s="46" t="n"/>
      <c r="FO166" s="46" t="n"/>
      <c r="FP166" s="46" t="n"/>
      <c r="FQ166" s="46" t="n"/>
      <c r="FR166" s="46" t="n"/>
      <c r="FS166" s="46" t="n"/>
      <c r="FT166" s="46" t="n"/>
      <c r="FU166" s="46" t="n"/>
      <c r="FV166" s="46" t="n"/>
      <c r="FW166" s="46" t="n"/>
      <c r="FX166" s="46" t="n"/>
      <c r="FY166" s="46" t="n"/>
      <c r="FZ166" s="46" t="n"/>
      <c r="GA166" s="46" t="n"/>
      <c r="GB166" s="46" t="n"/>
      <c r="GC166" s="46" t="n"/>
      <c r="GD166" s="46" t="n"/>
      <c r="GE166" s="46" t="n"/>
      <c r="GF166" s="46" t="n"/>
      <c r="GG166" s="46" t="n"/>
      <c r="GH166" s="46" t="n"/>
      <c r="GI166" s="46" t="n"/>
      <c r="GJ166" s="46" t="n"/>
      <c r="GK166" s="46" t="n"/>
      <c r="GL166" s="46" t="n"/>
      <c r="GM166" s="46" t="n"/>
      <c r="GN166" s="46" t="n"/>
      <c r="GO166" s="46" t="n"/>
      <c r="GP166" s="46" t="n"/>
      <c r="GQ166" s="46" t="n"/>
      <c r="GR166" s="46" t="n"/>
      <c r="GS166" s="46" t="n"/>
      <c r="GT166" s="46" t="n"/>
      <c r="GU166" s="46" t="n"/>
      <c r="GV166" s="46" t="n"/>
      <c r="GW166" s="46" t="n"/>
      <c r="GX166" s="46" t="n"/>
      <c r="GY166" s="46" t="n"/>
      <c r="GZ166" s="46" t="n"/>
      <c r="HA166" s="46" t="n"/>
      <c r="HB166" s="46" t="n"/>
    </row>
    <row r="167" ht="15.6" customHeight="1">
      <c r="A167" s="56" t="n"/>
      <c r="B167" s="61" t="n"/>
      <c r="C167" s="57" t="n"/>
      <c r="D167" s="57" t="n"/>
      <c r="E167" s="56" t="n"/>
      <c r="F167" s="57" t="n"/>
      <c r="G167" s="58" t="n"/>
      <c r="H167" s="58" t="n"/>
      <c r="I167" s="46" t="n"/>
      <c r="J167" s="46" t="n"/>
      <c r="K167" s="46" t="n"/>
      <c r="L167" s="46" t="n"/>
      <c r="M167" s="46" t="n"/>
      <c r="N167" s="46" t="n"/>
      <c r="O167" s="46" t="n"/>
      <c r="P167" s="46" t="n"/>
      <c r="Q167" s="46" t="n"/>
      <c r="R167" s="46" t="n"/>
      <c r="S167" s="46" t="n"/>
      <c r="T167" s="46" t="n"/>
      <c r="U167" s="46" t="n"/>
      <c r="V167" s="46" t="n"/>
      <c r="W167" s="46" t="n"/>
      <c r="X167" s="46" t="n"/>
      <c r="Y167" s="46" t="n"/>
      <c r="Z167" s="46" t="n"/>
      <c r="AA167" s="46" t="n"/>
      <c r="AB167" s="46" t="n"/>
      <c r="AC167" s="46" t="n"/>
      <c r="AD167" s="46" t="n"/>
      <c r="AE167" s="46" t="n"/>
      <c r="AF167" s="46" t="n"/>
      <c r="AG167" s="46" t="n"/>
      <c r="AH167" s="46" t="n"/>
      <c r="AI167" s="46" t="n"/>
      <c r="AJ167" s="46" t="n"/>
      <c r="AK167" s="46" t="n"/>
      <c r="AL167" s="46" t="n"/>
      <c r="AM167" s="46" t="n"/>
      <c r="AN167" s="46" t="n"/>
      <c r="AO167" s="46" t="n"/>
      <c r="AP167" s="46" t="n"/>
      <c r="AQ167" s="46" t="n"/>
      <c r="AR167" s="46" t="n"/>
      <c r="AS167" s="46" t="n"/>
      <c r="AT167" s="46" t="n"/>
      <c r="AU167" s="46" t="n"/>
      <c r="AV167" s="46" t="n"/>
      <c r="AW167" s="46" t="n"/>
      <c r="AX167" s="46" t="n"/>
      <c r="AY167" s="46" t="n"/>
      <c r="AZ167" s="46" t="n"/>
      <c r="BA167" s="46" t="n"/>
      <c r="BB167" s="46" t="n"/>
      <c r="BC167" s="46" t="n"/>
      <c r="BD167" s="46" t="n"/>
      <c r="BE167" s="46" t="n"/>
      <c r="BF167" s="46" t="n"/>
      <c r="BG167" s="46" t="n"/>
      <c r="BH167" s="46" t="n"/>
      <c r="BI167" s="46" t="n"/>
      <c r="BJ167" s="46" t="n"/>
      <c r="BK167" s="46" t="n"/>
      <c r="BL167" s="46" t="n"/>
      <c r="BM167" s="46" t="n"/>
      <c r="BN167" s="46" t="n"/>
      <c r="BO167" s="46" t="n"/>
      <c r="BP167" s="46" t="n"/>
      <c r="BQ167" s="46" t="n"/>
      <c r="BR167" s="46" t="n"/>
      <c r="BS167" s="46" t="n"/>
      <c r="BT167" s="46" t="n"/>
      <c r="BU167" s="46" t="n"/>
      <c r="BV167" s="46" t="n"/>
      <c r="BW167" s="46" t="n"/>
      <c r="BX167" s="46" t="n"/>
      <c r="BY167" s="46" t="n"/>
      <c r="BZ167" s="46" t="n"/>
      <c r="CA167" s="46" t="n"/>
      <c r="CB167" s="46" t="n"/>
      <c r="CC167" s="46" t="n"/>
      <c r="CD167" s="46" t="n"/>
      <c r="CE167" s="46" t="n"/>
      <c r="CF167" s="46" t="n"/>
      <c r="CG167" s="46" t="n"/>
      <c r="CH167" s="46" t="n"/>
      <c r="CI167" s="46" t="n"/>
      <c r="CJ167" s="46" t="n"/>
      <c r="CK167" s="46" t="n"/>
      <c r="CL167" s="46" t="n"/>
      <c r="CM167" s="46" t="n"/>
      <c r="CN167" s="46" t="n"/>
      <c r="CO167" s="46" t="n"/>
      <c r="CP167" s="46" t="n"/>
      <c r="CQ167" s="46" t="n"/>
      <c r="CR167" s="46" t="n"/>
      <c r="CS167" s="46" t="n"/>
      <c r="CT167" s="46" t="n"/>
      <c r="CU167" s="46" t="n"/>
      <c r="CV167" s="46" t="n"/>
      <c r="CW167" s="46" t="n"/>
      <c r="CX167" s="46" t="n"/>
      <c r="CY167" s="46" t="n"/>
      <c r="CZ167" s="46" t="n"/>
      <c r="DA167" s="46" t="n"/>
      <c r="DB167" s="46" t="n"/>
      <c r="DC167" s="46" t="n"/>
      <c r="DD167" s="46" t="n"/>
      <c r="DE167" s="46" t="n"/>
      <c r="DF167" s="46" t="n"/>
      <c r="DG167" s="46" t="n"/>
      <c r="DH167" s="46" t="n"/>
      <c r="DI167" s="46" t="n"/>
      <c r="DJ167" s="46" t="n"/>
      <c r="DK167" s="46" t="n"/>
      <c r="DL167" s="46" t="n"/>
      <c r="DM167" s="46" t="n"/>
      <c r="DN167" s="46" t="n"/>
      <c r="DO167" s="46" t="n"/>
      <c r="DP167" s="46" t="n"/>
      <c r="DQ167" s="46" t="n"/>
      <c r="DR167" s="46" t="n"/>
      <c r="DS167" s="46" t="n"/>
      <c r="DT167" s="46" t="n"/>
      <c r="DU167" s="46" t="n"/>
      <c r="DV167" s="46" t="n"/>
      <c r="DW167" s="46" t="n"/>
      <c r="DX167" s="46" t="n"/>
      <c r="DY167" s="46" t="n"/>
      <c r="DZ167" s="46" t="n"/>
      <c r="EA167" s="46" t="n"/>
      <c r="EB167" s="46" t="n"/>
      <c r="EC167" s="46" t="n"/>
      <c r="ED167" s="46" t="n"/>
      <c r="EE167" s="46" t="n"/>
      <c r="EF167" s="46" t="n"/>
      <c r="EG167" s="46" t="n"/>
      <c r="EH167" s="46" t="n"/>
      <c r="EI167" s="46" t="n"/>
      <c r="EJ167" s="46" t="n"/>
      <c r="EK167" s="46" t="n"/>
      <c r="EL167" s="46" t="n"/>
      <c r="EM167" s="46" t="n"/>
      <c r="EN167" s="46" t="n"/>
      <c r="EO167" s="46" t="n"/>
      <c r="EP167" s="46" t="n"/>
      <c r="EQ167" s="46" t="n"/>
      <c r="ER167" s="46" t="n"/>
      <c r="ES167" s="46" t="n"/>
      <c r="ET167" s="46" t="n"/>
      <c r="EU167" s="46" t="n"/>
      <c r="EV167" s="46" t="n"/>
      <c r="EW167" s="46" t="n"/>
      <c r="EX167" s="46" t="n"/>
      <c r="EY167" s="46" t="n"/>
      <c r="EZ167" s="46" t="n"/>
      <c r="FA167" s="46" t="n"/>
      <c r="FB167" s="46" t="n"/>
      <c r="FC167" s="46" t="n"/>
      <c r="FD167" s="46" t="n"/>
      <c r="FE167" s="46" t="n"/>
      <c r="FF167" s="46" t="n"/>
      <c r="FG167" s="46" t="n"/>
      <c r="FH167" s="46" t="n"/>
      <c r="FI167" s="46" t="n"/>
      <c r="FJ167" s="46" t="n"/>
      <c r="FK167" s="46" t="n"/>
      <c r="FL167" s="46" t="n"/>
      <c r="FM167" s="46" t="n"/>
      <c r="FN167" s="46" t="n"/>
      <c r="FO167" s="46" t="n"/>
      <c r="FP167" s="46" t="n"/>
      <c r="FQ167" s="46" t="n"/>
      <c r="FR167" s="46" t="n"/>
      <c r="FS167" s="46" t="n"/>
      <c r="FT167" s="46" t="n"/>
      <c r="FU167" s="46" t="n"/>
      <c r="FV167" s="46" t="n"/>
      <c r="FW167" s="46" t="n"/>
      <c r="FX167" s="46" t="n"/>
      <c r="FY167" s="46" t="n"/>
      <c r="FZ167" s="46" t="n"/>
      <c r="GA167" s="46" t="n"/>
      <c r="GB167" s="46" t="n"/>
      <c r="GC167" s="46" t="n"/>
      <c r="GD167" s="46" t="n"/>
      <c r="GE167" s="46" t="n"/>
      <c r="GF167" s="46" t="n"/>
      <c r="GG167" s="46" t="n"/>
      <c r="GH167" s="46" t="n"/>
      <c r="GI167" s="46" t="n"/>
      <c r="GJ167" s="46" t="n"/>
      <c r="GK167" s="46" t="n"/>
      <c r="GL167" s="46" t="n"/>
      <c r="GM167" s="46" t="n"/>
      <c r="GN167" s="46" t="n"/>
      <c r="GO167" s="46" t="n"/>
      <c r="GP167" s="46" t="n"/>
      <c r="GQ167" s="46" t="n"/>
      <c r="GR167" s="46" t="n"/>
      <c r="GS167" s="46" t="n"/>
      <c r="GT167" s="46" t="n"/>
      <c r="GU167" s="46" t="n"/>
      <c r="GV167" s="46" t="n"/>
      <c r="GW167" s="46" t="n"/>
      <c r="GX167" s="46" t="n"/>
      <c r="GY167" s="46" t="n"/>
      <c r="GZ167" s="46" t="n"/>
      <c r="HA167" s="46" t="n"/>
      <c r="HB167" s="46" t="n"/>
    </row>
    <row r="168" ht="15.6" customHeight="1">
      <c r="A168" s="56" t="n"/>
      <c r="B168" s="61" t="n"/>
      <c r="C168" s="57" t="n"/>
      <c r="D168" s="57" t="n"/>
      <c r="E168" s="56" t="n"/>
      <c r="F168" s="57" t="n"/>
      <c r="G168" s="209" t="n"/>
      <c r="H168" s="209" t="n"/>
    </row>
    <row r="169" ht="15.6" customHeight="1">
      <c r="A169" s="56" t="n"/>
      <c r="B169" s="61" t="n"/>
      <c r="C169" s="57" t="n"/>
      <c r="D169" s="57" t="n"/>
      <c r="E169" s="56" t="n"/>
      <c r="F169" s="57" t="n"/>
      <c r="G169" s="209" t="n"/>
      <c r="H169" s="209" t="n"/>
    </row>
    <row r="170" ht="15.6" customHeight="1">
      <c r="A170" s="56" t="n"/>
      <c r="B170" s="61" t="n"/>
      <c r="C170" s="57" t="n"/>
      <c r="D170" s="57" t="n"/>
      <c r="E170" s="56" t="n"/>
      <c r="F170" s="57" t="n"/>
      <c r="G170" s="209" t="n"/>
      <c r="H170" s="209" t="n"/>
    </row>
    <row r="171" ht="15.6" customHeight="1">
      <c r="A171" s="56" t="n"/>
      <c r="B171" s="61" t="n"/>
      <c r="C171" s="57" t="n"/>
      <c r="D171" s="57" t="n"/>
      <c r="E171" s="56" t="n"/>
      <c r="F171" s="57" t="n"/>
      <c r="G171" s="209" t="n"/>
      <c r="H171" s="209" t="n"/>
    </row>
    <row r="172" ht="15.6" customHeight="1">
      <c r="A172" s="56" t="n"/>
      <c r="B172" s="61" t="n"/>
      <c r="C172" s="57" t="n"/>
      <c r="D172" s="57" t="n"/>
      <c r="E172" s="56" t="n"/>
      <c r="F172" s="57" t="n"/>
      <c r="G172" s="209" t="n"/>
      <c r="H172" s="209" t="n"/>
    </row>
    <row r="173" ht="15.6" customHeight="1">
      <c r="A173" s="56" t="n"/>
      <c r="B173" s="61" t="n"/>
      <c r="C173" s="57" t="n"/>
      <c r="D173" s="57" t="n"/>
      <c r="E173" s="56" t="n"/>
      <c r="F173" s="57" t="n"/>
      <c r="G173" s="209" t="n"/>
      <c r="H173" s="209" t="n"/>
    </row>
    <row r="174" ht="15.6" customHeight="1">
      <c r="A174" s="56" t="n"/>
      <c r="B174" s="61" t="n"/>
      <c r="C174" s="57" t="n"/>
      <c r="D174" s="57" t="n"/>
      <c r="E174" s="56" t="n"/>
      <c r="F174" s="57" t="n"/>
      <c r="G174" s="209" t="n"/>
      <c r="H174" s="209" t="n"/>
    </row>
    <row r="175" ht="15.6" customHeight="1">
      <c r="A175" s="56" t="n"/>
      <c r="B175" s="61" t="n"/>
      <c r="C175" s="57" t="n"/>
      <c r="D175" s="57" t="n"/>
      <c r="E175" s="56" t="n"/>
      <c r="F175" s="57" t="n"/>
      <c r="G175" s="209" t="n"/>
      <c r="H175" s="209" t="n"/>
    </row>
    <row r="176" ht="15.6" customHeight="1">
      <c r="A176" s="56" t="n"/>
      <c r="B176" s="61" t="n"/>
      <c r="C176" s="57" t="n"/>
      <c r="D176" s="57" t="n"/>
      <c r="E176" s="56" t="n"/>
      <c r="F176" s="57" t="n"/>
      <c r="G176" s="209" t="n"/>
      <c r="H176" s="209" t="n"/>
    </row>
    <row r="177" ht="15.6" customHeight="1">
      <c r="A177" s="56" t="n"/>
      <c r="B177" s="61" t="n"/>
      <c r="C177" s="57" t="n"/>
      <c r="D177" s="57" t="n"/>
      <c r="E177" s="56" t="n"/>
      <c r="F177" s="57" t="n"/>
      <c r="G177" s="209" t="n"/>
      <c r="H177" s="209" t="n"/>
    </row>
    <row r="178" ht="15.6" customHeight="1">
      <c r="A178" s="56" t="n"/>
      <c r="B178" s="61" t="n"/>
      <c r="C178" s="57" t="n"/>
      <c r="D178" s="57" t="n"/>
      <c r="E178" s="56" t="n"/>
      <c r="F178" s="57" t="n"/>
      <c r="G178" s="209" t="n"/>
      <c r="H178" s="209" t="n"/>
    </row>
    <row r="179" ht="15.6" customHeight="1">
      <c r="A179" s="56" t="n"/>
      <c r="B179" s="61" t="n"/>
      <c r="C179" s="57" t="n"/>
      <c r="D179" s="57" t="n"/>
      <c r="E179" s="56" t="n"/>
      <c r="F179" s="57" t="n"/>
      <c r="G179" s="209" t="n"/>
      <c r="H179" s="209" t="n"/>
    </row>
    <row r="180" ht="15.6" customHeight="1">
      <c r="A180" s="56" t="n"/>
      <c r="B180" s="61" t="n"/>
      <c r="C180" s="57" t="n"/>
      <c r="D180" s="57" t="n"/>
      <c r="E180" s="56" t="n"/>
      <c r="F180" s="57" t="n"/>
      <c r="G180" s="209" t="n"/>
      <c r="H180" s="209" t="n"/>
    </row>
    <row r="181" ht="15.6" customHeight="1">
      <c r="A181" s="56" t="n"/>
      <c r="B181" s="61" t="n"/>
      <c r="C181" s="57" t="n"/>
      <c r="D181" s="57" t="n"/>
      <c r="E181" s="56" t="n"/>
      <c r="F181" s="57" t="n"/>
      <c r="G181" s="209" t="n"/>
      <c r="H181" s="209" t="n"/>
    </row>
    <row r="182" ht="15.6" customHeight="1">
      <c r="A182" s="56" t="n"/>
      <c r="B182" s="61" t="n"/>
      <c r="C182" s="57" t="n"/>
      <c r="D182" s="57" t="n"/>
      <c r="E182" s="56" t="n"/>
      <c r="F182" s="57" t="n"/>
      <c r="G182" s="209" t="n"/>
      <c r="H182" s="209" t="n"/>
    </row>
    <row r="183" ht="15.6" customHeight="1">
      <c r="A183" s="56" t="n"/>
      <c r="B183" s="61" t="n"/>
      <c r="C183" s="57" t="n"/>
      <c r="D183" s="57" t="n"/>
      <c r="E183" s="56" t="n"/>
      <c r="F183" s="57" t="n"/>
      <c r="G183" s="209" t="n"/>
      <c r="H183" s="209" t="n"/>
    </row>
    <row r="184" ht="15.6" customHeight="1">
      <c r="A184" s="56" t="n"/>
      <c r="B184" s="61" t="n"/>
      <c r="C184" s="57" t="n"/>
      <c r="D184" s="57" t="n"/>
      <c r="E184" s="56" t="n"/>
      <c r="F184" s="57" t="n"/>
      <c r="G184" s="209" t="n"/>
      <c r="H184" s="209" t="n"/>
    </row>
    <row r="185" ht="15.6" customHeight="1">
      <c r="A185" s="56" t="n"/>
      <c r="B185" s="61" t="n"/>
      <c r="C185" s="57" t="n"/>
      <c r="D185" s="57" t="n"/>
      <c r="E185" s="56" t="n"/>
      <c r="F185" s="57" t="n"/>
      <c r="G185" s="209" t="n"/>
      <c r="H185" s="209" t="n"/>
    </row>
    <row r="186" ht="15.6" customHeight="1">
      <c r="A186" s="56" t="n"/>
      <c r="B186" s="61" t="n"/>
      <c r="C186" s="57" t="n"/>
      <c r="D186" s="57" t="n"/>
      <c r="E186" s="56" t="n"/>
      <c r="F186" s="57" t="n"/>
      <c r="G186" s="209" t="n"/>
      <c r="H186" s="209" t="n"/>
    </row>
    <row r="187" ht="15.6" customHeight="1">
      <c r="A187" s="56" t="n"/>
      <c r="B187" s="61" t="n"/>
      <c r="C187" s="57" t="n"/>
      <c r="D187" s="57" t="n"/>
      <c r="E187" s="56" t="n"/>
      <c r="F187" s="57" t="n"/>
      <c r="G187" s="209" t="n"/>
      <c r="H187" s="209" t="n"/>
    </row>
    <row r="188" ht="15.6" customHeight="1">
      <c r="A188" s="56" t="n"/>
      <c r="B188" s="61" t="n"/>
      <c r="C188" s="57" t="n"/>
      <c r="D188" s="57" t="n"/>
      <c r="E188" s="56" t="n"/>
      <c r="F188" s="57" t="n"/>
      <c r="G188" s="209" t="n"/>
      <c r="H188" s="209" t="n"/>
    </row>
    <row r="189" ht="15.6" customHeight="1">
      <c r="A189" s="56" t="n"/>
      <c r="B189" s="61" t="n"/>
      <c r="C189" s="57" t="n"/>
      <c r="D189" s="57" t="n"/>
      <c r="E189" s="56" t="n"/>
      <c r="F189" s="57" t="n"/>
      <c r="G189" s="209" t="n"/>
      <c r="H189" s="209" t="n"/>
    </row>
    <row r="190" ht="15.6" customHeight="1">
      <c r="A190" s="56" t="n"/>
      <c r="B190" s="61" t="n"/>
      <c r="C190" s="57" t="n"/>
      <c r="D190" s="57" t="n"/>
      <c r="E190" s="56" t="n"/>
      <c r="F190" s="57" t="n"/>
      <c r="G190" s="209" t="n"/>
      <c r="H190" s="209" t="n"/>
    </row>
    <row r="191" ht="15.6" customHeight="1">
      <c r="A191" s="56" t="n"/>
      <c r="B191" s="61" t="n"/>
      <c r="C191" s="57" t="n"/>
      <c r="D191" s="57" t="n"/>
      <c r="E191" s="56" t="n"/>
      <c r="F191" s="57" t="n"/>
      <c r="G191" s="209" t="n"/>
      <c r="H191" s="209" t="n"/>
    </row>
    <row r="192" ht="15.6" customHeight="1">
      <c r="A192" s="56" t="n"/>
      <c r="B192" s="61" t="n"/>
      <c r="C192" s="57" t="n"/>
      <c r="D192" s="57" t="n"/>
      <c r="E192" s="56" t="n"/>
      <c r="F192" s="57" t="n"/>
      <c r="G192" s="209" t="n"/>
      <c r="H192" s="209" t="n"/>
    </row>
    <row r="193" ht="15.6" customHeight="1">
      <c r="A193" s="56" t="n"/>
      <c r="B193" s="61" t="n"/>
      <c r="C193" s="57" t="n"/>
      <c r="D193" s="57" t="n"/>
      <c r="E193" s="56" t="n"/>
      <c r="F193" s="57" t="n"/>
      <c r="G193" s="209" t="n"/>
      <c r="H193" s="209" t="n"/>
    </row>
    <row r="194" ht="16.2" customHeight="1" thickBot="1">
      <c r="A194" s="56" t="n"/>
      <c r="B194" s="61" t="n"/>
      <c r="C194" s="57" t="n"/>
      <c r="D194" s="57" t="n"/>
      <c r="E194" s="56" t="n"/>
      <c r="F194" s="57" t="n"/>
      <c r="G194" s="209" t="n"/>
      <c r="H194" s="209" t="n"/>
    </row>
    <row r="195" ht="16.8" customHeight="1" thickBot="1" thickTop="1">
      <c r="A195" s="66" t="n"/>
      <c r="B195" s="89" t="inlineStr">
        <is>
          <t>BLOCKWORK TO SUMMARY</t>
        </is>
      </c>
      <c r="C195" s="90" t="n"/>
      <c r="D195" s="90" t="n"/>
      <c r="E195" s="66" t="n"/>
      <c r="F195" s="210" t="n"/>
      <c r="G195" s="211" t="n"/>
      <c r="H195" s="202" t="n"/>
    </row>
    <row r="196" ht="16.2" customHeight="1" thickTop="1">
      <c r="A196" s="46" t="n"/>
      <c r="B196" s="92" t="n"/>
      <c r="C196" s="46" t="n"/>
      <c r="D196" s="46" t="n"/>
      <c r="E196" s="46" t="n"/>
      <c r="F196" s="212" t="n"/>
      <c r="G196" s="213" t="n"/>
      <c r="H196" s="20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B290"/>
  <sheetViews>
    <sheetView zoomScaleNormal="100" workbookViewId="0">
      <selection activeCell="F163" sqref="F163"/>
    </sheetView>
  </sheetViews>
  <sheetFormatPr baseColWidth="8" defaultColWidth="10.09765625" defaultRowHeight="13.8"/>
  <cols>
    <col width="6" customWidth="1" style="4" min="1" max="1"/>
    <col width="52" customWidth="1" style="4" min="2" max="2"/>
    <col width="11" customWidth="1" style="4" min="3" max="4"/>
    <col width="13" customWidth="1" min="4" max="4"/>
    <col width="7" bestFit="1" customWidth="1" style="4" min="5" max="5"/>
    <col width="8" bestFit="1" customWidth="1" style="4" min="6" max="6"/>
    <col width="11" bestFit="1" customWidth="1" style="4" min="7" max="7"/>
    <col width="16" customWidth="1" style="4" min="8" max="16384"/>
    <col width="60" customWidth="1" min="9" max="9"/>
  </cols>
  <sheetData>
    <row r="1" ht="17.25" customHeight="1" thickBot="1" thickTop="1">
      <c r="A1" s="7" t="inlineStr">
        <is>
          <t>Item</t>
        </is>
      </c>
      <c r="B1" s="7" t="inlineStr">
        <is>
          <t>Description</t>
        </is>
      </c>
      <c r="C1" s="6" t="inlineStr">
        <is>
          <t>Qty</t>
        </is>
      </c>
      <c r="D1" s="154" t="inlineStr">
        <is>
          <t>Verified Qty</t>
        </is>
      </c>
      <c r="E1" s="7" t="inlineStr">
        <is>
          <t>Unit</t>
        </is>
      </c>
      <c r="F1" s="154" t="inlineStr">
        <is>
          <t>Verified Unit</t>
        </is>
      </c>
      <c r="G1" s="155" t="inlineStr">
        <is>
          <t>Rate</t>
        </is>
      </c>
      <c r="H1" s="156" t="inlineStr">
        <is>
          <t>Amount</t>
        </is>
      </c>
      <c r="I1" s="157" t="inlineStr">
        <is>
          <t>Verification remarks</t>
        </is>
      </c>
    </row>
    <row r="2" ht="32.25" customHeight="1" thickTop="1">
      <c r="A2" s="3" t="n"/>
      <c r="B2" s="1" t="inlineStr">
        <is>
          <t>PROPOSED KANESHIE BLOCK N REDEVELOPMENT</t>
        </is>
      </c>
      <c r="C2" s="2" t="n"/>
      <c r="D2" s="2" t="n"/>
      <c r="E2" s="3" t="n"/>
      <c r="F2" s="2" t="n"/>
      <c r="G2" s="158" t="n"/>
      <c r="H2" s="158" t="n"/>
    </row>
    <row r="3" ht="15.75" customHeight="1">
      <c r="A3" s="11" t="n"/>
      <c r="B3" s="10" t="inlineStr">
        <is>
          <t>SUPERSTRUCTURE</t>
        </is>
      </c>
      <c r="C3" s="12" t="n"/>
      <c r="D3" s="12" t="n"/>
      <c r="E3" s="11" t="n"/>
      <c r="F3" s="12" t="n"/>
      <c r="G3" s="159" t="n"/>
      <c r="H3" s="160" t="n"/>
    </row>
    <row r="4" ht="15.75" customHeight="1">
      <c r="A4" s="11" t="n"/>
      <c r="B4" s="10" t="n"/>
      <c r="C4" s="12" t="n"/>
      <c r="D4" s="12" t="n"/>
      <c r="E4" s="11" t="n"/>
      <c r="F4" s="12" t="n"/>
      <c r="G4" s="161" t="n"/>
      <c r="H4" s="160" t="n"/>
    </row>
    <row r="5" ht="15.75" customHeight="1">
      <c r="A5" s="3" t="n"/>
      <c r="B5" s="1" t="inlineStr">
        <is>
          <t>F10 BRICK/BLOCK WALL</t>
        </is>
      </c>
      <c r="C5" s="2" t="n"/>
      <c r="D5" s="2" t="n"/>
      <c r="E5" s="3" t="n"/>
      <c r="F5" s="2" t="n"/>
      <c r="G5" s="2" t="n"/>
      <c r="H5" s="2" t="n"/>
      <c r="I5" s="18" t="n"/>
      <c r="J5" s="18" t="n"/>
      <c r="K5" s="18" t="n"/>
      <c r="L5" s="18" t="n"/>
      <c r="M5" s="18" t="n"/>
      <c r="N5" s="18" t="n"/>
      <c r="O5" s="18" t="n"/>
      <c r="P5" s="18" t="n"/>
      <c r="Q5" s="18" t="n"/>
      <c r="R5" s="18" t="n"/>
      <c r="S5" s="18" t="n"/>
      <c r="T5" s="18" t="n"/>
      <c r="U5" s="18" t="n"/>
      <c r="V5" s="18" t="n"/>
      <c r="W5" s="18" t="n"/>
      <c r="X5" s="18" t="n"/>
      <c r="Y5" s="18" t="n"/>
      <c r="Z5" s="18" t="n"/>
      <c r="AA5" s="18" t="n"/>
      <c r="AB5" s="18" t="n"/>
      <c r="AC5" s="18" t="n"/>
      <c r="AD5" s="18" t="n"/>
      <c r="AE5" s="18" t="n"/>
      <c r="AF5" s="18" t="n"/>
      <c r="AG5" s="18" t="n"/>
      <c r="AH5" s="18" t="n"/>
      <c r="AI5" s="18" t="n"/>
      <c r="AJ5" s="18" t="n"/>
      <c r="AK5" s="18" t="n"/>
      <c r="AL5" s="18" t="n"/>
      <c r="AM5" s="18" t="n"/>
      <c r="AN5" s="18" t="n"/>
      <c r="AO5" s="18" t="n"/>
      <c r="AP5" s="18" t="n"/>
      <c r="AQ5" s="18" t="n"/>
      <c r="AR5" s="18" t="n"/>
      <c r="AS5" s="18" t="n"/>
      <c r="AT5" s="18" t="n"/>
      <c r="AU5" s="18" t="n"/>
      <c r="AV5" s="18" t="n"/>
      <c r="AW5" s="18" t="n"/>
      <c r="AX5" s="18" t="n"/>
      <c r="AY5" s="18" t="n"/>
      <c r="AZ5" s="18" t="n"/>
      <c r="BA5" s="18" t="n"/>
      <c r="BB5" s="18" t="n"/>
      <c r="BC5" s="18" t="n"/>
      <c r="BD5" s="18" t="n"/>
      <c r="BE5" s="18" t="n"/>
      <c r="BF5" s="18" t="n"/>
      <c r="BG5" s="18" t="n"/>
      <c r="BH5" s="18" t="n"/>
      <c r="BI5" s="18" t="n"/>
      <c r="BJ5" s="18" t="n"/>
      <c r="BK5" s="18" t="n"/>
      <c r="BL5" s="18" t="n"/>
      <c r="BM5" s="18" t="n"/>
      <c r="BN5" s="18" t="n"/>
      <c r="BO5" s="18" t="n"/>
      <c r="BP5" s="18" t="n"/>
      <c r="BQ5" s="18" t="n"/>
      <c r="BR5" s="18" t="n"/>
      <c r="BS5" s="18" t="n"/>
      <c r="BT5" s="18" t="n"/>
      <c r="BU5" s="18" t="n"/>
      <c r="BV5" s="18" t="n"/>
      <c r="BW5" s="18" t="n"/>
      <c r="BX5" s="18" t="n"/>
      <c r="BY5" s="18" t="n"/>
      <c r="BZ5" s="18" t="n"/>
      <c r="CA5" s="18" t="n"/>
      <c r="CB5" s="18" t="n"/>
      <c r="CC5" s="18" t="n"/>
      <c r="CD5" s="18" t="n"/>
      <c r="CE5" s="18" t="n"/>
      <c r="CF5" s="18" t="n"/>
      <c r="CG5" s="18" t="n"/>
      <c r="CH5" s="18" t="n"/>
      <c r="CI5" s="18" t="n"/>
      <c r="CJ5" s="18" t="n"/>
      <c r="CK5" s="18" t="n"/>
      <c r="CL5" s="18" t="n"/>
      <c r="CM5" s="18" t="n"/>
      <c r="CN5" s="18" t="n"/>
      <c r="CO5" s="18" t="n"/>
      <c r="CP5" s="18" t="n"/>
      <c r="CQ5" s="18" t="n"/>
      <c r="CR5" s="18" t="n"/>
      <c r="CS5" s="18" t="n"/>
      <c r="CT5" s="18" t="n"/>
      <c r="CU5" s="18" t="n"/>
      <c r="CV5" s="18" t="n"/>
      <c r="CW5" s="18" t="n"/>
      <c r="CX5" s="18" t="n"/>
      <c r="CY5" s="18" t="n"/>
      <c r="CZ5" s="18" t="n"/>
      <c r="DA5" s="18" t="n"/>
      <c r="DB5" s="18" t="n"/>
      <c r="DC5" s="18" t="n"/>
      <c r="DD5" s="18" t="n"/>
      <c r="DE5" s="18" t="n"/>
      <c r="DF5" s="18" t="n"/>
      <c r="DG5" s="18" t="n"/>
      <c r="DH5" s="18" t="n"/>
      <c r="DI5" s="18" t="n"/>
      <c r="DJ5" s="18" t="n"/>
      <c r="DK5" s="18" t="n"/>
      <c r="DL5" s="18" t="n"/>
      <c r="DM5" s="18" t="n"/>
      <c r="DN5" s="18" t="n"/>
      <c r="DO5" s="18" t="n"/>
      <c r="DP5" s="18" t="n"/>
      <c r="DQ5" s="18" t="n"/>
      <c r="DR5" s="18" t="n"/>
      <c r="DS5" s="18" t="n"/>
      <c r="DT5" s="18" t="n"/>
      <c r="DU5" s="18" t="n"/>
      <c r="DV5" s="18" t="n"/>
      <c r="DW5" s="18" t="n"/>
      <c r="DX5" s="18" t="n"/>
      <c r="DY5" s="18" t="n"/>
      <c r="DZ5" s="18" t="n"/>
      <c r="EA5" s="18" t="n"/>
      <c r="EB5" s="18" t="n"/>
      <c r="EC5" s="18" t="n"/>
      <c r="ED5" s="18" t="n"/>
      <c r="EE5" s="18" t="n"/>
      <c r="EF5" s="18" t="n"/>
      <c r="EG5" s="18" t="n"/>
      <c r="EH5" s="18" t="n"/>
      <c r="EI5" s="18" t="n"/>
      <c r="EJ5" s="18" t="n"/>
      <c r="EK5" s="18" t="n"/>
      <c r="EL5" s="18" t="n"/>
      <c r="EM5" s="18" t="n"/>
      <c r="EN5" s="18" t="n"/>
      <c r="EO5" s="18" t="n"/>
      <c r="EP5" s="18" t="n"/>
      <c r="EQ5" s="18" t="n"/>
      <c r="ER5" s="18" t="n"/>
      <c r="ES5" s="18" t="n"/>
      <c r="ET5" s="18" t="n"/>
      <c r="EU5" s="18" t="n"/>
      <c r="EV5" s="18" t="n"/>
      <c r="EW5" s="18" t="n"/>
      <c r="EX5" s="18" t="n"/>
      <c r="EY5" s="18" t="n"/>
      <c r="EZ5" s="18" t="n"/>
      <c r="FA5" s="18" t="n"/>
      <c r="FB5" s="18" t="n"/>
      <c r="FC5" s="18" t="n"/>
      <c r="FD5" s="18" t="n"/>
      <c r="FE5" s="18" t="n"/>
      <c r="FF5" s="18" t="n"/>
      <c r="FG5" s="18" t="n"/>
      <c r="FH5" s="18" t="n"/>
      <c r="FI5" s="18" t="n"/>
      <c r="FJ5" s="18" t="n"/>
      <c r="FK5" s="18" t="n"/>
      <c r="FL5" s="18" t="n"/>
      <c r="FM5" s="18" t="n"/>
      <c r="FN5" s="18" t="n"/>
      <c r="FO5" s="18" t="n"/>
      <c r="FP5" s="18" t="n"/>
      <c r="FQ5" s="18" t="n"/>
      <c r="FR5" s="18" t="n"/>
      <c r="FS5" s="18" t="n"/>
      <c r="FT5" s="18" t="n"/>
      <c r="FU5" s="18" t="n"/>
      <c r="FV5" s="18" t="n"/>
      <c r="FW5" s="18" t="n"/>
      <c r="FX5" s="18" t="n"/>
      <c r="FY5" s="18" t="n"/>
      <c r="FZ5" s="18" t="n"/>
      <c r="GA5" s="18" t="n"/>
      <c r="GB5" s="18" t="n"/>
      <c r="GC5" s="18" t="n"/>
      <c r="GD5" s="18" t="n"/>
      <c r="GE5" s="18" t="n"/>
      <c r="GF5" s="18" t="n"/>
      <c r="GG5" s="18" t="n"/>
      <c r="GH5" s="18" t="n"/>
      <c r="GI5" s="18" t="n"/>
      <c r="GJ5" s="18" t="n"/>
      <c r="GK5" s="18" t="n"/>
      <c r="GL5" s="18" t="n"/>
      <c r="GM5" s="18" t="n"/>
      <c r="GN5" s="18" t="n"/>
      <c r="GO5" s="18" t="n"/>
      <c r="GP5" s="18" t="n"/>
      <c r="GQ5" s="18" t="n"/>
      <c r="GR5" s="18" t="n"/>
      <c r="GS5" s="18" t="n"/>
      <c r="GT5" s="18" t="n"/>
      <c r="GU5" s="18" t="n"/>
      <c r="GV5" s="18" t="n"/>
      <c r="GW5" s="18" t="n"/>
      <c r="GX5" s="18" t="n"/>
      <c r="GY5" s="18" t="n"/>
      <c r="GZ5" s="18" t="n"/>
      <c r="HA5" s="18" t="n"/>
      <c r="HB5" s="18" t="n"/>
    </row>
    <row r="6" ht="15.75" customHeight="1">
      <c r="A6" s="11" t="n"/>
      <c r="B6" s="10" t="inlineStr">
        <is>
          <t>Blockwork</t>
        </is>
      </c>
      <c r="C6" s="12" t="n"/>
      <c r="D6" s="12" t="n"/>
      <c r="E6" s="11" t="n"/>
      <c r="F6" s="12" t="n"/>
      <c r="G6" s="13" t="n"/>
      <c r="H6" s="13" t="n"/>
      <c r="I6" s="18" t="n"/>
      <c r="J6" s="18" t="n"/>
      <c r="K6" s="18" t="n"/>
      <c r="L6" s="18" t="n"/>
      <c r="M6" s="18" t="n"/>
      <c r="N6" s="18" t="n"/>
      <c r="O6" s="18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8" t="n"/>
      <c r="Z6" s="18" t="n"/>
      <c r="AA6" s="18" t="n"/>
      <c r="AB6" s="18" t="n"/>
      <c r="AC6" s="18" t="n"/>
      <c r="AD6" s="18" t="n"/>
      <c r="AE6" s="18" t="n"/>
      <c r="AF6" s="18" t="n"/>
      <c r="AG6" s="18" t="n"/>
      <c r="AH6" s="18" t="n"/>
      <c r="AI6" s="18" t="n"/>
      <c r="AJ6" s="18" t="n"/>
      <c r="AK6" s="18" t="n"/>
      <c r="AL6" s="18" t="n"/>
      <c r="AM6" s="18" t="n"/>
      <c r="AN6" s="18" t="n"/>
      <c r="AO6" s="18" t="n"/>
      <c r="AP6" s="18" t="n"/>
      <c r="AQ6" s="18" t="n"/>
      <c r="AR6" s="18" t="n"/>
      <c r="AS6" s="18" t="n"/>
      <c r="AT6" s="18" t="n"/>
      <c r="AU6" s="18" t="n"/>
      <c r="AV6" s="18" t="n"/>
      <c r="AW6" s="18" t="n"/>
      <c r="AX6" s="18" t="n"/>
      <c r="AY6" s="18" t="n"/>
      <c r="AZ6" s="18" t="n"/>
      <c r="BA6" s="18" t="n"/>
      <c r="BB6" s="18" t="n"/>
      <c r="BC6" s="18" t="n"/>
      <c r="BD6" s="18" t="n"/>
      <c r="BE6" s="18" t="n"/>
      <c r="BF6" s="18" t="n"/>
      <c r="BG6" s="18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18" t="n"/>
      <c r="BQ6" s="18" t="n"/>
      <c r="BR6" s="18" t="n"/>
      <c r="BS6" s="18" t="n"/>
      <c r="BT6" s="18" t="n"/>
      <c r="BU6" s="18" t="n"/>
      <c r="BV6" s="18" t="n"/>
      <c r="BW6" s="18" t="n"/>
      <c r="BX6" s="18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18" t="n"/>
      <c r="CH6" s="18" t="n"/>
      <c r="CI6" s="18" t="n"/>
      <c r="CJ6" s="18" t="n"/>
      <c r="CK6" s="18" t="n"/>
      <c r="CL6" s="18" t="n"/>
      <c r="CM6" s="18" t="n"/>
      <c r="CN6" s="18" t="n"/>
      <c r="CO6" s="18" t="n"/>
      <c r="CP6" s="18" t="n"/>
      <c r="CQ6" s="18" t="n"/>
      <c r="CR6" s="18" t="n"/>
      <c r="CS6" s="18" t="n"/>
      <c r="CT6" s="18" t="n"/>
      <c r="CU6" s="18" t="n"/>
      <c r="CV6" s="18" t="n"/>
      <c r="CW6" s="18" t="n"/>
      <c r="CX6" s="18" t="n"/>
      <c r="CY6" s="18" t="n"/>
      <c r="CZ6" s="18" t="n"/>
      <c r="DA6" s="18" t="n"/>
      <c r="DB6" s="18" t="n"/>
      <c r="DC6" s="18" t="n"/>
      <c r="DD6" s="18" t="n"/>
      <c r="DE6" s="18" t="n"/>
      <c r="DF6" s="18" t="n"/>
      <c r="DG6" s="18" t="n"/>
      <c r="DH6" s="18" t="n"/>
      <c r="DI6" s="18" t="n"/>
      <c r="DJ6" s="18" t="n"/>
      <c r="DK6" s="18" t="n"/>
      <c r="DL6" s="18" t="n"/>
      <c r="DM6" s="18" t="n"/>
      <c r="DN6" s="18" t="n"/>
      <c r="DO6" s="18" t="n"/>
      <c r="DP6" s="18" t="n"/>
      <c r="DQ6" s="18" t="n"/>
      <c r="DR6" s="18" t="n"/>
      <c r="DS6" s="18" t="n"/>
      <c r="DT6" s="18" t="n"/>
      <c r="DU6" s="18" t="n"/>
      <c r="DV6" s="18" t="n"/>
      <c r="DW6" s="18" t="n"/>
      <c r="DX6" s="18" t="n"/>
      <c r="DY6" s="18" t="n"/>
      <c r="DZ6" s="18" t="n"/>
      <c r="EA6" s="18" t="n"/>
      <c r="EB6" s="18" t="n"/>
      <c r="EC6" s="18" t="n"/>
      <c r="ED6" s="18" t="n"/>
      <c r="EE6" s="18" t="n"/>
      <c r="EF6" s="18" t="n"/>
      <c r="EG6" s="18" t="n"/>
      <c r="EH6" s="18" t="n"/>
      <c r="EI6" s="18" t="n"/>
      <c r="EJ6" s="18" t="n"/>
      <c r="EK6" s="18" t="n"/>
      <c r="EL6" s="18" t="n"/>
      <c r="EM6" s="18" t="n"/>
      <c r="EN6" s="18" t="n"/>
      <c r="EO6" s="18" t="n"/>
      <c r="EP6" s="18" t="n"/>
      <c r="EQ6" s="18" t="n"/>
      <c r="ER6" s="18" t="n"/>
      <c r="ES6" s="18" t="n"/>
      <c r="ET6" s="18" t="n"/>
      <c r="EU6" s="18" t="n"/>
      <c r="EV6" s="18" t="n"/>
      <c r="EW6" s="18" t="n"/>
      <c r="EX6" s="18" t="n"/>
      <c r="EY6" s="18" t="n"/>
      <c r="EZ6" s="18" t="n"/>
      <c r="FA6" s="18" t="n"/>
      <c r="FB6" s="18" t="n"/>
      <c r="FC6" s="18" t="n"/>
      <c r="FD6" s="18" t="n"/>
      <c r="FE6" s="18" t="n"/>
      <c r="FF6" s="18" t="n"/>
      <c r="FG6" s="18" t="n"/>
      <c r="FH6" s="18" t="n"/>
      <c r="FI6" s="18" t="n"/>
      <c r="FJ6" s="18" t="n"/>
      <c r="FK6" s="18" t="n"/>
      <c r="FL6" s="18" t="n"/>
      <c r="FM6" s="18" t="n"/>
      <c r="FN6" s="18" t="n"/>
      <c r="FO6" s="18" t="n"/>
      <c r="FP6" s="18" t="n"/>
      <c r="FQ6" s="18" t="n"/>
      <c r="FR6" s="18" t="n"/>
      <c r="FS6" s="18" t="n"/>
      <c r="FT6" s="18" t="n"/>
      <c r="FU6" s="18" t="n"/>
      <c r="FV6" s="18" t="n"/>
      <c r="FW6" s="18" t="n"/>
      <c r="FX6" s="18" t="n"/>
      <c r="FY6" s="18" t="n"/>
      <c r="FZ6" s="18" t="n"/>
      <c r="GA6" s="18" t="n"/>
      <c r="GB6" s="18" t="n"/>
      <c r="GC6" s="18" t="n"/>
      <c r="GD6" s="18" t="n"/>
      <c r="GE6" s="18" t="n"/>
      <c r="GF6" s="18" t="n"/>
      <c r="GG6" s="18" t="n"/>
      <c r="GH6" s="18" t="n"/>
      <c r="GI6" s="18" t="n"/>
      <c r="GJ6" s="18" t="n"/>
      <c r="GK6" s="18" t="n"/>
      <c r="GL6" s="18" t="n"/>
      <c r="GM6" s="18" t="n"/>
      <c r="GN6" s="18" t="n"/>
      <c r="GO6" s="18" t="n"/>
      <c r="GP6" s="18" t="n"/>
      <c r="GQ6" s="18" t="n"/>
      <c r="GR6" s="18" t="n"/>
      <c r="GS6" s="18" t="n"/>
      <c r="GT6" s="18" t="n"/>
      <c r="GU6" s="18" t="n"/>
      <c r="GV6" s="18" t="n"/>
      <c r="GW6" s="18" t="n"/>
      <c r="GX6" s="18" t="n"/>
      <c r="GY6" s="18" t="n"/>
      <c r="GZ6" s="18" t="n"/>
      <c r="HA6" s="18" t="n"/>
      <c r="HB6" s="18" t="n"/>
    </row>
    <row r="7" ht="15.75" customHeight="1">
      <c r="A7" s="11" t="n"/>
      <c r="B7" s="15" t="inlineStr">
        <is>
          <t>Walls and Partitions</t>
        </is>
      </c>
      <c r="C7" s="12" t="n"/>
      <c r="D7" s="12" t="n"/>
      <c r="E7" s="11" t="n"/>
      <c r="F7" s="12" t="n"/>
      <c r="G7" s="13" t="n"/>
      <c r="H7" s="13" t="n"/>
      <c r="I7" s="18" t="n"/>
      <c r="J7" s="18" t="n"/>
      <c r="K7" s="18" t="n"/>
      <c r="L7" s="18" t="n"/>
      <c r="M7" s="18" t="n"/>
      <c r="N7" s="18" t="n"/>
      <c r="O7" s="18" t="n"/>
      <c r="P7" s="18" t="n"/>
      <c r="Q7" s="18" t="n"/>
      <c r="R7" s="18" t="n"/>
      <c r="S7" s="18" t="n"/>
      <c r="T7" s="18" t="n"/>
      <c r="U7" s="18" t="n"/>
      <c r="V7" s="18" t="n"/>
      <c r="W7" s="18" t="n"/>
      <c r="X7" s="18" t="n"/>
      <c r="Y7" s="18" t="n"/>
      <c r="Z7" s="18" t="n"/>
      <c r="AA7" s="18" t="n"/>
      <c r="AB7" s="18" t="n"/>
      <c r="AC7" s="18" t="n"/>
      <c r="AD7" s="18" t="n"/>
      <c r="AE7" s="18" t="n"/>
      <c r="AF7" s="18" t="n"/>
      <c r="AG7" s="18" t="n"/>
      <c r="AH7" s="18" t="n"/>
      <c r="AI7" s="18" t="n"/>
      <c r="AJ7" s="18" t="n"/>
      <c r="AK7" s="18" t="n"/>
      <c r="AL7" s="18" t="n"/>
      <c r="AM7" s="18" t="n"/>
      <c r="AN7" s="18" t="n"/>
      <c r="AO7" s="18" t="n"/>
      <c r="AP7" s="18" t="n"/>
      <c r="AQ7" s="18" t="n"/>
      <c r="AR7" s="18" t="n"/>
      <c r="AS7" s="18" t="n"/>
      <c r="AT7" s="18" t="n"/>
      <c r="AU7" s="18" t="n"/>
      <c r="AV7" s="18" t="n"/>
      <c r="AW7" s="18" t="n"/>
      <c r="AX7" s="18" t="n"/>
      <c r="AY7" s="18" t="n"/>
      <c r="AZ7" s="18" t="n"/>
      <c r="BA7" s="18" t="n"/>
      <c r="BB7" s="18" t="n"/>
      <c r="BC7" s="18" t="n"/>
      <c r="BD7" s="18" t="n"/>
      <c r="BE7" s="18" t="n"/>
      <c r="BF7" s="18" t="n"/>
      <c r="BG7" s="18" t="n"/>
      <c r="BH7" s="18" t="n"/>
      <c r="BI7" s="18" t="n"/>
      <c r="BJ7" s="18" t="n"/>
      <c r="BK7" s="18" t="n"/>
      <c r="BL7" s="18" t="n"/>
      <c r="BM7" s="18" t="n"/>
      <c r="BN7" s="18" t="n"/>
      <c r="BO7" s="18" t="n"/>
      <c r="BP7" s="18" t="n"/>
      <c r="BQ7" s="18" t="n"/>
      <c r="BR7" s="18" t="n"/>
      <c r="BS7" s="18" t="n"/>
      <c r="BT7" s="18" t="n"/>
      <c r="BU7" s="18" t="n"/>
      <c r="BV7" s="18" t="n"/>
      <c r="BW7" s="18" t="n"/>
      <c r="BX7" s="18" t="n"/>
      <c r="BY7" s="18" t="n"/>
      <c r="BZ7" s="18" t="n"/>
      <c r="CA7" s="18" t="n"/>
      <c r="CB7" s="18" t="n"/>
      <c r="CC7" s="18" t="n"/>
      <c r="CD7" s="18" t="n"/>
      <c r="CE7" s="18" t="n"/>
      <c r="CF7" s="18" t="n"/>
      <c r="CG7" s="18" t="n"/>
      <c r="CH7" s="18" t="n"/>
      <c r="CI7" s="18" t="n"/>
      <c r="CJ7" s="18" t="n"/>
      <c r="CK7" s="18" t="n"/>
      <c r="CL7" s="18" t="n"/>
      <c r="CM7" s="18" t="n"/>
      <c r="CN7" s="18" t="n"/>
      <c r="CO7" s="18" t="n"/>
      <c r="CP7" s="18" t="n"/>
      <c r="CQ7" s="18" t="n"/>
      <c r="CR7" s="18" t="n"/>
      <c r="CS7" s="18" t="n"/>
      <c r="CT7" s="18" t="n"/>
      <c r="CU7" s="18" t="n"/>
      <c r="CV7" s="18" t="n"/>
      <c r="CW7" s="18" t="n"/>
      <c r="CX7" s="18" t="n"/>
      <c r="CY7" s="18" t="n"/>
      <c r="CZ7" s="18" t="n"/>
      <c r="DA7" s="18" t="n"/>
      <c r="DB7" s="18" t="n"/>
      <c r="DC7" s="18" t="n"/>
      <c r="DD7" s="18" t="n"/>
      <c r="DE7" s="18" t="n"/>
      <c r="DF7" s="18" t="n"/>
      <c r="DG7" s="18" t="n"/>
      <c r="DH7" s="18" t="n"/>
      <c r="DI7" s="18" t="n"/>
      <c r="DJ7" s="18" t="n"/>
      <c r="DK7" s="18" t="n"/>
      <c r="DL7" s="18" t="n"/>
      <c r="DM7" s="18" t="n"/>
      <c r="DN7" s="18" t="n"/>
      <c r="DO7" s="18" t="n"/>
      <c r="DP7" s="18" t="n"/>
      <c r="DQ7" s="18" t="n"/>
      <c r="DR7" s="18" t="n"/>
      <c r="DS7" s="18" t="n"/>
      <c r="DT7" s="18" t="n"/>
      <c r="DU7" s="18" t="n"/>
      <c r="DV7" s="18" t="n"/>
      <c r="DW7" s="18" t="n"/>
      <c r="DX7" s="18" t="n"/>
      <c r="DY7" s="18" t="n"/>
      <c r="DZ7" s="18" t="n"/>
      <c r="EA7" s="18" t="n"/>
      <c r="EB7" s="18" t="n"/>
      <c r="EC7" s="18" t="n"/>
      <c r="ED7" s="18" t="n"/>
      <c r="EE7" s="18" t="n"/>
      <c r="EF7" s="18" t="n"/>
      <c r="EG7" s="18" t="n"/>
      <c r="EH7" s="18" t="n"/>
      <c r="EI7" s="18" t="n"/>
      <c r="EJ7" s="18" t="n"/>
      <c r="EK7" s="18" t="n"/>
      <c r="EL7" s="18" t="n"/>
      <c r="EM7" s="18" t="n"/>
      <c r="EN7" s="18" t="n"/>
      <c r="EO7" s="18" t="n"/>
      <c r="EP7" s="18" t="n"/>
      <c r="EQ7" s="18" t="n"/>
      <c r="ER7" s="18" t="n"/>
      <c r="ES7" s="18" t="n"/>
      <c r="ET7" s="18" t="n"/>
      <c r="EU7" s="18" t="n"/>
      <c r="EV7" s="18" t="n"/>
      <c r="EW7" s="18" t="n"/>
      <c r="EX7" s="18" t="n"/>
      <c r="EY7" s="18" t="n"/>
      <c r="EZ7" s="18" t="n"/>
      <c r="FA7" s="18" t="n"/>
      <c r="FB7" s="18" t="n"/>
      <c r="FC7" s="18" t="n"/>
      <c r="FD7" s="18" t="n"/>
      <c r="FE7" s="18" t="n"/>
      <c r="FF7" s="18" t="n"/>
      <c r="FG7" s="18" t="n"/>
      <c r="FH7" s="18" t="n"/>
      <c r="FI7" s="18" t="n"/>
      <c r="FJ7" s="18" t="n"/>
      <c r="FK7" s="18" t="n"/>
      <c r="FL7" s="18" t="n"/>
      <c r="FM7" s="18" t="n"/>
      <c r="FN7" s="18" t="n"/>
      <c r="FO7" s="18" t="n"/>
      <c r="FP7" s="18" t="n"/>
      <c r="FQ7" s="18" t="n"/>
      <c r="FR7" s="18" t="n"/>
      <c r="FS7" s="18" t="n"/>
      <c r="FT7" s="18" t="n"/>
      <c r="FU7" s="18" t="n"/>
      <c r="FV7" s="18" t="n"/>
      <c r="FW7" s="18" t="n"/>
      <c r="FX7" s="18" t="n"/>
      <c r="FY7" s="18" t="n"/>
      <c r="FZ7" s="18" t="n"/>
      <c r="GA7" s="18" t="n"/>
      <c r="GB7" s="18" t="n"/>
      <c r="GC7" s="18" t="n"/>
      <c r="GD7" s="18" t="n"/>
      <c r="GE7" s="18" t="n"/>
      <c r="GF7" s="18" t="n"/>
      <c r="GG7" s="18" t="n"/>
      <c r="GH7" s="18" t="n"/>
      <c r="GI7" s="18" t="n"/>
      <c r="GJ7" s="18" t="n"/>
      <c r="GK7" s="18" t="n"/>
      <c r="GL7" s="18" t="n"/>
      <c r="GM7" s="18" t="n"/>
      <c r="GN7" s="18" t="n"/>
      <c r="GO7" s="18" t="n"/>
      <c r="GP7" s="18" t="n"/>
      <c r="GQ7" s="18" t="n"/>
      <c r="GR7" s="18" t="n"/>
      <c r="GS7" s="18" t="n"/>
      <c r="GT7" s="18" t="n"/>
      <c r="GU7" s="18" t="n"/>
      <c r="GV7" s="18" t="n"/>
      <c r="GW7" s="18" t="n"/>
      <c r="GX7" s="18" t="n"/>
      <c r="GY7" s="18" t="n"/>
      <c r="GZ7" s="18" t="n"/>
      <c r="HA7" s="18" t="n"/>
      <c r="HB7" s="18" t="n"/>
    </row>
    <row r="8" ht="15.75" customHeight="1">
      <c r="A8" s="11" t="n"/>
      <c r="B8" s="15" t="n"/>
      <c r="C8" s="12" t="n"/>
      <c r="D8" s="12" t="n"/>
      <c r="E8" s="11" t="n"/>
      <c r="F8" s="12" t="n"/>
      <c r="G8" s="13" t="n"/>
      <c r="H8" s="13" t="n"/>
      <c r="I8" s="18" t="n"/>
      <c r="J8" s="18" t="n"/>
      <c r="K8" s="18" t="n"/>
      <c r="L8" s="18" t="n"/>
      <c r="M8" s="18" t="n"/>
      <c r="N8" s="18" t="n"/>
      <c r="O8" s="18" t="n"/>
      <c r="P8" s="18" t="n"/>
      <c r="Q8" s="18" t="n"/>
      <c r="R8" s="18" t="n"/>
      <c r="S8" s="18" t="n"/>
      <c r="T8" s="18" t="n"/>
      <c r="U8" s="18" t="n"/>
      <c r="V8" s="18" t="n"/>
      <c r="W8" s="18" t="n"/>
      <c r="X8" s="18" t="n"/>
      <c r="Y8" s="18" t="n"/>
      <c r="Z8" s="18" t="n"/>
      <c r="AA8" s="18" t="n"/>
      <c r="AB8" s="18" t="n"/>
      <c r="AC8" s="18" t="n"/>
      <c r="AD8" s="18" t="n"/>
      <c r="AE8" s="18" t="n"/>
      <c r="AF8" s="18" t="n"/>
      <c r="AG8" s="18" t="n"/>
      <c r="AH8" s="18" t="n"/>
      <c r="AI8" s="18" t="n"/>
      <c r="AJ8" s="18" t="n"/>
      <c r="AK8" s="18" t="n"/>
      <c r="AL8" s="18" t="n"/>
      <c r="AM8" s="18" t="n"/>
      <c r="AN8" s="18" t="n"/>
      <c r="AO8" s="18" t="n"/>
      <c r="AP8" s="18" t="n"/>
      <c r="AQ8" s="18" t="n"/>
      <c r="AR8" s="18" t="n"/>
      <c r="AS8" s="18" t="n"/>
      <c r="AT8" s="18" t="n"/>
      <c r="AU8" s="18" t="n"/>
      <c r="AV8" s="18" t="n"/>
      <c r="AW8" s="18" t="n"/>
      <c r="AX8" s="18" t="n"/>
      <c r="AY8" s="18" t="n"/>
      <c r="AZ8" s="18" t="n"/>
      <c r="BA8" s="18" t="n"/>
      <c r="BB8" s="18" t="n"/>
      <c r="BC8" s="18" t="n"/>
      <c r="BD8" s="18" t="n"/>
      <c r="BE8" s="18" t="n"/>
      <c r="BF8" s="18" t="n"/>
      <c r="BG8" s="18" t="n"/>
      <c r="BH8" s="18" t="n"/>
      <c r="BI8" s="18" t="n"/>
      <c r="BJ8" s="18" t="n"/>
      <c r="BK8" s="18" t="n"/>
      <c r="BL8" s="18" t="n"/>
      <c r="BM8" s="18" t="n"/>
      <c r="BN8" s="18" t="n"/>
      <c r="BO8" s="18" t="n"/>
      <c r="BP8" s="18" t="n"/>
      <c r="BQ8" s="18" t="n"/>
      <c r="BR8" s="18" t="n"/>
      <c r="BS8" s="18" t="n"/>
      <c r="BT8" s="18" t="n"/>
      <c r="BU8" s="18" t="n"/>
      <c r="BV8" s="18" t="n"/>
      <c r="BW8" s="18" t="n"/>
      <c r="BX8" s="18" t="n"/>
      <c r="BY8" s="18" t="n"/>
      <c r="BZ8" s="18" t="n"/>
      <c r="CA8" s="18" t="n"/>
      <c r="CB8" s="18" t="n"/>
      <c r="CC8" s="18" t="n"/>
      <c r="CD8" s="18" t="n"/>
      <c r="CE8" s="18" t="n"/>
      <c r="CF8" s="18" t="n"/>
      <c r="CG8" s="18" t="n"/>
      <c r="CH8" s="18" t="n"/>
      <c r="CI8" s="18" t="n"/>
      <c r="CJ8" s="18" t="n"/>
      <c r="CK8" s="18" t="n"/>
      <c r="CL8" s="18" t="n"/>
      <c r="CM8" s="18" t="n"/>
      <c r="CN8" s="18" t="n"/>
      <c r="CO8" s="18" t="n"/>
      <c r="CP8" s="18" t="n"/>
      <c r="CQ8" s="18" t="n"/>
      <c r="CR8" s="18" t="n"/>
      <c r="CS8" s="18" t="n"/>
      <c r="CT8" s="18" t="n"/>
      <c r="CU8" s="18" t="n"/>
      <c r="CV8" s="18" t="n"/>
      <c r="CW8" s="18" t="n"/>
      <c r="CX8" s="18" t="n"/>
      <c r="CY8" s="18" t="n"/>
      <c r="CZ8" s="18" t="n"/>
      <c r="DA8" s="18" t="n"/>
      <c r="DB8" s="18" t="n"/>
      <c r="DC8" s="18" t="n"/>
      <c r="DD8" s="18" t="n"/>
      <c r="DE8" s="18" t="n"/>
      <c r="DF8" s="18" t="n"/>
      <c r="DG8" s="18" t="n"/>
      <c r="DH8" s="18" t="n"/>
      <c r="DI8" s="18" t="n"/>
      <c r="DJ8" s="18" t="n"/>
      <c r="DK8" s="18" t="n"/>
      <c r="DL8" s="18" t="n"/>
      <c r="DM8" s="18" t="n"/>
      <c r="DN8" s="18" t="n"/>
      <c r="DO8" s="18" t="n"/>
      <c r="DP8" s="18" t="n"/>
      <c r="DQ8" s="18" t="n"/>
      <c r="DR8" s="18" t="n"/>
      <c r="DS8" s="18" t="n"/>
      <c r="DT8" s="18" t="n"/>
      <c r="DU8" s="18" t="n"/>
      <c r="DV8" s="18" t="n"/>
      <c r="DW8" s="18" t="n"/>
      <c r="DX8" s="18" t="n"/>
      <c r="DY8" s="18" t="n"/>
      <c r="DZ8" s="18" t="n"/>
      <c r="EA8" s="18" t="n"/>
      <c r="EB8" s="18" t="n"/>
      <c r="EC8" s="18" t="n"/>
      <c r="ED8" s="18" t="n"/>
      <c r="EE8" s="18" t="n"/>
      <c r="EF8" s="18" t="n"/>
      <c r="EG8" s="18" t="n"/>
      <c r="EH8" s="18" t="n"/>
      <c r="EI8" s="18" t="n"/>
      <c r="EJ8" s="18" t="n"/>
      <c r="EK8" s="18" t="n"/>
      <c r="EL8" s="18" t="n"/>
      <c r="EM8" s="18" t="n"/>
      <c r="EN8" s="18" t="n"/>
      <c r="EO8" s="18" t="n"/>
      <c r="EP8" s="18" t="n"/>
      <c r="EQ8" s="18" t="n"/>
      <c r="ER8" s="18" t="n"/>
      <c r="ES8" s="18" t="n"/>
      <c r="ET8" s="18" t="n"/>
      <c r="EU8" s="18" t="n"/>
      <c r="EV8" s="18" t="n"/>
      <c r="EW8" s="18" t="n"/>
      <c r="EX8" s="18" t="n"/>
      <c r="EY8" s="18" t="n"/>
      <c r="EZ8" s="18" t="n"/>
      <c r="FA8" s="18" t="n"/>
      <c r="FB8" s="18" t="n"/>
      <c r="FC8" s="18" t="n"/>
      <c r="FD8" s="18" t="n"/>
      <c r="FE8" s="18" t="n"/>
      <c r="FF8" s="18" t="n"/>
      <c r="FG8" s="18" t="n"/>
      <c r="FH8" s="18" t="n"/>
      <c r="FI8" s="18" t="n"/>
      <c r="FJ8" s="18" t="n"/>
      <c r="FK8" s="18" t="n"/>
      <c r="FL8" s="18" t="n"/>
      <c r="FM8" s="18" t="n"/>
      <c r="FN8" s="18" t="n"/>
      <c r="FO8" s="18" t="n"/>
      <c r="FP8" s="18" t="n"/>
      <c r="FQ8" s="18" t="n"/>
      <c r="FR8" s="18" t="n"/>
      <c r="FS8" s="18" t="n"/>
      <c r="FT8" s="18" t="n"/>
      <c r="FU8" s="18" t="n"/>
      <c r="FV8" s="18" t="n"/>
      <c r="FW8" s="18" t="n"/>
      <c r="FX8" s="18" t="n"/>
      <c r="FY8" s="18" t="n"/>
      <c r="FZ8" s="18" t="n"/>
      <c r="GA8" s="18" t="n"/>
      <c r="GB8" s="18" t="n"/>
      <c r="GC8" s="18" t="n"/>
      <c r="GD8" s="18" t="n"/>
      <c r="GE8" s="18" t="n"/>
      <c r="GF8" s="18" t="n"/>
      <c r="GG8" s="18" t="n"/>
      <c r="GH8" s="18" t="n"/>
      <c r="GI8" s="18" t="n"/>
      <c r="GJ8" s="18" t="n"/>
      <c r="GK8" s="18" t="n"/>
      <c r="GL8" s="18" t="n"/>
      <c r="GM8" s="18" t="n"/>
      <c r="GN8" s="18" t="n"/>
      <c r="GO8" s="18" t="n"/>
      <c r="GP8" s="18" t="n"/>
      <c r="GQ8" s="18" t="n"/>
      <c r="GR8" s="18" t="n"/>
      <c r="GS8" s="18" t="n"/>
      <c r="GT8" s="18" t="n"/>
      <c r="GU8" s="18" t="n"/>
      <c r="GV8" s="18" t="n"/>
      <c r="GW8" s="18" t="n"/>
      <c r="GX8" s="18" t="n"/>
      <c r="GY8" s="18" t="n"/>
      <c r="GZ8" s="18" t="n"/>
      <c r="HA8" s="18" t="n"/>
      <c r="HB8" s="18" t="n"/>
    </row>
    <row r="9" ht="15.75" customHeight="1">
      <c r="A9" s="11" t="n"/>
      <c r="B9" s="15" t="inlineStr">
        <is>
          <t>Solid sancrete blockwork in Cement and Sand</t>
        </is>
      </c>
      <c r="C9" s="12" t="n"/>
      <c r="D9" s="12" t="n"/>
      <c r="E9" s="11" t="n"/>
      <c r="F9" s="12" t="n"/>
      <c r="G9" s="150" t="n"/>
      <c r="H9" s="13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  <c r="AF9" s="18" t="n"/>
      <c r="AG9" s="18" t="n"/>
      <c r="AH9" s="18" t="n"/>
      <c r="AI9" s="18" t="n"/>
      <c r="AJ9" s="18" t="n"/>
      <c r="AK9" s="18" t="n"/>
      <c r="AL9" s="18" t="n"/>
      <c r="AM9" s="18" t="n"/>
      <c r="AN9" s="18" t="n"/>
      <c r="AO9" s="18" t="n"/>
      <c r="AP9" s="18" t="n"/>
      <c r="AQ9" s="18" t="n"/>
      <c r="AR9" s="18" t="n"/>
      <c r="AS9" s="18" t="n"/>
      <c r="AT9" s="18" t="n"/>
      <c r="AU9" s="18" t="n"/>
      <c r="AV9" s="18" t="n"/>
      <c r="AW9" s="18" t="n"/>
      <c r="AX9" s="18" t="n"/>
      <c r="AY9" s="18" t="n"/>
      <c r="AZ9" s="18" t="n"/>
      <c r="BA9" s="18" t="n"/>
      <c r="BB9" s="18" t="n"/>
      <c r="BC9" s="18" t="n"/>
      <c r="BD9" s="18" t="n"/>
      <c r="BE9" s="18" t="n"/>
      <c r="BF9" s="18" t="n"/>
      <c r="BG9" s="18" t="n"/>
      <c r="BH9" s="18" t="n"/>
      <c r="BI9" s="18" t="n"/>
      <c r="BJ9" s="18" t="n"/>
      <c r="BK9" s="18" t="n"/>
      <c r="BL9" s="18" t="n"/>
      <c r="BM9" s="18" t="n"/>
      <c r="BN9" s="18" t="n"/>
      <c r="BO9" s="18" t="n"/>
      <c r="BP9" s="18" t="n"/>
      <c r="BQ9" s="18" t="n"/>
      <c r="BR9" s="18" t="n"/>
      <c r="BS9" s="18" t="n"/>
      <c r="BT9" s="18" t="n"/>
      <c r="BU9" s="18" t="n"/>
      <c r="BV9" s="18" t="n"/>
      <c r="BW9" s="18" t="n"/>
      <c r="BX9" s="18" t="n"/>
      <c r="BY9" s="18" t="n"/>
      <c r="BZ9" s="18" t="n"/>
      <c r="CA9" s="18" t="n"/>
      <c r="CB9" s="18" t="n"/>
      <c r="CC9" s="18" t="n"/>
      <c r="CD9" s="18" t="n"/>
      <c r="CE9" s="18" t="n"/>
      <c r="CF9" s="18" t="n"/>
      <c r="CG9" s="18" t="n"/>
      <c r="CH9" s="18" t="n"/>
      <c r="CI9" s="18" t="n"/>
      <c r="CJ9" s="18" t="n"/>
      <c r="CK9" s="18" t="n"/>
      <c r="CL9" s="18" t="n"/>
      <c r="CM9" s="18" t="n"/>
      <c r="CN9" s="18" t="n"/>
      <c r="CO9" s="18" t="n"/>
      <c r="CP9" s="18" t="n"/>
      <c r="CQ9" s="18" t="n"/>
      <c r="CR9" s="18" t="n"/>
      <c r="CS9" s="18" t="n"/>
      <c r="CT9" s="18" t="n"/>
      <c r="CU9" s="18" t="n"/>
      <c r="CV9" s="18" t="n"/>
      <c r="CW9" s="18" t="n"/>
      <c r="CX9" s="18" t="n"/>
      <c r="CY9" s="18" t="n"/>
      <c r="CZ9" s="18" t="n"/>
      <c r="DA9" s="18" t="n"/>
      <c r="DB9" s="18" t="n"/>
      <c r="DC9" s="18" t="n"/>
      <c r="DD9" s="18" t="n"/>
      <c r="DE9" s="18" t="n"/>
      <c r="DF9" s="18" t="n"/>
      <c r="DG9" s="18" t="n"/>
      <c r="DH9" s="18" t="n"/>
      <c r="DI9" s="18" t="n"/>
      <c r="DJ9" s="18" t="n"/>
      <c r="DK9" s="18" t="n"/>
      <c r="DL9" s="18" t="n"/>
      <c r="DM9" s="18" t="n"/>
      <c r="DN9" s="18" t="n"/>
      <c r="DO9" s="18" t="n"/>
      <c r="DP9" s="18" t="n"/>
      <c r="DQ9" s="18" t="n"/>
      <c r="DR9" s="18" t="n"/>
      <c r="DS9" s="18" t="n"/>
      <c r="DT9" s="18" t="n"/>
      <c r="DU9" s="18" t="n"/>
      <c r="DV9" s="18" t="n"/>
      <c r="DW9" s="18" t="n"/>
      <c r="DX9" s="18" t="n"/>
      <c r="DY9" s="18" t="n"/>
      <c r="DZ9" s="18" t="n"/>
      <c r="EA9" s="18" t="n"/>
      <c r="EB9" s="18" t="n"/>
      <c r="EC9" s="18" t="n"/>
      <c r="ED9" s="18" t="n"/>
      <c r="EE9" s="18" t="n"/>
      <c r="EF9" s="18" t="n"/>
      <c r="EG9" s="18" t="n"/>
      <c r="EH9" s="18" t="n"/>
      <c r="EI9" s="18" t="n"/>
      <c r="EJ9" s="18" t="n"/>
      <c r="EK9" s="18" t="n"/>
      <c r="EL9" s="18" t="n"/>
      <c r="EM9" s="18" t="n"/>
      <c r="EN9" s="18" t="n"/>
      <c r="EO9" s="18" t="n"/>
      <c r="EP9" s="18" t="n"/>
      <c r="EQ9" s="18" t="n"/>
      <c r="ER9" s="18" t="n"/>
      <c r="ES9" s="18" t="n"/>
      <c r="ET9" s="18" t="n"/>
      <c r="EU9" s="18" t="n"/>
      <c r="EV9" s="18" t="n"/>
      <c r="EW9" s="18" t="n"/>
      <c r="EX9" s="18" t="n"/>
      <c r="EY9" s="18" t="n"/>
      <c r="EZ9" s="18" t="n"/>
      <c r="FA9" s="18" t="n"/>
      <c r="FB9" s="18" t="n"/>
      <c r="FC9" s="18" t="n"/>
      <c r="FD9" s="18" t="n"/>
      <c r="FE9" s="18" t="n"/>
      <c r="FF9" s="18" t="n"/>
      <c r="FG9" s="18" t="n"/>
      <c r="FH9" s="18" t="n"/>
      <c r="FI9" s="18" t="n"/>
      <c r="FJ9" s="18" t="n"/>
      <c r="FK9" s="18" t="n"/>
      <c r="FL9" s="18" t="n"/>
      <c r="FM9" s="18" t="n"/>
      <c r="FN9" s="18" t="n"/>
      <c r="FO9" s="18" t="n"/>
      <c r="FP9" s="18" t="n"/>
      <c r="FQ9" s="18" t="n"/>
      <c r="FR9" s="18" t="n"/>
      <c r="FS9" s="18" t="n"/>
      <c r="FT9" s="18" t="n"/>
      <c r="FU9" s="18" t="n"/>
      <c r="FV9" s="18" t="n"/>
      <c r="FW9" s="18" t="n"/>
      <c r="FX9" s="18" t="n"/>
      <c r="FY9" s="18" t="n"/>
      <c r="FZ9" s="18" t="n"/>
      <c r="GA9" s="18" t="n"/>
      <c r="GB9" s="18" t="n"/>
      <c r="GC9" s="18" t="n"/>
      <c r="GD9" s="18" t="n"/>
      <c r="GE9" s="18" t="n"/>
      <c r="GF9" s="18" t="n"/>
      <c r="GG9" s="18" t="n"/>
      <c r="GH9" s="18" t="n"/>
      <c r="GI9" s="18" t="n"/>
      <c r="GJ9" s="18" t="n"/>
      <c r="GK9" s="18" t="n"/>
      <c r="GL9" s="18" t="n"/>
      <c r="GM9" s="18" t="n"/>
      <c r="GN9" s="18" t="n"/>
      <c r="GO9" s="18" t="n"/>
      <c r="GP9" s="18" t="n"/>
      <c r="GQ9" s="18" t="n"/>
      <c r="GR9" s="18" t="n"/>
      <c r="GS9" s="18" t="n"/>
      <c r="GT9" s="18" t="n"/>
      <c r="GU9" s="18" t="n"/>
      <c r="GV9" s="18" t="n"/>
      <c r="GW9" s="18" t="n"/>
      <c r="GX9" s="18" t="n"/>
      <c r="GY9" s="18" t="n"/>
      <c r="GZ9" s="18" t="n"/>
      <c r="HA9" s="18" t="n"/>
      <c r="HB9" s="18" t="n"/>
    </row>
    <row r="10" ht="15.75" customHeight="1">
      <c r="A10" s="11" t="n"/>
      <c r="B10" s="15" t="inlineStr">
        <is>
          <t>(1:4) mortar as described in:</t>
        </is>
      </c>
      <c r="C10" s="12" t="n"/>
      <c r="D10" s="12" t="n"/>
      <c r="E10" s="11" t="n"/>
      <c r="F10" s="12" t="n"/>
      <c r="G10" s="13" t="n"/>
      <c r="H10" s="13" t="n"/>
      <c r="I10" s="18" t="n"/>
      <c r="J10" s="18" t="n"/>
      <c r="K10" s="18" t="n"/>
      <c r="L10" s="18" t="n"/>
      <c r="M10" s="18" t="n"/>
      <c r="N10" s="18" t="n"/>
      <c r="O10" s="18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  <c r="AA10" s="18" t="n"/>
      <c r="AB10" s="18" t="n"/>
      <c r="AC10" s="18" t="n"/>
      <c r="AD10" s="18" t="n"/>
      <c r="AE10" s="18" t="n"/>
      <c r="AF10" s="18" t="n"/>
      <c r="AG10" s="18" t="n"/>
      <c r="AH10" s="18" t="n"/>
      <c r="AI10" s="18" t="n"/>
      <c r="AJ10" s="18" t="n"/>
      <c r="AK10" s="18" t="n"/>
      <c r="AL10" s="18" t="n"/>
      <c r="AM10" s="18" t="n"/>
      <c r="AN10" s="18" t="n"/>
      <c r="AO10" s="18" t="n"/>
      <c r="AP10" s="18" t="n"/>
      <c r="AQ10" s="18" t="n"/>
      <c r="AR10" s="18" t="n"/>
      <c r="AS10" s="18" t="n"/>
      <c r="AT10" s="18" t="n"/>
      <c r="AU10" s="18" t="n"/>
      <c r="AV10" s="18" t="n"/>
      <c r="AW10" s="18" t="n"/>
      <c r="AX10" s="18" t="n"/>
      <c r="AY10" s="18" t="n"/>
      <c r="AZ10" s="18" t="n"/>
      <c r="BA10" s="18" t="n"/>
      <c r="BB10" s="18" t="n"/>
      <c r="BC10" s="18" t="n"/>
      <c r="BD10" s="18" t="n"/>
      <c r="BE10" s="18" t="n"/>
      <c r="BF10" s="18" t="n"/>
      <c r="BG10" s="18" t="n"/>
      <c r="BH10" s="18" t="n"/>
      <c r="BI10" s="18" t="n"/>
      <c r="BJ10" s="18" t="n"/>
      <c r="BK10" s="18" t="n"/>
      <c r="BL10" s="18" t="n"/>
      <c r="BM10" s="18" t="n"/>
      <c r="BN10" s="18" t="n"/>
      <c r="BO10" s="18" t="n"/>
      <c r="BP10" s="18" t="n"/>
      <c r="BQ10" s="18" t="n"/>
      <c r="BR10" s="18" t="n"/>
      <c r="BS10" s="18" t="n"/>
      <c r="BT10" s="18" t="n"/>
      <c r="BU10" s="18" t="n"/>
      <c r="BV10" s="18" t="n"/>
      <c r="BW10" s="18" t="n"/>
      <c r="BX10" s="18" t="n"/>
      <c r="BY10" s="18" t="n"/>
      <c r="BZ10" s="18" t="n"/>
      <c r="CA10" s="18" t="n"/>
      <c r="CB10" s="18" t="n"/>
      <c r="CC10" s="18" t="n"/>
      <c r="CD10" s="18" t="n"/>
      <c r="CE10" s="18" t="n"/>
      <c r="CF10" s="18" t="n"/>
      <c r="CG10" s="18" t="n"/>
      <c r="CH10" s="18" t="n"/>
      <c r="CI10" s="18" t="n"/>
      <c r="CJ10" s="18" t="n"/>
      <c r="CK10" s="18" t="n"/>
      <c r="CL10" s="18" t="n"/>
      <c r="CM10" s="18" t="n"/>
      <c r="CN10" s="18" t="n"/>
      <c r="CO10" s="18" t="n"/>
      <c r="CP10" s="18" t="n"/>
      <c r="CQ10" s="18" t="n"/>
      <c r="CR10" s="18" t="n"/>
      <c r="CS10" s="18" t="n"/>
      <c r="CT10" s="18" t="n"/>
      <c r="CU10" s="18" t="n"/>
      <c r="CV10" s="18" t="n"/>
      <c r="CW10" s="18" t="n"/>
      <c r="CX10" s="18" t="n"/>
      <c r="CY10" s="18" t="n"/>
      <c r="CZ10" s="18" t="n"/>
      <c r="DA10" s="18" t="n"/>
      <c r="DB10" s="18" t="n"/>
      <c r="DC10" s="18" t="n"/>
      <c r="DD10" s="18" t="n"/>
      <c r="DE10" s="18" t="n"/>
      <c r="DF10" s="18" t="n"/>
      <c r="DG10" s="18" t="n"/>
      <c r="DH10" s="18" t="n"/>
      <c r="DI10" s="18" t="n"/>
      <c r="DJ10" s="18" t="n"/>
      <c r="DK10" s="18" t="n"/>
      <c r="DL10" s="18" t="n"/>
      <c r="DM10" s="18" t="n"/>
      <c r="DN10" s="18" t="n"/>
      <c r="DO10" s="18" t="n"/>
      <c r="DP10" s="18" t="n"/>
      <c r="DQ10" s="18" t="n"/>
      <c r="DR10" s="18" t="n"/>
      <c r="DS10" s="18" t="n"/>
      <c r="DT10" s="18" t="n"/>
      <c r="DU10" s="18" t="n"/>
      <c r="DV10" s="18" t="n"/>
      <c r="DW10" s="18" t="n"/>
      <c r="DX10" s="18" t="n"/>
      <c r="DY10" s="18" t="n"/>
      <c r="DZ10" s="18" t="n"/>
      <c r="EA10" s="18" t="n"/>
      <c r="EB10" s="18" t="n"/>
      <c r="EC10" s="18" t="n"/>
      <c r="ED10" s="18" t="n"/>
      <c r="EE10" s="18" t="n"/>
      <c r="EF10" s="18" t="n"/>
      <c r="EG10" s="18" t="n"/>
      <c r="EH10" s="18" t="n"/>
      <c r="EI10" s="18" t="n"/>
      <c r="EJ10" s="18" t="n"/>
      <c r="EK10" s="18" t="n"/>
      <c r="EL10" s="18" t="n"/>
      <c r="EM10" s="18" t="n"/>
      <c r="EN10" s="18" t="n"/>
      <c r="EO10" s="18" t="n"/>
      <c r="EP10" s="18" t="n"/>
      <c r="EQ10" s="18" t="n"/>
      <c r="ER10" s="18" t="n"/>
      <c r="ES10" s="18" t="n"/>
      <c r="ET10" s="18" t="n"/>
      <c r="EU10" s="18" t="n"/>
      <c r="EV10" s="18" t="n"/>
      <c r="EW10" s="18" t="n"/>
      <c r="EX10" s="18" t="n"/>
      <c r="EY10" s="18" t="n"/>
      <c r="EZ10" s="18" t="n"/>
      <c r="FA10" s="18" t="n"/>
      <c r="FB10" s="18" t="n"/>
      <c r="FC10" s="18" t="n"/>
      <c r="FD10" s="18" t="n"/>
      <c r="FE10" s="18" t="n"/>
      <c r="FF10" s="18" t="n"/>
      <c r="FG10" s="18" t="n"/>
      <c r="FH10" s="18" t="n"/>
      <c r="FI10" s="18" t="n"/>
      <c r="FJ10" s="18" t="n"/>
      <c r="FK10" s="18" t="n"/>
      <c r="FL10" s="18" t="n"/>
      <c r="FM10" s="18" t="n"/>
      <c r="FN10" s="18" t="n"/>
      <c r="FO10" s="18" t="n"/>
      <c r="FP10" s="18" t="n"/>
      <c r="FQ10" s="18" t="n"/>
      <c r="FR10" s="18" t="n"/>
      <c r="FS10" s="18" t="n"/>
      <c r="FT10" s="18" t="n"/>
      <c r="FU10" s="18" t="n"/>
      <c r="FV10" s="18" t="n"/>
      <c r="FW10" s="18" t="n"/>
      <c r="FX10" s="18" t="n"/>
      <c r="FY10" s="18" t="n"/>
      <c r="FZ10" s="18" t="n"/>
      <c r="GA10" s="18" t="n"/>
      <c r="GB10" s="18" t="n"/>
      <c r="GC10" s="18" t="n"/>
      <c r="GD10" s="18" t="n"/>
      <c r="GE10" s="18" t="n"/>
      <c r="GF10" s="18" t="n"/>
      <c r="GG10" s="18" t="n"/>
      <c r="GH10" s="18" t="n"/>
      <c r="GI10" s="18" t="n"/>
      <c r="GJ10" s="18" t="n"/>
      <c r="GK10" s="18" t="n"/>
      <c r="GL10" s="18" t="n"/>
      <c r="GM10" s="18" t="n"/>
      <c r="GN10" s="18" t="n"/>
      <c r="GO10" s="18" t="n"/>
      <c r="GP10" s="18" t="n"/>
      <c r="GQ10" s="18" t="n"/>
      <c r="GR10" s="18" t="n"/>
      <c r="GS10" s="18" t="n"/>
      <c r="GT10" s="18" t="n"/>
      <c r="GU10" s="18" t="n"/>
      <c r="GV10" s="18" t="n"/>
      <c r="GW10" s="18" t="n"/>
      <c r="GX10" s="18" t="n"/>
      <c r="GY10" s="18" t="n"/>
      <c r="GZ10" s="18" t="n"/>
      <c r="HA10" s="18" t="n"/>
      <c r="HB10" s="18" t="n"/>
    </row>
    <row r="11" ht="15.75" customHeight="1">
      <c r="A11" s="11" t="n"/>
      <c r="B11" s="8" t="n"/>
      <c r="C11" s="12" t="n"/>
      <c r="D11" s="12" t="n"/>
      <c r="E11" s="11" t="n"/>
      <c r="F11" s="14" t="n"/>
      <c r="G11" s="16" t="n"/>
      <c r="H11" s="16" t="n"/>
      <c r="I11" s="18" t="n"/>
      <c r="J11" s="18" t="n"/>
      <c r="K11" s="18" t="n"/>
      <c r="L11" s="18" t="n"/>
      <c r="M11" s="18" t="n"/>
      <c r="N11" s="18" t="n"/>
      <c r="O11" s="18" t="n"/>
      <c r="P11" s="18" t="n"/>
      <c r="Q11" s="18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  <c r="AC11" s="18" t="n"/>
      <c r="AD11" s="18" t="n"/>
      <c r="AE11" s="18" t="n"/>
      <c r="AF11" s="18" t="n"/>
      <c r="AG11" s="18" t="n"/>
      <c r="AH11" s="18" t="n"/>
      <c r="AI11" s="18" t="n"/>
      <c r="AJ11" s="18" t="n"/>
      <c r="AK11" s="18" t="n"/>
      <c r="AL11" s="18" t="n"/>
      <c r="AM11" s="18" t="n"/>
      <c r="AN11" s="18" t="n"/>
      <c r="AO11" s="18" t="n"/>
      <c r="AP11" s="18" t="n"/>
      <c r="AQ11" s="18" t="n"/>
      <c r="AR11" s="18" t="n"/>
      <c r="AS11" s="18" t="n"/>
      <c r="AT11" s="18" t="n"/>
      <c r="AU11" s="18" t="n"/>
      <c r="AV11" s="18" t="n"/>
      <c r="AW11" s="18" t="n"/>
      <c r="AX11" s="18" t="n"/>
      <c r="AY11" s="18" t="n"/>
      <c r="AZ11" s="18" t="n"/>
      <c r="BA11" s="18" t="n"/>
      <c r="BB11" s="18" t="n"/>
      <c r="BC11" s="18" t="n"/>
      <c r="BD11" s="18" t="n"/>
      <c r="BE11" s="18" t="n"/>
      <c r="BF11" s="18" t="n"/>
      <c r="BG11" s="18" t="n"/>
      <c r="BH11" s="18" t="n"/>
      <c r="BI11" s="18" t="n"/>
      <c r="BJ11" s="18" t="n"/>
      <c r="BK11" s="18" t="n"/>
      <c r="BL11" s="18" t="n"/>
      <c r="BM11" s="18" t="n"/>
      <c r="BN11" s="18" t="n"/>
      <c r="BO11" s="18" t="n"/>
      <c r="BP11" s="18" t="n"/>
      <c r="BQ11" s="18" t="n"/>
      <c r="BR11" s="18" t="n"/>
      <c r="BS11" s="18" t="n"/>
      <c r="BT11" s="18" t="n"/>
      <c r="BU11" s="18" t="n"/>
      <c r="BV11" s="18" t="n"/>
      <c r="BW11" s="18" t="n"/>
      <c r="BX11" s="18" t="n"/>
      <c r="BY11" s="18" t="n"/>
      <c r="BZ11" s="18" t="n"/>
      <c r="CA11" s="18" t="n"/>
      <c r="CB11" s="18" t="n"/>
      <c r="CC11" s="18" t="n"/>
      <c r="CD11" s="18" t="n"/>
      <c r="CE11" s="18" t="n"/>
      <c r="CF11" s="18" t="n"/>
      <c r="CG11" s="18" t="n"/>
      <c r="CH11" s="18" t="n"/>
      <c r="CI11" s="18" t="n"/>
      <c r="CJ11" s="18" t="n"/>
      <c r="CK11" s="18" t="n"/>
      <c r="CL11" s="18" t="n"/>
      <c r="CM11" s="18" t="n"/>
      <c r="CN11" s="18" t="n"/>
      <c r="CO11" s="18" t="n"/>
      <c r="CP11" s="18" t="n"/>
      <c r="CQ11" s="18" t="n"/>
      <c r="CR11" s="18" t="n"/>
      <c r="CS11" s="18" t="n"/>
      <c r="CT11" s="18" t="n"/>
      <c r="CU11" s="18" t="n"/>
      <c r="CV11" s="18" t="n"/>
      <c r="CW11" s="18" t="n"/>
      <c r="CX11" s="18" t="n"/>
      <c r="CY11" s="18" t="n"/>
      <c r="CZ11" s="18" t="n"/>
      <c r="DA11" s="18" t="n"/>
      <c r="DB11" s="18" t="n"/>
      <c r="DC11" s="18" t="n"/>
      <c r="DD11" s="18" t="n"/>
      <c r="DE11" s="18" t="n"/>
      <c r="DF11" s="18" t="n"/>
      <c r="DG11" s="18" t="n"/>
      <c r="DH11" s="18" t="n"/>
      <c r="DI11" s="18" t="n"/>
      <c r="DJ11" s="18" t="n"/>
      <c r="DK11" s="18" t="n"/>
      <c r="DL11" s="18" t="n"/>
      <c r="DM11" s="18" t="n"/>
      <c r="DN11" s="18" t="n"/>
      <c r="DO11" s="18" t="n"/>
      <c r="DP11" s="18" t="n"/>
      <c r="DQ11" s="18" t="n"/>
      <c r="DR11" s="18" t="n"/>
      <c r="DS11" s="18" t="n"/>
      <c r="DT11" s="18" t="n"/>
      <c r="DU11" s="18" t="n"/>
      <c r="DV11" s="18" t="n"/>
      <c r="DW11" s="18" t="n"/>
      <c r="DX11" s="18" t="n"/>
      <c r="DY11" s="18" t="n"/>
      <c r="DZ11" s="18" t="n"/>
      <c r="EA11" s="18" t="n"/>
      <c r="EB11" s="18" t="n"/>
      <c r="EC11" s="18" t="n"/>
      <c r="ED11" s="18" t="n"/>
      <c r="EE11" s="18" t="n"/>
      <c r="EF11" s="18" t="n"/>
      <c r="EG11" s="18" t="n"/>
      <c r="EH11" s="18" t="n"/>
      <c r="EI11" s="18" t="n"/>
      <c r="EJ11" s="18" t="n"/>
      <c r="EK11" s="18" t="n"/>
      <c r="EL11" s="18" t="n"/>
      <c r="EM11" s="18" t="n"/>
      <c r="EN11" s="18" t="n"/>
      <c r="EO11" s="18" t="n"/>
      <c r="EP11" s="18" t="n"/>
      <c r="EQ11" s="18" t="n"/>
      <c r="ER11" s="18" t="n"/>
      <c r="ES11" s="18" t="n"/>
      <c r="ET11" s="18" t="n"/>
      <c r="EU11" s="18" t="n"/>
      <c r="EV11" s="18" t="n"/>
      <c r="EW11" s="18" t="n"/>
      <c r="EX11" s="18" t="n"/>
      <c r="EY11" s="18" t="n"/>
      <c r="EZ11" s="18" t="n"/>
      <c r="FA11" s="18" t="n"/>
      <c r="FB11" s="18" t="n"/>
      <c r="FC11" s="18" t="n"/>
      <c r="FD11" s="18" t="n"/>
      <c r="FE11" s="18" t="n"/>
      <c r="FF11" s="18" t="n"/>
      <c r="FG11" s="18" t="n"/>
      <c r="FH11" s="18" t="n"/>
      <c r="FI11" s="18" t="n"/>
      <c r="FJ11" s="18" t="n"/>
      <c r="FK11" s="18" t="n"/>
      <c r="FL11" s="18" t="n"/>
      <c r="FM11" s="18" t="n"/>
      <c r="FN11" s="18" t="n"/>
      <c r="FO11" s="18" t="n"/>
      <c r="FP11" s="18" t="n"/>
      <c r="FQ11" s="18" t="n"/>
      <c r="FR11" s="18" t="n"/>
      <c r="FS11" s="18" t="n"/>
      <c r="FT11" s="18" t="n"/>
      <c r="FU11" s="18" t="n"/>
      <c r="FV11" s="18" t="n"/>
      <c r="FW11" s="18" t="n"/>
      <c r="FX11" s="18" t="n"/>
      <c r="FY11" s="18" t="n"/>
      <c r="FZ11" s="18" t="n"/>
      <c r="GA11" s="18" t="n"/>
      <c r="GB11" s="18" t="n"/>
      <c r="GC11" s="18" t="n"/>
      <c r="GD11" s="18" t="n"/>
      <c r="GE11" s="18" t="n"/>
      <c r="GF11" s="18" t="n"/>
      <c r="GG11" s="18" t="n"/>
      <c r="GH11" s="18" t="n"/>
      <c r="GI11" s="18" t="n"/>
      <c r="GJ11" s="18" t="n"/>
      <c r="GK11" s="18" t="n"/>
      <c r="GL11" s="18" t="n"/>
      <c r="GM11" s="18" t="n"/>
      <c r="GN11" s="18" t="n"/>
      <c r="GO11" s="18" t="n"/>
      <c r="GP11" s="18" t="n"/>
      <c r="GQ11" s="18" t="n"/>
      <c r="GR11" s="18" t="n"/>
      <c r="GS11" s="18" t="n"/>
      <c r="GT11" s="18" t="n"/>
      <c r="GU11" s="18" t="n"/>
      <c r="GV11" s="18" t="n"/>
      <c r="GW11" s="18" t="n"/>
      <c r="GX11" s="18" t="n"/>
      <c r="GY11" s="18" t="n"/>
      <c r="GZ11" s="18" t="n"/>
      <c r="HA11" s="18" t="n"/>
      <c r="HB11" s="18" t="n"/>
    </row>
    <row r="12" ht="15.75" customHeight="1">
      <c r="A12" s="11" t="inlineStr">
        <is>
          <t>A</t>
        </is>
      </c>
      <c r="B12" s="8" t="inlineStr">
        <is>
          <t>150mm thick wall</t>
        </is>
      </c>
      <c r="C12" s="12" t="n">
        <v>17500</v>
      </c>
      <c r="D12" s="162">
        <f>'Verification Take-off'!E67</f>
        <v>14110.532118399999</v>
      </c>
      <c r="E12" s="11" t="inlineStr">
        <is>
          <t>m2</t>
        </is>
      </c>
      <c r="F12" s="163" t="inlineStr">
        <is>
          <t>m2</t>
        </is>
      </c>
      <c r="G12" s="150" t="n"/>
      <c r="H12" s="19">
        <f>G12*D12</f>
        <v>0.0</v>
      </c>
      <c r="I12" s="184" t="inlineStr"/>
      <c r="J12" s="18" t="n"/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/>
      <c r="AD12" s="18" t="n"/>
      <c r="AE12" s="18" t="n"/>
      <c r="AF12" s="18" t="n"/>
      <c r="AG12" s="18" t="n"/>
      <c r="AH12" s="18" t="n"/>
      <c r="AI12" s="18" t="n"/>
      <c r="AJ12" s="18" t="n"/>
      <c r="AK12" s="18" t="n"/>
      <c r="AL12" s="18" t="n"/>
      <c r="AM12" s="18" t="n"/>
      <c r="AN12" s="18" t="n"/>
      <c r="AO12" s="18" t="n"/>
      <c r="AP12" s="18" t="n"/>
      <c r="AQ12" s="18" t="n"/>
      <c r="AR12" s="18" t="n"/>
      <c r="AS12" s="18" t="n"/>
      <c r="AT12" s="18" t="n"/>
      <c r="AU12" s="18" t="n"/>
      <c r="AV12" s="18" t="n"/>
      <c r="AW12" s="18" t="n"/>
      <c r="AX12" s="18" t="n"/>
      <c r="AY12" s="18" t="n"/>
      <c r="AZ12" s="18" t="n"/>
      <c r="BA12" s="18" t="n"/>
      <c r="BB12" s="18" t="n"/>
      <c r="BC12" s="18" t="n"/>
      <c r="BD12" s="18" t="n"/>
      <c r="BE12" s="18" t="n"/>
      <c r="BF12" s="18" t="n"/>
      <c r="BG12" s="18" t="n"/>
      <c r="BH12" s="18" t="n"/>
      <c r="BI12" s="18" t="n"/>
      <c r="BJ12" s="18" t="n"/>
      <c r="BK12" s="18" t="n"/>
      <c r="BL12" s="18" t="n"/>
      <c r="BM12" s="18" t="n"/>
      <c r="BN12" s="18" t="n"/>
      <c r="BO12" s="18" t="n"/>
      <c r="BP12" s="18" t="n"/>
      <c r="BQ12" s="18" t="n"/>
      <c r="BR12" s="18" t="n"/>
      <c r="BS12" s="18" t="n"/>
      <c r="BT12" s="18" t="n"/>
      <c r="BU12" s="18" t="n"/>
      <c r="BV12" s="18" t="n"/>
      <c r="BW12" s="18" t="n"/>
      <c r="BX12" s="18" t="n"/>
      <c r="BY12" s="18" t="n"/>
      <c r="BZ12" s="18" t="n"/>
      <c r="CA12" s="18" t="n"/>
      <c r="CB12" s="18" t="n"/>
      <c r="CC12" s="18" t="n"/>
      <c r="CD12" s="18" t="n"/>
      <c r="CE12" s="18" t="n"/>
      <c r="CF12" s="18" t="n"/>
      <c r="CG12" s="18" t="n"/>
      <c r="CH12" s="18" t="n"/>
      <c r="CI12" s="18" t="n"/>
      <c r="CJ12" s="18" t="n"/>
      <c r="CK12" s="18" t="n"/>
      <c r="CL12" s="18" t="n"/>
      <c r="CM12" s="18" t="n"/>
      <c r="CN12" s="18" t="n"/>
      <c r="CO12" s="18" t="n"/>
      <c r="CP12" s="18" t="n"/>
      <c r="CQ12" s="18" t="n"/>
      <c r="CR12" s="18" t="n"/>
      <c r="CS12" s="18" t="n"/>
      <c r="CT12" s="18" t="n"/>
      <c r="CU12" s="18" t="n"/>
      <c r="CV12" s="18" t="n"/>
      <c r="CW12" s="18" t="n"/>
      <c r="CX12" s="18" t="n"/>
      <c r="CY12" s="18" t="n"/>
      <c r="CZ12" s="18" t="n"/>
      <c r="DA12" s="18" t="n"/>
      <c r="DB12" s="18" t="n"/>
      <c r="DC12" s="18" t="n"/>
      <c r="DD12" s="18" t="n"/>
      <c r="DE12" s="18" t="n"/>
      <c r="DF12" s="18" t="n"/>
      <c r="DG12" s="18" t="n"/>
      <c r="DH12" s="18" t="n"/>
      <c r="DI12" s="18" t="n"/>
      <c r="DJ12" s="18" t="n"/>
      <c r="DK12" s="18" t="n"/>
      <c r="DL12" s="18" t="n"/>
      <c r="DM12" s="18" t="n"/>
      <c r="DN12" s="18" t="n"/>
      <c r="DO12" s="18" t="n"/>
      <c r="DP12" s="18" t="n"/>
      <c r="DQ12" s="18" t="n"/>
      <c r="DR12" s="18" t="n"/>
      <c r="DS12" s="18" t="n"/>
      <c r="DT12" s="18" t="n"/>
      <c r="DU12" s="18" t="n"/>
      <c r="DV12" s="18" t="n"/>
      <c r="DW12" s="18" t="n"/>
      <c r="DX12" s="18" t="n"/>
      <c r="DY12" s="18" t="n"/>
      <c r="DZ12" s="18" t="n"/>
      <c r="EA12" s="18" t="n"/>
      <c r="EB12" s="18" t="n"/>
      <c r="EC12" s="18" t="n"/>
      <c r="ED12" s="18" t="n"/>
      <c r="EE12" s="18" t="n"/>
      <c r="EF12" s="18" t="n"/>
      <c r="EG12" s="18" t="n"/>
      <c r="EH12" s="18" t="n"/>
      <c r="EI12" s="18" t="n"/>
      <c r="EJ12" s="18" t="n"/>
      <c r="EK12" s="18" t="n"/>
      <c r="EL12" s="18" t="n"/>
      <c r="EM12" s="18" t="n"/>
      <c r="EN12" s="18" t="n"/>
      <c r="EO12" s="18" t="n"/>
      <c r="EP12" s="18" t="n"/>
      <c r="EQ12" s="18" t="n"/>
      <c r="ER12" s="18" t="n"/>
      <c r="ES12" s="18" t="n"/>
      <c r="ET12" s="18" t="n"/>
      <c r="EU12" s="18" t="n"/>
      <c r="EV12" s="18" t="n"/>
      <c r="EW12" s="18" t="n"/>
      <c r="EX12" s="18" t="n"/>
      <c r="EY12" s="18" t="n"/>
      <c r="EZ12" s="18" t="n"/>
      <c r="FA12" s="18" t="n"/>
      <c r="FB12" s="18" t="n"/>
      <c r="FC12" s="18" t="n"/>
      <c r="FD12" s="18" t="n"/>
      <c r="FE12" s="18" t="n"/>
      <c r="FF12" s="18" t="n"/>
      <c r="FG12" s="18" t="n"/>
      <c r="FH12" s="18" t="n"/>
      <c r="FI12" s="18" t="n"/>
      <c r="FJ12" s="18" t="n"/>
      <c r="FK12" s="18" t="n"/>
      <c r="FL12" s="18" t="n"/>
      <c r="FM12" s="18" t="n"/>
      <c r="FN12" s="18" t="n"/>
      <c r="FO12" s="18" t="n"/>
      <c r="FP12" s="18" t="n"/>
      <c r="FQ12" s="18" t="n"/>
      <c r="FR12" s="18" t="n"/>
      <c r="FS12" s="18" t="n"/>
      <c r="FT12" s="18" t="n"/>
      <c r="FU12" s="18" t="n"/>
      <c r="FV12" s="18" t="n"/>
      <c r="FW12" s="18" t="n"/>
      <c r="FX12" s="18" t="n"/>
      <c r="FY12" s="18" t="n"/>
      <c r="FZ12" s="18" t="n"/>
      <c r="GA12" s="18" t="n"/>
      <c r="GB12" s="18" t="n"/>
      <c r="GC12" s="18" t="n"/>
      <c r="GD12" s="18" t="n"/>
      <c r="GE12" s="18" t="n"/>
      <c r="GF12" s="18" t="n"/>
      <c r="GG12" s="18" t="n"/>
      <c r="GH12" s="18" t="n"/>
      <c r="GI12" s="18" t="n"/>
      <c r="GJ12" s="18" t="n"/>
      <c r="GK12" s="18" t="n"/>
      <c r="GL12" s="18" t="n"/>
      <c r="GM12" s="18" t="n"/>
      <c r="GN12" s="18" t="n"/>
      <c r="GO12" s="18" t="n"/>
      <c r="GP12" s="18" t="n"/>
      <c r="GQ12" s="18" t="n"/>
      <c r="GR12" s="18" t="n"/>
      <c r="GS12" s="18" t="n"/>
      <c r="GT12" s="18" t="n"/>
      <c r="GU12" s="18" t="n"/>
      <c r="GV12" s="18" t="n"/>
      <c r="GW12" s="18" t="n"/>
      <c r="GX12" s="18" t="n"/>
      <c r="GY12" s="18" t="n"/>
      <c r="GZ12" s="18" t="n"/>
      <c r="HA12" s="18" t="n"/>
      <c r="HB12" s="18" t="n"/>
    </row>
    <row r="13" ht="15.75" customHeight="1">
      <c r="A13" s="178" t="inlineStr">
        <is>
          <t>A1</t>
        </is>
      </c>
      <c r="B13" s="179" t="inlineStr">
        <is>
          <t>200mm thick wall</t>
        </is>
      </c>
      <c r="C13" s="180" t="n"/>
      <c r="D13" s="162">
        <f>'Verification Take-off'!E68</f>
        <v>1744.1390815999998</v>
      </c>
      <c r="E13" s="178" t="inlineStr">
        <is>
          <t>-</t>
        </is>
      </c>
      <c r="F13" s="163" t="inlineStr">
        <is>
          <t>m2</t>
        </is>
      </c>
      <c r="G13" s="214" t="n"/>
      <c r="H13" s="215">
        <f>G13*D13</f>
        <v>0.0</v>
      </c>
      <c r="I13" s="200" t="inlineStr">
        <is>
          <t>ADDED - 200/225 walls on plans</t>
        </is>
      </c>
    </row>
    <row r="14" ht="15.75" customHeight="1">
      <c r="A14" s="11" t="n"/>
      <c r="B14" s="8" t="n"/>
      <c r="C14" s="12" t="n"/>
      <c r="D14" s="12" t="n"/>
      <c r="E14" s="11" t="n"/>
      <c r="F14" s="14" t="n"/>
      <c r="G14" s="161" t="n"/>
      <c r="H14" s="164" t="n"/>
    </row>
    <row r="15" ht="15.75" customHeight="1">
      <c r="A15" s="11" t="n"/>
      <c r="B15" s="10" t="inlineStr">
        <is>
          <t xml:space="preserve"> Finishing</t>
        </is>
      </c>
      <c r="C15" s="12" t="n"/>
      <c r="D15" s="12" t="n"/>
      <c r="E15" s="11" t="n"/>
      <c r="F15" s="12" t="n"/>
      <c r="G15" s="159" t="n"/>
      <c r="H15" s="160" t="n"/>
    </row>
    <row r="16" ht="15.75" customHeight="1">
      <c r="A16" s="11" t="n"/>
      <c r="B16" s="15" t="inlineStr">
        <is>
          <t>Walls and Ceilings</t>
        </is>
      </c>
      <c r="C16" s="12" t="n"/>
      <c r="D16" s="12" t="n"/>
      <c r="E16" s="11" t="n"/>
      <c r="F16" s="12" t="n"/>
      <c r="G16" s="12" t="n"/>
      <c r="H16" s="13" t="n"/>
      <c r="I16" s="18" t="n"/>
      <c r="J16" s="18" t="n"/>
      <c r="K16" s="18" t="n"/>
      <c r="L16" s="18" t="n"/>
      <c r="M16" s="18" t="n"/>
      <c r="N16" s="18" t="n"/>
      <c r="O16" s="18" t="n"/>
      <c r="P16" s="18" t="n"/>
      <c r="Q16" s="18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  <c r="AF16" s="18" t="n"/>
      <c r="AG16" s="18" t="n"/>
      <c r="AH16" s="18" t="n"/>
      <c r="AI16" s="18" t="n"/>
      <c r="AJ16" s="18" t="n"/>
      <c r="AK16" s="18" t="n"/>
      <c r="AL16" s="18" t="n"/>
      <c r="AM16" s="18" t="n"/>
      <c r="AN16" s="18" t="n"/>
      <c r="AO16" s="18" t="n"/>
      <c r="AP16" s="18" t="n"/>
      <c r="AQ16" s="18" t="n"/>
      <c r="AR16" s="18" t="n"/>
      <c r="AS16" s="18" t="n"/>
      <c r="AT16" s="18" t="n"/>
      <c r="AU16" s="18" t="n"/>
      <c r="AV16" s="18" t="n"/>
      <c r="AW16" s="18" t="n"/>
      <c r="AX16" s="18" t="n"/>
      <c r="AY16" s="18" t="n"/>
      <c r="AZ16" s="18" t="n"/>
      <c r="BA16" s="18" t="n"/>
      <c r="BB16" s="18" t="n"/>
      <c r="BC16" s="18" t="n"/>
      <c r="BD16" s="18" t="n"/>
      <c r="BE16" s="18" t="n"/>
      <c r="BF16" s="18" t="n"/>
      <c r="BG16" s="18" t="n"/>
      <c r="BH16" s="18" t="n"/>
      <c r="BI16" s="18" t="n"/>
      <c r="BJ16" s="18" t="n"/>
      <c r="BK16" s="18" t="n"/>
      <c r="BL16" s="18" t="n"/>
      <c r="BM16" s="18" t="n"/>
      <c r="BN16" s="18" t="n"/>
      <c r="BO16" s="18" t="n"/>
      <c r="BP16" s="18" t="n"/>
      <c r="BQ16" s="18" t="n"/>
      <c r="BR16" s="18" t="n"/>
      <c r="BS16" s="18" t="n"/>
      <c r="BT16" s="18" t="n"/>
      <c r="BU16" s="18" t="n"/>
      <c r="BV16" s="18" t="n"/>
      <c r="BW16" s="18" t="n"/>
      <c r="BX16" s="18" t="n"/>
      <c r="BY16" s="18" t="n"/>
      <c r="BZ16" s="18" t="n"/>
      <c r="CA16" s="18" t="n"/>
      <c r="CB16" s="18" t="n"/>
      <c r="CC16" s="18" t="n"/>
      <c r="CD16" s="18" t="n"/>
      <c r="CE16" s="18" t="n"/>
      <c r="CF16" s="18" t="n"/>
      <c r="CG16" s="18" t="n"/>
      <c r="CH16" s="18" t="n"/>
      <c r="CI16" s="18" t="n"/>
      <c r="CJ16" s="18" t="n"/>
      <c r="CK16" s="18" t="n"/>
      <c r="CL16" s="18" t="n"/>
      <c r="CM16" s="18" t="n"/>
      <c r="CN16" s="18" t="n"/>
      <c r="CO16" s="18" t="n"/>
      <c r="CP16" s="18" t="n"/>
      <c r="CQ16" s="18" t="n"/>
      <c r="CR16" s="18" t="n"/>
      <c r="CS16" s="18" t="n"/>
      <c r="CT16" s="18" t="n"/>
      <c r="CU16" s="18" t="n"/>
      <c r="CV16" s="18" t="n"/>
      <c r="CW16" s="18" t="n"/>
      <c r="CX16" s="18" t="n"/>
      <c r="CY16" s="18" t="n"/>
      <c r="CZ16" s="18" t="n"/>
      <c r="DA16" s="18" t="n"/>
      <c r="DB16" s="18" t="n"/>
      <c r="DC16" s="18" t="n"/>
      <c r="DD16" s="18" t="n"/>
      <c r="DE16" s="18" t="n"/>
      <c r="DF16" s="18" t="n"/>
      <c r="DG16" s="18" t="n"/>
      <c r="DH16" s="18" t="n"/>
      <c r="DI16" s="18" t="n"/>
      <c r="DJ16" s="18" t="n"/>
      <c r="DK16" s="18" t="n"/>
      <c r="DL16" s="18" t="n"/>
      <c r="DM16" s="18" t="n"/>
      <c r="DN16" s="18" t="n"/>
      <c r="DO16" s="18" t="n"/>
      <c r="DP16" s="18" t="n"/>
      <c r="DQ16" s="18" t="n"/>
      <c r="DR16" s="18" t="n"/>
      <c r="DS16" s="18" t="n"/>
      <c r="DT16" s="18" t="n"/>
      <c r="DU16" s="18" t="n"/>
      <c r="DV16" s="18" t="n"/>
      <c r="DW16" s="18" t="n"/>
      <c r="DX16" s="18" t="n"/>
      <c r="DY16" s="18" t="n"/>
      <c r="DZ16" s="18" t="n"/>
      <c r="EA16" s="18" t="n"/>
      <c r="EB16" s="18" t="n"/>
      <c r="EC16" s="18" t="n"/>
      <c r="ED16" s="18" t="n"/>
      <c r="EE16" s="18" t="n"/>
      <c r="EF16" s="18" t="n"/>
      <c r="EG16" s="18" t="n"/>
      <c r="EH16" s="18" t="n"/>
      <c r="EI16" s="18" t="n"/>
      <c r="EJ16" s="18" t="n"/>
      <c r="EK16" s="18" t="n"/>
      <c r="EL16" s="18" t="n"/>
      <c r="EM16" s="18" t="n"/>
      <c r="EN16" s="18" t="n"/>
      <c r="EO16" s="18" t="n"/>
      <c r="EP16" s="18" t="n"/>
      <c r="EQ16" s="18" t="n"/>
      <c r="ER16" s="18" t="n"/>
      <c r="ES16" s="18" t="n"/>
      <c r="ET16" s="18" t="n"/>
      <c r="EU16" s="18" t="n"/>
      <c r="EV16" s="18" t="n"/>
      <c r="EW16" s="18" t="n"/>
      <c r="EX16" s="18" t="n"/>
      <c r="EY16" s="18" t="n"/>
      <c r="EZ16" s="18" t="n"/>
      <c r="FA16" s="18" t="n"/>
      <c r="FB16" s="18" t="n"/>
      <c r="FC16" s="18" t="n"/>
      <c r="FD16" s="18" t="n"/>
      <c r="FE16" s="18" t="n"/>
      <c r="FF16" s="18" t="n"/>
      <c r="FG16" s="18" t="n"/>
      <c r="FH16" s="18" t="n"/>
      <c r="FI16" s="18" t="n"/>
      <c r="FJ16" s="18" t="n"/>
      <c r="FK16" s="18" t="n"/>
      <c r="FL16" s="18" t="n"/>
      <c r="FM16" s="18" t="n"/>
      <c r="FN16" s="18" t="n"/>
      <c r="FO16" s="18" t="n"/>
      <c r="FP16" s="18" t="n"/>
      <c r="FQ16" s="18" t="n"/>
      <c r="FR16" s="18" t="n"/>
      <c r="FS16" s="18" t="n"/>
      <c r="FT16" s="18" t="n"/>
      <c r="FU16" s="18" t="n"/>
      <c r="FV16" s="18" t="n"/>
      <c r="FW16" s="18" t="n"/>
      <c r="FX16" s="18" t="n"/>
      <c r="FY16" s="18" t="n"/>
      <c r="FZ16" s="18" t="n"/>
      <c r="GA16" s="18" t="n"/>
      <c r="GB16" s="18" t="n"/>
      <c r="GC16" s="18" t="n"/>
      <c r="GD16" s="18" t="n"/>
      <c r="GE16" s="18" t="n"/>
      <c r="GF16" s="18" t="n"/>
      <c r="GG16" s="18" t="n"/>
      <c r="GH16" s="18" t="n"/>
      <c r="GI16" s="18" t="n"/>
      <c r="GJ16" s="18" t="n"/>
      <c r="GK16" s="18" t="n"/>
      <c r="GL16" s="18" t="n"/>
      <c r="GM16" s="18" t="n"/>
      <c r="GN16" s="18" t="n"/>
      <c r="GO16" s="18" t="n"/>
      <c r="GP16" s="18" t="n"/>
      <c r="GQ16" s="18" t="n"/>
      <c r="GR16" s="18" t="n"/>
      <c r="GS16" s="18" t="n"/>
      <c r="GT16" s="18" t="n"/>
      <c r="GU16" s="18" t="n"/>
      <c r="GV16" s="18" t="n"/>
      <c r="GW16" s="18" t="n"/>
      <c r="GX16" s="18" t="n"/>
      <c r="GY16" s="18" t="n"/>
      <c r="GZ16" s="18" t="n"/>
      <c r="HA16" s="18" t="n"/>
      <c r="HB16" s="18" t="n"/>
    </row>
    <row r="17" ht="15.75" customHeight="1">
      <c r="A17" s="11" t="n"/>
      <c r="B17" s="15" t="inlineStr">
        <is>
          <t xml:space="preserve">12.5mm Cement and sand (1:3) rendering </t>
        </is>
      </c>
      <c r="C17" s="12" t="n"/>
      <c r="D17" s="12" t="n"/>
      <c r="E17" s="11" t="n"/>
      <c r="F17" s="12" t="n"/>
      <c r="G17" s="12" t="n"/>
      <c r="H17" s="13" t="n"/>
      <c r="I17" s="18" t="n"/>
      <c r="J17" s="18" t="n"/>
      <c r="K17" s="18" t="n"/>
      <c r="L17" s="18" t="n"/>
      <c r="M17" s="18" t="n"/>
      <c r="N17" s="18" t="n"/>
      <c r="O17" s="18" t="n"/>
      <c r="P17" s="18" t="n"/>
      <c r="Q17" s="18" t="n"/>
      <c r="R17" s="18" t="n"/>
      <c r="S17" s="18" t="n"/>
      <c r="T17" s="18" t="n"/>
      <c r="U17" s="18" t="n"/>
      <c r="V17" s="18" t="n"/>
      <c r="W17" s="18" t="n"/>
      <c r="X17" s="18" t="n"/>
      <c r="Y17" s="18" t="n"/>
      <c r="Z17" s="18" t="n"/>
      <c r="AA17" s="18" t="n"/>
      <c r="AB17" s="18" t="n"/>
      <c r="AC17" s="18" t="n"/>
      <c r="AD17" s="18" t="n"/>
      <c r="AE17" s="18" t="n"/>
      <c r="AF17" s="18" t="n"/>
      <c r="AG17" s="18" t="n"/>
      <c r="AH17" s="18" t="n"/>
      <c r="AI17" s="18" t="n"/>
      <c r="AJ17" s="18" t="n"/>
      <c r="AK17" s="18" t="n"/>
      <c r="AL17" s="18" t="n"/>
      <c r="AM17" s="18" t="n"/>
      <c r="AN17" s="18" t="n"/>
      <c r="AO17" s="18" t="n"/>
      <c r="AP17" s="18" t="n"/>
      <c r="AQ17" s="18" t="n"/>
      <c r="AR17" s="18" t="n"/>
      <c r="AS17" s="18" t="n"/>
      <c r="AT17" s="18" t="n"/>
      <c r="AU17" s="18" t="n"/>
      <c r="AV17" s="18" t="n"/>
      <c r="AW17" s="18" t="n"/>
      <c r="AX17" s="18" t="n"/>
      <c r="AY17" s="18" t="n"/>
      <c r="AZ17" s="18" t="n"/>
      <c r="BA17" s="18" t="n"/>
      <c r="BB17" s="18" t="n"/>
      <c r="BC17" s="18" t="n"/>
      <c r="BD17" s="18" t="n"/>
      <c r="BE17" s="18" t="n"/>
      <c r="BF17" s="18" t="n"/>
      <c r="BG17" s="18" t="n"/>
      <c r="BH17" s="18" t="n"/>
      <c r="BI17" s="18" t="n"/>
      <c r="BJ17" s="18" t="n"/>
      <c r="BK17" s="18" t="n"/>
      <c r="BL17" s="18" t="n"/>
      <c r="BM17" s="18" t="n"/>
      <c r="BN17" s="18" t="n"/>
      <c r="BO17" s="18" t="n"/>
      <c r="BP17" s="18" t="n"/>
      <c r="BQ17" s="18" t="n"/>
      <c r="BR17" s="18" t="n"/>
      <c r="BS17" s="18" t="n"/>
      <c r="BT17" s="18" t="n"/>
      <c r="BU17" s="18" t="n"/>
      <c r="BV17" s="18" t="n"/>
      <c r="BW17" s="18" t="n"/>
      <c r="BX17" s="18" t="n"/>
      <c r="BY17" s="18" t="n"/>
      <c r="BZ17" s="18" t="n"/>
      <c r="CA17" s="18" t="n"/>
      <c r="CB17" s="18" t="n"/>
      <c r="CC17" s="18" t="n"/>
      <c r="CD17" s="18" t="n"/>
      <c r="CE17" s="18" t="n"/>
      <c r="CF17" s="18" t="n"/>
      <c r="CG17" s="18" t="n"/>
      <c r="CH17" s="18" t="n"/>
      <c r="CI17" s="18" t="n"/>
      <c r="CJ17" s="18" t="n"/>
      <c r="CK17" s="18" t="n"/>
      <c r="CL17" s="18" t="n"/>
      <c r="CM17" s="18" t="n"/>
      <c r="CN17" s="18" t="n"/>
      <c r="CO17" s="18" t="n"/>
      <c r="CP17" s="18" t="n"/>
      <c r="CQ17" s="18" t="n"/>
      <c r="CR17" s="18" t="n"/>
      <c r="CS17" s="18" t="n"/>
      <c r="CT17" s="18" t="n"/>
      <c r="CU17" s="18" t="n"/>
      <c r="CV17" s="18" t="n"/>
      <c r="CW17" s="18" t="n"/>
      <c r="CX17" s="18" t="n"/>
      <c r="CY17" s="18" t="n"/>
      <c r="CZ17" s="18" t="n"/>
      <c r="DA17" s="18" t="n"/>
      <c r="DB17" s="18" t="n"/>
      <c r="DC17" s="18" t="n"/>
      <c r="DD17" s="18" t="n"/>
      <c r="DE17" s="18" t="n"/>
      <c r="DF17" s="18" t="n"/>
      <c r="DG17" s="18" t="n"/>
      <c r="DH17" s="18" t="n"/>
      <c r="DI17" s="18" t="n"/>
      <c r="DJ17" s="18" t="n"/>
      <c r="DK17" s="18" t="n"/>
      <c r="DL17" s="18" t="n"/>
      <c r="DM17" s="18" t="n"/>
      <c r="DN17" s="18" t="n"/>
      <c r="DO17" s="18" t="n"/>
      <c r="DP17" s="18" t="n"/>
      <c r="DQ17" s="18" t="n"/>
      <c r="DR17" s="18" t="n"/>
      <c r="DS17" s="18" t="n"/>
      <c r="DT17" s="18" t="n"/>
      <c r="DU17" s="18" t="n"/>
      <c r="DV17" s="18" t="n"/>
      <c r="DW17" s="18" t="n"/>
      <c r="DX17" s="18" t="n"/>
      <c r="DY17" s="18" t="n"/>
      <c r="DZ17" s="18" t="n"/>
      <c r="EA17" s="18" t="n"/>
      <c r="EB17" s="18" t="n"/>
      <c r="EC17" s="18" t="n"/>
      <c r="ED17" s="18" t="n"/>
      <c r="EE17" s="18" t="n"/>
      <c r="EF17" s="18" t="n"/>
      <c r="EG17" s="18" t="n"/>
      <c r="EH17" s="18" t="n"/>
      <c r="EI17" s="18" t="n"/>
      <c r="EJ17" s="18" t="n"/>
      <c r="EK17" s="18" t="n"/>
      <c r="EL17" s="18" t="n"/>
      <c r="EM17" s="18" t="n"/>
      <c r="EN17" s="18" t="n"/>
      <c r="EO17" s="18" t="n"/>
      <c r="EP17" s="18" t="n"/>
      <c r="EQ17" s="18" t="n"/>
      <c r="ER17" s="18" t="n"/>
      <c r="ES17" s="18" t="n"/>
      <c r="ET17" s="18" t="n"/>
      <c r="EU17" s="18" t="n"/>
      <c r="EV17" s="18" t="n"/>
      <c r="EW17" s="18" t="n"/>
      <c r="EX17" s="18" t="n"/>
      <c r="EY17" s="18" t="n"/>
      <c r="EZ17" s="18" t="n"/>
      <c r="FA17" s="18" t="n"/>
      <c r="FB17" s="18" t="n"/>
      <c r="FC17" s="18" t="n"/>
      <c r="FD17" s="18" t="n"/>
      <c r="FE17" s="18" t="n"/>
      <c r="FF17" s="18" t="n"/>
      <c r="FG17" s="18" t="n"/>
      <c r="FH17" s="18" t="n"/>
      <c r="FI17" s="18" t="n"/>
      <c r="FJ17" s="18" t="n"/>
      <c r="FK17" s="18" t="n"/>
      <c r="FL17" s="18" t="n"/>
      <c r="FM17" s="18" t="n"/>
      <c r="FN17" s="18" t="n"/>
      <c r="FO17" s="18" t="n"/>
      <c r="FP17" s="18" t="n"/>
      <c r="FQ17" s="18" t="n"/>
      <c r="FR17" s="18" t="n"/>
      <c r="FS17" s="18" t="n"/>
      <c r="FT17" s="18" t="n"/>
      <c r="FU17" s="18" t="n"/>
      <c r="FV17" s="18" t="n"/>
      <c r="FW17" s="18" t="n"/>
      <c r="FX17" s="18" t="n"/>
      <c r="FY17" s="18" t="n"/>
      <c r="FZ17" s="18" t="n"/>
      <c r="GA17" s="18" t="n"/>
      <c r="GB17" s="18" t="n"/>
      <c r="GC17" s="18" t="n"/>
      <c r="GD17" s="18" t="n"/>
      <c r="GE17" s="18" t="n"/>
      <c r="GF17" s="18" t="n"/>
      <c r="GG17" s="18" t="n"/>
      <c r="GH17" s="18" t="n"/>
      <c r="GI17" s="18" t="n"/>
      <c r="GJ17" s="18" t="n"/>
      <c r="GK17" s="18" t="n"/>
      <c r="GL17" s="18" t="n"/>
      <c r="GM17" s="18" t="n"/>
      <c r="GN17" s="18" t="n"/>
      <c r="GO17" s="18" t="n"/>
      <c r="GP17" s="18" t="n"/>
      <c r="GQ17" s="18" t="n"/>
      <c r="GR17" s="18" t="n"/>
      <c r="GS17" s="18" t="n"/>
      <c r="GT17" s="18" t="n"/>
      <c r="GU17" s="18" t="n"/>
      <c r="GV17" s="18" t="n"/>
      <c r="GW17" s="18" t="n"/>
      <c r="GX17" s="18" t="n"/>
      <c r="GY17" s="18" t="n"/>
      <c r="GZ17" s="18" t="n"/>
      <c r="HA17" s="18" t="n"/>
      <c r="HB17" s="37" t="inlineStr">
        <is>
          <t> </t>
        </is>
      </c>
    </row>
    <row r="18" ht="15.75" customHeight="1">
      <c r="A18" s="11" t="n"/>
      <c r="B18" s="15" t="inlineStr">
        <is>
          <t>as described on blockwork or concrete to</t>
        </is>
      </c>
      <c r="C18" s="12" t="n"/>
      <c r="D18" s="12" t="n"/>
      <c r="E18" s="11" t="n"/>
      <c r="F18" s="14" t="n"/>
      <c r="G18" s="12" t="n"/>
      <c r="H18" s="16" t="n"/>
      <c r="I18" s="18" t="n"/>
      <c r="J18" s="18" t="n"/>
      <c r="K18" s="18" t="n"/>
      <c r="L18" s="18" t="n"/>
      <c r="M18" s="18" t="n"/>
      <c r="N18" s="18" t="n"/>
      <c r="O18" s="18" t="n"/>
      <c r="P18" s="18" t="n"/>
      <c r="Q18" s="18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/>
      <c r="AD18" s="18" t="n"/>
      <c r="AE18" s="18" t="n"/>
      <c r="AF18" s="18" t="n"/>
      <c r="AG18" s="18" t="n"/>
      <c r="AH18" s="18" t="n"/>
      <c r="AI18" s="18" t="n"/>
      <c r="AJ18" s="18" t="n"/>
      <c r="AK18" s="18" t="n"/>
      <c r="AL18" s="18" t="n"/>
      <c r="AM18" s="18" t="n"/>
      <c r="AN18" s="18" t="n"/>
      <c r="AO18" s="18" t="n"/>
      <c r="AP18" s="18" t="n"/>
      <c r="AQ18" s="18" t="n"/>
      <c r="AR18" s="18" t="n"/>
      <c r="AS18" s="18" t="n"/>
      <c r="AT18" s="18" t="n"/>
      <c r="AU18" s="18" t="n"/>
      <c r="AV18" s="18" t="n"/>
      <c r="AW18" s="18" t="n"/>
      <c r="AX18" s="18" t="n"/>
      <c r="AY18" s="18" t="n"/>
      <c r="AZ18" s="18" t="n"/>
      <c r="BA18" s="18" t="n"/>
      <c r="BB18" s="18" t="n"/>
      <c r="BC18" s="18" t="n"/>
      <c r="BD18" s="18" t="n"/>
      <c r="BE18" s="18" t="n"/>
      <c r="BF18" s="18" t="n"/>
      <c r="BG18" s="18" t="n"/>
      <c r="BH18" s="18" t="n"/>
      <c r="BI18" s="18" t="n"/>
      <c r="BJ18" s="18" t="n"/>
      <c r="BK18" s="18" t="n"/>
      <c r="BL18" s="18" t="n"/>
      <c r="BM18" s="18" t="n"/>
      <c r="BN18" s="18" t="n"/>
      <c r="BO18" s="18" t="n"/>
      <c r="BP18" s="18" t="n"/>
      <c r="BQ18" s="18" t="n"/>
      <c r="BR18" s="18" t="n"/>
      <c r="BS18" s="18" t="n"/>
      <c r="BT18" s="18" t="n"/>
      <c r="BU18" s="18" t="n"/>
      <c r="BV18" s="18" t="n"/>
      <c r="BW18" s="18" t="n"/>
      <c r="BX18" s="18" t="n"/>
      <c r="BY18" s="18" t="n"/>
      <c r="BZ18" s="18" t="n"/>
      <c r="CA18" s="18" t="n"/>
      <c r="CB18" s="18" t="n"/>
      <c r="CC18" s="18" t="n"/>
      <c r="CD18" s="18" t="n"/>
      <c r="CE18" s="18" t="n"/>
      <c r="CF18" s="18" t="n"/>
      <c r="CG18" s="18" t="n"/>
      <c r="CH18" s="18" t="n"/>
      <c r="CI18" s="18" t="n"/>
      <c r="CJ18" s="18" t="n"/>
      <c r="CK18" s="18" t="n"/>
      <c r="CL18" s="18" t="n"/>
      <c r="CM18" s="18" t="n"/>
      <c r="CN18" s="18" t="n"/>
      <c r="CO18" s="18" t="n"/>
      <c r="CP18" s="18" t="n"/>
      <c r="CQ18" s="18" t="n"/>
      <c r="CR18" s="18" t="n"/>
      <c r="CS18" s="18" t="n"/>
      <c r="CT18" s="18" t="n"/>
      <c r="CU18" s="18" t="n"/>
      <c r="CV18" s="18" t="n"/>
      <c r="CW18" s="18" t="n"/>
      <c r="CX18" s="18" t="n"/>
      <c r="CY18" s="18" t="n"/>
      <c r="CZ18" s="18" t="n"/>
      <c r="DA18" s="18" t="n"/>
      <c r="DB18" s="18" t="n"/>
      <c r="DC18" s="18" t="n"/>
      <c r="DD18" s="18" t="n"/>
      <c r="DE18" s="18" t="n"/>
      <c r="DF18" s="18" t="n"/>
      <c r="DG18" s="18" t="n"/>
      <c r="DH18" s="18" t="n"/>
      <c r="DI18" s="18" t="n"/>
      <c r="DJ18" s="18" t="n"/>
      <c r="DK18" s="18" t="n"/>
      <c r="DL18" s="18" t="n"/>
      <c r="DM18" s="18" t="n"/>
      <c r="DN18" s="18" t="n"/>
      <c r="DO18" s="18" t="n"/>
      <c r="DP18" s="18" t="n"/>
      <c r="DQ18" s="18" t="n"/>
      <c r="DR18" s="18" t="n"/>
      <c r="DS18" s="18" t="n"/>
      <c r="DT18" s="18" t="n"/>
      <c r="DU18" s="18" t="n"/>
      <c r="DV18" s="18" t="n"/>
      <c r="DW18" s="18" t="n"/>
      <c r="DX18" s="18" t="n"/>
      <c r="DY18" s="18" t="n"/>
      <c r="DZ18" s="18" t="n"/>
      <c r="EA18" s="18" t="n"/>
      <c r="EB18" s="18" t="n"/>
      <c r="EC18" s="18" t="n"/>
      <c r="ED18" s="18" t="n"/>
      <c r="EE18" s="18" t="n"/>
      <c r="EF18" s="18" t="n"/>
      <c r="EG18" s="18" t="n"/>
      <c r="EH18" s="18" t="n"/>
      <c r="EI18" s="18" t="n"/>
      <c r="EJ18" s="18" t="n"/>
      <c r="EK18" s="18" t="n"/>
      <c r="EL18" s="18" t="n"/>
      <c r="EM18" s="18" t="n"/>
      <c r="EN18" s="18" t="n"/>
      <c r="EO18" s="18" t="n"/>
      <c r="EP18" s="18" t="n"/>
      <c r="EQ18" s="18" t="n"/>
      <c r="ER18" s="18" t="n"/>
      <c r="ES18" s="18" t="n"/>
      <c r="ET18" s="18" t="n"/>
      <c r="EU18" s="18" t="n"/>
      <c r="EV18" s="18" t="n"/>
      <c r="EW18" s="18" t="n"/>
      <c r="EX18" s="18" t="n"/>
      <c r="EY18" s="18" t="n"/>
      <c r="EZ18" s="18" t="n"/>
      <c r="FA18" s="18" t="n"/>
      <c r="FB18" s="18" t="n"/>
      <c r="FC18" s="18" t="n"/>
      <c r="FD18" s="18" t="n"/>
      <c r="FE18" s="18" t="n"/>
      <c r="FF18" s="18" t="n"/>
      <c r="FG18" s="18" t="n"/>
      <c r="FH18" s="18" t="n"/>
      <c r="FI18" s="18" t="n"/>
      <c r="FJ18" s="18" t="n"/>
      <c r="FK18" s="18" t="n"/>
      <c r="FL18" s="18" t="n"/>
      <c r="FM18" s="18" t="n"/>
      <c r="FN18" s="18" t="n"/>
      <c r="FO18" s="18" t="n"/>
      <c r="FP18" s="18" t="n"/>
      <c r="FQ18" s="18" t="n"/>
      <c r="FR18" s="18" t="n"/>
      <c r="FS18" s="18" t="n"/>
      <c r="FT18" s="18" t="n"/>
      <c r="FU18" s="18" t="n"/>
      <c r="FV18" s="18" t="n"/>
      <c r="FW18" s="18" t="n"/>
      <c r="FX18" s="18" t="n"/>
      <c r="FY18" s="18" t="n"/>
      <c r="FZ18" s="18" t="n"/>
      <c r="GA18" s="18" t="n"/>
      <c r="GB18" s="18" t="n"/>
      <c r="GC18" s="18" t="n"/>
      <c r="GD18" s="18" t="n"/>
      <c r="GE18" s="18" t="n"/>
      <c r="GF18" s="18" t="n"/>
      <c r="GG18" s="18" t="n"/>
      <c r="GH18" s="18" t="n"/>
      <c r="GI18" s="18" t="n"/>
      <c r="GJ18" s="18" t="n"/>
      <c r="GK18" s="18" t="n"/>
      <c r="GL18" s="18" t="n"/>
      <c r="GM18" s="18" t="n"/>
      <c r="GN18" s="18" t="n"/>
      <c r="GO18" s="18" t="n"/>
      <c r="GP18" s="18" t="n"/>
      <c r="GQ18" s="18" t="n"/>
      <c r="GR18" s="18" t="n"/>
      <c r="GS18" s="18" t="n"/>
      <c r="GT18" s="18" t="n"/>
      <c r="GU18" s="18" t="n"/>
      <c r="GV18" s="18" t="n"/>
      <c r="GW18" s="18" t="n"/>
      <c r="GX18" s="18" t="n"/>
      <c r="GY18" s="18" t="n"/>
      <c r="GZ18" s="18" t="n"/>
      <c r="HA18" s="18" t="n"/>
      <c r="HB18" s="18" t="n"/>
    </row>
    <row r="19" ht="15.75" customHeight="1">
      <c r="A19" s="11" t="inlineStr">
        <is>
          <t>B</t>
        </is>
      </c>
      <c r="B19" s="8" t="inlineStr">
        <is>
          <t>Interior walls</t>
        </is>
      </c>
      <c r="C19" s="12" t="n">
        <v>26400</v>
      </c>
      <c r="D19" s="162">
        <f>'Verification Take-off'!E73</f>
        <v>17036.53266315789</v>
      </c>
      <c r="E19" s="11" t="inlineStr">
        <is>
          <t>m2</t>
        </is>
      </c>
      <c r="F19" s="163" t="inlineStr">
        <is>
          <t>m2</t>
        </is>
      </c>
      <c r="G19" s="150" t="n"/>
      <c r="H19" s="164">
        <f>G19*D19</f>
        <v>0.0</v>
      </c>
      <c r="I19" s="165" t="inlineStr"/>
    </row>
    <row r="20" ht="15.75" customHeight="1">
      <c r="A20" s="11" t="n"/>
      <c r="B20" s="8" t="n"/>
      <c r="C20" s="12" t="n"/>
      <c r="D20" s="12" t="n"/>
      <c r="E20" s="11" t="n"/>
      <c r="F20" s="12" t="n"/>
      <c r="G20" s="12" t="n"/>
      <c r="H20" s="160" t="n"/>
    </row>
    <row r="21" ht="15.75" customHeight="1">
      <c r="A21" s="11" t="inlineStr">
        <is>
          <t>C</t>
        </is>
      </c>
      <c r="B21" s="8" t="inlineStr">
        <is>
          <t>Interior partitions and washrooms</t>
        </is>
      </c>
      <c r="C21" s="12" t="n">
        <v>950</v>
      </c>
      <c r="D21" s="162">
        <f>'Verification Take-off'!E74</f>
        <v>2964.889736842106</v>
      </c>
      <c r="E21" s="11" t="inlineStr">
        <is>
          <t>m2</t>
        </is>
      </c>
      <c r="F21" s="163" t="inlineStr">
        <is>
          <t>m2</t>
        </is>
      </c>
      <c r="G21" s="150" t="n"/>
      <c r="H21" s="164">
        <f>G21*D21</f>
        <v>0.0</v>
      </c>
      <c r="I21" s="165" t="inlineStr"/>
    </row>
    <row r="22" ht="15.75" customHeight="1">
      <c r="A22" s="11" t="n"/>
      <c r="B22" s="8" t="n"/>
      <c r="C22" s="12" t="n"/>
      <c r="D22" s="12" t="n"/>
      <c r="E22" s="11" t="n"/>
      <c r="F22" s="12" t="n"/>
      <c r="G22" s="12" t="n"/>
      <c r="H22" s="160" t="n"/>
    </row>
    <row r="23" ht="15.75" customHeight="1">
      <c r="A23" s="11" t="n"/>
      <c r="B23" s="15" t="inlineStr">
        <is>
          <t>Cement and Sand(1:3) mortar as described</t>
        </is>
      </c>
      <c r="C23" s="12" t="n"/>
      <c r="D23" s="12" t="n"/>
      <c r="E23" s="11" t="n"/>
      <c r="F23" s="14" t="n"/>
      <c r="G23" s="12" t="n"/>
      <c r="H23" s="16" t="n"/>
      <c r="I23" s="18" t="n"/>
      <c r="J23" s="18" t="n"/>
      <c r="K23" s="18" t="n"/>
      <c r="L23" s="18" t="n"/>
      <c r="M23" s="18" t="n"/>
      <c r="N23" s="18" t="n"/>
      <c r="O23" s="18" t="n"/>
      <c r="P23" s="18" t="n"/>
      <c r="Q23" s="18" t="n"/>
      <c r="R23" s="18" t="n"/>
      <c r="S23" s="18" t="n"/>
      <c r="T23" s="18" t="n"/>
      <c r="U23" s="18" t="n"/>
      <c r="V23" s="18" t="n"/>
      <c r="W23" s="18" t="n"/>
      <c r="X23" s="18" t="n"/>
      <c r="Y23" s="18" t="n"/>
      <c r="Z23" s="18" t="n"/>
      <c r="AA23" s="18" t="n"/>
      <c r="AB23" s="18" t="n"/>
      <c r="AC23" s="18" t="n"/>
      <c r="AD23" s="18" t="n"/>
      <c r="AE23" s="18" t="n"/>
      <c r="AF23" s="18" t="n"/>
      <c r="AG23" s="18" t="n"/>
      <c r="AH23" s="18" t="n"/>
      <c r="AI23" s="18" t="n"/>
      <c r="AJ23" s="18" t="n"/>
      <c r="AK23" s="18" t="n"/>
      <c r="AL23" s="18" t="n"/>
      <c r="AM23" s="18" t="n"/>
      <c r="AN23" s="18" t="n"/>
      <c r="AO23" s="18" t="n"/>
      <c r="AP23" s="18" t="n"/>
      <c r="AQ23" s="18" t="n"/>
      <c r="AR23" s="18" t="n"/>
      <c r="AS23" s="18" t="n"/>
      <c r="AT23" s="18" t="n"/>
      <c r="AU23" s="18" t="n"/>
      <c r="AV23" s="18" t="n"/>
      <c r="AW23" s="18" t="n"/>
      <c r="AX23" s="18" t="n"/>
      <c r="AY23" s="18" t="n"/>
      <c r="AZ23" s="18" t="n"/>
      <c r="BA23" s="18" t="n"/>
      <c r="BB23" s="18" t="n"/>
      <c r="BC23" s="18" t="n"/>
      <c r="BD23" s="18" t="n"/>
      <c r="BE23" s="18" t="n"/>
      <c r="BF23" s="18" t="n"/>
      <c r="BG23" s="18" t="n"/>
      <c r="BH23" s="18" t="n"/>
      <c r="BI23" s="18" t="n"/>
      <c r="BJ23" s="18" t="n"/>
      <c r="BK23" s="18" t="n"/>
      <c r="BL23" s="18" t="n"/>
      <c r="BM23" s="18" t="n"/>
      <c r="BN23" s="18" t="n"/>
      <c r="BO23" s="18" t="n"/>
      <c r="BP23" s="18" t="n"/>
      <c r="BQ23" s="18" t="n"/>
      <c r="BR23" s="18" t="n"/>
      <c r="BS23" s="18" t="n"/>
      <c r="BT23" s="18" t="n"/>
      <c r="BU23" s="18" t="n"/>
      <c r="BV23" s="18" t="n"/>
      <c r="BW23" s="18" t="n"/>
      <c r="BX23" s="18" t="n"/>
      <c r="BY23" s="18" t="n"/>
      <c r="BZ23" s="18" t="n"/>
      <c r="CA23" s="18" t="n"/>
      <c r="CB23" s="18" t="n"/>
      <c r="CC23" s="18" t="n"/>
      <c r="CD23" s="18" t="n"/>
      <c r="CE23" s="18" t="n"/>
      <c r="CF23" s="18" t="n"/>
      <c r="CG23" s="18" t="n"/>
      <c r="CH23" s="18" t="n"/>
      <c r="CI23" s="18" t="n"/>
      <c r="CJ23" s="18" t="n"/>
      <c r="CK23" s="18" t="n"/>
      <c r="CL23" s="18" t="n"/>
      <c r="CM23" s="18" t="n"/>
      <c r="CN23" s="18" t="n"/>
      <c r="CO23" s="18" t="n"/>
      <c r="CP23" s="18" t="n"/>
      <c r="CQ23" s="18" t="n"/>
      <c r="CR23" s="18" t="n"/>
      <c r="CS23" s="18" t="n"/>
      <c r="CT23" s="18" t="n"/>
      <c r="CU23" s="18" t="n"/>
      <c r="CV23" s="18" t="n"/>
      <c r="CW23" s="18" t="n"/>
      <c r="CX23" s="18" t="n"/>
      <c r="CY23" s="18" t="n"/>
      <c r="CZ23" s="18" t="n"/>
      <c r="DA23" s="18" t="n"/>
      <c r="DB23" s="18" t="n"/>
      <c r="DC23" s="18" t="n"/>
      <c r="DD23" s="18" t="n"/>
      <c r="DE23" s="18" t="n"/>
      <c r="DF23" s="18" t="n"/>
      <c r="DG23" s="18" t="n"/>
      <c r="DH23" s="18" t="n"/>
      <c r="DI23" s="18" t="n"/>
      <c r="DJ23" s="18" t="n"/>
      <c r="DK23" s="18" t="n"/>
      <c r="DL23" s="18" t="n"/>
      <c r="DM23" s="18" t="n"/>
      <c r="DN23" s="18" t="n"/>
      <c r="DO23" s="18" t="n"/>
      <c r="DP23" s="18" t="n"/>
      <c r="DQ23" s="18" t="n"/>
      <c r="DR23" s="18" t="n"/>
      <c r="DS23" s="18" t="n"/>
      <c r="DT23" s="18" t="n"/>
      <c r="DU23" s="18" t="n"/>
      <c r="DV23" s="18" t="n"/>
      <c r="DW23" s="18" t="n"/>
      <c r="DX23" s="18" t="n"/>
      <c r="DY23" s="18" t="n"/>
      <c r="DZ23" s="18" t="n"/>
      <c r="EA23" s="18" t="n"/>
      <c r="EB23" s="18" t="n"/>
      <c r="EC23" s="18" t="n"/>
      <c r="ED23" s="18" t="n"/>
      <c r="EE23" s="18" t="n"/>
      <c r="EF23" s="18" t="n"/>
      <c r="EG23" s="18" t="n"/>
      <c r="EH23" s="18" t="n"/>
      <c r="EI23" s="18" t="n"/>
      <c r="EJ23" s="18" t="n"/>
      <c r="EK23" s="18" t="n"/>
      <c r="EL23" s="18" t="n"/>
      <c r="EM23" s="18" t="n"/>
      <c r="EN23" s="18" t="n"/>
      <c r="EO23" s="18" t="n"/>
      <c r="EP23" s="18" t="n"/>
      <c r="EQ23" s="18" t="n"/>
      <c r="ER23" s="18" t="n"/>
      <c r="ES23" s="18" t="n"/>
      <c r="ET23" s="18" t="n"/>
      <c r="EU23" s="18" t="n"/>
      <c r="EV23" s="18" t="n"/>
      <c r="EW23" s="18" t="n"/>
      <c r="EX23" s="18" t="n"/>
      <c r="EY23" s="18" t="n"/>
      <c r="EZ23" s="18" t="n"/>
      <c r="FA23" s="18" t="n"/>
      <c r="FB23" s="18" t="n"/>
      <c r="FC23" s="18" t="n"/>
      <c r="FD23" s="18" t="n"/>
      <c r="FE23" s="18" t="n"/>
      <c r="FF23" s="18" t="n"/>
      <c r="FG23" s="18" t="n"/>
      <c r="FH23" s="18" t="n"/>
      <c r="FI23" s="18" t="n"/>
      <c r="FJ23" s="18" t="n"/>
      <c r="FK23" s="18" t="n"/>
      <c r="FL23" s="18" t="n"/>
      <c r="FM23" s="18" t="n"/>
      <c r="FN23" s="18" t="n"/>
      <c r="FO23" s="18" t="n"/>
      <c r="FP23" s="18" t="n"/>
      <c r="FQ23" s="18" t="n"/>
      <c r="FR23" s="18" t="n"/>
      <c r="FS23" s="18" t="n"/>
      <c r="FT23" s="18" t="n"/>
      <c r="FU23" s="18" t="n"/>
      <c r="FV23" s="18" t="n"/>
      <c r="FW23" s="18" t="n"/>
      <c r="FX23" s="18" t="n"/>
      <c r="FY23" s="18" t="n"/>
      <c r="FZ23" s="18" t="n"/>
      <c r="GA23" s="18" t="n"/>
      <c r="GB23" s="18" t="n"/>
      <c r="GC23" s="18" t="n"/>
      <c r="GD23" s="18" t="n"/>
      <c r="GE23" s="18" t="n"/>
      <c r="GF23" s="18" t="n"/>
      <c r="GG23" s="18" t="n"/>
      <c r="GH23" s="18" t="n"/>
      <c r="GI23" s="18" t="n"/>
      <c r="GJ23" s="18" t="n"/>
      <c r="GK23" s="18" t="n"/>
      <c r="GL23" s="18" t="n"/>
      <c r="GM23" s="18" t="n"/>
      <c r="GN23" s="18" t="n"/>
      <c r="GO23" s="18" t="n"/>
      <c r="GP23" s="18" t="n"/>
      <c r="GQ23" s="18" t="n"/>
      <c r="GR23" s="18" t="n"/>
      <c r="GS23" s="18" t="n"/>
      <c r="GT23" s="18" t="n"/>
      <c r="GU23" s="18" t="n"/>
      <c r="GV23" s="18" t="n"/>
      <c r="GW23" s="18" t="n"/>
      <c r="GX23" s="18" t="n"/>
      <c r="GY23" s="18" t="n"/>
      <c r="GZ23" s="18" t="n"/>
      <c r="HA23" s="18" t="n"/>
      <c r="HB23" s="18" t="n"/>
    </row>
    <row r="24" ht="15.75" customHeight="1">
      <c r="A24" s="11" t="inlineStr">
        <is>
          <t>D</t>
        </is>
      </c>
      <c r="B24" s="8" t="inlineStr">
        <is>
          <t xml:space="preserve">25mm Screeded finish laid level on concrete and </t>
        </is>
      </c>
      <c r="C24" s="12" t="n"/>
      <c r="D24" s="12" t="n"/>
      <c r="E24" s="11" t="n"/>
      <c r="F24" s="14" t="n"/>
      <c r="G24" s="12" t="n"/>
      <c r="H24" s="16" t="n"/>
      <c r="I24" s="18" t="n"/>
      <c r="J24" s="18" t="n"/>
      <c r="K24" s="18" t="n"/>
      <c r="L24" s="18" t="n"/>
      <c r="M24" s="18" t="n"/>
      <c r="N24" s="18" t="n"/>
      <c r="O24" s="18" t="n"/>
      <c r="P24" s="18" t="n"/>
      <c r="Q24" s="18" t="n"/>
      <c r="R24" s="18" t="n"/>
      <c r="S24" s="18" t="n"/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  <c r="AC24" s="18" t="n"/>
      <c r="AD24" s="18" t="n"/>
      <c r="AE24" s="18" t="n"/>
      <c r="AF24" s="18" t="n"/>
      <c r="AG24" s="18" t="n"/>
      <c r="AH24" s="18" t="n"/>
      <c r="AI24" s="18" t="n"/>
      <c r="AJ24" s="18" t="n"/>
      <c r="AK24" s="18" t="n"/>
      <c r="AL24" s="18" t="n"/>
      <c r="AM24" s="18" t="n"/>
      <c r="AN24" s="18" t="n"/>
      <c r="AO24" s="18" t="n"/>
      <c r="AP24" s="18" t="n"/>
      <c r="AQ24" s="18" t="n"/>
      <c r="AR24" s="18" t="n"/>
      <c r="AS24" s="18" t="n"/>
      <c r="AT24" s="18" t="n"/>
      <c r="AU24" s="18" t="n"/>
      <c r="AV24" s="18" t="n"/>
      <c r="AW24" s="18" t="n"/>
      <c r="AX24" s="18" t="n"/>
      <c r="AY24" s="18" t="n"/>
      <c r="AZ24" s="18" t="n"/>
      <c r="BA24" s="18" t="n"/>
      <c r="BB24" s="18" t="n"/>
      <c r="BC24" s="18" t="n"/>
      <c r="BD24" s="18" t="n"/>
      <c r="BE24" s="18" t="n"/>
      <c r="BF24" s="18" t="n"/>
      <c r="BG24" s="18" t="n"/>
      <c r="BH24" s="18" t="n"/>
      <c r="BI24" s="18" t="n"/>
      <c r="BJ24" s="18" t="n"/>
      <c r="BK24" s="18" t="n"/>
      <c r="BL24" s="18" t="n"/>
      <c r="BM24" s="18" t="n"/>
      <c r="BN24" s="18" t="n"/>
      <c r="BO24" s="18" t="n"/>
      <c r="BP24" s="18" t="n"/>
      <c r="BQ24" s="18" t="n"/>
      <c r="BR24" s="18" t="n"/>
      <c r="BS24" s="18" t="n"/>
      <c r="BT24" s="18" t="n"/>
      <c r="BU24" s="18" t="n"/>
      <c r="BV24" s="18" t="n"/>
      <c r="BW24" s="18" t="n"/>
      <c r="BX24" s="18" t="n"/>
      <c r="BY24" s="18" t="n"/>
      <c r="BZ24" s="18" t="n"/>
      <c r="CA24" s="18" t="n"/>
      <c r="CB24" s="18" t="n"/>
      <c r="CC24" s="18" t="n"/>
      <c r="CD24" s="18" t="n"/>
      <c r="CE24" s="18" t="n"/>
      <c r="CF24" s="18" t="n"/>
      <c r="CG24" s="18" t="n"/>
      <c r="CH24" s="18" t="n"/>
      <c r="CI24" s="18" t="n"/>
      <c r="CJ24" s="18" t="n"/>
      <c r="CK24" s="18" t="n"/>
      <c r="CL24" s="18" t="n"/>
      <c r="CM24" s="18" t="n"/>
      <c r="CN24" s="18" t="n"/>
      <c r="CO24" s="18" t="n"/>
      <c r="CP24" s="18" t="n"/>
      <c r="CQ24" s="18" t="n"/>
      <c r="CR24" s="18" t="n"/>
      <c r="CS24" s="18" t="n"/>
      <c r="CT24" s="18" t="n"/>
      <c r="CU24" s="18" t="n"/>
      <c r="CV24" s="18" t="n"/>
      <c r="CW24" s="18" t="n"/>
      <c r="CX24" s="18" t="n"/>
      <c r="CY24" s="18" t="n"/>
      <c r="CZ24" s="18" t="n"/>
      <c r="DA24" s="18" t="n"/>
      <c r="DB24" s="18" t="n"/>
      <c r="DC24" s="18" t="n"/>
      <c r="DD24" s="18" t="n"/>
      <c r="DE24" s="18" t="n"/>
      <c r="DF24" s="18" t="n"/>
      <c r="DG24" s="18" t="n"/>
      <c r="DH24" s="18" t="n"/>
      <c r="DI24" s="18" t="n"/>
      <c r="DJ24" s="18" t="n"/>
      <c r="DK24" s="18" t="n"/>
      <c r="DL24" s="18" t="n"/>
      <c r="DM24" s="18" t="n"/>
      <c r="DN24" s="18" t="n"/>
      <c r="DO24" s="18" t="n"/>
      <c r="DP24" s="18" t="n"/>
      <c r="DQ24" s="18" t="n"/>
      <c r="DR24" s="18" t="n"/>
      <c r="DS24" s="18" t="n"/>
      <c r="DT24" s="18" t="n"/>
      <c r="DU24" s="18" t="n"/>
      <c r="DV24" s="18" t="n"/>
      <c r="DW24" s="18" t="n"/>
      <c r="DX24" s="18" t="n"/>
      <c r="DY24" s="18" t="n"/>
      <c r="DZ24" s="18" t="n"/>
      <c r="EA24" s="18" t="n"/>
      <c r="EB24" s="18" t="n"/>
      <c r="EC24" s="18" t="n"/>
      <c r="ED24" s="18" t="n"/>
      <c r="EE24" s="18" t="n"/>
      <c r="EF24" s="18" t="n"/>
      <c r="EG24" s="18" t="n"/>
      <c r="EH24" s="18" t="n"/>
      <c r="EI24" s="18" t="n"/>
      <c r="EJ24" s="18" t="n"/>
      <c r="EK24" s="18" t="n"/>
      <c r="EL24" s="18" t="n"/>
      <c r="EM24" s="18" t="n"/>
      <c r="EN24" s="18" t="n"/>
      <c r="EO24" s="18" t="n"/>
      <c r="EP24" s="18" t="n"/>
      <c r="EQ24" s="18" t="n"/>
      <c r="ER24" s="18" t="n"/>
      <c r="ES24" s="18" t="n"/>
      <c r="ET24" s="18" t="n"/>
      <c r="EU24" s="18" t="n"/>
      <c r="EV24" s="18" t="n"/>
      <c r="EW24" s="18" t="n"/>
      <c r="EX24" s="18" t="n"/>
      <c r="EY24" s="18" t="n"/>
      <c r="EZ24" s="18" t="n"/>
      <c r="FA24" s="18" t="n"/>
      <c r="FB24" s="18" t="n"/>
      <c r="FC24" s="18" t="n"/>
      <c r="FD24" s="18" t="n"/>
      <c r="FE24" s="18" t="n"/>
      <c r="FF24" s="18" t="n"/>
      <c r="FG24" s="18" t="n"/>
      <c r="FH24" s="18" t="n"/>
      <c r="FI24" s="18" t="n"/>
      <c r="FJ24" s="18" t="n"/>
      <c r="FK24" s="18" t="n"/>
      <c r="FL24" s="18" t="n"/>
      <c r="FM24" s="18" t="n"/>
      <c r="FN24" s="18" t="n"/>
      <c r="FO24" s="18" t="n"/>
      <c r="FP24" s="18" t="n"/>
      <c r="FQ24" s="18" t="n"/>
      <c r="FR24" s="18" t="n"/>
      <c r="FS24" s="18" t="n"/>
      <c r="FT24" s="18" t="n"/>
      <c r="FU24" s="18" t="n"/>
      <c r="FV24" s="18" t="n"/>
      <c r="FW24" s="18" t="n"/>
      <c r="FX24" s="18" t="n"/>
      <c r="FY24" s="18" t="n"/>
      <c r="FZ24" s="18" t="n"/>
      <c r="GA24" s="18" t="n"/>
      <c r="GB24" s="18" t="n"/>
      <c r="GC24" s="18" t="n"/>
      <c r="GD24" s="18" t="n"/>
      <c r="GE24" s="18" t="n"/>
      <c r="GF24" s="18" t="n"/>
      <c r="GG24" s="18" t="n"/>
      <c r="GH24" s="18" t="n"/>
      <c r="GI24" s="18" t="n"/>
      <c r="GJ24" s="18" t="n"/>
      <c r="GK24" s="18" t="n"/>
      <c r="GL24" s="18" t="n"/>
      <c r="GM24" s="18" t="n"/>
      <c r="GN24" s="18" t="n"/>
      <c r="GO24" s="18" t="n"/>
      <c r="GP24" s="18" t="n"/>
      <c r="GQ24" s="18" t="n"/>
      <c r="GR24" s="18" t="n"/>
      <c r="GS24" s="18" t="n"/>
      <c r="GT24" s="18" t="n"/>
      <c r="GU24" s="18" t="n"/>
      <c r="GV24" s="18" t="n"/>
      <c r="GW24" s="18" t="n"/>
      <c r="GX24" s="18" t="n"/>
      <c r="GY24" s="18" t="n"/>
      <c r="GZ24" s="18" t="n"/>
      <c r="HA24" s="18" t="n"/>
      <c r="HB24" s="18" t="n"/>
    </row>
    <row r="25" ht="15.75" customHeight="1">
      <c r="A25" s="11" t="n"/>
      <c r="B25" s="8" t="inlineStr">
        <is>
          <t>finished smooth with steel trowel</t>
        </is>
      </c>
      <c r="C25" s="12" t="n">
        <v>17600</v>
      </c>
      <c r="D25" s="162">
        <f>'Verification Take-off'!E85</f>
        <v>7644.199999999999</v>
      </c>
      <c r="E25" s="11" t="inlineStr">
        <is>
          <t>m2</t>
        </is>
      </c>
      <c r="F25" s="163" t="inlineStr">
        <is>
          <t>m2</t>
        </is>
      </c>
      <c r="G25" s="150" t="n"/>
      <c r="H25" s="16">
        <f>G25*D25</f>
        <v>0.0</v>
      </c>
      <c r="I25" s="184" t="inlineStr">
        <is>
          <t>BOQ 17,600 m2 appears to be gross slab area; screed measured to tiled floors</t>
        </is>
      </c>
      <c r="J25" s="18" t="n"/>
      <c r="K25" s="18" t="n"/>
      <c r="L25" s="18" t="n"/>
      <c r="M25" s="18" t="n"/>
      <c r="N25" s="18" t="n"/>
      <c r="O25" s="18" t="n"/>
      <c r="P25" s="18" t="n"/>
      <c r="Q25" s="18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18" t="n"/>
      <c r="AD25" s="18" t="n"/>
      <c r="AE25" s="18" t="n"/>
      <c r="AF25" s="18" t="n"/>
      <c r="AG25" s="18" t="n"/>
      <c r="AH25" s="18" t="n"/>
      <c r="AI25" s="18" t="n"/>
      <c r="AJ25" s="18" t="n"/>
      <c r="AK25" s="18" t="n"/>
      <c r="AL25" s="18" t="n"/>
      <c r="AM25" s="18" t="n"/>
      <c r="AN25" s="18" t="n"/>
      <c r="AO25" s="18" t="n"/>
      <c r="AP25" s="18" t="n"/>
      <c r="AQ25" s="18" t="n"/>
      <c r="AR25" s="18" t="n"/>
      <c r="AS25" s="18" t="n"/>
      <c r="AT25" s="18" t="n"/>
      <c r="AU25" s="18" t="n"/>
      <c r="AV25" s="18" t="n"/>
      <c r="AW25" s="18" t="n"/>
      <c r="AX25" s="18" t="n"/>
      <c r="AY25" s="18" t="n"/>
      <c r="AZ25" s="18" t="n"/>
      <c r="BA25" s="18" t="n"/>
      <c r="BB25" s="18" t="n"/>
      <c r="BC25" s="18" t="n"/>
      <c r="BD25" s="18" t="n"/>
      <c r="BE25" s="18" t="n"/>
      <c r="BF25" s="18" t="n"/>
      <c r="BG25" s="18" t="n"/>
      <c r="BH25" s="18" t="n"/>
      <c r="BI25" s="18" t="n"/>
      <c r="BJ25" s="18" t="n"/>
      <c r="BK25" s="18" t="n"/>
      <c r="BL25" s="18" t="n"/>
      <c r="BM25" s="18" t="n"/>
      <c r="BN25" s="18" t="n"/>
      <c r="BO25" s="18" t="n"/>
      <c r="BP25" s="18" t="n"/>
      <c r="BQ25" s="18" t="n"/>
      <c r="BR25" s="18" t="n"/>
      <c r="BS25" s="18" t="n"/>
      <c r="BT25" s="18" t="n"/>
      <c r="BU25" s="18" t="n"/>
      <c r="BV25" s="18" t="n"/>
      <c r="BW25" s="18" t="n"/>
      <c r="BX25" s="18" t="n"/>
      <c r="BY25" s="18" t="n"/>
      <c r="BZ25" s="18" t="n"/>
      <c r="CA25" s="18" t="n"/>
      <c r="CB25" s="18" t="n"/>
      <c r="CC25" s="18" t="n"/>
      <c r="CD25" s="18" t="n"/>
      <c r="CE25" s="18" t="n"/>
      <c r="CF25" s="18" t="n"/>
      <c r="CG25" s="18" t="n"/>
      <c r="CH25" s="18" t="n"/>
      <c r="CI25" s="18" t="n"/>
      <c r="CJ25" s="18" t="n"/>
      <c r="CK25" s="18" t="n"/>
      <c r="CL25" s="18" t="n"/>
      <c r="CM25" s="18" t="n"/>
      <c r="CN25" s="18" t="n"/>
      <c r="CO25" s="18" t="n"/>
      <c r="CP25" s="18" t="n"/>
      <c r="CQ25" s="18" t="n"/>
      <c r="CR25" s="18" t="n"/>
      <c r="CS25" s="18" t="n"/>
      <c r="CT25" s="18" t="n"/>
      <c r="CU25" s="18" t="n"/>
      <c r="CV25" s="18" t="n"/>
      <c r="CW25" s="18" t="n"/>
      <c r="CX25" s="18" t="n"/>
      <c r="CY25" s="18" t="n"/>
      <c r="CZ25" s="18" t="n"/>
      <c r="DA25" s="18" t="n"/>
      <c r="DB25" s="18" t="n"/>
      <c r="DC25" s="18" t="n"/>
      <c r="DD25" s="18" t="n"/>
      <c r="DE25" s="18" t="n"/>
      <c r="DF25" s="18" t="n"/>
      <c r="DG25" s="18" t="n"/>
      <c r="DH25" s="18" t="n"/>
      <c r="DI25" s="18" t="n"/>
      <c r="DJ25" s="18" t="n"/>
      <c r="DK25" s="18" t="n"/>
      <c r="DL25" s="18" t="n"/>
      <c r="DM25" s="18" t="n"/>
      <c r="DN25" s="18" t="n"/>
      <c r="DO25" s="18" t="n"/>
      <c r="DP25" s="18" t="n"/>
      <c r="DQ25" s="18" t="n"/>
      <c r="DR25" s="18" t="n"/>
      <c r="DS25" s="18" t="n"/>
      <c r="DT25" s="18" t="n"/>
      <c r="DU25" s="18" t="n"/>
      <c r="DV25" s="18" t="n"/>
      <c r="DW25" s="18" t="n"/>
      <c r="DX25" s="18" t="n"/>
      <c r="DY25" s="18" t="n"/>
      <c r="DZ25" s="18" t="n"/>
      <c r="EA25" s="18" t="n"/>
      <c r="EB25" s="18" t="n"/>
      <c r="EC25" s="18" t="n"/>
      <c r="ED25" s="18" t="n"/>
      <c r="EE25" s="18" t="n"/>
      <c r="EF25" s="18" t="n"/>
      <c r="EG25" s="18" t="n"/>
      <c r="EH25" s="18" t="n"/>
      <c r="EI25" s="18" t="n"/>
      <c r="EJ25" s="18" t="n"/>
      <c r="EK25" s="18" t="n"/>
      <c r="EL25" s="18" t="n"/>
      <c r="EM25" s="18" t="n"/>
      <c r="EN25" s="18" t="n"/>
      <c r="EO25" s="18" t="n"/>
      <c r="EP25" s="18" t="n"/>
      <c r="EQ25" s="18" t="n"/>
      <c r="ER25" s="18" t="n"/>
      <c r="ES25" s="18" t="n"/>
      <c r="ET25" s="18" t="n"/>
      <c r="EU25" s="18" t="n"/>
      <c r="EV25" s="18" t="n"/>
      <c r="EW25" s="18" t="n"/>
      <c r="EX25" s="18" t="n"/>
      <c r="EY25" s="18" t="n"/>
      <c r="EZ25" s="18" t="n"/>
      <c r="FA25" s="18" t="n"/>
      <c r="FB25" s="18" t="n"/>
      <c r="FC25" s="18" t="n"/>
      <c r="FD25" s="18" t="n"/>
      <c r="FE25" s="18" t="n"/>
      <c r="FF25" s="18" t="n"/>
      <c r="FG25" s="18" t="n"/>
      <c r="FH25" s="18" t="n"/>
      <c r="FI25" s="18" t="n"/>
      <c r="FJ25" s="18" t="n"/>
      <c r="FK25" s="18" t="n"/>
      <c r="FL25" s="18" t="n"/>
      <c r="FM25" s="18" t="n"/>
      <c r="FN25" s="18" t="n"/>
      <c r="FO25" s="18" t="n"/>
      <c r="FP25" s="18" t="n"/>
      <c r="FQ25" s="18" t="n"/>
      <c r="FR25" s="18" t="n"/>
      <c r="FS25" s="18" t="n"/>
      <c r="FT25" s="18" t="n"/>
      <c r="FU25" s="18" t="n"/>
      <c r="FV25" s="18" t="n"/>
      <c r="FW25" s="18" t="n"/>
      <c r="FX25" s="18" t="n"/>
      <c r="FY25" s="18" t="n"/>
      <c r="FZ25" s="18" t="n"/>
      <c r="GA25" s="18" t="n"/>
      <c r="GB25" s="18" t="n"/>
      <c r="GC25" s="18" t="n"/>
      <c r="GD25" s="18" t="n"/>
      <c r="GE25" s="18" t="n"/>
      <c r="GF25" s="18" t="n"/>
      <c r="GG25" s="18" t="n"/>
      <c r="GH25" s="18" t="n"/>
      <c r="GI25" s="18" t="n"/>
      <c r="GJ25" s="18" t="n"/>
      <c r="GK25" s="18" t="n"/>
      <c r="GL25" s="18" t="n"/>
      <c r="GM25" s="18" t="n"/>
      <c r="GN25" s="18" t="n"/>
      <c r="GO25" s="18" t="n"/>
      <c r="GP25" s="18" t="n"/>
      <c r="GQ25" s="18" t="n"/>
      <c r="GR25" s="18" t="n"/>
      <c r="GS25" s="18" t="n"/>
      <c r="GT25" s="18" t="n"/>
      <c r="GU25" s="18" t="n"/>
      <c r="GV25" s="18" t="n"/>
      <c r="GW25" s="18" t="n"/>
      <c r="GX25" s="18" t="n"/>
      <c r="GY25" s="18" t="n"/>
      <c r="GZ25" s="18" t="n"/>
      <c r="HA25" s="18" t="n"/>
      <c r="HB25" s="18" t="n"/>
    </row>
    <row r="26" ht="15.75" customHeight="1">
      <c r="A26" s="11" t="n"/>
      <c r="B26" s="8" t="n"/>
      <c r="C26" s="12" t="n"/>
      <c r="D26" s="12" t="n"/>
      <c r="E26" s="11" t="n"/>
      <c r="F26" s="14" t="n"/>
      <c r="G26" s="14" t="n"/>
      <c r="H26" s="16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/>
      <c r="AD26" s="18" t="n"/>
      <c r="AE26" s="18" t="n"/>
      <c r="AF26" s="18" t="n"/>
      <c r="AG26" s="18" t="n"/>
      <c r="AH26" s="18" t="n"/>
      <c r="AI26" s="18" t="n"/>
      <c r="AJ26" s="18" t="n"/>
      <c r="AK26" s="18" t="n"/>
      <c r="AL26" s="18" t="n"/>
      <c r="AM26" s="18" t="n"/>
      <c r="AN26" s="18" t="n"/>
      <c r="AO26" s="18" t="n"/>
      <c r="AP26" s="18" t="n"/>
      <c r="AQ26" s="18" t="n"/>
      <c r="AR26" s="18" t="n"/>
      <c r="AS26" s="18" t="n"/>
      <c r="AT26" s="18" t="n"/>
      <c r="AU26" s="18" t="n"/>
      <c r="AV26" s="18" t="n"/>
      <c r="AW26" s="18" t="n"/>
      <c r="AX26" s="18" t="n"/>
      <c r="AY26" s="18" t="n"/>
      <c r="AZ26" s="18" t="n"/>
      <c r="BA26" s="18" t="n"/>
      <c r="BB26" s="18" t="n"/>
      <c r="BC26" s="18" t="n"/>
      <c r="BD26" s="18" t="n"/>
      <c r="BE26" s="18" t="n"/>
      <c r="BF26" s="18" t="n"/>
      <c r="BG26" s="18" t="n"/>
      <c r="BH26" s="18" t="n"/>
      <c r="BI26" s="18" t="n"/>
      <c r="BJ26" s="18" t="n"/>
      <c r="BK26" s="18" t="n"/>
      <c r="BL26" s="18" t="n"/>
      <c r="BM26" s="18" t="n"/>
      <c r="BN26" s="18" t="n"/>
      <c r="BO26" s="18" t="n"/>
      <c r="BP26" s="18" t="n"/>
      <c r="BQ26" s="18" t="n"/>
      <c r="BR26" s="18" t="n"/>
      <c r="BS26" s="18" t="n"/>
      <c r="BT26" s="18" t="n"/>
      <c r="BU26" s="18" t="n"/>
      <c r="BV26" s="18" t="n"/>
      <c r="BW26" s="18" t="n"/>
      <c r="BX26" s="18" t="n"/>
      <c r="BY26" s="18" t="n"/>
      <c r="BZ26" s="18" t="n"/>
      <c r="CA26" s="18" t="n"/>
      <c r="CB26" s="18" t="n"/>
      <c r="CC26" s="18" t="n"/>
      <c r="CD26" s="18" t="n"/>
      <c r="CE26" s="18" t="n"/>
      <c r="CF26" s="18" t="n"/>
      <c r="CG26" s="18" t="n"/>
      <c r="CH26" s="18" t="n"/>
      <c r="CI26" s="18" t="n"/>
      <c r="CJ26" s="18" t="n"/>
      <c r="CK26" s="18" t="n"/>
      <c r="CL26" s="18" t="n"/>
      <c r="CM26" s="18" t="n"/>
      <c r="CN26" s="18" t="n"/>
      <c r="CO26" s="18" t="n"/>
      <c r="CP26" s="18" t="n"/>
      <c r="CQ26" s="18" t="n"/>
      <c r="CR26" s="18" t="n"/>
      <c r="CS26" s="18" t="n"/>
      <c r="CT26" s="18" t="n"/>
      <c r="CU26" s="18" t="n"/>
      <c r="CV26" s="18" t="n"/>
      <c r="CW26" s="18" t="n"/>
      <c r="CX26" s="18" t="n"/>
      <c r="CY26" s="18" t="n"/>
      <c r="CZ26" s="18" t="n"/>
      <c r="DA26" s="18" t="n"/>
      <c r="DB26" s="18" t="n"/>
      <c r="DC26" s="18" t="n"/>
      <c r="DD26" s="18" t="n"/>
      <c r="DE26" s="18" t="n"/>
      <c r="DF26" s="18" t="n"/>
      <c r="DG26" s="18" t="n"/>
      <c r="DH26" s="18" t="n"/>
      <c r="DI26" s="18" t="n"/>
      <c r="DJ26" s="18" t="n"/>
      <c r="DK26" s="18" t="n"/>
      <c r="DL26" s="18" t="n"/>
      <c r="DM26" s="18" t="n"/>
      <c r="DN26" s="18" t="n"/>
      <c r="DO26" s="18" t="n"/>
      <c r="DP26" s="18" t="n"/>
      <c r="DQ26" s="18" t="n"/>
      <c r="DR26" s="18" t="n"/>
      <c r="DS26" s="18" t="n"/>
      <c r="DT26" s="18" t="n"/>
      <c r="DU26" s="18" t="n"/>
      <c r="DV26" s="18" t="n"/>
      <c r="DW26" s="18" t="n"/>
      <c r="DX26" s="18" t="n"/>
      <c r="DY26" s="18" t="n"/>
      <c r="DZ26" s="18" t="n"/>
      <c r="EA26" s="18" t="n"/>
      <c r="EB26" s="18" t="n"/>
      <c r="EC26" s="18" t="n"/>
      <c r="ED26" s="18" t="n"/>
      <c r="EE26" s="18" t="n"/>
      <c r="EF26" s="18" t="n"/>
      <c r="EG26" s="18" t="n"/>
      <c r="EH26" s="18" t="n"/>
      <c r="EI26" s="18" t="n"/>
      <c r="EJ26" s="18" t="n"/>
      <c r="EK26" s="18" t="n"/>
      <c r="EL26" s="18" t="n"/>
      <c r="EM26" s="18" t="n"/>
      <c r="EN26" s="18" t="n"/>
      <c r="EO26" s="18" t="n"/>
      <c r="EP26" s="18" t="n"/>
      <c r="EQ26" s="18" t="n"/>
      <c r="ER26" s="18" t="n"/>
      <c r="ES26" s="18" t="n"/>
      <c r="ET26" s="18" t="n"/>
      <c r="EU26" s="18" t="n"/>
      <c r="EV26" s="18" t="n"/>
      <c r="EW26" s="18" t="n"/>
      <c r="EX26" s="18" t="n"/>
      <c r="EY26" s="18" t="n"/>
      <c r="EZ26" s="18" t="n"/>
      <c r="FA26" s="18" t="n"/>
      <c r="FB26" s="18" t="n"/>
      <c r="FC26" s="18" t="n"/>
      <c r="FD26" s="18" t="n"/>
      <c r="FE26" s="18" t="n"/>
      <c r="FF26" s="18" t="n"/>
      <c r="FG26" s="18" t="n"/>
      <c r="FH26" s="18" t="n"/>
      <c r="FI26" s="18" t="n"/>
      <c r="FJ26" s="18" t="n"/>
      <c r="FK26" s="18" t="n"/>
      <c r="FL26" s="18" t="n"/>
      <c r="FM26" s="18" t="n"/>
      <c r="FN26" s="18" t="n"/>
      <c r="FO26" s="18" t="n"/>
      <c r="FP26" s="18" t="n"/>
      <c r="FQ26" s="18" t="n"/>
      <c r="FR26" s="18" t="n"/>
      <c r="FS26" s="18" t="n"/>
      <c r="FT26" s="18" t="n"/>
      <c r="FU26" s="18" t="n"/>
      <c r="FV26" s="18" t="n"/>
      <c r="FW26" s="18" t="n"/>
      <c r="FX26" s="18" t="n"/>
      <c r="FY26" s="18" t="n"/>
      <c r="FZ26" s="18" t="n"/>
      <c r="GA26" s="18" t="n"/>
      <c r="GB26" s="18" t="n"/>
      <c r="GC26" s="18" t="n"/>
      <c r="GD26" s="18" t="n"/>
      <c r="GE26" s="18" t="n"/>
      <c r="GF26" s="18" t="n"/>
      <c r="GG26" s="18" t="n"/>
      <c r="GH26" s="18" t="n"/>
      <c r="GI26" s="18" t="n"/>
      <c r="GJ26" s="18" t="n"/>
      <c r="GK26" s="18" t="n"/>
      <c r="GL26" s="18" t="n"/>
      <c r="GM26" s="18" t="n"/>
      <c r="GN26" s="18" t="n"/>
      <c r="GO26" s="18" t="n"/>
      <c r="GP26" s="18" t="n"/>
      <c r="GQ26" s="18" t="n"/>
      <c r="GR26" s="18" t="n"/>
      <c r="GS26" s="18" t="n"/>
      <c r="GT26" s="18" t="n"/>
      <c r="GU26" s="18" t="n"/>
      <c r="GV26" s="18" t="n"/>
      <c r="GW26" s="18" t="n"/>
      <c r="GX26" s="18" t="n"/>
      <c r="GY26" s="18" t="n"/>
      <c r="GZ26" s="18" t="n"/>
      <c r="HA26" s="18" t="n"/>
      <c r="HB26" s="18" t="n"/>
    </row>
    <row r="27" ht="15.75" customHeight="1">
      <c r="A27" s="178" t="inlineStr">
        <is>
          <t>D1</t>
        </is>
      </c>
      <c r="B27" s="179" t="inlineStr">
        <is>
          <t>12.5mm cement &amp; sand (1:3) rendering to external walls</t>
        </is>
      </c>
      <c r="C27" s="180" t="n"/>
      <c r="D27" s="162">
        <f>'Verification Take-off'!E75</f>
        <v>7081.574999999999</v>
      </c>
      <c r="E27" s="178" t="inlineStr">
        <is>
          <t>-</t>
        </is>
      </c>
      <c r="F27" s="163" t="inlineStr">
        <is>
          <t>m2</t>
        </is>
      </c>
      <c r="G27" s="181" t="n"/>
      <c r="H27" s="215">
        <f>G27*D27</f>
        <v>0.0</v>
      </c>
      <c r="I27" s="200" t="inlineStr">
        <is>
          <t>ADDED - no external render item in BOQ</t>
        </is>
      </c>
    </row>
    <row r="28" ht="15.75" customHeight="1">
      <c r="A28" s="11" t="n"/>
      <c r="B28" s="8" t="n"/>
      <c r="C28" s="12" t="n"/>
      <c r="D28" s="12" t="n"/>
      <c r="E28" s="11" t="n"/>
      <c r="F28" s="14" t="n"/>
      <c r="G28" s="14" t="n"/>
      <c r="H28" s="164" t="n"/>
    </row>
    <row r="29" ht="15.75" customHeight="1">
      <c r="A29" s="11" t="n"/>
      <c r="B29" s="10" t="inlineStr">
        <is>
          <t>Painting and  decorating</t>
        </is>
      </c>
      <c r="C29" s="12" t="n"/>
      <c r="D29" s="12" t="n"/>
      <c r="E29" s="11" t="n"/>
      <c r="F29" s="12" t="n"/>
      <c r="G29" s="13" t="n"/>
      <c r="H29" s="160" t="n"/>
    </row>
    <row r="30" ht="15.75" customHeight="1">
      <c r="A30" s="11" t="n"/>
      <c r="B30" s="8" t="inlineStr">
        <is>
          <t xml:space="preserve">Prepare and apply two undercoat and finishing </t>
        </is>
      </c>
      <c r="C30" s="8" t="n"/>
      <c r="D30" s="8" t="n"/>
      <c r="E30" s="8" t="n"/>
      <c r="F30" s="13" t="n"/>
      <c r="G30" s="13" t="n"/>
      <c r="H30" s="160" t="n"/>
    </row>
    <row r="31" ht="15.75" customHeight="1">
      <c r="A31" s="11" t="n"/>
      <c r="B31" s="15" t="inlineStr">
        <is>
          <t>coat of  Emulsion Paint on:</t>
        </is>
      </c>
      <c r="C31" s="12" t="n"/>
      <c r="D31" s="12" t="n"/>
      <c r="E31" s="11" t="n"/>
      <c r="F31" s="12" t="n"/>
      <c r="G31" s="12" t="n"/>
      <c r="H31" s="160" t="n"/>
    </row>
    <row r="32" ht="15.75" customHeight="1">
      <c r="A32" s="11" t="inlineStr">
        <is>
          <t>E</t>
        </is>
      </c>
      <c r="B32" s="8" t="inlineStr">
        <is>
          <t>Interior walls</t>
        </is>
      </c>
      <c r="C32" s="12" t="n">
        <v>26400</v>
      </c>
      <c r="D32" s="162">
        <f>'Verification Take-off'!E90</f>
        <v>17036.53266315789</v>
      </c>
      <c r="E32" s="11" t="inlineStr">
        <is>
          <t>m2</t>
        </is>
      </c>
      <c r="F32" s="163" t="inlineStr">
        <is>
          <t>m2</t>
        </is>
      </c>
      <c r="G32" s="150" t="n"/>
      <c r="H32" s="164">
        <f>G32*D32</f>
        <v>0.0</v>
      </c>
      <c r="I32" s="165" t="inlineStr"/>
    </row>
    <row r="33" ht="15.75" customHeight="1">
      <c r="A33" s="11" t="n"/>
      <c r="B33" s="8" t="n"/>
      <c r="C33" s="12" t="n"/>
      <c r="D33" s="12" t="n"/>
      <c r="E33" s="11" t="n"/>
      <c r="F33" s="12" t="n"/>
      <c r="G33" s="12" t="n"/>
      <c r="H33" s="160" t="n"/>
    </row>
    <row r="34" ht="15.75" customHeight="1">
      <c r="A34" s="11" t="inlineStr">
        <is>
          <t>F</t>
        </is>
      </c>
      <c r="B34" s="8" t="inlineStr">
        <is>
          <t>Interior partitions and washrooms</t>
        </is>
      </c>
      <c r="C34" s="12" t="n">
        <v>950</v>
      </c>
      <c r="D34" s="162">
        <f>'Verification Take-off'!E91</f>
        <v>688.0081578947375</v>
      </c>
      <c r="E34" s="11" t="inlineStr">
        <is>
          <t>m2</t>
        </is>
      </c>
      <c r="F34" s="163" t="inlineStr">
        <is>
          <t>m2</t>
        </is>
      </c>
      <c r="G34" s="150" t="n"/>
      <c r="H34" s="164">
        <f>G34*D34</f>
        <v>0.0</v>
      </c>
      <c r="I34" s="165" t="inlineStr"/>
    </row>
    <row r="35" ht="15.75" customHeight="1">
      <c r="A35" s="11" t="n"/>
      <c r="B35" s="8" t="n"/>
      <c r="C35" s="12" t="n"/>
      <c r="D35" s="12" t="n"/>
      <c r="E35" s="11" t="n"/>
      <c r="F35" s="12" t="n"/>
      <c r="G35" s="12" t="n"/>
      <c r="H35" s="160" t="n"/>
    </row>
    <row r="36" ht="15.75" customHeight="1">
      <c r="A36" s="11" t="inlineStr">
        <is>
          <t>G</t>
        </is>
      </c>
      <c r="B36" s="8" t="inlineStr">
        <is>
          <t>Exterior walls</t>
        </is>
      </c>
      <c r="C36" s="12" t="n">
        <v>5200</v>
      </c>
      <c r="D36" s="162">
        <f>'Verification Take-off'!E92</f>
        <v>7081.574999999999</v>
      </c>
      <c r="E36" s="11" t="inlineStr">
        <is>
          <t>m2</t>
        </is>
      </c>
      <c r="F36" s="163" t="inlineStr">
        <is>
          <t>m2</t>
        </is>
      </c>
      <c r="G36" s="150" t="n"/>
      <c r="H36" s="164">
        <f>G36*D36</f>
        <v>0.0</v>
      </c>
      <c r="I36" s="165" t="inlineStr"/>
    </row>
    <row r="37" ht="15.75" customHeight="1">
      <c r="A37" s="11" t="n"/>
      <c r="B37" s="8" t="n"/>
      <c r="C37" s="12" t="n"/>
      <c r="D37" s="12" t="n"/>
      <c r="E37" s="11" t="n"/>
      <c r="F37" s="12" t="n"/>
      <c r="G37" s="12" t="n"/>
      <c r="H37" s="160" t="n"/>
    </row>
    <row r="38" ht="15.75" customHeight="1">
      <c r="A38" s="11" t="inlineStr">
        <is>
          <t>H</t>
        </is>
      </c>
      <c r="B38" s="166" t="inlineStr">
        <is>
          <t>Ditto  to columns and walls not exceeding 300mm girth
[PER DRAWINGS: columns are girth exceeding 300mm - measured in m2 (exposed faces GF &amp; parking levels)]</t>
        </is>
      </c>
      <c r="C38" s="12" t="n">
        <v>700</v>
      </c>
      <c r="D38" s="162">
        <f>'Verification Take-off'!E93</f>
        <v>948.4999999999999</v>
      </c>
      <c r="E38" s="11" t="inlineStr">
        <is>
          <t>m2</t>
        </is>
      </c>
      <c r="F38" s="163" t="inlineStr">
        <is>
          <t>m2</t>
        </is>
      </c>
      <c r="G38" s="150" t="n"/>
      <c r="H38" s="164">
        <f>G38*D38</f>
        <v>0.0</v>
      </c>
      <c r="I38" s="165" t="inlineStr"/>
    </row>
    <row r="39" ht="15.75" customHeight="1">
      <c r="A39" s="11" t="n"/>
      <c r="B39" s="8" t="n"/>
      <c r="C39" s="12" t="n"/>
      <c r="D39" s="12" t="n"/>
      <c r="E39" s="11" t="n"/>
      <c r="F39" s="14" t="n"/>
      <c r="G39" s="14" t="n"/>
      <c r="H39" s="164" t="n"/>
    </row>
    <row r="40" ht="15.75" customHeight="1">
      <c r="A40" s="11" t="inlineStr">
        <is>
          <t>J</t>
        </is>
      </c>
      <c r="B40" s="8" t="inlineStr">
        <is>
          <t>Ditto soffit  of plaster board</t>
        </is>
      </c>
      <c r="C40" s="12" t="n">
        <v>6800</v>
      </c>
      <c r="D40" s="162">
        <f>'Verification Take-off'!E94</f>
        <v>7108.999999999999</v>
      </c>
      <c r="E40" s="11" t="inlineStr">
        <is>
          <t>m2</t>
        </is>
      </c>
      <c r="F40" s="163" t="inlineStr">
        <is>
          <t>m2</t>
        </is>
      </c>
      <c r="G40" s="150" t="n"/>
      <c r="H40" s="164">
        <f>G40*D40</f>
        <v>0.0</v>
      </c>
      <c r="I40" s="165" t="inlineStr"/>
    </row>
    <row r="41" ht="15.75" customHeight="1">
      <c r="A41" s="11" t="n"/>
      <c r="B41" s="8" t="n"/>
      <c r="C41" s="12" t="n"/>
      <c r="D41" s="12" t="n"/>
      <c r="E41" s="11" t="n"/>
      <c r="F41" s="14" t="n"/>
      <c r="G41" s="14" t="n"/>
      <c r="H41" s="164" t="n"/>
    </row>
    <row r="42" ht="15.75" customHeight="1">
      <c r="A42" s="11" t="inlineStr">
        <is>
          <t>K</t>
        </is>
      </c>
      <c r="B42" s="8" t="inlineStr">
        <is>
          <t>Ditto soffit  of plaster board for washrooms</t>
        </is>
      </c>
      <c r="C42" s="12" t="n">
        <v>900</v>
      </c>
      <c r="D42" s="162">
        <f>'Verification Take-off'!E95</f>
        <v>493.0</v>
      </c>
      <c r="E42" s="11" t="inlineStr">
        <is>
          <t>m2</t>
        </is>
      </c>
      <c r="F42" s="163" t="inlineStr">
        <is>
          <t>m2</t>
        </is>
      </c>
      <c r="G42" s="150" t="n"/>
      <c r="H42" s="164">
        <f>G42*D42</f>
        <v>0.0</v>
      </c>
      <c r="I42" s="165" t="inlineStr"/>
    </row>
    <row r="43" ht="15.75" customHeight="1">
      <c r="A43" s="11" t="n"/>
      <c r="B43" s="8" t="n"/>
      <c r="C43" s="12" t="n"/>
      <c r="D43" s="12" t="n"/>
      <c r="E43" s="11" t="n"/>
      <c r="F43" s="14" t="n"/>
      <c r="G43" s="14" t="n"/>
      <c r="H43" s="164" t="n"/>
    </row>
    <row r="44" ht="15.75" customHeight="1">
      <c r="A44" s="11" t="n"/>
      <c r="B44" s="8" t="n"/>
      <c r="C44" s="12" t="n"/>
      <c r="D44" s="12" t="n"/>
      <c r="E44" s="11" t="n"/>
      <c r="F44" s="14" t="n"/>
      <c r="G44" s="14" t="n"/>
      <c r="H44" s="164" t="n"/>
    </row>
    <row r="45" ht="15.75" customHeight="1">
      <c r="A45" s="11" t="n"/>
      <c r="B45" s="8" t="n"/>
      <c r="C45" s="12" t="n"/>
      <c r="D45" s="12" t="n"/>
      <c r="E45" s="11" t="n"/>
      <c r="F45" s="14" t="n"/>
      <c r="G45" s="14" t="n"/>
      <c r="H45" s="164" t="n"/>
    </row>
    <row r="46" ht="15.75" customHeight="1">
      <c r="A46" s="11" t="n"/>
      <c r="B46" s="15" t="inlineStr">
        <is>
          <t>Prepare and apply one coat of Aluminum Primer on</t>
        </is>
      </c>
      <c r="C46" s="12" t="n"/>
      <c r="D46" s="12" t="n"/>
      <c r="E46" s="11" t="n"/>
      <c r="F46" s="12" t="n"/>
      <c r="G46" s="12" t="n"/>
      <c r="H46" s="160" t="n"/>
    </row>
    <row r="47" ht="15.75" customHeight="1">
      <c r="A47" s="11" t="n"/>
      <c r="B47" s="15" t="inlineStr">
        <is>
          <t>Joinery before fixing to:</t>
        </is>
      </c>
      <c r="C47" s="12" t="n"/>
      <c r="D47" s="12" t="n"/>
      <c r="E47" s="11" t="n"/>
      <c r="F47" s="12" t="n"/>
      <c r="G47" s="159" t="n"/>
      <c r="H47" s="160" t="n"/>
    </row>
    <row r="48" ht="15.75" customHeight="1">
      <c r="A48" s="11" t="n"/>
      <c r="B48" s="15" t="inlineStr">
        <is>
          <t>Knot, Prime, Stop and apply two undercoats and</t>
        </is>
      </c>
      <c r="C48" s="12" t="n"/>
      <c r="D48" s="12" t="n"/>
      <c r="E48" s="11" t="n"/>
      <c r="F48" s="12" t="n"/>
      <c r="G48" s="159" t="n"/>
      <c r="H48" s="160" t="n"/>
    </row>
    <row r="49" ht="15.75" customHeight="1">
      <c r="A49" s="11" t="n"/>
      <c r="B49" s="15" t="inlineStr">
        <is>
          <t>one finishing coat of Gloss Oil Paint on:</t>
        </is>
      </c>
      <c r="C49" s="12" t="n"/>
      <c r="D49" s="12" t="n"/>
      <c r="E49" s="11" t="n"/>
      <c r="F49" s="12" t="n"/>
      <c r="G49" s="159" t="n"/>
      <c r="H49" s="160" t="n"/>
    </row>
    <row r="50" ht="15.75" customHeight="1">
      <c r="A50" s="11" t="n"/>
      <c r="B50" s="8" t="n"/>
      <c r="C50" s="11" t="n"/>
      <c r="D50" s="11" t="n"/>
      <c r="E50" s="11" t="n"/>
      <c r="F50" s="12" t="n"/>
      <c r="G50" s="159" t="n"/>
      <c r="H50" s="160" t="n"/>
    </row>
    <row r="51" ht="15.75" customHeight="1">
      <c r="A51" s="11" t="inlineStr">
        <is>
          <t>L</t>
        </is>
      </c>
      <c r="B51" s="8" t="inlineStr">
        <is>
          <t xml:space="preserve">General surfaces of woodwork </t>
        </is>
      </c>
      <c r="C51" s="11">
        <f>1078</f>
        <v>1078.0</v>
      </c>
      <c r="D51" s="162">
        <f>'Verification Take-off'!E96</f>
        <v>1517.1150000000002</v>
      </c>
      <c r="E51" s="11" t="inlineStr">
        <is>
          <t>m2</t>
        </is>
      </c>
      <c r="F51" s="163" t="inlineStr">
        <is>
          <t>m2</t>
        </is>
      </c>
      <c r="G51" s="216" t="n"/>
      <c r="H51" s="164">
        <f>G51*D51</f>
        <v>0.0</v>
      </c>
      <c r="I51" s="165" t="inlineStr"/>
    </row>
    <row r="52" ht="15.75" customHeight="1">
      <c r="A52" s="11" t="n"/>
      <c r="B52" s="8" t="n"/>
      <c r="C52" s="8" t="n"/>
      <c r="D52" s="8" t="n"/>
      <c r="E52" s="11" t="n"/>
      <c r="F52" s="14" t="n"/>
      <c r="G52" s="161" t="n"/>
      <c r="H52" s="164" t="n"/>
    </row>
    <row r="53" ht="15.75" customHeight="1">
      <c r="A53" s="11" t="n"/>
      <c r="B53" s="15" t="inlineStr">
        <is>
          <t>Primer</t>
        </is>
      </c>
      <c r="C53" s="12" t="n"/>
      <c r="D53" s="12" t="n"/>
      <c r="E53" s="11" t="n"/>
      <c r="F53" s="14" t="n"/>
      <c r="G53" s="161" t="n"/>
      <c r="H53" s="161" t="n"/>
    </row>
    <row r="54" ht="15.75" customHeight="1">
      <c r="A54" s="11" t="n"/>
      <c r="B54" s="8" t="inlineStr">
        <is>
          <t>Mild steel burglar proof bars not exceeding</t>
        </is>
      </c>
      <c r="C54" s="12" t="n"/>
      <c r="D54" s="12" t="n"/>
      <c r="E54" s="11" t="n"/>
      <c r="F54" s="14" t="n"/>
      <c r="G54" s="161" t="n"/>
      <c r="H54" s="217" t="n"/>
    </row>
    <row r="55" ht="15.75" customHeight="1">
      <c r="A55" s="11" t="inlineStr">
        <is>
          <t>M</t>
        </is>
      </c>
      <c r="B55" s="166" t="inlineStr">
        <is>
          <t>300mm girth
[PER DRAWINGS: measured over area of window openings]</t>
        </is>
      </c>
      <c r="C55" s="12" t="n">
        <v>2102</v>
      </c>
      <c r="D55" s="162">
        <f>'Verification Take-off'!E97</f>
        <v>809.4000000000001</v>
      </c>
      <c r="E55" s="11" t="inlineStr">
        <is>
          <t>m2</t>
        </is>
      </c>
      <c r="F55" s="163" t="inlineStr">
        <is>
          <t>m2</t>
        </is>
      </c>
      <c r="G55" s="216" t="n"/>
      <c r="H55" s="164">
        <f>G55*D55</f>
        <v>0.0</v>
      </c>
      <c r="I55" s="165" t="inlineStr"/>
    </row>
    <row r="56" ht="15.75" customHeight="1">
      <c r="A56" s="11" t="n"/>
      <c r="B56" s="8" t="n"/>
      <c r="C56" s="12" t="n"/>
      <c r="D56" s="12" t="n"/>
      <c r="E56" s="11" t="n"/>
      <c r="F56" s="14" t="n"/>
      <c r="G56" s="161" t="n"/>
      <c r="H56" s="161" t="n"/>
    </row>
    <row r="57" ht="15.75" customHeight="1">
      <c r="A57" s="11" t="n"/>
      <c r="B57" s="8" t="n"/>
      <c r="C57" s="12" t="n"/>
      <c r="D57" s="12" t="n"/>
      <c r="E57" s="11" t="n"/>
      <c r="F57" s="12" t="n"/>
      <c r="G57" s="159" t="n"/>
      <c r="H57" s="160" t="n"/>
    </row>
    <row r="58" ht="15.75" customHeight="1">
      <c r="A58" s="11" t="n"/>
      <c r="B58" s="10" t="inlineStr">
        <is>
          <t>BEDS AND BACKINGS</t>
        </is>
      </c>
      <c r="C58" s="12" t="n"/>
      <c r="D58" s="12" t="n"/>
      <c r="E58" s="11" t="n"/>
      <c r="F58" s="14" t="n"/>
      <c r="G58" s="161" t="n"/>
      <c r="H58" s="164" t="n"/>
    </row>
    <row r="59" ht="15.75" customHeight="1">
      <c r="A59" s="11" t="n"/>
      <c r="B59" s="10" t="inlineStr">
        <is>
          <t>Cement and sand (1:4) as discribed</t>
        </is>
      </c>
      <c r="C59" s="8" t="n"/>
      <c r="D59" s="8" t="n"/>
      <c r="E59" s="218" t="n"/>
      <c r="F59" s="16" t="n"/>
      <c r="G59" s="219" t="n"/>
      <c r="H59" s="164" t="n"/>
    </row>
    <row r="60" ht="15.6" customHeight="1">
      <c r="A60" s="11" t="inlineStr">
        <is>
          <t>N</t>
        </is>
      </c>
      <c r="B60" s="8" t="inlineStr">
        <is>
          <t>12mm Screeded backing to receive wall tiles(m/s)</t>
        </is>
      </c>
      <c r="C60" s="12" t="n">
        <v>1846</v>
      </c>
      <c r="D60" s="162">
        <f>'Verification Take-off'!E87</f>
        <v>2276.8815789473683</v>
      </c>
      <c r="E60" s="11" t="inlineStr">
        <is>
          <t>m²</t>
        </is>
      </c>
      <c r="F60" s="163" t="inlineStr">
        <is>
          <t>m²</t>
        </is>
      </c>
      <c r="G60" s="216" t="n"/>
      <c r="H60" s="164">
        <f>G60*D60</f>
        <v>0.0</v>
      </c>
      <c r="I60" s="165" t="inlineStr">
        <is>
          <t>Wall tiling height assumed 2.4m</t>
        </is>
      </c>
    </row>
    <row r="61" ht="15.75" customHeight="1">
      <c r="A61" s="11" t="n"/>
      <c r="B61" s="8" t="n"/>
      <c r="C61" s="12" t="n"/>
      <c r="D61" s="12" t="n"/>
      <c r="E61" s="220" t="n"/>
      <c r="F61" s="14" t="n"/>
      <c r="G61" s="219" t="n"/>
      <c r="H61" s="164" t="n"/>
    </row>
    <row r="62" ht="31.5" customHeight="1">
      <c r="A62" s="11" t="inlineStr">
        <is>
          <t>P</t>
        </is>
      </c>
      <c r="B62" s="8" t="inlineStr">
        <is>
          <t>12mm Screeded bed laid level on concrete floor bed receive floor tiles(m/s)</t>
        </is>
      </c>
      <c r="C62" s="12">
        <f>9*89</f>
        <v>801.0</v>
      </c>
      <c r="D62" s="162">
        <f>'Verification Take-off'!E86</f>
        <v>8342.48</v>
      </c>
      <c r="E62" s="11" t="inlineStr">
        <is>
          <t>m2</t>
        </is>
      </c>
      <c r="F62" s="163" t="inlineStr">
        <is>
          <t>m2</t>
        </is>
      </c>
      <c r="G62" s="216" t="n"/>
      <c r="H62" s="164">
        <f>G62*D62</f>
        <v>0.0</v>
      </c>
      <c r="I62" s="165" t="inlineStr">
        <is>
          <t>BOQ =9*89 (801) far too low</t>
        </is>
      </c>
    </row>
    <row r="63" ht="15.75" customHeight="1">
      <c r="A63" s="11" t="n"/>
      <c r="B63" s="8" t="n"/>
      <c r="C63" s="12" t="n"/>
      <c r="D63" s="12" t="n"/>
      <c r="E63" s="11" t="n"/>
      <c r="F63" s="12" t="n"/>
      <c r="G63" s="160" t="n"/>
      <c r="H63" s="160" t="n"/>
    </row>
    <row r="64" ht="15.75" customHeight="1">
      <c r="A64" s="11" t="n"/>
      <c r="B64" s="221" t="n"/>
      <c r="C64" s="12" t="n"/>
      <c r="D64" s="12" t="n"/>
      <c r="E64" s="11" t="n"/>
      <c r="F64" s="12" t="n"/>
      <c r="G64" s="160" t="n"/>
      <c r="H64" s="160" t="n"/>
    </row>
    <row r="65" ht="15.75" customHeight="1">
      <c r="A65" s="11" t="n"/>
      <c r="B65" s="8" t="n"/>
      <c r="C65" s="12" t="n"/>
      <c r="D65" s="12" t="n"/>
      <c r="E65" s="11" t="n"/>
      <c r="F65" s="12" t="n"/>
      <c r="G65" s="160" t="n"/>
      <c r="H65" s="160" t="n"/>
    </row>
    <row r="66" ht="15.75" customHeight="1">
      <c r="A66" s="11" t="n"/>
      <c r="B66" s="114" t="inlineStr">
        <is>
          <t>TILES</t>
        </is>
      </c>
      <c r="C66" s="12" t="n"/>
      <c r="D66" s="12" t="n"/>
      <c r="E66" s="11" t="n"/>
      <c r="F66" s="12" t="n"/>
      <c r="G66" s="160" t="n"/>
      <c r="H66" s="160" t="n"/>
    </row>
    <row r="67" ht="15.75" customHeight="1">
      <c r="A67" s="11" t="n"/>
      <c r="B67" s="115" t="n"/>
      <c r="C67" s="12" t="n"/>
      <c r="D67" s="12" t="n"/>
      <c r="E67" s="11" t="n"/>
      <c r="F67" s="12" t="n"/>
      <c r="G67" s="160" t="n"/>
      <c r="H67" s="160" t="n"/>
    </row>
    <row r="68" ht="31.5" customHeight="1">
      <c r="A68" s="11" t="inlineStr">
        <is>
          <t>Q</t>
        </is>
      </c>
      <c r="B68" s="222" t="inlineStr">
        <is>
          <t>400x400mm non-slip porcelain floor tiles, adhesive, grout and cutting
[PER DRAWINGS: 400x400 non-slip porcelain to washrooms &amp; WCs (legend ARCH-401..409)]</t>
        </is>
      </c>
      <c r="C68" s="116" t="n">
        <v>3150</v>
      </c>
      <c r="D68" s="223">
        <f>'Verification Take-off'!E77</f>
        <v>493.0</v>
      </c>
      <c r="E68" s="11" t="inlineStr">
        <is>
          <t>m2</t>
        </is>
      </c>
      <c r="F68" s="163" t="inlineStr">
        <is>
          <t>m2</t>
        </is>
      </c>
      <c r="G68" s="216" t="n"/>
      <c r="H68" s="164">
        <f>G68*D68</f>
        <v>0.0</v>
      </c>
      <c r="I68" s="165" t="inlineStr"/>
    </row>
    <row r="69" ht="15.75" customHeight="1">
      <c r="A69" s="11" t="n"/>
      <c r="B69" s="118" t="n"/>
      <c r="C69" s="116" t="n"/>
      <c r="D69" s="224" t="n"/>
      <c r="E69" s="225" t="n"/>
      <c r="F69" s="12" t="n"/>
      <c r="G69" s="117" t="n"/>
      <c r="H69" s="160" t="n"/>
    </row>
    <row r="70" ht="15.75" customHeight="1">
      <c r="A70" s="11" t="inlineStr">
        <is>
          <t>R</t>
        </is>
      </c>
      <c r="B70" s="222" t="inlineStr">
        <is>
          <t>50x50mm matte R11 porcelain tiles to wet/service areas
[PER DRAWINGS: 50x50 matte R11 porcelain to staircases (treads, risers &amp; landings)]</t>
        </is>
      </c>
      <c r="C70" s="116" t="n">
        <v>950</v>
      </c>
      <c r="D70" s="223">
        <f>'Verification Take-off'!E78</f>
        <v>698.2800000000001</v>
      </c>
      <c r="E70" s="11" t="inlineStr">
        <is>
          <t>m2</t>
        </is>
      </c>
      <c r="F70" s="163" t="inlineStr">
        <is>
          <t>m2</t>
        </is>
      </c>
      <c r="G70" s="216" t="n"/>
      <c r="H70" s="164">
        <f>G70*D70</f>
        <v>0.0</v>
      </c>
      <c r="I70" s="165" t="inlineStr"/>
    </row>
    <row r="71" ht="15.75" customHeight="1">
      <c r="A71" s="11" t="n"/>
      <c r="B71" s="118" t="n"/>
      <c r="C71" s="116" t="n"/>
      <c r="D71" s="224" t="n"/>
      <c r="E71" s="225" t="n"/>
      <c r="F71" s="12" t="n"/>
      <c r="G71" s="117" t="n"/>
      <c r="H71" s="160" t="n"/>
    </row>
    <row r="72" ht="15.75" customHeight="1">
      <c r="A72" s="11" t="inlineStr">
        <is>
          <t>S</t>
        </is>
      </c>
      <c r="B72" s="222" t="inlineStr">
        <is>
          <t>60x60mm semi-polished porcelain tiles
[PER DRAWINGS: 600x600 semi-polished porcelain to habitable rooms, shops &amp; offices (BOQ "60x60mm" should read 600x600mm)]</t>
        </is>
      </c>
      <c r="C72" s="116" t="n">
        <v>3750</v>
      </c>
      <c r="D72" s="223">
        <f>'Verification Take-off'!E79</f>
        <v>4573.9</v>
      </c>
      <c r="E72" s="11" t="inlineStr">
        <is>
          <t>m2</t>
        </is>
      </c>
      <c r="F72" s="163" t="inlineStr">
        <is>
          <t>m2</t>
        </is>
      </c>
      <c r="G72" s="216" t="n"/>
      <c r="H72" s="164">
        <f>G72*D72</f>
        <v>0.0</v>
      </c>
      <c r="I72" s="165" t="inlineStr"/>
    </row>
    <row r="73" ht="15.75" customHeight="1">
      <c r="A73" s="11" t="n"/>
      <c r="B73" s="118" t="n"/>
      <c r="C73" s="116" t="n"/>
      <c r="D73" s="224" t="n"/>
      <c r="E73" s="225" t="n"/>
      <c r="F73" s="12" t="n"/>
      <c r="G73" s="117" t="n"/>
      <c r="H73" s="160" t="n"/>
    </row>
    <row r="74" ht="15.75" customHeight="1">
      <c r="A74" s="11" t="inlineStr">
        <is>
          <t>T</t>
        </is>
      </c>
      <c r="B74" s="222" t="inlineStr">
        <is>
          <t>60x120mm semi-polished porcelain tiles (wall)
[PER DRAWINGS: 600x1200 semi-polished porcelain FLOOR tiles to stair/lift lobbies &amp; reception - legend shows floor, not wall]</t>
        </is>
      </c>
      <c r="C74" s="116" t="n">
        <v>850</v>
      </c>
      <c r="D74" s="223">
        <f>'Verification Take-off'!E80</f>
        <v>357.4</v>
      </c>
      <c r="E74" s="11" t="inlineStr">
        <is>
          <t>m2</t>
        </is>
      </c>
      <c r="F74" s="163" t="inlineStr">
        <is>
          <t>m2</t>
        </is>
      </c>
      <c r="G74" s="216" t="n"/>
      <c r="H74" s="164">
        <f>G74*D74</f>
        <v>0.0</v>
      </c>
      <c r="I74" s="165" t="inlineStr"/>
    </row>
    <row r="75" ht="15.75" customHeight="1">
      <c r="A75" s="11" t="n"/>
      <c r="B75" s="118" t="n"/>
      <c r="C75" s="116" t="n"/>
      <c r="D75" s="224" t="n"/>
      <c r="E75" s="225" t="n"/>
      <c r="F75" s="12" t="n"/>
      <c r="G75" s="117" t="n"/>
      <c r="H75" s="160" t="n"/>
    </row>
    <row r="76" ht="31.5" customHeight="1">
      <c r="A76" s="11" t="inlineStr">
        <is>
          <t>U</t>
        </is>
      </c>
      <c r="B76" s="222" t="inlineStr">
        <is>
          <t>60x60mm non-slip R11 porcelain tiles to external/wet areas
[PER DRAWINGS: 600x600 non-slip R11 porcelain to corridors, terraces, verandah &amp; service rooms]</t>
        </is>
      </c>
      <c r="C76" s="116" t="n">
        <v>860</v>
      </c>
      <c r="D76" s="223">
        <f>'Verification Take-off'!E81</f>
        <v>2219.9</v>
      </c>
      <c r="E76" s="11" t="inlineStr">
        <is>
          <t>m2</t>
        </is>
      </c>
      <c r="F76" s="163" t="inlineStr">
        <is>
          <t>m2</t>
        </is>
      </c>
      <c r="G76" s="216" t="n"/>
      <c r="H76" s="164">
        <f>G76*D76</f>
        <v>0.0</v>
      </c>
      <c r="I76" s="165" t="inlineStr"/>
    </row>
    <row r="77" ht="15.75" customHeight="1">
      <c r="A77" s="11" t="n"/>
      <c r="B77" s="118" t="n"/>
      <c r="C77" s="116" t="n"/>
      <c r="D77" s="224" t="n"/>
      <c r="E77" s="225" t="n"/>
      <c r="F77" s="12" t="n"/>
      <c r="G77" s="117" t="n"/>
      <c r="H77" s="160" t="n"/>
    </row>
    <row r="78" ht="31.5" customHeight="1">
      <c r="A78" s="11" t="inlineStr">
        <is>
          <t>V</t>
        </is>
      </c>
      <c r="B78" s="222" t="inlineStr">
        <is>
          <t>Interlocking composite tiles to designated external/terrace areas
[PER DRAWINGS: interlocking composite tiles to roof-top outdoor sitting &amp; 9th floor play area (ARCH-601..606)]</t>
        </is>
      </c>
      <c r="C78" s="116" t="n">
        <v>650</v>
      </c>
      <c r="D78" s="223">
        <f>'Verification Take-off'!E82</f>
        <v>750.5</v>
      </c>
      <c r="E78" s="11" t="inlineStr">
        <is>
          <t>m2</t>
        </is>
      </c>
      <c r="F78" s="163" t="inlineStr">
        <is>
          <t>m2</t>
        </is>
      </c>
      <c r="G78" s="216" t="n"/>
      <c r="H78" s="164">
        <f>G78*D78</f>
        <v>0.0</v>
      </c>
      <c r="I78" s="165" t="inlineStr"/>
    </row>
    <row r="79" ht="15.75" customHeight="1">
      <c r="A79" s="11" t="n"/>
      <c r="B79" s="118" t="n"/>
      <c r="C79" s="116" t="n"/>
      <c r="D79" s="224" t="n"/>
      <c r="E79" s="225" t="n"/>
      <c r="F79" s="12" t="n"/>
      <c r="G79" s="117" t="n"/>
      <c r="H79" s="160" t="n"/>
    </row>
    <row r="80" ht="15.75" customHeight="1">
      <c r="A80" s="178" t="inlineStr">
        <is>
          <t>W</t>
        </is>
      </c>
      <c r="B80" s="179" t="inlineStr">
        <is>
          <t>Seamless polyurethane (PU) resin screed / PU coating to parking decks &amp; ramps</t>
        </is>
      </c>
      <c r="C80" s="180" t="n"/>
      <c r="D80" s="162">
        <f>'Verification Take-off'!E83</f>
        <v>1814.2</v>
      </c>
      <c r="E80" s="178" t="inlineStr">
        <is>
          <t>-</t>
        </is>
      </c>
      <c r="F80" s="226" t="inlineStr">
        <is>
          <t>m2</t>
        </is>
      </c>
      <c r="G80" s="227" t="n"/>
      <c r="H80" s="215">
        <f>G80*D80</f>
        <v>0.0</v>
      </c>
      <c r="I80" s="200" t="inlineStr">
        <is>
          <t>ADDED - shown on tiling legend</t>
        </is>
      </c>
    </row>
    <row r="81" ht="15.75" customHeight="1">
      <c r="A81" s="178" t="inlineStr">
        <is>
          <t>X</t>
        </is>
      </c>
      <c r="B81" s="179" t="inlineStr">
        <is>
          <t>Ceramic/porcelain wall tiles to washrooms, adhesive &amp; grout (type TBC)</t>
        </is>
      </c>
      <c r="C81" s="180" t="n"/>
      <c r="D81" s="162">
        <f>'Verification Take-off'!E88</f>
        <v>2276.8815789473683</v>
      </c>
      <c r="E81" s="178" t="inlineStr">
        <is>
          <t>-</t>
        </is>
      </c>
      <c r="F81" s="226" t="inlineStr">
        <is>
          <t>m2</t>
        </is>
      </c>
      <c r="G81" s="227" t="n"/>
      <c r="H81" s="215">
        <f>G81*D81</f>
        <v>0.0</v>
      </c>
      <c r="I81" s="200" t="inlineStr">
        <is>
          <t>ADDED - wall tiling to washrooms</t>
        </is>
      </c>
    </row>
    <row r="82" ht="15.75" customHeight="1">
      <c r="A82" s="11" t="n"/>
      <c r="B82" s="8" t="n"/>
      <c r="C82" s="12" t="n"/>
      <c r="D82" s="12" t="n"/>
      <c r="E82" s="11" t="n"/>
      <c r="F82" s="12" t="n"/>
      <c r="G82" s="160" t="n"/>
      <c r="H82" s="160" t="n"/>
    </row>
    <row r="83" ht="15.75" customHeight="1">
      <c r="A83" s="11" t="n"/>
      <c r="B83" s="106" t="inlineStr">
        <is>
          <t>Doors</t>
        </is>
      </c>
      <c r="C83" s="12" t="n"/>
      <c r="D83" s="12" t="n"/>
      <c r="E83" s="11" t="n"/>
      <c r="F83" s="12" t="n"/>
      <c r="G83" s="160" t="n"/>
      <c r="H83" s="160" t="n"/>
    </row>
    <row r="84" ht="15.75" customHeight="1">
      <c r="A84" s="11" t="n"/>
      <c r="B84" s="8" t="inlineStr">
        <is>
          <t xml:space="preserve">525mm Solid Panel door  consisting of 100mm stiles,  </t>
        </is>
      </c>
      <c r="C84" s="12" t="n"/>
      <c r="D84" s="12" t="n"/>
      <c r="E84" s="11" t="n"/>
      <c r="F84" s="12" t="n"/>
      <c r="G84" s="12" t="n"/>
      <c r="H84" s="160" t="n"/>
    </row>
    <row r="85" ht="15.75" customHeight="1">
      <c r="A85" s="11" t="n"/>
      <c r="B85" s="8" t="inlineStr">
        <is>
          <t xml:space="preserve">top and intermediate rail 225mm  </t>
        </is>
      </c>
      <c r="C85" s="12" t="n"/>
      <c r="D85" s="12" t="n"/>
      <c r="E85" s="11" t="n"/>
      <c r="F85" s="12" t="n"/>
      <c r="G85" s="12" t="n"/>
      <c r="H85" s="160" t="inlineStr">
        <is>
          <t>.</t>
        </is>
      </c>
    </row>
    <row r="86" ht="15.75" customHeight="1">
      <c r="A86" s="11" t="n"/>
      <c r="B86" s="8" t="n"/>
      <c r="C86" s="12" t="n"/>
      <c r="D86" s="12" t="n"/>
      <c r="E86" s="11" t="n"/>
      <c r="F86" s="14" t="n"/>
      <c r="G86" s="14" t="n"/>
      <c r="H86" s="164" t="n"/>
    </row>
    <row r="87" ht="31.5" customHeight="1">
      <c r="A87" s="11" t="inlineStr">
        <is>
          <t>A</t>
        </is>
      </c>
      <c r="B87" s="166" t="inlineStr">
        <is>
          <t>Ditto 1800mm X  2400mm Glazed entrance door assembly security door
[PER DRAWINGS: 2-hour fire-rated double-leaf galvanised steel door (D1) - not glazed entrance door]</t>
        </is>
      </c>
      <c r="C87" s="12" t="n">
        <v>1</v>
      </c>
      <c r="D87" s="162">
        <f>'Verification Take-off'!E111</f>
        <v>1.0</v>
      </c>
      <c r="E87" s="11" t="inlineStr">
        <is>
          <t>nr</t>
        </is>
      </c>
      <c r="F87" s="163" t="inlineStr">
        <is>
          <t>nr</t>
        </is>
      </c>
      <c r="G87" s="150" t="n"/>
      <c r="H87" s="164">
        <f>G87*D87</f>
        <v>0.0</v>
      </c>
      <c r="I87" s="165" t="inlineStr"/>
    </row>
    <row r="88" ht="15.75" customHeight="1">
      <c r="A88" s="11" t="n"/>
      <c r="B88" s="8" t="n"/>
      <c r="C88" s="12" t="n"/>
      <c r="D88" s="12" t="n"/>
      <c r="E88" s="11" t="n"/>
      <c r="F88" s="14" t="n"/>
      <c r="G88" s="14" t="n"/>
      <c r="H88" s="164" t="n"/>
    </row>
    <row r="89" ht="15.75" customHeight="1">
      <c r="A89" s="11" t="inlineStr">
        <is>
          <t>B</t>
        </is>
      </c>
      <c r="B89" s="166" t="inlineStr">
        <is>
          <t>Ditto 1000mm X  2200mm (D3)
[PER DRAWINGS: D2: 1-hour fire-rated galvanised steel single-leaf security door - not D3]</t>
        </is>
      </c>
      <c r="C89" s="12" t="n">
        <v>59</v>
      </c>
      <c r="D89" s="162">
        <f>'Verification Take-off'!E112</f>
        <v>59.0</v>
      </c>
      <c r="E89" s="11" t="inlineStr">
        <is>
          <t>nr</t>
        </is>
      </c>
      <c r="F89" s="163" t="inlineStr">
        <is>
          <t>nr</t>
        </is>
      </c>
      <c r="G89" s="150" t="n"/>
      <c r="H89" s="164">
        <f>G89*D89</f>
        <v>0.0</v>
      </c>
      <c r="I89" s="165" t="inlineStr"/>
    </row>
    <row r="90" ht="15.75" customHeight="1">
      <c r="A90" s="11" t="n"/>
      <c r="B90" s="8" t="n"/>
      <c r="C90" s="12" t="n"/>
      <c r="D90" s="12" t="n"/>
      <c r="E90" s="11" t="n"/>
      <c r="F90" s="14" t="n"/>
      <c r="G90" s="14" t="n"/>
      <c r="H90" s="164" t="n"/>
    </row>
    <row r="91" ht="15.75" customHeight="1">
      <c r="A91" s="11" t="inlineStr">
        <is>
          <t>C</t>
        </is>
      </c>
      <c r="B91" s="8" t="inlineStr">
        <is>
          <t>900mm X 2200mm single leaf timber panel door</t>
        </is>
      </c>
      <c r="C91" s="12" t="n">
        <v>126</v>
      </c>
      <c r="D91" s="162">
        <f>'Verification Take-off'!E113</f>
        <v>126.0</v>
      </c>
      <c r="E91" s="11" t="inlineStr">
        <is>
          <t>nr</t>
        </is>
      </c>
      <c r="F91" s="163" t="inlineStr">
        <is>
          <t>nr</t>
        </is>
      </c>
      <c r="G91" s="150" t="n"/>
      <c r="H91" s="164">
        <f>G91*D91</f>
        <v>0.0</v>
      </c>
      <c r="I91" s="165" t="inlineStr"/>
    </row>
    <row r="92" ht="15.75" customHeight="1">
      <c r="A92" s="11" t="n"/>
      <c r="B92" s="8" t="n"/>
      <c r="C92" s="12" t="n"/>
      <c r="D92" s="12" t="n"/>
      <c r="E92" s="11" t="n"/>
      <c r="F92" s="14" t="n"/>
      <c r="G92" s="14" t="n"/>
      <c r="H92" s="164" t="n"/>
    </row>
    <row r="93" ht="15.75" customHeight="1">
      <c r="A93" s="11" t="inlineStr">
        <is>
          <t>D</t>
        </is>
      </c>
      <c r="B93" s="166" t="inlineStr">
        <is>
          <t>Ditto 900mm X 2350mm flush door with fanlight
[PER DRAWINGS: D4 is a single leaf timber PANEL door with fanlight]</t>
        </is>
      </c>
      <c r="C93" s="12" t="n">
        <v>1</v>
      </c>
      <c r="D93" s="162">
        <f>'Verification Take-off'!E114</f>
        <v>1.0</v>
      </c>
      <c r="E93" s="11" t="inlineStr">
        <is>
          <t>nr</t>
        </is>
      </c>
      <c r="F93" s="163" t="inlineStr">
        <is>
          <t>nr</t>
        </is>
      </c>
      <c r="G93" s="150" t="n"/>
      <c r="H93" s="164">
        <f>G93*D93</f>
        <v>0.0</v>
      </c>
      <c r="I93" s="165" t="inlineStr"/>
    </row>
    <row r="94" ht="15.75" customHeight="1">
      <c r="A94" s="11" t="n"/>
      <c r="B94" s="8" t="n"/>
      <c r="C94" s="12" t="n"/>
      <c r="D94" s="12" t="n"/>
      <c r="E94" s="11" t="n"/>
      <c r="F94" s="14" t="n"/>
      <c r="G94" s="14" t="n"/>
      <c r="H94" s="164" t="n"/>
    </row>
    <row r="95" ht="47.25" customHeight="1">
      <c r="A95" s="11" t="inlineStr">
        <is>
          <t>E</t>
        </is>
      </c>
      <c r="B95" s="166" t="inlineStr">
        <is>
          <t>Ditto 3200mm X 2200mm flush door 4 Panel Galvanized steel framed tempered glass sliding door assembly
[PER DRAWINGS: D5: 4-panel galvanised steel framed tempered glass sliding door (not flush)]</t>
        </is>
      </c>
      <c r="C95" s="12" t="n">
        <v>1</v>
      </c>
      <c r="D95" s="162">
        <f>'Verification Take-off'!E115</f>
        <v>1.0</v>
      </c>
      <c r="E95" s="11" t="inlineStr">
        <is>
          <t>nr</t>
        </is>
      </c>
      <c r="F95" s="163" t="inlineStr">
        <is>
          <t>nr</t>
        </is>
      </c>
      <c r="G95" s="150" t="n"/>
      <c r="H95" s="164">
        <f>G95*D95</f>
        <v>0.0</v>
      </c>
      <c r="I95" s="165" t="inlineStr"/>
    </row>
    <row r="96" ht="15.75" customHeight="1">
      <c r="A96" s="11" t="n"/>
      <c r="B96" s="8" t="n"/>
      <c r="C96" s="12" t="n"/>
      <c r="D96" s="12" t="n"/>
      <c r="E96" s="11" t="n"/>
      <c r="F96" s="14" t="n"/>
      <c r="G96" s="14" t="n"/>
      <c r="H96" s="164" t="n"/>
    </row>
    <row r="97" ht="15.75" customHeight="1">
      <c r="A97" s="11" t="inlineStr">
        <is>
          <t>F</t>
        </is>
      </c>
      <c r="B97" s="166" t="inlineStr">
        <is>
          <t>Ditto 750mm X 2200mm flush door
[PER DRAWINGS: D6: single leaf timber flush door]</t>
        </is>
      </c>
      <c r="C97" s="12" t="n">
        <v>172</v>
      </c>
      <c r="D97" s="162">
        <f>'Verification Take-off'!E116</f>
        <v>172.0</v>
      </c>
      <c r="E97" s="11" t="inlineStr">
        <is>
          <t>nr</t>
        </is>
      </c>
      <c r="F97" s="163" t="inlineStr">
        <is>
          <t>nr</t>
        </is>
      </c>
      <c r="G97" s="150" t="n"/>
      <c r="H97" s="164">
        <f>G97*D97</f>
        <v>0.0</v>
      </c>
      <c r="I97" s="165" t="inlineStr"/>
    </row>
    <row r="98" ht="15.75" customHeight="1">
      <c r="A98" s="11" t="n"/>
      <c r="B98" s="8" t="n"/>
      <c r="C98" s="12" t="n"/>
      <c r="D98" s="12" t="n"/>
      <c r="E98" s="11" t="n"/>
      <c r="F98" s="14" t="n"/>
      <c r="G98" s="14" t="n"/>
      <c r="H98" s="164" t="n"/>
    </row>
    <row r="99" ht="15.75" customHeight="1">
      <c r="A99" s="11" t="inlineStr">
        <is>
          <t>G</t>
        </is>
      </c>
      <c r="B99" s="8" t="inlineStr">
        <is>
          <t>50mm X 150mm  Frames</t>
        </is>
      </c>
      <c r="C99" s="11">
        <f>9*51</f>
        <v>459.0</v>
      </c>
      <c r="D99" s="162">
        <f>'Verification Take-off'!E99</f>
        <v>1600.5000000000002</v>
      </c>
      <c r="E99" s="11" t="inlineStr">
        <is>
          <t>m</t>
        </is>
      </c>
      <c r="F99" s="163" t="inlineStr">
        <is>
          <t>m</t>
        </is>
      </c>
      <c r="G99" s="150" t="n"/>
      <c r="H99" s="164">
        <f>G99*D99</f>
        <v>0.0</v>
      </c>
      <c r="I99" s="165" t="inlineStr">
        <is>
          <t>BOQ =9*51 (459 m) - frames to timber doors measured from schedule</t>
        </is>
      </c>
    </row>
    <row r="100" ht="15.75" customHeight="1">
      <c r="A100" s="11" t="n"/>
      <c r="B100" s="8" t="n"/>
      <c r="C100" s="11" t="n"/>
      <c r="D100" s="11" t="n"/>
      <c r="E100" s="11" t="n"/>
      <c r="F100" s="14" t="n"/>
      <c r="G100" s="14" t="n"/>
      <c r="H100" s="164" t="n"/>
    </row>
    <row r="101" ht="15.75" customHeight="1">
      <c r="A101" s="11" t="inlineStr">
        <is>
          <t>H</t>
        </is>
      </c>
      <c r="B101" s="8" t="inlineStr">
        <is>
          <t>50mm x12mm Door stop</t>
        </is>
      </c>
      <c r="C101" s="11">
        <f>C99</f>
        <v>459.0</v>
      </c>
      <c r="D101" s="162">
        <f>'Verification Take-off'!E100</f>
        <v>1600.5000000000002</v>
      </c>
      <c r="E101" s="11" t="inlineStr">
        <is>
          <t>m</t>
        </is>
      </c>
      <c r="F101" s="163" t="inlineStr">
        <is>
          <t>m</t>
        </is>
      </c>
      <c r="G101" s="150" t="n"/>
      <c r="H101" s="164">
        <f>G101*D101</f>
        <v>0.0</v>
      </c>
      <c r="I101" s="165" t="inlineStr"/>
    </row>
    <row r="102" ht="15.75" customHeight="1">
      <c r="A102" s="11" t="n"/>
      <c r="B102" s="8" t="n"/>
      <c r="C102" s="11" t="n"/>
      <c r="D102" s="11" t="n"/>
      <c r="E102" s="11" t="n"/>
      <c r="F102" s="14" t="n"/>
      <c r="G102" s="14" t="n"/>
      <c r="H102" s="164" t="n"/>
    </row>
    <row r="103" ht="15.75" customHeight="1">
      <c r="A103" s="11" t="inlineStr">
        <is>
          <t>J</t>
        </is>
      </c>
      <c r="B103" s="166" t="inlineStr">
        <is>
          <t>Single door 700 x 2200 security door single leaf
[PER DRAWINGS: D7: single-leaf 2-hour fire-rated galvanised steel door]</t>
        </is>
      </c>
      <c r="C103" s="12" t="n">
        <v>12</v>
      </c>
      <c r="D103" s="162">
        <f>'Verification Take-off'!E117</f>
        <v>12.0</v>
      </c>
      <c r="E103" s="11" t="inlineStr">
        <is>
          <t>nr</t>
        </is>
      </c>
      <c r="F103" s="163" t="inlineStr">
        <is>
          <t>nr</t>
        </is>
      </c>
      <c r="G103" s="150" t="n"/>
      <c r="H103" s="164">
        <f>G103*D103</f>
        <v>0.0</v>
      </c>
      <c r="I103" s="165" t="inlineStr"/>
    </row>
    <row r="104" ht="15.75" customHeight="1">
      <c r="A104" s="11" t="n"/>
      <c r="B104" s="8" t="n"/>
      <c r="C104" s="11" t="n"/>
      <c r="D104" s="11" t="n"/>
      <c r="E104" s="11" t="n"/>
      <c r="F104" s="14" t="n"/>
      <c r="G104" s="14" t="n"/>
      <c r="H104" s="164" t="n"/>
    </row>
    <row r="105" ht="15.75" customHeight="1">
      <c r="A105" s="11" t="inlineStr">
        <is>
          <t>K</t>
        </is>
      </c>
      <c r="B105" s="166" t="inlineStr">
        <is>
          <t>Single door 1200 x 2200 security door single leaf
[PER DRAWINGS: D8: 1-hour fire-rated leaf-and-a-half galvanised steel security door]</t>
        </is>
      </c>
      <c r="C105" s="12" t="n">
        <v>21</v>
      </c>
      <c r="D105" s="162">
        <f>'Verification Take-off'!E118</f>
        <v>21.0</v>
      </c>
      <c r="E105" s="11" t="inlineStr">
        <is>
          <t>nr</t>
        </is>
      </c>
      <c r="F105" s="163" t="inlineStr">
        <is>
          <t>nr</t>
        </is>
      </c>
      <c r="G105" s="150" t="n"/>
      <c r="H105" s="164">
        <f>G105*D105</f>
        <v>0.0</v>
      </c>
      <c r="I105" s="165" t="inlineStr"/>
    </row>
    <row r="106" ht="15.75" customHeight="1">
      <c r="A106" s="11" t="n"/>
      <c r="B106" s="8" t="n"/>
      <c r="C106" s="11" t="n"/>
      <c r="D106" s="11" t="n"/>
      <c r="E106" s="11" t="n"/>
      <c r="F106" s="14" t="n"/>
      <c r="G106" s="14" t="n"/>
      <c r="H106" s="164" t="n"/>
    </row>
    <row r="107" ht="15.75" customHeight="1">
      <c r="A107" s="11" t="inlineStr">
        <is>
          <t>L</t>
        </is>
      </c>
      <c r="B107" s="166" t="inlineStr">
        <is>
          <t>Single door 1000 x 2200 security door one and half 
[PER DRAWINGS: ED1: 1-hour fire-rated galvanised steel SINGLE-leaf security door (emergency stairs)]</t>
        </is>
      </c>
      <c r="C107" s="12" t="n">
        <v>36</v>
      </c>
      <c r="D107" s="162">
        <f>'Verification Take-off'!E119</f>
        <v>36.0</v>
      </c>
      <c r="E107" s="11" t="inlineStr">
        <is>
          <t>nr</t>
        </is>
      </c>
      <c r="F107" s="163" t="inlineStr">
        <is>
          <t>nr</t>
        </is>
      </c>
      <c r="G107" s="150" t="n"/>
      <c r="H107" s="164">
        <f>G107*D107</f>
        <v>0.0</v>
      </c>
      <c r="I107" s="165" t="inlineStr"/>
    </row>
    <row r="108" ht="15.75" customHeight="1">
      <c r="A108" s="11" t="n"/>
      <c r="B108" s="8" t="n"/>
      <c r="C108" s="11" t="n"/>
      <c r="D108" s="11" t="n"/>
      <c r="E108" s="11" t="n"/>
      <c r="F108" s="14" t="n"/>
      <c r="G108" s="14" t="n"/>
      <c r="H108" s="164" t="n"/>
    </row>
    <row r="109" ht="31.5" customHeight="1">
      <c r="A109" s="11" t="inlineStr">
        <is>
          <t>M</t>
        </is>
      </c>
      <c r="B109" s="8" t="inlineStr">
        <is>
          <t>Single door 1000 x 2200 security door single leaf translucent glass panel</t>
        </is>
      </c>
      <c r="C109" s="12" t="n">
        <v>20</v>
      </c>
      <c r="D109" s="162">
        <f>'Verification Take-off'!E120</f>
        <v>20.0</v>
      </c>
      <c r="E109" s="11" t="inlineStr">
        <is>
          <t>nr</t>
        </is>
      </c>
      <c r="F109" s="163" t="inlineStr">
        <is>
          <t>nr</t>
        </is>
      </c>
      <c r="G109" s="150" t="n"/>
      <c r="H109" s="164">
        <f>G109*D109</f>
        <v>0.0</v>
      </c>
      <c r="I109" s="165" t="inlineStr"/>
    </row>
    <row r="110" ht="15.75" customHeight="1">
      <c r="A110" s="11" t="n"/>
      <c r="B110" s="8" t="n"/>
      <c r="C110" s="12" t="n"/>
      <c r="D110" s="12" t="n"/>
      <c r="E110" s="11" t="n"/>
      <c r="F110" s="14" t="n"/>
      <c r="G110" s="14" t="n"/>
      <c r="H110" s="164" t="n"/>
    </row>
    <row r="111" ht="15.75" customHeight="1">
      <c r="A111" s="11" t="inlineStr">
        <is>
          <t>N</t>
        </is>
      </c>
      <c r="B111" s="8" t="inlineStr">
        <is>
          <t>900mm X 2200 security door galvanised steel</t>
        </is>
      </c>
      <c r="C111" s="12" t="n">
        <v>13</v>
      </c>
      <c r="D111" s="162">
        <f>'Verification Take-off'!E121</f>
        <v>13.0</v>
      </c>
      <c r="E111" s="11" t="inlineStr">
        <is>
          <t>nr</t>
        </is>
      </c>
      <c r="F111" s="163" t="inlineStr">
        <is>
          <t>nr</t>
        </is>
      </c>
      <c r="G111" s="150" t="n"/>
      <c r="H111" s="164">
        <f>G111*D111</f>
        <v>0.0</v>
      </c>
      <c r="I111" s="165" t="inlineStr"/>
    </row>
    <row r="112" ht="15.75" customHeight="1">
      <c r="A112" s="11" t="n"/>
      <c r="B112" s="8" t="n"/>
      <c r="C112" s="12" t="n"/>
      <c r="D112" s="12" t="n"/>
      <c r="E112" s="11" t="n"/>
      <c r="F112" s="14" t="n"/>
      <c r="G112" s="14" t="n"/>
      <c r="H112" s="164" t="n"/>
    </row>
    <row r="113" ht="15.75" customHeight="1">
      <c r="A113" s="11" t="inlineStr">
        <is>
          <t>P</t>
        </is>
      </c>
      <c r="B113" s="166" t="inlineStr">
        <is>
          <t>1800mm X 2200mm double leaf galvanized steel
[PER DRAWINGS: MD1: double-leaf 2-hour fire-rated galvanised steel refuse room door]</t>
        </is>
      </c>
      <c r="C113" s="12" t="n">
        <v>3</v>
      </c>
      <c r="D113" s="162">
        <f>'Verification Take-off'!E122</f>
        <v>3.0</v>
      </c>
      <c r="E113" s="11" t="inlineStr">
        <is>
          <t>nr</t>
        </is>
      </c>
      <c r="F113" s="163" t="inlineStr">
        <is>
          <t>nr</t>
        </is>
      </c>
      <c r="G113" s="150" t="n"/>
      <c r="H113" s="164">
        <f>G113*D113</f>
        <v>0.0</v>
      </c>
      <c r="I113" s="165" t="inlineStr"/>
    </row>
    <row r="114" ht="15.75" customHeight="1">
      <c r="A114" s="11" t="n"/>
      <c r="B114" s="8" t="n"/>
      <c r="C114" s="12" t="n"/>
      <c r="D114" s="12" t="n"/>
      <c r="E114" s="11" t="n"/>
      <c r="F114" s="14" t="n"/>
      <c r="G114" s="14" t="n"/>
      <c r="H114" s="164" t="n"/>
    </row>
    <row r="115" ht="15.75" customHeight="1">
      <c r="A115" s="11" t="inlineStr">
        <is>
          <t>Q</t>
        </is>
      </c>
      <c r="B115" s="8" t="inlineStr">
        <is>
          <t>1500mm X 2200mm Timber Bi-Fold Door</t>
        </is>
      </c>
      <c r="C115" s="12" t="n">
        <v>7</v>
      </c>
      <c r="D115" s="162">
        <f>'Verification Take-off'!E123</f>
        <v>7.0</v>
      </c>
      <c r="E115" s="11" t="inlineStr">
        <is>
          <t>nr</t>
        </is>
      </c>
      <c r="F115" s="163" t="inlineStr">
        <is>
          <t>nr</t>
        </is>
      </c>
      <c r="G115" s="150" t="n"/>
      <c r="H115" s="164">
        <f>G115*D115</f>
        <v>0.0</v>
      </c>
      <c r="I115" s="165" t="inlineStr"/>
    </row>
    <row r="116" ht="15.75" customHeight="1">
      <c r="A116" s="11" t="n"/>
      <c r="B116" s="8" t="n"/>
      <c r="C116" s="12" t="n"/>
      <c r="D116" s="12" t="n"/>
      <c r="E116" s="11" t="n"/>
      <c r="F116" s="14" t="n"/>
      <c r="G116" s="14" t="n"/>
      <c r="H116" s="164" t="n"/>
    </row>
    <row r="117" ht="31.5" customHeight="1">
      <c r="A117" s="11" t="inlineStr">
        <is>
          <t>R</t>
        </is>
      </c>
      <c r="B117" s="8" t="inlineStr">
        <is>
          <t xml:space="preserve">900mm X 2200mm Screw fixed galvanized steel service access panel </t>
        </is>
      </c>
      <c r="C117" s="12" t="n">
        <v>18</v>
      </c>
      <c r="D117" s="162">
        <f>'Verification Take-off'!E124</f>
        <v>18.0</v>
      </c>
      <c r="E117" s="11" t="inlineStr">
        <is>
          <t>nr</t>
        </is>
      </c>
      <c r="F117" s="163" t="inlineStr">
        <is>
          <t>nr</t>
        </is>
      </c>
      <c r="G117" s="150" t="n"/>
      <c r="H117" s="164">
        <f>G117*D117</f>
        <v>0.0</v>
      </c>
      <c r="I117" s="165" t="inlineStr"/>
    </row>
    <row r="118" ht="15.75" customHeight="1">
      <c r="A118" s="11" t="n"/>
      <c r="B118" s="8" t="n"/>
      <c r="C118" s="12" t="n"/>
      <c r="D118" s="12" t="n"/>
      <c r="E118" s="11" t="n"/>
      <c r="F118" s="14" t="n"/>
      <c r="G118" s="14" t="n"/>
      <c r="H118" s="164" t="n"/>
    </row>
    <row r="119" ht="31.5" customHeight="1">
      <c r="A119" s="11" t="inlineStr">
        <is>
          <t>S</t>
        </is>
      </c>
      <c r="B119" s="8" t="inlineStr">
        <is>
          <t>750mm  X 2200mm Screw fixed galvanized steel service</t>
        </is>
      </c>
      <c r="C119" s="12" t="n">
        <v>36</v>
      </c>
      <c r="D119" s="162">
        <f>'Verification Take-off'!E125</f>
        <v>36.0</v>
      </c>
      <c r="E119" s="11" t="inlineStr">
        <is>
          <t>nr</t>
        </is>
      </c>
      <c r="F119" s="163" t="inlineStr">
        <is>
          <t>nr</t>
        </is>
      </c>
      <c r="G119" s="150" t="n"/>
      <c r="H119" s="164">
        <f>G119*D119</f>
        <v>0.0</v>
      </c>
      <c r="I119" s="165" t="inlineStr"/>
    </row>
    <row r="120" ht="15.75" customHeight="1">
      <c r="A120" s="11" t="n"/>
      <c r="B120" s="8" t="n"/>
      <c r="C120" s="12" t="n"/>
      <c r="D120" s="12" t="n"/>
      <c r="E120" s="11" t="n"/>
      <c r="F120" s="14" t="n"/>
      <c r="G120" s="14" t="n"/>
      <c r="H120" s="164" t="n"/>
    </row>
    <row r="121" ht="31.5" customHeight="1">
      <c r="A121" s="11" t="inlineStr">
        <is>
          <t>T</t>
        </is>
      </c>
      <c r="B121" s="8" t="inlineStr">
        <is>
          <t>450mm  X 2200mm Screw fixed galvanized steel service</t>
        </is>
      </c>
      <c r="C121" s="12" t="n">
        <v>8</v>
      </c>
      <c r="D121" s="162">
        <f>'Verification Take-off'!E126</f>
        <v>8.0</v>
      </c>
      <c r="E121" s="11" t="inlineStr">
        <is>
          <t>nr</t>
        </is>
      </c>
      <c r="F121" s="163" t="inlineStr">
        <is>
          <t>nr</t>
        </is>
      </c>
      <c r="G121" s="150" t="n"/>
      <c r="H121" s="164">
        <f>G121*D121</f>
        <v>0.0</v>
      </c>
      <c r="I121" s="165" t="inlineStr"/>
    </row>
    <row r="122" ht="15.75" customHeight="1">
      <c r="A122" s="11" t="n"/>
      <c r="B122" s="8" t="n"/>
      <c r="C122" s="12" t="n"/>
      <c r="D122" s="12" t="n"/>
      <c r="E122" s="11" t="n"/>
      <c r="F122" s="14" t="n"/>
      <c r="G122" s="14" t="n"/>
      <c r="H122" s="164" t="n"/>
    </row>
    <row r="123" ht="31.5" customHeight="1">
      <c r="A123" s="11" t="inlineStr">
        <is>
          <t>U</t>
        </is>
      </c>
      <c r="B123" s="8" t="inlineStr">
        <is>
          <t>600mm  X 2200mm Screw fixed galvanized steel service</t>
        </is>
      </c>
      <c r="C123" s="12" t="n">
        <v>24</v>
      </c>
      <c r="D123" s="162">
        <f>'Verification Take-off'!E127</f>
        <v>24.0</v>
      </c>
      <c r="E123" s="11" t="inlineStr">
        <is>
          <t>nr</t>
        </is>
      </c>
      <c r="F123" s="163" t="inlineStr">
        <is>
          <t>nr</t>
        </is>
      </c>
      <c r="G123" s="150" t="n"/>
      <c r="H123" s="164">
        <f>G123*D123</f>
        <v>0.0</v>
      </c>
      <c r="I123" s="165" t="inlineStr"/>
    </row>
    <row r="124" ht="15.75" customHeight="1">
      <c r="A124" s="11" t="n"/>
      <c r="B124" s="8" t="n"/>
      <c r="C124" s="12" t="n"/>
      <c r="D124" s="12" t="n"/>
      <c r="E124" s="11" t="n"/>
      <c r="F124" s="14" t="n"/>
      <c r="G124" s="14" t="n"/>
      <c r="H124" s="164" t="n"/>
    </row>
    <row r="125" ht="31.5" customHeight="1">
      <c r="A125" s="11" t="inlineStr">
        <is>
          <t>V</t>
        </is>
      </c>
      <c r="B125" s="8" t="inlineStr">
        <is>
          <t>1800mm X 2200mm Double leaf Double swing galvanixed steel framed tempered glass Door</t>
        </is>
      </c>
      <c r="C125" s="12" t="n">
        <v>2</v>
      </c>
      <c r="D125" s="162">
        <f>'Verification Take-off'!E128</f>
        <v>2.0</v>
      </c>
      <c r="E125" s="11" t="inlineStr">
        <is>
          <t>nr</t>
        </is>
      </c>
      <c r="F125" s="163" t="inlineStr">
        <is>
          <t>nr</t>
        </is>
      </c>
      <c r="G125" s="150" t="n"/>
      <c r="H125" s="164">
        <f>G125*D125</f>
        <v>0.0</v>
      </c>
      <c r="I125" s="165" t="inlineStr"/>
    </row>
    <row r="126" ht="15.75" customHeight="1">
      <c r="A126" s="11" t="n"/>
      <c r="B126" s="8" t="n"/>
      <c r="C126" s="12" t="n"/>
      <c r="D126" s="12" t="n"/>
      <c r="E126" s="11" t="n"/>
      <c r="F126" s="14" t="n"/>
      <c r="G126" s="14" t="n"/>
      <c r="H126" s="164" t="n"/>
    </row>
    <row r="127" ht="31.5" customHeight="1">
      <c r="A127" s="11" t="inlineStr">
        <is>
          <t>W</t>
        </is>
      </c>
      <c r="B127" s="8" t="inlineStr">
        <is>
          <t>2400mm X 2200mm Double leaf Double swing galvanixed steel framed tempered glass Door</t>
        </is>
      </c>
      <c r="C127" s="12" t="n">
        <v>2</v>
      </c>
      <c r="D127" s="162">
        <f>'Verification Take-off'!E129</f>
        <v>2.0</v>
      </c>
      <c r="E127" s="11" t="inlineStr">
        <is>
          <t>nr</t>
        </is>
      </c>
      <c r="F127" s="163" t="inlineStr">
        <is>
          <t>nr</t>
        </is>
      </c>
      <c r="G127" s="150" t="n"/>
      <c r="H127" s="164">
        <f>G127*D127</f>
        <v>0.0</v>
      </c>
      <c r="I127" s="165" t="inlineStr"/>
    </row>
    <row r="128" ht="15.75" customHeight="1">
      <c r="A128" s="11" t="n"/>
      <c r="B128" s="8" t="n"/>
      <c r="C128" s="12" t="n"/>
      <c r="D128" s="12" t="n"/>
      <c r="E128" s="11" t="n"/>
      <c r="F128" s="14" t="n"/>
      <c r="G128" s="14" t="n"/>
      <c r="H128" s="164" t="n"/>
    </row>
    <row r="129" ht="31.5" customHeight="1">
      <c r="A129" s="11" t="inlineStr">
        <is>
          <t>X</t>
        </is>
      </c>
      <c r="B129" s="166" t="inlineStr">
        <is>
          <t>5050mm X 2200mm Double leaf Double swing galvanixed steel framed tempered glass Door
[PER DRAWINGS: DW2: 1 nr only, with fanlight and fixed side windows]</t>
        </is>
      </c>
      <c r="C129" s="12" t="n">
        <v>2</v>
      </c>
      <c r="D129" s="162">
        <f>'Verification Take-off'!E130</f>
        <v>1.0</v>
      </c>
      <c r="E129" s="11" t="inlineStr">
        <is>
          <t>nr</t>
        </is>
      </c>
      <c r="F129" s="163" t="inlineStr">
        <is>
          <t>nr</t>
        </is>
      </c>
      <c r="G129" s="150" t="n"/>
      <c r="H129" s="164">
        <f>G129*D129</f>
        <v>0.0</v>
      </c>
      <c r="I129" s="165" t="inlineStr"/>
    </row>
    <row r="130" ht="15.75" customHeight="1">
      <c r="A130" s="11" t="n"/>
      <c r="B130" s="8" t="n"/>
      <c r="C130" s="12" t="n"/>
      <c r="D130" s="12" t="n"/>
      <c r="E130" s="11" t="n"/>
      <c r="F130" s="14" t="n"/>
      <c r="G130" s="14" t="n"/>
      <c r="H130" s="164" t="n"/>
    </row>
    <row r="131" ht="31.5" customHeight="1">
      <c r="A131" s="11" t="inlineStr">
        <is>
          <t>Y</t>
        </is>
      </c>
      <c r="B131" s="8" t="inlineStr">
        <is>
          <t>3000mm X 2200 3 panel galvanised steel framed tempered glass sliding door</t>
        </is>
      </c>
      <c r="C131" s="12" t="n">
        <v>8</v>
      </c>
      <c r="D131" s="162">
        <f>'Verification Take-off'!E131</f>
        <v>8.0</v>
      </c>
      <c r="E131" s="11" t="inlineStr">
        <is>
          <t>nr</t>
        </is>
      </c>
      <c r="F131" s="163" t="inlineStr">
        <is>
          <t>nr</t>
        </is>
      </c>
      <c r="G131" s="150" t="n"/>
      <c r="H131" s="164">
        <f>G131*D131</f>
        <v>0.0</v>
      </c>
      <c r="I131" s="165" t="inlineStr"/>
    </row>
    <row r="132" ht="15.75" customHeight="1">
      <c r="A132" s="11" t="n"/>
      <c r="B132" s="8" t="n"/>
      <c r="C132" s="12" t="n"/>
      <c r="D132" s="12" t="n"/>
      <c r="E132" s="11" t="n"/>
      <c r="F132" s="14" t="n"/>
      <c r="G132" s="14" t="n"/>
      <c r="H132" s="164" t="n"/>
    </row>
    <row r="133" ht="31.5" customHeight="1">
      <c r="A133" s="11" t="inlineStr">
        <is>
          <t>Z</t>
        </is>
      </c>
      <c r="B133" s="8" t="inlineStr">
        <is>
          <t>1600mm X 2200mm 2 panel galvanized steel framed tempered glass sliding door</t>
        </is>
      </c>
      <c r="C133" s="12" t="n">
        <v>28</v>
      </c>
      <c r="D133" s="162">
        <f>'Verification Take-off'!E132</f>
        <v>28.0</v>
      </c>
      <c r="E133" s="11" t="inlineStr">
        <is>
          <t>nr</t>
        </is>
      </c>
      <c r="F133" s="163" t="inlineStr">
        <is>
          <t>nr</t>
        </is>
      </c>
      <c r="G133" s="150" t="n"/>
      <c r="H133" s="164">
        <f>G133*D133</f>
        <v>0.0</v>
      </c>
      <c r="I133" s="165" t="inlineStr"/>
    </row>
    <row r="134" ht="15.75" customHeight="1">
      <c r="A134" s="11" t="n"/>
      <c r="B134" s="8" t="n"/>
      <c r="C134" s="12" t="n"/>
      <c r="D134" s="12" t="n"/>
      <c r="E134" s="11" t="n"/>
      <c r="F134" s="14" t="n"/>
      <c r="G134" s="14" t="n"/>
      <c r="H134" s="164" t="n"/>
    </row>
    <row r="135" ht="31.5" customHeight="1">
      <c r="A135" s="11" t="inlineStr">
        <is>
          <t>A</t>
        </is>
      </c>
      <c r="B135" s="8" t="inlineStr">
        <is>
          <t>1300mm X 2200mm 2 panel galvanized steel framed tempered glass sliding door</t>
        </is>
      </c>
      <c r="C135" s="12" t="n">
        <v>16</v>
      </c>
      <c r="D135" s="162">
        <f>'Verification Take-off'!E133</f>
        <v>16.0</v>
      </c>
      <c r="E135" s="11" t="inlineStr">
        <is>
          <t>nr</t>
        </is>
      </c>
      <c r="F135" s="163" t="inlineStr">
        <is>
          <t>nr</t>
        </is>
      </c>
      <c r="G135" s="150" t="n"/>
      <c r="H135" s="164">
        <f>G135*D135</f>
        <v>0.0</v>
      </c>
      <c r="I135" s="165" t="inlineStr"/>
    </row>
    <row r="136" ht="15.75" customHeight="1">
      <c r="A136" s="11" t="n"/>
      <c r="B136" s="8" t="n"/>
      <c r="C136" s="12" t="n"/>
      <c r="D136" s="12" t="n"/>
      <c r="E136" s="11" t="n"/>
      <c r="F136" s="14" t="n"/>
      <c r="G136" s="14" t="n"/>
      <c r="H136" s="164" t="n"/>
    </row>
    <row r="137" ht="31.5" customHeight="1">
      <c r="A137" s="11" t="inlineStr">
        <is>
          <t>B</t>
        </is>
      </c>
      <c r="B137" s="8" t="inlineStr">
        <is>
          <t>1800mm X 2200mm 2 panel galvanized steel framed tempered glass sliding door</t>
        </is>
      </c>
      <c r="C137" s="12" t="n">
        <v>30</v>
      </c>
      <c r="D137" s="162">
        <f>'Verification Take-off'!E134</f>
        <v>30.0</v>
      </c>
      <c r="E137" s="11" t="inlineStr">
        <is>
          <t>nr</t>
        </is>
      </c>
      <c r="F137" s="163" t="inlineStr">
        <is>
          <t>nr</t>
        </is>
      </c>
      <c r="G137" s="150" t="n"/>
      <c r="H137" s="164">
        <f>G137*D137</f>
        <v>0.0</v>
      </c>
      <c r="I137" s="165" t="inlineStr"/>
    </row>
    <row r="138" ht="15.75" customHeight="1">
      <c r="A138" s="11" t="n"/>
      <c r="B138" s="8" t="n"/>
      <c r="C138" s="12" t="n"/>
      <c r="D138" s="12" t="n"/>
      <c r="E138" s="11" t="n"/>
      <c r="F138" s="14" t="n"/>
      <c r="G138" s="14" t="n"/>
      <c r="H138" s="164" t="n"/>
    </row>
    <row r="139" ht="31.5" customHeight="1">
      <c r="A139" s="11" t="inlineStr">
        <is>
          <t>C</t>
        </is>
      </c>
      <c r="B139" s="8" t="inlineStr">
        <is>
          <t>1200mm X 2200mm 2 panel galvanized steel framed tempered glass sliding door</t>
        </is>
      </c>
      <c r="C139" s="12" t="n">
        <v>7</v>
      </c>
      <c r="D139" s="162">
        <f>'Verification Take-off'!E135</f>
        <v>7.0</v>
      </c>
      <c r="E139" s="11" t="inlineStr">
        <is>
          <t>nr</t>
        </is>
      </c>
      <c r="F139" s="163" t="inlineStr">
        <is>
          <t>nr</t>
        </is>
      </c>
      <c r="G139" s="150" t="n"/>
      <c r="H139" s="164">
        <f>G139*D139</f>
        <v>0.0</v>
      </c>
      <c r="I139" s="165" t="inlineStr"/>
    </row>
    <row r="140" ht="15.75" customHeight="1">
      <c r="A140" s="11" t="n"/>
      <c r="B140" s="8" t="n"/>
      <c r="C140" s="12" t="n"/>
      <c r="D140" s="12" t="n"/>
      <c r="E140" s="11" t="n"/>
      <c r="F140" s="14" t="n"/>
      <c r="G140" s="14" t="n"/>
      <c r="H140" s="164" t="n"/>
    </row>
    <row r="141" ht="15.75" customHeight="1">
      <c r="A141" s="11" t="n"/>
      <c r="B141" s="8" t="n"/>
      <c r="C141" s="12" t="n"/>
      <c r="D141" s="12" t="n"/>
      <c r="E141" s="11" t="n"/>
      <c r="F141" s="14" t="n"/>
      <c r="G141" s="14" t="n"/>
      <c r="H141" s="164" t="n"/>
    </row>
    <row r="142" ht="15.75" customHeight="1">
      <c r="A142" s="11" t="inlineStr">
        <is>
          <t>D</t>
        </is>
      </c>
      <c r="B142" s="8" t="inlineStr">
        <is>
          <t>Metal roller shutter door 4200mm X 2157mm</t>
        </is>
      </c>
      <c r="C142" s="12" t="n">
        <v>2</v>
      </c>
      <c r="D142" s="162">
        <f>'Verification Take-off'!E136</f>
        <v>2.0</v>
      </c>
      <c r="E142" s="11" t="inlineStr">
        <is>
          <t>nr</t>
        </is>
      </c>
      <c r="F142" s="163" t="inlineStr">
        <is>
          <t>nr</t>
        </is>
      </c>
      <c r="G142" s="150" t="n"/>
      <c r="H142" s="164">
        <f>G142*D142</f>
        <v>0.0</v>
      </c>
      <c r="I142" s="165" t="inlineStr"/>
    </row>
    <row r="143" ht="15.75" customHeight="1">
      <c r="A143" s="11" t="n"/>
      <c r="B143" s="8" t="n"/>
      <c r="C143" s="11" t="n"/>
      <c r="D143" s="11" t="n"/>
      <c r="E143" s="11" t="n"/>
      <c r="F143" s="14" t="n"/>
      <c r="G143" s="14" t="n"/>
      <c r="H143" s="164" t="n"/>
    </row>
    <row r="144" ht="15.75" customHeight="1">
      <c r="A144" s="11" t="n"/>
      <c r="B144" s="8" t="n"/>
      <c r="C144" s="12" t="n"/>
      <c r="D144" s="12" t="n"/>
      <c r="E144" s="11" t="n"/>
      <c r="F144" s="14" t="n"/>
      <c r="G144" s="14" t="n"/>
      <c r="H144" s="164" t="n"/>
    </row>
    <row r="145" ht="15.75" customHeight="1">
      <c r="A145" s="11" t="n"/>
      <c r="B145" s="8" t="n"/>
      <c r="C145" s="11" t="n"/>
      <c r="D145" s="11" t="n"/>
      <c r="E145" s="11" t="n"/>
      <c r="F145" s="14" t="n"/>
      <c r="G145" s="14" t="n"/>
      <c r="H145" s="164" t="n"/>
    </row>
    <row r="146" ht="15.75" customHeight="1">
      <c r="A146" s="11" t="n"/>
      <c r="B146" s="8" t="n"/>
      <c r="C146" s="12" t="n"/>
      <c r="D146" s="12" t="n"/>
      <c r="E146" s="11" t="n"/>
      <c r="F146" s="14" t="n"/>
      <c r="G146" s="16" t="n"/>
      <c r="H146" s="164" t="n"/>
    </row>
    <row r="147" ht="15.75" customHeight="1">
      <c r="A147" s="11" t="n"/>
      <c r="B147" s="15" t="inlineStr">
        <is>
          <t>Ironmongery</t>
        </is>
      </c>
      <c r="C147" s="12" t="n"/>
      <c r="D147" s="12" t="n"/>
      <c r="E147" s="11" t="n"/>
      <c r="F147" s="14" t="n"/>
      <c r="G147" s="16" t="n"/>
      <c r="H147" s="164" t="n"/>
    </row>
    <row r="148" ht="15.75" customHeight="1">
      <c r="A148" s="11" t="n"/>
      <c r="B148" s="15" t="inlineStr">
        <is>
          <t>Supply and fix the following approved Ironmongery</t>
        </is>
      </c>
      <c r="C148" s="12" t="n"/>
      <c r="D148" s="12" t="n"/>
      <c r="E148" s="11" t="n"/>
      <c r="F148" s="14" t="n"/>
      <c r="G148" s="16" t="n"/>
      <c r="H148" s="164" t="n"/>
    </row>
    <row r="149" ht="15.75" customHeight="1">
      <c r="A149" s="11" t="n"/>
      <c r="B149" s="15" t="inlineStr">
        <is>
          <t>to hardwood with accommpanying pattented screws</t>
        </is>
      </c>
      <c r="C149" s="12" t="n"/>
      <c r="D149" s="12" t="n"/>
      <c r="E149" s="11" t="n"/>
      <c r="F149" s="14" t="n"/>
      <c r="G149" s="16" t="n"/>
      <c r="H149" s="164" t="n"/>
    </row>
    <row r="150" ht="15.75" customHeight="1">
      <c r="A150" s="11" t="n"/>
      <c r="B150" s="8" t="n"/>
      <c r="C150" s="12" t="n"/>
      <c r="D150" s="12" t="n"/>
      <c r="E150" s="11" t="n"/>
      <c r="F150" s="14" t="n"/>
      <c r="G150" s="14" t="n"/>
      <c r="H150" s="16" t="n"/>
      <c r="I150" s="18" t="n"/>
      <c r="J150" s="18" t="n"/>
      <c r="K150" s="18" t="n"/>
      <c r="L150" s="18" t="n"/>
      <c r="M150" s="18" t="n"/>
      <c r="N150" s="18" t="n"/>
      <c r="O150" s="18" t="n"/>
      <c r="P150" s="18" t="n"/>
      <c r="Q150" s="18" t="n"/>
      <c r="R150" s="18" t="n"/>
      <c r="S150" s="18" t="n"/>
      <c r="T150" s="18" t="n"/>
      <c r="U150" s="18" t="n"/>
      <c r="V150" s="18" t="n"/>
      <c r="W150" s="18" t="n"/>
      <c r="X150" s="18" t="n"/>
      <c r="Y150" s="18" t="n"/>
      <c r="Z150" s="18" t="n"/>
      <c r="AA150" s="18" t="n"/>
      <c r="AB150" s="18" t="n"/>
      <c r="AC150" s="18" t="n"/>
      <c r="AD150" s="18" t="n"/>
      <c r="AE150" s="18" t="n"/>
      <c r="AF150" s="18" t="n"/>
      <c r="AG150" s="18" t="n"/>
      <c r="AH150" s="18" t="n"/>
      <c r="AI150" s="18" t="n"/>
      <c r="AJ150" s="18" t="n"/>
      <c r="AK150" s="18" t="n"/>
      <c r="AL150" s="18" t="n"/>
      <c r="AM150" s="18" t="n"/>
      <c r="AN150" s="18" t="n"/>
      <c r="AO150" s="18" t="n"/>
      <c r="AP150" s="18" t="n"/>
      <c r="AQ150" s="18" t="n"/>
      <c r="AR150" s="18" t="n"/>
      <c r="AS150" s="18" t="n"/>
      <c r="AT150" s="18" t="n"/>
      <c r="AU150" s="18" t="n"/>
      <c r="AV150" s="18" t="n"/>
      <c r="AW150" s="18" t="n"/>
      <c r="AX150" s="18" t="n"/>
      <c r="AY150" s="18" t="n"/>
      <c r="AZ150" s="18" t="n"/>
      <c r="BA150" s="18" t="n"/>
      <c r="BB150" s="18" t="n"/>
      <c r="BC150" s="18" t="n"/>
      <c r="BD150" s="18" t="n"/>
      <c r="BE150" s="18" t="n"/>
      <c r="BF150" s="18" t="n"/>
      <c r="BG150" s="18" t="n"/>
      <c r="BH150" s="18" t="n"/>
      <c r="BI150" s="18" t="n"/>
      <c r="BJ150" s="18" t="n"/>
      <c r="BK150" s="18" t="n"/>
      <c r="BL150" s="18" t="n"/>
      <c r="BM150" s="18" t="n"/>
      <c r="BN150" s="18" t="n"/>
      <c r="BO150" s="18" t="n"/>
      <c r="BP150" s="18" t="n"/>
      <c r="BQ150" s="18" t="n"/>
      <c r="BR150" s="18" t="n"/>
      <c r="BS150" s="18" t="n"/>
      <c r="BT150" s="18" t="n"/>
      <c r="BU150" s="18" t="n"/>
      <c r="BV150" s="18" t="n"/>
      <c r="BW150" s="18" t="n"/>
      <c r="BX150" s="18" t="n"/>
      <c r="BY150" s="18" t="n"/>
      <c r="BZ150" s="18" t="n"/>
      <c r="CA150" s="18" t="n"/>
      <c r="CB150" s="18" t="n"/>
      <c r="CC150" s="18" t="n"/>
      <c r="CD150" s="18" t="n"/>
      <c r="CE150" s="18" t="n"/>
      <c r="CF150" s="18" t="n"/>
      <c r="CG150" s="18" t="n"/>
      <c r="CH150" s="18" t="n"/>
      <c r="CI150" s="18" t="n"/>
      <c r="CJ150" s="18" t="n"/>
      <c r="CK150" s="18" t="n"/>
      <c r="CL150" s="18" t="n"/>
      <c r="CM150" s="18" t="n"/>
      <c r="CN150" s="18" t="n"/>
      <c r="CO150" s="18" t="n"/>
      <c r="CP150" s="18" t="n"/>
      <c r="CQ150" s="18" t="n"/>
      <c r="CR150" s="18" t="n"/>
      <c r="CS150" s="18" t="n"/>
      <c r="CT150" s="18" t="n"/>
      <c r="CU150" s="18" t="n"/>
      <c r="CV150" s="18" t="n"/>
      <c r="CW150" s="18" t="n"/>
      <c r="CX150" s="18" t="n"/>
      <c r="CY150" s="18" t="n"/>
      <c r="CZ150" s="18" t="n"/>
      <c r="DA150" s="18" t="n"/>
      <c r="DB150" s="18" t="n"/>
      <c r="DC150" s="18" t="n"/>
      <c r="DD150" s="18" t="n"/>
      <c r="DE150" s="18" t="n"/>
      <c r="DF150" s="18" t="n"/>
      <c r="DG150" s="18" t="n"/>
      <c r="DH150" s="18" t="n"/>
      <c r="DI150" s="18" t="n"/>
      <c r="DJ150" s="18" t="n"/>
      <c r="DK150" s="18" t="n"/>
      <c r="DL150" s="18" t="n"/>
      <c r="DM150" s="18" t="n"/>
      <c r="DN150" s="18" t="n"/>
      <c r="DO150" s="18" t="n"/>
      <c r="DP150" s="18" t="n"/>
      <c r="DQ150" s="18" t="n"/>
      <c r="DR150" s="18" t="n"/>
      <c r="DS150" s="18" t="n"/>
      <c r="DT150" s="18" t="n"/>
      <c r="DU150" s="18" t="n"/>
      <c r="DV150" s="18" t="n"/>
      <c r="DW150" s="18" t="n"/>
      <c r="DX150" s="18" t="n"/>
      <c r="DY150" s="18" t="n"/>
      <c r="DZ150" s="18" t="n"/>
      <c r="EA150" s="18" t="n"/>
      <c r="EB150" s="18" t="n"/>
      <c r="EC150" s="18" t="n"/>
      <c r="ED150" s="18" t="n"/>
      <c r="EE150" s="18" t="n"/>
      <c r="EF150" s="18" t="n"/>
      <c r="EG150" s="18" t="n"/>
      <c r="EH150" s="18" t="n"/>
      <c r="EI150" s="18" t="n"/>
      <c r="EJ150" s="18" t="n"/>
      <c r="EK150" s="18" t="n"/>
      <c r="EL150" s="18" t="n"/>
      <c r="EM150" s="18" t="n"/>
      <c r="EN150" s="18" t="n"/>
      <c r="EO150" s="18" t="n"/>
      <c r="EP150" s="18" t="n"/>
      <c r="EQ150" s="18" t="n"/>
      <c r="ER150" s="18" t="n"/>
      <c r="ES150" s="18" t="n"/>
      <c r="ET150" s="18" t="n"/>
      <c r="EU150" s="18" t="n"/>
      <c r="EV150" s="18" t="n"/>
      <c r="EW150" s="18" t="n"/>
      <c r="EX150" s="18" t="n"/>
      <c r="EY150" s="18" t="n"/>
      <c r="EZ150" s="18" t="n"/>
      <c r="FA150" s="18" t="n"/>
      <c r="FB150" s="18" t="n"/>
      <c r="FC150" s="18" t="n"/>
      <c r="FD150" s="18" t="n"/>
      <c r="FE150" s="18" t="n"/>
      <c r="FF150" s="18" t="n"/>
      <c r="FG150" s="18" t="n"/>
      <c r="FH150" s="18" t="n"/>
      <c r="FI150" s="18" t="n"/>
      <c r="FJ150" s="18" t="n"/>
      <c r="FK150" s="18" t="n"/>
      <c r="FL150" s="18" t="n"/>
      <c r="FM150" s="18" t="n"/>
      <c r="FN150" s="18" t="n"/>
      <c r="FO150" s="18" t="n"/>
      <c r="FP150" s="18" t="n"/>
      <c r="FQ150" s="18" t="n"/>
      <c r="FR150" s="18" t="n"/>
      <c r="FS150" s="18" t="n"/>
      <c r="FT150" s="18" t="n"/>
      <c r="FU150" s="18" t="n"/>
      <c r="FV150" s="18" t="n"/>
      <c r="FW150" s="18" t="n"/>
      <c r="FX150" s="18" t="n"/>
      <c r="FY150" s="18" t="n"/>
      <c r="FZ150" s="18" t="n"/>
      <c r="GA150" s="18" t="n"/>
      <c r="GB150" s="18" t="n"/>
      <c r="GC150" s="18" t="n"/>
      <c r="GD150" s="18" t="n"/>
      <c r="GE150" s="18" t="n"/>
      <c r="GF150" s="18" t="n"/>
      <c r="GG150" s="18" t="n"/>
      <c r="GH150" s="18" t="n"/>
      <c r="GI150" s="18" t="n"/>
      <c r="GJ150" s="18" t="n"/>
      <c r="GK150" s="18" t="n"/>
      <c r="GL150" s="18" t="n"/>
      <c r="GM150" s="18" t="n"/>
      <c r="GN150" s="18" t="n"/>
      <c r="GO150" s="18" t="n"/>
      <c r="GP150" s="18" t="n"/>
      <c r="GQ150" s="18" t="n"/>
      <c r="GR150" s="18" t="n"/>
      <c r="GS150" s="18" t="n"/>
      <c r="GT150" s="18" t="n"/>
      <c r="GU150" s="18" t="n"/>
      <c r="GV150" s="18" t="n"/>
      <c r="GW150" s="18" t="n"/>
      <c r="GX150" s="18" t="n"/>
      <c r="GY150" s="18" t="n"/>
      <c r="GZ150" s="18" t="n"/>
      <c r="HA150" s="18" t="n"/>
      <c r="HB150" s="18" t="n"/>
    </row>
    <row r="151" ht="15.75" customHeight="1">
      <c r="A151" s="11" t="inlineStr">
        <is>
          <t>A</t>
        </is>
      </c>
      <c r="B151" s="9" t="inlineStr">
        <is>
          <t>Pair 100mm Brass butt hinges</t>
        </is>
      </c>
      <c r="C151" s="12">
        <f>2*335</f>
        <v>670.0</v>
      </c>
      <c r="D151" s="162">
        <f>'Verification Take-off'!E101</f>
        <v>449.0</v>
      </c>
      <c r="E151" s="11" t="inlineStr">
        <is>
          <t>nr</t>
        </is>
      </c>
      <c r="F151" s="177" t="inlineStr">
        <is>
          <t>pr</t>
        </is>
      </c>
      <c r="G151" s="150" t="n"/>
      <c r="H151" s="16">
        <f>G151*D151</f>
        <v>0.0</v>
      </c>
      <c r="I151" s="184" t="inlineStr">
        <is>
          <t>Unit changed nr -&gt; pairs</t>
        </is>
      </c>
      <c r="J151" s="18" t="n"/>
      <c r="K151" s="18" t="n"/>
      <c r="L151" s="18" t="n"/>
      <c r="M151" s="18" t="n"/>
      <c r="N151" s="18" t="n"/>
      <c r="O151" s="18" t="n"/>
      <c r="P151" s="18" t="n"/>
      <c r="Q151" s="18" t="n"/>
      <c r="R151" s="18" t="n"/>
      <c r="S151" s="18" t="n"/>
      <c r="T151" s="18" t="n"/>
      <c r="U151" s="18" t="n"/>
      <c r="V151" s="18" t="n"/>
      <c r="W151" s="18" t="n"/>
      <c r="X151" s="18" t="n"/>
      <c r="Y151" s="18" t="n"/>
      <c r="Z151" s="18" t="n"/>
      <c r="AA151" s="18" t="n"/>
      <c r="AB151" s="18" t="n"/>
      <c r="AC151" s="18" t="n"/>
      <c r="AD151" s="18" t="n"/>
      <c r="AE151" s="18" t="n"/>
      <c r="AF151" s="18" t="n"/>
      <c r="AG151" s="18" t="n"/>
      <c r="AH151" s="18" t="n"/>
      <c r="AI151" s="18" t="n"/>
      <c r="AJ151" s="18" t="n"/>
      <c r="AK151" s="18" t="n"/>
      <c r="AL151" s="18" t="n"/>
      <c r="AM151" s="18" t="n"/>
      <c r="AN151" s="18" t="n"/>
      <c r="AO151" s="18" t="n"/>
      <c r="AP151" s="18" t="n"/>
      <c r="AQ151" s="18" t="n"/>
      <c r="AR151" s="18" t="n"/>
      <c r="AS151" s="18" t="n"/>
      <c r="AT151" s="18" t="n"/>
      <c r="AU151" s="18" t="n"/>
      <c r="AV151" s="18" t="n"/>
      <c r="AW151" s="18" t="n"/>
      <c r="AX151" s="18" t="n"/>
      <c r="AY151" s="18" t="n"/>
      <c r="AZ151" s="18" t="n"/>
      <c r="BA151" s="18" t="n"/>
      <c r="BB151" s="18" t="n"/>
      <c r="BC151" s="18" t="n"/>
      <c r="BD151" s="18" t="n"/>
      <c r="BE151" s="18" t="n"/>
      <c r="BF151" s="18" t="n"/>
      <c r="BG151" s="18" t="n"/>
      <c r="BH151" s="18" t="n"/>
      <c r="BI151" s="18" t="n"/>
      <c r="BJ151" s="18" t="n"/>
      <c r="BK151" s="18" t="n"/>
      <c r="BL151" s="18" t="n"/>
      <c r="BM151" s="18" t="n"/>
      <c r="BN151" s="18" t="n"/>
      <c r="BO151" s="18" t="n"/>
      <c r="BP151" s="18" t="n"/>
      <c r="BQ151" s="18" t="n"/>
      <c r="BR151" s="18" t="n"/>
      <c r="BS151" s="18" t="n"/>
      <c r="BT151" s="18" t="n"/>
      <c r="BU151" s="18" t="n"/>
      <c r="BV151" s="18" t="n"/>
      <c r="BW151" s="18" t="n"/>
      <c r="BX151" s="18" t="n"/>
      <c r="BY151" s="18" t="n"/>
      <c r="BZ151" s="18" t="n"/>
      <c r="CA151" s="18" t="n"/>
      <c r="CB151" s="18" t="n"/>
      <c r="CC151" s="18" t="n"/>
      <c r="CD151" s="18" t="n"/>
      <c r="CE151" s="18" t="n"/>
      <c r="CF151" s="18" t="n"/>
      <c r="CG151" s="18" t="n"/>
      <c r="CH151" s="18" t="n"/>
      <c r="CI151" s="18" t="n"/>
      <c r="CJ151" s="18" t="n"/>
      <c r="CK151" s="18" t="n"/>
      <c r="CL151" s="18" t="n"/>
      <c r="CM151" s="18" t="n"/>
      <c r="CN151" s="18" t="n"/>
      <c r="CO151" s="18" t="n"/>
      <c r="CP151" s="18" t="n"/>
      <c r="CQ151" s="18" t="n"/>
      <c r="CR151" s="18" t="n"/>
      <c r="CS151" s="18" t="n"/>
      <c r="CT151" s="18" t="n"/>
      <c r="CU151" s="18" t="n"/>
      <c r="CV151" s="18" t="n"/>
      <c r="CW151" s="18" t="n"/>
      <c r="CX151" s="18" t="n"/>
      <c r="CY151" s="18" t="n"/>
      <c r="CZ151" s="18" t="n"/>
      <c r="DA151" s="18" t="n"/>
      <c r="DB151" s="18" t="n"/>
      <c r="DC151" s="18" t="n"/>
      <c r="DD151" s="18" t="n"/>
      <c r="DE151" s="18" t="n"/>
      <c r="DF151" s="18" t="n"/>
      <c r="DG151" s="18" t="n"/>
      <c r="DH151" s="18" t="n"/>
      <c r="DI151" s="18" t="n"/>
      <c r="DJ151" s="18" t="n"/>
      <c r="DK151" s="18" t="n"/>
      <c r="DL151" s="18" t="n"/>
      <c r="DM151" s="18" t="n"/>
      <c r="DN151" s="18" t="n"/>
      <c r="DO151" s="18" t="n"/>
      <c r="DP151" s="18" t="n"/>
      <c r="DQ151" s="18" t="n"/>
      <c r="DR151" s="18" t="n"/>
      <c r="DS151" s="18" t="n"/>
      <c r="DT151" s="18" t="n"/>
      <c r="DU151" s="18" t="n"/>
      <c r="DV151" s="18" t="n"/>
      <c r="DW151" s="18" t="n"/>
      <c r="DX151" s="18" t="n"/>
      <c r="DY151" s="18" t="n"/>
      <c r="DZ151" s="18" t="n"/>
      <c r="EA151" s="18" t="n"/>
      <c r="EB151" s="18" t="n"/>
      <c r="EC151" s="18" t="n"/>
      <c r="ED151" s="18" t="n"/>
      <c r="EE151" s="18" t="n"/>
      <c r="EF151" s="18" t="n"/>
      <c r="EG151" s="18" t="n"/>
      <c r="EH151" s="18" t="n"/>
      <c r="EI151" s="18" t="n"/>
      <c r="EJ151" s="18" t="n"/>
      <c r="EK151" s="18" t="n"/>
      <c r="EL151" s="18" t="n"/>
      <c r="EM151" s="18" t="n"/>
      <c r="EN151" s="18" t="n"/>
      <c r="EO151" s="18" t="n"/>
      <c r="EP151" s="18" t="n"/>
      <c r="EQ151" s="18" t="n"/>
      <c r="ER151" s="18" t="n"/>
      <c r="ES151" s="18" t="n"/>
      <c r="ET151" s="18" t="n"/>
      <c r="EU151" s="18" t="n"/>
      <c r="EV151" s="18" t="n"/>
      <c r="EW151" s="18" t="n"/>
      <c r="EX151" s="18" t="n"/>
      <c r="EY151" s="18" t="n"/>
      <c r="EZ151" s="18" t="n"/>
      <c r="FA151" s="18" t="n"/>
      <c r="FB151" s="18" t="n"/>
      <c r="FC151" s="18" t="n"/>
      <c r="FD151" s="18" t="n"/>
      <c r="FE151" s="18" t="n"/>
      <c r="FF151" s="18" t="n"/>
      <c r="FG151" s="18" t="n"/>
      <c r="FH151" s="18" t="n"/>
      <c r="FI151" s="18" t="n"/>
      <c r="FJ151" s="18" t="n"/>
      <c r="FK151" s="18" t="n"/>
      <c r="FL151" s="18" t="n"/>
      <c r="FM151" s="18" t="n"/>
      <c r="FN151" s="18" t="n"/>
      <c r="FO151" s="18" t="n"/>
      <c r="FP151" s="18" t="n"/>
      <c r="FQ151" s="18" t="n"/>
      <c r="FR151" s="18" t="n"/>
      <c r="FS151" s="18" t="n"/>
      <c r="FT151" s="18" t="n"/>
      <c r="FU151" s="18" t="n"/>
      <c r="FV151" s="18" t="n"/>
      <c r="FW151" s="18" t="n"/>
      <c r="FX151" s="18" t="n"/>
      <c r="FY151" s="18" t="n"/>
      <c r="FZ151" s="18" t="n"/>
      <c r="GA151" s="18" t="n"/>
      <c r="GB151" s="18" t="n"/>
      <c r="GC151" s="18" t="n"/>
      <c r="GD151" s="18" t="n"/>
      <c r="GE151" s="18" t="n"/>
      <c r="GF151" s="18" t="n"/>
      <c r="GG151" s="18" t="n"/>
      <c r="GH151" s="18" t="n"/>
      <c r="GI151" s="18" t="n"/>
      <c r="GJ151" s="18" t="n"/>
      <c r="GK151" s="18" t="n"/>
      <c r="GL151" s="18" t="n"/>
      <c r="GM151" s="18" t="n"/>
      <c r="GN151" s="18" t="n"/>
      <c r="GO151" s="18" t="n"/>
      <c r="GP151" s="18" t="n"/>
      <c r="GQ151" s="18" t="n"/>
      <c r="GR151" s="18" t="n"/>
      <c r="GS151" s="18" t="n"/>
      <c r="GT151" s="18" t="n"/>
      <c r="GU151" s="18" t="n"/>
      <c r="GV151" s="18" t="n"/>
      <c r="GW151" s="18" t="n"/>
      <c r="GX151" s="18" t="n"/>
      <c r="GY151" s="18" t="n"/>
      <c r="GZ151" s="18" t="n"/>
      <c r="HA151" s="18" t="n"/>
      <c r="HB151" s="18" t="n"/>
    </row>
    <row r="152" ht="15.75" customHeight="1">
      <c r="A152" s="11" t="n"/>
      <c r="B152" s="8" t="n"/>
      <c r="C152" s="12" t="n"/>
      <c r="D152" s="12" t="n"/>
      <c r="E152" s="11" t="n"/>
      <c r="F152" s="14" t="n"/>
      <c r="G152" s="14" t="n"/>
      <c r="H152" s="16" t="n"/>
      <c r="I152" s="18" t="n"/>
      <c r="J152" s="18" t="n"/>
      <c r="K152" s="18" t="n"/>
      <c r="L152" s="18" t="n"/>
      <c r="M152" s="18" t="n"/>
      <c r="N152" s="18" t="n"/>
      <c r="O152" s="18" t="n"/>
      <c r="P152" s="18" t="n"/>
      <c r="Q152" s="18" t="n"/>
      <c r="R152" s="18" t="n"/>
      <c r="S152" s="18" t="n"/>
      <c r="T152" s="18" t="n"/>
      <c r="U152" s="18" t="n"/>
      <c r="V152" s="18" t="n"/>
      <c r="W152" s="18" t="n"/>
      <c r="X152" s="18" t="n"/>
      <c r="Y152" s="18" t="n"/>
      <c r="Z152" s="18" t="n"/>
      <c r="AA152" s="18" t="n"/>
      <c r="AB152" s="18" t="n"/>
      <c r="AC152" s="18" t="n"/>
      <c r="AD152" s="18" t="n"/>
      <c r="AE152" s="18" t="n"/>
      <c r="AF152" s="18" t="n"/>
      <c r="AG152" s="18" t="n"/>
      <c r="AH152" s="18" t="n"/>
      <c r="AI152" s="18" t="n"/>
      <c r="AJ152" s="18" t="n"/>
      <c r="AK152" s="18" t="n"/>
      <c r="AL152" s="18" t="n"/>
      <c r="AM152" s="18" t="n"/>
      <c r="AN152" s="18" t="n"/>
      <c r="AO152" s="18" t="n"/>
      <c r="AP152" s="18" t="n"/>
      <c r="AQ152" s="18" t="n"/>
      <c r="AR152" s="18" t="n"/>
      <c r="AS152" s="18" t="n"/>
      <c r="AT152" s="18" t="n"/>
      <c r="AU152" s="18" t="n"/>
      <c r="AV152" s="18" t="n"/>
      <c r="AW152" s="18" t="n"/>
      <c r="AX152" s="18" t="n"/>
      <c r="AY152" s="18" t="n"/>
      <c r="AZ152" s="18" t="n"/>
      <c r="BA152" s="18" t="n"/>
      <c r="BB152" s="18" t="n"/>
      <c r="BC152" s="18" t="n"/>
      <c r="BD152" s="18" t="n"/>
      <c r="BE152" s="18" t="n"/>
      <c r="BF152" s="18" t="n"/>
      <c r="BG152" s="18" t="n"/>
      <c r="BH152" s="18" t="n"/>
      <c r="BI152" s="18" t="n"/>
      <c r="BJ152" s="18" t="n"/>
      <c r="BK152" s="18" t="n"/>
      <c r="BL152" s="18" t="n"/>
      <c r="BM152" s="18" t="n"/>
      <c r="BN152" s="18" t="n"/>
      <c r="BO152" s="18" t="n"/>
      <c r="BP152" s="18" t="n"/>
      <c r="BQ152" s="18" t="n"/>
      <c r="BR152" s="18" t="n"/>
      <c r="BS152" s="18" t="n"/>
      <c r="BT152" s="18" t="n"/>
      <c r="BU152" s="18" t="n"/>
      <c r="BV152" s="18" t="n"/>
      <c r="BW152" s="18" t="n"/>
      <c r="BX152" s="18" t="n"/>
      <c r="BY152" s="18" t="n"/>
      <c r="BZ152" s="18" t="n"/>
      <c r="CA152" s="18" t="n"/>
      <c r="CB152" s="18" t="n"/>
      <c r="CC152" s="18" t="n"/>
      <c r="CD152" s="18" t="n"/>
      <c r="CE152" s="18" t="n"/>
      <c r="CF152" s="18" t="n"/>
      <c r="CG152" s="18" t="n"/>
      <c r="CH152" s="18" t="n"/>
      <c r="CI152" s="18" t="n"/>
      <c r="CJ152" s="18" t="n"/>
      <c r="CK152" s="18" t="n"/>
      <c r="CL152" s="18" t="n"/>
      <c r="CM152" s="18" t="n"/>
      <c r="CN152" s="18" t="n"/>
      <c r="CO152" s="18" t="n"/>
      <c r="CP152" s="18" t="n"/>
      <c r="CQ152" s="18" t="n"/>
      <c r="CR152" s="18" t="n"/>
      <c r="CS152" s="18" t="n"/>
      <c r="CT152" s="18" t="n"/>
      <c r="CU152" s="18" t="n"/>
      <c r="CV152" s="18" t="n"/>
      <c r="CW152" s="18" t="n"/>
      <c r="CX152" s="18" t="n"/>
      <c r="CY152" s="18" t="n"/>
      <c r="CZ152" s="18" t="n"/>
      <c r="DA152" s="18" t="n"/>
      <c r="DB152" s="18" t="n"/>
      <c r="DC152" s="18" t="n"/>
      <c r="DD152" s="18" t="n"/>
      <c r="DE152" s="18" t="n"/>
      <c r="DF152" s="18" t="n"/>
      <c r="DG152" s="18" t="n"/>
      <c r="DH152" s="18" t="n"/>
      <c r="DI152" s="18" t="n"/>
      <c r="DJ152" s="18" t="n"/>
      <c r="DK152" s="18" t="n"/>
      <c r="DL152" s="18" t="n"/>
      <c r="DM152" s="18" t="n"/>
      <c r="DN152" s="18" t="n"/>
      <c r="DO152" s="18" t="n"/>
      <c r="DP152" s="18" t="n"/>
      <c r="DQ152" s="18" t="n"/>
      <c r="DR152" s="18" t="n"/>
      <c r="DS152" s="18" t="n"/>
      <c r="DT152" s="18" t="n"/>
      <c r="DU152" s="18" t="n"/>
      <c r="DV152" s="18" t="n"/>
      <c r="DW152" s="18" t="n"/>
      <c r="DX152" s="18" t="n"/>
      <c r="DY152" s="18" t="n"/>
      <c r="DZ152" s="18" t="n"/>
      <c r="EA152" s="18" t="n"/>
      <c r="EB152" s="18" t="n"/>
      <c r="EC152" s="18" t="n"/>
      <c r="ED152" s="18" t="n"/>
      <c r="EE152" s="18" t="n"/>
      <c r="EF152" s="18" t="n"/>
      <c r="EG152" s="18" t="n"/>
      <c r="EH152" s="18" t="n"/>
      <c r="EI152" s="18" t="n"/>
      <c r="EJ152" s="18" t="n"/>
      <c r="EK152" s="18" t="n"/>
      <c r="EL152" s="18" t="n"/>
      <c r="EM152" s="18" t="n"/>
      <c r="EN152" s="18" t="n"/>
      <c r="EO152" s="18" t="n"/>
      <c r="EP152" s="18" t="n"/>
      <c r="EQ152" s="18" t="n"/>
      <c r="ER152" s="18" t="n"/>
      <c r="ES152" s="18" t="n"/>
      <c r="ET152" s="18" t="n"/>
      <c r="EU152" s="18" t="n"/>
      <c r="EV152" s="18" t="n"/>
      <c r="EW152" s="18" t="n"/>
      <c r="EX152" s="18" t="n"/>
      <c r="EY152" s="18" t="n"/>
      <c r="EZ152" s="18" t="n"/>
      <c r="FA152" s="18" t="n"/>
      <c r="FB152" s="18" t="n"/>
      <c r="FC152" s="18" t="n"/>
      <c r="FD152" s="18" t="n"/>
      <c r="FE152" s="18" t="n"/>
      <c r="FF152" s="18" t="n"/>
      <c r="FG152" s="18" t="n"/>
      <c r="FH152" s="18" t="n"/>
      <c r="FI152" s="18" t="n"/>
      <c r="FJ152" s="18" t="n"/>
      <c r="FK152" s="18" t="n"/>
      <c r="FL152" s="18" t="n"/>
      <c r="FM152" s="18" t="n"/>
      <c r="FN152" s="18" t="n"/>
      <c r="FO152" s="18" t="n"/>
      <c r="FP152" s="18" t="n"/>
      <c r="FQ152" s="18" t="n"/>
      <c r="FR152" s="18" t="n"/>
      <c r="FS152" s="18" t="n"/>
      <c r="FT152" s="18" t="n"/>
      <c r="FU152" s="18" t="n"/>
      <c r="FV152" s="18" t="n"/>
      <c r="FW152" s="18" t="n"/>
      <c r="FX152" s="18" t="n"/>
      <c r="FY152" s="18" t="n"/>
      <c r="FZ152" s="18" t="n"/>
      <c r="GA152" s="18" t="n"/>
      <c r="GB152" s="18" t="n"/>
      <c r="GC152" s="18" t="n"/>
      <c r="GD152" s="18" t="n"/>
      <c r="GE152" s="18" t="n"/>
      <c r="GF152" s="18" t="n"/>
      <c r="GG152" s="18" t="n"/>
      <c r="GH152" s="18" t="n"/>
      <c r="GI152" s="18" t="n"/>
      <c r="GJ152" s="18" t="n"/>
      <c r="GK152" s="18" t="n"/>
      <c r="GL152" s="18" t="n"/>
      <c r="GM152" s="18" t="n"/>
      <c r="GN152" s="18" t="n"/>
      <c r="GO152" s="18" t="n"/>
      <c r="GP152" s="18" t="n"/>
      <c r="GQ152" s="18" t="n"/>
      <c r="GR152" s="18" t="n"/>
      <c r="GS152" s="18" t="n"/>
      <c r="GT152" s="18" t="n"/>
      <c r="GU152" s="18" t="n"/>
      <c r="GV152" s="18" t="n"/>
      <c r="GW152" s="18" t="n"/>
      <c r="GX152" s="18" t="n"/>
      <c r="GY152" s="18" t="n"/>
      <c r="GZ152" s="18" t="n"/>
      <c r="HA152" s="18" t="n"/>
      <c r="HB152" s="18" t="n"/>
    </row>
    <row r="153" ht="15.75" customHeight="1">
      <c r="A153" s="11" t="inlineStr">
        <is>
          <t>B</t>
        </is>
      </c>
      <c r="B153" s="8" t="inlineStr">
        <is>
          <t>Ordinary locks</t>
        </is>
      </c>
      <c r="C153" s="12" t="n">
        <v>558</v>
      </c>
      <c r="D153" s="162">
        <f>'Verification Take-off'!E102</f>
        <v>127.0</v>
      </c>
      <c r="E153" s="11" t="inlineStr">
        <is>
          <t>nr</t>
        </is>
      </c>
      <c r="F153" s="163" t="inlineStr">
        <is>
          <t>nr</t>
        </is>
      </c>
      <c r="G153" s="150" t="n"/>
      <c r="H153" s="16">
        <f>G153*D153</f>
        <v>0.0</v>
      </c>
      <c r="I153" s="184" t="inlineStr">
        <is>
          <t>Steel security/fire doors carry own lock sets</t>
        </is>
      </c>
      <c r="J153" s="18" t="n"/>
      <c r="K153" s="18" t="n"/>
      <c r="L153" s="18" t="n"/>
      <c r="M153" s="18" t="n"/>
      <c r="N153" s="18" t="n"/>
      <c r="O153" s="18" t="n"/>
      <c r="P153" s="18" t="n"/>
      <c r="Q153" s="18" t="n"/>
      <c r="R153" s="18" t="n"/>
      <c r="S153" s="18" t="n"/>
      <c r="T153" s="18" t="n"/>
      <c r="U153" s="18" t="n"/>
      <c r="V153" s="18" t="n"/>
      <c r="W153" s="18" t="n"/>
      <c r="X153" s="18" t="n"/>
      <c r="Y153" s="18" t="n"/>
      <c r="Z153" s="18" t="n"/>
      <c r="AA153" s="18" t="n"/>
      <c r="AB153" s="18" t="n"/>
      <c r="AC153" s="18" t="n"/>
      <c r="AD153" s="18" t="n"/>
      <c r="AE153" s="18" t="n"/>
      <c r="AF153" s="18" t="n"/>
      <c r="AG153" s="18" t="n"/>
      <c r="AH153" s="18" t="n"/>
      <c r="AI153" s="18" t="n"/>
      <c r="AJ153" s="18" t="n"/>
      <c r="AK153" s="18" t="n"/>
      <c r="AL153" s="18" t="n"/>
      <c r="AM153" s="18" t="n"/>
      <c r="AN153" s="18" t="n"/>
      <c r="AO153" s="18" t="n"/>
      <c r="AP153" s="18" t="n"/>
      <c r="AQ153" s="18" t="n"/>
      <c r="AR153" s="18" t="n"/>
      <c r="AS153" s="18" t="n"/>
      <c r="AT153" s="18" t="n"/>
      <c r="AU153" s="18" t="n"/>
      <c r="AV153" s="18" t="n"/>
      <c r="AW153" s="18" t="n"/>
      <c r="AX153" s="18" t="n"/>
      <c r="AY153" s="18" t="n"/>
      <c r="AZ153" s="18" t="n"/>
      <c r="BA153" s="18" t="n"/>
      <c r="BB153" s="18" t="n"/>
      <c r="BC153" s="18" t="n"/>
      <c r="BD153" s="18" t="n"/>
      <c r="BE153" s="18" t="n"/>
      <c r="BF153" s="18" t="n"/>
      <c r="BG153" s="18" t="n"/>
      <c r="BH153" s="18" t="n"/>
      <c r="BI153" s="18" t="n"/>
      <c r="BJ153" s="18" t="n"/>
      <c r="BK153" s="18" t="n"/>
      <c r="BL153" s="18" t="n"/>
      <c r="BM153" s="18" t="n"/>
      <c r="BN153" s="18" t="n"/>
      <c r="BO153" s="18" t="n"/>
      <c r="BP153" s="18" t="n"/>
      <c r="BQ153" s="18" t="n"/>
      <c r="BR153" s="18" t="n"/>
      <c r="BS153" s="18" t="n"/>
      <c r="BT153" s="18" t="n"/>
      <c r="BU153" s="18" t="n"/>
      <c r="BV153" s="18" t="n"/>
      <c r="BW153" s="18" t="n"/>
      <c r="BX153" s="18" t="n"/>
      <c r="BY153" s="18" t="n"/>
      <c r="BZ153" s="18" t="n"/>
      <c r="CA153" s="18" t="n"/>
      <c r="CB153" s="18" t="n"/>
      <c r="CC153" s="18" t="n"/>
      <c r="CD153" s="18" t="n"/>
      <c r="CE153" s="18" t="n"/>
      <c r="CF153" s="18" t="n"/>
      <c r="CG153" s="18" t="n"/>
      <c r="CH153" s="18" t="n"/>
      <c r="CI153" s="18" t="n"/>
      <c r="CJ153" s="18" t="n"/>
      <c r="CK153" s="18" t="n"/>
      <c r="CL153" s="18" t="n"/>
      <c r="CM153" s="18" t="n"/>
      <c r="CN153" s="18" t="n"/>
      <c r="CO153" s="18" t="n"/>
      <c r="CP153" s="18" t="n"/>
      <c r="CQ153" s="18" t="n"/>
      <c r="CR153" s="18" t="n"/>
      <c r="CS153" s="18" t="n"/>
      <c r="CT153" s="18" t="n"/>
      <c r="CU153" s="18" t="n"/>
      <c r="CV153" s="18" t="n"/>
      <c r="CW153" s="18" t="n"/>
      <c r="CX153" s="18" t="n"/>
      <c r="CY153" s="18" t="n"/>
      <c r="CZ153" s="18" t="n"/>
      <c r="DA153" s="18" t="n"/>
      <c r="DB153" s="18" t="n"/>
      <c r="DC153" s="18" t="n"/>
      <c r="DD153" s="18" t="n"/>
      <c r="DE153" s="18" t="n"/>
      <c r="DF153" s="18" t="n"/>
      <c r="DG153" s="18" t="n"/>
      <c r="DH153" s="18" t="n"/>
      <c r="DI153" s="18" t="n"/>
      <c r="DJ153" s="18" t="n"/>
      <c r="DK153" s="18" t="n"/>
      <c r="DL153" s="18" t="n"/>
      <c r="DM153" s="18" t="n"/>
      <c r="DN153" s="18" t="n"/>
      <c r="DO153" s="18" t="n"/>
      <c r="DP153" s="18" t="n"/>
      <c r="DQ153" s="18" t="n"/>
      <c r="DR153" s="18" t="n"/>
      <c r="DS153" s="18" t="n"/>
      <c r="DT153" s="18" t="n"/>
      <c r="DU153" s="18" t="n"/>
      <c r="DV153" s="18" t="n"/>
      <c r="DW153" s="18" t="n"/>
      <c r="DX153" s="18" t="n"/>
      <c r="DY153" s="18" t="n"/>
      <c r="DZ153" s="18" t="n"/>
      <c r="EA153" s="18" t="n"/>
      <c r="EB153" s="18" t="n"/>
      <c r="EC153" s="18" t="n"/>
      <c r="ED153" s="18" t="n"/>
      <c r="EE153" s="18" t="n"/>
      <c r="EF153" s="18" t="n"/>
      <c r="EG153" s="18" t="n"/>
      <c r="EH153" s="18" t="n"/>
      <c r="EI153" s="18" t="n"/>
      <c r="EJ153" s="18" t="n"/>
      <c r="EK153" s="18" t="n"/>
      <c r="EL153" s="18" t="n"/>
      <c r="EM153" s="18" t="n"/>
      <c r="EN153" s="18" t="n"/>
      <c r="EO153" s="18" t="n"/>
      <c r="EP153" s="18" t="n"/>
      <c r="EQ153" s="18" t="n"/>
      <c r="ER153" s="18" t="n"/>
      <c r="ES153" s="18" t="n"/>
      <c r="ET153" s="18" t="n"/>
      <c r="EU153" s="18" t="n"/>
      <c r="EV153" s="18" t="n"/>
      <c r="EW153" s="18" t="n"/>
      <c r="EX153" s="18" t="n"/>
      <c r="EY153" s="18" t="n"/>
      <c r="EZ153" s="18" t="n"/>
      <c r="FA153" s="18" t="n"/>
      <c r="FB153" s="18" t="n"/>
      <c r="FC153" s="18" t="n"/>
      <c r="FD153" s="18" t="n"/>
      <c r="FE153" s="18" t="n"/>
      <c r="FF153" s="18" t="n"/>
      <c r="FG153" s="18" t="n"/>
      <c r="FH153" s="18" t="n"/>
      <c r="FI153" s="18" t="n"/>
      <c r="FJ153" s="18" t="n"/>
      <c r="FK153" s="18" t="n"/>
      <c r="FL153" s="18" t="n"/>
      <c r="FM153" s="18" t="n"/>
      <c r="FN153" s="18" t="n"/>
      <c r="FO153" s="18" t="n"/>
      <c r="FP153" s="18" t="n"/>
      <c r="FQ153" s="18" t="n"/>
      <c r="FR153" s="18" t="n"/>
      <c r="FS153" s="18" t="n"/>
      <c r="FT153" s="18" t="n"/>
      <c r="FU153" s="18" t="n"/>
      <c r="FV153" s="18" t="n"/>
      <c r="FW153" s="18" t="n"/>
      <c r="FX153" s="18" t="n"/>
      <c r="FY153" s="18" t="n"/>
      <c r="FZ153" s="18" t="n"/>
      <c r="GA153" s="18" t="n"/>
      <c r="GB153" s="18" t="n"/>
      <c r="GC153" s="18" t="n"/>
      <c r="GD153" s="18" t="n"/>
      <c r="GE153" s="18" t="n"/>
      <c r="GF153" s="18" t="n"/>
      <c r="GG153" s="18" t="n"/>
      <c r="GH153" s="18" t="n"/>
      <c r="GI153" s="18" t="n"/>
      <c r="GJ153" s="18" t="n"/>
      <c r="GK153" s="18" t="n"/>
      <c r="GL153" s="18" t="n"/>
      <c r="GM153" s="18" t="n"/>
      <c r="GN153" s="18" t="n"/>
      <c r="GO153" s="18" t="n"/>
      <c r="GP153" s="18" t="n"/>
      <c r="GQ153" s="18" t="n"/>
      <c r="GR153" s="18" t="n"/>
      <c r="GS153" s="18" t="n"/>
      <c r="GT153" s="18" t="n"/>
      <c r="GU153" s="18" t="n"/>
      <c r="GV153" s="18" t="n"/>
      <c r="GW153" s="18" t="n"/>
      <c r="GX153" s="18" t="n"/>
      <c r="GY153" s="18" t="n"/>
      <c r="GZ153" s="18" t="n"/>
      <c r="HA153" s="18" t="n"/>
      <c r="HB153" s="18" t="n"/>
    </row>
    <row r="154" ht="15.75" customHeight="1">
      <c r="A154" s="11" t="n"/>
      <c r="B154" s="8" t="n"/>
      <c r="C154" s="12" t="n"/>
      <c r="D154" s="12" t="n"/>
      <c r="E154" s="11" t="n"/>
      <c r="F154" s="14" t="n"/>
      <c r="G154" s="14" t="n"/>
      <c r="H154" s="16" t="n"/>
      <c r="I154" s="18" t="n"/>
      <c r="J154" s="18" t="n"/>
      <c r="K154" s="18" t="n"/>
      <c r="L154" s="18" t="n"/>
      <c r="M154" s="18" t="n"/>
      <c r="N154" s="18" t="n"/>
      <c r="O154" s="18" t="n"/>
      <c r="P154" s="18" t="n"/>
      <c r="Q154" s="18" t="n"/>
      <c r="R154" s="18" t="n"/>
      <c r="S154" s="18" t="n"/>
      <c r="T154" s="18" t="n"/>
      <c r="U154" s="18" t="n"/>
      <c r="V154" s="18" t="n"/>
      <c r="W154" s="18" t="n"/>
      <c r="X154" s="18" t="n"/>
      <c r="Y154" s="18" t="n"/>
      <c r="Z154" s="18" t="n"/>
      <c r="AA154" s="18" t="n"/>
      <c r="AB154" s="18" t="n"/>
      <c r="AC154" s="18" t="n"/>
      <c r="AD154" s="18" t="n"/>
      <c r="AE154" s="18" t="n"/>
      <c r="AF154" s="18" t="n"/>
      <c r="AG154" s="18" t="n"/>
      <c r="AH154" s="18" t="n"/>
      <c r="AI154" s="18" t="n"/>
      <c r="AJ154" s="18" t="n"/>
      <c r="AK154" s="18" t="n"/>
      <c r="AL154" s="18" t="n"/>
      <c r="AM154" s="18" t="n"/>
      <c r="AN154" s="18" t="n"/>
      <c r="AO154" s="18" t="n"/>
      <c r="AP154" s="18" t="n"/>
      <c r="AQ154" s="18" t="n"/>
      <c r="AR154" s="18" t="n"/>
      <c r="AS154" s="18" t="n"/>
      <c r="AT154" s="18" t="n"/>
      <c r="AU154" s="18" t="n"/>
      <c r="AV154" s="18" t="n"/>
      <c r="AW154" s="18" t="n"/>
      <c r="AX154" s="18" t="n"/>
      <c r="AY154" s="18" t="n"/>
      <c r="AZ154" s="18" t="n"/>
      <c r="BA154" s="18" t="n"/>
      <c r="BB154" s="18" t="n"/>
      <c r="BC154" s="18" t="n"/>
      <c r="BD154" s="18" t="n"/>
      <c r="BE154" s="18" t="n"/>
      <c r="BF154" s="18" t="n"/>
      <c r="BG154" s="18" t="n"/>
      <c r="BH154" s="18" t="n"/>
      <c r="BI154" s="18" t="n"/>
      <c r="BJ154" s="18" t="n"/>
      <c r="BK154" s="18" t="n"/>
      <c r="BL154" s="18" t="n"/>
      <c r="BM154" s="18" t="n"/>
      <c r="BN154" s="18" t="n"/>
      <c r="BO154" s="18" t="n"/>
      <c r="BP154" s="18" t="n"/>
      <c r="BQ154" s="18" t="n"/>
      <c r="BR154" s="18" t="n"/>
      <c r="BS154" s="18" t="n"/>
      <c r="BT154" s="18" t="n"/>
      <c r="BU154" s="18" t="n"/>
      <c r="BV154" s="18" t="n"/>
      <c r="BW154" s="18" t="n"/>
      <c r="BX154" s="18" t="n"/>
      <c r="BY154" s="18" t="n"/>
      <c r="BZ154" s="18" t="n"/>
      <c r="CA154" s="18" t="n"/>
      <c r="CB154" s="18" t="n"/>
      <c r="CC154" s="18" t="n"/>
      <c r="CD154" s="18" t="n"/>
      <c r="CE154" s="18" t="n"/>
      <c r="CF154" s="18" t="n"/>
      <c r="CG154" s="18" t="n"/>
      <c r="CH154" s="18" t="n"/>
      <c r="CI154" s="18" t="n"/>
      <c r="CJ154" s="18" t="n"/>
      <c r="CK154" s="18" t="n"/>
      <c r="CL154" s="18" t="n"/>
      <c r="CM154" s="18" t="n"/>
      <c r="CN154" s="18" t="n"/>
      <c r="CO154" s="18" t="n"/>
      <c r="CP154" s="18" t="n"/>
      <c r="CQ154" s="18" t="n"/>
      <c r="CR154" s="18" t="n"/>
      <c r="CS154" s="18" t="n"/>
      <c r="CT154" s="18" t="n"/>
      <c r="CU154" s="18" t="n"/>
      <c r="CV154" s="18" t="n"/>
      <c r="CW154" s="18" t="n"/>
      <c r="CX154" s="18" t="n"/>
      <c r="CY154" s="18" t="n"/>
      <c r="CZ154" s="18" t="n"/>
      <c r="DA154" s="18" t="n"/>
      <c r="DB154" s="18" t="n"/>
      <c r="DC154" s="18" t="n"/>
      <c r="DD154" s="18" t="n"/>
      <c r="DE154" s="18" t="n"/>
      <c r="DF154" s="18" t="n"/>
      <c r="DG154" s="18" t="n"/>
      <c r="DH154" s="18" t="n"/>
      <c r="DI154" s="18" t="n"/>
      <c r="DJ154" s="18" t="n"/>
      <c r="DK154" s="18" t="n"/>
      <c r="DL154" s="18" t="n"/>
      <c r="DM154" s="18" t="n"/>
      <c r="DN154" s="18" t="n"/>
      <c r="DO154" s="18" t="n"/>
      <c r="DP154" s="18" t="n"/>
      <c r="DQ154" s="18" t="n"/>
      <c r="DR154" s="18" t="n"/>
      <c r="DS154" s="18" t="n"/>
      <c r="DT154" s="18" t="n"/>
      <c r="DU154" s="18" t="n"/>
      <c r="DV154" s="18" t="n"/>
      <c r="DW154" s="18" t="n"/>
      <c r="DX154" s="18" t="n"/>
      <c r="DY154" s="18" t="n"/>
      <c r="DZ154" s="18" t="n"/>
      <c r="EA154" s="18" t="n"/>
      <c r="EB154" s="18" t="n"/>
      <c r="EC154" s="18" t="n"/>
      <c r="ED154" s="18" t="n"/>
      <c r="EE154" s="18" t="n"/>
      <c r="EF154" s="18" t="n"/>
      <c r="EG154" s="18" t="n"/>
      <c r="EH154" s="18" t="n"/>
      <c r="EI154" s="18" t="n"/>
      <c r="EJ154" s="18" t="n"/>
      <c r="EK154" s="18" t="n"/>
      <c r="EL154" s="18" t="n"/>
      <c r="EM154" s="18" t="n"/>
      <c r="EN154" s="18" t="n"/>
      <c r="EO154" s="18" t="n"/>
      <c r="EP154" s="18" t="n"/>
      <c r="EQ154" s="18" t="n"/>
      <c r="ER154" s="18" t="n"/>
      <c r="ES154" s="18" t="n"/>
      <c r="ET154" s="18" t="n"/>
      <c r="EU154" s="18" t="n"/>
      <c r="EV154" s="18" t="n"/>
      <c r="EW154" s="18" t="n"/>
      <c r="EX154" s="18" t="n"/>
      <c r="EY154" s="18" t="n"/>
      <c r="EZ154" s="18" t="n"/>
      <c r="FA154" s="18" t="n"/>
      <c r="FB154" s="18" t="n"/>
      <c r="FC154" s="18" t="n"/>
      <c r="FD154" s="18" t="n"/>
      <c r="FE154" s="18" t="n"/>
      <c r="FF154" s="18" t="n"/>
      <c r="FG154" s="18" t="n"/>
      <c r="FH154" s="18" t="n"/>
      <c r="FI154" s="18" t="n"/>
      <c r="FJ154" s="18" t="n"/>
      <c r="FK154" s="18" t="n"/>
      <c r="FL154" s="18" t="n"/>
      <c r="FM154" s="18" t="n"/>
      <c r="FN154" s="18" t="n"/>
      <c r="FO154" s="18" t="n"/>
      <c r="FP154" s="18" t="n"/>
      <c r="FQ154" s="18" t="n"/>
      <c r="FR154" s="18" t="n"/>
      <c r="FS154" s="18" t="n"/>
      <c r="FT154" s="18" t="n"/>
      <c r="FU154" s="18" t="n"/>
      <c r="FV154" s="18" t="n"/>
      <c r="FW154" s="18" t="n"/>
      <c r="FX154" s="18" t="n"/>
      <c r="FY154" s="18" t="n"/>
      <c r="FZ154" s="18" t="n"/>
      <c r="GA154" s="18" t="n"/>
      <c r="GB154" s="18" t="n"/>
      <c r="GC154" s="18" t="n"/>
      <c r="GD154" s="18" t="n"/>
      <c r="GE154" s="18" t="n"/>
      <c r="GF154" s="18" t="n"/>
      <c r="GG154" s="18" t="n"/>
      <c r="GH154" s="18" t="n"/>
      <c r="GI154" s="18" t="n"/>
      <c r="GJ154" s="18" t="n"/>
      <c r="GK154" s="18" t="n"/>
      <c r="GL154" s="18" t="n"/>
      <c r="GM154" s="18" t="n"/>
      <c r="GN154" s="18" t="n"/>
      <c r="GO154" s="18" t="n"/>
      <c r="GP154" s="18" t="n"/>
      <c r="GQ154" s="18" t="n"/>
      <c r="GR154" s="18" t="n"/>
      <c r="GS154" s="18" t="n"/>
      <c r="GT154" s="18" t="n"/>
      <c r="GU154" s="18" t="n"/>
      <c r="GV154" s="18" t="n"/>
      <c r="GW154" s="18" t="n"/>
      <c r="GX154" s="18" t="n"/>
      <c r="GY154" s="18" t="n"/>
      <c r="GZ154" s="18" t="n"/>
      <c r="HA154" s="18" t="n"/>
      <c r="HB154" s="18" t="n"/>
    </row>
    <row r="155" ht="15.75" customHeight="1">
      <c r="A155" s="11" t="inlineStr">
        <is>
          <t>C</t>
        </is>
      </c>
      <c r="B155" s="8" t="inlineStr">
        <is>
          <t>Approved  high quality mortice indicator lock .</t>
        </is>
      </c>
      <c r="C155" s="95" t="n">
        <v>558</v>
      </c>
      <c r="D155" s="162">
        <f>'Verification Take-off'!E103</f>
        <v>172.0</v>
      </c>
      <c r="E155" s="11" t="inlineStr">
        <is>
          <t>nr</t>
        </is>
      </c>
      <c r="F155" s="163" t="inlineStr">
        <is>
          <t>nr</t>
        </is>
      </c>
      <c r="G155" s="150" t="n"/>
      <c r="H155" s="16">
        <f>G155*D155</f>
        <v>0.0</v>
      </c>
      <c r="I155" s="184" t="inlineStr"/>
      <c r="J155" s="18" t="n"/>
      <c r="K155" s="18" t="n"/>
      <c r="L155" s="18" t="n"/>
      <c r="M155" s="18" t="n"/>
      <c r="N155" s="18" t="n"/>
      <c r="O155" s="18" t="n"/>
      <c r="P155" s="18" t="n"/>
      <c r="Q155" s="18" t="n"/>
      <c r="R155" s="18" t="n"/>
      <c r="S155" s="18" t="n"/>
      <c r="T155" s="18" t="n"/>
      <c r="U155" s="18" t="n"/>
      <c r="V155" s="18" t="n"/>
      <c r="W155" s="18" t="n"/>
      <c r="X155" s="18" t="n"/>
      <c r="Y155" s="18" t="n"/>
      <c r="Z155" s="18" t="n"/>
      <c r="AA155" s="18" t="n"/>
      <c r="AB155" s="18" t="n"/>
      <c r="AC155" s="18" t="n"/>
      <c r="AD155" s="18" t="n"/>
      <c r="AE155" s="18" t="n"/>
      <c r="AF155" s="18" t="n"/>
      <c r="AG155" s="18" t="n"/>
      <c r="AH155" s="18" t="n"/>
      <c r="AI155" s="18" t="n"/>
      <c r="AJ155" s="18" t="n"/>
      <c r="AK155" s="18" t="n"/>
      <c r="AL155" s="18" t="n"/>
      <c r="AM155" s="18" t="n"/>
      <c r="AN155" s="18" t="n"/>
      <c r="AO155" s="18" t="n"/>
      <c r="AP155" s="18" t="n"/>
      <c r="AQ155" s="18" t="n"/>
      <c r="AR155" s="18" t="n"/>
      <c r="AS155" s="18" t="n"/>
      <c r="AT155" s="18" t="n"/>
      <c r="AU155" s="18" t="n"/>
      <c r="AV155" s="18" t="n"/>
      <c r="AW155" s="18" t="n"/>
      <c r="AX155" s="18" t="n"/>
      <c r="AY155" s="18" t="n"/>
      <c r="AZ155" s="18" t="n"/>
      <c r="BA155" s="18" t="n"/>
      <c r="BB155" s="18" t="n"/>
      <c r="BC155" s="18" t="n"/>
      <c r="BD155" s="18" t="n"/>
      <c r="BE155" s="18" t="n"/>
      <c r="BF155" s="18" t="n"/>
      <c r="BG155" s="18" t="n"/>
      <c r="BH155" s="18" t="n"/>
      <c r="BI155" s="18" t="n"/>
      <c r="BJ155" s="18" t="n"/>
      <c r="BK155" s="18" t="n"/>
      <c r="BL155" s="18" t="n"/>
      <c r="BM155" s="18" t="n"/>
      <c r="BN155" s="18" t="n"/>
      <c r="BO155" s="18" t="n"/>
      <c r="BP155" s="18" t="n"/>
      <c r="BQ155" s="18" t="n"/>
      <c r="BR155" s="18" t="n"/>
      <c r="BS155" s="18" t="n"/>
      <c r="BT155" s="18" t="n"/>
      <c r="BU155" s="18" t="n"/>
      <c r="BV155" s="18" t="n"/>
      <c r="BW155" s="18" t="n"/>
      <c r="BX155" s="18" t="n"/>
      <c r="BY155" s="18" t="n"/>
      <c r="BZ155" s="18" t="n"/>
      <c r="CA155" s="18" t="n"/>
      <c r="CB155" s="18" t="n"/>
      <c r="CC155" s="18" t="n"/>
      <c r="CD155" s="18" t="n"/>
      <c r="CE155" s="18" t="n"/>
      <c r="CF155" s="18" t="n"/>
      <c r="CG155" s="18" t="n"/>
      <c r="CH155" s="18" t="n"/>
      <c r="CI155" s="18" t="n"/>
      <c r="CJ155" s="18" t="n"/>
      <c r="CK155" s="18" t="n"/>
      <c r="CL155" s="18" t="n"/>
      <c r="CM155" s="18" t="n"/>
      <c r="CN155" s="18" t="n"/>
      <c r="CO155" s="18" t="n"/>
      <c r="CP155" s="18" t="n"/>
      <c r="CQ155" s="18" t="n"/>
      <c r="CR155" s="18" t="n"/>
      <c r="CS155" s="18" t="n"/>
      <c r="CT155" s="18" t="n"/>
      <c r="CU155" s="18" t="n"/>
      <c r="CV155" s="18" t="n"/>
      <c r="CW155" s="18" t="n"/>
      <c r="CX155" s="18" t="n"/>
      <c r="CY155" s="18" t="n"/>
      <c r="CZ155" s="18" t="n"/>
      <c r="DA155" s="18" t="n"/>
      <c r="DB155" s="18" t="n"/>
      <c r="DC155" s="18" t="n"/>
      <c r="DD155" s="18" t="n"/>
      <c r="DE155" s="18" t="n"/>
      <c r="DF155" s="18" t="n"/>
      <c r="DG155" s="18" t="n"/>
      <c r="DH155" s="18" t="n"/>
      <c r="DI155" s="18" t="n"/>
      <c r="DJ155" s="18" t="n"/>
      <c r="DK155" s="18" t="n"/>
      <c r="DL155" s="18" t="n"/>
      <c r="DM155" s="18" t="n"/>
      <c r="DN155" s="18" t="n"/>
      <c r="DO155" s="18" t="n"/>
      <c r="DP155" s="18" t="n"/>
      <c r="DQ155" s="18" t="n"/>
      <c r="DR155" s="18" t="n"/>
      <c r="DS155" s="18" t="n"/>
      <c r="DT155" s="18" t="n"/>
      <c r="DU155" s="18" t="n"/>
      <c r="DV155" s="18" t="n"/>
      <c r="DW155" s="18" t="n"/>
      <c r="DX155" s="18" t="n"/>
      <c r="DY155" s="18" t="n"/>
      <c r="DZ155" s="18" t="n"/>
      <c r="EA155" s="18" t="n"/>
      <c r="EB155" s="18" t="n"/>
      <c r="EC155" s="18" t="n"/>
      <c r="ED155" s="18" t="n"/>
      <c r="EE155" s="18" t="n"/>
      <c r="EF155" s="18" t="n"/>
      <c r="EG155" s="18" t="n"/>
      <c r="EH155" s="18" t="n"/>
      <c r="EI155" s="18" t="n"/>
      <c r="EJ155" s="18" t="n"/>
      <c r="EK155" s="18" t="n"/>
      <c r="EL155" s="18" t="n"/>
      <c r="EM155" s="18" t="n"/>
      <c r="EN155" s="18" t="n"/>
      <c r="EO155" s="18" t="n"/>
      <c r="EP155" s="18" t="n"/>
      <c r="EQ155" s="18" t="n"/>
      <c r="ER155" s="18" t="n"/>
      <c r="ES155" s="18" t="n"/>
      <c r="ET155" s="18" t="n"/>
      <c r="EU155" s="18" t="n"/>
      <c r="EV155" s="18" t="n"/>
      <c r="EW155" s="18" t="n"/>
      <c r="EX155" s="18" t="n"/>
      <c r="EY155" s="18" t="n"/>
      <c r="EZ155" s="18" t="n"/>
      <c r="FA155" s="18" t="n"/>
      <c r="FB155" s="18" t="n"/>
      <c r="FC155" s="18" t="n"/>
      <c r="FD155" s="18" t="n"/>
      <c r="FE155" s="18" t="n"/>
      <c r="FF155" s="18" t="n"/>
      <c r="FG155" s="18" t="n"/>
      <c r="FH155" s="18" t="n"/>
      <c r="FI155" s="18" t="n"/>
      <c r="FJ155" s="18" t="n"/>
      <c r="FK155" s="18" t="n"/>
      <c r="FL155" s="18" t="n"/>
      <c r="FM155" s="18" t="n"/>
      <c r="FN155" s="18" t="n"/>
      <c r="FO155" s="18" t="n"/>
      <c r="FP155" s="18" t="n"/>
      <c r="FQ155" s="18" t="n"/>
      <c r="FR155" s="18" t="n"/>
      <c r="FS155" s="18" t="n"/>
      <c r="FT155" s="18" t="n"/>
      <c r="FU155" s="18" t="n"/>
      <c r="FV155" s="18" t="n"/>
      <c r="FW155" s="18" t="n"/>
      <c r="FX155" s="18" t="n"/>
      <c r="FY155" s="18" t="n"/>
      <c r="FZ155" s="18" t="n"/>
      <c r="GA155" s="18" t="n"/>
      <c r="GB155" s="18" t="n"/>
      <c r="GC155" s="18" t="n"/>
      <c r="GD155" s="18" t="n"/>
      <c r="GE155" s="18" t="n"/>
      <c r="GF155" s="18" t="n"/>
      <c r="GG155" s="18" t="n"/>
      <c r="GH155" s="18" t="n"/>
      <c r="GI155" s="18" t="n"/>
      <c r="GJ155" s="18" t="n"/>
      <c r="GK155" s="18" t="n"/>
      <c r="GL155" s="18" t="n"/>
      <c r="GM155" s="18" t="n"/>
      <c r="GN155" s="18" t="n"/>
      <c r="GO155" s="18" t="n"/>
      <c r="GP155" s="18" t="n"/>
      <c r="GQ155" s="18" t="n"/>
      <c r="GR155" s="18" t="n"/>
      <c r="GS155" s="18" t="n"/>
      <c r="GT155" s="18" t="n"/>
      <c r="GU155" s="18" t="n"/>
      <c r="GV155" s="18" t="n"/>
      <c r="GW155" s="18" t="n"/>
      <c r="GX155" s="18" t="n"/>
      <c r="GY155" s="18" t="n"/>
      <c r="GZ155" s="18" t="n"/>
      <c r="HA155" s="18" t="n"/>
      <c r="HB155" s="18" t="n"/>
    </row>
    <row r="156" ht="15.75" customHeight="1">
      <c r="A156" s="11" t="n"/>
      <c r="B156" s="8" t="n"/>
      <c r="C156" s="12" t="n"/>
      <c r="D156" s="12" t="n"/>
      <c r="E156" s="11" t="n"/>
      <c r="F156" s="14" t="n"/>
      <c r="G156" s="14" t="n"/>
      <c r="H156" s="16" t="n"/>
      <c r="I156" s="18" t="n"/>
      <c r="J156" s="18" t="n"/>
      <c r="K156" s="18" t="n"/>
      <c r="L156" s="18" t="n"/>
      <c r="M156" s="18" t="n"/>
      <c r="N156" s="18" t="n"/>
      <c r="O156" s="18" t="n"/>
      <c r="P156" s="18" t="n"/>
      <c r="Q156" s="18" t="n"/>
      <c r="R156" s="18" t="n"/>
      <c r="S156" s="18" t="n"/>
      <c r="T156" s="18" t="n"/>
      <c r="U156" s="18" t="n"/>
      <c r="V156" s="18" t="n"/>
      <c r="W156" s="18" t="n"/>
      <c r="X156" s="18" t="n"/>
      <c r="Y156" s="18" t="n"/>
      <c r="Z156" s="18" t="n"/>
      <c r="AA156" s="18" t="n"/>
      <c r="AB156" s="18" t="n"/>
      <c r="AC156" s="18" t="n"/>
      <c r="AD156" s="18" t="n"/>
      <c r="AE156" s="18" t="n"/>
      <c r="AF156" s="18" t="n"/>
      <c r="AG156" s="18" t="n"/>
      <c r="AH156" s="18" t="n"/>
      <c r="AI156" s="18" t="n"/>
      <c r="AJ156" s="18" t="n"/>
      <c r="AK156" s="18" t="n"/>
      <c r="AL156" s="18" t="n"/>
      <c r="AM156" s="18" t="n"/>
      <c r="AN156" s="18" t="n"/>
      <c r="AO156" s="18" t="n"/>
      <c r="AP156" s="18" t="n"/>
      <c r="AQ156" s="18" t="n"/>
      <c r="AR156" s="18" t="n"/>
      <c r="AS156" s="18" t="n"/>
      <c r="AT156" s="18" t="n"/>
      <c r="AU156" s="18" t="n"/>
      <c r="AV156" s="18" t="n"/>
      <c r="AW156" s="18" t="n"/>
      <c r="AX156" s="18" t="n"/>
      <c r="AY156" s="18" t="n"/>
      <c r="AZ156" s="18" t="n"/>
      <c r="BA156" s="18" t="n"/>
      <c r="BB156" s="18" t="n"/>
      <c r="BC156" s="18" t="n"/>
      <c r="BD156" s="18" t="n"/>
      <c r="BE156" s="18" t="n"/>
      <c r="BF156" s="18" t="n"/>
      <c r="BG156" s="18" t="n"/>
      <c r="BH156" s="18" t="n"/>
      <c r="BI156" s="18" t="n"/>
      <c r="BJ156" s="18" t="n"/>
      <c r="BK156" s="18" t="n"/>
      <c r="BL156" s="18" t="n"/>
      <c r="BM156" s="18" t="n"/>
      <c r="BN156" s="18" t="n"/>
      <c r="BO156" s="18" t="n"/>
      <c r="BP156" s="18" t="n"/>
      <c r="BQ156" s="18" t="n"/>
      <c r="BR156" s="18" t="n"/>
      <c r="BS156" s="18" t="n"/>
      <c r="BT156" s="18" t="n"/>
      <c r="BU156" s="18" t="n"/>
      <c r="BV156" s="18" t="n"/>
      <c r="BW156" s="18" t="n"/>
      <c r="BX156" s="18" t="n"/>
      <c r="BY156" s="18" t="n"/>
      <c r="BZ156" s="18" t="n"/>
      <c r="CA156" s="18" t="n"/>
      <c r="CB156" s="18" t="n"/>
      <c r="CC156" s="18" t="n"/>
      <c r="CD156" s="18" t="n"/>
      <c r="CE156" s="18" t="n"/>
      <c r="CF156" s="18" t="n"/>
      <c r="CG156" s="18" t="n"/>
      <c r="CH156" s="18" t="n"/>
      <c r="CI156" s="18" t="n"/>
      <c r="CJ156" s="18" t="n"/>
      <c r="CK156" s="18" t="n"/>
      <c r="CL156" s="18" t="n"/>
      <c r="CM156" s="18" t="n"/>
      <c r="CN156" s="18" t="n"/>
      <c r="CO156" s="18" t="n"/>
      <c r="CP156" s="18" t="n"/>
      <c r="CQ156" s="18" t="n"/>
      <c r="CR156" s="18" t="n"/>
      <c r="CS156" s="18" t="n"/>
      <c r="CT156" s="18" t="n"/>
      <c r="CU156" s="18" t="n"/>
      <c r="CV156" s="18" t="n"/>
      <c r="CW156" s="18" t="n"/>
      <c r="CX156" s="18" t="n"/>
      <c r="CY156" s="18" t="n"/>
      <c r="CZ156" s="18" t="n"/>
      <c r="DA156" s="18" t="n"/>
      <c r="DB156" s="18" t="n"/>
      <c r="DC156" s="18" t="n"/>
      <c r="DD156" s="18" t="n"/>
      <c r="DE156" s="18" t="n"/>
      <c r="DF156" s="18" t="n"/>
      <c r="DG156" s="18" t="n"/>
      <c r="DH156" s="18" t="n"/>
      <c r="DI156" s="18" t="n"/>
      <c r="DJ156" s="18" t="n"/>
      <c r="DK156" s="18" t="n"/>
      <c r="DL156" s="18" t="n"/>
      <c r="DM156" s="18" t="n"/>
      <c r="DN156" s="18" t="n"/>
      <c r="DO156" s="18" t="n"/>
      <c r="DP156" s="18" t="n"/>
      <c r="DQ156" s="18" t="n"/>
      <c r="DR156" s="18" t="n"/>
      <c r="DS156" s="18" t="n"/>
      <c r="DT156" s="18" t="n"/>
      <c r="DU156" s="18" t="n"/>
      <c r="DV156" s="18" t="n"/>
      <c r="DW156" s="18" t="n"/>
      <c r="DX156" s="18" t="n"/>
      <c r="DY156" s="18" t="n"/>
      <c r="DZ156" s="18" t="n"/>
      <c r="EA156" s="18" t="n"/>
      <c r="EB156" s="18" t="n"/>
      <c r="EC156" s="18" t="n"/>
      <c r="ED156" s="18" t="n"/>
      <c r="EE156" s="18" t="n"/>
      <c r="EF156" s="18" t="n"/>
      <c r="EG156" s="18" t="n"/>
      <c r="EH156" s="18" t="n"/>
      <c r="EI156" s="18" t="n"/>
      <c r="EJ156" s="18" t="n"/>
      <c r="EK156" s="18" t="n"/>
      <c r="EL156" s="18" t="n"/>
      <c r="EM156" s="18" t="n"/>
      <c r="EN156" s="18" t="n"/>
      <c r="EO156" s="18" t="n"/>
      <c r="EP156" s="18" t="n"/>
      <c r="EQ156" s="18" t="n"/>
      <c r="ER156" s="18" t="n"/>
      <c r="ES156" s="18" t="n"/>
      <c r="ET156" s="18" t="n"/>
      <c r="EU156" s="18" t="n"/>
      <c r="EV156" s="18" t="n"/>
      <c r="EW156" s="18" t="n"/>
      <c r="EX156" s="18" t="n"/>
      <c r="EY156" s="18" t="n"/>
      <c r="EZ156" s="18" t="n"/>
      <c r="FA156" s="18" t="n"/>
      <c r="FB156" s="18" t="n"/>
      <c r="FC156" s="18" t="n"/>
      <c r="FD156" s="18" t="n"/>
      <c r="FE156" s="18" t="n"/>
      <c r="FF156" s="18" t="n"/>
      <c r="FG156" s="18" t="n"/>
      <c r="FH156" s="18" t="n"/>
      <c r="FI156" s="18" t="n"/>
      <c r="FJ156" s="18" t="n"/>
      <c r="FK156" s="18" t="n"/>
      <c r="FL156" s="18" t="n"/>
      <c r="FM156" s="18" t="n"/>
      <c r="FN156" s="18" t="n"/>
      <c r="FO156" s="18" t="n"/>
      <c r="FP156" s="18" t="n"/>
      <c r="FQ156" s="18" t="n"/>
      <c r="FR156" s="18" t="n"/>
      <c r="FS156" s="18" t="n"/>
      <c r="FT156" s="18" t="n"/>
      <c r="FU156" s="18" t="n"/>
      <c r="FV156" s="18" t="n"/>
      <c r="FW156" s="18" t="n"/>
      <c r="FX156" s="18" t="n"/>
      <c r="FY156" s="18" t="n"/>
      <c r="FZ156" s="18" t="n"/>
      <c r="GA156" s="18" t="n"/>
      <c r="GB156" s="18" t="n"/>
      <c r="GC156" s="18" t="n"/>
      <c r="GD156" s="18" t="n"/>
      <c r="GE156" s="18" t="n"/>
      <c r="GF156" s="18" t="n"/>
      <c r="GG156" s="18" t="n"/>
      <c r="GH156" s="18" t="n"/>
      <c r="GI156" s="18" t="n"/>
      <c r="GJ156" s="18" t="n"/>
      <c r="GK156" s="18" t="n"/>
      <c r="GL156" s="18" t="n"/>
      <c r="GM156" s="18" t="n"/>
      <c r="GN156" s="18" t="n"/>
      <c r="GO156" s="18" t="n"/>
      <c r="GP156" s="18" t="n"/>
      <c r="GQ156" s="18" t="n"/>
      <c r="GR156" s="18" t="n"/>
      <c r="GS156" s="18" t="n"/>
      <c r="GT156" s="18" t="n"/>
      <c r="GU156" s="18" t="n"/>
      <c r="GV156" s="18" t="n"/>
      <c r="GW156" s="18" t="n"/>
      <c r="GX156" s="18" t="n"/>
      <c r="GY156" s="18" t="n"/>
      <c r="GZ156" s="18" t="n"/>
      <c r="HA156" s="18" t="n"/>
      <c r="HB156" s="37" t="n"/>
    </row>
    <row r="157" ht="15.75" customHeight="1">
      <c r="A157" s="11" t="n"/>
      <c r="B157" s="8" t="n"/>
      <c r="C157" s="12" t="n"/>
      <c r="D157" s="12" t="n"/>
      <c r="E157" s="11" t="n"/>
      <c r="F157" s="14" t="n"/>
      <c r="G157" s="12" t="n"/>
      <c r="H157" s="16" t="n"/>
      <c r="I157" s="18" t="n"/>
      <c r="J157" s="18" t="n"/>
      <c r="K157" s="18" t="n"/>
      <c r="L157" s="18" t="n"/>
      <c r="M157" s="18" t="n"/>
      <c r="N157" s="18" t="n"/>
      <c r="O157" s="18" t="n"/>
      <c r="P157" s="18" t="n"/>
      <c r="Q157" s="18" t="n"/>
      <c r="R157" s="18" t="n"/>
      <c r="S157" s="18" t="n"/>
      <c r="T157" s="18" t="n"/>
      <c r="U157" s="18" t="n"/>
      <c r="V157" s="18" t="n"/>
      <c r="W157" s="18" t="n"/>
      <c r="X157" s="18" t="n"/>
      <c r="Y157" s="18" t="n"/>
      <c r="Z157" s="18" t="n"/>
      <c r="AA157" s="18" t="n"/>
      <c r="AB157" s="18" t="n"/>
      <c r="AC157" s="18" t="n"/>
      <c r="AD157" s="18" t="n"/>
      <c r="AE157" s="18" t="n"/>
      <c r="AF157" s="18" t="n"/>
      <c r="AG157" s="18" t="n"/>
      <c r="AH157" s="18" t="n"/>
      <c r="AI157" s="18" t="n"/>
      <c r="AJ157" s="18" t="n"/>
      <c r="AK157" s="18" t="n"/>
      <c r="AL157" s="18" t="n"/>
      <c r="AM157" s="18" t="n"/>
      <c r="AN157" s="18" t="n"/>
      <c r="AO157" s="18" t="n"/>
      <c r="AP157" s="18" t="n"/>
      <c r="AQ157" s="18" t="n"/>
      <c r="AR157" s="18" t="n"/>
      <c r="AS157" s="18" t="n"/>
      <c r="AT157" s="18" t="n"/>
      <c r="AU157" s="18" t="n"/>
      <c r="AV157" s="18" t="n"/>
      <c r="AW157" s="18" t="n"/>
      <c r="AX157" s="18" t="n"/>
      <c r="AY157" s="18" t="n"/>
      <c r="AZ157" s="18" t="n"/>
      <c r="BA157" s="18" t="n"/>
      <c r="BB157" s="18" t="n"/>
      <c r="BC157" s="18" t="n"/>
      <c r="BD157" s="18" t="n"/>
      <c r="BE157" s="18" t="n"/>
      <c r="BF157" s="18" t="n"/>
      <c r="BG157" s="18" t="n"/>
      <c r="BH157" s="18" t="n"/>
      <c r="BI157" s="18" t="n"/>
      <c r="BJ157" s="18" t="n"/>
      <c r="BK157" s="18" t="n"/>
      <c r="BL157" s="18" t="n"/>
      <c r="BM157" s="18" t="n"/>
      <c r="BN157" s="18" t="n"/>
      <c r="BO157" s="18" t="n"/>
      <c r="BP157" s="18" t="n"/>
      <c r="BQ157" s="18" t="n"/>
      <c r="BR157" s="18" t="n"/>
      <c r="BS157" s="18" t="n"/>
      <c r="BT157" s="18" t="n"/>
      <c r="BU157" s="18" t="n"/>
      <c r="BV157" s="18" t="n"/>
      <c r="BW157" s="18" t="n"/>
      <c r="BX157" s="18" t="n"/>
      <c r="BY157" s="18" t="n"/>
      <c r="BZ157" s="18" t="n"/>
      <c r="CA157" s="18" t="n"/>
      <c r="CB157" s="18" t="n"/>
      <c r="CC157" s="18" t="n"/>
      <c r="CD157" s="18" t="n"/>
      <c r="CE157" s="18" t="n"/>
      <c r="CF157" s="18" t="n"/>
      <c r="CG157" s="18" t="n"/>
      <c r="CH157" s="18" t="n"/>
      <c r="CI157" s="18" t="n"/>
      <c r="CJ157" s="18" t="n"/>
      <c r="CK157" s="18" t="n"/>
      <c r="CL157" s="18" t="n"/>
      <c r="CM157" s="18" t="n"/>
      <c r="CN157" s="18" t="n"/>
      <c r="CO157" s="18" t="n"/>
      <c r="CP157" s="18" t="n"/>
      <c r="CQ157" s="18" t="n"/>
      <c r="CR157" s="18" t="n"/>
      <c r="CS157" s="18" t="n"/>
      <c r="CT157" s="18" t="n"/>
      <c r="CU157" s="18" t="n"/>
      <c r="CV157" s="18" t="n"/>
      <c r="CW157" s="18" t="n"/>
      <c r="CX157" s="18" t="n"/>
      <c r="CY157" s="18" t="n"/>
      <c r="CZ157" s="18" t="n"/>
      <c r="DA157" s="18" t="n"/>
      <c r="DB157" s="18" t="n"/>
      <c r="DC157" s="18" t="n"/>
      <c r="DD157" s="18" t="n"/>
      <c r="DE157" s="18" t="n"/>
      <c r="DF157" s="18" t="n"/>
      <c r="DG157" s="18" t="n"/>
      <c r="DH157" s="18" t="n"/>
      <c r="DI157" s="18" t="n"/>
      <c r="DJ157" s="18" t="n"/>
      <c r="DK157" s="18" t="n"/>
      <c r="DL157" s="18" t="n"/>
      <c r="DM157" s="18" t="n"/>
      <c r="DN157" s="18" t="n"/>
      <c r="DO157" s="18" t="n"/>
      <c r="DP157" s="18" t="n"/>
      <c r="DQ157" s="18" t="n"/>
      <c r="DR157" s="18" t="n"/>
      <c r="DS157" s="18" t="n"/>
      <c r="DT157" s="18" t="n"/>
      <c r="DU157" s="18" t="n"/>
      <c r="DV157" s="18" t="n"/>
      <c r="DW157" s="18" t="n"/>
      <c r="DX157" s="18" t="n"/>
      <c r="DY157" s="18" t="n"/>
      <c r="DZ157" s="18" t="n"/>
      <c r="EA157" s="18" t="n"/>
      <c r="EB157" s="18" t="n"/>
      <c r="EC157" s="18" t="n"/>
      <c r="ED157" s="18" t="n"/>
      <c r="EE157" s="18" t="n"/>
      <c r="EF157" s="18" t="n"/>
      <c r="EG157" s="18" t="n"/>
      <c r="EH157" s="18" t="n"/>
      <c r="EI157" s="18" t="n"/>
      <c r="EJ157" s="18" t="n"/>
      <c r="EK157" s="18" t="n"/>
      <c r="EL157" s="18" t="n"/>
      <c r="EM157" s="18" t="n"/>
      <c r="EN157" s="18" t="n"/>
      <c r="EO157" s="18" t="n"/>
      <c r="EP157" s="18" t="n"/>
      <c r="EQ157" s="18" t="n"/>
      <c r="ER157" s="18" t="n"/>
      <c r="ES157" s="18" t="n"/>
      <c r="ET157" s="18" t="n"/>
      <c r="EU157" s="18" t="n"/>
      <c r="EV157" s="18" t="n"/>
      <c r="EW157" s="18" t="n"/>
      <c r="EX157" s="18" t="n"/>
      <c r="EY157" s="18" t="n"/>
      <c r="EZ157" s="18" t="n"/>
      <c r="FA157" s="18" t="n"/>
      <c r="FB157" s="18" t="n"/>
      <c r="FC157" s="18" t="n"/>
      <c r="FD157" s="18" t="n"/>
      <c r="FE157" s="18" t="n"/>
      <c r="FF157" s="18" t="n"/>
      <c r="FG157" s="18" t="n"/>
      <c r="FH157" s="18" t="n"/>
      <c r="FI157" s="18" t="n"/>
      <c r="FJ157" s="18" t="n"/>
      <c r="FK157" s="18" t="n"/>
      <c r="FL157" s="18" t="n"/>
      <c r="FM157" s="18" t="n"/>
      <c r="FN157" s="18" t="n"/>
      <c r="FO157" s="18" t="n"/>
      <c r="FP157" s="18" t="n"/>
      <c r="FQ157" s="18" t="n"/>
      <c r="FR157" s="18" t="n"/>
      <c r="FS157" s="18" t="n"/>
      <c r="FT157" s="18" t="n"/>
      <c r="FU157" s="18" t="n"/>
      <c r="FV157" s="18" t="n"/>
      <c r="FW157" s="18" t="n"/>
      <c r="FX157" s="18" t="n"/>
      <c r="FY157" s="18" t="n"/>
      <c r="FZ157" s="18" t="n"/>
      <c r="GA157" s="18" t="n"/>
      <c r="GB157" s="18" t="n"/>
      <c r="GC157" s="18" t="n"/>
      <c r="GD157" s="18" t="n"/>
      <c r="GE157" s="18" t="n"/>
      <c r="GF157" s="18" t="n"/>
      <c r="GG157" s="18" t="n"/>
      <c r="GH157" s="18" t="n"/>
      <c r="GI157" s="18" t="n"/>
      <c r="GJ157" s="18" t="n"/>
      <c r="GK157" s="18" t="n"/>
      <c r="GL157" s="18" t="n"/>
      <c r="GM157" s="18" t="n"/>
      <c r="GN157" s="18" t="n"/>
      <c r="GO157" s="18" t="n"/>
      <c r="GP157" s="18" t="n"/>
      <c r="GQ157" s="18" t="n"/>
      <c r="GR157" s="18" t="n"/>
      <c r="GS157" s="18" t="n"/>
      <c r="GT157" s="18" t="n"/>
      <c r="GU157" s="18" t="n"/>
      <c r="GV157" s="18" t="n"/>
      <c r="GW157" s="18" t="n"/>
      <c r="GX157" s="18" t="n"/>
      <c r="GY157" s="18" t="n"/>
      <c r="GZ157" s="18" t="n"/>
      <c r="HA157" s="18" t="n"/>
      <c r="HB157" s="18" t="n"/>
    </row>
    <row r="158" ht="15.75" customHeight="1">
      <c r="A158" s="11" t="n"/>
      <c r="B158" s="8" t="n"/>
      <c r="C158" s="12" t="n"/>
      <c r="D158" s="12" t="n"/>
      <c r="E158" s="11" t="n"/>
      <c r="F158" s="14" t="n"/>
      <c r="G158" s="14" t="n"/>
      <c r="H158" s="16" t="n"/>
      <c r="I158" s="18" t="n"/>
      <c r="J158" s="18" t="n"/>
      <c r="K158" s="18" t="n"/>
      <c r="L158" s="18" t="n"/>
      <c r="M158" s="18" t="n"/>
      <c r="N158" s="18" t="n"/>
      <c r="O158" s="18" t="n"/>
      <c r="P158" s="18" t="n"/>
      <c r="Q158" s="18" t="n"/>
      <c r="R158" s="18" t="n"/>
      <c r="S158" s="18" t="n"/>
      <c r="T158" s="18" t="n"/>
      <c r="U158" s="18" t="n"/>
      <c r="V158" s="18" t="n"/>
      <c r="W158" s="18" t="n"/>
      <c r="X158" s="18" t="n"/>
      <c r="Y158" s="18" t="n"/>
      <c r="Z158" s="18" t="n"/>
      <c r="AA158" s="18" t="n"/>
      <c r="AB158" s="18" t="n"/>
      <c r="AC158" s="18" t="n"/>
      <c r="AD158" s="18" t="n"/>
      <c r="AE158" s="18" t="n"/>
      <c r="AF158" s="18" t="n"/>
      <c r="AG158" s="18" t="n"/>
      <c r="AH158" s="18" t="n"/>
      <c r="AI158" s="18" t="n"/>
      <c r="AJ158" s="18" t="n"/>
      <c r="AK158" s="18" t="n"/>
      <c r="AL158" s="18" t="n"/>
      <c r="AM158" s="18" t="n"/>
      <c r="AN158" s="18" t="n"/>
      <c r="AO158" s="18" t="n"/>
      <c r="AP158" s="18" t="n"/>
      <c r="AQ158" s="18" t="n"/>
      <c r="AR158" s="18" t="n"/>
      <c r="AS158" s="18" t="n"/>
      <c r="AT158" s="18" t="n"/>
      <c r="AU158" s="18" t="n"/>
      <c r="AV158" s="18" t="n"/>
      <c r="AW158" s="18" t="n"/>
      <c r="AX158" s="18" t="n"/>
      <c r="AY158" s="18" t="n"/>
      <c r="AZ158" s="18" t="n"/>
      <c r="BA158" s="18" t="n"/>
      <c r="BB158" s="18" t="n"/>
      <c r="BC158" s="18" t="n"/>
      <c r="BD158" s="18" t="n"/>
      <c r="BE158" s="18" t="n"/>
      <c r="BF158" s="18" t="n"/>
      <c r="BG158" s="18" t="n"/>
      <c r="BH158" s="18" t="n"/>
      <c r="BI158" s="18" t="n"/>
      <c r="BJ158" s="18" t="n"/>
      <c r="BK158" s="18" t="n"/>
      <c r="BL158" s="18" t="n"/>
      <c r="BM158" s="18" t="n"/>
      <c r="BN158" s="18" t="n"/>
      <c r="BO158" s="18" t="n"/>
      <c r="BP158" s="18" t="n"/>
      <c r="BQ158" s="18" t="n"/>
      <c r="BR158" s="18" t="n"/>
      <c r="BS158" s="18" t="n"/>
      <c r="BT158" s="18" t="n"/>
      <c r="BU158" s="18" t="n"/>
      <c r="BV158" s="18" t="n"/>
      <c r="BW158" s="18" t="n"/>
      <c r="BX158" s="18" t="n"/>
      <c r="BY158" s="18" t="n"/>
      <c r="BZ158" s="18" t="n"/>
      <c r="CA158" s="18" t="n"/>
      <c r="CB158" s="18" t="n"/>
      <c r="CC158" s="18" t="n"/>
      <c r="CD158" s="18" t="n"/>
      <c r="CE158" s="18" t="n"/>
      <c r="CF158" s="18" t="n"/>
      <c r="CG158" s="18" t="n"/>
      <c r="CH158" s="18" t="n"/>
      <c r="CI158" s="18" t="n"/>
      <c r="CJ158" s="18" t="n"/>
      <c r="CK158" s="18" t="n"/>
      <c r="CL158" s="18" t="n"/>
      <c r="CM158" s="18" t="n"/>
      <c r="CN158" s="18" t="n"/>
      <c r="CO158" s="18" t="n"/>
      <c r="CP158" s="18" t="n"/>
      <c r="CQ158" s="18" t="n"/>
      <c r="CR158" s="18" t="n"/>
      <c r="CS158" s="18" t="n"/>
      <c r="CT158" s="18" t="n"/>
      <c r="CU158" s="18" t="n"/>
      <c r="CV158" s="18" t="n"/>
      <c r="CW158" s="18" t="n"/>
      <c r="CX158" s="18" t="n"/>
      <c r="CY158" s="18" t="n"/>
      <c r="CZ158" s="18" t="n"/>
      <c r="DA158" s="18" t="n"/>
      <c r="DB158" s="18" t="n"/>
      <c r="DC158" s="18" t="n"/>
      <c r="DD158" s="18" t="n"/>
      <c r="DE158" s="18" t="n"/>
      <c r="DF158" s="18" t="n"/>
      <c r="DG158" s="18" t="n"/>
      <c r="DH158" s="18" t="n"/>
      <c r="DI158" s="18" t="n"/>
      <c r="DJ158" s="18" t="n"/>
      <c r="DK158" s="18" t="n"/>
      <c r="DL158" s="18" t="n"/>
      <c r="DM158" s="18" t="n"/>
      <c r="DN158" s="18" t="n"/>
      <c r="DO158" s="18" t="n"/>
      <c r="DP158" s="18" t="n"/>
      <c r="DQ158" s="18" t="n"/>
      <c r="DR158" s="18" t="n"/>
      <c r="DS158" s="18" t="n"/>
      <c r="DT158" s="18" t="n"/>
      <c r="DU158" s="18" t="n"/>
      <c r="DV158" s="18" t="n"/>
      <c r="DW158" s="18" t="n"/>
      <c r="DX158" s="18" t="n"/>
      <c r="DY158" s="18" t="n"/>
      <c r="DZ158" s="18" t="n"/>
      <c r="EA158" s="18" t="n"/>
      <c r="EB158" s="18" t="n"/>
      <c r="EC158" s="18" t="n"/>
      <c r="ED158" s="18" t="n"/>
      <c r="EE158" s="18" t="n"/>
      <c r="EF158" s="18" t="n"/>
      <c r="EG158" s="18" t="n"/>
      <c r="EH158" s="18" t="n"/>
      <c r="EI158" s="18" t="n"/>
      <c r="EJ158" s="18" t="n"/>
      <c r="EK158" s="18" t="n"/>
      <c r="EL158" s="18" t="n"/>
      <c r="EM158" s="18" t="n"/>
      <c r="EN158" s="18" t="n"/>
      <c r="EO158" s="18" t="n"/>
      <c r="EP158" s="18" t="n"/>
      <c r="EQ158" s="18" t="n"/>
      <c r="ER158" s="18" t="n"/>
      <c r="ES158" s="18" t="n"/>
      <c r="ET158" s="18" t="n"/>
      <c r="EU158" s="18" t="n"/>
      <c r="EV158" s="18" t="n"/>
      <c r="EW158" s="18" t="n"/>
      <c r="EX158" s="18" t="n"/>
      <c r="EY158" s="18" t="n"/>
      <c r="EZ158" s="18" t="n"/>
      <c r="FA158" s="18" t="n"/>
      <c r="FB158" s="18" t="n"/>
      <c r="FC158" s="18" t="n"/>
      <c r="FD158" s="18" t="n"/>
      <c r="FE158" s="18" t="n"/>
      <c r="FF158" s="18" t="n"/>
      <c r="FG158" s="18" t="n"/>
      <c r="FH158" s="18" t="n"/>
      <c r="FI158" s="18" t="n"/>
      <c r="FJ158" s="18" t="n"/>
      <c r="FK158" s="18" t="n"/>
      <c r="FL158" s="18" t="n"/>
      <c r="FM158" s="18" t="n"/>
      <c r="FN158" s="18" t="n"/>
      <c r="FO158" s="18" t="n"/>
      <c r="FP158" s="18" t="n"/>
      <c r="FQ158" s="18" t="n"/>
      <c r="FR158" s="18" t="n"/>
      <c r="FS158" s="18" t="n"/>
      <c r="FT158" s="18" t="n"/>
      <c r="FU158" s="18" t="n"/>
      <c r="FV158" s="18" t="n"/>
      <c r="FW158" s="18" t="n"/>
      <c r="FX158" s="18" t="n"/>
      <c r="FY158" s="18" t="n"/>
      <c r="FZ158" s="18" t="n"/>
      <c r="GA158" s="18" t="n"/>
      <c r="GB158" s="18" t="n"/>
      <c r="GC158" s="18" t="n"/>
      <c r="GD158" s="18" t="n"/>
      <c r="GE158" s="18" t="n"/>
      <c r="GF158" s="18" t="n"/>
      <c r="GG158" s="18" t="n"/>
      <c r="GH158" s="18" t="n"/>
      <c r="GI158" s="18" t="n"/>
      <c r="GJ158" s="18" t="n"/>
      <c r="GK158" s="18" t="n"/>
      <c r="GL158" s="18" t="n"/>
      <c r="GM158" s="18" t="n"/>
      <c r="GN158" s="18" t="n"/>
      <c r="GO158" s="18" t="n"/>
      <c r="GP158" s="18" t="n"/>
      <c r="GQ158" s="18" t="n"/>
      <c r="GR158" s="18" t="n"/>
      <c r="GS158" s="18" t="n"/>
      <c r="GT158" s="18" t="n"/>
      <c r="GU158" s="18" t="n"/>
      <c r="GV158" s="18" t="n"/>
      <c r="GW158" s="18" t="n"/>
      <c r="GX158" s="18" t="n"/>
      <c r="GY158" s="18" t="n"/>
      <c r="GZ158" s="18" t="n"/>
      <c r="HA158" s="18" t="n"/>
      <c r="HB158" s="18" t="n"/>
    </row>
    <row r="159" ht="15.75" customHeight="1">
      <c r="A159" s="11" t="n"/>
      <c r="B159" s="96" t="inlineStr">
        <is>
          <t>BURGLAR-PROOFING</t>
        </is>
      </c>
      <c r="C159" s="12" t="n"/>
      <c r="D159" s="12" t="n"/>
      <c r="E159" s="11" t="n"/>
      <c r="F159" s="228" t="n"/>
      <c r="G159" s="14" t="n"/>
      <c r="H159" s="229" t="n"/>
      <c r="I159" s="18" t="n"/>
      <c r="J159" s="18" t="n"/>
      <c r="K159" s="18" t="n"/>
      <c r="L159" s="18" t="n"/>
      <c r="M159" s="18" t="n"/>
      <c r="N159" s="18" t="n"/>
      <c r="O159" s="18" t="n"/>
      <c r="P159" s="18" t="n"/>
      <c r="Q159" s="18" t="n"/>
      <c r="R159" s="18" t="n"/>
      <c r="S159" s="18" t="n"/>
      <c r="T159" s="18" t="n"/>
      <c r="U159" s="18" t="n"/>
      <c r="V159" s="18" t="n"/>
      <c r="W159" s="18" t="n"/>
      <c r="X159" s="18" t="n"/>
      <c r="Y159" s="18" t="n"/>
      <c r="Z159" s="18" t="n"/>
      <c r="AA159" s="18" t="n"/>
      <c r="AB159" s="18" t="n"/>
      <c r="AC159" s="18" t="n"/>
      <c r="AD159" s="18" t="n"/>
      <c r="AE159" s="18" t="n"/>
      <c r="AF159" s="18" t="n"/>
      <c r="AG159" s="18" t="n"/>
      <c r="AH159" s="18" t="n"/>
      <c r="AI159" s="18" t="n"/>
      <c r="AJ159" s="18" t="n"/>
      <c r="AK159" s="18" t="n"/>
      <c r="AL159" s="18" t="n"/>
      <c r="AM159" s="18" t="n"/>
      <c r="AN159" s="18" t="n"/>
      <c r="AO159" s="18" t="n"/>
      <c r="AP159" s="18" t="n"/>
      <c r="AQ159" s="18" t="n"/>
      <c r="AR159" s="18" t="n"/>
      <c r="AS159" s="18" t="n"/>
      <c r="AT159" s="18" t="n"/>
      <c r="AU159" s="18" t="n"/>
      <c r="AV159" s="18" t="n"/>
      <c r="AW159" s="18" t="n"/>
      <c r="AX159" s="18" t="n"/>
      <c r="AY159" s="18" t="n"/>
      <c r="AZ159" s="18" t="n"/>
      <c r="BA159" s="18" t="n"/>
      <c r="BB159" s="18" t="n"/>
      <c r="BC159" s="18" t="n"/>
      <c r="BD159" s="18" t="n"/>
      <c r="BE159" s="18" t="n"/>
      <c r="BF159" s="18" t="n"/>
      <c r="BG159" s="18" t="n"/>
      <c r="BH159" s="18" t="n"/>
      <c r="BI159" s="18" t="n"/>
      <c r="BJ159" s="18" t="n"/>
      <c r="BK159" s="18" t="n"/>
      <c r="BL159" s="18" t="n"/>
      <c r="BM159" s="18" t="n"/>
      <c r="BN159" s="18" t="n"/>
      <c r="BO159" s="18" t="n"/>
      <c r="BP159" s="18" t="n"/>
      <c r="BQ159" s="18" t="n"/>
      <c r="BR159" s="18" t="n"/>
      <c r="BS159" s="18" t="n"/>
      <c r="BT159" s="18" t="n"/>
      <c r="BU159" s="18" t="n"/>
      <c r="BV159" s="18" t="n"/>
      <c r="BW159" s="18" t="n"/>
      <c r="BX159" s="18" t="n"/>
      <c r="BY159" s="18" t="n"/>
      <c r="BZ159" s="18" t="n"/>
      <c r="CA159" s="18" t="n"/>
      <c r="CB159" s="18" t="n"/>
      <c r="CC159" s="18" t="n"/>
      <c r="CD159" s="18" t="n"/>
      <c r="CE159" s="18" t="n"/>
      <c r="CF159" s="18" t="n"/>
      <c r="CG159" s="18" t="n"/>
      <c r="CH159" s="18" t="n"/>
      <c r="CI159" s="18" t="n"/>
      <c r="CJ159" s="18" t="n"/>
      <c r="CK159" s="18" t="n"/>
      <c r="CL159" s="18" t="n"/>
      <c r="CM159" s="18" t="n"/>
      <c r="CN159" s="18" t="n"/>
      <c r="CO159" s="18" t="n"/>
      <c r="CP159" s="18" t="n"/>
      <c r="CQ159" s="18" t="n"/>
      <c r="CR159" s="18" t="n"/>
      <c r="CS159" s="18" t="n"/>
      <c r="CT159" s="18" t="n"/>
      <c r="CU159" s="18" t="n"/>
      <c r="CV159" s="18" t="n"/>
      <c r="CW159" s="18" t="n"/>
      <c r="CX159" s="18" t="n"/>
      <c r="CY159" s="18" t="n"/>
      <c r="CZ159" s="18" t="n"/>
      <c r="DA159" s="18" t="n"/>
      <c r="DB159" s="18" t="n"/>
      <c r="DC159" s="18" t="n"/>
      <c r="DD159" s="18" t="n"/>
      <c r="DE159" s="18" t="n"/>
      <c r="DF159" s="18" t="n"/>
      <c r="DG159" s="18" t="n"/>
      <c r="DH159" s="18" t="n"/>
      <c r="DI159" s="18" t="n"/>
      <c r="DJ159" s="18" t="n"/>
      <c r="DK159" s="18" t="n"/>
      <c r="DL159" s="18" t="n"/>
      <c r="DM159" s="18" t="n"/>
      <c r="DN159" s="18" t="n"/>
      <c r="DO159" s="18" t="n"/>
      <c r="DP159" s="18" t="n"/>
      <c r="DQ159" s="18" t="n"/>
      <c r="DR159" s="18" t="n"/>
      <c r="DS159" s="18" t="n"/>
      <c r="DT159" s="18" t="n"/>
      <c r="DU159" s="18" t="n"/>
      <c r="DV159" s="18" t="n"/>
      <c r="DW159" s="18" t="n"/>
      <c r="DX159" s="18" t="n"/>
      <c r="DY159" s="18" t="n"/>
      <c r="DZ159" s="18" t="n"/>
      <c r="EA159" s="18" t="n"/>
      <c r="EB159" s="18" t="n"/>
      <c r="EC159" s="18" t="n"/>
      <c r="ED159" s="18" t="n"/>
      <c r="EE159" s="18" t="n"/>
      <c r="EF159" s="18" t="n"/>
      <c r="EG159" s="18" t="n"/>
      <c r="EH159" s="18" t="n"/>
      <c r="EI159" s="18" t="n"/>
      <c r="EJ159" s="18" t="n"/>
      <c r="EK159" s="18" t="n"/>
      <c r="EL159" s="18" t="n"/>
      <c r="EM159" s="18" t="n"/>
      <c r="EN159" s="18" t="n"/>
      <c r="EO159" s="18" t="n"/>
      <c r="EP159" s="18" t="n"/>
      <c r="EQ159" s="18" t="n"/>
      <c r="ER159" s="18" t="n"/>
      <c r="ES159" s="18" t="n"/>
      <c r="ET159" s="18" t="n"/>
      <c r="EU159" s="18" t="n"/>
      <c r="EV159" s="18" t="n"/>
      <c r="EW159" s="18" t="n"/>
      <c r="EX159" s="18" t="n"/>
      <c r="EY159" s="18" t="n"/>
      <c r="EZ159" s="18" t="n"/>
      <c r="FA159" s="18" t="n"/>
      <c r="FB159" s="18" t="n"/>
      <c r="FC159" s="18" t="n"/>
      <c r="FD159" s="18" t="n"/>
      <c r="FE159" s="18" t="n"/>
      <c r="FF159" s="18" t="n"/>
      <c r="FG159" s="18" t="n"/>
      <c r="FH159" s="18" t="n"/>
      <c r="FI159" s="18" t="n"/>
      <c r="FJ159" s="18" t="n"/>
      <c r="FK159" s="18" t="n"/>
      <c r="FL159" s="18" t="n"/>
      <c r="FM159" s="18" t="n"/>
      <c r="FN159" s="18" t="n"/>
      <c r="FO159" s="18" t="n"/>
      <c r="FP159" s="18" t="n"/>
      <c r="FQ159" s="18" t="n"/>
      <c r="FR159" s="18" t="n"/>
      <c r="FS159" s="18" t="n"/>
      <c r="FT159" s="18" t="n"/>
      <c r="FU159" s="18" t="n"/>
      <c r="FV159" s="18" t="n"/>
      <c r="FW159" s="18" t="n"/>
      <c r="FX159" s="18" t="n"/>
      <c r="FY159" s="18" t="n"/>
      <c r="FZ159" s="18" t="n"/>
      <c r="GA159" s="18" t="n"/>
      <c r="GB159" s="18" t="n"/>
      <c r="GC159" s="18" t="n"/>
      <c r="GD159" s="18" t="n"/>
      <c r="GE159" s="18" t="n"/>
      <c r="GF159" s="18" t="n"/>
      <c r="GG159" s="18" t="n"/>
      <c r="GH159" s="18" t="n"/>
      <c r="GI159" s="18" t="n"/>
      <c r="GJ159" s="18" t="n"/>
      <c r="GK159" s="18" t="n"/>
      <c r="GL159" s="18" t="n"/>
      <c r="GM159" s="18" t="n"/>
      <c r="GN159" s="18" t="n"/>
      <c r="GO159" s="18" t="n"/>
      <c r="GP159" s="18" t="n"/>
      <c r="GQ159" s="18" t="n"/>
      <c r="GR159" s="18" t="n"/>
      <c r="GS159" s="18" t="n"/>
      <c r="GT159" s="18" t="n"/>
      <c r="GU159" s="18" t="n"/>
      <c r="GV159" s="18" t="n"/>
      <c r="GW159" s="18" t="n"/>
      <c r="GX159" s="18" t="n"/>
      <c r="GY159" s="18" t="n"/>
      <c r="GZ159" s="18" t="n"/>
      <c r="HA159" s="18" t="n"/>
      <c r="HB159" s="18" t="n"/>
    </row>
    <row r="160" ht="15.75" customHeight="1">
      <c r="A160" s="11" t="n"/>
      <c r="B160" s="100" t="n"/>
      <c r="C160" s="12" t="n"/>
      <c r="D160" s="12" t="n"/>
      <c r="E160" s="11" t="n"/>
      <c r="F160" s="228" t="n"/>
      <c r="G160" s="14" t="n"/>
      <c r="H160" s="229" t="n"/>
      <c r="I160" s="18" t="n"/>
      <c r="J160" s="18" t="n"/>
      <c r="K160" s="18" t="n"/>
      <c r="L160" s="18" t="n"/>
      <c r="M160" s="18" t="n"/>
      <c r="N160" s="18" t="n"/>
      <c r="O160" s="18" t="n"/>
      <c r="P160" s="18" t="n"/>
      <c r="Q160" s="18" t="n"/>
      <c r="R160" s="18" t="n"/>
      <c r="S160" s="18" t="n"/>
      <c r="T160" s="18" t="n"/>
      <c r="U160" s="18" t="n"/>
      <c r="V160" s="18" t="n"/>
      <c r="W160" s="18" t="n"/>
      <c r="X160" s="18" t="n"/>
      <c r="Y160" s="18" t="n"/>
      <c r="Z160" s="18" t="n"/>
      <c r="AA160" s="18" t="n"/>
      <c r="AB160" s="18" t="n"/>
      <c r="AC160" s="18" t="n"/>
      <c r="AD160" s="18" t="n"/>
      <c r="AE160" s="18" t="n"/>
      <c r="AF160" s="18" t="n"/>
      <c r="AG160" s="18" t="n"/>
      <c r="AH160" s="18" t="n"/>
      <c r="AI160" s="18" t="n"/>
      <c r="AJ160" s="18" t="n"/>
      <c r="AK160" s="18" t="n"/>
      <c r="AL160" s="18" t="n"/>
      <c r="AM160" s="18" t="n"/>
      <c r="AN160" s="18" t="n"/>
      <c r="AO160" s="18" t="n"/>
      <c r="AP160" s="18" t="n"/>
      <c r="AQ160" s="18" t="n"/>
      <c r="AR160" s="18" t="n"/>
      <c r="AS160" s="18" t="n"/>
      <c r="AT160" s="18" t="n"/>
      <c r="AU160" s="18" t="n"/>
      <c r="AV160" s="18" t="n"/>
      <c r="AW160" s="18" t="n"/>
      <c r="AX160" s="18" t="n"/>
      <c r="AY160" s="18" t="n"/>
      <c r="AZ160" s="18" t="n"/>
      <c r="BA160" s="18" t="n"/>
      <c r="BB160" s="18" t="n"/>
      <c r="BC160" s="18" t="n"/>
      <c r="BD160" s="18" t="n"/>
      <c r="BE160" s="18" t="n"/>
      <c r="BF160" s="18" t="n"/>
      <c r="BG160" s="18" t="n"/>
      <c r="BH160" s="18" t="n"/>
      <c r="BI160" s="18" t="n"/>
      <c r="BJ160" s="18" t="n"/>
      <c r="BK160" s="18" t="n"/>
      <c r="BL160" s="18" t="n"/>
      <c r="BM160" s="18" t="n"/>
      <c r="BN160" s="18" t="n"/>
      <c r="BO160" s="18" t="n"/>
      <c r="BP160" s="18" t="n"/>
      <c r="BQ160" s="18" t="n"/>
      <c r="BR160" s="18" t="n"/>
      <c r="BS160" s="18" t="n"/>
      <c r="BT160" s="18" t="n"/>
      <c r="BU160" s="18" t="n"/>
      <c r="BV160" s="18" t="n"/>
      <c r="BW160" s="18" t="n"/>
      <c r="BX160" s="18" t="n"/>
      <c r="BY160" s="18" t="n"/>
      <c r="BZ160" s="18" t="n"/>
      <c r="CA160" s="18" t="n"/>
      <c r="CB160" s="18" t="n"/>
      <c r="CC160" s="18" t="n"/>
      <c r="CD160" s="18" t="n"/>
      <c r="CE160" s="18" t="n"/>
      <c r="CF160" s="18" t="n"/>
      <c r="CG160" s="18" t="n"/>
      <c r="CH160" s="18" t="n"/>
      <c r="CI160" s="18" t="n"/>
      <c r="CJ160" s="18" t="n"/>
      <c r="CK160" s="18" t="n"/>
      <c r="CL160" s="18" t="n"/>
      <c r="CM160" s="18" t="n"/>
      <c r="CN160" s="18" t="n"/>
      <c r="CO160" s="18" t="n"/>
      <c r="CP160" s="18" t="n"/>
      <c r="CQ160" s="18" t="n"/>
      <c r="CR160" s="18" t="n"/>
      <c r="CS160" s="18" t="n"/>
      <c r="CT160" s="18" t="n"/>
      <c r="CU160" s="18" t="n"/>
      <c r="CV160" s="18" t="n"/>
      <c r="CW160" s="18" t="n"/>
      <c r="CX160" s="18" t="n"/>
      <c r="CY160" s="18" t="n"/>
      <c r="CZ160" s="18" t="n"/>
      <c r="DA160" s="18" t="n"/>
      <c r="DB160" s="18" t="n"/>
      <c r="DC160" s="18" t="n"/>
      <c r="DD160" s="18" t="n"/>
      <c r="DE160" s="18" t="n"/>
      <c r="DF160" s="18" t="n"/>
      <c r="DG160" s="18" t="n"/>
      <c r="DH160" s="18" t="n"/>
      <c r="DI160" s="18" t="n"/>
      <c r="DJ160" s="18" t="n"/>
      <c r="DK160" s="18" t="n"/>
      <c r="DL160" s="18" t="n"/>
      <c r="DM160" s="18" t="n"/>
      <c r="DN160" s="18" t="n"/>
      <c r="DO160" s="18" t="n"/>
      <c r="DP160" s="18" t="n"/>
      <c r="DQ160" s="18" t="n"/>
      <c r="DR160" s="18" t="n"/>
      <c r="DS160" s="18" t="n"/>
      <c r="DT160" s="18" t="n"/>
      <c r="DU160" s="18" t="n"/>
      <c r="DV160" s="18" t="n"/>
      <c r="DW160" s="18" t="n"/>
      <c r="DX160" s="18" t="n"/>
      <c r="DY160" s="18" t="n"/>
      <c r="DZ160" s="18" t="n"/>
      <c r="EA160" s="18" t="n"/>
      <c r="EB160" s="18" t="n"/>
      <c r="EC160" s="18" t="n"/>
      <c r="ED160" s="18" t="n"/>
      <c r="EE160" s="18" t="n"/>
      <c r="EF160" s="18" t="n"/>
      <c r="EG160" s="18" t="n"/>
      <c r="EH160" s="18" t="n"/>
      <c r="EI160" s="18" t="n"/>
      <c r="EJ160" s="18" t="n"/>
      <c r="EK160" s="18" t="n"/>
      <c r="EL160" s="18" t="n"/>
      <c r="EM160" s="18" t="n"/>
      <c r="EN160" s="18" t="n"/>
      <c r="EO160" s="18" t="n"/>
      <c r="EP160" s="18" t="n"/>
      <c r="EQ160" s="18" t="n"/>
      <c r="ER160" s="18" t="n"/>
      <c r="ES160" s="18" t="n"/>
      <c r="ET160" s="18" t="n"/>
      <c r="EU160" s="18" t="n"/>
      <c r="EV160" s="18" t="n"/>
      <c r="EW160" s="18" t="n"/>
      <c r="EX160" s="18" t="n"/>
      <c r="EY160" s="18" t="n"/>
      <c r="EZ160" s="18" t="n"/>
      <c r="FA160" s="18" t="n"/>
      <c r="FB160" s="18" t="n"/>
      <c r="FC160" s="18" t="n"/>
      <c r="FD160" s="18" t="n"/>
      <c r="FE160" s="18" t="n"/>
      <c r="FF160" s="18" t="n"/>
      <c r="FG160" s="18" t="n"/>
      <c r="FH160" s="18" t="n"/>
      <c r="FI160" s="18" t="n"/>
      <c r="FJ160" s="18" t="n"/>
      <c r="FK160" s="18" t="n"/>
      <c r="FL160" s="18" t="n"/>
      <c r="FM160" s="18" t="n"/>
      <c r="FN160" s="18" t="n"/>
      <c r="FO160" s="18" t="n"/>
      <c r="FP160" s="18" t="n"/>
      <c r="FQ160" s="18" t="n"/>
      <c r="FR160" s="18" t="n"/>
      <c r="FS160" s="18" t="n"/>
      <c r="FT160" s="18" t="n"/>
      <c r="FU160" s="18" t="n"/>
      <c r="FV160" s="18" t="n"/>
      <c r="FW160" s="18" t="n"/>
      <c r="FX160" s="18" t="n"/>
      <c r="FY160" s="18" t="n"/>
      <c r="FZ160" s="18" t="n"/>
      <c r="GA160" s="18" t="n"/>
      <c r="GB160" s="18" t="n"/>
      <c r="GC160" s="18" t="n"/>
      <c r="GD160" s="18" t="n"/>
      <c r="GE160" s="18" t="n"/>
      <c r="GF160" s="18" t="n"/>
      <c r="GG160" s="18" t="n"/>
      <c r="GH160" s="18" t="n"/>
      <c r="GI160" s="18" t="n"/>
      <c r="GJ160" s="18" t="n"/>
      <c r="GK160" s="18" t="n"/>
      <c r="GL160" s="18" t="n"/>
      <c r="GM160" s="18" t="n"/>
      <c r="GN160" s="18" t="n"/>
      <c r="GO160" s="18" t="n"/>
      <c r="GP160" s="18" t="n"/>
      <c r="GQ160" s="18" t="n"/>
      <c r="GR160" s="18" t="n"/>
      <c r="GS160" s="18" t="n"/>
      <c r="GT160" s="18" t="n"/>
      <c r="GU160" s="18" t="n"/>
      <c r="GV160" s="18" t="n"/>
      <c r="GW160" s="18" t="n"/>
      <c r="GX160" s="18" t="n"/>
      <c r="GY160" s="18" t="n"/>
      <c r="GZ160" s="18" t="n"/>
      <c r="HA160" s="18" t="n"/>
      <c r="HB160" s="18" t="n"/>
    </row>
    <row r="161" ht="15.6" customHeight="1">
      <c r="A161" s="11" t="n"/>
      <c r="B161" s="100" t="inlineStr">
        <is>
          <t>Allow a Sum of GH₵ …....... for metal collaspble</t>
        </is>
      </c>
      <c r="C161" s="12" t="n"/>
      <c r="D161" s="12" t="n"/>
      <c r="E161" s="11" t="n"/>
      <c r="F161" s="228" t="n"/>
      <c r="G161" s="14" t="n"/>
      <c r="H161" s="229" t="n"/>
      <c r="I161" s="18" t="n"/>
      <c r="J161" s="18" t="n"/>
      <c r="K161" s="18" t="n"/>
      <c r="L161" s="18" t="n"/>
      <c r="M161" s="18" t="n"/>
      <c r="N161" s="18" t="n"/>
      <c r="O161" s="18" t="n"/>
      <c r="P161" s="18" t="n"/>
      <c r="Q161" s="18" t="n"/>
      <c r="R161" s="18" t="n"/>
      <c r="S161" s="18" t="n"/>
      <c r="T161" s="18" t="n"/>
      <c r="U161" s="18" t="n"/>
      <c r="V161" s="18" t="n"/>
      <c r="W161" s="18" t="n"/>
      <c r="X161" s="18" t="n"/>
      <c r="Y161" s="18" t="n"/>
      <c r="Z161" s="18" t="n"/>
      <c r="AA161" s="18" t="n"/>
      <c r="AB161" s="18" t="n"/>
      <c r="AC161" s="18" t="n"/>
      <c r="AD161" s="18" t="n"/>
      <c r="AE161" s="18" t="n"/>
      <c r="AF161" s="18" t="n"/>
      <c r="AG161" s="18" t="n"/>
      <c r="AH161" s="18" t="n"/>
      <c r="AI161" s="18" t="n"/>
      <c r="AJ161" s="18" t="n"/>
      <c r="AK161" s="18" t="n"/>
      <c r="AL161" s="18" t="n"/>
      <c r="AM161" s="18" t="n"/>
      <c r="AN161" s="18" t="n"/>
      <c r="AO161" s="18" t="n"/>
      <c r="AP161" s="18" t="n"/>
      <c r="AQ161" s="18" t="n"/>
      <c r="AR161" s="18" t="n"/>
      <c r="AS161" s="18" t="n"/>
      <c r="AT161" s="18" t="n"/>
      <c r="AU161" s="18" t="n"/>
      <c r="AV161" s="18" t="n"/>
      <c r="AW161" s="18" t="n"/>
      <c r="AX161" s="18" t="n"/>
      <c r="AY161" s="18" t="n"/>
      <c r="AZ161" s="18" t="n"/>
      <c r="BA161" s="18" t="n"/>
      <c r="BB161" s="18" t="n"/>
      <c r="BC161" s="18" t="n"/>
      <c r="BD161" s="18" t="n"/>
      <c r="BE161" s="18" t="n"/>
      <c r="BF161" s="18" t="n"/>
      <c r="BG161" s="18" t="n"/>
      <c r="BH161" s="18" t="n"/>
      <c r="BI161" s="18" t="n"/>
      <c r="BJ161" s="18" t="n"/>
      <c r="BK161" s="18" t="n"/>
      <c r="BL161" s="18" t="n"/>
      <c r="BM161" s="18" t="n"/>
      <c r="BN161" s="18" t="n"/>
      <c r="BO161" s="18" t="n"/>
      <c r="BP161" s="18" t="n"/>
      <c r="BQ161" s="18" t="n"/>
      <c r="BR161" s="18" t="n"/>
      <c r="BS161" s="18" t="n"/>
      <c r="BT161" s="18" t="n"/>
      <c r="BU161" s="18" t="n"/>
      <c r="BV161" s="18" t="n"/>
      <c r="BW161" s="18" t="n"/>
      <c r="BX161" s="18" t="n"/>
      <c r="BY161" s="18" t="n"/>
      <c r="BZ161" s="18" t="n"/>
      <c r="CA161" s="18" t="n"/>
      <c r="CB161" s="18" t="n"/>
      <c r="CC161" s="18" t="n"/>
      <c r="CD161" s="18" t="n"/>
      <c r="CE161" s="18" t="n"/>
      <c r="CF161" s="18" t="n"/>
      <c r="CG161" s="18" t="n"/>
      <c r="CH161" s="18" t="n"/>
      <c r="CI161" s="18" t="n"/>
      <c r="CJ161" s="18" t="n"/>
      <c r="CK161" s="18" t="n"/>
      <c r="CL161" s="18" t="n"/>
      <c r="CM161" s="18" t="n"/>
      <c r="CN161" s="18" t="n"/>
      <c r="CO161" s="18" t="n"/>
      <c r="CP161" s="18" t="n"/>
      <c r="CQ161" s="18" t="n"/>
      <c r="CR161" s="18" t="n"/>
      <c r="CS161" s="18" t="n"/>
      <c r="CT161" s="18" t="n"/>
      <c r="CU161" s="18" t="n"/>
      <c r="CV161" s="18" t="n"/>
      <c r="CW161" s="18" t="n"/>
      <c r="CX161" s="18" t="n"/>
      <c r="CY161" s="18" t="n"/>
      <c r="CZ161" s="18" t="n"/>
      <c r="DA161" s="18" t="n"/>
      <c r="DB161" s="18" t="n"/>
      <c r="DC161" s="18" t="n"/>
      <c r="DD161" s="18" t="n"/>
      <c r="DE161" s="18" t="n"/>
      <c r="DF161" s="18" t="n"/>
      <c r="DG161" s="18" t="n"/>
      <c r="DH161" s="18" t="n"/>
      <c r="DI161" s="18" t="n"/>
      <c r="DJ161" s="18" t="n"/>
      <c r="DK161" s="18" t="n"/>
      <c r="DL161" s="18" t="n"/>
      <c r="DM161" s="18" t="n"/>
      <c r="DN161" s="18" t="n"/>
      <c r="DO161" s="18" t="n"/>
      <c r="DP161" s="18" t="n"/>
      <c r="DQ161" s="18" t="n"/>
      <c r="DR161" s="18" t="n"/>
      <c r="DS161" s="18" t="n"/>
      <c r="DT161" s="18" t="n"/>
      <c r="DU161" s="18" t="n"/>
      <c r="DV161" s="18" t="n"/>
      <c r="DW161" s="18" t="n"/>
      <c r="DX161" s="18" t="n"/>
      <c r="DY161" s="18" t="n"/>
      <c r="DZ161" s="18" t="n"/>
      <c r="EA161" s="18" t="n"/>
      <c r="EB161" s="18" t="n"/>
      <c r="EC161" s="18" t="n"/>
      <c r="ED161" s="18" t="n"/>
      <c r="EE161" s="18" t="n"/>
      <c r="EF161" s="18" t="n"/>
      <c r="EG161" s="18" t="n"/>
      <c r="EH161" s="18" t="n"/>
      <c r="EI161" s="18" t="n"/>
      <c r="EJ161" s="18" t="n"/>
      <c r="EK161" s="18" t="n"/>
      <c r="EL161" s="18" t="n"/>
      <c r="EM161" s="18" t="n"/>
      <c r="EN161" s="18" t="n"/>
      <c r="EO161" s="18" t="n"/>
      <c r="EP161" s="18" t="n"/>
      <c r="EQ161" s="18" t="n"/>
      <c r="ER161" s="18" t="n"/>
      <c r="ES161" s="18" t="n"/>
      <c r="ET161" s="18" t="n"/>
      <c r="EU161" s="18" t="n"/>
      <c r="EV161" s="18" t="n"/>
      <c r="EW161" s="18" t="n"/>
      <c r="EX161" s="18" t="n"/>
      <c r="EY161" s="18" t="n"/>
      <c r="EZ161" s="18" t="n"/>
      <c r="FA161" s="18" t="n"/>
      <c r="FB161" s="18" t="n"/>
      <c r="FC161" s="18" t="n"/>
      <c r="FD161" s="18" t="n"/>
      <c r="FE161" s="18" t="n"/>
      <c r="FF161" s="18" t="n"/>
      <c r="FG161" s="18" t="n"/>
      <c r="FH161" s="18" t="n"/>
      <c r="FI161" s="18" t="n"/>
      <c r="FJ161" s="18" t="n"/>
      <c r="FK161" s="18" t="n"/>
      <c r="FL161" s="18" t="n"/>
      <c r="FM161" s="18" t="n"/>
      <c r="FN161" s="18" t="n"/>
      <c r="FO161" s="18" t="n"/>
      <c r="FP161" s="18" t="n"/>
      <c r="FQ161" s="18" t="n"/>
      <c r="FR161" s="18" t="n"/>
      <c r="FS161" s="18" t="n"/>
      <c r="FT161" s="18" t="n"/>
      <c r="FU161" s="18" t="n"/>
      <c r="FV161" s="18" t="n"/>
      <c r="FW161" s="18" t="n"/>
      <c r="FX161" s="18" t="n"/>
      <c r="FY161" s="18" t="n"/>
      <c r="FZ161" s="18" t="n"/>
      <c r="GA161" s="18" t="n"/>
      <c r="GB161" s="18" t="n"/>
      <c r="GC161" s="18" t="n"/>
      <c r="GD161" s="18" t="n"/>
      <c r="GE161" s="18" t="n"/>
      <c r="GF161" s="18" t="n"/>
      <c r="GG161" s="18" t="n"/>
      <c r="GH161" s="18" t="n"/>
      <c r="GI161" s="18" t="n"/>
      <c r="GJ161" s="18" t="n"/>
      <c r="GK161" s="18" t="n"/>
      <c r="GL161" s="18" t="n"/>
      <c r="GM161" s="18" t="n"/>
      <c r="GN161" s="18" t="n"/>
      <c r="GO161" s="18" t="n"/>
      <c r="GP161" s="18" t="n"/>
      <c r="GQ161" s="18" t="n"/>
      <c r="GR161" s="18" t="n"/>
      <c r="GS161" s="18" t="n"/>
      <c r="GT161" s="18" t="n"/>
      <c r="GU161" s="18" t="n"/>
      <c r="GV161" s="18" t="n"/>
      <c r="GW161" s="18" t="n"/>
      <c r="GX161" s="18" t="n"/>
      <c r="GY161" s="18" t="n"/>
      <c r="GZ161" s="18" t="n"/>
      <c r="HA161" s="18" t="n"/>
      <c r="HB161" s="18" t="n"/>
    </row>
    <row r="162" ht="15.75" customHeight="1">
      <c r="A162" s="11" t="n"/>
      <c r="B162" s="100" t="inlineStr">
        <is>
          <t>burglar-proofing to internal windows including painting</t>
        </is>
      </c>
      <c r="C162" s="12" t="n"/>
      <c r="D162" s="12" t="n"/>
      <c r="E162" s="11" t="n"/>
      <c r="F162" s="228" t="n"/>
      <c r="G162" s="14" t="n"/>
      <c r="H162" s="229" t="n"/>
      <c r="I162" s="18" t="n"/>
      <c r="J162" s="18" t="n"/>
      <c r="K162" s="18" t="n"/>
      <c r="L162" s="18" t="n"/>
      <c r="M162" s="18" t="n"/>
      <c r="N162" s="18" t="n"/>
      <c r="O162" s="18" t="n"/>
      <c r="P162" s="18" t="n"/>
      <c r="Q162" s="18" t="n"/>
      <c r="R162" s="18" t="n"/>
      <c r="S162" s="18" t="n"/>
      <c r="T162" s="18" t="n"/>
      <c r="U162" s="18" t="n"/>
      <c r="V162" s="18" t="n"/>
      <c r="W162" s="18" t="n"/>
      <c r="X162" s="18" t="n"/>
      <c r="Y162" s="18" t="n"/>
      <c r="Z162" s="18" t="n"/>
      <c r="AA162" s="18" t="n"/>
      <c r="AB162" s="18" t="n"/>
      <c r="AC162" s="18" t="n"/>
      <c r="AD162" s="18" t="n"/>
      <c r="AE162" s="18" t="n"/>
      <c r="AF162" s="18" t="n"/>
      <c r="AG162" s="18" t="n"/>
      <c r="AH162" s="18" t="n"/>
      <c r="AI162" s="18" t="n"/>
      <c r="AJ162" s="18" t="n"/>
      <c r="AK162" s="18" t="n"/>
      <c r="AL162" s="18" t="n"/>
      <c r="AM162" s="18" t="n"/>
      <c r="AN162" s="18" t="n"/>
      <c r="AO162" s="18" t="n"/>
      <c r="AP162" s="18" t="n"/>
      <c r="AQ162" s="18" t="n"/>
      <c r="AR162" s="18" t="n"/>
      <c r="AS162" s="18" t="n"/>
      <c r="AT162" s="18" t="n"/>
      <c r="AU162" s="18" t="n"/>
      <c r="AV162" s="18" t="n"/>
      <c r="AW162" s="18" t="n"/>
      <c r="AX162" s="18" t="n"/>
      <c r="AY162" s="18" t="n"/>
      <c r="AZ162" s="18" t="n"/>
      <c r="BA162" s="18" t="n"/>
      <c r="BB162" s="18" t="n"/>
      <c r="BC162" s="18" t="n"/>
      <c r="BD162" s="18" t="n"/>
      <c r="BE162" s="18" t="n"/>
      <c r="BF162" s="18" t="n"/>
      <c r="BG162" s="18" t="n"/>
      <c r="BH162" s="18" t="n"/>
      <c r="BI162" s="18" t="n"/>
      <c r="BJ162" s="18" t="n"/>
      <c r="BK162" s="18" t="n"/>
      <c r="BL162" s="18" t="n"/>
      <c r="BM162" s="18" t="n"/>
      <c r="BN162" s="18" t="n"/>
      <c r="BO162" s="18" t="n"/>
      <c r="BP162" s="18" t="n"/>
      <c r="BQ162" s="18" t="n"/>
      <c r="BR162" s="18" t="n"/>
      <c r="BS162" s="18" t="n"/>
      <c r="BT162" s="18" t="n"/>
      <c r="BU162" s="18" t="n"/>
      <c r="BV162" s="18" t="n"/>
      <c r="BW162" s="18" t="n"/>
      <c r="BX162" s="18" t="n"/>
      <c r="BY162" s="18" t="n"/>
      <c r="BZ162" s="18" t="n"/>
      <c r="CA162" s="18" t="n"/>
      <c r="CB162" s="18" t="n"/>
      <c r="CC162" s="18" t="n"/>
      <c r="CD162" s="18" t="n"/>
      <c r="CE162" s="18" t="n"/>
      <c r="CF162" s="18" t="n"/>
      <c r="CG162" s="18" t="n"/>
      <c r="CH162" s="18" t="n"/>
      <c r="CI162" s="18" t="n"/>
      <c r="CJ162" s="18" t="n"/>
      <c r="CK162" s="18" t="n"/>
      <c r="CL162" s="18" t="n"/>
      <c r="CM162" s="18" t="n"/>
      <c r="CN162" s="18" t="n"/>
      <c r="CO162" s="18" t="n"/>
      <c r="CP162" s="18" t="n"/>
      <c r="CQ162" s="18" t="n"/>
      <c r="CR162" s="18" t="n"/>
      <c r="CS162" s="18" t="n"/>
      <c r="CT162" s="18" t="n"/>
      <c r="CU162" s="18" t="n"/>
      <c r="CV162" s="18" t="n"/>
      <c r="CW162" s="18" t="n"/>
      <c r="CX162" s="18" t="n"/>
      <c r="CY162" s="18" t="n"/>
      <c r="CZ162" s="18" t="n"/>
      <c r="DA162" s="18" t="n"/>
      <c r="DB162" s="18" t="n"/>
      <c r="DC162" s="18" t="n"/>
      <c r="DD162" s="18" t="n"/>
      <c r="DE162" s="18" t="n"/>
      <c r="DF162" s="18" t="n"/>
      <c r="DG162" s="18" t="n"/>
      <c r="DH162" s="18" t="n"/>
      <c r="DI162" s="18" t="n"/>
      <c r="DJ162" s="18" t="n"/>
      <c r="DK162" s="18" t="n"/>
      <c r="DL162" s="18" t="n"/>
      <c r="DM162" s="18" t="n"/>
      <c r="DN162" s="18" t="n"/>
      <c r="DO162" s="18" t="n"/>
      <c r="DP162" s="18" t="n"/>
      <c r="DQ162" s="18" t="n"/>
      <c r="DR162" s="18" t="n"/>
      <c r="DS162" s="18" t="n"/>
      <c r="DT162" s="18" t="n"/>
      <c r="DU162" s="18" t="n"/>
      <c r="DV162" s="18" t="n"/>
      <c r="DW162" s="18" t="n"/>
      <c r="DX162" s="18" t="n"/>
      <c r="DY162" s="18" t="n"/>
      <c r="DZ162" s="18" t="n"/>
      <c r="EA162" s="18" t="n"/>
      <c r="EB162" s="18" t="n"/>
      <c r="EC162" s="18" t="n"/>
      <c r="ED162" s="18" t="n"/>
      <c r="EE162" s="18" t="n"/>
      <c r="EF162" s="18" t="n"/>
      <c r="EG162" s="18" t="n"/>
      <c r="EH162" s="18" t="n"/>
      <c r="EI162" s="18" t="n"/>
      <c r="EJ162" s="18" t="n"/>
      <c r="EK162" s="18" t="n"/>
      <c r="EL162" s="18" t="n"/>
      <c r="EM162" s="18" t="n"/>
      <c r="EN162" s="18" t="n"/>
      <c r="EO162" s="18" t="n"/>
      <c r="EP162" s="18" t="n"/>
      <c r="EQ162" s="18" t="n"/>
      <c r="ER162" s="18" t="n"/>
      <c r="ES162" s="18" t="n"/>
      <c r="ET162" s="18" t="n"/>
      <c r="EU162" s="18" t="n"/>
      <c r="EV162" s="18" t="n"/>
      <c r="EW162" s="18" t="n"/>
      <c r="EX162" s="18" t="n"/>
      <c r="EY162" s="18" t="n"/>
      <c r="EZ162" s="18" t="n"/>
      <c r="FA162" s="18" t="n"/>
      <c r="FB162" s="18" t="n"/>
      <c r="FC162" s="18" t="n"/>
      <c r="FD162" s="18" t="n"/>
      <c r="FE162" s="18" t="n"/>
      <c r="FF162" s="18" t="n"/>
      <c r="FG162" s="18" t="n"/>
      <c r="FH162" s="18" t="n"/>
      <c r="FI162" s="18" t="n"/>
      <c r="FJ162" s="18" t="n"/>
      <c r="FK162" s="18" t="n"/>
      <c r="FL162" s="18" t="n"/>
      <c r="FM162" s="18" t="n"/>
      <c r="FN162" s="18" t="n"/>
      <c r="FO162" s="18" t="n"/>
      <c r="FP162" s="18" t="n"/>
      <c r="FQ162" s="18" t="n"/>
      <c r="FR162" s="18" t="n"/>
      <c r="FS162" s="18" t="n"/>
      <c r="FT162" s="18" t="n"/>
      <c r="FU162" s="18" t="n"/>
      <c r="FV162" s="18" t="n"/>
      <c r="FW162" s="18" t="n"/>
      <c r="FX162" s="18" t="n"/>
      <c r="FY162" s="18" t="n"/>
      <c r="FZ162" s="18" t="n"/>
      <c r="GA162" s="18" t="n"/>
      <c r="GB162" s="18" t="n"/>
      <c r="GC162" s="18" t="n"/>
      <c r="GD162" s="18" t="n"/>
      <c r="GE162" s="18" t="n"/>
      <c r="GF162" s="18" t="n"/>
      <c r="GG162" s="18" t="n"/>
      <c r="GH162" s="18" t="n"/>
      <c r="GI162" s="18" t="n"/>
      <c r="GJ162" s="18" t="n"/>
      <c r="GK162" s="18" t="n"/>
      <c r="GL162" s="18" t="n"/>
      <c r="GM162" s="18" t="n"/>
      <c r="GN162" s="18" t="n"/>
      <c r="GO162" s="18" t="n"/>
      <c r="GP162" s="18" t="n"/>
      <c r="GQ162" s="18" t="n"/>
      <c r="GR162" s="18" t="n"/>
      <c r="GS162" s="18" t="n"/>
      <c r="GT162" s="18" t="n"/>
      <c r="GU162" s="18" t="n"/>
      <c r="GV162" s="18" t="n"/>
      <c r="GW162" s="18" t="n"/>
      <c r="GX162" s="18" t="n"/>
      <c r="GY162" s="18" t="n"/>
      <c r="GZ162" s="18" t="n"/>
      <c r="HA162" s="18" t="n"/>
      <c r="HB162" s="18" t="n"/>
    </row>
    <row r="163" ht="15.75" customHeight="1">
      <c r="A163" s="11" t="inlineStr">
        <is>
          <t>D</t>
        </is>
      </c>
      <c r="B163" s="100" t="inlineStr">
        <is>
          <t>fixed to ground floor windows</t>
        </is>
      </c>
      <c r="C163" s="12" t="n"/>
      <c r="D163" s="12" t="n"/>
      <c r="E163" s="11" t="inlineStr">
        <is>
          <t>item</t>
        </is>
      </c>
      <c r="F163" s="230" t="inlineStr">
        <is>
          <t>item</t>
        </is>
      </c>
      <c r="G163" s="14" t="n"/>
      <c r="H163" s="216" t="n"/>
      <c r="I163" s="231" t="inlineStr">
        <is>
          <t>Provisional sum - measured as item (no quantity)</t>
        </is>
      </c>
    </row>
    <row r="164" ht="15.75" customHeight="1">
      <c r="A164" s="11" t="n"/>
      <c r="B164" s="100" t="n"/>
      <c r="C164" s="12" t="n"/>
      <c r="D164" s="12" t="n"/>
      <c r="E164" s="11" t="n"/>
      <c r="F164" s="228" t="n"/>
      <c r="G164" s="14" t="n"/>
      <c r="H164" s="232" t="n"/>
    </row>
    <row r="165" ht="15.75" customHeight="1">
      <c r="A165" s="11" t="n"/>
      <c r="B165" s="100" t="n"/>
      <c r="C165" s="12" t="n"/>
      <c r="D165" s="12" t="n"/>
      <c r="E165" s="11" t="n"/>
      <c r="F165" s="228" t="n"/>
      <c r="G165" s="14" t="n"/>
      <c r="H165" s="232" t="n"/>
    </row>
    <row r="166" ht="15.75" customHeight="1">
      <c r="A166" s="11" t="n"/>
      <c r="B166" s="100" t="n"/>
      <c r="C166" s="12" t="n"/>
      <c r="D166" s="12" t="n"/>
      <c r="E166" s="11" t="n"/>
      <c r="F166" s="228" t="n"/>
      <c r="G166" s="14" t="n"/>
      <c r="H166" s="232" t="n"/>
    </row>
    <row r="167" ht="15.75" customHeight="1">
      <c r="A167" s="11" t="n"/>
      <c r="B167" s="100" t="n"/>
      <c r="C167" s="12" t="n"/>
      <c r="D167" s="12" t="n"/>
      <c r="E167" s="11" t="n"/>
      <c r="F167" s="228" t="n"/>
      <c r="G167" s="14" t="n"/>
      <c r="H167" s="232" t="n"/>
    </row>
    <row r="168" ht="15.75" customHeight="1">
      <c r="A168" s="11" t="n"/>
      <c r="B168" s="100" t="n"/>
      <c r="C168" s="12" t="n"/>
      <c r="D168" s="12" t="n"/>
      <c r="E168" s="11" t="n"/>
      <c r="F168" s="228" t="n"/>
      <c r="G168" s="14" t="n"/>
      <c r="H168" s="232" t="n"/>
    </row>
    <row r="169" ht="15.75" customHeight="1">
      <c r="A169" s="11" t="n"/>
      <c r="B169" s="8" t="n"/>
      <c r="C169" s="12" t="n"/>
      <c r="D169" s="12" t="n"/>
      <c r="E169" s="11" t="n"/>
      <c r="F169" s="14" t="n"/>
      <c r="G169" s="16" t="n"/>
      <c r="H169" s="164" t="n"/>
    </row>
    <row r="170" ht="15.75" customHeight="1">
      <c r="A170" s="11" t="n"/>
      <c r="B170" s="8" t="n"/>
      <c r="C170" s="12" t="n"/>
      <c r="D170" s="12" t="n"/>
      <c r="E170" s="11" t="n"/>
      <c r="F170" s="14" t="n"/>
      <c r="G170" s="16" t="n"/>
      <c r="H170" s="164" t="n"/>
    </row>
    <row r="171" ht="16.5" customHeight="1" thickBot="1">
      <c r="A171" s="11" t="n"/>
      <c r="B171" s="8" t="n"/>
      <c r="C171" s="12" t="n"/>
      <c r="D171" s="12" t="n"/>
      <c r="E171" s="11" t="n"/>
      <c r="F171" s="14" t="n"/>
      <c r="G171" s="16" t="n"/>
      <c r="H171" s="164" t="n"/>
    </row>
    <row r="172" ht="17.25" customHeight="1" thickBot="1" thickTop="1">
      <c r="A172" s="20" t="n"/>
      <c r="B172" s="99" t="inlineStr">
        <is>
          <t>TO COLLECTION</t>
        </is>
      </c>
      <c r="C172" s="98" t="n"/>
      <c r="D172" s="98" t="n"/>
      <c r="E172" s="20" t="n"/>
      <c r="F172" s="102" t="n"/>
      <c r="G172" s="102" t="n"/>
      <c r="H172" s="233">
        <f>SUM(H2:H171)</f>
        <v>0.0</v>
      </c>
    </row>
    <row r="173" ht="17.25" customHeight="1" thickBot="1" thickTop="1">
      <c r="A173" s="18" t="n"/>
      <c r="B173" s="18" t="n"/>
      <c r="C173" s="18" t="n"/>
      <c r="D173" s="18" t="n"/>
      <c r="E173" s="18" t="n"/>
      <c r="F173" s="234" t="n"/>
      <c r="G173" s="104" t="n"/>
      <c r="H173" s="235" t="n"/>
    </row>
    <row r="174" ht="17.25" customHeight="1" thickBot="1" thickTop="1">
      <c r="A174" s="7" t="inlineStr">
        <is>
          <t>Item</t>
        </is>
      </c>
      <c r="B174" s="7" t="inlineStr">
        <is>
          <t>Description</t>
        </is>
      </c>
      <c r="C174" s="6" t="inlineStr">
        <is>
          <t>Qty</t>
        </is>
      </c>
      <c r="D174" s="154" t="inlineStr">
        <is>
          <t>Verified Qty</t>
        </is>
      </c>
      <c r="E174" s="7" t="inlineStr">
        <is>
          <t>Unit</t>
        </is>
      </c>
      <c r="F174" s="154" t="inlineStr">
        <is>
          <t>Verified Unit</t>
        </is>
      </c>
      <c r="G174" s="6" t="inlineStr">
        <is>
          <t>Rate</t>
        </is>
      </c>
      <c r="H174" s="156" t="inlineStr">
        <is>
          <t>Amount</t>
        </is>
      </c>
      <c r="I174" s="157" t="inlineStr">
        <is>
          <t>Verification remarks</t>
        </is>
      </c>
    </row>
    <row r="175" ht="16.5" customHeight="1" thickTop="1">
      <c r="A175" s="11" t="n"/>
      <c r="B175" s="10" t="inlineStr">
        <is>
          <t xml:space="preserve">GLAZING </t>
        </is>
      </c>
      <c r="C175" s="12" t="n"/>
      <c r="D175" s="12" t="n"/>
      <c r="E175" s="11" t="n"/>
      <c r="F175" s="12" t="n"/>
      <c r="G175" s="12" t="n"/>
      <c r="H175" s="160" t="n"/>
    </row>
    <row r="176" ht="15.75" customHeight="1">
      <c r="A176" s="11" t="n"/>
      <c r="B176" s="10" t="inlineStr">
        <is>
          <t>ALUMINIUM GLAZED WINDOW</t>
        </is>
      </c>
      <c r="C176" s="12" t="n"/>
      <c r="D176" s="12" t="n"/>
      <c r="E176" s="11" t="n"/>
      <c r="F176" s="12" t="n"/>
      <c r="G176" s="12" t="n"/>
      <c r="H176" s="160" t="n"/>
    </row>
    <row r="177" ht="31.5" customHeight="1">
      <c r="A177" s="11" t="n"/>
      <c r="B177" s="101" t="inlineStr">
        <is>
          <t xml:space="preserve">Supply and installation of Italian Extruded Aluminium Glazed windows </t>
        </is>
      </c>
      <c r="C177" s="12" t="n"/>
      <c r="D177" s="12" t="n"/>
      <c r="E177" s="11" t="n"/>
      <c r="F177" s="12" t="n"/>
      <c r="G177" s="12" t="n"/>
      <c r="H177" s="160" t="n"/>
    </row>
    <row r="178" ht="15.75" customHeight="1">
      <c r="A178" s="11" t="n"/>
      <c r="B178" s="10" t="inlineStr">
        <is>
          <t>The Windows and Door share be ALCOA R50</t>
        </is>
      </c>
      <c r="C178" s="12" t="n"/>
      <c r="D178" s="12" t="n"/>
      <c r="E178" s="11" t="n"/>
      <c r="F178" s="12" t="n"/>
      <c r="G178" s="12" t="n"/>
      <c r="H178" s="160" t="n"/>
    </row>
    <row r="179" ht="15.75" customHeight="1">
      <c r="A179" s="11" t="n"/>
      <c r="B179" s="8" t="inlineStr">
        <is>
          <t xml:space="preserve"> series and produced in powder coated aluminium</t>
        </is>
      </c>
      <c r="C179" s="12" t="n"/>
      <c r="D179" s="12" t="n"/>
      <c r="E179" s="11" t="n"/>
      <c r="F179" s="12" t="n"/>
      <c r="G179" s="12" t="n"/>
      <c r="H179" s="160" t="n"/>
    </row>
    <row r="180" ht="15.75" customHeight="1">
      <c r="A180" s="11" t="n"/>
      <c r="B180" s="8" t="inlineStr">
        <is>
          <t xml:space="preserve"> profile, glazed with 6mm tinted reflective </t>
        </is>
      </c>
      <c r="C180" s="12" t="n"/>
      <c r="D180" s="12" t="n"/>
      <c r="E180" s="8" t="n"/>
      <c r="F180" s="13" t="n"/>
      <c r="G180" s="12" t="n"/>
      <c r="H180" s="160" t="n"/>
    </row>
    <row r="181" ht="15.75" customHeight="1">
      <c r="A181" s="11" t="n"/>
      <c r="B181" s="8" t="inlineStr">
        <is>
          <t>glass secured onto galvanized steel sub frames</t>
        </is>
      </c>
      <c r="C181" s="12" t="n"/>
      <c r="D181" s="12" t="n"/>
      <c r="E181" s="11" t="n"/>
      <c r="F181" s="12" t="n"/>
      <c r="G181" s="12" t="n"/>
      <c r="H181" s="160" t="n"/>
    </row>
    <row r="182" ht="15.75" customHeight="1">
      <c r="A182" s="11" t="n"/>
      <c r="B182" s="8" t="inlineStr">
        <is>
          <t xml:space="preserve"> and complete with all accessories as per .</t>
        </is>
      </c>
      <c r="C182" s="12" t="n"/>
      <c r="D182" s="12" t="n"/>
      <c r="E182" s="11" t="n"/>
      <c r="F182" s="12" t="n"/>
      <c r="G182" s="12" t="n"/>
      <c r="H182" s="160" t="n"/>
    </row>
    <row r="183" ht="15.75" customHeight="1">
      <c r="A183" s="11" t="n"/>
      <c r="B183" s="8" t="inlineStr">
        <is>
          <t>Architect's detail</t>
        </is>
      </c>
      <c r="C183" s="12" t="n"/>
      <c r="D183" s="12" t="n"/>
      <c r="E183" s="11" t="n"/>
      <c r="F183" s="12" t="n"/>
      <c r="G183" s="12" t="n"/>
      <c r="H183" s="160" t="n"/>
    </row>
    <row r="184" ht="31.5" customHeight="1">
      <c r="A184" s="11" t="inlineStr">
        <is>
          <t>A</t>
        </is>
      </c>
      <c r="B184" s="8" t="inlineStr">
        <is>
          <t>4 x 2 bay alu. Framed glass awning window 3600mm x 1900mm</t>
        </is>
      </c>
      <c r="C184" s="11" t="n">
        <v>1</v>
      </c>
      <c r="D184" s="162">
        <f>'Verification Take-off'!E137</f>
        <v>1.0</v>
      </c>
      <c r="E184" s="11" t="inlineStr">
        <is>
          <t>nr</t>
        </is>
      </c>
      <c r="F184" s="163" t="inlineStr">
        <is>
          <t>nr</t>
        </is>
      </c>
      <c r="G184" s="150" t="n"/>
      <c r="H184" s="164">
        <f>G184*D184</f>
        <v>0.0</v>
      </c>
      <c r="I184" s="165" t="inlineStr"/>
    </row>
    <row r="185" ht="15.75" customHeight="1">
      <c r="A185" s="11" t="n"/>
      <c r="B185" s="8" t="n"/>
      <c r="C185" s="11" t="n"/>
      <c r="D185" s="11" t="n"/>
      <c r="E185" s="11" t="n"/>
      <c r="F185" s="14" t="n"/>
      <c r="G185" s="14" t="n"/>
      <c r="H185" s="164" t="n"/>
    </row>
    <row r="186" ht="31.5" customHeight="1">
      <c r="A186" s="11" t="inlineStr">
        <is>
          <t>B</t>
        </is>
      </c>
      <c r="B186" s="8" t="inlineStr">
        <is>
          <t>2 bay alu. Framed glass sliding window 1800mm x 1300mm</t>
        </is>
      </c>
      <c r="C186" s="11" t="n">
        <v>44</v>
      </c>
      <c r="D186" s="162">
        <f>'Verification Take-off'!E138</f>
        <v>44.0</v>
      </c>
      <c r="E186" s="11" t="inlineStr">
        <is>
          <t>nr</t>
        </is>
      </c>
      <c r="F186" s="163" t="inlineStr">
        <is>
          <t>nr</t>
        </is>
      </c>
      <c r="G186" s="150" t="n"/>
      <c r="H186" s="164">
        <f>G186*D186</f>
        <v>0.0</v>
      </c>
      <c r="I186" s="165" t="inlineStr"/>
    </row>
    <row r="187" ht="15.75" customHeight="1">
      <c r="A187" s="11" t="n"/>
      <c r="B187" s="8" t="n"/>
      <c r="C187" s="11" t="n"/>
      <c r="D187" s="11" t="n"/>
      <c r="E187" s="11" t="n"/>
      <c r="F187" s="14" t="n"/>
      <c r="G187" s="14" t="n"/>
      <c r="H187" s="164" t="n"/>
    </row>
    <row r="188" ht="31.5" customHeight="1">
      <c r="A188" s="11" t="inlineStr">
        <is>
          <t>C</t>
        </is>
      </c>
      <c r="B188" s="8" t="inlineStr">
        <is>
          <t>2 bay alu. Framed glass sliding window 1800mm x 1500mm</t>
        </is>
      </c>
      <c r="C188" s="11" t="n">
        <v>1</v>
      </c>
      <c r="D188" s="162">
        <f>'Verification Take-off'!E139</f>
        <v>1.0</v>
      </c>
      <c r="E188" s="11" t="inlineStr">
        <is>
          <t>nr</t>
        </is>
      </c>
      <c r="F188" s="163" t="inlineStr">
        <is>
          <t>nr</t>
        </is>
      </c>
      <c r="G188" s="150" t="n"/>
      <c r="H188" s="164">
        <f>G188*D188</f>
        <v>0.0</v>
      </c>
      <c r="I188" s="165" t="inlineStr"/>
    </row>
    <row r="189" ht="15.75" customHeight="1">
      <c r="A189" s="11" t="n"/>
      <c r="B189" s="8" t="n"/>
      <c r="C189" s="11" t="n"/>
      <c r="D189" s="11" t="n"/>
      <c r="E189" s="11" t="n"/>
      <c r="F189" s="14" t="n"/>
      <c r="G189" s="14" t="n"/>
      <c r="H189" s="164" t="n"/>
    </row>
    <row r="190" ht="31.5" customHeight="1">
      <c r="A190" s="11" t="inlineStr">
        <is>
          <t>D</t>
        </is>
      </c>
      <c r="B190" s="8" t="inlineStr">
        <is>
          <t>1 bay alu. Framed glass awning window 900mm x 1300mm</t>
        </is>
      </c>
      <c r="C190" s="11" t="n">
        <v>77</v>
      </c>
      <c r="D190" s="162">
        <f>'Verification Take-off'!E140</f>
        <v>77.0</v>
      </c>
      <c r="E190" s="11" t="inlineStr">
        <is>
          <t>nr</t>
        </is>
      </c>
      <c r="F190" s="163" t="inlineStr">
        <is>
          <t>nr</t>
        </is>
      </c>
      <c r="G190" s="150" t="n"/>
      <c r="H190" s="164">
        <f>G190*D190</f>
        <v>0.0</v>
      </c>
      <c r="I190" s="165" t="inlineStr"/>
    </row>
    <row r="191" ht="15.75" customHeight="1">
      <c r="A191" s="11" t="n"/>
      <c r="B191" s="8" t="n"/>
      <c r="C191" s="11" t="n"/>
      <c r="D191" s="11" t="n"/>
      <c r="E191" s="11" t="n"/>
      <c r="F191" s="14" t="n"/>
      <c r="G191" s="14" t="n"/>
      <c r="H191" s="164" t="n"/>
    </row>
    <row r="192" ht="31.5" customHeight="1">
      <c r="A192" s="11" t="inlineStr">
        <is>
          <t>E</t>
        </is>
      </c>
      <c r="B192" s="8" t="inlineStr">
        <is>
          <t>2 bay alu. Framed glass sliding window 1800mm x 1900mm</t>
        </is>
      </c>
      <c r="C192" s="11" t="n">
        <v>1</v>
      </c>
      <c r="D192" s="162">
        <f>'Verification Take-off'!E141</f>
        <v>1.0</v>
      </c>
      <c r="E192" s="11" t="inlineStr">
        <is>
          <t>nr</t>
        </is>
      </c>
      <c r="F192" s="163" t="inlineStr">
        <is>
          <t>nr</t>
        </is>
      </c>
      <c r="G192" s="150" t="n"/>
      <c r="H192" s="164">
        <f>G192*D192</f>
        <v>0.0</v>
      </c>
      <c r="I192" s="165" t="inlineStr"/>
    </row>
    <row r="193" ht="15.75" customHeight="1">
      <c r="A193" s="11" t="n"/>
      <c r="B193" s="8" t="n"/>
      <c r="C193" s="11" t="n"/>
      <c r="D193" s="11" t="n"/>
      <c r="E193" s="11" t="n"/>
      <c r="F193" s="14" t="n"/>
      <c r="G193" s="14" t="n"/>
      <c r="H193" s="164" t="n"/>
    </row>
    <row r="194" ht="31.5" customHeight="1">
      <c r="A194" s="11" t="inlineStr">
        <is>
          <t>F</t>
        </is>
      </c>
      <c r="B194" s="8" t="inlineStr">
        <is>
          <t>L shaped alu. Framed  fixed glass 1750mm x 1750mm x 1500mm</t>
        </is>
      </c>
      <c r="C194" s="11" t="n">
        <v>1</v>
      </c>
      <c r="D194" s="162">
        <f>'Verification Take-off'!E142</f>
        <v>1.0</v>
      </c>
      <c r="E194" s="11" t="inlineStr">
        <is>
          <t>nr</t>
        </is>
      </c>
      <c r="F194" s="163" t="inlineStr">
        <is>
          <t>nr</t>
        </is>
      </c>
      <c r="G194" s="150" t="n"/>
      <c r="H194" s="164">
        <f>G194*D194</f>
        <v>0.0</v>
      </c>
      <c r="I194" s="165" t="inlineStr"/>
    </row>
    <row r="195" ht="15.75" customHeight="1">
      <c r="A195" s="11" t="n"/>
      <c r="B195" s="8" t="n"/>
      <c r="C195" s="11" t="n"/>
      <c r="D195" s="11" t="n"/>
      <c r="E195" s="11" t="n"/>
      <c r="F195" s="14" t="n"/>
      <c r="G195" s="14" t="n"/>
      <c r="H195" s="164" t="n"/>
    </row>
    <row r="196" ht="31.5" customHeight="1">
      <c r="A196" s="11" t="inlineStr">
        <is>
          <t>G</t>
        </is>
      </c>
      <c r="B196" s="8" t="inlineStr">
        <is>
          <t>2 bay alu. Framed glass sliding window 1800mm x 1600mm</t>
        </is>
      </c>
      <c r="C196" s="11" t="n">
        <v>12</v>
      </c>
      <c r="D196" s="162">
        <f>'Verification Take-off'!E143</f>
        <v>12.0</v>
      </c>
      <c r="E196" s="11" t="inlineStr">
        <is>
          <t>nr</t>
        </is>
      </c>
      <c r="F196" s="163" t="inlineStr">
        <is>
          <t>nr</t>
        </is>
      </c>
      <c r="G196" s="150" t="n"/>
      <c r="H196" s="164">
        <f>G196*D196</f>
        <v>0.0</v>
      </c>
      <c r="I196" s="165" t="inlineStr"/>
    </row>
    <row r="197" ht="15.75" customHeight="1">
      <c r="A197" s="11" t="n"/>
      <c r="B197" s="8" t="n"/>
      <c r="C197" s="11" t="n"/>
      <c r="D197" s="11" t="n"/>
      <c r="E197" s="11" t="n"/>
      <c r="F197" s="14" t="n"/>
      <c r="G197" s="14" t="n"/>
      <c r="H197" s="164" t="n"/>
    </row>
    <row r="198" ht="31.5" customHeight="1">
      <c r="A198" s="11" t="inlineStr">
        <is>
          <t>H</t>
        </is>
      </c>
      <c r="B198" s="8" t="inlineStr">
        <is>
          <t>1 x 3 bay alu. Framed glass awning window 1200mm x 1900</t>
        </is>
      </c>
      <c r="C198" s="11" t="n">
        <v>22</v>
      </c>
      <c r="D198" s="162">
        <f>'Verification Take-off'!E144</f>
        <v>22.0</v>
      </c>
      <c r="E198" s="11" t="inlineStr">
        <is>
          <t>nr</t>
        </is>
      </c>
      <c r="F198" s="163" t="inlineStr">
        <is>
          <t>nr</t>
        </is>
      </c>
      <c r="G198" s="150" t="n"/>
      <c r="H198" s="164">
        <f>G198*D198</f>
        <v>0.0</v>
      </c>
      <c r="I198" s="165" t="inlineStr"/>
    </row>
    <row r="199" ht="15.75" customHeight="1">
      <c r="A199" s="11" t="n"/>
      <c r="B199" s="8" t="n"/>
      <c r="C199" s="11" t="n"/>
      <c r="D199" s="11" t="n"/>
      <c r="E199" s="11" t="n"/>
      <c r="F199" s="14" t="n"/>
      <c r="G199" s="14" t="n"/>
      <c r="H199" s="164" t="n"/>
    </row>
    <row r="200" ht="31.5" customHeight="1">
      <c r="A200" s="11" t="inlineStr">
        <is>
          <t>J</t>
        </is>
      </c>
      <c r="B200" s="8" t="inlineStr">
        <is>
          <t>2 bay alu. Framed glass sliding window 1200mm x 1150mm</t>
        </is>
      </c>
      <c r="C200" s="11" t="n">
        <v>61</v>
      </c>
      <c r="D200" s="162">
        <f>'Verification Take-off'!E145</f>
        <v>61.0</v>
      </c>
      <c r="E200" s="11" t="inlineStr">
        <is>
          <t>nr</t>
        </is>
      </c>
      <c r="F200" s="163" t="inlineStr">
        <is>
          <t>nr</t>
        </is>
      </c>
      <c r="G200" s="150" t="n"/>
      <c r="H200" s="164">
        <f>G200*D200</f>
        <v>0.0</v>
      </c>
      <c r="I200" s="165" t="inlineStr"/>
    </row>
    <row r="201" ht="15.75" customHeight="1">
      <c r="A201" s="11" t="n"/>
      <c r="B201" s="8" t="n"/>
      <c r="C201" s="11" t="n"/>
      <c r="D201" s="11" t="n"/>
      <c r="E201" s="11" t="n"/>
      <c r="F201" s="14" t="n"/>
      <c r="G201" s="14" t="n"/>
      <c r="H201" s="164" t="n"/>
    </row>
    <row r="202" ht="31.5" customHeight="1">
      <c r="A202" s="11" t="inlineStr">
        <is>
          <t>K</t>
        </is>
      </c>
      <c r="B202" s="8" t="inlineStr">
        <is>
          <t>2 bay alu. Framed glass sliding window 1200mm x 1200mm</t>
        </is>
      </c>
      <c r="C202" s="11" t="n">
        <v>8</v>
      </c>
      <c r="D202" s="162">
        <f>'Verification Take-off'!E146</f>
        <v>8.0</v>
      </c>
      <c r="E202" s="11" t="inlineStr">
        <is>
          <t>nr</t>
        </is>
      </c>
      <c r="F202" s="163" t="inlineStr">
        <is>
          <t>nr</t>
        </is>
      </c>
      <c r="G202" s="150" t="n"/>
      <c r="H202" s="164">
        <f>G202*D202</f>
        <v>0.0</v>
      </c>
      <c r="I202" s="165" t="inlineStr"/>
    </row>
    <row r="203" ht="15.75" customHeight="1">
      <c r="A203" s="11" t="n"/>
      <c r="B203" s="8" t="n"/>
      <c r="C203" s="11" t="n"/>
      <c r="D203" s="11" t="n"/>
      <c r="E203" s="11" t="n"/>
      <c r="F203" s="14" t="n"/>
      <c r="G203" s="14" t="n"/>
      <c r="H203" s="164" t="n"/>
    </row>
    <row r="204" ht="31.5" customHeight="1">
      <c r="A204" s="11" t="inlineStr">
        <is>
          <t>L</t>
        </is>
      </c>
      <c r="B204" s="8" t="inlineStr">
        <is>
          <t>2 bay alu. Framed glass sliding window 1500mm x 1300mm</t>
        </is>
      </c>
      <c r="C204" s="11" t="n">
        <v>47</v>
      </c>
      <c r="D204" s="162">
        <f>'Verification Take-off'!E147</f>
        <v>47.0</v>
      </c>
      <c r="E204" s="11" t="inlineStr">
        <is>
          <t>nr</t>
        </is>
      </c>
      <c r="F204" s="163" t="inlineStr">
        <is>
          <t>nr</t>
        </is>
      </c>
      <c r="G204" s="150" t="n"/>
      <c r="H204" s="164">
        <f>G204*D204</f>
        <v>0.0</v>
      </c>
      <c r="I204" s="165" t="inlineStr"/>
    </row>
    <row r="205" ht="15.75" customHeight="1">
      <c r="A205" s="11" t="n"/>
      <c r="B205" s="8" t="n"/>
      <c r="C205" s="11" t="n"/>
      <c r="D205" s="11" t="n"/>
      <c r="E205" s="11" t="n"/>
      <c r="F205" s="14" t="n"/>
      <c r="G205" s="14" t="n"/>
      <c r="H205" s="164" t="n"/>
    </row>
    <row r="206" ht="31.5" customHeight="1">
      <c r="A206" s="11" t="inlineStr">
        <is>
          <t>M</t>
        </is>
      </c>
      <c r="B206" s="8" t="inlineStr">
        <is>
          <t>2 bay alu. Framed glass sliding window 1500mm x 1150mm</t>
        </is>
      </c>
      <c r="C206" s="11" t="n">
        <v>27</v>
      </c>
      <c r="D206" s="162">
        <f>'Verification Take-off'!E148</f>
        <v>27.0</v>
      </c>
      <c r="E206" s="11" t="inlineStr">
        <is>
          <t>nr</t>
        </is>
      </c>
      <c r="F206" s="163" t="inlineStr">
        <is>
          <t>nr</t>
        </is>
      </c>
      <c r="G206" s="150" t="n"/>
      <c r="H206" s="164">
        <f>G206*D206</f>
        <v>0.0</v>
      </c>
      <c r="I206" s="165" t="inlineStr"/>
    </row>
    <row r="207" ht="15.75" customHeight="1">
      <c r="A207" s="11" t="n"/>
      <c r="B207" s="8" t="n"/>
      <c r="C207" s="11" t="n"/>
      <c r="D207" s="11" t="n"/>
      <c r="E207" s="11" t="n"/>
      <c r="F207" s="14" t="n"/>
      <c r="G207" s="14" t="n"/>
      <c r="H207" s="164" t="n"/>
    </row>
    <row r="208" ht="31.5" customHeight="1">
      <c r="A208" s="11" t="inlineStr">
        <is>
          <t>N</t>
        </is>
      </c>
      <c r="B208" s="8" t="inlineStr">
        <is>
          <t>3 bay alu. Framed glass wning window 2400mm x 1300mm</t>
        </is>
      </c>
      <c r="C208" s="11" t="n">
        <v>6</v>
      </c>
      <c r="D208" s="162">
        <f>'Verification Take-off'!E149</f>
        <v>6.0</v>
      </c>
      <c r="E208" s="11" t="inlineStr">
        <is>
          <t>nr</t>
        </is>
      </c>
      <c r="F208" s="163" t="inlineStr">
        <is>
          <t>nr</t>
        </is>
      </c>
      <c r="G208" s="150" t="n"/>
      <c r="H208" s="164">
        <f>G208*D208</f>
        <v>0.0</v>
      </c>
      <c r="I208" s="165" t="inlineStr"/>
    </row>
    <row r="209" ht="15.75" customHeight="1">
      <c r="A209" s="11" t="n"/>
      <c r="B209" s="8" t="n"/>
      <c r="C209" s="12" t="n"/>
      <c r="D209" s="12" t="n"/>
      <c r="E209" s="11" t="n"/>
      <c r="F209" s="14" t="n"/>
      <c r="G209" s="16" t="n"/>
      <c r="H209" s="164" t="n"/>
    </row>
    <row r="210" ht="31.5" customHeight="1">
      <c r="A210" s="11" t="inlineStr">
        <is>
          <t>P</t>
        </is>
      </c>
      <c r="B210" s="166" t="inlineStr">
        <is>
          <t>3 bay alu. Framed glass wning window 3600mm x 2200mm
[PER DRAWINGS: W14 is a 3-bay SLIDING window 3600x2200]</t>
        </is>
      </c>
      <c r="C210" s="11" t="n">
        <v>3</v>
      </c>
      <c r="D210" s="162">
        <f>'Verification Take-off'!E150</f>
        <v>3.0</v>
      </c>
      <c r="E210" s="11" t="inlineStr">
        <is>
          <t>nr</t>
        </is>
      </c>
      <c r="F210" s="163" t="inlineStr">
        <is>
          <t>nr</t>
        </is>
      </c>
      <c r="G210" s="150" t="n"/>
      <c r="H210" s="164">
        <f>G210*D210</f>
        <v>0.0</v>
      </c>
      <c r="I210" s="165" t="inlineStr"/>
    </row>
    <row r="211" ht="15.75" customHeight="1">
      <c r="A211" s="11" t="n"/>
      <c r="B211" s="8" t="n"/>
      <c r="C211" s="12" t="n"/>
      <c r="D211" s="12" t="n"/>
      <c r="E211" s="11" t="n"/>
      <c r="F211" s="14" t="n"/>
      <c r="G211" s="16" t="n"/>
      <c r="H211" s="164" t="n"/>
    </row>
    <row r="212" ht="31.5" customHeight="1">
      <c r="A212" s="11" t="inlineStr">
        <is>
          <t>Q</t>
        </is>
      </c>
      <c r="B212" s="166" t="inlineStr">
        <is>
          <t>3 bay alu. Framed glass wning window 3000mm x 1600mm
[PER DRAWINGS: W15 is a 3-bay SLIDING window 3000x1600]</t>
        </is>
      </c>
      <c r="C212" s="11" t="n">
        <v>8</v>
      </c>
      <c r="D212" s="162">
        <f>'Verification Take-off'!E151</f>
        <v>8.0</v>
      </c>
      <c r="E212" s="11" t="inlineStr">
        <is>
          <t>nr</t>
        </is>
      </c>
      <c r="F212" s="163" t="inlineStr">
        <is>
          <t>nr</t>
        </is>
      </c>
      <c r="G212" s="150" t="n"/>
      <c r="H212" s="164">
        <f>G212*D212</f>
        <v>0.0</v>
      </c>
      <c r="I212" s="165" t="inlineStr"/>
    </row>
    <row r="213" ht="15.75" customHeight="1">
      <c r="A213" s="11" t="n"/>
      <c r="B213" s="8" t="n"/>
      <c r="C213" s="12" t="n"/>
      <c r="D213" s="12" t="n"/>
      <c r="E213" s="11" t="n"/>
      <c r="F213" s="14" t="n"/>
      <c r="G213" s="16" t="n"/>
      <c r="H213" s="164" t="n"/>
    </row>
    <row r="214" ht="31.5" customHeight="1">
      <c r="A214" s="11" t="inlineStr">
        <is>
          <t>R</t>
        </is>
      </c>
      <c r="B214" s="166" t="inlineStr">
        <is>
          <t>2 x 3 alu. Framed glass awning window 240mm x 1900mm
[PER DRAWINGS: W16: 3x2 awning window 2400 x 1900 (not 240)]</t>
        </is>
      </c>
      <c r="C214" s="11" t="n">
        <v>2</v>
      </c>
      <c r="D214" s="162">
        <f>'Verification Take-off'!E152</f>
        <v>2.0</v>
      </c>
      <c r="E214" s="11" t="inlineStr">
        <is>
          <t>nr</t>
        </is>
      </c>
      <c r="F214" s="163" t="inlineStr">
        <is>
          <t>nr</t>
        </is>
      </c>
      <c r="G214" s="150" t="n"/>
      <c r="H214" s="164">
        <f>G214*D214</f>
        <v>0.0</v>
      </c>
      <c r="I214" s="165" t="inlineStr"/>
    </row>
    <row r="215" ht="15.75" customHeight="1">
      <c r="A215" s="11" t="n"/>
      <c r="B215" s="8" t="n"/>
      <c r="C215" s="12" t="n"/>
      <c r="D215" s="12" t="n"/>
      <c r="E215" s="11" t="n"/>
      <c r="F215" s="14" t="n"/>
      <c r="G215" s="16" t="n"/>
      <c r="H215" s="164" t="n"/>
    </row>
    <row r="216" ht="31.5" customHeight="1">
      <c r="A216" s="11" t="inlineStr">
        <is>
          <t>S</t>
        </is>
      </c>
      <c r="B216" s="8" t="inlineStr">
        <is>
          <t>2 x 3 alu. Framed glass awning window 1800mm x 1900mm</t>
        </is>
      </c>
      <c r="C216" s="11" t="n">
        <v>22</v>
      </c>
      <c r="D216" s="162">
        <f>'Verification Take-off'!E153</f>
        <v>22.0</v>
      </c>
      <c r="E216" s="11" t="inlineStr">
        <is>
          <t>nr</t>
        </is>
      </c>
      <c r="F216" s="163" t="inlineStr">
        <is>
          <t>nr</t>
        </is>
      </c>
      <c r="G216" s="150" t="n"/>
      <c r="H216" s="164">
        <f>G216*D216</f>
        <v>0.0</v>
      </c>
      <c r="I216" s="165" t="inlineStr"/>
    </row>
    <row r="217" ht="15.75" customHeight="1">
      <c r="A217" s="11" t="n"/>
      <c r="B217" s="8" t="n"/>
      <c r="C217" s="12" t="n"/>
      <c r="D217" s="12" t="n"/>
      <c r="E217" s="11" t="n"/>
      <c r="F217" s="14" t="n"/>
      <c r="G217" s="16" t="n"/>
      <c r="H217" s="164" t="n"/>
    </row>
    <row r="218" ht="31.5" customHeight="1">
      <c r="A218" s="11" t="inlineStr">
        <is>
          <t>T</t>
        </is>
      </c>
      <c r="B218" s="8" t="inlineStr">
        <is>
          <t>1 bay alu. Framed glass awning window 750mm x 1300mm</t>
        </is>
      </c>
      <c r="C218" s="11" t="n">
        <v>7</v>
      </c>
      <c r="D218" s="162">
        <f>'Verification Take-off'!E154</f>
        <v>7.0</v>
      </c>
      <c r="E218" s="11" t="inlineStr">
        <is>
          <t>nr</t>
        </is>
      </c>
      <c r="F218" s="163" t="inlineStr">
        <is>
          <t>nr</t>
        </is>
      </c>
      <c r="G218" s="150" t="n"/>
      <c r="H218" s="164">
        <f>G218*D218</f>
        <v>0.0</v>
      </c>
      <c r="I218" s="165" t="inlineStr"/>
    </row>
    <row r="219" ht="15.75" customHeight="1">
      <c r="A219" s="11" t="n"/>
      <c r="B219" s="8" t="n"/>
      <c r="C219" s="12" t="n"/>
      <c r="D219" s="12" t="n"/>
      <c r="E219" s="11" t="n"/>
      <c r="F219" s="14" t="n"/>
      <c r="G219" s="16" t="n"/>
      <c r="H219" s="164" t="n"/>
    </row>
    <row r="220" ht="31.5" customHeight="1">
      <c r="A220" s="11" t="inlineStr">
        <is>
          <t>U</t>
        </is>
      </c>
      <c r="B220" s="8" t="inlineStr">
        <is>
          <t>3 bay alu. Framed glass sliding window 2100mm x 900mm</t>
        </is>
      </c>
      <c r="C220" s="11" t="n">
        <v>2</v>
      </c>
      <c r="D220" s="162">
        <f>'Verification Take-off'!E155</f>
        <v>2.0</v>
      </c>
      <c r="E220" s="11" t="inlineStr">
        <is>
          <t>nr</t>
        </is>
      </c>
      <c r="F220" s="163" t="inlineStr">
        <is>
          <t>nr</t>
        </is>
      </c>
      <c r="G220" s="150" t="n"/>
      <c r="H220" s="164">
        <f>G220*D220</f>
        <v>0.0</v>
      </c>
      <c r="I220" s="165" t="inlineStr"/>
    </row>
    <row r="221" ht="15.75" customHeight="1">
      <c r="A221" s="11" t="n"/>
      <c r="B221" s="8" t="n"/>
      <c r="C221" s="12" t="n"/>
      <c r="D221" s="12" t="n"/>
      <c r="E221" s="11" t="n"/>
      <c r="F221" s="14" t="n"/>
      <c r="G221" s="16" t="n"/>
      <c r="H221" s="164" t="n"/>
    </row>
    <row r="222" ht="31.5" customHeight="1">
      <c r="A222" s="11" t="inlineStr">
        <is>
          <t>V</t>
        </is>
      </c>
      <c r="B222" s="8" t="inlineStr">
        <is>
          <t>2 x 3 alu. Framed glass awning window 1450mm x 1900mm</t>
        </is>
      </c>
      <c r="C222" s="11" t="n">
        <v>6</v>
      </c>
      <c r="D222" s="162">
        <f>'Verification Take-off'!E156</f>
        <v>6.0</v>
      </c>
      <c r="E222" s="11" t="inlineStr">
        <is>
          <t>nr</t>
        </is>
      </c>
      <c r="F222" s="163" t="inlineStr">
        <is>
          <t>nr</t>
        </is>
      </c>
      <c r="G222" s="150" t="n"/>
      <c r="H222" s="164">
        <f>G222*D222</f>
        <v>0.0</v>
      </c>
      <c r="I222" s="165" t="inlineStr"/>
    </row>
    <row r="223" ht="15.75" customHeight="1">
      <c r="A223" s="11" t="n"/>
      <c r="B223" s="8" t="n"/>
      <c r="C223" s="12" t="n"/>
      <c r="D223" s="12" t="n"/>
      <c r="E223" s="11" t="n"/>
      <c r="F223" s="14" t="n"/>
      <c r="G223" s="16" t="n"/>
      <c r="H223" s="164" t="n"/>
    </row>
    <row r="224" ht="31.5" customHeight="1">
      <c r="A224" s="11" t="inlineStr">
        <is>
          <t>W</t>
        </is>
      </c>
      <c r="B224" s="8" t="inlineStr">
        <is>
          <t>2 bay alu. Framed glass sliding window 900mm x 600mm</t>
        </is>
      </c>
      <c r="C224" s="11" t="n">
        <v>104</v>
      </c>
      <c r="D224" s="162">
        <f>'Verification Take-off'!E157</f>
        <v>104.0</v>
      </c>
      <c r="E224" s="11" t="inlineStr">
        <is>
          <t>nr</t>
        </is>
      </c>
      <c r="F224" s="163" t="inlineStr">
        <is>
          <t>nr</t>
        </is>
      </c>
      <c r="G224" s="150" t="n"/>
      <c r="H224" s="164">
        <f>G224*D224</f>
        <v>0.0</v>
      </c>
      <c r="I224" s="165" t="inlineStr"/>
    </row>
    <row r="225" ht="15.75" customHeight="1">
      <c r="A225" s="11" t="n"/>
      <c r="B225" s="8" t="n"/>
      <c r="C225" s="12" t="n"/>
      <c r="D225" s="12" t="n"/>
      <c r="E225" s="11" t="n"/>
      <c r="F225" s="14" t="n"/>
      <c r="G225" s="16" t="n"/>
      <c r="H225" s="164" t="n"/>
    </row>
    <row r="226" ht="31.5" customHeight="1">
      <c r="A226" s="11" t="inlineStr">
        <is>
          <t>X</t>
        </is>
      </c>
      <c r="B226" s="8" t="inlineStr">
        <is>
          <t>2 bay alu. Framed glass sliding window 750mm x 600mm</t>
        </is>
      </c>
      <c r="C226" s="11" t="n">
        <v>40</v>
      </c>
      <c r="D226" s="162">
        <f>'Verification Take-off'!E158</f>
        <v>40.0</v>
      </c>
      <c r="E226" s="11" t="inlineStr">
        <is>
          <t>nr</t>
        </is>
      </c>
      <c r="F226" s="163" t="inlineStr">
        <is>
          <t>nr</t>
        </is>
      </c>
      <c r="G226" s="150" t="n"/>
      <c r="H226" s="164">
        <f>G226*D226</f>
        <v>0.0</v>
      </c>
      <c r="I226" s="165" t="inlineStr"/>
    </row>
    <row r="227" ht="15.75" customHeight="1">
      <c r="A227" s="11" t="n"/>
      <c r="B227" s="8" t="n"/>
      <c r="C227" s="12" t="n"/>
      <c r="D227" s="12" t="n"/>
      <c r="E227" s="11" t="n"/>
      <c r="F227" s="14" t="n"/>
      <c r="G227" s="16" t="n"/>
      <c r="H227" s="164" t="n"/>
    </row>
    <row r="228" ht="31.5" customHeight="1">
      <c r="A228" s="11" t="inlineStr">
        <is>
          <t>Y</t>
        </is>
      </c>
      <c r="B228" s="8" t="inlineStr">
        <is>
          <t>2 bay alu. Framed glass sliding window 600mm x 600mm</t>
        </is>
      </c>
      <c r="C228" s="11" t="n">
        <v>12</v>
      </c>
      <c r="D228" s="162">
        <f>'Verification Take-off'!E159</f>
        <v>12.0</v>
      </c>
      <c r="E228" s="11" t="inlineStr">
        <is>
          <t>nr</t>
        </is>
      </c>
      <c r="F228" s="163" t="inlineStr">
        <is>
          <t>nr</t>
        </is>
      </c>
      <c r="G228" s="150" t="n"/>
      <c r="H228" s="164">
        <f>G228*D228</f>
        <v>0.0</v>
      </c>
      <c r="I228" s="165" t="inlineStr"/>
    </row>
    <row r="229" ht="15.75" customHeight="1">
      <c r="A229" s="11" t="n"/>
      <c r="B229" s="8" t="n"/>
      <c r="C229" s="12" t="n"/>
      <c r="D229" s="12" t="n"/>
      <c r="E229" s="11" t="n"/>
      <c r="F229" s="14" t="n"/>
      <c r="G229" s="16" t="n"/>
      <c r="H229" s="164" t="n"/>
    </row>
    <row r="230" ht="31.5" customHeight="1">
      <c r="A230" s="11" t="inlineStr">
        <is>
          <t>Z</t>
        </is>
      </c>
      <c r="B230" s="8" t="inlineStr">
        <is>
          <t>2 bay alu. Framed glass sliding window 1200mm x 600mm</t>
        </is>
      </c>
      <c r="C230" s="11" t="n">
        <v>12</v>
      </c>
      <c r="D230" s="162">
        <f>'Verification Take-off'!E160</f>
        <v>12.0</v>
      </c>
      <c r="E230" s="11" t="inlineStr">
        <is>
          <t>nr</t>
        </is>
      </c>
      <c r="F230" s="163" t="inlineStr">
        <is>
          <t>nr</t>
        </is>
      </c>
      <c r="G230" s="150" t="n"/>
      <c r="H230" s="164">
        <f>G230*D230</f>
        <v>0.0</v>
      </c>
      <c r="I230" s="165" t="inlineStr"/>
    </row>
    <row r="231" ht="15.75" customHeight="1">
      <c r="A231" s="11" t="n"/>
      <c r="B231" s="8" t="n"/>
      <c r="C231" s="12" t="n"/>
      <c r="D231" s="12" t="n"/>
      <c r="E231" s="11" t="n"/>
      <c r="F231" s="14" t="n"/>
      <c r="G231" s="16" t="n"/>
      <c r="H231" s="164" t="n"/>
    </row>
    <row r="232" ht="15.75" customHeight="1">
      <c r="A232" s="11" t="n"/>
      <c r="B232" s="8" t="n"/>
      <c r="C232" s="12" t="n"/>
      <c r="D232" s="12" t="n"/>
      <c r="E232" s="11" t="n"/>
      <c r="F232" s="14" t="n"/>
      <c r="G232" s="16" t="n"/>
      <c r="H232" s="164" t="n"/>
    </row>
    <row r="233" ht="15.75" customHeight="1">
      <c r="A233" s="11" t="n"/>
      <c r="B233" s="8" t="n"/>
      <c r="C233" s="12" t="n"/>
      <c r="D233" s="12" t="n"/>
      <c r="E233" s="11" t="n"/>
      <c r="F233" s="14" t="n"/>
      <c r="G233" s="16" t="n"/>
      <c r="H233" s="164" t="n"/>
    </row>
    <row r="234" ht="15.75" customHeight="1">
      <c r="A234" s="11" t="n"/>
      <c r="B234" s="107" t="inlineStr">
        <is>
          <t>WATERPROOFING</t>
        </is>
      </c>
      <c r="C234" s="12" t="n"/>
      <c r="D234" s="12" t="n"/>
      <c r="E234" s="11" t="n"/>
      <c r="F234" s="14" t="n"/>
      <c r="G234" s="16" t="n"/>
      <c r="H234" s="164" t="n"/>
    </row>
    <row r="235" ht="31.2" customHeight="1">
      <c r="A235" s="11" t="inlineStr">
        <is>
          <t>A</t>
        </is>
      </c>
      <c r="B235" s="108" t="inlineStr">
        <is>
          <t>Liquid/applied waterproofing to roofs, terraces and wet external areas</t>
        </is>
      </c>
      <c r="C235" s="111" t="n">
        <v>2200</v>
      </c>
      <c r="D235" s="236">
        <f>'Verification Take-off'!E105</f>
        <v>942.0999999999999</v>
      </c>
      <c r="E235" s="237" t="inlineStr">
        <is>
          <t>m²</t>
        </is>
      </c>
      <c r="F235" s="238" t="inlineStr">
        <is>
          <t>m²</t>
        </is>
      </c>
      <c r="G235" s="150" t="n"/>
      <c r="H235" s="164">
        <f>G235*D235</f>
        <v>0.0</v>
      </c>
      <c r="I235" s="165" t="inlineStr">
        <is>
          <t>BOQ 2,200 m2 not supported by drawings</t>
        </is>
      </c>
    </row>
    <row r="236" ht="15.75" customHeight="1">
      <c r="A236" s="11" t="n"/>
      <c r="B236" s="108" t="n"/>
      <c r="C236" s="111" t="n"/>
      <c r="D236" s="111" t="n"/>
      <c r="E236" s="112" t="n"/>
      <c r="F236" s="239" t="n"/>
      <c r="G236" s="240" t="n"/>
      <c r="H236" s="164" t="n"/>
    </row>
    <row r="237" ht="15.6" customHeight="1">
      <c r="A237" s="11" t="inlineStr">
        <is>
          <t>B</t>
        </is>
      </c>
      <c r="B237" s="108" t="inlineStr">
        <is>
          <t>Protective cement-sand screed over waterproofing</t>
        </is>
      </c>
      <c r="C237" s="111" t="n">
        <v>2200</v>
      </c>
      <c r="D237" s="236">
        <f>'Verification Take-off'!E106</f>
        <v>942.0999999999999</v>
      </c>
      <c r="E237" s="237" t="inlineStr">
        <is>
          <t>m²</t>
        </is>
      </c>
      <c r="F237" s="238" t="inlineStr">
        <is>
          <t>m²</t>
        </is>
      </c>
      <c r="G237" s="150" t="n"/>
      <c r="H237" s="164">
        <f>G237*D237</f>
        <v>0.0</v>
      </c>
      <c r="I237" s="165" t="inlineStr"/>
    </row>
    <row r="238" ht="15.75" customHeight="1">
      <c r="A238" s="11" t="n"/>
      <c r="B238" s="108" t="n"/>
      <c r="C238" s="111" t="n"/>
      <c r="D238" s="111" t="n"/>
      <c r="E238" s="112" t="n"/>
      <c r="F238" s="239" t="n"/>
      <c r="G238" s="240" t="n"/>
      <c r="H238" s="164" t="n"/>
    </row>
    <row r="239" ht="21.75" customHeight="1">
      <c r="A239" s="11" t="inlineStr">
        <is>
          <t>C</t>
        </is>
      </c>
      <c r="B239" s="108" t="inlineStr">
        <is>
          <t>Metal/aluminium flashings, upstands and counterflashings</t>
        </is>
      </c>
      <c r="C239" s="111" t="n">
        <v>850</v>
      </c>
      <c r="D239" s="236">
        <f>'Verification Take-off'!E107</f>
        <v>304.8</v>
      </c>
      <c r="E239" s="237" t="inlineStr">
        <is>
          <t>m</t>
        </is>
      </c>
      <c r="F239" s="238" t="inlineStr">
        <is>
          <t>m</t>
        </is>
      </c>
      <c r="G239" s="150" t="n"/>
      <c r="H239" s="164">
        <f>G239*D239</f>
        <v>0.0</v>
      </c>
      <c r="I239" s="165" t="inlineStr"/>
    </row>
    <row r="240" ht="15.75" customHeight="1">
      <c r="A240" s="11" t="n"/>
      <c r="B240" s="108" t="n"/>
      <c r="C240" s="111" t="n"/>
      <c r="D240" s="111" t="n"/>
      <c r="E240" s="112" t="n"/>
      <c r="F240" s="239" t="n"/>
      <c r="G240" s="240" t="n"/>
      <c r="H240" s="164" t="n"/>
    </row>
    <row r="241" ht="15.75" customHeight="1">
      <c r="A241" s="11" t="inlineStr">
        <is>
          <t>D</t>
        </is>
      </c>
      <c r="B241" s="108" t="inlineStr">
        <is>
          <t>Roof/terrace gutters and concealed drainage channels</t>
        </is>
      </c>
      <c r="C241" s="111" t="n">
        <v>480</v>
      </c>
      <c r="D241" s="236">
        <f>'Verification Take-off'!E108</f>
        <v>304.8</v>
      </c>
      <c r="E241" s="237" t="inlineStr">
        <is>
          <t>m</t>
        </is>
      </c>
      <c r="F241" s="238" t="inlineStr">
        <is>
          <t>m</t>
        </is>
      </c>
      <c r="G241" s="150" t="n"/>
      <c r="H241" s="164">
        <f>G241*D241</f>
        <v>0.0</v>
      </c>
      <c r="I241" s="165" t="inlineStr"/>
    </row>
    <row r="242" ht="15.75" customHeight="1">
      <c r="A242" s="11" t="n"/>
      <c r="B242" s="108" t="n"/>
      <c r="C242" s="111" t="n"/>
      <c r="D242" s="111" t="n"/>
      <c r="E242" s="112" t="n"/>
      <c r="F242" s="239" t="n"/>
      <c r="G242" s="240" t="n"/>
      <c r="H242" s="164" t="n"/>
    </row>
    <row r="243" ht="15.75" customHeight="1">
      <c r="A243" s="11" t="n"/>
      <c r="B243" s="107" t="inlineStr">
        <is>
          <t xml:space="preserve">LIFTS </t>
        </is>
      </c>
      <c r="C243" s="12" t="n"/>
      <c r="D243" s="12" t="n"/>
      <c r="E243" s="11" t="n"/>
      <c r="F243" s="14" t="n"/>
      <c r="G243" s="16" t="n"/>
      <c r="H243" s="164" t="n"/>
    </row>
    <row r="244" ht="31.5" customHeight="1">
      <c r="A244" s="11" t="inlineStr">
        <is>
          <t>E</t>
        </is>
      </c>
      <c r="B244" s="8" t="inlineStr">
        <is>
          <t>1000kg stainless steel car finish of lift with 12 passengers</t>
        </is>
      </c>
      <c r="C244" s="111" t="n">
        <v>2</v>
      </c>
      <c r="D244" s="236">
        <f>'Verification Take-off'!E109</f>
        <v>2.0</v>
      </c>
      <c r="E244" s="237" t="inlineStr">
        <is>
          <t>nr</t>
        </is>
      </c>
      <c r="F244" s="238" t="inlineStr">
        <is>
          <t>nr</t>
        </is>
      </c>
      <c r="G244" s="150" t="n"/>
      <c r="H244" s="164">
        <f>G244*D244</f>
        <v>0.0</v>
      </c>
      <c r="I244" s="165" t="inlineStr"/>
    </row>
    <row r="245" ht="15.75" customHeight="1">
      <c r="A245" s="11" t="n"/>
      <c r="B245" s="8" t="n"/>
      <c r="C245" s="12" t="n"/>
      <c r="D245" s="12" t="n"/>
      <c r="E245" s="11" t="n"/>
      <c r="F245" s="14" t="n"/>
      <c r="G245" s="16" t="n"/>
      <c r="H245" s="164" t="n"/>
    </row>
    <row r="246" ht="15.75" customHeight="1">
      <c r="A246" s="11" t="inlineStr">
        <is>
          <t>F</t>
        </is>
      </c>
      <c r="B246" s="8" t="inlineStr">
        <is>
          <t>Service and goods lift</t>
        </is>
      </c>
      <c r="C246" s="12" t="n">
        <v>1</v>
      </c>
      <c r="D246" s="162">
        <f>'Verification Take-off'!E110</f>
        <v>0.0</v>
      </c>
      <c r="E246" s="11" t="inlineStr">
        <is>
          <t>nr</t>
        </is>
      </c>
      <c r="F246" s="163" t="inlineStr">
        <is>
          <t>nr</t>
        </is>
      </c>
      <c r="G246" s="150" t="n"/>
      <c r="H246" s="164">
        <f>G246*D246</f>
        <v>0.0</v>
      </c>
      <c r="I246" s="165" t="inlineStr">
        <is>
          <t>RFI - not shown on drawings</t>
        </is>
      </c>
    </row>
    <row r="247" ht="15.75" customHeight="1">
      <c r="A247" s="11" t="n"/>
      <c r="B247" s="108" t="n"/>
      <c r="C247" s="111" t="n"/>
      <c r="D247" s="111" t="n"/>
      <c r="E247" s="112" t="n"/>
      <c r="F247" s="239" t="n"/>
      <c r="G247" s="240" t="n"/>
      <c r="H247" s="164" t="n"/>
    </row>
    <row r="248" ht="15.75" customHeight="1">
      <c r="A248" s="11" t="n"/>
      <c r="B248" s="8" t="n"/>
      <c r="C248" s="12" t="n"/>
      <c r="D248" s="12" t="n"/>
      <c r="E248" s="11" t="n"/>
      <c r="F248" s="14" t="n"/>
      <c r="G248" s="16" t="n"/>
      <c r="H248" s="164" t="n"/>
    </row>
    <row r="249" ht="15.75" customHeight="1">
      <c r="A249" s="11" t="n"/>
      <c r="B249" s="107" t="inlineStr">
        <is>
          <t>JOINERY &amp; FITTING</t>
        </is>
      </c>
      <c r="C249" s="12" t="n"/>
      <c r="D249" s="12" t="n"/>
      <c r="E249" s="11" t="n"/>
      <c r="F249" s="14" t="n"/>
      <c r="G249" s="16" t="n"/>
      <c r="H249" s="164" t="n"/>
    </row>
    <row r="250" ht="15.75" customHeight="1">
      <c r="A250" s="11" t="n"/>
      <c r="B250" s="8" t="n"/>
      <c r="C250" s="12" t="n"/>
      <c r="D250" s="12" t="n"/>
      <c r="E250" s="11" t="n"/>
      <c r="F250" s="14" t="n"/>
      <c r="G250" s="16" t="n"/>
      <c r="H250" s="164" t="n"/>
    </row>
    <row r="251" ht="31.2" customHeight="1">
      <c r="A251" s="11" t="inlineStr">
        <is>
          <t>G</t>
        </is>
      </c>
      <c r="B251" s="8" t="inlineStr">
        <is>
          <t>Provide provisional sum of GHC….... for joinery, wall cladding, balustrade and other fitting works</t>
        </is>
      </c>
      <c r="C251" s="12" t="n"/>
      <c r="D251" s="12" t="n"/>
      <c r="E251" s="11" t="n"/>
      <c r="F251" s="230" t="inlineStr">
        <is>
          <t>item</t>
        </is>
      </c>
      <c r="G251" s="16" t="n"/>
      <c r="H251" s="216" t="n"/>
      <c r="I251" s="231" t="inlineStr">
        <is>
          <t>Provisional sum - measured as item (no quantity)</t>
        </is>
      </c>
    </row>
    <row r="252" ht="15.75" customHeight="1">
      <c r="A252" s="11" t="n"/>
      <c r="B252" s="8" t="n"/>
      <c r="C252" s="12" t="n"/>
      <c r="D252" s="12" t="n"/>
      <c r="E252" s="11" t="n"/>
      <c r="F252" s="14" t="n"/>
      <c r="G252" s="16" t="n"/>
      <c r="H252" s="164" t="n"/>
    </row>
    <row r="253" ht="15.75" customHeight="1">
      <c r="A253" s="11" t="n"/>
      <c r="B253" s="8" t="n"/>
      <c r="C253" s="12" t="n"/>
      <c r="D253" s="12" t="n"/>
      <c r="E253" s="11" t="n"/>
      <c r="F253" s="14" t="n"/>
      <c r="G253" s="16" t="n"/>
      <c r="H253" s="164" t="n"/>
    </row>
    <row r="254" ht="15.75" customHeight="1">
      <c r="A254" s="11" t="n"/>
      <c r="B254" s="107" t="inlineStr">
        <is>
          <t>FURNITURE AND EQUIPMENT</t>
        </is>
      </c>
      <c r="C254" s="12" t="n"/>
      <c r="D254" s="12" t="n"/>
      <c r="E254" s="11" t="n"/>
      <c r="F254" s="14" t="n"/>
      <c r="G254" s="16" t="n"/>
      <c r="H254" s="164" t="n"/>
    </row>
    <row r="255" ht="15.75" customHeight="1">
      <c r="A255" s="11" t="n"/>
      <c r="B255" s="8" t="n"/>
      <c r="C255" s="12" t="n"/>
      <c r="D255" s="12" t="n"/>
      <c r="E255" s="11" t="n"/>
      <c r="F255" s="14" t="n"/>
      <c r="G255" s="16" t="n"/>
      <c r="H255" s="164" t="n"/>
    </row>
    <row r="256" ht="46.8" customHeight="1">
      <c r="A256" s="11" t="inlineStr">
        <is>
          <t>H</t>
        </is>
      </c>
      <c r="B256" s="8" t="inlineStr">
        <is>
          <t>Provide provisional sum of GHC ….... for furniture and equipment (Wardbrobes, kitchen cabinets, receiption desk and chair)</t>
        </is>
      </c>
      <c r="C256" s="12" t="n"/>
      <c r="D256" s="12" t="n"/>
      <c r="E256" s="11" t="n"/>
      <c r="F256" s="230" t="inlineStr">
        <is>
          <t>item</t>
        </is>
      </c>
      <c r="G256" s="16" t="n"/>
      <c r="H256" s="216" t="n"/>
      <c r="I256" s="231" t="inlineStr">
        <is>
          <t>Provisional sum - measured as item (no quantity)</t>
        </is>
      </c>
    </row>
    <row r="257" ht="15.75" customHeight="1">
      <c r="A257" s="11" t="n"/>
      <c r="B257" s="8" t="n"/>
      <c r="C257" s="12" t="n"/>
      <c r="D257" s="12" t="n"/>
      <c r="E257" s="11" t="n"/>
      <c r="F257" s="14" t="n"/>
      <c r="G257" s="16" t="n"/>
      <c r="H257" s="164" t="n"/>
    </row>
    <row r="258" ht="15.75" customHeight="1">
      <c r="A258" s="11" t="n"/>
      <c r="B258" s="8" t="n"/>
      <c r="C258" s="12" t="n"/>
      <c r="D258" s="12" t="n"/>
      <c r="E258" s="11" t="n"/>
      <c r="F258" s="14" t="n"/>
      <c r="G258" s="16" t="n"/>
      <c r="H258" s="164" t="n"/>
    </row>
    <row r="259" ht="31.5" customHeight="1">
      <c r="A259" s="11" t="n"/>
      <c r="B259" s="107" t="inlineStr">
        <is>
          <t>EXTERNAL WORKS /EXTERNAL INFRASTRUCTURE /SIGNAGE</t>
        </is>
      </c>
      <c r="C259" s="12" t="n"/>
      <c r="D259" s="12" t="n"/>
      <c r="E259" s="11" t="n"/>
      <c r="F259" s="14" t="n"/>
      <c r="G259" s="16" t="n"/>
      <c r="H259" s="164" t="n"/>
    </row>
    <row r="260" ht="15.75" customHeight="1">
      <c r="A260" s="11" t="n"/>
      <c r="B260" s="8" t="n"/>
      <c r="C260" s="12" t="n"/>
      <c r="D260" s="12" t="n"/>
      <c r="E260" s="11" t="n"/>
      <c r="F260" s="14" t="n"/>
      <c r="G260" s="16" t="n"/>
      <c r="H260" s="164" t="n"/>
    </row>
    <row r="261" ht="62.4" customHeight="1">
      <c r="A261" s="11" t="inlineStr">
        <is>
          <t>J</t>
        </is>
      </c>
      <c r="B261" s="8" t="inlineStr">
        <is>
          <t>Provide provisional sum of GHC…... for axonopus compressus kerbs boundary structures and aprons, street lights, flood lights, storm drains, pavement, pavement markings, lanscaping, signs and other works</t>
        </is>
      </c>
      <c r="C261" s="12" t="n"/>
      <c r="D261" s="12" t="n"/>
      <c r="E261" s="11" t="n"/>
      <c r="F261" s="230" t="inlineStr">
        <is>
          <t>item</t>
        </is>
      </c>
      <c r="G261" s="16" t="n"/>
      <c r="H261" s="216" t="n"/>
      <c r="I261" s="231" t="inlineStr">
        <is>
          <t>Provisional sum - measured as item (no quantity)</t>
        </is>
      </c>
    </row>
    <row r="262" ht="15.75" customHeight="1">
      <c r="A262" s="11" t="n"/>
      <c r="B262" s="8" t="n"/>
      <c r="C262" s="12" t="n"/>
      <c r="D262" s="12" t="n"/>
      <c r="E262" s="11" t="n"/>
      <c r="F262" s="14" t="n"/>
      <c r="G262" s="16" t="n"/>
      <c r="H262" s="164" t="n"/>
    </row>
    <row r="263" ht="15.75" customHeight="1">
      <c r="A263" s="11" t="n"/>
      <c r="B263" s="8" t="n"/>
      <c r="C263" s="12" t="n"/>
      <c r="D263" s="12" t="n"/>
      <c r="E263" s="11" t="n"/>
      <c r="F263" s="14" t="n"/>
      <c r="G263" s="16" t="n"/>
      <c r="H263" s="164" t="n"/>
    </row>
    <row r="264" ht="15.75" customHeight="1">
      <c r="A264" s="11" t="n"/>
      <c r="B264" s="8" t="n"/>
      <c r="C264" s="12" t="n"/>
      <c r="D264" s="12" t="n"/>
      <c r="E264" s="11" t="n"/>
      <c r="F264" s="14" t="n"/>
      <c r="G264" s="164" t="n"/>
      <c r="H264" s="164" t="n"/>
    </row>
    <row r="265" ht="15.75" customHeight="1">
      <c r="A265" s="11" t="n"/>
      <c r="B265" s="8" t="n"/>
      <c r="C265" s="12" t="n"/>
      <c r="D265" s="12" t="n"/>
      <c r="E265" s="11" t="n"/>
      <c r="F265" s="14" t="n"/>
      <c r="G265" s="164" t="n"/>
      <c r="H265" s="164" t="n"/>
    </row>
    <row r="266" ht="15.75" customHeight="1">
      <c r="A266" s="11" t="n"/>
      <c r="B266" s="125" t="inlineStr">
        <is>
          <t>SCEPTIC TANK</t>
        </is>
      </c>
      <c r="C266" s="12" t="n"/>
      <c r="D266" s="12" t="n"/>
      <c r="E266" s="11" t="n"/>
      <c r="F266" s="14" t="n"/>
      <c r="G266" s="164" t="n"/>
      <c r="H266" s="164" t="n"/>
    </row>
    <row r="267" ht="31.2" customHeight="1">
      <c r="A267" s="11" t="inlineStr">
        <is>
          <t>K</t>
        </is>
      </c>
      <c r="B267" s="8" t="inlineStr">
        <is>
          <t>Provide provisional sum of GHC…... for sceptic tank and other connections</t>
        </is>
      </c>
      <c r="C267" s="12" t="n"/>
      <c r="D267" s="12" t="n"/>
      <c r="E267" s="11" t="n"/>
      <c r="F267" s="230" t="inlineStr">
        <is>
          <t>item</t>
        </is>
      </c>
      <c r="G267" s="164" t="n"/>
      <c r="H267" s="216" t="n"/>
      <c r="I267" s="231" t="inlineStr">
        <is>
          <t>Provisional sum - measured as item (no quantity)</t>
        </is>
      </c>
    </row>
    <row r="268" ht="15.75" customHeight="1">
      <c r="A268" s="11" t="n"/>
      <c r="B268" s="11" t="n"/>
      <c r="C268" s="12" t="n"/>
      <c r="D268" s="12" t="n"/>
      <c r="E268" s="11" t="n"/>
      <c r="F268" s="14" t="n"/>
      <c r="G268" s="164" t="n"/>
      <c r="H268" s="164" t="n"/>
    </row>
    <row r="269" ht="15.75" customHeight="1">
      <c r="A269" s="11" t="n"/>
      <c r="B269" s="11" t="n"/>
      <c r="C269" s="12" t="n"/>
      <c r="D269" s="12" t="n"/>
      <c r="E269" s="11" t="n"/>
      <c r="F269" s="14" t="n"/>
      <c r="G269" s="164" t="n"/>
      <c r="H269" s="164" t="n"/>
    </row>
    <row r="270" ht="15.75" customHeight="1">
      <c r="A270" s="11" t="n"/>
      <c r="B270" s="11" t="n"/>
      <c r="C270" s="12" t="n"/>
      <c r="D270" s="12" t="n"/>
      <c r="E270" s="11" t="n"/>
      <c r="F270" s="14" t="n"/>
      <c r="G270" s="164" t="n"/>
      <c r="H270" s="164" t="n"/>
    </row>
    <row r="271" ht="15.75" customHeight="1">
      <c r="A271" s="11" t="n"/>
      <c r="B271" s="11" t="n"/>
      <c r="C271" s="2" t="n"/>
      <c r="D271" s="2" t="n"/>
      <c r="E271" s="11" t="n"/>
      <c r="F271" s="14" t="n"/>
      <c r="G271" s="164" t="n"/>
      <c r="H271" s="241" t="n"/>
    </row>
    <row r="272" ht="15.75" customHeight="1">
      <c r="A272" s="11" t="n"/>
      <c r="B272" s="11" t="n"/>
      <c r="C272" s="2" t="n"/>
      <c r="D272" s="2" t="n"/>
      <c r="E272" s="11" t="n"/>
      <c r="F272" s="14" t="n"/>
      <c r="G272" s="164" t="n"/>
      <c r="H272" s="164" t="n"/>
    </row>
    <row r="273" ht="15.75" customHeight="1">
      <c r="A273" s="11" t="n"/>
      <c r="B273" s="11" t="n"/>
      <c r="C273" s="2" t="n"/>
      <c r="D273" s="2" t="n"/>
      <c r="E273" s="11" t="n"/>
      <c r="F273" s="14" t="n"/>
      <c r="G273" s="164" t="n"/>
      <c r="H273" s="164" t="n"/>
    </row>
    <row r="274" ht="15.75" customHeight="1">
      <c r="A274" s="11" t="n"/>
      <c r="B274" s="11" t="n"/>
      <c r="C274" s="2" t="n"/>
      <c r="D274" s="2" t="n"/>
      <c r="E274" s="11" t="n"/>
      <c r="F274" s="14" t="n"/>
      <c r="G274" s="164" t="n"/>
      <c r="H274" s="164" t="n"/>
    </row>
    <row r="275" ht="16.5" customHeight="1" thickBot="1">
      <c r="A275" s="11" t="n"/>
      <c r="B275" s="8" t="n"/>
      <c r="C275" s="2" t="n"/>
      <c r="D275" s="2" t="n"/>
      <c r="E275" s="11" t="n"/>
      <c r="F275" s="14" t="n"/>
      <c r="G275" s="164" t="n"/>
      <c r="H275" s="164" t="n"/>
    </row>
    <row r="276" ht="17.25" customHeight="1" thickBot="1" thickTop="1">
      <c r="A276" s="20" t="n"/>
      <c r="B276" s="21" t="inlineStr">
        <is>
          <t>SUMMARY</t>
        </is>
      </c>
      <c r="C276" s="98" t="n"/>
      <c r="D276" s="98" t="n"/>
      <c r="E276" s="20" t="n"/>
      <c r="F276" s="102" t="n"/>
      <c r="G276" s="233" t="n"/>
      <c r="H276" s="168">
        <f>SUM(H176:H268)</f>
        <v>0.0</v>
      </c>
    </row>
    <row r="277" ht="16.5" customHeight="1" thickBot="1" thickTop="1">
      <c r="A277" s="221" t="n"/>
      <c r="B277" s="221" t="n"/>
      <c r="C277" s="221" t="n"/>
      <c r="D277" s="221" t="n"/>
      <c r="E277" s="221" t="n"/>
      <c r="F277" s="221" t="n"/>
      <c r="G277" s="221" t="n"/>
      <c r="H277" s="221" t="n"/>
    </row>
    <row r="278" ht="17.25" customHeight="1" thickBot="1" thickTop="1">
      <c r="A278" s="50" t="inlineStr">
        <is>
          <t>Item</t>
        </is>
      </c>
      <c r="B278" s="50" t="inlineStr">
        <is>
          <t>Description</t>
        </is>
      </c>
      <c r="C278" s="51" t="inlineStr">
        <is>
          <t>Qty</t>
        </is>
      </c>
      <c r="D278" s="154" t="inlineStr">
        <is>
          <t>Verified Qty</t>
        </is>
      </c>
      <c r="E278" s="50" t="inlineStr">
        <is>
          <t>Unit</t>
        </is>
      </c>
      <c r="F278" s="154" t="inlineStr">
        <is>
          <t>Verified Unit</t>
        </is>
      </c>
      <c r="G278" s="185" t="inlineStr">
        <is>
          <t>Rate</t>
        </is>
      </c>
      <c r="H278" s="186" t="inlineStr">
        <is>
          <t>Amount</t>
        </is>
      </c>
      <c r="I278" s="157" t="inlineStr">
        <is>
          <t>Verification remarks</t>
        </is>
      </c>
    </row>
    <row r="279" ht="16.5" customHeight="1" thickTop="1">
      <c r="A279" s="53" t="n"/>
      <c r="B279" s="54" t="n"/>
      <c r="C279" s="55" t="n"/>
      <c r="D279" s="55" t="n"/>
      <c r="E279" s="53" t="n"/>
      <c r="F279" s="55" t="n"/>
      <c r="G279" s="205" t="n"/>
      <c r="H279" s="205" t="n"/>
    </row>
    <row r="280" ht="15.75" customHeight="1">
      <c r="A280" s="56" t="n"/>
      <c r="B280" s="59" t="inlineStr">
        <is>
          <t>GENERAL SUMMARY</t>
        </is>
      </c>
      <c r="C280" s="57" t="n"/>
      <c r="D280" s="57" t="n"/>
      <c r="E280" s="56" t="n"/>
      <c r="F280" s="57" t="n"/>
      <c r="G280" s="58" t="n"/>
      <c r="H280" s="58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  <c r="Z280" s="46" t="n"/>
      <c r="AA280" s="46" t="n"/>
      <c r="AB280" s="46" t="n"/>
      <c r="AC280" s="46" t="n"/>
      <c r="AD280" s="46" t="n"/>
      <c r="AE280" s="46" t="n"/>
      <c r="AF280" s="46" t="n"/>
      <c r="AG280" s="46" t="n"/>
      <c r="AH280" s="46" t="n"/>
      <c r="AI280" s="46" t="n"/>
      <c r="AJ280" s="46" t="n"/>
      <c r="AK280" s="46" t="n"/>
      <c r="AL280" s="46" t="n"/>
      <c r="AM280" s="46" t="n"/>
      <c r="AN280" s="46" t="n"/>
      <c r="AO280" s="46" t="n"/>
      <c r="AP280" s="46" t="n"/>
      <c r="AQ280" s="46" t="n"/>
      <c r="AR280" s="46" t="n"/>
      <c r="AS280" s="46" t="n"/>
      <c r="AT280" s="46" t="n"/>
      <c r="AU280" s="46" t="n"/>
      <c r="AV280" s="46" t="n"/>
      <c r="AW280" s="46" t="n"/>
      <c r="AX280" s="46" t="n"/>
      <c r="AY280" s="46" t="n"/>
      <c r="AZ280" s="46" t="n"/>
      <c r="BA280" s="46" t="n"/>
      <c r="BB280" s="46" t="n"/>
      <c r="BC280" s="46" t="n"/>
      <c r="BD280" s="46" t="n"/>
      <c r="BE280" s="46" t="n"/>
      <c r="BF280" s="46" t="n"/>
      <c r="BG280" s="46" t="n"/>
      <c r="BH280" s="46" t="n"/>
      <c r="BI280" s="46" t="n"/>
      <c r="BJ280" s="46" t="n"/>
      <c r="BK280" s="46" t="n"/>
      <c r="BL280" s="46" t="n"/>
      <c r="BM280" s="46" t="n"/>
      <c r="BN280" s="46" t="n"/>
      <c r="BO280" s="46" t="n"/>
      <c r="BP280" s="46" t="n"/>
      <c r="BQ280" s="46" t="n"/>
      <c r="BR280" s="46" t="n"/>
      <c r="BS280" s="46" t="n"/>
      <c r="BT280" s="46" t="n"/>
      <c r="BU280" s="46" t="n"/>
      <c r="BV280" s="46" t="n"/>
      <c r="BW280" s="46" t="n"/>
      <c r="BX280" s="46" t="n"/>
      <c r="BY280" s="46" t="n"/>
      <c r="BZ280" s="46" t="n"/>
      <c r="CA280" s="46" t="n"/>
      <c r="CB280" s="46" t="n"/>
      <c r="CC280" s="46" t="n"/>
      <c r="CD280" s="46" t="n"/>
      <c r="CE280" s="46" t="n"/>
      <c r="CF280" s="46" t="n"/>
      <c r="CG280" s="46" t="n"/>
      <c r="CH280" s="46" t="n"/>
      <c r="CI280" s="46" t="n"/>
      <c r="CJ280" s="46" t="n"/>
      <c r="CK280" s="46" t="n"/>
      <c r="CL280" s="46" t="n"/>
      <c r="CM280" s="46" t="n"/>
      <c r="CN280" s="46" t="n"/>
      <c r="CO280" s="46" t="n"/>
      <c r="CP280" s="46" t="n"/>
      <c r="CQ280" s="46" t="n"/>
      <c r="CR280" s="46" t="n"/>
      <c r="CS280" s="46" t="n"/>
      <c r="CT280" s="46" t="n"/>
      <c r="CU280" s="46" t="n"/>
      <c r="CV280" s="46" t="n"/>
      <c r="CW280" s="46" t="n"/>
      <c r="CX280" s="46" t="n"/>
      <c r="CY280" s="46" t="n"/>
      <c r="CZ280" s="46" t="n"/>
      <c r="DA280" s="46" t="n"/>
      <c r="DB280" s="46" t="n"/>
      <c r="DC280" s="46" t="n"/>
      <c r="DD280" s="46" t="n"/>
      <c r="DE280" s="46" t="n"/>
      <c r="DF280" s="46" t="n"/>
      <c r="DG280" s="46" t="n"/>
      <c r="DH280" s="46" t="n"/>
      <c r="DI280" s="46" t="n"/>
      <c r="DJ280" s="46" t="n"/>
      <c r="DK280" s="46" t="n"/>
      <c r="DL280" s="46" t="n"/>
      <c r="DM280" s="46" t="n"/>
      <c r="DN280" s="46" t="n"/>
      <c r="DO280" s="46" t="n"/>
      <c r="DP280" s="46" t="n"/>
      <c r="DQ280" s="46" t="n"/>
      <c r="DR280" s="46" t="n"/>
      <c r="DS280" s="46" t="n"/>
      <c r="DT280" s="46" t="n"/>
      <c r="DU280" s="46" t="n"/>
      <c r="DV280" s="46" t="n"/>
      <c r="DW280" s="46" t="n"/>
      <c r="DX280" s="46" t="n"/>
      <c r="DY280" s="46" t="n"/>
      <c r="DZ280" s="46" t="n"/>
      <c r="EA280" s="46" t="n"/>
      <c r="EB280" s="46" t="n"/>
      <c r="EC280" s="46" t="n"/>
      <c r="ED280" s="46" t="n"/>
      <c r="EE280" s="46" t="n"/>
      <c r="EF280" s="46" t="n"/>
      <c r="EG280" s="46" t="n"/>
      <c r="EH280" s="46" t="n"/>
      <c r="EI280" s="46" t="n"/>
      <c r="EJ280" s="46" t="n"/>
      <c r="EK280" s="46" t="n"/>
      <c r="EL280" s="46" t="n"/>
      <c r="EM280" s="46" t="n"/>
      <c r="EN280" s="46" t="n"/>
      <c r="EO280" s="46" t="n"/>
      <c r="EP280" s="46" t="n"/>
      <c r="EQ280" s="46" t="n"/>
      <c r="ER280" s="46" t="n"/>
      <c r="ES280" s="46" t="n"/>
      <c r="ET280" s="46" t="n"/>
      <c r="EU280" s="46" t="n"/>
      <c r="EV280" s="46" t="n"/>
      <c r="EW280" s="46" t="n"/>
      <c r="EX280" s="46" t="n"/>
      <c r="EY280" s="46" t="n"/>
      <c r="EZ280" s="46" t="n"/>
      <c r="FA280" s="46" t="n"/>
      <c r="FB280" s="46" t="n"/>
      <c r="FC280" s="46" t="n"/>
      <c r="FD280" s="46" t="n"/>
      <c r="FE280" s="46" t="n"/>
      <c r="FF280" s="46" t="n"/>
      <c r="FG280" s="46" t="n"/>
      <c r="FH280" s="46" t="n"/>
      <c r="FI280" s="46" t="n"/>
      <c r="FJ280" s="46" t="n"/>
      <c r="FK280" s="46" t="n"/>
      <c r="FL280" s="46" t="n"/>
      <c r="FM280" s="46" t="n"/>
      <c r="FN280" s="46" t="n"/>
      <c r="FO280" s="46" t="n"/>
      <c r="FP280" s="46" t="n"/>
      <c r="FQ280" s="46" t="n"/>
      <c r="FR280" s="46" t="n"/>
      <c r="FS280" s="46" t="n"/>
      <c r="FT280" s="46" t="n"/>
      <c r="FU280" s="46" t="n"/>
      <c r="FV280" s="46" t="n"/>
      <c r="FW280" s="46" t="n"/>
      <c r="FX280" s="46" t="n"/>
      <c r="FY280" s="46" t="n"/>
      <c r="FZ280" s="46" t="n"/>
      <c r="GA280" s="46" t="n"/>
      <c r="GB280" s="46" t="n"/>
      <c r="GC280" s="46" t="n"/>
      <c r="GD280" s="46" t="n"/>
      <c r="GE280" s="46" t="n"/>
      <c r="GF280" s="46" t="n"/>
      <c r="GG280" s="46" t="n"/>
      <c r="GH280" s="46" t="n"/>
      <c r="GI280" s="46" t="n"/>
      <c r="GJ280" s="46" t="n"/>
      <c r="GK280" s="46" t="n"/>
      <c r="GL280" s="46" t="n"/>
      <c r="GM280" s="46" t="n"/>
      <c r="GN280" s="46" t="n"/>
      <c r="GO280" s="46" t="n"/>
      <c r="GP280" s="46" t="n"/>
      <c r="GQ280" s="46" t="n"/>
      <c r="GR280" s="46" t="n"/>
      <c r="GS280" s="46" t="n"/>
      <c r="GT280" s="46" t="n"/>
      <c r="GU280" s="46" t="n"/>
      <c r="GV280" s="46" t="n"/>
      <c r="GW280" s="46" t="n"/>
      <c r="GX280" s="46" t="n"/>
      <c r="GY280" s="46" t="n"/>
      <c r="GZ280" s="46" t="n"/>
      <c r="HA280" s="46" t="n"/>
      <c r="HB280" s="46" t="n"/>
    </row>
    <row r="281" ht="15.75" customHeight="1">
      <c r="A281" s="56" t="inlineStr">
        <is>
          <t>A</t>
        </is>
      </c>
      <c r="B281" s="44" t="inlineStr">
        <is>
          <t>SUPERSTRUCTURE</t>
        </is>
      </c>
      <c r="C281" s="57" t="n"/>
      <c r="D281" s="57" t="n"/>
      <c r="E281" s="56" t="n"/>
      <c r="F281" s="206" t="n"/>
      <c r="G281" s="58" t="n"/>
      <c r="H281" s="207">
        <f>H276+H172</f>
        <v>0.0</v>
      </c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  <c r="Z281" s="46" t="n"/>
      <c r="AA281" s="46" t="n"/>
      <c r="AB281" s="46" t="n"/>
      <c r="AC281" s="46" t="n"/>
      <c r="AD281" s="46" t="n"/>
      <c r="AE281" s="46" t="n"/>
      <c r="AF281" s="46" t="n"/>
      <c r="AG281" s="46" t="n"/>
      <c r="AH281" s="46" t="n"/>
      <c r="AI281" s="46" t="n"/>
      <c r="AJ281" s="46" t="n"/>
      <c r="AK281" s="46" t="n"/>
      <c r="AL281" s="46" t="n"/>
      <c r="AM281" s="46" t="n"/>
      <c r="AN281" s="46" t="n"/>
      <c r="AO281" s="46" t="n"/>
      <c r="AP281" s="46" t="n"/>
      <c r="AQ281" s="46" t="n"/>
      <c r="AR281" s="46" t="n"/>
      <c r="AS281" s="46" t="n"/>
      <c r="AT281" s="46" t="n"/>
      <c r="AU281" s="46" t="n"/>
      <c r="AV281" s="46" t="n"/>
      <c r="AW281" s="46" t="n"/>
      <c r="AX281" s="46" t="n"/>
      <c r="AY281" s="46" t="n"/>
      <c r="AZ281" s="46" t="n"/>
      <c r="BA281" s="46" t="n"/>
      <c r="BB281" s="46" t="n"/>
      <c r="BC281" s="46" t="n"/>
      <c r="BD281" s="46" t="n"/>
      <c r="BE281" s="46" t="n"/>
      <c r="BF281" s="46" t="n"/>
      <c r="BG281" s="46" t="n"/>
      <c r="BH281" s="46" t="n"/>
      <c r="BI281" s="46" t="n"/>
      <c r="BJ281" s="46" t="n"/>
      <c r="BK281" s="46" t="n"/>
      <c r="BL281" s="46" t="n"/>
      <c r="BM281" s="46" t="n"/>
      <c r="BN281" s="46" t="n"/>
      <c r="BO281" s="46" t="n"/>
      <c r="BP281" s="46" t="n"/>
      <c r="BQ281" s="46" t="n"/>
      <c r="BR281" s="46" t="n"/>
      <c r="BS281" s="46" t="n"/>
      <c r="BT281" s="46" t="n"/>
      <c r="BU281" s="46" t="n"/>
      <c r="BV281" s="46" t="n"/>
      <c r="BW281" s="46" t="n"/>
      <c r="BX281" s="46" t="n"/>
      <c r="BY281" s="46" t="n"/>
      <c r="BZ281" s="46" t="n"/>
      <c r="CA281" s="46" t="n"/>
      <c r="CB281" s="46" t="n"/>
      <c r="CC281" s="46" t="n"/>
      <c r="CD281" s="46" t="n"/>
      <c r="CE281" s="46" t="n"/>
      <c r="CF281" s="46" t="n"/>
      <c r="CG281" s="46" t="n"/>
      <c r="CH281" s="46" t="n"/>
      <c r="CI281" s="46" t="n"/>
      <c r="CJ281" s="46" t="n"/>
      <c r="CK281" s="46" t="n"/>
      <c r="CL281" s="46" t="n"/>
      <c r="CM281" s="46" t="n"/>
      <c r="CN281" s="46" t="n"/>
      <c r="CO281" s="46" t="n"/>
      <c r="CP281" s="46" t="n"/>
      <c r="CQ281" s="46" t="n"/>
      <c r="CR281" s="46" t="n"/>
      <c r="CS281" s="46" t="n"/>
      <c r="CT281" s="46" t="n"/>
      <c r="CU281" s="46" t="n"/>
      <c r="CV281" s="46" t="n"/>
      <c r="CW281" s="46" t="n"/>
      <c r="CX281" s="46" t="n"/>
      <c r="CY281" s="46" t="n"/>
      <c r="CZ281" s="46" t="n"/>
      <c r="DA281" s="46" t="n"/>
      <c r="DB281" s="46" t="n"/>
      <c r="DC281" s="46" t="n"/>
      <c r="DD281" s="46" t="n"/>
      <c r="DE281" s="46" t="n"/>
      <c r="DF281" s="46" t="n"/>
      <c r="DG281" s="46" t="n"/>
      <c r="DH281" s="46" t="n"/>
      <c r="DI281" s="46" t="n"/>
      <c r="DJ281" s="46" t="n"/>
      <c r="DK281" s="46" t="n"/>
      <c r="DL281" s="46" t="n"/>
      <c r="DM281" s="46" t="n"/>
      <c r="DN281" s="46" t="n"/>
      <c r="DO281" s="46" t="n"/>
      <c r="DP281" s="46" t="n"/>
      <c r="DQ281" s="46" t="n"/>
      <c r="DR281" s="46" t="n"/>
      <c r="DS281" s="46" t="n"/>
      <c r="DT281" s="46" t="n"/>
      <c r="DU281" s="46" t="n"/>
      <c r="DV281" s="46" t="n"/>
      <c r="DW281" s="46" t="n"/>
      <c r="DX281" s="46" t="n"/>
      <c r="DY281" s="46" t="n"/>
      <c r="DZ281" s="46" t="n"/>
      <c r="EA281" s="46" t="n"/>
      <c r="EB281" s="46" t="n"/>
      <c r="EC281" s="46" t="n"/>
      <c r="ED281" s="46" t="n"/>
      <c r="EE281" s="46" t="n"/>
      <c r="EF281" s="46" t="n"/>
      <c r="EG281" s="46" t="n"/>
      <c r="EH281" s="46" t="n"/>
      <c r="EI281" s="46" t="n"/>
      <c r="EJ281" s="46" t="n"/>
      <c r="EK281" s="46" t="n"/>
      <c r="EL281" s="46" t="n"/>
      <c r="EM281" s="46" t="n"/>
      <c r="EN281" s="46" t="n"/>
      <c r="EO281" s="46" t="n"/>
      <c r="EP281" s="46" t="n"/>
      <c r="EQ281" s="46" t="n"/>
      <c r="ER281" s="46" t="n"/>
      <c r="ES281" s="46" t="n"/>
      <c r="ET281" s="46" t="n"/>
      <c r="EU281" s="46" t="n"/>
      <c r="EV281" s="46" t="n"/>
      <c r="EW281" s="46" t="n"/>
      <c r="EX281" s="46" t="n"/>
      <c r="EY281" s="46" t="n"/>
      <c r="EZ281" s="46" t="n"/>
      <c r="FA281" s="46" t="n"/>
      <c r="FB281" s="46" t="n"/>
      <c r="FC281" s="46" t="n"/>
      <c r="FD281" s="46" t="n"/>
      <c r="FE281" s="46" t="n"/>
      <c r="FF281" s="46" t="n"/>
      <c r="FG281" s="46" t="n"/>
      <c r="FH281" s="46" t="n"/>
      <c r="FI281" s="46" t="n"/>
      <c r="FJ281" s="46" t="n"/>
      <c r="FK281" s="46" t="n"/>
      <c r="FL281" s="46" t="n"/>
      <c r="FM281" s="46" t="n"/>
      <c r="FN281" s="46" t="n"/>
      <c r="FO281" s="46" t="n"/>
      <c r="FP281" s="46" t="n"/>
      <c r="FQ281" s="46" t="n"/>
      <c r="FR281" s="46" t="n"/>
      <c r="FS281" s="46" t="n"/>
      <c r="FT281" s="46" t="n"/>
      <c r="FU281" s="46" t="n"/>
      <c r="FV281" s="46" t="n"/>
      <c r="FW281" s="46" t="n"/>
      <c r="FX281" s="46" t="n"/>
      <c r="FY281" s="46" t="n"/>
      <c r="FZ281" s="46" t="n"/>
      <c r="GA281" s="46" t="n"/>
      <c r="GB281" s="46" t="n"/>
      <c r="GC281" s="46" t="n"/>
      <c r="GD281" s="46" t="n"/>
      <c r="GE281" s="46" t="n"/>
      <c r="GF281" s="46" t="n"/>
      <c r="GG281" s="46" t="n"/>
      <c r="GH281" s="46" t="n"/>
      <c r="GI281" s="46" t="n"/>
      <c r="GJ281" s="46" t="n"/>
      <c r="GK281" s="46" t="n"/>
      <c r="GL281" s="46" t="n"/>
      <c r="GM281" s="46" t="n"/>
      <c r="GN281" s="46" t="n"/>
      <c r="GO281" s="46" t="n"/>
      <c r="GP281" s="46" t="n"/>
      <c r="GQ281" s="46" t="n"/>
      <c r="GR281" s="46" t="n"/>
      <c r="GS281" s="46" t="n"/>
      <c r="GT281" s="46" t="n"/>
      <c r="GU281" s="46" t="n"/>
      <c r="GV281" s="46" t="n"/>
      <c r="GW281" s="46" t="n"/>
      <c r="GX281" s="46" t="n"/>
      <c r="GY281" s="46" t="n"/>
      <c r="GZ281" s="46" t="n"/>
      <c r="HA281" s="46" t="n"/>
      <c r="HB281" s="46" t="n"/>
    </row>
    <row r="282" ht="15.75" customHeight="1">
      <c r="A282" s="56" t="n"/>
      <c r="B282" s="60" t="n"/>
      <c r="C282" s="57" t="n"/>
      <c r="D282" s="57" t="n"/>
      <c r="E282" s="56" t="n"/>
      <c r="F282" s="57" t="n"/>
      <c r="G282" s="58" t="n"/>
      <c r="H282" s="208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  <c r="Z282" s="46" t="n"/>
      <c r="AA282" s="46" t="n"/>
      <c r="AB282" s="46" t="n"/>
      <c r="AC282" s="46" t="n"/>
      <c r="AD282" s="46" t="n"/>
      <c r="AE282" s="46" t="n"/>
      <c r="AF282" s="46" t="n"/>
      <c r="AG282" s="46" t="n"/>
      <c r="AH282" s="46" t="n"/>
      <c r="AI282" s="46" t="n"/>
      <c r="AJ282" s="46" t="n"/>
      <c r="AK282" s="46" t="n"/>
      <c r="AL282" s="46" t="n"/>
      <c r="AM282" s="46" t="n"/>
      <c r="AN282" s="46" t="n"/>
      <c r="AO282" s="46" t="n"/>
      <c r="AP282" s="46" t="n"/>
      <c r="AQ282" s="46" t="n"/>
      <c r="AR282" s="46" t="n"/>
      <c r="AS282" s="46" t="n"/>
      <c r="AT282" s="46" t="n"/>
      <c r="AU282" s="46" t="n"/>
      <c r="AV282" s="46" t="n"/>
      <c r="AW282" s="46" t="n"/>
      <c r="AX282" s="46" t="n"/>
      <c r="AY282" s="46" t="n"/>
      <c r="AZ282" s="46" t="n"/>
      <c r="BA282" s="46" t="n"/>
      <c r="BB282" s="46" t="n"/>
      <c r="BC282" s="46" t="n"/>
      <c r="BD282" s="46" t="n"/>
      <c r="BE282" s="46" t="n"/>
      <c r="BF282" s="46" t="n"/>
      <c r="BG282" s="46" t="n"/>
      <c r="BH282" s="46" t="n"/>
      <c r="BI282" s="46" t="n"/>
      <c r="BJ282" s="46" t="n"/>
      <c r="BK282" s="46" t="n"/>
      <c r="BL282" s="46" t="n"/>
      <c r="BM282" s="46" t="n"/>
      <c r="BN282" s="46" t="n"/>
      <c r="BO282" s="46" t="n"/>
      <c r="BP282" s="46" t="n"/>
      <c r="BQ282" s="46" t="n"/>
      <c r="BR282" s="46" t="n"/>
      <c r="BS282" s="46" t="n"/>
      <c r="BT282" s="46" t="n"/>
      <c r="BU282" s="46" t="n"/>
      <c r="BV282" s="46" t="n"/>
      <c r="BW282" s="46" t="n"/>
      <c r="BX282" s="46" t="n"/>
      <c r="BY282" s="46" t="n"/>
      <c r="BZ282" s="46" t="n"/>
      <c r="CA282" s="46" t="n"/>
      <c r="CB282" s="46" t="n"/>
      <c r="CC282" s="46" t="n"/>
      <c r="CD282" s="46" t="n"/>
      <c r="CE282" s="46" t="n"/>
      <c r="CF282" s="46" t="n"/>
      <c r="CG282" s="46" t="n"/>
      <c r="CH282" s="46" t="n"/>
      <c r="CI282" s="46" t="n"/>
      <c r="CJ282" s="46" t="n"/>
      <c r="CK282" s="46" t="n"/>
      <c r="CL282" s="46" t="n"/>
      <c r="CM282" s="46" t="n"/>
      <c r="CN282" s="46" t="n"/>
      <c r="CO282" s="46" t="n"/>
      <c r="CP282" s="46" t="n"/>
      <c r="CQ282" s="46" t="n"/>
      <c r="CR282" s="46" t="n"/>
      <c r="CS282" s="46" t="n"/>
      <c r="CT282" s="46" t="n"/>
      <c r="CU282" s="46" t="n"/>
      <c r="CV282" s="46" t="n"/>
      <c r="CW282" s="46" t="n"/>
      <c r="CX282" s="46" t="n"/>
      <c r="CY282" s="46" t="n"/>
      <c r="CZ282" s="46" t="n"/>
      <c r="DA282" s="46" t="n"/>
      <c r="DB282" s="46" t="n"/>
      <c r="DC282" s="46" t="n"/>
      <c r="DD282" s="46" t="n"/>
      <c r="DE282" s="46" t="n"/>
      <c r="DF282" s="46" t="n"/>
      <c r="DG282" s="46" t="n"/>
      <c r="DH282" s="46" t="n"/>
      <c r="DI282" s="46" t="n"/>
      <c r="DJ282" s="46" t="n"/>
      <c r="DK282" s="46" t="n"/>
      <c r="DL282" s="46" t="n"/>
      <c r="DM282" s="46" t="n"/>
      <c r="DN282" s="46" t="n"/>
      <c r="DO282" s="46" t="n"/>
      <c r="DP282" s="46" t="n"/>
      <c r="DQ282" s="46" t="n"/>
      <c r="DR282" s="46" t="n"/>
      <c r="DS282" s="46" t="n"/>
      <c r="DT282" s="46" t="n"/>
      <c r="DU282" s="46" t="n"/>
      <c r="DV282" s="46" t="n"/>
      <c r="DW282" s="46" t="n"/>
      <c r="DX282" s="46" t="n"/>
      <c r="DY282" s="46" t="n"/>
      <c r="DZ282" s="46" t="n"/>
      <c r="EA282" s="46" t="n"/>
      <c r="EB282" s="46" t="n"/>
      <c r="EC282" s="46" t="n"/>
      <c r="ED282" s="46" t="n"/>
      <c r="EE282" s="46" t="n"/>
      <c r="EF282" s="46" t="n"/>
      <c r="EG282" s="46" t="n"/>
      <c r="EH282" s="46" t="n"/>
      <c r="EI282" s="46" t="n"/>
      <c r="EJ282" s="46" t="n"/>
      <c r="EK282" s="46" t="n"/>
      <c r="EL282" s="46" t="n"/>
      <c r="EM282" s="46" t="n"/>
      <c r="EN282" s="46" t="n"/>
      <c r="EO282" s="46" t="n"/>
      <c r="EP282" s="46" t="n"/>
      <c r="EQ282" s="46" t="n"/>
      <c r="ER282" s="46" t="n"/>
      <c r="ES282" s="46" t="n"/>
      <c r="ET282" s="46" t="n"/>
      <c r="EU282" s="46" t="n"/>
      <c r="EV282" s="46" t="n"/>
      <c r="EW282" s="46" t="n"/>
      <c r="EX282" s="46" t="n"/>
      <c r="EY282" s="46" t="n"/>
      <c r="EZ282" s="46" t="n"/>
      <c r="FA282" s="46" t="n"/>
      <c r="FB282" s="46" t="n"/>
      <c r="FC282" s="46" t="n"/>
      <c r="FD282" s="46" t="n"/>
      <c r="FE282" s="46" t="n"/>
      <c r="FF282" s="46" t="n"/>
      <c r="FG282" s="46" t="n"/>
      <c r="FH282" s="46" t="n"/>
      <c r="FI282" s="46" t="n"/>
      <c r="FJ282" s="46" t="n"/>
      <c r="FK282" s="46" t="n"/>
      <c r="FL282" s="46" t="n"/>
      <c r="FM282" s="46" t="n"/>
      <c r="FN282" s="46" t="n"/>
      <c r="FO282" s="46" t="n"/>
      <c r="FP282" s="46" t="n"/>
      <c r="FQ282" s="46" t="n"/>
      <c r="FR282" s="46" t="n"/>
      <c r="FS282" s="46" t="n"/>
      <c r="FT282" s="46" t="n"/>
      <c r="FU282" s="46" t="n"/>
      <c r="FV282" s="46" t="n"/>
      <c r="FW282" s="46" t="n"/>
      <c r="FX282" s="46" t="n"/>
      <c r="FY282" s="46" t="n"/>
      <c r="FZ282" s="46" t="n"/>
      <c r="GA282" s="46" t="n"/>
      <c r="GB282" s="46" t="n"/>
      <c r="GC282" s="46" t="n"/>
      <c r="GD282" s="46" t="n"/>
      <c r="GE282" s="46" t="n"/>
      <c r="GF282" s="46" t="n"/>
      <c r="GG282" s="46" t="n"/>
      <c r="GH282" s="46" t="n"/>
      <c r="GI282" s="46" t="n"/>
      <c r="GJ282" s="46" t="n"/>
      <c r="GK282" s="46" t="n"/>
      <c r="GL282" s="46" t="n"/>
      <c r="GM282" s="46" t="n"/>
      <c r="GN282" s="46" t="n"/>
      <c r="GO282" s="46" t="n"/>
      <c r="GP282" s="46" t="n"/>
      <c r="GQ282" s="46" t="n"/>
      <c r="GR282" s="46" t="n"/>
      <c r="GS282" s="46" t="n"/>
      <c r="GT282" s="46" t="n"/>
      <c r="GU282" s="46" t="n"/>
      <c r="GV282" s="46" t="n"/>
      <c r="GW282" s="46" t="n"/>
      <c r="GX282" s="46" t="n"/>
      <c r="GY282" s="46" t="n"/>
      <c r="GZ282" s="46" t="n"/>
      <c r="HA282" s="46" t="n"/>
      <c r="HB282" s="46" t="n"/>
    </row>
    <row r="283" ht="15.75" customHeight="1">
      <c r="A283" s="56" t="n"/>
      <c r="B283" s="61" t="n"/>
      <c r="C283" s="57" t="n"/>
      <c r="D283" s="57" t="n"/>
      <c r="E283" s="56" t="n"/>
      <c r="F283" s="62" t="n"/>
      <c r="G283" s="63" t="n"/>
      <c r="H283" s="63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  <c r="Z283" s="46" t="n"/>
      <c r="AA283" s="46" t="n"/>
      <c r="AB283" s="46" t="n"/>
      <c r="AC283" s="46" t="n"/>
      <c r="AD283" s="46" t="n"/>
      <c r="AE283" s="46" t="n"/>
      <c r="AF283" s="46" t="n"/>
      <c r="AG283" s="46" t="n"/>
      <c r="AH283" s="46" t="n"/>
      <c r="AI283" s="46" t="n"/>
      <c r="AJ283" s="46" t="n"/>
      <c r="AK283" s="46" t="n"/>
      <c r="AL283" s="46" t="n"/>
      <c r="AM283" s="46" t="n"/>
      <c r="AN283" s="46" t="n"/>
      <c r="AO283" s="46" t="n"/>
      <c r="AP283" s="46" t="n"/>
      <c r="AQ283" s="46" t="n"/>
      <c r="AR283" s="46" t="n"/>
      <c r="AS283" s="46" t="n"/>
      <c r="AT283" s="46" t="n"/>
      <c r="AU283" s="46" t="n"/>
      <c r="AV283" s="46" t="n"/>
      <c r="AW283" s="46" t="n"/>
      <c r="AX283" s="46" t="n"/>
      <c r="AY283" s="46" t="n"/>
      <c r="AZ283" s="46" t="n"/>
      <c r="BA283" s="46" t="n"/>
      <c r="BB283" s="46" t="n"/>
      <c r="BC283" s="46" t="n"/>
      <c r="BD283" s="46" t="n"/>
      <c r="BE283" s="46" t="n"/>
      <c r="BF283" s="46" t="n"/>
      <c r="BG283" s="46" t="n"/>
      <c r="BH283" s="46" t="n"/>
      <c r="BI283" s="46" t="n"/>
      <c r="BJ283" s="46" t="n"/>
      <c r="BK283" s="46" t="n"/>
      <c r="BL283" s="46" t="n"/>
      <c r="BM283" s="46" t="n"/>
      <c r="BN283" s="46" t="n"/>
      <c r="BO283" s="46" t="n"/>
      <c r="BP283" s="46" t="n"/>
      <c r="BQ283" s="46" t="n"/>
      <c r="BR283" s="46" t="n"/>
      <c r="BS283" s="46" t="n"/>
      <c r="BT283" s="46" t="n"/>
      <c r="BU283" s="46" t="n"/>
      <c r="BV283" s="46" t="n"/>
      <c r="BW283" s="46" t="n"/>
      <c r="BX283" s="46" t="n"/>
      <c r="BY283" s="46" t="n"/>
      <c r="BZ283" s="46" t="n"/>
      <c r="CA283" s="46" t="n"/>
      <c r="CB283" s="46" t="n"/>
      <c r="CC283" s="46" t="n"/>
      <c r="CD283" s="46" t="n"/>
      <c r="CE283" s="46" t="n"/>
      <c r="CF283" s="46" t="n"/>
      <c r="CG283" s="46" t="n"/>
      <c r="CH283" s="46" t="n"/>
      <c r="CI283" s="46" t="n"/>
      <c r="CJ283" s="46" t="n"/>
      <c r="CK283" s="46" t="n"/>
      <c r="CL283" s="46" t="n"/>
      <c r="CM283" s="46" t="n"/>
      <c r="CN283" s="46" t="n"/>
      <c r="CO283" s="46" t="n"/>
      <c r="CP283" s="46" t="n"/>
      <c r="CQ283" s="46" t="n"/>
      <c r="CR283" s="46" t="n"/>
      <c r="CS283" s="46" t="n"/>
      <c r="CT283" s="46" t="n"/>
      <c r="CU283" s="46" t="n"/>
      <c r="CV283" s="46" t="n"/>
      <c r="CW283" s="46" t="n"/>
      <c r="CX283" s="46" t="n"/>
      <c r="CY283" s="46" t="n"/>
      <c r="CZ283" s="46" t="n"/>
      <c r="DA283" s="46" t="n"/>
      <c r="DB283" s="46" t="n"/>
      <c r="DC283" s="46" t="n"/>
      <c r="DD283" s="46" t="n"/>
      <c r="DE283" s="46" t="n"/>
      <c r="DF283" s="46" t="n"/>
      <c r="DG283" s="46" t="n"/>
      <c r="DH283" s="46" t="n"/>
      <c r="DI283" s="46" t="n"/>
      <c r="DJ283" s="46" t="n"/>
      <c r="DK283" s="46" t="n"/>
      <c r="DL283" s="46" t="n"/>
      <c r="DM283" s="46" t="n"/>
      <c r="DN283" s="46" t="n"/>
      <c r="DO283" s="46" t="n"/>
      <c r="DP283" s="46" t="n"/>
      <c r="DQ283" s="46" t="n"/>
      <c r="DR283" s="46" t="n"/>
      <c r="DS283" s="46" t="n"/>
      <c r="DT283" s="46" t="n"/>
      <c r="DU283" s="46" t="n"/>
      <c r="DV283" s="46" t="n"/>
      <c r="DW283" s="46" t="n"/>
      <c r="DX283" s="46" t="n"/>
      <c r="DY283" s="46" t="n"/>
      <c r="DZ283" s="46" t="n"/>
      <c r="EA283" s="46" t="n"/>
      <c r="EB283" s="46" t="n"/>
      <c r="EC283" s="46" t="n"/>
      <c r="ED283" s="46" t="n"/>
      <c r="EE283" s="46" t="n"/>
      <c r="EF283" s="46" t="n"/>
      <c r="EG283" s="46" t="n"/>
      <c r="EH283" s="46" t="n"/>
      <c r="EI283" s="46" t="n"/>
      <c r="EJ283" s="46" t="n"/>
      <c r="EK283" s="46" t="n"/>
      <c r="EL283" s="46" t="n"/>
      <c r="EM283" s="46" t="n"/>
      <c r="EN283" s="46" t="n"/>
      <c r="EO283" s="46" t="n"/>
      <c r="EP283" s="46" t="n"/>
      <c r="EQ283" s="46" t="n"/>
      <c r="ER283" s="46" t="n"/>
      <c r="ES283" s="46" t="n"/>
      <c r="ET283" s="46" t="n"/>
      <c r="EU283" s="46" t="n"/>
      <c r="EV283" s="46" t="n"/>
      <c r="EW283" s="46" t="n"/>
      <c r="EX283" s="46" t="n"/>
      <c r="EY283" s="46" t="n"/>
      <c r="EZ283" s="46" t="n"/>
      <c r="FA283" s="46" t="n"/>
      <c r="FB283" s="46" t="n"/>
      <c r="FC283" s="46" t="n"/>
      <c r="FD283" s="46" t="n"/>
      <c r="FE283" s="46" t="n"/>
      <c r="FF283" s="46" t="n"/>
      <c r="FG283" s="46" t="n"/>
      <c r="FH283" s="46" t="n"/>
      <c r="FI283" s="46" t="n"/>
      <c r="FJ283" s="46" t="n"/>
      <c r="FK283" s="46" t="n"/>
      <c r="FL283" s="46" t="n"/>
      <c r="FM283" s="46" t="n"/>
      <c r="FN283" s="46" t="n"/>
      <c r="FO283" s="46" t="n"/>
      <c r="FP283" s="46" t="n"/>
      <c r="FQ283" s="46" t="n"/>
      <c r="FR283" s="46" t="n"/>
      <c r="FS283" s="46" t="n"/>
      <c r="FT283" s="46" t="n"/>
      <c r="FU283" s="46" t="n"/>
      <c r="FV283" s="46" t="n"/>
      <c r="FW283" s="46" t="n"/>
      <c r="FX283" s="46" t="n"/>
      <c r="FY283" s="46" t="n"/>
      <c r="FZ283" s="46" t="n"/>
      <c r="GA283" s="46" t="n"/>
      <c r="GB283" s="46" t="n"/>
      <c r="GC283" s="46" t="n"/>
      <c r="GD283" s="46" t="n"/>
      <c r="GE283" s="46" t="n"/>
      <c r="GF283" s="46" t="n"/>
      <c r="GG283" s="46" t="n"/>
      <c r="GH283" s="46" t="n"/>
      <c r="GI283" s="46" t="n"/>
      <c r="GJ283" s="46" t="n"/>
      <c r="GK283" s="46" t="n"/>
      <c r="GL283" s="46" t="n"/>
      <c r="GM283" s="46" t="n"/>
      <c r="GN283" s="46" t="n"/>
      <c r="GO283" s="46" t="n"/>
      <c r="GP283" s="46" t="n"/>
      <c r="GQ283" s="46" t="n"/>
      <c r="GR283" s="46" t="n"/>
      <c r="GS283" s="46" t="n"/>
      <c r="GT283" s="46" t="n"/>
      <c r="GU283" s="46" t="n"/>
      <c r="GV283" s="46" t="n"/>
      <c r="GW283" s="46" t="n"/>
      <c r="GX283" s="46" t="n"/>
      <c r="GY283" s="46" t="n"/>
      <c r="GZ283" s="46" t="n"/>
      <c r="HA283" s="46" t="n"/>
      <c r="HB283" s="46" t="n"/>
    </row>
    <row r="284" ht="15.75" customHeight="1">
      <c r="A284" s="56" t="n"/>
      <c r="B284" s="61" t="n"/>
      <c r="C284" s="57" t="n"/>
      <c r="D284" s="57" t="n"/>
      <c r="E284" s="56" t="n"/>
      <c r="F284" s="62" t="n"/>
      <c r="G284" s="62" t="n"/>
      <c r="H284" s="65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  <c r="Z284" s="46" t="n"/>
      <c r="AA284" s="46" t="n"/>
      <c r="AB284" s="46" t="n"/>
      <c r="AC284" s="46" t="n"/>
      <c r="AD284" s="46" t="n"/>
      <c r="AE284" s="46" t="n"/>
      <c r="AF284" s="46" t="n"/>
      <c r="AG284" s="46" t="n"/>
      <c r="AH284" s="46" t="n"/>
      <c r="AI284" s="46" t="n"/>
      <c r="AJ284" s="46" t="n"/>
      <c r="AK284" s="46" t="n"/>
      <c r="AL284" s="46" t="n"/>
      <c r="AM284" s="46" t="n"/>
      <c r="AN284" s="46" t="n"/>
      <c r="AO284" s="46" t="n"/>
      <c r="AP284" s="46" t="n"/>
      <c r="AQ284" s="46" t="n"/>
      <c r="AR284" s="46" t="n"/>
      <c r="AS284" s="46" t="n"/>
      <c r="AT284" s="46" t="n"/>
      <c r="AU284" s="46" t="n"/>
      <c r="AV284" s="46" t="n"/>
      <c r="AW284" s="46" t="n"/>
      <c r="AX284" s="46" t="n"/>
      <c r="AY284" s="46" t="n"/>
      <c r="AZ284" s="46" t="n"/>
      <c r="BA284" s="46" t="n"/>
      <c r="BB284" s="46" t="n"/>
      <c r="BC284" s="46" t="n"/>
      <c r="BD284" s="46" t="n"/>
      <c r="BE284" s="46" t="n"/>
      <c r="BF284" s="46" t="n"/>
      <c r="BG284" s="46" t="n"/>
      <c r="BH284" s="46" t="n"/>
      <c r="BI284" s="46" t="n"/>
      <c r="BJ284" s="46" t="n"/>
      <c r="BK284" s="46" t="n"/>
      <c r="BL284" s="46" t="n"/>
      <c r="BM284" s="46" t="n"/>
      <c r="BN284" s="46" t="n"/>
      <c r="BO284" s="46" t="n"/>
      <c r="BP284" s="46" t="n"/>
      <c r="BQ284" s="46" t="n"/>
      <c r="BR284" s="46" t="n"/>
      <c r="BS284" s="46" t="n"/>
      <c r="BT284" s="46" t="n"/>
      <c r="BU284" s="46" t="n"/>
      <c r="BV284" s="46" t="n"/>
      <c r="BW284" s="46" t="n"/>
      <c r="BX284" s="46" t="n"/>
      <c r="BY284" s="46" t="n"/>
      <c r="BZ284" s="46" t="n"/>
      <c r="CA284" s="46" t="n"/>
      <c r="CB284" s="46" t="n"/>
      <c r="CC284" s="46" t="n"/>
      <c r="CD284" s="46" t="n"/>
      <c r="CE284" s="46" t="n"/>
      <c r="CF284" s="46" t="n"/>
      <c r="CG284" s="46" t="n"/>
      <c r="CH284" s="46" t="n"/>
      <c r="CI284" s="46" t="n"/>
      <c r="CJ284" s="46" t="n"/>
      <c r="CK284" s="46" t="n"/>
      <c r="CL284" s="46" t="n"/>
      <c r="CM284" s="46" t="n"/>
      <c r="CN284" s="46" t="n"/>
      <c r="CO284" s="46" t="n"/>
      <c r="CP284" s="46" t="n"/>
      <c r="CQ284" s="46" t="n"/>
      <c r="CR284" s="46" t="n"/>
      <c r="CS284" s="46" t="n"/>
      <c r="CT284" s="46" t="n"/>
      <c r="CU284" s="46" t="n"/>
      <c r="CV284" s="46" t="n"/>
      <c r="CW284" s="46" t="n"/>
      <c r="CX284" s="46" t="n"/>
      <c r="CY284" s="46" t="n"/>
      <c r="CZ284" s="46" t="n"/>
      <c r="DA284" s="46" t="n"/>
      <c r="DB284" s="46" t="n"/>
      <c r="DC284" s="46" t="n"/>
      <c r="DD284" s="46" t="n"/>
      <c r="DE284" s="46" t="n"/>
      <c r="DF284" s="46" t="n"/>
      <c r="DG284" s="46" t="n"/>
      <c r="DH284" s="46" t="n"/>
      <c r="DI284" s="46" t="n"/>
      <c r="DJ284" s="46" t="n"/>
      <c r="DK284" s="46" t="n"/>
      <c r="DL284" s="46" t="n"/>
      <c r="DM284" s="46" t="n"/>
      <c r="DN284" s="46" t="n"/>
      <c r="DO284" s="46" t="n"/>
      <c r="DP284" s="46" t="n"/>
      <c r="DQ284" s="46" t="n"/>
      <c r="DR284" s="46" t="n"/>
      <c r="DS284" s="46" t="n"/>
      <c r="DT284" s="46" t="n"/>
      <c r="DU284" s="46" t="n"/>
      <c r="DV284" s="46" t="n"/>
      <c r="DW284" s="46" t="n"/>
      <c r="DX284" s="46" t="n"/>
      <c r="DY284" s="46" t="n"/>
      <c r="DZ284" s="46" t="n"/>
      <c r="EA284" s="46" t="n"/>
      <c r="EB284" s="46" t="n"/>
      <c r="EC284" s="46" t="n"/>
      <c r="ED284" s="46" t="n"/>
      <c r="EE284" s="46" t="n"/>
      <c r="EF284" s="46" t="n"/>
      <c r="EG284" s="46" t="n"/>
      <c r="EH284" s="46" t="n"/>
      <c r="EI284" s="46" t="n"/>
      <c r="EJ284" s="46" t="n"/>
      <c r="EK284" s="46" t="n"/>
      <c r="EL284" s="46" t="n"/>
      <c r="EM284" s="46" t="n"/>
      <c r="EN284" s="46" t="n"/>
      <c r="EO284" s="46" t="n"/>
      <c r="EP284" s="46" t="n"/>
      <c r="EQ284" s="46" t="n"/>
      <c r="ER284" s="46" t="n"/>
      <c r="ES284" s="46" t="n"/>
      <c r="ET284" s="46" t="n"/>
      <c r="EU284" s="46" t="n"/>
      <c r="EV284" s="46" t="n"/>
      <c r="EW284" s="46" t="n"/>
      <c r="EX284" s="46" t="n"/>
      <c r="EY284" s="46" t="n"/>
      <c r="EZ284" s="46" t="n"/>
      <c r="FA284" s="46" t="n"/>
      <c r="FB284" s="46" t="n"/>
      <c r="FC284" s="46" t="n"/>
      <c r="FD284" s="46" t="n"/>
      <c r="FE284" s="46" t="n"/>
      <c r="FF284" s="46" t="n"/>
      <c r="FG284" s="46" t="n"/>
      <c r="FH284" s="46" t="n"/>
      <c r="FI284" s="46" t="n"/>
      <c r="FJ284" s="46" t="n"/>
      <c r="FK284" s="46" t="n"/>
      <c r="FL284" s="46" t="n"/>
      <c r="FM284" s="46" t="n"/>
      <c r="FN284" s="46" t="n"/>
      <c r="FO284" s="46" t="n"/>
      <c r="FP284" s="46" t="n"/>
      <c r="FQ284" s="46" t="n"/>
      <c r="FR284" s="46" t="n"/>
      <c r="FS284" s="46" t="n"/>
      <c r="FT284" s="46" t="n"/>
      <c r="FU284" s="46" t="n"/>
      <c r="FV284" s="46" t="n"/>
      <c r="FW284" s="46" t="n"/>
      <c r="FX284" s="46" t="n"/>
      <c r="FY284" s="46" t="n"/>
      <c r="FZ284" s="46" t="n"/>
      <c r="GA284" s="46" t="n"/>
      <c r="GB284" s="46" t="n"/>
      <c r="GC284" s="46" t="n"/>
      <c r="GD284" s="46" t="n"/>
      <c r="GE284" s="46" t="n"/>
      <c r="GF284" s="46" t="n"/>
      <c r="GG284" s="46" t="n"/>
      <c r="GH284" s="46" t="n"/>
      <c r="GI284" s="46" t="n"/>
      <c r="GJ284" s="46" t="n"/>
      <c r="GK284" s="46" t="n"/>
      <c r="GL284" s="46" t="n"/>
      <c r="GM284" s="46" t="n"/>
      <c r="GN284" s="46" t="n"/>
      <c r="GO284" s="46" t="n"/>
      <c r="GP284" s="46" t="n"/>
      <c r="GQ284" s="46" t="n"/>
      <c r="GR284" s="46" t="n"/>
      <c r="GS284" s="46" t="n"/>
      <c r="GT284" s="46" t="n"/>
      <c r="GU284" s="46" t="n"/>
      <c r="GV284" s="46" t="n"/>
      <c r="GW284" s="46" t="n"/>
      <c r="GX284" s="46" t="n"/>
      <c r="GY284" s="46" t="n"/>
      <c r="GZ284" s="46" t="n"/>
      <c r="HA284" s="46" t="n"/>
      <c r="HB284" s="46" t="n"/>
    </row>
    <row r="285" ht="15.75" customHeight="1">
      <c r="A285" s="56" t="n"/>
      <c r="B285" s="61" t="n"/>
      <c r="C285" s="57" t="n"/>
      <c r="D285" s="57" t="n"/>
      <c r="E285" s="56" t="n"/>
      <c r="F285" s="57" t="n"/>
      <c r="G285" s="58" t="n"/>
      <c r="H285" s="58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  <c r="Z285" s="46" t="n"/>
      <c r="AA285" s="46" t="n"/>
      <c r="AB285" s="46" t="n"/>
      <c r="AC285" s="46" t="n"/>
      <c r="AD285" s="46" t="n"/>
      <c r="AE285" s="46" t="n"/>
      <c r="AF285" s="46" t="n"/>
      <c r="AG285" s="46" t="n"/>
      <c r="AH285" s="46" t="n"/>
      <c r="AI285" s="46" t="n"/>
      <c r="AJ285" s="46" t="n"/>
      <c r="AK285" s="46" t="n"/>
      <c r="AL285" s="46" t="n"/>
      <c r="AM285" s="46" t="n"/>
      <c r="AN285" s="46" t="n"/>
      <c r="AO285" s="46" t="n"/>
      <c r="AP285" s="46" t="n"/>
      <c r="AQ285" s="46" t="n"/>
      <c r="AR285" s="46" t="n"/>
      <c r="AS285" s="46" t="n"/>
      <c r="AT285" s="46" t="n"/>
      <c r="AU285" s="46" t="n"/>
      <c r="AV285" s="46" t="n"/>
      <c r="AW285" s="46" t="n"/>
      <c r="AX285" s="46" t="n"/>
      <c r="AY285" s="46" t="n"/>
      <c r="AZ285" s="46" t="n"/>
      <c r="BA285" s="46" t="n"/>
      <c r="BB285" s="46" t="n"/>
      <c r="BC285" s="46" t="n"/>
      <c r="BD285" s="46" t="n"/>
      <c r="BE285" s="46" t="n"/>
      <c r="BF285" s="46" t="n"/>
      <c r="BG285" s="46" t="n"/>
      <c r="BH285" s="46" t="n"/>
      <c r="BI285" s="46" t="n"/>
      <c r="BJ285" s="46" t="n"/>
      <c r="BK285" s="46" t="n"/>
      <c r="BL285" s="46" t="n"/>
      <c r="BM285" s="46" t="n"/>
      <c r="BN285" s="46" t="n"/>
      <c r="BO285" s="46" t="n"/>
      <c r="BP285" s="46" t="n"/>
      <c r="BQ285" s="46" t="n"/>
      <c r="BR285" s="46" t="n"/>
      <c r="BS285" s="46" t="n"/>
      <c r="BT285" s="46" t="n"/>
      <c r="BU285" s="46" t="n"/>
      <c r="BV285" s="46" t="n"/>
      <c r="BW285" s="46" t="n"/>
      <c r="BX285" s="46" t="n"/>
      <c r="BY285" s="46" t="n"/>
      <c r="BZ285" s="46" t="n"/>
      <c r="CA285" s="46" t="n"/>
      <c r="CB285" s="46" t="n"/>
      <c r="CC285" s="46" t="n"/>
      <c r="CD285" s="46" t="n"/>
      <c r="CE285" s="46" t="n"/>
      <c r="CF285" s="46" t="n"/>
      <c r="CG285" s="46" t="n"/>
      <c r="CH285" s="46" t="n"/>
      <c r="CI285" s="46" t="n"/>
      <c r="CJ285" s="46" t="n"/>
      <c r="CK285" s="46" t="n"/>
      <c r="CL285" s="46" t="n"/>
      <c r="CM285" s="46" t="n"/>
      <c r="CN285" s="46" t="n"/>
      <c r="CO285" s="46" t="n"/>
      <c r="CP285" s="46" t="n"/>
      <c r="CQ285" s="46" t="n"/>
      <c r="CR285" s="46" t="n"/>
      <c r="CS285" s="46" t="n"/>
      <c r="CT285" s="46" t="n"/>
      <c r="CU285" s="46" t="n"/>
      <c r="CV285" s="46" t="n"/>
      <c r="CW285" s="46" t="n"/>
      <c r="CX285" s="46" t="n"/>
      <c r="CY285" s="46" t="n"/>
      <c r="CZ285" s="46" t="n"/>
      <c r="DA285" s="46" t="n"/>
      <c r="DB285" s="46" t="n"/>
      <c r="DC285" s="46" t="n"/>
      <c r="DD285" s="46" t="n"/>
      <c r="DE285" s="46" t="n"/>
      <c r="DF285" s="46" t="n"/>
      <c r="DG285" s="46" t="n"/>
      <c r="DH285" s="46" t="n"/>
      <c r="DI285" s="46" t="n"/>
      <c r="DJ285" s="46" t="n"/>
      <c r="DK285" s="46" t="n"/>
      <c r="DL285" s="46" t="n"/>
      <c r="DM285" s="46" t="n"/>
      <c r="DN285" s="46" t="n"/>
      <c r="DO285" s="46" t="n"/>
      <c r="DP285" s="46" t="n"/>
      <c r="DQ285" s="46" t="n"/>
      <c r="DR285" s="46" t="n"/>
      <c r="DS285" s="46" t="n"/>
      <c r="DT285" s="46" t="n"/>
      <c r="DU285" s="46" t="n"/>
      <c r="DV285" s="46" t="n"/>
      <c r="DW285" s="46" t="n"/>
      <c r="DX285" s="46" t="n"/>
      <c r="DY285" s="46" t="n"/>
      <c r="DZ285" s="46" t="n"/>
      <c r="EA285" s="46" t="n"/>
      <c r="EB285" s="46" t="n"/>
      <c r="EC285" s="46" t="n"/>
      <c r="ED285" s="46" t="n"/>
      <c r="EE285" s="46" t="n"/>
      <c r="EF285" s="46" t="n"/>
      <c r="EG285" s="46" t="n"/>
      <c r="EH285" s="46" t="n"/>
      <c r="EI285" s="46" t="n"/>
      <c r="EJ285" s="46" t="n"/>
      <c r="EK285" s="46" t="n"/>
      <c r="EL285" s="46" t="n"/>
      <c r="EM285" s="46" t="n"/>
      <c r="EN285" s="46" t="n"/>
      <c r="EO285" s="46" t="n"/>
      <c r="EP285" s="46" t="n"/>
      <c r="EQ285" s="46" t="n"/>
      <c r="ER285" s="46" t="n"/>
      <c r="ES285" s="46" t="n"/>
      <c r="ET285" s="46" t="n"/>
      <c r="EU285" s="46" t="n"/>
      <c r="EV285" s="46" t="n"/>
      <c r="EW285" s="46" t="n"/>
      <c r="EX285" s="46" t="n"/>
      <c r="EY285" s="46" t="n"/>
      <c r="EZ285" s="46" t="n"/>
      <c r="FA285" s="46" t="n"/>
      <c r="FB285" s="46" t="n"/>
      <c r="FC285" s="46" t="n"/>
      <c r="FD285" s="46" t="n"/>
      <c r="FE285" s="46" t="n"/>
      <c r="FF285" s="46" t="n"/>
      <c r="FG285" s="46" t="n"/>
      <c r="FH285" s="46" t="n"/>
      <c r="FI285" s="46" t="n"/>
      <c r="FJ285" s="46" t="n"/>
      <c r="FK285" s="46" t="n"/>
      <c r="FL285" s="46" t="n"/>
      <c r="FM285" s="46" t="n"/>
      <c r="FN285" s="46" t="n"/>
      <c r="FO285" s="46" t="n"/>
      <c r="FP285" s="46" t="n"/>
      <c r="FQ285" s="46" t="n"/>
      <c r="FR285" s="46" t="n"/>
      <c r="FS285" s="46" t="n"/>
      <c r="FT285" s="46" t="n"/>
      <c r="FU285" s="46" t="n"/>
      <c r="FV285" s="46" t="n"/>
      <c r="FW285" s="46" t="n"/>
      <c r="FX285" s="46" t="n"/>
      <c r="FY285" s="46" t="n"/>
      <c r="FZ285" s="46" t="n"/>
      <c r="GA285" s="46" t="n"/>
      <c r="GB285" s="46" t="n"/>
      <c r="GC285" s="46" t="n"/>
      <c r="GD285" s="46" t="n"/>
      <c r="GE285" s="46" t="n"/>
      <c r="GF285" s="46" t="n"/>
      <c r="GG285" s="46" t="n"/>
      <c r="GH285" s="46" t="n"/>
      <c r="GI285" s="46" t="n"/>
      <c r="GJ285" s="46" t="n"/>
      <c r="GK285" s="46" t="n"/>
      <c r="GL285" s="46" t="n"/>
      <c r="GM285" s="46" t="n"/>
      <c r="GN285" s="46" t="n"/>
      <c r="GO285" s="46" t="n"/>
      <c r="GP285" s="46" t="n"/>
      <c r="GQ285" s="46" t="n"/>
      <c r="GR285" s="46" t="n"/>
      <c r="GS285" s="46" t="n"/>
      <c r="GT285" s="46" t="n"/>
      <c r="GU285" s="46" t="n"/>
      <c r="GV285" s="46" t="n"/>
      <c r="GW285" s="46" t="n"/>
      <c r="GX285" s="46" t="n"/>
      <c r="GY285" s="46" t="n"/>
      <c r="GZ285" s="46" t="n"/>
      <c r="HA285" s="46" t="n"/>
      <c r="HB285" s="46" t="n"/>
    </row>
    <row r="286" ht="15.75" customHeight="1">
      <c r="A286" s="56" t="n"/>
      <c r="B286" s="61" t="n"/>
      <c r="C286" s="57" t="n"/>
      <c r="D286" s="57" t="n"/>
      <c r="E286" s="56" t="n"/>
      <c r="F286" s="57" t="n"/>
      <c r="G286" s="58" t="n"/>
      <c r="H286" s="58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  <c r="Z286" s="46" t="n"/>
      <c r="AA286" s="46" t="n"/>
      <c r="AB286" s="46" t="n"/>
      <c r="AC286" s="46" t="n"/>
      <c r="AD286" s="46" t="n"/>
      <c r="AE286" s="46" t="n"/>
      <c r="AF286" s="46" t="n"/>
      <c r="AG286" s="46" t="n"/>
      <c r="AH286" s="46" t="n"/>
      <c r="AI286" s="46" t="n"/>
      <c r="AJ286" s="46" t="n"/>
      <c r="AK286" s="46" t="n"/>
      <c r="AL286" s="46" t="n"/>
      <c r="AM286" s="46" t="n"/>
      <c r="AN286" s="46" t="n"/>
      <c r="AO286" s="46" t="n"/>
      <c r="AP286" s="46" t="n"/>
      <c r="AQ286" s="46" t="n"/>
      <c r="AR286" s="46" t="n"/>
      <c r="AS286" s="46" t="n"/>
      <c r="AT286" s="46" t="n"/>
      <c r="AU286" s="46" t="n"/>
      <c r="AV286" s="46" t="n"/>
      <c r="AW286" s="46" t="n"/>
      <c r="AX286" s="46" t="n"/>
      <c r="AY286" s="46" t="n"/>
      <c r="AZ286" s="46" t="n"/>
      <c r="BA286" s="46" t="n"/>
      <c r="BB286" s="46" t="n"/>
      <c r="BC286" s="46" t="n"/>
      <c r="BD286" s="46" t="n"/>
      <c r="BE286" s="46" t="n"/>
      <c r="BF286" s="46" t="n"/>
      <c r="BG286" s="46" t="n"/>
      <c r="BH286" s="46" t="n"/>
      <c r="BI286" s="46" t="n"/>
      <c r="BJ286" s="46" t="n"/>
      <c r="BK286" s="46" t="n"/>
      <c r="BL286" s="46" t="n"/>
      <c r="BM286" s="46" t="n"/>
      <c r="BN286" s="46" t="n"/>
      <c r="BO286" s="46" t="n"/>
      <c r="BP286" s="46" t="n"/>
      <c r="BQ286" s="46" t="n"/>
      <c r="BR286" s="46" t="n"/>
      <c r="BS286" s="46" t="n"/>
      <c r="BT286" s="46" t="n"/>
      <c r="BU286" s="46" t="n"/>
      <c r="BV286" s="46" t="n"/>
      <c r="BW286" s="46" t="n"/>
      <c r="BX286" s="46" t="n"/>
      <c r="BY286" s="46" t="n"/>
      <c r="BZ286" s="46" t="n"/>
      <c r="CA286" s="46" t="n"/>
      <c r="CB286" s="46" t="n"/>
      <c r="CC286" s="46" t="n"/>
      <c r="CD286" s="46" t="n"/>
      <c r="CE286" s="46" t="n"/>
      <c r="CF286" s="46" t="n"/>
      <c r="CG286" s="46" t="n"/>
      <c r="CH286" s="46" t="n"/>
      <c r="CI286" s="46" t="n"/>
      <c r="CJ286" s="46" t="n"/>
      <c r="CK286" s="46" t="n"/>
      <c r="CL286" s="46" t="n"/>
      <c r="CM286" s="46" t="n"/>
      <c r="CN286" s="46" t="n"/>
      <c r="CO286" s="46" t="n"/>
      <c r="CP286" s="46" t="n"/>
      <c r="CQ286" s="46" t="n"/>
      <c r="CR286" s="46" t="n"/>
      <c r="CS286" s="46" t="n"/>
      <c r="CT286" s="46" t="n"/>
      <c r="CU286" s="46" t="n"/>
      <c r="CV286" s="46" t="n"/>
      <c r="CW286" s="46" t="n"/>
      <c r="CX286" s="46" t="n"/>
      <c r="CY286" s="46" t="n"/>
      <c r="CZ286" s="46" t="n"/>
      <c r="DA286" s="46" t="n"/>
      <c r="DB286" s="46" t="n"/>
      <c r="DC286" s="46" t="n"/>
      <c r="DD286" s="46" t="n"/>
      <c r="DE286" s="46" t="n"/>
      <c r="DF286" s="46" t="n"/>
      <c r="DG286" s="46" t="n"/>
      <c r="DH286" s="46" t="n"/>
      <c r="DI286" s="46" t="n"/>
      <c r="DJ286" s="46" t="n"/>
      <c r="DK286" s="46" t="n"/>
      <c r="DL286" s="46" t="n"/>
      <c r="DM286" s="46" t="n"/>
      <c r="DN286" s="46" t="n"/>
      <c r="DO286" s="46" t="n"/>
      <c r="DP286" s="46" t="n"/>
      <c r="DQ286" s="46" t="n"/>
      <c r="DR286" s="46" t="n"/>
      <c r="DS286" s="46" t="n"/>
      <c r="DT286" s="46" t="n"/>
      <c r="DU286" s="46" t="n"/>
      <c r="DV286" s="46" t="n"/>
      <c r="DW286" s="46" t="n"/>
      <c r="DX286" s="46" t="n"/>
      <c r="DY286" s="46" t="n"/>
      <c r="DZ286" s="46" t="n"/>
      <c r="EA286" s="46" t="n"/>
      <c r="EB286" s="46" t="n"/>
      <c r="EC286" s="46" t="n"/>
      <c r="ED286" s="46" t="n"/>
      <c r="EE286" s="46" t="n"/>
      <c r="EF286" s="46" t="n"/>
      <c r="EG286" s="46" t="n"/>
      <c r="EH286" s="46" t="n"/>
      <c r="EI286" s="46" t="n"/>
      <c r="EJ286" s="46" t="n"/>
      <c r="EK286" s="46" t="n"/>
      <c r="EL286" s="46" t="n"/>
      <c r="EM286" s="46" t="n"/>
      <c r="EN286" s="46" t="n"/>
      <c r="EO286" s="46" t="n"/>
      <c r="EP286" s="46" t="n"/>
      <c r="EQ286" s="46" t="n"/>
      <c r="ER286" s="46" t="n"/>
      <c r="ES286" s="46" t="n"/>
      <c r="ET286" s="46" t="n"/>
      <c r="EU286" s="46" t="n"/>
      <c r="EV286" s="46" t="n"/>
      <c r="EW286" s="46" t="n"/>
      <c r="EX286" s="46" t="n"/>
      <c r="EY286" s="46" t="n"/>
      <c r="EZ286" s="46" t="n"/>
      <c r="FA286" s="46" t="n"/>
      <c r="FB286" s="46" t="n"/>
      <c r="FC286" s="46" t="n"/>
      <c r="FD286" s="46" t="n"/>
      <c r="FE286" s="46" t="n"/>
      <c r="FF286" s="46" t="n"/>
      <c r="FG286" s="46" t="n"/>
      <c r="FH286" s="46" t="n"/>
      <c r="FI286" s="46" t="n"/>
      <c r="FJ286" s="46" t="n"/>
      <c r="FK286" s="46" t="n"/>
      <c r="FL286" s="46" t="n"/>
      <c r="FM286" s="46" t="n"/>
      <c r="FN286" s="46" t="n"/>
      <c r="FO286" s="46" t="n"/>
      <c r="FP286" s="46" t="n"/>
      <c r="FQ286" s="46" t="n"/>
      <c r="FR286" s="46" t="n"/>
      <c r="FS286" s="46" t="n"/>
      <c r="FT286" s="46" t="n"/>
      <c r="FU286" s="46" t="n"/>
      <c r="FV286" s="46" t="n"/>
      <c r="FW286" s="46" t="n"/>
      <c r="FX286" s="46" t="n"/>
      <c r="FY286" s="46" t="n"/>
      <c r="FZ286" s="46" t="n"/>
      <c r="GA286" s="46" t="n"/>
      <c r="GB286" s="46" t="n"/>
      <c r="GC286" s="46" t="n"/>
      <c r="GD286" s="46" t="n"/>
      <c r="GE286" s="46" t="n"/>
      <c r="GF286" s="46" t="n"/>
      <c r="GG286" s="46" t="n"/>
      <c r="GH286" s="46" t="n"/>
      <c r="GI286" s="46" t="n"/>
      <c r="GJ286" s="46" t="n"/>
      <c r="GK286" s="46" t="n"/>
      <c r="GL286" s="46" t="n"/>
      <c r="GM286" s="46" t="n"/>
      <c r="GN286" s="46" t="n"/>
      <c r="GO286" s="46" t="n"/>
      <c r="GP286" s="46" t="n"/>
      <c r="GQ286" s="46" t="n"/>
      <c r="GR286" s="46" t="n"/>
      <c r="GS286" s="46" t="n"/>
      <c r="GT286" s="46" t="n"/>
      <c r="GU286" s="46" t="n"/>
      <c r="GV286" s="46" t="n"/>
      <c r="GW286" s="46" t="n"/>
      <c r="GX286" s="46" t="n"/>
      <c r="GY286" s="46" t="n"/>
      <c r="GZ286" s="46" t="n"/>
      <c r="HA286" s="46" t="n"/>
      <c r="HB286" s="46" t="n"/>
    </row>
    <row r="287" ht="15.75" customHeight="1">
      <c r="A287" s="56" t="n"/>
      <c r="B287" s="42" t="inlineStr">
        <is>
          <t>TOTAL</t>
        </is>
      </c>
      <c r="C287" s="57" t="n"/>
      <c r="D287" s="57" t="n"/>
      <c r="E287" s="56" t="n"/>
      <c r="F287" s="206" t="n"/>
      <c r="G287" s="58" t="n"/>
      <c r="H287" s="207">
        <f>H281</f>
        <v>0.0</v>
      </c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  <c r="Z287" s="46" t="n"/>
      <c r="AA287" s="46" t="n"/>
      <c r="AB287" s="46" t="n"/>
      <c r="AC287" s="46" t="n"/>
      <c r="AD287" s="46" t="n"/>
      <c r="AE287" s="46" t="n"/>
      <c r="AF287" s="46" t="n"/>
      <c r="AG287" s="46" t="n"/>
      <c r="AH287" s="46" t="n"/>
      <c r="AI287" s="46" t="n"/>
      <c r="AJ287" s="46" t="n"/>
      <c r="AK287" s="46" t="n"/>
      <c r="AL287" s="46" t="n"/>
      <c r="AM287" s="46" t="n"/>
      <c r="AN287" s="46" t="n"/>
      <c r="AO287" s="46" t="n"/>
      <c r="AP287" s="46" t="n"/>
      <c r="AQ287" s="46" t="n"/>
      <c r="AR287" s="46" t="n"/>
      <c r="AS287" s="46" t="n"/>
      <c r="AT287" s="46" t="n"/>
      <c r="AU287" s="46" t="n"/>
      <c r="AV287" s="46" t="n"/>
      <c r="AW287" s="46" t="n"/>
      <c r="AX287" s="46" t="n"/>
      <c r="AY287" s="46" t="n"/>
      <c r="AZ287" s="46" t="n"/>
      <c r="BA287" s="46" t="n"/>
      <c r="BB287" s="46" t="n"/>
      <c r="BC287" s="46" t="n"/>
      <c r="BD287" s="46" t="n"/>
      <c r="BE287" s="46" t="n"/>
      <c r="BF287" s="46" t="n"/>
      <c r="BG287" s="46" t="n"/>
      <c r="BH287" s="46" t="n"/>
      <c r="BI287" s="46" t="n"/>
      <c r="BJ287" s="46" t="n"/>
      <c r="BK287" s="46" t="n"/>
      <c r="BL287" s="46" t="n"/>
      <c r="BM287" s="46" t="n"/>
      <c r="BN287" s="46" t="n"/>
      <c r="BO287" s="46" t="n"/>
      <c r="BP287" s="46" t="n"/>
      <c r="BQ287" s="46" t="n"/>
      <c r="BR287" s="46" t="n"/>
      <c r="BS287" s="46" t="n"/>
      <c r="BT287" s="46" t="n"/>
      <c r="BU287" s="46" t="n"/>
      <c r="BV287" s="46" t="n"/>
      <c r="BW287" s="46" t="n"/>
      <c r="BX287" s="46" t="n"/>
      <c r="BY287" s="46" t="n"/>
      <c r="BZ287" s="46" t="n"/>
      <c r="CA287" s="46" t="n"/>
      <c r="CB287" s="46" t="n"/>
      <c r="CC287" s="46" t="n"/>
      <c r="CD287" s="46" t="n"/>
      <c r="CE287" s="46" t="n"/>
      <c r="CF287" s="46" t="n"/>
      <c r="CG287" s="46" t="n"/>
      <c r="CH287" s="46" t="n"/>
      <c r="CI287" s="46" t="n"/>
      <c r="CJ287" s="46" t="n"/>
      <c r="CK287" s="46" t="n"/>
      <c r="CL287" s="46" t="n"/>
      <c r="CM287" s="46" t="n"/>
      <c r="CN287" s="46" t="n"/>
      <c r="CO287" s="46" t="n"/>
      <c r="CP287" s="46" t="n"/>
      <c r="CQ287" s="46" t="n"/>
      <c r="CR287" s="46" t="n"/>
      <c r="CS287" s="46" t="n"/>
      <c r="CT287" s="46" t="n"/>
      <c r="CU287" s="46" t="n"/>
      <c r="CV287" s="46" t="n"/>
      <c r="CW287" s="46" t="n"/>
      <c r="CX287" s="46" t="n"/>
      <c r="CY287" s="46" t="n"/>
      <c r="CZ287" s="46" t="n"/>
      <c r="DA287" s="46" t="n"/>
      <c r="DB287" s="46" t="n"/>
      <c r="DC287" s="46" t="n"/>
      <c r="DD287" s="46" t="n"/>
      <c r="DE287" s="46" t="n"/>
      <c r="DF287" s="46" t="n"/>
      <c r="DG287" s="46" t="n"/>
      <c r="DH287" s="46" t="n"/>
      <c r="DI287" s="46" t="n"/>
      <c r="DJ287" s="46" t="n"/>
      <c r="DK287" s="46" t="n"/>
      <c r="DL287" s="46" t="n"/>
      <c r="DM287" s="46" t="n"/>
      <c r="DN287" s="46" t="n"/>
      <c r="DO287" s="46" t="n"/>
      <c r="DP287" s="46" t="n"/>
      <c r="DQ287" s="46" t="n"/>
      <c r="DR287" s="46" t="n"/>
      <c r="DS287" s="46" t="n"/>
      <c r="DT287" s="46" t="n"/>
      <c r="DU287" s="46" t="n"/>
      <c r="DV287" s="46" t="n"/>
      <c r="DW287" s="46" t="n"/>
      <c r="DX287" s="46" t="n"/>
      <c r="DY287" s="46" t="n"/>
      <c r="DZ287" s="46" t="n"/>
      <c r="EA287" s="46" t="n"/>
      <c r="EB287" s="46" t="n"/>
      <c r="EC287" s="46" t="n"/>
      <c r="ED287" s="46" t="n"/>
      <c r="EE287" s="46" t="n"/>
      <c r="EF287" s="46" t="n"/>
      <c r="EG287" s="46" t="n"/>
      <c r="EH287" s="46" t="n"/>
      <c r="EI287" s="46" t="n"/>
      <c r="EJ287" s="46" t="n"/>
      <c r="EK287" s="46" t="n"/>
      <c r="EL287" s="46" t="n"/>
      <c r="EM287" s="46" t="n"/>
      <c r="EN287" s="46" t="n"/>
      <c r="EO287" s="46" t="n"/>
      <c r="EP287" s="46" t="n"/>
      <c r="EQ287" s="46" t="n"/>
      <c r="ER287" s="46" t="n"/>
      <c r="ES287" s="46" t="n"/>
      <c r="ET287" s="46" t="n"/>
      <c r="EU287" s="46" t="n"/>
      <c r="EV287" s="46" t="n"/>
      <c r="EW287" s="46" t="n"/>
      <c r="EX287" s="46" t="n"/>
      <c r="EY287" s="46" t="n"/>
      <c r="EZ287" s="46" t="n"/>
      <c r="FA287" s="46" t="n"/>
      <c r="FB287" s="46" t="n"/>
      <c r="FC287" s="46" t="n"/>
      <c r="FD287" s="46" t="n"/>
      <c r="FE287" s="46" t="n"/>
      <c r="FF287" s="46" t="n"/>
      <c r="FG287" s="46" t="n"/>
      <c r="FH287" s="46" t="n"/>
      <c r="FI287" s="46" t="n"/>
      <c r="FJ287" s="46" t="n"/>
      <c r="FK287" s="46" t="n"/>
      <c r="FL287" s="46" t="n"/>
      <c r="FM287" s="46" t="n"/>
      <c r="FN287" s="46" t="n"/>
      <c r="FO287" s="46" t="n"/>
      <c r="FP287" s="46" t="n"/>
      <c r="FQ287" s="46" t="n"/>
      <c r="FR287" s="46" t="n"/>
      <c r="FS287" s="46" t="n"/>
      <c r="FT287" s="46" t="n"/>
      <c r="FU287" s="46" t="n"/>
      <c r="FV287" s="46" t="n"/>
      <c r="FW287" s="46" t="n"/>
      <c r="FX287" s="46" t="n"/>
      <c r="FY287" s="46" t="n"/>
      <c r="FZ287" s="46" t="n"/>
      <c r="GA287" s="46" t="n"/>
      <c r="GB287" s="46" t="n"/>
      <c r="GC287" s="46" t="n"/>
      <c r="GD287" s="46" t="n"/>
      <c r="GE287" s="46" t="n"/>
      <c r="GF287" s="46" t="n"/>
      <c r="GG287" s="46" t="n"/>
      <c r="GH287" s="46" t="n"/>
      <c r="GI287" s="46" t="n"/>
      <c r="GJ287" s="46" t="n"/>
      <c r="GK287" s="46" t="n"/>
      <c r="GL287" s="46" t="n"/>
      <c r="GM287" s="46" t="n"/>
      <c r="GN287" s="46" t="n"/>
      <c r="GO287" s="46" t="n"/>
      <c r="GP287" s="46" t="n"/>
      <c r="GQ287" s="46" t="n"/>
      <c r="GR287" s="46" t="n"/>
      <c r="GS287" s="46" t="n"/>
      <c r="GT287" s="46" t="n"/>
      <c r="GU287" s="46" t="n"/>
      <c r="GV287" s="46" t="n"/>
      <c r="GW287" s="46" t="n"/>
      <c r="GX287" s="46" t="n"/>
      <c r="GY287" s="46" t="n"/>
      <c r="GZ287" s="46" t="n"/>
      <c r="HA287" s="46" t="n"/>
      <c r="HB287" s="46" t="n"/>
    </row>
    <row r="288" ht="15.75" customHeight="1">
      <c r="A288" s="56" t="n"/>
      <c r="B288" s="61" t="n"/>
      <c r="C288" s="57" t="n"/>
      <c r="D288" s="57" t="n"/>
      <c r="E288" s="56" t="n"/>
      <c r="F288" s="57" t="n"/>
      <c r="G288" s="58" t="n"/>
      <c r="H288" s="58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  <c r="Z288" s="46" t="n"/>
      <c r="AA288" s="46" t="n"/>
      <c r="AB288" s="46" t="n"/>
      <c r="AC288" s="46" t="n"/>
      <c r="AD288" s="46" t="n"/>
      <c r="AE288" s="46" t="n"/>
      <c r="AF288" s="46" t="n"/>
      <c r="AG288" s="46" t="n"/>
      <c r="AH288" s="46" t="n"/>
      <c r="AI288" s="46" t="n"/>
      <c r="AJ288" s="46" t="n"/>
      <c r="AK288" s="46" t="n"/>
      <c r="AL288" s="46" t="n"/>
      <c r="AM288" s="46" t="n"/>
      <c r="AN288" s="46" t="n"/>
      <c r="AO288" s="46" t="n"/>
      <c r="AP288" s="46" t="n"/>
      <c r="AQ288" s="46" t="n"/>
      <c r="AR288" s="46" t="n"/>
      <c r="AS288" s="46" t="n"/>
      <c r="AT288" s="46" t="n"/>
      <c r="AU288" s="46" t="n"/>
      <c r="AV288" s="46" t="n"/>
      <c r="AW288" s="46" t="n"/>
      <c r="AX288" s="46" t="n"/>
      <c r="AY288" s="46" t="n"/>
      <c r="AZ288" s="46" t="n"/>
      <c r="BA288" s="46" t="n"/>
      <c r="BB288" s="46" t="n"/>
      <c r="BC288" s="46" t="n"/>
      <c r="BD288" s="46" t="n"/>
      <c r="BE288" s="46" t="n"/>
      <c r="BF288" s="46" t="n"/>
      <c r="BG288" s="46" t="n"/>
      <c r="BH288" s="46" t="n"/>
      <c r="BI288" s="46" t="n"/>
      <c r="BJ288" s="46" t="n"/>
      <c r="BK288" s="46" t="n"/>
      <c r="BL288" s="46" t="n"/>
      <c r="BM288" s="46" t="n"/>
      <c r="BN288" s="46" t="n"/>
      <c r="BO288" s="46" t="n"/>
      <c r="BP288" s="46" t="n"/>
      <c r="BQ288" s="46" t="n"/>
      <c r="BR288" s="46" t="n"/>
      <c r="BS288" s="46" t="n"/>
      <c r="BT288" s="46" t="n"/>
      <c r="BU288" s="46" t="n"/>
      <c r="BV288" s="46" t="n"/>
      <c r="BW288" s="46" t="n"/>
      <c r="BX288" s="46" t="n"/>
      <c r="BY288" s="46" t="n"/>
      <c r="BZ288" s="46" t="n"/>
      <c r="CA288" s="46" t="n"/>
      <c r="CB288" s="46" t="n"/>
      <c r="CC288" s="46" t="n"/>
      <c r="CD288" s="46" t="n"/>
      <c r="CE288" s="46" t="n"/>
      <c r="CF288" s="46" t="n"/>
      <c r="CG288" s="46" t="n"/>
      <c r="CH288" s="46" t="n"/>
      <c r="CI288" s="46" t="n"/>
      <c r="CJ288" s="46" t="n"/>
      <c r="CK288" s="46" t="n"/>
      <c r="CL288" s="46" t="n"/>
      <c r="CM288" s="46" t="n"/>
      <c r="CN288" s="46" t="n"/>
      <c r="CO288" s="46" t="n"/>
      <c r="CP288" s="46" t="n"/>
      <c r="CQ288" s="46" t="n"/>
      <c r="CR288" s="46" t="n"/>
      <c r="CS288" s="46" t="n"/>
      <c r="CT288" s="46" t="n"/>
      <c r="CU288" s="46" t="n"/>
      <c r="CV288" s="46" t="n"/>
      <c r="CW288" s="46" t="n"/>
      <c r="CX288" s="46" t="n"/>
      <c r="CY288" s="46" t="n"/>
      <c r="CZ288" s="46" t="n"/>
      <c r="DA288" s="46" t="n"/>
      <c r="DB288" s="46" t="n"/>
      <c r="DC288" s="46" t="n"/>
      <c r="DD288" s="46" t="n"/>
      <c r="DE288" s="46" t="n"/>
      <c r="DF288" s="46" t="n"/>
      <c r="DG288" s="46" t="n"/>
      <c r="DH288" s="46" t="n"/>
      <c r="DI288" s="46" t="n"/>
      <c r="DJ288" s="46" t="n"/>
      <c r="DK288" s="46" t="n"/>
      <c r="DL288" s="46" t="n"/>
      <c r="DM288" s="46" t="n"/>
      <c r="DN288" s="46" t="n"/>
      <c r="DO288" s="46" t="n"/>
      <c r="DP288" s="46" t="n"/>
      <c r="DQ288" s="46" t="n"/>
      <c r="DR288" s="46" t="n"/>
      <c r="DS288" s="46" t="n"/>
      <c r="DT288" s="46" t="n"/>
      <c r="DU288" s="46" t="n"/>
      <c r="DV288" s="46" t="n"/>
      <c r="DW288" s="46" t="n"/>
      <c r="DX288" s="46" t="n"/>
      <c r="DY288" s="46" t="n"/>
      <c r="DZ288" s="46" t="n"/>
      <c r="EA288" s="46" t="n"/>
      <c r="EB288" s="46" t="n"/>
      <c r="EC288" s="46" t="n"/>
      <c r="ED288" s="46" t="n"/>
      <c r="EE288" s="46" t="n"/>
      <c r="EF288" s="46" t="n"/>
      <c r="EG288" s="46" t="n"/>
      <c r="EH288" s="46" t="n"/>
      <c r="EI288" s="46" t="n"/>
      <c r="EJ288" s="46" t="n"/>
      <c r="EK288" s="46" t="n"/>
      <c r="EL288" s="46" t="n"/>
      <c r="EM288" s="46" t="n"/>
      <c r="EN288" s="46" t="n"/>
      <c r="EO288" s="46" t="n"/>
      <c r="EP288" s="46" t="n"/>
      <c r="EQ288" s="46" t="n"/>
      <c r="ER288" s="46" t="n"/>
      <c r="ES288" s="46" t="n"/>
      <c r="ET288" s="46" t="n"/>
      <c r="EU288" s="46" t="n"/>
      <c r="EV288" s="46" t="n"/>
      <c r="EW288" s="46" t="n"/>
      <c r="EX288" s="46" t="n"/>
      <c r="EY288" s="46" t="n"/>
      <c r="EZ288" s="46" t="n"/>
      <c r="FA288" s="46" t="n"/>
      <c r="FB288" s="46" t="n"/>
      <c r="FC288" s="46" t="n"/>
      <c r="FD288" s="46" t="n"/>
      <c r="FE288" s="46" t="n"/>
      <c r="FF288" s="46" t="n"/>
      <c r="FG288" s="46" t="n"/>
      <c r="FH288" s="46" t="n"/>
      <c r="FI288" s="46" t="n"/>
      <c r="FJ288" s="46" t="n"/>
      <c r="FK288" s="46" t="n"/>
      <c r="FL288" s="46" t="n"/>
      <c r="FM288" s="46" t="n"/>
      <c r="FN288" s="46" t="n"/>
      <c r="FO288" s="46" t="n"/>
      <c r="FP288" s="46" t="n"/>
      <c r="FQ288" s="46" t="n"/>
      <c r="FR288" s="46" t="n"/>
      <c r="FS288" s="46" t="n"/>
      <c r="FT288" s="46" t="n"/>
      <c r="FU288" s="46" t="n"/>
      <c r="FV288" s="46" t="n"/>
      <c r="FW288" s="46" t="n"/>
      <c r="FX288" s="46" t="n"/>
      <c r="FY288" s="46" t="n"/>
      <c r="FZ288" s="46" t="n"/>
      <c r="GA288" s="46" t="n"/>
      <c r="GB288" s="46" t="n"/>
      <c r="GC288" s="46" t="n"/>
      <c r="GD288" s="46" t="n"/>
      <c r="GE288" s="46" t="n"/>
      <c r="GF288" s="46" t="n"/>
      <c r="GG288" s="46" t="n"/>
      <c r="GH288" s="46" t="n"/>
      <c r="GI288" s="46" t="n"/>
      <c r="GJ288" s="46" t="n"/>
      <c r="GK288" s="46" t="n"/>
      <c r="GL288" s="46" t="n"/>
      <c r="GM288" s="46" t="n"/>
      <c r="GN288" s="46" t="n"/>
      <c r="GO288" s="46" t="n"/>
      <c r="GP288" s="46" t="n"/>
      <c r="GQ288" s="46" t="n"/>
      <c r="GR288" s="46" t="n"/>
      <c r="GS288" s="46" t="n"/>
      <c r="GT288" s="46" t="n"/>
      <c r="GU288" s="46" t="n"/>
      <c r="GV288" s="46" t="n"/>
      <c r="GW288" s="46" t="n"/>
      <c r="GX288" s="46" t="n"/>
      <c r="GY288" s="46" t="n"/>
      <c r="GZ288" s="46" t="n"/>
      <c r="HA288" s="46" t="n"/>
      <c r="HB288" s="46" t="n"/>
    </row>
    <row r="289" ht="15.75" customHeight="1">
      <c r="A289" s="56" t="n"/>
      <c r="B289" s="61" t="n"/>
      <c r="C289" s="57" t="n"/>
      <c r="D289" s="57" t="n"/>
      <c r="E289" s="56" t="n"/>
      <c r="F289" s="57" t="n"/>
      <c r="G289" s="209" t="n"/>
      <c r="H289" s="209" t="n"/>
    </row>
    <row r="290" ht="15.75" customHeight="1">
      <c r="A290" s="56" t="n"/>
      <c r="B290" s="61" t="n"/>
      <c r="C290" s="57" t="n"/>
      <c r="D290" s="57" t="n"/>
      <c r="E290" s="56" t="n"/>
      <c r="F290" s="57" t="n"/>
      <c r="G290" s="209" t="n"/>
      <c r="H290" s="209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B22"/>
  <sheetViews>
    <sheetView topLeftCell="A10" zoomScale="104" workbookViewId="0">
      <selection activeCell="F13" sqref="F13"/>
    </sheetView>
  </sheetViews>
  <sheetFormatPr baseColWidth="8" defaultRowHeight="13.8"/>
  <cols>
    <col width="5.3984375" bestFit="1" customWidth="1" min="1" max="1"/>
    <col width="34.09765625" customWidth="1" min="2" max="2"/>
    <col width="4.59765625" bestFit="1" customWidth="1" min="3" max="3"/>
    <col width="5" bestFit="1" customWidth="1" min="4" max="4"/>
    <col width="5.69921875" bestFit="1" customWidth="1" min="5" max="5"/>
    <col width="18.3984375" bestFit="1" customWidth="1" style="242" min="6" max="6"/>
    <col width="13.296875" bestFit="1" customWidth="1" min="7" max="8"/>
    <col hidden="1" width="13.296875" customWidth="1" min="12" max="12"/>
  </cols>
  <sheetData>
    <row r="1" ht="17.25" customFormat="1" customHeight="1" s="4" thickBot="1" thickTop="1">
      <c r="A1" s="50" t="inlineStr">
        <is>
          <t>Item</t>
        </is>
      </c>
      <c r="B1" s="50" t="inlineStr">
        <is>
          <t>Description</t>
        </is>
      </c>
      <c r="C1" s="51" t="inlineStr">
        <is>
          <t>Qty</t>
        </is>
      </c>
      <c r="D1" s="50" t="inlineStr">
        <is>
          <t>Unit</t>
        </is>
      </c>
      <c r="E1" s="51" t="inlineStr">
        <is>
          <t>Rate</t>
        </is>
      </c>
      <c r="F1" s="243" t="inlineStr">
        <is>
          <t>Amount</t>
        </is>
      </c>
    </row>
    <row r="2" ht="16.5" customFormat="1" customHeight="1" s="4" thickTop="1">
      <c r="A2" s="53" t="n"/>
      <c r="B2" s="54" t="n"/>
      <c r="C2" s="55" t="n"/>
      <c r="D2" s="53" t="n"/>
      <c r="E2" s="55" t="n"/>
      <c r="F2" s="244" t="n"/>
    </row>
    <row r="3" ht="15.75" customFormat="1" customHeight="1" s="4">
      <c r="A3" s="56" t="n"/>
      <c r="B3" s="59" t="inlineStr">
        <is>
          <t>GENERAL SUMMARY</t>
        </is>
      </c>
      <c r="C3" s="57" t="n"/>
      <c r="D3" s="56" t="n"/>
      <c r="E3" s="58" t="n"/>
      <c r="F3" s="245" t="n"/>
      <c r="G3" s="46" t="n"/>
      <c r="H3" s="46" t="n"/>
      <c r="I3" s="46" t="n"/>
      <c r="J3" s="46" t="n"/>
      <c r="K3" s="46" t="n"/>
      <c r="L3" s="46" t="n"/>
      <c r="M3" s="46" t="n"/>
      <c r="N3" s="46" t="n"/>
      <c r="O3" s="46" t="n"/>
      <c r="P3" s="46" t="n"/>
      <c r="Q3" s="46" t="n"/>
      <c r="R3" s="46" t="n"/>
      <c r="S3" s="46" t="n"/>
      <c r="T3" s="46" t="n"/>
      <c r="U3" s="46" t="n"/>
      <c r="V3" s="46" t="n"/>
      <c r="W3" s="46" t="n"/>
      <c r="X3" s="46" t="n"/>
      <c r="Y3" s="46" t="n"/>
      <c r="Z3" s="46" t="n"/>
      <c r="AA3" s="46" t="n"/>
      <c r="AB3" s="46" t="n"/>
      <c r="AC3" s="46" t="n"/>
      <c r="AD3" s="46" t="n"/>
      <c r="AE3" s="46" t="n"/>
      <c r="AF3" s="46" t="n"/>
      <c r="AG3" s="46" t="n"/>
      <c r="AH3" s="46" t="n"/>
      <c r="AI3" s="46" t="n"/>
      <c r="AJ3" s="46" t="n"/>
      <c r="AK3" s="46" t="n"/>
      <c r="AL3" s="46" t="n"/>
      <c r="AM3" s="46" t="n"/>
      <c r="AN3" s="46" t="n"/>
      <c r="AO3" s="46" t="n"/>
      <c r="AP3" s="46" t="n"/>
      <c r="AQ3" s="46" t="n"/>
      <c r="AR3" s="46" t="n"/>
      <c r="AS3" s="46" t="n"/>
      <c r="AT3" s="46" t="n"/>
      <c r="AU3" s="46" t="n"/>
      <c r="AV3" s="46" t="n"/>
      <c r="AW3" s="46" t="n"/>
      <c r="AX3" s="46" t="n"/>
      <c r="AY3" s="46" t="n"/>
      <c r="AZ3" s="46" t="n"/>
      <c r="BA3" s="46" t="n"/>
      <c r="BB3" s="46" t="n"/>
      <c r="BC3" s="46" t="n"/>
      <c r="BD3" s="46" t="n"/>
      <c r="BE3" s="46" t="n"/>
      <c r="BF3" s="46" t="n"/>
      <c r="BG3" s="46" t="n"/>
      <c r="BH3" s="46" t="n"/>
      <c r="BI3" s="46" t="n"/>
      <c r="BJ3" s="46" t="n"/>
      <c r="BK3" s="46" t="n"/>
      <c r="BL3" s="46" t="n"/>
      <c r="BM3" s="46" t="n"/>
      <c r="BN3" s="46" t="n"/>
      <c r="BO3" s="46" t="n"/>
      <c r="BP3" s="46" t="n"/>
      <c r="BQ3" s="46" t="n"/>
      <c r="BR3" s="46" t="n"/>
      <c r="BS3" s="46" t="n"/>
      <c r="BT3" s="46" t="n"/>
      <c r="BU3" s="46" t="n"/>
      <c r="BV3" s="46" t="n"/>
      <c r="BW3" s="46" t="n"/>
      <c r="BX3" s="46" t="n"/>
      <c r="BY3" s="46" t="n"/>
      <c r="BZ3" s="46" t="n"/>
      <c r="CA3" s="46" t="n"/>
      <c r="CB3" s="46" t="n"/>
      <c r="CC3" s="46" t="n"/>
      <c r="CD3" s="46" t="n"/>
      <c r="CE3" s="46" t="n"/>
      <c r="CF3" s="46" t="n"/>
      <c r="CG3" s="46" t="n"/>
      <c r="CH3" s="46" t="n"/>
      <c r="CI3" s="46" t="n"/>
      <c r="CJ3" s="46" t="n"/>
      <c r="CK3" s="46" t="n"/>
      <c r="CL3" s="46" t="n"/>
      <c r="CM3" s="46" t="n"/>
      <c r="CN3" s="46" t="n"/>
      <c r="CO3" s="46" t="n"/>
      <c r="CP3" s="46" t="n"/>
      <c r="CQ3" s="46" t="n"/>
      <c r="CR3" s="46" t="n"/>
      <c r="CS3" s="46" t="n"/>
      <c r="CT3" s="46" t="n"/>
      <c r="CU3" s="46" t="n"/>
      <c r="CV3" s="46" t="n"/>
      <c r="CW3" s="46" t="n"/>
      <c r="CX3" s="46" t="n"/>
      <c r="CY3" s="46" t="n"/>
      <c r="CZ3" s="46" t="n"/>
      <c r="DA3" s="46" t="n"/>
      <c r="DB3" s="46" t="n"/>
      <c r="DC3" s="46" t="n"/>
      <c r="DD3" s="46" t="n"/>
      <c r="DE3" s="46" t="n"/>
      <c r="DF3" s="46" t="n"/>
      <c r="DG3" s="46" t="n"/>
      <c r="DH3" s="46" t="n"/>
      <c r="DI3" s="46" t="n"/>
      <c r="DJ3" s="46" t="n"/>
      <c r="DK3" s="46" t="n"/>
      <c r="DL3" s="46" t="n"/>
      <c r="DM3" s="46" t="n"/>
      <c r="DN3" s="46" t="n"/>
      <c r="DO3" s="46" t="n"/>
      <c r="DP3" s="46" t="n"/>
      <c r="DQ3" s="46" t="n"/>
      <c r="DR3" s="46" t="n"/>
      <c r="DS3" s="46" t="n"/>
      <c r="DT3" s="46" t="n"/>
      <c r="DU3" s="46" t="n"/>
      <c r="DV3" s="46" t="n"/>
      <c r="DW3" s="46" t="n"/>
      <c r="DX3" s="46" t="n"/>
      <c r="DY3" s="46" t="n"/>
      <c r="DZ3" s="46" t="n"/>
      <c r="EA3" s="46" t="n"/>
      <c r="EB3" s="46" t="n"/>
      <c r="EC3" s="46" t="n"/>
      <c r="ED3" s="46" t="n"/>
      <c r="EE3" s="46" t="n"/>
      <c r="EF3" s="46" t="n"/>
      <c r="EG3" s="46" t="n"/>
      <c r="EH3" s="46" t="n"/>
      <c r="EI3" s="46" t="n"/>
      <c r="EJ3" s="46" t="n"/>
      <c r="EK3" s="46" t="n"/>
      <c r="EL3" s="46" t="n"/>
      <c r="EM3" s="46" t="n"/>
      <c r="EN3" s="46" t="n"/>
      <c r="EO3" s="46" t="n"/>
      <c r="EP3" s="46" t="n"/>
      <c r="EQ3" s="46" t="n"/>
      <c r="ER3" s="46" t="n"/>
      <c r="ES3" s="46" t="n"/>
      <c r="ET3" s="46" t="n"/>
      <c r="EU3" s="46" t="n"/>
      <c r="EV3" s="46" t="n"/>
      <c r="EW3" s="46" t="n"/>
      <c r="EX3" s="46" t="n"/>
      <c r="EY3" s="46" t="n"/>
      <c r="EZ3" s="46" t="n"/>
      <c r="FA3" s="46" t="n"/>
      <c r="FB3" s="46" t="n"/>
      <c r="FC3" s="46" t="n"/>
      <c r="FD3" s="46" t="n"/>
      <c r="FE3" s="46" t="n"/>
      <c r="FF3" s="46" t="n"/>
      <c r="FG3" s="46" t="n"/>
      <c r="FH3" s="46" t="n"/>
      <c r="FI3" s="46" t="n"/>
      <c r="FJ3" s="46" t="n"/>
      <c r="FK3" s="46" t="n"/>
      <c r="FL3" s="46" t="n"/>
      <c r="FM3" s="46" t="n"/>
      <c r="FN3" s="46" t="n"/>
      <c r="FO3" s="46" t="n"/>
      <c r="FP3" s="46" t="n"/>
      <c r="FQ3" s="46" t="n"/>
      <c r="FR3" s="46" t="n"/>
      <c r="FS3" s="46" t="n"/>
      <c r="FT3" s="46" t="n"/>
      <c r="FU3" s="46" t="n"/>
      <c r="FV3" s="46" t="n"/>
      <c r="FW3" s="46" t="n"/>
      <c r="FX3" s="46" t="n"/>
      <c r="FY3" s="46" t="n"/>
      <c r="FZ3" s="46" t="n"/>
      <c r="GA3" s="46" t="n"/>
      <c r="GB3" s="46" t="n"/>
      <c r="GC3" s="46" t="n"/>
      <c r="GD3" s="46" t="n"/>
      <c r="GE3" s="46" t="n"/>
      <c r="GF3" s="46" t="n"/>
      <c r="GG3" s="46" t="n"/>
      <c r="GH3" s="46" t="n"/>
      <c r="GI3" s="46" t="n"/>
      <c r="GJ3" s="46" t="n"/>
      <c r="GK3" s="46" t="n"/>
      <c r="GL3" s="46" t="n"/>
      <c r="GM3" s="46" t="n"/>
      <c r="GN3" s="46" t="n"/>
      <c r="GO3" s="46" t="n"/>
      <c r="GP3" s="46" t="n"/>
      <c r="GQ3" s="46" t="n"/>
      <c r="GR3" s="46" t="n"/>
      <c r="GS3" s="46" t="n"/>
      <c r="GT3" s="46" t="n"/>
      <c r="GU3" s="46" t="n"/>
      <c r="GV3" s="46" t="n"/>
      <c r="GW3" s="46" t="n"/>
      <c r="GX3" s="46" t="n"/>
      <c r="GY3" s="46" t="n"/>
      <c r="GZ3" s="46" t="n"/>
      <c r="HA3" s="46" t="n"/>
      <c r="HB3" s="46" t="n"/>
    </row>
    <row r="4" ht="15.75" customFormat="1" customHeight="1" s="4">
      <c r="A4" s="56" t="n"/>
      <c r="B4" s="59" t="n"/>
      <c r="C4" s="57" t="n"/>
      <c r="D4" s="56" t="n"/>
      <c r="E4" s="58" t="n"/>
      <c r="F4" s="245" t="n"/>
      <c r="G4" s="46" t="n"/>
      <c r="H4" s="46" t="n"/>
      <c r="I4" s="46" t="n"/>
      <c r="J4" s="46" t="n"/>
      <c r="K4" s="46" t="n"/>
      <c r="L4" s="46" t="n"/>
      <c r="M4" s="46" t="n"/>
      <c r="N4" s="46" t="n"/>
      <c r="O4" s="46" t="n"/>
      <c r="P4" s="46" t="n"/>
      <c r="Q4" s="46" t="n"/>
      <c r="R4" s="46" t="n"/>
      <c r="S4" s="46" t="n"/>
      <c r="T4" s="46" t="n"/>
      <c r="U4" s="46" t="n"/>
      <c r="V4" s="46" t="n"/>
      <c r="W4" s="46" t="n"/>
      <c r="X4" s="46" t="n"/>
      <c r="Y4" s="46" t="n"/>
      <c r="Z4" s="46" t="n"/>
      <c r="AA4" s="46" t="n"/>
      <c r="AB4" s="46" t="n"/>
      <c r="AC4" s="46" t="n"/>
      <c r="AD4" s="46" t="n"/>
      <c r="AE4" s="46" t="n"/>
      <c r="AF4" s="46" t="n"/>
      <c r="AG4" s="46" t="n"/>
      <c r="AH4" s="46" t="n"/>
      <c r="AI4" s="46" t="n"/>
      <c r="AJ4" s="46" t="n"/>
      <c r="AK4" s="46" t="n"/>
      <c r="AL4" s="46" t="n"/>
      <c r="AM4" s="46" t="n"/>
      <c r="AN4" s="46" t="n"/>
      <c r="AO4" s="46" t="n"/>
      <c r="AP4" s="46" t="n"/>
      <c r="AQ4" s="46" t="n"/>
      <c r="AR4" s="46" t="n"/>
      <c r="AS4" s="46" t="n"/>
      <c r="AT4" s="46" t="n"/>
      <c r="AU4" s="46" t="n"/>
      <c r="AV4" s="46" t="n"/>
      <c r="AW4" s="46" t="n"/>
      <c r="AX4" s="46" t="n"/>
      <c r="AY4" s="46" t="n"/>
      <c r="AZ4" s="46" t="n"/>
      <c r="BA4" s="46" t="n"/>
      <c r="BB4" s="46" t="n"/>
      <c r="BC4" s="46" t="n"/>
      <c r="BD4" s="46" t="n"/>
      <c r="BE4" s="46" t="n"/>
      <c r="BF4" s="46" t="n"/>
      <c r="BG4" s="46" t="n"/>
      <c r="BH4" s="46" t="n"/>
      <c r="BI4" s="46" t="n"/>
      <c r="BJ4" s="46" t="n"/>
      <c r="BK4" s="46" t="n"/>
      <c r="BL4" s="46" t="n"/>
      <c r="BM4" s="46" t="n"/>
      <c r="BN4" s="46" t="n"/>
      <c r="BO4" s="46" t="n"/>
      <c r="BP4" s="46" t="n"/>
      <c r="BQ4" s="46" t="n"/>
      <c r="BR4" s="46" t="n"/>
      <c r="BS4" s="46" t="n"/>
      <c r="BT4" s="46" t="n"/>
      <c r="BU4" s="46" t="n"/>
      <c r="BV4" s="46" t="n"/>
      <c r="BW4" s="46" t="n"/>
      <c r="BX4" s="46" t="n"/>
      <c r="BY4" s="46" t="n"/>
      <c r="BZ4" s="46" t="n"/>
      <c r="CA4" s="46" t="n"/>
      <c r="CB4" s="46" t="n"/>
      <c r="CC4" s="46" t="n"/>
      <c r="CD4" s="46" t="n"/>
      <c r="CE4" s="46" t="n"/>
      <c r="CF4" s="46" t="n"/>
      <c r="CG4" s="46" t="n"/>
      <c r="CH4" s="46" t="n"/>
      <c r="CI4" s="46" t="n"/>
      <c r="CJ4" s="46" t="n"/>
      <c r="CK4" s="46" t="n"/>
      <c r="CL4" s="46" t="n"/>
      <c r="CM4" s="46" t="n"/>
      <c r="CN4" s="46" t="n"/>
      <c r="CO4" s="46" t="n"/>
      <c r="CP4" s="46" t="n"/>
      <c r="CQ4" s="46" t="n"/>
      <c r="CR4" s="46" t="n"/>
      <c r="CS4" s="46" t="n"/>
      <c r="CT4" s="46" t="n"/>
      <c r="CU4" s="46" t="n"/>
      <c r="CV4" s="46" t="n"/>
      <c r="CW4" s="46" t="n"/>
      <c r="CX4" s="46" t="n"/>
      <c r="CY4" s="46" t="n"/>
      <c r="CZ4" s="46" t="n"/>
      <c r="DA4" s="46" t="n"/>
      <c r="DB4" s="46" t="n"/>
      <c r="DC4" s="46" t="n"/>
      <c r="DD4" s="46" t="n"/>
      <c r="DE4" s="46" t="n"/>
      <c r="DF4" s="46" t="n"/>
      <c r="DG4" s="46" t="n"/>
      <c r="DH4" s="46" t="n"/>
      <c r="DI4" s="46" t="n"/>
      <c r="DJ4" s="46" t="n"/>
      <c r="DK4" s="46" t="n"/>
      <c r="DL4" s="46" t="n"/>
      <c r="DM4" s="46" t="n"/>
      <c r="DN4" s="46" t="n"/>
      <c r="DO4" s="46" t="n"/>
      <c r="DP4" s="46" t="n"/>
      <c r="DQ4" s="46" t="n"/>
      <c r="DR4" s="46" t="n"/>
      <c r="DS4" s="46" t="n"/>
      <c r="DT4" s="46" t="n"/>
      <c r="DU4" s="46" t="n"/>
      <c r="DV4" s="46" t="n"/>
      <c r="DW4" s="46" t="n"/>
      <c r="DX4" s="46" t="n"/>
      <c r="DY4" s="46" t="n"/>
      <c r="DZ4" s="46" t="n"/>
      <c r="EA4" s="46" t="n"/>
      <c r="EB4" s="46" t="n"/>
      <c r="EC4" s="46" t="n"/>
      <c r="ED4" s="46" t="n"/>
      <c r="EE4" s="46" t="n"/>
      <c r="EF4" s="46" t="n"/>
      <c r="EG4" s="46" t="n"/>
      <c r="EH4" s="46" t="n"/>
      <c r="EI4" s="46" t="n"/>
      <c r="EJ4" s="46" t="n"/>
      <c r="EK4" s="46" t="n"/>
      <c r="EL4" s="46" t="n"/>
      <c r="EM4" s="46" t="n"/>
      <c r="EN4" s="46" t="n"/>
      <c r="EO4" s="46" t="n"/>
      <c r="EP4" s="46" t="n"/>
      <c r="EQ4" s="46" t="n"/>
      <c r="ER4" s="46" t="n"/>
      <c r="ES4" s="46" t="n"/>
      <c r="ET4" s="46" t="n"/>
      <c r="EU4" s="46" t="n"/>
      <c r="EV4" s="46" t="n"/>
      <c r="EW4" s="46" t="n"/>
      <c r="EX4" s="46" t="n"/>
      <c r="EY4" s="46" t="n"/>
      <c r="EZ4" s="46" t="n"/>
      <c r="FA4" s="46" t="n"/>
      <c r="FB4" s="46" t="n"/>
      <c r="FC4" s="46" t="n"/>
      <c r="FD4" s="46" t="n"/>
      <c r="FE4" s="46" t="n"/>
      <c r="FF4" s="46" t="n"/>
      <c r="FG4" s="46" t="n"/>
      <c r="FH4" s="46" t="n"/>
      <c r="FI4" s="46" t="n"/>
      <c r="FJ4" s="46" t="n"/>
      <c r="FK4" s="46" t="n"/>
      <c r="FL4" s="46" t="n"/>
      <c r="FM4" s="46" t="n"/>
      <c r="FN4" s="46" t="n"/>
      <c r="FO4" s="46" t="n"/>
      <c r="FP4" s="46" t="n"/>
      <c r="FQ4" s="46" t="n"/>
      <c r="FR4" s="46" t="n"/>
      <c r="FS4" s="46" t="n"/>
      <c r="FT4" s="46" t="n"/>
      <c r="FU4" s="46" t="n"/>
      <c r="FV4" s="46" t="n"/>
      <c r="FW4" s="46" t="n"/>
      <c r="FX4" s="46" t="n"/>
      <c r="FY4" s="46" t="n"/>
      <c r="FZ4" s="46" t="n"/>
      <c r="GA4" s="46" t="n"/>
      <c r="GB4" s="46" t="n"/>
      <c r="GC4" s="46" t="n"/>
      <c r="GD4" s="46" t="n"/>
      <c r="GE4" s="46" t="n"/>
      <c r="GF4" s="46" t="n"/>
      <c r="GG4" s="46" t="n"/>
      <c r="GH4" s="46" t="n"/>
      <c r="GI4" s="46" t="n"/>
      <c r="GJ4" s="46" t="n"/>
      <c r="GK4" s="46" t="n"/>
      <c r="GL4" s="46" t="n"/>
      <c r="GM4" s="46" t="n"/>
      <c r="GN4" s="46" t="n"/>
      <c r="GO4" s="46" t="n"/>
      <c r="GP4" s="46" t="n"/>
      <c r="GQ4" s="46" t="n"/>
      <c r="GR4" s="46" t="n"/>
      <c r="GS4" s="46" t="n"/>
      <c r="GT4" s="46" t="n"/>
      <c r="GU4" s="46" t="n"/>
      <c r="GV4" s="46" t="n"/>
      <c r="GW4" s="46" t="n"/>
      <c r="GX4" s="46" t="n"/>
      <c r="GY4" s="46" t="n"/>
      <c r="GZ4" s="46" t="n"/>
      <c r="HA4" s="46" t="n"/>
      <c r="HB4" s="46" t="n"/>
    </row>
    <row r="5" ht="15.75" customFormat="1" customHeight="1" s="4">
      <c r="A5" s="56" t="inlineStr">
        <is>
          <t>A</t>
        </is>
      </c>
      <c r="B5" s="44" t="inlineStr">
        <is>
          <t>PRELIMINARIES</t>
        </is>
      </c>
      <c r="C5" s="57" t="n"/>
      <c r="D5" s="56" t="n"/>
      <c r="E5" s="58" t="n"/>
      <c r="F5" s="245">
        <f>Prelims!F50</f>
        <v>0.0</v>
      </c>
      <c r="G5" s="46" t="n"/>
      <c r="H5" s="46" t="n"/>
      <c r="I5" s="46" t="n"/>
      <c r="J5" s="46" t="n"/>
      <c r="K5" s="46" t="n"/>
      <c r="L5" s="46" t="n"/>
      <c r="M5" s="46" t="n"/>
      <c r="N5" s="46" t="n"/>
      <c r="O5" s="46" t="n"/>
      <c r="P5" s="46" t="n"/>
      <c r="Q5" s="46" t="n"/>
      <c r="R5" s="46" t="n"/>
      <c r="S5" s="46" t="n"/>
      <c r="T5" s="46" t="n"/>
      <c r="U5" s="46" t="n"/>
      <c r="V5" s="46" t="n"/>
      <c r="W5" s="46" t="n"/>
      <c r="X5" s="46" t="n"/>
      <c r="Y5" s="46" t="n"/>
      <c r="Z5" s="46" t="n"/>
      <c r="AA5" s="46" t="n"/>
      <c r="AB5" s="46" t="n"/>
      <c r="AC5" s="46" t="n"/>
      <c r="AD5" s="46" t="n"/>
      <c r="AE5" s="46" t="n"/>
      <c r="AF5" s="46" t="n"/>
      <c r="AG5" s="46" t="n"/>
      <c r="AH5" s="46" t="n"/>
      <c r="AI5" s="46" t="n"/>
      <c r="AJ5" s="46" t="n"/>
      <c r="AK5" s="46" t="n"/>
      <c r="AL5" s="46" t="n"/>
      <c r="AM5" s="46" t="n"/>
      <c r="AN5" s="46" t="n"/>
      <c r="AO5" s="46" t="n"/>
      <c r="AP5" s="46" t="n"/>
      <c r="AQ5" s="46" t="n"/>
      <c r="AR5" s="46" t="n"/>
      <c r="AS5" s="46" t="n"/>
      <c r="AT5" s="46" t="n"/>
      <c r="AU5" s="46" t="n"/>
      <c r="AV5" s="46" t="n"/>
      <c r="AW5" s="46" t="n"/>
      <c r="AX5" s="46" t="n"/>
      <c r="AY5" s="46" t="n"/>
      <c r="AZ5" s="46" t="n"/>
      <c r="BA5" s="46" t="n"/>
      <c r="BB5" s="46" t="n"/>
      <c r="BC5" s="46" t="n"/>
      <c r="BD5" s="46" t="n"/>
      <c r="BE5" s="46" t="n"/>
      <c r="BF5" s="46" t="n"/>
      <c r="BG5" s="46" t="n"/>
      <c r="BH5" s="46" t="n"/>
      <c r="BI5" s="46" t="n"/>
      <c r="BJ5" s="46" t="n"/>
      <c r="BK5" s="46" t="n"/>
      <c r="BL5" s="46" t="n"/>
      <c r="BM5" s="46" t="n"/>
      <c r="BN5" s="46" t="n"/>
      <c r="BO5" s="46" t="n"/>
      <c r="BP5" s="46" t="n"/>
      <c r="BQ5" s="46" t="n"/>
      <c r="BR5" s="46" t="n"/>
      <c r="BS5" s="46" t="n"/>
      <c r="BT5" s="46" t="n"/>
      <c r="BU5" s="46" t="n"/>
      <c r="BV5" s="46" t="n"/>
      <c r="BW5" s="46" t="n"/>
      <c r="BX5" s="46" t="n"/>
      <c r="BY5" s="46" t="n"/>
      <c r="BZ5" s="46" t="n"/>
      <c r="CA5" s="46" t="n"/>
      <c r="CB5" s="46" t="n"/>
      <c r="CC5" s="46" t="n"/>
      <c r="CD5" s="46" t="n"/>
      <c r="CE5" s="46" t="n"/>
      <c r="CF5" s="46" t="n"/>
      <c r="CG5" s="46" t="n"/>
      <c r="CH5" s="46" t="n"/>
      <c r="CI5" s="46" t="n"/>
      <c r="CJ5" s="46" t="n"/>
      <c r="CK5" s="46" t="n"/>
      <c r="CL5" s="46" t="n"/>
      <c r="CM5" s="46" t="n"/>
      <c r="CN5" s="46" t="n"/>
      <c r="CO5" s="46" t="n"/>
      <c r="CP5" s="46" t="n"/>
      <c r="CQ5" s="46" t="n"/>
      <c r="CR5" s="46" t="n"/>
      <c r="CS5" s="46" t="n"/>
      <c r="CT5" s="46" t="n"/>
      <c r="CU5" s="46" t="n"/>
      <c r="CV5" s="46" t="n"/>
      <c r="CW5" s="46" t="n"/>
      <c r="CX5" s="46" t="n"/>
      <c r="CY5" s="46" t="n"/>
      <c r="CZ5" s="46" t="n"/>
      <c r="DA5" s="46" t="n"/>
      <c r="DB5" s="46" t="n"/>
      <c r="DC5" s="46" t="n"/>
      <c r="DD5" s="46" t="n"/>
      <c r="DE5" s="46" t="n"/>
      <c r="DF5" s="46" t="n"/>
      <c r="DG5" s="46" t="n"/>
      <c r="DH5" s="46" t="n"/>
      <c r="DI5" s="46" t="n"/>
      <c r="DJ5" s="46" t="n"/>
      <c r="DK5" s="46" t="n"/>
      <c r="DL5" s="46" t="n"/>
      <c r="DM5" s="46" t="n"/>
      <c r="DN5" s="46" t="n"/>
      <c r="DO5" s="46" t="n"/>
      <c r="DP5" s="46" t="n"/>
      <c r="DQ5" s="46" t="n"/>
      <c r="DR5" s="46" t="n"/>
      <c r="DS5" s="46" t="n"/>
      <c r="DT5" s="46" t="n"/>
      <c r="DU5" s="46" t="n"/>
      <c r="DV5" s="46" t="n"/>
      <c r="DW5" s="46" t="n"/>
      <c r="DX5" s="46" t="n"/>
      <c r="DY5" s="46" t="n"/>
      <c r="DZ5" s="46" t="n"/>
      <c r="EA5" s="46" t="n"/>
      <c r="EB5" s="46" t="n"/>
      <c r="EC5" s="46" t="n"/>
      <c r="ED5" s="46" t="n"/>
      <c r="EE5" s="46" t="n"/>
      <c r="EF5" s="46" t="n"/>
      <c r="EG5" s="46" t="n"/>
      <c r="EH5" s="46" t="n"/>
      <c r="EI5" s="46" t="n"/>
      <c r="EJ5" s="46" t="n"/>
      <c r="EK5" s="46" t="n"/>
      <c r="EL5" s="46" t="n"/>
      <c r="EM5" s="46" t="n"/>
      <c r="EN5" s="46" t="n"/>
      <c r="EO5" s="46" t="n"/>
      <c r="EP5" s="46" t="n"/>
      <c r="EQ5" s="46" t="n"/>
      <c r="ER5" s="46" t="n"/>
      <c r="ES5" s="46" t="n"/>
      <c r="ET5" s="46" t="n"/>
      <c r="EU5" s="46" t="n"/>
      <c r="EV5" s="46" t="n"/>
      <c r="EW5" s="46" t="n"/>
      <c r="EX5" s="46" t="n"/>
      <c r="EY5" s="46" t="n"/>
      <c r="EZ5" s="46" t="n"/>
      <c r="FA5" s="46" t="n"/>
      <c r="FB5" s="46" t="n"/>
      <c r="FC5" s="46" t="n"/>
      <c r="FD5" s="46" t="n"/>
      <c r="FE5" s="46" t="n"/>
      <c r="FF5" s="46" t="n"/>
      <c r="FG5" s="46" t="n"/>
      <c r="FH5" s="46" t="n"/>
      <c r="FI5" s="46" t="n"/>
      <c r="FJ5" s="46" t="n"/>
      <c r="FK5" s="46" t="n"/>
      <c r="FL5" s="46" t="n"/>
      <c r="FM5" s="46" t="n"/>
      <c r="FN5" s="46" t="n"/>
      <c r="FO5" s="46" t="n"/>
      <c r="FP5" s="46" t="n"/>
      <c r="FQ5" s="46" t="n"/>
      <c r="FR5" s="46" t="n"/>
      <c r="FS5" s="46" t="n"/>
      <c r="FT5" s="46" t="n"/>
      <c r="FU5" s="46" t="n"/>
      <c r="FV5" s="46" t="n"/>
      <c r="FW5" s="46" t="n"/>
      <c r="FX5" s="46" t="n"/>
      <c r="FY5" s="46" t="n"/>
      <c r="FZ5" s="46" t="n"/>
      <c r="GA5" s="46" t="n"/>
      <c r="GB5" s="46" t="n"/>
      <c r="GC5" s="46" t="n"/>
      <c r="GD5" s="46" t="n"/>
      <c r="GE5" s="46" t="n"/>
      <c r="GF5" s="46" t="n"/>
      <c r="GG5" s="46" t="n"/>
      <c r="GH5" s="46" t="n"/>
      <c r="GI5" s="46" t="n"/>
      <c r="GJ5" s="46" t="n"/>
      <c r="GK5" s="46" t="n"/>
      <c r="GL5" s="46" t="n"/>
      <c r="GM5" s="46" t="n"/>
      <c r="GN5" s="46" t="n"/>
      <c r="GO5" s="46" t="n"/>
      <c r="GP5" s="46" t="n"/>
      <c r="GQ5" s="46" t="n"/>
      <c r="GR5" s="46" t="n"/>
      <c r="GS5" s="46" t="n"/>
      <c r="GT5" s="46" t="n"/>
      <c r="GU5" s="46" t="n"/>
      <c r="GV5" s="46" t="n"/>
      <c r="GW5" s="46" t="n"/>
      <c r="GX5" s="46" t="n"/>
      <c r="GY5" s="46" t="n"/>
      <c r="GZ5" s="46" t="n"/>
      <c r="HA5" s="46" t="n"/>
      <c r="HB5" s="46" t="n"/>
    </row>
    <row r="6" ht="15.75" customFormat="1" customHeight="1" s="4">
      <c r="A6" s="56" t="n"/>
      <c r="B6" s="59" t="n"/>
      <c r="C6" s="57" t="n"/>
      <c r="D6" s="56" t="n"/>
      <c r="E6" s="58" t="n"/>
      <c r="F6" s="245" t="n"/>
      <c r="G6" s="46" t="n"/>
      <c r="H6" s="46" t="n"/>
      <c r="I6" s="46" t="n"/>
      <c r="J6" s="46" t="n"/>
      <c r="K6" s="46" t="n"/>
      <c r="L6" s="46" t="n"/>
      <c r="M6" s="46" t="n"/>
      <c r="N6" s="46" t="n"/>
      <c r="O6" s="46" t="n"/>
      <c r="P6" s="46" t="n"/>
      <c r="Q6" s="46" t="n"/>
      <c r="R6" s="46" t="n"/>
      <c r="S6" s="46" t="n"/>
      <c r="T6" s="46" t="n"/>
      <c r="U6" s="46" t="n"/>
      <c r="V6" s="46" t="n"/>
      <c r="W6" s="46" t="n"/>
      <c r="X6" s="46" t="n"/>
      <c r="Y6" s="46" t="n"/>
      <c r="Z6" s="46" t="n"/>
      <c r="AA6" s="46" t="n"/>
      <c r="AB6" s="46" t="n"/>
      <c r="AC6" s="46" t="n"/>
      <c r="AD6" s="46" t="n"/>
      <c r="AE6" s="46" t="n"/>
      <c r="AF6" s="46" t="n"/>
      <c r="AG6" s="46" t="n"/>
      <c r="AH6" s="46" t="n"/>
      <c r="AI6" s="46" t="n"/>
      <c r="AJ6" s="46" t="n"/>
      <c r="AK6" s="46" t="n"/>
      <c r="AL6" s="46" t="n"/>
      <c r="AM6" s="46" t="n"/>
      <c r="AN6" s="46" t="n"/>
      <c r="AO6" s="46" t="n"/>
      <c r="AP6" s="46" t="n"/>
      <c r="AQ6" s="46" t="n"/>
      <c r="AR6" s="46" t="n"/>
      <c r="AS6" s="46" t="n"/>
      <c r="AT6" s="46" t="n"/>
      <c r="AU6" s="46" t="n"/>
      <c r="AV6" s="46" t="n"/>
      <c r="AW6" s="46" t="n"/>
      <c r="AX6" s="46" t="n"/>
      <c r="AY6" s="46" t="n"/>
      <c r="AZ6" s="46" t="n"/>
      <c r="BA6" s="46" t="n"/>
      <c r="BB6" s="46" t="n"/>
      <c r="BC6" s="46" t="n"/>
      <c r="BD6" s="46" t="n"/>
      <c r="BE6" s="46" t="n"/>
      <c r="BF6" s="46" t="n"/>
      <c r="BG6" s="46" t="n"/>
      <c r="BH6" s="46" t="n"/>
      <c r="BI6" s="46" t="n"/>
      <c r="BJ6" s="46" t="n"/>
      <c r="BK6" s="46" t="n"/>
      <c r="BL6" s="46" t="n"/>
      <c r="BM6" s="46" t="n"/>
      <c r="BN6" s="46" t="n"/>
      <c r="BO6" s="46" t="n"/>
      <c r="BP6" s="46" t="n"/>
      <c r="BQ6" s="46" t="n"/>
      <c r="BR6" s="46" t="n"/>
      <c r="BS6" s="46" t="n"/>
      <c r="BT6" s="46" t="n"/>
      <c r="BU6" s="46" t="n"/>
      <c r="BV6" s="46" t="n"/>
      <c r="BW6" s="46" t="n"/>
      <c r="BX6" s="46" t="n"/>
      <c r="BY6" s="46" t="n"/>
      <c r="BZ6" s="46" t="n"/>
      <c r="CA6" s="46" t="n"/>
      <c r="CB6" s="46" t="n"/>
      <c r="CC6" s="46" t="n"/>
      <c r="CD6" s="46" t="n"/>
      <c r="CE6" s="46" t="n"/>
      <c r="CF6" s="46" t="n"/>
      <c r="CG6" s="46" t="n"/>
      <c r="CH6" s="46" t="n"/>
      <c r="CI6" s="46" t="n"/>
      <c r="CJ6" s="46" t="n"/>
      <c r="CK6" s="46" t="n"/>
      <c r="CL6" s="46" t="n"/>
      <c r="CM6" s="46" t="n"/>
      <c r="CN6" s="46" t="n"/>
      <c r="CO6" s="46" t="n"/>
      <c r="CP6" s="46" t="n"/>
      <c r="CQ6" s="46" t="n"/>
      <c r="CR6" s="46" t="n"/>
      <c r="CS6" s="46" t="n"/>
      <c r="CT6" s="46" t="n"/>
      <c r="CU6" s="46" t="n"/>
      <c r="CV6" s="46" t="n"/>
      <c r="CW6" s="46" t="n"/>
      <c r="CX6" s="46" t="n"/>
      <c r="CY6" s="46" t="n"/>
      <c r="CZ6" s="46" t="n"/>
      <c r="DA6" s="46" t="n"/>
      <c r="DB6" s="46" t="n"/>
      <c r="DC6" s="46" t="n"/>
      <c r="DD6" s="46" t="n"/>
      <c r="DE6" s="46" t="n"/>
      <c r="DF6" s="46" t="n"/>
      <c r="DG6" s="46" t="n"/>
      <c r="DH6" s="46" t="n"/>
      <c r="DI6" s="46" t="n"/>
      <c r="DJ6" s="46" t="n"/>
      <c r="DK6" s="46" t="n"/>
      <c r="DL6" s="46" t="n"/>
      <c r="DM6" s="46" t="n"/>
      <c r="DN6" s="46" t="n"/>
      <c r="DO6" s="46" t="n"/>
      <c r="DP6" s="46" t="n"/>
      <c r="DQ6" s="46" t="n"/>
      <c r="DR6" s="46" t="n"/>
      <c r="DS6" s="46" t="n"/>
      <c r="DT6" s="46" t="n"/>
      <c r="DU6" s="46" t="n"/>
      <c r="DV6" s="46" t="n"/>
      <c r="DW6" s="46" t="n"/>
      <c r="DX6" s="46" t="n"/>
      <c r="DY6" s="46" t="n"/>
      <c r="DZ6" s="46" t="n"/>
      <c r="EA6" s="46" t="n"/>
      <c r="EB6" s="46" t="n"/>
      <c r="EC6" s="46" t="n"/>
      <c r="ED6" s="46" t="n"/>
      <c r="EE6" s="46" t="n"/>
      <c r="EF6" s="46" t="n"/>
      <c r="EG6" s="46" t="n"/>
      <c r="EH6" s="46" t="n"/>
      <c r="EI6" s="46" t="n"/>
      <c r="EJ6" s="46" t="n"/>
      <c r="EK6" s="46" t="n"/>
      <c r="EL6" s="46" t="n"/>
      <c r="EM6" s="46" t="n"/>
      <c r="EN6" s="46" t="n"/>
      <c r="EO6" s="46" t="n"/>
      <c r="EP6" s="46" t="n"/>
      <c r="EQ6" s="46" t="n"/>
      <c r="ER6" s="46" t="n"/>
      <c r="ES6" s="46" t="n"/>
      <c r="ET6" s="46" t="n"/>
      <c r="EU6" s="46" t="n"/>
      <c r="EV6" s="46" t="n"/>
      <c r="EW6" s="46" t="n"/>
      <c r="EX6" s="46" t="n"/>
      <c r="EY6" s="46" t="n"/>
      <c r="EZ6" s="46" t="n"/>
      <c r="FA6" s="46" t="n"/>
      <c r="FB6" s="46" t="n"/>
      <c r="FC6" s="46" t="n"/>
      <c r="FD6" s="46" t="n"/>
      <c r="FE6" s="46" t="n"/>
      <c r="FF6" s="46" t="n"/>
      <c r="FG6" s="46" t="n"/>
      <c r="FH6" s="46" t="n"/>
      <c r="FI6" s="46" t="n"/>
      <c r="FJ6" s="46" t="n"/>
      <c r="FK6" s="46" t="n"/>
      <c r="FL6" s="46" t="n"/>
      <c r="FM6" s="46" t="n"/>
      <c r="FN6" s="46" t="n"/>
      <c r="FO6" s="46" t="n"/>
      <c r="FP6" s="46" t="n"/>
      <c r="FQ6" s="46" t="n"/>
      <c r="FR6" s="46" t="n"/>
      <c r="FS6" s="46" t="n"/>
      <c r="FT6" s="46" t="n"/>
      <c r="FU6" s="46" t="n"/>
      <c r="FV6" s="46" t="n"/>
      <c r="FW6" s="46" t="n"/>
      <c r="FX6" s="46" t="n"/>
      <c r="FY6" s="46" t="n"/>
      <c r="FZ6" s="46" t="n"/>
      <c r="GA6" s="46" t="n"/>
      <c r="GB6" s="46" t="n"/>
      <c r="GC6" s="46" t="n"/>
      <c r="GD6" s="46" t="n"/>
      <c r="GE6" s="46" t="n"/>
      <c r="GF6" s="46" t="n"/>
      <c r="GG6" s="46" t="n"/>
      <c r="GH6" s="46" t="n"/>
      <c r="GI6" s="46" t="n"/>
      <c r="GJ6" s="46" t="n"/>
      <c r="GK6" s="46" t="n"/>
      <c r="GL6" s="46" t="n"/>
      <c r="GM6" s="46" t="n"/>
      <c r="GN6" s="46" t="n"/>
      <c r="GO6" s="46" t="n"/>
      <c r="GP6" s="46" t="n"/>
      <c r="GQ6" s="46" t="n"/>
      <c r="GR6" s="46" t="n"/>
      <c r="GS6" s="46" t="n"/>
      <c r="GT6" s="46" t="n"/>
      <c r="GU6" s="46" t="n"/>
      <c r="GV6" s="46" t="n"/>
      <c r="GW6" s="46" t="n"/>
      <c r="GX6" s="46" t="n"/>
      <c r="GY6" s="46" t="n"/>
      <c r="GZ6" s="46" t="n"/>
      <c r="HA6" s="46" t="n"/>
      <c r="HB6" s="46" t="n"/>
    </row>
    <row r="7" ht="15.75" customFormat="1" customHeight="1" s="4">
      <c r="A7" s="56" t="inlineStr">
        <is>
          <t>B</t>
        </is>
      </c>
      <c r="B7" s="44" t="inlineStr">
        <is>
          <t>STRUCTURAL</t>
        </is>
      </c>
      <c r="C7" s="57" t="n"/>
      <c r="D7" s="56" t="n"/>
      <c r="E7" s="58" t="n"/>
      <c r="F7" s="245">
        <f>'structural works'!H166</f>
        <v>0.0</v>
      </c>
      <c r="H7" s="246" t="n"/>
      <c r="I7" s="46" t="n"/>
      <c r="J7" s="46" t="n"/>
      <c r="K7" s="46" t="n"/>
      <c r="L7" s="246">
        <f>SUM(F6:F10)*0.045</f>
        <v>0.0</v>
      </c>
      <c r="M7" s="46" t="n"/>
      <c r="N7" s="46" t="n"/>
      <c r="O7" s="46" t="n"/>
      <c r="P7" s="46" t="n"/>
      <c r="Q7" s="46" t="n"/>
      <c r="R7" s="46" t="n"/>
      <c r="S7" s="46" t="n"/>
      <c r="T7" s="46" t="n"/>
      <c r="U7" s="46" t="n"/>
      <c r="V7" s="46" t="n"/>
      <c r="W7" s="46" t="n"/>
      <c r="X7" s="46" t="n"/>
      <c r="Y7" s="46" t="n"/>
      <c r="Z7" s="46" t="n"/>
      <c r="AA7" s="46" t="n"/>
      <c r="AB7" s="46" t="n"/>
      <c r="AC7" s="46" t="n"/>
      <c r="AD7" s="46" t="n"/>
      <c r="AE7" s="46" t="n"/>
      <c r="AF7" s="46" t="n"/>
      <c r="AG7" s="46" t="n"/>
      <c r="AH7" s="46" t="n"/>
      <c r="AI7" s="46" t="n"/>
      <c r="AJ7" s="46" t="n"/>
      <c r="AK7" s="46" t="n"/>
      <c r="AL7" s="46" t="n"/>
      <c r="AM7" s="46" t="n"/>
      <c r="AN7" s="46" t="n"/>
      <c r="AO7" s="46" t="n"/>
      <c r="AP7" s="46" t="n"/>
      <c r="AQ7" s="46" t="n"/>
      <c r="AR7" s="46" t="n"/>
      <c r="AS7" s="46" t="n"/>
      <c r="AT7" s="46" t="n"/>
      <c r="AU7" s="46" t="n"/>
      <c r="AV7" s="46" t="n"/>
      <c r="AW7" s="46" t="n"/>
      <c r="AX7" s="46" t="n"/>
      <c r="AY7" s="46" t="n"/>
      <c r="AZ7" s="46" t="n"/>
      <c r="BA7" s="46" t="n"/>
      <c r="BB7" s="46" t="n"/>
      <c r="BC7" s="46" t="n"/>
      <c r="BD7" s="46" t="n"/>
      <c r="BE7" s="46" t="n"/>
      <c r="BF7" s="46" t="n"/>
      <c r="BG7" s="46" t="n"/>
      <c r="BH7" s="46" t="n"/>
      <c r="BI7" s="46" t="n"/>
      <c r="BJ7" s="46" t="n"/>
      <c r="BK7" s="46" t="n"/>
      <c r="BL7" s="46" t="n"/>
      <c r="BM7" s="46" t="n"/>
      <c r="BN7" s="46" t="n"/>
      <c r="BO7" s="46" t="n"/>
      <c r="BP7" s="46" t="n"/>
      <c r="BQ7" s="46" t="n"/>
      <c r="BR7" s="46" t="n"/>
      <c r="BS7" s="46" t="n"/>
      <c r="BT7" s="46" t="n"/>
      <c r="BU7" s="46" t="n"/>
      <c r="BV7" s="46" t="n"/>
      <c r="BW7" s="46" t="n"/>
      <c r="BX7" s="46" t="n"/>
      <c r="BY7" s="46" t="n"/>
      <c r="BZ7" s="46" t="n"/>
      <c r="CA7" s="46" t="n"/>
      <c r="CB7" s="46" t="n"/>
      <c r="CC7" s="46" t="n"/>
      <c r="CD7" s="46" t="n"/>
      <c r="CE7" s="46" t="n"/>
      <c r="CF7" s="46" t="n"/>
      <c r="CG7" s="46" t="n"/>
      <c r="CH7" s="46" t="n"/>
      <c r="CI7" s="46" t="n"/>
      <c r="CJ7" s="46" t="n"/>
      <c r="CK7" s="46" t="n"/>
      <c r="CL7" s="46" t="n"/>
      <c r="CM7" s="46" t="n"/>
      <c r="CN7" s="46" t="n"/>
      <c r="CO7" s="46" t="n"/>
      <c r="CP7" s="46" t="n"/>
      <c r="CQ7" s="46" t="n"/>
      <c r="CR7" s="46" t="n"/>
      <c r="CS7" s="46" t="n"/>
      <c r="CT7" s="46" t="n"/>
      <c r="CU7" s="46" t="n"/>
      <c r="CV7" s="46" t="n"/>
      <c r="CW7" s="46" t="n"/>
      <c r="CX7" s="46" t="n"/>
      <c r="CY7" s="46" t="n"/>
      <c r="CZ7" s="46" t="n"/>
      <c r="DA7" s="46" t="n"/>
      <c r="DB7" s="46" t="n"/>
      <c r="DC7" s="46" t="n"/>
      <c r="DD7" s="46" t="n"/>
      <c r="DE7" s="46" t="n"/>
      <c r="DF7" s="46" t="n"/>
      <c r="DG7" s="46" t="n"/>
      <c r="DH7" s="46" t="n"/>
      <c r="DI7" s="46" t="n"/>
      <c r="DJ7" s="46" t="n"/>
      <c r="DK7" s="46" t="n"/>
      <c r="DL7" s="46" t="n"/>
      <c r="DM7" s="46" t="n"/>
      <c r="DN7" s="46" t="n"/>
      <c r="DO7" s="46" t="n"/>
      <c r="DP7" s="46" t="n"/>
      <c r="DQ7" s="46" t="n"/>
      <c r="DR7" s="46" t="n"/>
      <c r="DS7" s="46" t="n"/>
      <c r="DT7" s="46" t="n"/>
      <c r="DU7" s="46" t="n"/>
      <c r="DV7" s="46" t="n"/>
      <c r="DW7" s="46" t="n"/>
      <c r="DX7" s="46" t="n"/>
      <c r="DY7" s="46" t="n"/>
      <c r="DZ7" s="46" t="n"/>
      <c r="EA7" s="46" t="n"/>
      <c r="EB7" s="46" t="n"/>
      <c r="EC7" s="46" t="n"/>
      <c r="ED7" s="46" t="n"/>
      <c r="EE7" s="46" t="n"/>
      <c r="EF7" s="46" t="n"/>
      <c r="EG7" s="46" t="n"/>
      <c r="EH7" s="46" t="n"/>
      <c r="EI7" s="46" t="n"/>
      <c r="EJ7" s="46" t="n"/>
      <c r="EK7" s="46" t="n"/>
      <c r="EL7" s="46" t="n"/>
      <c r="EM7" s="46" t="n"/>
      <c r="EN7" s="46" t="n"/>
      <c r="EO7" s="46" t="n"/>
      <c r="EP7" s="46" t="n"/>
      <c r="EQ7" s="46" t="n"/>
      <c r="ER7" s="46" t="n"/>
      <c r="ES7" s="46" t="n"/>
      <c r="ET7" s="46" t="n"/>
      <c r="EU7" s="46" t="n"/>
      <c r="EV7" s="46" t="n"/>
      <c r="EW7" s="46" t="n"/>
      <c r="EX7" s="46" t="n"/>
      <c r="EY7" s="46" t="n"/>
      <c r="EZ7" s="46" t="n"/>
      <c r="FA7" s="46" t="n"/>
      <c r="FB7" s="46" t="n"/>
      <c r="FC7" s="46" t="n"/>
      <c r="FD7" s="46" t="n"/>
      <c r="FE7" s="46" t="n"/>
      <c r="FF7" s="46" t="n"/>
      <c r="FG7" s="46" t="n"/>
      <c r="FH7" s="46" t="n"/>
      <c r="FI7" s="46" t="n"/>
      <c r="FJ7" s="46" t="n"/>
      <c r="FK7" s="46" t="n"/>
      <c r="FL7" s="46" t="n"/>
      <c r="FM7" s="46" t="n"/>
      <c r="FN7" s="46" t="n"/>
      <c r="FO7" s="46" t="n"/>
      <c r="FP7" s="46" t="n"/>
      <c r="FQ7" s="46" t="n"/>
      <c r="FR7" s="46" t="n"/>
      <c r="FS7" s="46" t="n"/>
      <c r="FT7" s="46" t="n"/>
      <c r="FU7" s="46" t="n"/>
      <c r="FV7" s="46" t="n"/>
      <c r="FW7" s="46" t="n"/>
      <c r="FX7" s="46" t="n"/>
      <c r="FY7" s="46" t="n"/>
      <c r="FZ7" s="46" t="n"/>
      <c r="GA7" s="46" t="n"/>
      <c r="GB7" s="46" t="n"/>
      <c r="GC7" s="46" t="n"/>
      <c r="GD7" s="46" t="n"/>
      <c r="GE7" s="46" t="n"/>
      <c r="GF7" s="46" t="n"/>
      <c r="GG7" s="46" t="n"/>
      <c r="GH7" s="46" t="n"/>
      <c r="GI7" s="46" t="n"/>
      <c r="GJ7" s="46" t="n"/>
      <c r="GK7" s="46" t="n"/>
      <c r="GL7" s="46" t="n"/>
      <c r="GM7" s="46" t="n"/>
      <c r="GN7" s="46" t="n"/>
      <c r="GO7" s="46" t="n"/>
      <c r="GP7" s="46" t="n"/>
      <c r="GQ7" s="46" t="n"/>
      <c r="GR7" s="46" t="n"/>
      <c r="GS7" s="46" t="n"/>
      <c r="GT7" s="46" t="n"/>
      <c r="GU7" s="46" t="n"/>
      <c r="GV7" s="46" t="n"/>
      <c r="GW7" s="46" t="n"/>
      <c r="GX7" s="46" t="n"/>
      <c r="GY7" s="46" t="n"/>
      <c r="GZ7" s="46" t="n"/>
      <c r="HA7" s="46" t="n"/>
      <c r="HB7" s="46" t="n"/>
    </row>
    <row r="8" ht="15.75" customFormat="1" customHeight="1" s="4">
      <c r="A8" s="56" t="n"/>
      <c r="B8" s="59" t="n"/>
      <c r="C8" s="57" t="n"/>
      <c r="D8" s="56" t="n"/>
      <c r="E8" s="58" t="n"/>
      <c r="F8" s="245" t="n"/>
      <c r="G8" s="46" t="n"/>
      <c r="H8" s="46" t="n"/>
      <c r="I8" s="46" t="n"/>
      <c r="J8" s="46" t="n"/>
      <c r="K8" s="46" t="n"/>
      <c r="L8" s="46" t="n"/>
      <c r="M8" s="46" t="n"/>
      <c r="N8" s="46" t="n"/>
      <c r="O8" s="46" t="n"/>
      <c r="P8" s="46" t="n"/>
      <c r="Q8" s="46" t="n"/>
      <c r="R8" s="46" t="n"/>
      <c r="S8" s="46" t="n"/>
      <c r="T8" s="46" t="n"/>
      <c r="U8" s="46" t="n"/>
      <c r="V8" s="46" t="n"/>
      <c r="W8" s="46" t="n"/>
      <c r="X8" s="46" t="n"/>
      <c r="Y8" s="46" t="n"/>
      <c r="Z8" s="46" t="n"/>
      <c r="AA8" s="46" t="n"/>
      <c r="AB8" s="46" t="n"/>
      <c r="AC8" s="46" t="n"/>
      <c r="AD8" s="46" t="n"/>
      <c r="AE8" s="46" t="n"/>
      <c r="AF8" s="46" t="n"/>
      <c r="AG8" s="46" t="n"/>
      <c r="AH8" s="46" t="n"/>
      <c r="AI8" s="46" t="n"/>
      <c r="AJ8" s="46" t="n"/>
      <c r="AK8" s="46" t="n"/>
      <c r="AL8" s="46" t="n"/>
      <c r="AM8" s="46" t="n"/>
      <c r="AN8" s="46" t="n"/>
      <c r="AO8" s="46" t="n"/>
      <c r="AP8" s="46" t="n"/>
      <c r="AQ8" s="46" t="n"/>
      <c r="AR8" s="46" t="n"/>
      <c r="AS8" s="46" t="n"/>
      <c r="AT8" s="46" t="n"/>
      <c r="AU8" s="46" t="n"/>
      <c r="AV8" s="46" t="n"/>
      <c r="AW8" s="46" t="n"/>
      <c r="AX8" s="46" t="n"/>
      <c r="AY8" s="46" t="n"/>
      <c r="AZ8" s="46" t="n"/>
      <c r="BA8" s="46" t="n"/>
      <c r="BB8" s="46" t="n"/>
      <c r="BC8" s="46" t="n"/>
      <c r="BD8" s="46" t="n"/>
      <c r="BE8" s="46" t="n"/>
      <c r="BF8" s="46" t="n"/>
      <c r="BG8" s="46" t="n"/>
      <c r="BH8" s="46" t="n"/>
      <c r="BI8" s="46" t="n"/>
      <c r="BJ8" s="46" t="n"/>
      <c r="BK8" s="46" t="n"/>
      <c r="BL8" s="46" t="n"/>
      <c r="BM8" s="46" t="n"/>
      <c r="BN8" s="46" t="n"/>
      <c r="BO8" s="46" t="n"/>
      <c r="BP8" s="46" t="n"/>
      <c r="BQ8" s="46" t="n"/>
      <c r="BR8" s="46" t="n"/>
      <c r="BS8" s="46" t="n"/>
      <c r="BT8" s="46" t="n"/>
      <c r="BU8" s="46" t="n"/>
      <c r="BV8" s="46" t="n"/>
      <c r="BW8" s="46" t="n"/>
      <c r="BX8" s="46" t="n"/>
      <c r="BY8" s="46" t="n"/>
      <c r="BZ8" s="46" t="n"/>
      <c r="CA8" s="46" t="n"/>
      <c r="CB8" s="46" t="n"/>
      <c r="CC8" s="46" t="n"/>
      <c r="CD8" s="46" t="n"/>
      <c r="CE8" s="46" t="n"/>
      <c r="CF8" s="46" t="n"/>
      <c r="CG8" s="46" t="n"/>
      <c r="CH8" s="46" t="n"/>
      <c r="CI8" s="46" t="n"/>
      <c r="CJ8" s="46" t="n"/>
      <c r="CK8" s="46" t="n"/>
      <c r="CL8" s="46" t="n"/>
      <c r="CM8" s="46" t="n"/>
      <c r="CN8" s="46" t="n"/>
      <c r="CO8" s="46" t="n"/>
      <c r="CP8" s="46" t="n"/>
      <c r="CQ8" s="46" t="n"/>
      <c r="CR8" s="46" t="n"/>
      <c r="CS8" s="46" t="n"/>
      <c r="CT8" s="46" t="n"/>
      <c r="CU8" s="46" t="n"/>
      <c r="CV8" s="46" t="n"/>
      <c r="CW8" s="46" t="n"/>
      <c r="CX8" s="46" t="n"/>
      <c r="CY8" s="46" t="n"/>
      <c r="CZ8" s="46" t="n"/>
      <c r="DA8" s="46" t="n"/>
      <c r="DB8" s="46" t="n"/>
      <c r="DC8" s="46" t="n"/>
      <c r="DD8" s="46" t="n"/>
      <c r="DE8" s="46" t="n"/>
      <c r="DF8" s="46" t="n"/>
      <c r="DG8" s="46" t="n"/>
      <c r="DH8" s="46" t="n"/>
      <c r="DI8" s="46" t="n"/>
      <c r="DJ8" s="46" t="n"/>
      <c r="DK8" s="46" t="n"/>
      <c r="DL8" s="46" t="n"/>
      <c r="DM8" s="46" t="n"/>
      <c r="DN8" s="46" t="n"/>
      <c r="DO8" s="46" t="n"/>
      <c r="DP8" s="46" t="n"/>
      <c r="DQ8" s="46" t="n"/>
      <c r="DR8" s="46" t="n"/>
      <c r="DS8" s="46" t="n"/>
      <c r="DT8" s="46" t="n"/>
      <c r="DU8" s="46" t="n"/>
      <c r="DV8" s="46" t="n"/>
      <c r="DW8" s="46" t="n"/>
      <c r="DX8" s="46" t="n"/>
      <c r="DY8" s="46" t="n"/>
      <c r="DZ8" s="46" t="n"/>
      <c r="EA8" s="46" t="n"/>
      <c r="EB8" s="46" t="n"/>
      <c r="EC8" s="46" t="n"/>
      <c r="ED8" s="46" t="n"/>
      <c r="EE8" s="46" t="n"/>
      <c r="EF8" s="46" t="n"/>
      <c r="EG8" s="46" t="n"/>
      <c r="EH8" s="46" t="n"/>
      <c r="EI8" s="46" t="n"/>
      <c r="EJ8" s="46" t="n"/>
      <c r="EK8" s="46" t="n"/>
      <c r="EL8" s="46" t="n"/>
      <c r="EM8" s="46" t="n"/>
      <c r="EN8" s="46" t="n"/>
      <c r="EO8" s="46" t="n"/>
      <c r="EP8" s="46" t="n"/>
      <c r="EQ8" s="46" t="n"/>
      <c r="ER8" s="46" t="n"/>
      <c r="ES8" s="46" t="n"/>
      <c r="ET8" s="46" t="n"/>
      <c r="EU8" s="46" t="n"/>
      <c r="EV8" s="46" t="n"/>
      <c r="EW8" s="46" t="n"/>
      <c r="EX8" s="46" t="n"/>
      <c r="EY8" s="46" t="n"/>
      <c r="EZ8" s="46" t="n"/>
      <c r="FA8" s="46" t="n"/>
      <c r="FB8" s="46" t="n"/>
      <c r="FC8" s="46" t="n"/>
      <c r="FD8" s="46" t="n"/>
      <c r="FE8" s="46" t="n"/>
      <c r="FF8" s="46" t="n"/>
      <c r="FG8" s="46" t="n"/>
      <c r="FH8" s="46" t="n"/>
      <c r="FI8" s="46" t="n"/>
      <c r="FJ8" s="46" t="n"/>
      <c r="FK8" s="46" t="n"/>
      <c r="FL8" s="46" t="n"/>
      <c r="FM8" s="46" t="n"/>
      <c r="FN8" s="46" t="n"/>
      <c r="FO8" s="46" t="n"/>
      <c r="FP8" s="46" t="n"/>
      <c r="FQ8" s="46" t="n"/>
      <c r="FR8" s="46" t="n"/>
      <c r="FS8" s="46" t="n"/>
      <c r="FT8" s="46" t="n"/>
      <c r="FU8" s="46" t="n"/>
      <c r="FV8" s="46" t="n"/>
      <c r="FW8" s="46" t="n"/>
      <c r="FX8" s="46" t="n"/>
      <c r="FY8" s="46" t="n"/>
      <c r="FZ8" s="46" t="n"/>
      <c r="GA8" s="46" t="n"/>
      <c r="GB8" s="46" t="n"/>
      <c r="GC8" s="46" t="n"/>
      <c r="GD8" s="46" t="n"/>
      <c r="GE8" s="46" t="n"/>
      <c r="GF8" s="46" t="n"/>
      <c r="GG8" s="46" t="n"/>
      <c r="GH8" s="46" t="n"/>
      <c r="GI8" s="46" t="n"/>
      <c r="GJ8" s="46" t="n"/>
      <c r="GK8" s="46" t="n"/>
      <c r="GL8" s="46" t="n"/>
      <c r="GM8" s="46" t="n"/>
      <c r="GN8" s="46" t="n"/>
      <c r="GO8" s="46" t="n"/>
      <c r="GP8" s="46" t="n"/>
      <c r="GQ8" s="46" t="n"/>
      <c r="GR8" s="46" t="n"/>
      <c r="GS8" s="46" t="n"/>
      <c r="GT8" s="46" t="n"/>
      <c r="GU8" s="46" t="n"/>
      <c r="GV8" s="46" t="n"/>
      <c r="GW8" s="46" t="n"/>
      <c r="GX8" s="46" t="n"/>
      <c r="GY8" s="46" t="n"/>
      <c r="GZ8" s="46" t="n"/>
      <c r="HA8" s="46" t="n"/>
      <c r="HB8" s="46" t="n"/>
    </row>
    <row r="9" ht="15.75" customFormat="1" customHeight="1" s="4">
      <c r="A9" s="56" t="inlineStr">
        <is>
          <t>C</t>
        </is>
      </c>
      <c r="B9" s="44" t="inlineStr">
        <is>
          <t>ARCHITECTURAL</t>
        </is>
      </c>
      <c r="C9" s="57" t="n"/>
      <c r="D9" s="56" t="n"/>
      <c r="E9" s="58" t="n"/>
      <c r="F9" s="245">
        <f>'architectural works'!H287</f>
        <v>0.0</v>
      </c>
      <c r="G9" s="46" t="n"/>
      <c r="H9" s="46" t="n"/>
      <c r="I9" s="46" t="n"/>
      <c r="J9" s="46" t="n"/>
      <c r="K9" s="46" t="n"/>
      <c r="L9" s="46" t="n"/>
      <c r="M9" s="46" t="n"/>
      <c r="N9" s="46" t="n"/>
      <c r="O9" s="46" t="n"/>
      <c r="P9" s="46" t="n"/>
      <c r="Q9" s="46" t="n"/>
      <c r="R9" s="46" t="n"/>
      <c r="S9" s="46" t="n"/>
      <c r="T9" s="46" t="n"/>
      <c r="U9" s="46" t="n"/>
      <c r="V9" s="46" t="n"/>
      <c r="W9" s="46" t="n"/>
      <c r="X9" s="46" t="n"/>
      <c r="Y9" s="46" t="n"/>
      <c r="Z9" s="46" t="n"/>
      <c r="AA9" s="46" t="n"/>
      <c r="AB9" s="46" t="n"/>
      <c r="AC9" s="46" t="n"/>
      <c r="AD9" s="46" t="n"/>
      <c r="AE9" s="46" t="n"/>
      <c r="AF9" s="46" t="n"/>
      <c r="AG9" s="46" t="n"/>
      <c r="AH9" s="46" t="n"/>
      <c r="AI9" s="46" t="n"/>
      <c r="AJ9" s="46" t="n"/>
      <c r="AK9" s="46" t="n"/>
      <c r="AL9" s="46" t="n"/>
      <c r="AM9" s="46" t="n"/>
      <c r="AN9" s="46" t="n"/>
      <c r="AO9" s="46" t="n"/>
      <c r="AP9" s="46" t="n"/>
      <c r="AQ9" s="46" t="n"/>
      <c r="AR9" s="46" t="n"/>
      <c r="AS9" s="46" t="n"/>
      <c r="AT9" s="46" t="n"/>
      <c r="AU9" s="46" t="n"/>
      <c r="AV9" s="46" t="n"/>
      <c r="AW9" s="46" t="n"/>
      <c r="AX9" s="46" t="n"/>
      <c r="AY9" s="46" t="n"/>
      <c r="AZ9" s="46" t="n"/>
      <c r="BA9" s="46" t="n"/>
      <c r="BB9" s="46" t="n"/>
      <c r="BC9" s="46" t="n"/>
      <c r="BD9" s="46" t="n"/>
      <c r="BE9" s="46" t="n"/>
      <c r="BF9" s="46" t="n"/>
      <c r="BG9" s="46" t="n"/>
      <c r="BH9" s="46" t="n"/>
      <c r="BI9" s="46" t="n"/>
      <c r="BJ9" s="46" t="n"/>
      <c r="BK9" s="46" t="n"/>
      <c r="BL9" s="46" t="n"/>
      <c r="BM9" s="46" t="n"/>
      <c r="BN9" s="46" t="n"/>
      <c r="BO9" s="46" t="n"/>
      <c r="BP9" s="46" t="n"/>
      <c r="BQ9" s="46" t="n"/>
      <c r="BR9" s="46" t="n"/>
      <c r="BS9" s="46" t="n"/>
      <c r="BT9" s="46" t="n"/>
      <c r="BU9" s="46" t="n"/>
      <c r="BV9" s="46" t="n"/>
      <c r="BW9" s="46" t="n"/>
      <c r="BX9" s="46" t="n"/>
      <c r="BY9" s="46" t="n"/>
      <c r="BZ9" s="46" t="n"/>
      <c r="CA9" s="46" t="n"/>
      <c r="CB9" s="46" t="n"/>
      <c r="CC9" s="46" t="n"/>
      <c r="CD9" s="46" t="n"/>
      <c r="CE9" s="46" t="n"/>
      <c r="CF9" s="46" t="n"/>
      <c r="CG9" s="46" t="n"/>
      <c r="CH9" s="46" t="n"/>
      <c r="CI9" s="46" t="n"/>
      <c r="CJ9" s="46" t="n"/>
      <c r="CK9" s="46" t="n"/>
      <c r="CL9" s="46" t="n"/>
      <c r="CM9" s="46" t="n"/>
      <c r="CN9" s="46" t="n"/>
      <c r="CO9" s="46" t="n"/>
      <c r="CP9" s="46" t="n"/>
      <c r="CQ9" s="46" t="n"/>
      <c r="CR9" s="46" t="n"/>
      <c r="CS9" s="46" t="n"/>
      <c r="CT9" s="46" t="n"/>
      <c r="CU9" s="46" t="n"/>
      <c r="CV9" s="46" t="n"/>
      <c r="CW9" s="46" t="n"/>
      <c r="CX9" s="46" t="n"/>
      <c r="CY9" s="46" t="n"/>
      <c r="CZ9" s="46" t="n"/>
      <c r="DA9" s="46" t="n"/>
      <c r="DB9" s="46" t="n"/>
      <c r="DC9" s="46" t="n"/>
      <c r="DD9" s="46" t="n"/>
      <c r="DE9" s="46" t="n"/>
      <c r="DF9" s="46" t="n"/>
      <c r="DG9" s="46" t="n"/>
      <c r="DH9" s="46" t="n"/>
      <c r="DI9" s="46" t="n"/>
      <c r="DJ9" s="46" t="n"/>
      <c r="DK9" s="46" t="n"/>
      <c r="DL9" s="46" t="n"/>
      <c r="DM9" s="46" t="n"/>
      <c r="DN9" s="46" t="n"/>
      <c r="DO9" s="46" t="n"/>
      <c r="DP9" s="46" t="n"/>
      <c r="DQ9" s="46" t="n"/>
      <c r="DR9" s="46" t="n"/>
      <c r="DS9" s="46" t="n"/>
      <c r="DT9" s="46" t="n"/>
      <c r="DU9" s="46" t="n"/>
      <c r="DV9" s="46" t="n"/>
      <c r="DW9" s="46" t="n"/>
      <c r="DX9" s="46" t="n"/>
      <c r="DY9" s="46" t="n"/>
      <c r="DZ9" s="46" t="n"/>
      <c r="EA9" s="46" t="n"/>
      <c r="EB9" s="46" t="n"/>
      <c r="EC9" s="46" t="n"/>
      <c r="ED9" s="46" t="n"/>
      <c r="EE9" s="46" t="n"/>
      <c r="EF9" s="46" t="n"/>
      <c r="EG9" s="46" t="n"/>
      <c r="EH9" s="46" t="n"/>
      <c r="EI9" s="46" t="n"/>
      <c r="EJ9" s="46" t="n"/>
      <c r="EK9" s="46" t="n"/>
      <c r="EL9" s="46" t="n"/>
      <c r="EM9" s="46" t="n"/>
      <c r="EN9" s="46" t="n"/>
      <c r="EO9" s="46" t="n"/>
      <c r="EP9" s="46" t="n"/>
      <c r="EQ9" s="46" t="n"/>
      <c r="ER9" s="46" t="n"/>
      <c r="ES9" s="46" t="n"/>
      <c r="ET9" s="46" t="n"/>
      <c r="EU9" s="46" t="n"/>
      <c r="EV9" s="46" t="n"/>
      <c r="EW9" s="46" t="n"/>
      <c r="EX9" s="46" t="n"/>
      <c r="EY9" s="46" t="n"/>
      <c r="EZ9" s="46" t="n"/>
      <c r="FA9" s="46" t="n"/>
      <c r="FB9" s="46" t="n"/>
      <c r="FC9" s="46" t="n"/>
      <c r="FD9" s="46" t="n"/>
      <c r="FE9" s="46" t="n"/>
      <c r="FF9" s="46" t="n"/>
      <c r="FG9" s="46" t="n"/>
      <c r="FH9" s="46" t="n"/>
      <c r="FI9" s="46" t="n"/>
      <c r="FJ9" s="46" t="n"/>
      <c r="FK9" s="46" t="n"/>
      <c r="FL9" s="46" t="n"/>
      <c r="FM9" s="46" t="n"/>
      <c r="FN9" s="46" t="n"/>
      <c r="FO9" s="46" t="n"/>
      <c r="FP9" s="46" t="n"/>
      <c r="FQ9" s="46" t="n"/>
      <c r="FR9" s="46" t="n"/>
      <c r="FS9" s="46" t="n"/>
      <c r="FT9" s="46" t="n"/>
      <c r="FU9" s="46" t="n"/>
      <c r="FV9" s="46" t="n"/>
      <c r="FW9" s="46" t="n"/>
      <c r="FX9" s="46" t="n"/>
      <c r="FY9" s="46" t="n"/>
      <c r="FZ9" s="46" t="n"/>
      <c r="GA9" s="46" t="n"/>
      <c r="GB9" s="46" t="n"/>
      <c r="GC9" s="46" t="n"/>
      <c r="GD9" s="46" t="n"/>
      <c r="GE9" s="46" t="n"/>
      <c r="GF9" s="46" t="n"/>
      <c r="GG9" s="46" t="n"/>
      <c r="GH9" s="46" t="n"/>
      <c r="GI9" s="46" t="n"/>
      <c r="GJ9" s="46" t="n"/>
      <c r="GK9" s="46" t="n"/>
      <c r="GL9" s="46" t="n"/>
      <c r="GM9" s="46" t="n"/>
      <c r="GN9" s="46" t="n"/>
      <c r="GO9" s="46" t="n"/>
      <c r="GP9" s="46" t="n"/>
      <c r="GQ9" s="46" t="n"/>
      <c r="GR9" s="46" t="n"/>
      <c r="GS9" s="46" t="n"/>
      <c r="GT9" s="46" t="n"/>
      <c r="GU9" s="46" t="n"/>
      <c r="GV9" s="46" t="n"/>
      <c r="GW9" s="46" t="n"/>
      <c r="GX9" s="46" t="n"/>
      <c r="GY9" s="46" t="n"/>
      <c r="GZ9" s="46" t="n"/>
      <c r="HA9" s="46" t="n"/>
      <c r="HB9" s="46" t="n"/>
    </row>
    <row r="10" ht="15.6" customFormat="1" customHeight="1" s="4">
      <c r="A10" s="56" t="n"/>
      <c r="B10" s="60" t="n"/>
      <c r="C10" s="57" t="n"/>
      <c r="D10" s="56" t="n"/>
      <c r="E10" s="58" t="n"/>
      <c r="F10" s="245" t="n"/>
      <c r="G10" s="46" t="n"/>
      <c r="H10" s="247" t="n"/>
      <c r="I10" s="46" t="n"/>
      <c r="J10" s="46" t="n"/>
      <c r="K10" s="46" t="n"/>
      <c r="L10" s="46" t="n"/>
      <c r="M10" s="46" t="n"/>
      <c r="N10" s="46" t="n"/>
      <c r="O10" s="46" t="n"/>
      <c r="P10" s="46" t="n"/>
      <c r="Q10" s="46" t="n"/>
      <c r="R10" s="46" t="n"/>
      <c r="S10" s="46" t="n"/>
      <c r="T10" s="46" t="n"/>
      <c r="U10" s="46" t="n"/>
      <c r="V10" s="46" t="n"/>
      <c r="W10" s="46" t="n"/>
      <c r="X10" s="46" t="n"/>
      <c r="Y10" s="46" t="n"/>
      <c r="Z10" s="46" t="n"/>
      <c r="AA10" s="46" t="n"/>
      <c r="AB10" s="46" t="n"/>
      <c r="AC10" s="46" t="n"/>
      <c r="AD10" s="46" t="n"/>
      <c r="AE10" s="46" t="n"/>
      <c r="AF10" s="46" t="n"/>
      <c r="AG10" s="46" t="n"/>
      <c r="AH10" s="46" t="n"/>
      <c r="AI10" s="46" t="n"/>
      <c r="AJ10" s="46" t="n"/>
      <c r="AK10" s="46" t="n"/>
      <c r="AL10" s="46" t="n"/>
      <c r="AM10" s="46" t="n"/>
      <c r="AN10" s="46" t="n"/>
      <c r="AO10" s="46" t="n"/>
      <c r="AP10" s="46" t="n"/>
      <c r="AQ10" s="46" t="n"/>
      <c r="AR10" s="46" t="n"/>
      <c r="AS10" s="46" t="n"/>
      <c r="AT10" s="46" t="n"/>
      <c r="AU10" s="46" t="n"/>
      <c r="AV10" s="46" t="n"/>
      <c r="AW10" s="46" t="n"/>
      <c r="AX10" s="46" t="n"/>
      <c r="AY10" s="46" t="n"/>
      <c r="AZ10" s="46" t="n"/>
      <c r="BA10" s="46" t="n"/>
      <c r="BB10" s="46" t="n"/>
      <c r="BC10" s="46" t="n"/>
      <c r="BD10" s="46" t="n"/>
      <c r="BE10" s="46" t="n"/>
      <c r="BF10" s="46" t="n"/>
      <c r="BG10" s="46" t="n"/>
      <c r="BH10" s="46" t="n"/>
      <c r="BI10" s="46" t="n"/>
      <c r="BJ10" s="46" t="n"/>
      <c r="BK10" s="46" t="n"/>
      <c r="BL10" s="46" t="n"/>
      <c r="BM10" s="46" t="n"/>
      <c r="BN10" s="46" t="n"/>
      <c r="BO10" s="46" t="n"/>
      <c r="BP10" s="46" t="n"/>
      <c r="BQ10" s="46" t="n"/>
      <c r="BR10" s="46" t="n"/>
      <c r="BS10" s="46" t="n"/>
      <c r="BT10" s="46" t="n"/>
      <c r="BU10" s="46" t="n"/>
      <c r="BV10" s="46" t="n"/>
      <c r="BW10" s="46" t="n"/>
      <c r="BX10" s="46" t="n"/>
      <c r="BY10" s="46" t="n"/>
      <c r="BZ10" s="46" t="n"/>
      <c r="CA10" s="46" t="n"/>
      <c r="CB10" s="46" t="n"/>
      <c r="CC10" s="46" t="n"/>
      <c r="CD10" s="46" t="n"/>
      <c r="CE10" s="46" t="n"/>
      <c r="CF10" s="46" t="n"/>
      <c r="CG10" s="46" t="n"/>
      <c r="CH10" s="46" t="n"/>
      <c r="CI10" s="46" t="n"/>
      <c r="CJ10" s="46" t="n"/>
      <c r="CK10" s="46" t="n"/>
      <c r="CL10" s="46" t="n"/>
      <c r="CM10" s="46" t="n"/>
      <c r="CN10" s="46" t="n"/>
      <c r="CO10" s="46" t="n"/>
      <c r="CP10" s="46" t="n"/>
      <c r="CQ10" s="46" t="n"/>
      <c r="CR10" s="46" t="n"/>
      <c r="CS10" s="46" t="n"/>
      <c r="CT10" s="46" t="n"/>
      <c r="CU10" s="46" t="n"/>
      <c r="CV10" s="46" t="n"/>
      <c r="CW10" s="46" t="n"/>
      <c r="CX10" s="46" t="n"/>
      <c r="CY10" s="46" t="n"/>
      <c r="CZ10" s="46" t="n"/>
      <c r="DA10" s="46" t="n"/>
      <c r="DB10" s="46" t="n"/>
      <c r="DC10" s="46" t="n"/>
      <c r="DD10" s="46" t="n"/>
      <c r="DE10" s="46" t="n"/>
      <c r="DF10" s="46" t="n"/>
      <c r="DG10" s="46" t="n"/>
      <c r="DH10" s="46" t="n"/>
      <c r="DI10" s="46" t="n"/>
      <c r="DJ10" s="46" t="n"/>
      <c r="DK10" s="46" t="n"/>
      <c r="DL10" s="46" t="n"/>
      <c r="DM10" s="46" t="n"/>
      <c r="DN10" s="46" t="n"/>
      <c r="DO10" s="46" t="n"/>
      <c r="DP10" s="46" t="n"/>
      <c r="DQ10" s="46" t="n"/>
      <c r="DR10" s="46" t="n"/>
      <c r="DS10" s="46" t="n"/>
      <c r="DT10" s="46" t="n"/>
      <c r="DU10" s="46" t="n"/>
      <c r="DV10" s="46" t="n"/>
      <c r="DW10" s="46" t="n"/>
      <c r="DX10" s="46" t="n"/>
      <c r="DY10" s="46" t="n"/>
      <c r="DZ10" s="46" t="n"/>
      <c r="EA10" s="46" t="n"/>
      <c r="EB10" s="46" t="n"/>
      <c r="EC10" s="46" t="n"/>
      <c r="ED10" s="46" t="n"/>
      <c r="EE10" s="46" t="n"/>
      <c r="EF10" s="46" t="n"/>
      <c r="EG10" s="46" t="n"/>
      <c r="EH10" s="46" t="n"/>
      <c r="EI10" s="46" t="n"/>
      <c r="EJ10" s="46" t="n"/>
      <c r="EK10" s="46" t="n"/>
      <c r="EL10" s="46" t="n"/>
      <c r="EM10" s="46" t="n"/>
      <c r="EN10" s="46" t="n"/>
      <c r="EO10" s="46" t="n"/>
      <c r="EP10" s="46" t="n"/>
      <c r="EQ10" s="46" t="n"/>
      <c r="ER10" s="46" t="n"/>
      <c r="ES10" s="46" t="n"/>
      <c r="ET10" s="46" t="n"/>
      <c r="EU10" s="46" t="n"/>
      <c r="EV10" s="46" t="n"/>
      <c r="EW10" s="46" t="n"/>
      <c r="EX10" s="46" t="n"/>
      <c r="EY10" s="46" t="n"/>
      <c r="EZ10" s="46" t="n"/>
      <c r="FA10" s="46" t="n"/>
      <c r="FB10" s="46" t="n"/>
      <c r="FC10" s="46" t="n"/>
      <c r="FD10" s="46" t="n"/>
      <c r="FE10" s="46" t="n"/>
      <c r="FF10" s="46" t="n"/>
      <c r="FG10" s="46" t="n"/>
      <c r="FH10" s="46" t="n"/>
      <c r="FI10" s="46" t="n"/>
      <c r="FJ10" s="46" t="n"/>
      <c r="FK10" s="46" t="n"/>
      <c r="FL10" s="46" t="n"/>
      <c r="FM10" s="46" t="n"/>
      <c r="FN10" s="46" t="n"/>
      <c r="FO10" s="46" t="n"/>
      <c r="FP10" s="46" t="n"/>
      <c r="FQ10" s="46" t="n"/>
      <c r="FR10" s="46" t="n"/>
      <c r="FS10" s="46" t="n"/>
      <c r="FT10" s="46" t="n"/>
      <c r="FU10" s="46" t="n"/>
      <c r="FV10" s="46" t="n"/>
      <c r="FW10" s="46" t="n"/>
      <c r="FX10" s="46" t="n"/>
      <c r="FY10" s="46" t="n"/>
      <c r="FZ10" s="46" t="n"/>
      <c r="GA10" s="46" t="n"/>
      <c r="GB10" s="46" t="n"/>
      <c r="GC10" s="46" t="n"/>
      <c r="GD10" s="46" t="n"/>
      <c r="GE10" s="46" t="n"/>
      <c r="GF10" s="46" t="n"/>
      <c r="GG10" s="46" t="n"/>
      <c r="GH10" s="46" t="n"/>
      <c r="GI10" s="46" t="n"/>
      <c r="GJ10" s="46" t="n"/>
      <c r="GK10" s="46" t="n"/>
      <c r="GL10" s="46" t="n"/>
      <c r="GM10" s="46" t="n"/>
      <c r="GN10" s="46" t="n"/>
      <c r="GO10" s="46" t="n"/>
      <c r="GP10" s="46" t="n"/>
      <c r="GQ10" s="46" t="n"/>
      <c r="GR10" s="46" t="n"/>
      <c r="GS10" s="46" t="n"/>
      <c r="GT10" s="46" t="n"/>
      <c r="GU10" s="46" t="n"/>
      <c r="GV10" s="46" t="n"/>
      <c r="GW10" s="46" t="n"/>
      <c r="GX10" s="46" t="n"/>
      <c r="GY10" s="46" t="n"/>
      <c r="GZ10" s="46" t="n"/>
      <c r="HA10" s="46" t="n"/>
      <c r="HB10" s="46" t="n"/>
    </row>
    <row r="11" ht="15.6" customFormat="1" customHeight="1" s="4">
      <c r="A11" s="56" t="n"/>
      <c r="B11" s="61" t="n"/>
      <c r="C11" s="57" t="n"/>
      <c r="D11" s="56" t="n"/>
      <c r="E11" s="62" t="n"/>
      <c r="F11" s="248" t="n"/>
      <c r="G11" s="46" t="n"/>
      <c r="H11" s="46" t="n"/>
      <c r="I11" s="46" t="n"/>
      <c r="J11" s="46" t="n"/>
      <c r="K11" s="46" t="n"/>
      <c r="L11" s="46" t="n"/>
      <c r="M11" s="46" t="n"/>
      <c r="N11" s="46" t="n"/>
      <c r="O11" s="46" t="n"/>
      <c r="P11" s="46" t="n"/>
      <c r="Q11" s="46" t="n"/>
      <c r="R11" s="46" t="n"/>
      <c r="S11" s="46" t="n"/>
      <c r="T11" s="46" t="n"/>
      <c r="U11" s="46" t="n"/>
      <c r="V11" s="46" t="n"/>
      <c r="W11" s="46" t="n"/>
      <c r="X11" s="46" t="n"/>
      <c r="Y11" s="46" t="n"/>
      <c r="Z11" s="46" t="n"/>
      <c r="AA11" s="46" t="n"/>
      <c r="AB11" s="46" t="n"/>
      <c r="AC11" s="46" t="n"/>
      <c r="AD11" s="46" t="n"/>
      <c r="AE11" s="46" t="n"/>
      <c r="AF11" s="46" t="n"/>
      <c r="AG11" s="46" t="n"/>
      <c r="AH11" s="46" t="n"/>
      <c r="AI11" s="46" t="n"/>
      <c r="AJ11" s="46" t="n"/>
      <c r="AK11" s="46" t="n"/>
      <c r="AL11" s="46" t="n"/>
      <c r="AM11" s="46" t="n"/>
      <c r="AN11" s="46" t="n"/>
      <c r="AO11" s="46" t="n"/>
      <c r="AP11" s="46" t="n"/>
      <c r="AQ11" s="46" t="n"/>
      <c r="AR11" s="46" t="n"/>
      <c r="AS11" s="46" t="n"/>
      <c r="AT11" s="46" t="n"/>
      <c r="AU11" s="46" t="n"/>
      <c r="AV11" s="46" t="n"/>
      <c r="AW11" s="46" t="n"/>
      <c r="AX11" s="46" t="n"/>
      <c r="AY11" s="46" t="n"/>
      <c r="AZ11" s="46" t="n"/>
      <c r="BA11" s="46" t="n"/>
      <c r="BB11" s="46" t="n"/>
      <c r="BC11" s="46" t="n"/>
      <c r="BD11" s="46" t="n"/>
      <c r="BE11" s="46" t="n"/>
      <c r="BF11" s="46" t="n"/>
      <c r="BG11" s="46" t="n"/>
      <c r="BH11" s="46" t="n"/>
      <c r="BI11" s="46" t="n"/>
      <c r="BJ11" s="46" t="n"/>
      <c r="BK11" s="46" t="n"/>
      <c r="BL11" s="46" t="n"/>
      <c r="BM11" s="46" t="n"/>
      <c r="BN11" s="46" t="n"/>
      <c r="BO11" s="46" t="n"/>
      <c r="BP11" s="46" t="n"/>
      <c r="BQ11" s="46" t="n"/>
      <c r="BR11" s="46" t="n"/>
      <c r="BS11" s="46" t="n"/>
      <c r="BT11" s="46" t="n"/>
      <c r="BU11" s="46" t="n"/>
      <c r="BV11" s="46" t="n"/>
      <c r="BW11" s="46" t="n"/>
      <c r="BX11" s="46" t="n"/>
      <c r="BY11" s="46" t="n"/>
      <c r="BZ11" s="46" t="n"/>
      <c r="CA11" s="46" t="n"/>
      <c r="CB11" s="46" t="n"/>
      <c r="CC11" s="46" t="n"/>
      <c r="CD11" s="46" t="n"/>
      <c r="CE11" s="46" t="n"/>
      <c r="CF11" s="46" t="n"/>
      <c r="CG11" s="46" t="n"/>
      <c r="CH11" s="46" t="n"/>
      <c r="CI11" s="46" t="n"/>
      <c r="CJ11" s="46" t="n"/>
      <c r="CK11" s="46" t="n"/>
      <c r="CL11" s="46" t="n"/>
      <c r="CM11" s="46" t="n"/>
      <c r="CN11" s="46" t="n"/>
      <c r="CO11" s="46" t="n"/>
      <c r="CP11" s="46" t="n"/>
      <c r="CQ11" s="46" t="n"/>
      <c r="CR11" s="46" t="n"/>
      <c r="CS11" s="46" t="n"/>
      <c r="CT11" s="46" t="n"/>
      <c r="CU11" s="46" t="n"/>
      <c r="CV11" s="46" t="n"/>
      <c r="CW11" s="46" t="n"/>
      <c r="CX11" s="46" t="n"/>
      <c r="CY11" s="46" t="n"/>
      <c r="CZ11" s="46" t="n"/>
      <c r="DA11" s="46" t="n"/>
      <c r="DB11" s="46" t="n"/>
      <c r="DC11" s="46" t="n"/>
      <c r="DD11" s="46" t="n"/>
      <c r="DE11" s="46" t="n"/>
      <c r="DF11" s="46" t="n"/>
      <c r="DG11" s="46" t="n"/>
      <c r="DH11" s="46" t="n"/>
      <c r="DI11" s="46" t="n"/>
      <c r="DJ11" s="46" t="n"/>
      <c r="DK11" s="46" t="n"/>
      <c r="DL11" s="46" t="n"/>
      <c r="DM11" s="46" t="n"/>
      <c r="DN11" s="46" t="n"/>
      <c r="DO11" s="46" t="n"/>
      <c r="DP11" s="46" t="n"/>
      <c r="DQ11" s="46" t="n"/>
      <c r="DR11" s="46" t="n"/>
      <c r="DS11" s="46" t="n"/>
      <c r="DT11" s="46" t="n"/>
      <c r="DU11" s="46" t="n"/>
      <c r="DV11" s="46" t="n"/>
      <c r="DW11" s="46" t="n"/>
      <c r="DX11" s="46" t="n"/>
      <c r="DY11" s="46" t="n"/>
      <c r="DZ11" s="46" t="n"/>
      <c r="EA11" s="46" t="n"/>
      <c r="EB11" s="46" t="n"/>
      <c r="EC11" s="46" t="n"/>
      <c r="ED11" s="46" t="n"/>
      <c r="EE11" s="46" t="n"/>
      <c r="EF11" s="46" t="n"/>
      <c r="EG11" s="46" t="n"/>
      <c r="EH11" s="46" t="n"/>
      <c r="EI11" s="46" t="n"/>
      <c r="EJ11" s="46" t="n"/>
      <c r="EK11" s="46" t="n"/>
      <c r="EL11" s="46" t="n"/>
      <c r="EM11" s="46" t="n"/>
      <c r="EN11" s="46" t="n"/>
      <c r="EO11" s="46" t="n"/>
      <c r="EP11" s="46" t="n"/>
      <c r="EQ11" s="46" t="n"/>
      <c r="ER11" s="46" t="n"/>
      <c r="ES11" s="46" t="n"/>
      <c r="ET11" s="46" t="n"/>
      <c r="EU11" s="46" t="n"/>
      <c r="EV11" s="46" t="n"/>
      <c r="EW11" s="46" t="n"/>
      <c r="EX11" s="46" t="n"/>
      <c r="EY11" s="46" t="n"/>
      <c r="EZ11" s="46" t="n"/>
      <c r="FA11" s="46" t="n"/>
      <c r="FB11" s="46" t="n"/>
      <c r="FC11" s="46" t="n"/>
      <c r="FD11" s="46" t="n"/>
      <c r="FE11" s="46" t="n"/>
      <c r="FF11" s="46" t="n"/>
      <c r="FG11" s="46" t="n"/>
      <c r="FH11" s="46" t="n"/>
      <c r="FI11" s="46" t="n"/>
      <c r="FJ11" s="46" t="n"/>
      <c r="FK11" s="46" t="n"/>
      <c r="FL11" s="46" t="n"/>
      <c r="FM11" s="46" t="n"/>
      <c r="FN11" s="46" t="n"/>
      <c r="FO11" s="46" t="n"/>
      <c r="FP11" s="46" t="n"/>
      <c r="FQ11" s="46" t="n"/>
      <c r="FR11" s="46" t="n"/>
      <c r="FS11" s="46" t="n"/>
      <c r="FT11" s="46" t="n"/>
      <c r="FU11" s="46" t="n"/>
      <c r="FV11" s="46" t="n"/>
      <c r="FW11" s="46" t="n"/>
      <c r="FX11" s="46" t="n"/>
      <c r="FY11" s="46" t="n"/>
      <c r="FZ11" s="46" t="n"/>
      <c r="GA11" s="46" t="n"/>
      <c r="GB11" s="46" t="n"/>
      <c r="GC11" s="46" t="n"/>
      <c r="GD11" s="46" t="n"/>
      <c r="GE11" s="46" t="n"/>
      <c r="GF11" s="46" t="n"/>
      <c r="GG11" s="46" t="n"/>
      <c r="GH11" s="46" t="n"/>
      <c r="GI11" s="46" t="n"/>
      <c r="GJ11" s="46" t="n"/>
      <c r="GK11" s="46" t="n"/>
      <c r="GL11" s="46" t="n"/>
      <c r="GM11" s="46" t="n"/>
      <c r="GN11" s="46" t="n"/>
      <c r="GO11" s="46" t="n"/>
      <c r="GP11" s="46" t="n"/>
      <c r="GQ11" s="46" t="n"/>
      <c r="GR11" s="46" t="n"/>
      <c r="GS11" s="46" t="n"/>
      <c r="GT11" s="46" t="n"/>
      <c r="GU11" s="46" t="n"/>
      <c r="GV11" s="46" t="n"/>
      <c r="GW11" s="46" t="n"/>
      <c r="GX11" s="46" t="n"/>
      <c r="GY11" s="46" t="n"/>
      <c r="GZ11" s="46" t="n"/>
      <c r="HA11" s="46" t="n"/>
      <c r="HB11" s="46" t="n"/>
    </row>
    <row r="12" ht="15.75" customFormat="1" customHeight="1" s="4">
      <c r="A12" s="56" t="n"/>
      <c r="B12" s="42" t="inlineStr">
        <is>
          <t>SUB TOTAL</t>
        </is>
      </c>
      <c r="C12" s="57" t="n"/>
      <c r="D12" s="56" t="n"/>
      <c r="E12" s="63" t="n"/>
      <c r="F12" s="245">
        <f>F9+F7+F5</f>
        <v>0.0</v>
      </c>
      <c r="G12" s="46" t="n"/>
      <c r="H12" s="246" t="n"/>
      <c r="I12" s="46" t="n"/>
      <c r="J12" s="46" t="n"/>
      <c r="K12" s="46" t="n"/>
      <c r="L12" s="46" t="n"/>
      <c r="M12" s="46" t="n"/>
      <c r="N12" s="46" t="n"/>
      <c r="O12" s="46" t="n"/>
      <c r="P12" s="46" t="n"/>
      <c r="Q12" s="46" t="n"/>
      <c r="R12" s="46" t="n"/>
      <c r="S12" s="46" t="n"/>
      <c r="T12" s="46" t="n"/>
      <c r="U12" s="46" t="n"/>
      <c r="V12" s="46" t="n"/>
      <c r="W12" s="46" t="n"/>
      <c r="X12" s="46" t="n"/>
      <c r="Y12" s="46" t="n"/>
      <c r="Z12" s="46" t="n"/>
      <c r="AA12" s="46" t="n"/>
      <c r="AB12" s="46" t="n"/>
      <c r="AC12" s="46" t="n"/>
      <c r="AD12" s="46" t="n"/>
      <c r="AE12" s="46" t="n"/>
      <c r="AF12" s="46" t="n"/>
      <c r="AG12" s="46" t="n"/>
      <c r="AH12" s="46" t="n"/>
      <c r="AI12" s="46" t="n"/>
      <c r="AJ12" s="46" t="n"/>
      <c r="AK12" s="46" t="n"/>
      <c r="AL12" s="46" t="n"/>
      <c r="AM12" s="46" t="n"/>
      <c r="AN12" s="46" t="n"/>
      <c r="AO12" s="46" t="n"/>
      <c r="AP12" s="46" t="n"/>
      <c r="AQ12" s="46" t="n"/>
      <c r="AR12" s="46" t="n"/>
      <c r="AS12" s="46" t="n"/>
      <c r="AT12" s="46" t="n"/>
      <c r="AU12" s="46" t="n"/>
      <c r="AV12" s="46" t="n"/>
      <c r="AW12" s="46" t="n"/>
      <c r="AX12" s="46" t="n"/>
      <c r="AY12" s="46" t="n"/>
      <c r="AZ12" s="46" t="n"/>
      <c r="BA12" s="46" t="n"/>
      <c r="BB12" s="46" t="n"/>
      <c r="BC12" s="46" t="n"/>
      <c r="BD12" s="46" t="n"/>
      <c r="BE12" s="46" t="n"/>
      <c r="BF12" s="46" t="n"/>
      <c r="BG12" s="46" t="n"/>
      <c r="BH12" s="46" t="n"/>
      <c r="BI12" s="46" t="n"/>
      <c r="BJ12" s="46" t="n"/>
      <c r="BK12" s="46" t="n"/>
      <c r="BL12" s="46" t="n"/>
      <c r="BM12" s="46" t="n"/>
      <c r="BN12" s="46" t="n"/>
      <c r="BO12" s="46" t="n"/>
      <c r="BP12" s="46" t="n"/>
      <c r="BQ12" s="46" t="n"/>
      <c r="BR12" s="46" t="n"/>
      <c r="BS12" s="46" t="n"/>
      <c r="BT12" s="46" t="n"/>
      <c r="BU12" s="46" t="n"/>
      <c r="BV12" s="46" t="n"/>
      <c r="BW12" s="46" t="n"/>
      <c r="BX12" s="46" t="n"/>
      <c r="BY12" s="46" t="n"/>
      <c r="BZ12" s="46" t="n"/>
      <c r="CA12" s="46" t="n"/>
      <c r="CB12" s="46" t="n"/>
      <c r="CC12" s="46" t="n"/>
      <c r="CD12" s="46" t="n"/>
      <c r="CE12" s="46" t="n"/>
      <c r="CF12" s="46" t="n"/>
      <c r="CG12" s="46" t="n"/>
      <c r="CH12" s="46" t="n"/>
      <c r="CI12" s="46" t="n"/>
      <c r="CJ12" s="46" t="n"/>
      <c r="CK12" s="46" t="n"/>
      <c r="CL12" s="46" t="n"/>
      <c r="CM12" s="46" t="n"/>
      <c r="CN12" s="46" t="n"/>
      <c r="CO12" s="46" t="n"/>
      <c r="CP12" s="46" t="n"/>
      <c r="CQ12" s="46" t="n"/>
      <c r="CR12" s="46" t="n"/>
      <c r="CS12" s="46" t="n"/>
      <c r="CT12" s="46" t="n"/>
      <c r="CU12" s="46" t="n"/>
      <c r="CV12" s="46" t="n"/>
      <c r="CW12" s="46" t="n"/>
      <c r="CX12" s="46" t="n"/>
      <c r="CY12" s="46" t="n"/>
      <c r="CZ12" s="46" t="n"/>
      <c r="DA12" s="46" t="n"/>
      <c r="DB12" s="46" t="n"/>
      <c r="DC12" s="46" t="n"/>
      <c r="DD12" s="46" t="n"/>
      <c r="DE12" s="46" t="n"/>
      <c r="DF12" s="46" t="n"/>
      <c r="DG12" s="46" t="n"/>
      <c r="DH12" s="46" t="n"/>
      <c r="DI12" s="46" t="n"/>
      <c r="DJ12" s="46" t="n"/>
      <c r="DK12" s="46" t="n"/>
      <c r="DL12" s="46" t="n"/>
      <c r="DM12" s="46" t="n"/>
      <c r="DN12" s="46" t="n"/>
      <c r="DO12" s="46" t="n"/>
      <c r="DP12" s="46" t="n"/>
      <c r="DQ12" s="46" t="n"/>
      <c r="DR12" s="46" t="n"/>
      <c r="DS12" s="46" t="n"/>
      <c r="DT12" s="46" t="n"/>
      <c r="DU12" s="46" t="n"/>
      <c r="DV12" s="46" t="n"/>
      <c r="DW12" s="46" t="n"/>
      <c r="DX12" s="46" t="n"/>
      <c r="DY12" s="46" t="n"/>
      <c r="DZ12" s="46" t="n"/>
      <c r="EA12" s="46" t="n"/>
      <c r="EB12" s="46" t="n"/>
      <c r="EC12" s="46" t="n"/>
      <c r="ED12" s="46" t="n"/>
      <c r="EE12" s="46" t="n"/>
      <c r="EF12" s="46" t="n"/>
      <c r="EG12" s="46" t="n"/>
      <c r="EH12" s="46" t="n"/>
      <c r="EI12" s="46" t="n"/>
      <c r="EJ12" s="46" t="n"/>
      <c r="EK12" s="46" t="n"/>
      <c r="EL12" s="46" t="n"/>
      <c r="EM12" s="46" t="n"/>
      <c r="EN12" s="46" t="n"/>
      <c r="EO12" s="46" t="n"/>
      <c r="EP12" s="46" t="n"/>
      <c r="EQ12" s="46" t="n"/>
      <c r="ER12" s="46" t="n"/>
      <c r="ES12" s="46" t="n"/>
      <c r="ET12" s="46" t="n"/>
      <c r="EU12" s="46" t="n"/>
      <c r="EV12" s="46" t="n"/>
      <c r="EW12" s="46" t="n"/>
      <c r="EX12" s="46" t="n"/>
      <c r="EY12" s="46" t="n"/>
      <c r="EZ12" s="46" t="n"/>
      <c r="FA12" s="46" t="n"/>
      <c r="FB12" s="46" t="n"/>
      <c r="FC12" s="46" t="n"/>
      <c r="FD12" s="46" t="n"/>
      <c r="FE12" s="46" t="n"/>
      <c r="FF12" s="46" t="n"/>
      <c r="FG12" s="46" t="n"/>
      <c r="FH12" s="46" t="n"/>
      <c r="FI12" s="46" t="n"/>
      <c r="FJ12" s="46" t="n"/>
      <c r="FK12" s="46" t="n"/>
      <c r="FL12" s="46" t="n"/>
      <c r="FM12" s="46" t="n"/>
      <c r="FN12" s="46" t="n"/>
      <c r="FO12" s="46" t="n"/>
      <c r="FP12" s="46" t="n"/>
      <c r="FQ12" s="46" t="n"/>
      <c r="FR12" s="46" t="n"/>
      <c r="FS12" s="46" t="n"/>
      <c r="FT12" s="46" t="n"/>
      <c r="FU12" s="46" t="n"/>
      <c r="FV12" s="46" t="n"/>
      <c r="FW12" s="46" t="n"/>
      <c r="FX12" s="46" t="n"/>
      <c r="FY12" s="46" t="n"/>
      <c r="FZ12" s="46" t="n"/>
      <c r="GA12" s="46" t="n"/>
      <c r="GB12" s="46" t="n"/>
      <c r="GC12" s="46" t="n"/>
      <c r="GD12" s="46" t="n"/>
      <c r="GE12" s="46" t="n"/>
      <c r="GF12" s="46" t="n"/>
      <c r="GG12" s="46" t="n"/>
      <c r="GH12" s="46" t="n"/>
      <c r="GI12" s="46" t="n"/>
      <c r="GJ12" s="46" t="n"/>
      <c r="GK12" s="46" t="n"/>
      <c r="GL12" s="46" t="n"/>
      <c r="GM12" s="46" t="n"/>
      <c r="GN12" s="46" t="n"/>
      <c r="GO12" s="46" t="n"/>
      <c r="GP12" s="46" t="n"/>
      <c r="GQ12" s="46" t="n"/>
      <c r="GR12" s="46" t="n"/>
      <c r="GS12" s="46" t="n"/>
      <c r="GT12" s="46" t="n"/>
      <c r="GU12" s="46" t="n"/>
      <c r="GV12" s="46" t="n"/>
      <c r="GW12" s="46" t="n"/>
      <c r="GX12" s="46" t="n"/>
      <c r="GY12" s="46" t="n"/>
      <c r="GZ12" s="46" t="n"/>
      <c r="HA12" s="46" t="n"/>
      <c r="HB12" s="46" t="n"/>
    </row>
    <row r="13" ht="15.75" customFormat="1" customHeight="1" s="4">
      <c r="A13" s="56" t="n"/>
      <c r="B13" s="61" t="n"/>
      <c r="C13" s="57" t="n"/>
      <c r="D13" s="56" t="n"/>
      <c r="E13" s="58" t="n"/>
      <c r="F13" s="245" t="n"/>
      <c r="G13" s="46" t="n"/>
      <c r="H13" s="46" t="n"/>
      <c r="I13" s="46" t="n"/>
      <c r="J13" s="46" t="n"/>
      <c r="K13" s="46" t="n"/>
      <c r="L13" s="46" t="n"/>
      <c r="M13" s="46" t="n"/>
      <c r="N13" s="46" t="n"/>
      <c r="O13" s="46" t="n"/>
      <c r="P13" s="46" t="n"/>
      <c r="Q13" s="46" t="n"/>
      <c r="R13" s="46" t="n"/>
      <c r="S13" s="46" t="n"/>
      <c r="T13" s="46" t="n"/>
      <c r="U13" s="46" t="n"/>
      <c r="V13" s="46" t="n"/>
      <c r="W13" s="46" t="n"/>
      <c r="X13" s="46" t="n"/>
      <c r="Y13" s="46" t="n"/>
      <c r="Z13" s="46" t="n"/>
      <c r="AA13" s="46" t="n"/>
      <c r="AB13" s="46" t="n"/>
      <c r="AC13" s="46" t="n"/>
      <c r="AD13" s="46" t="n"/>
      <c r="AE13" s="46" t="n"/>
      <c r="AF13" s="46" t="n"/>
      <c r="AG13" s="46" t="n"/>
      <c r="AH13" s="46" t="n"/>
      <c r="AI13" s="46" t="n"/>
      <c r="AJ13" s="46" t="n"/>
      <c r="AK13" s="46" t="n"/>
      <c r="AL13" s="46" t="n"/>
      <c r="AM13" s="46" t="n"/>
      <c r="AN13" s="46" t="n"/>
      <c r="AO13" s="46" t="n"/>
      <c r="AP13" s="46" t="n"/>
      <c r="AQ13" s="46" t="n"/>
      <c r="AR13" s="46" t="n"/>
      <c r="AS13" s="46" t="n"/>
      <c r="AT13" s="46" t="n"/>
      <c r="AU13" s="46" t="n"/>
      <c r="AV13" s="46" t="n"/>
      <c r="AW13" s="46" t="n"/>
      <c r="AX13" s="46" t="n"/>
      <c r="AY13" s="46" t="n"/>
      <c r="AZ13" s="46" t="n"/>
      <c r="BA13" s="46" t="n"/>
      <c r="BB13" s="46" t="n"/>
      <c r="BC13" s="46" t="n"/>
      <c r="BD13" s="46" t="n"/>
      <c r="BE13" s="46" t="n"/>
      <c r="BF13" s="46" t="n"/>
      <c r="BG13" s="46" t="n"/>
      <c r="BH13" s="46" t="n"/>
      <c r="BI13" s="46" t="n"/>
      <c r="BJ13" s="46" t="n"/>
      <c r="BK13" s="46" t="n"/>
      <c r="BL13" s="46" t="n"/>
      <c r="BM13" s="46" t="n"/>
      <c r="BN13" s="46" t="n"/>
      <c r="BO13" s="46" t="n"/>
      <c r="BP13" s="46" t="n"/>
      <c r="BQ13" s="46" t="n"/>
      <c r="BR13" s="46" t="n"/>
      <c r="BS13" s="46" t="n"/>
      <c r="BT13" s="46" t="n"/>
      <c r="BU13" s="46" t="n"/>
      <c r="BV13" s="46" t="n"/>
      <c r="BW13" s="46" t="n"/>
      <c r="BX13" s="46" t="n"/>
      <c r="BY13" s="46" t="n"/>
      <c r="BZ13" s="46" t="n"/>
      <c r="CA13" s="46" t="n"/>
      <c r="CB13" s="46" t="n"/>
      <c r="CC13" s="46" t="n"/>
      <c r="CD13" s="46" t="n"/>
      <c r="CE13" s="46" t="n"/>
      <c r="CF13" s="46" t="n"/>
      <c r="CG13" s="46" t="n"/>
      <c r="CH13" s="46" t="n"/>
      <c r="CI13" s="46" t="n"/>
      <c r="CJ13" s="46" t="n"/>
      <c r="CK13" s="46" t="n"/>
      <c r="CL13" s="46" t="n"/>
      <c r="CM13" s="46" t="n"/>
      <c r="CN13" s="46" t="n"/>
      <c r="CO13" s="46" t="n"/>
      <c r="CP13" s="46" t="n"/>
      <c r="CQ13" s="46" t="n"/>
      <c r="CR13" s="46" t="n"/>
      <c r="CS13" s="46" t="n"/>
      <c r="CT13" s="46" t="n"/>
      <c r="CU13" s="46" t="n"/>
      <c r="CV13" s="46" t="n"/>
      <c r="CW13" s="46" t="n"/>
      <c r="CX13" s="46" t="n"/>
      <c r="CY13" s="46" t="n"/>
      <c r="CZ13" s="46" t="n"/>
      <c r="DA13" s="46" t="n"/>
      <c r="DB13" s="46" t="n"/>
      <c r="DC13" s="46" t="n"/>
      <c r="DD13" s="46" t="n"/>
      <c r="DE13" s="46" t="n"/>
      <c r="DF13" s="46" t="n"/>
      <c r="DG13" s="46" t="n"/>
      <c r="DH13" s="46" t="n"/>
      <c r="DI13" s="46" t="n"/>
      <c r="DJ13" s="46" t="n"/>
      <c r="DK13" s="46" t="n"/>
      <c r="DL13" s="46" t="n"/>
      <c r="DM13" s="46" t="n"/>
      <c r="DN13" s="46" t="n"/>
      <c r="DO13" s="46" t="n"/>
      <c r="DP13" s="46" t="n"/>
      <c r="DQ13" s="46" t="n"/>
      <c r="DR13" s="46" t="n"/>
      <c r="DS13" s="46" t="n"/>
      <c r="DT13" s="46" t="n"/>
      <c r="DU13" s="46" t="n"/>
      <c r="DV13" s="46" t="n"/>
      <c r="DW13" s="46" t="n"/>
      <c r="DX13" s="46" t="n"/>
      <c r="DY13" s="46" t="n"/>
      <c r="DZ13" s="46" t="n"/>
      <c r="EA13" s="46" t="n"/>
      <c r="EB13" s="46" t="n"/>
      <c r="EC13" s="46" t="n"/>
      <c r="ED13" s="46" t="n"/>
      <c r="EE13" s="46" t="n"/>
      <c r="EF13" s="46" t="n"/>
      <c r="EG13" s="46" t="n"/>
      <c r="EH13" s="46" t="n"/>
      <c r="EI13" s="46" t="n"/>
      <c r="EJ13" s="46" t="n"/>
      <c r="EK13" s="46" t="n"/>
      <c r="EL13" s="46" t="n"/>
      <c r="EM13" s="46" t="n"/>
      <c r="EN13" s="46" t="n"/>
      <c r="EO13" s="46" t="n"/>
      <c r="EP13" s="46" t="n"/>
      <c r="EQ13" s="46" t="n"/>
      <c r="ER13" s="46" t="n"/>
      <c r="ES13" s="46" t="n"/>
      <c r="ET13" s="46" t="n"/>
      <c r="EU13" s="46" t="n"/>
      <c r="EV13" s="46" t="n"/>
      <c r="EW13" s="46" t="n"/>
      <c r="EX13" s="46" t="n"/>
      <c r="EY13" s="46" t="n"/>
      <c r="EZ13" s="46" t="n"/>
      <c r="FA13" s="46" t="n"/>
      <c r="FB13" s="46" t="n"/>
      <c r="FC13" s="46" t="n"/>
      <c r="FD13" s="46" t="n"/>
      <c r="FE13" s="46" t="n"/>
      <c r="FF13" s="46" t="n"/>
      <c r="FG13" s="46" t="n"/>
      <c r="FH13" s="46" t="n"/>
      <c r="FI13" s="46" t="n"/>
      <c r="FJ13" s="46" t="n"/>
      <c r="FK13" s="46" t="n"/>
      <c r="FL13" s="46" t="n"/>
      <c r="FM13" s="46" t="n"/>
      <c r="FN13" s="46" t="n"/>
      <c r="FO13" s="46" t="n"/>
      <c r="FP13" s="46" t="n"/>
      <c r="FQ13" s="46" t="n"/>
      <c r="FR13" s="46" t="n"/>
      <c r="FS13" s="46" t="n"/>
      <c r="FT13" s="46" t="n"/>
      <c r="FU13" s="46" t="n"/>
      <c r="FV13" s="46" t="n"/>
      <c r="FW13" s="46" t="n"/>
      <c r="FX13" s="46" t="n"/>
      <c r="FY13" s="46" t="n"/>
      <c r="FZ13" s="46" t="n"/>
      <c r="GA13" s="46" t="n"/>
      <c r="GB13" s="46" t="n"/>
      <c r="GC13" s="46" t="n"/>
      <c r="GD13" s="46" t="n"/>
      <c r="GE13" s="46" t="n"/>
      <c r="GF13" s="46" t="n"/>
      <c r="GG13" s="46" t="n"/>
      <c r="GH13" s="46" t="n"/>
      <c r="GI13" s="46" t="n"/>
      <c r="GJ13" s="46" t="n"/>
      <c r="GK13" s="46" t="n"/>
      <c r="GL13" s="46" t="n"/>
      <c r="GM13" s="46" t="n"/>
      <c r="GN13" s="46" t="n"/>
      <c r="GO13" s="46" t="n"/>
      <c r="GP13" s="46" t="n"/>
      <c r="GQ13" s="46" t="n"/>
      <c r="GR13" s="46" t="n"/>
      <c r="GS13" s="46" t="n"/>
      <c r="GT13" s="46" t="n"/>
      <c r="GU13" s="46" t="n"/>
      <c r="GV13" s="46" t="n"/>
      <c r="GW13" s="46" t="n"/>
      <c r="GX13" s="46" t="n"/>
      <c r="GY13" s="46" t="n"/>
      <c r="GZ13" s="46" t="n"/>
      <c r="HA13" s="46" t="n"/>
      <c r="HB13" s="48" t="inlineStr">
        <is>
          <t> </t>
        </is>
      </c>
    </row>
    <row r="14" ht="15.75" customFormat="1" customHeight="1" s="4">
      <c r="A14" s="56" t="n"/>
      <c r="B14" s="61" t="n"/>
      <c r="C14" s="57" t="n"/>
      <c r="D14" s="56" t="n"/>
      <c r="E14" s="58" t="n"/>
      <c r="F14" s="245" t="n"/>
      <c r="G14" s="46" t="n"/>
      <c r="H14" s="46" t="n"/>
      <c r="I14" s="46" t="n"/>
      <c r="J14" s="46" t="n"/>
      <c r="K14" s="46" t="n"/>
      <c r="L14" s="46" t="n"/>
      <c r="M14" s="46" t="n"/>
      <c r="N14" s="46" t="n"/>
      <c r="O14" s="46" t="n"/>
      <c r="P14" s="46" t="n"/>
      <c r="Q14" s="46" t="n"/>
      <c r="R14" s="46" t="n"/>
      <c r="S14" s="46" t="n"/>
      <c r="T14" s="46" t="n"/>
      <c r="U14" s="46" t="n"/>
      <c r="V14" s="46" t="n"/>
      <c r="W14" s="46" t="n"/>
      <c r="X14" s="46" t="n"/>
      <c r="Y14" s="46" t="n"/>
      <c r="Z14" s="46" t="n"/>
      <c r="AA14" s="46" t="n"/>
      <c r="AB14" s="46" t="n"/>
      <c r="AC14" s="46" t="n"/>
      <c r="AD14" s="46" t="n"/>
      <c r="AE14" s="46" t="n"/>
      <c r="AF14" s="46" t="n"/>
      <c r="AG14" s="46" t="n"/>
      <c r="AH14" s="46" t="n"/>
      <c r="AI14" s="46" t="n"/>
      <c r="AJ14" s="46" t="n"/>
      <c r="AK14" s="46" t="n"/>
      <c r="AL14" s="46" t="n"/>
      <c r="AM14" s="46" t="n"/>
      <c r="AN14" s="46" t="n"/>
      <c r="AO14" s="46" t="n"/>
      <c r="AP14" s="46" t="n"/>
      <c r="AQ14" s="46" t="n"/>
      <c r="AR14" s="46" t="n"/>
      <c r="AS14" s="46" t="n"/>
      <c r="AT14" s="46" t="n"/>
      <c r="AU14" s="46" t="n"/>
      <c r="AV14" s="46" t="n"/>
      <c r="AW14" s="46" t="n"/>
      <c r="AX14" s="46" t="n"/>
      <c r="AY14" s="46" t="n"/>
      <c r="AZ14" s="46" t="n"/>
      <c r="BA14" s="46" t="n"/>
      <c r="BB14" s="46" t="n"/>
      <c r="BC14" s="46" t="n"/>
      <c r="BD14" s="46" t="n"/>
      <c r="BE14" s="46" t="n"/>
      <c r="BF14" s="46" t="n"/>
      <c r="BG14" s="46" t="n"/>
      <c r="BH14" s="46" t="n"/>
      <c r="BI14" s="46" t="n"/>
      <c r="BJ14" s="46" t="n"/>
      <c r="BK14" s="46" t="n"/>
      <c r="BL14" s="46" t="n"/>
      <c r="BM14" s="46" t="n"/>
      <c r="BN14" s="46" t="n"/>
      <c r="BO14" s="46" t="n"/>
      <c r="BP14" s="46" t="n"/>
      <c r="BQ14" s="46" t="n"/>
      <c r="BR14" s="46" t="n"/>
      <c r="BS14" s="46" t="n"/>
      <c r="BT14" s="46" t="n"/>
      <c r="BU14" s="46" t="n"/>
      <c r="BV14" s="46" t="n"/>
      <c r="BW14" s="46" t="n"/>
      <c r="BX14" s="46" t="n"/>
      <c r="BY14" s="46" t="n"/>
      <c r="BZ14" s="46" t="n"/>
      <c r="CA14" s="46" t="n"/>
      <c r="CB14" s="46" t="n"/>
      <c r="CC14" s="46" t="n"/>
      <c r="CD14" s="46" t="n"/>
      <c r="CE14" s="46" t="n"/>
      <c r="CF14" s="46" t="n"/>
      <c r="CG14" s="46" t="n"/>
      <c r="CH14" s="46" t="n"/>
      <c r="CI14" s="46" t="n"/>
      <c r="CJ14" s="46" t="n"/>
      <c r="CK14" s="46" t="n"/>
      <c r="CL14" s="46" t="n"/>
      <c r="CM14" s="46" t="n"/>
      <c r="CN14" s="46" t="n"/>
      <c r="CO14" s="46" t="n"/>
      <c r="CP14" s="46" t="n"/>
      <c r="CQ14" s="46" t="n"/>
      <c r="CR14" s="46" t="n"/>
      <c r="CS14" s="46" t="n"/>
      <c r="CT14" s="46" t="n"/>
      <c r="CU14" s="46" t="n"/>
      <c r="CV14" s="46" t="n"/>
      <c r="CW14" s="46" t="n"/>
      <c r="CX14" s="46" t="n"/>
      <c r="CY14" s="46" t="n"/>
      <c r="CZ14" s="46" t="n"/>
      <c r="DA14" s="46" t="n"/>
      <c r="DB14" s="46" t="n"/>
      <c r="DC14" s="46" t="n"/>
      <c r="DD14" s="46" t="n"/>
      <c r="DE14" s="46" t="n"/>
      <c r="DF14" s="46" t="n"/>
      <c r="DG14" s="46" t="n"/>
      <c r="DH14" s="46" t="n"/>
      <c r="DI14" s="46" t="n"/>
      <c r="DJ14" s="46" t="n"/>
      <c r="DK14" s="46" t="n"/>
      <c r="DL14" s="46" t="n"/>
      <c r="DM14" s="46" t="n"/>
      <c r="DN14" s="46" t="n"/>
      <c r="DO14" s="46" t="n"/>
      <c r="DP14" s="46" t="n"/>
      <c r="DQ14" s="46" t="n"/>
      <c r="DR14" s="46" t="n"/>
      <c r="DS14" s="46" t="n"/>
      <c r="DT14" s="46" t="n"/>
      <c r="DU14" s="46" t="n"/>
      <c r="DV14" s="46" t="n"/>
      <c r="DW14" s="46" t="n"/>
      <c r="DX14" s="46" t="n"/>
      <c r="DY14" s="46" t="n"/>
      <c r="DZ14" s="46" t="n"/>
      <c r="EA14" s="46" t="n"/>
      <c r="EB14" s="46" t="n"/>
      <c r="EC14" s="46" t="n"/>
      <c r="ED14" s="46" t="n"/>
      <c r="EE14" s="46" t="n"/>
      <c r="EF14" s="46" t="n"/>
      <c r="EG14" s="46" t="n"/>
      <c r="EH14" s="46" t="n"/>
      <c r="EI14" s="46" t="n"/>
      <c r="EJ14" s="46" t="n"/>
      <c r="EK14" s="46" t="n"/>
      <c r="EL14" s="46" t="n"/>
      <c r="EM14" s="46" t="n"/>
      <c r="EN14" s="46" t="n"/>
      <c r="EO14" s="46" t="n"/>
      <c r="EP14" s="46" t="n"/>
      <c r="EQ14" s="46" t="n"/>
      <c r="ER14" s="46" t="n"/>
      <c r="ES14" s="46" t="n"/>
      <c r="ET14" s="46" t="n"/>
      <c r="EU14" s="46" t="n"/>
      <c r="EV14" s="46" t="n"/>
      <c r="EW14" s="46" t="n"/>
      <c r="EX14" s="46" t="n"/>
      <c r="EY14" s="46" t="n"/>
      <c r="EZ14" s="46" t="n"/>
      <c r="FA14" s="46" t="n"/>
      <c r="FB14" s="46" t="n"/>
      <c r="FC14" s="46" t="n"/>
      <c r="FD14" s="46" t="n"/>
      <c r="FE14" s="46" t="n"/>
      <c r="FF14" s="46" t="n"/>
      <c r="FG14" s="46" t="n"/>
      <c r="FH14" s="46" t="n"/>
      <c r="FI14" s="46" t="n"/>
      <c r="FJ14" s="46" t="n"/>
      <c r="FK14" s="46" t="n"/>
      <c r="FL14" s="46" t="n"/>
      <c r="FM14" s="46" t="n"/>
      <c r="FN14" s="46" t="n"/>
      <c r="FO14" s="46" t="n"/>
      <c r="FP14" s="46" t="n"/>
      <c r="FQ14" s="46" t="n"/>
      <c r="FR14" s="46" t="n"/>
      <c r="FS14" s="46" t="n"/>
      <c r="FT14" s="46" t="n"/>
      <c r="FU14" s="46" t="n"/>
      <c r="FV14" s="46" t="n"/>
      <c r="FW14" s="46" t="n"/>
      <c r="FX14" s="46" t="n"/>
      <c r="FY14" s="46" t="n"/>
      <c r="FZ14" s="46" t="n"/>
      <c r="GA14" s="46" t="n"/>
      <c r="GB14" s="46" t="n"/>
      <c r="GC14" s="46" t="n"/>
      <c r="GD14" s="46" t="n"/>
      <c r="GE14" s="46" t="n"/>
      <c r="GF14" s="46" t="n"/>
      <c r="GG14" s="46" t="n"/>
      <c r="GH14" s="46" t="n"/>
      <c r="GI14" s="46" t="n"/>
      <c r="GJ14" s="46" t="n"/>
      <c r="GK14" s="46" t="n"/>
      <c r="GL14" s="46" t="n"/>
      <c r="GM14" s="46" t="n"/>
      <c r="GN14" s="46" t="n"/>
      <c r="GO14" s="46" t="n"/>
      <c r="GP14" s="46" t="n"/>
      <c r="GQ14" s="46" t="n"/>
      <c r="GR14" s="46" t="n"/>
      <c r="GS14" s="46" t="n"/>
      <c r="GT14" s="46" t="n"/>
      <c r="GU14" s="46" t="n"/>
      <c r="GV14" s="46" t="n"/>
      <c r="GW14" s="46" t="n"/>
      <c r="GX14" s="46" t="n"/>
      <c r="GY14" s="46" t="n"/>
      <c r="GZ14" s="46" t="n"/>
      <c r="HA14" s="46" t="n"/>
      <c r="HB14" s="46" t="n"/>
    </row>
    <row r="15" ht="15.75" customFormat="1" customHeight="1" s="4">
      <c r="A15" s="56" t="n"/>
      <c r="B15" s="61" t="inlineStr">
        <is>
          <t>CONTIGENCY (10%)</t>
        </is>
      </c>
      <c r="C15" s="57" t="n"/>
      <c r="D15" s="56" t="n"/>
      <c r="E15" s="58" t="n"/>
      <c r="F15" s="245">
        <f>0.1*F12</f>
        <v>0.0</v>
      </c>
      <c r="G15" s="46" t="n"/>
      <c r="H15" s="46" t="n"/>
      <c r="I15" s="46" t="n"/>
      <c r="J15" s="46" t="n"/>
      <c r="K15" s="46" t="n"/>
      <c r="L15" s="46" t="n"/>
      <c r="M15" s="46" t="n"/>
      <c r="N15" s="46" t="n"/>
      <c r="O15" s="46" t="n"/>
      <c r="P15" s="46" t="n"/>
      <c r="Q15" s="46" t="n"/>
      <c r="R15" s="46" t="n"/>
      <c r="S15" s="46" t="n"/>
      <c r="T15" s="46" t="n"/>
      <c r="U15" s="46" t="n"/>
      <c r="V15" s="46" t="n"/>
      <c r="W15" s="46" t="n"/>
      <c r="X15" s="46" t="n"/>
      <c r="Y15" s="46" t="n"/>
      <c r="Z15" s="46" t="n"/>
      <c r="AA15" s="46" t="n"/>
      <c r="AB15" s="46" t="n"/>
      <c r="AC15" s="46" t="n"/>
      <c r="AD15" s="46" t="n"/>
      <c r="AE15" s="46" t="n"/>
      <c r="AF15" s="46" t="n"/>
      <c r="AG15" s="46" t="n"/>
      <c r="AH15" s="46" t="n"/>
      <c r="AI15" s="46" t="n"/>
      <c r="AJ15" s="46" t="n"/>
      <c r="AK15" s="46" t="n"/>
      <c r="AL15" s="46" t="n"/>
      <c r="AM15" s="46" t="n"/>
      <c r="AN15" s="46" t="n"/>
      <c r="AO15" s="46" t="n"/>
      <c r="AP15" s="46" t="n"/>
      <c r="AQ15" s="46" t="n"/>
      <c r="AR15" s="46" t="n"/>
      <c r="AS15" s="46" t="n"/>
      <c r="AT15" s="46" t="n"/>
      <c r="AU15" s="46" t="n"/>
      <c r="AV15" s="46" t="n"/>
      <c r="AW15" s="46" t="n"/>
      <c r="AX15" s="46" t="n"/>
      <c r="AY15" s="46" t="n"/>
      <c r="AZ15" s="46" t="n"/>
      <c r="BA15" s="46" t="n"/>
      <c r="BB15" s="46" t="n"/>
      <c r="BC15" s="46" t="n"/>
      <c r="BD15" s="46" t="n"/>
      <c r="BE15" s="46" t="n"/>
      <c r="BF15" s="46" t="n"/>
      <c r="BG15" s="46" t="n"/>
      <c r="BH15" s="46" t="n"/>
      <c r="BI15" s="46" t="n"/>
      <c r="BJ15" s="46" t="n"/>
      <c r="BK15" s="46" t="n"/>
      <c r="BL15" s="46" t="n"/>
      <c r="BM15" s="46" t="n"/>
      <c r="BN15" s="46" t="n"/>
      <c r="BO15" s="46" t="n"/>
      <c r="BP15" s="46" t="n"/>
      <c r="BQ15" s="46" t="n"/>
      <c r="BR15" s="46" t="n"/>
      <c r="BS15" s="46" t="n"/>
      <c r="BT15" s="46" t="n"/>
      <c r="BU15" s="46" t="n"/>
      <c r="BV15" s="46" t="n"/>
      <c r="BW15" s="46" t="n"/>
      <c r="BX15" s="46" t="n"/>
      <c r="BY15" s="46" t="n"/>
      <c r="BZ15" s="46" t="n"/>
      <c r="CA15" s="46" t="n"/>
      <c r="CB15" s="46" t="n"/>
      <c r="CC15" s="46" t="n"/>
      <c r="CD15" s="46" t="n"/>
      <c r="CE15" s="46" t="n"/>
      <c r="CF15" s="46" t="n"/>
      <c r="CG15" s="46" t="n"/>
      <c r="CH15" s="46" t="n"/>
      <c r="CI15" s="46" t="n"/>
      <c r="CJ15" s="46" t="n"/>
      <c r="CK15" s="46" t="n"/>
      <c r="CL15" s="46" t="n"/>
      <c r="CM15" s="46" t="n"/>
      <c r="CN15" s="46" t="n"/>
      <c r="CO15" s="46" t="n"/>
      <c r="CP15" s="46" t="n"/>
      <c r="CQ15" s="46" t="n"/>
      <c r="CR15" s="46" t="n"/>
      <c r="CS15" s="46" t="n"/>
      <c r="CT15" s="46" t="n"/>
      <c r="CU15" s="46" t="n"/>
      <c r="CV15" s="46" t="n"/>
      <c r="CW15" s="46" t="n"/>
      <c r="CX15" s="46" t="n"/>
      <c r="CY15" s="46" t="n"/>
      <c r="CZ15" s="46" t="n"/>
      <c r="DA15" s="46" t="n"/>
      <c r="DB15" s="46" t="n"/>
      <c r="DC15" s="46" t="n"/>
      <c r="DD15" s="46" t="n"/>
      <c r="DE15" s="46" t="n"/>
      <c r="DF15" s="46" t="n"/>
      <c r="DG15" s="46" t="n"/>
      <c r="DH15" s="46" t="n"/>
      <c r="DI15" s="46" t="n"/>
      <c r="DJ15" s="46" t="n"/>
      <c r="DK15" s="46" t="n"/>
      <c r="DL15" s="46" t="n"/>
      <c r="DM15" s="46" t="n"/>
      <c r="DN15" s="46" t="n"/>
      <c r="DO15" s="46" t="n"/>
      <c r="DP15" s="46" t="n"/>
      <c r="DQ15" s="46" t="n"/>
      <c r="DR15" s="46" t="n"/>
      <c r="DS15" s="46" t="n"/>
      <c r="DT15" s="46" t="n"/>
      <c r="DU15" s="46" t="n"/>
      <c r="DV15" s="46" t="n"/>
      <c r="DW15" s="46" t="n"/>
      <c r="DX15" s="46" t="n"/>
      <c r="DY15" s="46" t="n"/>
      <c r="DZ15" s="46" t="n"/>
      <c r="EA15" s="46" t="n"/>
      <c r="EB15" s="46" t="n"/>
      <c r="EC15" s="46" t="n"/>
      <c r="ED15" s="46" t="n"/>
      <c r="EE15" s="46" t="n"/>
      <c r="EF15" s="46" t="n"/>
      <c r="EG15" s="46" t="n"/>
      <c r="EH15" s="46" t="n"/>
      <c r="EI15" s="46" t="n"/>
      <c r="EJ15" s="46" t="n"/>
      <c r="EK15" s="46" t="n"/>
      <c r="EL15" s="46" t="n"/>
      <c r="EM15" s="46" t="n"/>
      <c r="EN15" s="46" t="n"/>
      <c r="EO15" s="46" t="n"/>
      <c r="EP15" s="46" t="n"/>
      <c r="EQ15" s="46" t="n"/>
      <c r="ER15" s="46" t="n"/>
      <c r="ES15" s="46" t="n"/>
      <c r="ET15" s="46" t="n"/>
      <c r="EU15" s="46" t="n"/>
      <c r="EV15" s="46" t="n"/>
      <c r="EW15" s="46" t="n"/>
      <c r="EX15" s="46" t="n"/>
      <c r="EY15" s="46" t="n"/>
      <c r="EZ15" s="46" t="n"/>
      <c r="FA15" s="46" t="n"/>
      <c r="FB15" s="46" t="n"/>
      <c r="FC15" s="46" t="n"/>
      <c r="FD15" s="46" t="n"/>
      <c r="FE15" s="46" t="n"/>
      <c r="FF15" s="46" t="n"/>
      <c r="FG15" s="46" t="n"/>
      <c r="FH15" s="46" t="n"/>
      <c r="FI15" s="46" t="n"/>
      <c r="FJ15" s="46" t="n"/>
      <c r="FK15" s="46" t="n"/>
      <c r="FL15" s="46" t="n"/>
      <c r="FM15" s="46" t="n"/>
      <c r="FN15" s="46" t="n"/>
      <c r="FO15" s="46" t="n"/>
      <c r="FP15" s="46" t="n"/>
      <c r="FQ15" s="46" t="n"/>
      <c r="FR15" s="46" t="n"/>
      <c r="FS15" s="46" t="n"/>
      <c r="FT15" s="46" t="n"/>
      <c r="FU15" s="46" t="n"/>
      <c r="FV15" s="46" t="n"/>
      <c r="FW15" s="46" t="n"/>
      <c r="FX15" s="46" t="n"/>
      <c r="FY15" s="46" t="n"/>
      <c r="FZ15" s="46" t="n"/>
      <c r="GA15" s="46" t="n"/>
      <c r="GB15" s="46" t="n"/>
      <c r="GC15" s="46" t="n"/>
      <c r="GD15" s="46" t="n"/>
      <c r="GE15" s="46" t="n"/>
      <c r="GF15" s="46" t="n"/>
      <c r="GG15" s="46" t="n"/>
      <c r="GH15" s="46" t="n"/>
      <c r="GI15" s="46" t="n"/>
      <c r="GJ15" s="46" t="n"/>
      <c r="GK15" s="46" t="n"/>
      <c r="GL15" s="46" t="n"/>
      <c r="GM15" s="46" t="n"/>
      <c r="GN15" s="46" t="n"/>
      <c r="GO15" s="46" t="n"/>
      <c r="GP15" s="46" t="n"/>
      <c r="GQ15" s="46" t="n"/>
      <c r="GR15" s="46" t="n"/>
      <c r="GS15" s="46" t="n"/>
      <c r="GT15" s="46" t="n"/>
      <c r="GU15" s="46" t="n"/>
      <c r="GV15" s="46" t="n"/>
      <c r="GW15" s="46" t="n"/>
      <c r="GX15" s="46" t="n"/>
      <c r="GY15" s="46" t="n"/>
      <c r="GZ15" s="46" t="n"/>
      <c r="HA15" s="46" t="n"/>
      <c r="HB15" s="46" t="n"/>
    </row>
    <row r="16" ht="15.75" customFormat="1" customHeight="1" s="4">
      <c r="A16" s="56" t="n"/>
      <c r="B16" s="61" t="n"/>
      <c r="C16" s="57" t="n"/>
      <c r="D16" s="56" t="n"/>
      <c r="E16" s="58" t="n"/>
      <c r="F16" s="245" t="n"/>
      <c r="G16" s="46" t="n"/>
      <c r="H16" s="46" t="n"/>
      <c r="I16" s="46" t="n"/>
      <c r="J16" s="46" t="n"/>
      <c r="K16" s="46" t="n"/>
      <c r="L16" s="46" t="n"/>
      <c r="M16" s="46" t="n"/>
      <c r="N16" s="46" t="n"/>
      <c r="O16" s="46" t="n"/>
      <c r="P16" s="46" t="n"/>
      <c r="Q16" s="46" t="n"/>
      <c r="R16" s="46" t="n"/>
      <c r="S16" s="46" t="n"/>
      <c r="T16" s="46" t="n"/>
      <c r="U16" s="46" t="n"/>
      <c r="V16" s="46" t="n"/>
      <c r="W16" s="46" t="n"/>
      <c r="X16" s="46" t="n"/>
      <c r="Y16" s="46" t="n"/>
      <c r="Z16" s="46" t="n"/>
      <c r="AA16" s="46" t="n"/>
      <c r="AB16" s="46" t="n"/>
      <c r="AC16" s="46" t="n"/>
      <c r="AD16" s="46" t="n"/>
      <c r="AE16" s="46" t="n"/>
      <c r="AF16" s="46" t="n"/>
      <c r="AG16" s="46" t="n"/>
      <c r="AH16" s="46" t="n"/>
      <c r="AI16" s="46" t="n"/>
      <c r="AJ16" s="46" t="n"/>
      <c r="AK16" s="46" t="n"/>
      <c r="AL16" s="46" t="n"/>
      <c r="AM16" s="46" t="n"/>
      <c r="AN16" s="46" t="n"/>
      <c r="AO16" s="46" t="n"/>
      <c r="AP16" s="46" t="n"/>
      <c r="AQ16" s="46" t="n"/>
      <c r="AR16" s="46" t="n"/>
      <c r="AS16" s="46" t="n"/>
      <c r="AT16" s="46" t="n"/>
      <c r="AU16" s="46" t="n"/>
      <c r="AV16" s="46" t="n"/>
      <c r="AW16" s="46" t="n"/>
      <c r="AX16" s="46" t="n"/>
      <c r="AY16" s="46" t="n"/>
      <c r="AZ16" s="46" t="n"/>
      <c r="BA16" s="46" t="n"/>
      <c r="BB16" s="46" t="n"/>
      <c r="BC16" s="46" t="n"/>
      <c r="BD16" s="46" t="n"/>
      <c r="BE16" s="46" t="n"/>
      <c r="BF16" s="46" t="n"/>
      <c r="BG16" s="46" t="n"/>
      <c r="BH16" s="46" t="n"/>
      <c r="BI16" s="46" t="n"/>
      <c r="BJ16" s="46" t="n"/>
      <c r="BK16" s="46" t="n"/>
      <c r="BL16" s="46" t="n"/>
      <c r="BM16" s="46" t="n"/>
      <c r="BN16" s="46" t="n"/>
      <c r="BO16" s="46" t="n"/>
      <c r="BP16" s="46" t="n"/>
      <c r="BQ16" s="46" t="n"/>
      <c r="BR16" s="46" t="n"/>
      <c r="BS16" s="46" t="n"/>
      <c r="BT16" s="46" t="n"/>
      <c r="BU16" s="46" t="n"/>
      <c r="BV16" s="46" t="n"/>
      <c r="BW16" s="46" t="n"/>
      <c r="BX16" s="46" t="n"/>
      <c r="BY16" s="46" t="n"/>
      <c r="BZ16" s="46" t="n"/>
      <c r="CA16" s="46" t="n"/>
      <c r="CB16" s="46" t="n"/>
      <c r="CC16" s="46" t="n"/>
      <c r="CD16" s="46" t="n"/>
      <c r="CE16" s="46" t="n"/>
      <c r="CF16" s="46" t="n"/>
      <c r="CG16" s="46" t="n"/>
      <c r="CH16" s="46" t="n"/>
      <c r="CI16" s="46" t="n"/>
      <c r="CJ16" s="46" t="n"/>
      <c r="CK16" s="46" t="n"/>
      <c r="CL16" s="46" t="n"/>
      <c r="CM16" s="46" t="n"/>
      <c r="CN16" s="46" t="n"/>
      <c r="CO16" s="46" t="n"/>
      <c r="CP16" s="46" t="n"/>
      <c r="CQ16" s="46" t="n"/>
      <c r="CR16" s="46" t="n"/>
      <c r="CS16" s="46" t="n"/>
      <c r="CT16" s="46" t="n"/>
      <c r="CU16" s="46" t="n"/>
      <c r="CV16" s="46" t="n"/>
      <c r="CW16" s="46" t="n"/>
      <c r="CX16" s="46" t="n"/>
      <c r="CY16" s="46" t="n"/>
      <c r="CZ16" s="46" t="n"/>
      <c r="DA16" s="46" t="n"/>
      <c r="DB16" s="46" t="n"/>
      <c r="DC16" s="46" t="n"/>
      <c r="DD16" s="46" t="n"/>
      <c r="DE16" s="46" t="n"/>
      <c r="DF16" s="46" t="n"/>
      <c r="DG16" s="46" t="n"/>
      <c r="DH16" s="46" t="n"/>
      <c r="DI16" s="46" t="n"/>
      <c r="DJ16" s="46" t="n"/>
      <c r="DK16" s="46" t="n"/>
      <c r="DL16" s="46" t="n"/>
      <c r="DM16" s="46" t="n"/>
      <c r="DN16" s="46" t="n"/>
      <c r="DO16" s="46" t="n"/>
      <c r="DP16" s="46" t="n"/>
      <c r="DQ16" s="46" t="n"/>
      <c r="DR16" s="46" t="n"/>
      <c r="DS16" s="46" t="n"/>
      <c r="DT16" s="46" t="n"/>
      <c r="DU16" s="46" t="n"/>
      <c r="DV16" s="46" t="n"/>
      <c r="DW16" s="46" t="n"/>
      <c r="DX16" s="46" t="n"/>
      <c r="DY16" s="46" t="n"/>
      <c r="DZ16" s="46" t="n"/>
      <c r="EA16" s="46" t="n"/>
      <c r="EB16" s="46" t="n"/>
      <c r="EC16" s="46" t="n"/>
      <c r="ED16" s="46" t="n"/>
      <c r="EE16" s="46" t="n"/>
      <c r="EF16" s="46" t="n"/>
      <c r="EG16" s="46" t="n"/>
      <c r="EH16" s="46" t="n"/>
      <c r="EI16" s="46" t="n"/>
      <c r="EJ16" s="46" t="n"/>
      <c r="EK16" s="46" t="n"/>
      <c r="EL16" s="46" t="n"/>
      <c r="EM16" s="46" t="n"/>
      <c r="EN16" s="46" t="n"/>
      <c r="EO16" s="46" t="n"/>
      <c r="EP16" s="46" t="n"/>
      <c r="EQ16" s="46" t="n"/>
      <c r="ER16" s="46" t="n"/>
      <c r="ES16" s="46" t="n"/>
      <c r="ET16" s="46" t="n"/>
      <c r="EU16" s="46" t="n"/>
      <c r="EV16" s="46" t="n"/>
      <c r="EW16" s="46" t="n"/>
      <c r="EX16" s="46" t="n"/>
      <c r="EY16" s="46" t="n"/>
      <c r="EZ16" s="46" t="n"/>
      <c r="FA16" s="46" t="n"/>
      <c r="FB16" s="46" t="n"/>
      <c r="FC16" s="46" t="n"/>
      <c r="FD16" s="46" t="n"/>
      <c r="FE16" s="46" t="n"/>
      <c r="FF16" s="46" t="n"/>
      <c r="FG16" s="46" t="n"/>
      <c r="FH16" s="46" t="n"/>
      <c r="FI16" s="46" t="n"/>
      <c r="FJ16" s="46" t="n"/>
      <c r="FK16" s="46" t="n"/>
      <c r="FL16" s="46" t="n"/>
      <c r="FM16" s="46" t="n"/>
      <c r="FN16" s="46" t="n"/>
      <c r="FO16" s="46" t="n"/>
      <c r="FP16" s="46" t="n"/>
      <c r="FQ16" s="46" t="n"/>
      <c r="FR16" s="46" t="n"/>
      <c r="FS16" s="46" t="n"/>
      <c r="FT16" s="46" t="n"/>
      <c r="FU16" s="46" t="n"/>
      <c r="FV16" s="46" t="n"/>
      <c r="FW16" s="46" t="n"/>
      <c r="FX16" s="46" t="n"/>
      <c r="FY16" s="46" t="n"/>
      <c r="FZ16" s="46" t="n"/>
      <c r="GA16" s="46" t="n"/>
      <c r="GB16" s="46" t="n"/>
      <c r="GC16" s="46" t="n"/>
      <c r="GD16" s="46" t="n"/>
      <c r="GE16" s="46" t="n"/>
      <c r="GF16" s="46" t="n"/>
      <c r="GG16" s="46" t="n"/>
      <c r="GH16" s="46" t="n"/>
      <c r="GI16" s="46" t="n"/>
      <c r="GJ16" s="46" t="n"/>
      <c r="GK16" s="46" t="n"/>
      <c r="GL16" s="46" t="n"/>
      <c r="GM16" s="46" t="n"/>
      <c r="GN16" s="46" t="n"/>
      <c r="GO16" s="46" t="n"/>
      <c r="GP16" s="46" t="n"/>
      <c r="GQ16" s="46" t="n"/>
      <c r="GR16" s="46" t="n"/>
      <c r="GS16" s="46" t="n"/>
      <c r="GT16" s="46" t="n"/>
      <c r="GU16" s="46" t="n"/>
      <c r="GV16" s="46" t="n"/>
      <c r="GW16" s="46" t="n"/>
      <c r="GX16" s="46" t="n"/>
      <c r="GY16" s="46" t="n"/>
      <c r="GZ16" s="46" t="n"/>
      <c r="HA16" s="46" t="n"/>
      <c r="HB16" s="46" t="n"/>
    </row>
    <row r="17" ht="15.75" customFormat="1" customHeight="1" s="4">
      <c r="A17" s="56" t="n"/>
      <c r="B17" s="61" t="n"/>
      <c r="C17" s="57" t="n"/>
      <c r="D17" s="56" t="n"/>
      <c r="E17" s="58" t="n"/>
      <c r="F17" s="245" t="n"/>
      <c r="G17" s="46" t="n"/>
      <c r="H17" s="46" t="n"/>
      <c r="I17" s="46" t="n"/>
      <c r="J17" s="46" t="n"/>
      <c r="K17" s="46" t="n"/>
      <c r="L17" s="46" t="n"/>
      <c r="M17" s="46" t="n"/>
      <c r="N17" s="46" t="n"/>
      <c r="O17" s="46" t="n"/>
      <c r="P17" s="46" t="n"/>
      <c r="Q17" s="46" t="n"/>
      <c r="R17" s="46" t="n"/>
      <c r="S17" s="46" t="n"/>
      <c r="T17" s="46" t="n"/>
      <c r="U17" s="46" t="n"/>
      <c r="V17" s="46" t="n"/>
      <c r="W17" s="46" t="n"/>
      <c r="X17" s="46" t="n"/>
      <c r="Y17" s="46" t="n"/>
      <c r="Z17" s="46" t="n"/>
      <c r="AA17" s="46" t="n"/>
      <c r="AB17" s="46" t="n"/>
      <c r="AC17" s="46" t="n"/>
      <c r="AD17" s="46" t="n"/>
      <c r="AE17" s="46" t="n"/>
      <c r="AF17" s="46" t="n"/>
      <c r="AG17" s="46" t="n"/>
      <c r="AH17" s="46" t="n"/>
      <c r="AI17" s="46" t="n"/>
      <c r="AJ17" s="46" t="n"/>
      <c r="AK17" s="46" t="n"/>
      <c r="AL17" s="46" t="n"/>
      <c r="AM17" s="46" t="n"/>
      <c r="AN17" s="46" t="n"/>
      <c r="AO17" s="46" t="n"/>
      <c r="AP17" s="46" t="n"/>
      <c r="AQ17" s="46" t="n"/>
      <c r="AR17" s="46" t="n"/>
      <c r="AS17" s="46" t="n"/>
      <c r="AT17" s="46" t="n"/>
      <c r="AU17" s="46" t="n"/>
      <c r="AV17" s="46" t="n"/>
      <c r="AW17" s="46" t="n"/>
      <c r="AX17" s="46" t="n"/>
      <c r="AY17" s="46" t="n"/>
      <c r="AZ17" s="46" t="n"/>
      <c r="BA17" s="46" t="n"/>
      <c r="BB17" s="46" t="n"/>
      <c r="BC17" s="46" t="n"/>
      <c r="BD17" s="46" t="n"/>
      <c r="BE17" s="46" t="n"/>
      <c r="BF17" s="46" t="n"/>
      <c r="BG17" s="46" t="n"/>
      <c r="BH17" s="46" t="n"/>
      <c r="BI17" s="46" t="n"/>
      <c r="BJ17" s="46" t="n"/>
      <c r="BK17" s="46" t="n"/>
      <c r="BL17" s="46" t="n"/>
      <c r="BM17" s="46" t="n"/>
      <c r="BN17" s="46" t="n"/>
      <c r="BO17" s="46" t="n"/>
      <c r="BP17" s="46" t="n"/>
      <c r="BQ17" s="46" t="n"/>
      <c r="BR17" s="46" t="n"/>
      <c r="BS17" s="46" t="n"/>
      <c r="BT17" s="46" t="n"/>
      <c r="BU17" s="46" t="n"/>
      <c r="BV17" s="46" t="n"/>
      <c r="BW17" s="46" t="n"/>
      <c r="BX17" s="46" t="n"/>
      <c r="BY17" s="46" t="n"/>
      <c r="BZ17" s="46" t="n"/>
      <c r="CA17" s="46" t="n"/>
      <c r="CB17" s="46" t="n"/>
      <c r="CC17" s="46" t="n"/>
      <c r="CD17" s="46" t="n"/>
      <c r="CE17" s="46" t="n"/>
      <c r="CF17" s="46" t="n"/>
      <c r="CG17" s="46" t="n"/>
      <c r="CH17" s="46" t="n"/>
      <c r="CI17" s="46" t="n"/>
      <c r="CJ17" s="46" t="n"/>
      <c r="CK17" s="46" t="n"/>
      <c r="CL17" s="46" t="n"/>
      <c r="CM17" s="46" t="n"/>
      <c r="CN17" s="46" t="n"/>
      <c r="CO17" s="46" t="n"/>
      <c r="CP17" s="46" t="n"/>
      <c r="CQ17" s="46" t="n"/>
      <c r="CR17" s="46" t="n"/>
      <c r="CS17" s="46" t="n"/>
      <c r="CT17" s="46" t="n"/>
      <c r="CU17" s="46" t="n"/>
      <c r="CV17" s="46" t="n"/>
      <c r="CW17" s="46" t="n"/>
      <c r="CX17" s="46" t="n"/>
      <c r="CY17" s="46" t="n"/>
      <c r="CZ17" s="46" t="n"/>
      <c r="DA17" s="46" t="n"/>
      <c r="DB17" s="46" t="n"/>
      <c r="DC17" s="46" t="n"/>
      <c r="DD17" s="46" t="n"/>
      <c r="DE17" s="46" t="n"/>
      <c r="DF17" s="46" t="n"/>
      <c r="DG17" s="46" t="n"/>
      <c r="DH17" s="46" t="n"/>
      <c r="DI17" s="46" t="n"/>
      <c r="DJ17" s="46" t="n"/>
      <c r="DK17" s="46" t="n"/>
      <c r="DL17" s="46" t="n"/>
      <c r="DM17" s="46" t="n"/>
      <c r="DN17" s="46" t="n"/>
      <c r="DO17" s="46" t="n"/>
      <c r="DP17" s="46" t="n"/>
      <c r="DQ17" s="46" t="n"/>
      <c r="DR17" s="46" t="n"/>
      <c r="DS17" s="46" t="n"/>
      <c r="DT17" s="46" t="n"/>
      <c r="DU17" s="46" t="n"/>
      <c r="DV17" s="46" t="n"/>
      <c r="DW17" s="46" t="n"/>
      <c r="DX17" s="46" t="n"/>
      <c r="DY17" s="46" t="n"/>
      <c r="DZ17" s="46" t="n"/>
      <c r="EA17" s="46" t="n"/>
      <c r="EB17" s="46" t="n"/>
      <c r="EC17" s="46" t="n"/>
      <c r="ED17" s="46" t="n"/>
      <c r="EE17" s="46" t="n"/>
      <c r="EF17" s="46" t="n"/>
      <c r="EG17" s="46" t="n"/>
      <c r="EH17" s="46" t="n"/>
      <c r="EI17" s="46" t="n"/>
      <c r="EJ17" s="46" t="n"/>
      <c r="EK17" s="46" t="n"/>
      <c r="EL17" s="46" t="n"/>
      <c r="EM17" s="46" t="n"/>
      <c r="EN17" s="46" t="n"/>
      <c r="EO17" s="46" t="n"/>
      <c r="EP17" s="46" t="n"/>
      <c r="EQ17" s="46" t="n"/>
      <c r="ER17" s="46" t="n"/>
      <c r="ES17" s="46" t="n"/>
      <c r="ET17" s="46" t="n"/>
      <c r="EU17" s="46" t="n"/>
      <c r="EV17" s="46" t="n"/>
      <c r="EW17" s="46" t="n"/>
      <c r="EX17" s="46" t="n"/>
      <c r="EY17" s="46" t="n"/>
      <c r="EZ17" s="46" t="n"/>
      <c r="FA17" s="46" t="n"/>
      <c r="FB17" s="46" t="n"/>
      <c r="FC17" s="46" t="n"/>
      <c r="FD17" s="46" t="n"/>
      <c r="FE17" s="46" t="n"/>
      <c r="FF17" s="46" t="n"/>
      <c r="FG17" s="46" t="n"/>
      <c r="FH17" s="46" t="n"/>
      <c r="FI17" s="46" t="n"/>
      <c r="FJ17" s="46" t="n"/>
      <c r="FK17" s="46" t="n"/>
      <c r="FL17" s="46" t="n"/>
      <c r="FM17" s="46" t="n"/>
      <c r="FN17" s="46" t="n"/>
      <c r="FO17" s="46" t="n"/>
      <c r="FP17" s="46" t="n"/>
      <c r="FQ17" s="46" t="n"/>
      <c r="FR17" s="46" t="n"/>
      <c r="FS17" s="46" t="n"/>
      <c r="FT17" s="46" t="n"/>
      <c r="FU17" s="46" t="n"/>
      <c r="FV17" s="46" t="n"/>
      <c r="FW17" s="46" t="n"/>
      <c r="FX17" s="46" t="n"/>
      <c r="FY17" s="46" t="n"/>
      <c r="FZ17" s="46" t="n"/>
      <c r="GA17" s="46" t="n"/>
      <c r="GB17" s="46" t="n"/>
      <c r="GC17" s="46" t="n"/>
      <c r="GD17" s="46" t="n"/>
      <c r="GE17" s="46" t="n"/>
      <c r="GF17" s="46" t="n"/>
      <c r="GG17" s="46" t="n"/>
      <c r="GH17" s="46" t="n"/>
      <c r="GI17" s="46" t="n"/>
      <c r="GJ17" s="46" t="n"/>
      <c r="GK17" s="46" t="n"/>
      <c r="GL17" s="46" t="n"/>
      <c r="GM17" s="46" t="n"/>
      <c r="GN17" s="46" t="n"/>
      <c r="GO17" s="46" t="n"/>
      <c r="GP17" s="46" t="n"/>
      <c r="GQ17" s="46" t="n"/>
      <c r="GR17" s="46" t="n"/>
      <c r="GS17" s="46" t="n"/>
      <c r="GT17" s="46" t="n"/>
      <c r="GU17" s="46" t="n"/>
      <c r="GV17" s="46" t="n"/>
      <c r="GW17" s="46" t="n"/>
      <c r="GX17" s="46" t="n"/>
      <c r="GY17" s="46" t="n"/>
      <c r="GZ17" s="46" t="n"/>
      <c r="HA17" s="46" t="n"/>
      <c r="HB17" s="46" t="n"/>
    </row>
    <row r="18" ht="16.5" customFormat="1" customHeight="1" s="4" thickBot="1">
      <c r="A18" s="56" t="n"/>
      <c r="B18" s="61" t="n"/>
      <c r="C18" s="57" t="n"/>
      <c r="D18" s="56" t="n"/>
      <c r="E18" s="58" t="n"/>
      <c r="F18" s="245" t="n"/>
      <c r="G18" s="46" t="n"/>
      <c r="H18" s="46" t="n"/>
      <c r="I18" s="46" t="n"/>
      <c r="J18" s="46" t="n"/>
      <c r="K18" s="46" t="n"/>
      <c r="L18" s="46" t="n"/>
      <c r="M18" s="46" t="n"/>
      <c r="N18" s="46" t="n"/>
      <c r="O18" s="46" t="n"/>
      <c r="P18" s="46" t="n"/>
      <c r="Q18" s="46" t="n"/>
      <c r="R18" s="46" t="n"/>
      <c r="S18" s="46" t="n"/>
      <c r="T18" s="46" t="n"/>
      <c r="U18" s="46" t="n"/>
      <c r="V18" s="46" t="n"/>
      <c r="W18" s="46" t="n"/>
      <c r="X18" s="46" t="n"/>
      <c r="Y18" s="46" t="n"/>
      <c r="Z18" s="46" t="n"/>
      <c r="AA18" s="46" t="n"/>
      <c r="AB18" s="46" t="n"/>
      <c r="AC18" s="46" t="n"/>
      <c r="AD18" s="46" t="n"/>
      <c r="AE18" s="46" t="n"/>
      <c r="AF18" s="46" t="n"/>
      <c r="AG18" s="46" t="n"/>
      <c r="AH18" s="46" t="n"/>
      <c r="AI18" s="46" t="n"/>
      <c r="AJ18" s="46" t="n"/>
      <c r="AK18" s="46" t="n"/>
      <c r="AL18" s="46" t="n"/>
      <c r="AM18" s="46" t="n"/>
      <c r="AN18" s="46" t="n"/>
      <c r="AO18" s="46" t="n"/>
      <c r="AP18" s="46" t="n"/>
      <c r="AQ18" s="46" t="n"/>
      <c r="AR18" s="46" t="n"/>
      <c r="AS18" s="46" t="n"/>
      <c r="AT18" s="46" t="n"/>
      <c r="AU18" s="46" t="n"/>
      <c r="AV18" s="46" t="n"/>
      <c r="AW18" s="46" t="n"/>
      <c r="AX18" s="46" t="n"/>
      <c r="AY18" s="46" t="n"/>
      <c r="AZ18" s="46" t="n"/>
      <c r="BA18" s="46" t="n"/>
      <c r="BB18" s="46" t="n"/>
      <c r="BC18" s="46" t="n"/>
      <c r="BD18" s="46" t="n"/>
      <c r="BE18" s="46" t="n"/>
      <c r="BF18" s="46" t="n"/>
      <c r="BG18" s="46" t="n"/>
      <c r="BH18" s="46" t="n"/>
      <c r="BI18" s="46" t="n"/>
      <c r="BJ18" s="46" t="n"/>
      <c r="BK18" s="46" t="n"/>
      <c r="BL18" s="46" t="n"/>
      <c r="BM18" s="46" t="n"/>
      <c r="BN18" s="46" t="n"/>
      <c r="BO18" s="46" t="n"/>
      <c r="BP18" s="46" t="n"/>
      <c r="BQ18" s="46" t="n"/>
      <c r="BR18" s="46" t="n"/>
      <c r="BS18" s="46" t="n"/>
      <c r="BT18" s="46" t="n"/>
      <c r="BU18" s="46" t="n"/>
      <c r="BV18" s="46" t="n"/>
      <c r="BW18" s="46" t="n"/>
      <c r="BX18" s="46" t="n"/>
      <c r="BY18" s="46" t="n"/>
      <c r="BZ18" s="46" t="n"/>
      <c r="CA18" s="46" t="n"/>
      <c r="CB18" s="46" t="n"/>
      <c r="CC18" s="46" t="n"/>
      <c r="CD18" s="46" t="n"/>
      <c r="CE18" s="46" t="n"/>
      <c r="CF18" s="46" t="n"/>
      <c r="CG18" s="46" t="n"/>
      <c r="CH18" s="46" t="n"/>
      <c r="CI18" s="46" t="n"/>
      <c r="CJ18" s="46" t="n"/>
      <c r="CK18" s="46" t="n"/>
      <c r="CL18" s="46" t="n"/>
      <c r="CM18" s="46" t="n"/>
      <c r="CN18" s="46" t="n"/>
      <c r="CO18" s="46" t="n"/>
      <c r="CP18" s="46" t="n"/>
      <c r="CQ18" s="46" t="n"/>
      <c r="CR18" s="46" t="n"/>
      <c r="CS18" s="46" t="n"/>
      <c r="CT18" s="46" t="n"/>
      <c r="CU18" s="46" t="n"/>
      <c r="CV18" s="46" t="n"/>
      <c r="CW18" s="46" t="n"/>
      <c r="CX18" s="46" t="n"/>
      <c r="CY18" s="46" t="n"/>
      <c r="CZ18" s="46" t="n"/>
      <c r="DA18" s="46" t="n"/>
      <c r="DB18" s="46" t="n"/>
      <c r="DC18" s="46" t="n"/>
      <c r="DD18" s="46" t="n"/>
      <c r="DE18" s="46" t="n"/>
      <c r="DF18" s="46" t="n"/>
      <c r="DG18" s="46" t="n"/>
      <c r="DH18" s="46" t="n"/>
      <c r="DI18" s="46" t="n"/>
      <c r="DJ18" s="46" t="n"/>
      <c r="DK18" s="46" t="n"/>
      <c r="DL18" s="46" t="n"/>
      <c r="DM18" s="46" t="n"/>
      <c r="DN18" s="46" t="n"/>
      <c r="DO18" s="46" t="n"/>
      <c r="DP18" s="46" t="n"/>
      <c r="DQ18" s="46" t="n"/>
      <c r="DR18" s="46" t="n"/>
      <c r="DS18" s="46" t="n"/>
      <c r="DT18" s="46" t="n"/>
      <c r="DU18" s="46" t="n"/>
      <c r="DV18" s="46" t="n"/>
      <c r="DW18" s="46" t="n"/>
      <c r="DX18" s="46" t="n"/>
      <c r="DY18" s="46" t="n"/>
      <c r="DZ18" s="46" t="n"/>
      <c r="EA18" s="46" t="n"/>
      <c r="EB18" s="46" t="n"/>
      <c r="EC18" s="46" t="n"/>
      <c r="ED18" s="46" t="n"/>
      <c r="EE18" s="46" t="n"/>
      <c r="EF18" s="46" t="n"/>
      <c r="EG18" s="46" t="n"/>
      <c r="EH18" s="46" t="n"/>
      <c r="EI18" s="46" t="n"/>
      <c r="EJ18" s="46" t="n"/>
      <c r="EK18" s="46" t="n"/>
      <c r="EL18" s="46" t="n"/>
      <c r="EM18" s="46" t="n"/>
      <c r="EN18" s="46" t="n"/>
      <c r="EO18" s="46" t="n"/>
      <c r="EP18" s="46" t="n"/>
      <c r="EQ18" s="46" t="n"/>
      <c r="ER18" s="46" t="n"/>
      <c r="ES18" s="46" t="n"/>
      <c r="ET18" s="46" t="n"/>
      <c r="EU18" s="46" t="n"/>
      <c r="EV18" s="46" t="n"/>
      <c r="EW18" s="46" t="n"/>
      <c r="EX18" s="46" t="n"/>
      <c r="EY18" s="46" t="n"/>
      <c r="EZ18" s="46" t="n"/>
      <c r="FA18" s="46" t="n"/>
      <c r="FB18" s="46" t="n"/>
      <c r="FC18" s="46" t="n"/>
      <c r="FD18" s="46" t="n"/>
      <c r="FE18" s="46" t="n"/>
      <c r="FF18" s="46" t="n"/>
      <c r="FG18" s="46" t="n"/>
      <c r="FH18" s="46" t="n"/>
      <c r="FI18" s="46" t="n"/>
      <c r="FJ18" s="46" t="n"/>
      <c r="FK18" s="46" t="n"/>
      <c r="FL18" s="46" t="n"/>
      <c r="FM18" s="46" t="n"/>
      <c r="FN18" s="46" t="n"/>
      <c r="FO18" s="46" t="n"/>
      <c r="FP18" s="46" t="n"/>
      <c r="FQ18" s="46" t="n"/>
      <c r="FR18" s="46" t="n"/>
      <c r="FS18" s="46" t="n"/>
      <c r="FT18" s="46" t="n"/>
      <c r="FU18" s="46" t="n"/>
      <c r="FV18" s="46" t="n"/>
      <c r="FW18" s="46" t="n"/>
      <c r="FX18" s="46" t="n"/>
      <c r="FY18" s="46" t="n"/>
      <c r="FZ18" s="46" t="n"/>
      <c r="GA18" s="46" t="n"/>
      <c r="GB18" s="46" t="n"/>
      <c r="GC18" s="46" t="n"/>
      <c r="GD18" s="46" t="n"/>
      <c r="GE18" s="46" t="n"/>
      <c r="GF18" s="46" t="n"/>
      <c r="GG18" s="46" t="n"/>
      <c r="GH18" s="46" t="n"/>
      <c r="GI18" s="46" t="n"/>
      <c r="GJ18" s="46" t="n"/>
      <c r="GK18" s="46" t="n"/>
      <c r="GL18" s="46" t="n"/>
      <c r="GM18" s="46" t="n"/>
      <c r="GN18" s="46" t="n"/>
      <c r="GO18" s="46" t="n"/>
      <c r="GP18" s="46" t="n"/>
      <c r="GQ18" s="46" t="n"/>
      <c r="GR18" s="46" t="n"/>
      <c r="GS18" s="46" t="n"/>
      <c r="GT18" s="46" t="n"/>
      <c r="GU18" s="46" t="n"/>
      <c r="GV18" s="46" t="n"/>
      <c r="GW18" s="46" t="n"/>
      <c r="GX18" s="46" t="n"/>
      <c r="GY18" s="46" t="n"/>
      <c r="GZ18" s="46" t="n"/>
      <c r="HA18" s="46" t="n"/>
      <c r="HB18" s="46" t="n"/>
    </row>
    <row r="19" ht="17.25" customFormat="1" customHeight="1" s="4" thickBot="1" thickTop="1">
      <c r="A19" s="56" t="n"/>
      <c r="B19" s="42" t="inlineStr">
        <is>
          <t>TOTAL</t>
        </is>
      </c>
      <c r="C19" s="57" t="n"/>
      <c r="D19" s="56" t="n"/>
      <c r="E19" s="58" t="n"/>
      <c r="F19" s="249">
        <f>SUM(F12:F18)</f>
        <v>0.0</v>
      </c>
      <c r="G19" s="46" t="n"/>
      <c r="H19" s="46" t="n"/>
      <c r="I19" s="46" t="n"/>
      <c r="J19" s="46" t="n"/>
      <c r="K19" s="46" t="n"/>
      <c r="L19" s="46" t="n"/>
      <c r="M19" s="46" t="n"/>
      <c r="N19" s="46" t="n"/>
      <c r="O19" s="46" t="n"/>
      <c r="P19" s="46" t="n"/>
      <c r="Q19" s="46" t="n"/>
      <c r="R19" s="46" t="n"/>
      <c r="S19" s="46" t="n"/>
      <c r="T19" s="46" t="n"/>
      <c r="U19" s="46" t="n"/>
      <c r="V19" s="46" t="n"/>
      <c r="W19" s="46" t="n"/>
      <c r="X19" s="46" t="n"/>
      <c r="Y19" s="46" t="n"/>
      <c r="Z19" s="46" t="n"/>
      <c r="AA19" s="46" t="n"/>
      <c r="AB19" s="46" t="n"/>
      <c r="AC19" s="46" t="n"/>
      <c r="AD19" s="46" t="n"/>
      <c r="AE19" s="46" t="n"/>
      <c r="AF19" s="46" t="n"/>
      <c r="AG19" s="46" t="n"/>
      <c r="AH19" s="46" t="n"/>
      <c r="AI19" s="46" t="n"/>
      <c r="AJ19" s="46" t="n"/>
      <c r="AK19" s="46" t="n"/>
      <c r="AL19" s="46" t="n"/>
      <c r="AM19" s="46" t="n"/>
      <c r="AN19" s="46" t="n"/>
      <c r="AO19" s="46" t="n"/>
      <c r="AP19" s="46" t="n"/>
      <c r="AQ19" s="46" t="n"/>
      <c r="AR19" s="46" t="n"/>
      <c r="AS19" s="46" t="n"/>
      <c r="AT19" s="46" t="n"/>
      <c r="AU19" s="46" t="n"/>
      <c r="AV19" s="46" t="n"/>
      <c r="AW19" s="46" t="n"/>
      <c r="AX19" s="46" t="n"/>
      <c r="AY19" s="46" t="n"/>
      <c r="AZ19" s="46" t="n"/>
      <c r="BA19" s="46" t="n"/>
      <c r="BB19" s="46" t="n"/>
      <c r="BC19" s="46" t="n"/>
      <c r="BD19" s="46" t="n"/>
      <c r="BE19" s="46" t="n"/>
      <c r="BF19" s="46" t="n"/>
      <c r="BG19" s="46" t="n"/>
      <c r="BH19" s="46" t="n"/>
      <c r="BI19" s="46" t="n"/>
      <c r="BJ19" s="46" t="n"/>
      <c r="BK19" s="46" t="n"/>
      <c r="BL19" s="46" t="n"/>
      <c r="BM19" s="46" t="n"/>
      <c r="BN19" s="46" t="n"/>
      <c r="BO19" s="46" t="n"/>
      <c r="BP19" s="46" t="n"/>
      <c r="BQ19" s="46" t="n"/>
      <c r="BR19" s="46" t="n"/>
      <c r="BS19" s="46" t="n"/>
      <c r="BT19" s="46" t="n"/>
      <c r="BU19" s="46" t="n"/>
      <c r="BV19" s="46" t="n"/>
      <c r="BW19" s="46" t="n"/>
      <c r="BX19" s="46" t="n"/>
      <c r="BY19" s="46" t="n"/>
      <c r="BZ19" s="46" t="n"/>
      <c r="CA19" s="46" t="n"/>
      <c r="CB19" s="46" t="n"/>
      <c r="CC19" s="46" t="n"/>
      <c r="CD19" s="46" t="n"/>
      <c r="CE19" s="46" t="n"/>
      <c r="CF19" s="46" t="n"/>
      <c r="CG19" s="46" t="n"/>
      <c r="CH19" s="46" t="n"/>
      <c r="CI19" s="46" t="n"/>
      <c r="CJ19" s="46" t="n"/>
      <c r="CK19" s="46" t="n"/>
      <c r="CL19" s="46" t="n"/>
      <c r="CM19" s="46" t="n"/>
      <c r="CN19" s="46" t="n"/>
      <c r="CO19" s="46" t="n"/>
      <c r="CP19" s="46" t="n"/>
      <c r="CQ19" s="46" t="n"/>
      <c r="CR19" s="46" t="n"/>
      <c r="CS19" s="46" t="n"/>
      <c r="CT19" s="46" t="n"/>
      <c r="CU19" s="46" t="n"/>
      <c r="CV19" s="46" t="n"/>
      <c r="CW19" s="46" t="n"/>
      <c r="CX19" s="46" t="n"/>
      <c r="CY19" s="46" t="n"/>
      <c r="CZ19" s="46" t="n"/>
      <c r="DA19" s="46" t="n"/>
      <c r="DB19" s="46" t="n"/>
      <c r="DC19" s="46" t="n"/>
      <c r="DD19" s="46" t="n"/>
      <c r="DE19" s="46" t="n"/>
      <c r="DF19" s="46" t="n"/>
      <c r="DG19" s="46" t="n"/>
      <c r="DH19" s="46" t="n"/>
      <c r="DI19" s="46" t="n"/>
      <c r="DJ19" s="46" t="n"/>
      <c r="DK19" s="46" t="n"/>
      <c r="DL19" s="46" t="n"/>
      <c r="DM19" s="46" t="n"/>
      <c r="DN19" s="46" t="n"/>
      <c r="DO19" s="46" t="n"/>
      <c r="DP19" s="46" t="n"/>
      <c r="DQ19" s="46" t="n"/>
      <c r="DR19" s="46" t="n"/>
      <c r="DS19" s="46" t="n"/>
      <c r="DT19" s="46" t="n"/>
      <c r="DU19" s="46" t="n"/>
      <c r="DV19" s="46" t="n"/>
      <c r="DW19" s="46" t="n"/>
      <c r="DX19" s="46" t="n"/>
      <c r="DY19" s="46" t="n"/>
      <c r="DZ19" s="46" t="n"/>
      <c r="EA19" s="46" t="n"/>
      <c r="EB19" s="46" t="n"/>
      <c r="EC19" s="46" t="n"/>
      <c r="ED19" s="46" t="n"/>
      <c r="EE19" s="46" t="n"/>
      <c r="EF19" s="46" t="n"/>
      <c r="EG19" s="46" t="n"/>
      <c r="EH19" s="46" t="n"/>
      <c r="EI19" s="46" t="n"/>
      <c r="EJ19" s="46" t="n"/>
      <c r="EK19" s="46" t="n"/>
      <c r="EL19" s="46" t="n"/>
      <c r="EM19" s="46" t="n"/>
      <c r="EN19" s="46" t="n"/>
      <c r="EO19" s="46" t="n"/>
      <c r="EP19" s="46" t="n"/>
      <c r="EQ19" s="46" t="n"/>
      <c r="ER19" s="46" t="n"/>
      <c r="ES19" s="46" t="n"/>
      <c r="ET19" s="46" t="n"/>
      <c r="EU19" s="46" t="n"/>
      <c r="EV19" s="46" t="n"/>
      <c r="EW19" s="46" t="n"/>
      <c r="EX19" s="46" t="n"/>
      <c r="EY19" s="46" t="n"/>
      <c r="EZ19" s="46" t="n"/>
      <c r="FA19" s="46" t="n"/>
      <c r="FB19" s="46" t="n"/>
      <c r="FC19" s="46" t="n"/>
      <c r="FD19" s="46" t="n"/>
      <c r="FE19" s="46" t="n"/>
      <c r="FF19" s="46" t="n"/>
      <c r="FG19" s="46" t="n"/>
      <c r="FH19" s="46" t="n"/>
      <c r="FI19" s="46" t="n"/>
      <c r="FJ19" s="46" t="n"/>
      <c r="FK19" s="46" t="n"/>
      <c r="FL19" s="46" t="n"/>
      <c r="FM19" s="46" t="n"/>
      <c r="FN19" s="46" t="n"/>
      <c r="FO19" s="46" t="n"/>
      <c r="FP19" s="46" t="n"/>
      <c r="FQ19" s="46" t="n"/>
      <c r="FR19" s="46" t="n"/>
      <c r="FS19" s="46" t="n"/>
      <c r="FT19" s="46" t="n"/>
      <c r="FU19" s="46" t="n"/>
      <c r="FV19" s="46" t="n"/>
      <c r="FW19" s="46" t="n"/>
      <c r="FX19" s="46" t="n"/>
      <c r="FY19" s="46" t="n"/>
      <c r="FZ19" s="46" t="n"/>
      <c r="GA19" s="46" t="n"/>
      <c r="GB19" s="46" t="n"/>
      <c r="GC19" s="46" t="n"/>
      <c r="GD19" s="46" t="n"/>
      <c r="GE19" s="46" t="n"/>
      <c r="GF19" s="46" t="n"/>
      <c r="GG19" s="46" t="n"/>
      <c r="GH19" s="46" t="n"/>
      <c r="GI19" s="46" t="n"/>
      <c r="GJ19" s="46" t="n"/>
      <c r="GK19" s="46" t="n"/>
      <c r="GL19" s="46" t="n"/>
      <c r="GM19" s="46" t="n"/>
      <c r="GN19" s="46" t="n"/>
      <c r="GO19" s="46" t="n"/>
      <c r="GP19" s="46" t="n"/>
      <c r="GQ19" s="46" t="n"/>
      <c r="GR19" s="46" t="n"/>
      <c r="GS19" s="46" t="n"/>
      <c r="GT19" s="46" t="n"/>
      <c r="GU19" s="46" t="n"/>
      <c r="GV19" s="46" t="n"/>
      <c r="GW19" s="46" t="n"/>
      <c r="GX19" s="46" t="n"/>
      <c r="GY19" s="46" t="n"/>
      <c r="GZ19" s="46" t="n"/>
      <c r="HA19" s="46" t="n"/>
      <c r="HB19" s="46" t="n"/>
    </row>
    <row r="20" ht="16.5" customFormat="1" customHeight="1" s="4" thickTop="1">
      <c r="A20" s="56" t="n"/>
      <c r="B20" s="61" t="n"/>
      <c r="C20" s="57" t="n"/>
      <c r="D20" s="56" t="n"/>
      <c r="E20" s="58" t="n"/>
      <c r="F20" s="245" t="n"/>
      <c r="G20" s="46" t="n"/>
      <c r="H20" s="46" t="n"/>
      <c r="I20" s="46" t="n"/>
      <c r="J20" s="46" t="n"/>
      <c r="K20" s="46" t="n"/>
      <c r="L20" s="46" t="n"/>
      <c r="M20" s="46" t="n"/>
      <c r="N20" s="46" t="n"/>
      <c r="O20" s="46" t="n"/>
      <c r="P20" s="46" t="n"/>
      <c r="Q20" s="46" t="n"/>
      <c r="R20" s="46" t="n"/>
      <c r="S20" s="46" t="n"/>
      <c r="T20" s="46" t="n"/>
      <c r="U20" s="46" t="n"/>
      <c r="V20" s="46" t="n"/>
      <c r="W20" s="46" t="n"/>
      <c r="X20" s="46" t="n"/>
      <c r="Y20" s="46" t="n"/>
      <c r="Z20" s="46" t="n"/>
      <c r="AA20" s="46" t="n"/>
      <c r="AB20" s="46" t="n"/>
      <c r="AC20" s="46" t="n"/>
      <c r="AD20" s="46" t="n"/>
      <c r="AE20" s="46" t="n"/>
      <c r="AF20" s="46" t="n"/>
      <c r="AG20" s="46" t="n"/>
      <c r="AH20" s="46" t="n"/>
      <c r="AI20" s="46" t="n"/>
      <c r="AJ20" s="46" t="n"/>
      <c r="AK20" s="46" t="n"/>
      <c r="AL20" s="46" t="n"/>
      <c r="AM20" s="46" t="n"/>
      <c r="AN20" s="46" t="n"/>
      <c r="AO20" s="46" t="n"/>
      <c r="AP20" s="46" t="n"/>
      <c r="AQ20" s="46" t="n"/>
      <c r="AR20" s="46" t="n"/>
      <c r="AS20" s="46" t="n"/>
      <c r="AT20" s="46" t="n"/>
      <c r="AU20" s="46" t="n"/>
      <c r="AV20" s="46" t="n"/>
      <c r="AW20" s="46" t="n"/>
      <c r="AX20" s="46" t="n"/>
      <c r="AY20" s="46" t="n"/>
      <c r="AZ20" s="46" t="n"/>
      <c r="BA20" s="46" t="n"/>
      <c r="BB20" s="46" t="n"/>
      <c r="BC20" s="46" t="n"/>
      <c r="BD20" s="46" t="n"/>
      <c r="BE20" s="46" t="n"/>
      <c r="BF20" s="46" t="n"/>
      <c r="BG20" s="46" t="n"/>
      <c r="BH20" s="46" t="n"/>
      <c r="BI20" s="46" t="n"/>
      <c r="BJ20" s="46" t="n"/>
      <c r="BK20" s="46" t="n"/>
      <c r="BL20" s="46" t="n"/>
      <c r="BM20" s="46" t="n"/>
      <c r="BN20" s="46" t="n"/>
      <c r="BO20" s="46" t="n"/>
      <c r="BP20" s="46" t="n"/>
      <c r="BQ20" s="46" t="n"/>
      <c r="BR20" s="46" t="n"/>
      <c r="BS20" s="46" t="n"/>
      <c r="BT20" s="46" t="n"/>
      <c r="BU20" s="46" t="n"/>
      <c r="BV20" s="46" t="n"/>
      <c r="BW20" s="46" t="n"/>
      <c r="BX20" s="46" t="n"/>
      <c r="BY20" s="46" t="n"/>
      <c r="BZ20" s="46" t="n"/>
      <c r="CA20" s="46" t="n"/>
      <c r="CB20" s="46" t="n"/>
      <c r="CC20" s="46" t="n"/>
      <c r="CD20" s="46" t="n"/>
      <c r="CE20" s="46" t="n"/>
      <c r="CF20" s="46" t="n"/>
      <c r="CG20" s="46" t="n"/>
      <c r="CH20" s="46" t="n"/>
      <c r="CI20" s="46" t="n"/>
      <c r="CJ20" s="46" t="n"/>
      <c r="CK20" s="46" t="n"/>
      <c r="CL20" s="46" t="n"/>
      <c r="CM20" s="46" t="n"/>
      <c r="CN20" s="46" t="n"/>
      <c r="CO20" s="46" t="n"/>
      <c r="CP20" s="46" t="n"/>
      <c r="CQ20" s="46" t="n"/>
      <c r="CR20" s="46" t="n"/>
      <c r="CS20" s="46" t="n"/>
      <c r="CT20" s="46" t="n"/>
      <c r="CU20" s="46" t="n"/>
      <c r="CV20" s="46" t="n"/>
      <c r="CW20" s="46" t="n"/>
      <c r="CX20" s="46" t="n"/>
      <c r="CY20" s="46" t="n"/>
      <c r="CZ20" s="46" t="n"/>
      <c r="DA20" s="46" t="n"/>
      <c r="DB20" s="46" t="n"/>
      <c r="DC20" s="46" t="n"/>
      <c r="DD20" s="46" t="n"/>
      <c r="DE20" s="46" t="n"/>
      <c r="DF20" s="46" t="n"/>
      <c r="DG20" s="46" t="n"/>
      <c r="DH20" s="46" t="n"/>
      <c r="DI20" s="46" t="n"/>
      <c r="DJ20" s="46" t="n"/>
      <c r="DK20" s="46" t="n"/>
      <c r="DL20" s="46" t="n"/>
      <c r="DM20" s="46" t="n"/>
      <c r="DN20" s="46" t="n"/>
      <c r="DO20" s="46" t="n"/>
      <c r="DP20" s="46" t="n"/>
      <c r="DQ20" s="46" t="n"/>
      <c r="DR20" s="46" t="n"/>
      <c r="DS20" s="46" t="n"/>
      <c r="DT20" s="46" t="n"/>
      <c r="DU20" s="46" t="n"/>
      <c r="DV20" s="46" t="n"/>
      <c r="DW20" s="46" t="n"/>
      <c r="DX20" s="46" t="n"/>
      <c r="DY20" s="46" t="n"/>
      <c r="DZ20" s="46" t="n"/>
      <c r="EA20" s="46" t="n"/>
      <c r="EB20" s="46" t="n"/>
      <c r="EC20" s="46" t="n"/>
      <c r="ED20" s="46" t="n"/>
      <c r="EE20" s="46" t="n"/>
      <c r="EF20" s="46" t="n"/>
      <c r="EG20" s="46" t="n"/>
      <c r="EH20" s="46" t="n"/>
      <c r="EI20" s="46" t="n"/>
      <c r="EJ20" s="46" t="n"/>
      <c r="EK20" s="46" t="n"/>
      <c r="EL20" s="46" t="n"/>
      <c r="EM20" s="46" t="n"/>
      <c r="EN20" s="46" t="n"/>
      <c r="EO20" s="46" t="n"/>
      <c r="EP20" s="46" t="n"/>
      <c r="EQ20" s="46" t="n"/>
      <c r="ER20" s="46" t="n"/>
      <c r="ES20" s="46" t="n"/>
      <c r="ET20" s="46" t="n"/>
      <c r="EU20" s="46" t="n"/>
      <c r="EV20" s="46" t="n"/>
      <c r="EW20" s="46" t="n"/>
      <c r="EX20" s="46" t="n"/>
      <c r="EY20" s="46" t="n"/>
      <c r="EZ20" s="46" t="n"/>
      <c r="FA20" s="46" t="n"/>
      <c r="FB20" s="46" t="n"/>
      <c r="FC20" s="46" t="n"/>
      <c r="FD20" s="46" t="n"/>
      <c r="FE20" s="46" t="n"/>
      <c r="FF20" s="46" t="n"/>
      <c r="FG20" s="46" t="n"/>
      <c r="FH20" s="46" t="n"/>
      <c r="FI20" s="46" t="n"/>
      <c r="FJ20" s="46" t="n"/>
      <c r="FK20" s="46" t="n"/>
      <c r="FL20" s="46" t="n"/>
      <c r="FM20" s="46" t="n"/>
      <c r="FN20" s="46" t="n"/>
      <c r="FO20" s="46" t="n"/>
      <c r="FP20" s="46" t="n"/>
      <c r="FQ20" s="46" t="n"/>
      <c r="FR20" s="46" t="n"/>
      <c r="FS20" s="46" t="n"/>
      <c r="FT20" s="46" t="n"/>
      <c r="FU20" s="46" t="n"/>
      <c r="FV20" s="46" t="n"/>
      <c r="FW20" s="46" t="n"/>
      <c r="FX20" s="46" t="n"/>
      <c r="FY20" s="46" t="n"/>
      <c r="FZ20" s="46" t="n"/>
      <c r="GA20" s="46" t="n"/>
      <c r="GB20" s="46" t="n"/>
      <c r="GC20" s="46" t="n"/>
      <c r="GD20" s="46" t="n"/>
      <c r="GE20" s="46" t="n"/>
      <c r="GF20" s="46" t="n"/>
      <c r="GG20" s="46" t="n"/>
      <c r="GH20" s="46" t="n"/>
      <c r="GI20" s="46" t="n"/>
      <c r="GJ20" s="46" t="n"/>
      <c r="GK20" s="46" t="n"/>
      <c r="GL20" s="46" t="n"/>
      <c r="GM20" s="46" t="n"/>
      <c r="GN20" s="46" t="n"/>
      <c r="GO20" s="46" t="n"/>
      <c r="GP20" s="46" t="n"/>
      <c r="GQ20" s="46" t="n"/>
      <c r="GR20" s="46" t="n"/>
      <c r="GS20" s="46" t="n"/>
      <c r="GT20" s="46" t="n"/>
      <c r="GU20" s="46" t="n"/>
      <c r="GV20" s="46" t="n"/>
      <c r="GW20" s="46" t="n"/>
      <c r="GX20" s="46" t="n"/>
      <c r="GY20" s="46" t="n"/>
      <c r="GZ20" s="46" t="n"/>
      <c r="HA20" s="46" t="n"/>
      <c r="HB20" s="46" t="n"/>
    </row>
    <row r="21" ht="15.75" customFormat="1" customHeight="1" s="4">
      <c r="A21" s="56" t="n"/>
      <c r="B21" s="61" t="n"/>
      <c r="C21" s="57" t="n"/>
      <c r="D21" s="56" t="n"/>
      <c r="E21" s="58" t="n"/>
      <c r="F21" s="245" t="n"/>
    </row>
    <row r="22" ht="15.75" customFormat="1" customHeight="1" s="4">
      <c r="A22" s="56" t="n"/>
      <c r="B22" s="61" t="n"/>
      <c r="C22" s="57" t="n"/>
      <c r="D22" s="56" t="n"/>
      <c r="E22" s="58" t="n"/>
      <c r="F22" s="245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48" customWidth="1" min="3" max="3"/>
    <col width="70" customWidth="1" min="4" max="4"/>
    <col width="13" customWidth="1" min="5" max="5"/>
    <col width="7" customWidth="1" min="6" max="6"/>
    <col width="60" customWidth="1" min="7" max="7"/>
  </cols>
  <sheetData>
    <row r="1">
      <c r="A1" s="250" t="inlineStr">
        <is>
          <t>VERIFICATION TAKE-OFF - PROPOSED KANESHIE BLOCK N REDEVELOPMENT</t>
        </is>
      </c>
    </row>
    <row r="2">
      <c r="A2" s="251" t="inlineStr">
        <is>
          <t>Every verified quantity in the BOQ links to the Result column of this sheet. Calculations are shown as formulas (dimensions in metres unless noted). Blue = dimensions taken from drawings.</t>
        </is>
      </c>
    </row>
    <row r="4">
      <c r="A4" s="252" t="inlineStr">
        <is>
          <t>Ref</t>
        </is>
      </c>
      <c r="B4" s="252" t="inlineStr">
        <is>
          <t>BOQ sheet / item</t>
        </is>
      </c>
      <c r="C4" s="252" t="inlineStr">
        <is>
          <t>Description</t>
        </is>
      </c>
      <c r="D4" s="252" t="inlineStr">
        <is>
          <t>Calculation (dimensions)</t>
        </is>
      </c>
      <c r="E4" s="252" t="inlineStr">
        <is>
          <t>Result</t>
        </is>
      </c>
      <c r="F4" s="252" t="inlineStr">
        <is>
          <t>Unit</t>
        </is>
      </c>
      <c r="G4" s="252" t="inlineStr">
        <is>
          <t>Source / basis</t>
        </is>
      </c>
    </row>
    <row r="5">
      <c r="A5" s="253" t="inlineStr">
        <is>
          <t>A. SUBSTRUCTURE - EARTHWORKS (STR-001 raft GA &amp; Section A-A; ARCH-101/102 site &amp; block plan)</t>
        </is>
      </c>
    </row>
    <row r="6">
      <c r="A6" s="254" t="inlineStr">
        <is>
          <t>S1</t>
        </is>
      </c>
      <c r="B6" s="254" t="inlineStr">
        <is>
          <t>STR A</t>
        </is>
      </c>
      <c r="C6" s="254" t="inlineStr">
        <is>
          <t>Site clearance: Block N plot + Parking-22 forecourt</t>
        </is>
      </c>
      <c r="D6" s="254" t="inlineStr">
        <is>
          <t>'=40.85*38.27+35.2*20.9</t>
        </is>
      </c>
      <c r="E6" s="255">
        <f>40.85*38.27+35.2*20.9</f>
        <v>2299.0095</v>
      </c>
      <c r="F6" s="254" t="inlineStr">
        <is>
          <t>m2</t>
        </is>
      </c>
      <c r="G6" s="254" t="inlineStr">
        <is>
          <t>ARCH-102 block plan: plot 3945+36900 wide x 38272 deep; Parking-22 5549+28051+1619 x (4900+5000+6000+5000)</t>
        </is>
      </c>
    </row>
    <row r="7">
      <c r="A7" s="254" t="inlineStr">
        <is>
          <t>S2</t>
        </is>
      </c>
      <c r="B7" s="254" t="inlineStr">
        <is>
          <t>STR B</t>
        </is>
      </c>
      <c r="C7" s="254" t="inlineStr">
        <is>
          <t>Strip topsoil 150mm over excavation footprint (raft 41.0 x 36.0 + 2.0m working space each side)</t>
        </is>
      </c>
      <c r="D7" s="254" t="inlineStr">
        <is>
          <t>'=(41.0+2*2.0)*(36.0+2*2.0)</t>
        </is>
      </c>
      <c r="E7" s="255">
        <f>(41.0+2*2.0)*(36.0+2*2.0)</f>
        <v>1800.0</v>
      </c>
      <c r="F7" s="254" t="inlineStr">
        <is>
          <t>m2</t>
        </is>
      </c>
      <c r="G7" s="254" t="inlineStr">
        <is>
          <t>STR-001 Section A-A: raft width 41,000; width of excavation 45,000 (2,000 allowance each side). Raft depth 36.0 m measured on STR-001 at 1:100</t>
        </is>
      </c>
    </row>
    <row r="8">
      <c r="A8" s="254" t="inlineStr">
        <is>
          <t>S3</t>
        </is>
      </c>
      <c r="B8" s="254" t="inlineStr">
        <is>
          <t>STR C</t>
        </is>
      </c>
      <c r="C8" s="254" t="inlineStr">
        <is>
          <t>Excavate to reduce levels, max depth 4.00m</t>
        </is>
      </c>
      <c r="D8" s="254" t="inlineStr">
        <is>
          <t>'=(45.0*40.0)*4.0</t>
        </is>
      </c>
      <c r="E8" s="255">
        <f>(45.0*40.0)*4.0</f>
        <v>7200.0</v>
      </c>
      <c r="F8" s="254" t="inlineStr">
        <is>
          <t>m3</t>
        </is>
      </c>
      <c r="G8" s="254" t="inlineStr">
        <is>
          <t>STR-001: bottom of excavation -4,000mm</t>
        </is>
      </c>
    </row>
    <row r="9">
      <c r="A9" s="254" t="inlineStr">
        <is>
          <t>S4</t>
        </is>
      </c>
      <c r="B9" s="254" t="inlineStr">
        <is>
          <t>STR D</t>
        </is>
      </c>
      <c r="C9" s="254" t="inlineStr">
        <is>
          <t>Fill to make up levels over raft to underside of hardcore (raft top -1.000 to -0.000)</t>
        </is>
      </c>
      <c r="D9" s="254" t="inlineStr">
        <is>
          <t>'=41.0*36.0*1.0-(69.445*0.25*1.0)-(13.294*1.0)</t>
        </is>
      </c>
      <c r="E9" s="255">
        <f>41.0*36.0*1.0-(69.445*0.25*1.0)-(13.294*1.0)</f>
        <v>1445.34475</v>
      </c>
      <c r="F9" s="254" t="inlineStr">
        <is>
          <t>m3</t>
        </is>
      </c>
      <c r="G9" s="254" t="inlineStr">
        <is>
          <t>Raft top SSL -1.000 (STR-007/017), GF +0.300 less 150 bed &amp; 150 hardcore; core walls (69.445m x 0.25) and columns (13.294 m2 plan) deducted</t>
        </is>
      </c>
    </row>
    <row r="10">
      <c r="A10" s="254" t="inlineStr">
        <is>
          <t>S5</t>
        </is>
      </c>
      <c r="B10" s="254" t="inlineStr">
        <is>
          <t>STR E</t>
        </is>
      </c>
      <c r="C10" s="254" t="inlineStr">
        <is>
          <t>Crushed rock / geogrid layers between raft underside (-2.300) and formation (-4.000), full excavation width</t>
        </is>
      </c>
      <c r="D10" s="254" t="inlineStr">
        <is>
          <t>'=(45.0*40.0)*1.7</t>
        </is>
      </c>
      <c r="E10" s="255">
        <f>(45.0*40.0)*1.7</f>
        <v>3060.0</v>
      </c>
      <c r="F10" s="254" t="inlineStr">
        <is>
          <t>m3</t>
        </is>
      </c>
      <c r="G10" s="254" t="inlineStr">
        <is>
          <t>STR-001 Section A-A layer build-up. NB section dims show 2,700 below raft; levels give 1,700 - RFI</t>
        </is>
      </c>
    </row>
    <row r="11">
      <c r="A11" s="254" t="inlineStr">
        <is>
          <t>S6</t>
        </is>
      </c>
      <c r="B11" s="254" t="inlineStr">
        <is>
          <t>STR F</t>
        </is>
      </c>
      <c r="C11" s="254" t="inlineStr">
        <is>
          <t>Backfill around raft in working space (outside raft, above crushed-rock layer)</t>
        </is>
      </c>
      <c r="D11" s="254" t="inlineStr">
        <is>
          <t>'=((45.0*40.0)-(41.0*36.0))*(4.0-1.7)</t>
        </is>
      </c>
      <c r="E11" s="255">
        <f>((45.0*40.0)-(41.0*36.0))*(4.0-1.7)</f>
        <v>745.1999999999999</v>
      </c>
      <c r="F11" s="254" t="inlineStr">
        <is>
          <t>m3</t>
        </is>
      </c>
      <c r="G11" s="254" t="inlineStr">
        <is>
          <t>Working-space area x depth from NGL to top of crushed rock</t>
        </is>
      </c>
    </row>
    <row r="12">
      <c r="A12" s="254" t="inlineStr">
        <is>
          <t>S7</t>
        </is>
      </c>
      <c r="B12" s="254" t="inlineStr">
        <is>
          <t>STR G</t>
        </is>
      </c>
      <c r="C12" s="254" t="inlineStr">
        <is>
          <t>Disposal of surplus excavated material</t>
        </is>
      </c>
      <c r="D12" s="254" t="inlineStr">
        <is>
          <t>'=(45.0*40.0)*4.0-((45.0*40.0)-(41.0*36.0))*(4.0-1.7)</t>
        </is>
      </c>
      <c r="E12" s="255">
        <f>(45.0*40.0)*4.0-((45.0*40.0)-(41.0*36.0))*(4.0-1.7)</f>
        <v>6454.8</v>
      </c>
      <c r="F12" s="254" t="inlineStr">
        <is>
          <t>m3</t>
        </is>
      </c>
      <c r="G12" s="254" t="inlineStr">
        <is>
          <t>Excavation less re-used backfill (fills D/E/H are imported)</t>
        </is>
      </c>
    </row>
    <row r="13">
      <c r="A13" s="254" t="inlineStr">
        <is>
          <t>S8</t>
        </is>
      </c>
      <c r="B13" s="254" t="inlineStr">
        <is>
          <t>STR H</t>
        </is>
      </c>
      <c r="C13" s="254" t="inlineStr">
        <is>
          <t>Hardcore 150mm under GF bed</t>
        </is>
      </c>
      <c r="D13" s="254" t="inlineStr">
        <is>
          <t>'=41.0*36.0*0.15</t>
        </is>
      </c>
      <c r="E13" s="255">
        <f>41.0*36.0*0.15</f>
        <v>221.4</v>
      </c>
      <c r="F13" s="254" t="inlineStr">
        <is>
          <t>m3</t>
        </is>
      </c>
      <c r="G13" s="254" t="inlineStr">
        <is>
          <t>GF bed footprint taken as raft footprint</t>
        </is>
      </c>
    </row>
    <row r="14">
      <c r="A14" s="254" t="inlineStr">
        <is>
          <t>S9</t>
        </is>
      </c>
      <c r="B14" s="254" t="inlineStr">
        <is>
          <t>STR J</t>
        </is>
      </c>
      <c r="C14" s="254" t="inlineStr">
        <is>
          <t>Blinding under raft - 100mm min. (General Notes 1.0 item 3)</t>
        </is>
      </c>
      <c r="D14" s="254" t="inlineStr">
        <is>
          <t>'=41.0*36.0*0.10</t>
        </is>
      </c>
      <c r="E14" s="255">
        <f>41.0*36.0*0.10</f>
        <v>147.6</v>
      </c>
      <c r="F14" s="254" t="inlineStr">
        <is>
          <t>m3</t>
        </is>
      </c>
      <c r="G14" s="254" t="inlineStr">
        <is>
          <t>STR-000: "minimum 100mm thick blinding" - BOQ describes 50mm</t>
        </is>
      </c>
    </row>
    <row r="15">
      <c r="A15" s="254" t="inlineStr">
        <is>
          <t>S10</t>
        </is>
      </c>
      <c r="B15" s="254" t="inlineStr">
        <is>
          <t>STR K</t>
        </is>
      </c>
      <c r="C15" s="254" t="inlineStr">
        <is>
          <t>150mm thick bed (GF slab on fill)</t>
        </is>
      </c>
      <c r="D15" s="254" t="inlineStr">
        <is>
          <t>'=41.0*36.0*0.15</t>
        </is>
      </c>
      <c r="E15" s="255">
        <f>41.0*36.0*0.15</f>
        <v>221.4</v>
      </c>
      <c r="F15" s="254" t="inlineStr">
        <is>
          <t>m3</t>
        </is>
      </c>
      <c r="G15" s="254" t="inlineStr">
        <is>
          <t>No GF slab detail on structural drawings - RFI</t>
        </is>
      </c>
    </row>
    <row r="16">
      <c r="A16" s="253" t="inlineStr">
        <is>
          <t>B. SUBSTRUCTURE - CONCRETE, REINFORCEMENT, FORMWORK, BLOCKWORK</t>
        </is>
      </c>
    </row>
    <row r="17">
      <c r="A17" s="254" t="inlineStr">
        <is>
          <t>S11</t>
        </is>
      </c>
      <c r="B17" s="254" t="inlineStr">
        <is>
          <t>STR A (p2)</t>
        </is>
      </c>
      <c r="C17" s="254" t="inlineStr">
        <is>
          <t>Concrete walls from raft top (-1.000) to GF (+0.300): main core shear 22.05m + lift 21.825m + emergency core 25.57m, 250 thk</t>
        </is>
      </c>
      <c r="D17" s="254" t="inlineStr">
        <is>
          <t>'=(22.05+21.825+25.57)*0.25*1.3</t>
        </is>
      </c>
      <c r="E17" s="255">
        <f>(22.05+21.825+25.57)*0.25*1.3</f>
        <v>22.569625</v>
      </c>
      <c r="F17" s="254" t="inlineStr">
        <is>
          <t>m3</t>
        </is>
      </c>
      <c r="G17" s="254" t="inlineStr">
        <is>
          <t>Wall lengths from raft GA STR-002 dims; walls 250 thk</t>
        </is>
      </c>
    </row>
    <row r="18">
      <c r="A18" s="254" t="inlineStr">
        <is>
          <t>S12</t>
        </is>
      </c>
      <c r="B18" s="254" t="inlineStr">
        <is>
          <t>STR B (p2)</t>
        </is>
      </c>
      <c r="C18" s="254" t="inlineStr">
        <is>
          <t>Raft 1300 thick</t>
        </is>
      </c>
      <c r="D18" s="254" t="inlineStr">
        <is>
          <t>'=41.0*36.0*1.3</t>
        </is>
      </c>
      <c r="E18" s="255">
        <f>41.0*36.0*1.3</f>
        <v>1918.8</v>
      </c>
      <c r="F18" s="254" t="inlineStr">
        <is>
          <t>m3</t>
        </is>
      </c>
      <c r="G18" s="254" t="inlineStr">
        <is>
          <t>Sump/lift-pit transitions (STR-003) not adjusted - same thickness folded</t>
        </is>
      </c>
    </row>
    <row r="19">
      <c r="A19" s="254" t="inlineStr">
        <is>
          <t>S13</t>
        </is>
      </c>
      <c r="B19" s="254" t="inlineStr">
        <is>
          <t>STR C (p2)</t>
        </is>
      </c>
      <c r="C19" s="254" t="inlineStr">
        <is>
          <t>Columns raft to GF: 9 nr type-01 (750x500) + 25 nr type-02 (1200x300) + SWC-01A L-shape</t>
        </is>
      </c>
      <c r="D19" s="254" t="inlineStr">
        <is>
          <t>'=(9*0.75*0.5+25*1.2*0.3+(2.85*0.25+(1.075-0.25)*0.25))*1.3</t>
        </is>
      </c>
      <c r="E19" s="255">
        <f>(9*0.75*0.5+25*1.2*0.3+(2.85*0.25+(1.075-0.25)*0.25))*1.3</f>
        <v>17.281875</v>
      </c>
      <c r="F19" s="254" t="inlineStr">
        <is>
          <t>m3</t>
        </is>
      </c>
      <c r="G19" s="254" t="inlineStr">
        <is>
          <t>STR-007..012 sections; counts STR-002</t>
        </is>
      </c>
    </row>
    <row r="20">
      <c r="A20" s="254" t="inlineStr">
        <is>
          <t>S14</t>
        </is>
      </c>
      <c r="B20" s="254" t="inlineStr">
        <is>
          <t>STR D (p2)</t>
        </is>
      </c>
      <c r="C20" s="254" t="inlineStr">
        <is>
          <t>Y20 in raft</t>
        </is>
      </c>
      <c r="D20" s="254" t="inlineStr">
        <is>
          <t>'=2.466</t>
        </is>
      </c>
      <c r="E20" s="255">
        <f>2.466</f>
        <v>2.466</v>
      </c>
      <c r="F20" s="254" t="inlineStr">
        <is>
          <t>t</t>
        </is>
      </c>
      <c r="G20" s="254" t="inlineStr">
        <is>
          <t>Reinforcement take-off (raft BBS STR-004..006)</t>
        </is>
      </c>
    </row>
    <row r="21">
      <c r="A21" s="254" t="inlineStr">
        <is>
          <t>S15</t>
        </is>
      </c>
      <c r="B21" s="254" t="inlineStr">
        <is>
          <t>STR E (p2)</t>
        </is>
      </c>
      <c r="C21" s="254" t="inlineStr">
        <is>
          <t>Y25 in raft</t>
        </is>
      </c>
      <c r="D21" s="254" t="inlineStr">
        <is>
          <t>'=184.672</t>
        </is>
      </c>
      <c r="E21" s="255">
        <f>184.672</f>
        <v>184.672</v>
      </c>
      <c r="F21" s="254" t="inlineStr">
        <is>
          <t>t</t>
        </is>
      </c>
      <c r="G21" s="254" t="inlineStr">
        <is>
          <t>Reinforcement take-off (raft BBS)</t>
        </is>
      </c>
    </row>
    <row r="22">
      <c r="A22" s="254" t="inlineStr">
        <is>
          <t>S16</t>
        </is>
      </c>
      <c r="B22" s="254" t="inlineStr">
        <is>
          <t>STR F (p2)</t>
        </is>
      </c>
      <c r="C22" s="254" t="inlineStr">
        <is>
          <t>Y10 links - columns &amp; walls (substructure)</t>
        </is>
      </c>
      <c r="D22" s="254" t="inlineStr">
        <is>
          <t>'=3.252+0.26+0.517</t>
        </is>
      </c>
      <c r="E22" s="255">
        <f>3.252+0.26+0.517</f>
        <v>4.029</v>
      </c>
      <c r="F22" s="254" t="inlineStr">
        <is>
          <t>t</t>
        </is>
      </c>
      <c r="G22" s="254" t="inlineStr">
        <is>
          <t>Columns + lift walls + shear walls, Foundation-GF storey</t>
        </is>
      </c>
    </row>
    <row r="23">
      <c r="A23" s="254" t="inlineStr">
        <is>
          <t>S17</t>
        </is>
      </c>
      <c r="B23" s="254" t="inlineStr">
        <is>
          <t>STR G (p2)</t>
        </is>
      </c>
      <c r="C23" s="254" t="inlineStr">
        <is>
          <t>Y12 - walls (substructure)</t>
        </is>
      </c>
      <c r="D23" s="254" t="inlineStr">
        <is>
          <t>'=0.39+0.863</t>
        </is>
      </c>
      <c r="E23" s="255">
        <f>0.39+0.863</f>
        <v>1.2530000000000001</v>
      </c>
      <c r="F23" s="254" t="inlineStr">
        <is>
          <t>t</t>
        </is>
      </c>
      <c r="G23" s="254" t="inlineStr">
        <is>
          <t>Wall horizontal bars</t>
        </is>
      </c>
    </row>
    <row r="24">
      <c r="A24" s="254" t="inlineStr">
        <is>
          <t>S18</t>
        </is>
      </c>
      <c r="B24" s="254" t="inlineStr">
        <is>
          <t>STR H (p2)</t>
        </is>
      </c>
      <c r="C24" s="254" t="inlineStr">
        <is>
          <t>Y25 - columns &amp; walls (substructure starters)</t>
        </is>
      </c>
      <c r="D24" s="254" t="inlineStr">
        <is>
          <t>'=6.531+4.935+9.84</t>
        </is>
      </c>
      <c r="E24" s="255">
        <f>6.531+4.935+9.84</f>
        <v>21.305999999999997</v>
      </c>
      <c r="F24" s="254" t="inlineStr">
        <is>
          <t>t</t>
        </is>
      </c>
      <c r="G24" s="254" t="inlineStr">
        <is>
          <t>Column &amp; wall vertical starters</t>
        </is>
      </c>
    </row>
    <row r="25">
      <c r="A25" s="254" t="inlineStr">
        <is>
          <t>S19</t>
        </is>
      </c>
      <c r="B25" s="254" t="inlineStr">
        <is>
          <t>STR NEW</t>
        </is>
      </c>
      <c r="C25" s="254" t="inlineStr">
        <is>
          <t>Y20 - columns (substructure, SWC/type-02 starters)</t>
        </is>
      </c>
      <c r="D25" s="254" t="inlineStr">
        <is>
          <t>'=0.338</t>
        </is>
      </c>
      <c r="E25" s="255">
        <f>0.338</f>
        <v>0.338</v>
      </c>
      <c r="F25" s="254" t="inlineStr">
        <is>
          <t>t</t>
        </is>
      </c>
      <c r="G25" s="254" t="inlineStr">
        <is>
          <t>Not in BOQ</t>
        </is>
      </c>
    </row>
    <row r="26">
      <c r="A26" s="254" t="inlineStr">
        <is>
          <t>S20</t>
        </is>
      </c>
      <c r="B26" s="254" t="inlineStr">
        <is>
          <t>STR (p2) Walls fwk</t>
        </is>
      </c>
      <c r="C26" s="254" t="inlineStr">
        <is>
          <t>Formwork to concrete walls (substructure), both faces</t>
        </is>
      </c>
      <c r="D26" s="254" t="inlineStr">
        <is>
          <t>'=2*(22.05+21.825+25.57)*1.3</t>
        </is>
      </c>
      <c r="E26" s="255">
        <f>2*(22.05+21.825+25.57)*1.3</f>
        <v>180.557</v>
      </c>
      <c r="F26" s="254" t="inlineStr">
        <is>
          <t>m2</t>
        </is>
      </c>
      <c r="G26" s="254" t="inlineStr"/>
    </row>
    <row r="27">
      <c r="A27" s="254" t="inlineStr">
        <is>
          <t>S21</t>
        </is>
      </c>
      <c r="B27" s="254" t="inlineStr">
        <is>
          <t>STR J (p2)</t>
        </is>
      </c>
      <c r="C27" s="254" t="inlineStr">
        <is>
          <t>Edges of GF bed 150mm high (perimeter)</t>
        </is>
      </c>
      <c r="D27" s="254" t="inlineStr">
        <is>
          <t>'=2*(41.0+36.0)</t>
        </is>
      </c>
      <c r="E27" s="255">
        <f>2*(41.0+36.0)</f>
        <v>154.0</v>
      </c>
      <c r="F27" s="254" t="inlineStr">
        <is>
          <t>m</t>
        </is>
      </c>
      <c r="G27" s="254" t="inlineStr">
        <is>
          <t>Edge &lt;=250 high - measured linear (m), not m2</t>
        </is>
      </c>
    </row>
    <row r="28">
      <c r="A28" s="254" t="inlineStr">
        <is>
          <t>S22</t>
        </is>
      </c>
      <c r="B28" s="254" t="inlineStr">
        <is>
          <t>STR NEW</t>
        </is>
      </c>
      <c r="C28" s="254" t="inlineStr">
        <is>
          <t>Formwork to edges of raft 1300 high</t>
        </is>
      </c>
      <c r="D28" s="254" t="inlineStr">
        <is>
          <t>'=2*(41.0+36.0)*1.3</t>
        </is>
      </c>
      <c r="E28" s="255">
        <f>2*(41.0+36.0)*1.3</f>
        <v>200.20000000000002</v>
      </c>
      <c r="F28" s="254" t="inlineStr">
        <is>
          <t>m2</t>
        </is>
      </c>
      <c r="G28" s="254" t="inlineStr">
        <is>
          <t>Not in BOQ</t>
        </is>
      </c>
    </row>
    <row r="29">
      <c r="A29" s="254" t="inlineStr">
        <is>
          <t>S23</t>
        </is>
      </c>
      <c r="B29" s="254" t="inlineStr">
        <is>
          <t>STR NEW</t>
        </is>
      </c>
      <c r="C29" s="254" t="inlineStr">
        <is>
          <t>Formwork to columns raft to GF</t>
        </is>
      </c>
      <c r="D29" s="254" t="inlineStr">
        <is>
          <t>'=(9*2*(0.75+0.5)+25*2*(1.2+0.3)+2*(2.85+1.075))*1.3</t>
        </is>
      </c>
      <c r="E29" s="255">
        <f>(9*2*(0.75+0.5)+25*2*(1.2+0.3)+2*(2.85+1.075))*1.3</f>
        <v>136.95499999999998</v>
      </c>
      <c r="F29" s="254" t="inlineStr">
        <is>
          <t>m2</t>
        </is>
      </c>
      <c r="G29" s="254" t="inlineStr">
        <is>
          <t>Not in BOQ</t>
        </is>
      </c>
    </row>
    <row r="30">
      <c r="A30" s="254" t="inlineStr">
        <is>
          <t>S24</t>
        </is>
      </c>
      <c r="B30" s="254" t="inlineStr">
        <is>
          <t>STR K (p2)</t>
        </is>
      </c>
      <c r="C30" s="254" t="inlineStr">
        <is>
          <t>150mm blockwork to plinth (GF perimeter, -1.000 to +0.300)</t>
        </is>
      </c>
      <c r="D30" s="254" t="inlineStr">
        <is>
          <t>'=2*(41.0+36.0)*1.3</t>
        </is>
      </c>
      <c r="E30" s="255">
        <f>2*(41.0+36.0)*1.3</f>
        <v>200.20000000000002</v>
      </c>
      <c r="F30" s="254" t="inlineStr">
        <is>
          <t>m2</t>
        </is>
      </c>
      <c r="G30" s="254" t="inlineStr">
        <is>
          <t>Perimeter of raft x plinth height</t>
        </is>
      </c>
    </row>
    <row r="31">
      <c r="A31" s="253" t="inlineStr">
        <is>
          <t>C. SUPERSTRUCTURE - CONCRETE (C40)</t>
        </is>
      </c>
    </row>
    <row r="32">
      <c r="A32" s="254" t="inlineStr">
        <is>
          <t>C1</t>
        </is>
      </c>
      <c r="B32" s="254" t="inlineStr">
        <is>
          <t>STR A (sup)</t>
        </is>
      </c>
      <c r="C32" s="254" t="inlineStr">
        <is>
          <t>Lintels 150x225 over all door &amp; window openings (opening width + 150 bearing each end)</t>
        </is>
      </c>
      <c r="D32" s="254" t="inlineStr">
        <is>
          <t>'=(1*(1.8+0.3)+59*(1+0.3)+126*(0.9+0.3)+1*(0.9+0.3)+1*(3.2+0.3)+172*(0.75+0.3)+12*(0.7+0.3)+21*(1.2+0.3)+36*(1+0.3)+20*(1+0.3)+13*(0.9+0.3)+3*(1.8+0.3)+7*(1.5+0.3)+18*(0.9+0.3)+36*(0.75+0.3)+8*(0.45+0.3)+24*(0.6+0.3)+2*(1.8+0.3)+2*(2.4+0.3)+1*(5.05+0.3)+8*(3+0.3)+28*(1.6+0.3)+16*(1.3+0.3)+30*(1.8+0.3)+7*(1.2+0.3)+2*(4.2+0.3)+1*(3.6+0.3)+44*(1.8+0.3)+1*(1.8+0.3)+77*(0.9+0.3)+1*(1.8+0.3)+1*(3.5+0.3)+12*(1.8+0.3)+22*(1.2+0.3)+61*(1.2+0.3)+8*(1.2+0.3)+47*(1.5+0.3)+27*(1.5+0.3)+6*(2.4+0.3)+3*(3.6+0.3)+8*(3+0.3)+2*(2.4+0.3)+22*(1.8+0.3)+7*(0.75+0.3)+2*(2.1+0.3)+6*(1.45+0.3)+104*(0.9+0.3)+40*(0.75+0.3)+12*(0.6+0.3)+12*(1.2+0.3))*0.15*0.225</t>
        </is>
      </c>
      <c r="E32" s="255">
        <f>(1*(1.8+0.3)+59*(1+0.3)+126*(0.9+0.3)+1*(0.9+0.3)+1*(3.2+0.3)+172*(0.75+0.3)+12*(0.7+0.3)+21*(1.2+0.3)+36*(1+0.3)+20*(1+0.3)+13*(0.9+0.3)+3*(1.8+0.3)+7*(1.5+0.3)+18*(0.9+0.3)+36*(0.75+0.3)+8*(0.45+0.3)+24*(0.6+0.3)+2*(1.8+0.3)+2*(2.4+0.3)+1*(5.05+0.3)+8*(3+0.3)+28*(1.6+0.3)+16*(1.3+0.3)+30*(1.8+0.3)+7*(1.2+0.3)+2*(4.2+0.3)+1*(3.6+0.3)+44*(1.8+0.3)+1*(1.8+0.3)+77*(0.9+0.3)+1*(1.8+0.3)+1*(3.5+0.3)+12*(1.8+0.3)+22*(1.2+0.3)+61*(1.2+0.3)+8*(1.2+0.3)+47*(1.5+0.3)+27*(1.5+0.3)+6*(2.4+0.3)+3*(3.6+0.3)+8*(3+0.3)+2*(2.4+0.3)+22*(1.8+0.3)+7*(0.75+0.3)+2*(2.1+0.3)+6*(1.45+0.3)+104*(0.9+0.3)+40*(0.75+0.3)+12*(0.6+0.3)+12*(1.2+0.3))*0.15*0.225</f>
        <v>56.413124999999994</v>
      </c>
      <c r="F32" s="254" t="inlineStr">
        <is>
          <t>m3</t>
        </is>
      </c>
      <c r="G32" s="254" t="inlineStr">
        <is>
          <t>Door schedule ARCH-501, window schedule ARCH-502</t>
        </is>
      </c>
    </row>
    <row r="33">
      <c r="A33" s="254" t="inlineStr">
        <is>
          <t>C2</t>
        </is>
      </c>
      <c r="B33" s="254" t="inlineStr">
        <is>
          <t>STR B (sup)</t>
        </is>
      </c>
      <c r="C33" s="254" t="inlineStr">
        <is>
          <t>Columns GF to top: nos x section area x sum of clear storey heights (storey - 0.25 slab)</t>
        </is>
      </c>
      <c r="D33" s="254" t="inlineStr">
        <is>
          <t>'=5*0.75*0.5*28.15+1*0.75*0.5*34.25+2*0.75*0.5*37.15+1*0.75*0.5*34+3*1.2*0.3*28.15+6*1.2*0.3*34.25+1*1.2*0.3*37.15+15*1.2*0.3*34+1*(2.85*0.25+0.825*0.25)*28.15</t>
        </is>
      </c>
      <c r="E33" s="255">
        <f>5*0.75*0.5*28.15+1*0.75*0.5*34.25+2*0.75*0.5*37.15+1*0.75*0.5*34+3*1.2*0.3*28.15+6*1.2*0.3*34.25+1*1.2*0.3*37.15+15*1.2*0.3*34+1*(2.85*0.25+0.825*0.25)*28.15</f>
        <v>433.45631249999997</v>
      </c>
      <c r="F33" s="254" t="inlineStr">
        <is>
          <t>m3</t>
        </is>
      </c>
      <c r="G33" s="254" t="inlineStr">
        <is>
          <t>Clear heights per column type from elevations STR-007..012: COL-01A 5 nr 28.15m; COL-01B 1 nr 34.25m; COL-01C 2 nr 37.15m; COL-01D 1 nr 34.00m; COL-02A 3 nr 28.15m; COL-02B 6 nr 34.25m; COL-02C 1 nr 37.15m; COL-02D 15 nr 34.00m; SWC-01A 1 nr 28.15m</t>
        </is>
      </c>
    </row>
    <row r="34">
      <c r="A34" s="254" t="inlineStr">
        <is>
          <t>C3</t>
        </is>
      </c>
      <c r="B34" s="254" t="inlineStr">
        <is>
          <t>STR C (sup)</t>
        </is>
      </c>
      <c r="C34" s="254" t="inlineStr">
        <is>
          <t>Concrete walls GF-roof: main stair core 22.05m x 37.15m clear; lift walls 21.825m x 41.20m; emergency core 25.57m x 37.20m; 250 thk</t>
        </is>
      </c>
      <c r="D34" s="254" t="inlineStr">
        <is>
          <t>'=(22.05*37.15+21.825*41.2+25.57*37.2)*0.25</t>
        </is>
      </c>
      <c r="E34" s="255">
        <f>(22.05*37.15+21.825*41.2+25.57*37.2)*0.25</f>
        <v>667.387875</v>
      </c>
      <c r="F34" s="254" t="inlineStr">
        <is>
          <t>m3</t>
        </is>
      </c>
      <c r="G34" s="254" t="inlineStr">
        <is>
          <t>Clear heights = sum(storey heights) - 0.25 per slab (STR-014/016/017 elevations)</t>
        </is>
      </c>
    </row>
    <row r="35">
      <c r="A35" s="254" t="inlineStr">
        <is>
          <t>C4</t>
        </is>
      </c>
      <c r="B35" s="254" t="inlineStr">
        <is>
          <t>STR D (sup)</t>
        </is>
      </c>
      <c r="C35" s="254" t="inlineStr">
        <is>
          <t>Stairs: per storey 2 flights (waist 175, 1800 wide, 3.0m going) + 2 landings; scaled to storey height. Main 10 storeys (sum H 37.0m), emergency 12 storeys (sum H 37.3m)</t>
        </is>
      </c>
      <c r="D35" s="254" t="inlineStr">
        <is>
          <t>'=2.966*(37.0+37.3)/3.3+2.625*(10+12)</t>
        </is>
      </c>
      <c r="E35" s="255">
        <f>2.966*(37.0+37.3)/3.3+2.625*(10+12)</f>
        <v>124.5299393939394</v>
      </c>
      <c r="F35" s="254" t="inlineStr">
        <is>
          <t>m3</t>
        </is>
      </c>
      <c r="G35" s="254" t="inlineStr">
        <is>
          <t>STR-018..039 GA: waist 175, treads 300, risers 150-160; per 3.3m storey: flights 2.966 m3, landings 2.625 m3</t>
        </is>
      </c>
    </row>
    <row r="36">
      <c r="A36" s="254" t="inlineStr">
        <is>
          <t>C5</t>
        </is>
      </c>
      <c r="B36" s="254" t="inlineStr">
        <is>
          <t>STR E (sup)</t>
        </is>
      </c>
      <c r="C36" s="254" t="inlineStr">
        <is>
          <t>Suspended slabs 250 thk (areas measured from GA sheets, voids/stair &amp; lift openings excluded) + roof 150 thk (176.3 m2) + lift-core top 150 thk (16.3 m2)</t>
        </is>
      </c>
      <c r="D36" s="254" t="inlineStr">
        <is>
          <t>'=(689.1+737.6+650.6+737.5+554.9+1273.9+1134.6*5+1134.4+868.4+868.1)*0.25+(176.3+16.3)*0.15</t>
        </is>
      </c>
      <c r="E36" s="255">
        <f>(689.1+737.6+650.6+737.5+554.9+1273.9+1134.6*5+1134.4+868.4+868.1)*0.25+(176.3+16.3)*0.15</f>
        <v>3325.765</v>
      </c>
      <c r="F36" s="254" t="inlineStr">
        <is>
          <t>m3</t>
        </is>
      </c>
      <c r="G36" s="254" t="inlineStr">
        <is>
          <t>Slab areas measured on STR-040/046/052/058/064/070/076/083/091/097/104/107 (scale calibrated on gridlines 1-12 = 36,500)</t>
        </is>
      </c>
    </row>
    <row r="37">
      <c r="A37" s="254" t="inlineStr">
        <is>
          <t>C6</t>
        </is>
      </c>
      <c r="B37" s="254" t="inlineStr">
        <is>
          <t>STR F (sup)</t>
        </is>
      </c>
      <c r="C37" s="254" t="inlineStr">
        <is>
          <t>Copings 300x150 to parapets: roof terrace perimeter 182.5 + roof 105.0 + lift core 17.3</t>
        </is>
      </c>
      <c r="D37" s="254" t="inlineStr">
        <is>
          <t>'=(182.5+105.0+17.3)*0.3*0.15</t>
        </is>
      </c>
      <c r="E37" s="255">
        <f>(182.5+105.0+17.3)*0.3*0.15</f>
        <v>13.716</v>
      </c>
      <c r="F37" s="254" t="inlineStr">
        <is>
          <t>m3</t>
        </is>
      </c>
      <c r="G37" s="254" t="inlineStr">
        <is>
          <t>Slab outer perimeters measured on GA sheets</t>
        </is>
      </c>
    </row>
    <row r="38">
      <c r="A38" s="254" t="inlineStr">
        <is>
          <t>C7</t>
        </is>
      </c>
      <c r="B38" s="254" t="inlineStr">
        <is>
          <t>STR NEW</t>
        </is>
      </c>
      <c r="C38" s="254" t="inlineStr">
        <is>
          <t>Beams (downstands below 250 slab): 300x600 = (67.8+81.1+63.6+79.9+64.3+97.4+166.8*5+186.5+122.2+125.7) m; 200x600 = (43.5+43.0+33.1+33.1*5+33.1+14.2+14.2) m; roof 250x600 31.4m &amp; 200x450 34.0m below 150 slab</t>
        </is>
      </c>
      <c r="D38" s="254" t="inlineStr">
        <is>
          <t>'=(67.8+81.1+63.6+79.9+64.3+97.4+166.8*5+186.5+122.2+125.7)*0.3*0.35+(43.5+43.0+33.1+33.1*5+33.1+14.2+14.2)*0.2*0.35+31.4*0.25*0.45+34.0*0.2*0.3</t>
        </is>
      </c>
      <c r="E38" s="255">
        <f>(67.8+81.1+63.6+79.9+64.3+97.4+166.8*5+186.5+122.2+125.7)*0.3*0.35+(43.5+43.0+33.1+33.1*5+33.1+14.2+14.2)*0.2*0.35+31.4*0.25*0.45+34.0*0.2*0.3</f>
        <v>210.69699999999997</v>
      </c>
      <c r="F38" s="254" t="inlineStr">
        <is>
          <t>m3</t>
        </is>
      </c>
      <c r="G38" s="254" t="inlineStr">
        <is>
          <t>Beam lengths measured from dashed beam outlines on GA sheets. NOT IN BOQ</t>
        </is>
      </c>
    </row>
    <row r="39">
      <c r="A39" s="253" t="inlineStr">
        <is>
          <t>D. SUPERSTRUCTURE - REINFORCEMENT (from Reinforcement Take-off workbook)</t>
        </is>
      </c>
    </row>
    <row r="40">
      <c r="A40" s="254" t="inlineStr">
        <is>
          <t>R1</t>
        </is>
      </c>
      <c r="B40" s="254" t="inlineStr">
        <is>
          <t>STR G (sup)</t>
        </is>
      </c>
      <c r="C40" s="254" t="inlineStr">
        <is>
          <t>Y10 in columns</t>
        </is>
      </c>
      <c r="D40" s="254" t="inlineStr">
        <is>
          <t>'=48.472</t>
        </is>
      </c>
      <c r="E40" s="255">
        <f>48.472</f>
        <v>48.472</v>
      </c>
      <c r="F40" s="254" t="inlineStr">
        <is>
          <t>t</t>
        </is>
      </c>
      <c r="G40" s="254" t="inlineStr"/>
    </row>
    <row r="41">
      <c r="A41" s="254" t="inlineStr">
        <is>
          <t>R2</t>
        </is>
      </c>
      <c r="B41" s="254" t="inlineStr">
        <is>
          <t>STR H (sup)</t>
        </is>
      </c>
      <c r="C41" s="254" t="inlineStr">
        <is>
          <t>Y20 in columns</t>
        </is>
      </c>
      <c r="D41" s="254" t="inlineStr">
        <is>
          <t>'=56.589</t>
        </is>
      </c>
      <c r="E41" s="255">
        <f>56.589</f>
        <v>56.589</v>
      </c>
      <c r="F41" s="254" t="inlineStr">
        <is>
          <t>t</t>
        </is>
      </c>
      <c r="G41" s="254" t="inlineStr"/>
    </row>
    <row r="42">
      <c r="A42" s="254" t="inlineStr">
        <is>
          <t>R3</t>
        </is>
      </c>
      <c r="B42" s="254" t="inlineStr">
        <is>
          <t>STR J (sup)</t>
        </is>
      </c>
      <c r="C42" s="254" t="inlineStr">
        <is>
          <t>Y25 in columns</t>
        </is>
      </c>
      <c r="D42" s="254" t="inlineStr">
        <is>
          <t>'=29.946</t>
        </is>
      </c>
      <c r="E42" s="255">
        <f>29.946</f>
        <v>29.946</v>
      </c>
      <c r="F42" s="254" t="inlineStr">
        <is>
          <t>t</t>
        </is>
      </c>
      <c r="G42" s="254" t="inlineStr"/>
    </row>
    <row r="43">
      <c r="A43" s="254" t="inlineStr">
        <is>
          <t>R4</t>
        </is>
      </c>
      <c r="B43" s="254" t="inlineStr">
        <is>
          <t>STR K (sup)</t>
        </is>
      </c>
      <c r="C43" s="254" t="inlineStr">
        <is>
          <t>Y12 in stairs (BOQ says 10mm - stairs use Y12 &amp; Y16)</t>
        </is>
      </c>
      <c r="D43" s="254" t="inlineStr">
        <is>
          <t>'=10.116</t>
        </is>
      </c>
      <c r="E43" s="255">
        <f>10.116</f>
        <v>10.116</v>
      </c>
      <c r="F43" s="254" t="inlineStr">
        <is>
          <t>t</t>
        </is>
      </c>
      <c r="G43" s="254" t="inlineStr">
        <is>
          <t>Stair BBS STR-019..039</t>
        </is>
      </c>
    </row>
    <row r="44">
      <c r="A44" s="254" t="inlineStr">
        <is>
          <t>R5</t>
        </is>
      </c>
      <c r="B44" s="254" t="inlineStr">
        <is>
          <t>STR L (sup)</t>
        </is>
      </c>
      <c r="C44" s="254" t="inlineStr">
        <is>
          <t>Y16 in stairs</t>
        </is>
      </c>
      <c r="D44" s="254" t="inlineStr">
        <is>
          <t>'=16.226</t>
        </is>
      </c>
      <c r="E44" s="255">
        <f>16.226</f>
        <v>16.226</v>
      </c>
      <c r="F44" s="254" t="inlineStr">
        <is>
          <t>t</t>
        </is>
      </c>
      <c r="G44" s="254" t="inlineStr"/>
    </row>
    <row r="45">
      <c r="A45" s="254" t="inlineStr">
        <is>
          <t>R6</t>
        </is>
      </c>
      <c r="B45" s="254" t="inlineStr">
        <is>
          <t>STR M (sup)</t>
        </is>
      </c>
      <c r="C45" s="254" t="inlineStr">
        <is>
          <t>Y10 in shear &amp; lift walls (links)</t>
        </is>
      </c>
      <c r="D45" s="254" t="inlineStr">
        <is>
          <t>'=17.642+8.551</t>
        </is>
      </c>
      <c r="E45" s="255">
        <f>17.642+8.551</f>
        <v>26.192999999999998</v>
      </c>
      <c r="F45" s="254" t="inlineStr">
        <is>
          <t>t</t>
        </is>
      </c>
      <c r="G45" s="254" t="inlineStr"/>
    </row>
    <row r="46">
      <c r="A46" s="254" t="inlineStr">
        <is>
          <t>R7</t>
        </is>
      </c>
      <c r="B46" s="254" t="inlineStr">
        <is>
          <t>STR N (sup)</t>
        </is>
      </c>
      <c r="C46" s="254" t="inlineStr">
        <is>
          <t>Y12 in shear, lift &amp; ramp walls</t>
        </is>
      </c>
      <c r="D46" s="254" t="inlineStr">
        <is>
          <t>'=24.018+11.469+0.84</t>
        </is>
      </c>
      <c r="E46" s="255">
        <f>24.018+11.469+0.84</f>
        <v>36.327000000000005</v>
      </c>
      <c r="F46" s="254" t="inlineStr">
        <is>
          <t>t</t>
        </is>
      </c>
      <c r="G46" s="254" t="inlineStr"/>
    </row>
    <row r="47">
      <c r="A47" s="254" t="inlineStr">
        <is>
          <t>R8</t>
        </is>
      </c>
      <c r="B47" s="254" t="inlineStr">
        <is>
          <t>STR P (sup)</t>
        </is>
      </c>
      <c r="C47" s="254" t="inlineStr">
        <is>
          <t>Y25 in shear &amp; lift walls</t>
        </is>
      </c>
      <c r="D47" s="254" t="inlineStr">
        <is>
          <t>'=48.924+28.093</t>
        </is>
      </c>
      <c r="E47" s="255">
        <f>48.924+28.093</f>
        <v>77.017</v>
      </c>
      <c r="F47" s="254" t="inlineStr">
        <is>
          <t>t</t>
        </is>
      </c>
      <c r="G47" s="254" t="inlineStr"/>
    </row>
    <row r="48">
      <c r="A48" s="254" t="inlineStr">
        <is>
          <t>R9</t>
        </is>
      </c>
      <c r="B48" s="254" t="inlineStr">
        <is>
          <t>STR Q (sup)</t>
        </is>
      </c>
      <c r="C48" s="254" t="inlineStr">
        <is>
          <t>Y12 in suspended slabs (incl. lift core slab)</t>
        </is>
      </c>
      <c r="D48" s="254" t="inlineStr">
        <is>
          <t>'=585.901+0.366</t>
        </is>
      </c>
      <c r="E48" s="255">
        <f>585.901+0.366</f>
        <v>586.2669999999999</v>
      </c>
      <c r="F48" s="254" t="inlineStr">
        <is>
          <t>t</t>
        </is>
      </c>
      <c r="G48" s="254" t="inlineStr"/>
    </row>
    <row r="49">
      <c r="A49" s="254" t="inlineStr">
        <is>
          <t>R10</t>
        </is>
      </c>
      <c r="B49" s="254" t="inlineStr">
        <is>
          <t>STR R (sup)</t>
        </is>
      </c>
      <c r="C49" s="254" t="inlineStr">
        <is>
          <t>Y16 in suspended slabs</t>
        </is>
      </c>
      <c r="D49" s="254" t="inlineStr">
        <is>
          <t>'=11.42</t>
        </is>
      </c>
      <c r="E49" s="255">
        <f>11.42</f>
        <v>11.42</v>
      </c>
      <c r="F49" s="254" t="inlineStr">
        <is>
          <t>t</t>
        </is>
      </c>
      <c r="G49" s="254" t="inlineStr"/>
    </row>
    <row r="50">
      <c r="A50" s="254" t="inlineStr">
        <is>
          <t>R11</t>
        </is>
      </c>
      <c r="B50" s="254" t="inlineStr">
        <is>
          <t>STR NEW</t>
        </is>
      </c>
      <c r="C50" s="254" t="inlineStr">
        <is>
          <t>Y20 in shear &amp; lift walls</t>
        </is>
      </c>
      <c r="D50" s="254" t="inlineStr">
        <is>
          <t>'=54.981+27.171</t>
        </is>
      </c>
      <c r="E50" s="255">
        <f>54.981+27.171</f>
        <v>82.152</v>
      </c>
      <c r="F50" s="254" t="inlineStr">
        <is>
          <t>t</t>
        </is>
      </c>
      <c r="G50" s="254" t="inlineStr">
        <is>
          <t>NOT IN BOQ</t>
        </is>
      </c>
    </row>
    <row r="51">
      <c r="A51" s="254" t="inlineStr">
        <is>
          <t>R12</t>
        </is>
      </c>
      <c r="B51" s="254" t="inlineStr">
        <is>
          <t>STR NEW</t>
        </is>
      </c>
      <c r="C51" s="254" t="inlineStr">
        <is>
          <t>Y10 in beams</t>
        </is>
      </c>
      <c r="D51" s="254" t="inlineStr">
        <is>
          <t>'=19.686</t>
        </is>
      </c>
      <c r="E51" s="255">
        <f>19.686</f>
        <v>19.686</v>
      </c>
      <c r="F51" s="254" t="inlineStr">
        <is>
          <t>t</t>
        </is>
      </c>
      <c r="G51" s="254" t="inlineStr">
        <is>
          <t>NOT IN BOQ - beam BBS per floor</t>
        </is>
      </c>
    </row>
    <row r="52">
      <c r="A52" s="254" t="inlineStr">
        <is>
          <t>R13</t>
        </is>
      </c>
      <c r="B52" s="254" t="inlineStr">
        <is>
          <t>STR NEW</t>
        </is>
      </c>
      <c r="C52" s="254" t="inlineStr">
        <is>
          <t>Y16 in beams</t>
        </is>
      </c>
      <c r="D52" s="254" t="inlineStr">
        <is>
          <t>'=14.785</t>
        </is>
      </c>
      <c r="E52" s="255">
        <f>14.785</f>
        <v>14.785</v>
      </c>
      <c r="F52" s="254" t="inlineStr">
        <is>
          <t>t</t>
        </is>
      </c>
      <c r="G52" s="254" t="inlineStr">
        <is>
          <t>NOT IN BOQ - beam BBS per floor</t>
        </is>
      </c>
    </row>
    <row r="53">
      <c r="A53" s="254" t="inlineStr">
        <is>
          <t>R14</t>
        </is>
      </c>
      <c r="B53" s="254" t="inlineStr">
        <is>
          <t>STR NEW</t>
        </is>
      </c>
      <c r="C53" s="254" t="inlineStr">
        <is>
          <t>Y20 in beams</t>
        </is>
      </c>
      <c r="D53" s="254" t="inlineStr">
        <is>
          <t>'=22.563</t>
        </is>
      </c>
      <c r="E53" s="255">
        <f>22.563</f>
        <v>22.563</v>
      </c>
      <c r="F53" s="254" t="inlineStr">
        <is>
          <t>t</t>
        </is>
      </c>
      <c r="G53" s="254" t="inlineStr">
        <is>
          <t>NOT IN BOQ - beam BBS per floor</t>
        </is>
      </c>
    </row>
    <row r="54">
      <c r="A54" s="254" t="inlineStr">
        <is>
          <t>R15</t>
        </is>
      </c>
      <c r="B54" s="254" t="inlineStr">
        <is>
          <t>STR NEW</t>
        </is>
      </c>
      <c r="C54" s="254" t="inlineStr">
        <is>
          <t>Y25 in beams</t>
        </is>
      </c>
      <c r="D54" s="254" t="inlineStr">
        <is>
          <t>'=54.392</t>
        </is>
      </c>
      <c r="E54" s="255">
        <f>54.392</f>
        <v>54.392</v>
      </c>
      <c r="F54" s="254" t="inlineStr">
        <is>
          <t>t</t>
        </is>
      </c>
      <c r="G54" s="254" t="inlineStr">
        <is>
          <t>NOT IN BOQ - beam BBS per floor</t>
        </is>
      </c>
    </row>
    <row r="55">
      <c r="A55" s="253" t="inlineStr">
        <is>
          <t>E. SUPERSTRUCTURE - FORMWORK</t>
        </is>
      </c>
    </row>
    <row r="56">
      <c r="A56" s="254" t="inlineStr">
        <is>
          <t>F1</t>
        </is>
      </c>
      <c r="B56" s="254" t="inlineStr">
        <is>
          <t>STR S (sup)</t>
        </is>
      </c>
      <c r="C56" s="254" t="inlineStr">
        <is>
          <t>Lintels: sides 2x0.225 + soffit 0.15 per m; copings: sides 2x0.15 per m</t>
        </is>
      </c>
      <c r="D56" s="254" t="inlineStr">
        <is>
          <t>'=(1*(1.8+0.3)+59*(1+0.3)+126*(0.9+0.3)+1*(0.9+0.3)+1*(3.2+0.3)+172*(0.75+0.3)+12*(0.7+0.3)+21*(1.2+0.3)+36*(1+0.3)+20*(1+0.3)+13*(0.9+0.3)+3*(1.8+0.3)+7*(1.5+0.3)+18*(0.9+0.3)+36*(0.75+0.3)+8*(0.45+0.3)+24*(0.6+0.3)+2*(1.8+0.3)+2*(2.4+0.3)+1*(5.05+0.3)+8*(3+0.3)+28*(1.6+0.3)+16*(1.3+0.3)+30*(1.8+0.3)+7*(1.2+0.3)+2*(4.2+0.3)+1*(3.6+0.3)+44*(1.8+0.3)+1*(1.8+0.3)+77*(0.9+0.3)+1*(1.8+0.3)+1*(3.5+0.3)+12*(1.8+0.3)+22*(1.2+0.3)+61*(1.2+0.3)+8*(1.2+0.3)+47*(1.5+0.3)+27*(1.5+0.3)+6*(2.4+0.3)+3*(3.6+0.3)+8*(3+0.3)+2*(2.4+0.3)+22*(1.8+0.3)+7*(0.75+0.3)+2*(2.1+0.3)+6*(1.45+0.3)+104*(0.9+0.3)+40*(0.75+0.3)+12*(0.6+0.3)+12*(1.2+0.3))*(2*0.225+0.15)+(182.5+105.0+17.3)*2*0.15</t>
        </is>
      </c>
      <c r="E56" s="255">
        <f>(1*(1.8+0.3)+59*(1+0.3)+126*(0.9+0.3)+1*(0.9+0.3)+1*(3.2+0.3)+172*(0.75+0.3)+12*(0.7+0.3)+21*(1.2+0.3)+36*(1+0.3)+20*(1+0.3)+13*(0.9+0.3)+3*(1.8+0.3)+7*(1.5+0.3)+18*(0.9+0.3)+36*(0.75+0.3)+8*(0.45+0.3)+24*(0.6+0.3)+2*(1.8+0.3)+2*(2.4+0.3)+1*(5.05+0.3)+8*(3+0.3)+28*(1.6+0.3)+16*(1.3+0.3)+30*(1.8+0.3)+7*(1.2+0.3)+2*(4.2+0.3)+1*(3.6+0.3)+44*(1.8+0.3)+1*(1.8+0.3)+77*(0.9+0.3)+1*(1.8+0.3)+1*(3.5+0.3)+12*(1.8+0.3)+22*(1.2+0.3)+61*(1.2+0.3)+8*(1.2+0.3)+47*(1.5+0.3)+27*(1.5+0.3)+6*(2.4+0.3)+3*(3.6+0.3)+8*(3+0.3)+2*(2.4+0.3)+22*(1.8+0.3)+7*(0.75+0.3)+2*(2.1+0.3)+6*(1.45+0.3)+104*(0.9+0.3)+40*(0.75+0.3)+12*(0.6+0.3)+12*(1.2+0.3))*(2*0.225+0.15)+(182.5+105.0+17.3)*2*0.15</f>
        <v>1094.34</v>
      </c>
      <c r="F56" s="254" t="inlineStr">
        <is>
          <t>m2</t>
        </is>
      </c>
      <c r="G56" s="254" t="inlineStr"/>
    </row>
    <row r="57">
      <c r="A57" s="254" t="inlineStr">
        <is>
          <t>F2</t>
        </is>
      </c>
      <c r="B57" s="254" t="inlineStr">
        <is>
          <t>STR T (sup)</t>
        </is>
      </c>
      <c r="C57" s="254" t="inlineStr">
        <is>
          <t>Columns: nos x perimeter x clear height</t>
        </is>
      </c>
      <c r="D57" s="254" t="inlineStr">
        <is>
          <t>'=5*2*(0.75+0.5)*28.15+1*2*(0.75+0.5)*34.25+2*2*(0.75+0.5)*37.15+1*2*(0.75+0.5)*34+3*2*(1.2+0.3)*28.15+6*2*(1.2+0.3)*34.25+1*2*(1.2+0.3)*37.15+15*2*(1.2+0.3)*34+1*2*(2.85+1.075)*28.15</t>
        </is>
      </c>
      <c r="E57" s="255">
        <f>5*2*(0.75+0.5)*28.15+1*2*(0.75+0.5)*34.25+2*2*(0.75+0.5)*37.15+1*2*(0.75+0.5)*34+3*2*(1.2+0.3)*28.15+6*2*(1.2+0.3)*34.25+1*2*(1.2+0.3)*37.15+15*2*(1.2+0.3)*34+1*2*(2.85+1.075)*28.15</f>
        <v>3440.5275</v>
      </c>
      <c r="F57" s="254" t="inlineStr">
        <is>
          <t>m2</t>
        </is>
      </c>
      <c r="G57" s="254" t="inlineStr"/>
    </row>
    <row r="58">
      <c r="A58" s="254" t="inlineStr">
        <is>
          <t>F3</t>
        </is>
      </c>
      <c r="B58" s="254" t="inlineStr">
        <is>
          <t>STR U (sup)</t>
        </is>
      </c>
      <c r="C58" s="254" t="inlineStr">
        <is>
          <t>Soffits of suspended slabs (same areas as concrete)</t>
        </is>
      </c>
      <c r="D58" s="254" t="inlineStr">
        <is>
          <t>'=(689.1+737.6+650.6+737.5+554.9+1273.9+1134.6*5+1134.4+868.4+868.1)+(176.3+16.3)</t>
        </is>
      </c>
      <c r="E58" s="255">
        <f>(689.1+737.6+650.6+737.5+554.9+1273.9+1134.6*5+1134.4+868.4+868.1)+(176.3+16.3)</f>
        <v>13380.1</v>
      </c>
      <c r="F58" s="254" t="inlineStr">
        <is>
          <t>m2</t>
        </is>
      </c>
      <c r="G58" s="254" t="inlineStr"/>
    </row>
    <row r="59">
      <c r="A59" s="254" t="inlineStr">
        <is>
          <t>F4</t>
        </is>
      </c>
      <c r="B59" s="254" t="inlineStr">
        <is>
          <t>STR V (sup)</t>
        </is>
      </c>
      <c r="C59" s="254" t="inlineStr">
        <is>
          <t>Concrete walls, both faces</t>
        </is>
      </c>
      <c r="D59" s="254" t="inlineStr">
        <is>
          <t>'=2*(22.05*37.15+21.825*41.2+25.57*37.2)</t>
        </is>
      </c>
      <c r="E59" s="255">
        <f>2*(22.05*37.15+21.825*41.2+25.57*37.2)</f>
        <v>5339.103</v>
      </c>
      <c r="F59" s="254" t="inlineStr">
        <is>
          <t>m2</t>
        </is>
      </c>
      <c r="G59" s="254" t="inlineStr">
        <is>
          <t>BOQ formula =C98/0.25 refers to the columns line - error</t>
        </is>
      </c>
    </row>
    <row r="60">
      <c r="A60" s="254" t="inlineStr">
        <is>
          <t>F5</t>
        </is>
      </c>
      <c r="B60" s="254" t="inlineStr">
        <is>
          <t>STR NEW</t>
        </is>
      </c>
      <c r="C60" s="254" t="inlineStr">
        <is>
          <t>Beams: sides of downstand + soffit</t>
        </is>
      </c>
      <c r="D60" s="254" t="inlineStr">
        <is>
          <t>'=(67.8+81.1+63.6+79.9+64.3+97.4+166.8*5+186.5+122.2+125.7)*(2*0.35+0.3)+(43.5+43.0+33.1+33.1*5+33.1+14.2+14.2)*(2*0.35+0.2)+31.4*(2*0.45+0.25)+34.0*(2*0.3+0.2)</t>
        </is>
      </c>
      <c r="E60" s="255">
        <f>(67.8+81.1+63.6+79.9+64.3+97.4+166.8*5+186.5+122.2+125.7)*(2*0.35+0.3)+(43.5+43.0+33.1+33.1*5+33.1+14.2+14.2)*(2*0.35+0.2)+31.4*(2*0.45+0.25)+34.0*(2*0.3+0.2)</f>
        <v>2097.75</v>
      </c>
      <c r="F60" s="254" t="inlineStr">
        <is>
          <t>m2</t>
        </is>
      </c>
      <c r="G60" s="254" t="inlineStr">
        <is>
          <t>NOT IN BOQ</t>
        </is>
      </c>
    </row>
    <row r="61">
      <c r="A61" s="254" t="inlineStr">
        <is>
          <t>F6</t>
        </is>
      </c>
      <c r="B61" s="254" t="inlineStr">
        <is>
          <t>STR NEW</t>
        </is>
      </c>
      <c r="C61" s="254" t="inlineStr">
        <is>
          <t>Edges of suspended slabs 250 high (outer + void edges)</t>
        </is>
      </c>
      <c r="D61" s="254" t="inlineStr">
        <is>
          <t>'=238.4+185.9+224.9+186.5+216.4+232.4+294.6*5+294.5+252.6+252.9+159.3+17.3</t>
        </is>
      </c>
      <c r="E61" s="255">
        <f>238.4+185.9+224.9+186.5+216.4+232.4+294.6*5+294.5+252.6+252.9+159.3+17.3</f>
        <v>3734.1000000000004</v>
      </c>
      <c r="F61" s="254" t="inlineStr">
        <is>
          <t>m</t>
        </is>
      </c>
      <c r="G61" s="254" t="inlineStr">
        <is>
          <t>Perimeters measured on GA sheets. NOT IN BOQ</t>
        </is>
      </c>
    </row>
    <row r="62">
      <c r="A62" s="254" t="inlineStr">
        <is>
          <t>F7</t>
        </is>
      </c>
      <c r="B62" s="254" t="inlineStr">
        <is>
          <t>STR NEW</t>
        </is>
      </c>
      <c r="C62" s="254" t="inlineStr">
        <is>
          <t>Stair soffits &amp; risers (per storey 33.3 m2 x 22 storey-flights)</t>
        </is>
      </c>
      <c r="D62" s="254" t="inlineStr">
        <is>
          <t>'=(2*3.424*1.8+15.0+22*0.15*1.8)*22</t>
        </is>
      </c>
      <c r="E62" s="255">
        <f>(2*3.424*1.8+15.0+22*0.15*1.8)*22</f>
        <v>731.8607999999999</v>
      </c>
      <c r="F62" s="254" t="inlineStr">
        <is>
          <t>m2</t>
        </is>
      </c>
      <c r="G62" s="254" t="inlineStr">
        <is>
          <t>NOT IN BOQ</t>
        </is>
      </c>
    </row>
    <row r="63">
      <c r="A63" s="253" t="inlineStr">
        <is>
          <t>F. ARCHITECTURAL - BLOCKWORK &amp; WALL FINISHES (walls measured on ARCH-103..125 plans at 1:100; openings already excluded from lengths)</t>
        </is>
      </c>
    </row>
    <row r="64">
      <c r="A64" s="254" t="inlineStr">
        <is>
          <t>A0a</t>
        </is>
      </c>
      <c r="B64" s="254" t="inlineStr">
        <is>
          <t>ARCH calc</t>
        </is>
      </c>
      <c r="C64" s="254" t="inlineStr">
        <is>
          <t>150 walls: sum(length x clear height) per floor</t>
        </is>
      </c>
      <c r="D64" s="254" t="inlineStr">
        <is>
          <t>'=203.6*3.6+98.4*2.45+144.5*2.45+127.5*2.45+500.0*3.05+443.9*3.05+447.7*3.05+465.9*3.05+449.8*3.05+441.2*3.05+397.2*3.05+354.0*3.05+82.0*2.9+6.5*1.2</t>
        </is>
      </c>
      <c r="E64" s="255">
        <f>203.6*3.6+98.4*2.45+144.5*2.45+127.5*2.45+500.0*3.05+443.9*3.05+447.7*3.05+465.9*3.05+449.8*3.05+441.2*3.05+397.2*3.05+354.0*3.05+82.0*2.9+6.5*1.2</f>
        <v>12560.124999999998</v>
      </c>
      <c r="F64" s="254" t="inlineStr">
        <is>
          <t>m2</t>
        </is>
      </c>
      <c r="G64" s="254" t="inlineStr">
        <is>
          <t>Lengths per floor: GF 204m; 1F 98m; 2F 145m; MEZZ 128m; 3F 500m; 4F 444m; 5F 448m; 6F 466m; 7F 450m; 8F 441m; 9F 397m; 10F 354m; RT 82m; ROOF 7m</t>
        </is>
      </c>
    </row>
    <row r="65">
      <c r="A65" s="254" t="inlineStr">
        <is>
          <t>A0b</t>
        </is>
      </c>
      <c r="B65" s="254" t="inlineStr">
        <is>
          <t>ARCH calc</t>
        </is>
      </c>
      <c r="C65" s="254" t="inlineStr">
        <is>
          <t>200 walls: sum(length x clear height) per floor</t>
        </is>
      </c>
      <c r="D65" s="254" t="inlineStr">
        <is>
          <t>'=33.8*3.6+36.6*2.45+16.7*2.45+31.6*2.45+47.2*3.05+55.3*3.05+49.2*3.05+50.0*3.05+50.1*3.05+51.7*3.05+25.6*3.05+31.1*3.05+10.2*2.9+65.7*1.2</t>
        </is>
      </c>
      <c r="E65" s="255">
        <f>33.8*3.6+36.6*2.45+16.7*2.45+31.6*2.45+47.2*3.05+55.3*3.05+49.2*3.05+50.0*3.05+50.1*3.05+51.7*3.05+25.6*3.05+31.1*3.05+10.2*2.9+65.7*1.2</f>
        <v>1536.715</v>
      </c>
      <c r="F65" s="254" t="inlineStr">
        <is>
          <t>m2</t>
        </is>
      </c>
      <c r="G65" s="254" t="inlineStr">
        <is>
          <t>Lengths per floor: GF 34m; 1F 37m; 2F 17m; MEZZ 32m; 3F 47m; 4F 55m; 5F 49m; 6F 50m; 7F 50m; 8F 52m; 9F 26m; 10F 31m; RT 10m; ROOF 66m</t>
        </is>
      </c>
    </row>
    <row r="66">
      <c r="A66" s="254" t="inlineStr">
        <is>
          <t>A0c</t>
        </is>
      </c>
      <c r="B66" s="254" t="inlineStr">
        <is>
          <t>ARCH calc</t>
        </is>
      </c>
      <c r="C66" s="254" t="inlineStr">
        <is>
          <t>Add back walling above/below openings (avg clear height 3.05m)</t>
        </is>
      </c>
      <c r="D66" s="254" t="inlineStr">
        <is>
          <t>'=1*1.8*(3.05-2.4)+59*1*(3.05-2.2)+126*0.9*(3.05-2.2)+1*0.9*(3.05-2.35)+1*3.2*(3.05-2.2)+172*0.75*(3.05-2.2)+12*0.7*(3.05-2.2)+21*1.2*(3.05-2.2)+36*1*(3.05-2.2)+20*1*(3.05-2.2)+13*0.9*(3.05-2.2)+3*1.8*(3.05-2.2)+7*1.5*(3.05-2.2)+18*0.9*(3.05-2.2)+36*0.75*(3.05-2.2)+8*0.45*(3.05-2.2)+24*0.6*(3.05-2.2)+2*1.8*(3.05-2.2)+2*2.4*(3.05-2.2)+1*5.05*(3.05-2.2)+8*3*(3.05-2.2)+28*1.6*(3.05-2.2)+16*1.3*(3.05-2.2)+30*1.8*(3.05-2.2)+7*1.2*(3.05-2.2)+2*4.2*(3.05-2.157)+1*3.6*(3.05-1.9)+44*1.8*(3.05-1.3)+1*1.8*(3.05-1.5)+77*0.9*(3.05-1.3)+1*1.8*(3.05-1.9)+1*3.5*(3.05-1.5)+12*1.8*(3.05-1.6)+22*1.2*(3.05-1.9)+61*1.2*(3.05-1.15)+8*1.2*(3.05-1.2)+47*1.5*(3.05-1.3)+27*1.5*(3.05-1.15)+6*2.4*(3.05-1.3)+3*3.6*(3.05-2.2)+8*3*(3.05-1.6)+2*2.4*(3.05-1.9)+22*1.8*(3.05-1.9)+7*0.75*(3.05-1.3)+2*2.1*(3.05-0.9)+6*1.45*(3.05-1.9)+104*0.9*(3.05-0.6)+40*0.75*(3.05-0.6)+12*0.6*(3.05-0.6)+12*1.2*(3.05-0.6)</t>
        </is>
      </c>
      <c r="E66" s="255">
        <f>1*1.8*(3.05-2.4)+59*1*(3.05-2.2)+126*0.9*(3.05-2.2)+1*0.9*(3.05-2.35)+1*3.2*(3.05-2.2)+172*0.75*(3.05-2.2)+12*0.7*(3.05-2.2)+21*1.2*(3.05-2.2)+36*1*(3.05-2.2)+20*1*(3.05-2.2)+13*0.9*(3.05-2.2)+3*1.8*(3.05-2.2)+7*1.5*(3.05-2.2)+18*0.9*(3.05-2.2)+36*0.75*(3.05-2.2)+8*0.45*(3.05-2.2)+24*0.6*(3.05-2.2)+2*1.8*(3.05-2.2)+2*2.4*(3.05-2.2)+1*5.05*(3.05-2.2)+8*3*(3.05-2.2)+28*1.6*(3.05-2.2)+16*1.3*(3.05-2.2)+30*1.8*(3.05-2.2)+7*1.2*(3.05-2.2)+2*4.2*(3.05-2.157)+1*3.6*(3.05-1.9)+44*1.8*(3.05-1.3)+1*1.8*(3.05-1.5)+77*0.9*(3.05-1.3)+1*1.8*(3.05-1.9)+1*3.5*(3.05-1.5)+12*1.8*(3.05-1.6)+22*1.2*(3.05-1.9)+61*1.2*(3.05-1.15)+8*1.2*(3.05-1.2)+47*1.5*(3.05-1.3)+27*1.5*(3.05-1.15)+6*2.4*(3.05-1.3)+3*3.6*(3.05-2.2)+8*3*(3.05-1.6)+2*2.4*(3.05-1.9)+22*1.8*(3.05-1.9)+7*0.75*(3.05-1.3)+2*2.1*(3.05-0.9)+6*1.45*(3.05-1.9)+104*0.9*(3.05-0.6)+40*0.75*(3.05-0.6)+12*0.6*(3.05-0.6)+12*1.2*(3.05-0.6)</f>
        <v>1757.8311999999999</v>
      </c>
      <c r="F66" s="254" t="inlineStr">
        <is>
          <t>m2</t>
        </is>
      </c>
      <c r="G66" s="254" t="inlineStr">
        <is>
          <t>Door &amp; window schedules</t>
        </is>
      </c>
    </row>
    <row r="67">
      <c r="A67" s="254" t="inlineStr">
        <is>
          <t>A1</t>
        </is>
      </c>
      <c r="B67" s="254" t="inlineStr">
        <is>
          <t>ARCH A</t>
        </is>
      </c>
      <c r="C67" s="254" t="inlineStr">
        <is>
          <t>150mm sandcrete blockwork</t>
        </is>
      </c>
      <c r="D67" s="254" t="inlineStr">
        <is>
          <t>'=E64+E66*0.882</t>
        </is>
      </c>
      <c r="E67" s="255">
        <f>E64+E66*0.882</f>
        <v>14110.532118399999</v>
      </c>
      <c r="F67" s="254" t="inlineStr">
        <is>
          <t>m2</t>
        </is>
      </c>
      <c r="G67" s="254" t="inlineStr">
        <is>
          <t>Openings add-back apportioned by length (150 share 0.882)</t>
        </is>
      </c>
    </row>
    <row r="68">
      <c r="A68" s="254" t="inlineStr">
        <is>
          <t>A1b</t>
        </is>
      </c>
      <c r="B68" s="254" t="inlineStr">
        <is>
          <t>ARCH NEW</t>
        </is>
      </c>
      <c r="C68" s="254" t="inlineStr">
        <is>
          <t>200mm sandcrete blockwork</t>
        </is>
      </c>
      <c r="D68" s="254" t="inlineStr">
        <is>
          <t>'=E65+E66*0.118</t>
        </is>
      </c>
      <c r="E68" s="255">
        <f>E65+E66*0.118</f>
        <v>1744.1390815999998</v>
      </c>
      <c r="F68" s="254" t="inlineStr">
        <is>
          <t>m2</t>
        </is>
      </c>
      <c r="G68" s="254" t="inlineStr">
        <is>
          <t>Wall band 200-225 thick on plans. NOT IN BOQ</t>
        </is>
      </c>
    </row>
    <row r="69">
      <c r="A69" s="254" t="inlineStr">
        <is>
          <t>A0d</t>
        </is>
      </c>
      <c r="B69" s="254" t="inlineStr">
        <is>
          <t>ARCH calc</t>
        </is>
      </c>
      <c r="C69" s="254" t="inlineStr">
        <is>
          <t>Total window area (schedule)</t>
        </is>
      </c>
      <c r="D69" s="254" t="inlineStr">
        <is>
          <t>'=1*3.6*1.9+44*1.8*1.3+1*1.8*1.5+77*0.9*1.3+1*1.8*1.9+1*3.5*1.5+12*1.8*1.6+22*1.2*1.9+61*1.2*1.15+8*1.2*1.2+47*1.5*1.3+27*1.5*1.15+6*2.4*1.3+3*3.6*2.2+8*3*1.6+2*2.4*1.9+22*1.8*1.9+7*0.75*1.3+2*2.1*0.9+6*1.45*1.9+104*0.9*0.6+40*0.75*0.6+12*0.6*0.6+12*1.2*0.6</t>
        </is>
      </c>
      <c r="E69" s="255">
        <f>1*3.6*1.9+44*1.8*1.3+1*1.8*1.5+77*0.9*1.3+1*1.8*1.9+1*3.5*1.5+12*1.8*1.6+22*1.2*1.9+61*1.2*1.15+8*1.2*1.2+47*1.5*1.3+27*1.5*1.15+6*2.4*1.3+3*3.6*2.2+8*3*1.6+2*2.4*1.9+22*1.8*1.9+7*0.75*1.3+2*2.1*0.9+6*1.45*1.9+104*0.9*0.6+40*0.75*0.6+12*0.6*0.6+12*1.2*0.6</f>
        <v>809.4000000000001</v>
      </c>
      <c r="F69" s="254" t="inlineStr">
        <is>
          <t>m2</t>
        </is>
      </c>
      <c r="G69" s="254" t="inlineStr"/>
    </row>
    <row r="70">
      <c r="A70" s="254" t="inlineStr">
        <is>
          <t>A0e</t>
        </is>
      </c>
      <c r="B70" s="254" t="inlineStr">
        <is>
          <t>ARCH calc</t>
        </is>
      </c>
      <c r="C70" s="254" t="inlineStr">
        <is>
          <t>Total door area (schedule)</t>
        </is>
      </c>
      <c r="D70" s="254" t="inlineStr">
        <is>
          <t>'=1*1.8*2.4+59*1*2.2+126*0.9*2.2+1*0.9*2.35+1*3.2*2.2+172*0.75*2.2+12*0.7*2.2+21*1.2*2.2+36*1*2.2+20*1*2.2+13*0.9*2.2+3*1.8*2.2+7*1.5*2.2+18*0.9*2.2+36*0.75*2.2+8*0.45*2.2+24*0.6*2.2+2*1.8*2.2+2*2.4*2.2+1*5.05*2.2+8*3*2.2+28*1.6*2.2+16*1.3*2.2+30*1.8*2.2+7*1.2*2.2+2*4.2*2.157</t>
        </is>
      </c>
      <c r="E70" s="255">
        <f>1*1.8*2.4+59*1*2.2+126*0.9*2.2+1*0.9*2.35+1*3.2*2.2+172*0.75*2.2+12*0.7*2.2+21*1.2*2.2+36*1*2.2+20*1*2.2+13*0.9*2.2+3*1.8*2.2+7*1.5*2.2+18*0.9*2.2+36*0.75*2.2+8*0.45*2.2+24*0.6*2.2+2*1.8*2.2+2*2.4*2.2+1*5.05*2.2+8*3*2.2+28*1.6*2.2+16*1.3*2.2+30*1.8*2.2+7*1.2*2.2+2*4.2*2.157</f>
        <v>1451.1438</v>
      </c>
      <c r="F70" s="254" t="inlineStr">
        <is>
          <t>m2</t>
        </is>
      </c>
      <c r="G70" s="254" t="inlineStr"/>
    </row>
    <row r="71">
      <c r="A71" s="254" t="inlineStr">
        <is>
          <t>A0f</t>
        </is>
      </c>
      <c r="B71" s="254" t="inlineStr">
        <is>
          <t>ARCH calc</t>
        </is>
      </c>
      <c r="C71" s="254" t="inlineStr">
        <is>
          <t>Internal wall faces: (2 x block length + 2 x RC core length - 16.8 lift-shaft faces - external wall length) x clear height, per floor</t>
        </is>
      </c>
      <c r="D71" s="254" t="inlineStr">
        <is>
          <t>'=(2*(203.6+33.8)+2*41.6-16.8-142.2)*3.6+(2*(98.4+36.6)+2*25.8-16.8-134.3)*2.45+(2*(144.5+16.7)+2*35.1-16.8-134.0)*2.45+(2*(127.5+31.6)+2*42.8-16.8-191.5)*2.45+(2*(500.0+47.2)+2*49.4-16.8-148.0)*3.05+(2*(443.9+55.3)+2*46.5-16.8-224.2)*3.05+(2*(447.7+49.2)+2*67.8-16.8-224.2)*3.05+(2*(465.9+50.0)+2*64.6-16.8-224.2)*3.05+(2*(449.8+50.1)+2*67.4-16.8-224.2)*3.05+(2*(441.2+51.7)+2*67.3-16.8-224.2)*3.05+(2*(397.2+25.6)+2*51.7-16.8-224.1)*3.05+(2*(354.0+31.1)+2*39.8-16.8-181.8)*3.05+(2*(82.0+10.2)+2*42.3-16.8-182.5)*2.9</t>
        </is>
      </c>
      <c r="E71" s="255">
        <f>(2*(203.6+33.8)+2*41.6-16.8-142.2)*3.6+(2*(98.4+36.6)+2*25.8-16.8-134.3)*2.45+(2*(144.5+16.7)+2*35.1-16.8-134.0)*2.45+(2*(127.5+31.6)+2*42.8-16.8-191.5)*2.45+(2*(500.0+47.2)+2*49.4-16.8-148.0)*3.05+(2*(443.9+55.3)+2*46.5-16.8-224.2)*3.05+(2*(447.7+49.2)+2*67.8-16.8-224.2)*3.05+(2*(465.9+50.0)+2*64.6-16.8-224.2)*3.05+(2*(449.8+50.1)+2*67.4-16.8-224.2)*3.05+(2*(441.2+51.7)+2*67.3-16.8-224.2)*3.05+(2*(397.2+25.6)+2*51.7-16.8-224.1)*3.05+(2*(354.0+31.1)+2*39.8-16.8-181.8)*3.05+(2*(82.0+10.2)+2*42.3-16.8-182.5)*2.9</f>
        <v>23927.114999999998</v>
      </c>
      <c r="F71" s="254" t="inlineStr">
        <is>
          <t>m2</t>
        </is>
      </c>
      <c r="G71" s="254" t="inlineStr">
        <is>
          <t>External wall length = measured slab outer perimeter per floor</t>
        </is>
      </c>
    </row>
    <row r="72">
      <c r="A72" s="254" t="inlineStr">
        <is>
          <t>A0g</t>
        </is>
      </c>
      <c r="B72" s="254" t="inlineStr">
        <is>
          <t>ARCH calc</t>
        </is>
      </c>
      <c r="C72" s="254" t="inlineStr">
        <is>
          <t>Washroom wall faces: nr washrooms (wet area/3.8 m2 each) x 8.0m perimeter x clear height</t>
        </is>
      </c>
      <c r="D72" s="254" t="inlineStr">
        <is>
          <t>'=18.1/3.8*8.0*3.6+59.2/3.8*8.0*3.05+62.1/3.8*8.0*3.05+56.0/3.8*8.0*3.05+61.4/3.8*8.0*3.05+57.5/3.8*8.0*3.05+60.4/3.8*8.0*3.05+48.7/3.8*8.0*3.05+45.4/3.8*8.0*3.05+24.2/3.8*8.0*2.9</t>
        </is>
      </c>
      <c r="E72" s="255">
        <f>18.1/3.8*8.0*3.6+59.2/3.8*8.0*3.05+62.1/3.8*8.0*3.05+56.0/3.8*8.0*3.05+61.4/3.8*8.0*3.05+57.5/3.8*8.0*3.05+60.4/3.8*8.0*3.05+48.7/3.8*8.0*3.05+45.4/3.8*8.0*3.05+24.2/3.8*8.0*2.9</f>
        <v>3178.894736842106</v>
      </c>
      <c r="F72" s="254" t="inlineStr">
        <is>
          <t>m2</t>
        </is>
      </c>
      <c r="G72" s="254" t="inlineStr">
        <is>
          <t>Wet areas per floor from tiling layouts: GF 18; 3F 59; 4F 62; 5F 56; 6F 61; 7F 57; 8F 60; 9F 49; 10F 45; RT 24</t>
        </is>
      </c>
    </row>
    <row r="73">
      <c r="A73" s="254" t="inlineStr">
        <is>
          <t>A2</t>
        </is>
      </c>
      <c r="B73" s="254" t="inlineStr">
        <is>
          <t>ARCH B</t>
        </is>
      </c>
      <c r="C73" s="254" t="inlineStr">
        <is>
          <t>Render to interior walls (excl. washrooms)</t>
        </is>
      </c>
      <c r="D73" s="254" t="inlineStr">
        <is>
          <t>'=E71-E72-2*E70-E69</t>
        </is>
      </c>
      <c r="E73" s="255">
        <f>E71-E72-2*E70-E69</f>
        <v>17036.53266315789</v>
      </c>
      <c r="F73" s="254" t="inlineStr">
        <is>
          <t>m2</t>
        </is>
      </c>
      <c r="G73" s="254" t="inlineStr">
        <is>
          <t>Internal faces less washroom walls, doors (2 faces) and windows (1 face)</t>
        </is>
      </c>
    </row>
    <row r="74">
      <c r="A74" s="254" t="inlineStr">
        <is>
          <t>A3</t>
        </is>
      </c>
      <c r="B74" s="254" t="inlineStr">
        <is>
          <t>ARCH C</t>
        </is>
      </c>
      <c r="C74" s="254" t="inlineStr">
        <is>
          <t>Render to washroom walls</t>
        </is>
      </c>
      <c r="D74" s="254" t="inlineStr">
        <is>
          <t>'=E72-129.7*0.75*2.2</t>
        </is>
      </c>
      <c r="E74" s="255">
        <f>E72-129.7*0.75*2.2</f>
        <v>2964.889736842106</v>
      </c>
      <c r="F74" s="254" t="inlineStr">
        <is>
          <t>m2</t>
        </is>
      </c>
      <c r="G74" s="254" t="inlineStr">
        <is>
          <t>Less washroom doors 750x2200</t>
        </is>
      </c>
    </row>
    <row r="75">
      <c r="A75" s="254" t="inlineStr">
        <is>
          <t>A4</t>
        </is>
      </c>
      <c r="B75" s="254" t="inlineStr">
        <is>
          <t>ARCH NEW</t>
        </is>
      </c>
      <c r="C75" s="254" t="inlineStr">
        <is>
          <t>External render (12.5mm cement-sand) to external walls</t>
        </is>
      </c>
      <c r="D75" s="254" t="inlineStr">
        <is>
          <t>'=142.2*3.85+134.3*2.7+134.0*2.7+191.5*2.7+148.0*3.3+224.2*3.3+224.2*3.3+224.2*3.3+224.2*3.3+224.2*3.3+224.1*3.3+181.8*3.3+182.5*3.15-E69</t>
        </is>
      </c>
      <c r="E75" s="255">
        <f>142.2*3.85+134.3*2.7+134.0*2.7+191.5*2.7+148.0*3.3+224.2*3.3+224.2*3.3+224.2*3.3+224.2*3.3+224.2*3.3+224.1*3.3+181.8*3.3+182.5*3.15-E69</f>
        <v>7081.574999999999</v>
      </c>
      <c r="F75" s="254" t="inlineStr">
        <is>
          <t>m2</t>
        </is>
      </c>
      <c r="G75" s="254" t="inlineStr">
        <is>
          <t>NOT IN BOQ: external wall length x storey height less windows</t>
        </is>
      </c>
    </row>
    <row r="76">
      <c r="A76" s="253" t="inlineStr">
        <is>
          <t>G. ARCHITECTURAL - FLOOR FINISHES (tile types per legend ARCH-401..409; rooms measured on plans and classified by room label / hatch)</t>
        </is>
      </c>
    </row>
    <row r="77">
      <c r="A77" s="254" t="inlineStr">
        <is>
          <t>T1</t>
        </is>
      </c>
      <c r="B77" s="254" t="inlineStr">
        <is>
          <t>ARCH Q</t>
        </is>
      </c>
      <c r="C77" s="254" t="inlineStr">
        <is>
          <t>40x40 non-slip porcelain - washrooms/WCs</t>
        </is>
      </c>
      <c r="D77" s="254" t="inlineStr">
        <is>
          <t>'=493.0</t>
        </is>
      </c>
      <c r="E77" s="255">
        <f>493.0</f>
        <v>493.0</v>
      </c>
      <c r="F77" s="254" t="inlineStr">
        <is>
          <t>m2</t>
        </is>
      </c>
      <c r="G77" s="254" t="inlineStr">
        <is>
          <t>Per floor: GF 18.1; 3F 59.2; 4F 62.1; 5F 56.0; 6F 61.4; 7F 57.5; 8F 60.4; 9F 48.7; 10F 45.4; RT 24.2</t>
        </is>
      </c>
    </row>
    <row r="78">
      <c r="A78" s="254" t="inlineStr">
        <is>
          <t>T2</t>
        </is>
      </c>
      <c r="B78" s="254" t="inlineStr">
        <is>
          <t>ARCH R</t>
        </is>
      </c>
      <c r="C78" s="254" t="inlineStr">
        <is>
          <t>50x50 matte R11 porcelain - staircases (treads, risers, landings): 22 storey-flights x 31.74 m2</t>
        </is>
      </c>
      <c r="D78" s="254" t="inlineStr">
        <is>
          <t>'=(2*1.8*3.0+22*0.15*1.8+2.2*3.75+1.8*3.75)*22</t>
        </is>
      </c>
      <c r="E78" s="255">
        <f>(2*1.8*3.0+22*0.15*1.8+2.2*3.75+1.8*3.75)*22</f>
        <v>698.2800000000001</v>
      </c>
      <c r="F78" s="254" t="inlineStr">
        <is>
          <t>m2</t>
        </is>
      </c>
      <c r="G78" s="254" t="inlineStr">
        <is>
          <t>Legend: 50x50 R11 used on stair cores</t>
        </is>
      </c>
    </row>
    <row r="79">
      <c r="A79" s="254" t="inlineStr">
        <is>
          <t>T3</t>
        </is>
      </c>
      <c r="B79" s="254" t="inlineStr">
        <is>
          <t>ARCH S</t>
        </is>
      </c>
      <c r="C79" s="254" t="inlineStr">
        <is>
          <t>60x60 semi-polished porcelain - habitable rooms, shops, offices</t>
        </is>
      </c>
      <c r="D79" s="254" t="inlineStr">
        <is>
          <t>'=4573.9</t>
        </is>
      </c>
      <c r="E79" s="255">
        <f>4573.9</f>
        <v>4573.9</v>
      </c>
      <c r="F79" s="254" t="inlineStr">
        <is>
          <t>m2</t>
        </is>
      </c>
      <c r="G79" s="254" t="inlineStr">
        <is>
          <t>Incl. GF Shop 2 86.2 m2 added manually</t>
        </is>
      </c>
    </row>
    <row r="80">
      <c r="A80" s="254" t="inlineStr">
        <is>
          <t>T4</t>
        </is>
      </c>
      <c r="B80" s="254" t="inlineStr">
        <is>
          <t>ARCH T</t>
        </is>
      </c>
      <c r="C80" s="254" t="inlineStr">
        <is>
          <t>60x120 semi-polished porcelain - FLOOR to stair/lift lobbies &amp; reception</t>
        </is>
      </c>
      <c r="D80" s="254" t="inlineStr">
        <is>
          <t>'=357.4</t>
        </is>
      </c>
      <c r="E80" s="255">
        <f>357.4</f>
        <v>357.4</v>
      </c>
      <c r="F80" s="254" t="inlineStr">
        <is>
          <t>m2</t>
        </is>
      </c>
      <c r="G80" s="254" t="inlineStr">
        <is>
          <t>Legend shows 60x120 as floor tile in lobbies (BOQ says wall)</t>
        </is>
      </c>
    </row>
    <row r="81">
      <c r="A81" s="254" t="inlineStr">
        <is>
          <t>T5</t>
        </is>
      </c>
      <c r="B81" s="254" t="inlineStr">
        <is>
          <t>ARCH U</t>
        </is>
      </c>
      <c r="C81" s="254" t="inlineStr">
        <is>
          <t>60x60 non-slip R11 - corridors, terraces, verandah, service rooms</t>
        </is>
      </c>
      <c r="D81" s="254" t="inlineStr">
        <is>
          <t>'=2219.9</t>
        </is>
      </c>
      <c r="E81" s="255">
        <f>2219.9</f>
        <v>2219.9</v>
      </c>
      <c r="F81" s="254" t="inlineStr">
        <is>
          <t>m2</t>
        </is>
      </c>
      <c r="G81" s="254" t="inlineStr">
        <is>
          <t>RT outdoor sitting (412.1) and Mezz parking (176.8) re-allocated; GF verandah 47.0 added</t>
        </is>
      </c>
    </row>
    <row r="82">
      <c r="A82" s="254" t="inlineStr">
        <is>
          <t>T6</t>
        </is>
      </c>
      <c r="B82" s="254" t="inlineStr">
        <is>
          <t>ARCH V</t>
        </is>
      </c>
      <c r="C82" s="254" t="inlineStr">
        <is>
          <t>Interlocking composite tiles - 9th floor play area &amp; roof-top outdoor sitting</t>
        </is>
      </c>
      <c r="D82" s="254" t="inlineStr">
        <is>
          <t>'=750.5</t>
        </is>
      </c>
      <c r="E82" s="255">
        <f>750.5</f>
        <v>750.5</v>
      </c>
      <c r="F82" s="254" t="inlineStr">
        <is>
          <t>m2</t>
        </is>
      </c>
      <c r="G82" s="254" t="inlineStr">
        <is>
          <t>ARCH-601..606 details</t>
        </is>
      </c>
    </row>
    <row r="83">
      <c r="A83" s="254" t="inlineStr">
        <is>
          <t>T7</t>
        </is>
      </c>
      <c r="B83" s="254" t="inlineStr">
        <is>
          <t>ARCH NEW</t>
        </is>
      </c>
      <c r="C83" s="254" t="inlineStr">
        <is>
          <t>Seamless PU resin screed / PU coating to parking decks &amp; ramps</t>
        </is>
      </c>
      <c r="D83" s="254" t="inlineStr">
        <is>
          <t>'=1814.2</t>
        </is>
      </c>
      <c r="E83" s="255">
        <f>1814.2</f>
        <v>1814.2</v>
      </c>
      <c r="F83" s="254" t="inlineStr">
        <is>
          <t>m2</t>
        </is>
      </c>
      <c r="G83" s="254" t="inlineStr">
        <is>
          <t>Legend items; NOT IN BOQ</t>
        </is>
      </c>
    </row>
    <row r="84">
      <c r="A84" s="254" t="inlineStr">
        <is>
          <t>T8</t>
        </is>
      </c>
      <c r="B84" s="254" t="inlineStr">
        <is>
          <t>ARCH calc</t>
        </is>
      </c>
      <c r="C84" s="254" t="inlineStr">
        <is>
          <t>Total tiled floor area (excl. stairs, interlocking, PU)</t>
        </is>
      </c>
      <c r="D84" s="254" t="inlineStr">
        <is>
          <t>'=493.0+4573.9+357.4+2219.9</t>
        </is>
      </c>
      <c r="E84" s="255">
        <f>493.0+4573.9+357.4+2219.9</f>
        <v>7644.199999999999</v>
      </c>
      <c r="F84" s="254" t="inlineStr">
        <is>
          <t>m2</t>
        </is>
      </c>
      <c r="G84" s="254" t="inlineStr"/>
    </row>
    <row r="85">
      <c r="A85" s="254" t="inlineStr">
        <is>
          <t>A5</t>
        </is>
      </c>
      <c r="B85" s="254" t="inlineStr">
        <is>
          <t>ARCH D</t>
        </is>
      </c>
      <c r="C85" s="254" t="inlineStr">
        <is>
          <t>25mm cement-sand screed to tiled floors</t>
        </is>
      </c>
      <c r="D85" s="254" t="inlineStr">
        <is>
          <t>'=E84</t>
        </is>
      </c>
      <c r="E85" s="255">
        <f>E84</f>
        <v>7644.199999999999</v>
      </c>
      <c r="F85" s="254" t="inlineStr">
        <is>
          <t>m2</t>
        </is>
      </c>
      <c r="G85" s="254" t="inlineStr">
        <is>
          <t>BOQ 17,600 appears to be gross slab area</t>
        </is>
      </c>
    </row>
    <row r="86">
      <c r="A86" s="254" t="inlineStr">
        <is>
          <t>A6</t>
        </is>
      </c>
      <c r="B86" s="254" t="inlineStr">
        <is>
          <t>ARCH P</t>
        </is>
      </c>
      <c r="C86" s="254" t="inlineStr">
        <is>
          <t>12mm bed to receive floor tiles (floors + stairs)</t>
        </is>
      </c>
      <c r="D86" s="254" t="inlineStr">
        <is>
          <t>'=E84+(2*1.8*3.0+22*0.15*1.8+2.2*3.75+1.8*3.75)*22</t>
        </is>
      </c>
      <c r="E86" s="255">
        <f>E84+(2*1.8*3.0+22*0.15*1.8+2.2*3.75+1.8*3.75)*22</f>
        <v>8342.48</v>
      </c>
      <c r="F86" s="254" t="inlineStr">
        <is>
          <t>m2</t>
        </is>
      </c>
      <c r="G86" s="254" t="inlineStr"/>
    </row>
    <row r="87">
      <c r="A87" s="254" t="inlineStr">
        <is>
          <t>A7</t>
        </is>
      </c>
      <c r="B87" s="254" t="inlineStr">
        <is>
          <t>ARCH N</t>
        </is>
      </c>
      <c r="C87" s="254" t="inlineStr">
        <is>
          <t>12mm backing to receive wall tiles - washroom walls to 2.4m high</t>
        </is>
      </c>
      <c r="D87" s="254" t="inlineStr">
        <is>
          <t>'=493.0/3.8*8.0*2.4-493.0/3.8*0.75*2.2</t>
        </is>
      </c>
      <c r="E87" s="255">
        <f>493.0/3.8*8.0*2.4-493.0/3.8*0.75*2.2</f>
        <v>2276.8815789473683</v>
      </c>
      <c r="F87" s="254" t="inlineStr">
        <is>
          <t>m2</t>
        </is>
      </c>
      <c r="G87" s="254" t="inlineStr">
        <is>
          <t>Wall tile height assumed 2.4m (not dimensioned on drawings)</t>
        </is>
      </c>
    </row>
    <row r="88">
      <c r="A88" s="254" t="inlineStr">
        <is>
          <t>A8</t>
        </is>
      </c>
      <c r="B88" s="254" t="inlineStr">
        <is>
          <t>ARCH NEW</t>
        </is>
      </c>
      <c r="C88" s="254" t="inlineStr">
        <is>
          <t>Wall tiles to washrooms (type to be confirmed)</t>
        </is>
      </c>
      <c r="D88" s="254" t="inlineStr">
        <is>
          <t>'=E87</t>
        </is>
      </c>
      <c r="E88" s="255">
        <f>E87</f>
        <v>2276.8815789473683</v>
      </c>
      <c r="F88" s="254" t="inlineStr">
        <is>
          <t>m2</t>
        </is>
      </c>
      <c r="G88" s="254" t="inlineStr">
        <is>
          <t>NOT IN BOQ as wall item (BOQ T is a floor tile per legend)</t>
        </is>
      </c>
    </row>
    <row r="89">
      <c r="A89" s="253" t="inlineStr">
        <is>
          <t>H. ARCHITECTURAL - PAINTING &amp; CEILINGS</t>
        </is>
      </c>
    </row>
    <row r="90">
      <c r="A90" s="254" t="inlineStr">
        <is>
          <t>P1</t>
        </is>
      </c>
      <c r="B90" s="254" t="inlineStr">
        <is>
          <t>ARCH E</t>
        </is>
      </c>
      <c r="C90" s="254" t="inlineStr">
        <is>
          <t>Emulsion paint to interior walls (same as render B)</t>
        </is>
      </c>
      <c r="D90" s="254" t="inlineStr">
        <is>
          <t>'=E73</t>
        </is>
      </c>
      <c r="E90" s="255">
        <f>E73</f>
        <v>17036.53266315789</v>
      </c>
      <c r="F90" s="254" t="inlineStr">
        <is>
          <t>m2</t>
        </is>
      </c>
      <c r="G90" s="254" t="inlineStr"/>
    </row>
    <row r="91">
      <c r="A91" s="254" t="inlineStr">
        <is>
          <t>P2</t>
        </is>
      </c>
      <c r="B91" s="254" t="inlineStr">
        <is>
          <t>ARCH F</t>
        </is>
      </c>
      <c r="C91" s="254" t="inlineStr">
        <is>
          <t>Emulsion to washroom walls above 2.4m tiling</t>
        </is>
      </c>
      <c r="D91" s="254" t="inlineStr">
        <is>
          <t>'=E74-E87</t>
        </is>
      </c>
      <c r="E91" s="255">
        <f>E74-E87</f>
        <v>688.0081578947375</v>
      </c>
      <c r="F91" s="254" t="inlineStr">
        <is>
          <t>m2</t>
        </is>
      </c>
      <c r="G91" s="254" t="inlineStr"/>
    </row>
    <row r="92">
      <c r="A92" s="254" t="inlineStr">
        <is>
          <t>P3</t>
        </is>
      </c>
      <c r="B92" s="254" t="inlineStr">
        <is>
          <t>ARCH G</t>
        </is>
      </c>
      <c r="C92" s="254" t="inlineStr">
        <is>
          <t>Emulsion/exterior paint to external walls</t>
        </is>
      </c>
      <c r="D92" s="254" t="inlineStr">
        <is>
          <t>'=E75</t>
        </is>
      </c>
      <c r="E92" s="255">
        <f>E75</f>
        <v>7081.574999999999</v>
      </c>
      <c r="F92" s="254" t="inlineStr">
        <is>
          <t>m2</t>
        </is>
      </c>
      <c r="G92" s="254" t="inlineStr"/>
    </row>
    <row r="93">
      <c r="A93" s="254" t="inlineStr">
        <is>
          <t>P4</t>
        </is>
      </c>
      <c r="B93" s="254" t="inlineStr">
        <is>
          <t>ARCH H</t>
        </is>
      </c>
      <c r="C93" s="254" t="inlineStr">
        <is>
          <t>Paint to exposed faces of columns in GF &amp; parking levels (girth exceeds 300mm)</t>
        </is>
      </c>
      <c r="D93" s="254" t="inlineStr">
        <is>
          <t>'=5*2*(0.75+0.5)*9.85+1*2*(0.75+0.5)*9.85+2*2*(0.75+0.5)*9.85+1*2*(0.75+0.5)*9.60+3*2*(1.2+0.3)*9.85+6*2*(1.2+0.3)*9.85+1*2*(1.2+0.3)*9.85+15*2*(1.2+0.3)*9.60</t>
        </is>
      </c>
      <c r="E93" s="255">
        <f>5*2*(0.75+0.5)*9.85+1*2*(0.75+0.5)*9.85+2*2*(0.75+0.5)*9.85+1*2*(0.75+0.5)*9.60+3*2*(1.2+0.3)*9.85+6*2*(1.2+0.3)*9.85+1*2*(1.2+0.3)*9.85+15*2*(1.2+0.3)*9.60</f>
        <v>948.4999999999999</v>
      </c>
      <c r="F93" s="254" t="inlineStr">
        <is>
          <t>m2</t>
        </is>
      </c>
      <c r="G93" s="254" t="inlineStr">
        <is>
          <t>Columns GF to 3rd floor; all columns have girth &gt; 300 mm so measured in m2</t>
        </is>
      </c>
    </row>
    <row r="94">
      <c r="A94" s="254" t="inlineStr">
        <is>
          <t>P5</t>
        </is>
      </c>
      <c r="B94" s="254" t="inlineStr">
        <is>
          <t>ARCH J</t>
        </is>
      </c>
      <c r="C94" s="254" t="inlineStr">
        <is>
          <t>Plasterboard ceiling soffits - habitable rooms, corridors, lobbies (excl. parking)</t>
        </is>
      </c>
      <c r="D94" s="254" t="inlineStr">
        <is>
          <t>'=4573.9+357.4+2219.9-22.2-20.0</t>
        </is>
      </c>
      <c r="E94" s="255">
        <f>4573.9+357.4+2219.9-22.2-20.0</f>
        <v>7108.999999999999</v>
      </c>
      <c r="F94" s="254" t="inlineStr">
        <is>
          <t>m2</t>
        </is>
      </c>
      <c r="G94" s="254" t="inlineStr">
        <is>
          <t>Excludes 1st/Mezz parking-level tiled lobbies (est. 42 m2)</t>
        </is>
      </c>
    </row>
    <row r="95">
      <c r="A95" s="254" t="inlineStr">
        <is>
          <t>P6</t>
        </is>
      </c>
      <c r="B95" s="254" t="inlineStr">
        <is>
          <t>ARCH K</t>
        </is>
      </c>
      <c r="C95" s="254" t="inlineStr">
        <is>
          <t>Plasterboard ceiling soffits - washrooms</t>
        </is>
      </c>
      <c r="D95" s="254" t="inlineStr">
        <is>
          <t>'=493.0</t>
        </is>
      </c>
      <c r="E95" s="255">
        <f>493.0</f>
        <v>493.0</v>
      </c>
      <c r="F95" s="254" t="inlineStr">
        <is>
          <t>m2</t>
        </is>
      </c>
      <c r="G95" s="254" t="inlineStr"/>
    </row>
    <row r="96">
      <c r="A96" s="254" t="inlineStr">
        <is>
          <t>P7</t>
        </is>
      </c>
      <c r="B96" s="254" t="inlineStr">
        <is>
          <t>ARCH L</t>
        </is>
      </c>
      <c r="C96" s="254" t="inlineStr">
        <is>
          <t>Gloss paint to timber doors (D3, D4, D6, FD1 both faces) and frames (girth 0.25m)</t>
        </is>
      </c>
      <c r="D96" s="254" t="inlineStr">
        <is>
          <t>'=126*0.9*2.2*2+1*0.9*2.35*2+172*0.75*2.2*2+7*1.5*2.2*2+(126*(2*2.2+0.9)+1*(2*2.35+0.9)+172*(2*2.2+0.75)+7*(2*2.2+1.5))*0.25</t>
        </is>
      </c>
      <c r="E96" s="255">
        <f>126*0.9*2.2*2+1*0.9*2.35*2+172*0.75*2.2*2+7*1.5*2.2*2+(126*(2*2.2+0.9)+1*(2*2.35+0.9)+172*(2*2.2+0.75)+7*(2*2.2+1.5))*0.25</f>
        <v>1517.1150000000002</v>
      </c>
      <c r="F96" s="254" t="inlineStr">
        <is>
          <t>m2</t>
        </is>
      </c>
      <c r="G96" s="254" t="inlineStr">
        <is>
          <t>Door schedule ARCH-501</t>
        </is>
      </c>
    </row>
    <row r="97">
      <c r="A97" s="254" t="inlineStr">
        <is>
          <t>P8</t>
        </is>
      </c>
      <c r="B97" s="254" t="inlineStr">
        <is>
          <t>ARCH M</t>
        </is>
      </c>
      <c r="C97" s="254" t="inlineStr">
        <is>
          <t>Primer/paint to burglar-proof bars over window openings</t>
        </is>
      </c>
      <c r="D97" s="254" t="inlineStr">
        <is>
          <t>'=E69</t>
        </is>
      </c>
      <c r="E97" s="255">
        <f>E69</f>
        <v>809.4000000000001</v>
      </c>
      <c r="F97" s="254" t="inlineStr">
        <is>
          <t>m2</t>
        </is>
      </c>
      <c r="G97" s="254" t="inlineStr">
        <is>
          <t>Measured as area of window openings (all windows) - confirm extent with client (BOQ item D says GF only)</t>
        </is>
      </c>
    </row>
    <row r="98">
      <c r="A98" s="253" t="inlineStr">
        <is>
          <t>I. DOORS, IRONMONGERY, WINDOWS (schedules ARCH-501/502)</t>
        </is>
      </c>
    </row>
    <row r="99">
      <c r="A99" s="254" t="inlineStr">
        <is>
          <t>J1</t>
        </is>
      </c>
      <c r="B99" s="254" t="inlineStr">
        <is>
          <t>ARCH G (doors)</t>
        </is>
      </c>
      <c r="C99" s="254" t="inlineStr">
        <is>
          <t>50x150 frames to timber doors (D3,D4,D6,FD1): 2 jambs + head</t>
        </is>
      </c>
      <c r="D99" s="254" t="inlineStr">
        <is>
          <t>'=126*(2*2.2+0.9)+1*(2*2.35+0.9)+172*(2*2.2+0.75)+7*(2*2.2+1.5)</t>
        </is>
      </c>
      <c r="E99" s="255">
        <f>126*(2*2.2+0.9)+1*(2*2.35+0.9)+172*(2*2.2+0.75)+7*(2*2.2+1.5)</f>
        <v>1600.5000000000002</v>
      </c>
      <c r="F99" s="254" t="inlineStr">
        <is>
          <t>m</t>
        </is>
      </c>
      <c r="G99" s="254" t="inlineStr"/>
    </row>
    <row r="100">
      <c r="A100" s="254" t="inlineStr">
        <is>
          <t>J2</t>
        </is>
      </c>
      <c r="B100" s="254" t="inlineStr">
        <is>
          <t>ARCH H (doors)</t>
        </is>
      </c>
      <c r="C100" s="254" t="inlineStr">
        <is>
          <t>50x12 door stops (same as frames)</t>
        </is>
      </c>
      <c r="D100" s="254" t="inlineStr">
        <is>
          <t>'=126*(2*2.2+0.9)+1*(2*2.35+0.9)+172*(2*2.2+0.75)+7*(2*2.2+1.5)</t>
        </is>
      </c>
      <c r="E100" s="255">
        <f>126*(2*2.2+0.9)+1*(2*2.35+0.9)+172*(2*2.2+0.75)+7*(2*2.2+1.5)</f>
        <v>1600.5000000000002</v>
      </c>
      <c r="F100" s="254" t="inlineStr">
        <is>
          <t>m</t>
        </is>
      </c>
      <c r="G100" s="254" t="inlineStr"/>
    </row>
    <row r="101">
      <c r="A101" s="254" t="inlineStr">
        <is>
          <t>J3</t>
        </is>
      </c>
      <c r="B101" s="254" t="inlineStr">
        <is>
          <t>ARCH A (ironm.)</t>
        </is>
      </c>
      <c r="C101" s="254" t="inlineStr">
        <is>
          <t>Pairs 100mm brass butt hinges: 1.5 pairs per timber leaf (299 leaves)</t>
        </is>
      </c>
      <c r="D101" s="254" t="inlineStr">
        <is>
          <t>'=ROUNDUP(1.5*(126+1+172),0)</t>
        </is>
      </c>
      <c r="E101" s="255">
        <f>ROUNDUP(1.5*(126+1+172),0)</f>
        <v>449.0</v>
      </c>
      <c r="F101" s="254" t="inlineStr">
        <is>
          <t>pr</t>
        </is>
      </c>
      <c r="G101" s="254" t="inlineStr">
        <is>
          <t>Steel doors are supplied as assemblies with hinges</t>
        </is>
      </c>
    </row>
    <row r="102">
      <c r="A102" s="254" t="inlineStr">
        <is>
          <t>J4</t>
        </is>
      </c>
      <c r="B102" s="254" t="inlineStr">
        <is>
          <t>ARCH B (ironm.)</t>
        </is>
      </c>
      <c r="C102" s="254" t="inlineStr">
        <is>
          <t>Ordinary mortice locks - timber panel doors D3 &amp; D4</t>
        </is>
      </c>
      <c r="D102" s="254" t="inlineStr">
        <is>
          <t>'=126+1</t>
        </is>
      </c>
      <c r="E102" s="255">
        <f>126+1</f>
        <v>127.0</v>
      </c>
      <c r="F102" s="254" t="inlineStr">
        <is>
          <t>nr</t>
        </is>
      </c>
      <c r="G102" s="254" t="inlineStr"/>
    </row>
    <row r="103">
      <c r="A103" s="254" t="inlineStr">
        <is>
          <t>J5</t>
        </is>
      </c>
      <c r="B103" s="254" t="inlineStr">
        <is>
          <t>ARCH C (ironm.)</t>
        </is>
      </c>
      <c r="C103" s="254" t="inlineStr">
        <is>
          <t>Mortice indicator (bathroom) locks - washroom flush doors D6</t>
        </is>
      </c>
      <c r="D103" s="254" t="inlineStr">
        <is>
          <t>'=172</t>
        </is>
      </c>
      <c r="E103" s="255">
        <f>172</f>
        <v>172.0</v>
      </c>
      <c r="F103" s="254" t="inlineStr">
        <is>
          <t>nr</t>
        </is>
      </c>
      <c r="G103" s="254" t="inlineStr"/>
    </row>
    <row r="104">
      <c r="A104" s="253" t="inlineStr">
        <is>
          <t>J. WATERPROOFING &amp; LIFTS</t>
        </is>
      </c>
    </row>
    <row r="105">
      <c r="A105" s="254" t="inlineStr">
        <is>
          <t>K1</t>
        </is>
      </c>
      <c r="B105" s="254" t="inlineStr">
        <is>
          <t>ARCH A (wp)</t>
        </is>
      </c>
      <c r="C105" s="254" t="inlineStr">
        <is>
          <t>Liquid waterproofing: roof-top outdoor sitting 412.1 + 9th-floor play area 337.4 + roof slab 176.3 + lift-core top 16.3</t>
        </is>
      </c>
      <c r="D105" s="254" t="inlineStr">
        <is>
          <t>'=412.1+337.4+176.3+16.3</t>
        </is>
      </c>
      <c r="E105" s="255">
        <f>412.1+337.4+176.3+16.3</f>
        <v>942.0999999999999</v>
      </c>
      <c r="F105" s="254" t="inlineStr">
        <is>
          <t>m2</t>
        </is>
      </c>
      <c r="G105" s="254" t="inlineStr">
        <is>
          <t>Floor terraces within units excluded (covered) - confirm</t>
        </is>
      </c>
    </row>
    <row r="106">
      <c r="A106" s="254" t="inlineStr">
        <is>
          <t>K2</t>
        </is>
      </c>
      <c r="B106" s="254" t="inlineStr">
        <is>
          <t>ARCH B (wp)</t>
        </is>
      </c>
      <c r="C106" s="254" t="inlineStr">
        <is>
          <t>Protective screed over waterproofing</t>
        </is>
      </c>
      <c r="D106" s="254" t="inlineStr">
        <is>
          <t>'=412.1+337.4+176.3+16.3</t>
        </is>
      </c>
      <c r="E106" s="255">
        <f>412.1+337.4+176.3+16.3</f>
        <v>942.0999999999999</v>
      </c>
      <c r="F106" s="254" t="inlineStr">
        <is>
          <t>m2</t>
        </is>
      </c>
      <c r="G106" s="254" t="inlineStr"/>
    </row>
    <row r="107">
      <c r="A107" s="254" t="inlineStr">
        <is>
          <t>K3</t>
        </is>
      </c>
      <c r="B107" s="254" t="inlineStr">
        <is>
          <t>ARCH C (wp)</t>
        </is>
      </c>
      <c r="C107" s="254" t="inlineStr">
        <is>
          <t>Flashings/upstands at parapets: roof terrace 182.5 + roof 105.0 + lift core 17.3</t>
        </is>
      </c>
      <c r="D107" s="254" t="inlineStr">
        <is>
          <t>'=182.5+105.0+17.3</t>
        </is>
      </c>
      <c r="E107" s="255">
        <f>182.5+105.0+17.3</f>
        <v>304.8</v>
      </c>
      <c r="F107" s="254" t="inlineStr">
        <is>
          <t>m</t>
        </is>
      </c>
      <c r="G107" s="254" t="inlineStr"/>
    </row>
    <row r="108">
      <c r="A108" s="254" t="inlineStr">
        <is>
          <t>K4</t>
        </is>
      </c>
      <c r="B108" s="254" t="inlineStr">
        <is>
          <t>ARCH D (wp)</t>
        </is>
      </c>
      <c r="C108" s="254" t="inlineStr">
        <is>
          <t>Perimeter gutters/drainage channels (same perimeters)</t>
        </is>
      </c>
      <c r="D108" s="254" t="inlineStr">
        <is>
          <t>'=182.5+105.0+17.3</t>
        </is>
      </c>
      <c r="E108" s="255">
        <f>182.5+105.0+17.3</f>
        <v>304.8</v>
      </c>
      <c r="F108" s="254" t="inlineStr">
        <is>
          <t>m</t>
        </is>
      </c>
      <c r="G108" s="254" t="inlineStr">
        <is>
          <t>No roof drainage layout on drawings - RFI</t>
        </is>
      </c>
    </row>
    <row r="109">
      <c r="A109" s="254" t="inlineStr">
        <is>
          <t>K5</t>
        </is>
      </c>
      <c r="B109" s="254" t="inlineStr">
        <is>
          <t>ARCH E (lifts)</t>
        </is>
      </c>
      <c r="C109" s="254" t="inlineStr">
        <is>
          <t>Passenger lifts (LIFT 1, LIFT 2 on plans)</t>
        </is>
      </c>
      <c r="D109" s="254" t="inlineStr">
        <is>
          <t>'=2</t>
        </is>
      </c>
      <c r="E109" s="255">
        <f>2</f>
        <v>2.0</v>
      </c>
      <c r="F109" s="254" t="inlineStr">
        <is>
          <t>nr</t>
        </is>
      </c>
      <c r="G109" s="254" t="inlineStr"/>
    </row>
    <row r="110">
      <c r="A110" s="254" t="inlineStr">
        <is>
          <t>K6</t>
        </is>
      </c>
      <c r="B110" s="254" t="inlineStr">
        <is>
          <t>ARCH F (lifts)</t>
        </is>
      </c>
      <c r="C110" s="254" t="inlineStr">
        <is>
          <t>Service/goods lift</t>
        </is>
      </c>
      <c r="D110" s="254" t="inlineStr">
        <is>
          <t>'=0</t>
        </is>
      </c>
      <c r="E110" s="255">
        <f>0</f>
        <v>0.0</v>
      </c>
      <c r="F110" s="254" t="inlineStr">
        <is>
          <t>nr</t>
        </is>
      </c>
      <c r="G110" s="254" t="inlineStr">
        <is>
          <t>Not shown on any plan - only 2 lift shafts in core. RFI</t>
        </is>
      </c>
    </row>
    <row r="111">
      <c r="A111" s="254" t="inlineStr">
        <is>
          <t>DOOR87</t>
        </is>
      </c>
      <c r="B111" s="254" t="inlineStr">
        <is>
          <t>ARCH doors row 87</t>
        </is>
      </c>
      <c r="C111" s="254" t="inlineStr">
        <is>
          <t>Door per schedule ARCH-501: Ditto 1800mm X  2400mm Glazed entrance door assembly security door</t>
        </is>
      </c>
      <c r="D111" s="254" t="inlineStr">
        <is>
          <t>'=1</t>
        </is>
      </c>
      <c r="E111" s="255">
        <f>1</f>
        <v>1.0</v>
      </c>
      <c r="F111" s="254" t="inlineStr">
        <is>
          <t>nr</t>
        </is>
      </c>
      <c r="G111" s="254" t="inlineStr">
        <is>
          <t>Schedule quantity (doors are not tagged on plans)</t>
        </is>
      </c>
    </row>
    <row r="112">
      <c r="A112" s="254" t="inlineStr">
        <is>
          <t>DOOR89</t>
        </is>
      </c>
      <c r="B112" s="254" t="inlineStr">
        <is>
          <t>ARCH doors row 89</t>
        </is>
      </c>
      <c r="C112" s="254" t="inlineStr">
        <is>
          <t>Door per schedule ARCH-501: Ditto 1000mm X  2200mm (D3)</t>
        </is>
      </c>
      <c r="D112" s="254" t="inlineStr">
        <is>
          <t>'=59</t>
        </is>
      </c>
      <c r="E112" s="255">
        <f>59</f>
        <v>59.0</v>
      </c>
      <c r="F112" s="254" t="inlineStr">
        <is>
          <t>nr</t>
        </is>
      </c>
      <c r="G112" s="254" t="inlineStr">
        <is>
          <t>Schedule quantity (doors are not tagged on plans)</t>
        </is>
      </c>
    </row>
    <row r="113">
      <c r="A113" s="254" t="inlineStr">
        <is>
          <t>DOOR91</t>
        </is>
      </c>
      <c r="B113" s="254" t="inlineStr">
        <is>
          <t>ARCH doors row 91</t>
        </is>
      </c>
      <c r="C113" s="254" t="inlineStr">
        <is>
          <t>Door per schedule ARCH-501: 900mm X 2200mm single leaf timber panel door</t>
        </is>
      </c>
      <c r="D113" s="254" t="inlineStr">
        <is>
          <t>'=126</t>
        </is>
      </c>
      <c r="E113" s="255">
        <f>126</f>
        <v>126.0</v>
      </c>
      <c r="F113" s="254" t="inlineStr">
        <is>
          <t>nr</t>
        </is>
      </c>
      <c r="G113" s="254" t="inlineStr">
        <is>
          <t>Schedule quantity (doors are not tagged on plans)</t>
        </is>
      </c>
    </row>
    <row r="114">
      <c r="A114" s="254" t="inlineStr">
        <is>
          <t>DOOR93</t>
        </is>
      </c>
      <c r="B114" s="254" t="inlineStr">
        <is>
          <t>ARCH doors row 93</t>
        </is>
      </c>
      <c r="C114" s="254" t="inlineStr">
        <is>
          <t>Door per schedule ARCH-501: Ditto 900mm X 2350mm flush door with fanlight</t>
        </is>
      </c>
      <c r="D114" s="254" t="inlineStr">
        <is>
          <t>'=1</t>
        </is>
      </c>
      <c r="E114" s="255">
        <f>1</f>
        <v>1.0</v>
      </c>
      <c r="F114" s="254" t="inlineStr">
        <is>
          <t>nr</t>
        </is>
      </c>
      <c r="G114" s="254" t="inlineStr">
        <is>
          <t>Schedule quantity (doors are not tagged on plans)</t>
        </is>
      </c>
    </row>
    <row r="115">
      <c r="A115" s="254" t="inlineStr">
        <is>
          <t>DOOR95</t>
        </is>
      </c>
      <c r="B115" s="254" t="inlineStr">
        <is>
          <t>ARCH doors row 95</t>
        </is>
      </c>
      <c r="C115" s="254" t="inlineStr">
        <is>
          <t xml:space="preserve">Door per schedule ARCH-501: Ditto 3200mm X 2200mm flush door 4 Panel Galvanized steel framed tempered glass </t>
        </is>
      </c>
      <c r="D115" s="254" t="inlineStr">
        <is>
          <t>'=1</t>
        </is>
      </c>
      <c r="E115" s="255">
        <f>1</f>
        <v>1.0</v>
      </c>
      <c r="F115" s="254" t="inlineStr">
        <is>
          <t>nr</t>
        </is>
      </c>
      <c r="G115" s="254" t="inlineStr">
        <is>
          <t>Schedule quantity (doors are not tagged on plans)</t>
        </is>
      </c>
    </row>
    <row r="116">
      <c r="A116" s="254" t="inlineStr">
        <is>
          <t>DOOR97</t>
        </is>
      </c>
      <c r="B116" s="254" t="inlineStr">
        <is>
          <t>ARCH doors row 97</t>
        </is>
      </c>
      <c r="C116" s="254" t="inlineStr">
        <is>
          <t>Door per schedule ARCH-501: Ditto 750mm X 2200mm flush door</t>
        </is>
      </c>
      <c r="D116" s="254" t="inlineStr">
        <is>
          <t>'=172</t>
        </is>
      </c>
      <c r="E116" s="255">
        <f>172</f>
        <v>172.0</v>
      </c>
      <c r="F116" s="254" t="inlineStr">
        <is>
          <t>nr</t>
        </is>
      </c>
      <c r="G116" s="254" t="inlineStr">
        <is>
          <t>Schedule quantity (doors are not tagged on plans)</t>
        </is>
      </c>
    </row>
    <row r="117">
      <c r="A117" s="254" t="inlineStr">
        <is>
          <t>DOOR103</t>
        </is>
      </c>
      <c r="B117" s="254" t="inlineStr">
        <is>
          <t>ARCH doors row 103</t>
        </is>
      </c>
      <c r="C117" s="254" t="inlineStr">
        <is>
          <t>Door per schedule ARCH-501: Single door 700 x 2200 security door single leaf</t>
        </is>
      </c>
      <c r="D117" s="254" t="inlineStr">
        <is>
          <t>'=12</t>
        </is>
      </c>
      <c r="E117" s="255">
        <f>12</f>
        <v>12.0</v>
      </c>
      <c r="F117" s="254" t="inlineStr">
        <is>
          <t>nr</t>
        </is>
      </c>
      <c r="G117" s="254" t="inlineStr">
        <is>
          <t>Schedule quantity (doors are not tagged on plans)</t>
        </is>
      </c>
    </row>
    <row r="118">
      <c r="A118" s="254" t="inlineStr">
        <is>
          <t>DOOR105</t>
        </is>
      </c>
      <c r="B118" s="254" t="inlineStr">
        <is>
          <t>ARCH doors row 105</t>
        </is>
      </c>
      <c r="C118" s="254" t="inlineStr">
        <is>
          <t>Door per schedule ARCH-501: Single door 1200 x 2200 security door single leaf</t>
        </is>
      </c>
      <c r="D118" s="254" t="inlineStr">
        <is>
          <t>'=21</t>
        </is>
      </c>
      <c r="E118" s="255">
        <f>21</f>
        <v>21.0</v>
      </c>
      <c r="F118" s="254" t="inlineStr">
        <is>
          <t>nr</t>
        </is>
      </c>
      <c r="G118" s="254" t="inlineStr">
        <is>
          <t>Schedule quantity (doors are not tagged on plans)</t>
        </is>
      </c>
    </row>
    <row r="119">
      <c r="A119" s="254" t="inlineStr">
        <is>
          <t>DOOR107</t>
        </is>
      </c>
      <c r="B119" s="254" t="inlineStr">
        <is>
          <t>ARCH doors row 107</t>
        </is>
      </c>
      <c r="C119" s="254" t="inlineStr">
        <is>
          <t xml:space="preserve">Door per schedule ARCH-501: Single door 1000 x 2200 security door one and half </t>
        </is>
      </c>
      <c r="D119" s="254" t="inlineStr">
        <is>
          <t>'=36</t>
        </is>
      </c>
      <c r="E119" s="255">
        <f>36</f>
        <v>36.0</v>
      </c>
      <c r="F119" s="254" t="inlineStr">
        <is>
          <t>nr</t>
        </is>
      </c>
      <c r="G119" s="254" t="inlineStr">
        <is>
          <t>Schedule quantity (doors are not tagged on plans)</t>
        </is>
      </c>
    </row>
    <row r="120">
      <c r="A120" s="254" t="inlineStr">
        <is>
          <t>DOOR109</t>
        </is>
      </c>
      <c r="B120" s="254" t="inlineStr">
        <is>
          <t>ARCH doors row 109</t>
        </is>
      </c>
      <c r="C120" s="254" t="inlineStr">
        <is>
          <t>Door per schedule ARCH-501: Single door 1000 x 2200 security door single leaf translucent glass panel</t>
        </is>
      </c>
      <c r="D120" s="254" t="inlineStr">
        <is>
          <t>'=20</t>
        </is>
      </c>
      <c r="E120" s="255">
        <f>20</f>
        <v>20.0</v>
      </c>
      <c r="F120" s="254" t="inlineStr">
        <is>
          <t>nr</t>
        </is>
      </c>
      <c r="G120" s="254" t="inlineStr">
        <is>
          <t>Schedule quantity (doors are not tagged on plans)</t>
        </is>
      </c>
    </row>
    <row r="121">
      <c r="A121" s="254" t="inlineStr">
        <is>
          <t>DOOR111</t>
        </is>
      </c>
      <c r="B121" s="254" t="inlineStr">
        <is>
          <t>ARCH doors row 111</t>
        </is>
      </c>
      <c r="C121" s="254" t="inlineStr">
        <is>
          <t>Door per schedule ARCH-501: 900mm X 2200 security door galvanised steel</t>
        </is>
      </c>
      <c r="D121" s="254" t="inlineStr">
        <is>
          <t>'=13</t>
        </is>
      </c>
      <c r="E121" s="255">
        <f>13</f>
        <v>13.0</v>
      </c>
      <c r="F121" s="254" t="inlineStr">
        <is>
          <t>nr</t>
        </is>
      </c>
      <c r="G121" s="254" t="inlineStr">
        <is>
          <t>Schedule quantity (doors are not tagged on plans)</t>
        </is>
      </c>
    </row>
    <row r="122">
      <c r="A122" s="254" t="inlineStr">
        <is>
          <t>DOOR113</t>
        </is>
      </c>
      <c r="B122" s="254" t="inlineStr">
        <is>
          <t>ARCH doors row 113</t>
        </is>
      </c>
      <c r="C122" s="254" t="inlineStr">
        <is>
          <t>Door per schedule ARCH-501: 1800mm X 2200mm double leaf galvanized steel</t>
        </is>
      </c>
      <c r="D122" s="254" t="inlineStr">
        <is>
          <t>'=3</t>
        </is>
      </c>
      <c r="E122" s="255">
        <f>3</f>
        <v>3.0</v>
      </c>
      <c r="F122" s="254" t="inlineStr">
        <is>
          <t>nr</t>
        </is>
      </c>
      <c r="G122" s="254" t="inlineStr">
        <is>
          <t>Schedule quantity (doors are not tagged on plans)</t>
        </is>
      </c>
    </row>
    <row r="123">
      <c r="A123" s="254" t="inlineStr">
        <is>
          <t>DOOR115</t>
        </is>
      </c>
      <c r="B123" s="254" t="inlineStr">
        <is>
          <t>ARCH doors row 115</t>
        </is>
      </c>
      <c r="C123" s="254" t="inlineStr">
        <is>
          <t>Door per schedule ARCH-501: 1500mm X 2200mm Timber Bi-Fold Door</t>
        </is>
      </c>
      <c r="D123" s="254" t="inlineStr">
        <is>
          <t>'=7</t>
        </is>
      </c>
      <c r="E123" s="255">
        <f>7</f>
        <v>7.0</v>
      </c>
      <c r="F123" s="254" t="inlineStr">
        <is>
          <t>nr</t>
        </is>
      </c>
      <c r="G123" s="254" t="inlineStr">
        <is>
          <t>Schedule quantity (doors are not tagged on plans)</t>
        </is>
      </c>
    </row>
    <row r="124">
      <c r="A124" s="254" t="inlineStr">
        <is>
          <t>DOOR117</t>
        </is>
      </c>
      <c r="B124" s="254" t="inlineStr">
        <is>
          <t>ARCH doors row 117</t>
        </is>
      </c>
      <c r="C124" s="254" t="inlineStr">
        <is>
          <t xml:space="preserve">Door per schedule ARCH-501: 900mm X 2200mm Screw fixed galvanized steel service access panel </t>
        </is>
      </c>
      <c r="D124" s="254" t="inlineStr">
        <is>
          <t>'=18</t>
        </is>
      </c>
      <c r="E124" s="255">
        <f>18</f>
        <v>18.0</v>
      </c>
      <c r="F124" s="254" t="inlineStr">
        <is>
          <t>nr</t>
        </is>
      </c>
      <c r="G124" s="254" t="inlineStr">
        <is>
          <t>Schedule quantity (doors are not tagged on plans)</t>
        </is>
      </c>
    </row>
    <row r="125">
      <c r="A125" s="254" t="inlineStr">
        <is>
          <t>DOOR119</t>
        </is>
      </c>
      <c r="B125" s="254" t="inlineStr">
        <is>
          <t>ARCH doors row 119</t>
        </is>
      </c>
      <c r="C125" s="254" t="inlineStr">
        <is>
          <t>Door per schedule ARCH-501: 750mm  X 2200mm Screw fixed galvanized steel service</t>
        </is>
      </c>
      <c r="D125" s="254" t="inlineStr">
        <is>
          <t>'=36</t>
        </is>
      </c>
      <c r="E125" s="255">
        <f>36</f>
        <v>36.0</v>
      </c>
      <c r="F125" s="254" t="inlineStr">
        <is>
          <t>nr</t>
        </is>
      </c>
      <c r="G125" s="254" t="inlineStr">
        <is>
          <t>Schedule quantity (doors are not tagged on plans)</t>
        </is>
      </c>
    </row>
    <row r="126">
      <c r="A126" s="254" t="inlineStr">
        <is>
          <t>DOOR121</t>
        </is>
      </c>
      <c r="B126" s="254" t="inlineStr">
        <is>
          <t>ARCH doors row 121</t>
        </is>
      </c>
      <c r="C126" s="254" t="inlineStr">
        <is>
          <t>Door per schedule ARCH-501: 450mm  X 2200mm Screw fixed galvanized steel service</t>
        </is>
      </c>
      <c r="D126" s="254" t="inlineStr">
        <is>
          <t>'=8</t>
        </is>
      </c>
      <c r="E126" s="255">
        <f>8</f>
        <v>8.0</v>
      </c>
      <c r="F126" s="254" t="inlineStr">
        <is>
          <t>nr</t>
        </is>
      </c>
      <c r="G126" s="254" t="inlineStr">
        <is>
          <t>Schedule quantity (doors are not tagged on plans)</t>
        </is>
      </c>
    </row>
    <row r="127">
      <c r="A127" s="254" t="inlineStr">
        <is>
          <t>DOOR123</t>
        </is>
      </c>
      <c r="B127" s="254" t="inlineStr">
        <is>
          <t>ARCH doors row 123</t>
        </is>
      </c>
      <c r="C127" s="254" t="inlineStr">
        <is>
          <t>Door per schedule ARCH-501: 600mm  X 2200mm Screw fixed galvanized steel service</t>
        </is>
      </c>
      <c r="D127" s="254" t="inlineStr">
        <is>
          <t>'=24</t>
        </is>
      </c>
      <c r="E127" s="255">
        <f>24</f>
        <v>24.0</v>
      </c>
      <c r="F127" s="254" t="inlineStr">
        <is>
          <t>nr</t>
        </is>
      </c>
      <c r="G127" s="254" t="inlineStr">
        <is>
          <t>Schedule quantity (doors are not tagged on plans)</t>
        </is>
      </c>
    </row>
    <row r="128">
      <c r="A128" s="254" t="inlineStr">
        <is>
          <t>DOOR125</t>
        </is>
      </c>
      <c r="B128" s="254" t="inlineStr">
        <is>
          <t>ARCH doors row 125</t>
        </is>
      </c>
      <c r="C128" s="254" t="inlineStr">
        <is>
          <t xml:space="preserve">Door per schedule ARCH-501: 1800mm X 2200mm Double leaf Double swing galvanixed steel framed tempered glass </t>
        </is>
      </c>
      <c r="D128" s="254" t="inlineStr">
        <is>
          <t>'=2</t>
        </is>
      </c>
      <c r="E128" s="255">
        <f>2</f>
        <v>2.0</v>
      </c>
      <c r="F128" s="254" t="inlineStr">
        <is>
          <t>nr</t>
        </is>
      </c>
      <c r="G128" s="254" t="inlineStr">
        <is>
          <t>Schedule quantity (doors are not tagged on plans)</t>
        </is>
      </c>
    </row>
    <row r="129">
      <c r="A129" s="254" t="inlineStr">
        <is>
          <t>DOOR127</t>
        </is>
      </c>
      <c r="B129" s="254" t="inlineStr">
        <is>
          <t>ARCH doors row 127</t>
        </is>
      </c>
      <c r="C129" s="254" t="inlineStr">
        <is>
          <t xml:space="preserve">Door per schedule ARCH-501: 2400mm X 2200mm Double leaf Double swing galvanixed steel framed tempered glass </t>
        </is>
      </c>
      <c r="D129" s="254" t="inlineStr">
        <is>
          <t>'=2</t>
        </is>
      </c>
      <c r="E129" s="255">
        <f>2</f>
        <v>2.0</v>
      </c>
      <c r="F129" s="254" t="inlineStr">
        <is>
          <t>nr</t>
        </is>
      </c>
      <c r="G129" s="254" t="inlineStr">
        <is>
          <t>Schedule quantity (doors are not tagged on plans)</t>
        </is>
      </c>
    </row>
    <row r="130">
      <c r="A130" s="254" t="inlineStr">
        <is>
          <t>DOOR129</t>
        </is>
      </c>
      <c r="B130" s="254" t="inlineStr">
        <is>
          <t>ARCH doors row 129</t>
        </is>
      </c>
      <c r="C130" s="254" t="inlineStr">
        <is>
          <t xml:space="preserve">Door per schedule ARCH-501: 5050mm X 2200mm Double leaf Double swing galvanixed steel framed tempered glass </t>
        </is>
      </c>
      <c r="D130" s="254" t="inlineStr">
        <is>
          <t>'=1</t>
        </is>
      </c>
      <c r="E130" s="255">
        <f>1</f>
        <v>1.0</v>
      </c>
      <c r="F130" s="254" t="inlineStr">
        <is>
          <t>nr</t>
        </is>
      </c>
      <c r="G130" s="254" t="inlineStr">
        <is>
          <t>Schedule quantity (doors are not tagged on plans)</t>
        </is>
      </c>
    </row>
    <row r="131">
      <c r="A131" s="254" t="inlineStr">
        <is>
          <t>DOOR131</t>
        </is>
      </c>
      <c r="B131" s="254" t="inlineStr">
        <is>
          <t>ARCH doors row 131</t>
        </is>
      </c>
      <c r="C131" s="254" t="inlineStr">
        <is>
          <t>Door per schedule ARCH-501: 3000mm X 2200 3 panel galvanised steel framed tempered glass sliding door</t>
        </is>
      </c>
      <c r="D131" s="254" t="inlineStr">
        <is>
          <t>'=8</t>
        </is>
      </c>
      <c r="E131" s="255">
        <f>8</f>
        <v>8.0</v>
      </c>
      <c r="F131" s="254" t="inlineStr">
        <is>
          <t>nr</t>
        </is>
      </c>
      <c r="G131" s="254" t="inlineStr">
        <is>
          <t>Schedule quantity (doors are not tagged on plans)</t>
        </is>
      </c>
    </row>
    <row r="132">
      <c r="A132" s="254" t="inlineStr">
        <is>
          <t>DOOR133</t>
        </is>
      </c>
      <c r="B132" s="254" t="inlineStr">
        <is>
          <t>ARCH doors row 133</t>
        </is>
      </c>
      <c r="C132" s="254" t="inlineStr">
        <is>
          <t>Door per schedule ARCH-501: 1600mm X 2200mm 2 panel galvanized steel framed tempered glass sliding door</t>
        </is>
      </c>
      <c r="D132" s="254" t="inlineStr">
        <is>
          <t>'=28</t>
        </is>
      </c>
      <c r="E132" s="255">
        <f>28</f>
        <v>28.0</v>
      </c>
      <c r="F132" s="254" t="inlineStr">
        <is>
          <t>nr</t>
        </is>
      </c>
      <c r="G132" s="254" t="inlineStr">
        <is>
          <t>Schedule quantity (doors are not tagged on plans)</t>
        </is>
      </c>
    </row>
    <row r="133">
      <c r="A133" s="254" t="inlineStr">
        <is>
          <t>DOOR135</t>
        </is>
      </c>
      <c r="B133" s="254" t="inlineStr">
        <is>
          <t>ARCH doors row 135</t>
        </is>
      </c>
      <c r="C133" s="254" t="inlineStr">
        <is>
          <t>Door per schedule ARCH-501: 1300mm X 2200mm 2 panel galvanized steel framed tempered glass sliding door</t>
        </is>
      </c>
      <c r="D133" s="254" t="inlineStr">
        <is>
          <t>'=16</t>
        </is>
      </c>
      <c r="E133" s="255">
        <f>16</f>
        <v>16.0</v>
      </c>
      <c r="F133" s="254" t="inlineStr">
        <is>
          <t>nr</t>
        </is>
      </c>
      <c r="G133" s="254" t="inlineStr">
        <is>
          <t>Schedule quantity (doors are not tagged on plans)</t>
        </is>
      </c>
    </row>
    <row r="134">
      <c r="A134" s="254" t="inlineStr">
        <is>
          <t>DOOR137</t>
        </is>
      </c>
      <c r="B134" s="254" t="inlineStr">
        <is>
          <t>ARCH doors row 137</t>
        </is>
      </c>
      <c r="C134" s="254" t="inlineStr">
        <is>
          <t>Door per schedule ARCH-501: 1800mm X 2200mm 2 panel galvanized steel framed tempered glass sliding door</t>
        </is>
      </c>
      <c r="D134" s="254" t="inlineStr">
        <is>
          <t>'=30</t>
        </is>
      </c>
      <c r="E134" s="255">
        <f>30</f>
        <v>30.0</v>
      </c>
      <c r="F134" s="254" t="inlineStr">
        <is>
          <t>nr</t>
        </is>
      </c>
      <c r="G134" s="254" t="inlineStr">
        <is>
          <t>Schedule quantity (doors are not tagged on plans)</t>
        </is>
      </c>
    </row>
    <row r="135">
      <c r="A135" s="254" t="inlineStr">
        <is>
          <t>DOOR139</t>
        </is>
      </c>
      <c r="B135" s="254" t="inlineStr">
        <is>
          <t>ARCH doors row 139</t>
        </is>
      </c>
      <c r="C135" s="254" t="inlineStr">
        <is>
          <t>Door per schedule ARCH-501: 1200mm X 2200mm 2 panel galvanized steel framed tempered glass sliding door</t>
        </is>
      </c>
      <c r="D135" s="254" t="inlineStr">
        <is>
          <t>'=7</t>
        </is>
      </c>
      <c r="E135" s="255">
        <f>7</f>
        <v>7.0</v>
      </c>
      <c r="F135" s="254" t="inlineStr">
        <is>
          <t>nr</t>
        </is>
      </c>
      <c r="G135" s="254" t="inlineStr">
        <is>
          <t>Schedule quantity (doors are not tagged on plans)</t>
        </is>
      </c>
    </row>
    <row r="136">
      <c r="A136" s="254" t="inlineStr">
        <is>
          <t>DOOR142</t>
        </is>
      </c>
      <c r="B136" s="254" t="inlineStr">
        <is>
          <t>ARCH doors row 142</t>
        </is>
      </c>
      <c r="C136" s="254" t="inlineStr">
        <is>
          <t>Door per schedule ARCH-501: Metal roller shutter door 4200mm X 2157mm</t>
        </is>
      </c>
      <c r="D136" s="254" t="inlineStr">
        <is>
          <t>'=2</t>
        </is>
      </c>
      <c r="E136" s="255">
        <f>2</f>
        <v>2.0</v>
      </c>
      <c r="F136" s="254" t="inlineStr">
        <is>
          <t>nr</t>
        </is>
      </c>
      <c r="G136" s="254" t="inlineStr">
        <is>
          <t>Schedule quantity (doors are not tagged on plans)</t>
        </is>
      </c>
    </row>
    <row r="137">
      <c r="A137" s="254" t="inlineStr">
        <is>
          <t>WIN184</t>
        </is>
      </c>
      <c r="B137" s="254" t="inlineStr">
        <is>
          <t>ARCH windows row 184</t>
        </is>
      </c>
      <c r="C137" s="254" t="inlineStr">
        <is>
          <t>Window per schedule ARCH-502: 4 x 2 bay alu. Framed glass awning window 3600mm x 1900mm</t>
        </is>
      </c>
      <c r="D137" s="254" t="inlineStr">
        <is>
          <t>'=1</t>
        </is>
      </c>
      <c r="E137" s="255">
        <f>1</f>
        <v>1.0</v>
      </c>
      <c r="F137" s="254" t="inlineStr">
        <is>
          <t>nr</t>
        </is>
      </c>
      <c r="G137" s="254" t="inlineStr">
        <is>
          <t>Schedule quantity</t>
        </is>
      </c>
    </row>
    <row r="138">
      <c r="A138" s="254" t="inlineStr">
        <is>
          <t>WIN186</t>
        </is>
      </c>
      <c r="B138" s="254" t="inlineStr">
        <is>
          <t>ARCH windows row 186</t>
        </is>
      </c>
      <c r="C138" s="254" t="inlineStr">
        <is>
          <t>Window per schedule ARCH-502: 2 bay alu. Framed glass sliding window 1800mm x 1300mm</t>
        </is>
      </c>
      <c r="D138" s="254" t="inlineStr">
        <is>
          <t>'=44</t>
        </is>
      </c>
      <c r="E138" s="255">
        <f>44</f>
        <v>44.0</v>
      </c>
      <c r="F138" s="254" t="inlineStr">
        <is>
          <t>nr</t>
        </is>
      </c>
      <c r="G138" s="254" t="inlineStr">
        <is>
          <t>Schedule quantity</t>
        </is>
      </c>
    </row>
    <row r="139">
      <c r="A139" s="254" t="inlineStr">
        <is>
          <t>WIN188</t>
        </is>
      </c>
      <c r="B139" s="254" t="inlineStr">
        <is>
          <t>ARCH windows row 188</t>
        </is>
      </c>
      <c r="C139" s="254" t="inlineStr">
        <is>
          <t>Window per schedule ARCH-502: 2 bay alu. Framed glass sliding window 1800mm x 1500mm</t>
        </is>
      </c>
      <c r="D139" s="254" t="inlineStr">
        <is>
          <t>'=1</t>
        </is>
      </c>
      <c r="E139" s="255">
        <f>1</f>
        <v>1.0</v>
      </c>
      <c r="F139" s="254" t="inlineStr">
        <is>
          <t>nr</t>
        </is>
      </c>
      <c r="G139" s="254" t="inlineStr">
        <is>
          <t>Schedule quantity</t>
        </is>
      </c>
    </row>
    <row r="140">
      <c r="A140" s="254" t="inlineStr">
        <is>
          <t>WIN190</t>
        </is>
      </c>
      <c r="B140" s="254" t="inlineStr">
        <is>
          <t>ARCH windows row 190</t>
        </is>
      </c>
      <c r="C140" s="254" t="inlineStr">
        <is>
          <t>Window per schedule ARCH-502: 1 bay alu. Framed glass awning window 900mm x 1300mm</t>
        </is>
      </c>
      <c r="D140" s="254" t="inlineStr">
        <is>
          <t>'=77</t>
        </is>
      </c>
      <c r="E140" s="255">
        <f>77</f>
        <v>77.0</v>
      </c>
      <c r="F140" s="254" t="inlineStr">
        <is>
          <t>nr</t>
        </is>
      </c>
      <c r="G140" s="254" t="inlineStr">
        <is>
          <t>Schedule quantity</t>
        </is>
      </c>
    </row>
    <row r="141">
      <c r="A141" s="254" t="inlineStr">
        <is>
          <t>WIN192</t>
        </is>
      </c>
      <c r="B141" s="254" t="inlineStr">
        <is>
          <t>ARCH windows row 192</t>
        </is>
      </c>
      <c r="C141" s="254" t="inlineStr">
        <is>
          <t>Window per schedule ARCH-502: 2 bay alu. Framed glass sliding window 1800mm x 1900mm</t>
        </is>
      </c>
      <c r="D141" s="254" t="inlineStr">
        <is>
          <t>'=1</t>
        </is>
      </c>
      <c r="E141" s="255">
        <f>1</f>
        <v>1.0</v>
      </c>
      <c r="F141" s="254" t="inlineStr">
        <is>
          <t>nr</t>
        </is>
      </c>
      <c r="G141" s="254" t="inlineStr">
        <is>
          <t>Schedule quantity</t>
        </is>
      </c>
    </row>
    <row r="142">
      <c r="A142" s="254" t="inlineStr">
        <is>
          <t>WIN194</t>
        </is>
      </c>
      <c r="B142" s="254" t="inlineStr">
        <is>
          <t>ARCH windows row 194</t>
        </is>
      </c>
      <c r="C142" s="254" t="inlineStr">
        <is>
          <t>Window per schedule ARCH-502: L shaped alu. Framed  fixed glass 1750mm x 1750mm x 1500mm</t>
        </is>
      </c>
      <c r="D142" s="254" t="inlineStr">
        <is>
          <t>'=1</t>
        </is>
      </c>
      <c r="E142" s="255">
        <f>1</f>
        <v>1.0</v>
      </c>
      <c r="F142" s="254" t="inlineStr">
        <is>
          <t>nr</t>
        </is>
      </c>
      <c r="G142" s="254" t="inlineStr">
        <is>
          <t>Schedule quantity</t>
        </is>
      </c>
    </row>
    <row r="143">
      <c r="A143" s="254" t="inlineStr">
        <is>
          <t>WIN196</t>
        </is>
      </c>
      <c r="B143" s="254" t="inlineStr">
        <is>
          <t>ARCH windows row 196</t>
        </is>
      </c>
      <c r="C143" s="254" t="inlineStr">
        <is>
          <t>Window per schedule ARCH-502: 2 bay alu. Framed glass sliding window 1800mm x 1600mm</t>
        </is>
      </c>
      <c r="D143" s="254" t="inlineStr">
        <is>
          <t>'=12</t>
        </is>
      </c>
      <c r="E143" s="255">
        <f>12</f>
        <v>12.0</v>
      </c>
      <c r="F143" s="254" t="inlineStr">
        <is>
          <t>nr</t>
        </is>
      </c>
      <c r="G143" s="254" t="inlineStr">
        <is>
          <t>Schedule quantity</t>
        </is>
      </c>
    </row>
    <row r="144">
      <c r="A144" s="254" t="inlineStr">
        <is>
          <t>WIN198</t>
        </is>
      </c>
      <c r="B144" s="254" t="inlineStr">
        <is>
          <t>ARCH windows row 198</t>
        </is>
      </c>
      <c r="C144" s="254" t="inlineStr">
        <is>
          <t>Window per schedule ARCH-502: 1 x 3 bay alu. Framed glass awning window 1200mm x 1900</t>
        </is>
      </c>
      <c r="D144" s="254" t="inlineStr">
        <is>
          <t>'=22</t>
        </is>
      </c>
      <c r="E144" s="255">
        <f>22</f>
        <v>22.0</v>
      </c>
      <c r="F144" s="254" t="inlineStr">
        <is>
          <t>nr</t>
        </is>
      </c>
      <c r="G144" s="254" t="inlineStr">
        <is>
          <t>Schedule quantity</t>
        </is>
      </c>
    </row>
    <row r="145">
      <c r="A145" s="254" t="inlineStr">
        <is>
          <t>WIN200</t>
        </is>
      </c>
      <c r="B145" s="254" t="inlineStr">
        <is>
          <t>ARCH windows row 200</t>
        </is>
      </c>
      <c r="C145" s="254" t="inlineStr">
        <is>
          <t>Window per schedule ARCH-502: 2 bay alu. Framed glass sliding window 1200mm x 1150mm</t>
        </is>
      </c>
      <c r="D145" s="254" t="inlineStr">
        <is>
          <t>'=61</t>
        </is>
      </c>
      <c r="E145" s="255">
        <f>61</f>
        <v>61.0</v>
      </c>
      <c r="F145" s="254" t="inlineStr">
        <is>
          <t>nr</t>
        </is>
      </c>
      <c r="G145" s="254" t="inlineStr">
        <is>
          <t>Schedule quantity</t>
        </is>
      </c>
    </row>
    <row r="146">
      <c r="A146" s="254" t="inlineStr">
        <is>
          <t>WIN202</t>
        </is>
      </c>
      <c r="B146" s="254" t="inlineStr">
        <is>
          <t>ARCH windows row 202</t>
        </is>
      </c>
      <c r="C146" s="254" t="inlineStr">
        <is>
          <t>Window per schedule ARCH-502: 2 bay alu. Framed glass sliding window 1200mm x 1200mm</t>
        </is>
      </c>
      <c r="D146" s="254" t="inlineStr">
        <is>
          <t>'=8</t>
        </is>
      </c>
      <c r="E146" s="255">
        <f>8</f>
        <v>8.0</v>
      </c>
      <c r="F146" s="254" t="inlineStr">
        <is>
          <t>nr</t>
        </is>
      </c>
      <c r="G146" s="254" t="inlineStr">
        <is>
          <t>Schedule quantity</t>
        </is>
      </c>
    </row>
    <row r="147">
      <c r="A147" s="254" t="inlineStr">
        <is>
          <t>WIN204</t>
        </is>
      </c>
      <c r="B147" s="254" t="inlineStr">
        <is>
          <t>ARCH windows row 204</t>
        </is>
      </c>
      <c r="C147" s="254" t="inlineStr">
        <is>
          <t>Window per schedule ARCH-502: 2 bay alu. Framed glass sliding window 1500mm x 1300mm</t>
        </is>
      </c>
      <c r="D147" s="254" t="inlineStr">
        <is>
          <t>'=47</t>
        </is>
      </c>
      <c r="E147" s="255">
        <f>47</f>
        <v>47.0</v>
      </c>
      <c r="F147" s="254" t="inlineStr">
        <is>
          <t>nr</t>
        </is>
      </c>
      <c r="G147" s="254" t="inlineStr">
        <is>
          <t>Schedule quantity</t>
        </is>
      </c>
    </row>
    <row r="148">
      <c r="A148" s="254" t="inlineStr">
        <is>
          <t>WIN206</t>
        </is>
      </c>
      <c r="B148" s="254" t="inlineStr">
        <is>
          <t>ARCH windows row 206</t>
        </is>
      </c>
      <c r="C148" s="254" t="inlineStr">
        <is>
          <t>Window per schedule ARCH-502: 2 bay alu. Framed glass sliding window 1500mm x 1150mm</t>
        </is>
      </c>
      <c r="D148" s="254" t="inlineStr">
        <is>
          <t>'=27</t>
        </is>
      </c>
      <c r="E148" s="255">
        <f>27</f>
        <v>27.0</v>
      </c>
      <c r="F148" s="254" t="inlineStr">
        <is>
          <t>nr</t>
        </is>
      </c>
      <c r="G148" s="254" t="inlineStr">
        <is>
          <t>Schedule quantity</t>
        </is>
      </c>
    </row>
    <row r="149">
      <c r="A149" s="254" t="inlineStr">
        <is>
          <t>WIN208</t>
        </is>
      </c>
      <c r="B149" s="254" t="inlineStr">
        <is>
          <t>ARCH windows row 208</t>
        </is>
      </c>
      <c r="C149" s="254" t="inlineStr">
        <is>
          <t>Window per schedule ARCH-502: 3 bay alu. Framed glass wning window 2400mm x 1300mm</t>
        </is>
      </c>
      <c r="D149" s="254" t="inlineStr">
        <is>
          <t>'=6</t>
        </is>
      </c>
      <c r="E149" s="255">
        <f>6</f>
        <v>6.0</v>
      </c>
      <c r="F149" s="254" t="inlineStr">
        <is>
          <t>nr</t>
        </is>
      </c>
      <c r="G149" s="254" t="inlineStr">
        <is>
          <t>Schedule quantity</t>
        </is>
      </c>
    </row>
    <row r="150">
      <c r="A150" s="254" t="inlineStr">
        <is>
          <t>WIN210</t>
        </is>
      </c>
      <c r="B150" s="254" t="inlineStr">
        <is>
          <t>ARCH windows row 210</t>
        </is>
      </c>
      <c r="C150" s="254" t="inlineStr">
        <is>
          <t>Window per schedule ARCH-502: 3 bay alu. Framed glass wning window 3600mm x 2200mm</t>
        </is>
      </c>
      <c r="D150" s="254" t="inlineStr">
        <is>
          <t>'=3</t>
        </is>
      </c>
      <c r="E150" s="255">
        <f>3</f>
        <v>3.0</v>
      </c>
      <c r="F150" s="254" t="inlineStr">
        <is>
          <t>nr</t>
        </is>
      </c>
      <c r="G150" s="254" t="inlineStr">
        <is>
          <t>Schedule quantity</t>
        </is>
      </c>
    </row>
    <row r="151">
      <c r="A151" s="254" t="inlineStr">
        <is>
          <t>WIN212</t>
        </is>
      </c>
      <c r="B151" s="254" t="inlineStr">
        <is>
          <t>ARCH windows row 212</t>
        </is>
      </c>
      <c r="C151" s="254" t="inlineStr">
        <is>
          <t>Window per schedule ARCH-502: 3 bay alu. Framed glass wning window 3000mm x 1600mm</t>
        </is>
      </c>
      <c r="D151" s="254" t="inlineStr">
        <is>
          <t>'=8</t>
        </is>
      </c>
      <c r="E151" s="255">
        <f>8</f>
        <v>8.0</v>
      </c>
      <c r="F151" s="254" t="inlineStr">
        <is>
          <t>nr</t>
        </is>
      </c>
      <c r="G151" s="254" t="inlineStr">
        <is>
          <t>Schedule quantity</t>
        </is>
      </c>
    </row>
    <row r="152">
      <c r="A152" s="254" t="inlineStr">
        <is>
          <t>WIN214</t>
        </is>
      </c>
      <c r="B152" s="254" t="inlineStr">
        <is>
          <t>ARCH windows row 214</t>
        </is>
      </c>
      <c r="C152" s="254" t="inlineStr">
        <is>
          <t>Window per schedule ARCH-502: 2 x 3 alu. Framed glass awning window 240mm x 1900mm</t>
        </is>
      </c>
      <c r="D152" s="254" t="inlineStr">
        <is>
          <t>'=2</t>
        </is>
      </c>
      <c r="E152" s="255">
        <f>2</f>
        <v>2.0</v>
      </c>
      <c r="F152" s="254" t="inlineStr">
        <is>
          <t>nr</t>
        </is>
      </c>
      <c r="G152" s="254" t="inlineStr">
        <is>
          <t>Schedule quantity</t>
        </is>
      </c>
    </row>
    <row r="153">
      <c r="A153" s="254" t="inlineStr">
        <is>
          <t>WIN216</t>
        </is>
      </c>
      <c r="B153" s="254" t="inlineStr">
        <is>
          <t>ARCH windows row 216</t>
        </is>
      </c>
      <c r="C153" s="254" t="inlineStr">
        <is>
          <t>Window per schedule ARCH-502: 2 x 3 alu. Framed glass awning window 1800mm x 1900mm</t>
        </is>
      </c>
      <c r="D153" s="254" t="inlineStr">
        <is>
          <t>'=22</t>
        </is>
      </c>
      <c r="E153" s="255">
        <f>22</f>
        <v>22.0</v>
      </c>
      <c r="F153" s="254" t="inlineStr">
        <is>
          <t>nr</t>
        </is>
      </c>
      <c r="G153" s="254" t="inlineStr">
        <is>
          <t>Schedule quantity</t>
        </is>
      </c>
    </row>
    <row r="154">
      <c r="A154" s="254" t="inlineStr">
        <is>
          <t>WIN218</t>
        </is>
      </c>
      <c r="B154" s="254" t="inlineStr">
        <is>
          <t>ARCH windows row 218</t>
        </is>
      </c>
      <c r="C154" s="254" t="inlineStr">
        <is>
          <t>Window per schedule ARCH-502: 1 bay alu. Framed glass awning window 750mm x 1300mm</t>
        </is>
      </c>
      <c r="D154" s="254" t="inlineStr">
        <is>
          <t>'=7</t>
        </is>
      </c>
      <c r="E154" s="255">
        <f>7</f>
        <v>7.0</v>
      </c>
      <c r="F154" s="254" t="inlineStr">
        <is>
          <t>nr</t>
        </is>
      </c>
      <c r="G154" s="254" t="inlineStr">
        <is>
          <t>Schedule quantity</t>
        </is>
      </c>
    </row>
    <row r="155">
      <c r="A155" s="254" t="inlineStr">
        <is>
          <t>WIN220</t>
        </is>
      </c>
      <c r="B155" s="254" t="inlineStr">
        <is>
          <t>ARCH windows row 220</t>
        </is>
      </c>
      <c r="C155" s="254" t="inlineStr">
        <is>
          <t>Window per schedule ARCH-502: 3 bay alu. Framed glass sliding window 2100mm x 900mm</t>
        </is>
      </c>
      <c r="D155" s="254" t="inlineStr">
        <is>
          <t>'=2</t>
        </is>
      </c>
      <c r="E155" s="255">
        <f>2</f>
        <v>2.0</v>
      </c>
      <c r="F155" s="254" t="inlineStr">
        <is>
          <t>nr</t>
        </is>
      </c>
      <c r="G155" s="254" t="inlineStr">
        <is>
          <t>Schedule quantity</t>
        </is>
      </c>
    </row>
    <row r="156">
      <c r="A156" s="254" t="inlineStr">
        <is>
          <t>WIN222</t>
        </is>
      </c>
      <c r="B156" s="254" t="inlineStr">
        <is>
          <t>ARCH windows row 222</t>
        </is>
      </c>
      <c r="C156" s="254" t="inlineStr">
        <is>
          <t>Window per schedule ARCH-502: 2 x 3 alu. Framed glass awning window 1450mm x 1900mm</t>
        </is>
      </c>
      <c r="D156" s="254" t="inlineStr">
        <is>
          <t>'=6</t>
        </is>
      </c>
      <c r="E156" s="255">
        <f>6</f>
        <v>6.0</v>
      </c>
      <c r="F156" s="254" t="inlineStr">
        <is>
          <t>nr</t>
        </is>
      </c>
      <c r="G156" s="254" t="inlineStr">
        <is>
          <t>Schedule quantity</t>
        </is>
      </c>
    </row>
    <row r="157">
      <c r="A157" s="254" t="inlineStr">
        <is>
          <t>WIN224</t>
        </is>
      </c>
      <c r="B157" s="254" t="inlineStr">
        <is>
          <t>ARCH windows row 224</t>
        </is>
      </c>
      <c r="C157" s="254" t="inlineStr">
        <is>
          <t>Window per schedule ARCH-502: 2 bay alu. Framed glass sliding window 900mm x 600mm</t>
        </is>
      </c>
      <c r="D157" s="254" t="inlineStr">
        <is>
          <t>'=104</t>
        </is>
      </c>
      <c r="E157" s="255">
        <f>104</f>
        <v>104.0</v>
      </c>
      <c r="F157" s="254" t="inlineStr">
        <is>
          <t>nr</t>
        </is>
      </c>
      <c r="G157" s="254" t="inlineStr">
        <is>
          <t>Schedule quantity</t>
        </is>
      </c>
    </row>
    <row r="158">
      <c r="A158" s="254" t="inlineStr">
        <is>
          <t>WIN226</t>
        </is>
      </c>
      <c r="B158" s="254" t="inlineStr">
        <is>
          <t>ARCH windows row 226</t>
        </is>
      </c>
      <c r="C158" s="254" t="inlineStr">
        <is>
          <t>Window per schedule ARCH-502: 2 bay alu. Framed glass sliding window 750mm x 600mm</t>
        </is>
      </c>
      <c r="D158" s="254" t="inlineStr">
        <is>
          <t>'=40</t>
        </is>
      </c>
      <c r="E158" s="255">
        <f>40</f>
        <v>40.0</v>
      </c>
      <c r="F158" s="254" t="inlineStr">
        <is>
          <t>nr</t>
        </is>
      </c>
      <c r="G158" s="254" t="inlineStr">
        <is>
          <t>Schedule quantity</t>
        </is>
      </c>
    </row>
    <row r="159">
      <c r="A159" s="254" t="inlineStr">
        <is>
          <t>WIN228</t>
        </is>
      </c>
      <c r="B159" s="254" t="inlineStr">
        <is>
          <t>ARCH windows row 228</t>
        </is>
      </c>
      <c r="C159" s="254" t="inlineStr">
        <is>
          <t>Window per schedule ARCH-502: 2 bay alu. Framed glass sliding window 600mm x 600mm</t>
        </is>
      </c>
      <c r="D159" s="254" t="inlineStr">
        <is>
          <t>'=12</t>
        </is>
      </c>
      <c r="E159" s="255">
        <f>12</f>
        <v>12.0</v>
      </c>
      <c r="F159" s="254" t="inlineStr">
        <is>
          <t>nr</t>
        </is>
      </c>
      <c r="G159" s="254" t="inlineStr">
        <is>
          <t>Schedule quantity</t>
        </is>
      </c>
    </row>
    <row r="160">
      <c r="A160" s="254" t="inlineStr">
        <is>
          <t>WIN230</t>
        </is>
      </c>
      <c r="B160" s="254" t="inlineStr">
        <is>
          <t>ARCH windows row 230</t>
        </is>
      </c>
      <c r="C160" s="254" t="inlineStr">
        <is>
          <t>Window per schedule ARCH-502: 2 bay alu. Framed glass sliding window 1200mm x 600mm</t>
        </is>
      </c>
      <c r="D160" s="254" t="inlineStr">
        <is>
          <t>'=12</t>
        </is>
      </c>
      <c r="E160" s="255">
        <f>12</f>
        <v>12.0</v>
      </c>
      <c r="F160" s="254" t="inlineStr">
        <is>
          <t>nr</t>
        </is>
      </c>
      <c r="G160" s="254" t="inlineStr">
        <is>
          <t>Schedule quantity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Henry Amartey</dc:creator>
  <dcterms:created xsi:type="dcterms:W3CDTF">2026-09-10T08:59:29Z</dcterms:created>
  <dcterms:modified xsi:type="dcterms:W3CDTF">2026-10-01T11:08:06Z</dcterms:modified>
  <cp:lastModifiedBy>Build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PlanSwiftJobName" fmtid="{D5CDD505-2E9C-101B-9397-08002B2CF9AE}" pid="2">
    <vt:lpwstr/>
  </property>
  <property name="PlanSwiftJobGuid" fmtid="{D5CDD505-2E9C-101B-9397-08002B2CF9AE}" pid="3">
    <vt:lpwstr/>
  </property>
  <property name="LinkedDataId" fmtid="{D5CDD505-2E9C-101B-9397-08002B2CF9AE}" pid="4">
    <vt:lpwstr>{E621DE54-6B81-4C0F-B861-BEC0C5632892}</vt:lpwstr>
  </property>
</Properties>
</file>