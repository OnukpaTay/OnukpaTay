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worksheets/sheet20.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4adc780b57fa0eb3/WORKS/SACKEY/Proposed Kanashie Block Redevelopment/"/>
    </mc:Choice>
  </mc:AlternateContent>
  <xr:revisionPtr revIDLastSave="0" documentId="8_{9A94C135-4ED0-4C10-B0E4-CFEEFFAA84EE}" xr6:coauthVersionLast="47" xr6:coauthVersionMax="47" xr10:uidLastSave="{00000000-0000-0000-0000-000000000000}"/>
  <bookViews>
    <workbookView xWindow="-108" yWindow="-108" windowWidth="23256" windowHeight="12456" activeTab="1" xr2:uid="{00000000-000D-0000-FFFF-FFFF00000000}"/>
  </bookViews>
  <sheets>
    <sheet name="Cover Page " sheetId="1" r:id="rId1"/>
    <sheet name="GEN SUMMARY" sheetId="2" r:id="rId2"/>
    <sheet name="PRELIMS &amp; GEN. ITEMS" sheetId="3" r:id="rId3"/>
    <sheet name="SUBSTRUCTURE" sheetId="4" r:id="rId4"/>
    <sheet name="GROUND FLR " sheetId="5" r:id="rId5"/>
    <sheet name="1ST FLR " sheetId="6" r:id="rId6"/>
    <sheet name="2ND FLR" sheetId="7" r:id="rId7"/>
    <sheet name="3RD FLR" sheetId="8" r:id="rId8"/>
    <sheet name="4TH FLR " sheetId="9" r:id="rId9"/>
    <sheet name="5TH FLR " sheetId="10" r:id="rId10"/>
    <sheet name="6TH FLR  " sheetId="11" r:id="rId11"/>
    <sheet name="7TH FLR   " sheetId="12" r:id="rId12"/>
    <sheet name="8TH FLR   " sheetId="13" r:id="rId13"/>
    <sheet name="9TH FLR    " sheetId="14" r:id="rId14"/>
    <sheet name="10TH FLR   " sheetId="15" r:id="rId15"/>
    <sheet name="11TH FLR" sheetId="16" r:id="rId16"/>
    <sheet name="12TH FLR " sheetId="17" r:id="rId17"/>
    <sheet name="LIFTS &amp; PS" sheetId="18" r:id="rId18"/>
    <sheet name="RATES" sheetId="19" r:id="rId19"/>
    <sheet name="TAKEOFF" sheetId="20" r:id="rId30"/>
  </sheets>
  <definedNames>
    <definedName name="_xlnm.Print_Area" localSheetId="14">'10TH FLR   '!$A$1:$F$247</definedName>
    <definedName name="_xlnm.Print_Area" localSheetId="15">'11TH FLR'!$A$1:$F$204</definedName>
    <definedName name="_xlnm.Print_Area" localSheetId="16">'12TH FLR '!$A$1:$F$91</definedName>
    <definedName name="_xlnm.Print_Area" localSheetId="5">'1ST FLR '!$A$1:$F$157</definedName>
    <definedName name="_xlnm.Print_Area" localSheetId="6">'2ND FLR'!$A$1:$F$157</definedName>
    <definedName name="_xlnm.Print_Area" localSheetId="7">'3RD FLR'!$A$1:$F$246</definedName>
    <definedName name="_xlnm.Print_Area" localSheetId="8">'4TH FLR '!$A$1:$F$250</definedName>
    <definedName name="_xlnm.Print_Area" localSheetId="9">'5TH FLR '!$A$1:$F$252</definedName>
    <definedName name="_xlnm.Print_Area" localSheetId="10">'6TH FLR  '!$A$1:$F$248</definedName>
    <definedName name="_xlnm.Print_Area" localSheetId="11">'7TH FLR   '!$A$1:$F$249</definedName>
    <definedName name="_xlnm.Print_Area" localSheetId="12">'8TH FLR   '!$A$1:$F$252</definedName>
    <definedName name="_xlnm.Print_Area" localSheetId="13">'9TH FLR    '!$A$1:$F$255</definedName>
    <definedName name="_xlnm.Print_Area" localSheetId="0">'Cover Page '!$A$1:$F$25</definedName>
    <definedName name="_xlnm.Print_Area" localSheetId="1">'GEN SUMMARY'!$A$1:$D$45</definedName>
    <definedName name="_xlnm.Print_Area" localSheetId="4">'GROUND FLR '!$A$1:$F$232</definedName>
    <definedName name="_xlnm.Print_Area" localSheetId="17">'LIFTS &amp; PS'!$A$1:$F$46</definedName>
    <definedName name="_xlnm.Print_Area" localSheetId="2">'PRELIMS &amp; GEN. ITEMS'!$A$1:$F$378</definedName>
    <definedName name="_xlnm.Print_Area" localSheetId="3">SUBSTRUCTURE!$A$1:$F$93</definedName>
    <definedName name="_xlnm.Print_Titles" localSheetId="2">'PRELIMS &amp; GEN. ITEMS'!$1:$7</definedName>
    <definedName name="_xlnm.Print_Titles" localSheetId="19">TAKEOFF!$5:$5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<sst xmlns="http://schemas.openxmlformats.org/spreadsheetml/2006/main" count="5522" uniqueCount="1280">
  <si>
    <t>aq</t>
  </si>
  <si>
    <t>PROPOSED 
BILLS OF QUANTITIES FOR KANESHIE BLOCK N REDEVELOPMENT</t>
  </si>
  <si>
    <t>DATE:9/30/2026</t>
  </si>
  <si>
    <t>PROJECT: BLOCK N REDEVELOPMENT</t>
  </si>
  <si>
    <t>LOCATION: KANESHIE</t>
  </si>
  <si>
    <t>CLIENT: STATE HOUSING LIMITED</t>
  </si>
  <si>
    <t>ITEM</t>
  </si>
  <si>
    <t>GENERAL SUMMARY</t>
  </si>
  <si>
    <t>GHC</t>
  </si>
  <si>
    <t>A</t>
  </si>
  <si>
    <t xml:space="preserve"> PRELIMINARIES AND GENERAL ITEMS</t>
  </si>
  <si>
    <t>B</t>
  </si>
  <si>
    <t>SUBSTRUCTURE (ALL PROVISIONAL)</t>
  </si>
  <si>
    <t>C</t>
  </si>
  <si>
    <t>GROUND FLOOR (INCL. M1 PARKING LEVEL)</t>
  </si>
  <si>
    <t>D</t>
  </si>
  <si>
    <t>FIRST FLOOR (INCL. M2 PARKING LEVEL)</t>
  </si>
  <si>
    <t>E</t>
  </si>
  <si>
    <t>SECOND FLOOR (INCL. MEZZANINE PARKING LEVEL)</t>
  </si>
  <si>
    <t>F</t>
  </si>
  <si>
    <t>THIRD FLOOR</t>
  </si>
  <si>
    <t>G</t>
  </si>
  <si>
    <t>FOURTH FLOOR</t>
  </si>
  <si>
    <t>H</t>
  </si>
  <si>
    <t>FIFTH FLOOR</t>
  </si>
  <si>
    <t>J</t>
  </si>
  <si>
    <t>SIXTH FLOOR</t>
  </si>
  <si>
    <t>K</t>
  </si>
  <si>
    <t>SEVENTH FLOOR</t>
  </si>
  <si>
    <t>L</t>
  </si>
  <si>
    <t>EIGHTH FLOOR</t>
  </si>
  <si>
    <t>M</t>
  </si>
  <si>
    <t>NINTH FLOOR</t>
  </si>
  <si>
    <t>N</t>
  </si>
  <si>
    <t>TENTH FLOOR</t>
  </si>
  <si>
    <t>P</t>
  </si>
  <si>
    <t>ELEVENTH LEVEL - ROOF TOP TERRACE</t>
  </si>
  <si>
    <t>Q</t>
  </si>
  <si>
    <t>TWELFTH LEVEL - ROOF LEVEL &amp; LIFT CORE</t>
  </si>
  <si>
    <t>R</t>
  </si>
  <si>
    <t>LIFTS AND PROVISIONAL SUMS</t>
  </si>
  <si>
    <t>SUB - TOTAL (1)</t>
  </si>
  <si>
    <t>ADD: STATUTORY LEVIES AND TAXES</t>
  </si>
  <si>
    <t>TOTAL COST OF THE WORKS</t>
  </si>
  <si>
    <t>BILL NO.1- PRELIMINARIES BILL AND GENERAL CONDITIONS</t>
  </si>
  <si>
    <t>DESCRIPTION</t>
  </si>
  <si>
    <t>QTY</t>
  </si>
  <si>
    <t>UNIT</t>
  </si>
  <si>
    <t xml:space="preserve"> RATE</t>
  </si>
  <si>
    <t>AMOUNT GHS</t>
  </si>
  <si>
    <t xml:space="preserve">SUMMARY </t>
  </si>
  <si>
    <t>COLLECTION</t>
  </si>
  <si>
    <t>Page 2</t>
  </si>
  <si>
    <t>Page 3</t>
  </si>
  <si>
    <t>Page 4</t>
  </si>
  <si>
    <t>Page 5</t>
  </si>
  <si>
    <t>Page 6</t>
  </si>
  <si>
    <t>Page 7</t>
  </si>
  <si>
    <t>Page 8</t>
  </si>
  <si>
    <t>Page 9</t>
  </si>
  <si>
    <t>Page 10</t>
  </si>
  <si>
    <t>Page 11</t>
  </si>
  <si>
    <t>Page 12</t>
  </si>
  <si>
    <t>Page 13</t>
  </si>
  <si>
    <t>Page 14</t>
  </si>
  <si>
    <t xml:space="preserve">PRELIMINARIES AND GENERAL ITEMS </t>
  </si>
  <si>
    <t>TOTAL CARRIED TO GENERAL SUMMARY</t>
  </si>
  <si>
    <t>Generally</t>
  </si>
  <si>
    <t>The contractor shall be deemed to have allowed against each item a rate which complies with all the requirements of the “Preliminaries”. All unpriced preliminaries items shall be deemed to have been included in the general pricing of the works.
All item containing “Preliminaries” shall apply to the whole of the works The contractor shall be deemed to have allowed against each item or in his rates of complying with all the requirements of the “Preliminaries”.
All item containing “Preliminaries” shall apply to the whole of the works</t>
  </si>
  <si>
    <t>Names of Parties</t>
  </si>
  <si>
    <t>The names of parties referred to in these Bills of Quantities and in the
Conditions of Contract are as follows:-</t>
  </si>
  <si>
    <t>ENTERPRISE LIFE COMPANY LIMITED</t>
  </si>
  <si>
    <t>ALL DRAWINGS</t>
  </si>
  <si>
    <t>The drawings used for the preparation of the bills of quantities are scheduled at the Appendix</t>
  </si>
  <si>
    <t>Format of Bills of Quantities</t>
  </si>
  <si>
    <t>Major portions of this Bills of Quantities have been prepared in accordance with  the  "Standard Method  of  Measurement of  Building  Works", Seventh (7th) Edition (metric) Revised SMM7R (metric)  dated July 1998 issued by the Royal Institution of Chartered Surveyors (R.I.C.S.) and the building Employers Confederation (B.E.C.) both of the United Kingdom. However, departures from this method of measurement (see General Notes on Method of Measurement)  have  been  effected  to  reduce  the  number  of  measured Labour items and also to simplify certain other measured items. The Contractor must allow for this departures in his/her pricing so that his/her tender figure shall represent the total cost of all items of works involved in the project. No claim for extra payment will be entertained on the ground that method of the measurement adopted does not comply with the said Standard Method of Measurement.</t>
  </si>
  <si>
    <t>Prohibition of Use</t>
  </si>
  <si>
    <t>The quantities given in the Bills of Quantities are not intended for ordering of materials/components. Quantities for use in ordering materials/components must be calculated by the Contractor by measurement on site or from contract drawings.</t>
  </si>
  <si>
    <t>Site Location</t>
  </si>
  <si>
    <t>The Site is located at: Accra in the Greater Accra Region
The Contractor is to visit and examine the site and satisfy himself as to the site conditions and facilities for obtaining special materials and shall obtain generally his own information on all matters affecting the execution of the Works.</t>
  </si>
  <si>
    <t>Overtime</t>
  </si>
  <si>
    <t>The Contractor shall be held to have made all enquiries as to the source of his
labour and to have made all provisions in his tender for every cost to him of providing and maintaining the labour force necessary to complete the contract including all extra and additional works in the contract Time, including all overtime and weekend working which he considers he shall require and supervisory cost associated therewith. No extra will be allowed on the contract Sum for this Clause.</t>
  </si>
  <si>
    <t>Definition of Abbreviations</t>
  </si>
  <si>
    <t>Abbreviations have  been  used  in  the  Bills  of  Quantities  for  the  units  of
measurement  and  the  Contractor  should  take  due  notice  of  the  under-mentioned:</t>
  </si>
  <si>
    <t>m3/ m3/cu. m.   -     Cubic Metre</t>
  </si>
  <si>
    <t>m2/ m2/sq. m.   -     Square Metre</t>
  </si>
  <si>
    <t>lm             -      Linear Metre</t>
  </si>
  <si>
    <t>mm           -      Millimetre</t>
  </si>
  <si>
    <t>kg             -      Kilogramme</t>
  </si>
  <si>
    <t>T/ton        -      Tonne</t>
  </si>
  <si>
    <t>No./Nr.      -      Number</t>
  </si>
  <si>
    <t>TO COLLECTION</t>
  </si>
  <si>
    <t>Alterations to the Bills of Quantities</t>
  </si>
  <si>
    <t>No alterations or qualifications of any kind whatsoever shall be made by the Contractor to the text of the Bills of Quantities unless authorised or directed in  writing  by  the  Engineer  or  Quantity  Surveyor.  If  any  unauthorised alteration or qualification is made by the Contractor, it will be ignored and the text prepared text will be rigidly adhered to.</t>
  </si>
  <si>
    <t>Preamble References</t>
  </si>
  <si>
    <t>To avoid long descriptions and repetitions, certain description of measured items contain only brief details of materials and/or workmanship and reference to a preamble clause. Whether specifically referred to or not, items in the preambles section in these Bills of Quantities are deemed to qualify and be part of every description of measured work to which they refer and shall be deemed to have been taken into consideration in pricing the whole of these Bills of Quantities.</t>
  </si>
  <si>
    <t>Priced Bills of Quantities</t>
  </si>
  <si>
    <t>Should there be a difference between a Contractor's Tender Sum and the arithmetically corrected  Tender  Figure  of  the  "measured  works"  (after  a complete technical and arithmetical check) an adjustment will be made to the rates by agreement. Conversely, a percentage adjustment shall be calculated by using the total amount of the errors in relation to the value of the "measured works" and thus leaving the original Tender Sum unaltered. Variations to the "measured works" in both approaches shall be subject to the same rate amendments or percentage adjustments respectively.</t>
  </si>
  <si>
    <t>Provisional Sum</t>
  </si>
  <si>
    <t>The Provisional Sum in these Bills of Quantities are used solely to indicate a
gross amount inclusive of Contractor's profit and all other elements of loss. These sums will be expended or deducted in whole or in part as required by the Engineer and no claim for loss of profit will be entertained in this respect. The Contractor must not order expenditure against any work covered by Provisional Sums unless receipt of order in writing from the Engineer.</t>
  </si>
  <si>
    <t>Prime Cost (PC) Sums</t>
  </si>
  <si>
    <t>Prime Cost (PC) Sums included in these Bills of Quantities are for goods to be supplied by a Supplier or work to be executed by a Contractor both to be nominated by the Engineer, P.C. Sums shall be understood to mean the NET amount expended in favour of such persons after deducting all discounts and shall include all taxes (where applicable) and the cost of packing, carriage/freight and delivery as specified. All such PC Sums are at the complete disposal of the Engineer who may direct how they are expended, deducted in whole or in part from the Contract Sum.
Following a PC Sum, provision has been made for the Contractor to insert an element of profit and attendance. The Contractor shall express the element of profit as a percentage of the PC Sum and that of attendance as a lump sum.</t>
  </si>
  <si>
    <t>Price Adjustment</t>
  </si>
  <si>
    <t>There shall be no adjustment for fluctuations</t>
  </si>
  <si>
    <t>Description of the Works</t>
  </si>
  <si>
    <t>The works shall comprise the construction the following facilities including
external services and works. Included in this document are the following:</t>
  </si>
  <si>
    <t>PRELIMINARIES AND GENERAL CONDITIONS</t>
  </si>
  <si>
    <t>DEMOLITION / ALTERATIONS/RENOVATIONS</t>
  </si>
  <si>
    <t>CONCRETE WORKS</t>
  </si>
  <si>
    <t>MASONRY</t>
  </si>
  <si>
    <t>STURCTURAL / CARCASING METAL / TIMBER
CLADDING/COVERING LININGS/SHEATHING/DRY PARTITIONING</t>
  </si>
  <si>
    <t>WINDOWS/DOORS/STAIRS</t>
  </si>
  <si>
    <t>SURFACE FINISHES</t>
  </si>
  <si>
    <t>FURNITURE/EQUIPMENT</t>
  </si>
  <si>
    <t>ELECTRICAL/FIRE</t>
  </si>
  <si>
    <t>PLUMBING INSTALLATION</t>
  </si>
  <si>
    <t>VENTILATION /AIR CONDITIONING SYSTEMS
ELEVATOR INSALLATION EXTERNAL WORKS</t>
  </si>
  <si>
    <t>Assistance to Consultant, Etc.</t>
  </si>
  <si>
    <t>Allow a sum for providing all reasonable information, labour and facilities
required by the Supervising Consultant (Resident Clerk of works, Engineer, Architect, Etc) in carrying out their duties in connection with this contract per specification.</t>
  </si>
  <si>
    <t>Performance  Guarantee</t>
  </si>
  <si>
    <t>The Contractor shall be required within twenty eight (28) days of receiving
the acceptance letter to enter into a written, signed and witnessed guarantee to guarantee the due performance of the works in the sum of ten percent (10%) of the total amount of the contract for performance guarantee .</t>
  </si>
  <si>
    <t>The acceptance of a Performance Guarantee obtained by the Contractor with a  Bank   Company  shall  be  at  the  sole  discretion  of  the  Employer.  The guarantee will remain in force until such time as the Contractor has made good the defects notified to him/her by the Engineer in accordance with the Conditions of Contract.</t>
  </si>
  <si>
    <t>Advance Payment Guarantee</t>
  </si>
  <si>
    <t>Should any advance be given, the Contractor shall provide as a condition precedent, an acceptable advance guarantee from a Bank covering the amount of the advance until its repayment in full.</t>
  </si>
  <si>
    <t>All Risks Insurance</t>
  </si>
  <si>
    <t>Provide and maintain All Risks Insurance for the Works, plant, materials, and temporary works including third-party liability, in accordance with the Conditions of Contract.</t>
  </si>
  <si>
    <t>Direct Payments</t>
  </si>
  <si>
    <t>The  Direct  Payment are  for  works,  materials/components to  be  provided
either by the Employer or by persons directly contracted to/or directly engaged by him/her. The sums will not be paid to or through the Contractor. They will be deducted in full from the contract sum as and when the works and materials/components are delivered.</t>
  </si>
  <si>
    <t>Setting Out the Works</t>
  </si>
  <si>
    <t>At commencement of the contract and during progress of the works, the
Contractor shall  set  out  the  whole  of  the  works  in  accordance with  the drawings and in conjunction with levels and measurements taken on the site and  shall  be  responsible  for  the  accuracy  thereof,  and  if  inaccurate,  for making alterations as required by the Engineer.</t>
  </si>
  <si>
    <t>The Contractor shall perform all setting out by a method to be approved by
the Engineer and provide all instruments, templates, rods and setting out boards  etc.  as  may  be  necessary  for  this  purpose  and  where  required maintain these for reference during the progress of the works.</t>
  </si>
  <si>
    <t>The Contractor shall protect and preserve all bench marks, site rails, pegs and other items used for setting out the works.</t>
  </si>
  <si>
    <t>Existing Materials on Site</t>
  </si>
  <si>
    <t>Sand, gravel, vegetable soil, turf and other materials obtained from the site shall remain the property of the Employer until removed from the site in accordance with the contract. Excavations shall not be made or enlarged for the purpose of obtaining such materials. These materials shall not be used for any purpose other than for the execution of the works.</t>
  </si>
  <si>
    <t>Maintenance of Services</t>
  </si>
  <si>
    <t>The  Contractor  shall  protect,  uphold,  temporarily  direct  and  maintain  all pipes, ducts, drains, sewers, service mains, overhead cables and the like during the execution of the works. The Contractor shall make good damage to  any cause within its control at  its own expense or  pay any costs and charges in connection therewith. Approval shall be obtained at least two (2) weeks in advance if any services have to be interrupted.</t>
  </si>
  <si>
    <t>Temporary Accommodation for the Employer</t>
  </si>
  <si>
    <t>The  Contractor  shall  at  his/her  own  expense  provide  and  erect  suitable offices of not less than fifty (50) square metres in floor area for the exclusive use of the Client's consultants complete with plan chest, tables  and  chairs,  other  furniture  and  equipment including  the  supply of electricity.(N/A)</t>
  </si>
  <si>
    <t>Semi-Permanent Name/Project Display Board</t>
  </si>
  <si>
    <t>The Contractor shall provide a steel framed and steel sheet notice board at the entrance of the site bearing the names of the Project, Contractor, 3-D architects impression of the project  and all Consultants. The size, design and colour of the notice board shall be subject to the approval of the Engineer.</t>
  </si>
  <si>
    <t>Advertising Right</t>
  </si>
  <si>
    <t>The Contractor shall not display any other notice or advertisement in any
form on any part of the site, works, hoardings or adjoining ground without the prior approval in writing of the Engineer.</t>
  </si>
  <si>
    <t>Records of Temperature, Visitors, etc</t>
  </si>
  <si>
    <t>The Contractor shall keep accurate records of the temperature, visitors and any other occurrences affecting the progress of quality of the works.</t>
  </si>
  <si>
    <t>Transport for work people</t>
  </si>
  <si>
    <t>Allow for all costs in connection with the provision of transport for work
people.</t>
  </si>
  <si>
    <t>Surveying Equipment</t>
  </si>
  <si>
    <t>The Contractor shall provide and keep on the works a level tripod and staff for the sole use of the Clerk of Works and other artisans employed directly by the Employer. The instrument shall be maintained in proper adjustment by the Contractor who shall also provide all necessary attendance.</t>
  </si>
  <si>
    <t>NOMINATED SUB-CONTRACTORS, SUPPLIERS AND PUBLIC BODIES</t>
  </si>
  <si>
    <t>Nominated Sub-Contractors</t>
  </si>
  <si>
    <t>The Contractor shall be responsible for the supervision and administration of any Nominated Sub-Contractor in accordance with the Conditions of Contract and will be required to arrange a programme with each Nominated Sub- Contractor.</t>
  </si>
  <si>
    <t>Works required to be executed by a Nominated Sub-Contractor are given as
Prime Cost (PC) Sums.</t>
  </si>
  <si>
    <t>Payments to Nominated Sub-Contractors</t>
  </si>
  <si>
    <t>At the time of every valuation of the works for Interim Certificate purposes, the Contractor shall submit in duplicate (through Consultants as applicable) with one copy to the Quantity Surveyor, a statement from each of the Nominated Sub-Contractors showing:</t>
  </si>
  <si>
    <t>I. ► The gross amount (including cash discount and retention) claimed in the current valuation.</t>
  </si>
  <si>
    <t>An amount in respect of Nominated Sub-Contractors will not be included in valuation unless these statements are receive in good time.</t>
  </si>
  <si>
    <t>These statements will be accepted as "reasonable proof" of payments to the Nominated Sub-Contractor, however, in addition, the receipted invoices of Nominated Sub-Contractors, shall be submitted to the Quantity Surveyor as a proof of such payments.</t>
  </si>
  <si>
    <t>General Attendance</t>
  </si>
  <si>
    <t>The Contractor shall allow against the items following each Prime Cost Sum described as "General Attendance" for  Sub-Contractors. This item is to include for use of the Contractors temporary roads, paving and paths, standing scaffolding, standing power, operated hoisting plant, the provision of temporary lighting and water supplies, clearing away rubbish, provision of space for the  Sub- Contractors own offices and for the storage of plant and materials and the use of messrooms, sanitary accommodation and welfare facilities..
In  addition, the Contractor shall give such facilities as the Project Manager may consider reasonable to all  Sub-Contractors or Companies employed upon the works.</t>
  </si>
  <si>
    <t>The Contractor shall give all such  Sub-Contractors or Companies all information reasonably necessary to enable them to set out and execute their work properly in harmony with the surroundings and with other regards and shall not allow them to proceed otherwise.</t>
  </si>
  <si>
    <t>Special Attendance</t>
  </si>
  <si>
    <t>Where required, the Contractor shall allow against the items following some Prime Cost Sums described as "Special Attendance" for some Nominated Sub-Contractors shall be given as an item in each case giving particulars (e.g. unloading, storing, hoisting, placing in position, providing power and additional or special scaffolding).
The Contractor will be required to produce evidence to the Project Manager that a Sub-Contract agreement has been entered into with each Sub-Contractor and when required, produce relevant documents to the Project Manager for inspection.
The  Project  Manager  will  require  proof  of  payment  of  previously
certified monies to Nominated Sub-Contractors before certifying any and/or final payment.</t>
  </si>
  <si>
    <t>Provisional Sums Tendered for by Contractor</t>
  </si>
  <si>
    <t>Should the Contractor tender for work covered in the Bill of Quantities by a
Provisional Sum, the Contractor will be deemed to have included for all profit, overheads, discounts etc., required by him/her in his/her Sub-tender and the Provisional Sum included in these Bills of Quantities together with any profit shall be omitted if his/her tender is accepted.</t>
  </si>
  <si>
    <t>Builder's Work</t>
  </si>
  <si>
    <t>Unless otherwise stated, Builder's Work in connection with Nominated Sub- Contractor's Work shall be measured separately. The Contractor shall be responsible for ascertaining and co-ordinating Nominated Sub-Contractors requirements for all holes, chases, fixings and the like to structural concrete, block work and for obtaining the prior approval of the Engineer thereto. Holes and chases in concrete shall be formed at the time of casting the concrete and shall not be cut later, except with the approval of the Project Manager. No claim shall be considered for the extra cost of cutting away work already built as a result of the failure of Contractor to obtain sufficient particulars before hand.</t>
  </si>
  <si>
    <t>Nominated Suppliers</t>
  </si>
  <si>
    <t>Nominated Suppliers are given at Prime cost Sums. The Engineer reserves the right to inspect the relevant contracts of sale of all Nominated Suppliers.</t>
  </si>
  <si>
    <t>Fix Only</t>
  </si>
  <si>
    <t>The term 'FIX ONLY" used in connection with the fixing of goods and
materials obtained from a Nominated Supplier shall be held to include in addition to the stipulations in the Standard Method of Measurement, the opening of crates and packages, inspecting goods and materials before taking delivery, notifying the Nominated Supplier of any breakages or deficiencies and ensuring rectification of any irregularities. No claim will be
considered for extra costs or delay in consequence of any neglect on the part of the Contractor to carry out such inspection.</t>
  </si>
  <si>
    <t>The Contractor shall allow for taking delivery of goods at the Nominated Suppliers warehouse (where applicable and transporting it to site). It must allow in addition for providing adequate and effective insurance cover for all materials from the point at which the suppliers insurance liability ceases until the time that such materials components are installed.</t>
  </si>
  <si>
    <t>Contractor's Responsibility</t>
  </si>
  <si>
    <t>The Contractor shall be responsible for agreeing with each Nominated Sub- Contractor/Supplier the dates at which It will require their respective approved drawings so that the works can progress regularly and diligently and shall keep the Project Manager informed of all such agreed dates.</t>
  </si>
  <si>
    <t>GENERAL FACILITIES AND OBLIGATIONS</t>
  </si>
  <si>
    <t>Plant, Tools and Vehicles</t>
  </si>
  <si>
    <t>The Contractor shall provide, maintain and remove on completion mechanical
and other plant, transport, fuel, tools, tackle, scaffolding, stagging, instruments, implements and equipment of every description necessary for the  full  and  complete  execution of  every  part  of  the  works.  All  work  in connection with plant, scaffolding, staging, working accommodation, and the like shall be executed and maintained to the requirements of the Area Local Authority and to the satisfaction of the Project Manager.</t>
  </si>
  <si>
    <t>Grid of Levels</t>
  </si>
  <si>
    <t>Immediately  on  hand  over  of  the  site  and  before  any  work  has  been
commenced, the Contractor shall arrange for a grid of levels to be taken of the site in the presence of and agreed by the Project Manager and shall supply the Project Manager and Quantity Surveyor with copies thereof.</t>
  </si>
  <si>
    <t>Warning Lights</t>
  </si>
  <si>
    <t>The Contractor shall provide and maintain all necessary temporary warning
lights and notices in connection with scaffolding, fans, gantries, guardrail, hoardings and the like.</t>
  </si>
  <si>
    <t>Working Drawings</t>
  </si>
  <si>
    <t>The Contractor shall keep working drawings for all works on site at all times pasted on approved flat board and protected at all times from damage.</t>
  </si>
  <si>
    <t>Articles of Value and Burial Remains</t>
  </si>
  <si>
    <t>All coins or articles of value or antiquity which may be discovered in the
excavations and/or on the site shall remain the property of the Employer and must be delivered up to the Consultants for instructions.</t>
  </si>
  <si>
    <t>The  Contractor  shall,  on  discovery  on  site  of  bones  or  burial  remains,
adequately protect same and inform the Consultants for instructions.</t>
  </si>
  <si>
    <t>Contractor's Supervision</t>
  </si>
  <si>
    <t>The  Contractor  shall  provide  full  and  adequate  supervision  during  the
progress of the works and shall keep a competent and authorised person (approved by Consultants) in-charge of the works at all reasonable times. Such  persons  in-charge  shall  be  responsible  for  the  supervision,  co- ordination and administration of the works and must be able to receive and act upon (on behalf of the Contractor) all instructions, directions or orders issued by the Consultants.</t>
  </si>
  <si>
    <t>Obligations of Contractor</t>
  </si>
  <si>
    <t>The Employer may engage other specialists, artisans or workers to execute
works not forming part of this contract.</t>
  </si>
  <si>
    <t>The Contractor shall be deemed to have made allowance for his/her responsibilities and obligations in connection with any persons directly engaged by the Employer.</t>
  </si>
  <si>
    <t>Co-ordination etc. of Work not Forming Part of this Contract</t>
  </si>
  <si>
    <t>The Contractor shall be responsible for the co-ordination of work not forming part of this contract with the remainder of the works. The Contractor shall provide the various Authorities or Specialist Companies carrying out such work with sufficient information regarding line, level etc. as shown on the drawings, to enable them to provide and lay mains, cables etc. along routes on or adjacent to the site without any undue delays or interruptions and to suit the programme for the works.</t>
  </si>
  <si>
    <t>Temporary Sheds</t>
  </si>
  <si>
    <t>The Contractor shall provide and maintain temporary water-tight lock-up sheds for the storage of materials, tools and tackle for the use of all persons employed on the site including Nominated Sub-Contractors/Suppliers and others. |After, shift and adapt from time to time as necessary. Those sheds used for storage of cement and other perishable materials and the like shall have raised floors. Reinforcing bars, pipes and the like shall be racked under cover. Clear away on completion and reinstate all works disturbed.</t>
  </si>
  <si>
    <t>Temporary Office Accommodation</t>
  </si>
  <si>
    <t>The Contractor shall provide and maintain adequate office and other temporary accommodation and facilities for the use of the Contractor's site staff and for site meetings. After, shift and adapt from time to time as necessary and clear away on completion.</t>
  </si>
  <si>
    <t>Temporary Fencing, Hoardings, Screens Fans and Similar Items</t>
  </si>
  <si>
    <t>The Contractor shall provide and maintain all necessary temporary hoardings, screens, fencing and gates to adequately enclose all the boundaries of the
site for the duration of the contract for the protection of the public and for the proper execution of the works. Clear away on completion and reinstate all works disturbed.</t>
  </si>
  <si>
    <t>Maintenance of Public and Private Property</t>
  </si>
  <si>
    <t>The Contractor shall maintain public and private property (i.e. carriageways, footpaths, ditches, kerbs and the like) and shall keep the approach to the site free from excavated material, mud and debris. The Contractor shall be held responsible for and must make good at his/her own expense any damage caused in carriageways, kerbs, pavements, paving's, lamp posts, fencing, drain pipes, cables, main services etc. arising from the execution of the works.</t>
  </si>
  <si>
    <t>Temporary Roads, Hard standings, Crossovers and Similar Items</t>
  </si>
  <si>
    <t>The Contractor shall provide and maintain as necessary all temporary roads, tracks, paths, hardstanding, shed bases, pavement, crossovers, and other temporary works and the like including those required by Nominated Sub- Contractors/Suppliers and others. Clear away on completion and reinstate all works disturbed.</t>
  </si>
  <si>
    <t>Temporary Sanitary Accommodation</t>
  </si>
  <si>
    <t>The Contractor shall provide, maintain and keep in a hygienic condition adequate temporary sanitary accommodation and facilities for all persons employed on the works including Nominated Sub-Contractors. Alter, shift and adapt from  time  to  time  as  necessary. On  completion of  the  works,  the Contractor shall remove/ clear the said facilities, disinfect the ground and leave same in a clean and orderly manner.</t>
  </si>
  <si>
    <t>Site Meetings</t>
  </si>
  <si>
    <t>The  Contractor  shall  hold  progress  meetings which  shall  be  attended  by
representatives of all Nominated Sub-Contractors/Suppliers engaged on the works, (and required by him/her to be present) to co-ordinate progress and ensure that the programme is met in all aspects. The contractor shall make adequate provision for logistics for the meeting including tables, chairs, snacks, food, etc
As soon as practicable, after the progress meeting, the Contractor shall convene a site meeting to be chaired and recorded by the Consultants and attended by  other parties as may be appropriate. The Contractor shall be responsible for circulating minutes to all appropriate Nominated Sub- Contractors and for informing them of meetings and for providing the usual facilities and services required by such meetings.</t>
  </si>
  <si>
    <t>First Aid Equipment</t>
  </si>
  <si>
    <t>The Contractor shall provide adequate First Aid Equipment which shall be available for the use of the workmen during working hours.</t>
  </si>
  <si>
    <t>Site Security</t>
  </si>
  <si>
    <t>The whole of the works including those of Nominated Sub-Contractors shall
be  under  the  protection  of  the  Contractor  until  the  works  are  formally handed over to the Employer. Therefore, the Contractor shall safeguard the works, materials and plant against damage or theft. It will provide all necessary watching and lighting for the security of the works and the protection of the public. It will provide shelter and fuel for any watchman as required.</t>
  </si>
  <si>
    <t>The Contractor shall be held responsible for the theft of any materials, plant,
tools etc. while executing the works.</t>
  </si>
  <si>
    <t>Protection of Works</t>
  </si>
  <si>
    <t>The Contractor shall allow for protecting, in an approved manner, all parts of the works liable to damage from the effects of the sun, rain, drying winds or other unfavourable weather conditions. It shall further include for casing or otherwise suitably protecting all work of any description from any injury or damage arising out of the execution of the works. Should any part of the works become damaged, it  must  be  reinstated to  the  Project Manager's satisfaction and at the Contractor's sole expense.</t>
  </si>
  <si>
    <t>Protection Against Damage and Injury</t>
  </si>
  <si>
    <t>The Contractor shall allow for providing all temporary fans, gantries, hoardings, guardrails, special protection and other means to all sides of the works and site as necessary to fully and efficiently protect adjoining property, persons, vehicles and the like from damage or injury and as required for the proper  execution  and  completion  of  the  whole  of  the  works.  It  shall indemnify the Employer against all such damage or injury and reinstate and make good any damage caused.</t>
  </si>
  <si>
    <t>Water for the Works</t>
  </si>
  <si>
    <t>The Contractor shall provide water  required for  the  works including that required by sub-contractors. The Contractor shall provide temporary arrangement for storing and distributing water on the site and alter, adapt and maintain as required and clear away on completion and pay all fees and charges in connection.
All work in connection with the water supply shall be executed in accordance with the requirements of the Local Water Company.</t>
  </si>
  <si>
    <t>Temporary Lighting and Power</t>
  </si>
  <si>
    <t>The Contractor shall provide all necessary temporary electric lighting and power for the works, including that required by Nominated Sub-Contractors. The Contractor shall make temporary arrangement for distributing power on the site and alter, adapt and maintain as required and clear away on completion and pay all fees and charges in connection. All such electrical work shall be executed in conformance with the requirement or regulations of the Local Electricity Company</t>
  </si>
  <si>
    <t>Social Security Act</t>
  </si>
  <si>
    <t>The Contractor shall allow for all costs arising out of the Social Security Act.</t>
  </si>
  <si>
    <t>Fair Wages</t>
  </si>
  <si>
    <t>The Contractor shall pay rates and wages and observe hours and conditions of labour which are not less favourable than the general level of wages, hours and conditions observed by other Building Trade Employers whose general circumstances in the Construction industry are similar.</t>
  </si>
  <si>
    <t>Police Regulations</t>
  </si>
  <si>
    <t>The Contractor shall allow for all costs arising from restrictions that may be imposed by the Police or other Authorities upon the execution of the works.</t>
  </si>
  <si>
    <t>Programme Chart</t>
  </si>
  <si>
    <t>Within twenty eight (28) days of the order to  commence the  works, the Contractor shall prepare and submit for the Consultant's approval a comprehensive programme chart covering all aspects of the works showing earliest and latest start and finish dates for each activity including all Nominated Sub-Contract work. The Contractor shall allow for preparing four (4) sets at monthly intervals or at stages to be determined by the Engineer.</t>
  </si>
  <si>
    <t>Safety, Health and Welfare</t>
  </si>
  <si>
    <t>The  Contractor  shall  be  responsible  for  the  welfare  of  all  work  people
engaged upon the works and shall maintain all Safety, Health and Welfare measures for their protection. Amenities are to be provided of a suitable standard and are to be in accordance with any statute applicable. The Contractor shall recognise and allow for all statutory and religious holidays and rites.</t>
  </si>
  <si>
    <t>Hard Hat and Protective Clothing</t>
  </si>
  <si>
    <t>The Contractor shall provide all site operatives with protective clothing such as hard hat and protective foot wear (i.e. wellington boots) to protect such operatives from head and foot injury. The Contractor shall also provide all visitors to the site including all resident construction professionals with protective clothing such as hard hat and wellington boots and insist on their use.</t>
  </si>
  <si>
    <t>Expenses on Labour</t>
  </si>
  <si>
    <t>The Contractor shall allow for all emoluments and expenses arising out of Government, Trade Union and other applicable rules for the Construction Industry. Allow for all costs including transport in sending out or bringing labour to the site. Allow for all payments in respect of holidays with pay, the application of any bonus scheme and for all overtime and incentives which the Contractor may offer in order to attract and retain the necessary labour on the site and to achieve the date for completion.</t>
  </si>
  <si>
    <t>Labour Returns</t>
  </si>
  <si>
    <t>The Contractor shall keep an accurate record of the labour employed on the project. The details when requested shall be submitted to the Engineer for his/her records.</t>
  </si>
  <si>
    <t>Dismissal of persons from Site</t>
  </si>
  <si>
    <t>Any person employed on the  works who  in the  opinion of  Consultant  is incompetent or who may act in an improper manner shall be immediately dismissed from the works by the instructions of the Engineer.</t>
  </si>
  <si>
    <t>Working Hours and Overtime</t>
  </si>
  <si>
    <t>The Contractor shall carry out the works during normal working hours. If the Contractor wishes, for any reason, to work overtime, It shall, except in the case of emergency, first obtain permission from the Engineer and give at least two (2) full working days notice. No extra payment will be allowed in respect of overtime working.</t>
  </si>
  <si>
    <t>The Contractor is required to state the basic working hours per day of his/her work people upon which his/her tender is based. This information shall be given prior to production on site.</t>
  </si>
  <si>
    <t>Adverse Weather</t>
  </si>
  <si>
    <t>During adverse weather conditions, the Contractor shall suspend concreting
and plastering for such time as the Engineer may direct and shall protect from injury all works then in the course of construction.</t>
  </si>
  <si>
    <t>Dayworks</t>
  </si>
  <si>
    <t>Should it be found in the opinion of the Engineer that, by reason of their intricate nature or exceptional circumstances, works ordered by him/her cannot be fairly valued at the schedule of rates for measured works, It may order  these  to  be  carried  out  on  time  and  material  (daywork)  basis  as Contract Condition</t>
  </si>
  <si>
    <t>The Contractor shall give notice to the Engineer or his/her representative on the  commencement and  completion of  any  work for  which It  intends to submit Daywork Vouchers.</t>
  </si>
  <si>
    <t>The Contractor shall keep an accurate record of time spent and materials and
plant used on  each separate instruction given. Daywork voucher shall be numbered and shall describe fully the instructions to which they refer and they shall be summarised, fully priced and submitted to the Engineer each week with a copy to the Quantity Surveyor. The submission of such Daywork voucher does not necessarily mean that the works will be valued under Contract Condition</t>
  </si>
  <si>
    <t>Certificates and Payments</t>
  </si>
  <si>
    <t>The Contractor shall supply the Quantity Surveyor with detailed priced statement of work executed and details of materials supplied to assist the Quantity Surveyor  in  the  valuation  of  the  amount  to  be  certified  by  the Engineer   for   an   interim   payment.   Preliminaries  shall   be   valued   on   a proportion of work properly executed (rather than on a time basis) after due allowance having been made for initial site set up and final site clearance.</t>
  </si>
  <si>
    <t>Removing Water</t>
  </si>
  <si>
    <t>The Contractor shall allow for bailing, pumping or otherwise removing all
water (whether arising from the  nature of  the  ground, weather, springs, drains or any other source) which may accumulate in the excavation or elsewhere on the site during the progress of the works.
The Contractor should allow here also for keeping the excavation and the
works free from water in the ground below water level.</t>
  </si>
  <si>
    <t>Removing Rubbish etc.</t>
  </si>
  <si>
    <t>The Contractor shall remove all rubbish from site both as it accumulates
from time to time and at completion.</t>
  </si>
  <si>
    <t>The Contractor shall clean the works inside and out, remove stains and touch up paintwork and polished work and shall leave the whole works clean, ready for occupation and to the satisfaction of the Project Manager.</t>
  </si>
  <si>
    <t>On completion of the works, the Contractor shall remove from site all plant, building appliances, apparatus or equipment and unused or surplus materials together with all rubbish, debris, (including that of Nominated Sub- Contractors) all temporary buildings, sheds, barriers, scaffolding and the like and shall make good all works disturbed.</t>
  </si>
  <si>
    <t>Progress Photographs</t>
  </si>
  <si>
    <t xml:space="preserve">The Contractor shall allow for supplying four (4) copies of progress photographs (in full plate size [A4] and in colour) monthly to the Engineer throughout the  duration  of  the  contract.  The  pictures  must  be  taken  at specific locations of the site as agreed with the Engineer to show a comprenhsive state of the work done on site
</t>
  </si>
  <si>
    <t>Records Keeping</t>
  </si>
  <si>
    <t>The Contractor shall keep accurate dated record in the form of "works diary" on the site recording the weather, the number of men employed in all trades, progress of the works, temperature, delivery of materials to the site, visitors and other events influencing the progress and quality of the works. Proper delivery notes of materials etc. (stating the name of the project) shall be kept and presented to the or his/her representative for inspection.</t>
  </si>
  <si>
    <t>Inspection of Invoices and Receipts</t>
  </si>
  <si>
    <t>The Contractor shall, whenever required, produce for inspection all invoices and receipted account relating to the project. Such invoices and accounts may be retained by the Engineer and/or Quantity Surveyor for inspection and will be returned to the Contractor with all convenient speed.</t>
  </si>
  <si>
    <t>Checking Schedules, Drawings and Information</t>
  </si>
  <si>
    <t>The Contractor shall be responsible for checking all schedules, drawings and all other information supplied by the Consultants. In the event of any discrepancy between the schedules, drawings and the like, the Contractor shall report the discrepancy to the Engineer for his/her instructions. Should the Contractor consider the need for a detailed drawn information It shall apply for such detailed drawn information at least four (4) weeks before the works concerned are to be executed.</t>
  </si>
  <si>
    <t>Quality of Materials and Workmanship</t>
  </si>
  <si>
    <t>Where and to the extent that materials/components, products and workmanship are not fully described in these Bills of Quantities, such materials/components shall be deemed to be:</t>
  </si>
  <si>
    <t>New materials/components</t>
  </si>
  <si>
    <t>1.Suitable for the purpose of the works stated in or reasonably to be
2.inferred from the Contract Documentation. 
3. In accordance with good building practice.</t>
  </si>
  <si>
    <t>Publicity</t>
  </si>
  <si>
    <t>The contract documents and everything contained therein shall be treated as
private and confidential. In particular, no information, drawing or photograph concerning  the  works  shall  be  published  unless  previously  approved  in writing by the Engineer.</t>
  </si>
  <si>
    <t>Materials Short Supply</t>
  </si>
  <si>
    <t>The Contractor shall order in advance any material in short supply and shall allow in his/her tender for any additional cost of double handling, special storage requirement and the like.</t>
  </si>
  <si>
    <t>Material Deliveries</t>
  </si>
  <si>
    <t>The Contractor shall be responsible for ensuring that all building materials,
plant etc. including that of Nominated Sub-Contractors are available at the site at the proper time for use in the works, and shall make all necessary enquiries,  throughout the  progress of  the  works  to  ensure  continuity of supplies.</t>
  </si>
  <si>
    <t>The Contractor shall make an allowance which It may consider necessary for
additional handling of materials and provision of storage accommodation by reason of the necessity for him/her to accept deliveries of materials in advance  of  requirements  so  as  to   obviate  any  delays  which  may  be occasioned by transport and delivery difficulties.</t>
  </si>
  <si>
    <t>Responsibility for Offshore Materials</t>
  </si>
  <si>
    <t>The  Contractor  shall  take  full  responsibility  for  obtaining  any  offshore
materials specified and where such materials are not readily obtainable locally, the Contractor shall obtain the necessary import licences and/or exchange control permits and all cost of obtaining licences, foreign exchange and all additional charges for importation and delivery to the site are deemed to be included in his/her rates.</t>
  </si>
  <si>
    <t>Equivalent Materials</t>
  </si>
  <si>
    <t>Where applicable or processes are specified, the Contractor may propose an equivalent material or process as an alternative thereto but no such material or process shall be used in the works without prior consent in writing by the Project Manager.</t>
  </si>
  <si>
    <t>Testing of Materials</t>
  </si>
  <si>
    <t>The contractor will be required to carry out geotechnical and materials test
on site and to prepare, pack and dispatch when instructed to do so by the
Consultant.</t>
  </si>
  <si>
    <t>Approval of Samples</t>
  </si>
  <si>
    <t>Where and to the extent that products, materials/components and work are specified to be approved, or if the Consultants instructs or requires that they are to be approved, the same must be supplied and executed to comply with all other requirements and in respect of the stated or implied characteristics either:</t>
  </si>
  <si>
    <t>1.  To the express approval of the Consultants or
2.   To match a sample expressly approved by the Consultants as a standard
for the purpose</t>
  </si>
  <si>
    <t>The Contractor shall provide all samples or other evidence of suitability and retain  for  comparison  with  products,  materials/components  and  finished work included in the works and remove from site when no longer required.</t>
  </si>
  <si>
    <t>Inspection or  any  other  action  by  the  Consultants must  not  be  taken as approval of materials/components, products or work unless the Consultants so confirm in writing stating:</t>
  </si>
  <si>
    <t>1.  Date of inspection
2.  Part of the works inspected.
3.  Respects of characteristics which are approved.</t>
  </si>
  <si>
    <t>4.  Extent and purpose of the approval.
5.  Any associated conditions.</t>
  </si>
  <si>
    <t>Fire Precautions</t>
  </si>
  <si>
    <t>The Contractor shall take all the necessary precautions to eliminate all fire hazards and prevent fire damage works, building materials/components, equipment and all other property both public and personal involved or in connection with the project. All oil and petrol containers shall be kept in suitable sheds.</t>
  </si>
  <si>
    <t>Defective Materials and Workmanship</t>
  </si>
  <si>
    <t>The Contractor shall use only the specified materials in the execution of the works in a proper manner. All unspecified materials and faulty workmanship shall be rejected by the Engineer. Upon receipt of notice of any rejection, the Contractor shall remove such unacceptable materials and/or defective workmanship from the works and shall be replaced with the specified materials and workmanship in a satisfactory manner.</t>
  </si>
  <si>
    <t>Religious Rites</t>
  </si>
  <si>
    <t>Religious Rites shall not be interfered with unnecessarily.</t>
  </si>
  <si>
    <t>Examination of the Works</t>
  </si>
  <si>
    <t>No  completed  part  of  the  works  shall  be  covered  up  until  it  has  been
examined and declared satisfactory by the Engineer.</t>
  </si>
  <si>
    <t>The Contractor shall, if required by the  Engineer, at his/her own cost open up completed works and search for the cause of any defect, imperfection or fault. The Contractor shall at his/her own cost repair, rectify and make good that defect, imperfection or fault to the Engineer's satisfaction.</t>
  </si>
  <si>
    <t>Trespass and Nuisance</t>
  </si>
  <si>
    <t>The Contractor shall take all reasonable precaution to prevent a nuisance or inconvenience to the Employer and owners, tenants or occupiers of adjoining properties and to the general public. The Contractor shall prevent his/her operatives from entering any adjoining land or property other than that in which It is actually employed, and the Contractor will be held responsible for any  loss  or  damage  which  can  be  ascertained and  proved to  have  been occasioned by his/her operatives.</t>
  </si>
  <si>
    <t>Antiquities</t>
  </si>
  <si>
    <t>All objects of value or antiquity found on the Site shall remain the property of
the   Employer   and   such   funds   shall   be   immediately   reported   to   the Consultant.</t>
  </si>
  <si>
    <t>Operating and Maintenance Manual</t>
  </si>
  <si>
    <t>The Contractor shall arrange for and provide the  Engineer at completion and
handover of the works, with an operating and maintenance manual containing manufacturer's printed brochures covering all items of plant, equipment and controls used for electrical installation, cold and hot water installation and fire fighting equipment.</t>
  </si>
  <si>
    <t>The brochures shall also contain:</t>
  </si>
  <si>
    <t>I.     Names and address of the Sub-Contractors nominated for the
installation together with all the required guarantees.
ii.   Names, addresses and telephone numbers for component producers and places where services or spare parts may be obtained.
iii.  Complete, typed and detailed instruction sheets for correct identification of each item of equipment and/or controls.
iv.   A general description of the scope, purpose and manner of working of
each system of automatic control apparatus.
v.    Data on general design parameters and associated normal operating temperatures, pressures etc. based on the commissioning tests.
vi.   Clear and comprehensive instructions for the starting up, running or shutdown of each system or apparatus.
vii.  Instructions in respect of the care of apparatus normally subject to seasonal disuse.</t>
  </si>
  <si>
    <t>Handover of Completed Works</t>
  </si>
  <si>
    <t>The Contractor shall allow for and comply with the following requirements for handover of the works or where the Employer with the consent of the Contractor shall take possession of any part or parts of same.</t>
  </si>
  <si>
    <t>The Contractor must give to the Consultants a written notice of time not
more than eight (8) weeks and not less than four (4) weeks before the date by which the Contractor proposes that the works or any part thereof for handover shall reach Practical Completion. (The Consultants will require to obtain the Employer's agreement to all proposals made by the Contractor for handover of any part or parts of the Works).</t>
  </si>
  <si>
    <t>Following receipt of  written notice from the  Contractor of  any proposed date(s) for handover(s), the Consultants will require to satisfy himself/herself that the Works or the relevant part(s) thereof, are in a sufficient state of readiness to attain Practical Completion by the date(s) proposed.</t>
  </si>
  <si>
    <t>The  Consultants  will  inspect  the  Works  and  subject  to  his/her  being  so satisfied will make provisional arrangements for handover and may issue to the Contractor a list of items requiring rectification or completion before handover. The issue of such a list does not relive the Contractor of any of his/her  obligations under  the  Contract. (If  the  Project Manager  does  not consider the Works or the relevant part(s) to be in a sufficient readiness, then it is for the Contractor to bring the Works or relevant part(s) up to that stage and to inform the Consultants in writing when It has done so).</t>
  </si>
  <si>
    <t>As soon as the Contractor has satisfied himself/herself that all such items have been completed or remedied, It shall notify the Consultants  in writing. The Consultants will then make a preliminary check and provided this shows that no more than minor items of work remain to be attended to and the Contractor undertakes to do so before handover, the Consultants  will agree on the date for the normal handover inspection.</t>
  </si>
  <si>
    <t>Such inspection will  be made  by the  Consultants in  the presence of duly authorised representatives of the Contractor and of the Employer. Subject to the Consultants being of the opinion that the Works or the relevant part(s) thereof are practically completed, within the meaning they shall be deemed to have reached Practical Completion on that day and the Consultants shall certify accordingly.</t>
  </si>
  <si>
    <t>RATE</t>
  </si>
  <si>
    <t>AMOUNT - GHC</t>
  </si>
  <si>
    <t>Measurement basis / calculation</t>
  </si>
  <si>
    <t xml:space="preserve"> MAIN BUILDING</t>
  </si>
  <si>
    <t>BILL SUMMARY</t>
  </si>
  <si>
    <t>D GROUNDWORK (D20 EXCAVATION AND FILLING)</t>
  </si>
  <si>
    <t>E IN SITU CONCRETE</t>
  </si>
  <si>
    <t>BLOCK WORK</t>
  </si>
  <si>
    <t>To Bill General Summary</t>
  </si>
  <si>
    <t>BILL NR. 2 - SUBSTRUCTURE</t>
  </si>
  <si>
    <t>Site Preparation</t>
  </si>
  <si>
    <t>Clear site of all vegetation, grub up their roots and dispose-off (Block N plot and Parking-22 forecourt)</t>
  </si>
  <si>
    <t>m2</t>
  </si>
  <si>
    <t>40.85*38.27+35.2*20.9</t>
  </si>
  <si>
    <t>Excavate oversite to remove vegetable soil average 150mm deep and deposit on site for re-use average 50m from excavation</t>
  </si>
  <si>
    <t>(41.0+2*2.0)*(36.0+2*2.0)</t>
  </si>
  <si>
    <t>Excavate raft foundation to reduce levels maximum depth 4.00m</t>
  </si>
  <si>
    <t>m3</t>
  </si>
  <si>
    <t>(45.0*40.0)*4.0</t>
  </si>
  <si>
    <t>Fill to make up levels over raft average 1000mm thick with waterproof external membrane and high strength biaxial geogrid; compacted</t>
  </si>
  <si>
    <t>41.0*36.0*1.0-(69.445*0.25*1.0)-(13.294*1.0)</t>
  </si>
  <si>
    <t>Fill to make up levels below raft 1700mm thick with 300mm thick compacted crushed rock layers between geogrid layers until formation level is reached</t>
  </si>
  <si>
    <t>(45.0*40.0)*1.7</t>
  </si>
  <si>
    <t>Backfill and compact selected excavated material around foundations</t>
  </si>
  <si>
    <t>((45.0*40.0)-(41.0*36.0))*(4.0-1.7)</t>
  </si>
  <si>
    <t>Load up surplus excavated material and remove from site</t>
  </si>
  <si>
    <t>(45.0*40.0)*4.0-((45.0*40.0)-(41.0*36.0))*(4.0-1.7)</t>
  </si>
  <si>
    <t>Approved imported granular material hardcore filling to make up levels: depositing and compacting in layers 150mm maximum thickness</t>
  </si>
  <si>
    <t>41.0*36.0*0.15</t>
  </si>
  <si>
    <t>Carried to Bill Summary</t>
  </si>
  <si>
    <t>E10 Plain in-situ concrete (1:4:8 - 38mm aggregate) as described in:</t>
  </si>
  <si>
    <t>Blinding 100mm thick under raft</t>
  </si>
  <si>
    <t>41.0*36.0*0.10</t>
  </si>
  <si>
    <t>150mm thick bed</t>
  </si>
  <si>
    <t>Vibrated in-situ concrete C40 as described in:</t>
  </si>
  <si>
    <t>Concrete walls (raft to ground floor)</t>
  </si>
  <si>
    <t>(22.05+21.825+25.57)*0.25*1.3</t>
  </si>
  <si>
    <t>Concrete in raft 1300mm thick</t>
  </si>
  <si>
    <t>41.0*36.0*1.3</t>
  </si>
  <si>
    <t>Concrete in columns (raft to ground floor)</t>
  </si>
  <si>
    <t>5*0.75*0.5*1.3+1*0.75*0.5*1.3+2*0.75*0.5*1.3+1*0.75*0.5*1.3+3*1.2*0.3*1.3+6*1.2*0.3*1.3+1*1.2*0.3*1.3+15*1.2*0.3*1.3+1*(2.85*0.25+0.825*0.25)*1.3</t>
  </si>
  <si>
    <t>E30 REINFORCEMENT - High tensile yield round bar reinforcement (standard):</t>
  </si>
  <si>
    <t>20mm diameter in raft</t>
  </si>
  <si>
    <t>t</t>
  </si>
  <si>
    <t>2.466</t>
  </si>
  <si>
    <t>25mm diameter in raft</t>
  </si>
  <si>
    <t>184.672</t>
  </si>
  <si>
    <t>10mm diameter links to columns &amp; walls (raft to ground floor)</t>
  </si>
  <si>
    <t>3.252+0.517+0.260</t>
  </si>
  <si>
    <t>12mm diameter to walls (raft to ground floor)</t>
  </si>
  <si>
    <t>0.863+0.390</t>
  </si>
  <si>
    <t>25mm diameter to columns &amp; walls (raft to ground floor)</t>
  </si>
  <si>
    <t>6.531+9.840+4.935</t>
  </si>
  <si>
    <t>20mm diameter in columns (raft to ground floor)</t>
  </si>
  <si>
    <t>0.338</t>
  </si>
  <si>
    <t>E20 FORMWORK</t>
  </si>
  <si>
    <t>Concrete walls (both faces)</t>
  </si>
  <si>
    <t>2*(22.05+21.825+25.57)*1.3</t>
  </si>
  <si>
    <t>Edges of bed 150mm high</t>
  </si>
  <si>
    <t>m</t>
  </si>
  <si>
    <t>2*(41.0+36.0)</t>
  </si>
  <si>
    <t>Edges of raft 1300mm high</t>
  </si>
  <si>
    <t>2*(41.0+36.0)*1.3</t>
  </si>
  <si>
    <t>Sides of columns (raft to ground floor)</t>
  </si>
  <si>
    <t>5*2*(0.75+0.5)*1.3+1*2*(0.75+0.5)*1.3+2*2*(0.75+0.5)*1.3+1*2*(0.75+0.5)*1.3+3*2*(1.2+0.3)*1.3+6*2*(1.2+0.3)*1.3+1*2*(1.2+0.3)*1.3+15*2*(1.2+0.3)*1.3+1*2*(2.85+1.075)*1.3</t>
  </si>
  <si>
    <t>Solid sandcrete blockwork in cement and sand (1:4) mortar:</t>
  </si>
  <si>
    <t>150mm walls to plinth</t>
  </si>
  <si>
    <t>Raft top SSL -1.000; formation -4.000 (STR-001). Raft 41.0 x 36.0m measured on STR-001/STR-002.</t>
  </si>
  <si>
    <t xml:space="preserve"> GROUND FLOOR (INCL. M1 PARKING LEVEL 1B)</t>
  </si>
  <si>
    <t>ELEMENT NO. 1: IN SITU CONCRETE/LARGE PRECAST CONCRETE</t>
  </si>
  <si>
    <t>ELEMENT NO. 2: MASONRY</t>
  </si>
  <si>
    <t>ELEMENT NO. 4: WINDOWS/DOORS</t>
  </si>
  <si>
    <t>ELEMENT NO. 5: FLOOR FINISHES</t>
  </si>
  <si>
    <t>ELEMENT NO. 6: WALL FINISHES</t>
  </si>
  <si>
    <t>ELEMENT NO. 7: PAINTING AND DECORATING</t>
  </si>
  <si>
    <t>BILL NR. 3 - GROUND FLOOR</t>
  </si>
  <si>
    <t>Suspended slab 250mm thick</t>
  </si>
  <si>
    <t>689.1*0.25</t>
  </si>
  <si>
    <t>Beams (downstands below slab)</t>
  </si>
  <si>
    <t>67.8*0.3*0.35</t>
  </si>
  <si>
    <t>Columns</t>
  </si>
  <si>
    <t>5*0.75*0.5*3.6+1*0.75*0.5*3.6+2*0.75*0.5*3.6+1*0.75*0.5*1.95+1*0.75*0.5*2.45+3*1.2*0.3*3.6+6*1.2*0.3*3.6+1*1.2*0.3*3.6+15*1.2*0.3*1.95+15*1.2*0.3*2.45+1*(2.85*0.25+0.825*0.25)*3.6</t>
  </si>
  <si>
    <t>Concrete wall - shear walls to main &amp; emergency stair cores, 250mm thick</t>
  </si>
  <si>
    <t>22.05*3.6*0.25+25.57*2.25*0.25+25.57*2.45*0.25</t>
  </si>
  <si>
    <t>Concrete wall - lift walls, 250mm thick</t>
  </si>
  <si>
    <t>21.825*3.6*0.25</t>
  </si>
  <si>
    <t>Stairs</t>
  </si>
  <si>
    <t>(2.966*3.85/3.3+2.625)+(2.966*2.5/3.3+2.625)+(2.966*2.7/3.3+2.625)</t>
  </si>
  <si>
    <t>Lintels 150 x 225mm over door and window openings</t>
  </si>
  <si>
    <t>(1*(1.8+0.3)+6*(0.9+0.3)+1*(0.9+0.3)+1*(3.2+0.3)+6*(0.75+0.3)+2*(0.7+0.3)+3*(1+0.3)+2*(0.9+0.3)+3*(1.8+0.3)+2*(1.8+0.3)+2*(2.4+0.3)+1*(5.05+0.3)+2*(4.2+0.3)+1*(3.6+0.3)+1*(1.8+0.3)+1*(1.8+0.3)+1*(3.5+0.3)+3*(3.6+0.3)+2*(2.4+0.3)+2*(2.1+0.3)+4*(0.9...</t>
  </si>
  <si>
    <t>E20 FORMWORK - Formwork as described to:</t>
  </si>
  <si>
    <t>Soffits of suspended slab</t>
  </si>
  <si>
    <t>689.1</t>
  </si>
  <si>
    <t>Edges of suspended slab 250mm high</t>
  </si>
  <si>
    <t>238.4</t>
  </si>
  <si>
    <t>Sides and soffits of beams</t>
  </si>
  <si>
    <t>67.8*(2*0.35+0.3)</t>
  </si>
  <si>
    <t>5*2*(0.75+0.5)*3.6+1*2*(0.75+0.5)*3.6+2*2*(0.75+0.5)*3.6+1*2*(0.75+0.5)*1.95+1*2*(0.75+0.5)*2.45+3*2*(1.2+0.3)*3.6+6*2*(1.2+0.3)*3.6+1*2*(1.2+0.3)*3.6+15*2*(1.2+0.3)*1.95+15*2*(1.2+0.3)*2.45+1*2*(2.85+1.075)*3.6</t>
  </si>
  <si>
    <t>Concrete wall (both faces)</t>
  </si>
  <si>
    <t>2*22.05*3.6+2*21.825*3.6+2*25.57*2.25+2*25.57*2.45</t>
  </si>
  <si>
    <t>Soffits of stair flights, landings and risers</t>
  </si>
  <si>
    <t>(2*3.424*1.8+15.0+22*0.15*1.8)+(2*3.424*1.8+15.0+22*0.15*1.8)+(2*3.424*1.8+15.0+22*0.15*1.8)</t>
  </si>
  <si>
    <t>Side and soffits of lintel / coping</t>
  </si>
  <si>
    <t>E30 REINFORCEMENT - High tensile yield round bar reinforcement (standard) to BS 4449:</t>
  </si>
  <si>
    <t>10mm diameter in columns</t>
  </si>
  <si>
    <t>4.372+1.656</t>
  </si>
  <si>
    <t>20mm diameter in columns</t>
  </si>
  <si>
    <t>0.599</t>
  </si>
  <si>
    <t>S</t>
  </si>
  <si>
    <t>25mm diameter in columns</t>
  </si>
  <si>
    <t>10.083+4.303</t>
  </si>
  <si>
    <t>T</t>
  </si>
  <si>
    <t>10mm diameter in beams (links)</t>
  </si>
  <si>
    <t>1.126</t>
  </si>
  <si>
    <t>U</t>
  </si>
  <si>
    <t>16mm diameter in beams</t>
  </si>
  <si>
    <t>0.576</t>
  </si>
  <si>
    <t>V</t>
  </si>
  <si>
    <t>20mm diameter in beams</t>
  </si>
  <si>
    <t>0.814</t>
  </si>
  <si>
    <t>W</t>
  </si>
  <si>
    <t>25mm diameter in beams</t>
  </si>
  <si>
    <t>2.438</t>
  </si>
  <si>
    <t>X</t>
  </si>
  <si>
    <t>10mm diameter in shear &amp; lift walls (links)</t>
  </si>
  <si>
    <t>1.374+0.751+0.660</t>
  </si>
  <si>
    <t>Y</t>
  </si>
  <si>
    <t>12mm diameter in shear, lift &amp; ramp walls</t>
  </si>
  <si>
    <t>2.268+1.472+0.840+0.835</t>
  </si>
  <si>
    <t>Z</t>
  </si>
  <si>
    <t>25mm diameter in shear &amp; lift walls</t>
  </si>
  <si>
    <t>10.865+6.137+5.196</t>
  </si>
  <si>
    <t>12mm diameter in stairs</t>
  </si>
  <si>
    <t>0.880+0.440</t>
  </si>
  <si>
    <t>16mm diameter in stairs</t>
  </si>
  <si>
    <t>1.192+0.694</t>
  </si>
  <si>
    <t>12mm diameter for suspended slab</t>
  </si>
  <si>
    <t>25.574</t>
  </si>
  <si>
    <t>16mm diameter for suspended slab</t>
  </si>
  <si>
    <t>3.742</t>
  </si>
  <si>
    <t>F10 BRICK/BLOCK WALL - Solid sandcrete blockwork in cement and sand (1:4) mortar as described in:</t>
  </si>
  <si>
    <t>150mm thick wall</t>
  </si>
  <si>
    <t>203.6*3.6+(1*1.8*(3.05-2.4)+6*0.9*(3.05-2.2)+1*0.9*(3.05-2.35)+1*3.2*(3.05-2.2)+6*0.75*(3.05-2.2)+2*0.7*(3.05-2.2)+3*1*(3.05-2.2)+2*0.9*(3.05-2.2)+3*1.8*(3.05-2.2)+2*1.8*(3.05-2.2)+2*2.4*(3.05-2.2)+1*5.05*(3.05-2.2)+2*4.2*(3.05-2.157)+1*3.6*(3.05-...</t>
  </si>
  <si>
    <t>200mm thick wall</t>
  </si>
  <si>
    <t>33.8*3.6+(1*1.8*(3.05-2.4)+6*0.9*(3.05-2.2)+1*0.9*(3.05-2.35)+1*3.2*(3.05-2.2)+6*0.75*(3.05-2.2)+2*0.7*(3.05-2.2)+3*1*(3.05-2.2)+2*0.9*(3.05-2.2)+3*1.8*(3.05-2.2)+2*1.8*(3.05-2.2)+2*2.4*(3.05-2.2)+1*5.05*(3.05-2.2)+2*4.2*(3.05-2.157)+1*3.6*(3.05-1...</t>
  </si>
  <si>
    <t>L20 DOORS - Supply and fix the following door assemblies complete with frames, ironmongery sets to steel doors and all accessories:</t>
  </si>
  <si>
    <t>1800mm x 2400mm 2-hour fire-rated double-leaf galvanised steel door (D1)</t>
  </si>
  <si>
    <t>nr</t>
  </si>
  <si>
    <t>1</t>
  </si>
  <si>
    <t>900mm x 2200mm single leaf timber panel door (D3)</t>
  </si>
  <si>
    <t>6</t>
  </si>
  <si>
    <t>900mm x 2350mm single leaf timber panel door with fanlight (D4)</t>
  </si>
  <si>
    <t>3200mm x 2200mm 4-panel galvanised steel framed tempered glass sliding door assembly (D5)</t>
  </si>
  <si>
    <t>750mm x 2200mm single leaf timber flush door (D6)</t>
  </si>
  <si>
    <t>700mm x 2200mm single-leaf 2-hour fire-rated galvanised steel door (D7)</t>
  </si>
  <si>
    <t>2</t>
  </si>
  <si>
    <t>1000mm x 2200mm 1-hour fire-rated galvanised steel single-leaf security door assembly - emergency stairs (ED1)</t>
  </si>
  <si>
    <t>3</t>
  </si>
  <si>
    <t>900mm x 2200mm 1-hour fire-rated galvanised steel single-leaf security door assembly (D9)</t>
  </si>
  <si>
    <t>1800mm x 2200mm double-leaf 2-hour fire-rated galvanised steel refuse room door (MD1)</t>
  </si>
  <si>
    <t>1800mm x 2200mm double-leaf double-swing galvanised steel framed tempered glass door (GD1)</t>
  </si>
  <si>
    <t>2400mm x 2200mm double-leaf double-swing galvanised steel framed tempered glass door (DW1)</t>
  </si>
  <si>
    <t>5050mm x 2200mm double-leaf double-swing galvanised steel framed tempered glass door with fanlight and fixed side windows (DW2)</t>
  </si>
  <si>
    <t>Metal roller shutter door 4200mm x 2157mm (RD1)</t>
  </si>
  <si>
    <t>50mm x 150mm frames (to timber doors)</t>
  </si>
  <si>
    <t>6*(2*2.2+0.9)+1*(2*2.35+0.9)+6*(2*2.2+0.75)</t>
  </si>
  <si>
    <t>50mm x 12mm door stop</t>
  </si>
  <si>
    <t>Ironmongery - Supply and fix the following approved ironmongery to hardwood with accompanying patented screws:</t>
  </si>
  <si>
    <t>Pair 100mm brass butt hinges</t>
  </si>
  <si>
    <t>pr</t>
  </si>
  <si>
    <t>20</t>
  </si>
  <si>
    <t>Ordinary locks</t>
  </si>
  <si>
    <t>7</t>
  </si>
  <si>
    <t>Approved high quality mortice indicator lock</t>
  </si>
  <si>
    <t>ALUMINIUM GLAZED WINDOWS - Supply and install Italian extruded aluminium glazed windows, ALCOA R50 series, powder coated aluminium profile, glazed with 6mm tinted reflective glass secured onto galvanized steel sub-frames, complete with all accessories as per Architect's detail:</t>
  </si>
  <si>
    <t>4 x 2 bay alu. framed glass awning window 3600mm x 1900mm (W1)</t>
  </si>
  <si>
    <t>2 bay alu. framed glass sliding window 1800mm x 1500mm (W3)</t>
  </si>
  <si>
    <t>2 bay alu. framed glass sliding window 1800mm x 1900mm (W5)</t>
  </si>
  <si>
    <t>L-shaped alu. framed fixed glass window 1750mm x 1750mm x 1500mm (W6)</t>
  </si>
  <si>
    <t>3 bay alu. framed glass sliding window 3600mm x 2200mm (W14)</t>
  </si>
  <si>
    <t>3 x 2 alu. framed glass awning window 2400mm x 1900mm (W16)</t>
  </si>
  <si>
    <t>3 bay alu. framed glass sliding window 2100mm x 900mm (W19)</t>
  </si>
  <si>
    <t>2 bay alu. framed glass sliding window 900mm x 600mm (HW1)</t>
  </si>
  <si>
    <t>4</t>
  </si>
  <si>
    <t>2 bay alu. framed glass sliding window 750mm x 600mm (HW2)</t>
  </si>
  <si>
    <t>M10/M40 FLOOR FINISHES</t>
  </si>
  <si>
    <t>25mm cement and sand (1:3) screeded finish laid level on concrete and finished smooth with steel trowel</t>
  </si>
  <si>
    <t>749.4</t>
  </si>
  <si>
    <t>12mm cement and sand (1:4) screeded bed laid level on concrete floor to receive floor tiles</t>
  </si>
  <si>
    <t>749.4+(2*1.8*3.0+22*0.15*1.8+2.2*3.75+1.8*3.75)+(2*1.8*3.0+22*0.15*1.8+2.2*3.75+1.8*3.75)+(2*1.8*3.0+22*0.15*1.8+2.2*3.75+1.8*3.75)</t>
  </si>
  <si>
    <t>400x400mm non-slip porcelain floor tiles to washrooms &amp; WCs, adhesive, grout and cutting</t>
  </si>
  <si>
    <t>18.1</t>
  </si>
  <si>
    <t>500x500mm matte R11 porcelain tiles to staircases (treads, risers and landings)</t>
  </si>
  <si>
    <t>(2*1.8*3.0+22*0.15*1.8+2.2*3.75+1.8*3.75)+(2*1.8*3.0+22*0.15*1.8+2.2*3.75+1.8*3.75)+(2*1.8*3.0+22*0.15*1.8+2.2*3.75+1.8*3.75)</t>
  </si>
  <si>
    <t>600x600mm semi-polished porcelain floor tiles to habitable rooms, shops &amp; offices</t>
  </si>
  <si>
    <t>208.6</t>
  </si>
  <si>
    <t>600x1200mm semi-polished porcelain floor tiles to stair/lift lobbies &amp; reception</t>
  </si>
  <si>
    <t>52.0</t>
  </si>
  <si>
    <t>600x600mm non-slip R11 porcelain tiles to corridors, terraces, verandah &amp; service areas</t>
  </si>
  <si>
    <t>470.8</t>
  </si>
  <si>
    <t>Interlocking composite tiles to roof-top outdoor sitting &amp; play areas</t>
  </si>
  <si>
    <t>1.0</t>
  </si>
  <si>
    <t>M20 PLASTERED/RENDERED COATINGS - 12.5mm cement and sand (1:3) rendering as described on blockwork or concrete to:</t>
  </si>
  <si>
    <t>Interior walls</t>
  </si>
  <si>
    <t>(2*(203.6+33.8)+2*41.6-16.8-142.2)*3.6-18.1/3.8*8.0*3.6-2*(1*1.8*2.4+6*0.9*2.2+1*0.9*2.35+1*3.2*2.2+6*0.75*2.2+2*0.7*2.2+3*1*2.2+2*0.9*2.2+3*1.8*2.2+2*1.8*2.2+2*2.4*2.2+1*5.05*2.2+2*4.2*2.157)-(1*3.6*1.9+1*1.8*1.5+1*1.8*1.9+1*3.5*1.5+3*3.6*2.2+2*2...</t>
  </si>
  <si>
    <t>Interior partitions and washrooms</t>
  </si>
  <si>
    <t>18.1/3.8*8.0*3.6-18.1/3.8*0.75*2.2</t>
  </si>
  <si>
    <t>External walls</t>
  </si>
  <si>
    <t>142.2*3.85-(1*3.6*1.9+1*1.8*1.5+1*1.8*1.9+1*3.5*1.5+3*3.6*2.2+2*2.4*1.9+2*2.1*0.9+4*0.9*0.6+1*0.75*0.6)</t>
  </si>
  <si>
    <t>12mm cement and sand (1:4) screeded backing to receive wall tiles</t>
  </si>
  <si>
    <t>18.1/3.8*8.0*2.4-18.1/3.8*0.75*2.2</t>
  </si>
  <si>
    <t>Ceramic/porcelain wall tiles to washrooms to 2.4m high, adhesive &amp; grout (type TBC)</t>
  </si>
  <si>
    <t>M60 PAINTING - Prepare and apply two undercoats and finishing coat of emulsion paint on:</t>
  </si>
  <si>
    <t>Interior partitions and washrooms (above wall tiling)</t>
  </si>
  <si>
    <t>(18.1/3.8*8.0*3.6-18.1/3.8*0.75*2.2)-(18.1/3.8*8.0*2.4-18.1/3.8*0.75*2.2)</t>
  </si>
  <si>
    <t>Exterior walls</t>
  </si>
  <si>
    <t>Columns and walls; girth exceeding 300mm (exposed faces, ground &amp; parking levels)</t>
  </si>
  <si>
    <t>Soffit of plaster board ceilings</t>
  </si>
  <si>
    <t>731.3</t>
  </si>
  <si>
    <t>Soffit of plaster board ceilings for washrooms</t>
  </si>
  <si>
    <t>Knot, prime, stop and apply two undercoats and one finishing coat of gloss oil paint on general surfaces of woodwork</t>
  </si>
  <si>
    <t>6*0.9*2.2*2+1*0.9*2.35*2+6*0.75*2.2*2+(6*(2*2.2+0.9)+1*(2*2.35+0.9)+6*(2*2.2+0.75))*0.25</t>
  </si>
  <si>
    <t>Prepare and apply one coat of aluminium primer on mild steel burglar-proof bars (measured over window opening area)</t>
  </si>
  <si>
    <t>1*3.6*1.9+1*1.8*1.5+1*1.8*1.9+1*3.5*1.5+3*3.6*2.2+2*2.4*1.9+2*2.1*0.9+4*0.9*0.6+1*0.75*0.6</t>
  </si>
  <si>
    <t>Doors and windows: schedules ARCH-501/502 give building totals only (no tags on plans); quantities are allocated to floors pro-rata to measured habitable / washroom areas. Building totals equal the schedules.</t>
  </si>
  <si>
    <t xml:space="preserve"> FIRST FLOOR - LEVEL 2A PARKING (INCL. M2 LEVEL 2B)</t>
  </si>
  <si>
    <t>BILL NR. 4 - FIRST FLOOR</t>
  </si>
  <si>
    <t>737.6*0.25+650.6*0.25</t>
  </si>
  <si>
    <t>81.1*0.3*0.35+43.5*0.2*0.35+63.6*0.3*0.35</t>
  </si>
  <si>
    <t>5*0.75*0.5*2.45+1*0.75*0.5*2.45+2*0.75*0.5*2.45+1*0.75*0.5*2.45+3*1.2*0.3*2.45+6*1.2*0.3*2.45+1*1.2*0.3*2.45+15*1.2*0.3*2.45+1*(2.85*0.25+0.825*0.25)*2.45</t>
  </si>
  <si>
    <t>22.05*2.45*0.25+25.57*2.45*0.25</t>
  </si>
  <si>
    <t>21.825*2.45*0.25</t>
  </si>
  <si>
    <t>(2.966*2.7/3.3+2.625)+(2.966*2.7/3.3+2.625)</t>
  </si>
  <si>
    <t>(3*(1+0.3))*0.15*0.225</t>
  </si>
  <si>
    <t>737.6+650.6</t>
  </si>
  <si>
    <t>185.9+224.9</t>
  </si>
  <si>
    <t>81.1*(2*0.35+0.3)+43.5*(2*0.35+0.2)+63.6*(2*0.35+0.3)</t>
  </si>
  <si>
    <t>5*2*(0.75+0.5)*2.45+1*2*(0.75+0.5)*2.45+2*2*(0.75+0.5)*2.45+1*2*(0.75+0.5)*2.45+3*2*(1.2+0.3)*2.45+6*2*(1.2+0.3)*2.45+1*2*(1.2+0.3)*2.45+15*2*(1.2+0.3)*2.45+1*2*(2.85+1.075)*2.45</t>
  </si>
  <si>
    <t>2*22.05*2.45+2*21.825*2.45+2*25.57*2.45</t>
  </si>
  <si>
    <t>(2*3.424*1.8+15.0+22*0.15*1.8)+(2*3.424*1.8+15.0+22*0.15*1.8)</t>
  </si>
  <si>
    <t>(3*(1+0.3))*(2*0.225+0.15)</t>
  </si>
  <si>
    <t>2.717+1.656</t>
  </si>
  <si>
    <t>0.462+0.154</t>
  </si>
  <si>
    <t>4.634+4.062</t>
  </si>
  <si>
    <t>0.977+0.644</t>
  </si>
  <si>
    <t>0.763+0.460</t>
  </si>
  <si>
    <t>0.797+0.802</t>
  </si>
  <si>
    <t>2.973+1.624</t>
  </si>
  <si>
    <t>0.520+0.520+0.660</t>
  </si>
  <si>
    <t>0.699+0.692+0.835</t>
  </si>
  <si>
    <t>4.539+4.682+5.196</t>
  </si>
  <si>
    <t>0.440+0.440</t>
  </si>
  <si>
    <t>0.740+0.694</t>
  </si>
  <si>
    <t>27.947+23.776</t>
  </si>
  <si>
    <t>2.528+3.742</t>
  </si>
  <si>
    <t>98.4*2.45+(3*1*(3.05-2.2))*0.729</t>
  </si>
  <si>
    <t>36.6*2.45+(3*1*(3.05-2.2))*0.271</t>
  </si>
  <si>
    <t>54.8</t>
  </si>
  <si>
    <t>54.8+(2*1.8*3.0+22*0.15*1.8+2.2*3.75+1.8*3.75)+(2*1.8*3.0+22*0.15*1.8+2.2*3.75+1.8*3.75)</t>
  </si>
  <si>
    <t>(2*1.8*3.0+22*0.15*1.8+2.2*3.75+1.8*3.75)+(2*1.8*3.0+22*0.15*1.8+2.2*3.75+1.8*3.75)</t>
  </si>
  <si>
    <t>32.7</t>
  </si>
  <si>
    <t>22.2</t>
  </si>
  <si>
    <t>Seamless polyurethane (PU) resin screed / PU coating to parking decks &amp; ramps</t>
  </si>
  <si>
    <t>637.3</t>
  </si>
  <si>
    <t>(2*(98.4+36.6)+2*25.8-16.8-134.3)*2.45-0-2*(3*1*2.2)-(0)</t>
  </si>
  <si>
    <t>134.3*2.7-(0)</t>
  </si>
  <si>
    <t xml:space="preserve"> SECOND FLOOR - LEVEL 3A PARKING (INCL. MEZZANINE LEVEL 3B)</t>
  </si>
  <si>
    <t>BILL NR. 5 - SECOND FLOOR</t>
  </si>
  <si>
    <t>737.5*0.25+554.9*0.25</t>
  </si>
  <si>
    <t>79.9*0.3*0.35+43*0.2*0.35+64.3*0.3*0.35</t>
  </si>
  <si>
    <t>5*0.75*0.5*3.8+1*0.75*0.5*3.8+2*0.75*0.5*3.8+1*0.75*0.5*2.75+3*1.2*0.3*3.8+6*1.2*0.3*3.8+1*1.2*0.3*3.8+15*1.2*0.3*2.75+1*(2.85*0.25+0.825*0.25)*3.8</t>
  </si>
  <si>
    <t>22.05*3.8*0.25+25.57*2.75*0.25</t>
  </si>
  <si>
    <t>21.825*3.8*0.25</t>
  </si>
  <si>
    <t>(2.966*4.05/3.3+2.625)+(2.966*3/3.3+2.625)</t>
  </si>
  <si>
    <t>(3*(1+0.3))*0.15*0.225+(3*(1+0.3))*0.15*0.225</t>
  </si>
  <si>
    <t>737.5+554.9</t>
  </si>
  <si>
    <t>186.5+216.4</t>
  </si>
  <si>
    <t>79.9*(2*0.35+0.3)+43*(2*0.35+0.2)+64.3*(2*0.35+0.3)</t>
  </si>
  <si>
    <t>5*2*(0.75+0.5)*3.8+1*2*(0.75+0.5)*3.8+2*2*(0.75+0.5)*3.8+1*2*(0.75+0.5)*2.75+3*2*(1.2+0.3)*3.8+6*2*(1.2+0.3)*3.8+1*2*(1.2+0.3)*3.8+15*2*(1.2+0.3)*2.75+1*2*(2.85+1.075)*3.8</t>
  </si>
  <si>
    <t>2*22.05*3.8+2*21.825*3.8+2*25.57*2.75</t>
  </si>
  <si>
    <t>(3*(1+0.3))*(2*0.225+0.15)+(3*(1+0.3))*(2*0.225+0.15)</t>
  </si>
  <si>
    <t>3.239+1.656</t>
  </si>
  <si>
    <t>0.622+3.166</t>
  </si>
  <si>
    <t>6.238</t>
  </si>
  <si>
    <t>0.902+0.579</t>
  </si>
  <si>
    <t>0.740+0.406</t>
  </si>
  <si>
    <t>0.797+1.171</t>
  </si>
  <si>
    <t>2.427+0.885</t>
  </si>
  <si>
    <t>0.780+0.780+0.733</t>
  </si>
  <si>
    <t>1.092+1.082+0.939</t>
  </si>
  <si>
    <t>6.196+6.390+5.617</t>
  </si>
  <si>
    <t>35.127+33.929</t>
  </si>
  <si>
    <t>0.028</t>
  </si>
  <si>
    <t>144.5*2.45+(3*1*(3.05-2.2))*0.896+127.5*2.45+(3*1*(3.05-2.2))*0.801</t>
  </si>
  <si>
    <t>16.7*2.45+(3*1*(3.05-2.2))*0.104+31.6*2.45+(3*1*(3.05-2.2))*0.199</t>
  </si>
  <si>
    <t>3+3</t>
  </si>
  <si>
    <t>3.3+20.0</t>
  </si>
  <si>
    <t>3.3+20.0+(2*1.8*3.0+22*0.15*1.8+2.2*3.75+1.8*3.75)+(2*1.8*3.0+22*0.15*1.8+2.2*3.75+1.8*3.75)</t>
  </si>
  <si>
    <t>3.3</t>
  </si>
  <si>
    <t>20.0</t>
  </si>
  <si>
    <t>685.4+491.5</t>
  </si>
  <si>
    <t>(2*(144.5+16.7)+2*35.1-16.8-134.0)*2.45-0-2*(3*1*2.2)-(0)+(2*(127.5+31.6)+2*42.8-16.8-191.5)*2.45-0-2*(3*1*2.2)-(0)</t>
  </si>
  <si>
    <t>134.0*2.7-(0)+191.5*2.7-(0)</t>
  </si>
  <si>
    <t xml:space="preserve"> THIRD FLOOR</t>
  </si>
  <si>
    <t>BILL NR. 6 - THIRD FLOOR</t>
  </si>
  <si>
    <t>1273.9*0.25</t>
  </si>
  <si>
    <t>97.4*0.3*0.35+33.1*0.2*0.35</t>
  </si>
  <si>
    <t>5*0.75*0.5*3.05+1*0.75*0.5*3.05+2*0.75*0.5*3.05+1*0.75*0.5*3.05+3*1.2*0.3*3.05+6*1.2*0.3*3.05+1*1.2*0.3*3.05+15*1.2*0.3*3.05+1*(2.85*0.25+0.825*0.25)*3.05</t>
  </si>
  <si>
    <t>22.05*3.05*0.25+25.57*3.05*0.25</t>
  </si>
  <si>
    <t>21.825*3.05*0.25</t>
  </si>
  <si>
    <t>(2.966*3.3/3.3+2.625)+(2.966*3.3/3.3+2.625)</t>
  </si>
  <si>
    <t>(10*(1+0.3)+19*(0.9+0.3)+21*(0.75+0.3)+2*(0.7+0.3)+3*(1.2+0.3)+3*(1+0.3)+3*(1+0.3)+2*(0.9+0.3)+1*(1.5+0.3)+3*(0.9+0.3)+5*(0.75+0.3)+1*(0.45+0.3)+3*(0.6+0.3)+1*(3+0.3)+4*(1.6+0.3)+3*(1.3+0.3)+5*(1.8+0.3)+1*(1.2+0.3)+7*(1.8+0.3)+13*(0.9+0.3)+2*(1.8+...</t>
  </si>
  <si>
    <t>1273.9</t>
  </si>
  <si>
    <t>232.4</t>
  </si>
  <si>
    <t>97.4*(2*0.35+0.3)+33.1*(2*0.35+0.2)</t>
  </si>
  <si>
    <t>5*2*(0.75+0.5)*3.05+1*2*(0.75+0.5)*3.05+2*2*(0.75+0.5)*3.05+1*2*(0.75+0.5)*3.05+3*2*(1.2+0.3)*3.05+6*2*(1.2+0.3)*3.05+1*2*(1.2+0.3)*3.05+15*2*(1.2+0.3)*3.05+1*2*(2.85+1.075)*3.05</t>
  </si>
  <si>
    <t>2*22.05*3.05+2*21.825*3.05+2*25.57*3.05</t>
  </si>
  <si>
    <t>4.551</t>
  </si>
  <si>
    <t>7.133</t>
  </si>
  <si>
    <t>1.164</t>
  </si>
  <si>
    <t>1.003</t>
  </si>
  <si>
    <t>2.162</t>
  </si>
  <si>
    <t>2.016</t>
  </si>
  <si>
    <t>1.442+0.636</t>
  </si>
  <si>
    <t>1.917+0.866</t>
  </si>
  <si>
    <t>11.314+5.441</t>
  </si>
  <si>
    <t>0.880</t>
  </si>
  <si>
    <t>1.434</t>
  </si>
  <si>
    <t>56.828</t>
  </si>
  <si>
    <t>0.146</t>
  </si>
  <si>
    <t>500.0*3.05+(10*1*(3.05-2.2)+19*0.9*(3.05-2.2)+21*0.75*(3.05-2.2)+2*0.7*(3.05-2.2)+3*1.2*(3.05-2.2)+3*1*(3.05-2.2)+3*1*(3.05-2.2)+2*0.9*(3.05-2.2)+1*1.5*(3.05-2.2)+3*0.9*(3.05-2.2)+5*0.75*(3.05-2.2)+1*0.45*(3.05-2.2)+3*0.6*(3.05-2.2)+1*3*(3.05-2.2)...</t>
  </si>
  <si>
    <t>47.2*3.05+(10*1*(3.05-2.2)+19*0.9*(3.05-2.2)+21*0.75*(3.05-2.2)+2*0.7*(3.05-2.2)+3*1.2*(3.05-2.2)+3*1*(3.05-2.2)+3*1*(3.05-2.2)+2*0.9*(3.05-2.2)+1*1.5*(3.05-2.2)+3*0.9*(3.05-2.2)+5*0.75*(3.05-2.2)+1*0.45*(3.05-2.2)+3*0.6*(3.05-2.2)+1*3*(3.05-2.2)+...</t>
  </si>
  <si>
    <t>1000mm x 2200mm 1-hour fire-rated galvanised steel single-leaf security door assembly (D2)</t>
  </si>
  <si>
    <t>10</t>
  </si>
  <si>
    <t>19</t>
  </si>
  <si>
    <t>21</t>
  </si>
  <si>
    <t>1200mm x 2200mm 1-hour fire-rated leaf-and-a-half galvanised steel security door assembly (D8)</t>
  </si>
  <si>
    <t>1000mm x 2200mm 1-hour fire-rated galvanised steel single-leaf security door with translucent glass panel (ED2)</t>
  </si>
  <si>
    <t>1500mm x 2200mm timber bi-fold door (FD1)</t>
  </si>
  <si>
    <t>900mm x 2200mm screw-fixed galvanised steel service access panel (M1)</t>
  </si>
  <si>
    <t>750mm x 2200mm screw-fixed galvanised steel service access panel (M2)</t>
  </si>
  <si>
    <t>5</t>
  </si>
  <si>
    <t>450mm x 2200mm screw-fixed galvanised steel service access panel (M3)</t>
  </si>
  <si>
    <t>600mm x 2200mm screw-fixed galvanised steel service access panel (M5)</t>
  </si>
  <si>
    <t>3000mm x 2200mm 3-panel galvanised steel framed tempered glass sliding door (SD1)</t>
  </si>
  <si>
    <t>1600mm x 2200mm 2-panel galvanised steel framed tempered glass sliding door (SD2)</t>
  </si>
  <si>
    <t>1300mm x 2200mm 2-panel galvanised steel framed tempered glass sliding door (SD3)</t>
  </si>
  <si>
    <t>1800mm x 2200mm 2-panel galvanised steel framed tempered glass sliding door (SD4)</t>
  </si>
  <si>
    <t>1200mm x 2200mm 2-panel galvanised steel framed tempered glass sliding door (SD5)</t>
  </si>
  <si>
    <t>19*(2*2.2+0.9)+21*(2*2.2+0.75)+1*(2*2.2+1.5)</t>
  </si>
  <si>
    <t>60</t>
  </si>
  <si>
    <t>2 bay alu. framed glass sliding window 1800mm x 1300mm (W2)</t>
  </si>
  <si>
    <t>1 bay alu. framed glass awning window 900mm x 1300mm (W4)</t>
  </si>
  <si>
    <t>13</t>
  </si>
  <si>
    <t>2 bay alu. framed glass sliding window 1800mm x 1600mm (W7)</t>
  </si>
  <si>
    <t>1 x 3 bay alu. framed glass awning window 1200mm x 1900mm (W8)</t>
  </si>
  <si>
    <t>2 bay alu. framed glass sliding window 1200mm x 1150mm (W9)</t>
  </si>
  <si>
    <t>2 bay alu. framed glass sliding window 1200mm x 1200mm (W10)</t>
  </si>
  <si>
    <t>2 bay alu. framed glass sliding window 1500mm x 1300mm (W11)</t>
  </si>
  <si>
    <t>8</t>
  </si>
  <si>
    <t>2 bay alu. framed glass sliding window 1500mm x 1150mm (W12)</t>
  </si>
  <si>
    <t>3 bay alu. framed glass awning window 2400mm x 1300mm (W13)</t>
  </si>
  <si>
    <t>3 bay alu. framed glass sliding window 3000mm x 1600mm (W15)</t>
  </si>
  <si>
    <t>2 x 3 alu. framed glass awning window 1800mm x 1900mm (W17)</t>
  </si>
  <si>
    <t>1 bay alu. framed glass awning window 750mm x 1300mm (W18)</t>
  </si>
  <si>
    <t>2 x 3 alu. framed glass awning window 1450mm x 1900mm (W20)</t>
  </si>
  <si>
    <t>12</t>
  </si>
  <si>
    <t>2 bay alu. framed glass sliding window 600mm x 600mm (HW3)</t>
  </si>
  <si>
    <t>2 bay alu. framed glass sliding window 1200mm x 600mm (HW4)</t>
  </si>
  <si>
    <t>968.0</t>
  </si>
  <si>
    <t>968.0+(2*1.8*3.0+22*0.15*1.8+2.2*3.75+1.8*3.75)+(2*1.8*3.0+22*0.15*1.8+2.2*3.75+1.8*3.75)</t>
  </si>
  <si>
    <t>59.2</t>
  </si>
  <si>
    <t>681.7</t>
  </si>
  <si>
    <t>27.3</t>
  </si>
  <si>
    <t>199.8</t>
  </si>
  <si>
    <t>(2*(500.0+47.2)+2*49.4-16.8-148.0)*3.05-59.2/3.8*8.0*3.05-2*(10*1*2.2+19*0.9*2.2+21*0.75*2.2+2*0.7*2.2+3*1.2*2.2+3*1*2.2+3*1*2.2+2*0.9*2.2+1*1.5*2.2+3*0.9*2.2+5*0.75*2.2+1*0.45*2.2+3*0.6*2.2+1*3*2.2+4*1.6*2.2+3*1.3*2.2+5*1.8*2.2+1*1.2*2.2)-(7*1.8*...</t>
  </si>
  <si>
    <t>59.2/3.8*8.0*3.05-59.2/3.8*0.75*2.2</t>
  </si>
  <si>
    <t>148.0*3.3-(7*1.8*1.3+13*0.9*1.3+2*1.8*1.6+4*1.2*1.9+10*1.2*1.15+1*1.2*1.2+8*1.5*1.3+4*1.5*1.15+1*2.4*1.3+1*3*1.6+4*1.8*1.9+1*0.75*1.3+1*1.45*1.9+12*0.9*0.6+5*0.75*0.6+1*0.6*0.6+1*1.2*0.6)</t>
  </si>
  <si>
    <t>59.2/3.8*8.0*2.4-59.2/3.8*0.75*2.2</t>
  </si>
  <si>
    <t>(59.2/3.8*8.0*3.05-59.2/3.8*0.75*2.2)-(59.2/3.8*8.0*2.4-59.2/3.8*0.75*2.2)</t>
  </si>
  <si>
    <t>908.8</t>
  </si>
  <si>
    <t>19*0.9*2.2*2+21*0.75*2.2*2+1*1.5*2.2*2+(19*(2*2.2+0.9)+21*(2*2.2+0.75)+1*(2*2.2+1.5))*0.25</t>
  </si>
  <si>
    <t>7*1.8*1.3+13*0.9*1.3+2*1.8*1.6+4*1.2*1.9+10*1.2*1.15+1*1.2*1.2+8*1.5*1.3+4*1.5*1.15+1*2.4*1.3+1*3*1.6+4*1.8*1.9+1*0.75*1.3+1*1.45*1.9+12*0.9*0.6+5*0.75*0.6+1*0.6*0.6+1*1.2*0.6</t>
  </si>
  <si>
    <t xml:space="preserve"> FOURTH FLOOR</t>
  </si>
  <si>
    <t>BILL NR. 7 - FOURTH FLOOR</t>
  </si>
  <si>
    <t>1134.6*0.25</t>
  </si>
  <si>
    <t>166.8*0.3*0.35+33.1*0.2*0.35</t>
  </si>
  <si>
    <t>(8*(1+0.3)+15*(0.9+0.3)+22*(0.75+0.3)+1*(0.7+0.3)+3*(1.2+0.3)+3*(1+0.3)+3*(1+0.3)+2*(0.9+0.3)+1*(1.5+0.3)+3*(0.9+0.3)+5*(0.75+0.3)+1*(0.45+0.3)+3*(0.6+0.3)+1*(3+0.3)+4*(1.6+0.3)+2*(1.3+0.3)+4*(1.8+0.3)+1*(1.2+0.3)+6*(1.8+0.3)+10*(0.9+0.3)+2*(1.8+0...</t>
  </si>
  <si>
    <t>1134.6</t>
  </si>
  <si>
    <t>294.6</t>
  </si>
  <si>
    <t>166.8*(2*0.35+0.3)+33.1*(2*0.35+0.2)</t>
  </si>
  <si>
    <t>1.806</t>
  </si>
  <si>
    <t>1.248</t>
  </si>
  <si>
    <t>2.135</t>
  </si>
  <si>
    <t>5.507</t>
  </si>
  <si>
    <t>20mm diameter in shear &amp; lift walls</t>
  </si>
  <si>
    <t>6.904</t>
  </si>
  <si>
    <t>5.441</t>
  </si>
  <si>
    <t>49.804</t>
  </si>
  <si>
    <t>0.151</t>
  </si>
  <si>
    <t>443.9*3.05+(8*1*(3.05-2.2)+15*0.9*(3.05-2.2)+22*0.75*(3.05-2.2)+1*0.7*(3.05-2.2)+3*1.2*(3.05-2.2)+3*1*(3.05-2.2)+3*1*(3.05-2.2)+2*0.9*(3.05-2.2)+1*1.5*(3.05-2.2)+3*0.9*(3.05-2.2)+5*0.75*(3.05-2.2)+1*0.45*(3.05-2.2)+3*0.6*(3.05-2.2)+1*3*(3.05-2.2)+...</t>
  </si>
  <si>
    <t>55.3*3.05+(8*1*(3.05-2.2)+15*0.9*(3.05-2.2)+22*0.75*(3.05-2.2)+1*0.7*(3.05-2.2)+3*1.2*(3.05-2.2)+3*1*(3.05-2.2)+3*1*(3.05-2.2)+2*0.9*(3.05-2.2)+1*1.5*(3.05-2.2)+3*0.9*(3.05-2.2)+5*0.75*(3.05-2.2)+1*0.45*(3.05-2.2)+3*0.6*(3.05-2.2)+1*3*(3.05-2.2)+4...</t>
  </si>
  <si>
    <t>15</t>
  </si>
  <si>
    <t>22</t>
  </si>
  <si>
    <t>15*(2*2.2+0.9)+22*(2*2.2+0.75)+1*(2*2.2+1.5)</t>
  </si>
  <si>
    <t>56</t>
  </si>
  <si>
    <t>859.9</t>
  </si>
  <si>
    <t>859.9+(2*1.8*3.0+22*0.15*1.8+2.2*3.75+1.8*3.75)+(2*1.8*3.0+22*0.15*1.8+2.2*3.75+1.8*3.75)</t>
  </si>
  <si>
    <t>62.1</t>
  </si>
  <si>
    <t>560.1</t>
  </si>
  <si>
    <t>33.7</t>
  </si>
  <si>
    <t>204.0</t>
  </si>
  <si>
    <t>(2*(443.9+55.3)+2*46.5-16.8-224.2)*3.05-62.1/3.8*8.0*3.05-2*(8*1*2.2+15*0.9*2.2+22*0.75*2.2+1*0.7*2.2+3*1.2*2.2+3*1*2.2+3*1*2.2+2*0.9*2.2+1*1.5*2.2+3*0.9*2.2+5*0.75*2.2+1*0.45*2.2+3*0.6*2.2+1*3*2.2+4*1.6*2.2+2*1.3*2.2+4*1.8*2.2+1*1.2*2.2)-(6*1.8*1...</t>
  </si>
  <si>
    <t>62.1/3.8*8.0*3.05-62.1/3.8*0.75*2.2</t>
  </si>
  <si>
    <t>224.2*3.3-(6*1.8*1.3+10*0.9*1.3+2*1.8*1.6+3*1.2*1.9+8*1.2*1.15+1*1.2*1.2+7*1.5*1.3+4*1.5*1.15+1*2.4*1.3+1*3*1.6+3*1.8*1.9+1*0.75*1.3+1*1.45*1.9+13*0.9*0.6+5*0.75*0.6+2*0.6*0.6+2*1.2*0.6)</t>
  </si>
  <si>
    <t>62.1/3.8*8.0*2.4-62.1/3.8*0.75*2.2</t>
  </si>
  <si>
    <t>(62.1/3.8*8.0*3.05-62.1/3.8*0.75*2.2)-(62.1/3.8*8.0*2.4-62.1/3.8*0.75*2.2)</t>
  </si>
  <si>
    <t>797.9</t>
  </si>
  <si>
    <t>15*0.9*2.2*2+22*0.75*2.2*2+1*1.5*2.2*2+(15*(2*2.2+0.9)+22*(2*2.2+0.75)+1*(2*2.2+1.5))*0.25</t>
  </si>
  <si>
    <t>6*1.8*1.3+10*0.9*1.3+2*1.8*1.6+3*1.2*1.9+8*1.2*1.15+1*1.2*1.2+7*1.5*1.3+4*1.5*1.15+1*2.4*1.3+1*3*1.6+3*1.8*1.9+1*0.75*1.3+1*1.45*1.9+13*0.9*0.6+5*0.75*0.6+2*0.6*0.6+2*1.2*0.6</t>
  </si>
  <si>
    <t xml:space="preserve"> FIFTH FLOOR</t>
  </si>
  <si>
    <t>BILL NR. 8 - FIFTH FLOOR</t>
  </si>
  <si>
    <t>(7*(1+0.3)+15*(0.9+0.3)+20*(0.75+0.3)+1*(0.7+0.3)+3*(1.2+0.3)+3*(1+0.3)+3*(1+0.3)+1*(0.9+0.3)+1*(1.5+0.3)+2*(0.9+0.3)+5*(0.75+0.3)+1*(0.45+0.3)+3*(0.6+0.3)+1*(3+0.3)+3*(1.6+0.3)+2*(1.3+0.3)+4*(1.8+0.3)+1*(1.2+0.3)+6*(1.8+0.3)+10*(0.9+0.3)+1*(1.8+0...</t>
  </si>
  <si>
    <t>6.904+3.320</t>
  </si>
  <si>
    <t>447.7*3.05+(7*1*(3.05-2.2)+15*0.9*(3.05-2.2)+20*0.75*(3.05-2.2)+1*0.7*(3.05-2.2)+3*1.2*(3.05-2.2)+3*1*(3.05-2.2)+3*1*(3.05-2.2)+1*0.9*(3.05-2.2)+1*1.5*(3.05-2.2)+2*0.9*(3.05-2.2)+5*0.75*(3.05-2.2)+1*0.45*(3.05-2.2)+3*0.6*(3.05-2.2)+1*3*(3.05-2.2)+...</t>
  </si>
  <si>
    <t>49.2*3.05+(7*1*(3.05-2.2)+15*0.9*(3.05-2.2)+20*0.75*(3.05-2.2)+1*0.7*(3.05-2.2)+3*1.2*(3.05-2.2)+3*1*(3.05-2.2)+3*1*(3.05-2.2)+1*0.9*(3.05-2.2)+1*1.5*(3.05-2.2)+2*0.9*(3.05-2.2)+5*0.75*(3.05-2.2)+1*0.45*(3.05-2.2)+3*0.6*(3.05-2.2)+1*3*(3.05-2.2)+3...</t>
  </si>
  <si>
    <t>15*(2*2.2+0.9)+20*(2*2.2+0.75)+1*(2*2.2+1.5)</t>
  </si>
  <si>
    <t>53</t>
  </si>
  <si>
    <t>850.7</t>
  </si>
  <si>
    <t>850.7+(2*1.8*3.0+22*0.15*1.8+2.2*3.75+1.8*3.75)+(2*1.8*3.0+22*0.15*1.8+2.2*3.75+1.8*3.75)</t>
  </si>
  <si>
    <t>56.0</t>
  </si>
  <si>
    <t>534.9</t>
  </si>
  <si>
    <t>33.8</t>
  </si>
  <si>
    <t>225.9</t>
  </si>
  <si>
    <t>(2*(447.7+49.2)+2*67.8-16.8-224.2)*3.05-56.0/3.8*8.0*3.05-2*(7*1*2.2+15*0.9*2.2+20*0.75*2.2+1*0.7*2.2+3*1.2*2.2+3*1*2.2+3*1*2.2+1*0.9*2.2+1*1.5*2.2+2*0.9*2.2+5*0.75*2.2+1*0.45*2.2+3*0.6*2.2+1*3*2.2+3*1.6*2.2+2*1.3*2.2+4*1.8*2.2+1*1.2*2.2)-(6*1.8*1...</t>
  </si>
  <si>
    <t>56.0/3.8*8.0*3.05-56.0/3.8*0.75*2.2</t>
  </si>
  <si>
    <t>224.2*3.3-(6*1.8*1.3+10*0.9*1.3+1*1.8*1.6+3*1.2*1.9+8*1.2*1.15+1*1.2*1.2+6*1.5*1.3+3*1.5*1.15+1*2.4*1.3+1*3*1.6+3*1.8*1.9+1*0.75*1.3+1*1.45*1.9+12*0.9*0.6+4*0.75*0.6+1*0.6*0.6+1*1.2*0.6)</t>
  </si>
  <si>
    <t>56.0/3.8*8.0*2.4-56.0/3.8*0.75*2.2</t>
  </si>
  <si>
    <t>(56.0/3.8*8.0*3.05-56.0/3.8*0.75*2.2)-(56.0/3.8*8.0*2.4-56.0/3.8*0.75*2.2)</t>
  </si>
  <si>
    <t>794.7</t>
  </si>
  <si>
    <t>15*0.9*2.2*2+20*0.75*2.2*2+1*1.5*2.2*2+(15*(2*2.2+0.9)+20*(2*2.2+0.75)+1*(2*2.2+1.5))*0.25</t>
  </si>
  <si>
    <t>6*1.8*1.3+10*0.9*1.3+1*1.8*1.6+3*1.2*1.9+8*1.2*1.15+1*1.2*1.2+6*1.5*1.3+3*1.5*1.15+1*2.4*1.3+1*3*1.6+3*1.8*1.9+1*0.75*1.3+1*1.45*1.9+12*0.9*0.6+4*0.75*0.6+1*0.6*0.6+1*1.2*0.6</t>
  </si>
  <si>
    <t xml:space="preserve"> SIXTH FLOOR</t>
  </si>
  <si>
    <t>BILL NR. 9 - SIXTH FLOOR</t>
  </si>
  <si>
    <t>(8*(1+0.3)+15*(0.9+0.3)+21*(0.75+0.3)+1*(0.7+0.3)+3*(1.2+0.3)+3*(1+0.3)+3*(1+0.3)+1*(0.9+0.3)+1*(1.5+0.3)+2*(0.9+0.3)+5*(0.75+0.3)+1*(0.45+0.3)+3*(0.6+0.3)+1*(3+0.3)+4*(1.6+0.3)+2*(1.3+0.3)+4*(1.8+0.3)+1*(1.2+0.3)+6*(1.8+0.3)+10*(0.9+0.3)+2*(1.8+0...</t>
  </si>
  <si>
    <t>465.9*3.05+(8*1*(3.05-2.2)+15*0.9*(3.05-2.2)+21*0.75*(3.05-2.2)+1*0.7*(3.05-2.2)+3*1.2*(3.05-2.2)+3*1*(3.05-2.2)+3*1*(3.05-2.2)+1*0.9*(3.05-2.2)+1*1.5*(3.05-2.2)+2*0.9*(3.05-2.2)+5*0.75*(3.05-2.2)+1*0.45*(3.05-2.2)+3*0.6*(3.05-2.2)+1*3*(3.05-2.2)+...</t>
  </si>
  <si>
    <t>50.0*3.05+(8*1*(3.05-2.2)+15*0.9*(3.05-2.2)+21*0.75*(3.05-2.2)+1*0.7*(3.05-2.2)+3*1.2*(3.05-2.2)+3*1*(3.05-2.2)+3*1*(3.05-2.2)+1*0.9*(3.05-2.2)+1*1.5*(3.05-2.2)+2*0.9*(3.05-2.2)+5*0.75*(3.05-2.2)+1*0.45*(3.05-2.2)+3*0.6*(3.05-2.2)+1*3*(3.05-2.2)+4...</t>
  </si>
  <si>
    <t>15*(2*2.2+0.9)+21*(2*2.2+0.75)+1*(2*2.2+1.5)</t>
  </si>
  <si>
    <t>54</t>
  </si>
  <si>
    <t>872.1</t>
  </si>
  <si>
    <t>872.1+(2*1.8*3.0+22*0.15*1.8+2.2*3.75+1.8*3.75)+(2*1.8*3.0+22*0.15*1.8+2.2*3.75+1.8*3.75)</t>
  </si>
  <si>
    <t>61.4</t>
  </si>
  <si>
    <t>546.6</t>
  </si>
  <si>
    <t>33.9</t>
  </si>
  <si>
    <t>230.3</t>
  </si>
  <si>
    <t>(2*(465.9+50.0)+2*64.6-16.8-224.2)*3.05-61.4/3.8*8.0*3.05-2*(8*1*2.2+15*0.9*2.2+21*0.75*2.2+1*0.7*2.2+3*1.2*2.2+3*1*2.2+3*1*2.2+1*0.9*2.2+1*1.5*2.2+2*0.9*2.2+5*0.75*2.2+1*0.45*2.2+3*0.6*2.2+1*3*2.2+4*1.6*2.2+2*1.3*2.2+4*1.8*2.2+1*1.2*2.2)-(6*1.8*1...</t>
  </si>
  <si>
    <t>61.4/3.8*8.0*3.05-61.4/3.8*0.75*2.2</t>
  </si>
  <si>
    <t>224.2*3.3-(6*1.8*1.3+10*0.9*1.3+2*1.8*1.6+3*1.2*1.9+8*1.2*1.15+1*1.2*1.2+6*1.5*1.3+4*1.5*1.15+1*2.4*1.3+1*3*1.6+3*1.8*1.9+1*0.75*1.3+1*1.45*1.9+13*0.9*0.6+5*0.75*0.6+2*0.6*0.6+2*1.2*0.6)</t>
  </si>
  <si>
    <t>61.4/3.8*8.0*2.4-61.4/3.8*0.75*2.2</t>
  </si>
  <si>
    <t>(61.4/3.8*8.0*3.05-61.4/3.8*0.75*2.2)-(61.4/3.8*8.0*2.4-61.4/3.8*0.75*2.2)</t>
  </si>
  <si>
    <t>810.7</t>
  </si>
  <si>
    <t>15*0.9*2.2*2+21*0.75*2.2*2+1*1.5*2.2*2+(15*(2*2.2+0.9)+21*(2*2.2+0.75)+1*(2*2.2+1.5))*0.25</t>
  </si>
  <si>
    <t>6*1.8*1.3+10*0.9*1.3+2*1.8*1.6+3*1.2*1.9+8*1.2*1.15+1*1.2*1.2+6*1.5*1.3+4*1.5*1.15+1*2.4*1.3+1*3*1.6+3*1.8*1.9+1*0.75*1.3+1*1.45*1.9+13*0.9*0.6+5*0.75*0.6+2*0.6*0.6+2*1.2*0.6</t>
  </si>
  <si>
    <t xml:space="preserve"> SEVENTH FLOOR</t>
  </si>
  <si>
    <t>BILL NR. 10 - SEVENTH FLOOR</t>
  </si>
  <si>
    <t>(8*(1+0.3)+15*(0.9+0.3)+20*(0.75+0.3)+1*(0.7+0.3)+3*(1.2+0.3)+3*(1+0.3)+2*(1+0.3)+1*(0.9+0.3)+1*(1.5+0.3)+2*(0.9+0.3)+4*(0.75+0.3)+1*(0.45+0.3)+3*(0.6+0.3)+1*(3+0.3)+4*(1.6+0.3)+2*(1.3+0.3)+4*(1.8+0.3)+1*(1.2+0.3)+6*(1.8+0.3)+10*(0.9+0.3)+1*(1.8+0...</t>
  </si>
  <si>
    <t>449.8*3.05+(8*1*(3.05-2.2)+15*0.9*(3.05-2.2)+20*0.75*(3.05-2.2)+1*0.7*(3.05-2.2)+3*1.2*(3.05-2.2)+3*1*(3.05-2.2)+2*1*(3.05-2.2)+1*0.9*(3.05-2.2)+1*1.5*(3.05-2.2)+2*0.9*(3.05-2.2)+4*0.75*(3.05-2.2)+1*0.45*(3.05-2.2)+3*0.6*(3.05-2.2)+1*3*(3.05-2.2)+...</t>
  </si>
  <si>
    <t>50.1*3.05+(8*1*(3.05-2.2)+15*0.9*(3.05-2.2)+20*0.75*(3.05-2.2)+1*0.7*(3.05-2.2)+3*1.2*(3.05-2.2)+3*1*(3.05-2.2)+2*1*(3.05-2.2)+1*0.9*(3.05-2.2)+1*1.5*(3.05-2.2)+2*0.9*(3.05-2.2)+4*0.75*(3.05-2.2)+1*0.45*(3.05-2.2)+3*0.6*(3.05-2.2)+1*3*(3.05-2.2)+4...</t>
  </si>
  <si>
    <t>863.1</t>
  </si>
  <si>
    <t>863.1+(2*1.8*3.0+22*0.15*1.8+2.2*3.75+1.8*3.75)+(2*1.8*3.0+22*0.15*1.8+2.2*3.75+1.8*3.75)</t>
  </si>
  <si>
    <t>57.5</t>
  </si>
  <si>
    <t>535.8</t>
  </si>
  <si>
    <t>236.0</t>
  </si>
  <si>
    <t>(2*(449.8+50.1)+2*67.4-16.8-224.2)*3.05-57.5/3.8*8.0*3.05-2*(8*1*2.2+15*0.9*2.2+20*0.75*2.2+1*0.7*2.2+3*1.2*2.2+3*1*2.2+2*1*2.2+1*0.9*2.2+1*1.5*2.2+2*0.9*2.2+4*0.75*2.2+1*0.45*2.2+3*0.6*2.2+1*3*2.2+4*1.6*2.2+2*1.3*2.2+4*1.8*2.2+1*1.2*2.2)-(6*1.8*1...</t>
  </si>
  <si>
    <t>57.5/3.8*8.0*3.05-57.5/3.8*0.75*2.2</t>
  </si>
  <si>
    <t>224.2*3.3-(6*1.8*1.3+10*0.9*1.3+1*1.8*1.6+3*1.2*1.9+8*1.2*1.15+1*1.2*1.2+6*1.5*1.3+3*1.5*1.15+1*2.4*1.3+1*3*1.6+3*1.8*1.9+1*0.75*1.3+1*1.45*1.9+12*0.9*0.6+5*0.75*0.6+1*0.6*0.6+1*1.2*0.6)</t>
  </si>
  <si>
    <t>57.5/3.8*8.0*2.4-57.5/3.8*0.75*2.2</t>
  </si>
  <si>
    <t>(57.5/3.8*8.0*3.05-57.5/3.8*0.75*2.2)-(57.5/3.8*8.0*2.4-57.5/3.8*0.75*2.2)</t>
  </si>
  <si>
    <t>805.7</t>
  </si>
  <si>
    <t>6*1.8*1.3+10*0.9*1.3+1*1.8*1.6+3*1.2*1.9+8*1.2*1.15+1*1.2*1.2+6*1.5*1.3+3*1.5*1.15+1*2.4*1.3+1*3*1.6+3*1.8*1.9+1*0.75*1.3+1*1.45*1.9+12*0.9*0.6+5*0.75*0.6+1*0.6*0.6+1*1.2*0.6</t>
  </si>
  <si>
    <t xml:space="preserve"> EIGHTH FLOOR</t>
  </si>
  <si>
    <t>BILL NR. 11 - EIGHTH FLOOR</t>
  </si>
  <si>
    <t>(8*(1+0.3)+15*(0.9+0.3)+21*(0.75+0.3)+1*(0.7+0.3)+2*(1.2+0.3)+3*(1+0.3)+2*(1+0.3)+1*(0.9+0.3)+1*(1.5+0.3)+2*(0.9+0.3)+4*(0.75+0.3)+1*(0.45+0.3)+3*(0.6+0.3)+1*(3+0.3)+4*(1.6+0.3)+2*(1.3+0.3)+4*(1.8+0.3)+1*(1.2+0.3)+6*(1.8+0.3)+10*(0.9+0.3)+2*(1.8+0...</t>
  </si>
  <si>
    <t>4.509</t>
  </si>
  <si>
    <t>6.299</t>
  </si>
  <si>
    <t>0.624</t>
  </si>
  <si>
    <t>441.2*3.05+(8*1*(3.05-2.2)+15*0.9*(3.05-2.2)+21*0.75*(3.05-2.2)+1*0.7*(3.05-2.2)+2*1.2*(3.05-2.2)+3*1*(3.05-2.2)+2*1*(3.05-2.2)+1*0.9*(3.05-2.2)+1*1.5*(3.05-2.2)+2*0.9*(3.05-2.2)+4*0.75*(3.05-2.2)+1*0.45*(3.05-2.2)+3*0.6*(3.05-2.2)+1*3*(3.05-2.2)+...</t>
  </si>
  <si>
    <t>51.7*3.05+(8*1*(3.05-2.2)+15*0.9*(3.05-2.2)+21*0.75*(3.05-2.2)+1*0.7*(3.05-2.2)+2*1.2*(3.05-2.2)+3*1*(3.05-2.2)+2*1*(3.05-2.2)+1*0.9*(3.05-2.2)+1*1.5*(3.05-2.2)+2*0.9*(3.05-2.2)+4*0.75*(3.05-2.2)+1*0.45*(3.05-2.2)+3*0.6*(3.05-2.2)+1*3*(3.05-2.2)+4...</t>
  </si>
  <si>
    <t>862.9</t>
  </si>
  <si>
    <t>862.9+(2*1.8*3.0+22*0.15*1.8+2.2*3.75+1.8*3.75)+(2*1.8*3.0+22*0.15*1.8+2.2*3.75+1.8*3.75)</t>
  </si>
  <si>
    <t>60.4</t>
  </si>
  <si>
    <t>558.9</t>
  </si>
  <si>
    <t>209.7</t>
  </si>
  <si>
    <t>(2*(441.2+51.7)+2*67.3-16.8-224.2)*3.05-60.4/3.8*8.0*3.05-2*(8*1*2.2+15*0.9*2.2+21*0.75*2.2+1*0.7*2.2+2*1.2*2.2+3*1*2.2+2*1*2.2+1*0.9*2.2+1*1.5*2.2+2*0.9*2.2+4*0.75*2.2+1*0.45*2.2+3*0.6*2.2+1*3*2.2+4*1.6*2.2+2*1.3*2.2+4*1.8*2.2+1*1.2*2.2)-(6*1.8*1...</t>
  </si>
  <si>
    <t>60.4/3.8*8.0*3.05-60.4/3.8*0.75*2.2</t>
  </si>
  <si>
    <t>60.4/3.8*8.0*2.4-60.4/3.8*0.75*2.2</t>
  </si>
  <si>
    <t>(60.4/3.8*8.0*3.05-60.4/3.8*0.75*2.2)-(60.4/3.8*8.0*2.4-60.4/3.8*0.75*2.2)</t>
  </si>
  <si>
    <t>802.4</t>
  </si>
  <si>
    <t xml:space="preserve"> NINTH FLOOR</t>
  </si>
  <si>
    <t>ELEMENT NO. 3: WATERPROOFING</t>
  </si>
  <si>
    <t>BILL NR. 12 - NINTH FLOOR</t>
  </si>
  <si>
    <t>1134.4*0.25</t>
  </si>
  <si>
    <t>186.5*0.3*0.35+33.1*0.2*0.35</t>
  </si>
  <si>
    <t>1*0.75*0.5*3.05+2*0.75*0.5*3.05+1*0.75*0.5*3.05+6*1.2*0.3*3.05+1*1.2*0.3*3.05+15*1.2*0.3*3.05</t>
  </si>
  <si>
    <t>(4*(1+0.3)+8*(0.9+0.3)+17*(0.75+0.3)+1*(0.7+0.3)+2*(1.2+0.3)+2*(1+0.3)+2*(1+0.3)+1*(0.9+0.3)+2*(0.9+0.3)+4*(0.75+0.3)+1*(0.45+0.3)+3*(0.6+0.3)+1*(3+0.3)+2*(1.6+0.3)+1*(1.3+0.3)+2*(1.8+0.3)+3*(1.8+0.3)+6*(0.9+0.3)+1*(1.8+0.3)+1*(1.2+0.3)+5*(1.2+0.3...</t>
  </si>
  <si>
    <t>1134.4</t>
  </si>
  <si>
    <t>294.5</t>
  </si>
  <si>
    <t>186.5*(2*0.35+0.3)+33.1*(2*0.35+0.2)</t>
  </si>
  <si>
    <t>1*2*(0.75+0.5)*3.05+2*2*(0.75+0.5)*3.05+1*2*(0.75+0.5)*3.05+6*2*(1.2+0.3)*3.05+1*2*(1.2+0.3)*3.05+15*2*(1.2+0.3)*3.05</t>
  </si>
  <si>
    <t>3.235</t>
  </si>
  <si>
    <t>5.111</t>
  </si>
  <si>
    <t>2.032</t>
  </si>
  <si>
    <t>1.163</t>
  </si>
  <si>
    <t>2.461</t>
  </si>
  <si>
    <t>6.491</t>
  </si>
  <si>
    <t>2.109+0.952</t>
  </si>
  <si>
    <t>50.007</t>
  </si>
  <si>
    <t>397.2*3.05+(4*1*(3.05-2.2)+8*0.9*(3.05-2.2)+17*0.75*(3.05-2.2)+1*0.7*(3.05-2.2)+2*1.2*(3.05-2.2)+2*1*(3.05-2.2)+2*1*(3.05-2.2)+1*0.9*(3.05-2.2)+2*0.9*(3.05-2.2)+4*0.75*(3.05-2.2)+1*0.45*(3.05-2.2)+3*0.6*(3.05-2.2)+1*3*(3.05-2.2)+2*1.6*(3.05-2.2)+1...</t>
  </si>
  <si>
    <t>25.6*3.05+(4*1*(3.05-2.2)+8*0.9*(3.05-2.2)+17*0.75*(3.05-2.2)+1*0.7*(3.05-2.2)+2*1.2*(3.05-2.2)+2*1*(3.05-2.2)+2*1*(3.05-2.2)+1*0.9*(3.05-2.2)+2*0.9*(3.05-2.2)+4*0.75*(3.05-2.2)+1*0.45*(3.05-2.2)+3*0.6*(3.05-2.2)+1*3*(3.05-2.2)+2*1.6*(3.05-2.2)+1*...</t>
  </si>
  <si>
    <t>WATERPROOFING</t>
  </si>
  <si>
    <t>Liquid/applied waterproofing to roofs, terraces and wet external areas</t>
  </si>
  <si>
    <t>337.4</t>
  </si>
  <si>
    <t>Protective cement-sand screed over waterproofing</t>
  </si>
  <si>
    <t>17</t>
  </si>
  <si>
    <t>8*(2*2.2+0.9)+17*(2*2.2+0.75)</t>
  </si>
  <si>
    <t>38</t>
  </si>
  <si>
    <t>572.7</t>
  </si>
  <si>
    <t>572.7+(2*1.8*3.0+22*0.15*1.8+2.2*3.75+1.8*3.75)+(2*1.8*3.0+22*0.15*1.8+2.2*3.75+1.8*3.75)</t>
  </si>
  <si>
    <t>48.7</t>
  </si>
  <si>
    <t>293.7</t>
  </si>
  <si>
    <t>196.5</t>
  </si>
  <si>
    <t>(2*(397.2+25.6)+2*51.7-16.8-224.1)*3.05-48.7/3.8*8.0*3.05-2*(4*1*2.2+8*0.9*2.2+17*0.75*2.2+1*0.7*2.2+2*1.2*2.2+2*1*2.2+2*1*2.2+1*0.9*2.2+2*0.9*2.2+4*0.75*2.2+1*0.45*2.2+3*0.6*2.2+1*3*2.2+2*1.6*2.2+1*1.3*2.2+2*1.8*2.2)-(3*1.8*1.3+6*0.9*1.3+1*1.8*1....</t>
  </si>
  <si>
    <t>48.7/3.8*8.0*3.05-48.7/3.8*0.75*2.2</t>
  </si>
  <si>
    <t>224.1*3.3-(3*1.8*1.3+6*0.9*1.3+1*1.8*1.6+1*1.2*1.9+5*1.2*1.15+1*1.2*1.2+3*1.5*1.3+2*1.5*1.15+1*3*1.6+1*1.8*1.9+10*0.9*0.6+4*0.75*0.6+1*0.6*0.6+1*1.2*0.6)</t>
  </si>
  <si>
    <t>48.7/3.8*8.0*2.4-48.7/3.8*0.75*2.2</t>
  </si>
  <si>
    <t>(48.7/3.8*8.0*3.05-48.7/3.8*0.75*2.2)-(48.7/3.8*8.0*2.4-48.7/3.8*0.75*2.2)</t>
  </si>
  <si>
    <t>524.0</t>
  </si>
  <si>
    <t>8*0.9*2.2*2+17*0.75*2.2*2+(8*(2*2.2+0.9)+17*(2*2.2+0.75))*0.25</t>
  </si>
  <si>
    <t>3*1.8*1.3+6*0.9*1.3+1*1.8*1.6+1*1.2*1.9+5*1.2*1.15+1*1.2*1.2+3*1.5*1.3+2*1.5*1.15+1*3*1.6+1*1.8*1.9+10*0.9*0.6+4*0.75*0.6+1*0.6*0.6+1*1.2*0.6</t>
  </si>
  <si>
    <t xml:space="preserve"> TENTH FLOOR</t>
  </si>
  <si>
    <t>BILL NR. 13 - TENTH FLOOR</t>
  </si>
  <si>
    <t>868.4*0.25</t>
  </si>
  <si>
    <t>122.2*0.3*0.35+14.2*0.2*0.35</t>
  </si>
  <si>
    <t>(6*(1+0.3)+11*(0.9+0.3)+16*(0.75+0.3)+1*(0.7+0.3)+2*(1.2+0.3)+2*(1+0.3)+2*(1+0.3)+1*(0.9+0.3)+1*(1.5+0.3)+2*(0.9+0.3)+4*(0.75+0.3)+1*(0.45+0.3)+3*(0.6+0.3)+1*(3+0.3)+3*(1.6+0.3)+2*(1.3+0.3)+3*(1.8+0.3)+1*(1.2+0.3)+4*(1.8+0.3)+8*(0.9+0.3)+1*(1.8+0....</t>
  </si>
  <si>
    <t>868.4</t>
  </si>
  <si>
    <t>252.6</t>
  </si>
  <si>
    <t>122.2*(2*0.35+0.3)+14.2*(2*0.35+0.2)</t>
  </si>
  <si>
    <t>2.468</t>
  </si>
  <si>
    <t>4.084</t>
  </si>
  <si>
    <t>1.226</t>
  </si>
  <si>
    <t>1.219</t>
  </si>
  <si>
    <t>0.810</t>
  </si>
  <si>
    <t>4.057</t>
  </si>
  <si>
    <t>36.276</t>
  </si>
  <si>
    <t>0.148</t>
  </si>
  <si>
    <t>354.0*3.05+(6*1*(3.05-2.2)+11*0.9*(3.05-2.2)+16*0.75*(3.05-2.2)+1*0.7*(3.05-2.2)+2*1.2*(3.05-2.2)+2*1*(3.05-2.2)+2*1*(3.05-2.2)+1*0.9*(3.05-2.2)+1*1.5*(3.05-2.2)+2*0.9*(3.05-2.2)+4*0.75*(3.05-2.2)+1*0.45*(3.05-2.2)+3*0.6*(3.05-2.2)+1*3*(3.05-2.2)+...</t>
  </si>
  <si>
    <t>31.1*3.05+(6*1*(3.05-2.2)+11*0.9*(3.05-2.2)+16*0.75*(3.05-2.2)+1*0.7*(3.05-2.2)+2*1.2*(3.05-2.2)+2*1*(3.05-2.2)+2*1*(3.05-2.2)+1*0.9*(3.05-2.2)+1*1.5*(3.05-2.2)+2*0.9*(3.05-2.2)+4*0.75*(3.05-2.2)+1*0.45*(3.05-2.2)+3*0.6*(3.05-2.2)+1*3*(3.05-2.2)+3...</t>
  </si>
  <si>
    <t>11</t>
  </si>
  <si>
    <t>16</t>
  </si>
  <si>
    <t>11*(2*2.2+0.9)+16*(2*2.2+0.75)+1*(2*2.2+1.5)</t>
  </si>
  <si>
    <t>41</t>
  </si>
  <si>
    <t>647.8</t>
  </si>
  <si>
    <t>647.8+(2*1.8*3.0+22*0.15*1.8+2.2*3.75+1.8*3.75)+(2*1.8*3.0+22*0.15*1.8+2.2*3.75+1.8*3.75)</t>
  </si>
  <si>
    <t>45.4</t>
  </si>
  <si>
    <t>414.5</t>
  </si>
  <si>
    <t>23.2</t>
  </si>
  <si>
    <t>164.8</t>
  </si>
  <si>
    <t>(2*(354.0+31.1)+2*39.8-16.8-181.8)*3.05-45.4/3.8*8.0*3.05-2*(6*1*2.2+11*0.9*2.2+16*0.75*2.2+1*0.7*2.2+2*1.2*2.2+2*1*2.2+2*1*2.2+1*0.9*2.2+1*1.5*2.2+2*0.9*2.2+4*0.75*2.2+1*0.45*2.2+3*0.6*2.2+1*3*2.2+3*1.6*2.2+2*1.3*2.2+3*1.8*2.2+1*1.2*2.2)-(4*1.8*1...</t>
  </si>
  <si>
    <t>45.4/3.8*8.0*3.05-45.4/3.8*0.75*2.2</t>
  </si>
  <si>
    <t>181.8*3.3-(4*1.8*1.3+8*0.9*1.3+1*1.8*1.6+2*1.2*1.9+6*1.2*1.15+1*1.2*1.2+5*1.5*1.3+3*1.5*1.15+1*3*1.6+2*1.8*1.9+1*0.75*1.3+10*0.9*0.6+4*0.75*0.6+1*0.6*0.6+1*1.2*0.6)</t>
  </si>
  <si>
    <t>45.4/3.8*8.0*2.4-45.4/3.8*0.75*2.2</t>
  </si>
  <si>
    <t>(45.4/3.8*8.0*3.05-45.4/3.8*0.75*2.2)-(45.4/3.8*8.0*2.4-45.4/3.8*0.75*2.2)</t>
  </si>
  <si>
    <t>602.4</t>
  </si>
  <si>
    <t>11*0.9*2.2*2+16*0.75*2.2*2+1*1.5*2.2*2+(11*(2*2.2+0.9)+16*(2*2.2+0.75)+1*(2*2.2+1.5))*0.25</t>
  </si>
  <si>
    <t>4*1.8*1.3+8*0.9*1.3+1*1.8*1.6+2*1.2*1.9+6*1.2*1.15+1*1.2*1.2+5*1.5*1.3+3*1.5*1.15+1*3*1.6+2*1.8*1.9+1*0.75*1.3+10*0.9*0.6+4*0.75*0.6+1*0.6*0.6+1*1.2*0.6</t>
  </si>
  <si>
    <t xml:space="preserve"> ELEVENTH LEVEL - ROOF TOP TERRACE</t>
  </si>
  <si>
    <t>BILL NR. 14 - ROOF TOP TERRACE</t>
  </si>
  <si>
    <t>868.1*0.25</t>
  </si>
  <si>
    <t>125.7*0.3*0.35+14.2*0.2*0.35</t>
  </si>
  <si>
    <t>2*0.75*0.5*2.9+1*1.2*0.3*2.9</t>
  </si>
  <si>
    <t>22.05*2.9*0.25+25.57*2.9*0.25</t>
  </si>
  <si>
    <t>21.825*2.9*0.25</t>
  </si>
  <si>
    <t>(7*(0.9+0.3)+8*(0.75+0.3)+1*(0.7+0.3)+2*(1+0.3)+1*(0.9+0.3)+5*(0.9+0.3)+2*(0.75+0.3)+1*(0.6+0.3)+1*(1.2+0.3))*0.15*0.225</t>
  </si>
  <si>
    <t>Copings 300 x 150mm to parapets</t>
  </si>
  <si>
    <t>182.5*0.3*0.15</t>
  </si>
  <si>
    <t>868.1</t>
  </si>
  <si>
    <t>252.9</t>
  </si>
  <si>
    <t>125.7*(2*0.35+0.3)+14.2*(2*0.35+0.2)</t>
  </si>
  <si>
    <t>2*2*(0.75+0.5)*2.9+1*2*(1.2+0.3)*2.9</t>
  </si>
  <si>
    <t>2*22.05*2.9+2*21.825*2.9+2*25.57*2.9</t>
  </si>
  <si>
    <t>(7*(0.9+0.3)+8*(0.75+0.3)+1*(0.7+0.3)+2*(1+0.3)+1*(0.9+0.3)+5*(0.9+0.3)+2*(0.75+0.3)+1*(0.6+0.3)+1*(1.2+0.3))*(2*0.225+0.15)+182.5*2*0.15</t>
  </si>
  <si>
    <t>0.210</t>
  </si>
  <si>
    <t>0.426</t>
  </si>
  <si>
    <t>1.311</t>
  </si>
  <si>
    <t>1.256</t>
  </si>
  <si>
    <t>1.064</t>
  </si>
  <si>
    <t>3.622</t>
  </si>
  <si>
    <t>1.377+0.607</t>
  </si>
  <si>
    <t>1.821+0.822</t>
  </si>
  <si>
    <t>6.652+3.199</t>
  </si>
  <si>
    <t>42.841</t>
  </si>
  <si>
    <t>0.184</t>
  </si>
  <si>
    <t>82.0*2.9+(7*0.9*(3.05-2.2)+8*0.75*(3.05-2.2)+1*0.7*(3.05-2.2)+2*1*(3.05-2.2)+1*0.9*(3.05-2.2)+5*0.9*(3.05-0.6)+2*0.75*(3.05-0.6)+1*0.6*(3.05-0.6)+1*1.2*(3.05-0.6))*0.890</t>
  </si>
  <si>
    <t>10.2*2.9+(7*0.9*(3.05-2.2)+8*0.75*(3.05-2.2)+1*0.7*(3.05-2.2)+2*1*(3.05-2.2)+1*0.9*(3.05-2.2)+5*0.9*(3.05-0.6)+2*0.75*(3.05-0.6)+1*0.6*(3.05-0.6)+1*1.2*(3.05-0.6))*0.110</t>
  </si>
  <si>
    <t>412.1</t>
  </si>
  <si>
    <t>Metal/aluminium flashings, upstands and counterflashings</t>
  </si>
  <si>
    <t>182.5</t>
  </si>
  <si>
    <t>Roof/terrace gutters and concealed drainage channels</t>
  </si>
  <si>
    <t>7*(2*2.2+0.9)+8*(2*2.2+0.75)</t>
  </si>
  <si>
    <t>23</t>
  </si>
  <si>
    <t>319.4</t>
  </si>
  <si>
    <t>24.2</t>
  </si>
  <si>
    <t>235.9</t>
  </si>
  <si>
    <t>19.3</t>
  </si>
  <si>
    <t>40.0</t>
  </si>
  <si>
    <t>(2*(82.0+10.2)+2*42.3-16.8-182.5)*2.9-24.2/3.8*8.0*2.9-2*(7*0.9*2.2+8*0.75*2.2+1*0.7*2.2+2*1*2.2+1*0.9*2.2)-(5*0.9*0.6+2*0.75*0.6+1*0.6*0.6+1*1.2*0.6)</t>
  </si>
  <si>
    <t>24.2/3.8*8.0*2.9-24.2/3.8*0.75*2.2</t>
  </si>
  <si>
    <t>182.5*3.15-(5*0.9*0.6+2*0.75*0.6+1*0.6*0.6+1*1.2*0.6)</t>
  </si>
  <si>
    <t>24.2/3.8*8.0*2.4-24.2/3.8*0.75*2.2</t>
  </si>
  <si>
    <t>(24.2/3.8*8.0*2.9-24.2/3.8*0.75*2.2)-(24.2/3.8*8.0*2.4-24.2/3.8*0.75*2.2)</t>
  </si>
  <si>
    <t>295.2</t>
  </si>
  <si>
    <t>7*0.9*2.2*2+8*0.75*2.2*2+(7*(2*2.2+0.9)+8*(2*2.2+0.75))*0.25</t>
  </si>
  <si>
    <t>5*0.9*0.6+2*0.75*0.6+1*0.6*0.6+1*1.2*0.6</t>
  </si>
  <si>
    <t xml:space="preserve"> TWELFTH LEVEL - ROOF LEVEL &amp; TOP OF LIFT CORE</t>
  </si>
  <si>
    <t>BILL NR. 15 - ROOF LEVEL</t>
  </si>
  <si>
    <t>Suspended roof slab 150mm thick (roof level &amp; top of lift core)</t>
  </si>
  <si>
    <t>176.3*0.15+16.3*0.15</t>
  </si>
  <si>
    <t>31.4*0.25*0.45+34.0*0.2*0.3</t>
  </si>
  <si>
    <t>21.825*4.05*0.25</t>
  </si>
  <si>
    <t>(105.0+17.3)*0.3*0.15</t>
  </si>
  <si>
    <t>176.3+16.3</t>
  </si>
  <si>
    <t>159.3+17.3</t>
  </si>
  <si>
    <t>31.4*(2*0.45+0.25)+34.0*(2*0.3+0.2)</t>
  </si>
  <si>
    <t>2*21.825*4.05</t>
  </si>
  <si>
    <t>(105.0+17.3)*2*0.15</t>
  </si>
  <si>
    <t>0.694</t>
  </si>
  <si>
    <t>0.960</t>
  </si>
  <si>
    <t>1.010</t>
  </si>
  <si>
    <t>0.323</t>
  </si>
  <si>
    <t>0.809</t>
  </si>
  <si>
    <t>0.390</t>
  </si>
  <si>
    <t>4.049</t>
  </si>
  <si>
    <t>4.573+0.366</t>
  </si>
  <si>
    <t>6.5*1.2</t>
  </si>
  <si>
    <t>65.7*1.2</t>
  </si>
  <si>
    <t>105.0+17.3</t>
  </si>
  <si>
    <t xml:space="preserve"> LIFTS AND PROVISIONAL SUMS</t>
  </si>
  <si>
    <t>LIFTS</t>
  </si>
  <si>
    <t>PROVISIONAL SUMS</t>
  </si>
  <si>
    <t>BILL NR. 16 - LIFTS AND PROVISIONAL SUMS</t>
  </si>
  <si>
    <t>Lift installation</t>
  </si>
  <si>
    <t>1000kg stainless steel car finish passenger lift for 12 passengers, serving all floors, complete (LIFT 1 &amp; LIFT 2)</t>
  </si>
  <si>
    <t>Provide the following provisional sums:</t>
  </si>
  <si>
    <t>Provisional sum for joinery, wall cladding, balustrade and other fitting works</t>
  </si>
  <si>
    <t>item</t>
  </si>
  <si>
    <t>Provisional sum for furniture and equipment (wardrobes, kitchen cabinets, reception desk and chairs)</t>
  </si>
  <si>
    <t>Provisional sum for external works / external infrastructure / signage (Axonopus compressus, kerbs, boundary structures, aprons, street lights, flood lights)</t>
  </si>
  <si>
    <t>Provisional sum for septic tank and other connections</t>
  </si>
  <si>
    <t>Allow a sum for metal collapsible burglar-proofing to ground floor windows including painting</t>
  </si>
  <si>
    <t>Service/goods lift in the lump BOQ is not shown on the drawings (only two lift shafts) - omitted pending confirmation.</t>
  </si>
  <si>
    <t>RATE LIBRARY - GHANA CEDIS (GHS)</t>
  </si>
  <si>
    <t>All BOQ rates link to column D below. Change a rate here and every floor bill, bill summary and the General Summary update automatically. Rates are estimates at September 2026 Accra prices, supply &amp; fix, excl. levies/taxes.</t>
  </si>
  <si>
    <t>CODE</t>
  </si>
  <si>
    <t>RATE (GHS)</t>
  </si>
  <si>
    <t>BASIS</t>
  </si>
  <si>
    <t>SUBSTRUCTURE / EARTHWORKS</t>
  </si>
  <si>
    <t>R_CLR</t>
  </si>
  <si>
    <t>Clear site of vegetation, grub up roots and dispose</t>
  </si>
  <si>
    <t>Machine &amp; labour</t>
  </si>
  <si>
    <t>R_TOP</t>
  </si>
  <si>
    <t>Excavate oversite avg 150mm deep, deposit on site</t>
  </si>
  <si>
    <t>R_EXC</t>
  </si>
  <si>
    <t>Excavate to reduce levels max 4.00m deep (machine)</t>
  </si>
  <si>
    <t>R_FILL1</t>
  </si>
  <si>
    <t>Imported fill over raft incl. membrane/geogrid, compacted</t>
  </si>
  <si>
    <t>R_FILL2</t>
  </si>
  <si>
    <t>Crushed rock fill in 300mm compacted layers with geogrid</t>
  </si>
  <si>
    <t>R_BACK</t>
  </si>
  <si>
    <t>Backfill with selected excavated material, compacted</t>
  </si>
  <si>
    <t>R_DISP</t>
  </si>
  <si>
    <t>Load and cart away surplus material</t>
  </si>
  <si>
    <t>R_HARD</t>
  </si>
  <si>
    <t>Hardcore filling 150mm, compacted</t>
  </si>
  <si>
    <t>R_BLIND</t>
  </si>
  <si>
    <t>Plain concrete C15 blinding</t>
  </si>
  <si>
    <t>R_BED</t>
  </si>
  <si>
    <t>Concrete bed 150mm</t>
  </si>
  <si>
    <t>IN-SITU CONCRETE C40 (supply, place, vibrate, cure)</t>
  </si>
  <si>
    <t>R_CRAFT</t>
  </si>
  <si>
    <t>C40 concrete in raft</t>
  </si>
  <si>
    <t>R_CWALL</t>
  </si>
  <si>
    <t>C40 concrete in walls</t>
  </si>
  <si>
    <t>R_CCOL</t>
  </si>
  <si>
    <t>C40 concrete in columns</t>
  </si>
  <si>
    <t>R_CSLAB</t>
  </si>
  <si>
    <t>C40 concrete in suspended slabs</t>
  </si>
  <si>
    <t>R_CBEAM</t>
  </si>
  <si>
    <t>C40 concrete in beams</t>
  </si>
  <si>
    <t>R_CSTAIR</t>
  </si>
  <si>
    <t>C40 concrete in stairs</t>
  </si>
  <si>
    <t>R_CLINT</t>
  </si>
  <si>
    <t>Concrete in lintels</t>
  </si>
  <si>
    <t>R_CCOP</t>
  </si>
  <si>
    <t>Concrete in copings</t>
  </si>
  <si>
    <t>REINFORCEMENT (supply, cut, bend, fix incl. tying wire)</t>
  </si>
  <si>
    <t>R_Y10</t>
  </si>
  <si>
    <t>High yield bar 10mm</t>
  </si>
  <si>
    <t>GHS per tonne</t>
  </si>
  <si>
    <t>R_Y12</t>
  </si>
  <si>
    <t>High yield bar 12mm</t>
  </si>
  <si>
    <t>R_Y16</t>
  </si>
  <si>
    <t>High yield bar 16mm</t>
  </si>
  <si>
    <t>R_Y20</t>
  </si>
  <si>
    <t>High yield bar 20mm</t>
  </si>
  <si>
    <t>R_Y25</t>
  </si>
  <si>
    <t>High yield bar 25mm</t>
  </si>
  <si>
    <t>FORMWORK</t>
  </si>
  <si>
    <t>R_FWALL</t>
  </si>
  <si>
    <t>Formwork to walls</t>
  </si>
  <si>
    <t>R_FCOL</t>
  </si>
  <si>
    <t>Formwork to columns</t>
  </si>
  <si>
    <t>R_FSLAB</t>
  </si>
  <si>
    <t>Formwork to slab soffits incl. props</t>
  </si>
  <si>
    <t>R_FBEAM</t>
  </si>
  <si>
    <t>Formwork to beam sides &amp; soffits</t>
  </si>
  <si>
    <t>R_FEDGE</t>
  </si>
  <si>
    <t>Formwork to edges not exceeding 250mm high</t>
  </si>
  <si>
    <t>R_FRAFT</t>
  </si>
  <si>
    <t>Formwork to raft edges</t>
  </si>
  <si>
    <t>R_FSTAIR</t>
  </si>
  <si>
    <t>Formwork to stairs</t>
  </si>
  <si>
    <t>R_FLINT</t>
  </si>
  <si>
    <t>Formwork to lintels / copings</t>
  </si>
  <si>
    <t>MASONRY &amp; FINISHES</t>
  </si>
  <si>
    <t>R_B150</t>
  </si>
  <si>
    <t>150mm sandcrete blockwork</t>
  </si>
  <si>
    <t>R_B200</t>
  </si>
  <si>
    <t>200mm sandcrete blockwork</t>
  </si>
  <si>
    <t>R_REND</t>
  </si>
  <si>
    <t>12.5mm cement &amp; sand rendering</t>
  </si>
  <si>
    <t>R_RENDX</t>
  </si>
  <si>
    <t>External rendering</t>
  </si>
  <si>
    <t>R_SCR25</t>
  </si>
  <si>
    <t>25mm screed</t>
  </si>
  <si>
    <t>R_BED12</t>
  </si>
  <si>
    <t>12mm screeded bed to receive floor tiles</t>
  </si>
  <si>
    <t>R_BACK12</t>
  </si>
  <si>
    <t>12mm backing to receive wall tiles</t>
  </si>
  <si>
    <t>R_T40</t>
  </si>
  <si>
    <t>400x400 non-slip porcelain tiles</t>
  </si>
  <si>
    <t>Supply &amp; fix</t>
  </si>
  <si>
    <t>R_T50</t>
  </si>
  <si>
    <t>500x500 matte R11 porcelain tiles to stairs</t>
  </si>
  <si>
    <t>R_T60S</t>
  </si>
  <si>
    <t>600x600 semi-polished porcelain tiles</t>
  </si>
  <si>
    <t>R_T120</t>
  </si>
  <si>
    <t>600x1200 semi-polished porcelain tiles</t>
  </si>
  <si>
    <t>R_T60N</t>
  </si>
  <si>
    <t>600x600 non-slip R11 porcelain tiles</t>
  </si>
  <si>
    <t>R_TINT</t>
  </si>
  <si>
    <t>Interlocking composite tiles</t>
  </si>
  <si>
    <t>R_PU</t>
  </si>
  <si>
    <t>PU resin screed / coating</t>
  </si>
  <si>
    <t>R_WT</t>
  </si>
  <si>
    <t>Wall tiles to washrooms</t>
  </si>
  <si>
    <t>R_EMUL</t>
  </si>
  <si>
    <t>Emulsion paint (2 undercoats + finish)</t>
  </si>
  <si>
    <t>R_EXTP</t>
  </si>
  <si>
    <t>Exterior paint</t>
  </si>
  <si>
    <t>R_CEILP</t>
  </si>
  <si>
    <t>Emulsion to plasterboard soffits</t>
  </si>
  <si>
    <t>R_GLOSS</t>
  </si>
  <si>
    <t>Gloss oil paint to woodwork</t>
  </si>
  <si>
    <t>R_PRIM</t>
  </si>
  <si>
    <t>Aluminium primer to burglar-proof bars</t>
  </si>
  <si>
    <t>R_WP</t>
  </si>
  <si>
    <t>Liquid applied waterproofing</t>
  </si>
  <si>
    <t>R_WPS</t>
  </si>
  <si>
    <t>Protective screed over waterproofing</t>
  </si>
  <si>
    <t>R_FLASH</t>
  </si>
  <si>
    <t>Flashings, upstands &amp; counter-flashings</t>
  </si>
  <si>
    <t>R_GUT</t>
  </si>
  <si>
    <t>Gutters / drainage channels</t>
  </si>
  <si>
    <t>DOORS (supply &amp; fix complete with frames/assemblies)</t>
  </si>
  <si>
    <t>R_D1</t>
  </si>
  <si>
    <t>Door D1 1800x2400</t>
  </si>
  <si>
    <t>R_D2</t>
  </si>
  <si>
    <t>Door D2 1000x2200</t>
  </si>
  <si>
    <t>R_D3</t>
  </si>
  <si>
    <t>Door D3 900x2200</t>
  </si>
  <si>
    <t>R_D4</t>
  </si>
  <si>
    <t>Door D4 900x2350</t>
  </si>
  <si>
    <t>R_D5</t>
  </si>
  <si>
    <t>Door D5 3200x2200</t>
  </si>
  <si>
    <t>R_D6</t>
  </si>
  <si>
    <t>Door D6 750x2200</t>
  </si>
  <si>
    <t>R_D7</t>
  </si>
  <si>
    <t>Door D7 700x2200</t>
  </si>
  <si>
    <t>R_D8</t>
  </si>
  <si>
    <t>Door D8 1200x2200</t>
  </si>
  <si>
    <t>R_ED1</t>
  </si>
  <si>
    <t>Door ED1 1000x2200</t>
  </si>
  <si>
    <t>R_ED2</t>
  </si>
  <si>
    <t>Door ED2 1000x2200</t>
  </si>
  <si>
    <t>R_D9</t>
  </si>
  <si>
    <t>Door D9 900x2200</t>
  </si>
  <si>
    <t>R_MD1</t>
  </si>
  <si>
    <t>Door MD1 1800x2200</t>
  </si>
  <si>
    <t>R_FD1</t>
  </si>
  <si>
    <t>Door FD1 1500x2200</t>
  </si>
  <si>
    <t>R_M1</t>
  </si>
  <si>
    <t>Door M1 900x2200</t>
  </si>
  <si>
    <t>R_M2</t>
  </si>
  <si>
    <t>Door M2 750x2200</t>
  </si>
  <si>
    <t>R_M3</t>
  </si>
  <si>
    <t>Door M3 450x2200</t>
  </si>
  <si>
    <t>R_M5</t>
  </si>
  <si>
    <t>Door M5 600x2200</t>
  </si>
  <si>
    <t>R_GD1</t>
  </si>
  <si>
    <t>Door GD1 1800x2200</t>
  </si>
  <si>
    <t>R_DW1</t>
  </si>
  <si>
    <t>Door DW1 2400x2200</t>
  </si>
  <si>
    <t>R_DW2</t>
  </si>
  <si>
    <t>Door DW2 5050x2200</t>
  </si>
  <si>
    <t>R_SD1</t>
  </si>
  <si>
    <t>Door SD1 3000x2200</t>
  </si>
  <si>
    <t>R_SD2</t>
  </si>
  <si>
    <t>Door SD2 1600x2200</t>
  </si>
  <si>
    <t>R_SD3</t>
  </si>
  <si>
    <t>Door SD3 1300x2200</t>
  </si>
  <si>
    <t>R_SD4</t>
  </si>
  <si>
    <t>Door SD4 1800x2200</t>
  </si>
  <si>
    <t>R_SD5</t>
  </si>
  <si>
    <t>Door SD5 1200x2200</t>
  </si>
  <si>
    <t>R_RD1</t>
  </si>
  <si>
    <t>Door RD1 4200x2157</t>
  </si>
  <si>
    <t>R_FRAME</t>
  </si>
  <si>
    <t>50x150 hardwood door frames</t>
  </si>
  <si>
    <t>R_STOP</t>
  </si>
  <si>
    <t>50x12 door stops</t>
  </si>
  <si>
    <t>R_HINGE</t>
  </si>
  <si>
    <t>R_LOCK</t>
  </si>
  <si>
    <t>Ordinary mortice lock</t>
  </si>
  <si>
    <t>R_ILOCK</t>
  </si>
  <si>
    <t>Mortice indicator lock</t>
  </si>
  <si>
    <t>WINDOWS (aluminium, rate = window area x base rate)</t>
  </si>
  <si>
    <t>R_WBASE</t>
  </si>
  <si>
    <t>Aluminium glazed windows - base rate per m2</t>
  </si>
  <si>
    <t>Change this to re-price all windows</t>
  </si>
  <si>
    <t>R_W1</t>
  </si>
  <si>
    <t>Window W1 3600x1900</t>
  </si>
  <si>
    <t>Linked to base rate</t>
  </si>
  <si>
    <t>R_W2</t>
  </si>
  <si>
    <t>Window W2 1800x1300</t>
  </si>
  <si>
    <t>R_W3</t>
  </si>
  <si>
    <t>Window W3 1800x1500</t>
  </si>
  <si>
    <t>R_W4</t>
  </si>
  <si>
    <t>Window W4 900x1300</t>
  </si>
  <si>
    <t>R_W5</t>
  </si>
  <si>
    <t>Window W5 1800x1900</t>
  </si>
  <si>
    <t>R_W6</t>
  </si>
  <si>
    <t>Window W6 3500x1500</t>
  </si>
  <si>
    <t>R_W7</t>
  </si>
  <si>
    <t>Window W7 1800x1600</t>
  </si>
  <si>
    <t>R_W8</t>
  </si>
  <si>
    <t>Window W8 1200x1900</t>
  </si>
  <si>
    <t>R_W9</t>
  </si>
  <si>
    <t>Window W9 1200x1150</t>
  </si>
  <si>
    <t>R_W10</t>
  </si>
  <si>
    <t>Window W10 1200x1200</t>
  </si>
  <si>
    <t>R_W11</t>
  </si>
  <si>
    <t>Window W11 1500x1300</t>
  </si>
  <si>
    <t>R_W12</t>
  </si>
  <si>
    <t>Window W12 1500x1150</t>
  </si>
  <si>
    <t>R_W13</t>
  </si>
  <si>
    <t>Window W13 2400x1300</t>
  </si>
  <si>
    <t>R_W14</t>
  </si>
  <si>
    <t>Window W14 3600x2200</t>
  </si>
  <si>
    <t>R_W15</t>
  </si>
  <si>
    <t>Window W15 3000x1600</t>
  </si>
  <si>
    <t>R_W16</t>
  </si>
  <si>
    <t>Window W16 2400x1900</t>
  </si>
  <si>
    <t>R_W17</t>
  </si>
  <si>
    <t>Window W17 1800x1900</t>
  </si>
  <si>
    <t>R_W18</t>
  </si>
  <si>
    <t>Window W18 750x1300</t>
  </si>
  <si>
    <t>R_W19</t>
  </si>
  <si>
    <t>Window W19 2100x900</t>
  </si>
  <si>
    <t>R_W20</t>
  </si>
  <si>
    <t>Window W20 1450x1900</t>
  </si>
  <si>
    <t>R_HW1</t>
  </si>
  <si>
    <t>Window HW1 900x600</t>
  </si>
  <si>
    <t>R_HW2</t>
  </si>
  <si>
    <t>Window HW2 750x600</t>
  </si>
  <si>
    <t>R_HW3</t>
  </si>
  <si>
    <t>Window HW3 600x600</t>
  </si>
  <si>
    <t>R_HW4</t>
  </si>
  <si>
    <t>Window HW4 1200x600</t>
  </si>
  <si>
    <t>LIFTS &amp; PROVISIONAL SUMS</t>
  </si>
  <si>
    <t>R_LIFT</t>
  </si>
  <si>
    <t>1000kg 12-passenger lift, stainless steel car, installed</t>
  </si>
  <si>
    <t>PS_JOIN</t>
  </si>
  <si>
    <t>PS - joinery, wall cladding, balustrades &amp; fittings</t>
  </si>
  <si>
    <t>Provisional sum</t>
  </si>
  <si>
    <t>PS_FURN</t>
  </si>
  <si>
    <t>PS - furniture &amp; equipment</t>
  </si>
  <si>
    <t>PS_EXT</t>
  </si>
  <si>
    <t>PS - external works, infrastructure &amp; signage</t>
  </si>
  <si>
    <t>PS_SEPT</t>
  </si>
  <si>
    <t>PS - septic tank &amp; connections</t>
  </si>
  <si>
    <t>PS_BURG</t>
  </si>
  <si>
    <t>PS - collapsible burglar-proofing to GF windows</t>
  </si>
  <si>
    <t>PRELIMINARIES (lump sums)</t>
  </si>
  <si>
    <t>P_PG</t>
  </si>
  <si>
    <t>Performance guarantee</t>
  </si>
  <si>
    <t>Lump sum</t>
  </si>
  <si>
    <t>P_APG</t>
  </si>
  <si>
    <t>Advance payment guarantee</t>
  </si>
  <si>
    <t>P_INS</t>
  </si>
  <si>
    <t>All risks insurance</t>
  </si>
  <si>
    <t>P_SET</t>
  </si>
  <si>
    <t>Setting out the works</t>
  </si>
  <si>
    <t>P_SIGN</t>
  </si>
  <si>
    <t>Project signboard</t>
  </si>
  <si>
    <t>P_TRANS</t>
  </si>
  <si>
    <t>Transport for workpeople</t>
  </si>
  <si>
    <t>P_SURV</t>
  </si>
  <si>
    <t>Surveying equipment</t>
  </si>
  <si>
    <t>P_PLANT</t>
  </si>
  <si>
    <t>Plant, tools &amp; vehicles (crane, hoists)</t>
  </si>
  <si>
    <t>P_SUP</t>
  </si>
  <si>
    <t>Contractor supervision</t>
  </si>
  <si>
    <t>P_OFF</t>
  </si>
  <si>
    <t>Temporary office accommodation</t>
  </si>
  <si>
    <t>P_FENCE</t>
  </si>
  <si>
    <t>Temporary fencing &amp; hoardings</t>
  </si>
  <si>
    <t>P_ROAD</t>
  </si>
  <si>
    <t>Temporary roads &amp; hardstandings</t>
  </si>
  <si>
    <t>P_SAN</t>
  </si>
  <si>
    <t>Temporary sanitary accommodation</t>
  </si>
  <si>
    <t>P_MEET</t>
  </si>
  <si>
    <t>Site meetings</t>
  </si>
  <si>
    <t>P_AID</t>
  </si>
  <si>
    <t>First aid equipment</t>
  </si>
  <si>
    <t>P_SEC</t>
  </si>
  <si>
    <t>Site security</t>
  </si>
  <si>
    <t>P_PROT</t>
  </si>
  <si>
    <t>Protection of works</t>
  </si>
  <si>
    <t>P_WATER</t>
  </si>
  <si>
    <t>Water for the works</t>
  </si>
  <si>
    <t>P_POWER</t>
  </si>
  <si>
    <t>Temporary lighting &amp; power</t>
  </si>
  <si>
    <t>P_HSE</t>
  </si>
  <si>
    <t>Safety, health &amp; welfare</t>
  </si>
  <si>
    <t>P_PPE</t>
  </si>
  <si>
    <t>Hard hats &amp; protective clothing</t>
  </si>
  <si>
    <t>P_DEWAT</t>
  </si>
  <si>
    <t>Removing water</t>
  </si>
  <si>
    <t>P_RUBB</t>
  </si>
  <si>
    <t>Removing rubbish</t>
  </si>
  <si>
    <t>P_PHOTO</t>
  </si>
  <si>
    <t>Progress photographs</t>
  </si>
  <si>
    <t>P_TEST</t>
  </si>
  <si>
    <t>Testing of materials</t>
  </si>
  <si>
    <t>P_OM</t>
  </si>
  <si>
    <t>Operating &amp; maintenance manuals</t>
  </si>
  <si>
    <t>P_HAND</t>
  </si>
  <si>
    <t>Handover of completed works &amp; cleaning</t>
  </si>
  <si>
    <t xml:space="preserve">CF </t>
  </si>
  <si>
    <t>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</si>
</sst>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409]* #,##0.00_ ;_-[$$-409]* \-#,##0.00\ ;_-[$$-409]* &quot;-&quot;??_ ;_-@_ "/>
    <numFmt numFmtId="165" formatCode="_([$$-409]* #,##0.00_);_([$$-409]* \(#,##0.00\);_([$$-409]* &quot;-&quot;??_);_(@_)"/>
    <numFmt numFmtId="167" formatCode="_-* #,##0.00_-;\-* #,##0.00_-;_-* &quot;-&quot;??_-;_-@_-"/>
    <numFmt numFmtId="169" formatCode="_([$GHC]\ * #,##0.00_);_([$GHC]\ * \(#,##0.00\);_([$GHC]\ * &quot;-&quot;??_);_(@_)"/>
    <numFmt numFmtId="190" formatCode="#,##0.000"/>
    <numFmt numFmtId="191" formatCode="#,##0.###"/>
  </numFmts>
  <fonts count="87">
    <font>
      <sz val="11"/>
      <color theme="1"/>
      <name val="Calibri"/>
      <family val="2"/>
      <scheme val="minor"/>
    </font>
    <font>
      <sz val="11"/>
      <color theme="1"/>
      <name val="Calibri"/>
      <family val="2"/>
      <scheme val="minor"/>
    </font>
    <font>
      <sz val="10"/>
      <color theme="1"/>
      <name val="Swis721 Cn BT"/>
    </font>
    <font>
      <sz val="28"/>
      <color theme="1"/>
      <name val="Swis721 Cn BT"/>
    </font>
    <font>
      <sz val="36"/>
      <color theme="1"/>
      <name val="Swis721 Cn BT"/>
    </font>
    <font>
      <b/>
      <sz val="48"/>
      <color rgb="FF323E4F"/>
      <name val="Arial"/>
      <family val="2"/>
    </font>
    <font>
      <b/>
      <sz val="36"/>
      <color rgb="FF323E4F"/>
      <name val="Swis721 Cn BT"/>
    </font>
    <font>
      <b/>
      <sz val="28"/>
      <color rgb="FF323E4F"/>
      <name val="Swis721 Cn BT"/>
    </font>
    <font>
      <sz val="14"/>
      <color theme="1"/>
      <name val="Swis721 Cn BT"/>
    </font>
    <font>
      <sz val="16"/>
      <color theme="1"/>
      <name val="Swis721 Cn BT"/>
    </font>
    <font>
      <sz val="17"/>
      <color rgb="FF767171"/>
      <name val="Swis721 Cn BT"/>
    </font>
    <font>
      <sz val="18"/>
      <name val="Calibri"/>
      <family val="2"/>
    </font>
    <font>
      <sz val="14"/>
      <color theme="1"/>
      <name val="Calibri"/>
      <family val="2"/>
    </font>
    <font>
      <sz val="16"/>
      <color theme="1"/>
      <name val="Calibri"/>
      <family val="2"/>
    </font>
    <font>
      <sz val="11"/>
      <color theme="1"/>
      <name val="Calibri"/>
      <family val="2"/>
    </font>
    <font>
      <sz val="16"/>
      <color theme="0"/>
      <name val="Calibri"/>
      <family val="2"/>
    </font>
    <font>
      <b/>
      <sz val="14"/>
      <color theme="1"/>
      <name val="Calibri"/>
      <family val="2"/>
    </font>
    <font>
      <b/>
      <sz val="16"/>
      <color theme="1"/>
      <name val="Calibri"/>
      <family val="2"/>
    </font>
    <font>
      <b/>
      <sz val="11"/>
      <color theme="1"/>
      <name val="Calibri"/>
      <family val="2"/>
    </font>
    <font>
      <b/>
      <u/>
      <sz val="14"/>
      <color theme="1"/>
      <name val="Calibri"/>
      <family val="2"/>
    </font>
    <font>
      <sz val="14"/>
      <name val="Calibri"/>
      <family val="2"/>
    </font>
    <font>
      <sz val="16"/>
      <name val="Calibri"/>
      <family val="2"/>
    </font>
    <font>
      <sz val="16"/>
      <color theme="1"/>
      <name val="Calibri"/>
      <family val="2"/>
      <scheme val="minor"/>
    </font>
    <font>
      <b/>
      <sz val="16"/>
      <name val="Calibri"/>
      <family val="2"/>
    </font>
    <font>
      <b/>
      <sz val="18"/>
      <color theme="1"/>
      <name val="Calibri"/>
      <family val="2"/>
    </font>
    <font>
      <sz val="12"/>
      <name val="Calibri"/>
      <family val="2"/>
      <scheme val="minor"/>
    </font>
    <font>
      <b/>
      <sz val="14"/>
      <name val="Candara"/>
      <family val="2"/>
    </font>
    <font>
      <b/>
      <sz val="12"/>
      <name val="Calibri"/>
      <family val="2"/>
      <scheme val="minor"/>
    </font>
    <font>
      <sz val="11"/>
      <color rgb="FF000000"/>
      <name val="Calibri"/>
      <family val="2"/>
      <charset val="204"/>
    </font>
    <font>
      <sz val="11"/>
      <name val="Candara"/>
      <family val="2"/>
    </font>
    <font>
      <sz val="11"/>
      <color rgb="FF000000"/>
      <name val="Candara"/>
      <family val="2"/>
    </font>
    <font>
      <b/>
      <sz val="10.5"/>
      <name val="Candara"/>
      <family val="2"/>
    </font>
    <font>
      <b/>
      <sz val="10.5"/>
      <color rgb="FF000000"/>
      <name val="Candara"/>
      <family val="2"/>
    </font>
    <font>
      <b/>
      <sz val="12"/>
      <name val="Candara"/>
      <family val="2"/>
    </font>
    <font>
      <b/>
      <u/>
      <sz val="12"/>
      <name val="Calibri"/>
      <family val="2"/>
      <scheme val="minor"/>
    </font>
    <font>
      <sz val="10.5"/>
      <name val="Candara"/>
      <family val="2"/>
    </font>
    <font>
      <sz val="10.5"/>
      <color rgb="FF000000"/>
      <name val="Candara"/>
      <family val="2"/>
    </font>
    <font>
      <b/>
      <u/>
      <sz val="10.5"/>
      <name val="Candara"/>
      <family val="2"/>
    </font>
    <font>
      <b/>
      <u/>
      <sz val="14"/>
      <name val="Candara"/>
      <family val="2"/>
    </font>
    <font>
      <b/>
      <u/>
      <sz val="10.5"/>
      <color rgb="FF000000"/>
      <name val="Candara"/>
      <family val="2"/>
    </font>
    <font>
      <b/>
      <u/>
      <sz val="10.5"/>
      <color rgb="FF0D0D0D"/>
      <name val="Candara"/>
      <family val="2"/>
    </font>
    <font>
      <sz val="10.5"/>
      <color rgb="FF0D0D0D"/>
      <name val="Candara"/>
      <family val="2"/>
    </font>
    <font>
      <b/>
      <i/>
      <u/>
      <sz val="10.5"/>
      <name val="Candara"/>
      <family val="2"/>
    </font>
    <font>
      <b/>
      <i/>
      <u/>
      <sz val="14"/>
      <name val="Candara"/>
      <family val="2"/>
    </font>
    <font>
      <b/>
      <i/>
      <u/>
      <sz val="10.5"/>
      <color rgb="FF000000"/>
      <name val="Candara"/>
      <family val="2"/>
    </font>
    <font>
      <i/>
      <sz val="10.5"/>
      <name val="Candara"/>
      <family val="2"/>
    </font>
    <font>
      <b/>
      <i/>
      <sz val="14"/>
      <name val="Candara"/>
      <family val="2"/>
    </font>
    <font>
      <i/>
      <sz val="10.5"/>
      <color rgb="FF000000"/>
      <name val="Candara"/>
      <family val="2"/>
    </font>
    <font>
      <b/>
      <i/>
      <u/>
      <sz val="12"/>
      <name val="Candara"/>
      <family val="2"/>
    </font>
    <font>
      <b/>
      <i/>
      <sz val="12"/>
      <name val="Candara"/>
      <family val="2"/>
    </font>
    <font>
      <b/>
      <sz val="11"/>
      <name val="Candara"/>
      <family val="2"/>
    </font>
    <font>
      <sz val="11"/>
      <color rgb="FFFF0000"/>
      <name val="Candara"/>
      <family val="2"/>
    </font>
    <font>
      <sz val="10.5"/>
      <color rgb="FFFF0000"/>
      <name val="Candara"/>
      <family val="2"/>
    </font>
    <font>
      <b/>
      <sz val="18"/>
      <name val="Calibri"/>
      <family val="2"/>
    </font>
    <font>
      <b/>
      <sz val="16"/>
      <name val="Calibri"/>
      <family val="2"/>
    </font>
    <font>
      <i/>
      <sz val="11"/>
      <name val="Calibri"/>
      <family val="2"/>
    </font>
    <font>
      <b/>
      <sz val="12"/>
      <color rgb="FFFFFFFF"/>
      <name val="Calibri"/>
      <family val="2"/>
    </font>
    <font>
      <b/>
      <sz val="12"/>
      <name val="Calibri"/>
      <family val="2"/>
    </font>
    <font>
      <sz val="11"/>
      <name val="Calibri"/>
      <family val="2"/>
    </font>
    <font>
      <sz val="11"/>
      <color rgb="FF0000FF"/>
      <name val="Calibri"/>
      <family val="2"/>
    </font>
    <font>
      <i/>
      <sz val="10"/>
      <name val="Calibri"/>
      <family val="2"/>
    </font>
    <font>
      <sz val="11"/>
      <color rgb="FF000000"/>
      <name val="Calibri"/>
      <family val="2"/>
    </font>
    <font>
      <sz val="18"/>
      <name val="Calibri"/>
      <family val="2"/>
    </font>
    <font>
      <b/>
      <sz val="18"/>
      <name val="Calibri"/>
      <family val="2"/>
    </font>
    <font>
      <b/>
      <u/>
      <sz val="18"/>
      <name val="Calibri"/>
      <family val="2"/>
    </font>
    <font>
      <u/>
      <sz val="18"/>
      <name val="Calibri"/>
      <family val="2"/>
    </font>
    <font>
      <sz val="18"/>
      <color rgb="FF000080"/>
      <name val="Calibri"/>
      <family val="2"/>
    </font>
    <font>
      <sz val="10"/>
      <color rgb="FF808080"/>
      <name val="Calibri"/>
      <family val="2"/>
    </font>
    <font>
      <i/>
      <sz val="12"/>
      <color rgb="FF595959"/>
      <name val="Calibri"/>
      <family val="2"/>
    </font>
    <font>
      <b/>
      <i/>
      <sz val="18"/>
      <color theme="1"/>
      <name val="Calibri"/>
      <family val="2"/>
      <scheme val="minor"/>
    </font>
    <font>
      <sz val="12"/>
      <name val="Candara"/>
      <family val="2"/>
    </font>
    <font>
      <b/>
      <u/>
      <sz val="12"/>
      <name val="Candara"/>
      <family val="2"/>
    </font>
    <font>
      <i/>
      <sz val="12"/>
      <name val="Candara"/>
      <family val="2"/>
    </font>
    <font>
      <sz val="14"/>
      <name val="Candara"/>
      <family val="2"/>
    </font>
    <font>
      <b/>
      <sz val="14"/>
      <name val="Calibri"/>
      <family val="2"/>
      <scheme val="minor"/>
    </font>
    <font>
      <sz val="14"/>
      <color theme="1"/>
      <name val="Calibri"/>
      <family val="2"/>
      <scheme val="minor"/>
    </font>
    <font>
      <sz val="14"/>
      <color rgb="FFFF0000"/>
      <name val="Candara"/>
      <family val="2"/>
    </font>
    <font>
      <sz val="11"/>
      <color theme="1"/>
      <name val="Calibri"/>
      <family val="2"/>
      <scheme val="minor"/>
    </font>
    <font>
      <b/>
      <sz val="11"/>
      <color theme="1"/>
      <name val="Calibri"/>
      <family val="2"/>
      <scheme val="minor"/>
    </font>
    <font>
      <b/>
      <sz val="14"/>
      <color rgb="FF1F3864"/>
      <name val="Calibri"/>
      <family val="2"/>
      <scheme val="minor"/>
    </font>
    <font>
      <i/>
      <sz val="10"/>
      <color rgb="FF595959"/>
      <name val="Calibri"/>
      <family val="2"/>
      <scheme val="minor"/>
    </font>
    <font>
      <b/>
      <sz val="11"/>
      <color rgb="FFFFFFFF"/>
      <name val="Calibri"/>
      <family val="2"/>
      <scheme val="minor"/>
    </font>
    <font>
      <u/>
      <sz val="11"/>
      <color rgb="FF0563C1"/>
      <name val="Calibri"/>
      <family val="2"/>
      <scheme val="minor"/>
    </font>
    <font>
      <sz val="9"/>
      <color rgb="FF7F7F7F"/>
      <name val="Calibri"/>
      <family val="2"/>
      <scheme val="minor"/>
    </font>
    <font>
      <b/>
      <sz val="12"/>
      <color rgb="FF1F3864"/>
      <name val="Calibri"/>
      <family val="2"/>
      <scheme val="minor"/>
    </font>
    <font>
      <b/>
      <i/>
      <sz val="11"/>
      <color rgb="FF1F3864"/>
      <name val="Calibri"/>
      <family val="2"/>
      <scheme val="minor"/>
    </font>
    <font>
      <b/>
      <sz val="11"/>
      <color rgb="FF1F3864"/>
      <name val="Calibri"/>
      <family val="2"/>
      <scheme val="minor"/>
    </font>
  </fonts>
  <fills count="7">
    <fill>
      <patternFill patternType="none"/>
    </fill>
    <fill>
      <patternFill patternType="gray125"/>
    </fill>
    <fill>
      <patternFill patternType="solid">
        <fgColor rgb="FF1F3864"/>
      </patternFill>
    </fill>
    <fill>
      <patternFill patternType="solid">
        <fgColor rgb="FF1F3864"/>
        <bgColor indexed="64"/>
      </patternFill>
    </fill>
    <fill>
      <patternFill patternType="solid">
        <fgColor rgb="FFD9E1F2"/>
        <bgColor indexed="64"/>
      </patternFill>
    </fill>
    <fill>
      <patternFill patternType="solid">
        <fgColor rgb="FFFFF2CC"/>
        <bgColor indexed="64"/>
      </patternFill>
    </fill>
    <fill>
      <patternFill patternType="solid">
        <fgColor rgb="FFF2F2F2"/>
        <bgColor indexed="64"/>
      </patternFill>
    </fill>
  </fills>
  <borders count="57">
    <border>
      <left/>
      <right/>
      <top/>
      <bottom/>
      <diagonal/>
    </border>
    <border>
      <left style="double">
        <color rgb="FF000000"/>
      </left>
      <right style="thin">
        <color rgb="FF000000"/>
      </right>
      <top/>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indexed="64"/>
      </right>
      <top/>
      <bottom style="thin">
        <color rgb="FF000000"/>
      </bottom>
      <diagonal/>
    </border>
    <border>
      <left style="medium">
        <color indexed="64"/>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top/>
      <bottom/>
      <diagonal/>
    </border>
    <border>
      <left style="medium">
        <color rgb="FF000000"/>
      </left>
      <right style="medium">
        <color indexed="64"/>
      </right>
      <top/>
      <bottom style="thin">
        <color indexed="64"/>
      </bottom>
      <diagonal/>
    </border>
    <border>
      <left style="medium">
        <color indexed="64"/>
      </left>
      <right style="medium">
        <color rgb="FF000000"/>
      </right>
      <top/>
      <bottom style="double">
        <color indexed="64"/>
      </bottom>
      <diagonal/>
    </border>
    <border>
      <left style="medium">
        <color rgb="FF000000"/>
      </left>
      <right style="medium">
        <color rgb="FF000000"/>
      </right>
      <top/>
      <bottom style="double">
        <color indexed="64"/>
      </bottom>
      <diagonal/>
    </border>
    <border>
      <left style="medium">
        <color rgb="FF000000"/>
      </left>
      <right style="medium">
        <color indexed="64"/>
      </right>
      <top/>
      <bottom style="double">
        <color indexed="64"/>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right style="medium">
        <color auto="1"/>
      </right>
      <top/>
      <bottom style="medium">
        <color auto="1"/>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indexed="64"/>
      </left>
      <right style="medium">
        <color rgb="FF000000"/>
      </right>
      <top/>
      <bottom style="thin">
        <color indexed="64"/>
      </bottom>
      <diagonal/>
    </border>
    <border>
      <left style="medium">
        <color rgb="FF000000"/>
      </left>
      <right style="medium">
        <color rgb="FF000000"/>
      </right>
      <top/>
      <bottom style="thin">
        <color indexed="64"/>
      </bottom>
      <diagonal/>
    </border>
    <border>
      <left style="medium">
        <color auto="1"/>
      </left>
      <right/>
      <top/>
      <bottom/>
      <diagonal/>
    </border>
    <border>
      <left/>
      <right/>
      <top/>
      <bottom/>
      <diagonal/>
    </border>
    <border>
      <left style="thin">
        <color auto="1"/>
      </left>
      <right style="medium">
        <color auto="1"/>
      </right>
      <top/>
      <bottom/>
      <diagonal/>
    </border>
    <border>
      <left style="thin">
        <color auto="1"/>
      </left>
      <right style="medium">
        <color auto="1"/>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rgb="FF000000"/>
      </left>
      <right style="thin">
        <color rgb="FF000000"/>
      </right>
      <top/>
      <bottom/>
      <diagonal/>
    </border>
    <border>
      <left style="thin">
        <color rgb="FF808080"/>
      </left>
      <right style="thin">
        <color rgb="FF808080"/>
      </right>
      <top style="thin">
        <color rgb="FF808080"/>
      </top>
      <bottom style="thin">
        <color rgb="FF808080"/>
      </bottom>
      <diagonal/>
    </border>
    <border>
      <left/>
      <right/>
      <top style="thin">
        <color auto="1"/>
      </top>
      <bottom style="double">
        <color auto="1"/>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s>
  <cellStyleXfs count="7">
    <xf numFmtId="0" fontId="0" fillId="0" borderId="0"/>
    <xf numFmtId="9" fontId="1" fillId="0" borderId="0"/>
    <xf numFmtId="0" fontId="1" fillId="0" borderId="0"/>
    <xf numFmtId="167" fontId="1" fillId="0" borderId="0"/>
    <xf numFmtId="0" fontId="1" fillId="0" borderId="0"/>
    <xf numFmtId="0" fontId="28" fillId="0" borderId="0"/>
    <xf numFmtId="9" fontId="1" fillId="0" borderId="0"/>
  </cellStyleXfs>
  <cellXfs count="258">
    <xf numFmtId="0" fontId="0" fillId="0" borderId="0" xfId="0"/>
    <xf numFmtId="0" fontId="2" fillId="0" borderId="0" xfId="0" applyFont="1" applyAlignment="1">
      <alignment horizontal="center"/>
    </xf>
    <xf numFmtId="0" fontId="3" fillId="0" borderId="0" xfId="0" applyFont="1"/>
    <xf numFmtId="1" fontId="3" fillId="0" borderId="0" xfId="0" applyNumberFormat="1" applyFont="1" applyAlignment="1">
      <alignment horizontal="center"/>
    </xf>
    <xf numFmtId="0" fontId="3" fillId="0" borderId="0" xfId="0" applyFont="1" applyAlignment="1">
      <alignment horizontal="center"/>
    </xf>
    <xf numFmtId="43" fontId="3" fillId="0" borderId="0" xfId="0" applyNumberFormat="1" applyFont="1"/>
    <xf numFmtId="0" fontId="2" fillId="0" borderId="0" xfId="0" applyFont="1"/>
    <xf numFmtId="0" fontId="4" fillId="0" borderId="0" xfId="0" applyFont="1"/>
    <xf numFmtId="0" fontId="6" fillId="0" borderId="0" xfId="0" applyFont="1" applyAlignment="1">
      <alignment horizontal="right" wrapText="1"/>
    </xf>
    <xf numFmtId="0" fontId="0" fillId="0" borderId="0" xfId="0"/>
    <xf numFmtId="1" fontId="2" fillId="0" borderId="0" xfId="0" applyNumberFormat="1" applyFont="1" applyAlignment="1">
      <alignment horizontal="center"/>
    </xf>
    <xf numFmtId="43" fontId="2" fillId="0" borderId="0" xfId="0" applyNumberFormat="1" applyFont="1"/>
    <xf numFmtId="0" fontId="8" fillId="0" borderId="0" xfId="0" applyFont="1" applyAlignment="1">
      <alignment horizontal="right" vertical="center"/>
    </xf>
    <xf numFmtId="0" fontId="9" fillId="0" borderId="0" xfId="0" applyFont="1"/>
    <xf numFmtId="43" fontId="9" fillId="0" borderId="0" xfId="0" applyNumberFormat="1" applyFont="1"/>
    <xf numFmtId="14" fontId="9" fillId="0" borderId="0" xfId="0" applyNumberFormat="1" applyFont="1" applyAlignment="1">
      <alignment horizontal="right" vertical="center"/>
    </xf>
    <xf numFmtId="0" fontId="2" fillId="0" borderId="0" xfId="0" applyFont="1" applyAlignment="1">
      <alignment horizontal="center" vertical="center"/>
    </xf>
    <xf numFmtId="0" fontId="2" fillId="0" borderId="0" xfId="0" applyFont="1" applyAlignment="1">
      <alignment vertical="center"/>
    </xf>
    <xf numFmtId="43" fontId="8" fillId="0" borderId="0" xfId="0" applyNumberFormat="1" applyFont="1" applyAlignment="1">
      <alignment vertical="center"/>
    </xf>
    <xf numFmtId="0" fontId="10" fillId="0" borderId="0" xfId="0" applyFont="1" applyAlignment="1">
      <alignment horizontal="right" vertical="center"/>
    </xf>
    <xf numFmtId="0" fontId="11" fillId="0" borderId="1" xfId="0" applyFont="1" applyBorder="1"/>
    <xf numFmtId="0" fontId="12" fillId="0" borderId="0" xfId="0" applyFont="1" applyAlignment="1">
      <alignment horizontal="left"/>
    </xf>
    <xf numFmtId="0" fontId="12" fillId="0" borderId="0" xfId="0" applyFont="1" applyAlignment="1">
      <alignment horizontal="center"/>
    </xf>
    <xf numFmtId="164" fontId="13" fillId="0" borderId="0" xfId="0" applyNumberFormat="1" applyFont="1"/>
    <xf numFmtId="0" fontId="14" fillId="0" borderId="0" xfId="0" applyFont="1"/>
    <xf numFmtId="164" fontId="15" fillId="0" borderId="0" xfId="0" applyNumberFormat="1" applyFont="1"/>
    <xf numFmtId="14" fontId="12" fillId="0" borderId="0" xfId="0" applyNumberFormat="1" applyFont="1" applyAlignment="1">
      <alignment horizontal="left"/>
    </xf>
    <xf numFmtId="0" fontId="16" fillId="0" borderId="2" xfId="0" applyFont="1" applyBorder="1" applyAlignment="1">
      <alignment horizontal="center" vertical="center"/>
    </xf>
    <xf numFmtId="0" fontId="16" fillId="0" borderId="3" xfId="0" applyFont="1" applyBorder="1" applyAlignment="1">
      <alignment vertical="center"/>
    </xf>
    <xf numFmtId="0" fontId="16" fillId="0" borderId="3" xfId="0" applyFont="1" applyBorder="1" applyAlignment="1">
      <alignment horizontal="center" vertical="center"/>
    </xf>
    <xf numFmtId="164" fontId="17" fillId="0" borderId="4" xfId="0" applyNumberFormat="1" applyFont="1" applyBorder="1" applyAlignment="1">
      <alignment horizontal="center" vertical="center" wrapText="1"/>
    </xf>
    <xf numFmtId="0" fontId="18" fillId="0" borderId="0" xfId="0" applyFont="1" applyAlignment="1">
      <alignment vertical="center"/>
    </xf>
    <xf numFmtId="0" fontId="12" fillId="0" borderId="5" xfId="0" applyFont="1" applyBorder="1" applyAlignment="1">
      <alignment horizontal="center"/>
    </xf>
    <xf numFmtId="0" fontId="19" fillId="0" borderId="6" xfId="0" applyFont="1" applyBorder="1"/>
    <xf numFmtId="0" fontId="12" fillId="0" borderId="6" xfId="0" applyFont="1" applyBorder="1" applyAlignment="1">
      <alignment horizontal="center"/>
    </xf>
    <xf numFmtId="0" fontId="12" fillId="0" borderId="6" xfId="0" applyFont="1" applyBorder="1"/>
    <xf numFmtId="165" fontId="12" fillId="0" borderId="6" xfId="0" applyNumberFormat="1" applyFont="1" applyBorder="1"/>
    <xf numFmtId="164" fontId="12" fillId="0" borderId="6" xfId="0" applyNumberFormat="1" applyFont="1" applyBorder="1"/>
    <xf numFmtId="0" fontId="0" fillId="0" borderId="8" xfId="0" applyBorder="1"/>
    <xf numFmtId="0" fontId="12" fillId="0" borderId="11" xfId="0" applyFont="1" applyBorder="1"/>
    <xf numFmtId="0" fontId="12" fillId="0" borderId="11" xfId="0" applyFont="1" applyBorder="1" applyAlignment="1">
      <alignment horizontal="center"/>
    </xf>
    <xf numFmtId="0" fontId="14" fillId="0" borderId="13" xfId="0" applyFont="1" applyBorder="1" applyAlignment="1">
      <alignment horizontal="center"/>
    </xf>
    <xf numFmtId="0" fontId="16" fillId="0" borderId="6" xfId="0" applyFont="1" applyBorder="1" applyAlignment="1">
      <alignment vertical="center" wrapText="1"/>
    </xf>
    <xf numFmtId="0" fontId="16" fillId="0" borderId="0" xfId="0" applyFont="1" applyAlignment="1">
      <alignment horizontal="center" vertical="center"/>
    </xf>
    <xf numFmtId="0" fontId="12" fillId="0" borderId="5" xfId="0" applyFont="1" applyBorder="1"/>
    <xf numFmtId="0" fontId="12" fillId="0" borderId="10" xfId="0" applyFont="1" applyBorder="1"/>
    <xf numFmtId="0" fontId="12" fillId="0" borderId="15" xfId="0" applyFont="1" applyBorder="1" applyAlignment="1">
      <alignment horizontal="center"/>
    </xf>
    <xf numFmtId="0" fontId="12" fillId="0" borderId="16" xfId="0" applyFont="1" applyBorder="1"/>
    <xf numFmtId="0" fontId="12" fillId="0" borderId="16" xfId="0" applyFont="1" applyBorder="1" applyAlignment="1">
      <alignment horizontal="center"/>
    </xf>
    <xf numFmtId="164" fontId="21" fillId="0" borderId="17" xfId="0" applyNumberFormat="1" applyFont="1" applyBorder="1"/>
    <xf numFmtId="0" fontId="22" fillId="0" borderId="0" xfId="0" applyFont="1"/>
    <xf numFmtId="0" fontId="20" fillId="0" borderId="0" xfId="4" applyFont="1" applyAlignment="1">
      <alignment horizontal="left"/>
    </xf>
    <xf numFmtId="0" fontId="27" fillId="0" borderId="0" xfId="2" applyFont="1"/>
    <xf numFmtId="0" fontId="25" fillId="0" borderId="0" xfId="2" applyFont="1" applyAlignment="1">
      <alignment vertical="center"/>
    </xf>
    <xf numFmtId="0" fontId="27" fillId="0" borderId="0" xfId="2" applyFont="1" applyAlignment="1">
      <alignment vertical="center"/>
    </xf>
    <xf numFmtId="0" fontId="29" fillId="0" borderId="0" xfId="5" applyFont="1" applyAlignment="1">
      <alignment vertical="center" wrapText="1"/>
    </xf>
    <xf numFmtId="0" fontId="30" fillId="0" borderId="0" xfId="5" applyFont="1"/>
    <xf numFmtId="0" fontId="31" fillId="0" borderId="0" xfId="5" applyFont="1" applyAlignment="1">
      <alignment vertical="top" wrapText="1"/>
    </xf>
    <xf numFmtId="0" fontId="32" fillId="0" borderId="0" xfId="5" applyFont="1" applyAlignment="1">
      <alignment vertical="top" wrapText="1"/>
    </xf>
    <xf numFmtId="0" fontId="27" fillId="0" borderId="19" xfId="2" applyFont="1" applyBorder="1" applyAlignment="1">
      <alignment horizontal="center" vertical="center"/>
    </xf>
    <xf numFmtId="0" fontId="27" fillId="0" borderId="20" xfId="2" applyFont="1" applyBorder="1" applyAlignment="1">
      <alignment horizontal="center" vertical="center"/>
    </xf>
    <xf numFmtId="0" fontId="32" fillId="0" borderId="0" xfId="5" applyFont="1" applyAlignment="1">
      <alignment vertical="center" wrapText="1"/>
    </xf>
    <xf numFmtId="0" fontId="30" fillId="0" borderId="0" xfId="5" applyFont="1" applyAlignment="1">
      <alignment vertical="center"/>
    </xf>
    <xf numFmtId="0" fontId="27" fillId="0" borderId="23" xfId="2" applyFont="1" applyBorder="1" applyAlignment="1">
      <alignment horizontal="center" vertical="center"/>
    </xf>
    <xf numFmtId="0" fontId="34" fillId="0" borderId="23" xfId="2" applyFont="1" applyBorder="1" applyAlignment="1">
      <alignment horizontal="center" vertical="center"/>
    </xf>
    <xf numFmtId="0" fontId="35" fillId="0" borderId="23" xfId="5" applyFont="1" applyBorder="1" applyAlignment="1">
      <alignment vertical="top" wrapText="1"/>
    </xf>
    <xf numFmtId="0" fontId="36" fillId="0" borderId="0" xfId="5" applyFont="1" applyAlignment="1">
      <alignment vertical="top" wrapText="1"/>
    </xf>
    <xf numFmtId="0" fontId="35" fillId="0" borderId="26" xfId="5" applyFont="1" applyBorder="1" applyAlignment="1">
      <alignment vertical="top" wrapText="1"/>
    </xf>
    <xf numFmtId="0" fontId="35" fillId="0" borderId="29" xfId="5" applyFont="1" applyBorder="1" applyAlignment="1">
      <alignment vertical="top" wrapText="1"/>
    </xf>
    <xf numFmtId="0" fontId="37" fillId="0" borderId="23" xfId="5" applyFont="1" applyBorder="1" applyAlignment="1">
      <alignment vertical="top" wrapText="1"/>
    </xf>
    <xf numFmtId="0" fontId="39" fillId="0" borderId="0" xfId="5" applyFont="1" applyAlignment="1">
      <alignment vertical="top" wrapText="1"/>
    </xf>
    <xf numFmtId="0" fontId="31" fillId="0" borderId="23" xfId="5" applyFont="1" applyBorder="1" applyAlignment="1">
      <alignment vertical="top" wrapText="1"/>
    </xf>
    <xf numFmtId="0" fontId="40" fillId="0" borderId="0" xfId="5" applyFont="1" applyAlignment="1">
      <alignment vertical="top" wrapText="1"/>
    </xf>
    <xf numFmtId="0" fontId="41" fillId="0" borderId="0" xfId="5" applyFont="1" applyAlignment="1">
      <alignment vertical="top" wrapText="1"/>
    </xf>
    <xf numFmtId="0" fontId="42" fillId="0" borderId="23" xfId="5" applyFont="1" applyBorder="1" applyAlignment="1">
      <alignment vertical="top" wrapText="1"/>
    </xf>
    <xf numFmtId="0" fontId="44" fillId="0" borderId="0" xfId="5" applyFont="1" applyAlignment="1">
      <alignment vertical="top" wrapText="1"/>
    </xf>
    <xf numFmtId="0" fontId="29" fillId="0" borderId="23" xfId="5" applyFont="1" applyBorder="1" applyAlignment="1">
      <alignment vertical="center" wrapText="1"/>
    </xf>
    <xf numFmtId="0" fontId="35" fillId="0" borderId="19" xfId="5" applyFont="1" applyBorder="1" applyAlignment="1">
      <alignment vertical="top" wrapText="1"/>
    </xf>
    <xf numFmtId="0" fontId="45" fillId="0" borderId="23" xfId="5" applyFont="1" applyBorder="1" applyAlignment="1">
      <alignment vertical="top" wrapText="1"/>
    </xf>
    <xf numFmtId="0" fontId="47" fillId="0" borderId="0" xfId="5" applyFont="1" applyAlignment="1">
      <alignment vertical="top" wrapText="1"/>
    </xf>
    <xf numFmtId="0" fontId="48" fillId="0" borderId="23" xfId="5" applyFont="1" applyBorder="1" applyAlignment="1">
      <alignment vertical="top" wrapText="1"/>
    </xf>
    <xf numFmtId="0" fontId="50" fillId="0" borderId="23" xfId="5" applyFont="1" applyBorder="1" applyAlignment="1">
      <alignment vertical="center" wrapText="1"/>
    </xf>
    <xf numFmtId="9" fontId="30" fillId="0" borderId="0" xfId="6" applyFont="1" applyAlignment="1">
      <alignment horizontal="left" indent="3"/>
    </xf>
    <xf numFmtId="0" fontId="42" fillId="0" borderId="23" xfId="5" applyFont="1" applyBorder="1" applyAlignment="1">
      <alignment vertical="top"/>
    </xf>
    <xf numFmtId="0" fontId="44" fillId="0" borderId="0" xfId="5" applyFont="1" applyAlignment="1">
      <alignment vertical="top"/>
    </xf>
    <xf numFmtId="0" fontId="36" fillId="0" borderId="0" xfId="5" applyFont="1" applyAlignment="1">
      <alignment vertical="top"/>
    </xf>
    <xf numFmtId="0" fontId="29" fillId="0" borderId="23" xfId="5" applyFont="1" applyBorder="1" applyAlignment="1">
      <alignment vertical="top" wrapText="1"/>
    </xf>
    <xf numFmtId="0" fontId="30" fillId="0" borderId="0" xfId="5" applyFont="1" applyAlignment="1">
      <alignment vertical="top" wrapText="1"/>
    </xf>
    <xf numFmtId="0" fontId="39" fillId="0" borderId="0" xfId="5" applyFont="1" applyAlignment="1">
      <alignment vertical="top"/>
    </xf>
    <xf numFmtId="0" fontId="52" fillId="0" borderId="23" xfId="5" applyFont="1" applyBorder="1" applyAlignment="1">
      <alignment vertical="top" wrapText="1"/>
    </xf>
    <xf numFmtId="0" fontId="52" fillId="0" borderId="0" xfId="5" applyFont="1" applyAlignment="1">
      <alignment vertical="top"/>
    </xf>
    <xf numFmtId="0" fontId="51" fillId="0" borderId="0" xfId="5" applyFont="1"/>
    <xf numFmtId="0" fontId="52" fillId="0" borderId="0" xfId="5" applyFont="1" applyAlignment="1">
      <alignment vertical="top" wrapText="1"/>
    </xf>
    <xf numFmtId="0" fontId="35" fillId="0" borderId="23" xfId="5" applyFont="1" applyBorder="1" applyAlignment="1">
      <alignment vertical="top"/>
    </xf>
    <xf numFmtId="0" fontId="35" fillId="0" borderId="0" xfId="5" applyFont="1" applyAlignment="1">
      <alignment vertical="top" wrapText="1"/>
    </xf>
    <xf numFmtId="0" fontId="12" fillId="0" borderId="37" xfId="0" applyFont="1" applyBorder="1" applyAlignment="1">
      <alignment horizontal="center"/>
    </xf>
    <xf numFmtId="0" fontId="0" fillId="0" borderId="38" xfId="0" applyBorder="1"/>
    <xf numFmtId="0" fontId="19" fillId="0" borderId="6" xfId="0" applyFont="1" applyBorder="1" applyAlignment="1">
      <alignment vertical="center"/>
    </xf>
    <xf numFmtId="9" fontId="13" fillId="0" borderId="6" xfId="1" applyFont="1" applyBorder="1" applyAlignment="1">
      <alignment horizontal="center" vertical="center"/>
    </xf>
    <xf numFmtId="0" fontId="16" fillId="0" borderId="5" xfId="0" applyFont="1" applyBorder="1" applyAlignment="1">
      <alignment horizontal="center"/>
    </xf>
    <xf numFmtId="0" fontId="24" fillId="0" borderId="6" xfId="0" applyFont="1" applyBorder="1" applyAlignment="1">
      <alignment horizontal="center"/>
    </xf>
    <xf numFmtId="0" fontId="12" fillId="0" borderId="37" xfId="0" applyFont="1" applyBorder="1"/>
    <xf numFmtId="0" fontId="12" fillId="0" borderId="38" xfId="0" applyFont="1" applyBorder="1"/>
    <xf numFmtId="169" fontId="13" fillId="0" borderId="7" xfId="0" applyNumberFormat="1" applyFont="1" applyBorder="1"/>
    <xf numFmtId="169" fontId="22" fillId="0" borderId="9" xfId="0" applyNumberFormat="1" applyFont="1" applyBorder="1"/>
    <xf numFmtId="169" fontId="13" fillId="0" borderId="12" xfId="0" applyNumberFormat="1" applyFont="1" applyBorder="1"/>
    <xf numFmtId="169" fontId="17" fillId="0" borderId="7" xfId="0" applyNumberFormat="1" applyFont="1" applyBorder="1" applyAlignment="1">
      <alignment vertical="center"/>
    </xf>
    <xf numFmtId="169" fontId="21" fillId="0" borderId="14" xfId="0" applyNumberFormat="1" applyFont="1" applyBorder="1" applyAlignment="1">
      <alignment vertical="center"/>
    </xf>
    <xf numFmtId="169" fontId="23" fillId="0" borderId="7" xfId="0" applyNumberFormat="1" applyFont="1" applyBorder="1" applyAlignment="1">
      <alignment vertical="center"/>
    </xf>
    <xf numFmtId="0" fontId="0" fillId="0" borderId="22" xfId="0" applyBorder="1"/>
    <xf numFmtId="167" fontId="30" fillId="0" borderId="0" xfId="3" applyFont="1"/>
    <xf numFmtId="167" fontId="30" fillId="0" borderId="0" xfId="5" applyNumberFormat="1" applyFont="1"/>
    <xf numFmtId="167" fontId="36" fillId="0" borderId="0" xfId="5" applyNumberFormat="1" applyFont="1" applyAlignment="1">
      <alignment vertical="center"/>
    </xf>
    <xf numFmtId="0" fontId="62" fillId="0" borderId="0" xfId="0" applyFont="1" applyAlignment="1">
      <alignment horizontal="left" vertical="top"/>
    </xf>
    <xf numFmtId="0" fontId="57" fillId="0" borderId="0" xfId="0" applyFont="1" applyAlignment="1">
      <alignment vertical="top"/>
    </xf>
    <xf numFmtId="43" fontId="62" fillId="0" borderId="41" xfId="0" applyNumberFormat="1" applyFont="1" applyBorder="1" applyAlignment="1">
      <alignment vertical="top"/>
    </xf>
    <xf numFmtId="43" fontId="63" fillId="0" borderId="42" xfId="0" applyNumberFormat="1" applyFont="1" applyBorder="1" applyAlignment="1">
      <alignment vertical="top"/>
    </xf>
    <xf numFmtId="0" fontId="0" fillId="0" borderId="41" xfId="0" applyBorder="1"/>
    <xf numFmtId="0" fontId="67" fillId="0" borderId="0" xfId="0" applyFont="1" applyAlignment="1"/>
    <xf numFmtId="0" fontId="68" fillId="0" borderId="0" xfId="0" applyFont="1" applyAlignment="1">
      <alignment vertical="top" wrapText="1"/>
    </xf>
    <xf numFmtId="0" fontId="54" fillId="0" borderId="0" xfId="0" applyFont="1"/>
    <xf numFmtId="0" fontId="56" fillId="2" borderId="0" xfId="0" applyFont="1" applyFill="1" applyAlignment="1">
      <alignment horizontal="center"/>
    </xf>
    <xf numFmtId="0" fontId="57" fillId="0" borderId="0" xfId="0" applyFont="1"/>
    <xf numFmtId="0" fontId="58" fillId="0" borderId="0" xfId="0" applyFont="1"/>
    <xf numFmtId="4" fontId="59" fillId="0" borderId="0" xfId="0" applyNumberFormat="1" applyFont="1"/>
    <xf numFmtId="0" fontId="60" fillId="0" borderId="0" xfId="0" applyFont="1"/>
    <xf numFmtId="4" fontId="61" fillId="0" borderId="0" xfId="0" applyNumberFormat="1" applyFont="1"/>
    <xf numFmtId="0" fontId="7" fillId="0" borderId="0" xfId="0" applyFont="1" applyAlignment="1">
      <alignment horizontal="right" vertical="center"/>
    </xf>
    <xf numFmtId="0" fontId="0" fillId="0" borderId="0" xfId="0"/>
    <xf numFmtId="0" fontId="5" fillId="0" borderId="0" xfId="0" applyFont="1" applyAlignment="1">
      <alignment horizontal="left" vertical="center" wrapText="1" indent="3"/>
    </xf>
    <xf numFmtId="0" fontId="55" fillId="0" borderId="0" xfId="0" applyFont="1" applyAlignment="1">
      <alignment wrapText="1"/>
    </xf>
    <xf numFmtId="0" fontId="12" fillId="0" borderId="39" xfId="0" applyFont="1" applyBorder="1" applyAlignment="1">
      <alignment horizontal="center"/>
    </xf>
    <xf numFmtId="0" fontId="12" fillId="0" borderId="40" xfId="0" applyFont="1" applyBorder="1" applyAlignment="1">
      <alignment horizontal="center"/>
    </xf>
    <xf numFmtId="0" fontId="63" fillId="0" borderId="18" xfId="0" applyFont="1" applyBorder="1" applyAlignment="1">
      <alignment horizontal="center" vertical="top"/>
    </xf>
    <xf numFmtId="0" fontId="63" fillId="0" borderId="19" xfId="0" applyFont="1" applyBorder="1" applyAlignment="1">
      <alignment horizontal="center" vertical="top"/>
    </xf>
    <xf numFmtId="0" fontId="63" fillId="0" borderId="33" xfId="0" applyFont="1" applyBorder="1" applyAlignment="1">
      <alignment horizontal="center" vertical="top"/>
    </xf>
    <xf numFmtId="0" fontId="0" fillId="0" borderId="23" xfId="0" applyBorder="1"/>
    <xf numFmtId="0" fontId="64" fillId="0" borderId="23" xfId="0" applyFont="1" applyBorder="1" applyAlignment="1">
      <alignment vertical="top"/>
    </xf>
    <xf numFmtId="0" fontId="63" fillId="0" borderId="23" xfId="0" applyFont="1" applyBorder="1" applyAlignment="1">
      <alignment vertical="top"/>
    </xf>
    <xf numFmtId="0" fontId="62" fillId="0" borderId="22" xfId="0" applyFont="1" applyBorder="1" applyAlignment="1">
      <alignment horizontal="center" vertical="top"/>
    </xf>
    <xf numFmtId="0" fontId="62" fillId="0" borderId="23" xfId="0" applyFont="1" applyBorder="1" applyAlignment="1">
      <alignment vertical="top"/>
    </xf>
    <xf numFmtId="0" fontId="0" fillId="0" borderId="43" xfId="0" applyBorder="1"/>
    <xf numFmtId="0" fontId="0" fillId="0" borderId="44" xfId="0" applyBorder="1"/>
    <xf numFmtId="0" fontId="63" fillId="0" borderId="44" xfId="0" applyFont="1" applyBorder="1" applyAlignment="1">
      <alignment vertical="top"/>
    </xf>
    <xf numFmtId="0" fontId="65" fillId="0" borderId="23" xfId="0" applyFont="1" applyBorder="1" applyAlignment="1">
      <alignment vertical="top" wrapText="1"/>
    </xf>
    <xf numFmtId="0" fontId="62" fillId="0" borderId="23" xfId="0" applyFont="1" applyBorder="1" applyAlignment="1">
      <alignment vertical="top" wrapText="1"/>
    </xf>
    <xf numFmtId="167" fontId="62" fillId="0" borderId="23" xfId="0" applyNumberFormat="1" applyFont="1" applyBorder="1" applyAlignment="1">
      <alignment horizontal="center" vertical="top"/>
    </xf>
    <xf numFmtId="0" fontId="62" fillId="0" borderId="23" xfId="0" applyFont="1" applyBorder="1" applyAlignment="1">
      <alignment horizontal="center" vertical="top"/>
    </xf>
    <xf numFmtId="167" fontId="66" fillId="0" borderId="23" xfId="0" applyNumberFormat="1" applyFont="1" applyBorder="1" applyAlignment="1">
      <alignment vertical="top"/>
    </xf>
    <xf numFmtId="0" fontId="64" fillId="0" borderId="44" xfId="0" applyFont="1" applyBorder="1" applyAlignment="1">
      <alignment vertical="top"/>
    </xf>
    <xf numFmtId="0" fontId="0" fillId="0" borderId="45" xfId="0" applyBorder="1"/>
    <xf numFmtId="0" fontId="62" fillId="0" borderId="46" xfId="0" applyFont="1" applyBorder="1" applyAlignment="1">
      <alignment horizontal="left" vertical="top"/>
    </xf>
    <xf numFmtId="0" fontId="0" fillId="0" borderId="46" xfId="0" applyBorder="1"/>
    <xf numFmtId="0" fontId="0" fillId="0" borderId="47" xfId="0" applyBorder="1"/>
    <xf numFmtId="0" fontId="63" fillId="0" borderId="44" xfId="0" applyFont="1" applyBorder="1" applyAlignment="1">
      <alignment horizontal="left" vertical="top"/>
    </xf>
    <xf numFmtId="0" fontId="0" fillId="0" borderId="48" xfId="0" applyBorder="1"/>
    <xf numFmtId="0" fontId="0" fillId="0" borderId="49" xfId="0" applyBorder="1"/>
    <xf numFmtId="0" fontId="0" fillId="0" borderId="50" xfId="0" applyBorder="1"/>
    <xf numFmtId="169" fontId="0" fillId="0" borderId="0" xfId="0" applyNumberFormat="1"/>
    <xf numFmtId="169" fontId="63" fillId="0" borderId="33" xfId="0" applyNumberFormat="1" applyFont="1" applyBorder="1" applyAlignment="1">
      <alignment horizontal="center" vertical="top"/>
    </xf>
    <xf numFmtId="169" fontId="0" fillId="0" borderId="41" xfId="0" applyNumberFormat="1" applyBorder="1"/>
    <xf numFmtId="169" fontId="62" fillId="0" borderId="41" xfId="0" applyNumberFormat="1" applyFont="1" applyBorder="1" applyAlignment="1">
      <alignment vertical="top"/>
    </xf>
    <xf numFmtId="169" fontId="63" fillId="0" borderId="42" xfId="0" applyNumberFormat="1" applyFont="1" applyBorder="1" applyAlignment="1">
      <alignment vertical="top"/>
    </xf>
    <xf numFmtId="169" fontId="0" fillId="0" borderId="47" xfId="0" applyNumberFormat="1" applyBorder="1"/>
    <xf numFmtId="0" fontId="69" fillId="0" borderId="23" xfId="0" applyFont="1" applyBorder="1" applyAlignment="1">
      <alignment horizontal="right"/>
    </xf>
    <xf numFmtId="0" fontId="0" fillId="0" borderId="28" xfId="0" applyBorder="1"/>
    <xf numFmtId="0" fontId="69" fillId="0" borderId="29" xfId="0" applyFont="1" applyBorder="1" applyAlignment="1">
      <alignment horizontal="right"/>
    </xf>
    <xf numFmtId="0" fontId="0" fillId="0" borderId="29" xfId="0" applyBorder="1"/>
    <xf numFmtId="43" fontId="53" fillId="0" borderId="51" xfId="0" applyNumberFormat="1" applyFont="1" applyBorder="1" applyAlignment="1">
      <alignment vertical="top"/>
    </xf>
    <xf numFmtId="43" fontId="53" fillId="0" borderId="50" xfId="0" applyNumberFormat="1" applyFont="1" applyBorder="1" applyAlignment="1">
      <alignment vertical="top"/>
    </xf>
    <xf numFmtId="0" fontId="70" fillId="0" borderId="0" xfId="5" applyFont="1" applyAlignment="1">
      <alignment vertical="center" wrapText="1"/>
    </xf>
    <xf numFmtId="0" fontId="33" fillId="0" borderId="0" xfId="5" applyFont="1" applyAlignment="1">
      <alignment vertical="top" wrapText="1"/>
    </xf>
    <xf numFmtId="0" fontId="33" fillId="0" borderId="23" xfId="5" applyFont="1" applyBorder="1" applyAlignment="1">
      <alignment horizontal="center" vertical="top" wrapText="1"/>
    </xf>
    <xf numFmtId="0" fontId="33" fillId="0" borderId="26" xfId="5" applyFont="1" applyBorder="1" applyAlignment="1">
      <alignment horizontal="center" vertical="top" wrapText="1"/>
    </xf>
    <xf numFmtId="0" fontId="33" fillId="0" borderId="29" xfId="5" applyFont="1" applyBorder="1" applyAlignment="1">
      <alignment horizontal="center" vertical="top" wrapText="1"/>
    </xf>
    <xf numFmtId="0" fontId="71" fillId="0" borderId="23" xfId="5" applyFont="1" applyBorder="1" applyAlignment="1">
      <alignment vertical="top" wrapText="1"/>
    </xf>
    <xf numFmtId="0" fontId="70" fillId="0" borderId="23" xfId="5" applyFont="1" applyBorder="1" applyAlignment="1">
      <alignment vertical="top" wrapText="1"/>
    </xf>
    <xf numFmtId="0" fontId="33" fillId="0" borderId="23" xfId="5" applyFont="1" applyBorder="1" applyAlignment="1">
      <alignment vertical="top" wrapText="1"/>
    </xf>
    <xf numFmtId="0" fontId="70" fillId="0" borderId="23" xfId="5" applyFont="1" applyBorder="1" applyAlignment="1">
      <alignment vertical="center" wrapText="1"/>
    </xf>
    <xf numFmtId="0" fontId="33" fillId="0" borderId="19" xfId="5" applyFont="1" applyBorder="1" applyAlignment="1">
      <alignment horizontal="center" vertical="top" wrapText="1"/>
    </xf>
    <xf numFmtId="0" fontId="72" fillId="0" borderId="23" xfId="5" applyFont="1" applyBorder="1" applyAlignment="1">
      <alignment vertical="top" wrapText="1"/>
    </xf>
    <xf numFmtId="0" fontId="33" fillId="0" borderId="23" xfId="5" applyFont="1" applyBorder="1" applyAlignment="1">
      <alignment vertical="center" wrapText="1"/>
    </xf>
    <xf numFmtId="0" fontId="48" fillId="0" borderId="23" xfId="5" applyFont="1" applyBorder="1" applyAlignment="1">
      <alignment vertical="top"/>
    </xf>
    <xf numFmtId="0" fontId="49" fillId="0" borderId="23" xfId="5" applyFont="1" applyBorder="1" applyAlignment="1">
      <alignment vertical="center" wrapText="1"/>
    </xf>
    <xf numFmtId="0" fontId="70" fillId="0" borderId="23" xfId="5" applyFont="1" applyBorder="1" applyAlignment="1">
      <alignment vertical="top"/>
    </xf>
    <xf numFmtId="0" fontId="70" fillId="0" borderId="23" xfId="5" applyFont="1" applyBorder="1" applyAlignment="1">
      <alignment horizontal="left" vertical="top" wrapText="1"/>
    </xf>
    <xf numFmtId="0" fontId="70" fillId="0" borderId="0" xfId="5" applyFont="1" applyAlignment="1">
      <alignment vertical="top" wrapText="1"/>
    </xf>
    <xf numFmtId="0" fontId="33" fillId="0" borderId="0" xfId="5" applyFont="1" applyAlignment="1">
      <alignment horizontal="center" vertical="top" wrapText="1"/>
    </xf>
    <xf numFmtId="0" fontId="73" fillId="0" borderId="0" xfId="5" applyFont="1" applyAlignment="1">
      <alignment horizontal="center"/>
    </xf>
    <xf numFmtId="0" fontId="74" fillId="0" borderId="18" xfId="2" applyFont="1" applyBorder="1" applyAlignment="1">
      <alignment horizontal="center" vertical="center"/>
    </xf>
    <xf numFmtId="0" fontId="74" fillId="0" borderId="22" xfId="2" applyFont="1" applyBorder="1" applyAlignment="1">
      <alignment horizontal="center" vertical="center"/>
    </xf>
    <xf numFmtId="0" fontId="73" fillId="0" borderId="22" xfId="5" applyFont="1" applyBorder="1" applyAlignment="1">
      <alignment horizontal="center"/>
    </xf>
    <xf numFmtId="0" fontId="73" fillId="0" borderId="25" xfId="5" applyFont="1" applyBorder="1" applyAlignment="1">
      <alignment horizontal="center"/>
    </xf>
    <xf numFmtId="0" fontId="73" fillId="0" borderId="28" xfId="5" applyFont="1" applyBorder="1" applyAlignment="1">
      <alignment horizontal="center"/>
    </xf>
    <xf numFmtId="0" fontId="73" fillId="0" borderId="22" xfId="5" applyFont="1" applyBorder="1" applyAlignment="1">
      <alignment horizontal="center"/>
    </xf>
    <xf numFmtId="0" fontId="75" fillId="0" borderId="22" xfId="0" applyFont="1" applyBorder="1"/>
    <xf numFmtId="0" fontId="73" fillId="0" borderId="18" xfId="5" applyFont="1" applyBorder="1" applyAlignment="1">
      <alignment horizontal="center"/>
    </xf>
    <xf numFmtId="0" fontId="73" fillId="0" borderId="22" xfId="5" applyFont="1" applyBorder="1" applyAlignment="1">
      <alignment horizontal="center" vertical="center"/>
    </xf>
    <xf numFmtId="0" fontId="76" fillId="0" borderId="22" xfId="5" applyFont="1" applyBorder="1" applyAlignment="1">
      <alignment horizontal="center"/>
    </xf>
    <xf numFmtId="0" fontId="73" fillId="0" borderId="0" xfId="5" applyFont="1" applyAlignment="1">
      <alignment vertical="top" wrapText="1"/>
    </xf>
    <xf numFmtId="169" fontId="26" fillId="0" borderId="0" xfId="3" applyNumberFormat="1" applyFont="1" applyFill="1" applyAlignment="1">
      <alignment vertical="center"/>
    </xf>
    <xf numFmtId="169" fontId="26" fillId="0" borderId="0" xfId="3" applyNumberFormat="1" applyFont="1" applyFill="1" applyAlignment="1">
      <alignment vertical="center" wrapText="1"/>
    </xf>
    <xf numFmtId="169" fontId="26" fillId="0" borderId="21" xfId="3" applyNumberFormat="1" applyFont="1" applyFill="1" applyBorder="1" applyAlignment="1">
      <alignment horizontal="center" vertical="center"/>
    </xf>
    <xf numFmtId="169" fontId="26" fillId="0" borderId="24" xfId="3" applyNumberFormat="1" applyFont="1" applyFill="1" applyBorder="1" applyAlignment="1">
      <alignment horizontal="center" vertical="center"/>
    </xf>
    <xf numFmtId="169" fontId="73" fillId="0" borderId="24" xfId="3" applyNumberFormat="1" applyFont="1" applyFill="1" applyBorder="1" applyAlignment="1">
      <alignment vertical="center" wrapText="1"/>
    </xf>
    <xf numFmtId="169" fontId="26" fillId="0" borderId="27" xfId="3" applyNumberFormat="1" applyFont="1" applyFill="1" applyBorder="1" applyAlignment="1">
      <alignment vertical="center" wrapText="1"/>
    </xf>
    <xf numFmtId="169" fontId="26" fillId="0" borderId="30" xfId="3" applyNumberFormat="1" applyFont="1" applyFill="1" applyBorder="1" applyAlignment="1">
      <alignment horizontal="center" vertical="center" wrapText="1"/>
    </xf>
    <xf numFmtId="169" fontId="38" fillId="0" borderId="31" xfId="3" applyNumberFormat="1" applyFont="1" applyFill="1" applyBorder="1" applyAlignment="1">
      <alignment horizontal="center" vertical="center" wrapText="1"/>
    </xf>
    <xf numFmtId="169" fontId="26" fillId="0" borderId="31" xfId="3" applyNumberFormat="1" applyFont="1" applyFill="1" applyBorder="1" applyAlignment="1">
      <alignment horizontal="center" vertical="center" wrapText="1"/>
    </xf>
    <xf numFmtId="169" fontId="43" fillId="0" borderId="31" xfId="3" applyNumberFormat="1" applyFont="1" applyFill="1" applyBorder="1" applyAlignment="1">
      <alignment horizontal="center" vertical="center" wrapText="1"/>
    </xf>
    <xf numFmtId="169" fontId="26" fillId="0" borderId="31" xfId="3" applyNumberFormat="1" applyFont="1" applyFill="1" applyBorder="1" applyAlignment="1">
      <alignment horizontal="center" vertical="center"/>
    </xf>
    <xf numFmtId="169" fontId="26" fillId="0" borderId="32" xfId="3" applyNumberFormat="1" applyFont="1" applyFill="1" applyBorder="1" applyAlignment="1">
      <alignment horizontal="center" vertical="center" wrapText="1"/>
    </xf>
    <xf numFmtId="169" fontId="46" fillId="0" borderId="31" xfId="3" applyNumberFormat="1" applyFont="1" applyFill="1" applyBorder="1" applyAlignment="1">
      <alignment horizontal="center" vertical="center" wrapText="1"/>
    </xf>
    <xf numFmtId="0" fontId="30" fillId="0" borderId="0" xfId="5" applyFont="1" applyFill="1"/>
    <xf numFmtId="169" fontId="20" fillId="0" borderId="31" xfId="3" applyNumberFormat="1" applyFont="1" applyFill="1" applyBorder="1" applyAlignment="1">
      <alignment horizontal="center" vertical="center" wrapText="1"/>
    </xf>
    <xf numFmtId="169" fontId="20" fillId="0" borderId="31" xfId="3" applyNumberFormat="1" applyFont="1" applyFill="1" applyBorder="1" applyAlignment="1">
      <alignment horizontal="center" vertical="center"/>
    </xf>
    <xf numFmtId="169" fontId="20" fillId="0" borderId="24" xfId="3" applyNumberFormat="1" applyFont="1" applyFill="1" applyBorder="1" applyAlignment="1">
      <alignment horizontal="center" vertical="center"/>
    </xf>
    <xf numFmtId="169" fontId="43" fillId="0" borderId="31" xfId="3" applyNumberFormat="1" applyFont="1" applyFill="1" applyBorder="1" applyAlignment="1">
      <alignment horizontal="center" vertical="center"/>
    </xf>
    <xf numFmtId="169" fontId="26" fillId="0" borderId="33" xfId="3" applyNumberFormat="1" applyFont="1" applyFill="1" applyBorder="1" applyAlignment="1">
      <alignment horizontal="center" vertical="center" wrapText="1"/>
    </xf>
    <xf numFmtId="169" fontId="38" fillId="0" borderId="31" xfId="3" applyNumberFormat="1" applyFont="1" applyFill="1" applyBorder="1" applyAlignment="1">
      <alignment horizontal="center" vertical="center"/>
    </xf>
    <xf numFmtId="169" fontId="20" fillId="0" borderId="34" xfId="3" applyNumberFormat="1" applyFont="1" applyFill="1" applyBorder="1" applyAlignment="1">
      <alignment horizontal="center" vertical="center" wrapText="1"/>
    </xf>
    <xf numFmtId="169" fontId="73" fillId="0" borderId="0" xfId="3" applyNumberFormat="1" applyFont="1" applyFill="1" applyAlignment="1">
      <alignment vertical="center" wrapText="1"/>
    </xf>
    <xf numFmtId="169" fontId="26" fillId="0" borderId="0" xfId="3" applyNumberFormat="1" applyFont="1" applyFill="1" applyAlignment="1">
      <alignment horizontal="center" vertical="center" wrapText="1"/>
    </xf>
    <xf numFmtId="169" fontId="26" fillId="0" borderId="0" xfId="3" applyNumberFormat="1" applyFont="1" applyFill="1" applyAlignment="1">
      <alignment horizontal="center" vertical="center"/>
    </xf>
    <xf numFmtId="0" fontId="0" fillId="0" borderId="52" xfId="0" applyBorder="1"/>
    <xf numFmtId="0" fontId="64" fillId="0" borderId="35" xfId="0" applyFont="1" applyBorder="1" applyAlignment="1">
      <alignment vertical="top"/>
    </xf>
    <xf numFmtId="0" fontId="0" fillId="0" borderId="35" xfId="0" applyBorder="1"/>
    <xf numFmtId="0" fontId="63" fillId="0" borderId="35" xfId="0" applyFont="1" applyBorder="1" applyAlignment="1">
      <alignment vertical="top"/>
    </xf>
    <xf numFmtId="0" fontId="62" fillId="0" borderId="52" xfId="0" applyFont="1" applyBorder="1" applyAlignment="1">
      <alignment horizontal="center" vertical="top"/>
    </xf>
    <xf numFmtId="0" fontId="62" fillId="0" borderId="35" xfId="0" applyFont="1" applyBorder="1" applyAlignment="1">
      <alignment vertical="top"/>
    </xf>
    <xf numFmtId="0" fontId="65" fillId="0" borderId="35" xfId="0" applyFont="1" applyBorder="1" applyAlignment="1">
      <alignment vertical="top" wrapText="1"/>
    </xf>
    <xf numFmtId="0" fontId="62" fillId="0" borderId="35" xfId="0" applyFont="1" applyBorder="1" applyAlignment="1">
      <alignment vertical="top" wrapText="1"/>
    </xf>
    <xf numFmtId="167" fontId="62" fillId="0" borderId="35" xfId="0" applyNumberFormat="1" applyFont="1" applyBorder="1" applyAlignment="1">
      <alignment horizontal="center" vertical="top"/>
    </xf>
    <xf numFmtId="0" fontId="62" fillId="0" borderId="35" xfId="0" applyFont="1" applyBorder="1" applyAlignment="1">
      <alignment horizontal="center" vertical="top"/>
    </xf>
    <xf numFmtId="167" fontId="66" fillId="0" borderId="35" xfId="0" applyNumberFormat="1" applyFont="1" applyBorder="1" applyAlignment="1">
      <alignment vertical="top"/>
    </xf>
    <xf numFmtId="0" fontId="0" fillId="0" borderId="36" xfId="0" applyBorder="1"/>
    <xf numFmtId="43" fontId="62" fillId="0" borderId="36" xfId="0" applyNumberFormat="1" applyFont="1" applyBorder="1" applyAlignment="1">
      <alignment vertical="top"/>
    </xf>
    <xf numFmtId="0" fontId="79" fillId="0" borderId="0" xfId="0" applyNumberFormat="1" applyFont="1" applyFill="1" applyBorder="1" applyAlignment="1">
      <alignment vertical="center"/>
    </xf>
    <xf numFmtId="0" fontId="86" fillId="0" borderId="0" xfId="0" applyNumberFormat="1" applyFont="1" applyFill="1" applyBorder="1" applyAlignment="1">
      <alignment vertical="center"/>
    </xf>
    <xf numFmtId="0" fontId="80" fillId="0" borderId="0" xfId="0" applyNumberFormat="1" applyFont="1" applyFill="1" applyBorder="1" applyAlignment="1">
      <alignment vertical="center"/>
    </xf>
    <xf numFmtId="0" fontId="81" fillId="3" borderId="53" xfId="0" applyNumberFormat="1" applyFont="1" applyFill="1" applyBorder="1" applyAlignment="1">
      <alignment horizontal="center" vertical="center" wrapText="1"/>
    </xf>
    <xf numFmtId="0" fontId="84" fillId="4" borderId="55" xfId="0" applyNumberFormat="1" applyFont="1" applyFill="1" applyBorder="1" applyAlignment="1">
      <alignment vertical="center"/>
    </xf>
    <xf numFmtId="0" fontId="85" fillId="0" borderId="0" xfId="0" applyNumberFormat="1" applyFont="1" applyFill="1" applyBorder="1" applyAlignment="1">
      <alignment vertical="center" indent="1"/>
    </xf>
    <xf numFmtId="0" fontId="78" fillId="0" borderId="0" xfId="0" applyNumberFormat="1" applyFont="1" applyFill="1" applyBorder="1" applyAlignment="1">
      <alignment horizontal="center" vertical="top"/>
    </xf>
    <xf numFmtId="0" fontId="78" fillId="0" borderId="0" xfId="0" applyNumberFormat="1" applyFont="1" applyFill="1" applyBorder="1" applyAlignment="1">
      <alignment vertical="top" wrapText="1"/>
    </xf>
    <xf numFmtId="0" fontId="77" fillId="0" borderId="0" xfId="0" applyNumberFormat="1" applyFont="1" applyFill="1" applyBorder="1" applyAlignment="1">
      <alignment horizontal="center" vertical="center"/>
    </xf>
    <xf numFmtId="0" fontId="77" fillId="0" borderId="0" xfId="0" applyNumberFormat="1" applyFont="1" applyFill="1" applyBorder="1" applyAlignment="1">
      <alignment vertical="center" indent="2"/>
    </xf>
    <xf numFmtId="190" fontId="77" fillId="5" borderId="56" xfId="0" applyNumberFormat="1" applyFont="1" applyFill="1" applyBorder="1" applyAlignment="1">
      <alignment vertical="center"/>
    </xf>
    <xf numFmtId="191" fontId="77" fillId="5" borderId="56" xfId="0" applyNumberFormat="1" applyFont="1" applyFill="1" applyBorder="1" applyAlignment="1">
      <alignment horizontal="center" vertical="center"/>
    </xf>
    <xf numFmtId="190" fontId="77" fillId="0" borderId="0" xfId="0" applyNumberFormat="1" applyFont="1" applyFill="1" applyBorder="1" applyAlignment="1">
      <alignment vertical="center"/>
    </xf>
    <xf numFmtId="0" fontId="78" fillId="6" borderId="54" xfId="0" applyNumberFormat="1" applyFont="1" applyFill="1" applyBorder="1" applyAlignment="1">
      <alignment vertical="center" indent="1"/>
    </xf>
    <xf numFmtId="190" fontId="78" fillId="6" borderId="54" xfId="0" applyNumberFormat="1" applyFont="1" applyFill="1" applyBorder="1" applyAlignment="1">
      <alignment vertical="center"/>
    </xf>
    <xf numFmtId="0" fontId="78" fillId="6" borderId="54" xfId="0" applyNumberFormat="1" applyFont="1" applyFill="1" applyBorder="1" applyAlignment="1">
      <alignment horizontal="center" vertical="center"/>
    </xf>
    <xf numFmtId="0" fontId="83" fillId="0" borderId="0" xfId="0" applyNumberFormat="1" applyFont="1" applyFill="1" applyBorder="1" applyAlignment="1">
      <alignment vertical="center"/>
    </xf>
    <xf numFmtId="0" fontId="82" fillId="0" borderId="0" xfId="0" applyNumberFormat="1" applyFont="1" applyFill="1" applyBorder="1" applyAlignment="1">
      <alignment vertical="center"/>
    </xf>
    <xf numFmtId="0" fontId="77" fillId="0" borderId="0" xfId="0" applyNumberFormat="1" applyFont="1" applyFill="1" applyBorder="1" applyAlignment="1">
      <alignment vertical="center"/>
    </xf>
    <xf numFmtId="0" fontId="82" fillId="0" borderId="0" xfId="0" applyNumberFormat="1" applyFont="1" applyFill="1" applyBorder="1" applyAlignment="1">
      <alignment vertical="top"/>
    </xf>
    <xf numFmtId="0" fontId="77" fillId="6" borderId="54" xfId="0" applyNumberFormat="1" applyFont="1" applyFill="1" applyBorder="1" applyAlignment="1">
      <alignment vertical="center"/>
    </xf>
  </cellXfs>
  <cellStyles count="7">
    <cellStyle name="Comma 5" xfId="3" xr:uid="{00000000-0005-0000-0000-000005000000}"/>
    <cellStyle name="Normal" xfId="0" builtinId="0"/>
    <cellStyle name="Normal 10" xfId="2" xr:uid="{00000000-0005-0000-0000-000004000000}"/>
    <cellStyle name="Normal 3 2" xfId="4" xr:uid="{00000000-0005-0000-0000-000006000000}"/>
    <cellStyle name="Normal 4 2" xfId="5" xr:uid="{00000000-0005-0000-0000-000007000000}"/>
    <cellStyle name="Percent" xfId="1" builtinId="5"/>
    <cellStyle name="Percent 4"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30"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0</xdr:rowOff>
    </xdr:from>
    <xdr:ext cx="390525" cy="1194435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duotone>
            <a:prstClr val="black"/>
            <a:srgbClr val="D9C3A5">
              <a:tint val="50000"/>
              <a:satMod val="180000"/>
            </a:srgbClr>
          </a:duotone>
        </a:blip>
        <a:stretch>
          <a:fillRect/>
        </a:stretch>
      </xdr:blipFill>
      <xdr:spPr>
        <a:xfrm>
          <a:off x="19050" y="0"/>
          <a:ext cx="390525" cy="11944350"/>
        </a:xfrm>
        <a:prstGeom prst="rect">
          <a:avLst/>
        </a:prstGeom>
        <a:solidFill>
          <a:schemeClr val="accent6">
            <a:lumMod val="75000"/>
          </a:schemeClr>
        </a:solidFill>
        <a:ln>
          <a:prstDash val="solid"/>
        </a:ln>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C39481-3C45-44F0-AA1A-115E9152CBE9}">
  <we:reference id="wa200009404" version="1.0.0.8" store="en-US" storeType="OMEX"/>
  <we:alternateReferences>
    <we:reference id="WA200009404" version="1.0.0.8" store="" storeType="OMEX"/>
  </we:alternateReferences>
  <we:properties>
    <we:property name="claude.fileId" value="&quot;4dcddc65-43dc-4729-bc45-b4759df4c71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pageSetUpPr fitToPage="1"/>
  </sheetPr>
  <dimension ref="A1:Z998"/>
  <sheetViews>
    <sheetView view="pageBreakPreview" zoomScale="60" zoomScaleNormal="40" workbookViewId="0">
      <selection activeCell="B11" sqref="B11:F11"/>
    </sheetView>
  </sheetViews>
  <sheetFormatPr defaultColWidth="14.44140625" defaultRowHeight="15" customHeight="1"/>
  <cols>
    <col min="1" max="1" width="4.6640625" style="9" customWidth="1"/>
    <col min="2" max="2" width="22.88671875" style="9" customWidth="1"/>
    <col min="3" max="3" width="77.77734375" style="9" customWidth="1"/>
    <col min="4" max="4" width="8.77734375" style="9" customWidth="1"/>
    <col min="5" max="5" width="8" style="9" customWidth="1"/>
    <col min="6" max="6" width="27.44140625" style="9" customWidth="1"/>
    <col min="7" max="26" width="9.109375" style="9" customWidth="1"/>
  </cols>
  <sheetData>
    <row r="1" spans="1:26" ht="31.5" customHeight="1">
      <c r="A1" s="1" t="s">
        <v>0</v>
      </c>
      <c r="B1" s="2"/>
      <c r="C1" s="3"/>
      <c r="D1" s="4"/>
      <c r="E1" s="5"/>
      <c r="F1" s="5"/>
      <c r="G1" s="6"/>
      <c r="H1" s="6"/>
      <c r="I1" s="6"/>
      <c r="J1" s="6"/>
      <c r="K1" s="6"/>
      <c r="L1" s="6"/>
      <c r="M1" s="6"/>
      <c r="N1" s="6"/>
      <c r="O1" s="6"/>
      <c r="P1" s="6"/>
      <c r="Q1" s="6"/>
      <c r="R1" s="6"/>
      <c r="S1" s="6"/>
      <c r="T1" s="6"/>
      <c r="U1" s="6"/>
      <c r="V1" s="6"/>
      <c r="W1" s="6"/>
      <c r="X1" s="6"/>
      <c r="Y1" s="6"/>
      <c r="Z1" s="6"/>
    </row>
    <row r="2" spans="1:26" ht="31.5" customHeight="1">
      <c r="A2" s="1"/>
      <c r="B2" s="2"/>
      <c r="C2" s="3"/>
      <c r="D2" s="4"/>
      <c r="E2" s="5"/>
      <c r="F2" s="5"/>
      <c r="G2" s="6"/>
      <c r="H2" s="6"/>
      <c r="I2" s="6"/>
      <c r="J2" s="6"/>
      <c r="K2" s="6"/>
      <c r="L2" s="6"/>
      <c r="M2" s="6"/>
      <c r="N2" s="6"/>
      <c r="O2" s="6"/>
      <c r="P2" s="6"/>
      <c r="Q2" s="6"/>
      <c r="R2" s="6"/>
      <c r="S2" s="6"/>
      <c r="T2" s="6"/>
      <c r="U2" s="6"/>
      <c r="V2" s="6"/>
      <c r="W2" s="6"/>
      <c r="X2" s="6"/>
      <c r="Y2" s="6"/>
      <c r="Z2" s="6"/>
    </row>
    <row r="3" spans="1:26" ht="31.5" customHeight="1">
      <c r="A3" s="1"/>
      <c r="B3" s="2"/>
      <c r="C3" s="3"/>
      <c r="D3" s="4"/>
      <c r="E3" s="5"/>
      <c r="F3" s="5"/>
      <c r="G3" s="6"/>
      <c r="H3" s="6"/>
      <c r="I3" s="6"/>
      <c r="J3" s="6"/>
      <c r="K3" s="6"/>
      <c r="L3" s="6"/>
      <c r="M3" s="6"/>
      <c r="N3" s="6"/>
      <c r="O3" s="6"/>
      <c r="P3" s="6"/>
      <c r="Q3" s="6"/>
      <c r="R3" s="6"/>
      <c r="S3" s="6"/>
      <c r="T3" s="6"/>
      <c r="U3" s="6"/>
      <c r="V3" s="6"/>
      <c r="W3" s="6"/>
      <c r="X3" s="6"/>
      <c r="Y3" s="6"/>
      <c r="Z3" s="6"/>
    </row>
    <row r="4" spans="1:26" ht="31.5" customHeight="1">
      <c r="A4" s="1"/>
      <c r="B4" s="2"/>
      <c r="C4" s="3"/>
      <c r="D4" s="4"/>
      <c r="E4" s="5"/>
      <c r="F4" s="5"/>
      <c r="G4" s="6"/>
      <c r="H4" s="6"/>
      <c r="I4" s="6"/>
      <c r="J4" s="6"/>
      <c r="K4" s="6"/>
      <c r="L4" s="6"/>
      <c r="M4" s="6"/>
      <c r="N4" s="6"/>
      <c r="O4" s="6"/>
      <c r="P4" s="6"/>
      <c r="Q4" s="6"/>
      <c r="R4" s="6"/>
      <c r="S4" s="6"/>
      <c r="T4" s="6"/>
      <c r="U4" s="6"/>
      <c r="V4" s="6"/>
      <c r="W4" s="6"/>
      <c r="X4" s="6"/>
      <c r="Y4" s="6"/>
      <c r="Z4" s="6"/>
    </row>
    <row r="5" spans="1:26" ht="31.5" customHeight="1">
      <c r="A5" s="1"/>
      <c r="B5" s="2"/>
      <c r="C5" s="3"/>
      <c r="D5" s="4"/>
      <c r="E5" s="5"/>
      <c r="F5" s="5"/>
      <c r="G5" s="6"/>
      <c r="H5" s="6"/>
      <c r="I5" s="6"/>
      <c r="J5" s="6"/>
      <c r="K5" s="6"/>
      <c r="L5" s="6"/>
      <c r="M5" s="6"/>
      <c r="N5" s="6"/>
      <c r="O5" s="6"/>
      <c r="P5" s="6"/>
      <c r="Q5" s="6"/>
      <c r="R5" s="6"/>
      <c r="S5" s="6"/>
      <c r="T5" s="6"/>
      <c r="U5" s="6"/>
      <c r="V5" s="6"/>
      <c r="W5" s="6"/>
      <c r="X5" s="6"/>
      <c r="Y5" s="6"/>
      <c r="Z5" s="6"/>
    </row>
    <row r="6" spans="1:26" ht="31.5" customHeight="1">
      <c r="A6" s="1"/>
      <c r="B6" s="2"/>
      <c r="C6" s="3"/>
      <c r="D6" s="4"/>
      <c r="E6" s="5"/>
      <c r="F6" s="5"/>
      <c r="G6" s="6"/>
      <c r="H6" s="6"/>
      <c r="I6" s="6"/>
      <c r="J6" s="6"/>
      <c r="K6" s="6"/>
      <c r="L6" s="6"/>
      <c r="M6" s="6"/>
      <c r="N6" s="6"/>
      <c r="O6" s="6"/>
      <c r="P6" s="6"/>
      <c r="Q6" s="6"/>
      <c r="R6" s="6"/>
      <c r="S6" s="6"/>
      <c r="T6" s="6"/>
      <c r="U6" s="6"/>
      <c r="V6" s="6"/>
      <c r="W6" s="6"/>
      <c r="X6" s="6"/>
      <c r="Y6" s="6"/>
      <c r="Z6" s="6"/>
    </row>
    <row r="7" spans="1:26" ht="31.5" customHeight="1">
      <c r="A7" s="1"/>
      <c r="B7" s="2"/>
      <c r="C7" s="3"/>
      <c r="D7" s="4"/>
      <c r="E7" s="5"/>
      <c r="F7" s="5"/>
      <c r="G7" s="6"/>
      <c r="H7" s="6"/>
      <c r="I7" s="6"/>
      <c r="J7" s="6"/>
      <c r="K7" s="6"/>
      <c r="L7" s="6"/>
      <c r="M7" s="6"/>
      <c r="N7" s="6"/>
      <c r="O7" s="6"/>
      <c r="P7" s="6"/>
      <c r="Q7" s="6"/>
      <c r="R7" s="6"/>
      <c r="S7" s="6"/>
      <c r="T7" s="6"/>
      <c r="U7" s="6"/>
      <c r="V7" s="6"/>
      <c r="W7" s="6"/>
      <c r="X7" s="6"/>
      <c r="Y7" s="6"/>
      <c r="Z7" s="6"/>
    </row>
    <row r="8" spans="1:26" ht="31.5" customHeight="1">
      <c r="A8" s="1"/>
      <c r="B8" s="2"/>
      <c r="C8" s="3"/>
      <c r="D8" s="4"/>
      <c r="E8" s="5"/>
      <c r="F8" s="5"/>
      <c r="G8" s="6"/>
      <c r="H8" s="6"/>
      <c r="I8" s="6"/>
      <c r="J8" s="6"/>
      <c r="K8" s="6"/>
      <c r="L8" s="6"/>
      <c r="M8" s="6"/>
      <c r="N8" s="6"/>
      <c r="O8" s="6"/>
      <c r="P8" s="6"/>
      <c r="Q8" s="6"/>
      <c r="R8" s="6"/>
      <c r="S8" s="6"/>
      <c r="T8" s="6"/>
      <c r="U8" s="6"/>
      <c r="V8" s="6"/>
      <c r="W8" s="6"/>
      <c r="X8" s="6"/>
      <c r="Y8" s="6"/>
      <c r="Z8" s="6"/>
    </row>
    <row r="9" spans="1:26" ht="31.5" customHeight="1">
      <c r="A9" s="1"/>
      <c r="B9" s="2"/>
      <c r="C9" s="3"/>
      <c r="D9" s="4"/>
      <c r="E9" s="5"/>
      <c r="F9" s="5"/>
      <c r="G9" s="6"/>
      <c r="H9" s="6"/>
      <c r="I9" s="6"/>
      <c r="J9" s="6"/>
      <c r="K9" s="6"/>
      <c r="L9" s="6"/>
      <c r="M9" s="6"/>
      <c r="N9" s="6"/>
      <c r="O9" s="6"/>
      <c r="P9" s="6"/>
      <c r="Q9" s="6"/>
      <c r="R9" s="6"/>
      <c r="S9" s="6"/>
      <c r="T9" s="6"/>
      <c r="U9" s="6"/>
      <c r="V9" s="6"/>
      <c r="W9" s="6"/>
      <c r="X9" s="6"/>
      <c r="Y9" s="6"/>
      <c r="Z9" s="6"/>
    </row>
    <row r="10" spans="1:26" ht="21.75" customHeight="1">
      <c r="A10" s="1"/>
      <c r="B10" s="7"/>
      <c r="C10" s="7"/>
      <c r="D10" s="7"/>
      <c r="E10" s="7"/>
      <c r="F10" s="7"/>
      <c r="G10" s="6"/>
      <c r="H10" s="6"/>
      <c r="I10" s="6"/>
      <c r="J10" s="6"/>
      <c r="K10" s="6"/>
      <c r="L10" s="6"/>
      <c r="M10" s="6"/>
      <c r="N10" s="6"/>
      <c r="O10" s="6"/>
      <c r="P10" s="6"/>
      <c r="Q10" s="6"/>
      <c r="R10" s="6"/>
      <c r="S10" s="6"/>
      <c r="T10" s="6"/>
      <c r="U10" s="6"/>
      <c r="V10" s="6"/>
      <c r="W10" s="6"/>
      <c r="X10" s="6"/>
      <c r="Y10" s="6"/>
      <c r="Z10" s="6"/>
    </row>
    <row r="11" spans="1:26" ht="304.8" customHeight="1">
      <c r="A11" s="1"/>
      <c r="B11" s="129" t="s">
        <v>1</v>
      </c>
      <c r="C11" s="128"/>
      <c r="D11" s="128"/>
      <c r="E11" s="128"/>
      <c r="F11" s="128"/>
      <c r="G11" s="6"/>
      <c r="H11" s="6"/>
      <c r="I11" s="6"/>
      <c r="J11" s="6"/>
      <c r="K11" s="6"/>
      <c r="L11" s="6"/>
      <c r="M11" s="6"/>
      <c r="N11" s="6"/>
      <c r="O11" s="6"/>
      <c r="P11" s="6"/>
      <c r="Q11" s="6"/>
      <c r="R11" s="6"/>
      <c r="S11" s="6"/>
      <c r="T11" s="6"/>
      <c r="U11" s="6"/>
      <c r="V11" s="6"/>
      <c r="W11" s="6"/>
      <c r="X11" s="6"/>
      <c r="Y11" s="6"/>
      <c r="Z11" s="6"/>
    </row>
    <row r="12" spans="1:26" ht="31.5" customHeight="1">
      <c r="A12" s="1"/>
      <c r="B12" s="8"/>
      <c r="C12" s="8"/>
      <c r="D12" s="8"/>
      <c r="E12" s="8"/>
      <c r="F12" s="8"/>
      <c r="G12" s="6"/>
      <c r="H12" s="6"/>
      <c r="I12" s="6"/>
      <c r="J12" s="6"/>
      <c r="K12" s="6"/>
      <c r="L12" s="6"/>
      <c r="M12" s="6"/>
      <c r="N12" s="6"/>
      <c r="O12" s="6"/>
      <c r="P12" s="6"/>
      <c r="Q12" s="6"/>
      <c r="R12" s="6"/>
      <c r="S12" s="6"/>
      <c r="T12" s="6"/>
      <c r="U12" s="6"/>
      <c r="V12" s="6"/>
      <c r="W12" s="6"/>
      <c r="X12" s="6"/>
      <c r="Y12" s="6"/>
      <c r="Z12" s="6"/>
    </row>
    <row r="13" spans="1:26" ht="31.5" customHeight="1">
      <c r="A13" s="1"/>
      <c r="B13" s="8"/>
      <c r="C13" s="8"/>
      <c r="D13" s="8"/>
      <c r="E13" s="8"/>
      <c r="F13" s="8"/>
      <c r="G13" s="6"/>
      <c r="H13" s="6"/>
      <c r="I13" s="6"/>
      <c r="J13" s="6"/>
      <c r="K13" s="6"/>
      <c r="L13" s="6"/>
      <c r="M13" s="6"/>
      <c r="N13" s="6"/>
      <c r="O13" s="6"/>
      <c r="P13" s="6"/>
      <c r="Q13" s="6"/>
      <c r="R13" s="6"/>
      <c r="S13" s="6"/>
      <c r="T13" s="6"/>
      <c r="U13" s="6"/>
      <c r="V13" s="6"/>
      <c r="W13" s="6"/>
      <c r="X13" s="6"/>
      <c r="Y13" s="6"/>
      <c r="Z13" s="6"/>
    </row>
    <row r="14" spans="1:26" ht="31.5" customHeight="1">
      <c r="A14" s="1"/>
      <c r="B14" s="8"/>
      <c r="C14" s="8"/>
      <c r="D14" s="8"/>
      <c r="E14" s="8"/>
      <c r="F14" s="8"/>
      <c r="G14" s="6"/>
      <c r="H14" s="6"/>
      <c r="I14" s="6"/>
      <c r="J14" s="6"/>
      <c r="K14" s="6"/>
      <c r="L14" s="6"/>
      <c r="M14" s="6"/>
      <c r="N14" s="6"/>
      <c r="O14" s="6"/>
      <c r="P14" s="6"/>
      <c r="Q14" s="6"/>
      <c r="R14" s="6"/>
      <c r="S14" s="6"/>
      <c r="T14" s="6"/>
      <c r="U14" s="6"/>
      <c r="V14" s="6"/>
      <c r="W14" s="6"/>
      <c r="X14" s="6"/>
      <c r="Y14" s="6"/>
      <c r="Z14" s="6"/>
    </row>
    <row r="15" spans="1:26" ht="31.5" customHeight="1">
      <c r="A15" s="1"/>
      <c r="B15" s="8"/>
      <c r="C15" s="8"/>
      <c r="D15" s="8"/>
      <c r="E15" s="8"/>
      <c r="F15" s="8"/>
      <c r="G15" s="6"/>
      <c r="H15" s="6"/>
      <c r="I15" s="6"/>
      <c r="J15" s="6"/>
      <c r="K15" s="6"/>
      <c r="L15" s="6"/>
      <c r="M15" s="6"/>
      <c r="N15" s="6"/>
      <c r="O15" s="6"/>
      <c r="P15" s="6"/>
      <c r="Q15" s="6"/>
      <c r="R15" s="6"/>
      <c r="S15" s="6"/>
      <c r="T15" s="6"/>
      <c r="U15" s="6"/>
      <c r="V15" s="6"/>
      <c r="W15" s="6"/>
      <c r="X15" s="6"/>
      <c r="Y15" s="6"/>
      <c r="Z15" s="6"/>
    </row>
    <row r="16" spans="1:26" ht="31.5" customHeight="1">
      <c r="A16" s="1"/>
      <c r="B16" s="8"/>
      <c r="C16" s="8"/>
      <c r="D16" s="8"/>
      <c r="E16" s="8"/>
      <c r="F16" s="8"/>
      <c r="G16" s="6"/>
      <c r="H16" s="6"/>
      <c r="I16" s="6"/>
      <c r="J16" s="6"/>
      <c r="K16" s="6"/>
      <c r="L16" s="6"/>
      <c r="M16" s="6"/>
      <c r="N16" s="6"/>
      <c r="O16" s="6"/>
      <c r="P16" s="6"/>
      <c r="Q16" s="6"/>
      <c r="R16" s="6"/>
      <c r="S16" s="6"/>
      <c r="T16" s="6"/>
      <c r="U16" s="6"/>
      <c r="V16" s="6"/>
      <c r="W16" s="6"/>
      <c r="X16" s="6"/>
      <c r="Y16" s="6"/>
      <c r="Z16" s="6"/>
    </row>
    <row r="17" spans="1:26" ht="31.5" customHeight="1">
      <c r="A17" s="1"/>
      <c r="B17" s="127"/>
      <c r="C17" s="128"/>
      <c r="D17" s="128"/>
      <c r="E17" s="128"/>
      <c r="F17" s="128"/>
      <c r="G17" s="6"/>
      <c r="H17" s="6"/>
      <c r="I17" s="6"/>
      <c r="J17" s="6"/>
      <c r="K17" s="6"/>
      <c r="L17" s="6"/>
      <c r="M17" s="6"/>
      <c r="N17" s="6"/>
      <c r="O17" s="6"/>
      <c r="P17" s="6"/>
      <c r="Q17" s="6"/>
      <c r="R17" s="6"/>
      <c r="S17" s="6"/>
      <c r="T17" s="6"/>
      <c r="U17" s="6"/>
      <c r="V17" s="6"/>
      <c r="W17" s="6"/>
      <c r="X17" s="6"/>
      <c r="Y17" s="6"/>
      <c r="Z17" s="6"/>
    </row>
    <row r="18" spans="1:26" ht="31.5" customHeight="1">
      <c r="A18" s="1"/>
      <c r="B18" s="2"/>
      <c r="C18" s="2"/>
      <c r="D18" s="2"/>
      <c r="E18" s="2"/>
      <c r="F18" s="2"/>
      <c r="G18" s="6"/>
      <c r="H18" s="6"/>
      <c r="I18" s="6"/>
      <c r="J18" s="6"/>
      <c r="K18" s="6"/>
      <c r="L18" s="6"/>
      <c r="M18" s="6"/>
      <c r="N18" s="6"/>
      <c r="O18" s="6"/>
      <c r="P18" s="6"/>
      <c r="Q18" s="6"/>
      <c r="R18" s="6"/>
      <c r="S18" s="6"/>
      <c r="T18" s="6"/>
      <c r="U18" s="6"/>
      <c r="V18" s="6"/>
      <c r="W18" s="6"/>
      <c r="X18" s="6"/>
      <c r="Y18" s="6"/>
      <c r="Z18" s="6"/>
    </row>
    <row r="19" spans="1:26" ht="31.5" customHeight="1">
      <c r="A19" s="1"/>
      <c r="B19" s="6"/>
      <c r="C19" s="10"/>
      <c r="D19" s="1"/>
      <c r="E19" s="11"/>
      <c r="F19" s="11"/>
      <c r="G19" s="6"/>
      <c r="H19" s="6"/>
      <c r="I19" s="6"/>
      <c r="J19" s="6"/>
      <c r="K19" s="6"/>
      <c r="L19" s="6"/>
      <c r="M19" s="6"/>
      <c r="N19" s="6"/>
      <c r="O19" s="6"/>
      <c r="P19" s="6"/>
      <c r="Q19" s="6"/>
      <c r="R19" s="6"/>
      <c r="S19" s="6"/>
      <c r="T19" s="6"/>
      <c r="U19" s="6"/>
      <c r="V19" s="6"/>
      <c r="W19" s="6"/>
      <c r="X19" s="6"/>
      <c r="Y19" s="6"/>
      <c r="Z19" s="6"/>
    </row>
    <row r="20" spans="1:26" ht="31.5" customHeight="1">
      <c r="A20" s="1"/>
      <c r="B20" s="6"/>
      <c r="C20" s="10"/>
      <c r="D20" s="1"/>
      <c r="E20" s="12"/>
      <c r="F20" s="13"/>
      <c r="G20" s="6"/>
      <c r="H20" s="6"/>
      <c r="I20" s="6"/>
      <c r="J20" s="6"/>
      <c r="K20" s="6"/>
      <c r="L20" s="6"/>
      <c r="M20" s="6"/>
      <c r="N20" s="6"/>
      <c r="O20" s="6"/>
      <c r="P20" s="6"/>
      <c r="Q20" s="6"/>
      <c r="R20" s="6"/>
      <c r="S20" s="6"/>
      <c r="T20" s="6"/>
      <c r="U20" s="6"/>
      <c r="V20" s="6"/>
      <c r="W20" s="6"/>
      <c r="X20" s="6"/>
      <c r="Y20" s="6"/>
      <c r="Z20" s="6"/>
    </row>
    <row r="21" spans="1:26" ht="31.5" customHeight="1">
      <c r="A21" s="1"/>
      <c r="B21" s="6"/>
      <c r="C21" s="10"/>
      <c r="D21" s="1"/>
      <c r="E21" s="12"/>
      <c r="F21" s="13"/>
      <c r="G21" s="6"/>
      <c r="H21" s="6"/>
      <c r="I21" s="6"/>
      <c r="J21" s="6"/>
      <c r="K21" s="6"/>
      <c r="L21" s="6"/>
      <c r="M21" s="6"/>
      <c r="N21" s="6"/>
      <c r="O21" s="6"/>
      <c r="P21" s="6"/>
      <c r="Q21" s="6"/>
      <c r="R21" s="6"/>
      <c r="S21" s="6"/>
      <c r="T21" s="6"/>
      <c r="U21" s="6"/>
      <c r="V21" s="6"/>
      <c r="W21" s="6"/>
      <c r="X21" s="6"/>
      <c r="Y21" s="6"/>
      <c r="Z21" s="6"/>
    </row>
    <row r="22" spans="1:26" ht="31.5" customHeight="1">
      <c r="A22" s="1"/>
      <c r="B22" s="6"/>
      <c r="C22" s="10"/>
      <c r="D22" s="1"/>
      <c r="E22" s="14"/>
      <c r="F22" s="14"/>
      <c r="G22" s="6"/>
      <c r="H22" s="6"/>
      <c r="I22" s="6"/>
      <c r="J22" s="6"/>
      <c r="K22" s="6"/>
      <c r="L22" s="6"/>
      <c r="M22" s="6"/>
      <c r="N22" s="6"/>
      <c r="O22" s="6"/>
      <c r="P22" s="6"/>
      <c r="Q22" s="6"/>
      <c r="R22" s="6"/>
      <c r="S22" s="6"/>
      <c r="T22" s="6"/>
      <c r="U22" s="6"/>
      <c r="V22" s="6"/>
      <c r="W22" s="6"/>
      <c r="X22" s="6"/>
      <c r="Y22" s="6"/>
      <c r="Z22" s="6"/>
    </row>
    <row r="23" spans="1:26" ht="31.5" customHeight="1">
      <c r="A23" s="1"/>
      <c r="B23" s="6"/>
      <c r="C23" s="10"/>
      <c r="D23" s="1"/>
      <c r="E23" s="11"/>
      <c r="F23" s="15" t="s">
        <v>2</v>
      </c>
      <c r="G23" s="6"/>
      <c r="H23" s="6"/>
      <c r="I23" s="6"/>
      <c r="J23" s="6"/>
      <c r="K23" s="6"/>
      <c r="L23" s="6"/>
      <c r="M23" s="6"/>
      <c r="N23" s="6"/>
      <c r="O23" s="6"/>
      <c r="P23" s="6"/>
      <c r="Q23" s="6"/>
      <c r="R23" s="6"/>
      <c r="S23" s="6"/>
      <c r="T23" s="6"/>
      <c r="U23" s="6"/>
      <c r="V23" s="6"/>
      <c r="W23" s="6"/>
      <c r="X23" s="6"/>
      <c r="Y23" s="6"/>
      <c r="Z23" s="6"/>
    </row>
    <row r="24" spans="1:26" ht="31.5" customHeight="1">
      <c r="A24" s="1"/>
      <c r="B24" s="6"/>
      <c r="C24" s="10"/>
      <c r="D24" s="1"/>
      <c r="E24" s="11"/>
      <c r="F24" s="11"/>
      <c r="G24" s="6"/>
      <c r="H24" s="6"/>
      <c r="I24" s="6"/>
      <c r="J24" s="6"/>
      <c r="K24" s="6"/>
      <c r="L24" s="6"/>
      <c r="M24" s="6"/>
      <c r="N24" s="6"/>
      <c r="O24" s="6"/>
      <c r="P24" s="6"/>
      <c r="Q24" s="6"/>
      <c r="R24" s="6"/>
      <c r="S24" s="6"/>
      <c r="T24" s="6"/>
      <c r="U24" s="6"/>
      <c r="V24" s="6"/>
      <c r="W24" s="6"/>
      <c r="X24" s="6"/>
      <c r="Y24" s="6"/>
      <c r="Z24" s="6"/>
    </row>
    <row r="25" spans="1:26" ht="31.5" customHeight="1">
      <c r="A25" s="16"/>
      <c r="B25" s="17"/>
      <c r="C25" s="12"/>
      <c r="D25" s="16"/>
      <c r="E25" s="18"/>
      <c r="F25" s="19"/>
      <c r="G25" s="17"/>
      <c r="H25" s="17"/>
      <c r="I25" s="17"/>
      <c r="J25" s="17"/>
      <c r="K25" s="17"/>
      <c r="L25" s="17"/>
      <c r="M25" s="17"/>
      <c r="N25" s="17"/>
      <c r="O25" s="17"/>
      <c r="P25" s="17"/>
      <c r="Q25" s="17"/>
      <c r="R25" s="17"/>
      <c r="S25" s="17"/>
      <c r="T25" s="17"/>
      <c r="U25" s="17"/>
      <c r="V25" s="17"/>
      <c r="W25" s="17"/>
      <c r="X25" s="17"/>
      <c r="Y25" s="17"/>
      <c r="Z25" s="17"/>
    </row>
    <row r="26" spans="1:26" ht="31.5" customHeight="1">
      <c r="A26" s="1"/>
      <c r="B26" s="6"/>
      <c r="C26" s="10"/>
      <c r="D26" s="1"/>
      <c r="E26" s="11"/>
      <c r="F26" s="11"/>
      <c r="G26" s="6"/>
      <c r="H26" s="6"/>
      <c r="I26" s="6"/>
      <c r="J26" s="6"/>
      <c r="K26" s="6"/>
      <c r="L26" s="6"/>
      <c r="M26" s="6"/>
      <c r="N26" s="6"/>
      <c r="O26" s="6"/>
      <c r="P26" s="6"/>
      <c r="Q26" s="6"/>
      <c r="R26" s="6"/>
      <c r="S26" s="6"/>
      <c r="T26" s="6"/>
      <c r="U26" s="6"/>
      <c r="V26" s="6"/>
      <c r="W26" s="6"/>
      <c r="X26" s="6"/>
      <c r="Y26" s="6"/>
      <c r="Z26" s="6"/>
    </row>
    <row r="27" spans="1:26" ht="31.5" customHeight="1">
      <c r="A27" s="1"/>
      <c r="B27" s="6"/>
      <c r="C27" s="10"/>
      <c r="D27" s="1"/>
      <c r="E27" s="11"/>
      <c r="F27" s="11"/>
      <c r="G27" s="6"/>
      <c r="H27" s="6"/>
      <c r="I27" s="6"/>
      <c r="J27" s="6"/>
      <c r="K27" s="6"/>
      <c r="L27" s="6"/>
      <c r="M27" s="6"/>
      <c r="N27" s="6"/>
      <c r="O27" s="6"/>
      <c r="P27" s="6"/>
      <c r="Q27" s="6"/>
      <c r="R27" s="6"/>
      <c r="S27" s="6"/>
      <c r="T27" s="6"/>
      <c r="U27" s="6"/>
      <c r="V27" s="6"/>
      <c r="W27" s="6"/>
      <c r="X27" s="6"/>
      <c r="Y27" s="6"/>
      <c r="Z27" s="6"/>
    </row>
    <row r="28" spans="1:26" ht="31.5" customHeight="1">
      <c r="A28" s="1"/>
      <c r="B28" s="6"/>
      <c r="C28" s="10"/>
      <c r="D28" s="1"/>
      <c r="E28" s="11"/>
      <c r="F28" s="11"/>
      <c r="G28" s="6"/>
      <c r="H28" s="6"/>
      <c r="I28" s="6"/>
      <c r="J28" s="6"/>
      <c r="K28" s="6"/>
      <c r="L28" s="6"/>
      <c r="M28" s="6"/>
      <c r="N28" s="6"/>
      <c r="O28" s="6"/>
      <c r="P28" s="6"/>
      <c r="Q28" s="6"/>
      <c r="R28" s="6"/>
      <c r="S28" s="6"/>
      <c r="T28" s="6"/>
      <c r="U28" s="6"/>
      <c r="V28" s="6"/>
      <c r="W28" s="6"/>
      <c r="X28" s="6"/>
      <c r="Y28" s="6"/>
      <c r="Z28" s="6"/>
    </row>
    <row r="29" spans="1:26" ht="31.5" customHeight="1">
      <c r="A29" s="1"/>
      <c r="B29" s="6"/>
      <c r="C29" s="10"/>
      <c r="D29" s="1"/>
      <c r="E29" s="11"/>
      <c r="F29" s="11"/>
      <c r="G29" s="6"/>
      <c r="H29" s="6"/>
      <c r="I29" s="6"/>
      <c r="J29" s="6"/>
      <c r="K29" s="6"/>
      <c r="L29" s="6"/>
      <c r="M29" s="6"/>
      <c r="N29" s="6"/>
      <c r="O29" s="6"/>
      <c r="P29" s="6"/>
      <c r="Q29" s="6"/>
      <c r="R29" s="6"/>
      <c r="S29" s="6"/>
      <c r="T29" s="6"/>
      <c r="U29" s="6"/>
      <c r="V29" s="6"/>
      <c r="W29" s="6"/>
      <c r="X29" s="6"/>
      <c r="Y29" s="6"/>
      <c r="Z29" s="6"/>
    </row>
    <row r="30" spans="1:26" ht="31.5" customHeight="1">
      <c r="A30" s="1"/>
      <c r="B30" s="6"/>
      <c r="C30" s="10"/>
      <c r="D30" s="1"/>
      <c r="E30" s="11"/>
      <c r="F30" s="11"/>
      <c r="G30" s="6"/>
      <c r="H30" s="6"/>
      <c r="I30" s="6"/>
      <c r="J30" s="6"/>
      <c r="K30" s="6"/>
      <c r="L30" s="6"/>
      <c r="M30" s="6"/>
      <c r="N30" s="6"/>
      <c r="O30" s="6"/>
      <c r="P30" s="6"/>
      <c r="Q30" s="6"/>
      <c r="R30" s="6"/>
      <c r="S30" s="6"/>
      <c r="T30" s="6"/>
      <c r="U30" s="6"/>
      <c r="V30" s="6"/>
      <c r="W30" s="6"/>
      <c r="X30" s="6"/>
      <c r="Y30" s="6"/>
      <c r="Z30" s="6"/>
    </row>
    <row r="31" spans="1:26" ht="31.5" customHeight="1">
      <c r="A31" s="1"/>
      <c r="B31" s="6"/>
      <c r="C31" s="10"/>
      <c r="D31" s="1"/>
      <c r="E31" s="11"/>
      <c r="F31" s="11"/>
      <c r="G31" s="6"/>
      <c r="H31" s="6"/>
      <c r="I31" s="6"/>
      <c r="J31" s="6"/>
      <c r="K31" s="6"/>
      <c r="L31" s="6"/>
      <c r="M31" s="6"/>
      <c r="N31" s="6"/>
      <c r="O31" s="6"/>
      <c r="P31" s="6"/>
      <c r="Q31" s="6"/>
      <c r="R31" s="6"/>
      <c r="S31" s="6"/>
      <c r="T31" s="6"/>
      <c r="U31" s="6"/>
      <c r="V31" s="6"/>
      <c r="W31" s="6"/>
      <c r="X31" s="6"/>
      <c r="Y31" s="6"/>
      <c r="Z31" s="6"/>
    </row>
    <row r="32" spans="1:26" ht="31.5" customHeight="1">
      <c r="A32" s="1"/>
      <c r="B32" s="6"/>
      <c r="C32" s="10"/>
      <c r="D32" s="1"/>
      <c r="E32" s="11"/>
      <c r="F32" s="11"/>
      <c r="G32" s="6"/>
      <c r="H32" s="6"/>
      <c r="I32" s="6"/>
      <c r="J32" s="6"/>
      <c r="K32" s="6"/>
      <c r="L32" s="6"/>
      <c r="M32" s="6"/>
      <c r="N32" s="6"/>
      <c r="O32" s="6"/>
      <c r="P32" s="6"/>
      <c r="Q32" s="6"/>
      <c r="R32" s="6"/>
      <c r="S32" s="6"/>
      <c r="T32" s="6"/>
      <c r="U32" s="6"/>
      <c r="V32" s="6"/>
      <c r="W32" s="6"/>
      <c r="X32" s="6"/>
      <c r="Y32" s="6"/>
      <c r="Z32" s="6"/>
    </row>
    <row r="33" spans="1:26" ht="31.5" customHeight="1">
      <c r="A33" s="1"/>
      <c r="B33" s="6"/>
      <c r="C33" s="10"/>
      <c r="D33" s="1"/>
      <c r="E33" s="11"/>
      <c r="F33" s="11"/>
      <c r="G33" s="6"/>
      <c r="H33" s="6"/>
      <c r="I33" s="6"/>
      <c r="J33" s="6"/>
      <c r="K33" s="6"/>
      <c r="L33" s="6"/>
      <c r="M33" s="6"/>
      <c r="N33" s="6"/>
      <c r="O33" s="6"/>
      <c r="P33" s="6"/>
      <c r="Q33" s="6"/>
      <c r="R33" s="6"/>
      <c r="S33" s="6"/>
      <c r="T33" s="6"/>
      <c r="U33" s="6"/>
      <c r="V33" s="6"/>
      <c r="W33" s="6"/>
      <c r="X33" s="6"/>
      <c r="Y33" s="6"/>
      <c r="Z33" s="6"/>
    </row>
    <row r="34" spans="1:26" ht="31.5" customHeight="1">
      <c r="A34" s="1"/>
      <c r="B34" s="6"/>
      <c r="C34" s="10"/>
      <c r="D34" s="1"/>
      <c r="E34" s="11"/>
      <c r="F34" s="11"/>
      <c r="G34" s="6"/>
      <c r="H34" s="6"/>
      <c r="I34" s="6"/>
      <c r="J34" s="6"/>
      <c r="K34" s="6"/>
      <c r="L34" s="6"/>
      <c r="M34" s="6"/>
      <c r="N34" s="6"/>
      <c r="O34" s="6"/>
      <c r="P34" s="6"/>
      <c r="Q34" s="6"/>
      <c r="R34" s="6"/>
      <c r="S34" s="6"/>
      <c r="T34" s="6"/>
      <c r="U34" s="6"/>
      <c r="V34" s="6"/>
      <c r="W34" s="6"/>
      <c r="X34" s="6"/>
      <c r="Y34" s="6"/>
      <c r="Z34" s="6"/>
    </row>
    <row r="35" spans="1:26" ht="31.5" customHeight="1">
      <c r="A35" s="1"/>
      <c r="B35" s="6"/>
      <c r="C35" s="10"/>
      <c r="D35" s="1"/>
      <c r="E35" s="11"/>
      <c r="F35" s="11"/>
      <c r="G35" s="6"/>
      <c r="H35" s="6"/>
      <c r="I35" s="6"/>
      <c r="J35" s="6"/>
      <c r="K35" s="6"/>
      <c r="L35" s="6"/>
      <c r="M35" s="6"/>
      <c r="N35" s="6"/>
      <c r="O35" s="6"/>
      <c r="P35" s="6"/>
      <c r="Q35" s="6"/>
      <c r="R35" s="6"/>
      <c r="S35" s="6"/>
      <c r="T35" s="6"/>
      <c r="U35" s="6"/>
      <c r="V35" s="6"/>
      <c r="W35" s="6"/>
      <c r="X35" s="6"/>
      <c r="Y35" s="6"/>
      <c r="Z35" s="6"/>
    </row>
    <row r="36" spans="1:26" ht="31.5" customHeight="1">
      <c r="A36" s="1"/>
      <c r="B36" s="6"/>
      <c r="C36" s="10"/>
      <c r="D36" s="1"/>
      <c r="E36" s="11"/>
      <c r="F36" s="11"/>
      <c r="G36" s="6"/>
      <c r="H36" s="6"/>
      <c r="I36" s="6"/>
      <c r="J36" s="6"/>
      <c r="K36" s="6"/>
      <c r="L36" s="6"/>
      <c r="M36" s="6"/>
      <c r="N36" s="6"/>
      <c r="O36" s="6"/>
      <c r="P36" s="6"/>
      <c r="Q36" s="6"/>
      <c r="R36" s="6"/>
      <c r="S36" s="6"/>
      <c r="T36" s="6"/>
      <c r="U36" s="6"/>
      <c r="V36" s="6"/>
      <c r="W36" s="6"/>
      <c r="X36" s="6"/>
      <c r="Y36" s="6"/>
      <c r="Z36" s="6"/>
    </row>
    <row r="37" spans="1:26" ht="31.5" customHeight="1">
      <c r="A37" s="1"/>
      <c r="B37" s="6"/>
      <c r="C37" s="10"/>
      <c r="D37" s="1"/>
      <c r="E37" s="11"/>
      <c r="F37" s="11"/>
      <c r="G37" s="6"/>
      <c r="H37" s="6"/>
      <c r="I37" s="6"/>
      <c r="J37" s="6"/>
      <c r="K37" s="6"/>
      <c r="L37" s="6"/>
      <c r="M37" s="6"/>
      <c r="N37" s="6"/>
      <c r="O37" s="6"/>
      <c r="P37" s="6"/>
      <c r="Q37" s="6"/>
      <c r="R37" s="6"/>
      <c r="S37" s="6"/>
      <c r="T37" s="6"/>
      <c r="U37" s="6"/>
      <c r="V37" s="6"/>
      <c r="W37" s="6"/>
      <c r="X37" s="6"/>
      <c r="Y37" s="6"/>
      <c r="Z37" s="6"/>
    </row>
    <row r="38" spans="1:26" ht="31.5" customHeight="1">
      <c r="A38" s="1"/>
      <c r="B38" s="6"/>
      <c r="C38" s="10"/>
      <c r="D38" s="1"/>
      <c r="E38" s="11"/>
      <c r="F38" s="11"/>
      <c r="G38" s="6"/>
      <c r="H38" s="6"/>
      <c r="I38" s="6"/>
      <c r="J38" s="6"/>
      <c r="K38" s="6"/>
      <c r="L38" s="6"/>
      <c r="M38" s="6"/>
      <c r="N38" s="6"/>
      <c r="O38" s="6"/>
      <c r="P38" s="6"/>
      <c r="Q38" s="6"/>
      <c r="R38" s="6"/>
      <c r="S38" s="6"/>
      <c r="T38" s="6"/>
      <c r="U38" s="6"/>
      <c r="V38" s="6"/>
      <c r="W38" s="6"/>
      <c r="X38" s="6"/>
      <c r="Y38" s="6"/>
      <c r="Z38" s="6"/>
    </row>
    <row r="39" spans="1:26" ht="31.5" customHeight="1">
      <c r="A39" s="1"/>
      <c r="B39" s="6"/>
      <c r="C39" s="10"/>
      <c r="D39" s="1"/>
      <c r="E39" s="11"/>
      <c r="F39" s="11"/>
      <c r="G39" s="6"/>
      <c r="H39" s="6"/>
      <c r="I39" s="6"/>
      <c r="J39" s="6"/>
      <c r="K39" s="6"/>
      <c r="L39" s="6"/>
      <c r="M39" s="6"/>
      <c r="N39" s="6"/>
      <c r="O39" s="6"/>
      <c r="P39" s="6"/>
      <c r="Q39" s="6"/>
      <c r="R39" s="6"/>
      <c r="S39" s="6"/>
      <c r="T39" s="6"/>
      <c r="U39" s="6"/>
      <c r="V39" s="6"/>
      <c r="W39" s="6"/>
      <c r="X39" s="6"/>
      <c r="Y39" s="6"/>
      <c r="Z39" s="6"/>
    </row>
    <row r="40" spans="1:26" ht="31.5" customHeight="1">
      <c r="A40" s="1"/>
      <c r="B40" s="6"/>
      <c r="C40" s="10"/>
      <c r="D40" s="1"/>
      <c r="E40" s="11"/>
      <c r="F40" s="11"/>
      <c r="G40" s="6"/>
      <c r="H40" s="6"/>
      <c r="I40" s="6"/>
      <c r="J40" s="6"/>
      <c r="K40" s="6"/>
      <c r="L40" s="6"/>
      <c r="M40" s="6"/>
      <c r="N40" s="6"/>
      <c r="O40" s="6"/>
      <c r="P40" s="6"/>
      <c r="Q40" s="6"/>
      <c r="R40" s="6"/>
      <c r="S40" s="6"/>
      <c r="T40" s="6"/>
      <c r="U40" s="6"/>
      <c r="V40" s="6"/>
      <c r="W40" s="6"/>
      <c r="X40" s="6"/>
      <c r="Y40" s="6"/>
      <c r="Z40" s="6"/>
    </row>
    <row r="41" spans="1:26" ht="31.5" customHeight="1">
      <c r="A41" s="1"/>
      <c r="B41" s="6"/>
      <c r="C41" s="10"/>
      <c r="D41" s="1"/>
      <c r="E41" s="11"/>
      <c r="F41" s="11"/>
      <c r="G41" s="6"/>
      <c r="H41" s="6"/>
      <c r="I41" s="6"/>
      <c r="J41" s="6"/>
      <c r="K41" s="6"/>
      <c r="L41" s="6"/>
      <c r="M41" s="6"/>
      <c r="N41" s="6"/>
      <c r="O41" s="6"/>
      <c r="P41" s="6"/>
      <c r="Q41" s="6"/>
      <c r="R41" s="6"/>
      <c r="S41" s="6"/>
      <c r="T41" s="6"/>
      <c r="U41" s="6"/>
      <c r="V41" s="6"/>
      <c r="W41" s="6"/>
      <c r="X41" s="6"/>
      <c r="Y41" s="6"/>
      <c r="Z41" s="6"/>
    </row>
    <row r="42" spans="1:26" ht="31.5" customHeight="1">
      <c r="A42" s="1"/>
      <c r="B42" s="6"/>
      <c r="C42" s="10"/>
      <c r="D42" s="1"/>
      <c r="E42" s="11"/>
      <c r="F42" s="11"/>
      <c r="G42" s="6"/>
      <c r="H42" s="6"/>
      <c r="I42" s="6"/>
      <c r="J42" s="6"/>
      <c r="K42" s="6"/>
      <c r="L42" s="6"/>
      <c r="M42" s="6"/>
      <c r="N42" s="6"/>
      <c r="O42" s="6"/>
      <c r="P42" s="6"/>
      <c r="Q42" s="6"/>
      <c r="R42" s="6"/>
      <c r="S42" s="6"/>
      <c r="T42" s="6"/>
      <c r="U42" s="6"/>
      <c r="V42" s="6"/>
      <c r="W42" s="6"/>
      <c r="X42" s="6"/>
      <c r="Y42" s="6"/>
      <c r="Z42" s="6"/>
    </row>
    <row r="43" spans="1:26" ht="31.5" customHeight="1">
      <c r="A43" s="1"/>
      <c r="B43" s="6"/>
      <c r="C43" s="10"/>
      <c r="D43" s="1"/>
      <c r="E43" s="11"/>
      <c r="F43" s="11"/>
      <c r="G43" s="6"/>
      <c r="H43" s="6"/>
      <c r="I43" s="6"/>
      <c r="J43" s="6"/>
      <c r="K43" s="6"/>
      <c r="L43" s="6"/>
      <c r="M43" s="6"/>
      <c r="N43" s="6"/>
      <c r="O43" s="6"/>
      <c r="P43" s="6"/>
      <c r="Q43" s="6"/>
      <c r="R43" s="6"/>
      <c r="S43" s="6"/>
      <c r="T43" s="6"/>
      <c r="U43" s="6"/>
      <c r="V43" s="6"/>
      <c r="W43" s="6"/>
      <c r="X43" s="6"/>
      <c r="Y43" s="6"/>
      <c r="Z43" s="6"/>
    </row>
    <row r="44" spans="1:26" ht="31.5" customHeight="1">
      <c r="A44" s="1"/>
      <c r="B44" s="6"/>
      <c r="C44" s="10"/>
      <c r="D44" s="1"/>
      <c r="E44" s="11"/>
      <c r="F44" s="11"/>
      <c r="G44" s="6"/>
      <c r="H44" s="6"/>
      <c r="I44" s="6"/>
      <c r="J44" s="6"/>
      <c r="K44" s="6"/>
      <c r="L44" s="6"/>
      <c r="M44" s="6"/>
      <c r="N44" s="6"/>
      <c r="O44" s="6"/>
      <c r="P44" s="6"/>
      <c r="Q44" s="6"/>
      <c r="R44" s="6"/>
      <c r="S44" s="6"/>
      <c r="T44" s="6"/>
      <c r="U44" s="6"/>
      <c r="V44" s="6"/>
      <c r="W44" s="6"/>
      <c r="X44" s="6"/>
      <c r="Y44" s="6"/>
      <c r="Z44" s="6"/>
    </row>
    <row r="45" spans="1:26" ht="31.5" customHeight="1">
      <c r="A45" s="1"/>
      <c r="B45" s="6"/>
      <c r="C45" s="10"/>
      <c r="D45" s="1"/>
      <c r="E45" s="11"/>
      <c r="F45" s="11"/>
      <c r="G45" s="6"/>
      <c r="H45" s="6"/>
      <c r="I45" s="6"/>
      <c r="J45" s="6"/>
      <c r="K45" s="6"/>
      <c r="L45" s="6"/>
      <c r="M45" s="6"/>
      <c r="N45" s="6"/>
      <c r="O45" s="6"/>
      <c r="P45" s="6"/>
      <c r="Q45" s="6"/>
      <c r="R45" s="6"/>
      <c r="S45" s="6"/>
      <c r="T45" s="6"/>
      <c r="U45" s="6"/>
      <c r="V45" s="6"/>
      <c r="W45" s="6"/>
      <c r="X45" s="6"/>
      <c r="Y45" s="6"/>
      <c r="Z45" s="6"/>
    </row>
    <row r="46" spans="1:26" ht="31.5" customHeight="1">
      <c r="A46" s="1"/>
      <c r="B46" s="6"/>
      <c r="C46" s="10"/>
      <c r="D46" s="1"/>
      <c r="E46" s="11"/>
      <c r="F46" s="11"/>
      <c r="G46" s="6"/>
      <c r="H46" s="6"/>
      <c r="I46" s="6"/>
      <c r="J46" s="6"/>
      <c r="K46" s="6"/>
      <c r="L46" s="6"/>
      <c r="M46" s="6"/>
      <c r="N46" s="6"/>
      <c r="O46" s="6"/>
      <c r="P46" s="6"/>
      <c r="Q46" s="6"/>
      <c r="R46" s="6"/>
      <c r="S46" s="6"/>
      <c r="T46" s="6"/>
      <c r="U46" s="6"/>
      <c r="V46" s="6"/>
      <c r="W46" s="6"/>
      <c r="X46" s="6"/>
      <c r="Y46" s="6"/>
      <c r="Z46" s="6"/>
    </row>
    <row r="47" spans="1:26" ht="31.5" customHeight="1">
      <c r="A47" s="1"/>
      <c r="B47" s="6"/>
      <c r="C47" s="10"/>
      <c r="D47" s="1"/>
      <c r="E47" s="11"/>
      <c r="F47" s="11"/>
      <c r="G47" s="6"/>
      <c r="H47" s="6"/>
      <c r="I47" s="6"/>
      <c r="J47" s="6"/>
      <c r="K47" s="6"/>
      <c r="L47" s="6"/>
      <c r="M47" s="6"/>
      <c r="N47" s="6"/>
      <c r="O47" s="6"/>
      <c r="P47" s="6"/>
      <c r="Q47" s="6"/>
      <c r="R47" s="6"/>
      <c r="S47" s="6"/>
      <c r="T47" s="6"/>
      <c r="U47" s="6"/>
      <c r="V47" s="6"/>
      <c r="W47" s="6"/>
      <c r="X47" s="6"/>
      <c r="Y47" s="6"/>
      <c r="Z47" s="6"/>
    </row>
    <row r="48" spans="1:26" ht="31.5" customHeight="1">
      <c r="A48" s="1"/>
      <c r="B48" s="6"/>
      <c r="C48" s="10"/>
      <c r="D48" s="1"/>
      <c r="E48" s="11"/>
      <c r="F48" s="11"/>
      <c r="G48" s="6"/>
      <c r="H48" s="6"/>
      <c r="I48" s="6"/>
      <c r="J48" s="6"/>
      <c r="K48" s="6"/>
      <c r="L48" s="6"/>
      <c r="M48" s="6"/>
      <c r="N48" s="6"/>
      <c r="O48" s="6"/>
      <c r="P48" s="6"/>
      <c r="Q48" s="6"/>
      <c r="R48" s="6"/>
      <c r="S48" s="6"/>
      <c r="T48" s="6"/>
      <c r="U48" s="6"/>
      <c r="V48" s="6"/>
      <c r="W48" s="6"/>
      <c r="X48" s="6"/>
      <c r="Y48" s="6"/>
      <c r="Z48" s="6"/>
    </row>
    <row r="49" spans="1:26" ht="31.5" customHeight="1">
      <c r="A49" s="1"/>
      <c r="B49" s="6"/>
      <c r="C49" s="10"/>
      <c r="D49" s="1"/>
      <c r="E49" s="11"/>
      <c r="F49" s="11"/>
      <c r="G49" s="6"/>
      <c r="H49" s="6"/>
      <c r="I49" s="6"/>
      <c r="J49" s="6"/>
      <c r="K49" s="6"/>
      <c r="L49" s="6"/>
      <c r="M49" s="6"/>
      <c r="N49" s="6"/>
      <c r="O49" s="6"/>
      <c r="P49" s="6"/>
      <c r="Q49" s="6"/>
      <c r="R49" s="6"/>
      <c r="S49" s="6"/>
      <c r="T49" s="6"/>
      <c r="U49" s="6"/>
      <c r="V49" s="6"/>
      <c r="W49" s="6"/>
      <c r="X49" s="6"/>
      <c r="Y49" s="6"/>
      <c r="Z49" s="6"/>
    </row>
    <row r="50" spans="1:26" ht="31.5" customHeight="1">
      <c r="A50" s="1"/>
      <c r="B50" s="6"/>
      <c r="C50" s="10"/>
      <c r="D50" s="1"/>
      <c r="E50" s="11"/>
      <c r="F50" s="11"/>
      <c r="G50" s="6"/>
      <c r="H50" s="6"/>
      <c r="I50" s="6"/>
      <c r="J50" s="6"/>
      <c r="K50" s="6"/>
      <c r="L50" s="6"/>
      <c r="M50" s="6"/>
      <c r="N50" s="6"/>
      <c r="O50" s="6"/>
      <c r="P50" s="6"/>
      <c r="Q50" s="6"/>
      <c r="R50" s="6"/>
      <c r="S50" s="6"/>
      <c r="T50" s="6"/>
      <c r="U50" s="6"/>
      <c r="V50" s="6"/>
      <c r="W50" s="6"/>
      <c r="X50" s="6"/>
      <c r="Y50" s="6"/>
      <c r="Z50" s="6"/>
    </row>
    <row r="51" spans="1:26" ht="31.5" customHeight="1">
      <c r="A51" s="1"/>
      <c r="B51" s="6"/>
      <c r="C51" s="10"/>
      <c r="D51" s="1"/>
      <c r="E51" s="11"/>
      <c r="F51" s="11"/>
      <c r="G51" s="6"/>
      <c r="H51" s="6"/>
      <c r="I51" s="6"/>
      <c r="J51" s="6"/>
      <c r="K51" s="6"/>
      <c r="L51" s="6"/>
      <c r="M51" s="6"/>
      <c r="N51" s="6"/>
      <c r="O51" s="6"/>
      <c r="P51" s="6"/>
      <c r="Q51" s="6"/>
      <c r="R51" s="6"/>
      <c r="S51" s="6"/>
      <c r="T51" s="6"/>
      <c r="U51" s="6"/>
      <c r="V51" s="6"/>
      <c r="W51" s="6"/>
      <c r="X51" s="6"/>
      <c r="Y51" s="6"/>
      <c r="Z51" s="6"/>
    </row>
    <row r="52" spans="1:26" ht="31.5" customHeight="1">
      <c r="A52" s="1"/>
      <c r="B52" s="6"/>
      <c r="C52" s="10"/>
      <c r="D52" s="1"/>
      <c r="E52" s="11"/>
      <c r="F52" s="11"/>
      <c r="G52" s="6"/>
      <c r="H52" s="6"/>
      <c r="I52" s="6"/>
      <c r="J52" s="6"/>
      <c r="K52" s="6"/>
      <c r="L52" s="6"/>
      <c r="M52" s="6"/>
      <c r="N52" s="6"/>
      <c r="O52" s="6"/>
      <c r="P52" s="6"/>
      <c r="Q52" s="6"/>
      <c r="R52" s="6"/>
      <c r="S52" s="6"/>
      <c r="T52" s="6"/>
      <c r="U52" s="6"/>
      <c r="V52" s="6"/>
      <c r="W52" s="6"/>
      <c r="X52" s="6"/>
      <c r="Y52" s="6"/>
      <c r="Z52" s="6"/>
    </row>
    <row r="53" spans="1:26" ht="31.5" customHeight="1">
      <c r="A53" s="1"/>
      <c r="B53" s="6"/>
      <c r="C53" s="10"/>
      <c r="D53" s="1"/>
      <c r="E53" s="11"/>
      <c r="F53" s="11"/>
      <c r="G53" s="6"/>
      <c r="H53" s="6"/>
      <c r="I53" s="6"/>
      <c r="J53" s="6"/>
      <c r="K53" s="6"/>
      <c r="L53" s="6"/>
      <c r="M53" s="6"/>
      <c r="N53" s="6"/>
      <c r="O53" s="6"/>
      <c r="P53" s="6"/>
      <c r="Q53" s="6"/>
      <c r="R53" s="6"/>
      <c r="S53" s="6"/>
      <c r="T53" s="6"/>
      <c r="U53" s="6"/>
      <c r="V53" s="6"/>
      <c r="W53" s="6"/>
      <c r="X53" s="6"/>
      <c r="Y53" s="6"/>
      <c r="Z53" s="6"/>
    </row>
    <row r="54" spans="1:26" ht="31.5" customHeight="1">
      <c r="A54" s="1"/>
      <c r="B54" s="20"/>
      <c r="C54" s="10"/>
      <c r="D54" s="1"/>
      <c r="E54" s="11"/>
      <c r="F54" s="11"/>
      <c r="G54" s="6"/>
      <c r="H54" s="6"/>
      <c r="I54" s="6"/>
      <c r="J54" s="6"/>
      <c r="K54" s="6"/>
      <c r="L54" s="6"/>
      <c r="M54" s="6"/>
      <c r="N54" s="6"/>
      <c r="O54" s="6"/>
      <c r="P54" s="6"/>
      <c r="Q54" s="6"/>
      <c r="R54" s="6"/>
      <c r="S54" s="6"/>
      <c r="T54" s="6"/>
      <c r="U54" s="6"/>
      <c r="V54" s="6"/>
      <c r="W54" s="6"/>
      <c r="X54" s="6"/>
      <c r="Y54" s="6"/>
      <c r="Z54" s="6"/>
    </row>
    <row r="55" spans="1:26" ht="31.5" customHeight="1">
      <c r="A55" s="1"/>
      <c r="B55" s="6"/>
      <c r="C55" s="10"/>
      <c r="D55" s="1"/>
      <c r="E55" s="11"/>
      <c r="F55" s="11"/>
      <c r="G55" s="6"/>
      <c r="H55" s="6"/>
      <c r="I55" s="6"/>
      <c r="J55" s="6"/>
      <c r="K55" s="6"/>
      <c r="L55" s="6"/>
      <c r="M55" s="6"/>
      <c r="N55" s="6"/>
      <c r="O55" s="6"/>
      <c r="P55" s="6"/>
      <c r="Q55" s="6"/>
      <c r="R55" s="6"/>
      <c r="S55" s="6"/>
      <c r="T55" s="6"/>
      <c r="U55" s="6"/>
      <c r="V55" s="6"/>
      <c r="W55" s="6"/>
      <c r="X55" s="6"/>
      <c r="Y55" s="6"/>
      <c r="Z55" s="6"/>
    </row>
    <row r="56" spans="1:26" ht="31.5" customHeight="1">
      <c r="A56" s="1"/>
      <c r="B56" s="6"/>
      <c r="C56" s="10"/>
      <c r="D56" s="1"/>
      <c r="E56" s="11"/>
      <c r="F56" s="11"/>
      <c r="G56" s="6"/>
      <c r="H56" s="6"/>
      <c r="I56" s="6"/>
      <c r="J56" s="6"/>
      <c r="K56" s="6"/>
      <c r="L56" s="6"/>
      <c r="M56" s="6"/>
      <c r="N56" s="6"/>
      <c r="O56" s="6"/>
      <c r="P56" s="6"/>
      <c r="Q56" s="6"/>
      <c r="R56" s="6"/>
      <c r="S56" s="6"/>
      <c r="T56" s="6"/>
      <c r="U56" s="6"/>
      <c r="V56" s="6"/>
      <c r="W56" s="6"/>
      <c r="X56" s="6"/>
      <c r="Y56" s="6"/>
      <c r="Z56" s="6"/>
    </row>
    <row r="57" spans="1:26" ht="31.5" customHeight="1">
      <c r="A57" s="1"/>
      <c r="B57" s="6"/>
      <c r="C57" s="10"/>
      <c r="D57" s="1"/>
      <c r="E57" s="11"/>
      <c r="F57" s="11"/>
      <c r="G57" s="6"/>
      <c r="H57" s="6"/>
      <c r="I57" s="6"/>
      <c r="J57" s="6"/>
      <c r="K57" s="6"/>
      <c r="L57" s="6"/>
      <c r="M57" s="6"/>
      <c r="N57" s="6"/>
      <c r="O57" s="6"/>
      <c r="P57" s="6"/>
      <c r="Q57" s="6"/>
      <c r="R57" s="6"/>
      <c r="S57" s="6"/>
      <c r="T57" s="6"/>
      <c r="U57" s="6"/>
      <c r="V57" s="6"/>
      <c r="W57" s="6"/>
      <c r="X57" s="6"/>
      <c r="Y57" s="6"/>
      <c r="Z57" s="6"/>
    </row>
    <row r="58" spans="1:26" ht="31.5" customHeight="1">
      <c r="A58" s="1"/>
      <c r="B58" s="6"/>
      <c r="C58" s="10"/>
      <c r="D58" s="1"/>
      <c r="E58" s="11"/>
      <c r="F58" s="11"/>
      <c r="G58" s="6"/>
      <c r="H58" s="6"/>
      <c r="I58" s="6"/>
      <c r="J58" s="6"/>
      <c r="K58" s="6"/>
      <c r="L58" s="6"/>
      <c r="M58" s="6"/>
      <c r="N58" s="6"/>
      <c r="O58" s="6"/>
      <c r="P58" s="6"/>
      <c r="Q58" s="6"/>
      <c r="R58" s="6"/>
      <c r="S58" s="6"/>
      <c r="T58" s="6"/>
      <c r="U58" s="6"/>
      <c r="V58" s="6"/>
      <c r="W58" s="6"/>
      <c r="X58" s="6"/>
      <c r="Y58" s="6"/>
      <c r="Z58" s="6"/>
    </row>
    <row r="59" spans="1:26" ht="31.5" customHeight="1">
      <c r="A59" s="1"/>
      <c r="B59" s="6"/>
      <c r="C59" s="10"/>
      <c r="D59" s="1"/>
      <c r="E59" s="11"/>
      <c r="F59" s="11"/>
      <c r="G59" s="6"/>
      <c r="H59" s="6"/>
      <c r="I59" s="6"/>
      <c r="J59" s="6"/>
      <c r="K59" s="6"/>
      <c r="L59" s="6"/>
      <c r="M59" s="6"/>
      <c r="N59" s="6"/>
      <c r="O59" s="6"/>
      <c r="P59" s="6"/>
      <c r="Q59" s="6"/>
      <c r="R59" s="6"/>
      <c r="S59" s="6"/>
      <c r="T59" s="6"/>
      <c r="U59" s="6"/>
      <c r="V59" s="6"/>
      <c r="W59" s="6"/>
      <c r="X59" s="6"/>
      <c r="Y59" s="6"/>
      <c r="Z59" s="6"/>
    </row>
    <row r="60" spans="1:26" ht="31.5" customHeight="1">
      <c r="A60" s="1"/>
      <c r="B60" s="6"/>
      <c r="C60" s="10"/>
      <c r="D60" s="1"/>
      <c r="E60" s="11"/>
      <c r="F60" s="11"/>
      <c r="G60" s="6"/>
      <c r="H60" s="6"/>
      <c r="I60" s="6"/>
      <c r="J60" s="6"/>
      <c r="K60" s="6"/>
      <c r="L60" s="6"/>
      <c r="M60" s="6"/>
      <c r="N60" s="6"/>
      <c r="O60" s="6"/>
      <c r="P60" s="6"/>
      <c r="Q60" s="6"/>
      <c r="R60" s="6"/>
      <c r="S60" s="6"/>
      <c r="T60" s="6"/>
      <c r="U60" s="6"/>
      <c r="V60" s="6"/>
      <c r="W60" s="6"/>
      <c r="X60" s="6"/>
      <c r="Y60" s="6"/>
      <c r="Z60" s="6"/>
    </row>
    <row r="61" spans="1:26" ht="31.5" customHeight="1">
      <c r="A61" s="1"/>
      <c r="B61" s="6"/>
      <c r="C61" s="10"/>
      <c r="D61" s="1"/>
      <c r="E61" s="11"/>
      <c r="F61" s="11"/>
      <c r="G61" s="6"/>
      <c r="H61" s="6"/>
      <c r="I61" s="6"/>
      <c r="J61" s="6"/>
      <c r="K61" s="6"/>
      <c r="L61" s="6"/>
      <c r="M61" s="6"/>
      <c r="N61" s="6"/>
      <c r="O61" s="6"/>
      <c r="P61" s="6"/>
      <c r="Q61" s="6"/>
      <c r="R61" s="6"/>
      <c r="S61" s="6"/>
      <c r="T61" s="6"/>
      <c r="U61" s="6"/>
      <c r="V61" s="6"/>
      <c r="W61" s="6"/>
      <c r="X61" s="6"/>
      <c r="Y61" s="6"/>
      <c r="Z61" s="6"/>
    </row>
    <row r="62" spans="1:26" ht="31.5" customHeight="1">
      <c r="A62" s="1"/>
      <c r="B62" s="6"/>
      <c r="C62" s="10"/>
      <c r="D62" s="1"/>
      <c r="E62" s="11"/>
      <c r="F62" s="11"/>
      <c r="G62" s="6"/>
      <c r="H62" s="6"/>
      <c r="I62" s="6"/>
      <c r="J62" s="6"/>
      <c r="K62" s="6"/>
      <c r="L62" s="6"/>
      <c r="M62" s="6"/>
      <c r="N62" s="6"/>
      <c r="O62" s="6"/>
      <c r="P62" s="6"/>
      <c r="Q62" s="6"/>
      <c r="R62" s="6"/>
      <c r="S62" s="6"/>
      <c r="T62" s="6"/>
      <c r="U62" s="6"/>
      <c r="V62" s="6"/>
      <c r="W62" s="6"/>
      <c r="X62" s="6"/>
      <c r="Y62" s="6"/>
      <c r="Z62" s="6"/>
    </row>
    <row r="63" spans="1:26" ht="31.5" customHeight="1">
      <c r="A63" s="1"/>
      <c r="B63" s="6"/>
      <c r="C63" s="10"/>
      <c r="D63" s="1"/>
      <c r="E63" s="11"/>
      <c r="F63" s="11"/>
      <c r="G63" s="6"/>
      <c r="H63" s="6"/>
      <c r="I63" s="6"/>
      <c r="J63" s="6"/>
      <c r="K63" s="6"/>
      <c r="L63" s="6"/>
      <c r="M63" s="6"/>
      <c r="N63" s="6"/>
      <c r="O63" s="6"/>
      <c r="P63" s="6"/>
      <c r="Q63" s="6"/>
      <c r="R63" s="6"/>
      <c r="S63" s="6"/>
      <c r="T63" s="6"/>
      <c r="U63" s="6"/>
      <c r="V63" s="6"/>
      <c r="W63" s="6"/>
      <c r="X63" s="6"/>
      <c r="Y63" s="6"/>
      <c r="Z63" s="6"/>
    </row>
    <row r="64" spans="1:26" ht="31.5" customHeight="1">
      <c r="A64" s="1"/>
      <c r="B64" s="6"/>
      <c r="C64" s="10"/>
      <c r="D64" s="1"/>
      <c r="E64" s="11"/>
      <c r="F64" s="11"/>
      <c r="G64" s="6"/>
      <c r="H64" s="6"/>
      <c r="I64" s="6"/>
      <c r="J64" s="6"/>
      <c r="K64" s="6"/>
      <c r="L64" s="6"/>
      <c r="M64" s="6"/>
      <c r="N64" s="6"/>
      <c r="O64" s="6"/>
      <c r="P64" s="6"/>
      <c r="Q64" s="6"/>
      <c r="R64" s="6"/>
      <c r="S64" s="6"/>
      <c r="T64" s="6"/>
      <c r="U64" s="6"/>
      <c r="V64" s="6"/>
      <c r="W64" s="6"/>
      <c r="X64" s="6"/>
      <c r="Y64" s="6"/>
      <c r="Z64" s="6"/>
    </row>
    <row r="65" spans="1:26" ht="31.5" customHeight="1">
      <c r="A65" s="1"/>
      <c r="B65" s="6"/>
      <c r="C65" s="10"/>
      <c r="D65" s="1"/>
      <c r="E65" s="11"/>
      <c r="F65" s="11"/>
      <c r="G65" s="6"/>
      <c r="H65" s="6"/>
      <c r="I65" s="6"/>
      <c r="J65" s="6"/>
      <c r="K65" s="6"/>
      <c r="L65" s="6"/>
      <c r="M65" s="6"/>
      <c r="N65" s="6"/>
      <c r="O65" s="6"/>
      <c r="P65" s="6"/>
      <c r="Q65" s="6"/>
      <c r="R65" s="6"/>
      <c r="S65" s="6"/>
      <c r="T65" s="6"/>
      <c r="U65" s="6"/>
      <c r="V65" s="6"/>
      <c r="W65" s="6"/>
      <c r="X65" s="6"/>
      <c r="Y65" s="6"/>
      <c r="Z65" s="6"/>
    </row>
    <row r="66" spans="1:26" ht="31.5" customHeight="1">
      <c r="A66" s="1"/>
      <c r="B66" s="6"/>
      <c r="C66" s="10"/>
      <c r="D66" s="1"/>
      <c r="E66" s="11"/>
      <c r="F66" s="11"/>
      <c r="G66" s="6"/>
      <c r="H66" s="6"/>
      <c r="I66" s="6"/>
      <c r="J66" s="6"/>
      <c r="K66" s="6"/>
      <c r="L66" s="6"/>
      <c r="M66" s="6"/>
      <c r="N66" s="6"/>
      <c r="O66" s="6"/>
      <c r="P66" s="6"/>
      <c r="Q66" s="6"/>
      <c r="R66" s="6"/>
      <c r="S66" s="6"/>
      <c r="T66" s="6"/>
      <c r="U66" s="6"/>
      <c r="V66" s="6"/>
      <c r="W66" s="6"/>
      <c r="X66" s="6"/>
      <c r="Y66" s="6"/>
      <c r="Z66" s="6"/>
    </row>
    <row r="67" spans="1:26" ht="31.5" customHeight="1">
      <c r="A67" s="1"/>
      <c r="B67" s="6"/>
      <c r="C67" s="10"/>
      <c r="D67" s="1"/>
      <c r="E67" s="11"/>
      <c r="F67" s="11"/>
      <c r="G67" s="6"/>
      <c r="H67" s="6"/>
      <c r="I67" s="6"/>
      <c r="J67" s="6"/>
      <c r="K67" s="6"/>
      <c r="L67" s="6"/>
      <c r="M67" s="6"/>
      <c r="N67" s="6"/>
      <c r="O67" s="6"/>
      <c r="P67" s="6"/>
      <c r="Q67" s="6"/>
      <c r="R67" s="6"/>
      <c r="S67" s="6"/>
      <c r="T67" s="6"/>
      <c r="U67" s="6"/>
      <c r="V67" s="6"/>
      <c r="W67" s="6"/>
      <c r="X67" s="6"/>
      <c r="Y67" s="6"/>
      <c r="Z67" s="6"/>
    </row>
    <row r="68" spans="1:26" ht="31.5" customHeight="1">
      <c r="A68" s="1"/>
      <c r="B68" s="6"/>
      <c r="C68" s="10"/>
      <c r="D68" s="1"/>
      <c r="E68" s="11"/>
      <c r="F68" s="11"/>
      <c r="G68" s="6"/>
      <c r="H68" s="6"/>
      <c r="I68" s="6"/>
      <c r="J68" s="6"/>
      <c r="K68" s="6"/>
      <c r="L68" s="6"/>
      <c r="M68" s="6"/>
      <c r="N68" s="6"/>
      <c r="O68" s="6"/>
      <c r="P68" s="6"/>
      <c r="Q68" s="6"/>
      <c r="R68" s="6"/>
      <c r="S68" s="6"/>
      <c r="T68" s="6"/>
      <c r="U68" s="6"/>
      <c r="V68" s="6"/>
      <c r="W68" s="6"/>
      <c r="X68" s="6"/>
      <c r="Y68" s="6"/>
      <c r="Z68" s="6"/>
    </row>
    <row r="69" spans="1:26" ht="31.5" customHeight="1">
      <c r="A69" s="1"/>
      <c r="B69" s="6"/>
      <c r="C69" s="10"/>
      <c r="D69" s="1"/>
      <c r="E69" s="11"/>
      <c r="F69" s="11"/>
      <c r="G69" s="6"/>
      <c r="H69" s="6"/>
      <c r="I69" s="6"/>
      <c r="J69" s="6"/>
      <c r="K69" s="6"/>
      <c r="L69" s="6"/>
      <c r="M69" s="6"/>
      <c r="N69" s="6"/>
      <c r="O69" s="6"/>
      <c r="P69" s="6"/>
      <c r="Q69" s="6"/>
      <c r="R69" s="6"/>
      <c r="S69" s="6"/>
      <c r="T69" s="6"/>
      <c r="U69" s="6"/>
      <c r="V69" s="6"/>
      <c r="W69" s="6"/>
      <c r="X69" s="6"/>
      <c r="Y69" s="6"/>
      <c r="Z69" s="6"/>
    </row>
    <row r="70" spans="1:26" ht="31.5" customHeight="1">
      <c r="A70" s="1"/>
      <c r="B70" s="6"/>
      <c r="C70" s="10"/>
      <c r="D70" s="1"/>
      <c r="E70" s="11"/>
      <c r="F70" s="11"/>
      <c r="G70" s="6"/>
      <c r="H70" s="6"/>
      <c r="I70" s="6"/>
      <c r="J70" s="6"/>
      <c r="K70" s="6"/>
      <c r="L70" s="6"/>
      <c r="M70" s="6"/>
      <c r="N70" s="6"/>
      <c r="O70" s="6"/>
      <c r="P70" s="6"/>
      <c r="Q70" s="6"/>
      <c r="R70" s="6"/>
      <c r="S70" s="6"/>
      <c r="T70" s="6"/>
      <c r="U70" s="6"/>
      <c r="V70" s="6"/>
      <c r="W70" s="6"/>
      <c r="X70" s="6"/>
      <c r="Y70" s="6"/>
      <c r="Z70" s="6"/>
    </row>
    <row r="71" spans="1:26" ht="31.5" customHeight="1">
      <c r="A71" s="1"/>
      <c r="B71" s="6"/>
      <c r="C71" s="10"/>
      <c r="D71" s="1"/>
      <c r="E71" s="11"/>
      <c r="F71" s="11"/>
      <c r="G71" s="6"/>
      <c r="H71" s="6"/>
      <c r="I71" s="6"/>
      <c r="J71" s="6"/>
      <c r="K71" s="6"/>
      <c r="L71" s="6"/>
      <c r="M71" s="6"/>
      <c r="N71" s="6"/>
      <c r="O71" s="6"/>
      <c r="P71" s="6"/>
      <c r="Q71" s="6"/>
      <c r="R71" s="6"/>
      <c r="S71" s="6"/>
      <c r="T71" s="6"/>
      <c r="U71" s="6"/>
      <c r="V71" s="6"/>
      <c r="W71" s="6"/>
      <c r="X71" s="6"/>
      <c r="Y71" s="6"/>
      <c r="Z71" s="6"/>
    </row>
    <row r="72" spans="1:26" ht="31.5" customHeight="1">
      <c r="A72" s="1"/>
      <c r="B72" s="6"/>
      <c r="C72" s="10"/>
      <c r="D72" s="1"/>
      <c r="E72" s="11"/>
      <c r="F72" s="11"/>
      <c r="G72" s="6"/>
      <c r="H72" s="6"/>
      <c r="I72" s="6"/>
      <c r="J72" s="6"/>
      <c r="K72" s="6"/>
      <c r="L72" s="6"/>
      <c r="M72" s="6"/>
      <c r="N72" s="6"/>
      <c r="O72" s="6"/>
      <c r="P72" s="6"/>
      <c r="Q72" s="6"/>
      <c r="R72" s="6"/>
      <c r="S72" s="6"/>
      <c r="T72" s="6"/>
      <c r="U72" s="6"/>
      <c r="V72" s="6"/>
      <c r="W72" s="6"/>
      <c r="X72" s="6"/>
      <c r="Y72" s="6"/>
      <c r="Z72" s="6"/>
    </row>
    <row r="73" spans="1:26" ht="31.5" customHeight="1">
      <c r="A73" s="1"/>
      <c r="B73" s="6"/>
      <c r="C73" s="10"/>
      <c r="D73" s="1"/>
      <c r="E73" s="11"/>
      <c r="F73" s="11"/>
      <c r="G73" s="6"/>
      <c r="H73" s="6"/>
      <c r="I73" s="6"/>
      <c r="J73" s="6"/>
      <c r="K73" s="6"/>
      <c r="L73" s="6"/>
      <c r="M73" s="6"/>
      <c r="N73" s="6"/>
      <c r="O73" s="6"/>
      <c r="P73" s="6"/>
      <c r="Q73" s="6"/>
      <c r="R73" s="6"/>
      <c r="S73" s="6"/>
      <c r="T73" s="6"/>
      <c r="U73" s="6"/>
      <c r="V73" s="6"/>
      <c r="W73" s="6"/>
      <c r="X73" s="6"/>
      <c r="Y73" s="6"/>
      <c r="Z73" s="6"/>
    </row>
    <row r="74" spans="1:26" ht="31.5" customHeight="1">
      <c r="A74" s="1"/>
      <c r="B74" s="6"/>
      <c r="C74" s="10"/>
      <c r="D74" s="1"/>
      <c r="E74" s="11"/>
      <c r="F74" s="11"/>
      <c r="G74" s="6"/>
      <c r="H74" s="6"/>
      <c r="I74" s="6"/>
      <c r="J74" s="6"/>
      <c r="K74" s="6"/>
      <c r="L74" s="6"/>
      <c r="M74" s="6"/>
      <c r="N74" s="6"/>
      <c r="O74" s="6"/>
      <c r="P74" s="6"/>
      <c r="Q74" s="6"/>
      <c r="R74" s="6"/>
      <c r="S74" s="6"/>
      <c r="T74" s="6"/>
      <c r="U74" s="6"/>
      <c r="V74" s="6"/>
      <c r="W74" s="6"/>
      <c r="X74" s="6"/>
      <c r="Y74" s="6"/>
      <c r="Z74" s="6"/>
    </row>
    <row r="75" spans="1:26" ht="31.5" customHeight="1">
      <c r="A75" s="1"/>
      <c r="B75" s="6"/>
      <c r="C75" s="10"/>
      <c r="D75" s="1"/>
      <c r="E75" s="11"/>
      <c r="F75" s="11"/>
      <c r="G75" s="6"/>
      <c r="H75" s="6"/>
      <c r="I75" s="6"/>
      <c r="J75" s="6"/>
      <c r="K75" s="6"/>
      <c r="L75" s="6"/>
      <c r="M75" s="6"/>
      <c r="N75" s="6"/>
      <c r="O75" s="6"/>
      <c r="P75" s="6"/>
      <c r="Q75" s="6"/>
      <c r="R75" s="6"/>
      <c r="S75" s="6"/>
      <c r="T75" s="6"/>
      <c r="U75" s="6"/>
      <c r="V75" s="6"/>
      <c r="W75" s="6"/>
      <c r="X75" s="6"/>
      <c r="Y75" s="6"/>
      <c r="Z75" s="6"/>
    </row>
    <row r="76" spans="1:26" ht="31.5" customHeight="1">
      <c r="A76" s="1"/>
      <c r="B76" s="6"/>
      <c r="C76" s="10"/>
      <c r="D76" s="1"/>
      <c r="E76" s="11"/>
      <c r="F76" s="11"/>
      <c r="G76" s="6"/>
      <c r="H76" s="6"/>
      <c r="I76" s="6"/>
      <c r="J76" s="6"/>
      <c r="K76" s="6"/>
      <c r="L76" s="6"/>
      <c r="M76" s="6"/>
      <c r="N76" s="6"/>
      <c r="O76" s="6"/>
      <c r="P76" s="6"/>
      <c r="Q76" s="6"/>
      <c r="R76" s="6"/>
      <c r="S76" s="6"/>
      <c r="T76" s="6"/>
      <c r="U76" s="6"/>
      <c r="V76" s="6"/>
      <c r="W76" s="6"/>
      <c r="X76" s="6"/>
      <c r="Y76" s="6"/>
      <c r="Z76" s="6"/>
    </row>
    <row r="77" spans="1:26" ht="31.5" customHeight="1">
      <c r="A77" s="1"/>
      <c r="B77" s="6"/>
      <c r="C77" s="10"/>
      <c r="D77" s="1"/>
      <c r="E77" s="11"/>
      <c r="F77" s="11"/>
      <c r="G77" s="6"/>
      <c r="H77" s="6"/>
      <c r="I77" s="6"/>
      <c r="J77" s="6"/>
      <c r="K77" s="6"/>
      <c r="L77" s="6"/>
      <c r="M77" s="6"/>
      <c r="N77" s="6"/>
      <c r="O77" s="6"/>
      <c r="P77" s="6"/>
      <c r="Q77" s="6"/>
      <c r="R77" s="6"/>
      <c r="S77" s="6"/>
      <c r="T77" s="6"/>
      <c r="U77" s="6"/>
      <c r="V77" s="6"/>
      <c r="W77" s="6"/>
      <c r="X77" s="6"/>
      <c r="Y77" s="6"/>
      <c r="Z77" s="6"/>
    </row>
    <row r="78" spans="1:26" ht="31.5" customHeight="1">
      <c r="A78" s="1"/>
      <c r="B78" s="6"/>
      <c r="C78" s="10"/>
      <c r="D78" s="1"/>
      <c r="E78" s="11"/>
      <c r="F78" s="11"/>
      <c r="G78" s="6"/>
      <c r="H78" s="6"/>
      <c r="I78" s="6"/>
      <c r="J78" s="6"/>
      <c r="K78" s="6"/>
      <c r="L78" s="6"/>
      <c r="M78" s="6"/>
      <c r="N78" s="6"/>
      <c r="O78" s="6"/>
      <c r="P78" s="6"/>
      <c r="Q78" s="6"/>
      <c r="R78" s="6"/>
      <c r="S78" s="6"/>
      <c r="T78" s="6"/>
      <c r="U78" s="6"/>
      <c r="V78" s="6"/>
      <c r="W78" s="6"/>
      <c r="X78" s="6"/>
      <c r="Y78" s="6"/>
      <c r="Z78" s="6"/>
    </row>
    <row r="79" spans="1:26" ht="31.5" customHeight="1">
      <c r="A79" s="1"/>
      <c r="B79" s="6"/>
      <c r="C79" s="10"/>
      <c r="D79" s="1"/>
      <c r="E79" s="11"/>
      <c r="F79" s="11"/>
      <c r="G79" s="6"/>
      <c r="H79" s="6"/>
      <c r="I79" s="6"/>
      <c r="J79" s="6"/>
      <c r="K79" s="6"/>
      <c r="L79" s="6"/>
      <c r="M79" s="6"/>
      <c r="N79" s="6"/>
      <c r="O79" s="6"/>
      <c r="P79" s="6"/>
      <c r="Q79" s="6"/>
      <c r="R79" s="6"/>
      <c r="S79" s="6"/>
      <c r="T79" s="6"/>
      <c r="U79" s="6"/>
      <c r="V79" s="6"/>
      <c r="W79" s="6"/>
      <c r="X79" s="6"/>
      <c r="Y79" s="6"/>
      <c r="Z79" s="6"/>
    </row>
    <row r="80" spans="1:26" ht="31.5" customHeight="1">
      <c r="A80" s="1"/>
      <c r="B80" s="6"/>
      <c r="C80" s="10"/>
      <c r="D80" s="1"/>
      <c r="E80" s="11"/>
      <c r="F80" s="11"/>
      <c r="G80" s="6"/>
      <c r="H80" s="6"/>
      <c r="I80" s="6"/>
      <c r="J80" s="6"/>
      <c r="K80" s="6"/>
      <c r="L80" s="6"/>
      <c r="M80" s="6"/>
      <c r="N80" s="6"/>
      <c r="O80" s="6"/>
      <c r="P80" s="6"/>
      <c r="Q80" s="6"/>
      <c r="R80" s="6"/>
      <c r="S80" s="6"/>
      <c r="T80" s="6"/>
      <c r="U80" s="6"/>
      <c r="V80" s="6"/>
      <c r="W80" s="6"/>
      <c r="X80" s="6"/>
      <c r="Y80" s="6"/>
      <c r="Z80" s="6"/>
    </row>
    <row r="81" spans="1:26" ht="31.5" customHeight="1">
      <c r="A81" s="1"/>
      <c r="B81" s="6"/>
      <c r="C81" s="10"/>
      <c r="D81" s="1"/>
      <c r="E81" s="11"/>
      <c r="F81" s="11"/>
      <c r="G81" s="6"/>
      <c r="H81" s="6"/>
      <c r="I81" s="6"/>
      <c r="J81" s="6"/>
      <c r="K81" s="6"/>
      <c r="L81" s="6"/>
      <c r="M81" s="6"/>
      <c r="N81" s="6"/>
      <c r="O81" s="6"/>
      <c r="P81" s="6"/>
      <c r="Q81" s="6"/>
      <c r="R81" s="6"/>
      <c r="S81" s="6"/>
      <c r="T81" s="6"/>
      <c r="U81" s="6"/>
      <c r="V81" s="6"/>
      <c r="W81" s="6"/>
      <c r="X81" s="6"/>
      <c r="Y81" s="6"/>
      <c r="Z81" s="6"/>
    </row>
    <row r="82" spans="1:26" ht="31.5" customHeight="1">
      <c r="A82" s="1"/>
      <c r="B82" s="6"/>
      <c r="C82" s="10"/>
      <c r="D82" s="1"/>
      <c r="E82" s="11"/>
      <c r="F82" s="11"/>
      <c r="G82" s="6"/>
      <c r="H82" s="6"/>
      <c r="I82" s="6"/>
      <c r="J82" s="6"/>
      <c r="K82" s="6"/>
      <c r="L82" s="6"/>
      <c r="M82" s="6"/>
      <c r="N82" s="6"/>
      <c r="O82" s="6"/>
      <c r="P82" s="6"/>
      <c r="Q82" s="6"/>
      <c r="R82" s="6"/>
      <c r="S82" s="6"/>
      <c r="T82" s="6"/>
      <c r="U82" s="6"/>
      <c r="V82" s="6"/>
      <c r="W82" s="6"/>
      <c r="X82" s="6"/>
      <c r="Y82" s="6"/>
      <c r="Z82" s="6"/>
    </row>
    <row r="83" spans="1:26" ht="31.5" customHeight="1">
      <c r="A83" s="1"/>
      <c r="B83" s="6"/>
      <c r="C83" s="10"/>
      <c r="D83" s="1"/>
      <c r="E83" s="11"/>
      <c r="F83" s="11"/>
      <c r="G83" s="6"/>
      <c r="H83" s="6"/>
      <c r="I83" s="6"/>
      <c r="J83" s="6"/>
      <c r="K83" s="6"/>
      <c r="L83" s="6"/>
      <c r="M83" s="6"/>
      <c r="N83" s="6"/>
      <c r="O83" s="6"/>
      <c r="P83" s="6"/>
      <c r="Q83" s="6"/>
      <c r="R83" s="6"/>
      <c r="S83" s="6"/>
      <c r="T83" s="6"/>
      <c r="U83" s="6"/>
      <c r="V83" s="6"/>
      <c r="W83" s="6"/>
      <c r="X83" s="6"/>
      <c r="Y83" s="6"/>
      <c r="Z83" s="6"/>
    </row>
    <row r="84" spans="1:26" ht="31.5" customHeight="1">
      <c r="A84" s="1"/>
      <c r="B84" s="6"/>
      <c r="C84" s="10"/>
      <c r="D84" s="1"/>
      <c r="E84" s="11"/>
      <c r="F84" s="11"/>
      <c r="G84" s="6"/>
      <c r="H84" s="6"/>
      <c r="I84" s="6"/>
      <c r="J84" s="6"/>
      <c r="K84" s="6"/>
      <c r="L84" s="6"/>
      <c r="M84" s="6"/>
      <c r="N84" s="6"/>
      <c r="O84" s="6"/>
      <c r="P84" s="6"/>
      <c r="Q84" s="6"/>
      <c r="R84" s="6"/>
      <c r="S84" s="6"/>
      <c r="T84" s="6"/>
      <c r="U84" s="6"/>
      <c r="V84" s="6"/>
      <c r="W84" s="6"/>
      <c r="X84" s="6"/>
      <c r="Y84" s="6"/>
      <c r="Z84" s="6"/>
    </row>
    <row r="85" spans="1:26" ht="31.5" customHeight="1">
      <c r="A85" s="1"/>
      <c r="B85" s="6"/>
      <c r="C85" s="10"/>
      <c r="D85" s="1"/>
      <c r="E85" s="11"/>
      <c r="F85" s="11"/>
      <c r="G85" s="6"/>
      <c r="H85" s="6"/>
      <c r="I85" s="6"/>
      <c r="J85" s="6"/>
      <c r="K85" s="6"/>
      <c r="L85" s="6"/>
      <c r="M85" s="6"/>
      <c r="N85" s="6"/>
      <c r="O85" s="6"/>
      <c r="P85" s="6"/>
      <c r="Q85" s="6"/>
      <c r="R85" s="6"/>
      <c r="S85" s="6"/>
      <c r="T85" s="6"/>
      <c r="U85" s="6"/>
      <c r="V85" s="6"/>
      <c r="W85" s="6"/>
      <c r="X85" s="6"/>
      <c r="Y85" s="6"/>
      <c r="Z85" s="6"/>
    </row>
    <row r="86" spans="1:26" ht="31.5" customHeight="1">
      <c r="A86" s="1"/>
      <c r="B86" s="6"/>
      <c r="C86" s="10"/>
      <c r="D86" s="1"/>
      <c r="E86" s="11"/>
      <c r="F86" s="11"/>
      <c r="G86" s="6"/>
      <c r="H86" s="6"/>
      <c r="I86" s="6"/>
      <c r="J86" s="6"/>
      <c r="K86" s="6"/>
      <c r="L86" s="6"/>
      <c r="M86" s="6"/>
      <c r="N86" s="6"/>
      <c r="O86" s="6"/>
      <c r="P86" s="6"/>
      <c r="Q86" s="6"/>
      <c r="R86" s="6"/>
      <c r="S86" s="6"/>
      <c r="T86" s="6"/>
      <c r="U86" s="6"/>
      <c r="V86" s="6"/>
      <c r="W86" s="6"/>
      <c r="X86" s="6"/>
      <c r="Y86" s="6"/>
      <c r="Z86" s="6"/>
    </row>
    <row r="87" spans="1:26" ht="31.5" customHeight="1">
      <c r="A87" s="1"/>
      <c r="B87" s="6"/>
      <c r="C87" s="10"/>
      <c r="D87" s="1"/>
      <c r="E87" s="11"/>
      <c r="F87" s="11"/>
      <c r="G87" s="6"/>
      <c r="H87" s="6"/>
      <c r="I87" s="6"/>
      <c r="J87" s="6"/>
      <c r="K87" s="6"/>
      <c r="L87" s="6"/>
      <c r="M87" s="6"/>
      <c r="N87" s="6"/>
      <c r="O87" s="6"/>
      <c r="P87" s="6"/>
      <c r="Q87" s="6"/>
      <c r="R87" s="6"/>
      <c r="S87" s="6"/>
      <c r="T87" s="6"/>
      <c r="U87" s="6"/>
      <c r="V87" s="6"/>
      <c r="W87" s="6"/>
      <c r="X87" s="6"/>
      <c r="Y87" s="6"/>
      <c r="Z87" s="6"/>
    </row>
    <row r="88" spans="1:26" ht="31.5" customHeight="1">
      <c r="A88" s="1"/>
      <c r="B88" s="6"/>
      <c r="C88" s="10"/>
      <c r="D88" s="1"/>
      <c r="E88" s="11"/>
      <c r="F88" s="11"/>
      <c r="G88" s="6"/>
      <c r="H88" s="6"/>
      <c r="I88" s="6"/>
      <c r="J88" s="6"/>
      <c r="K88" s="6"/>
      <c r="L88" s="6"/>
      <c r="M88" s="6"/>
      <c r="N88" s="6"/>
      <c r="O88" s="6"/>
      <c r="P88" s="6"/>
      <c r="Q88" s="6"/>
      <c r="R88" s="6"/>
      <c r="S88" s="6"/>
      <c r="T88" s="6"/>
      <c r="U88" s="6"/>
      <c r="V88" s="6"/>
      <c r="W88" s="6"/>
      <c r="X88" s="6"/>
      <c r="Y88" s="6"/>
      <c r="Z88" s="6"/>
    </row>
    <row r="89" spans="1:26" ht="31.5" customHeight="1">
      <c r="A89" s="1"/>
      <c r="B89" s="6"/>
      <c r="C89" s="10"/>
      <c r="D89" s="1"/>
      <c r="E89" s="11"/>
      <c r="F89" s="11"/>
      <c r="G89" s="6"/>
      <c r="H89" s="6"/>
      <c r="I89" s="6"/>
      <c r="J89" s="6"/>
      <c r="K89" s="6"/>
      <c r="L89" s="6"/>
      <c r="M89" s="6"/>
      <c r="N89" s="6"/>
      <c r="O89" s="6"/>
      <c r="P89" s="6"/>
      <c r="Q89" s="6"/>
      <c r="R89" s="6"/>
      <c r="S89" s="6"/>
      <c r="T89" s="6"/>
      <c r="U89" s="6"/>
      <c r="V89" s="6"/>
      <c r="W89" s="6"/>
      <c r="X89" s="6"/>
      <c r="Y89" s="6"/>
      <c r="Z89" s="6"/>
    </row>
    <row r="90" spans="1:26" ht="31.5" customHeight="1">
      <c r="A90" s="1"/>
      <c r="B90" s="6"/>
      <c r="C90" s="10"/>
      <c r="D90" s="1"/>
      <c r="E90" s="11"/>
      <c r="F90" s="11"/>
      <c r="G90" s="6"/>
      <c r="H90" s="6"/>
      <c r="I90" s="6"/>
      <c r="J90" s="6"/>
      <c r="K90" s="6"/>
      <c r="L90" s="6"/>
      <c r="M90" s="6"/>
      <c r="N90" s="6"/>
      <c r="O90" s="6"/>
      <c r="P90" s="6"/>
      <c r="Q90" s="6"/>
      <c r="R90" s="6"/>
      <c r="S90" s="6"/>
      <c r="T90" s="6"/>
      <c r="U90" s="6"/>
      <c r="V90" s="6"/>
      <c r="W90" s="6"/>
      <c r="X90" s="6"/>
      <c r="Y90" s="6"/>
      <c r="Z90" s="6"/>
    </row>
    <row r="91" spans="1:26" ht="31.5" customHeight="1">
      <c r="A91" s="1"/>
      <c r="B91" s="6"/>
      <c r="C91" s="10"/>
      <c r="D91" s="1"/>
      <c r="E91" s="11"/>
      <c r="F91" s="11"/>
      <c r="G91" s="6"/>
      <c r="H91" s="6"/>
      <c r="I91" s="6"/>
      <c r="J91" s="6"/>
      <c r="K91" s="6"/>
      <c r="L91" s="6"/>
      <c r="M91" s="6"/>
      <c r="N91" s="6"/>
      <c r="O91" s="6"/>
      <c r="P91" s="6"/>
      <c r="Q91" s="6"/>
      <c r="R91" s="6"/>
      <c r="S91" s="6"/>
      <c r="T91" s="6"/>
      <c r="U91" s="6"/>
      <c r="V91" s="6"/>
      <c r="W91" s="6"/>
      <c r="X91" s="6"/>
      <c r="Y91" s="6"/>
      <c r="Z91" s="6"/>
    </row>
    <row r="92" spans="1:26" ht="31.5" customHeight="1">
      <c r="A92" s="1"/>
      <c r="B92" s="6"/>
      <c r="C92" s="10"/>
      <c r="D92" s="1"/>
      <c r="E92" s="11"/>
      <c r="F92" s="11"/>
      <c r="G92" s="6"/>
      <c r="H92" s="6"/>
      <c r="I92" s="6"/>
      <c r="J92" s="6"/>
      <c r="K92" s="6"/>
      <c r="L92" s="6"/>
      <c r="M92" s="6"/>
      <c r="N92" s="6"/>
      <c r="O92" s="6"/>
      <c r="P92" s="6"/>
      <c r="Q92" s="6"/>
      <c r="R92" s="6"/>
      <c r="S92" s="6"/>
      <c r="T92" s="6"/>
      <c r="U92" s="6"/>
      <c r="V92" s="6"/>
      <c r="W92" s="6"/>
      <c r="X92" s="6"/>
      <c r="Y92" s="6"/>
      <c r="Z92" s="6"/>
    </row>
    <row r="93" spans="1:26" ht="31.5" customHeight="1">
      <c r="A93" s="1"/>
      <c r="B93" s="6"/>
      <c r="C93" s="10"/>
      <c r="D93" s="1"/>
      <c r="E93" s="11"/>
      <c r="F93" s="11"/>
      <c r="G93" s="6"/>
      <c r="H93" s="6"/>
      <c r="I93" s="6"/>
      <c r="J93" s="6"/>
      <c r="K93" s="6"/>
      <c r="L93" s="6"/>
      <c r="M93" s="6"/>
      <c r="N93" s="6"/>
      <c r="O93" s="6"/>
      <c r="P93" s="6"/>
      <c r="Q93" s="6"/>
      <c r="R93" s="6"/>
      <c r="S93" s="6"/>
      <c r="T93" s="6"/>
      <c r="U93" s="6"/>
      <c r="V93" s="6"/>
      <c r="W93" s="6"/>
      <c r="X93" s="6"/>
      <c r="Y93" s="6"/>
      <c r="Z93" s="6"/>
    </row>
    <row r="94" spans="1:26" ht="31.5" customHeight="1">
      <c r="A94" s="1"/>
      <c r="B94" s="6"/>
      <c r="C94" s="10"/>
      <c r="D94" s="1"/>
      <c r="E94" s="11"/>
      <c r="F94" s="11"/>
      <c r="G94" s="6"/>
      <c r="H94" s="6"/>
      <c r="I94" s="6"/>
      <c r="J94" s="6"/>
      <c r="K94" s="6"/>
      <c r="L94" s="6"/>
      <c r="M94" s="6"/>
      <c r="N94" s="6"/>
      <c r="O94" s="6"/>
      <c r="P94" s="6"/>
      <c r="Q94" s="6"/>
      <c r="R94" s="6"/>
      <c r="S94" s="6"/>
      <c r="T94" s="6"/>
      <c r="U94" s="6"/>
      <c r="V94" s="6"/>
      <c r="W94" s="6"/>
      <c r="X94" s="6"/>
      <c r="Y94" s="6"/>
      <c r="Z94" s="6"/>
    </row>
    <row r="95" spans="1:26" ht="31.5" customHeight="1">
      <c r="A95" s="1"/>
      <c r="B95" s="6"/>
      <c r="C95" s="10"/>
      <c r="D95" s="1"/>
      <c r="E95" s="11"/>
      <c r="F95" s="11"/>
      <c r="G95" s="6"/>
      <c r="H95" s="6"/>
      <c r="I95" s="6"/>
      <c r="J95" s="6"/>
      <c r="K95" s="6"/>
      <c r="L95" s="6"/>
      <c r="M95" s="6"/>
      <c r="N95" s="6"/>
      <c r="O95" s="6"/>
      <c r="P95" s="6"/>
      <c r="Q95" s="6"/>
      <c r="R95" s="6"/>
      <c r="S95" s="6"/>
      <c r="T95" s="6"/>
      <c r="U95" s="6"/>
      <c r="V95" s="6"/>
      <c r="W95" s="6"/>
      <c r="X95" s="6"/>
      <c r="Y95" s="6"/>
      <c r="Z95" s="6"/>
    </row>
    <row r="96" spans="1:26" ht="31.5" customHeight="1">
      <c r="A96" s="1"/>
      <c r="B96" s="6"/>
      <c r="C96" s="10"/>
      <c r="D96" s="1"/>
      <c r="E96" s="11"/>
      <c r="F96" s="11"/>
      <c r="G96" s="6"/>
      <c r="H96" s="6"/>
      <c r="I96" s="6"/>
      <c r="J96" s="6"/>
      <c r="K96" s="6"/>
      <c r="L96" s="6"/>
      <c r="M96" s="6"/>
      <c r="N96" s="6"/>
      <c r="O96" s="6"/>
      <c r="P96" s="6"/>
      <c r="Q96" s="6"/>
      <c r="R96" s="6"/>
      <c r="S96" s="6"/>
      <c r="T96" s="6"/>
      <c r="U96" s="6"/>
      <c r="V96" s="6"/>
      <c r="W96" s="6"/>
      <c r="X96" s="6"/>
      <c r="Y96" s="6"/>
      <c r="Z96" s="6"/>
    </row>
    <row r="97" spans="1:26" ht="31.5" customHeight="1">
      <c r="A97" s="1"/>
      <c r="B97" s="6"/>
      <c r="C97" s="10"/>
      <c r="D97" s="1"/>
      <c r="E97" s="11"/>
      <c r="F97" s="11"/>
      <c r="G97" s="6"/>
      <c r="H97" s="6"/>
      <c r="I97" s="6"/>
      <c r="J97" s="6"/>
      <c r="K97" s="6"/>
      <c r="L97" s="6"/>
      <c r="M97" s="6"/>
      <c r="N97" s="6"/>
      <c r="O97" s="6"/>
      <c r="P97" s="6"/>
      <c r="Q97" s="6"/>
      <c r="R97" s="6"/>
      <c r="S97" s="6"/>
      <c r="T97" s="6"/>
      <c r="U97" s="6"/>
      <c r="V97" s="6"/>
      <c r="W97" s="6"/>
      <c r="X97" s="6"/>
      <c r="Y97" s="6"/>
      <c r="Z97" s="6"/>
    </row>
    <row r="98" spans="1:26" ht="31.5" customHeight="1">
      <c r="A98" s="1"/>
      <c r="B98" s="6"/>
      <c r="C98" s="10"/>
      <c r="D98" s="1"/>
      <c r="E98" s="11"/>
      <c r="F98" s="11"/>
      <c r="G98" s="6"/>
      <c r="H98" s="6"/>
      <c r="I98" s="6"/>
      <c r="J98" s="6"/>
      <c r="K98" s="6"/>
      <c r="L98" s="6"/>
      <c r="M98" s="6"/>
      <c r="N98" s="6"/>
      <c r="O98" s="6"/>
      <c r="P98" s="6"/>
      <c r="Q98" s="6"/>
      <c r="R98" s="6"/>
      <c r="S98" s="6"/>
      <c r="T98" s="6"/>
      <c r="U98" s="6"/>
      <c r="V98" s="6"/>
      <c r="W98" s="6"/>
      <c r="X98" s="6"/>
      <c r="Y98" s="6"/>
      <c r="Z98" s="6"/>
    </row>
    <row r="99" spans="1:26" ht="31.5" customHeight="1">
      <c r="A99" s="1"/>
      <c r="B99" s="6"/>
      <c r="C99" s="10"/>
      <c r="D99" s="1"/>
      <c r="E99" s="11"/>
      <c r="F99" s="11"/>
      <c r="G99" s="6"/>
      <c r="H99" s="6"/>
      <c r="I99" s="6"/>
      <c r="J99" s="6"/>
      <c r="K99" s="6"/>
      <c r="L99" s="6"/>
      <c r="M99" s="6"/>
      <c r="N99" s="6"/>
      <c r="O99" s="6"/>
      <c r="P99" s="6"/>
      <c r="Q99" s="6"/>
      <c r="R99" s="6"/>
      <c r="S99" s="6"/>
      <c r="T99" s="6"/>
      <c r="U99" s="6"/>
      <c r="V99" s="6"/>
      <c r="W99" s="6"/>
      <c r="X99" s="6"/>
      <c r="Y99" s="6"/>
      <c r="Z99" s="6"/>
    </row>
    <row r="100" spans="1:26" ht="31.5" customHeight="1">
      <c r="A100" s="1"/>
      <c r="B100" s="6"/>
      <c r="C100" s="10"/>
      <c r="D100" s="1"/>
      <c r="E100" s="11"/>
      <c r="F100" s="11"/>
      <c r="G100" s="6"/>
      <c r="H100" s="6"/>
      <c r="I100" s="6"/>
      <c r="J100" s="6"/>
      <c r="K100" s="6"/>
      <c r="L100" s="6"/>
      <c r="M100" s="6"/>
      <c r="N100" s="6"/>
      <c r="O100" s="6"/>
      <c r="P100" s="6"/>
      <c r="Q100" s="6"/>
      <c r="R100" s="6"/>
      <c r="S100" s="6"/>
      <c r="T100" s="6"/>
      <c r="U100" s="6"/>
      <c r="V100" s="6"/>
      <c r="W100" s="6"/>
      <c r="X100" s="6"/>
      <c r="Y100" s="6"/>
      <c r="Z100" s="6"/>
    </row>
    <row r="101" spans="1:26" ht="31.5" customHeight="1">
      <c r="A101" s="1"/>
      <c r="B101" s="6"/>
      <c r="C101" s="10"/>
      <c r="D101" s="1"/>
      <c r="E101" s="11"/>
      <c r="F101" s="11"/>
      <c r="G101" s="6"/>
      <c r="H101" s="6"/>
      <c r="I101" s="6"/>
      <c r="J101" s="6"/>
      <c r="K101" s="6"/>
      <c r="L101" s="6"/>
      <c r="M101" s="6"/>
      <c r="N101" s="6"/>
      <c r="O101" s="6"/>
      <c r="P101" s="6"/>
      <c r="Q101" s="6"/>
      <c r="R101" s="6"/>
      <c r="S101" s="6"/>
      <c r="T101" s="6"/>
      <c r="U101" s="6"/>
      <c r="V101" s="6"/>
      <c r="W101" s="6"/>
      <c r="X101" s="6"/>
      <c r="Y101" s="6"/>
      <c r="Z101" s="6"/>
    </row>
    <row r="102" spans="1:26" ht="31.5" customHeight="1">
      <c r="A102" s="1"/>
      <c r="B102" s="6"/>
      <c r="C102" s="10"/>
      <c r="D102" s="1"/>
      <c r="E102" s="11"/>
      <c r="F102" s="11"/>
      <c r="G102" s="6"/>
      <c r="H102" s="6"/>
      <c r="I102" s="6"/>
      <c r="J102" s="6"/>
      <c r="K102" s="6"/>
      <c r="L102" s="6"/>
      <c r="M102" s="6"/>
      <c r="N102" s="6"/>
      <c r="O102" s="6"/>
      <c r="P102" s="6"/>
      <c r="Q102" s="6"/>
      <c r="R102" s="6"/>
      <c r="S102" s="6"/>
      <c r="T102" s="6"/>
      <c r="U102" s="6"/>
      <c r="V102" s="6"/>
      <c r="W102" s="6"/>
      <c r="X102" s="6"/>
      <c r="Y102" s="6"/>
      <c r="Z102" s="6"/>
    </row>
    <row r="103" spans="1:26" ht="31.5" customHeight="1">
      <c r="A103" s="1"/>
      <c r="B103" s="6"/>
      <c r="C103" s="10"/>
      <c r="D103" s="1"/>
      <c r="E103" s="11"/>
      <c r="F103" s="11"/>
      <c r="G103" s="6"/>
      <c r="H103" s="6"/>
      <c r="I103" s="6"/>
      <c r="J103" s="6"/>
      <c r="K103" s="6"/>
      <c r="L103" s="6"/>
      <c r="M103" s="6"/>
      <c r="N103" s="6"/>
      <c r="O103" s="6"/>
      <c r="P103" s="6"/>
      <c r="Q103" s="6"/>
      <c r="R103" s="6"/>
      <c r="S103" s="6"/>
      <c r="T103" s="6"/>
      <c r="U103" s="6"/>
      <c r="V103" s="6"/>
      <c r="W103" s="6"/>
      <c r="X103" s="6"/>
      <c r="Y103" s="6"/>
      <c r="Z103" s="6"/>
    </row>
    <row r="104" spans="1:26" ht="31.5" customHeight="1">
      <c r="A104" s="1"/>
      <c r="B104" s="6"/>
      <c r="C104" s="10"/>
      <c r="D104" s="1"/>
      <c r="E104" s="11"/>
      <c r="F104" s="11"/>
      <c r="G104" s="6"/>
      <c r="H104" s="6"/>
      <c r="I104" s="6"/>
      <c r="J104" s="6"/>
      <c r="K104" s="6"/>
      <c r="L104" s="6"/>
      <c r="M104" s="6"/>
      <c r="N104" s="6"/>
      <c r="O104" s="6"/>
      <c r="P104" s="6"/>
      <c r="Q104" s="6"/>
      <c r="R104" s="6"/>
      <c r="S104" s="6"/>
      <c r="T104" s="6"/>
      <c r="U104" s="6"/>
      <c r="V104" s="6"/>
      <c r="W104" s="6"/>
      <c r="X104" s="6"/>
      <c r="Y104" s="6"/>
      <c r="Z104" s="6"/>
    </row>
    <row r="105" spans="1:26" ht="31.5" customHeight="1">
      <c r="A105" s="1"/>
      <c r="B105" s="6"/>
      <c r="C105" s="10"/>
      <c r="D105" s="1"/>
      <c r="E105" s="11"/>
      <c r="F105" s="11"/>
      <c r="G105" s="6"/>
      <c r="H105" s="6"/>
      <c r="I105" s="6"/>
      <c r="J105" s="6"/>
      <c r="K105" s="6"/>
      <c r="L105" s="6"/>
      <c r="M105" s="6"/>
      <c r="N105" s="6"/>
      <c r="O105" s="6"/>
      <c r="P105" s="6"/>
      <c r="Q105" s="6"/>
      <c r="R105" s="6"/>
      <c r="S105" s="6"/>
      <c r="T105" s="6"/>
      <c r="U105" s="6"/>
      <c r="V105" s="6"/>
      <c r="W105" s="6"/>
      <c r="X105" s="6"/>
      <c r="Y105" s="6"/>
      <c r="Z105" s="6"/>
    </row>
    <row r="106" spans="1:26" ht="31.5" customHeight="1">
      <c r="A106" s="1"/>
      <c r="B106" s="6"/>
      <c r="C106" s="10"/>
      <c r="D106" s="1"/>
      <c r="E106" s="11"/>
      <c r="F106" s="11"/>
      <c r="G106" s="6"/>
      <c r="H106" s="6"/>
      <c r="I106" s="6"/>
      <c r="J106" s="6"/>
      <c r="K106" s="6"/>
      <c r="L106" s="6"/>
      <c r="M106" s="6"/>
      <c r="N106" s="6"/>
      <c r="O106" s="6"/>
      <c r="P106" s="6"/>
      <c r="Q106" s="6"/>
      <c r="R106" s="6"/>
      <c r="S106" s="6"/>
      <c r="T106" s="6"/>
      <c r="U106" s="6"/>
      <c r="V106" s="6"/>
      <c r="W106" s="6"/>
      <c r="X106" s="6"/>
      <c r="Y106" s="6"/>
      <c r="Z106" s="6"/>
    </row>
    <row r="107" spans="1:26" ht="31.5" customHeight="1">
      <c r="A107" s="1"/>
      <c r="B107" s="6"/>
      <c r="C107" s="10"/>
      <c r="D107" s="1"/>
      <c r="E107" s="11"/>
      <c r="F107" s="11"/>
      <c r="G107" s="6"/>
      <c r="H107" s="6"/>
      <c r="I107" s="6"/>
      <c r="J107" s="6"/>
      <c r="K107" s="6"/>
      <c r="L107" s="6"/>
      <c r="M107" s="6"/>
      <c r="N107" s="6"/>
      <c r="O107" s="6"/>
      <c r="P107" s="6"/>
      <c r="Q107" s="6"/>
      <c r="R107" s="6"/>
      <c r="S107" s="6"/>
      <c r="T107" s="6"/>
      <c r="U107" s="6"/>
      <c r="V107" s="6"/>
      <c r="W107" s="6"/>
      <c r="X107" s="6"/>
      <c r="Y107" s="6"/>
      <c r="Z107" s="6"/>
    </row>
    <row r="108" spans="1:26" ht="31.5" customHeight="1">
      <c r="A108" s="1"/>
      <c r="B108" s="6"/>
      <c r="C108" s="10"/>
      <c r="D108" s="1"/>
      <c r="E108" s="11"/>
      <c r="F108" s="11"/>
      <c r="G108" s="6"/>
      <c r="H108" s="6"/>
      <c r="I108" s="6"/>
      <c r="J108" s="6"/>
      <c r="K108" s="6"/>
      <c r="L108" s="6"/>
      <c r="M108" s="6"/>
      <c r="N108" s="6"/>
      <c r="O108" s="6"/>
      <c r="P108" s="6"/>
      <c r="Q108" s="6"/>
      <c r="R108" s="6"/>
      <c r="S108" s="6"/>
      <c r="T108" s="6"/>
      <c r="U108" s="6"/>
      <c r="V108" s="6"/>
      <c r="W108" s="6"/>
      <c r="X108" s="6"/>
      <c r="Y108" s="6"/>
      <c r="Z108" s="6"/>
    </row>
    <row r="109" spans="1:26" ht="31.5" customHeight="1">
      <c r="A109" s="1"/>
      <c r="B109" s="6"/>
      <c r="C109" s="10"/>
      <c r="D109" s="1"/>
      <c r="E109" s="11"/>
      <c r="F109" s="11"/>
      <c r="G109" s="6"/>
      <c r="H109" s="6"/>
      <c r="I109" s="6"/>
      <c r="J109" s="6"/>
      <c r="K109" s="6"/>
      <c r="L109" s="6"/>
      <c r="M109" s="6"/>
      <c r="N109" s="6"/>
      <c r="O109" s="6"/>
      <c r="P109" s="6"/>
      <c r="Q109" s="6"/>
      <c r="R109" s="6"/>
      <c r="S109" s="6"/>
      <c r="T109" s="6"/>
      <c r="U109" s="6"/>
      <c r="V109" s="6"/>
      <c r="W109" s="6"/>
      <c r="X109" s="6"/>
      <c r="Y109" s="6"/>
      <c r="Z109" s="6"/>
    </row>
    <row r="110" spans="1:26" ht="31.5" customHeight="1">
      <c r="A110" s="1"/>
      <c r="B110" s="6"/>
      <c r="C110" s="10"/>
      <c r="D110" s="1"/>
      <c r="E110" s="11"/>
      <c r="F110" s="11"/>
      <c r="G110" s="6"/>
      <c r="H110" s="6"/>
      <c r="I110" s="6"/>
      <c r="J110" s="6"/>
      <c r="K110" s="6"/>
      <c r="L110" s="6"/>
      <c r="M110" s="6"/>
      <c r="N110" s="6"/>
      <c r="O110" s="6"/>
      <c r="P110" s="6"/>
      <c r="Q110" s="6"/>
      <c r="R110" s="6"/>
      <c r="S110" s="6"/>
      <c r="T110" s="6"/>
      <c r="U110" s="6"/>
      <c r="V110" s="6"/>
      <c r="W110" s="6"/>
      <c r="X110" s="6"/>
      <c r="Y110" s="6"/>
      <c r="Z110" s="6"/>
    </row>
    <row r="111" spans="1:26" ht="31.5" customHeight="1">
      <c r="A111" s="1"/>
      <c r="B111" s="6"/>
      <c r="C111" s="10"/>
      <c r="D111" s="1"/>
      <c r="E111" s="11"/>
      <c r="F111" s="11"/>
      <c r="G111" s="6"/>
      <c r="H111" s="6"/>
      <c r="I111" s="6"/>
      <c r="J111" s="6"/>
      <c r="K111" s="6"/>
      <c r="L111" s="6"/>
      <c r="M111" s="6"/>
      <c r="N111" s="6"/>
      <c r="O111" s="6"/>
      <c r="P111" s="6"/>
      <c r="Q111" s="6"/>
      <c r="R111" s="6"/>
      <c r="S111" s="6"/>
      <c r="T111" s="6"/>
      <c r="U111" s="6"/>
      <c r="V111" s="6"/>
      <c r="W111" s="6"/>
      <c r="X111" s="6"/>
      <c r="Y111" s="6"/>
      <c r="Z111" s="6"/>
    </row>
    <row r="112" spans="1:26" ht="31.5" customHeight="1">
      <c r="A112" s="1"/>
      <c r="B112" s="6"/>
      <c r="C112" s="10"/>
      <c r="D112" s="1"/>
      <c r="E112" s="11"/>
      <c r="F112" s="11"/>
      <c r="G112" s="6"/>
      <c r="H112" s="6"/>
      <c r="I112" s="6"/>
      <c r="J112" s="6"/>
      <c r="K112" s="6"/>
      <c r="L112" s="6"/>
      <c r="M112" s="6"/>
      <c r="N112" s="6"/>
      <c r="O112" s="6"/>
      <c r="P112" s="6"/>
      <c r="Q112" s="6"/>
      <c r="R112" s="6"/>
      <c r="S112" s="6"/>
      <c r="T112" s="6"/>
      <c r="U112" s="6"/>
      <c r="V112" s="6"/>
      <c r="W112" s="6"/>
      <c r="X112" s="6"/>
      <c r="Y112" s="6"/>
      <c r="Z112" s="6"/>
    </row>
    <row r="113" spans="1:26" ht="31.5" customHeight="1">
      <c r="A113" s="1"/>
      <c r="B113" s="6"/>
      <c r="C113" s="10"/>
      <c r="D113" s="1"/>
      <c r="E113" s="11"/>
      <c r="F113" s="11"/>
      <c r="G113" s="6"/>
      <c r="H113" s="6"/>
      <c r="I113" s="6"/>
      <c r="J113" s="6"/>
      <c r="K113" s="6"/>
      <c r="L113" s="6"/>
      <c r="M113" s="6"/>
      <c r="N113" s="6"/>
      <c r="O113" s="6"/>
      <c r="P113" s="6"/>
      <c r="Q113" s="6"/>
      <c r="R113" s="6"/>
      <c r="S113" s="6"/>
      <c r="T113" s="6"/>
      <c r="U113" s="6"/>
      <c r="V113" s="6"/>
      <c r="W113" s="6"/>
      <c r="X113" s="6"/>
      <c r="Y113" s="6"/>
      <c r="Z113" s="6"/>
    </row>
    <row r="114" spans="1:26" ht="31.5" customHeight="1">
      <c r="A114" s="1"/>
      <c r="B114" s="6"/>
      <c r="C114" s="10"/>
      <c r="D114" s="1"/>
      <c r="E114" s="11"/>
      <c r="F114" s="11"/>
      <c r="G114" s="6"/>
      <c r="H114" s="6"/>
      <c r="I114" s="6"/>
      <c r="J114" s="6"/>
      <c r="K114" s="6"/>
      <c r="L114" s="6"/>
      <c r="M114" s="6"/>
      <c r="N114" s="6"/>
      <c r="O114" s="6"/>
      <c r="P114" s="6"/>
      <c r="Q114" s="6"/>
      <c r="R114" s="6"/>
      <c r="S114" s="6"/>
      <c r="T114" s="6"/>
      <c r="U114" s="6"/>
      <c r="V114" s="6"/>
      <c r="W114" s="6"/>
      <c r="X114" s="6"/>
      <c r="Y114" s="6"/>
      <c r="Z114" s="6"/>
    </row>
    <row r="115" spans="1:26" ht="31.5" customHeight="1">
      <c r="A115" s="1"/>
      <c r="B115" s="6"/>
      <c r="C115" s="10"/>
      <c r="D115" s="1"/>
      <c r="E115" s="11"/>
      <c r="F115" s="11"/>
      <c r="G115" s="6"/>
      <c r="H115" s="6"/>
      <c r="I115" s="6"/>
      <c r="J115" s="6"/>
      <c r="K115" s="6"/>
      <c r="L115" s="6"/>
      <c r="M115" s="6"/>
      <c r="N115" s="6"/>
      <c r="O115" s="6"/>
      <c r="P115" s="6"/>
      <c r="Q115" s="6"/>
      <c r="R115" s="6"/>
      <c r="S115" s="6"/>
      <c r="T115" s="6"/>
      <c r="U115" s="6"/>
      <c r="V115" s="6"/>
      <c r="W115" s="6"/>
      <c r="X115" s="6"/>
      <c r="Y115" s="6"/>
      <c r="Z115" s="6"/>
    </row>
    <row r="116" spans="1:26" ht="31.5" customHeight="1">
      <c r="A116" s="1"/>
      <c r="B116" s="6"/>
      <c r="C116" s="10"/>
      <c r="D116" s="1"/>
      <c r="E116" s="11"/>
      <c r="F116" s="11"/>
      <c r="G116" s="6"/>
      <c r="H116" s="6"/>
      <c r="I116" s="6"/>
      <c r="J116" s="6"/>
      <c r="K116" s="6"/>
      <c r="L116" s="6"/>
      <c r="M116" s="6"/>
      <c r="N116" s="6"/>
      <c r="O116" s="6"/>
      <c r="P116" s="6"/>
      <c r="Q116" s="6"/>
      <c r="R116" s="6"/>
      <c r="S116" s="6"/>
      <c r="T116" s="6"/>
      <c r="U116" s="6"/>
      <c r="V116" s="6"/>
      <c r="W116" s="6"/>
      <c r="X116" s="6"/>
      <c r="Y116" s="6"/>
      <c r="Z116" s="6"/>
    </row>
    <row r="117" spans="1:26" ht="31.5" customHeight="1">
      <c r="A117" s="1"/>
      <c r="B117" s="6"/>
      <c r="C117" s="10"/>
      <c r="D117" s="1"/>
      <c r="E117" s="11"/>
      <c r="F117" s="11"/>
      <c r="G117" s="6"/>
      <c r="H117" s="6"/>
      <c r="I117" s="6"/>
      <c r="J117" s="6"/>
      <c r="K117" s="6"/>
      <c r="L117" s="6"/>
      <c r="M117" s="6"/>
      <c r="N117" s="6"/>
      <c r="O117" s="6"/>
      <c r="P117" s="6"/>
      <c r="Q117" s="6"/>
      <c r="R117" s="6"/>
      <c r="S117" s="6"/>
      <c r="T117" s="6"/>
      <c r="U117" s="6"/>
      <c r="V117" s="6"/>
      <c r="W117" s="6"/>
      <c r="X117" s="6"/>
      <c r="Y117" s="6"/>
      <c r="Z117" s="6"/>
    </row>
    <row r="118" spans="1:26" ht="31.5" customHeight="1">
      <c r="A118" s="1"/>
      <c r="B118" s="6"/>
      <c r="C118" s="10"/>
      <c r="D118" s="1"/>
      <c r="E118" s="11"/>
      <c r="F118" s="11"/>
      <c r="G118" s="6"/>
      <c r="H118" s="6"/>
      <c r="I118" s="6"/>
      <c r="J118" s="6"/>
      <c r="K118" s="6"/>
      <c r="L118" s="6"/>
      <c r="M118" s="6"/>
      <c r="N118" s="6"/>
      <c r="O118" s="6"/>
      <c r="P118" s="6"/>
      <c r="Q118" s="6"/>
      <c r="R118" s="6"/>
      <c r="S118" s="6"/>
      <c r="T118" s="6"/>
      <c r="U118" s="6"/>
      <c r="V118" s="6"/>
      <c r="W118" s="6"/>
      <c r="X118" s="6"/>
      <c r="Y118" s="6"/>
      <c r="Z118" s="6"/>
    </row>
    <row r="119" spans="1:26" ht="31.5" customHeight="1">
      <c r="A119" s="1"/>
      <c r="B119" s="6"/>
      <c r="C119" s="10"/>
      <c r="D119" s="1"/>
      <c r="E119" s="11"/>
      <c r="F119" s="11"/>
      <c r="G119" s="6"/>
      <c r="H119" s="6"/>
      <c r="I119" s="6"/>
      <c r="J119" s="6"/>
      <c r="K119" s="6"/>
      <c r="L119" s="6"/>
      <c r="M119" s="6"/>
      <c r="N119" s="6"/>
      <c r="O119" s="6"/>
      <c r="P119" s="6"/>
      <c r="Q119" s="6"/>
      <c r="R119" s="6"/>
      <c r="S119" s="6"/>
      <c r="T119" s="6"/>
      <c r="U119" s="6"/>
      <c r="V119" s="6"/>
      <c r="W119" s="6"/>
      <c r="X119" s="6"/>
      <c r="Y119" s="6"/>
      <c r="Z119" s="6"/>
    </row>
    <row r="120" spans="1:26" ht="31.5" customHeight="1">
      <c r="A120" s="1"/>
      <c r="B120" s="6"/>
      <c r="C120" s="10"/>
      <c r="D120" s="1"/>
      <c r="E120" s="11"/>
      <c r="F120" s="11"/>
      <c r="G120" s="6"/>
      <c r="H120" s="6"/>
      <c r="I120" s="6"/>
      <c r="J120" s="6"/>
      <c r="K120" s="6"/>
      <c r="L120" s="6"/>
      <c r="M120" s="6"/>
      <c r="N120" s="6"/>
      <c r="O120" s="6"/>
      <c r="P120" s="6"/>
      <c r="Q120" s="6"/>
      <c r="R120" s="6"/>
      <c r="S120" s="6"/>
      <c r="T120" s="6"/>
      <c r="U120" s="6"/>
      <c r="V120" s="6"/>
      <c r="W120" s="6"/>
      <c r="X120" s="6"/>
      <c r="Y120" s="6"/>
      <c r="Z120" s="6"/>
    </row>
    <row r="121" spans="1:26" ht="31.5" customHeight="1">
      <c r="A121" s="1"/>
      <c r="B121" s="6"/>
      <c r="C121" s="10"/>
      <c r="D121" s="1"/>
      <c r="E121" s="11"/>
      <c r="F121" s="11"/>
      <c r="G121" s="6"/>
      <c r="H121" s="6"/>
      <c r="I121" s="6"/>
      <c r="J121" s="6"/>
      <c r="K121" s="6"/>
      <c r="L121" s="6"/>
      <c r="M121" s="6"/>
      <c r="N121" s="6"/>
      <c r="O121" s="6"/>
      <c r="P121" s="6"/>
      <c r="Q121" s="6"/>
      <c r="R121" s="6"/>
      <c r="S121" s="6"/>
      <c r="T121" s="6"/>
      <c r="U121" s="6"/>
      <c r="V121" s="6"/>
      <c r="W121" s="6"/>
      <c r="X121" s="6"/>
      <c r="Y121" s="6"/>
      <c r="Z121" s="6"/>
    </row>
    <row r="122" spans="1:26" ht="31.5" customHeight="1">
      <c r="A122" s="1"/>
      <c r="B122" s="6"/>
      <c r="C122" s="10"/>
      <c r="D122" s="1"/>
      <c r="E122" s="11"/>
      <c r="F122" s="11"/>
      <c r="G122" s="6"/>
      <c r="H122" s="6"/>
      <c r="I122" s="6"/>
      <c r="J122" s="6"/>
      <c r="K122" s="6"/>
      <c r="L122" s="6"/>
      <c r="M122" s="6"/>
      <c r="N122" s="6"/>
      <c r="O122" s="6"/>
      <c r="P122" s="6"/>
      <c r="Q122" s="6"/>
      <c r="R122" s="6"/>
      <c r="S122" s="6"/>
      <c r="T122" s="6"/>
      <c r="U122" s="6"/>
      <c r="V122" s="6"/>
      <c r="W122" s="6"/>
      <c r="X122" s="6"/>
      <c r="Y122" s="6"/>
      <c r="Z122" s="6"/>
    </row>
    <row r="123" spans="1:26" ht="31.5" customHeight="1">
      <c r="A123" s="1"/>
      <c r="B123" s="6"/>
      <c r="C123" s="10"/>
      <c r="D123" s="1"/>
      <c r="E123" s="11"/>
      <c r="F123" s="11"/>
      <c r="G123" s="6"/>
      <c r="H123" s="6"/>
      <c r="I123" s="6"/>
      <c r="J123" s="6"/>
      <c r="K123" s="6"/>
      <c r="L123" s="6"/>
      <c r="M123" s="6"/>
      <c r="N123" s="6"/>
      <c r="O123" s="6"/>
      <c r="P123" s="6"/>
      <c r="Q123" s="6"/>
      <c r="R123" s="6"/>
      <c r="S123" s="6"/>
      <c r="T123" s="6"/>
      <c r="U123" s="6"/>
      <c r="V123" s="6"/>
      <c r="W123" s="6"/>
      <c r="X123" s="6"/>
      <c r="Y123" s="6"/>
      <c r="Z123" s="6"/>
    </row>
    <row r="124" spans="1:26" ht="31.5" customHeight="1">
      <c r="A124" s="1"/>
      <c r="B124" s="6"/>
      <c r="C124" s="10"/>
      <c r="D124" s="1"/>
      <c r="E124" s="11"/>
      <c r="F124" s="11"/>
      <c r="G124" s="6"/>
      <c r="H124" s="6"/>
      <c r="I124" s="6"/>
      <c r="J124" s="6"/>
      <c r="K124" s="6"/>
      <c r="L124" s="6"/>
      <c r="M124" s="6"/>
      <c r="N124" s="6"/>
      <c r="O124" s="6"/>
      <c r="P124" s="6"/>
      <c r="Q124" s="6"/>
      <c r="R124" s="6"/>
      <c r="S124" s="6"/>
      <c r="T124" s="6"/>
      <c r="U124" s="6"/>
      <c r="V124" s="6"/>
      <c r="W124" s="6"/>
      <c r="X124" s="6"/>
      <c r="Y124" s="6"/>
      <c r="Z124" s="6"/>
    </row>
    <row r="125" spans="1:26" ht="31.5" customHeight="1">
      <c r="A125" s="1"/>
      <c r="B125" s="6"/>
      <c r="C125" s="10"/>
      <c r="D125" s="1"/>
      <c r="E125" s="11"/>
      <c r="F125" s="11"/>
      <c r="G125" s="6"/>
      <c r="H125" s="6"/>
      <c r="I125" s="6"/>
      <c r="J125" s="6"/>
      <c r="K125" s="6"/>
      <c r="L125" s="6"/>
      <c r="M125" s="6"/>
      <c r="N125" s="6"/>
      <c r="O125" s="6"/>
      <c r="P125" s="6"/>
      <c r="Q125" s="6"/>
      <c r="R125" s="6"/>
      <c r="S125" s="6"/>
      <c r="T125" s="6"/>
      <c r="U125" s="6"/>
      <c r="V125" s="6"/>
      <c r="W125" s="6"/>
      <c r="X125" s="6"/>
      <c r="Y125" s="6"/>
      <c r="Z125" s="6"/>
    </row>
    <row r="126" spans="1:26" ht="31.5" customHeight="1">
      <c r="A126" s="1"/>
      <c r="B126" s="6"/>
      <c r="C126" s="10"/>
      <c r="D126" s="1"/>
      <c r="E126" s="11"/>
      <c r="F126" s="11"/>
      <c r="G126" s="6"/>
      <c r="H126" s="6"/>
      <c r="I126" s="6"/>
      <c r="J126" s="6"/>
      <c r="K126" s="6"/>
      <c r="L126" s="6"/>
      <c r="M126" s="6"/>
      <c r="N126" s="6"/>
      <c r="O126" s="6"/>
      <c r="P126" s="6"/>
      <c r="Q126" s="6"/>
      <c r="R126" s="6"/>
      <c r="S126" s="6"/>
      <c r="T126" s="6"/>
      <c r="U126" s="6"/>
      <c r="V126" s="6"/>
      <c r="W126" s="6"/>
      <c r="X126" s="6"/>
      <c r="Y126" s="6"/>
      <c r="Z126" s="6"/>
    </row>
    <row r="127" spans="1:26" ht="31.5" customHeight="1">
      <c r="A127" s="1"/>
      <c r="B127" s="6"/>
      <c r="C127" s="10"/>
      <c r="D127" s="1"/>
      <c r="E127" s="11"/>
      <c r="F127" s="11"/>
      <c r="G127" s="6"/>
      <c r="H127" s="6"/>
      <c r="I127" s="6"/>
      <c r="J127" s="6"/>
      <c r="K127" s="6"/>
      <c r="L127" s="6"/>
      <c r="M127" s="6"/>
      <c r="N127" s="6"/>
      <c r="O127" s="6"/>
      <c r="P127" s="6"/>
      <c r="Q127" s="6"/>
      <c r="R127" s="6"/>
      <c r="S127" s="6"/>
      <c r="T127" s="6"/>
      <c r="U127" s="6"/>
      <c r="V127" s="6"/>
      <c r="W127" s="6"/>
      <c r="X127" s="6"/>
      <c r="Y127" s="6"/>
      <c r="Z127" s="6"/>
    </row>
    <row r="128" spans="1:26" ht="31.5" customHeight="1">
      <c r="A128" s="1"/>
      <c r="B128" s="6"/>
      <c r="C128" s="10"/>
      <c r="D128" s="1"/>
      <c r="E128" s="11"/>
      <c r="F128" s="11"/>
      <c r="G128" s="6"/>
      <c r="H128" s="6"/>
      <c r="I128" s="6"/>
      <c r="J128" s="6"/>
      <c r="K128" s="6"/>
      <c r="L128" s="6"/>
      <c r="M128" s="6"/>
      <c r="N128" s="6"/>
      <c r="O128" s="6"/>
      <c r="P128" s="6"/>
      <c r="Q128" s="6"/>
      <c r="R128" s="6"/>
      <c r="S128" s="6"/>
      <c r="T128" s="6"/>
      <c r="U128" s="6"/>
      <c r="V128" s="6"/>
      <c r="W128" s="6"/>
      <c r="X128" s="6"/>
      <c r="Y128" s="6"/>
      <c r="Z128" s="6"/>
    </row>
    <row r="129" spans="1:26" ht="31.5" customHeight="1">
      <c r="A129" s="1"/>
      <c r="B129" s="6"/>
      <c r="C129" s="10"/>
      <c r="D129" s="1"/>
      <c r="E129" s="11"/>
      <c r="F129" s="11"/>
      <c r="G129" s="6"/>
      <c r="H129" s="6"/>
      <c r="I129" s="6"/>
      <c r="J129" s="6"/>
      <c r="K129" s="6"/>
      <c r="L129" s="6"/>
      <c r="M129" s="6"/>
      <c r="N129" s="6"/>
      <c r="O129" s="6"/>
      <c r="P129" s="6"/>
      <c r="Q129" s="6"/>
      <c r="R129" s="6"/>
      <c r="S129" s="6"/>
      <c r="T129" s="6"/>
      <c r="U129" s="6"/>
      <c r="V129" s="6"/>
      <c r="W129" s="6"/>
      <c r="X129" s="6"/>
      <c r="Y129" s="6"/>
      <c r="Z129" s="6"/>
    </row>
    <row r="130" spans="1:26" ht="31.5" customHeight="1">
      <c r="A130" s="1"/>
      <c r="B130" s="6"/>
      <c r="C130" s="10"/>
      <c r="D130" s="1"/>
      <c r="E130" s="11"/>
      <c r="F130" s="11"/>
      <c r="G130" s="6"/>
      <c r="H130" s="6"/>
      <c r="I130" s="6"/>
      <c r="J130" s="6"/>
      <c r="K130" s="6"/>
      <c r="L130" s="6"/>
      <c r="M130" s="6"/>
      <c r="N130" s="6"/>
      <c r="O130" s="6"/>
      <c r="P130" s="6"/>
      <c r="Q130" s="6"/>
      <c r="R130" s="6"/>
      <c r="S130" s="6"/>
      <c r="T130" s="6"/>
      <c r="U130" s="6"/>
      <c r="V130" s="6"/>
      <c r="W130" s="6"/>
      <c r="X130" s="6"/>
      <c r="Y130" s="6"/>
      <c r="Z130" s="6"/>
    </row>
    <row r="131" spans="1:26" ht="31.5" customHeight="1">
      <c r="A131" s="1"/>
      <c r="B131" s="6"/>
      <c r="C131" s="10"/>
      <c r="D131" s="1"/>
      <c r="E131" s="11"/>
      <c r="F131" s="11"/>
      <c r="G131" s="6"/>
      <c r="H131" s="6"/>
      <c r="I131" s="6"/>
      <c r="J131" s="6"/>
      <c r="K131" s="6"/>
      <c r="L131" s="6"/>
      <c r="M131" s="6"/>
      <c r="N131" s="6"/>
      <c r="O131" s="6"/>
      <c r="P131" s="6"/>
      <c r="Q131" s="6"/>
      <c r="R131" s="6"/>
      <c r="S131" s="6"/>
      <c r="T131" s="6"/>
      <c r="U131" s="6"/>
      <c r="V131" s="6"/>
      <c r="W131" s="6"/>
      <c r="X131" s="6"/>
      <c r="Y131" s="6"/>
      <c r="Z131" s="6"/>
    </row>
    <row r="132" spans="1:26" ht="31.5" customHeight="1">
      <c r="A132" s="1"/>
      <c r="B132" s="6"/>
      <c r="C132" s="10"/>
      <c r="D132" s="1"/>
      <c r="E132" s="11"/>
      <c r="F132" s="11"/>
      <c r="G132" s="6"/>
      <c r="H132" s="6"/>
      <c r="I132" s="6"/>
      <c r="J132" s="6"/>
      <c r="K132" s="6"/>
      <c r="L132" s="6"/>
      <c r="M132" s="6"/>
      <c r="N132" s="6"/>
      <c r="O132" s="6"/>
      <c r="P132" s="6"/>
      <c r="Q132" s="6"/>
      <c r="R132" s="6"/>
      <c r="S132" s="6"/>
      <c r="T132" s="6"/>
      <c r="U132" s="6"/>
      <c r="V132" s="6"/>
      <c r="W132" s="6"/>
      <c r="X132" s="6"/>
      <c r="Y132" s="6"/>
      <c r="Z132" s="6"/>
    </row>
    <row r="133" spans="1:26" ht="31.5" customHeight="1">
      <c r="A133" s="1"/>
      <c r="B133" s="6"/>
      <c r="C133" s="10"/>
      <c r="D133" s="1"/>
      <c r="E133" s="11"/>
      <c r="F133" s="11"/>
      <c r="G133" s="6"/>
      <c r="H133" s="6"/>
      <c r="I133" s="6"/>
      <c r="J133" s="6"/>
      <c r="K133" s="6"/>
      <c r="L133" s="6"/>
      <c r="M133" s="6"/>
      <c r="N133" s="6"/>
      <c r="O133" s="6"/>
      <c r="P133" s="6"/>
      <c r="Q133" s="6"/>
      <c r="R133" s="6"/>
      <c r="S133" s="6"/>
      <c r="T133" s="6"/>
      <c r="U133" s="6"/>
      <c r="V133" s="6"/>
      <c r="W133" s="6"/>
      <c r="X133" s="6"/>
      <c r="Y133" s="6"/>
      <c r="Z133" s="6"/>
    </row>
    <row r="134" spans="1:26" ht="31.5" customHeight="1">
      <c r="A134" s="1"/>
      <c r="B134" s="6"/>
      <c r="C134" s="10"/>
      <c r="D134" s="1"/>
      <c r="E134" s="11"/>
      <c r="F134" s="11"/>
      <c r="G134" s="6"/>
      <c r="H134" s="6"/>
      <c r="I134" s="6"/>
      <c r="J134" s="6"/>
      <c r="K134" s="6"/>
      <c r="L134" s="6"/>
      <c r="M134" s="6"/>
      <c r="N134" s="6"/>
      <c r="O134" s="6"/>
      <c r="P134" s="6"/>
      <c r="Q134" s="6"/>
      <c r="R134" s="6"/>
      <c r="S134" s="6"/>
      <c r="T134" s="6"/>
      <c r="U134" s="6"/>
      <c r="V134" s="6"/>
      <c r="W134" s="6"/>
      <c r="X134" s="6"/>
      <c r="Y134" s="6"/>
      <c r="Z134" s="6"/>
    </row>
    <row r="135" spans="1:26" ht="31.5" customHeight="1">
      <c r="A135" s="1"/>
      <c r="B135" s="6"/>
      <c r="C135" s="10"/>
      <c r="D135" s="1"/>
      <c r="E135" s="11"/>
      <c r="F135" s="11"/>
      <c r="G135" s="6"/>
      <c r="H135" s="6"/>
      <c r="I135" s="6"/>
      <c r="J135" s="6"/>
      <c r="K135" s="6"/>
      <c r="L135" s="6"/>
      <c r="M135" s="6"/>
      <c r="N135" s="6"/>
      <c r="O135" s="6"/>
      <c r="P135" s="6"/>
      <c r="Q135" s="6"/>
      <c r="R135" s="6"/>
      <c r="S135" s="6"/>
      <c r="T135" s="6"/>
      <c r="U135" s="6"/>
      <c r="V135" s="6"/>
      <c r="W135" s="6"/>
      <c r="X135" s="6"/>
      <c r="Y135" s="6"/>
      <c r="Z135" s="6"/>
    </row>
    <row r="136" spans="1:26" ht="31.5" customHeight="1">
      <c r="A136" s="1"/>
      <c r="B136" s="6"/>
      <c r="C136" s="10"/>
      <c r="D136" s="1"/>
      <c r="E136" s="11"/>
      <c r="F136" s="11"/>
      <c r="G136" s="6"/>
      <c r="H136" s="6"/>
      <c r="I136" s="6"/>
      <c r="J136" s="6"/>
      <c r="K136" s="6"/>
      <c r="L136" s="6"/>
      <c r="M136" s="6"/>
      <c r="N136" s="6"/>
      <c r="O136" s="6"/>
      <c r="P136" s="6"/>
      <c r="Q136" s="6"/>
      <c r="R136" s="6"/>
      <c r="S136" s="6"/>
      <c r="T136" s="6"/>
      <c r="U136" s="6"/>
      <c r="V136" s="6"/>
      <c r="W136" s="6"/>
      <c r="X136" s="6"/>
      <c r="Y136" s="6"/>
      <c r="Z136" s="6"/>
    </row>
    <row r="137" spans="1:26" ht="31.5" customHeight="1">
      <c r="A137" s="1"/>
      <c r="B137" s="6"/>
      <c r="C137" s="10"/>
      <c r="D137" s="1"/>
      <c r="E137" s="11"/>
      <c r="F137" s="11"/>
      <c r="G137" s="6"/>
      <c r="H137" s="6"/>
      <c r="I137" s="6"/>
      <c r="J137" s="6"/>
      <c r="K137" s="6"/>
      <c r="L137" s="6"/>
      <c r="M137" s="6"/>
      <c r="N137" s="6"/>
      <c r="O137" s="6"/>
      <c r="P137" s="6"/>
      <c r="Q137" s="6"/>
      <c r="R137" s="6"/>
      <c r="S137" s="6"/>
      <c r="T137" s="6"/>
      <c r="U137" s="6"/>
      <c r="V137" s="6"/>
      <c r="W137" s="6"/>
      <c r="X137" s="6"/>
      <c r="Y137" s="6"/>
      <c r="Z137" s="6"/>
    </row>
    <row r="138" spans="1:26" ht="31.5" customHeight="1">
      <c r="A138" s="1"/>
      <c r="B138" s="6"/>
      <c r="C138" s="10"/>
      <c r="D138" s="1"/>
      <c r="E138" s="11"/>
      <c r="F138" s="11"/>
      <c r="G138" s="6"/>
      <c r="H138" s="6"/>
      <c r="I138" s="6"/>
      <c r="J138" s="6"/>
      <c r="K138" s="6"/>
      <c r="L138" s="6"/>
      <c r="M138" s="6"/>
      <c r="N138" s="6"/>
      <c r="O138" s="6"/>
      <c r="P138" s="6"/>
      <c r="Q138" s="6"/>
      <c r="R138" s="6"/>
      <c r="S138" s="6"/>
      <c r="T138" s="6"/>
      <c r="U138" s="6"/>
      <c r="V138" s="6"/>
      <c r="W138" s="6"/>
      <c r="X138" s="6"/>
      <c r="Y138" s="6"/>
      <c r="Z138" s="6"/>
    </row>
    <row r="139" spans="1:26" ht="31.5" customHeight="1">
      <c r="A139" s="1"/>
      <c r="B139" s="6"/>
      <c r="C139" s="10"/>
      <c r="D139" s="1"/>
      <c r="E139" s="11"/>
      <c r="F139" s="11"/>
      <c r="G139" s="6"/>
      <c r="H139" s="6"/>
      <c r="I139" s="6"/>
      <c r="J139" s="6"/>
      <c r="K139" s="6"/>
      <c r="L139" s="6"/>
      <c r="M139" s="6"/>
      <c r="N139" s="6"/>
      <c r="O139" s="6"/>
      <c r="P139" s="6"/>
      <c r="Q139" s="6"/>
      <c r="R139" s="6"/>
      <c r="S139" s="6"/>
      <c r="T139" s="6"/>
      <c r="U139" s="6"/>
      <c r="V139" s="6"/>
      <c r="W139" s="6"/>
      <c r="X139" s="6"/>
      <c r="Y139" s="6"/>
      <c r="Z139" s="6"/>
    </row>
    <row r="140" spans="1:26" ht="31.5" customHeight="1">
      <c r="A140" s="1"/>
      <c r="B140" s="6"/>
      <c r="C140" s="10"/>
      <c r="D140" s="1"/>
      <c r="E140" s="11"/>
      <c r="F140" s="11"/>
      <c r="G140" s="6"/>
      <c r="H140" s="6"/>
      <c r="I140" s="6"/>
      <c r="J140" s="6"/>
      <c r="K140" s="6"/>
      <c r="L140" s="6"/>
      <c r="M140" s="6"/>
      <c r="N140" s="6"/>
      <c r="O140" s="6"/>
      <c r="P140" s="6"/>
      <c r="Q140" s="6"/>
      <c r="R140" s="6"/>
      <c r="S140" s="6"/>
      <c r="T140" s="6"/>
      <c r="U140" s="6"/>
      <c r="V140" s="6"/>
      <c r="W140" s="6"/>
      <c r="X140" s="6"/>
      <c r="Y140" s="6"/>
      <c r="Z140" s="6"/>
    </row>
    <row r="141" spans="1:26" ht="31.5" customHeight="1">
      <c r="A141" s="1"/>
      <c r="B141" s="6"/>
      <c r="C141" s="10"/>
      <c r="D141" s="1"/>
      <c r="E141" s="11"/>
      <c r="F141" s="11"/>
      <c r="G141" s="6"/>
      <c r="H141" s="6"/>
      <c r="I141" s="6"/>
      <c r="J141" s="6"/>
      <c r="K141" s="6"/>
      <c r="L141" s="6"/>
      <c r="M141" s="6"/>
      <c r="N141" s="6"/>
      <c r="O141" s="6"/>
      <c r="P141" s="6"/>
      <c r="Q141" s="6"/>
      <c r="R141" s="6"/>
      <c r="S141" s="6"/>
      <c r="T141" s="6"/>
      <c r="U141" s="6"/>
      <c r="V141" s="6"/>
      <c r="W141" s="6"/>
      <c r="X141" s="6"/>
      <c r="Y141" s="6"/>
      <c r="Z141" s="6"/>
    </row>
    <row r="142" spans="1:26" ht="31.5" customHeight="1">
      <c r="A142" s="1"/>
      <c r="B142" s="6"/>
      <c r="C142" s="10"/>
      <c r="D142" s="1"/>
      <c r="E142" s="11"/>
      <c r="F142" s="11"/>
      <c r="G142" s="6"/>
      <c r="H142" s="6"/>
      <c r="I142" s="6"/>
      <c r="J142" s="6"/>
      <c r="K142" s="6"/>
      <c r="L142" s="6"/>
      <c r="M142" s="6"/>
      <c r="N142" s="6"/>
      <c r="O142" s="6"/>
      <c r="P142" s="6"/>
      <c r="Q142" s="6"/>
      <c r="R142" s="6"/>
      <c r="S142" s="6"/>
      <c r="T142" s="6"/>
      <c r="U142" s="6"/>
      <c r="V142" s="6"/>
      <c r="W142" s="6"/>
      <c r="X142" s="6"/>
      <c r="Y142" s="6"/>
      <c r="Z142" s="6"/>
    </row>
    <row r="143" spans="1:26" ht="31.5" customHeight="1">
      <c r="A143" s="1"/>
      <c r="B143" s="6"/>
      <c r="C143" s="10"/>
      <c r="D143" s="1"/>
      <c r="E143" s="11"/>
      <c r="F143" s="11"/>
      <c r="G143" s="6"/>
      <c r="H143" s="6"/>
      <c r="I143" s="6"/>
      <c r="J143" s="6"/>
      <c r="K143" s="6"/>
      <c r="L143" s="6"/>
      <c r="M143" s="6"/>
      <c r="N143" s="6"/>
      <c r="O143" s="6"/>
      <c r="P143" s="6"/>
      <c r="Q143" s="6"/>
      <c r="R143" s="6"/>
      <c r="S143" s="6"/>
      <c r="T143" s="6"/>
      <c r="U143" s="6"/>
      <c r="V143" s="6"/>
      <c r="W143" s="6"/>
      <c r="X143" s="6"/>
      <c r="Y143" s="6"/>
      <c r="Z143" s="6"/>
    </row>
    <row r="144" spans="1:26" ht="31.5" customHeight="1">
      <c r="A144" s="1"/>
      <c r="B144" s="6"/>
      <c r="C144" s="10"/>
      <c r="D144" s="1"/>
      <c r="E144" s="11"/>
      <c r="F144" s="11"/>
      <c r="G144" s="6"/>
      <c r="H144" s="6"/>
      <c r="I144" s="6"/>
      <c r="J144" s="6"/>
      <c r="K144" s="6"/>
      <c r="L144" s="6"/>
      <c r="M144" s="6"/>
      <c r="N144" s="6"/>
      <c r="O144" s="6"/>
      <c r="P144" s="6"/>
      <c r="Q144" s="6"/>
      <c r="R144" s="6"/>
      <c r="S144" s="6"/>
      <c r="T144" s="6"/>
      <c r="U144" s="6"/>
      <c r="V144" s="6"/>
      <c r="W144" s="6"/>
      <c r="X144" s="6"/>
      <c r="Y144" s="6"/>
      <c r="Z144" s="6"/>
    </row>
    <row r="145" spans="1:26" ht="31.5" customHeight="1">
      <c r="A145" s="1"/>
      <c r="B145" s="6"/>
      <c r="C145" s="10"/>
      <c r="D145" s="1"/>
      <c r="E145" s="11"/>
      <c r="F145" s="11"/>
      <c r="G145" s="6"/>
      <c r="H145" s="6"/>
      <c r="I145" s="6"/>
      <c r="J145" s="6"/>
      <c r="K145" s="6"/>
      <c r="L145" s="6"/>
      <c r="M145" s="6"/>
      <c r="N145" s="6"/>
      <c r="O145" s="6"/>
      <c r="P145" s="6"/>
      <c r="Q145" s="6"/>
      <c r="R145" s="6"/>
      <c r="S145" s="6"/>
      <c r="T145" s="6"/>
      <c r="U145" s="6"/>
      <c r="V145" s="6"/>
      <c r="W145" s="6"/>
      <c r="X145" s="6"/>
      <c r="Y145" s="6"/>
      <c r="Z145" s="6"/>
    </row>
    <row r="146" spans="1:26" ht="31.5" customHeight="1">
      <c r="A146" s="1"/>
      <c r="B146" s="6"/>
      <c r="C146" s="10"/>
      <c r="D146" s="1"/>
      <c r="E146" s="11"/>
      <c r="F146" s="11"/>
      <c r="G146" s="6"/>
      <c r="H146" s="6"/>
      <c r="I146" s="6"/>
      <c r="J146" s="6"/>
      <c r="K146" s="6"/>
      <c r="L146" s="6"/>
      <c r="M146" s="6"/>
      <c r="N146" s="6"/>
      <c r="O146" s="6"/>
      <c r="P146" s="6"/>
      <c r="Q146" s="6"/>
      <c r="R146" s="6"/>
      <c r="S146" s="6"/>
      <c r="T146" s="6"/>
      <c r="U146" s="6"/>
      <c r="V146" s="6"/>
      <c r="W146" s="6"/>
      <c r="X146" s="6"/>
      <c r="Y146" s="6"/>
      <c r="Z146" s="6"/>
    </row>
    <row r="147" spans="1:26" ht="31.5" customHeight="1">
      <c r="A147" s="1"/>
      <c r="B147" s="6"/>
      <c r="C147" s="10"/>
      <c r="D147" s="1"/>
      <c r="E147" s="11"/>
      <c r="F147" s="11"/>
      <c r="G147" s="6"/>
      <c r="H147" s="6"/>
      <c r="I147" s="6"/>
      <c r="J147" s="6"/>
      <c r="K147" s="6"/>
      <c r="L147" s="6"/>
      <c r="M147" s="6"/>
      <c r="N147" s="6"/>
      <c r="O147" s="6"/>
      <c r="P147" s="6"/>
      <c r="Q147" s="6"/>
      <c r="R147" s="6"/>
      <c r="S147" s="6"/>
      <c r="T147" s="6"/>
      <c r="U147" s="6"/>
      <c r="V147" s="6"/>
      <c r="W147" s="6"/>
      <c r="X147" s="6"/>
      <c r="Y147" s="6"/>
      <c r="Z147" s="6"/>
    </row>
    <row r="148" spans="1:26" ht="31.5" customHeight="1">
      <c r="A148" s="1"/>
      <c r="B148" s="6"/>
      <c r="C148" s="10"/>
      <c r="D148" s="1"/>
      <c r="E148" s="11"/>
      <c r="F148" s="11"/>
      <c r="G148" s="6"/>
      <c r="H148" s="6"/>
      <c r="I148" s="6"/>
      <c r="J148" s="6"/>
      <c r="K148" s="6"/>
      <c r="L148" s="6"/>
      <c r="M148" s="6"/>
      <c r="N148" s="6"/>
      <c r="O148" s="6"/>
      <c r="P148" s="6"/>
      <c r="Q148" s="6"/>
      <c r="R148" s="6"/>
      <c r="S148" s="6"/>
      <c r="T148" s="6"/>
      <c r="U148" s="6"/>
      <c r="V148" s="6"/>
      <c r="W148" s="6"/>
      <c r="X148" s="6"/>
      <c r="Y148" s="6"/>
      <c r="Z148" s="6"/>
    </row>
    <row r="149" spans="1:26" ht="31.5" customHeight="1">
      <c r="A149" s="1"/>
      <c r="B149" s="6"/>
      <c r="C149" s="10"/>
      <c r="D149" s="1"/>
      <c r="E149" s="11"/>
      <c r="F149" s="11"/>
      <c r="G149" s="6"/>
      <c r="H149" s="6"/>
      <c r="I149" s="6"/>
      <c r="J149" s="6"/>
      <c r="K149" s="6"/>
      <c r="L149" s="6"/>
      <c r="M149" s="6"/>
      <c r="N149" s="6"/>
      <c r="O149" s="6"/>
      <c r="P149" s="6"/>
      <c r="Q149" s="6"/>
      <c r="R149" s="6"/>
      <c r="S149" s="6"/>
      <c r="T149" s="6"/>
      <c r="U149" s="6"/>
      <c r="V149" s="6"/>
      <c r="W149" s="6"/>
      <c r="X149" s="6"/>
      <c r="Y149" s="6"/>
      <c r="Z149" s="6"/>
    </row>
    <row r="150" spans="1:26" ht="31.5" customHeight="1">
      <c r="A150" s="1"/>
      <c r="B150" s="6"/>
      <c r="C150" s="10"/>
      <c r="D150" s="1"/>
      <c r="E150" s="11"/>
      <c r="F150" s="11"/>
      <c r="G150" s="6"/>
      <c r="H150" s="6"/>
      <c r="I150" s="6"/>
      <c r="J150" s="6"/>
      <c r="K150" s="6"/>
      <c r="L150" s="6"/>
      <c r="M150" s="6"/>
      <c r="N150" s="6"/>
      <c r="O150" s="6"/>
      <c r="P150" s="6"/>
      <c r="Q150" s="6"/>
      <c r="R150" s="6"/>
      <c r="S150" s="6"/>
      <c r="T150" s="6"/>
      <c r="U150" s="6"/>
      <c r="V150" s="6"/>
      <c r="W150" s="6"/>
      <c r="X150" s="6"/>
      <c r="Y150" s="6"/>
      <c r="Z150" s="6"/>
    </row>
    <row r="151" spans="1:26" ht="31.5" customHeight="1">
      <c r="A151" s="1"/>
      <c r="B151" s="6"/>
      <c r="C151" s="10"/>
      <c r="D151" s="1"/>
      <c r="E151" s="11"/>
      <c r="F151" s="11"/>
      <c r="G151" s="6"/>
      <c r="H151" s="6"/>
      <c r="I151" s="6"/>
      <c r="J151" s="6"/>
      <c r="K151" s="6"/>
      <c r="L151" s="6"/>
      <c r="M151" s="6"/>
      <c r="N151" s="6"/>
      <c r="O151" s="6"/>
      <c r="P151" s="6"/>
      <c r="Q151" s="6"/>
      <c r="R151" s="6"/>
      <c r="S151" s="6"/>
      <c r="T151" s="6"/>
      <c r="U151" s="6"/>
      <c r="V151" s="6"/>
      <c r="W151" s="6"/>
      <c r="X151" s="6"/>
      <c r="Y151" s="6"/>
      <c r="Z151" s="6"/>
    </row>
    <row r="152" spans="1:26" ht="31.5" customHeight="1">
      <c r="A152" s="1"/>
      <c r="B152" s="6"/>
      <c r="C152" s="10"/>
      <c r="D152" s="1"/>
      <c r="E152" s="11"/>
      <c r="F152" s="11"/>
      <c r="G152" s="6"/>
      <c r="H152" s="6"/>
      <c r="I152" s="6"/>
      <c r="J152" s="6"/>
      <c r="K152" s="6"/>
      <c r="L152" s="6"/>
      <c r="M152" s="6"/>
      <c r="N152" s="6"/>
      <c r="O152" s="6"/>
      <c r="P152" s="6"/>
      <c r="Q152" s="6"/>
      <c r="R152" s="6"/>
      <c r="S152" s="6"/>
      <c r="T152" s="6"/>
      <c r="U152" s="6"/>
      <c r="V152" s="6"/>
      <c r="W152" s="6"/>
      <c r="X152" s="6"/>
      <c r="Y152" s="6"/>
      <c r="Z152" s="6"/>
    </row>
    <row r="153" spans="1:26" ht="31.5" customHeight="1">
      <c r="A153" s="1"/>
      <c r="B153" s="6"/>
      <c r="C153" s="10"/>
      <c r="D153" s="1"/>
      <c r="E153" s="11"/>
      <c r="F153" s="11"/>
      <c r="G153" s="6"/>
      <c r="H153" s="6"/>
      <c r="I153" s="6"/>
      <c r="J153" s="6"/>
      <c r="K153" s="6"/>
      <c r="L153" s="6"/>
      <c r="M153" s="6"/>
      <c r="N153" s="6"/>
      <c r="O153" s="6"/>
      <c r="P153" s="6"/>
      <c r="Q153" s="6"/>
      <c r="R153" s="6"/>
      <c r="S153" s="6"/>
      <c r="T153" s="6"/>
      <c r="U153" s="6"/>
      <c r="V153" s="6"/>
      <c r="W153" s="6"/>
      <c r="X153" s="6"/>
      <c r="Y153" s="6"/>
      <c r="Z153" s="6"/>
    </row>
    <row r="154" spans="1:26" ht="31.5" customHeight="1">
      <c r="A154" s="1"/>
      <c r="B154" s="6"/>
      <c r="C154" s="10"/>
      <c r="D154" s="1"/>
      <c r="E154" s="11"/>
      <c r="F154" s="11"/>
      <c r="G154" s="6"/>
      <c r="H154" s="6"/>
      <c r="I154" s="6"/>
      <c r="J154" s="6"/>
      <c r="K154" s="6"/>
      <c r="L154" s="6"/>
      <c r="M154" s="6"/>
      <c r="N154" s="6"/>
      <c r="O154" s="6"/>
      <c r="P154" s="6"/>
      <c r="Q154" s="6"/>
      <c r="R154" s="6"/>
      <c r="S154" s="6"/>
      <c r="T154" s="6"/>
      <c r="U154" s="6"/>
      <c r="V154" s="6"/>
      <c r="W154" s="6"/>
      <c r="X154" s="6"/>
      <c r="Y154" s="6"/>
      <c r="Z154" s="6"/>
    </row>
    <row r="155" spans="1:26" ht="31.5" customHeight="1">
      <c r="A155" s="1"/>
      <c r="B155" s="6"/>
      <c r="C155" s="10"/>
      <c r="D155" s="1"/>
      <c r="E155" s="11"/>
      <c r="F155" s="11"/>
      <c r="G155" s="6"/>
      <c r="H155" s="6"/>
      <c r="I155" s="6"/>
      <c r="J155" s="6"/>
      <c r="K155" s="6"/>
      <c r="L155" s="6"/>
      <c r="M155" s="6"/>
      <c r="N155" s="6"/>
      <c r="O155" s="6"/>
      <c r="P155" s="6"/>
      <c r="Q155" s="6"/>
      <c r="R155" s="6"/>
      <c r="S155" s="6"/>
      <c r="T155" s="6"/>
      <c r="U155" s="6"/>
      <c r="V155" s="6"/>
      <c r="W155" s="6"/>
      <c r="X155" s="6"/>
      <c r="Y155" s="6"/>
      <c r="Z155" s="6"/>
    </row>
    <row r="156" spans="1:26" ht="31.5" customHeight="1">
      <c r="A156" s="1"/>
      <c r="B156" s="6"/>
      <c r="C156" s="10"/>
      <c r="D156" s="1"/>
      <c r="E156" s="11"/>
      <c r="F156" s="11"/>
      <c r="G156" s="6"/>
      <c r="H156" s="6"/>
      <c r="I156" s="6"/>
      <c r="J156" s="6"/>
      <c r="K156" s="6"/>
      <c r="L156" s="6"/>
      <c r="M156" s="6"/>
      <c r="N156" s="6"/>
      <c r="O156" s="6"/>
      <c r="P156" s="6"/>
      <c r="Q156" s="6"/>
      <c r="R156" s="6"/>
      <c r="S156" s="6"/>
      <c r="T156" s="6"/>
      <c r="U156" s="6"/>
      <c r="V156" s="6"/>
      <c r="W156" s="6"/>
      <c r="X156" s="6"/>
      <c r="Y156" s="6"/>
      <c r="Z156" s="6"/>
    </row>
    <row r="157" spans="1:26" ht="31.5" customHeight="1">
      <c r="A157" s="1"/>
      <c r="B157" s="6"/>
      <c r="C157" s="10"/>
      <c r="D157" s="1"/>
      <c r="E157" s="11"/>
      <c r="F157" s="11"/>
      <c r="G157" s="6"/>
      <c r="H157" s="6"/>
      <c r="I157" s="6"/>
      <c r="J157" s="6"/>
      <c r="K157" s="6"/>
      <c r="L157" s="6"/>
      <c r="M157" s="6"/>
      <c r="N157" s="6"/>
      <c r="O157" s="6"/>
      <c r="P157" s="6"/>
      <c r="Q157" s="6"/>
      <c r="R157" s="6"/>
      <c r="S157" s="6"/>
      <c r="T157" s="6"/>
      <c r="U157" s="6"/>
      <c r="V157" s="6"/>
      <c r="W157" s="6"/>
      <c r="X157" s="6"/>
      <c r="Y157" s="6"/>
      <c r="Z157" s="6"/>
    </row>
    <row r="158" spans="1:26" ht="31.5" customHeight="1">
      <c r="A158" s="1"/>
      <c r="B158" s="6"/>
      <c r="C158" s="10"/>
      <c r="D158" s="1"/>
      <c r="E158" s="11"/>
      <c r="F158" s="11"/>
      <c r="G158" s="6"/>
      <c r="H158" s="6"/>
      <c r="I158" s="6"/>
      <c r="J158" s="6"/>
      <c r="K158" s="6"/>
      <c r="L158" s="6"/>
      <c r="M158" s="6"/>
      <c r="N158" s="6"/>
      <c r="O158" s="6"/>
      <c r="P158" s="6"/>
      <c r="Q158" s="6"/>
      <c r="R158" s="6"/>
      <c r="S158" s="6"/>
      <c r="T158" s="6"/>
      <c r="U158" s="6"/>
      <c r="V158" s="6"/>
      <c r="W158" s="6"/>
      <c r="X158" s="6"/>
      <c r="Y158" s="6"/>
      <c r="Z158" s="6"/>
    </row>
    <row r="159" spans="1:26" ht="31.5" customHeight="1">
      <c r="A159" s="1"/>
      <c r="B159" s="6"/>
      <c r="C159" s="10"/>
      <c r="D159" s="1"/>
      <c r="E159" s="11"/>
      <c r="F159" s="11"/>
      <c r="G159" s="6"/>
      <c r="H159" s="6"/>
      <c r="I159" s="6"/>
      <c r="J159" s="6"/>
      <c r="K159" s="6"/>
      <c r="L159" s="6"/>
      <c r="M159" s="6"/>
      <c r="N159" s="6"/>
      <c r="O159" s="6"/>
      <c r="P159" s="6"/>
      <c r="Q159" s="6"/>
      <c r="R159" s="6"/>
      <c r="S159" s="6"/>
      <c r="T159" s="6"/>
      <c r="U159" s="6"/>
      <c r="V159" s="6"/>
      <c r="W159" s="6"/>
      <c r="X159" s="6"/>
      <c r="Y159" s="6"/>
      <c r="Z159" s="6"/>
    </row>
    <row r="160" spans="1:26" ht="31.5" customHeight="1">
      <c r="A160" s="1"/>
      <c r="B160" s="6"/>
      <c r="C160" s="10"/>
      <c r="D160" s="1"/>
      <c r="E160" s="11"/>
      <c r="F160" s="11"/>
      <c r="G160" s="6"/>
      <c r="H160" s="6"/>
      <c r="I160" s="6"/>
      <c r="J160" s="6"/>
      <c r="K160" s="6"/>
      <c r="L160" s="6"/>
      <c r="M160" s="6"/>
      <c r="N160" s="6"/>
      <c r="O160" s="6"/>
      <c r="P160" s="6"/>
      <c r="Q160" s="6"/>
      <c r="R160" s="6"/>
      <c r="S160" s="6"/>
      <c r="T160" s="6"/>
      <c r="U160" s="6"/>
      <c r="V160" s="6"/>
      <c r="W160" s="6"/>
      <c r="X160" s="6"/>
      <c r="Y160" s="6"/>
      <c r="Z160" s="6"/>
    </row>
    <row r="161" spans="1:26" ht="31.5" customHeight="1">
      <c r="A161" s="1"/>
      <c r="B161" s="6"/>
      <c r="C161" s="10"/>
      <c r="D161" s="1"/>
      <c r="E161" s="11"/>
      <c r="F161" s="11"/>
      <c r="G161" s="6"/>
      <c r="H161" s="6"/>
      <c r="I161" s="6"/>
      <c r="J161" s="6"/>
      <c r="K161" s="6"/>
      <c r="L161" s="6"/>
      <c r="M161" s="6"/>
      <c r="N161" s="6"/>
      <c r="O161" s="6"/>
      <c r="P161" s="6"/>
      <c r="Q161" s="6"/>
      <c r="R161" s="6"/>
      <c r="S161" s="6"/>
      <c r="T161" s="6"/>
      <c r="U161" s="6"/>
      <c r="V161" s="6"/>
      <c r="W161" s="6"/>
      <c r="X161" s="6"/>
      <c r="Y161" s="6"/>
      <c r="Z161" s="6"/>
    </row>
    <row r="162" spans="1:26" ht="31.5" customHeight="1">
      <c r="A162" s="1"/>
      <c r="B162" s="6"/>
      <c r="C162" s="10"/>
      <c r="D162" s="1"/>
      <c r="E162" s="11"/>
      <c r="F162" s="11"/>
      <c r="G162" s="6"/>
      <c r="H162" s="6"/>
      <c r="I162" s="6"/>
      <c r="J162" s="6"/>
      <c r="K162" s="6"/>
      <c r="L162" s="6"/>
      <c r="M162" s="6"/>
      <c r="N162" s="6"/>
      <c r="O162" s="6"/>
      <c r="P162" s="6"/>
      <c r="Q162" s="6"/>
      <c r="R162" s="6"/>
      <c r="S162" s="6"/>
      <c r="T162" s="6"/>
      <c r="U162" s="6"/>
      <c r="V162" s="6"/>
      <c r="W162" s="6"/>
      <c r="X162" s="6"/>
      <c r="Y162" s="6"/>
      <c r="Z162" s="6"/>
    </row>
    <row r="163" spans="1:26" ht="31.5" customHeight="1">
      <c r="A163" s="1"/>
      <c r="B163" s="6"/>
      <c r="C163" s="10"/>
      <c r="D163" s="1"/>
      <c r="E163" s="11"/>
      <c r="F163" s="11"/>
      <c r="G163" s="6"/>
      <c r="H163" s="6"/>
      <c r="I163" s="6"/>
      <c r="J163" s="6"/>
      <c r="K163" s="6"/>
      <c r="L163" s="6"/>
      <c r="M163" s="6"/>
      <c r="N163" s="6"/>
      <c r="O163" s="6"/>
      <c r="P163" s="6"/>
      <c r="Q163" s="6"/>
      <c r="R163" s="6"/>
      <c r="S163" s="6"/>
      <c r="T163" s="6"/>
      <c r="U163" s="6"/>
      <c r="V163" s="6"/>
      <c r="W163" s="6"/>
      <c r="X163" s="6"/>
      <c r="Y163" s="6"/>
      <c r="Z163" s="6"/>
    </row>
    <row r="164" spans="1:26" ht="31.5" customHeight="1">
      <c r="A164" s="1"/>
      <c r="B164" s="6"/>
      <c r="C164" s="10"/>
      <c r="D164" s="1"/>
      <c r="E164" s="11"/>
      <c r="F164" s="11"/>
      <c r="G164" s="6"/>
      <c r="H164" s="6"/>
      <c r="I164" s="6"/>
      <c r="J164" s="6"/>
      <c r="K164" s="6"/>
      <c r="L164" s="6"/>
      <c r="M164" s="6"/>
      <c r="N164" s="6"/>
      <c r="O164" s="6"/>
      <c r="P164" s="6"/>
      <c r="Q164" s="6"/>
      <c r="R164" s="6"/>
      <c r="S164" s="6"/>
      <c r="T164" s="6"/>
      <c r="U164" s="6"/>
      <c r="V164" s="6"/>
      <c r="W164" s="6"/>
      <c r="X164" s="6"/>
      <c r="Y164" s="6"/>
      <c r="Z164" s="6"/>
    </row>
    <row r="165" spans="1:26" ht="31.5" customHeight="1">
      <c r="A165" s="1"/>
      <c r="B165" s="6"/>
      <c r="C165" s="10"/>
      <c r="D165" s="1"/>
      <c r="E165" s="11"/>
      <c r="F165" s="11"/>
      <c r="G165" s="6"/>
      <c r="H165" s="6"/>
      <c r="I165" s="6"/>
      <c r="J165" s="6"/>
      <c r="K165" s="6"/>
      <c r="L165" s="6"/>
      <c r="M165" s="6"/>
      <c r="N165" s="6"/>
      <c r="O165" s="6"/>
      <c r="P165" s="6"/>
      <c r="Q165" s="6"/>
      <c r="R165" s="6"/>
      <c r="S165" s="6"/>
      <c r="T165" s="6"/>
      <c r="U165" s="6"/>
      <c r="V165" s="6"/>
      <c r="W165" s="6"/>
      <c r="X165" s="6"/>
      <c r="Y165" s="6"/>
      <c r="Z165" s="6"/>
    </row>
    <row r="166" spans="1:26" ht="31.5" customHeight="1">
      <c r="A166" s="1"/>
      <c r="B166" s="6"/>
      <c r="C166" s="10"/>
      <c r="D166" s="1"/>
      <c r="E166" s="11"/>
      <c r="F166" s="11"/>
      <c r="G166" s="6"/>
      <c r="H166" s="6"/>
      <c r="I166" s="6"/>
      <c r="J166" s="6"/>
      <c r="K166" s="6"/>
      <c r="L166" s="6"/>
      <c r="M166" s="6"/>
      <c r="N166" s="6"/>
      <c r="O166" s="6"/>
      <c r="P166" s="6"/>
      <c r="Q166" s="6"/>
      <c r="R166" s="6"/>
      <c r="S166" s="6"/>
      <c r="T166" s="6"/>
      <c r="U166" s="6"/>
      <c r="V166" s="6"/>
      <c r="W166" s="6"/>
      <c r="X166" s="6"/>
      <c r="Y166" s="6"/>
      <c r="Z166" s="6"/>
    </row>
    <row r="167" spans="1:26" ht="31.5" customHeight="1">
      <c r="A167" s="1"/>
      <c r="B167" s="6"/>
      <c r="C167" s="10"/>
      <c r="D167" s="1"/>
      <c r="E167" s="11"/>
      <c r="F167" s="11"/>
      <c r="G167" s="6"/>
      <c r="H167" s="6"/>
      <c r="I167" s="6"/>
      <c r="J167" s="6"/>
      <c r="K167" s="6"/>
      <c r="L167" s="6"/>
      <c r="M167" s="6"/>
      <c r="N167" s="6"/>
      <c r="O167" s="6"/>
      <c r="P167" s="6"/>
      <c r="Q167" s="6"/>
      <c r="R167" s="6"/>
      <c r="S167" s="6"/>
      <c r="T167" s="6"/>
      <c r="U167" s="6"/>
      <c r="V167" s="6"/>
      <c r="W167" s="6"/>
      <c r="X167" s="6"/>
      <c r="Y167" s="6"/>
      <c r="Z167" s="6"/>
    </row>
    <row r="168" spans="1:26" ht="31.5" customHeight="1">
      <c r="A168" s="1"/>
      <c r="B168" s="6"/>
      <c r="C168" s="10"/>
      <c r="D168" s="1"/>
      <c r="E168" s="11"/>
      <c r="F168" s="11"/>
      <c r="G168" s="6"/>
      <c r="H168" s="6"/>
      <c r="I168" s="6"/>
      <c r="J168" s="6"/>
      <c r="K168" s="6"/>
      <c r="L168" s="6"/>
      <c r="M168" s="6"/>
      <c r="N168" s="6"/>
      <c r="O168" s="6"/>
      <c r="P168" s="6"/>
      <c r="Q168" s="6"/>
      <c r="R168" s="6"/>
      <c r="S168" s="6"/>
      <c r="T168" s="6"/>
      <c r="U168" s="6"/>
      <c r="V168" s="6"/>
      <c r="W168" s="6"/>
      <c r="X168" s="6"/>
      <c r="Y168" s="6"/>
      <c r="Z168" s="6"/>
    </row>
    <row r="169" spans="1:26" ht="31.5" customHeight="1">
      <c r="A169" s="1"/>
      <c r="B169" s="6"/>
      <c r="C169" s="10"/>
      <c r="D169" s="1"/>
      <c r="E169" s="11"/>
      <c r="F169" s="11"/>
      <c r="G169" s="6"/>
      <c r="H169" s="6"/>
      <c r="I169" s="6"/>
      <c r="J169" s="6"/>
      <c r="K169" s="6"/>
      <c r="L169" s="6"/>
      <c r="M169" s="6"/>
      <c r="N169" s="6"/>
      <c r="O169" s="6"/>
      <c r="P169" s="6"/>
      <c r="Q169" s="6"/>
      <c r="R169" s="6"/>
      <c r="S169" s="6"/>
      <c r="T169" s="6"/>
      <c r="U169" s="6"/>
      <c r="V169" s="6"/>
      <c r="W169" s="6"/>
      <c r="X169" s="6"/>
      <c r="Y169" s="6"/>
      <c r="Z169" s="6"/>
    </row>
    <row r="170" spans="1:26" ht="31.5" customHeight="1">
      <c r="A170" s="1"/>
      <c r="B170" s="6"/>
      <c r="C170" s="10"/>
      <c r="D170" s="1"/>
      <c r="E170" s="11"/>
      <c r="F170" s="11"/>
      <c r="G170" s="6"/>
      <c r="H170" s="6"/>
      <c r="I170" s="6"/>
      <c r="J170" s="6"/>
      <c r="K170" s="6"/>
      <c r="L170" s="6"/>
      <c r="M170" s="6"/>
      <c r="N170" s="6"/>
      <c r="O170" s="6"/>
      <c r="P170" s="6"/>
      <c r="Q170" s="6"/>
      <c r="R170" s="6"/>
      <c r="S170" s="6"/>
      <c r="T170" s="6"/>
      <c r="U170" s="6"/>
      <c r="V170" s="6"/>
      <c r="W170" s="6"/>
      <c r="X170" s="6"/>
      <c r="Y170" s="6"/>
      <c r="Z170" s="6"/>
    </row>
    <row r="171" spans="1:26" ht="31.5" customHeight="1">
      <c r="A171" s="1"/>
      <c r="B171" s="6"/>
      <c r="C171" s="10"/>
      <c r="D171" s="1"/>
      <c r="E171" s="11"/>
      <c r="F171" s="11"/>
      <c r="G171" s="6"/>
      <c r="H171" s="6"/>
      <c r="I171" s="6"/>
      <c r="J171" s="6"/>
      <c r="K171" s="6"/>
      <c r="L171" s="6"/>
      <c r="M171" s="6"/>
      <c r="N171" s="6"/>
      <c r="O171" s="6"/>
      <c r="P171" s="6"/>
      <c r="Q171" s="6"/>
      <c r="R171" s="6"/>
      <c r="S171" s="6"/>
      <c r="T171" s="6"/>
      <c r="U171" s="6"/>
      <c r="V171" s="6"/>
      <c r="W171" s="6"/>
      <c r="X171" s="6"/>
      <c r="Y171" s="6"/>
      <c r="Z171" s="6"/>
    </row>
    <row r="172" spans="1:26" ht="31.5" customHeight="1">
      <c r="A172" s="1"/>
      <c r="B172" s="6"/>
      <c r="C172" s="10"/>
      <c r="D172" s="1"/>
      <c r="E172" s="11"/>
      <c r="F172" s="11"/>
      <c r="G172" s="6"/>
      <c r="H172" s="6"/>
      <c r="I172" s="6"/>
      <c r="J172" s="6"/>
      <c r="K172" s="6"/>
      <c r="L172" s="6"/>
      <c r="M172" s="6"/>
      <c r="N172" s="6"/>
      <c r="O172" s="6"/>
      <c r="P172" s="6"/>
      <c r="Q172" s="6"/>
      <c r="R172" s="6"/>
      <c r="S172" s="6"/>
      <c r="T172" s="6"/>
      <c r="U172" s="6"/>
      <c r="V172" s="6"/>
      <c r="W172" s="6"/>
      <c r="X172" s="6"/>
      <c r="Y172" s="6"/>
      <c r="Z172" s="6"/>
    </row>
    <row r="173" spans="1:26" ht="31.5" customHeight="1">
      <c r="A173" s="1"/>
      <c r="B173" s="6"/>
      <c r="C173" s="10"/>
      <c r="D173" s="1"/>
      <c r="E173" s="11"/>
      <c r="F173" s="11"/>
      <c r="G173" s="6"/>
      <c r="H173" s="6"/>
      <c r="I173" s="6"/>
      <c r="J173" s="6"/>
      <c r="K173" s="6"/>
      <c r="L173" s="6"/>
      <c r="M173" s="6"/>
      <c r="N173" s="6"/>
      <c r="O173" s="6"/>
      <c r="P173" s="6"/>
      <c r="Q173" s="6"/>
      <c r="R173" s="6"/>
      <c r="S173" s="6"/>
      <c r="T173" s="6"/>
      <c r="U173" s="6"/>
      <c r="V173" s="6"/>
      <c r="W173" s="6"/>
      <c r="X173" s="6"/>
      <c r="Y173" s="6"/>
      <c r="Z173" s="6"/>
    </row>
    <row r="174" spans="1:26" ht="31.5" customHeight="1">
      <c r="A174" s="1"/>
      <c r="B174" s="6"/>
      <c r="C174" s="10"/>
      <c r="D174" s="1"/>
      <c r="E174" s="11"/>
      <c r="F174" s="11"/>
      <c r="G174" s="6"/>
      <c r="H174" s="6"/>
      <c r="I174" s="6"/>
      <c r="J174" s="6"/>
      <c r="K174" s="6"/>
      <c r="L174" s="6"/>
      <c r="M174" s="6"/>
      <c r="N174" s="6"/>
      <c r="O174" s="6"/>
      <c r="P174" s="6"/>
      <c r="Q174" s="6"/>
      <c r="R174" s="6"/>
      <c r="S174" s="6"/>
      <c r="T174" s="6"/>
      <c r="U174" s="6"/>
      <c r="V174" s="6"/>
      <c r="W174" s="6"/>
      <c r="X174" s="6"/>
      <c r="Y174" s="6"/>
      <c r="Z174" s="6"/>
    </row>
    <row r="175" spans="1:26" ht="31.5" customHeight="1">
      <c r="A175" s="1"/>
      <c r="B175" s="6"/>
      <c r="C175" s="10"/>
      <c r="D175" s="1"/>
      <c r="E175" s="11"/>
      <c r="F175" s="11"/>
      <c r="G175" s="6"/>
      <c r="H175" s="6"/>
      <c r="I175" s="6"/>
      <c r="J175" s="6"/>
      <c r="K175" s="6"/>
      <c r="L175" s="6"/>
      <c r="M175" s="6"/>
      <c r="N175" s="6"/>
      <c r="O175" s="6"/>
      <c r="P175" s="6"/>
      <c r="Q175" s="6"/>
      <c r="R175" s="6"/>
      <c r="S175" s="6"/>
      <c r="T175" s="6"/>
      <c r="U175" s="6"/>
      <c r="V175" s="6"/>
      <c r="W175" s="6"/>
      <c r="X175" s="6"/>
      <c r="Y175" s="6"/>
      <c r="Z175" s="6"/>
    </row>
    <row r="176" spans="1:26" ht="31.5" customHeight="1">
      <c r="A176" s="1"/>
      <c r="B176" s="6"/>
      <c r="C176" s="10"/>
      <c r="D176" s="1"/>
      <c r="E176" s="11"/>
      <c r="F176" s="11"/>
      <c r="G176" s="6"/>
      <c r="H176" s="6"/>
      <c r="I176" s="6"/>
      <c r="J176" s="6"/>
      <c r="K176" s="6"/>
      <c r="L176" s="6"/>
      <c r="M176" s="6"/>
      <c r="N176" s="6"/>
      <c r="O176" s="6"/>
      <c r="P176" s="6"/>
      <c r="Q176" s="6"/>
      <c r="R176" s="6"/>
      <c r="S176" s="6"/>
      <c r="T176" s="6"/>
      <c r="U176" s="6"/>
      <c r="V176" s="6"/>
      <c r="W176" s="6"/>
      <c r="X176" s="6"/>
      <c r="Y176" s="6"/>
      <c r="Z176" s="6"/>
    </row>
    <row r="177" spans="1:26" ht="31.5" customHeight="1">
      <c r="A177" s="1"/>
      <c r="B177" s="6"/>
      <c r="C177" s="10"/>
      <c r="D177" s="1"/>
      <c r="E177" s="11"/>
      <c r="F177" s="11"/>
      <c r="G177" s="6"/>
      <c r="H177" s="6"/>
      <c r="I177" s="6"/>
      <c r="J177" s="6"/>
      <c r="K177" s="6"/>
      <c r="L177" s="6"/>
      <c r="M177" s="6"/>
      <c r="N177" s="6"/>
      <c r="O177" s="6"/>
      <c r="P177" s="6"/>
      <c r="Q177" s="6"/>
      <c r="R177" s="6"/>
      <c r="S177" s="6"/>
      <c r="T177" s="6"/>
      <c r="U177" s="6"/>
      <c r="V177" s="6"/>
      <c r="W177" s="6"/>
      <c r="X177" s="6"/>
      <c r="Y177" s="6"/>
      <c r="Z177" s="6"/>
    </row>
    <row r="178" spans="1:26" ht="31.5" customHeight="1">
      <c r="A178" s="1"/>
      <c r="B178" s="6"/>
      <c r="C178" s="10"/>
      <c r="D178" s="1"/>
      <c r="E178" s="11"/>
      <c r="F178" s="11"/>
      <c r="G178" s="6"/>
      <c r="H178" s="6"/>
      <c r="I178" s="6"/>
      <c r="J178" s="6"/>
      <c r="K178" s="6"/>
      <c r="L178" s="6"/>
      <c r="M178" s="6"/>
      <c r="N178" s="6"/>
      <c r="O178" s="6"/>
      <c r="P178" s="6"/>
      <c r="Q178" s="6"/>
      <c r="R178" s="6"/>
      <c r="S178" s="6"/>
      <c r="T178" s="6"/>
      <c r="U178" s="6"/>
      <c r="V178" s="6"/>
      <c r="W178" s="6"/>
      <c r="X178" s="6"/>
      <c r="Y178" s="6"/>
      <c r="Z178" s="6"/>
    </row>
    <row r="179" spans="1:26" ht="31.5" customHeight="1">
      <c r="A179" s="1"/>
      <c r="B179" s="6"/>
      <c r="C179" s="10"/>
      <c r="D179" s="1"/>
      <c r="E179" s="11"/>
      <c r="F179" s="11"/>
      <c r="G179" s="6"/>
      <c r="H179" s="6"/>
      <c r="I179" s="6"/>
      <c r="J179" s="6"/>
      <c r="K179" s="6"/>
      <c r="L179" s="6"/>
      <c r="M179" s="6"/>
      <c r="N179" s="6"/>
      <c r="O179" s="6"/>
      <c r="P179" s="6"/>
      <c r="Q179" s="6"/>
      <c r="R179" s="6"/>
      <c r="S179" s="6"/>
      <c r="T179" s="6"/>
      <c r="U179" s="6"/>
      <c r="V179" s="6"/>
      <c r="W179" s="6"/>
      <c r="X179" s="6"/>
      <c r="Y179" s="6"/>
      <c r="Z179" s="6"/>
    </row>
    <row r="180" spans="1:26" ht="31.5" customHeight="1">
      <c r="A180" s="1"/>
      <c r="B180" s="6"/>
      <c r="C180" s="10"/>
      <c r="D180" s="1"/>
      <c r="E180" s="11"/>
      <c r="F180" s="11"/>
      <c r="G180" s="6"/>
      <c r="H180" s="6"/>
      <c r="I180" s="6"/>
      <c r="J180" s="6"/>
      <c r="K180" s="6"/>
      <c r="L180" s="6"/>
      <c r="M180" s="6"/>
      <c r="N180" s="6"/>
      <c r="O180" s="6"/>
      <c r="P180" s="6"/>
      <c r="Q180" s="6"/>
      <c r="R180" s="6"/>
      <c r="S180" s="6"/>
      <c r="T180" s="6"/>
      <c r="U180" s="6"/>
      <c r="V180" s="6"/>
      <c r="W180" s="6"/>
      <c r="X180" s="6"/>
      <c r="Y180" s="6"/>
      <c r="Z180" s="6"/>
    </row>
    <row r="181" spans="1:26" ht="31.5" customHeight="1">
      <c r="A181" s="1"/>
      <c r="B181" s="6"/>
      <c r="C181" s="10"/>
      <c r="D181" s="1"/>
      <c r="E181" s="11"/>
      <c r="F181" s="11"/>
      <c r="G181" s="6"/>
      <c r="H181" s="6"/>
      <c r="I181" s="6"/>
      <c r="J181" s="6"/>
      <c r="K181" s="6"/>
      <c r="L181" s="6"/>
      <c r="M181" s="6"/>
      <c r="N181" s="6"/>
      <c r="O181" s="6"/>
      <c r="P181" s="6"/>
      <c r="Q181" s="6"/>
      <c r="R181" s="6"/>
      <c r="S181" s="6"/>
      <c r="T181" s="6"/>
      <c r="U181" s="6"/>
      <c r="V181" s="6"/>
      <c r="W181" s="6"/>
      <c r="X181" s="6"/>
      <c r="Y181" s="6"/>
      <c r="Z181" s="6"/>
    </row>
    <row r="182" spans="1:26" ht="31.5" customHeight="1">
      <c r="A182" s="1"/>
      <c r="B182" s="6"/>
      <c r="C182" s="10"/>
      <c r="D182" s="1"/>
      <c r="E182" s="11"/>
      <c r="F182" s="11"/>
      <c r="G182" s="6"/>
      <c r="H182" s="6"/>
      <c r="I182" s="6"/>
      <c r="J182" s="6"/>
      <c r="K182" s="6"/>
      <c r="L182" s="6"/>
      <c r="M182" s="6"/>
      <c r="N182" s="6"/>
      <c r="O182" s="6"/>
      <c r="P182" s="6"/>
      <c r="Q182" s="6"/>
      <c r="R182" s="6"/>
      <c r="S182" s="6"/>
      <c r="T182" s="6"/>
      <c r="U182" s="6"/>
      <c r="V182" s="6"/>
      <c r="W182" s="6"/>
      <c r="X182" s="6"/>
      <c r="Y182" s="6"/>
      <c r="Z182" s="6"/>
    </row>
    <row r="183" spans="1:26" ht="31.5" customHeight="1">
      <c r="A183" s="1"/>
      <c r="B183" s="6"/>
      <c r="C183" s="10"/>
      <c r="D183" s="1"/>
      <c r="E183" s="11"/>
      <c r="F183" s="11"/>
      <c r="G183" s="6"/>
      <c r="H183" s="6"/>
      <c r="I183" s="6"/>
      <c r="J183" s="6"/>
      <c r="K183" s="6"/>
      <c r="L183" s="6"/>
      <c r="M183" s="6"/>
      <c r="N183" s="6"/>
      <c r="O183" s="6"/>
      <c r="P183" s="6"/>
      <c r="Q183" s="6"/>
      <c r="R183" s="6"/>
      <c r="S183" s="6"/>
      <c r="T183" s="6"/>
      <c r="U183" s="6"/>
      <c r="V183" s="6"/>
      <c r="W183" s="6"/>
      <c r="X183" s="6"/>
      <c r="Y183" s="6"/>
      <c r="Z183" s="6"/>
    </row>
    <row r="184" spans="1:26" ht="31.5" customHeight="1">
      <c r="A184" s="1"/>
      <c r="B184" s="6"/>
      <c r="C184" s="10"/>
      <c r="D184" s="1"/>
      <c r="E184" s="11"/>
      <c r="F184" s="11"/>
      <c r="G184" s="6"/>
      <c r="H184" s="6"/>
      <c r="I184" s="6"/>
      <c r="J184" s="6"/>
      <c r="K184" s="6"/>
      <c r="L184" s="6"/>
      <c r="M184" s="6"/>
      <c r="N184" s="6"/>
      <c r="O184" s="6"/>
      <c r="P184" s="6"/>
      <c r="Q184" s="6"/>
      <c r="R184" s="6"/>
      <c r="S184" s="6"/>
      <c r="T184" s="6"/>
      <c r="U184" s="6"/>
      <c r="V184" s="6"/>
      <c r="W184" s="6"/>
      <c r="X184" s="6"/>
      <c r="Y184" s="6"/>
      <c r="Z184" s="6"/>
    </row>
    <row r="185" spans="1:26" ht="31.5" customHeight="1">
      <c r="A185" s="1"/>
      <c r="B185" s="6"/>
      <c r="C185" s="10"/>
      <c r="D185" s="1"/>
      <c r="E185" s="11"/>
      <c r="F185" s="11"/>
      <c r="G185" s="6"/>
      <c r="H185" s="6"/>
      <c r="I185" s="6"/>
      <c r="J185" s="6"/>
      <c r="K185" s="6"/>
      <c r="L185" s="6"/>
      <c r="M185" s="6"/>
      <c r="N185" s="6"/>
      <c r="O185" s="6"/>
      <c r="P185" s="6"/>
      <c r="Q185" s="6"/>
      <c r="R185" s="6"/>
      <c r="S185" s="6"/>
      <c r="T185" s="6"/>
      <c r="U185" s="6"/>
      <c r="V185" s="6"/>
      <c r="W185" s="6"/>
      <c r="X185" s="6"/>
      <c r="Y185" s="6"/>
      <c r="Z185" s="6"/>
    </row>
    <row r="186" spans="1:26" ht="31.5" customHeight="1">
      <c r="A186" s="1"/>
      <c r="B186" s="6"/>
      <c r="C186" s="10"/>
      <c r="D186" s="1"/>
      <c r="E186" s="11"/>
      <c r="F186" s="11"/>
      <c r="G186" s="6"/>
      <c r="H186" s="6"/>
      <c r="I186" s="6"/>
      <c r="J186" s="6"/>
      <c r="K186" s="6"/>
      <c r="L186" s="6"/>
      <c r="M186" s="6"/>
      <c r="N186" s="6"/>
      <c r="O186" s="6"/>
      <c r="P186" s="6"/>
      <c r="Q186" s="6"/>
      <c r="R186" s="6"/>
      <c r="S186" s="6"/>
      <c r="T186" s="6"/>
      <c r="U186" s="6"/>
      <c r="V186" s="6"/>
      <c r="W186" s="6"/>
      <c r="X186" s="6"/>
      <c r="Y186" s="6"/>
      <c r="Z186" s="6"/>
    </row>
    <row r="187" spans="1:26" ht="31.5" customHeight="1">
      <c r="A187" s="1"/>
      <c r="B187" s="6"/>
      <c r="C187" s="10"/>
      <c r="D187" s="1"/>
      <c r="E187" s="11"/>
      <c r="F187" s="11"/>
      <c r="G187" s="6"/>
      <c r="H187" s="6"/>
      <c r="I187" s="6"/>
      <c r="J187" s="6"/>
      <c r="K187" s="6"/>
      <c r="L187" s="6"/>
      <c r="M187" s="6"/>
      <c r="N187" s="6"/>
      <c r="O187" s="6"/>
      <c r="P187" s="6"/>
      <c r="Q187" s="6"/>
      <c r="R187" s="6"/>
      <c r="S187" s="6"/>
      <c r="T187" s="6"/>
      <c r="U187" s="6"/>
      <c r="V187" s="6"/>
      <c r="W187" s="6"/>
      <c r="X187" s="6"/>
      <c r="Y187" s="6"/>
      <c r="Z187" s="6"/>
    </row>
    <row r="188" spans="1:26" ht="31.5" customHeight="1">
      <c r="A188" s="1"/>
      <c r="B188" s="6"/>
      <c r="C188" s="10"/>
      <c r="D188" s="1"/>
      <c r="E188" s="11"/>
      <c r="F188" s="11"/>
      <c r="G188" s="6"/>
      <c r="H188" s="6"/>
      <c r="I188" s="6"/>
      <c r="J188" s="6"/>
      <c r="K188" s="6"/>
      <c r="L188" s="6"/>
      <c r="M188" s="6"/>
      <c r="N188" s="6"/>
      <c r="O188" s="6"/>
      <c r="P188" s="6"/>
      <c r="Q188" s="6"/>
      <c r="R188" s="6"/>
      <c r="S188" s="6"/>
      <c r="T188" s="6"/>
      <c r="U188" s="6"/>
      <c r="V188" s="6"/>
      <c r="W188" s="6"/>
      <c r="X188" s="6"/>
      <c r="Y188" s="6"/>
      <c r="Z188" s="6"/>
    </row>
    <row r="189" spans="1:26" ht="31.5" customHeight="1">
      <c r="A189" s="1"/>
      <c r="B189" s="6"/>
      <c r="C189" s="10"/>
      <c r="D189" s="1"/>
      <c r="E189" s="11"/>
      <c r="F189" s="11"/>
      <c r="G189" s="6"/>
      <c r="H189" s="6"/>
      <c r="I189" s="6"/>
      <c r="J189" s="6"/>
      <c r="K189" s="6"/>
      <c r="L189" s="6"/>
      <c r="M189" s="6"/>
      <c r="N189" s="6"/>
      <c r="O189" s="6"/>
      <c r="P189" s="6"/>
      <c r="Q189" s="6"/>
      <c r="R189" s="6"/>
      <c r="S189" s="6"/>
      <c r="T189" s="6"/>
      <c r="U189" s="6"/>
      <c r="V189" s="6"/>
      <c r="W189" s="6"/>
      <c r="X189" s="6"/>
      <c r="Y189" s="6"/>
      <c r="Z189" s="6"/>
    </row>
    <row r="190" spans="1:26" ht="31.5" customHeight="1">
      <c r="A190" s="1"/>
      <c r="B190" s="6"/>
      <c r="C190" s="10"/>
      <c r="D190" s="1"/>
      <c r="E190" s="11"/>
      <c r="F190" s="11"/>
      <c r="G190" s="6"/>
      <c r="H190" s="6"/>
      <c r="I190" s="6"/>
      <c r="J190" s="6"/>
      <c r="K190" s="6"/>
      <c r="L190" s="6"/>
      <c r="M190" s="6"/>
      <c r="N190" s="6"/>
      <c r="O190" s="6"/>
      <c r="P190" s="6"/>
      <c r="Q190" s="6"/>
      <c r="R190" s="6"/>
      <c r="S190" s="6"/>
      <c r="T190" s="6"/>
      <c r="U190" s="6"/>
      <c r="V190" s="6"/>
      <c r="W190" s="6"/>
      <c r="X190" s="6"/>
      <c r="Y190" s="6"/>
      <c r="Z190" s="6"/>
    </row>
    <row r="191" spans="1:26" ht="31.5" customHeight="1">
      <c r="A191" s="1"/>
      <c r="B191" s="6"/>
      <c r="C191" s="10"/>
      <c r="D191" s="1"/>
      <c r="E191" s="11"/>
      <c r="F191" s="11"/>
      <c r="G191" s="6"/>
      <c r="H191" s="6"/>
      <c r="I191" s="6"/>
      <c r="J191" s="6"/>
      <c r="K191" s="6"/>
      <c r="L191" s="6"/>
      <c r="M191" s="6"/>
      <c r="N191" s="6"/>
      <c r="O191" s="6"/>
      <c r="P191" s="6"/>
      <c r="Q191" s="6"/>
      <c r="R191" s="6"/>
      <c r="S191" s="6"/>
      <c r="T191" s="6"/>
      <c r="U191" s="6"/>
      <c r="V191" s="6"/>
      <c r="W191" s="6"/>
      <c r="X191" s="6"/>
      <c r="Y191" s="6"/>
      <c r="Z191" s="6"/>
    </row>
    <row r="192" spans="1:26" ht="31.5" customHeight="1">
      <c r="A192" s="1"/>
      <c r="B192" s="6"/>
      <c r="C192" s="10"/>
      <c r="D192" s="1"/>
      <c r="E192" s="11"/>
      <c r="F192" s="11"/>
      <c r="G192" s="6"/>
      <c r="H192" s="6"/>
      <c r="I192" s="6"/>
      <c r="J192" s="6"/>
      <c r="K192" s="6"/>
      <c r="L192" s="6"/>
      <c r="M192" s="6"/>
      <c r="N192" s="6"/>
      <c r="O192" s="6"/>
      <c r="P192" s="6"/>
      <c r="Q192" s="6"/>
      <c r="R192" s="6"/>
      <c r="S192" s="6"/>
      <c r="T192" s="6"/>
      <c r="U192" s="6"/>
      <c r="V192" s="6"/>
      <c r="W192" s="6"/>
      <c r="X192" s="6"/>
      <c r="Y192" s="6"/>
      <c r="Z192" s="6"/>
    </row>
    <row r="193" spans="1:26" ht="31.5" customHeight="1">
      <c r="A193" s="1"/>
      <c r="B193" s="6"/>
      <c r="C193" s="10"/>
      <c r="D193" s="1"/>
      <c r="E193" s="11"/>
      <c r="F193" s="11"/>
      <c r="G193" s="6"/>
      <c r="H193" s="6"/>
      <c r="I193" s="6"/>
      <c r="J193" s="6"/>
      <c r="K193" s="6"/>
      <c r="L193" s="6"/>
      <c r="M193" s="6"/>
      <c r="N193" s="6"/>
      <c r="O193" s="6"/>
      <c r="P193" s="6"/>
      <c r="Q193" s="6"/>
      <c r="R193" s="6"/>
      <c r="S193" s="6"/>
      <c r="T193" s="6"/>
      <c r="U193" s="6"/>
      <c r="V193" s="6"/>
      <c r="W193" s="6"/>
      <c r="X193" s="6"/>
      <c r="Y193" s="6"/>
      <c r="Z193" s="6"/>
    </row>
    <row r="194" spans="1:26" ht="31.5" customHeight="1">
      <c r="A194" s="1"/>
      <c r="B194" s="6"/>
      <c r="C194" s="10"/>
      <c r="D194" s="1"/>
      <c r="E194" s="11"/>
      <c r="F194" s="11"/>
      <c r="G194" s="6"/>
      <c r="H194" s="6"/>
      <c r="I194" s="6"/>
      <c r="J194" s="6"/>
      <c r="K194" s="6"/>
      <c r="L194" s="6"/>
      <c r="M194" s="6"/>
      <c r="N194" s="6"/>
      <c r="O194" s="6"/>
      <c r="P194" s="6"/>
      <c r="Q194" s="6"/>
      <c r="R194" s="6"/>
      <c r="S194" s="6"/>
      <c r="T194" s="6"/>
      <c r="U194" s="6"/>
      <c r="V194" s="6"/>
      <c r="W194" s="6"/>
      <c r="X194" s="6"/>
      <c r="Y194" s="6"/>
      <c r="Z194" s="6"/>
    </row>
    <row r="195" spans="1:26" ht="31.5" customHeight="1">
      <c r="A195" s="1"/>
      <c r="B195" s="6"/>
      <c r="C195" s="10"/>
      <c r="D195" s="1"/>
      <c r="E195" s="11"/>
      <c r="F195" s="11"/>
      <c r="G195" s="6"/>
      <c r="H195" s="6"/>
      <c r="I195" s="6"/>
      <c r="J195" s="6"/>
      <c r="K195" s="6"/>
      <c r="L195" s="6"/>
      <c r="M195" s="6"/>
      <c r="N195" s="6"/>
      <c r="O195" s="6"/>
      <c r="P195" s="6"/>
      <c r="Q195" s="6"/>
      <c r="R195" s="6"/>
      <c r="S195" s="6"/>
      <c r="T195" s="6"/>
      <c r="U195" s="6"/>
      <c r="V195" s="6"/>
      <c r="W195" s="6"/>
      <c r="X195" s="6"/>
      <c r="Y195" s="6"/>
      <c r="Z195" s="6"/>
    </row>
    <row r="196" spans="1:26" ht="31.5" customHeight="1">
      <c r="A196" s="1"/>
      <c r="B196" s="6"/>
      <c r="C196" s="10"/>
      <c r="D196" s="1"/>
      <c r="E196" s="11"/>
      <c r="F196" s="11"/>
      <c r="G196" s="6"/>
      <c r="H196" s="6"/>
      <c r="I196" s="6"/>
      <c r="J196" s="6"/>
      <c r="K196" s="6"/>
      <c r="L196" s="6"/>
      <c r="M196" s="6"/>
      <c r="N196" s="6"/>
      <c r="O196" s="6"/>
      <c r="P196" s="6"/>
      <c r="Q196" s="6"/>
      <c r="R196" s="6"/>
      <c r="S196" s="6"/>
      <c r="T196" s="6"/>
      <c r="U196" s="6"/>
      <c r="V196" s="6"/>
      <c r="W196" s="6"/>
      <c r="X196" s="6"/>
      <c r="Y196" s="6"/>
      <c r="Z196" s="6"/>
    </row>
    <row r="197" spans="1:26" ht="31.5" customHeight="1">
      <c r="A197" s="1"/>
      <c r="B197" s="6"/>
      <c r="C197" s="10"/>
      <c r="D197" s="1"/>
      <c r="E197" s="11"/>
      <c r="F197" s="11"/>
      <c r="G197" s="6"/>
      <c r="H197" s="6"/>
      <c r="I197" s="6"/>
      <c r="J197" s="6"/>
      <c r="K197" s="6"/>
      <c r="L197" s="6"/>
      <c r="M197" s="6"/>
      <c r="N197" s="6"/>
      <c r="O197" s="6"/>
      <c r="P197" s="6"/>
      <c r="Q197" s="6"/>
      <c r="R197" s="6"/>
      <c r="S197" s="6"/>
      <c r="T197" s="6"/>
      <c r="U197" s="6"/>
      <c r="V197" s="6"/>
      <c r="W197" s="6"/>
      <c r="X197" s="6"/>
      <c r="Y197" s="6"/>
      <c r="Z197" s="6"/>
    </row>
    <row r="198" spans="1:26" ht="31.5" customHeight="1">
      <c r="A198" s="1"/>
      <c r="B198" s="6"/>
      <c r="C198" s="10"/>
      <c r="D198" s="1"/>
      <c r="E198" s="11"/>
      <c r="F198" s="11"/>
      <c r="G198" s="6"/>
      <c r="H198" s="6"/>
      <c r="I198" s="6"/>
      <c r="J198" s="6"/>
      <c r="K198" s="6"/>
      <c r="L198" s="6"/>
      <c r="M198" s="6"/>
      <c r="N198" s="6"/>
      <c r="O198" s="6"/>
      <c r="P198" s="6"/>
      <c r="Q198" s="6"/>
      <c r="R198" s="6"/>
      <c r="S198" s="6"/>
      <c r="T198" s="6"/>
      <c r="U198" s="6"/>
      <c r="V198" s="6"/>
      <c r="W198" s="6"/>
      <c r="X198" s="6"/>
      <c r="Y198" s="6"/>
      <c r="Z198" s="6"/>
    </row>
    <row r="199" spans="1:26" ht="31.5" customHeight="1">
      <c r="A199" s="1"/>
      <c r="B199" s="6"/>
      <c r="C199" s="10"/>
      <c r="D199" s="1"/>
      <c r="E199" s="11"/>
      <c r="F199" s="11"/>
      <c r="G199" s="6"/>
      <c r="H199" s="6"/>
      <c r="I199" s="6"/>
      <c r="J199" s="6"/>
      <c r="K199" s="6"/>
      <c r="L199" s="6"/>
      <c r="M199" s="6"/>
      <c r="N199" s="6"/>
      <c r="O199" s="6"/>
      <c r="P199" s="6"/>
      <c r="Q199" s="6"/>
      <c r="R199" s="6"/>
      <c r="S199" s="6"/>
      <c r="T199" s="6"/>
      <c r="U199" s="6"/>
      <c r="V199" s="6"/>
      <c r="W199" s="6"/>
      <c r="X199" s="6"/>
      <c r="Y199" s="6"/>
      <c r="Z199" s="6"/>
    </row>
    <row r="200" spans="1:26" ht="31.5" customHeight="1">
      <c r="A200" s="1"/>
      <c r="B200" s="6"/>
      <c r="C200" s="10"/>
      <c r="D200" s="1"/>
      <c r="E200" s="11"/>
      <c r="F200" s="11"/>
      <c r="G200" s="6"/>
      <c r="H200" s="6"/>
      <c r="I200" s="6"/>
      <c r="J200" s="6"/>
      <c r="K200" s="6"/>
      <c r="L200" s="6"/>
      <c r="M200" s="6"/>
      <c r="N200" s="6"/>
      <c r="O200" s="6"/>
      <c r="P200" s="6"/>
      <c r="Q200" s="6"/>
      <c r="R200" s="6"/>
      <c r="S200" s="6"/>
      <c r="T200" s="6"/>
      <c r="U200" s="6"/>
      <c r="V200" s="6"/>
      <c r="W200" s="6"/>
      <c r="X200" s="6"/>
      <c r="Y200" s="6"/>
      <c r="Z200" s="6"/>
    </row>
    <row r="201" spans="1:26" ht="31.5" customHeight="1">
      <c r="A201" s="1"/>
      <c r="B201" s="6"/>
      <c r="C201" s="10"/>
      <c r="D201" s="1"/>
      <c r="E201" s="11"/>
      <c r="F201" s="11"/>
      <c r="G201" s="6"/>
      <c r="H201" s="6"/>
      <c r="I201" s="6"/>
      <c r="J201" s="6"/>
      <c r="K201" s="6"/>
      <c r="L201" s="6"/>
      <c r="M201" s="6"/>
      <c r="N201" s="6"/>
      <c r="O201" s="6"/>
      <c r="P201" s="6"/>
      <c r="Q201" s="6"/>
      <c r="R201" s="6"/>
      <c r="S201" s="6"/>
      <c r="T201" s="6"/>
      <c r="U201" s="6"/>
      <c r="V201" s="6"/>
      <c r="W201" s="6"/>
      <c r="X201" s="6"/>
      <c r="Y201" s="6"/>
      <c r="Z201" s="6"/>
    </row>
    <row r="202" spans="1:26" ht="31.5" customHeight="1">
      <c r="A202" s="1"/>
      <c r="B202" s="6"/>
      <c r="C202" s="10"/>
      <c r="D202" s="1"/>
      <c r="E202" s="11"/>
      <c r="F202" s="11"/>
      <c r="G202" s="6"/>
      <c r="H202" s="6"/>
      <c r="I202" s="6"/>
      <c r="J202" s="6"/>
      <c r="K202" s="6"/>
      <c r="L202" s="6"/>
      <c r="M202" s="6"/>
      <c r="N202" s="6"/>
      <c r="O202" s="6"/>
      <c r="P202" s="6"/>
      <c r="Q202" s="6"/>
      <c r="R202" s="6"/>
      <c r="S202" s="6"/>
      <c r="T202" s="6"/>
      <c r="U202" s="6"/>
      <c r="V202" s="6"/>
      <c r="W202" s="6"/>
      <c r="X202" s="6"/>
      <c r="Y202" s="6"/>
      <c r="Z202" s="6"/>
    </row>
    <row r="203" spans="1:26" ht="31.5" customHeight="1">
      <c r="A203" s="1"/>
      <c r="B203" s="6"/>
      <c r="C203" s="10"/>
      <c r="D203" s="1"/>
      <c r="E203" s="11"/>
      <c r="F203" s="11"/>
      <c r="G203" s="6"/>
      <c r="H203" s="6"/>
      <c r="I203" s="6"/>
      <c r="J203" s="6"/>
      <c r="K203" s="6"/>
      <c r="L203" s="6"/>
      <c r="M203" s="6"/>
      <c r="N203" s="6"/>
      <c r="O203" s="6"/>
      <c r="P203" s="6"/>
      <c r="Q203" s="6"/>
      <c r="R203" s="6"/>
      <c r="S203" s="6"/>
      <c r="T203" s="6"/>
      <c r="U203" s="6"/>
      <c r="V203" s="6"/>
      <c r="W203" s="6"/>
      <c r="X203" s="6"/>
      <c r="Y203" s="6"/>
      <c r="Z203" s="6"/>
    </row>
    <row r="204" spans="1:26" ht="31.5" customHeight="1">
      <c r="A204" s="1"/>
      <c r="B204" s="6"/>
      <c r="C204" s="10"/>
      <c r="D204" s="1"/>
      <c r="E204" s="11"/>
      <c r="F204" s="11"/>
      <c r="G204" s="6"/>
      <c r="H204" s="6"/>
      <c r="I204" s="6"/>
      <c r="J204" s="6"/>
      <c r="K204" s="6"/>
      <c r="L204" s="6"/>
      <c r="M204" s="6"/>
      <c r="N204" s="6"/>
      <c r="O204" s="6"/>
      <c r="P204" s="6"/>
      <c r="Q204" s="6"/>
      <c r="R204" s="6"/>
      <c r="S204" s="6"/>
      <c r="T204" s="6"/>
      <c r="U204" s="6"/>
      <c r="V204" s="6"/>
      <c r="W204" s="6"/>
      <c r="X204" s="6"/>
      <c r="Y204" s="6"/>
      <c r="Z204" s="6"/>
    </row>
    <row r="205" spans="1:26" ht="31.5" customHeight="1">
      <c r="A205" s="1"/>
      <c r="B205" s="6"/>
      <c r="C205" s="10"/>
      <c r="D205" s="1"/>
      <c r="E205" s="11"/>
      <c r="F205" s="11"/>
      <c r="G205" s="6"/>
      <c r="H205" s="6"/>
      <c r="I205" s="6"/>
      <c r="J205" s="6"/>
      <c r="K205" s="6"/>
      <c r="L205" s="6"/>
      <c r="M205" s="6"/>
      <c r="N205" s="6"/>
      <c r="O205" s="6"/>
      <c r="P205" s="6"/>
      <c r="Q205" s="6"/>
      <c r="R205" s="6"/>
      <c r="S205" s="6"/>
      <c r="T205" s="6"/>
      <c r="U205" s="6"/>
      <c r="V205" s="6"/>
      <c r="W205" s="6"/>
      <c r="X205" s="6"/>
      <c r="Y205" s="6"/>
      <c r="Z205" s="6"/>
    </row>
    <row r="206" spans="1:26" ht="31.5" customHeight="1">
      <c r="A206" s="1"/>
      <c r="B206" s="6"/>
      <c r="C206" s="10"/>
      <c r="D206" s="1"/>
      <c r="E206" s="11"/>
      <c r="F206" s="11"/>
      <c r="G206" s="6"/>
      <c r="H206" s="6"/>
      <c r="I206" s="6"/>
      <c r="J206" s="6"/>
      <c r="K206" s="6"/>
      <c r="L206" s="6"/>
      <c r="M206" s="6"/>
      <c r="N206" s="6"/>
      <c r="O206" s="6"/>
      <c r="P206" s="6"/>
      <c r="Q206" s="6"/>
      <c r="R206" s="6"/>
      <c r="S206" s="6"/>
      <c r="T206" s="6"/>
      <c r="U206" s="6"/>
      <c r="V206" s="6"/>
      <c r="W206" s="6"/>
      <c r="X206" s="6"/>
      <c r="Y206" s="6"/>
      <c r="Z206" s="6"/>
    </row>
    <row r="207" spans="1:26" ht="31.5" customHeight="1">
      <c r="A207" s="1"/>
      <c r="B207" s="6"/>
      <c r="C207" s="10"/>
      <c r="D207" s="1"/>
      <c r="E207" s="11"/>
      <c r="F207" s="11"/>
      <c r="G207" s="6"/>
      <c r="H207" s="6"/>
      <c r="I207" s="6"/>
      <c r="J207" s="6"/>
      <c r="K207" s="6"/>
      <c r="L207" s="6"/>
      <c r="M207" s="6"/>
      <c r="N207" s="6"/>
      <c r="O207" s="6"/>
      <c r="P207" s="6"/>
      <c r="Q207" s="6"/>
      <c r="R207" s="6"/>
      <c r="S207" s="6"/>
      <c r="T207" s="6"/>
      <c r="U207" s="6"/>
      <c r="V207" s="6"/>
      <c r="W207" s="6"/>
      <c r="X207" s="6"/>
      <c r="Y207" s="6"/>
      <c r="Z207" s="6"/>
    </row>
    <row r="208" spans="1:26" ht="31.5" customHeight="1">
      <c r="A208" s="1"/>
      <c r="B208" s="6"/>
      <c r="C208" s="10"/>
      <c r="D208" s="1"/>
      <c r="E208" s="11"/>
      <c r="F208" s="11"/>
      <c r="G208" s="6"/>
      <c r="H208" s="6"/>
      <c r="I208" s="6"/>
      <c r="J208" s="6"/>
      <c r="K208" s="6"/>
      <c r="L208" s="6"/>
      <c r="M208" s="6"/>
      <c r="N208" s="6"/>
      <c r="O208" s="6"/>
      <c r="P208" s="6"/>
      <c r="Q208" s="6"/>
      <c r="R208" s="6"/>
      <c r="S208" s="6"/>
      <c r="T208" s="6"/>
      <c r="U208" s="6"/>
      <c r="V208" s="6"/>
      <c r="W208" s="6"/>
      <c r="X208" s="6"/>
      <c r="Y208" s="6"/>
      <c r="Z208" s="6"/>
    </row>
    <row r="209" spans="1:26" ht="31.5" customHeight="1">
      <c r="A209" s="1"/>
      <c r="B209" s="6"/>
      <c r="C209" s="10"/>
      <c r="D209" s="1"/>
      <c r="E209" s="11"/>
      <c r="F209" s="11"/>
      <c r="G209" s="6"/>
      <c r="H209" s="6"/>
      <c r="I209" s="6"/>
      <c r="J209" s="6"/>
      <c r="K209" s="6"/>
      <c r="L209" s="6"/>
      <c r="M209" s="6"/>
      <c r="N209" s="6"/>
      <c r="O209" s="6"/>
      <c r="P209" s="6"/>
      <c r="Q209" s="6"/>
      <c r="R209" s="6"/>
      <c r="S209" s="6"/>
      <c r="T209" s="6"/>
      <c r="U209" s="6"/>
      <c r="V209" s="6"/>
      <c r="W209" s="6"/>
      <c r="X209" s="6"/>
      <c r="Y209" s="6"/>
      <c r="Z209" s="6"/>
    </row>
    <row r="210" spans="1:26" ht="31.5" customHeight="1">
      <c r="A210" s="1"/>
      <c r="B210" s="6"/>
      <c r="C210" s="10"/>
      <c r="D210" s="1"/>
      <c r="E210" s="11"/>
      <c r="F210" s="11"/>
      <c r="G210" s="6"/>
      <c r="H210" s="6"/>
      <c r="I210" s="6"/>
      <c r="J210" s="6"/>
      <c r="K210" s="6"/>
      <c r="L210" s="6"/>
      <c r="M210" s="6"/>
      <c r="N210" s="6"/>
      <c r="O210" s="6"/>
      <c r="P210" s="6"/>
      <c r="Q210" s="6"/>
      <c r="R210" s="6"/>
      <c r="S210" s="6"/>
      <c r="T210" s="6"/>
      <c r="U210" s="6"/>
      <c r="V210" s="6"/>
      <c r="W210" s="6"/>
      <c r="X210" s="6"/>
      <c r="Y210" s="6"/>
      <c r="Z210" s="6"/>
    </row>
    <row r="211" spans="1:26" ht="31.5" customHeight="1">
      <c r="A211" s="1"/>
      <c r="B211" s="6"/>
      <c r="C211" s="10"/>
      <c r="D211" s="1"/>
      <c r="E211" s="11"/>
      <c r="F211" s="11"/>
      <c r="G211" s="6"/>
      <c r="H211" s="6"/>
      <c r="I211" s="6"/>
      <c r="J211" s="6"/>
      <c r="K211" s="6"/>
      <c r="L211" s="6"/>
      <c r="M211" s="6"/>
      <c r="N211" s="6"/>
      <c r="O211" s="6"/>
      <c r="P211" s="6"/>
      <c r="Q211" s="6"/>
      <c r="R211" s="6"/>
      <c r="S211" s="6"/>
      <c r="T211" s="6"/>
      <c r="U211" s="6"/>
      <c r="V211" s="6"/>
      <c r="W211" s="6"/>
      <c r="X211" s="6"/>
      <c r="Y211" s="6"/>
      <c r="Z211" s="6"/>
    </row>
    <row r="212" spans="1:26" ht="31.5" customHeight="1">
      <c r="A212" s="1"/>
      <c r="B212" s="6"/>
      <c r="C212" s="10"/>
      <c r="D212" s="1"/>
      <c r="E212" s="11"/>
      <c r="F212" s="11"/>
      <c r="G212" s="6"/>
      <c r="H212" s="6"/>
      <c r="I212" s="6"/>
      <c r="J212" s="6"/>
      <c r="K212" s="6"/>
      <c r="L212" s="6"/>
      <c r="M212" s="6"/>
      <c r="N212" s="6"/>
      <c r="O212" s="6"/>
      <c r="P212" s="6"/>
      <c r="Q212" s="6"/>
      <c r="R212" s="6"/>
      <c r="S212" s="6"/>
      <c r="T212" s="6"/>
      <c r="U212" s="6"/>
      <c r="V212" s="6"/>
      <c r="W212" s="6"/>
      <c r="X212" s="6"/>
      <c r="Y212" s="6"/>
      <c r="Z212" s="6"/>
    </row>
    <row r="213" spans="1:26" ht="31.5" customHeight="1">
      <c r="A213" s="1"/>
      <c r="B213" s="6"/>
      <c r="C213" s="10"/>
      <c r="D213" s="1"/>
      <c r="E213" s="11"/>
      <c r="F213" s="11"/>
      <c r="G213" s="6"/>
      <c r="H213" s="6"/>
      <c r="I213" s="6"/>
      <c r="J213" s="6"/>
      <c r="K213" s="6"/>
      <c r="L213" s="6"/>
      <c r="M213" s="6"/>
      <c r="N213" s="6"/>
      <c r="O213" s="6"/>
      <c r="P213" s="6"/>
      <c r="Q213" s="6"/>
      <c r="R213" s="6"/>
      <c r="S213" s="6"/>
      <c r="T213" s="6"/>
      <c r="U213" s="6"/>
      <c r="V213" s="6"/>
      <c r="W213" s="6"/>
      <c r="X213" s="6"/>
      <c r="Y213" s="6"/>
      <c r="Z213" s="6"/>
    </row>
    <row r="214" spans="1:26" ht="31.5" customHeight="1">
      <c r="A214" s="1"/>
      <c r="B214" s="6"/>
      <c r="C214" s="10"/>
      <c r="D214" s="1"/>
      <c r="E214" s="11"/>
      <c r="F214" s="11"/>
      <c r="G214" s="6"/>
      <c r="H214" s="6"/>
      <c r="I214" s="6"/>
      <c r="J214" s="6"/>
      <c r="K214" s="6"/>
      <c r="L214" s="6"/>
      <c r="M214" s="6"/>
      <c r="N214" s="6"/>
      <c r="O214" s="6"/>
      <c r="P214" s="6"/>
      <c r="Q214" s="6"/>
      <c r="R214" s="6"/>
      <c r="S214" s="6"/>
      <c r="T214" s="6"/>
      <c r="U214" s="6"/>
      <c r="V214" s="6"/>
      <c r="W214" s="6"/>
      <c r="X214" s="6"/>
      <c r="Y214" s="6"/>
      <c r="Z214" s="6"/>
    </row>
    <row r="215" spans="1:26" ht="31.5" customHeight="1">
      <c r="A215" s="1"/>
      <c r="B215" s="6"/>
      <c r="C215" s="10"/>
      <c r="D215" s="1"/>
      <c r="E215" s="11"/>
      <c r="F215" s="11"/>
      <c r="G215" s="6"/>
      <c r="H215" s="6"/>
      <c r="I215" s="6"/>
      <c r="J215" s="6"/>
      <c r="K215" s="6"/>
      <c r="L215" s="6"/>
      <c r="M215" s="6"/>
      <c r="N215" s="6"/>
      <c r="O215" s="6"/>
      <c r="P215" s="6"/>
      <c r="Q215" s="6"/>
      <c r="R215" s="6"/>
      <c r="S215" s="6"/>
      <c r="T215" s="6"/>
      <c r="U215" s="6"/>
      <c r="V215" s="6"/>
      <c r="W215" s="6"/>
      <c r="X215" s="6"/>
      <c r="Y215" s="6"/>
      <c r="Z215" s="6"/>
    </row>
    <row r="216" spans="1:26" ht="31.5" customHeight="1">
      <c r="A216" s="1"/>
      <c r="B216" s="6"/>
      <c r="C216" s="10"/>
      <c r="D216" s="1"/>
      <c r="E216" s="11"/>
      <c r="F216" s="11"/>
      <c r="G216" s="6"/>
      <c r="H216" s="6"/>
      <c r="I216" s="6"/>
      <c r="J216" s="6"/>
      <c r="K216" s="6"/>
      <c r="L216" s="6"/>
      <c r="M216" s="6"/>
      <c r="N216" s="6"/>
      <c r="O216" s="6"/>
      <c r="P216" s="6"/>
      <c r="Q216" s="6"/>
      <c r="R216" s="6"/>
      <c r="S216" s="6"/>
      <c r="T216" s="6"/>
      <c r="U216" s="6"/>
      <c r="V216" s="6"/>
      <c r="W216" s="6"/>
      <c r="X216" s="6"/>
      <c r="Y216" s="6"/>
      <c r="Z216" s="6"/>
    </row>
    <row r="217" spans="1:26" ht="31.5" customHeight="1">
      <c r="A217" s="1"/>
      <c r="B217" s="6"/>
      <c r="C217" s="10"/>
      <c r="D217" s="1"/>
      <c r="E217" s="11"/>
      <c r="F217" s="11"/>
      <c r="G217" s="6"/>
      <c r="H217" s="6"/>
      <c r="I217" s="6"/>
      <c r="J217" s="6"/>
      <c r="K217" s="6"/>
      <c r="L217" s="6"/>
      <c r="M217" s="6"/>
      <c r="N217" s="6"/>
      <c r="O217" s="6"/>
      <c r="P217" s="6"/>
      <c r="Q217" s="6"/>
      <c r="R217" s="6"/>
      <c r="S217" s="6"/>
      <c r="T217" s="6"/>
      <c r="U217" s="6"/>
      <c r="V217" s="6"/>
      <c r="W217" s="6"/>
      <c r="X217" s="6"/>
      <c r="Y217" s="6"/>
      <c r="Z217" s="6"/>
    </row>
    <row r="218" spans="1:26" ht="31.5" customHeight="1">
      <c r="A218" s="1"/>
      <c r="B218" s="6"/>
      <c r="C218" s="10"/>
      <c r="D218" s="1"/>
      <c r="E218" s="11"/>
      <c r="F218" s="11"/>
      <c r="G218" s="6"/>
      <c r="H218" s="6"/>
      <c r="I218" s="6"/>
      <c r="J218" s="6"/>
      <c r="K218" s="6"/>
      <c r="L218" s="6"/>
      <c r="M218" s="6"/>
      <c r="N218" s="6"/>
      <c r="O218" s="6"/>
      <c r="P218" s="6"/>
      <c r="Q218" s="6"/>
      <c r="R218" s="6"/>
      <c r="S218" s="6"/>
      <c r="T218" s="6"/>
      <c r="U218" s="6"/>
      <c r="V218" s="6"/>
      <c r="W218" s="6"/>
      <c r="X218" s="6"/>
      <c r="Y218" s="6"/>
      <c r="Z218" s="6"/>
    </row>
    <row r="219" spans="1:26" ht="31.5" customHeight="1">
      <c r="A219" s="1"/>
      <c r="B219" s="6"/>
      <c r="C219" s="10"/>
      <c r="D219" s="1"/>
      <c r="E219" s="11"/>
      <c r="F219" s="11"/>
      <c r="G219" s="6"/>
      <c r="H219" s="6"/>
      <c r="I219" s="6"/>
      <c r="J219" s="6"/>
      <c r="K219" s="6"/>
      <c r="L219" s="6"/>
      <c r="M219" s="6"/>
      <c r="N219" s="6"/>
      <c r="O219" s="6"/>
      <c r="P219" s="6"/>
      <c r="Q219" s="6"/>
      <c r="R219" s="6"/>
      <c r="S219" s="6"/>
      <c r="T219" s="6"/>
      <c r="U219" s="6"/>
      <c r="V219" s="6"/>
      <c r="W219" s="6"/>
      <c r="X219" s="6"/>
      <c r="Y219" s="6"/>
      <c r="Z219" s="6"/>
    </row>
    <row r="220" spans="1:26" ht="31.5" customHeight="1">
      <c r="A220" s="1"/>
      <c r="B220" s="6"/>
      <c r="C220" s="10"/>
      <c r="D220" s="1"/>
      <c r="E220" s="11"/>
      <c r="F220" s="11"/>
      <c r="G220" s="6"/>
      <c r="H220" s="6"/>
      <c r="I220" s="6"/>
      <c r="J220" s="6"/>
      <c r="K220" s="6"/>
      <c r="L220" s="6"/>
      <c r="M220" s="6"/>
      <c r="N220" s="6"/>
      <c r="O220" s="6"/>
      <c r="P220" s="6"/>
      <c r="Q220" s="6"/>
      <c r="R220" s="6"/>
      <c r="S220" s="6"/>
      <c r="T220" s="6"/>
      <c r="U220" s="6"/>
      <c r="V220" s="6"/>
      <c r="W220" s="6"/>
      <c r="X220" s="6"/>
      <c r="Y220" s="6"/>
      <c r="Z220" s="6"/>
    </row>
    <row r="221" spans="1:26" ht="31.5" customHeight="1">
      <c r="A221" s="1"/>
      <c r="B221" s="6"/>
      <c r="C221" s="10"/>
      <c r="D221" s="1"/>
      <c r="E221" s="11"/>
      <c r="F221" s="11"/>
      <c r="G221" s="6"/>
      <c r="H221" s="6"/>
      <c r="I221" s="6"/>
      <c r="J221" s="6"/>
      <c r="K221" s="6"/>
      <c r="L221" s="6"/>
      <c r="M221" s="6"/>
      <c r="N221" s="6"/>
      <c r="O221" s="6"/>
      <c r="P221" s="6"/>
      <c r="Q221" s="6"/>
      <c r="R221" s="6"/>
      <c r="S221" s="6"/>
      <c r="T221" s="6"/>
      <c r="U221" s="6"/>
      <c r="V221" s="6"/>
      <c r="W221" s="6"/>
      <c r="X221" s="6"/>
      <c r="Y221" s="6"/>
      <c r="Z221" s="6"/>
    </row>
    <row r="222" spans="1:26" ht="31.5" customHeight="1">
      <c r="A222" s="1"/>
      <c r="B222" s="6"/>
      <c r="C222" s="10"/>
      <c r="D222" s="1"/>
      <c r="E222" s="11"/>
      <c r="F222" s="11"/>
      <c r="G222" s="6"/>
      <c r="H222" s="6"/>
      <c r="I222" s="6"/>
      <c r="J222" s="6"/>
      <c r="K222" s="6"/>
      <c r="L222" s="6"/>
      <c r="M222" s="6"/>
      <c r="N222" s="6"/>
      <c r="O222" s="6"/>
      <c r="P222" s="6"/>
      <c r="Q222" s="6"/>
      <c r="R222" s="6"/>
      <c r="S222" s="6"/>
      <c r="T222" s="6"/>
      <c r="U222" s="6"/>
      <c r="V222" s="6"/>
      <c r="W222" s="6"/>
      <c r="X222" s="6"/>
      <c r="Y222" s="6"/>
      <c r="Z222" s="6"/>
    </row>
    <row r="223" spans="1:26" ht="31.5" customHeight="1">
      <c r="A223" s="1"/>
      <c r="B223" s="6"/>
      <c r="C223" s="10"/>
      <c r="D223" s="1"/>
      <c r="E223" s="11"/>
      <c r="F223" s="11"/>
      <c r="G223" s="6"/>
      <c r="H223" s="6"/>
      <c r="I223" s="6"/>
      <c r="J223" s="6"/>
      <c r="K223" s="6"/>
      <c r="L223" s="6"/>
      <c r="M223" s="6"/>
      <c r="N223" s="6"/>
      <c r="O223" s="6"/>
      <c r="P223" s="6"/>
      <c r="Q223" s="6"/>
      <c r="R223" s="6"/>
      <c r="S223" s="6"/>
      <c r="T223" s="6"/>
      <c r="U223" s="6"/>
      <c r="V223" s="6"/>
      <c r="W223" s="6"/>
      <c r="X223" s="6"/>
      <c r="Y223" s="6"/>
      <c r="Z223" s="6"/>
    </row>
    <row r="224" spans="1:26" ht="31.5" customHeight="1">
      <c r="A224" s="1"/>
      <c r="B224" s="6"/>
      <c r="C224" s="10"/>
      <c r="D224" s="1"/>
      <c r="E224" s="11"/>
      <c r="F224" s="11"/>
      <c r="G224" s="6"/>
      <c r="H224" s="6"/>
      <c r="I224" s="6"/>
      <c r="J224" s="6"/>
      <c r="K224" s="6"/>
      <c r="L224" s="6"/>
      <c r="M224" s="6"/>
      <c r="N224" s="6"/>
      <c r="O224" s="6"/>
      <c r="P224" s="6"/>
      <c r="Q224" s="6"/>
      <c r="R224" s="6"/>
      <c r="S224" s="6"/>
      <c r="T224" s="6"/>
      <c r="U224" s="6"/>
      <c r="V224" s="6"/>
      <c r="W224" s="6"/>
      <c r="X224" s="6"/>
      <c r="Y224" s="6"/>
      <c r="Z224" s="6"/>
    </row>
    <row r="225" spans="1:26" ht="31.5" customHeight="1">
      <c r="A225" s="1"/>
      <c r="B225" s="6"/>
      <c r="C225" s="10"/>
      <c r="D225" s="1"/>
      <c r="E225" s="11"/>
      <c r="F225" s="11"/>
      <c r="G225" s="6"/>
      <c r="H225" s="6"/>
      <c r="I225" s="6"/>
      <c r="J225" s="6"/>
      <c r="K225" s="6"/>
      <c r="L225" s="6"/>
      <c r="M225" s="6"/>
      <c r="N225" s="6"/>
      <c r="O225" s="6"/>
      <c r="P225" s="6"/>
      <c r="Q225" s="6"/>
      <c r="R225" s="6"/>
      <c r="S225" s="6"/>
      <c r="T225" s="6"/>
      <c r="U225" s="6"/>
      <c r="V225" s="6"/>
      <c r="W225" s="6"/>
      <c r="X225" s="6"/>
      <c r="Y225" s="6"/>
      <c r="Z225" s="6"/>
    </row>
    <row r="226" spans="1:26" ht="31.5" customHeight="1">
      <c r="A226" s="1"/>
      <c r="B226" s="6"/>
      <c r="C226" s="10"/>
      <c r="D226" s="1"/>
      <c r="E226" s="11"/>
      <c r="F226" s="11"/>
      <c r="G226" s="6"/>
      <c r="H226" s="6"/>
      <c r="I226" s="6"/>
      <c r="J226" s="6"/>
      <c r="K226" s="6"/>
      <c r="L226" s="6"/>
      <c r="M226" s="6"/>
      <c r="N226" s="6"/>
      <c r="O226" s="6"/>
      <c r="P226" s="6"/>
      <c r="Q226" s="6"/>
      <c r="R226" s="6"/>
      <c r="S226" s="6"/>
      <c r="T226" s="6"/>
      <c r="U226" s="6"/>
      <c r="V226" s="6"/>
      <c r="W226" s="6"/>
      <c r="X226" s="6"/>
      <c r="Y226" s="6"/>
      <c r="Z226" s="6"/>
    </row>
    <row r="227" spans="1:26" ht="31.5" customHeight="1">
      <c r="A227" s="1"/>
      <c r="B227" s="6"/>
      <c r="C227" s="10"/>
      <c r="D227" s="1"/>
      <c r="E227" s="11"/>
      <c r="F227" s="11"/>
      <c r="G227" s="6"/>
      <c r="H227" s="6"/>
      <c r="I227" s="6"/>
      <c r="J227" s="6"/>
      <c r="K227" s="6"/>
      <c r="L227" s="6"/>
      <c r="M227" s="6"/>
      <c r="N227" s="6"/>
      <c r="O227" s="6"/>
      <c r="P227" s="6"/>
      <c r="Q227" s="6"/>
      <c r="R227" s="6"/>
      <c r="S227" s="6"/>
      <c r="T227" s="6"/>
      <c r="U227" s="6"/>
      <c r="V227" s="6"/>
      <c r="W227" s="6"/>
      <c r="X227" s="6"/>
      <c r="Y227" s="6"/>
      <c r="Z227" s="6"/>
    </row>
    <row r="228" spans="1:26" ht="31.5" customHeight="1">
      <c r="A228" s="1"/>
      <c r="B228" s="6"/>
      <c r="C228" s="10"/>
      <c r="D228" s="1"/>
      <c r="E228" s="11"/>
      <c r="F228" s="11"/>
      <c r="G228" s="6"/>
      <c r="H228" s="6"/>
      <c r="I228" s="6"/>
      <c r="J228" s="6"/>
      <c r="K228" s="6"/>
      <c r="L228" s="6"/>
      <c r="M228" s="6"/>
      <c r="N228" s="6"/>
      <c r="O228" s="6"/>
      <c r="P228" s="6"/>
      <c r="Q228" s="6"/>
      <c r="R228" s="6"/>
      <c r="S228" s="6"/>
      <c r="T228" s="6"/>
      <c r="U228" s="6"/>
      <c r="V228" s="6"/>
      <c r="W228" s="6"/>
      <c r="X228" s="6"/>
      <c r="Y228" s="6"/>
      <c r="Z228" s="6"/>
    </row>
    <row r="229" spans="1:26" ht="31.5" customHeight="1">
      <c r="A229" s="1"/>
      <c r="B229" s="6"/>
      <c r="C229" s="10"/>
      <c r="D229" s="1"/>
      <c r="E229" s="11"/>
      <c r="F229" s="11"/>
      <c r="G229" s="6"/>
      <c r="H229" s="6"/>
      <c r="I229" s="6"/>
      <c r="J229" s="6"/>
      <c r="K229" s="6"/>
      <c r="L229" s="6"/>
      <c r="M229" s="6"/>
      <c r="N229" s="6"/>
      <c r="O229" s="6"/>
      <c r="P229" s="6"/>
      <c r="Q229" s="6"/>
      <c r="R229" s="6"/>
      <c r="S229" s="6"/>
      <c r="T229" s="6"/>
      <c r="U229" s="6"/>
      <c r="V229" s="6"/>
      <c r="W229" s="6"/>
      <c r="X229" s="6"/>
      <c r="Y229" s="6"/>
      <c r="Z229" s="6"/>
    </row>
    <row r="230" spans="1:26" ht="31.5" customHeight="1">
      <c r="A230" s="1"/>
      <c r="B230" s="6"/>
      <c r="C230" s="10"/>
      <c r="D230" s="1"/>
      <c r="E230" s="11"/>
      <c r="F230" s="11"/>
      <c r="G230" s="6"/>
      <c r="H230" s="6"/>
      <c r="I230" s="6"/>
      <c r="J230" s="6"/>
      <c r="K230" s="6"/>
      <c r="L230" s="6"/>
      <c r="M230" s="6"/>
      <c r="N230" s="6"/>
      <c r="O230" s="6"/>
      <c r="P230" s="6"/>
      <c r="Q230" s="6"/>
      <c r="R230" s="6"/>
      <c r="S230" s="6"/>
      <c r="T230" s="6"/>
      <c r="U230" s="6"/>
      <c r="V230" s="6"/>
      <c r="W230" s="6"/>
      <c r="X230" s="6"/>
      <c r="Y230" s="6"/>
      <c r="Z230" s="6"/>
    </row>
    <row r="231" spans="1:26" ht="31.5" customHeight="1">
      <c r="A231" s="1"/>
      <c r="B231" s="6"/>
      <c r="C231" s="10"/>
      <c r="D231" s="1"/>
      <c r="E231" s="11"/>
      <c r="F231" s="11"/>
      <c r="G231" s="6"/>
      <c r="H231" s="6"/>
      <c r="I231" s="6"/>
      <c r="J231" s="6"/>
      <c r="K231" s="6"/>
      <c r="L231" s="6"/>
      <c r="M231" s="6"/>
      <c r="N231" s="6"/>
      <c r="O231" s="6"/>
      <c r="P231" s="6"/>
      <c r="Q231" s="6"/>
      <c r="R231" s="6"/>
      <c r="S231" s="6"/>
      <c r="T231" s="6"/>
      <c r="U231" s="6"/>
      <c r="V231" s="6"/>
      <c r="W231" s="6"/>
      <c r="X231" s="6"/>
      <c r="Y231" s="6"/>
      <c r="Z231" s="6"/>
    </row>
    <row r="232" spans="1:26" ht="31.5" customHeight="1">
      <c r="A232" s="1"/>
      <c r="B232" s="6"/>
      <c r="C232" s="10"/>
      <c r="D232" s="1"/>
      <c r="E232" s="11"/>
      <c r="F232" s="11"/>
      <c r="G232" s="6"/>
      <c r="H232" s="6"/>
      <c r="I232" s="6"/>
      <c r="J232" s="6"/>
      <c r="K232" s="6"/>
      <c r="L232" s="6"/>
      <c r="M232" s="6"/>
      <c r="N232" s="6"/>
      <c r="O232" s="6"/>
      <c r="P232" s="6"/>
      <c r="Q232" s="6"/>
      <c r="R232" s="6"/>
      <c r="S232" s="6"/>
      <c r="T232" s="6"/>
      <c r="U232" s="6"/>
      <c r="V232" s="6"/>
      <c r="W232" s="6"/>
      <c r="X232" s="6"/>
      <c r="Y232" s="6"/>
      <c r="Z232" s="6"/>
    </row>
    <row r="233" spans="1:26" ht="31.5" customHeight="1">
      <c r="A233" s="1"/>
      <c r="B233" s="6"/>
      <c r="C233" s="10"/>
      <c r="D233" s="1"/>
      <c r="E233" s="11"/>
      <c r="F233" s="11"/>
      <c r="G233" s="6"/>
      <c r="H233" s="6"/>
      <c r="I233" s="6"/>
      <c r="J233" s="6"/>
      <c r="K233" s="6"/>
      <c r="L233" s="6"/>
      <c r="M233" s="6"/>
      <c r="N233" s="6"/>
      <c r="O233" s="6"/>
      <c r="P233" s="6"/>
      <c r="Q233" s="6"/>
      <c r="R233" s="6"/>
      <c r="S233" s="6"/>
      <c r="T233" s="6"/>
      <c r="U233" s="6"/>
      <c r="V233" s="6"/>
      <c r="W233" s="6"/>
      <c r="X233" s="6"/>
      <c r="Y233" s="6"/>
      <c r="Z233" s="6"/>
    </row>
    <row r="234" spans="1:26" ht="31.5" customHeight="1">
      <c r="A234" s="1"/>
      <c r="B234" s="6"/>
      <c r="C234" s="10"/>
      <c r="D234" s="1"/>
      <c r="E234" s="11"/>
      <c r="F234" s="11"/>
      <c r="G234" s="6"/>
      <c r="H234" s="6"/>
      <c r="I234" s="6"/>
      <c r="J234" s="6"/>
      <c r="K234" s="6"/>
      <c r="L234" s="6"/>
      <c r="M234" s="6"/>
      <c r="N234" s="6"/>
      <c r="O234" s="6"/>
      <c r="P234" s="6"/>
      <c r="Q234" s="6"/>
      <c r="R234" s="6"/>
      <c r="S234" s="6"/>
      <c r="T234" s="6"/>
      <c r="U234" s="6"/>
      <c r="V234" s="6"/>
      <c r="W234" s="6"/>
      <c r="X234" s="6"/>
      <c r="Y234" s="6"/>
      <c r="Z234" s="6"/>
    </row>
    <row r="235" spans="1:26" ht="31.5" customHeight="1">
      <c r="A235" s="1"/>
      <c r="B235" s="6"/>
      <c r="C235" s="10"/>
      <c r="D235" s="1"/>
      <c r="E235" s="11"/>
      <c r="F235" s="11"/>
      <c r="G235" s="6"/>
      <c r="H235" s="6"/>
      <c r="I235" s="6"/>
      <c r="J235" s="6"/>
      <c r="K235" s="6"/>
      <c r="L235" s="6"/>
      <c r="M235" s="6"/>
      <c r="N235" s="6"/>
      <c r="O235" s="6"/>
      <c r="P235" s="6"/>
      <c r="Q235" s="6"/>
      <c r="R235" s="6"/>
      <c r="S235" s="6"/>
      <c r="T235" s="6"/>
      <c r="U235" s="6"/>
      <c r="V235" s="6"/>
      <c r="W235" s="6"/>
      <c r="X235" s="6"/>
      <c r="Y235" s="6"/>
      <c r="Z235" s="6"/>
    </row>
    <row r="236" spans="1:26" ht="31.5" customHeight="1">
      <c r="A236" s="1"/>
      <c r="B236" s="6"/>
      <c r="C236" s="10"/>
      <c r="D236" s="1"/>
      <c r="E236" s="11"/>
      <c r="F236" s="11"/>
      <c r="G236" s="6"/>
      <c r="H236" s="6"/>
      <c r="I236" s="6"/>
      <c r="J236" s="6"/>
      <c r="K236" s="6"/>
      <c r="L236" s="6"/>
      <c r="M236" s="6"/>
      <c r="N236" s="6"/>
      <c r="O236" s="6"/>
      <c r="P236" s="6"/>
      <c r="Q236" s="6"/>
      <c r="R236" s="6"/>
      <c r="S236" s="6"/>
      <c r="T236" s="6"/>
      <c r="U236" s="6"/>
      <c r="V236" s="6"/>
      <c r="W236" s="6"/>
      <c r="X236" s="6"/>
      <c r="Y236" s="6"/>
      <c r="Z236" s="6"/>
    </row>
    <row r="237" spans="1:26" ht="31.5" customHeight="1">
      <c r="A237" s="1"/>
      <c r="B237" s="6"/>
      <c r="C237" s="10"/>
      <c r="D237" s="1"/>
      <c r="E237" s="11"/>
      <c r="F237" s="11"/>
      <c r="G237" s="6"/>
      <c r="H237" s="6"/>
      <c r="I237" s="6"/>
      <c r="J237" s="6"/>
      <c r="K237" s="6"/>
      <c r="L237" s="6"/>
      <c r="M237" s="6"/>
      <c r="N237" s="6"/>
      <c r="O237" s="6"/>
      <c r="P237" s="6"/>
      <c r="Q237" s="6"/>
      <c r="R237" s="6"/>
      <c r="S237" s="6"/>
      <c r="T237" s="6"/>
      <c r="U237" s="6"/>
      <c r="V237" s="6"/>
      <c r="W237" s="6"/>
      <c r="X237" s="6"/>
      <c r="Y237" s="6"/>
      <c r="Z237" s="6"/>
    </row>
    <row r="238" spans="1:26" ht="31.5" customHeight="1">
      <c r="A238" s="1"/>
      <c r="B238" s="6"/>
      <c r="C238" s="10"/>
      <c r="D238" s="1"/>
      <c r="E238" s="11"/>
      <c r="F238" s="11"/>
      <c r="G238" s="6"/>
      <c r="H238" s="6"/>
      <c r="I238" s="6"/>
      <c r="J238" s="6"/>
      <c r="K238" s="6"/>
      <c r="L238" s="6"/>
      <c r="M238" s="6"/>
      <c r="N238" s="6"/>
      <c r="O238" s="6"/>
      <c r="P238" s="6"/>
      <c r="Q238" s="6"/>
      <c r="R238" s="6"/>
      <c r="S238" s="6"/>
      <c r="T238" s="6"/>
      <c r="U238" s="6"/>
      <c r="V238" s="6"/>
      <c r="W238" s="6"/>
      <c r="X238" s="6"/>
      <c r="Y238" s="6"/>
      <c r="Z238" s="6"/>
    </row>
    <row r="239" spans="1:26" ht="31.5" customHeight="1">
      <c r="A239" s="1"/>
      <c r="B239" s="6"/>
      <c r="C239" s="10"/>
      <c r="D239" s="1"/>
      <c r="E239" s="11"/>
      <c r="F239" s="11"/>
      <c r="G239" s="6"/>
      <c r="H239" s="6"/>
      <c r="I239" s="6"/>
      <c r="J239" s="6"/>
      <c r="K239" s="6"/>
      <c r="L239" s="6"/>
      <c r="M239" s="6"/>
      <c r="N239" s="6"/>
      <c r="O239" s="6"/>
      <c r="P239" s="6"/>
      <c r="Q239" s="6"/>
      <c r="R239" s="6"/>
      <c r="S239" s="6"/>
      <c r="T239" s="6"/>
      <c r="U239" s="6"/>
      <c r="V239" s="6"/>
      <c r="W239" s="6"/>
      <c r="X239" s="6"/>
      <c r="Y239" s="6"/>
      <c r="Z239" s="6"/>
    </row>
    <row r="240" spans="1:26" ht="31.5" customHeight="1">
      <c r="A240" s="1"/>
      <c r="B240" s="6"/>
      <c r="C240" s="10"/>
      <c r="D240" s="1"/>
      <c r="E240" s="11"/>
      <c r="F240" s="11"/>
      <c r="G240" s="6"/>
      <c r="H240" s="6"/>
      <c r="I240" s="6"/>
      <c r="J240" s="6"/>
      <c r="K240" s="6"/>
      <c r="L240" s="6"/>
      <c r="M240" s="6"/>
      <c r="N240" s="6"/>
      <c r="O240" s="6"/>
      <c r="P240" s="6"/>
      <c r="Q240" s="6"/>
      <c r="R240" s="6"/>
      <c r="S240" s="6"/>
      <c r="T240" s="6"/>
      <c r="U240" s="6"/>
      <c r="V240" s="6"/>
      <c r="W240" s="6"/>
      <c r="X240" s="6"/>
      <c r="Y240" s="6"/>
      <c r="Z240" s="6"/>
    </row>
    <row r="241" spans="1:26" ht="31.5" customHeight="1">
      <c r="A241" s="1"/>
      <c r="B241" s="6"/>
      <c r="C241" s="10"/>
      <c r="D241" s="1"/>
      <c r="E241" s="11"/>
      <c r="F241" s="11"/>
      <c r="G241" s="6"/>
      <c r="H241" s="6"/>
      <c r="I241" s="6"/>
      <c r="J241" s="6"/>
      <c r="K241" s="6"/>
      <c r="L241" s="6"/>
      <c r="M241" s="6"/>
      <c r="N241" s="6"/>
      <c r="O241" s="6"/>
      <c r="P241" s="6"/>
      <c r="Q241" s="6"/>
      <c r="R241" s="6"/>
      <c r="S241" s="6"/>
      <c r="T241" s="6"/>
      <c r="U241" s="6"/>
      <c r="V241" s="6"/>
      <c r="W241" s="6"/>
      <c r="X241" s="6"/>
      <c r="Y241" s="6"/>
      <c r="Z241" s="6"/>
    </row>
    <row r="242" spans="1:26" ht="31.5" customHeight="1">
      <c r="A242" s="1"/>
      <c r="B242" s="6"/>
      <c r="C242" s="10"/>
      <c r="D242" s="1"/>
      <c r="E242" s="11"/>
      <c r="F242" s="11"/>
      <c r="G242" s="6"/>
      <c r="H242" s="6"/>
      <c r="I242" s="6"/>
      <c r="J242" s="6"/>
      <c r="K242" s="6"/>
      <c r="L242" s="6"/>
      <c r="M242" s="6"/>
      <c r="N242" s="6"/>
      <c r="O242" s="6"/>
      <c r="P242" s="6"/>
      <c r="Q242" s="6"/>
      <c r="R242" s="6"/>
      <c r="S242" s="6"/>
      <c r="T242" s="6"/>
      <c r="U242" s="6"/>
      <c r="V242" s="6"/>
      <c r="W242" s="6"/>
      <c r="X242" s="6"/>
      <c r="Y242" s="6"/>
      <c r="Z242" s="6"/>
    </row>
    <row r="243" spans="1:26" ht="31.5" customHeight="1">
      <c r="A243" s="1"/>
      <c r="B243" s="6"/>
      <c r="C243" s="10"/>
      <c r="D243" s="1"/>
      <c r="E243" s="11"/>
      <c r="F243" s="11"/>
      <c r="G243" s="6"/>
      <c r="H243" s="6"/>
      <c r="I243" s="6"/>
      <c r="J243" s="6"/>
      <c r="K243" s="6"/>
      <c r="L243" s="6"/>
      <c r="M243" s="6"/>
      <c r="N243" s="6"/>
      <c r="O243" s="6"/>
      <c r="P243" s="6"/>
      <c r="Q243" s="6"/>
      <c r="R243" s="6"/>
      <c r="S243" s="6"/>
      <c r="T243" s="6"/>
      <c r="U243" s="6"/>
      <c r="V243" s="6"/>
      <c r="W243" s="6"/>
      <c r="X243" s="6"/>
      <c r="Y243" s="6"/>
      <c r="Z243" s="6"/>
    </row>
    <row r="244" spans="1:26" ht="31.5" customHeight="1">
      <c r="A244" s="1"/>
      <c r="B244" s="6"/>
      <c r="C244" s="10"/>
      <c r="D244" s="1"/>
      <c r="E244" s="11"/>
      <c r="F244" s="11"/>
      <c r="G244" s="6"/>
      <c r="H244" s="6"/>
      <c r="I244" s="6"/>
      <c r="J244" s="6"/>
      <c r="K244" s="6"/>
      <c r="L244" s="6"/>
      <c r="M244" s="6"/>
      <c r="N244" s="6"/>
      <c r="O244" s="6"/>
      <c r="P244" s="6"/>
      <c r="Q244" s="6"/>
      <c r="R244" s="6"/>
      <c r="S244" s="6"/>
      <c r="T244" s="6"/>
      <c r="U244" s="6"/>
      <c r="V244" s="6"/>
      <c r="W244" s="6"/>
      <c r="X244" s="6"/>
      <c r="Y244" s="6"/>
      <c r="Z244" s="6"/>
    </row>
    <row r="245" spans="1:26" ht="31.5" customHeight="1">
      <c r="A245" s="1"/>
      <c r="B245" s="6"/>
      <c r="C245" s="10"/>
      <c r="D245" s="1"/>
      <c r="E245" s="11"/>
      <c r="F245" s="11"/>
      <c r="G245" s="6"/>
      <c r="H245" s="6"/>
      <c r="I245" s="6"/>
      <c r="J245" s="6"/>
      <c r="K245" s="6"/>
      <c r="L245" s="6"/>
      <c r="M245" s="6"/>
      <c r="N245" s="6"/>
      <c r="O245" s="6"/>
      <c r="P245" s="6"/>
      <c r="Q245" s="6"/>
      <c r="R245" s="6"/>
      <c r="S245" s="6"/>
      <c r="T245" s="6"/>
      <c r="U245" s="6"/>
      <c r="V245" s="6"/>
      <c r="W245" s="6"/>
      <c r="X245" s="6"/>
      <c r="Y245" s="6"/>
      <c r="Z245" s="6"/>
    </row>
    <row r="246" spans="1:26" ht="31.5" customHeight="1">
      <c r="A246" s="1"/>
      <c r="B246" s="6"/>
      <c r="C246" s="10"/>
      <c r="D246" s="1"/>
      <c r="E246" s="11"/>
      <c r="F246" s="11"/>
      <c r="G246" s="6"/>
      <c r="H246" s="6"/>
      <c r="I246" s="6"/>
      <c r="J246" s="6"/>
      <c r="K246" s="6"/>
      <c r="L246" s="6"/>
      <c r="M246" s="6"/>
      <c r="N246" s="6"/>
      <c r="O246" s="6"/>
      <c r="P246" s="6"/>
      <c r="Q246" s="6"/>
      <c r="R246" s="6"/>
      <c r="S246" s="6"/>
      <c r="T246" s="6"/>
      <c r="U246" s="6"/>
      <c r="V246" s="6"/>
      <c r="W246" s="6"/>
      <c r="X246" s="6"/>
      <c r="Y246" s="6"/>
      <c r="Z246" s="6"/>
    </row>
    <row r="247" spans="1:26" ht="31.5" customHeight="1">
      <c r="A247" s="1"/>
      <c r="B247" s="6"/>
      <c r="C247" s="10"/>
      <c r="D247" s="1"/>
      <c r="E247" s="11"/>
      <c r="F247" s="11"/>
      <c r="G247" s="6"/>
      <c r="H247" s="6"/>
      <c r="I247" s="6"/>
      <c r="J247" s="6"/>
      <c r="K247" s="6"/>
      <c r="L247" s="6"/>
      <c r="M247" s="6"/>
      <c r="N247" s="6"/>
      <c r="O247" s="6"/>
      <c r="P247" s="6"/>
      <c r="Q247" s="6"/>
      <c r="R247" s="6"/>
      <c r="S247" s="6"/>
      <c r="T247" s="6"/>
      <c r="U247" s="6"/>
      <c r="V247" s="6"/>
      <c r="W247" s="6"/>
      <c r="X247" s="6"/>
      <c r="Y247" s="6"/>
      <c r="Z247" s="6"/>
    </row>
    <row r="248" spans="1:26" ht="31.5" customHeight="1">
      <c r="A248" s="1"/>
      <c r="B248" s="6"/>
      <c r="C248" s="10"/>
      <c r="D248" s="1"/>
      <c r="E248" s="11"/>
      <c r="F248" s="11"/>
      <c r="G248" s="6"/>
      <c r="H248" s="6"/>
      <c r="I248" s="6"/>
      <c r="J248" s="6"/>
      <c r="K248" s="6"/>
      <c r="L248" s="6"/>
      <c r="M248" s="6"/>
      <c r="N248" s="6"/>
      <c r="O248" s="6"/>
      <c r="P248" s="6"/>
      <c r="Q248" s="6"/>
      <c r="R248" s="6"/>
      <c r="S248" s="6"/>
      <c r="T248" s="6"/>
      <c r="U248" s="6"/>
      <c r="V248" s="6"/>
      <c r="W248" s="6"/>
      <c r="X248" s="6"/>
      <c r="Y248" s="6"/>
      <c r="Z248" s="6"/>
    </row>
    <row r="249" spans="1:26" ht="31.5" customHeight="1">
      <c r="A249" s="1"/>
      <c r="B249" s="6"/>
      <c r="C249" s="10"/>
      <c r="D249" s="1"/>
      <c r="E249" s="11"/>
      <c r="F249" s="11"/>
      <c r="G249" s="6"/>
      <c r="H249" s="6"/>
      <c r="I249" s="6"/>
      <c r="J249" s="6"/>
      <c r="K249" s="6"/>
      <c r="L249" s="6"/>
      <c r="M249" s="6"/>
      <c r="N249" s="6"/>
      <c r="O249" s="6"/>
      <c r="P249" s="6"/>
      <c r="Q249" s="6"/>
      <c r="R249" s="6"/>
      <c r="S249" s="6"/>
      <c r="T249" s="6"/>
      <c r="U249" s="6"/>
      <c r="V249" s="6"/>
      <c r="W249" s="6"/>
      <c r="X249" s="6"/>
      <c r="Y249" s="6"/>
      <c r="Z249" s="6"/>
    </row>
    <row r="250" spans="1:26" ht="31.5" customHeight="1">
      <c r="A250" s="1"/>
      <c r="B250" s="6"/>
      <c r="C250" s="10"/>
      <c r="D250" s="1"/>
      <c r="E250" s="11"/>
      <c r="F250" s="11"/>
      <c r="G250" s="6"/>
      <c r="H250" s="6"/>
      <c r="I250" s="6"/>
      <c r="J250" s="6"/>
      <c r="K250" s="6"/>
      <c r="L250" s="6"/>
      <c r="M250" s="6"/>
      <c r="N250" s="6"/>
      <c r="O250" s="6"/>
      <c r="P250" s="6"/>
      <c r="Q250" s="6"/>
      <c r="R250" s="6"/>
      <c r="S250" s="6"/>
      <c r="T250" s="6"/>
      <c r="U250" s="6"/>
      <c r="V250" s="6"/>
      <c r="W250" s="6"/>
      <c r="X250" s="6"/>
      <c r="Y250" s="6"/>
      <c r="Z250" s="6"/>
    </row>
    <row r="251" spans="1:26" ht="31.5" customHeight="1">
      <c r="A251" s="1"/>
      <c r="B251" s="6"/>
      <c r="C251" s="10"/>
      <c r="D251" s="1"/>
      <c r="E251" s="11"/>
      <c r="F251" s="11"/>
      <c r="G251" s="6"/>
      <c r="H251" s="6"/>
      <c r="I251" s="6"/>
      <c r="J251" s="6"/>
      <c r="K251" s="6"/>
      <c r="L251" s="6"/>
      <c r="M251" s="6"/>
      <c r="N251" s="6"/>
      <c r="O251" s="6"/>
      <c r="P251" s="6"/>
      <c r="Q251" s="6"/>
      <c r="R251" s="6"/>
      <c r="S251" s="6"/>
      <c r="T251" s="6"/>
      <c r="U251" s="6"/>
      <c r="V251" s="6"/>
      <c r="W251" s="6"/>
      <c r="X251" s="6"/>
      <c r="Y251" s="6"/>
      <c r="Z251" s="6"/>
    </row>
    <row r="252" spans="1:26" ht="31.5" customHeight="1">
      <c r="A252" s="1"/>
      <c r="B252" s="6"/>
      <c r="C252" s="10"/>
      <c r="D252" s="1"/>
      <c r="E252" s="11"/>
      <c r="F252" s="11"/>
      <c r="G252" s="6"/>
      <c r="H252" s="6"/>
      <c r="I252" s="6"/>
      <c r="J252" s="6"/>
      <c r="K252" s="6"/>
      <c r="L252" s="6"/>
      <c r="M252" s="6"/>
      <c r="N252" s="6"/>
      <c r="O252" s="6"/>
      <c r="P252" s="6"/>
      <c r="Q252" s="6"/>
      <c r="R252" s="6"/>
      <c r="S252" s="6"/>
      <c r="T252" s="6"/>
      <c r="U252" s="6"/>
      <c r="V252" s="6"/>
      <c r="W252" s="6"/>
      <c r="X252" s="6"/>
      <c r="Y252" s="6"/>
      <c r="Z252" s="6"/>
    </row>
    <row r="253" spans="1:26" ht="31.5" customHeight="1">
      <c r="A253" s="1"/>
      <c r="B253" s="6"/>
      <c r="C253" s="10"/>
      <c r="D253" s="1"/>
      <c r="E253" s="11"/>
      <c r="F253" s="11"/>
      <c r="G253" s="6"/>
      <c r="H253" s="6"/>
      <c r="I253" s="6"/>
      <c r="J253" s="6"/>
      <c r="K253" s="6"/>
      <c r="L253" s="6"/>
      <c r="M253" s="6"/>
      <c r="N253" s="6"/>
      <c r="O253" s="6"/>
      <c r="P253" s="6"/>
      <c r="Q253" s="6"/>
      <c r="R253" s="6"/>
      <c r="S253" s="6"/>
      <c r="T253" s="6"/>
      <c r="U253" s="6"/>
      <c r="V253" s="6"/>
      <c r="W253" s="6"/>
      <c r="X253" s="6"/>
      <c r="Y253" s="6"/>
      <c r="Z253" s="6"/>
    </row>
    <row r="254" spans="1:26" ht="31.5" customHeight="1">
      <c r="A254" s="1"/>
      <c r="B254" s="6"/>
      <c r="C254" s="10"/>
      <c r="D254" s="1"/>
      <c r="E254" s="11"/>
      <c r="F254" s="11"/>
      <c r="G254" s="6"/>
      <c r="H254" s="6"/>
      <c r="I254" s="6"/>
      <c r="J254" s="6"/>
      <c r="K254" s="6"/>
      <c r="L254" s="6"/>
      <c r="M254" s="6"/>
      <c r="N254" s="6"/>
      <c r="O254" s="6"/>
      <c r="P254" s="6"/>
      <c r="Q254" s="6"/>
      <c r="R254" s="6"/>
      <c r="S254" s="6"/>
      <c r="T254" s="6"/>
      <c r="U254" s="6"/>
      <c r="V254" s="6"/>
      <c r="W254" s="6"/>
      <c r="X254" s="6"/>
      <c r="Y254" s="6"/>
      <c r="Z254" s="6"/>
    </row>
    <row r="255" spans="1:26" ht="31.5" customHeight="1">
      <c r="A255" s="1"/>
      <c r="B255" s="6"/>
      <c r="C255" s="10"/>
      <c r="D255" s="1"/>
      <c r="E255" s="11"/>
      <c r="F255" s="11"/>
      <c r="G255" s="6"/>
      <c r="H255" s="6"/>
      <c r="I255" s="6"/>
      <c r="J255" s="6"/>
      <c r="K255" s="6"/>
      <c r="L255" s="6"/>
      <c r="M255" s="6"/>
      <c r="N255" s="6"/>
      <c r="O255" s="6"/>
      <c r="P255" s="6"/>
      <c r="Q255" s="6"/>
      <c r="R255" s="6"/>
      <c r="S255" s="6"/>
      <c r="T255" s="6"/>
      <c r="U255" s="6"/>
      <c r="V255" s="6"/>
      <c r="W255" s="6"/>
      <c r="X255" s="6"/>
      <c r="Y255" s="6"/>
      <c r="Z255" s="6"/>
    </row>
    <row r="256" spans="1:26" ht="31.5" customHeight="1">
      <c r="A256" s="1"/>
      <c r="B256" s="6"/>
      <c r="C256" s="10"/>
      <c r="D256" s="1"/>
      <c r="E256" s="11"/>
      <c r="F256" s="11"/>
      <c r="G256" s="6"/>
      <c r="H256" s="6"/>
      <c r="I256" s="6"/>
      <c r="J256" s="6"/>
      <c r="K256" s="6"/>
      <c r="L256" s="6"/>
      <c r="M256" s="6"/>
      <c r="N256" s="6"/>
      <c r="O256" s="6"/>
      <c r="P256" s="6"/>
      <c r="Q256" s="6"/>
      <c r="R256" s="6"/>
      <c r="S256" s="6"/>
      <c r="T256" s="6"/>
      <c r="U256" s="6"/>
      <c r="V256" s="6"/>
      <c r="W256" s="6"/>
      <c r="X256" s="6"/>
      <c r="Y256" s="6"/>
      <c r="Z256" s="6"/>
    </row>
    <row r="257" spans="1:26" ht="31.5" customHeight="1">
      <c r="A257" s="1"/>
      <c r="B257" s="6"/>
      <c r="C257" s="10"/>
      <c r="D257" s="1"/>
      <c r="E257" s="11"/>
      <c r="F257" s="11"/>
      <c r="G257" s="6"/>
      <c r="H257" s="6"/>
      <c r="I257" s="6"/>
      <c r="J257" s="6"/>
      <c r="K257" s="6"/>
      <c r="L257" s="6"/>
      <c r="M257" s="6"/>
      <c r="N257" s="6"/>
      <c r="O257" s="6"/>
      <c r="P257" s="6"/>
      <c r="Q257" s="6"/>
      <c r="R257" s="6"/>
      <c r="S257" s="6"/>
      <c r="T257" s="6"/>
      <c r="U257" s="6"/>
      <c r="V257" s="6"/>
      <c r="W257" s="6"/>
      <c r="X257" s="6"/>
      <c r="Y257" s="6"/>
      <c r="Z257" s="6"/>
    </row>
    <row r="258" spans="1:26" ht="31.5" customHeight="1">
      <c r="A258" s="1"/>
      <c r="B258" s="6"/>
      <c r="C258" s="10"/>
      <c r="D258" s="1"/>
      <c r="E258" s="11"/>
      <c r="F258" s="11"/>
      <c r="G258" s="6"/>
      <c r="H258" s="6"/>
      <c r="I258" s="6"/>
      <c r="J258" s="6"/>
      <c r="K258" s="6"/>
      <c r="L258" s="6"/>
      <c r="M258" s="6"/>
      <c r="N258" s="6"/>
      <c r="O258" s="6"/>
      <c r="P258" s="6"/>
      <c r="Q258" s="6"/>
      <c r="R258" s="6"/>
      <c r="S258" s="6"/>
      <c r="T258" s="6"/>
      <c r="U258" s="6"/>
      <c r="V258" s="6"/>
      <c r="W258" s="6"/>
      <c r="X258" s="6"/>
      <c r="Y258" s="6"/>
      <c r="Z258" s="6"/>
    </row>
    <row r="259" spans="1:26" ht="31.5" customHeight="1">
      <c r="A259" s="1"/>
      <c r="B259" s="6"/>
      <c r="C259" s="10"/>
      <c r="D259" s="1"/>
      <c r="E259" s="11"/>
      <c r="F259" s="11"/>
      <c r="G259" s="6"/>
      <c r="H259" s="6"/>
      <c r="I259" s="6"/>
      <c r="J259" s="6"/>
      <c r="K259" s="6"/>
      <c r="L259" s="6"/>
      <c r="M259" s="6"/>
      <c r="N259" s="6"/>
      <c r="O259" s="6"/>
      <c r="P259" s="6"/>
      <c r="Q259" s="6"/>
      <c r="R259" s="6"/>
      <c r="S259" s="6"/>
      <c r="T259" s="6"/>
      <c r="U259" s="6"/>
      <c r="V259" s="6"/>
      <c r="W259" s="6"/>
      <c r="X259" s="6"/>
      <c r="Y259" s="6"/>
      <c r="Z259" s="6"/>
    </row>
    <row r="260" spans="1:26" ht="31.5" customHeight="1">
      <c r="A260" s="1"/>
      <c r="B260" s="6"/>
      <c r="C260" s="10"/>
      <c r="D260" s="1"/>
      <c r="E260" s="11"/>
      <c r="F260" s="11"/>
      <c r="G260" s="6"/>
      <c r="H260" s="6"/>
      <c r="I260" s="6"/>
      <c r="J260" s="6"/>
      <c r="K260" s="6"/>
      <c r="L260" s="6"/>
      <c r="M260" s="6"/>
      <c r="N260" s="6"/>
      <c r="O260" s="6"/>
      <c r="P260" s="6"/>
      <c r="Q260" s="6"/>
      <c r="R260" s="6"/>
      <c r="S260" s="6"/>
      <c r="T260" s="6"/>
      <c r="U260" s="6"/>
      <c r="V260" s="6"/>
      <c r="W260" s="6"/>
      <c r="X260" s="6"/>
      <c r="Y260" s="6"/>
      <c r="Z260" s="6"/>
    </row>
    <row r="261" spans="1:26" ht="31.5" customHeight="1">
      <c r="A261" s="1"/>
      <c r="B261" s="6"/>
      <c r="C261" s="10"/>
      <c r="D261" s="1"/>
      <c r="E261" s="11"/>
      <c r="F261" s="11"/>
      <c r="G261" s="6"/>
      <c r="H261" s="6"/>
      <c r="I261" s="6"/>
      <c r="J261" s="6"/>
      <c r="K261" s="6"/>
      <c r="L261" s="6"/>
      <c r="M261" s="6"/>
      <c r="N261" s="6"/>
      <c r="O261" s="6"/>
      <c r="P261" s="6"/>
      <c r="Q261" s="6"/>
      <c r="R261" s="6"/>
      <c r="S261" s="6"/>
      <c r="T261" s="6"/>
      <c r="U261" s="6"/>
      <c r="V261" s="6"/>
      <c r="W261" s="6"/>
      <c r="X261" s="6"/>
      <c r="Y261" s="6"/>
      <c r="Z261" s="6"/>
    </row>
    <row r="262" spans="1:26" ht="31.5" customHeight="1">
      <c r="A262" s="1"/>
      <c r="B262" s="6"/>
      <c r="C262" s="10"/>
      <c r="D262" s="1"/>
      <c r="E262" s="11"/>
      <c r="F262" s="11"/>
      <c r="G262" s="6"/>
      <c r="H262" s="6"/>
      <c r="I262" s="6"/>
      <c r="J262" s="6"/>
      <c r="K262" s="6"/>
      <c r="L262" s="6"/>
      <c r="M262" s="6"/>
      <c r="N262" s="6"/>
      <c r="O262" s="6"/>
      <c r="P262" s="6"/>
      <c r="Q262" s="6"/>
      <c r="R262" s="6"/>
      <c r="S262" s="6"/>
      <c r="T262" s="6"/>
      <c r="U262" s="6"/>
      <c r="V262" s="6"/>
      <c r="W262" s="6"/>
      <c r="X262" s="6"/>
      <c r="Y262" s="6"/>
      <c r="Z262" s="6"/>
    </row>
    <row r="263" spans="1:26" ht="31.5" customHeight="1">
      <c r="A263" s="1"/>
      <c r="B263" s="6"/>
      <c r="C263" s="10"/>
      <c r="D263" s="1"/>
      <c r="E263" s="11"/>
      <c r="F263" s="11"/>
      <c r="G263" s="6"/>
      <c r="H263" s="6"/>
      <c r="I263" s="6"/>
      <c r="J263" s="6"/>
      <c r="K263" s="6"/>
      <c r="L263" s="6"/>
      <c r="M263" s="6"/>
      <c r="N263" s="6"/>
      <c r="O263" s="6"/>
      <c r="P263" s="6"/>
      <c r="Q263" s="6"/>
      <c r="R263" s="6"/>
      <c r="S263" s="6"/>
      <c r="T263" s="6"/>
      <c r="U263" s="6"/>
      <c r="V263" s="6"/>
      <c r="W263" s="6"/>
      <c r="X263" s="6"/>
      <c r="Y263" s="6"/>
      <c r="Z263" s="6"/>
    </row>
    <row r="264" spans="1:26" ht="31.5" customHeight="1">
      <c r="A264" s="1"/>
      <c r="B264" s="6"/>
      <c r="C264" s="10"/>
      <c r="D264" s="1"/>
      <c r="E264" s="11"/>
      <c r="F264" s="11"/>
      <c r="G264" s="6"/>
      <c r="H264" s="6"/>
      <c r="I264" s="6"/>
      <c r="J264" s="6"/>
      <c r="K264" s="6"/>
      <c r="L264" s="6"/>
      <c r="M264" s="6"/>
      <c r="N264" s="6"/>
      <c r="O264" s="6"/>
      <c r="P264" s="6"/>
      <c r="Q264" s="6"/>
      <c r="R264" s="6"/>
      <c r="S264" s="6"/>
      <c r="T264" s="6"/>
      <c r="U264" s="6"/>
      <c r="V264" s="6"/>
      <c r="W264" s="6"/>
      <c r="X264" s="6"/>
      <c r="Y264" s="6"/>
      <c r="Z264" s="6"/>
    </row>
    <row r="265" spans="1:26" ht="31.5" customHeight="1">
      <c r="A265" s="1"/>
      <c r="B265" s="6"/>
      <c r="C265" s="10"/>
      <c r="D265" s="1"/>
      <c r="E265" s="11"/>
      <c r="F265" s="11"/>
      <c r="G265" s="6"/>
      <c r="H265" s="6"/>
      <c r="I265" s="6"/>
      <c r="J265" s="6"/>
      <c r="K265" s="6"/>
      <c r="L265" s="6"/>
      <c r="M265" s="6"/>
      <c r="N265" s="6"/>
      <c r="O265" s="6"/>
      <c r="P265" s="6"/>
      <c r="Q265" s="6"/>
      <c r="R265" s="6"/>
      <c r="S265" s="6"/>
      <c r="T265" s="6"/>
      <c r="U265" s="6"/>
      <c r="V265" s="6"/>
      <c r="W265" s="6"/>
      <c r="X265" s="6"/>
      <c r="Y265" s="6"/>
      <c r="Z265" s="6"/>
    </row>
    <row r="266" spans="1:26" ht="31.5" customHeight="1">
      <c r="A266" s="1"/>
      <c r="B266" s="6"/>
      <c r="C266" s="10"/>
      <c r="D266" s="1"/>
      <c r="E266" s="11"/>
      <c r="F266" s="11"/>
      <c r="G266" s="6"/>
      <c r="H266" s="6"/>
      <c r="I266" s="6"/>
      <c r="J266" s="6"/>
      <c r="K266" s="6"/>
      <c r="L266" s="6"/>
      <c r="M266" s="6"/>
      <c r="N266" s="6"/>
      <c r="O266" s="6"/>
      <c r="P266" s="6"/>
      <c r="Q266" s="6"/>
      <c r="R266" s="6"/>
      <c r="S266" s="6"/>
      <c r="T266" s="6"/>
      <c r="U266" s="6"/>
      <c r="V266" s="6"/>
      <c r="W266" s="6"/>
      <c r="X266" s="6"/>
      <c r="Y266" s="6"/>
      <c r="Z266" s="6"/>
    </row>
    <row r="267" spans="1:26" ht="31.5" customHeight="1">
      <c r="A267" s="1"/>
      <c r="B267" s="6"/>
      <c r="C267" s="10"/>
      <c r="D267" s="1"/>
      <c r="E267" s="11"/>
      <c r="F267" s="11"/>
      <c r="G267" s="6"/>
      <c r="H267" s="6"/>
      <c r="I267" s="6"/>
      <c r="J267" s="6"/>
      <c r="K267" s="6"/>
      <c r="L267" s="6"/>
      <c r="M267" s="6"/>
      <c r="N267" s="6"/>
      <c r="O267" s="6"/>
      <c r="P267" s="6"/>
      <c r="Q267" s="6"/>
      <c r="R267" s="6"/>
      <c r="S267" s="6"/>
      <c r="T267" s="6"/>
      <c r="U267" s="6"/>
      <c r="V267" s="6"/>
      <c r="W267" s="6"/>
      <c r="X267" s="6"/>
      <c r="Y267" s="6"/>
      <c r="Z267" s="6"/>
    </row>
    <row r="268" spans="1:26" ht="31.5" customHeight="1">
      <c r="A268" s="1"/>
      <c r="B268" s="6"/>
      <c r="C268" s="10"/>
      <c r="D268" s="1"/>
      <c r="E268" s="11"/>
      <c r="F268" s="11"/>
      <c r="G268" s="6"/>
      <c r="H268" s="6"/>
      <c r="I268" s="6"/>
      <c r="J268" s="6"/>
      <c r="K268" s="6"/>
      <c r="L268" s="6"/>
      <c r="M268" s="6"/>
      <c r="N268" s="6"/>
      <c r="O268" s="6"/>
      <c r="P268" s="6"/>
      <c r="Q268" s="6"/>
      <c r="R268" s="6"/>
      <c r="S268" s="6"/>
      <c r="T268" s="6"/>
      <c r="U268" s="6"/>
      <c r="V268" s="6"/>
      <c r="W268" s="6"/>
      <c r="X268" s="6"/>
      <c r="Y268" s="6"/>
      <c r="Z268" s="6"/>
    </row>
    <row r="269" spans="1:26" ht="31.5" customHeight="1">
      <c r="A269" s="1"/>
      <c r="B269" s="6"/>
      <c r="C269" s="10"/>
      <c r="D269" s="1"/>
      <c r="E269" s="11"/>
      <c r="F269" s="11"/>
      <c r="G269" s="6"/>
      <c r="H269" s="6"/>
      <c r="I269" s="6"/>
      <c r="J269" s="6"/>
      <c r="K269" s="6"/>
      <c r="L269" s="6"/>
      <c r="M269" s="6"/>
      <c r="N269" s="6"/>
      <c r="O269" s="6"/>
      <c r="P269" s="6"/>
      <c r="Q269" s="6"/>
      <c r="R269" s="6"/>
      <c r="S269" s="6"/>
      <c r="T269" s="6"/>
      <c r="U269" s="6"/>
      <c r="V269" s="6"/>
      <c r="W269" s="6"/>
      <c r="X269" s="6"/>
      <c r="Y269" s="6"/>
      <c r="Z269" s="6"/>
    </row>
    <row r="270" spans="1:26" ht="31.5" customHeight="1">
      <c r="A270" s="1"/>
      <c r="B270" s="6"/>
      <c r="C270" s="10"/>
      <c r="D270" s="1"/>
      <c r="E270" s="11"/>
      <c r="F270" s="11"/>
      <c r="G270" s="6"/>
      <c r="H270" s="6"/>
      <c r="I270" s="6"/>
      <c r="J270" s="6"/>
      <c r="K270" s="6"/>
      <c r="L270" s="6"/>
      <c r="M270" s="6"/>
      <c r="N270" s="6"/>
      <c r="O270" s="6"/>
      <c r="P270" s="6"/>
      <c r="Q270" s="6"/>
      <c r="R270" s="6"/>
      <c r="S270" s="6"/>
      <c r="T270" s="6"/>
      <c r="U270" s="6"/>
      <c r="V270" s="6"/>
      <c r="W270" s="6"/>
      <c r="X270" s="6"/>
      <c r="Y270" s="6"/>
      <c r="Z270" s="6"/>
    </row>
    <row r="271" spans="1:26" ht="31.5" customHeight="1">
      <c r="A271" s="1"/>
      <c r="B271" s="6"/>
      <c r="C271" s="10"/>
      <c r="D271" s="1"/>
      <c r="E271" s="11"/>
      <c r="F271" s="11"/>
      <c r="G271" s="6"/>
      <c r="H271" s="6"/>
      <c r="I271" s="6"/>
      <c r="J271" s="6"/>
      <c r="K271" s="6"/>
      <c r="L271" s="6"/>
      <c r="M271" s="6"/>
      <c r="N271" s="6"/>
      <c r="O271" s="6"/>
      <c r="P271" s="6"/>
      <c r="Q271" s="6"/>
      <c r="R271" s="6"/>
      <c r="S271" s="6"/>
      <c r="T271" s="6"/>
      <c r="U271" s="6"/>
      <c r="V271" s="6"/>
      <c r="W271" s="6"/>
      <c r="X271" s="6"/>
      <c r="Y271" s="6"/>
      <c r="Z271" s="6"/>
    </row>
    <row r="272" spans="1:26" ht="31.5" customHeight="1">
      <c r="A272" s="1"/>
      <c r="B272" s="6"/>
      <c r="C272" s="10"/>
      <c r="D272" s="1"/>
      <c r="E272" s="11"/>
      <c r="F272" s="11"/>
      <c r="G272" s="6"/>
      <c r="H272" s="6"/>
      <c r="I272" s="6"/>
      <c r="J272" s="6"/>
      <c r="K272" s="6"/>
      <c r="L272" s="6"/>
      <c r="M272" s="6"/>
      <c r="N272" s="6"/>
      <c r="O272" s="6"/>
      <c r="P272" s="6"/>
      <c r="Q272" s="6"/>
      <c r="R272" s="6"/>
      <c r="S272" s="6"/>
      <c r="T272" s="6"/>
      <c r="U272" s="6"/>
      <c r="V272" s="6"/>
      <c r="W272" s="6"/>
      <c r="X272" s="6"/>
      <c r="Y272" s="6"/>
      <c r="Z272" s="6"/>
    </row>
    <row r="273" spans="1:26" ht="31.5" customHeight="1">
      <c r="A273" s="1"/>
      <c r="B273" s="6"/>
      <c r="C273" s="10"/>
      <c r="D273" s="1"/>
      <c r="E273" s="11"/>
      <c r="F273" s="11"/>
      <c r="G273" s="6"/>
      <c r="H273" s="6"/>
      <c r="I273" s="6"/>
      <c r="J273" s="6"/>
      <c r="K273" s="6"/>
      <c r="L273" s="6"/>
      <c r="M273" s="6"/>
      <c r="N273" s="6"/>
      <c r="O273" s="6"/>
      <c r="P273" s="6"/>
      <c r="Q273" s="6"/>
      <c r="R273" s="6"/>
      <c r="S273" s="6"/>
      <c r="T273" s="6"/>
      <c r="U273" s="6"/>
      <c r="V273" s="6"/>
      <c r="W273" s="6"/>
      <c r="X273" s="6"/>
      <c r="Y273" s="6"/>
      <c r="Z273" s="6"/>
    </row>
    <row r="274" spans="1:26" ht="31.5" customHeight="1">
      <c r="A274" s="1"/>
      <c r="B274" s="6"/>
      <c r="C274" s="10"/>
      <c r="D274" s="1"/>
      <c r="E274" s="11"/>
      <c r="F274" s="11"/>
      <c r="G274" s="6"/>
      <c r="H274" s="6"/>
      <c r="I274" s="6"/>
      <c r="J274" s="6"/>
      <c r="K274" s="6"/>
      <c r="L274" s="6"/>
      <c r="M274" s="6"/>
      <c r="N274" s="6"/>
      <c r="O274" s="6"/>
      <c r="P274" s="6"/>
      <c r="Q274" s="6"/>
      <c r="R274" s="6"/>
      <c r="S274" s="6"/>
      <c r="T274" s="6"/>
      <c r="U274" s="6"/>
      <c r="V274" s="6"/>
      <c r="W274" s="6"/>
      <c r="X274" s="6"/>
      <c r="Y274" s="6"/>
      <c r="Z274" s="6"/>
    </row>
    <row r="275" spans="1:26" ht="31.5" customHeight="1">
      <c r="A275" s="1"/>
      <c r="B275" s="6"/>
      <c r="C275" s="10"/>
      <c r="D275" s="1"/>
      <c r="E275" s="11"/>
      <c r="F275" s="11"/>
      <c r="G275" s="6"/>
      <c r="H275" s="6"/>
      <c r="I275" s="6"/>
      <c r="J275" s="6"/>
      <c r="K275" s="6"/>
      <c r="L275" s="6"/>
      <c r="M275" s="6"/>
      <c r="N275" s="6"/>
      <c r="O275" s="6"/>
      <c r="P275" s="6"/>
      <c r="Q275" s="6"/>
      <c r="R275" s="6"/>
      <c r="S275" s="6"/>
      <c r="T275" s="6"/>
      <c r="U275" s="6"/>
      <c r="V275" s="6"/>
      <c r="W275" s="6"/>
      <c r="X275" s="6"/>
      <c r="Y275" s="6"/>
      <c r="Z275" s="6"/>
    </row>
    <row r="276" spans="1:26" ht="31.5" customHeight="1">
      <c r="A276" s="1"/>
      <c r="B276" s="6"/>
      <c r="C276" s="10"/>
      <c r="D276" s="1"/>
      <c r="E276" s="11"/>
      <c r="F276" s="11"/>
      <c r="G276" s="6"/>
      <c r="H276" s="6"/>
      <c r="I276" s="6"/>
      <c r="J276" s="6"/>
      <c r="K276" s="6"/>
      <c r="L276" s="6"/>
      <c r="M276" s="6"/>
      <c r="N276" s="6"/>
      <c r="O276" s="6"/>
      <c r="P276" s="6"/>
      <c r="Q276" s="6"/>
      <c r="R276" s="6"/>
      <c r="S276" s="6"/>
      <c r="T276" s="6"/>
      <c r="U276" s="6"/>
      <c r="V276" s="6"/>
      <c r="W276" s="6"/>
      <c r="X276" s="6"/>
      <c r="Y276" s="6"/>
      <c r="Z276" s="6"/>
    </row>
    <row r="277" spans="1:26" ht="31.5" customHeight="1">
      <c r="A277" s="1"/>
      <c r="B277" s="6"/>
      <c r="C277" s="10"/>
      <c r="D277" s="1"/>
      <c r="E277" s="11"/>
      <c r="F277" s="11"/>
      <c r="G277" s="6"/>
      <c r="H277" s="6"/>
      <c r="I277" s="6"/>
      <c r="J277" s="6"/>
      <c r="K277" s="6"/>
      <c r="L277" s="6"/>
      <c r="M277" s="6"/>
      <c r="N277" s="6"/>
      <c r="O277" s="6"/>
      <c r="P277" s="6"/>
      <c r="Q277" s="6"/>
      <c r="R277" s="6"/>
      <c r="S277" s="6"/>
      <c r="T277" s="6"/>
      <c r="U277" s="6"/>
      <c r="V277" s="6"/>
      <c r="W277" s="6"/>
      <c r="X277" s="6"/>
      <c r="Y277" s="6"/>
      <c r="Z277" s="6"/>
    </row>
    <row r="278" spans="1:26" ht="31.5" customHeight="1">
      <c r="A278" s="1"/>
      <c r="B278" s="6"/>
      <c r="C278" s="10"/>
      <c r="D278" s="1"/>
      <c r="E278" s="11"/>
      <c r="F278" s="11"/>
      <c r="G278" s="6"/>
      <c r="H278" s="6"/>
      <c r="I278" s="6"/>
      <c r="J278" s="6"/>
      <c r="K278" s="6"/>
      <c r="L278" s="6"/>
      <c r="M278" s="6"/>
      <c r="N278" s="6"/>
      <c r="O278" s="6"/>
      <c r="P278" s="6"/>
      <c r="Q278" s="6"/>
      <c r="R278" s="6"/>
      <c r="S278" s="6"/>
      <c r="T278" s="6"/>
      <c r="U278" s="6"/>
      <c r="V278" s="6"/>
      <c r="W278" s="6"/>
      <c r="X278" s="6"/>
      <c r="Y278" s="6"/>
      <c r="Z278" s="6"/>
    </row>
    <row r="279" spans="1:26" ht="31.5" customHeight="1">
      <c r="A279" s="1"/>
      <c r="B279" s="6"/>
      <c r="C279" s="10"/>
      <c r="D279" s="1"/>
      <c r="E279" s="11"/>
      <c r="F279" s="11"/>
      <c r="G279" s="6"/>
      <c r="H279" s="6"/>
      <c r="I279" s="6"/>
      <c r="J279" s="6"/>
      <c r="K279" s="6"/>
      <c r="L279" s="6"/>
      <c r="M279" s="6"/>
      <c r="N279" s="6"/>
      <c r="O279" s="6"/>
      <c r="P279" s="6"/>
      <c r="Q279" s="6"/>
      <c r="R279" s="6"/>
      <c r="S279" s="6"/>
      <c r="T279" s="6"/>
      <c r="U279" s="6"/>
      <c r="V279" s="6"/>
      <c r="W279" s="6"/>
      <c r="X279" s="6"/>
      <c r="Y279" s="6"/>
      <c r="Z279" s="6"/>
    </row>
    <row r="280" spans="1:26" ht="31.5" customHeight="1">
      <c r="A280" s="1"/>
      <c r="B280" s="6"/>
      <c r="C280" s="10"/>
      <c r="D280" s="1"/>
      <c r="E280" s="11"/>
      <c r="F280" s="11"/>
      <c r="G280" s="6"/>
      <c r="H280" s="6"/>
      <c r="I280" s="6"/>
      <c r="J280" s="6"/>
      <c r="K280" s="6"/>
      <c r="L280" s="6"/>
      <c r="M280" s="6"/>
      <c r="N280" s="6"/>
      <c r="O280" s="6"/>
      <c r="P280" s="6"/>
      <c r="Q280" s="6"/>
      <c r="R280" s="6"/>
      <c r="S280" s="6"/>
      <c r="T280" s="6"/>
      <c r="U280" s="6"/>
      <c r="V280" s="6"/>
      <c r="W280" s="6"/>
      <c r="X280" s="6"/>
      <c r="Y280" s="6"/>
      <c r="Z280" s="6"/>
    </row>
    <row r="281" spans="1:26" ht="31.5" customHeight="1">
      <c r="A281" s="1"/>
      <c r="B281" s="6"/>
      <c r="C281" s="10"/>
      <c r="D281" s="1"/>
      <c r="E281" s="11"/>
      <c r="F281" s="11"/>
      <c r="G281" s="6"/>
      <c r="H281" s="6"/>
      <c r="I281" s="6"/>
      <c r="J281" s="6"/>
      <c r="K281" s="6"/>
      <c r="L281" s="6"/>
      <c r="M281" s="6"/>
      <c r="N281" s="6"/>
      <c r="O281" s="6"/>
      <c r="P281" s="6"/>
      <c r="Q281" s="6"/>
      <c r="R281" s="6"/>
      <c r="S281" s="6"/>
      <c r="T281" s="6"/>
      <c r="U281" s="6"/>
      <c r="V281" s="6"/>
      <c r="W281" s="6"/>
      <c r="X281" s="6"/>
      <c r="Y281" s="6"/>
      <c r="Z281" s="6"/>
    </row>
    <row r="282" spans="1:26" ht="31.5" customHeight="1">
      <c r="A282" s="1"/>
      <c r="B282" s="6"/>
      <c r="C282" s="10"/>
      <c r="D282" s="1"/>
      <c r="E282" s="11"/>
      <c r="F282" s="11"/>
      <c r="G282" s="6"/>
      <c r="H282" s="6"/>
      <c r="I282" s="6"/>
      <c r="J282" s="6"/>
      <c r="K282" s="6"/>
      <c r="L282" s="6"/>
      <c r="M282" s="6"/>
      <c r="N282" s="6"/>
      <c r="O282" s="6"/>
      <c r="P282" s="6"/>
      <c r="Q282" s="6"/>
      <c r="R282" s="6"/>
      <c r="S282" s="6"/>
      <c r="T282" s="6"/>
      <c r="U282" s="6"/>
      <c r="V282" s="6"/>
      <c r="W282" s="6"/>
      <c r="X282" s="6"/>
      <c r="Y282" s="6"/>
      <c r="Z282" s="6"/>
    </row>
    <row r="283" spans="1:26" ht="31.5" customHeight="1">
      <c r="A283" s="1"/>
      <c r="B283" s="6"/>
      <c r="C283" s="10"/>
      <c r="D283" s="1"/>
      <c r="E283" s="11"/>
      <c r="F283" s="11"/>
      <c r="G283" s="6"/>
      <c r="H283" s="6"/>
      <c r="I283" s="6"/>
      <c r="J283" s="6"/>
      <c r="K283" s="6"/>
      <c r="L283" s="6"/>
      <c r="M283" s="6"/>
      <c r="N283" s="6"/>
      <c r="O283" s="6"/>
      <c r="P283" s="6"/>
      <c r="Q283" s="6"/>
      <c r="R283" s="6"/>
      <c r="S283" s="6"/>
      <c r="T283" s="6"/>
      <c r="U283" s="6"/>
      <c r="V283" s="6"/>
      <c r="W283" s="6"/>
      <c r="X283" s="6"/>
      <c r="Y283" s="6"/>
      <c r="Z283" s="6"/>
    </row>
    <row r="284" spans="1:26" ht="31.5" customHeight="1">
      <c r="A284" s="1"/>
      <c r="B284" s="6"/>
      <c r="C284" s="10"/>
      <c r="D284" s="1"/>
      <c r="E284" s="11"/>
      <c r="F284" s="11"/>
      <c r="G284" s="6"/>
      <c r="H284" s="6"/>
      <c r="I284" s="6"/>
      <c r="J284" s="6"/>
      <c r="K284" s="6"/>
      <c r="L284" s="6"/>
      <c r="M284" s="6"/>
      <c r="N284" s="6"/>
      <c r="O284" s="6"/>
      <c r="P284" s="6"/>
      <c r="Q284" s="6"/>
      <c r="R284" s="6"/>
      <c r="S284" s="6"/>
      <c r="T284" s="6"/>
      <c r="U284" s="6"/>
      <c r="V284" s="6"/>
      <c r="W284" s="6"/>
      <c r="X284" s="6"/>
      <c r="Y284" s="6"/>
      <c r="Z284" s="6"/>
    </row>
    <row r="285" spans="1:26" ht="31.5" customHeight="1">
      <c r="A285" s="1"/>
      <c r="B285" s="6"/>
      <c r="C285" s="10"/>
      <c r="D285" s="1"/>
      <c r="E285" s="11"/>
      <c r="F285" s="11"/>
      <c r="G285" s="6"/>
      <c r="H285" s="6"/>
      <c r="I285" s="6"/>
      <c r="J285" s="6"/>
      <c r="K285" s="6"/>
      <c r="L285" s="6"/>
      <c r="M285" s="6"/>
      <c r="N285" s="6"/>
      <c r="O285" s="6"/>
      <c r="P285" s="6"/>
      <c r="Q285" s="6"/>
      <c r="R285" s="6"/>
      <c r="S285" s="6"/>
      <c r="T285" s="6"/>
      <c r="U285" s="6"/>
      <c r="V285" s="6"/>
      <c r="W285" s="6"/>
      <c r="X285" s="6"/>
      <c r="Y285" s="6"/>
      <c r="Z285" s="6"/>
    </row>
    <row r="286" spans="1:26" ht="31.5" customHeight="1">
      <c r="A286" s="1"/>
      <c r="B286" s="6"/>
      <c r="C286" s="10"/>
      <c r="D286" s="1"/>
      <c r="E286" s="11"/>
      <c r="F286" s="11"/>
      <c r="G286" s="6"/>
      <c r="H286" s="6"/>
      <c r="I286" s="6"/>
      <c r="J286" s="6"/>
      <c r="K286" s="6"/>
      <c r="L286" s="6"/>
      <c r="M286" s="6"/>
      <c r="N286" s="6"/>
      <c r="O286" s="6"/>
      <c r="P286" s="6"/>
      <c r="Q286" s="6"/>
      <c r="R286" s="6"/>
      <c r="S286" s="6"/>
      <c r="T286" s="6"/>
      <c r="U286" s="6"/>
      <c r="V286" s="6"/>
      <c r="W286" s="6"/>
      <c r="X286" s="6"/>
      <c r="Y286" s="6"/>
      <c r="Z286" s="6"/>
    </row>
    <row r="287" spans="1:26" ht="31.5" customHeight="1">
      <c r="A287" s="1"/>
      <c r="B287" s="6"/>
      <c r="C287" s="10"/>
      <c r="D287" s="1"/>
      <c r="E287" s="11"/>
      <c r="F287" s="11"/>
      <c r="G287" s="6"/>
      <c r="H287" s="6"/>
      <c r="I287" s="6"/>
      <c r="J287" s="6"/>
      <c r="K287" s="6"/>
      <c r="L287" s="6"/>
      <c r="M287" s="6"/>
      <c r="N287" s="6"/>
      <c r="O287" s="6"/>
      <c r="P287" s="6"/>
      <c r="Q287" s="6"/>
      <c r="R287" s="6"/>
      <c r="S287" s="6"/>
      <c r="T287" s="6"/>
      <c r="U287" s="6"/>
      <c r="V287" s="6"/>
      <c r="W287" s="6"/>
      <c r="X287" s="6"/>
      <c r="Y287" s="6"/>
      <c r="Z287" s="6"/>
    </row>
    <row r="288" spans="1:26" ht="31.5" customHeight="1">
      <c r="A288" s="1"/>
      <c r="B288" s="6"/>
      <c r="C288" s="10"/>
      <c r="D288" s="1"/>
      <c r="E288" s="11"/>
      <c r="F288" s="11"/>
      <c r="G288" s="6"/>
      <c r="H288" s="6"/>
      <c r="I288" s="6"/>
      <c r="J288" s="6"/>
      <c r="K288" s="6"/>
      <c r="L288" s="6"/>
      <c r="M288" s="6"/>
      <c r="N288" s="6"/>
      <c r="O288" s="6"/>
      <c r="P288" s="6"/>
      <c r="Q288" s="6"/>
      <c r="R288" s="6"/>
      <c r="S288" s="6"/>
      <c r="T288" s="6"/>
      <c r="U288" s="6"/>
      <c r="V288" s="6"/>
      <c r="W288" s="6"/>
      <c r="X288" s="6"/>
      <c r="Y288" s="6"/>
      <c r="Z288" s="6"/>
    </row>
    <row r="289" spans="1:26" ht="31.5" customHeight="1">
      <c r="A289" s="1"/>
      <c r="B289" s="6"/>
      <c r="C289" s="10"/>
      <c r="D289" s="1"/>
      <c r="E289" s="11"/>
      <c r="F289" s="11"/>
      <c r="G289" s="6"/>
      <c r="H289" s="6"/>
      <c r="I289" s="6"/>
      <c r="J289" s="6"/>
      <c r="K289" s="6"/>
      <c r="L289" s="6"/>
      <c r="M289" s="6"/>
      <c r="N289" s="6"/>
      <c r="O289" s="6"/>
      <c r="P289" s="6"/>
      <c r="Q289" s="6"/>
      <c r="R289" s="6"/>
      <c r="S289" s="6"/>
      <c r="T289" s="6"/>
      <c r="U289" s="6"/>
      <c r="V289" s="6"/>
      <c r="W289" s="6"/>
      <c r="X289" s="6"/>
      <c r="Y289" s="6"/>
      <c r="Z289" s="6"/>
    </row>
    <row r="290" spans="1:26" ht="31.5" customHeight="1">
      <c r="A290" s="1"/>
      <c r="B290" s="6"/>
      <c r="C290" s="10"/>
      <c r="D290" s="1"/>
      <c r="E290" s="11"/>
      <c r="F290" s="11"/>
      <c r="G290" s="6"/>
      <c r="H290" s="6"/>
      <c r="I290" s="6"/>
      <c r="J290" s="6"/>
      <c r="K290" s="6"/>
      <c r="L290" s="6"/>
      <c r="M290" s="6"/>
      <c r="N290" s="6"/>
      <c r="O290" s="6"/>
      <c r="P290" s="6"/>
      <c r="Q290" s="6"/>
      <c r="R290" s="6"/>
      <c r="S290" s="6"/>
      <c r="T290" s="6"/>
      <c r="U290" s="6"/>
      <c r="V290" s="6"/>
      <c r="W290" s="6"/>
      <c r="X290" s="6"/>
      <c r="Y290" s="6"/>
      <c r="Z290" s="6"/>
    </row>
    <row r="291" spans="1:26" ht="31.5" customHeight="1">
      <c r="A291" s="1"/>
      <c r="B291" s="6"/>
      <c r="C291" s="10"/>
      <c r="D291" s="1"/>
      <c r="E291" s="11"/>
      <c r="F291" s="11"/>
      <c r="G291" s="6"/>
      <c r="H291" s="6"/>
      <c r="I291" s="6"/>
      <c r="J291" s="6"/>
      <c r="K291" s="6"/>
      <c r="L291" s="6"/>
      <c r="M291" s="6"/>
      <c r="N291" s="6"/>
      <c r="O291" s="6"/>
      <c r="P291" s="6"/>
      <c r="Q291" s="6"/>
      <c r="R291" s="6"/>
      <c r="S291" s="6"/>
      <c r="T291" s="6"/>
      <c r="U291" s="6"/>
      <c r="V291" s="6"/>
      <c r="W291" s="6"/>
      <c r="X291" s="6"/>
      <c r="Y291" s="6"/>
      <c r="Z291" s="6"/>
    </row>
    <row r="292" spans="1:26" ht="31.5" customHeight="1">
      <c r="A292" s="1"/>
      <c r="B292" s="6"/>
      <c r="C292" s="10"/>
      <c r="D292" s="1"/>
      <c r="E292" s="11"/>
      <c r="F292" s="11"/>
      <c r="G292" s="6"/>
      <c r="H292" s="6"/>
      <c r="I292" s="6"/>
      <c r="J292" s="6"/>
      <c r="K292" s="6"/>
      <c r="L292" s="6"/>
      <c r="M292" s="6"/>
      <c r="N292" s="6"/>
      <c r="O292" s="6"/>
      <c r="P292" s="6"/>
      <c r="Q292" s="6"/>
      <c r="R292" s="6"/>
      <c r="S292" s="6"/>
      <c r="T292" s="6"/>
      <c r="U292" s="6"/>
      <c r="V292" s="6"/>
      <c r="W292" s="6"/>
      <c r="X292" s="6"/>
      <c r="Y292" s="6"/>
      <c r="Z292" s="6"/>
    </row>
    <row r="293" spans="1:26" ht="31.5" customHeight="1">
      <c r="A293" s="1"/>
      <c r="B293" s="6"/>
      <c r="C293" s="10"/>
      <c r="D293" s="1"/>
      <c r="E293" s="11"/>
      <c r="F293" s="11"/>
      <c r="G293" s="6"/>
      <c r="H293" s="6"/>
      <c r="I293" s="6"/>
      <c r="J293" s="6"/>
      <c r="K293" s="6"/>
      <c r="L293" s="6"/>
      <c r="M293" s="6"/>
      <c r="N293" s="6"/>
      <c r="O293" s="6"/>
      <c r="P293" s="6"/>
      <c r="Q293" s="6"/>
      <c r="R293" s="6"/>
      <c r="S293" s="6"/>
      <c r="T293" s="6"/>
      <c r="U293" s="6"/>
      <c r="V293" s="6"/>
      <c r="W293" s="6"/>
      <c r="X293" s="6"/>
      <c r="Y293" s="6"/>
      <c r="Z293" s="6"/>
    </row>
    <row r="294" spans="1:26" ht="31.5" customHeight="1">
      <c r="A294" s="1"/>
      <c r="B294" s="6"/>
      <c r="C294" s="10"/>
      <c r="D294" s="1"/>
      <c r="E294" s="11"/>
      <c r="F294" s="11"/>
      <c r="G294" s="6"/>
      <c r="H294" s="6"/>
      <c r="I294" s="6"/>
      <c r="J294" s="6"/>
      <c r="K294" s="6"/>
      <c r="L294" s="6"/>
      <c r="M294" s="6"/>
      <c r="N294" s="6"/>
      <c r="O294" s="6"/>
      <c r="P294" s="6"/>
      <c r="Q294" s="6"/>
      <c r="R294" s="6"/>
      <c r="S294" s="6"/>
      <c r="T294" s="6"/>
      <c r="U294" s="6"/>
      <c r="V294" s="6"/>
      <c r="W294" s="6"/>
      <c r="X294" s="6"/>
      <c r="Y294" s="6"/>
      <c r="Z294" s="6"/>
    </row>
    <row r="295" spans="1:26" ht="31.5" customHeight="1">
      <c r="A295" s="1"/>
      <c r="B295" s="6"/>
      <c r="C295" s="10"/>
      <c r="D295" s="1"/>
      <c r="E295" s="11"/>
      <c r="F295" s="11"/>
      <c r="G295" s="6"/>
      <c r="H295" s="6"/>
      <c r="I295" s="6"/>
      <c r="J295" s="6"/>
      <c r="K295" s="6"/>
      <c r="L295" s="6"/>
      <c r="M295" s="6"/>
      <c r="N295" s="6"/>
      <c r="O295" s="6"/>
      <c r="P295" s="6"/>
      <c r="Q295" s="6"/>
      <c r="R295" s="6"/>
      <c r="S295" s="6"/>
      <c r="T295" s="6"/>
      <c r="U295" s="6"/>
      <c r="V295" s="6"/>
      <c r="W295" s="6"/>
      <c r="X295" s="6"/>
      <c r="Y295" s="6"/>
      <c r="Z295" s="6"/>
    </row>
    <row r="296" spans="1:26" ht="31.5" customHeight="1">
      <c r="A296" s="1"/>
      <c r="B296" s="6"/>
      <c r="C296" s="10"/>
      <c r="D296" s="1"/>
      <c r="E296" s="11"/>
      <c r="F296" s="11"/>
      <c r="G296" s="6"/>
      <c r="H296" s="6"/>
      <c r="I296" s="6"/>
      <c r="J296" s="6"/>
      <c r="K296" s="6"/>
      <c r="L296" s="6"/>
      <c r="M296" s="6"/>
      <c r="N296" s="6"/>
      <c r="O296" s="6"/>
      <c r="P296" s="6"/>
      <c r="Q296" s="6"/>
      <c r="R296" s="6"/>
      <c r="S296" s="6"/>
      <c r="T296" s="6"/>
      <c r="U296" s="6"/>
      <c r="V296" s="6"/>
      <c r="W296" s="6"/>
      <c r="X296" s="6"/>
      <c r="Y296" s="6"/>
      <c r="Z296" s="6"/>
    </row>
    <row r="297" spans="1:26" ht="31.5" customHeight="1">
      <c r="A297" s="1"/>
      <c r="B297" s="6"/>
      <c r="C297" s="10"/>
      <c r="D297" s="1"/>
      <c r="E297" s="11"/>
      <c r="F297" s="11"/>
      <c r="G297" s="6"/>
      <c r="H297" s="6"/>
      <c r="I297" s="6"/>
      <c r="J297" s="6"/>
      <c r="K297" s="6"/>
      <c r="L297" s="6"/>
      <c r="M297" s="6"/>
      <c r="N297" s="6"/>
      <c r="O297" s="6"/>
      <c r="P297" s="6"/>
      <c r="Q297" s="6"/>
      <c r="R297" s="6"/>
      <c r="S297" s="6"/>
      <c r="T297" s="6"/>
      <c r="U297" s="6"/>
      <c r="V297" s="6"/>
      <c r="W297" s="6"/>
      <c r="X297" s="6"/>
      <c r="Y297" s="6"/>
      <c r="Z297" s="6"/>
    </row>
    <row r="298" spans="1:26" ht="31.5" customHeight="1">
      <c r="A298" s="1"/>
      <c r="B298" s="6"/>
      <c r="C298" s="10"/>
      <c r="D298" s="1"/>
      <c r="E298" s="11"/>
      <c r="F298" s="11"/>
      <c r="G298" s="6"/>
      <c r="H298" s="6"/>
      <c r="I298" s="6"/>
      <c r="J298" s="6"/>
      <c r="K298" s="6"/>
      <c r="L298" s="6"/>
      <c r="M298" s="6"/>
      <c r="N298" s="6"/>
      <c r="O298" s="6"/>
      <c r="P298" s="6"/>
      <c r="Q298" s="6"/>
      <c r="R298" s="6"/>
      <c r="S298" s="6"/>
      <c r="T298" s="6"/>
      <c r="U298" s="6"/>
      <c r="V298" s="6"/>
      <c r="W298" s="6"/>
      <c r="X298" s="6"/>
      <c r="Y298" s="6"/>
      <c r="Z298" s="6"/>
    </row>
    <row r="299" spans="1:26" ht="31.5" customHeight="1">
      <c r="A299" s="1"/>
      <c r="B299" s="6"/>
      <c r="C299" s="10"/>
      <c r="D299" s="1"/>
      <c r="E299" s="11"/>
      <c r="F299" s="11"/>
      <c r="G299" s="6"/>
      <c r="H299" s="6"/>
      <c r="I299" s="6"/>
      <c r="J299" s="6"/>
      <c r="K299" s="6"/>
      <c r="L299" s="6"/>
      <c r="M299" s="6"/>
      <c r="N299" s="6"/>
      <c r="O299" s="6"/>
      <c r="P299" s="6"/>
      <c r="Q299" s="6"/>
      <c r="R299" s="6"/>
      <c r="S299" s="6"/>
      <c r="T299" s="6"/>
      <c r="U299" s="6"/>
      <c r="V299" s="6"/>
      <c r="W299" s="6"/>
      <c r="X299" s="6"/>
      <c r="Y299" s="6"/>
      <c r="Z299" s="6"/>
    </row>
    <row r="300" spans="1:26" ht="31.5" customHeight="1">
      <c r="A300" s="1"/>
      <c r="B300" s="6"/>
      <c r="C300" s="10"/>
      <c r="D300" s="1"/>
      <c r="E300" s="11"/>
      <c r="F300" s="11"/>
      <c r="G300" s="6"/>
      <c r="H300" s="6"/>
      <c r="I300" s="6"/>
      <c r="J300" s="6"/>
      <c r="K300" s="6"/>
      <c r="L300" s="6"/>
      <c r="M300" s="6"/>
      <c r="N300" s="6"/>
      <c r="O300" s="6"/>
      <c r="P300" s="6"/>
      <c r="Q300" s="6"/>
      <c r="R300" s="6"/>
      <c r="S300" s="6"/>
      <c r="T300" s="6"/>
      <c r="U300" s="6"/>
      <c r="V300" s="6"/>
      <c r="W300" s="6"/>
      <c r="X300" s="6"/>
      <c r="Y300" s="6"/>
      <c r="Z300" s="6"/>
    </row>
    <row r="301" spans="1:26" ht="31.5" customHeight="1">
      <c r="A301" s="1"/>
      <c r="B301" s="6"/>
      <c r="C301" s="10"/>
      <c r="D301" s="1"/>
      <c r="E301" s="11"/>
      <c r="F301" s="11"/>
      <c r="G301" s="6"/>
      <c r="H301" s="6"/>
      <c r="I301" s="6"/>
      <c r="J301" s="6"/>
      <c r="K301" s="6"/>
      <c r="L301" s="6"/>
      <c r="M301" s="6"/>
      <c r="N301" s="6"/>
      <c r="O301" s="6"/>
      <c r="P301" s="6"/>
      <c r="Q301" s="6"/>
      <c r="R301" s="6"/>
      <c r="S301" s="6"/>
      <c r="T301" s="6"/>
      <c r="U301" s="6"/>
      <c r="V301" s="6"/>
      <c r="W301" s="6"/>
      <c r="X301" s="6"/>
      <c r="Y301" s="6"/>
      <c r="Z301" s="6"/>
    </row>
    <row r="302" spans="1:26" ht="31.5" customHeight="1">
      <c r="A302" s="1"/>
      <c r="B302" s="6"/>
      <c r="C302" s="10"/>
      <c r="D302" s="1"/>
      <c r="E302" s="11"/>
      <c r="F302" s="11"/>
      <c r="G302" s="6"/>
      <c r="H302" s="6"/>
      <c r="I302" s="6"/>
      <c r="J302" s="6"/>
      <c r="K302" s="6"/>
      <c r="L302" s="6"/>
      <c r="M302" s="6"/>
      <c r="N302" s="6"/>
      <c r="O302" s="6"/>
      <c r="P302" s="6"/>
      <c r="Q302" s="6"/>
      <c r="R302" s="6"/>
      <c r="S302" s="6"/>
      <c r="T302" s="6"/>
      <c r="U302" s="6"/>
      <c r="V302" s="6"/>
      <c r="W302" s="6"/>
      <c r="X302" s="6"/>
      <c r="Y302" s="6"/>
      <c r="Z302" s="6"/>
    </row>
    <row r="303" spans="1:26" ht="31.5" customHeight="1">
      <c r="A303" s="1"/>
      <c r="B303" s="6"/>
      <c r="C303" s="10"/>
      <c r="D303" s="1"/>
      <c r="E303" s="11"/>
      <c r="F303" s="11"/>
      <c r="G303" s="6"/>
      <c r="H303" s="6"/>
      <c r="I303" s="6"/>
      <c r="J303" s="6"/>
      <c r="K303" s="6"/>
      <c r="L303" s="6"/>
      <c r="M303" s="6"/>
      <c r="N303" s="6"/>
      <c r="O303" s="6"/>
      <c r="P303" s="6"/>
      <c r="Q303" s="6"/>
      <c r="R303" s="6"/>
      <c r="S303" s="6"/>
      <c r="T303" s="6"/>
      <c r="U303" s="6"/>
      <c r="V303" s="6"/>
      <c r="W303" s="6"/>
      <c r="X303" s="6"/>
      <c r="Y303" s="6"/>
      <c r="Z303" s="6"/>
    </row>
    <row r="304" spans="1:26" ht="31.5" customHeight="1">
      <c r="A304" s="1"/>
      <c r="B304" s="6"/>
      <c r="C304" s="10"/>
      <c r="D304" s="1"/>
      <c r="E304" s="11"/>
      <c r="F304" s="11"/>
      <c r="G304" s="6"/>
      <c r="H304" s="6"/>
      <c r="I304" s="6"/>
      <c r="J304" s="6"/>
      <c r="K304" s="6"/>
      <c r="L304" s="6"/>
      <c r="M304" s="6"/>
      <c r="N304" s="6"/>
      <c r="O304" s="6"/>
      <c r="P304" s="6"/>
      <c r="Q304" s="6"/>
      <c r="R304" s="6"/>
      <c r="S304" s="6"/>
      <c r="T304" s="6"/>
      <c r="U304" s="6"/>
      <c r="V304" s="6"/>
      <c r="W304" s="6"/>
      <c r="X304" s="6"/>
      <c r="Y304" s="6"/>
      <c r="Z304" s="6"/>
    </row>
    <row r="305" spans="1:26" ht="31.5" customHeight="1">
      <c r="A305" s="1"/>
      <c r="B305" s="6"/>
      <c r="C305" s="10"/>
      <c r="D305" s="1"/>
      <c r="E305" s="11"/>
      <c r="F305" s="11"/>
      <c r="G305" s="6"/>
      <c r="H305" s="6"/>
      <c r="I305" s="6"/>
      <c r="J305" s="6"/>
      <c r="K305" s="6"/>
      <c r="L305" s="6"/>
      <c r="M305" s="6"/>
      <c r="N305" s="6"/>
      <c r="O305" s="6"/>
      <c r="P305" s="6"/>
      <c r="Q305" s="6"/>
      <c r="R305" s="6"/>
      <c r="S305" s="6"/>
      <c r="T305" s="6"/>
      <c r="U305" s="6"/>
      <c r="V305" s="6"/>
      <c r="W305" s="6"/>
      <c r="X305" s="6"/>
      <c r="Y305" s="6"/>
      <c r="Z305" s="6"/>
    </row>
    <row r="306" spans="1:26" ht="31.5" customHeight="1">
      <c r="A306" s="1"/>
      <c r="B306" s="6"/>
      <c r="C306" s="10"/>
      <c r="D306" s="1"/>
      <c r="E306" s="11"/>
      <c r="F306" s="11"/>
      <c r="G306" s="6"/>
      <c r="H306" s="6"/>
      <c r="I306" s="6"/>
      <c r="J306" s="6"/>
      <c r="K306" s="6"/>
      <c r="L306" s="6"/>
      <c r="M306" s="6"/>
      <c r="N306" s="6"/>
      <c r="O306" s="6"/>
      <c r="P306" s="6"/>
      <c r="Q306" s="6"/>
      <c r="R306" s="6"/>
      <c r="S306" s="6"/>
      <c r="T306" s="6"/>
      <c r="U306" s="6"/>
      <c r="V306" s="6"/>
      <c r="W306" s="6"/>
      <c r="X306" s="6"/>
      <c r="Y306" s="6"/>
      <c r="Z306" s="6"/>
    </row>
    <row r="307" spans="1:26" ht="31.5" customHeight="1">
      <c r="A307" s="1"/>
      <c r="B307" s="6"/>
      <c r="C307" s="10"/>
      <c r="D307" s="1"/>
      <c r="E307" s="11"/>
      <c r="F307" s="11"/>
      <c r="G307" s="6"/>
      <c r="H307" s="6"/>
      <c r="I307" s="6"/>
      <c r="J307" s="6"/>
      <c r="K307" s="6"/>
      <c r="L307" s="6"/>
      <c r="M307" s="6"/>
      <c r="N307" s="6"/>
      <c r="O307" s="6"/>
      <c r="P307" s="6"/>
      <c r="Q307" s="6"/>
      <c r="R307" s="6"/>
      <c r="S307" s="6"/>
      <c r="T307" s="6"/>
      <c r="U307" s="6"/>
      <c r="V307" s="6"/>
      <c r="W307" s="6"/>
      <c r="X307" s="6"/>
      <c r="Y307" s="6"/>
      <c r="Z307" s="6"/>
    </row>
    <row r="308" spans="1:26" ht="31.5" customHeight="1">
      <c r="A308" s="1"/>
      <c r="B308" s="6"/>
      <c r="C308" s="10"/>
      <c r="D308" s="1"/>
      <c r="E308" s="11"/>
      <c r="F308" s="11"/>
      <c r="G308" s="6"/>
      <c r="H308" s="6"/>
      <c r="I308" s="6"/>
      <c r="J308" s="6"/>
      <c r="K308" s="6"/>
      <c r="L308" s="6"/>
      <c r="M308" s="6"/>
      <c r="N308" s="6"/>
      <c r="O308" s="6"/>
      <c r="P308" s="6"/>
      <c r="Q308" s="6"/>
      <c r="R308" s="6"/>
      <c r="S308" s="6"/>
      <c r="T308" s="6"/>
      <c r="U308" s="6"/>
      <c r="V308" s="6"/>
      <c r="W308" s="6"/>
      <c r="X308" s="6"/>
      <c r="Y308" s="6"/>
      <c r="Z308" s="6"/>
    </row>
    <row r="309" spans="1:26" ht="31.5" customHeight="1">
      <c r="A309" s="1"/>
      <c r="B309" s="6"/>
      <c r="C309" s="10"/>
      <c r="D309" s="1"/>
      <c r="E309" s="11"/>
      <c r="F309" s="11"/>
      <c r="G309" s="6"/>
      <c r="H309" s="6"/>
      <c r="I309" s="6"/>
      <c r="J309" s="6"/>
      <c r="K309" s="6"/>
      <c r="L309" s="6"/>
      <c r="M309" s="6"/>
      <c r="N309" s="6"/>
      <c r="O309" s="6"/>
      <c r="P309" s="6"/>
      <c r="Q309" s="6"/>
      <c r="R309" s="6"/>
      <c r="S309" s="6"/>
      <c r="T309" s="6"/>
      <c r="U309" s="6"/>
      <c r="V309" s="6"/>
      <c r="W309" s="6"/>
      <c r="X309" s="6"/>
      <c r="Y309" s="6"/>
      <c r="Z309" s="6"/>
    </row>
    <row r="310" spans="1:26" ht="31.5" customHeight="1">
      <c r="A310" s="1"/>
      <c r="B310" s="6"/>
      <c r="C310" s="10"/>
      <c r="D310" s="1"/>
      <c r="E310" s="11"/>
      <c r="F310" s="11"/>
      <c r="G310" s="6"/>
      <c r="H310" s="6"/>
      <c r="I310" s="6"/>
      <c r="J310" s="6"/>
      <c r="K310" s="6"/>
      <c r="L310" s="6"/>
      <c r="M310" s="6"/>
      <c r="N310" s="6"/>
      <c r="O310" s="6"/>
      <c r="P310" s="6"/>
      <c r="Q310" s="6"/>
      <c r="R310" s="6"/>
      <c r="S310" s="6"/>
      <c r="T310" s="6"/>
      <c r="U310" s="6"/>
      <c r="V310" s="6"/>
      <c r="W310" s="6"/>
      <c r="X310" s="6"/>
      <c r="Y310" s="6"/>
      <c r="Z310" s="6"/>
    </row>
    <row r="311" spans="1:26" ht="31.5" customHeight="1">
      <c r="A311" s="1"/>
      <c r="B311" s="6"/>
      <c r="C311" s="10"/>
      <c r="D311" s="1"/>
      <c r="E311" s="11"/>
      <c r="F311" s="11"/>
      <c r="G311" s="6"/>
      <c r="H311" s="6"/>
      <c r="I311" s="6"/>
      <c r="J311" s="6"/>
      <c r="K311" s="6"/>
      <c r="L311" s="6"/>
      <c r="M311" s="6"/>
      <c r="N311" s="6"/>
      <c r="O311" s="6"/>
      <c r="P311" s="6"/>
      <c r="Q311" s="6"/>
      <c r="R311" s="6"/>
      <c r="S311" s="6"/>
      <c r="T311" s="6"/>
      <c r="U311" s="6"/>
      <c r="V311" s="6"/>
      <c r="W311" s="6"/>
      <c r="X311" s="6"/>
      <c r="Y311" s="6"/>
      <c r="Z311" s="6"/>
    </row>
    <row r="312" spans="1:26" ht="31.5" customHeight="1">
      <c r="A312" s="1"/>
      <c r="B312" s="6"/>
      <c r="C312" s="10"/>
      <c r="D312" s="1"/>
      <c r="E312" s="11"/>
      <c r="F312" s="11"/>
      <c r="G312" s="6"/>
      <c r="H312" s="6"/>
      <c r="I312" s="6"/>
      <c r="J312" s="6"/>
      <c r="K312" s="6"/>
      <c r="L312" s="6"/>
      <c r="M312" s="6"/>
      <c r="N312" s="6"/>
      <c r="O312" s="6"/>
      <c r="P312" s="6"/>
      <c r="Q312" s="6"/>
      <c r="R312" s="6"/>
      <c r="S312" s="6"/>
      <c r="T312" s="6"/>
      <c r="U312" s="6"/>
      <c r="V312" s="6"/>
      <c r="W312" s="6"/>
      <c r="X312" s="6"/>
      <c r="Y312" s="6"/>
      <c r="Z312" s="6"/>
    </row>
    <row r="313" spans="1:26" ht="31.5" customHeight="1">
      <c r="A313" s="1"/>
      <c r="B313" s="6"/>
      <c r="C313" s="10"/>
      <c r="D313" s="1"/>
      <c r="E313" s="11"/>
      <c r="F313" s="11"/>
      <c r="G313" s="6"/>
      <c r="H313" s="6"/>
      <c r="I313" s="6"/>
      <c r="J313" s="6"/>
      <c r="K313" s="6"/>
      <c r="L313" s="6"/>
      <c r="M313" s="6"/>
      <c r="N313" s="6"/>
      <c r="O313" s="6"/>
      <c r="P313" s="6"/>
      <c r="Q313" s="6"/>
      <c r="R313" s="6"/>
      <c r="S313" s="6"/>
      <c r="T313" s="6"/>
      <c r="U313" s="6"/>
      <c r="V313" s="6"/>
      <c r="W313" s="6"/>
      <c r="X313" s="6"/>
      <c r="Y313" s="6"/>
      <c r="Z313" s="6"/>
    </row>
    <row r="314" spans="1:26" ht="31.5" customHeight="1">
      <c r="A314" s="1"/>
      <c r="B314" s="6"/>
      <c r="C314" s="10"/>
      <c r="D314" s="1"/>
      <c r="E314" s="11"/>
      <c r="F314" s="11"/>
      <c r="G314" s="6"/>
      <c r="H314" s="6"/>
      <c r="I314" s="6"/>
      <c r="J314" s="6"/>
      <c r="K314" s="6"/>
      <c r="L314" s="6"/>
      <c r="M314" s="6"/>
      <c r="N314" s="6"/>
      <c r="O314" s="6"/>
      <c r="P314" s="6"/>
      <c r="Q314" s="6"/>
      <c r="R314" s="6"/>
      <c r="S314" s="6"/>
      <c r="T314" s="6"/>
      <c r="U314" s="6"/>
      <c r="V314" s="6"/>
      <c r="W314" s="6"/>
      <c r="X314" s="6"/>
      <c r="Y314" s="6"/>
      <c r="Z314" s="6"/>
    </row>
    <row r="315" spans="1:26" ht="31.5" customHeight="1">
      <c r="A315" s="1"/>
      <c r="B315" s="6"/>
      <c r="C315" s="10"/>
      <c r="D315" s="1"/>
      <c r="E315" s="11"/>
      <c r="F315" s="11"/>
      <c r="G315" s="6"/>
      <c r="H315" s="6"/>
      <c r="I315" s="6"/>
      <c r="J315" s="6"/>
      <c r="K315" s="6"/>
      <c r="L315" s="6"/>
      <c r="M315" s="6"/>
      <c r="N315" s="6"/>
      <c r="O315" s="6"/>
      <c r="P315" s="6"/>
      <c r="Q315" s="6"/>
      <c r="R315" s="6"/>
      <c r="S315" s="6"/>
      <c r="T315" s="6"/>
      <c r="U315" s="6"/>
      <c r="V315" s="6"/>
      <c r="W315" s="6"/>
      <c r="X315" s="6"/>
      <c r="Y315" s="6"/>
      <c r="Z315" s="6"/>
    </row>
    <row r="316" spans="1:26" ht="31.5" customHeight="1">
      <c r="A316" s="1"/>
      <c r="B316" s="6"/>
      <c r="C316" s="10"/>
      <c r="D316" s="1"/>
      <c r="E316" s="11"/>
      <c r="F316" s="11"/>
      <c r="G316" s="6"/>
      <c r="H316" s="6"/>
      <c r="I316" s="6"/>
      <c r="J316" s="6"/>
      <c r="K316" s="6"/>
      <c r="L316" s="6"/>
      <c r="M316" s="6"/>
      <c r="N316" s="6"/>
      <c r="O316" s="6"/>
      <c r="P316" s="6"/>
      <c r="Q316" s="6"/>
      <c r="R316" s="6"/>
      <c r="S316" s="6"/>
      <c r="T316" s="6"/>
      <c r="U316" s="6"/>
      <c r="V316" s="6"/>
      <c r="W316" s="6"/>
      <c r="X316" s="6"/>
      <c r="Y316" s="6"/>
      <c r="Z316" s="6"/>
    </row>
    <row r="317" spans="1:26" ht="31.5" customHeight="1">
      <c r="A317" s="1"/>
      <c r="B317" s="6"/>
      <c r="C317" s="10"/>
      <c r="D317" s="1"/>
      <c r="E317" s="11"/>
      <c r="F317" s="11"/>
      <c r="G317" s="6"/>
      <c r="H317" s="6"/>
      <c r="I317" s="6"/>
      <c r="J317" s="6"/>
      <c r="K317" s="6"/>
      <c r="L317" s="6"/>
      <c r="M317" s="6"/>
      <c r="N317" s="6"/>
      <c r="O317" s="6"/>
      <c r="P317" s="6"/>
      <c r="Q317" s="6"/>
      <c r="R317" s="6"/>
      <c r="S317" s="6"/>
      <c r="T317" s="6"/>
      <c r="U317" s="6"/>
      <c r="V317" s="6"/>
      <c r="W317" s="6"/>
      <c r="X317" s="6"/>
      <c r="Y317" s="6"/>
      <c r="Z317" s="6"/>
    </row>
    <row r="318" spans="1:26" ht="31.5" customHeight="1">
      <c r="A318" s="1"/>
      <c r="B318" s="6"/>
      <c r="C318" s="10"/>
      <c r="D318" s="1"/>
      <c r="E318" s="11"/>
      <c r="F318" s="11"/>
      <c r="G318" s="6"/>
      <c r="H318" s="6"/>
      <c r="I318" s="6"/>
      <c r="J318" s="6"/>
      <c r="K318" s="6"/>
      <c r="L318" s="6"/>
      <c r="M318" s="6"/>
      <c r="N318" s="6"/>
      <c r="O318" s="6"/>
      <c r="P318" s="6"/>
      <c r="Q318" s="6"/>
      <c r="R318" s="6"/>
      <c r="S318" s="6"/>
      <c r="T318" s="6"/>
      <c r="U318" s="6"/>
      <c r="V318" s="6"/>
      <c r="W318" s="6"/>
      <c r="X318" s="6"/>
      <c r="Y318" s="6"/>
      <c r="Z318" s="6"/>
    </row>
    <row r="319" spans="1:26" ht="31.5" customHeight="1">
      <c r="A319" s="1"/>
      <c r="B319" s="6"/>
      <c r="C319" s="10"/>
      <c r="D319" s="1"/>
      <c r="E319" s="11"/>
      <c r="F319" s="11"/>
      <c r="G319" s="6"/>
      <c r="H319" s="6"/>
      <c r="I319" s="6"/>
      <c r="J319" s="6"/>
      <c r="K319" s="6"/>
      <c r="L319" s="6"/>
      <c r="M319" s="6"/>
      <c r="N319" s="6"/>
      <c r="O319" s="6"/>
      <c r="P319" s="6"/>
      <c r="Q319" s="6"/>
      <c r="R319" s="6"/>
      <c r="S319" s="6"/>
      <c r="T319" s="6"/>
      <c r="U319" s="6"/>
      <c r="V319" s="6"/>
      <c r="W319" s="6"/>
      <c r="X319" s="6"/>
      <c r="Y319" s="6"/>
      <c r="Z319" s="6"/>
    </row>
    <row r="320" spans="1:26" ht="31.5" customHeight="1">
      <c r="A320" s="1"/>
      <c r="B320" s="6"/>
      <c r="C320" s="10"/>
      <c r="D320" s="1"/>
      <c r="E320" s="11"/>
      <c r="F320" s="11"/>
      <c r="G320" s="6"/>
      <c r="H320" s="6"/>
      <c r="I320" s="6"/>
      <c r="J320" s="6"/>
      <c r="K320" s="6"/>
      <c r="L320" s="6"/>
      <c r="M320" s="6"/>
      <c r="N320" s="6"/>
      <c r="O320" s="6"/>
      <c r="P320" s="6"/>
      <c r="Q320" s="6"/>
      <c r="R320" s="6"/>
      <c r="S320" s="6"/>
      <c r="T320" s="6"/>
      <c r="U320" s="6"/>
      <c r="V320" s="6"/>
      <c r="W320" s="6"/>
      <c r="X320" s="6"/>
      <c r="Y320" s="6"/>
      <c r="Z320" s="6"/>
    </row>
    <row r="321" spans="1:26" ht="31.5" customHeight="1">
      <c r="A321" s="1"/>
      <c r="B321" s="6"/>
      <c r="C321" s="10"/>
      <c r="D321" s="1"/>
      <c r="E321" s="11"/>
      <c r="F321" s="11"/>
      <c r="G321" s="6"/>
      <c r="H321" s="6"/>
      <c r="I321" s="6"/>
      <c r="J321" s="6"/>
      <c r="K321" s="6"/>
      <c r="L321" s="6"/>
      <c r="M321" s="6"/>
      <c r="N321" s="6"/>
      <c r="O321" s="6"/>
      <c r="P321" s="6"/>
      <c r="Q321" s="6"/>
      <c r="R321" s="6"/>
      <c r="S321" s="6"/>
      <c r="T321" s="6"/>
      <c r="U321" s="6"/>
      <c r="V321" s="6"/>
      <c r="W321" s="6"/>
      <c r="X321" s="6"/>
      <c r="Y321" s="6"/>
      <c r="Z321" s="6"/>
    </row>
    <row r="322" spans="1:26" ht="31.5" customHeight="1">
      <c r="A322" s="1"/>
      <c r="B322" s="6"/>
      <c r="C322" s="10"/>
      <c r="D322" s="1"/>
      <c r="E322" s="11"/>
      <c r="F322" s="11"/>
      <c r="G322" s="6"/>
      <c r="H322" s="6"/>
      <c r="I322" s="6"/>
      <c r="J322" s="6"/>
      <c r="K322" s="6"/>
      <c r="L322" s="6"/>
      <c r="M322" s="6"/>
      <c r="N322" s="6"/>
      <c r="O322" s="6"/>
      <c r="P322" s="6"/>
      <c r="Q322" s="6"/>
      <c r="R322" s="6"/>
      <c r="S322" s="6"/>
      <c r="T322" s="6"/>
      <c r="U322" s="6"/>
      <c r="V322" s="6"/>
      <c r="W322" s="6"/>
      <c r="X322" s="6"/>
      <c r="Y322" s="6"/>
      <c r="Z322" s="6"/>
    </row>
    <row r="323" spans="1:26" ht="31.5" customHeight="1">
      <c r="A323" s="1"/>
      <c r="B323" s="6"/>
      <c r="C323" s="10"/>
      <c r="D323" s="1"/>
      <c r="E323" s="11"/>
      <c r="F323" s="11"/>
      <c r="G323" s="6"/>
      <c r="H323" s="6"/>
      <c r="I323" s="6"/>
      <c r="J323" s="6"/>
      <c r="K323" s="6"/>
      <c r="L323" s="6"/>
      <c r="M323" s="6"/>
      <c r="N323" s="6"/>
      <c r="O323" s="6"/>
      <c r="P323" s="6"/>
      <c r="Q323" s="6"/>
      <c r="R323" s="6"/>
      <c r="S323" s="6"/>
      <c r="T323" s="6"/>
      <c r="U323" s="6"/>
      <c r="V323" s="6"/>
      <c r="W323" s="6"/>
      <c r="X323" s="6"/>
      <c r="Y323" s="6"/>
      <c r="Z323" s="6"/>
    </row>
    <row r="324" spans="1:26" ht="31.5" customHeight="1">
      <c r="A324" s="1"/>
      <c r="B324" s="6"/>
      <c r="C324" s="10"/>
      <c r="D324" s="1"/>
      <c r="E324" s="11"/>
      <c r="F324" s="11"/>
      <c r="G324" s="6"/>
      <c r="H324" s="6"/>
      <c r="I324" s="6"/>
      <c r="J324" s="6"/>
      <c r="K324" s="6"/>
      <c r="L324" s="6"/>
      <c r="M324" s="6"/>
      <c r="N324" s="6"/>
      <c r="O324" s="6"/>
      <c r="P324" s="6"/>
      <c r="Q324" s="6"/>
      <c r="R324" s="6"/>
      <c r="S324" s="6"/>
      <c r="T324" s="6"/>
      <c r="U324" s="6"/>
      <c r="V324" s="6"/>
      <c r="W324" s="6"/>
      <c r="X324" s="6"/>
      <c r="Y324" s="6"/>
      <c r="Z324" s="6"/>
    </row>
    <row r="325" spans="1:26" ht="31.5" customHeight="1">
      <c r="A325" s="1"/>
      <c r="B325" s="6"/>
      <c r="C325" s="10"/>
      <c r="D325" s="1"/>
      <c r="E325" s="11"/>
      <c r="F325" s="11"/>
      <c r="G325" s="6"/>
      <c r="H325" s="6"/>
      <c r="I325" s="6"/>
      <c r="J325" s="6"/>
      <c r="K325" s="6"/>
      <c r="L325" s="6"/>
      <c r="M325" s="6"/>
      <c r="N325" s="6"/>
      <c r="O325" s="6"/>
      <c r="P325" s="6"/>
      <c r="Q325" s="6"/>
      <c r="R325" s="6"/>
      <c r="S325" s="6"/>
      <c r="T325" s="6"/>
      <c r="U325" s="6"/>
      <c r="V325" s="6"/>
      <c r="W325" s="6"/>
      <c r="X325" s="6"/>
      <c r="Y325" s="6"/>
      <c r="Z325" s="6"/>
    </row>
    <row r="326" spans="1:26" ht="31.5" customHeight="1">
      <c r="A326" s="1"/>
      <c r="B326" s="6"/>
      <c r="C326" s="10"/>
      <c r="D326" s="1"/>
      <c r="E326" s="11"/>
      <c r="F326" s="11"/>
      <c r="G326" s="6"/>
      <c r="H326" s="6"/>
      <c r="I326" s="6"/>
      <c r="J326" s="6"/>
      <c r="K326" s="6"/>
      <c r="L326" s="6"/>
      <c r="M326" s="6"/>
      <c r="N326" s="6"/>
      <c r="O326" s="6"/>
      <c r="P326" s="6"/>
      <c r="Q326" s="6"/>
      <c r="R326" s="6"/>
      <c r="S326" s="6"/>
      <c r="T326" s="6"/>
      <c r="U326" s="6"/>
      <c r="V326" s="6"/>
      <c r="W326" s="6"/>
      <c r="X326" s="6"/>
      <c r="Y326" s="6"/>
      <c r="Z326" s="6"/>
    </row>
    <row r="327" spans="1:26" ht="31.5" customHeight="1">
      <c r="A327" s="1"/>
      <c r="B327" s="6"/>
      <c r="C327" s="10"/>
      <c r="D327" s="1"/>
      <c r="E327" s="11"/>
      <c r="F327" s="11"/>
      <c r="G327" s="6"/>
      <c r="H327" s="6"/>
      <c r="I327" s="6"/>
      <c r="J327" s="6"/>
      <c r="K327" s="6"/>
      <c r="L327" s="6"/>
      <c r="M327" s="6"/>
      <c r="N327" s="6"/>
      <c r="O327" s="6"/>
      <c r="P327" s="6"/>
      <c r="Q327" s="6"/>
      <c r="R327" s="6"/>
      <c r="S327" s="6"/>
      <c r="T327" s="6"/>
      <c r="U327" s="6"/>
      <c r="V327" s="6"/>
      <c r="W327" s="6"/>
      <c r="X327" s="6"/>
      <c r="Y327" s="6"/>
      <c r="Z327" s="6"/>
    </row>
    <row r="328" spans="1:26" ht="31.5" customHeight="1">
      <c r="A328" s="1"/>
      <c r="B328" s="6"/>
      <c r="C328" s="10"/>
      <c r="D328" s="1"/>
      <c r="E328" s="11"/>
      <c r="F328" s="11"/>
      <c r="G328" s="6"/>
      <c r="H328" s="6"/>
      <c r="I328" s="6"/>
      <c r="J328" s="6"/>
      <c r="K328" s="6"/>
      <c r="L328" s="6"/>
      <c r="M328" s="6"/>
      <c r="N328" s="6"/>
      <c r="O328" s="6"/>
      <c r="P328" s="6"/>
      <c r="Q328" s="6"/>
      <c r="R328" s="6"/>
      <c r="S328" s="6"/>
      <c r="T328" s="6"/>
      <c r="U328" s="6"/>
      <c r="V328" s="6"/>
      <c r="W328" s="6"/>
      <c r="X328" s="6"/>
      <c r="Y328" s="6"/>
      <c r="Z328" s="6"/>
    </row>
    <row r="329" spans="1:26" ht="31.5" customHeight="1">
      <c r="A329" s="1"/>
      <c r="B329" s="6"/>
      <c r="C329" s="10"/>
      <c r="D329" s="1"/>
      <c r="E329" s="11"/>
      <c r="F329" s="11"/>
      <c r="G329" s="6"/>
      <c r="H329" s="6"/>
      <c r="I329" s="6"/>
      <c r="J329" s="6"/>
      <c r="K329" s="6"/>
      <c r="L329" s="6"/>
      <c r="M329" s="6"/>
      <c r="N329" s="6"/>
      <c r="O329" s="6"/>
      <c r="P329" s="6"/>
      <c r="Q329" s="6"/>
      <c r="R329" s="6"/>
      <c r="S329" s="6"/>
      <c r="T329" s="6"/>
      <c r="U329" s="6"/>
      <c r="V329" s="6"/>
      <c r="W329" s="6"/>
      <c r="X329" s="6"/>
      <c r="Y329" s="6"/>
      <c r="Z329" s="6"/>
    </row>
    <row r="330" spans="1:26" ht="31.5" customHeight="1">
      <c r="A330" s="1"/>
      <c r="B330" s="6"/>
      <c r="C330" s="10"/>
      <c r="D330" s="1"/>
      <c r="E330" s="11"/>
      <c r="F330" s="11"/>
      <c r="G330" s="6"/>
      <c r="H330" s="6"/>
      <c r="I330" s="6"/>
      <c r="J330" s="6"/>
      <c r="K330" s="6"/>
      <c r="L330" s="6"/>
      <c r="M330" s="6"/>
      <c r="N330" s="6"/>
      <c r="O330" s="6"/>
      <c r="P330" s="6"/>
      <c r="Q330" s="6"/>
      <c r="R330" s="6"/>
      <c r="S330" s="6"/>
      <c r="T330" s="6"/>
      <c r="U330" s="6"/>
      <c r="V330" s="6"/>
      <c r="W330" s="6"/>
      <c r="X330" s="6"/>
      <c r="Y330" s="6"/>
      <c r="Z330" s="6"/>
    </row>
    <row r="331" spans="1:26" ht="31.5" customHeight="1">
      <c r="A331" s="1"/>
      <c r="B331" s="6"/>
      <c r="C331" s="10"/>
      <c r="D331" s="1"/>
      <c r="E331" s="11"/>
      <c r="F331" s="11"/>
      <c r="G331" s="6"/>
      <c r="H331" s="6"/>
      <c r="I331" s="6"/>
      <c r="J331" s="6"/>
      <c r="K331" s="6"/>
      <c r="L331" s="6"/>
      <c r="M331" s="6"/>
      <c r="N331" s="6"/>
      <c r="O331" s="6"/>
      <c r="P331" s="6"/>
      <c r="Q331" s="6"/>
      <c r="R331" s="6"/>
      <c r="S331" s="6"/>
      <c r="T331" s="6"/>
      <c r="U331" s="6"/>
      <c r="V331" s="6"/>
      <c r="W331" s="6"/>
      <c r="X331" s="6"/>
      <c r="Y331" s="6"/>
      <c r="Z331" s="6"/>
    </row>
    <row r="332" spans="1:26" ht="31.5" customHeight="1">
      <c r="A332" s="1"/>
      <c r="B332" s="6"/>
      <c r="C332" s="10"/>
      <c r="D332" s="1"/>
      <c r="E332" s="11"/>
      <c r="F332" s="11"/>
      <c r="G332" s="6"/>
      <c r="H332" s="6"/>
      <c r="I332" s="6"/>
      <c r="J332" s="6"/>
      <c r="K332" s="6"/>
      <c r="L332" s="6"/>
      <c r="M332" s="6"/>
      <c r="N332" s="6"/>
      <c r="O332" s="6"/>
      <c r="P332" s="6"/>
      <c r="Q332" s="6"/>
      <c r="R332" s="6"/>
      <c r="S332" s="6"/>
      <c r="T332" s="6"/>
      <c r="U332" s="6"/>
      <c r="V332" s="6"/>
      <c r="W332" s="6"/>
      <c r="X332" s="6"/>
      <c r="Y332" s="6"/>
      <c r="Z332" s="6"/>
    </row>
    <row r="333" spans="1:26" ht="31.5" customHeight="1">
      <c r="A333" s="1"/>
      <c r="B333" s="6"/>
      <c r="C333" s="10"/>
      <c r="D333" s="1"/>
      <c r="E333" s="11"/>
      <c r="F333" s="11"/>
      <c r="G333" s="6"/>
      <c r="H333" s="6"/>
      <c r="I333" s="6"/>
      <c r="J333" s="6"/>
      <c r="K333" s="6"/>
      <c r="L333" s="6"/>
      <c r="M333" s="6"/>
      <c r="N333" s="6"/>
      <c r="O333" s="6"/>
      <c r="P333" s="6"/>
      <c r="Q333" s="6"/>
      <c r="R333" s="6"/>
      <c r="S333" s="6"/>
      <c r="T333" s="6"/>
      <c r="U333" s="6"/>
      <c r="V333" s="6"/>
      <c r="W333" s="6"/>
      <c r="X333" s="6"/>
      <c r="Y333" s="6"/>
      <c r="Z333" s="6"/>
    </row>
    <row r="334" spans="1:26" ht="31.5" customHeight="1">
      <c r="A334" s="1"/>
      <c r="B334" s="6"/>
      <c r="C334" s="10"/>
      <c r="D334" s="1"/>
      <c r="E334" s="11"/>
      <c r="F334" s="11"/>
      <c r="G334" s="6"/>
      <c r="H334" s="6"/>
      <c r="I334" s="6"/>
      <c r="J334" s="6"/>
      <c r="K334" s="6"/>
      <c r="L334" s="6"/>
      <c r="M334" s="6"/>
      <c r="N334" s="6"/>
      <c r="O334" s="6"/>
      <c r="P334" s="6"/>
      <c r="Q334" s="6"/>
      <c r="R334" s="6"/>
      <c r="S334" s="6"/>
      <c r="T334" s="6"/>
      <c r="U334" s="6"/>
      <c r="V334" s="6"/>
      <c r="W334" s="6"/>
      <c r="X334" s="6"/>
      <c r="Y334" s="6"/>
      <c r="Z334" s="6"/>
    </row>
    <row r="335" spans="1:26" ht="31.5" customHeight="1">
      <c r="A335" s="1"/>
      <c r="B335" s="6"/>
      <c r="C335" s="10"/>
      <c r="D335" s="1"/>
      <c r="E335" s="11"/>
      <c r="F335" s="11"/>
      <c r="G335" s="6"/>
      <c r="H335" s="6"/>
      <c r="I335" s="6"/>
      <c r="J335" s="6"/>
      <c r="K335" s="6"/>
      <c r="L335" s="6"/>
      <c r="M335" s="6"/>
      <c r="N335" s="6"/>
      <c r="O335" s="6"/>
      <c r="P335" s="6"/>
      <c r="Q335" s="6"/>
      <c r="R335" s="6"/>
      <c r="S335" s="6"/>
      <c r="T335" s="6"/>
      <c r="U335" s="6"/>
      <c r="V335" s="6"/>
      <c r="W335" s="6"/>
      <c r="X335" s="6"/>
      <c r="Y335" s="6"/>
      <c r="Z335" s="6"/>
    </row>
    <row r="336" spans="1:26" ht="31.5" customHeight="1">
      <c r="A336" s="1"/>
      <c r="B336" s="6"/>
      <c r="C336" s="10"/>
      <c r="D336" s="1"/>
      <c r="E336" s="11"/>
      <c r="F336" s="11"/>
      <c r="G336" s="6"/>
      <c r="H336" s="6"/>
      <c r="I336" s="6"/>
      <c r="J336" s="6"/>
      <c r="K336" s="6"/>
      <c r="L336" s="6"/>
      <c r="M336" s="6"/>
      <c r="N336" s="6"/>
      <c r="O336" s="6"/>
      <c r="P336" s="6"/>
      <c r="Q336" s="6"/>
      <c r="R336" s="6"/>
      <c r="S336" s="6"/>
      <c r="T336" s="6"/>
      <c r="U336" s="6"/>
      <c r="V336" s="6"/>
      <c r="W336" s="6"/>
      <c r="X336" s="6"/>
      <c r="Y336" s="6"/>
      <c r="Z336" s="6"/>
    </row>
    <row r="337" spans="1:26" ht="31.5" customHeight="1">
      <c r="A337" s="1"/>
      <c r="B337" s="6"/>
      <c r="C337" s="10"/>
      <c r="D337" s="1"/>
      <c r="E337" s="11"/>
      <c r="F337" s="11"/>
      <c r="G337" s="6"/>
      <c r="H337" s="6"/>
      <c r="I337" s="6"/>
      <c r="J337" s="6"/>
      <c r="K337" s="6"/>
      <c r="L337" s="6"/>
      <c r="M337" s="6"/>
      <c r="N337" s="6"/>
      <c r="O337" s="6"/>
      <c r="P337" s="6"/>
      <c r="Q337" s="6"/>
      <c r="R337" s="6"/>
      <c r="S337" s="6"/>
      <c r="T337" s="6"/>
      <c r="U337" s="6"/>
      <c r="V337" s="6"/>
      <c r="W337" s="6"/>
      <c r="X337" s="6"/>
      <c r="Y337" s="6"/>
      <c r="Z337" s="6"/>
    </row>
    <row r="338" spans="1:26" ht="31.5" customHeight="1">
      <c r="A338" s="1"/>
      <c r="B338" s="6"/>
      <c r="C338" s="10"/>
      <c r="D338" s="1"/>
      <c r="E338" s="11"/>
      <c r="F338" s="11"/>
      <c r="G338" s="6"/>
      <c r="H338" s="6"/>
      <c r="I338" s="6"/>
      <c r="J338" s="6"/>
      <c r="K338" s="6"/>
      <c r="L338" s="6"/>
      <c r="M338" s="6"/>
      <c r="N338" s="6"/>
      <c r="O338" s="6"/>
      <c r="P338" s="6"/>
      <c r="Q338" s="6"/>
      <c r="R338" s="6"/>
      <c r="S338" s="6"/>
      <c r="T338" s="6"/>
      <c r="U338" s="6"/>
      <c r="V338" s="6"/>
      <c r="W338" s="6"/>
      <c r="X338" s="6"/>
      <c r="Y338" s="6"/>
      <c r="Z338" s="6"/>
    </row>
    <row r="339" spans="1:26" ht="31.5" customHeight="1">
      <c r="A339" s="1"/>
      <c r="B339" s="6"/>
      <c r="C339" s="10"/>
      <c r="D339" s="1"/>
      <c r="E339" s="11"/>
      <c r="F339" s="11"/>
      <c r="G339" s="6"/>
      <c r="H339" s="6"/>
      <c r="I339" s="6"/>
      <c r="J339" s="6"/>
      <c r="K339" s="6"/>
      <c r="L339" s="6"/>
      <c r="M339" s="6"/>
      <c r="N339" s="6"/>
      <c r="O339" s="6"/>
      <c r="P339" s="6"/>
      <c r="Q339" s="6"/>
      <c r="R339" s="6"/>
      <c r="S339" s="6"/>
      <c r="T339" s="6"/>
      <c r="U339" s="6"/>
      <c r="V339" s="6"/>
      <c r="W339" s="6"/>
      <c r="X339" s="6"/>
      <c r="Y339" s="6"/>
      <c r="Z339" s="6"/>
    </row>
    <row r="340" spans="1:26" ht="31.5" customHeight="1">
      <c r="A340" s="1"/>
      <c r="B340" s="6"/>
      <c r="C340" s="10"/>
      <c r="D340" s="1"/>
      <c r="E340" s="11"/>
      <c r="F340" s="11"/>
      <c r="G340" s="6"/>
      <c r="H340" s="6"/>
      <c r="I340" s="6"/>
      <c r="J340" s="6"/>
      <c r="K340" s="6"/>
      <c r="L340" s="6"/>
      <c r="M340" s="6"/>
      <c r="N340" s="6"/>
      <c r="O340" s="6"/>
      <c r="P340" s="6"/>
      <c r="Q340" s="6"/>
      <c r="R340" s="6"/>
      <c r="S340" s="6"/>
      <c r="T340" s="6"/>
      <c r="U340" s="6"/>
      <c r="V340" s="6"/>
      <c r="W340" s="6"/>
      <c r="X340" s="6"/>
      <c r="Y340" s="6"/>
      <c r="Z340" s="6"/>
    </row>
    <row r="341" spans="1:26" ht="31.5" customHeight="1">
      <c r="A341" s="1"/>
      <c r="B341" s="6"/>
      <c r="C341" s="10"/>
      <c r="D341" s="1"/>
      <c r="E341" s="11"/>
      <c r="F341" s="11"/>
      <c r="G341" s="6"/>
      <c r="H341" s="6"/>
      <c r="I341" s="6"/>
      <c r="J341" s="6"/>
      <c r="K341" s="6"/>
      <c r="L341" s="6"/>
      <c r="M341" s="6"/>
      <c r="N341" s="6"/>
      <c r="O341" s="6"/>
      <c r="P341" s="6"/>
      <c r="Q341" s="6"/>
      <c r="R341" s="6"/>
      <c r="S341" s="6"/>
      <c r="T341" s="6"/>
      <c r="U341" s="6"/>
      <c r="V341" s="6"/>
      <c r="W341" s="6"/>
      <c r="X341" s="6"/>
      <c r="Y341" s="6"/>
      <c r="Z341" s="6"/>
    </row>
    <row r="342" spans="1:26" ht="31.5" customHeight="1">
      <c r="A342" s="1"/>
      <c r="B342" s="6"/>
      <c r="C342" s="10"/>
      <c r="D342" s="1"/>
      <c r="E342" s="11"/>
      <c r="F342" s="11"/>
      <c r="G342" s="6"/>
      <c r="H342" s="6"/>
      <c r="I342" s="6"/>
      <c r="J342" s="6"/>
      <c r="K342" s="6"/>
      <c r="L342" s="6"/>
      <c r="M342" s="6"/>
      <c r="N342" s="6"/>
      <c r="O342" s="6"/>
      <c r="P342" s="6"/>
      <c r="Q342" s="6"/>
      <c r="R342" s="6"/>
      <c r="S342" s="6"/>
      <c r="T342" s="6"/>
      <c r="U342" s="6"/>
      <c r="V342" s="6"/>
      <c r="W342" s="6"/>
      <c r="X342" s="6"/>
      <c r="Y342" s="6"/>
      <c r="Z342" s="6"/>
    </row>
    <row r="343" spans="1:26" ht="31.5" customHeight="1">
      <c r="A343" s="1"/>
      <c r="B343" s="6"/>
      <c r="C343" s="10"/>
      <c r="D343" s="1"/>
      <c r="E343" s="11"/>
      <c r="F343" s="11"/>
      <c r="G343" s="6"/>
      <c r="H343" s="6"/>
      <c r="I343" s="6"/>
      <c r="J343" s="6"/>
      <c r="K343" s="6"/>
      <c r="L343" s="6"/>
      <c r="M343" s="6"/>
      <c r="N343" s="6"/>
      <c r="O343" s="6"/>
      <c r="P343" s="6"/>
      <c r="Q343" s="6"/>
      <c r="R343" s="6"/>
      <c r="S343" s="6"/>
      <c r="T343" s="6"/>
      <c r="U343" s="6"/>
      <c r="V343" s="6"/>
      <c r="W343" s="6"/>
      <c r="X343" s="6"/>
      <c r="Y343" s="6"/>
      <c r="Z343" s="6"/>
    </row>
    <row r="344" spans="1:26" ht="31.5" customHeight="1">
      <c r="A344" s="1"/>
      <c r="B344" s="6"/>
      <c r="C344" s="10"/>
      <c r="D344" s="1"/>
      <c r="E344" s="11"/>
      <c r="F344" s="11"/>
      <c r="G344" s="6"/>
      <c r="H344" s="6"/>
      <c r="I344" s="6"/>
      <c r="J344" s="6"/>
      <c r="K344" s="6"/>
      <c r="L344" s="6"/>
      <c r="M344" s="6"/>
      <c r="N344" s="6"/>
      <c r="O344" s="6"/>
      <c r="P344" s="6"/>
      <c r="Q344" s="6"/>
      <c r="R344" s="6"/>
      <c r="S344" s="6"/>
      <c r="T344" s="6"/>
      <c r="U344" s="6"/>
      <c r="V344" s="6"/>
      <c r="W344" s="6"/>
      <c r="X344" s="6"/>
      <c r="Y344" s="6"/>
      <c r="Z344" s="6"/>
    </row>
    <row r="345" spans="1:26" ht="31.5" customHeight="1">
      <c r="A345" s="1"/>
      <c r="B345" s="6"/>
      <c r="C345" s="10"/>
      <c r="D345" s="1"/>
      <c r="E345" s="11"/>
      <c r="F345" s="11"/>
      <c r="G345" s="6"/>
      <c r="H345" s="6"/>
      <c r="I345" s="6"/>
      <c r="J345" s="6"/>
      <c r="K345" s="6"/>
      <c r="L345" s="6"/>
      <c r="M345" s="6"/>
      <c r="N345" s="6"/>
      <c r="O345" s="6"/>
      <c r="P345" s="6"/>
      <c r="Q345" s="6"/>
      <c r="R345" s="6"/>
      <c r="S345" s="6"/>
      <c r="T345" s="6"/>
      <c r="U345" s="6"/>
      <c r="V345" s="6"/>
      <c r="W345" s="6"/>
      <c r="X345" s="6"/>
      <c r="Y345" s="6"/>
      <c r="Z345" s="6"/>
    </row>
    <row r="346" spans="1:26" ht="31.5" customHeight="1">
      <c r="A346" s="1"/>
      <c r="B346" s="6"/>
      <c r="C346" s="10"/>
      <c r="D346" s="1"/>
      <c r="E346" s="11"/>
      <c r="F346" s="11"/>
      <c r="G346" s="6"/>
      <c r="H346" s="6"/>
      <c r="I346" s="6"/>
      <c r="J346" s="6"/>
      <c r="K346" s="6"/>
      <c r="L346" s="6"/>
      <c r="M346" s="6"/>
      <c r="N346" s="6"/>
      <c r="O346" s="6"/>
      <c r="P346" s="6"/>
      <c r="Q346" s="6"/>
      <c r="R346" s="6"/>
      <c r="S346" s="6"/>
      <c r="T346" s="6"/>
      <c r="U346" s="6"/>
      <c r="V346" s="6"/>
      <c r="W346" s="6"/>
      <c r="X346" s="6"/>
      <c r="Y346" s="6"/>
      <c r="Z346" s="6"/>
    </row>
    <row r="347" spans="1:26" ht="31.5" customHeight="1">
      <c r="A347" s="1"/>
      <c r="B347" s="6"/>
      <c r="C347" s="10"/>
      <c r="D347" s="1"/>
      <c r="E347" s="11"/>
      <c r="F347" s="11"/>
      <c r="G347" s="6"/>
      <c r="H347" s="6"/>
      <c r="I347" s="6"/>
      <c r="J347" s="6"/>
      <c r="K347" s="6"/>
      <c r="L347" s="6"/>
      <c r="M347" s="6"/>
      <c r="N347" s="6"/>
      <c r="O347" s="6"/>
      <c r="P347" s="6"/>
      <c r="Q347" s="6"/>
      <c r="R347" s="6"/>
      <c r="S347" s="6"/>
      <c r="T347" s="6"/>
      <c r="U347" s="6"/>
      <c r="V347" s="6"/>
      <c r="W347" s="6"/>
      <c r="X347" s="6"/>
      <c r="Y347" s="6"/>
      <c r="Z347" s="6"/>
    </row>
    <row r="348" spans="1:26" ht="31.5" customHeight="1">
      <c r="A348" s="1"/>
      <c r="B348" s="6"/>
      <c r="C348" s="10"/>
      <c r="D348" s="1"/>
      <c r="E348" s="11"/>
      <c r="F348" s="11"/>
      <c r="G348" s="6"/>
      <c r="H348" s="6"/>
      <c r="I348" s="6"/>
      <c r="J348" s="6"/>
      <c r="K348" s="6"/>
      <c r="L348" s="6"/>
      <c r="M348" s="6"/>
      <c r="N348" s="6"/>
      <c r="O348" s="6"/>
      <c r="P348" s="6"/>
      <c r="Q348" s="6"/>
      <c r="R348" s="6"/>
      <c r="S348" s="6"/>
      <c r="T348" s="6"/>
      <c r="U348" s="6"/>
      <c r="V348" s="6"/>
      <c r="W348" s="6"/>
      <c r="X348" s="6"/>
      <c r="Y348" s="6"/>
      <c r="Z348" s="6"/>
    </row>
    <row r="349" spans="1:26" ht="31.5" customHeight="1">
      <c r="A349" s="1"/>
      <c r="B349" s="6"/>
      <c r="C349" s="10"/>
      <c r="D349" s="1"/>
      <c r="E349" s="11"/>
      <c r="F349" s="11"/>
      <c r="G349" s="6"/>
      <c r="H349" s="6"/>
      <c r="I349" s="6"/>
      <c r="J349" s="6"/>
      <c r="K349" s="6"/>
      <c r="L349" s="6"/>
      <c r="M349" s="6"/>
      <c r="N349" s="6"/>
      <c r="O349" s="6"/>
      <c r="P349" s="6"/>
      <c r="Q349" s="6"/>
      <c r="R349" s="6"/>
      <c r="S349" s="6"/>
      <c r="T349" s="6"/>
      <c r="U349" s="6"/>
      <c r="V349" s="6"/>
      <c r="W349" s="6"/>
      <c r="X349" s="6"/>
      <c r="Y349" s="6"/>
      <c r="Z349" s="6"/>
    </row>
    <row r="350" spans="1:26" ht="31.5" customHeight="1">
      <c r="A350" s="1"/>
      <c r="B350" s="6"/>
      <c r="C350" s="10"/>
      <c r="D350" s="1"/>
      <c r="E350" s="11"/>
      <c r="F350" s="11"/>
      <c r="G350" s="6"/>
      <c r="H350" s="6"/>
      <c r="I350" s="6"/>
      <c r="J350" s="6"/>
      <c r="K350" s="6"/>
      <c r="L350" s="6"/>
      <c r="M350" s="6"/>
      <c r="N350" s="6"/>
      <c r="O350" s="6"/>
      <c r="P350" s="6"/>
      <c r="Q350" s="6"/>
      <c r="R350" s="6"/>
      <c r="S350" s="6"/>
      <c r="T350" s="6"/>
      <c r="U350" s="6"/>
      <c r="V350" s="6"/>
      <c r="W350" s="6"/>
      <c r="X350" s="6"/>
      <c r="Y350" s="6"/>
      <c r="Z350" s="6"/>
    </row>
    <row r="351" spans="1:26" ht="31.5" customHeight="1">
      <c r="A351" s="1"/>
      <c r="B351" s="6"/>
      <c r="C351" s="10"/>
      <c r="D351" s="1"/>
      <c r="E351" s="11"/>
      <c r="F351" s="11"/>
      <c r="G351" s="6"/>
      <c r="H351" s="6"/>
      <c r="I351" s="6"/>
      <c r="J351" s="6"/>
      <c r="K351" s="6"/>
      <c r="L351" s="6"/>
      <c r="M351" s="6"/>
      <c r="N351" s="6"/>
      <c r="O351" s="6"/>
      <c r="P351" s="6"/>
      <c r="Q351" s="6"/>
      <c r="R351" s="6"/>
      <c r="S351" s="6"/>
      <c r="T351" s="6"/>
      <c r="U351" s="6"/>
      <c r="V351" s="6"/>
      <c r="W351" s="6"/>
      <c r="X351" s="6"/>
      <c r="Y351" s="6"/>
      <c r="Z351" s="6"/>
    </row>
    <row r="352" spans="1:26" ht="31.5" customHeight="1">
      <c r="A352" s="1"/>
      <c r="B352" s="6"/>
      <c r="C352" s="10"/>
      <c r="D352" s="1"/>
      <c r="E352" s="11"/>
      <c r="F352" s="11"/>
      <c r="G352" s="6"/>
      <c r="H352" s="6"/>
      <c r="I352" s="6"/>
      <c r="J352" s="6"/>
      <c r="K352" s="6"/>
      <c r="L352" s="6"/>
      <c r="M352" s="6"/>
      <c r="N352" s="6"/>
      <c r="O352" s="6"/>
      <c r="P352" s="6"/>
      <c r="Q352" s="6"/>
      <c r="R352" s="6"/>
      <c r="S352" s="6"/>
      <c r="T352" s="6"/>
      <c r="U352" s="6"/>
      <c r="V352" s="6"/>
      <c r="W352" s="6"/>
      <c r="X352" s="6"/>
      <c r="Y352" s="6"/>
      <c r="Z352" s="6"/>
    </row>
    <row r="353" spans="1:26" ht="31.5" customHeight="1">
      <c r="A353" s="1"/>
      <c r="B353" s="6"/>
      <c r="C353" s="10"/>
      <c r="D353" s="1"/>
      <c r="E353" s="11"/>
      <c r="F353" s="11"/>
      <c r="G353" s="6"/>
      <c r="H353" s="6"/>
      <c r="I353" s="6"/>
      <c r="J353" s="6"/>
      <c r="K353" s="6"/>
      <c r="L353" s="6"/>
      <c r="M353" s="6"/>
      <c r="N353" s="6"/>
      <c r="O353" s="6"/>
      <c r="P353" s="6"/>
      <c r="Q353" s="6"/>
      <c r="R353" s="6"/>
      <c r="S353" s="6"/>
      <c r="T353" s="6"/>
      <c r="U353" s="6"/>
      <c r="V353" s="6"/>
      <c r="W353" s="6"/>
      <c r="X353" s="6"/>
      <c r="Y353" s="6"/>
      <c r="Z353" s="6"/>
    </row>
    <row r="354" spans="1:26" ht="31.5" customHeight="1">
      <c r="A354" s="1"/>
      <c r="B354" s="6"/>
      <c r="C354" s="10"/>
      <c r="D354" s="1"/>
      <c r="E354" s="11"/>
      <c r="F354" s="11"/>
      <c r="G354" s="6"/>
      <c r="H354" s="6"/>
      <c r="I354" s="6"/>
      <c r="J354" s="6"/>
      <c r="K354" s="6"/>
      <c r="L354" s="6"/>
      <c r="M354" s="6"/>
      <c r="N354" s="6"/>
      <c r="O354" s="6"/>
      <c r="P354" s="6"/>
      <c r="Q354" s="6"/>
      <c r="R354" s="6"/>
      <c r="S354" s="6"/>
      <c r="T354" s="6"/>
      <c r="U354" s="6"/>
      <c r="V354" s="6"/>
      <c r="W354" s="6"/>
      <c r="X354" s="6"/>
      <c r="Y354" s="6"/>
      <c r="Z354" s="6"/>
    </row>
    <row r="355" spans="1:26" ht="31.5" customHeight="1">
      <c r="A355" s="1"/>
      <c r="B355" s="6"/>
      <c r="C355" s="10"/>
      <c r="D355" s="1"/>
      <c r="E355" s="11"/>
      <c r="F355" s="11"/>
      <c r="G355" s="6"/>
      <c r="H355" s="6"/>
      <c r="I355" s="6"/>
      <c r="J355" s="6"/>
      <c r="K355" s="6"/>
      <c r="L355" s="6"/>
      <c r="M355" s="6"/>
      <c r="N355" s="6"/>
      <c r="O355" s="6"/>
      <c r="P355" s="6"/>
      <c r="Q355" s="6"/>
      <c r="R355" s="6"/>
      <c r="S355" s="6"/>
      <c r="T355" s="6"/>
      <c r="U355" s="6"/>
      <c r="V355" s="6"/>
      <c r="W355" s="6"/>
      <c r="X355" s="6"/>
      <c r="Y355" s="6"/>
      <c r="Z355" s="6"/>
    </row>
    <row r="356" spans="1:26" ht="31.5" customHeight="1">
      <c r="A356" s="1"/>
      <c r="B356" s="6"/>
      <c r="C356" s="10"/>
      <c r="D356" s="1"/>
      <c r="E356" s="11"/>
      <c r="F356" s="11"/>
      <c r="G356" s="6"/>
      <c r="H356" s="6"/>
      <c r="I356" s="6"/>
      <c r="J356" s="6"/>
      <c r="K356" s="6"/>
      <c r="L356" s="6"/>
      <c r="M356" s="6"/>
      <c r="N356" s="6"/>
      <c r="O356" s="6"/>
      <c r="P356" s="6"/>
      <c r="Q356" s="6"/>
      <c r="R356" s="6"/>
      <c r="S356" s="6"/>
      <c r="T356" s="6"/>
      <c r="U356" s="6"/>
      <c r="V356" s="6"/>
      <c r="W356" s="6"/>
      <c r="X356" s="6"/>
      <c r="Y356" s="6"/>
      <c r="Z356" s="6"/>
    </row>
    <row r="357" spans="1:26" ht="31.5" customHeight="1">
      <c r="A357" s="1"/>
      <c r="B357" s="6"/>
      <c r="C357" s="10"/>
      <c r="D357" s="1"/>
      <c r="E357" s="11"/>
      <c r="F357" s="11"/>
      <c r="G357" s="6"/>
      <c r="H357" s="6"/>
      <c r="I357" s="6"/>
      <c r="J357" s="6"/>
      <c r="K357" s="6"/>
      <c r="L357" s="6"/>
      <c r="M357" s="6"/>
      <c r="N357" s="6"/>
      <c r="O357" s="6"/>
      <c r="P357" s="6"/>
      <c r="Q357" s="6"/>
      <c r="R357" s="6"/>
      <c r="S357" s="6"/>
      <c r="T357" s="6"/>
      <c r="U357" s="6"/>
      <c r="V357" s="6"/>
      <c r="W357" s="6"/>
      <c r="X357" s="6"/>
      <c r="Y357" s="6"/>
      <c r="Z357" s="6"/>
    </row>
    <row r="358" spans="1:26" ht="31.5" customHeight="1">
      <c r="A358" s="1"/>
      <c r="B358" s="6"/>
      <c r="C358" s="10"/>
      <c r="D358" s="1"/>
      <c r="E358" s="11"/>
      <c r="F358" s="11"/>
      <c r="G358" s="6"/>
      <c r="H358" s="6"/>
      <c r="I358" s="6"/>
      <c r="J358" s="6"/>
      <c r="K358" s="6"/>
      <c r="L358" s="6"/>
      <c r="M358" s="6"/>
      <c r="N358" s="6"/>
      <c r="O358" s="6"/>
      <c r="P358" s="6"/>
      <c r="Q358" s="6"/>
      <c r="R358" s="6"/>
      <c r="S358" s="6"/>
      <c r="T358" s="6"/>
      <c r="U358" s="6"/>
      <c r="V358" s="6"/>
      <c r="W358" s="6"/>
      <c r="X358" s="6"/>
      <c r="Y358" s="6"/>
      <c r="Z358" s="6"/>
    </row>
    <row r="359" spans="1:26" ht="31.5" customHeight="1">
      <c r="A359" s="1"/>
      <c r="B359" s="6"/>
      <c r="C359" s="10"/>
      <c r="D359" s="1"/>
      <c r="E359" s="11"/>
      <c r="F359" s="11"/>
      <c r="G359" s="6"/>
      <c r="H359" s="6"/>
      <c r="I359" s="6"/>
      <c r="J359" s="6"/>
      <c r="K359" s="6"/>
      <c r="L359" s="6"/>
      <c r="M359" s="6"/>
      <c r="N359" s="6"/>
      <c r="O359" s="6"/>
      <c r="P359" s="6"/>
      <c r="Q359" s="6"/>
      <c r="R359" s="6"/>
      <c r="S359" s="6"/>
      <c r="T359" s="6"/>
      <c r="U359" s="6"/>
      <c r="V359" s="6"/>
      <c r="W359" s="6"/>
      <c r="X359" s="6"/>
      <c r="Y359" s="6"/>
      <c r="Z359" s="6"/>
    </row>
    <row r="360" spans="1:26" ht="31.5" customHeight="1">
      <c r="A360" s="1"/>
      <c r="B360" s="6"/>
      <c r="C360" s="10"/>
      <c r="D360" s="1"/>
      <c r="E360" s="11"/>
      <c r="F360" s="11"/>
      <c r="G360" s="6"/>
      <c r="H360" s="6"/>
      <c r="I360" s="6"/>
      <c r="J360" s="6"/>
      <c r="K360" s="6"/>
      <c r="L360" s="6"/>
      <c r="M360" s="6"/>
      <c r="N360" s="6"/>
      <c r="O360" s="6"/>
      <c r="P360" s="6"/>
      <c r="Q360" s="6"/>
      <c r="R360" s="6"/>
      <c r="S360" s="6"/>
      <c r="T360" s="6"/>
      <c r="U360" s="6"/>
      <c r="V360" s="6"/>
      <c r="W360" s="6"/>
      <c r="X360" s="6"/>
      <c r="Y360" s="6"/>
      <c r="Z360" s="6"/>
    </row>
    <row r="361" spans="1:26" ht="31.5" customHeight="1">
      <c r="A361" s="1"/>
      <c r="B361" s="6"/>
      <c r="C361" s="10"/>
      <c r="D361" s="1"/>
      <c r="E361" s="11"/>
      <c r="F361" s="11"/>
      <c r="G361" s="6"/>
      <c r="H361" s="6"/>
      <c r="I361" s="6"/>
      <c r="J361" s="6"/>
      <c r="K361" s="6"/>
      <c r="L361" s="6"/>
      <c r="M361" s="6"/>
      <c r="N361" s="6"/>
      <c r="O361" s="6"/>
      <c r="P361" s="6"/>
      <c r="Q361" s="6"/>
      <c r="R361" s="6"/>
      <c r="S361" s="6"/>
      <c r="T361" s="6"/>
      <c r="U361" s="6"/>
      <c r="V361" s="6"/>
      <c r="W361" s="6"/>
      <c r="X361" s="6"/>
      <c r="Y361" s="6"/>
      <c r="Z361" s="6"/>
    </row>
    <row r="362" spans="1:26" ht="31.5" customHeight="1">
      <c r="A362" s="1"/>
      <c r="B362" s="6"/>
      <c r="C362" s="10"/>
      <c r="D362" s="1"/>
      <c r="E362" s="11"/>
      <c r="F362" s="11"/>
      <c r="G362" s="6"/>
      <c r="H362" s="6"/>
      <c r="I362" s="6"/>
      <c r="J362" s="6"/>
      <c r="K362" s="6"/>
      <c r="L362" s="6"/>
      <c r="M362" s="6"/>
      <c r="N362" s="6"/>
      <c r="O362" s="6"/>
      <c r="P362" s="6"/>
      <c r="Q362" s="6"/>
      <c r="R362" s="6"/>
      <c r="S362" s="6"/>
      <c r="T362" s="6"/>
      <c r="U362" s="6"/>
      <c r="V362" s="6"/>
      <c r="W362" s="6"/>
      <c r="X362" s="6"/>
      <c r="Y362" s="6"/>
      <c r="Z362" s="6"/>
    </row>
    <row r="363" spans="1:26" ht="31.5" customHeight="1">
      <c r="A363" s="1"/>
      <c r="B363" s="6"/>
      <c r="C363" s="10"/>
      <c r="D363" s="1"/>
      <c r="E363" s="11"/>
      <c r="F363" s="11"/>
      <c r="G363" s="6"/>
      <c r="H363" s="6"/>
      <c r="I363" s="6"/>
      <c r="J363" s="6"/>
      <c r="K363" s="6"/>
      <c r="L363" s="6"/>
      <c r="M363" s="6"/>
      <c r="N363" s="6"/>
      <c r="O363" s="6"/>
      <c r="P363" s="6"/>
      <c r="Q363" s="6"/>
      <c r="R363" s="6"/>
      <c r="S363" s="6"/>
      <c r="T363" s="6"/>
      <c r="U363" s="6"/>
      <c r="V363" s="6"/>
      <c r="W363" s="6"/>
      <c r="X363" s="6"/>
      <c r="Y363" s="6"/>
      <c r="Z363" s="6"/>
    </row>
    <row r="364" spans="1:26" ht="31.5" customHeight="1">
      <c r="A364" s="1"/>
      <c r="B364" s="6"/>
      <c r="C364" s="10"/>
      <c r="D364" s="1"/>
      <c r="E364" s="11"/>
      <c r="F364" s="11"/>
      <c r="G364" s="6"/>
      <c r="H364" s="6"/>
      <c r="I364" s="6"/>
      <c r="J364" s="6"/>
      <c r="K364" s="6"/>
      <c r="L364" s="6"/>
      <c r="M364" s="6"/>
      <c r="N364" s="6"/>
      <c r="O364" s="6"/>
      <c r="P364" s="6"/>
      <c r="Q364" s="6"/>
      <c r="R364" s="6"/>
      <c r="S364" s="6"/>
      <c r="T364" s="6"/>
      <c r="U364" s="6"/>
      <c r="V364" s="6"/>
      <c r="W364" s="6"/>
      <c r="X364" s="6"/>
      <c r="Y364" s="6"/>
      <c r="Z364" s="6"/>
    </row>
    <row r="365" spans="1:26" ht="31.5" customHeight="1">
      <c r="A365" s="1"/>
      <c r="B365" s="6"/>
      <c r="C365" s="10"/>
      <c r="D365" s="1"/>
      <c r="E365" s="11"/>
      <c r="F365" s="11"/>
      <c r="G365" s="6"/>
      <c r="H365" s="6"/>
      <c r="I365" s="6"/>
      <c r="J365" s="6"/>
      <c r="K365" s="6"/>
      <c r="L365" s="6"/>
      <c r="M365" s="6"/>
      <c r="N365" s="6"/>
      <c r="O365" s="6"/>
      <c r="P365" s="6"/>
      <c r="Q365" s="6"/>
      <c r="R365" s="6"/>
      <c r="S365" s="6"/>
      <c r="T365" s="6"/>
      <c r="U365" s="6"/>
      <c r="V365" s="6"/>
      <c r="W365" s="6"/>
      <c r="X365" s="6"/>
      <c r="Y365" s="6"/>
      <c r="Z365" s="6"/>
    </row>
    <row r="366" spans="1:26" ht="31.5" customHeight="1">
      <c r="A366" s="1"/>
      <c r="B366" s="6"/>
      <c r="C366" s="10"/>
      <c r="D366" s="1"/>
      <c r="E366" s="11"/>
      <c r="F366" s="11"/>
      <c r="G366" s="6"/>
      <c r="H366" s="6"/>
      <c r="I366" s="6"/>
      <c r="J366" s="6"/>
      <c r="K366" s="6"/>
      <c r="L366" s="6"/>
      <c r="M366" s="6"/>
      <c r="N366" s="6"/>
      <c r="O366" s="6"/>
      <c r="P366" s="6"/>
      <c r="Q366" s="6"/>
      <c r="R366" s="6"/>
      <c r="S366" s="6"/>
      <c r="T366" s="6"/>
      <c r="U366" s="6"/>
      <c r="V366" s="6"/>
      <c r="W366" s="6"/>
      <c r="X366" s="6"/>
      <c r="Y366" s="6"/>
      <c r="Z366" s="6"/>
    </row>
    <row r="367" spans="1:26" ht="31.5" customHeight="1">
      <c r="A367" s="1"/>
      <c r="B367" s="6"/>
      <c r="C367" s="10"/>
      <c r="D367" s="1"/>
      <c r="E367" s="11"/>
      <c r="F367" s="11"/>
      <c r="G367" s="6"/>
      <c r="H367" s="6"/>
      <c r="I367" s="6"/>
      <c r="J367" s="6"/>
      <c r="K367" s="6"/>
      <c r="L367" s="6"/>
      <c r="M367" s="6"/>
      <c r="N367" s="6"/>
      <c r="O367" s="6"/>
      <c r="P367" s="6"/>
      <c r="Q367" s="6"/>
      <c r="R367" s="6"/>
      <c r="S367" s="6"/>
      <c r="T367" s="6"/>
      <c r="U367" s="6"/>
      <c r="V367" s="6"/>
      <c r="W367" s="6"/>
      <c r="X367" s="6"/>
      <c r="Y367" s="6"/>
      <c r="Z367" s="6"/>
    </row>
    <row r="368" spans="1:26" ht="31.5" customHeight="1">
      <c r="A368" s="1"/>
      <c r="B368" s="6"/>
      <c r="C368" s="10"/>
      <c r="D368" s="1"/>
      <c r="E368" s="11"/>
      <c r="F368" s="11"/>
      <c r="G368" s="6"/>
      <c r="H368" s="6"/>
      <c r="I368" s="6"/>
      <c r="J368" s="6"/>
      <c r="K368" s="6"/>
      <c r="L368" s="6"/>
      <c r="M368" s="6"/>
      <c r="N368" s="6"/>
      <c r="O368" s="6"/>
      <c r="P368" s="6"/>
      <c r="Q368" s="6"/>
      <c r="R368" s="6"/>
      <c r="S368" s="6"/>
      <c r="T368" s="6"/>
      <c r="U368" s="6"/>
      <c r="V368" s="6"/>
      <c r="W368" s="6"/>
      <c r="X368" s="6"/>
      <c r="Y368" s="6"/>
      <c r="Z368" s="6"/>
    </row>
    <row r="369" spans="1:26" ht="31.5" customHeight="1">
      <c r="A369" s="1"/>
      <c r="B369" s="6"/>
      <c r="C369" s="10"/>
      <c r="D369" s="1"/>
      <c r="E369" s="11"/>
      <c r="F369" s="11"/>
      <c r="G369" s="6"/>
      <c r="H369" s="6"/>
      <c r="I369" s="6"/>
      <c r="J369" s="6"/>
      <c r="K369" s="6"/>
      <c r="L369" s="6"/>
      <c r="M369" s="6"/>
      <c r="N369" s="6"/>
      <c r="O369" s="6"/>
      <c r="P369" s="6"/>
      <c r="Q369" s="6"/>
      <c r="R369" s="6"/>
      <c r="S369" s="6"/>
      <c r="T369" s="6"/>
      <c r="U369" s="6"/>
      <c r="V369" s="6"/>
      <c r="W369" s="6"/>
      <c r="X369" s="6"/>
      <c r="Y369" s="6"/>
      <c r="Z369" s="6"/>
    </row>
    <row r="370" spans="1:26" ht="31.5" customHeight="1">
      <c r="A370" s="1"/>
      <c r="B370" s="6"/>
      <c r="C370" s="10"/>
      <c r="D370" s="1"/>
      <c r="E370" s="11"/>
      <c r="F370" s="11"/>
      <c r="G370" s="6"/>
      <c r="H370" s="6"/>
      <c r="I370" s="6"/>
      <c r="J370" s="6"/>
      <c r="K370" s="6"/>
      <c r="L370" s="6"/>
      <c r="M370" s="6"/>
      <c r="N370" s="6"/>
      <c r="O370" s="6"/>
      <c r="P370" s="6"/>
      <c r="Q370" s="6"/>
      <c r="R370" s="6"/>
      <c r="S370" s="6"/>
      <c r="T370" s="6"/>
      <c r="U370" s="6"/>
      <c r="V370" s="6"/>
      <c r="W370" s="6"/>
      <c r="X370" s="6"/>
      <c r="Y370" s="6"/>
      <c r="Z370" s="6"/>
    </row>
    <row r="371" spans="1:26" ht="31.5" customHeight="1">
      <c r="A371" s="1"/>
      <c r="B371" s="6"/>
      <c r="C371" s="10"/>
      <c r="D371" s="1"/>
      <c r="E371" s="11"/>
      <c r="F371" s="11"/>
      <c r="G371" s="6"/>
      <c r="H371" s="6"/>
      <c r="I371" s="6"/>
      <c r="J371" s="6"/>
      <c r="K371" s="6"/>
      <c r="L371" s="6"/>
      <c r="M371" s="6"/>
      <c r="N371" s="6"/>
      <c r="O371" s="6"/>
      <c r="P371" s="6"/>
      <c r="Q371" s="6"/>
      <c r="R371" s="6"/>
      <c r="S371" s="6"/>
      <c r="T371" s="6"/>
      <c r="U371" s="6"/>
      <c r="V371" s="6"/>
      <c r="W371" s="6"/>
      <c r="X371" s="6"/>
      <c r="Y371" s="6"/>
      <c r="Z371" s="6"/>
    </row>
    <row r="372" spans="1:26" ht="31.5" customHeight="1">
      <c r="A372" s="1"/>
      <c r="B372" s="6"/>
      <c r="C372" s="10"/>
      <c r="D372" s="1"/>
      <c r="E372" s="11"/>
      <c r="F372" s="11"/>
      <c r="G372" s="6"/>
      <c r="H372" s="6"/>
      <c r="I372" s="6"/>
      <c r="J372" s="6"/>
      <c r="K372" s="6"/>
      <c r="L372" s="6"/>
      <c r="M372" s="6"/>
      <c r="N372" s="6"/>
      <c r="O372" s="6"/>
      <c r="P372" s="6"/>
      <c r="Q372" s="6"/>
      <c r="R372" s="6"/>
      <c r="S372" s="6"/>
      <c r="T372" s="6"/>
      <c r="U372" s="6"/>
      <c r="V372" s="6"/>
      <c r="W372" s="6"/>
      <c r="X372" s="6"/>
      <c r="Y372" s="6"/>
      <c r="Z372" s="6"/>
    </row>
    <row r="373" spans="1:26" ht="31.5" customHeight="1">
      <c r="A373" s="1"/>
      <c r="B373" s="6"/>
      <c r="C373" s="10"/>
      <c r="D373" s="1"/>
      <c r="E373" s="11"/>
      <c r="F373" s="11"/>
      <c r="G373" s="6"/>
      <c r="H373" s="6"/>
      <c r="I373" s="6"/>
      <c r="J373" s="6"/>
      <c r="K373" s="6"/>
      <c r="L373" s="6"/>
      <c r="M373" s="6"/>
      <c r="N373" s="6"/>
      <c r="O373" s="6"/>
      <c r="P373" s="6"/>
      <c r="Q373" s="6"/>
      <c r="R373" s="6"/>
      <c r="S373" s="6"/>
      <c r="T373" s="6"/>
      <c r="U373" s="6"/>
      <c r="V373" s="6"/>
      <c r="W373" s="6"/>
      <c r="X373" s="6"/>
      <c r="Y373" s="6"/>
      <c r="Z373" s="6"/>
    </row>
    <row r="374" spans="1:26" ht="31.5" customHeight="1">
      <c r="A374" s="1"/>
      <c r="B374" s="6"/>
      <c r="C374" s="10"/>
      <c r="D374" s="1"/>
      <c r="E374" s="11"/>
      <c r="F374" s="11"/>
      <c r="G374" s="6"/>
      <c r="H374" s="6"/>
      <c r="I374" s="6"/>
      <c r="J374" s="6"/>
      <c r="K374" s="6"/>
      <c r="L374" s="6"/>
      <c r="M374" s="6"/>
      <c r="N374" s="6"/>
      <c r="O374" s="6"/>
      <c r="P374" s="6"/>
      <c r="Q374" s="6"/>
      <c r="R374" s="6"/>
      <c r="S374" s="6"/>
      <c r="T374" s="6"/>
      <c r="U374" s="6"/>
      <c r="V374" s="6"/>
      <c r="W374" s="6"/>
      <c r="X374" s="6"/>
      <c r="Y374" s="6"/>
      <c r="Z374" s="6"/>
    </row>
    <row r="375" spans="1:26" ht="31.5" customHeight="1">
      <c r="A375" s="1"/>
      <c r="B375" s="6"/>
      <c r="C375" s="10"/>
      <c r="D375" s="1"/>
      <c r="E375" s="11"/>
      <c r="F375" s="11"/>
      <c r="G375" s="6"/>
      <c r="H375" s="6"/>
      <c r="I375" s="6"/>
      <c r="J375" s="6"/>
      <c r="K375" s="6"/>
      <c r="L375" s="6"/>
      <c r="M375" s="6"/>
      <c r="N375" s="6"/>
      <c r="O375" s="6"/>
      <c r="P375" s="6"/>
      <c r="Q375" s="6"/>
      <c r="R375" s="6"/>
      <c r="S375" s="6"/>
      <c r="T375" s="6"/>
      <c r="U375" s="6"/>
      <c r="V375" s="6"/>
      <c r="W375" s="6"/>
      <c r="X375" s="6"/>
      <c r="Y375" s="6"/>
      <c r="Z375" s="6"/>
    </row>
    <row r="376" spans="1:26" ht="31.5" customHeight="1">
      <c r="A376" s="1"/>
      <c r="B376" s="6"/>
      <c r="C376" s="10"/>
      <c r="D376" s="1"/>
      <c r="E376" s="11"/>
      <c r="F376" s="11"/>
      <c r="G376" s="6"/>
      <c r="H376" s="6"/>
      <c r="I376" s="6"/>
      <c r="J376" s="6"/>
      <c r="K376" s="6"/>
      <c r="L376" s="6"/>
      <c r="M376" s="6"/>
      <c r="N376" s="6"/>
      <c r="O376" s="6"/>
      <c r="P376" s="6"/>
      <c r="Q376" s="6"/>
      <c r="R376" s="6"/>
      <c r="S376" s="6"/>
      <c r="T376" s="6"/>
      <c r="U376" s="6"/>
      <c r="V376" s="6"/>
      <c r="W376" s="6"/>
      <c r="X376" s="6"/>
      <c r="Y376" s="6"/>
      <c r="Z376" s="6"/>
    </row>
    <row r="377" spans="1:26" ht="31.5" customHeight="1">
      <c r="A377" s="1"/>
      <c r="B377" s="6"/>
      <c r="C377" s="10"/>
      <c r="D377" s="1"/>
      <c r="E377" s="11"/>
      <c r="F377" s="11"/>
      <c r="G377" s="6"/>
      <c r="H377" s="6"/>
      <c r="I377" s="6"/>
      <c r="J377" s="6"/>
      <c r="K377" s="6"/>
      <c r="L377" s="6"/>
      <c r="M377" s="6"/>
      <c r="N377" s="6"/>
      <c r="O377" s="6"/>
      <c r="P377" s="6"/>
      <c r="Q377" s="6"/>
      <c r="R377" s="6"/>
      <c r="S377" s="6"/>
      <c r="T377" s="6"/>
      <c r="U377" s="6"/>
      <c r="V377" s="6"/>
      <c r="W377" s="6"/>
      <c r="X377" s="6"/>
      <c r="Y377" s="6"/>
      <c r="Z377" s="6"/>
    </row>
    <row r="378" spans="1:26" ht="31.5" customHeight="1">
      <c r="A378" s="1"/>
      <c r="B378" s="6"/>
      <c r="C378" s="10"/>
      <c r="D378" s="1"/>
      <c r="E378" s="11"/>
      <c r="F378" s="11"/>
      <c r="G378" s="6"/>
      <c r="H378" s="6"/>
      <c r="I378" s="6"/>
      <c r="J378" s="6"/>
      <c r="K378" s="6"/>
      <c r="L378" s="6"/>
      <c r="M378" s="6"/>
      <c r="N378" s="6"/>
      <c r="O378" s="6"/>
      <c r="P378" s="6"/>
      <c r="Q378" s="6"/>
      <c r="R378" s="6"/>
      <c r="S378" s="6"/>
      <c r="T378" s="6"/>
      <c r="U378" s="6"/>
      <c r="V378" s="6"/>
      <c r="W378" s="6"/>
      <c r="X378" s="6"/>
      <c r="Y378" s="6"/>
      <c r="Z378" s="6"/>
    </row>
    <row r="379" spans="1:26" ht="31.5" customHeight="1">
      <c r="A379" s="1"/>
      <c r="B379" s="6"/>
      <c r="C379" s="10"/>
      <c r="D379" s="1"/>
      <c r="E379" s="11"/>
      <c r="F379" s="11"/>
      <c r="G379" s="6"/>
      <c r="H379" s="6"/>
      <c r="I379" s="6"/>
      <c r="J379" s="6"/>
      <c r="K379" s="6"/>
      <c r="L379" s="6"/>
      <c r="M379" s="6"/>
      <c r="N379" s="6"/>
      <c r="O379" s="6"/>
      <c r="P379" s="6"/>
      <c r="Q379" s="6"/>
      <c r="R379" s="6"/>
      <c r="S379" s="6"/>
      <c r="T379" s="6"/>
      <c r="U379" s="6"/>
      <c r="V379" s="6"/>
      <c r="W379" s="6"/>
      <c r="X379" s="6"/>
      <c r="Y379" s="6"/>
      <c r="Z379" s="6"/>
    </row>
    <row r="380" spans="1:26" ht="31.5" customHeight="1">
      <c r="A380" s="1"/>
      <c r="B380" s="6"/>
      <c r="C380" s="10"/>
      <c r="D380" s="1"/>
      <c r="E380" s="11"/>
      <c r="F380" s="11"/>
      <c r="G380" s="6"/>
      <c r="H380" s="6"/>
      <c r="I380" s="6"/>
      <c r="J380" s="6"/>
      <c r="K380" s="6"/>
      <c r="L380" s="6"/>
      <c r="M380" s="6"/>
      <c r="N380" s="6"/>
      <c r="O380" s="6"/>
      <c r="P380" s="6"/>
      <c r="Q380" s="6"/>
      <c r="R380" s="6"/>
      <c r="S380" s="6"/>
      <c r="T380" s="6"/>
      <c r="U380" s="6"/>
      <c r="V380" s="6"/>
      <c r="W380" s="6"/>
      <c r="X380" s="6"/>
      <c r="Y380" s="6"/>
      <c r="Z380" s="6"/>
    </row>
    <row r="381" spans="1:26" ht="31.5" customHeight="1">
      <c r="A381" s="1"/>
      <c r="B381" s="6"/>
      <c r="C381" s="10"/>
      <c r="D381" s="1"/>
      <c r="E381" s="11"/>
      <c r="F381" s="11"/>
      <c r="G381" s="6"/>
      <c r="H381" s="6"/>
      <c r="I381" s="6"/>
      <c r="J381" s="6"/>
      <c r="K381" s="6"/>
      <c r="L381" s="6"/>
      <c r="M381" s="6"/>
      <c r="N381" s="6"/>
      <c r="O381" s="6"/>
      <c r="P381" s="6"/>
      <c r="Q381" s="6"/>
      <c r="R381" s="6"/>
      <c r="S381" s="6"/>
      <c r="T381" s="6"/>
      <c r="U381" s="6"/>
      <c r="V381" s="6"/>
      <c r="W381" s="6"/>
      <c r="X381" s="6"/>
      <c r="Y381" s="6"/>
      <c r="Z381" s="6"/>
    </row>
    <row r="382" spans="1:26" ht="31.5" customHeight="1">
      <c r="A382" s="1"/>
      <c r="B382" s="6"/>
      <c r="C382" s="10"/>
      <c r="D382" s="1"/>
      <c r="E382" s="11"/>
      <c r="F382" s="11"/>
      <c r="G382" s="6"/>
      <c r="H382" s="6"/>
      <c r="I382" s="6"/>
      <c r="J382" s="6"/>
      <c r="K382" s="6"/>
      <c r="L382" s="6"/>
      <c r="M382" s="6"/>
      <c r="N382" s="6"/>
      <c r="O382" s="6"/>
      <c r="P382" s="6"/>
      <c r="Q382" s="6"/>
      <c r="R382" s="6"/>
      <c r="S382" s="6"/>
      <c r="T382" s="6"/>
      <c r="U382" s="6"/>
      <c r="V382" s="6"/>
      <c r="W382" s="6"/>
      <c r="X382" s="6"/>
      <c r="Y382" s="6"/>
      <c r="Z382" s="6"/>
    </row>
    <row r="383" spans="1:26" ht="31.5" customHeight="1">
      <c r="A383" s="1"/>
      <c r="B383" s="6"/>
      <c r="C383" s="10"/>
      <c r="D383" s="1"/>
      <c r="E383" s="11"/>
      <c r="F383" s="11"/>
      <c r="G383" s="6"/>
      <c r="H383" s="6"/>
      <c r="I383" s="6"/>
      <c r="J383" s="6"/>
      <c r="K383" s="6"/>
      <c r="L383" s="6"/>
      <c r="M383" s="6"/>
      <c r="N383" s="6"/>
      <c r="O383" s="6"/>
      <c r="P383" s="6"/>
      <c r="Q383" s="6"/>
      <c r="R383" s="6"/>
      <c r="S383" s="6"/>
      <c r="T383" s="6"/>
      <c r="U383" s="6"/>
      <c r="V383" s="6"/>
      <c r="W383" s="6"/>
      <c r="X383" s="6"/>
      <c r="Y383" s="6"/>
      <c r="Z383" s="6"/>
    </row>
    <row r="384" spans="1:26" ht="31.5" customHeight="1">
      <c r="A384" s="1"/>
      <c r="B384" s="6"/>
      <c r="C384" s="10"/>
      <c r="D384" s="1"/>
      <c r="E384" s="11"/>
      <c r="F384" s="11"/>
      <c r="G384" s="6"/>
      <c r="H384" s="6"/>
      <c r="I384" s="6"/>
      <c r="J384" s="6"/>
      <c r="K384" s="6"/>
      <c r="L384" s="6"/>
      <c r="M384" s="6"/>
      <c r="N384" s="6"/>
      <c r="O384" s="6"/>
      <c r="P384" s="6"/>
      <c r="Q384" s="6"/>
      <c r="R384" s="6"/>
      <c r="S384" s="6"/>
      <c r="T384" s="6"/>
      <c r="U384" s="6"/>
      <c r="V384" s="6"/>
      <c r="W384" s="6"/>
      <c r="X384" s="6"/>
      <c r="Y384" s="6"/>
      <c r="Z384" s="6"/>
    </row>
    <row r="385" spans="1:26" ht="31.5" customHeight="1">
      <c r="A385" s="1"/>
      <c r="B385" s="6"/>
      <c r="C385" s="10"/>
      <c r="D385" s="1"/>
      <c r="E385" s="11"/>
      <c r="F385" s="11"/>
      <c r="G385" s="6"/>
      <c r="H385" s="6"/>
      <c r="I385" s="6"/>
      <c r="J385" s="6"/>
      <c r="K385" s="6"/>
      <c r="L385" s="6"/>
      <c r="M385" s="6"/>
      <c r="N385" s="6"/>
      <c r="O385" s="6"/>
      <c r="P385" s="6"/>
      <c r="Q385" s="6"/>
      <c r="R385" s="6"/>
      <c r="S385" s="6"/>
      <c r="T385" s="6"/>
      <c r="U385" s="6"/>
      <c r="V385" s="6"/>
      <c r="W385" s="6"/>
      <c r="X385" s="6"/>
      <c r="Y385" s="6"/>
      <c r="Z385" s="6"/>
    </row>
    <row r="386" spans="1:26" ht="31.5" customHeight="1">
      <c r="A386" s="1"/>
      <c r="B386" s="6"/>
      <c r="C386" s="10"/>
      <c r="D386" s="1"/>
      <c r="E386" s="11"/>
      <c r="F386" s="11"/>
      <c r="G386" s="6"/>
      <c r="H386" s="6"/>
      <c r="I386" s="6"/>
      <c r="J386" s="6"/>
      <c r="K386" s="6"/>
      <c r="L386" s="6"/>
      <c r="M386" s="6"/>
      <c r="N386" s="6"/>
      <c r="O386" s="6"/>
      <c r="P386" s="6"/>
      <c r="Q386" s="6"/>
      <c r="R386" s="6"/>
      <c r="S386" s="6"/>
      <c r="T386" s="6"/>
      <c r="U386" s="6"/>
      <c r="V386" s="6"/>
      <c r="W386" s="6"/>
      <c r="X386" s="6"/>
      <c r="Y386" s="6"/>
      <c r="Z386" s="6"/>
    </row>
    <row r="387" spans="1:26" ht="31.5" customHeight="1">
      <c r="A387" s="1"/>
      <c r="B387" s="6"/>
      <c r="C387" s="10"/>
      <c r="D387" s="1"/>
      <c r="E387" s="11"/>
      <c r="F387" s="11"/>
      <c r="G387" s="6"/>
      <c r="H387" s="6"/>
      <c r="I387" s="6"/>
      <c r="J387" s="6"/>
      <c r="K387" s="6"/>
      <c r="L387" s="6"/>
      <c r="M387" s="6"/>
      <c r="N387" s="6"/>
      <c r="O387" s="6"/>
      <c r="P387" s="6"/>
      <c r="Q387" s="6"/>
      <c r="R387" s="6"/>
      <c r="S387" s="6"/>
      <c r="T387" s="6"/>
      <c r="U387" s="6"/>
      <c r="V387" s="6"/>
      <c r="W387" s="6"/>
      <c r="X387" s="6"/>
      <c r="Y387" s="6"/>
      <c r="Z387" s="6"/>
    </row>
    <row r="388" spans="1:26" ht="31.5" customHeight="1">
      <c r="A388" s="1"/>
      <c r="B388" s="6"/>
      <c r="C388" s="10"/>
      <c r="D388" s="1"/>
      <c r="E388" s="11"/>
      <c r="F388" s="11"/>
      <c r="G388" s="6"/>
      <c r="H388" s="6"/>
      <c r="I388" s="6"/>
      <c r="J388" s="6"/>
      <c r="K388" s="6"/>
      <c r="L388" s="6"/>
      <c r="M388" s="6"/>
      <c r="N388" s="6"/>
      <c r="O388" s="6"/>
      <c r="P388" s="6"/>
      <c r="Q388" s="6"/>
      <c r="R388" s="6"/>
      <c r="S388" s="6"/>
      <c r="T388" s="6"/>
      <c r="U388" s="6"/>
      <c r="V388" s="6"/>
      <c r="W388" s="6"/>
      <c r="X388" s="6"/>
      <c r="Y388" s="6"/>
      <c r="Z388" s="6"/>
    </row>
    <row r="389" spans="1:26" ht="31.5" customHeight="1">
      <c r="A389" s="1"/>
      <c r="B389" s="6"/>
      <c r="C389" s="10"/>
      <c r="D389" s="1"/>
      <c r="E389" s="11"/>
      <c r="F389" s="11"/>
      <c r="G389" s="6"/>
      <c r="H389" s="6"/>
      <c r="I389" s="6"/>
      <c r="J389" s="6"/>
      <c r="K389" s="6"/>
      <c r="L389" s="6"/>
      <c r="M389" s="6"/>
      <c r="N389" s="6"/>
      <c r="O389" s="6"/>
      <c r="P389" s="6"/>
      <c r="Q389" s="6"/>
      <c r="R389" s="6"/>
      <c r="S389" s="6"/>
      <c r="T389" s="6"/>
      <c r="U389" s="6"/>
      <c r="V389" s="6"/>
      <c r="W389" s="6"/>
      <c r="X389" s="6"/>
      <c r="Y389" s="6"/>
      <c r="Z389" s="6"/>
    </row>
    <row r="390" spans="1:26" ht="31.5" customHeight="1">
      <c r="A390" s="1"/>
      <c r="B390" s="6"/>
      <c r="C390" s="10"/>
      <c r="D390" s="1"/>
      <c r="E390" s="11"/>
      <c r="F390" s="11"/>
      <c r="G390" s="6"/>
      <c r="H390" s="6"/>
      <c r="I390" s="6"/>
      <c r="J390" s="6"/>
      <c r="K390" s="6"/>
      <c r="L390" s="6"/>
      <c r="M390" s="6"/>
      <c r="N390" s="6"/>
      <c r="O390" s="6"/>
      <c r="P390" s="6"/>
      <c r="Q390" s="6"/>
      <c r="R390" s="6"/>
      <c r="S390" s="6"/>
      <c r="T390" s="6"/>
      <c r="U390" s="6"/>
      <c r="V390" s="6"/>
      <c r="W390" s="6"/>
      <c r="X390" s="6"/>
      <c r="Y390" s="6"/>
      <c r="Z390" s="6"/>
    </row>
    <row r="391" spans="1:26" ht="31.5" customHeight="1">
      <c r="A391" s="1"/>
      <c r="B391" s="6"/>
      <c r="C391" s="10"/>
      <c r="D391" s="1"/>
      <c r="E391" s="11"/>
      <c r="F391" s="11"/>
      <c r="G391" s="6"/>
      <c r="H391" s="6"/>
      <c r="I391" s="6"/>
      <c r="J391" s="6"/>
      <c r="K391" s="6"/>
      <c r="L391" s="6"/>
      <c r="M391" s="6"/>
      <c r="N391" s="6"/>
      <c r="O391" s="6"/>
      <c r="P391" s="6"/>
      <c r="Q391" s="6"/>
      <c r="R391" s="6"/>
      <c r="S391" s="6"/>
      <c r="T391" s="6"/>
      <c r="U391" s="6"/>
      <c r="V391" s="6"/>
      <c r="W391" s="6"/>
      <c r="X391" s="6"/>
      <c r="Y391" s="6"/>
      <c r="Z391" s="6"/>
    </row>
    <row r="392" spans="1:26" ht="31.5" customHeight="1">
      <c r="A392" s="1"/>
      <c r="B392" s="6"/>
      <c r="C392" s="10"/>
      <c r="D392" s="1"/>
      <c r="E392" s="11"/>
      <c r="F392" s="11"/>
      <c r="G392" s="6"/>
      <c r="H392" s="6"/>
      <c r="I392" s="6"/>
      <c r="J392" s="6"/>
      <c r="K392" s="6"/>
      <c r="L392" s="6"/>
      <c r="M392" s="6"/>
      <c r="N392" s="6"/>
      <c r="O392" s="6"/>
      <c r="P392" s="6"/>
      <c r="Q392" s="6"/>
      <c r="R392" s="6"/>
      <c r="S392" s="6"/>
      <c r="T392" s="6"/>
      <c r="U392" s="6"/>
      <c r="V392" s="6"/>
      <c r="W392" s="6"/>
      <c r="X392" s="6"/>
      <c r="Y392" s="6"/>
      <c r="Z392" s="6"/>
    </row>
    <row r="393" spans="1:26" ht="31.5" customHeight="1">
      <c r="A393" s="1"/>
      <c r="B393" s="6"/>
      <c r="C393" s="10"/>
      <c r="D393" s="1"/>
      <c r="E393" s="11"/>
      <c r="F393" s="11"/>
      <c r="G393" s="6"/>
      <c r="H393" s="6"/>
      <c r="I393" s="6"/>
      <c r="J393" s="6"/>
      <c r="K393" s="6"/>
      <c r="L393" s="6"/>
      <c r="M393" s="6"/>
      <c r="N393" s="6"/>
      <c r="O393" s="6"/>
      <c r="P393" s="6"/>
      <c r="Q393" s="6"/>
      <c r="R393" s="6"/>
      <c r="S393" s="6"/>
      <c r="T393" s="6"/>
      <c r="U393" s="6"/>
      <c r="V393" s="6"/>
      <c r="W393" s="6"/>
      <c r="X393" s="6"/>
      <c r="Y393" s="6"/>
      <c r="Z393" s="6"/>
    </row>
    <row r="394" spans="1:26" ht="31.5" customHeight="1">
      <c r="A394" s="1"/>
      <c r="B394" s="6"/>
      <c r="C394" s="10"/>
      <c r="D394" s="1"/>
      <c r="E394" s="11"/>
      <c r="F394" s="11"/>
      <c r="G394" s="6"/>
      <c r="H394" s="6"/>
      <c r="I394" s="6"/>
      <c r="J394" s="6"/>
      <c r="K394" s="6"/>
      <c r="L394" s="6"/>
      <c r="M394" s="6"/>
      <c r="N394" s="6"/>
      <c r="O394" s="6"/>
      <c r="P394" s="6"/>
      <c r="Q394" s="6"/>
      <c r="R394" s="6"/>
      <c r="S394" s="6"/>
      <c r="T394" s="6"/>
      <c r="U394" s="6"/>
      <c r="V394" s="6"/>
      <c r="W394" s="6"/>
      <c r="X394" s="6"/>
      <c r="Y394" s="6"/>
      <c r="Z394" s="6"/>
    </row>
    <row r="395" spans="1:26" ht="31.5" customHeight="1">
      <c r="A395" s="1"/>
      <c r="B395" s="6"/>
      <c r="C395" s="10"/>
      <c r="D395" s="1"/>
      <c r="E395" s="11"/>
      <c r="F395" s="11"/>
      <c r="G395" s="6"/>
      <c r="H395" s="6"/>
      <c r="I395" s="6"/>
      <c r="J395" s="6"/>
      <c r="K395" s="6"/>
      <c r="L395" s="6"/>
      <c r="M395" s="6"/>
      <c r="N395" s="6"/>
      <c r="O395" s="6"/>
      <c r="P395" s="6"/>
      <c r="Q395" s="6"/>
      <c r="R395" s="6"/>
      <c r="S395" s="6"/>
      <c r="T395" s="6"/>
      <c r="U395" s="6"/>
      <c r="V395" s="6"/>
      <c r="W395" s="6"/>
      <c r="X395" s="6"/>
      <c r="Y395" s="6"/>
      <c r="Z395" s="6"/>
    </row>
    <row r="396" spans="1:26" ht="31.5" customHeight="1">
      <c r="A396" s="1"/>
      <c r="B396" s="6"/>
      <c r="C396" s="10"/>
      <c r="D396" s="1"/>
      <c r="E396" s="11"/>
      <c r="F396" s="11"/>
      <c r="G396" s="6"/>
      <c r="H396" s="6"/>
      <c r="I396" s="6"/>
      <c r="J396" s="6"/>
      <c r="K396" s="6"/>
      <c r="L396" s="6"/>
      <c r="M396" s="6"/>
      <c r="N396" s="6"/>
      <c r="O396" s="6"/>
      <c r="P396" s="6"/>
      <c r="Q396" s="6"/>
      <c r="R396" s="6"/>
      <c r="S396" s="6"/>
      <c r="T396" s="6"/>
      <c r="U396" s="6"/>
      <c r="V396" s="6"/>
      <c r="W396" s="6"/>
      <c r="X396" s="6"/>
      <c r="Y396" s="6"/>
      <c r="Z396" s="6"/>
    </row>
    <row r="397" spans="1:26" ht="31.5" customHeight="1">
      <c r="A397" s="1"/>
      <c r="B397" s="6"/>
      <c r="C397" s="10"/>
      <c r="D397" s="1"/>
      <c r="E397" s="11"/>
      <c r="F397" s="11"/>
      <c r="G397" s="6"/>
      <c r="H397" s="6"/>
      <c r="I397" s="6"/>
      <c r="J397" s="6"/>
      <c r="K397" s="6"/>
      <c r="L397" s="6"/>
      <c r="M397" s="6"/>
      <c r="N397" s="6"/>
      <c r="O397" s="6"/>
      <c r="P397" s="6"/>
      <c r="Q397" s="6"/>
      <c r="R397" s="6"/>
      <c r="S397" s="6"/>
      <c r="T397" s="6"/>
      <c r="U397" s="6"/>
      <c r="V397" s="6"/>
      <c r="W397" s="6"/>
      <c r="X397" s="6"/>
      <c r="Y397" s="6"/>
      <c r="Z397" s="6"/>
    </row>
    <row r="398" spans="1:26" ht="31.5" customHeight="1">
      <c r="A398" s="1"/>
      <c r="B398" s="6"/>
      <c r="C398" s="10"/>
      <c r="D398" s="1"/>
      <c r="E398" s="11"/>
      <c r="F398" s="11"/>
      <c r="G398" s="6"/>
      <c r="H398" s="6"/>
      <c r="I398" s="6"/>
      <c r="J398" s="6"/>
      <c r="K398" s="6"/>
      <c r="L398" s="6"/>
      <c r="M398" s="6"/>
      <c r="N398" s="6"/>
      <c r="O398" s="6"/>
      <c r="P398" s="6"/>
      <c r="Q398" s="6"/>
      <c r="R398" s="6"/>
      <c r="S398" s="6"/>
      <c r="T398" s="6"/>
      <c r="U398" s="6"/>
      <c r="V398" s="6"/>
      <c r="W398" s="6"/>
      <c r="X398" s="6"/>
      <c r="Y398" s="6"/>
      <c r="Z398" s="6"/>
    </row>
    <row r="399" spans="1:26" ht="31.5" customHeight="1">
      <c r="A399" s="1"/>
      <c r="B399" s="6"/>
      <c r="C399" s="10"/>
      <c r="D399" s="1"/>
      <c r="E399" s="11"/>
      <c r="F399" s="11"/>
      <c r="G399" s="6"/>
      <c r="H399" s="6"/>
      <c r="I399" s="6"/>
      <c r="J399" s="6"/>
      <c r="K399" s="6"/>
      <c r="L399" s="6"/>
      <c r="M399" s="6"/>
      <c r="N399" s="6"/>
      <c r="O399" s="6"/>
      <c r="P399" s="6"/>
      <c r="Q399" s="6"/>
      <c r="R399" s="6"/>
      <c r="S399" s="6"/>
      <c r="T399" s="6"/>
      <c r="U399" s="6"/>
      <c r="V399" s="6"/>
      <c r="W399" s="6"/>
      <c r="X399" s="6"/>
      <c r="Y399" s="6"/>
      <c r="Z399" s="6"/>
    </row>
    <row r="400" spans="1:26" ht="31.5" customHeight="1">
      <c r="A400" s="1"/>
      <c r="B400" s="6"/>
      <c r="C400" s="10"/>
      <c r="D400" s="1"/>
      <c r="E400" s="11"/>
      <c r="F400" s="11"/>
      <c r="G400" s="6"/>
      <c r="H400" s="6"/>
      <c r="I400" s="6"/>
      <c r="J400" s="6"/>
      <c r="K400" s="6"/>
      <c r="L400" s="6"/>
      <c r="M400" s="6"/>
      <c r="N400" s="6"/>
      <c r="O400" s="6"/>
      <c r="P400" s="6"/>
      <c r="Q400" s="6"/>
      <c r="R400" s="6"/>
      <c r="S400" s="6"/>
      <c r="T400" s="6"/>
      <c r="U400" s="6"/>
      <c r="V400" s="6"/>
      <c r="W400" s="6"/>
      <c r="X400" s="6"/>
      <c r="Y400" s="6"/>
      <c r="Z400" s="6"/>
    </row>
    <row r="401" spans="1:26" ht="31.5" customHeight="1">
      <c r="A401" s="1"/>
      <c r="B401" s="6"/>
      <c r="C401" s="10"/>
      <c r="D401" s="1"/>
      <c r="E401" s="11"/>
      <c r="F401" s="11"/>
      <c r="G401" s="6"/>
      <c r="H401" s="6"/>
      <c r="I401" s="6"/>
      <c r="J401" s="6"/>
      <c r="K401" s="6"/>
      <c r="L401" s="6"/>
      <c r="M401" s="6"/>
      <c r="N401" s="6"/>
      <c r="O401" s="6"/>
      <c r="P401" s="6"/>
      <c r="Q401" s="6"/>
      <c r="R401" s="6"/>
      <c r="S401" s="6"/>
      <c r="T401" s="6"/>
      <c r="U401" s="6"/>
      <c r="V401" s="6"/>
      <c r="W401" s="6"/>
      <c r="X401" s="6"/>
      <c r="Y401" s="6"/>
      <c r="Z401" s="6"/>
    </row>
    <row r="402" spans="1:26" ht="31.5" customHeight="1">
      <c r="A402" s="1"/>
      <c r="B402" s="6"/>
      <c r="C402" s="10"/>
      <c r="D402" s="1"/>
      <c r="E402" s="11"/>
      <c r="F402" s="11"/>
      <c r="G402" s="6"/>
      <c r="H402" s="6"/>
      <c r="I402" s="6"/>
      <c r="J402" s="6"/>
      <c r="K402" s="6"/>
      <c r="L402" s="6"/>
      <c r="M402" s="6"/>
      <c r="N402" s="6"/>
      <c r="O402" s="6"/>
      <c r="P402" s="6"/>
      <c r="Q402" s="6"/>
      <c r="R402" s="6"/>
      <c r="S402" s="6"/>
      <c r="T402" s="6"/>
      <c r="U402" s="6"/>
      <c r="V402" s="6"/>
      <c r="W402" s="6"/>
      <c r="X402" s="6"/>
      <c r="Y402" s="6"/>
      <c r="Z402" s="6"/>
    </row>
    <row r="403" spans="1:26" ht="31.5" customHeight="1">
      <c r="A403" s="1"/>
      <c r="B403" s="6"/>
      <c r="C403" s="10"/>
      <c r="D403" s="1"/>
      <c r="E403" s="11"/>
      <c r="F403" s="11"/>
      <c r="G403" s="6"/>
      <c r="H403" s="6"/>
      <c r="I403" s="6"/>
      <c r="J403" s="6"/>
      <c r="K403" s="6"/>
      <c r="L403" s="6"/>
      <c r="M403" s="6"/>
      <c r="N403" s="6"/>
      <c r="O403" s="6"/>
      <c r="P403" s="6"/>
      <c r="Q403" s="6"/>
      <c r="R403" s="6"/>
      <c r="S403" s="6"/>
      <c r="T403" s="6"/>
      <c r="U403" s="6"/>
      <c r="V403" s="6"/>
      <c r="W403" s="6"/>
      <c r="X403" s="6"/>
      <c r="Y403" s="6"/>
      <c r="Z403" s="6"/>
    </row>
    <row r="404" spans="1:26" ht="31.5" customHeight="1">
      <c r="A404" s="1"/>
      <c r="B404" s="6"/>
      <c r="C404" s="10"/>
      <c r="D404" s="1"/>
      <c r="E404" s="11"/>
      <c r="F404" s="11"/>
      <c r="G404" s="6"/>
      <c r="H404" s="6"/>
      <c r="I404" s="6"/>
      <c r="J404" s="6"/>
      <c r="K404" s="6"/>
      <c r="L404" s="6"/>
      <c r="M404" s="6"/>
      <c r="N404" s="6"/>
      <c r="O404" s="6"/>
      <c r="P404" s="6"/>
      <c r="Q404" s="6"/>
      <c r="R404" s="6"/>
      <c r="S404" s="6"/>
      <c r="T404" s="6"/>
      <c r="U404" s="6"/>
      <c r="V404" s="6"/>
      <c r="W404" s="6"/>
      <c r="X404" s="6"/>
      <c r="Y404" s="6"/>
      <c r="Z404" s="6"/>
    </row>
    <row r="405" spans="1:26" ht="31.5" customHeight="1">
      <c r="A405" s="1"/>
      <c r="B405" s="6"/>
      <c r="C405" s="10"/>
      <c r="D405" s="1"/>
      <c r="E405" s="11"/>
      <c r="F405" s="11"/>
      <c r="G405" s="6"/>
      <c r="H405" s="6"/>
      <c r="I405" s="6"/>
      <c r="J405" s="6"/>
      <c r="K405" s="6"/>
      <c r="L405" s="6"/>
      <c r="M405" s="6"/>
      <c r="N405" s="6"/>
      <c r="O405" s="6"/>
      <c r="P405" s="6"/>
      <c r="Q405" s="6"/>
      <c r="R405" s="6"/>
      <c r="S405" s="6"/>
      <c r="T405" s="6"/>
      <c r="U405" s="6"/>
      <c r="V405" s="6"/>
      <c r="W405" s="6"/>
      <c r="X405" s="6"/>
      <c r="Y405" s="6"/>
      <c r="Z405" s="6"/>
    </row>
    <row r="406" spans="1:26" ht="31.5" customHeight="1">
      <c r="A406" s="1"/>
      <c r="B406" s="6"/>
      <c r="C406" s="10"/>
      <c r="D406" s="1"/>
      <c r="E406" s="11"/>
      <c r="F406" s="11"/>
      <c r="G406" s="6"/>
      <c r="H406" s="6"/>
      <c r="I406" s="6"/>
      <c r="J406" s="6"/>
      <c r="K406" s="6"/>
      <c r="L406" s="6"/>
      <c r="M406" s="6"/>
      <c r="N406" s="6"/>
      <c r="O406" s="6"/>
      <c r="P406" s="6"/>
      <c r="Q406" s="6"/>
      <c r="R406" s="6"/>
      <c r="S406" s="6"/>
      <c r="T406" s="6"/>
      <c r="U406" s="6"/>
      <c r="V406" s="6"/>
      <c r="W406" s="6"/>
      <c r="X406" s="6"/>
      <c r="Y406" s="6"/>
      <c r="Z406" s="6"/>
    </row>
    <row r="407" spans="1:26" ht="31.5" customHeight="1">
      <c r="A407" s="1"/>
      <c r="B407" s="6"/>
      <c r="C407" s="10"/>
      <c r="D407" s="1"/>
      <c r="E407" s="11"/>
      <c r="F407" s="11"/>
      <c r="G407" s="6"/>
      <c r="H407" s="6"/>
      <c r="I407" s="6"/>
      <c r="J407" s="6"/>
      <c r="K407" s="6"/>
      <c r="L407" s="6"/>
      <c r="M407" s="6"/>
      <c r="N407" s="6"/>
      <c r="O407" s="6"/>
      <c r="P407" s="6"/>
      <c r="Q407" s="6"/>
      <c r="R407" s="6"/>
      <c r="S407" s="6"/>
      <c r="T407" s="6"/>
      <c r="U407" s="6"/>
      <c r="V407" s="6"/>
      <c r="W407" s="6"/>
      <c r="X407" s="6"/>
      <c r="Y407" s="6"/>
      <c r="Z407" s="6"/>
    </row>
    <row r="408" spans="1:26" ht="31.5" customHeight="1">
      <c r="A408" s="1"/>
      <c r="B408" s="6"/>
      <c r="C408" s="10"/>
      <c r="D408" s="1"/>
      <c r="E408" s="11"/>
      <c r="F408" s="11"/>
      <c r="G408" s="6"/>
      <c r="H408" s="6"/>
      <c r="I408" s="6"/>
      <c r="J408" s="6"/>
      <c r="K408" s="6"/>
      <c r="L408" s="6"/>
      <c r="M408" s="6"/>
      <c r="N408" s="6"/>
      <c r="O408" s="6"/>
      <c r="P408" s="6"/>
      <c r="Q408" s="6"/>
      <c r="R408" s="6"/>
      <c r="S408" s="6"/>
      <c r="T408" s="6"/>
      <c r="U408" s="6"/>
      <c r="V408" s="6"/>
      <c r="W408" s="6"/>
      <c r="X408" s="6"/>
      <c r="Y408" s="6"/>
      <c r="Z408" s="6"/>
    </row>
    <row r="409" spans="1:26" ht="31.5" customHeight="1">
      <c r="A409" s="1"/>
      <c r="B409" s="6"/>
      <c r="C409" s="10"/>
      <c r="D409" s="1"/>
      <c r="E409" s="11"/>
      <c r="F409" s="11"/>
      <c r="G409" s="6"/>
      <c r="H409" s="6"/>
      <c r="I409" s="6"/>
      <c r="J409" s="6"/>
      <c r="K409" s="6"/>
      <c r="L409" s="6"/>
      <c r="M409" s="6"/>
      <c r="N409" s="6"/>
      <c r="O409" s="6"/>
      <c r="P409" s="6"/>
      <c r="Q409" s="6"/>
      <c r="R409" s="6"/>
      <c r="S409" s="6"/>
      <c r="T409" s="6"/>
      <c r="U409" s="6"/>
      <c r="V409" s="6"/>
      <c r="W409" s="6"/>
      <c r="X409" s="6"/>
      <c r="Y409" s="6"/>
      <c r="Z409" s="6"/>
    </row>
    <row r="410" spans="1:26" ht="31.5" customHeight="1">
      <c r="A410" s="1"/>
      <c r="B410" s="6"/>
      <c r="C410" s="10"/>
      <c r="D410" s="1"/>
      <c r="E410" s="11"/>
      <c r="F410" s="11"/>
      <c r="G410" s="6"/>
      <c r="H410" s="6"/>
      <c r="I410" s="6"/>
      <c r="J410" s="6"/>
      <c r="K410" s="6"/>
      <c r="L410" s="6"/>
      <c r="M410" s="6"/>
      <c r="N410" s="6"/>
      <c r="O410" s="6"/>
      <c r="P410" s="6"/>
      <c r="Q410" s="6"/>
      <c r="R410" s="6"/>
      <c r="S410" s="6"/>
      <c r="T410" s="6"/>
      <c r="U410" s="6"/>
      <c r="V410" s="6"/>
      <c r="W410" s="6"/>
      <c r="X410" s="6"/>
      <c r="Y410" s="6"/>
      <c r="Z410" s="6"/>
    </row>
    <row r="411" spans="1:26" ht="31.5" customHeight="1">
      <c r="A411" s="1"/>
      <c r="B411" s="6"/>
      <c r="C411" s="10"/>
      <c r="D411" s="1"/>
      <c r="E411" s="11"/>
      <c r="F411" s="11"/>
      <c r="G411" s="6"/>
      <c r="H411" s="6"/>
      <c r="I411" s="6"/>
      <c r="J411" s="6"/>
      <c r="K411" s="6"/>
      <c r="L411" s="6"/>
      <c r="M411" s="6"/>
      <c r="N411" s="6"/>
      <c r="O411" s="6"/>
      <c r="P411" s="6"/>
      <c r="Q411" s="6"/>
      <c r="R411" s="6"/>
      <c r="S411" s="6"/>
      <c r="T411" s="6"/>
      <c r="U411" s="6"/>
      <c r="V411" s="6"/>
      <c r="W411" s="6"/>
      <c r="X411" s="6"/>
      <c r="Y411" s="6"/>
      <c r="Z411" s="6"/>
    </row>
    <row r="412" spans="1:26" ht="31.5" customHeight="1">
      <c r="A412" s="1"/>
      <c r="B412" s="6"/>
      <c r="C412" s="10"/>
      <c r="D412" s="1"/>
      <c r="E412" s="11"/>
      <c r="F412" s="11"/>
      <c r="G412" s="6"/>
      <c r="H412" s="6"/>
      <c r="I412" s="6"/>
      <c r="J412" s="6"/>
      <c r="K412" s="6"/>
      <c r="L412" s="6"/>
      <c r="M412" s="6"/>
      <c r="N412" s="6"/>
      <c r="O412" s="6"/>
      <c r="P412" s="6"/>
      <c r="Q412" s="6"/>
      <c r="R412" s="6"/>
      <c r="S412" s="6"/>
      <c r="T412" s="6"/>
      <c r="U412" s="6"/>
      <c r="V412" s="6"/>
      <c r="W412" s="6"/>
      <c r="X412" s="6"/>
      <c r="Y412" s="6"/>
      <c r="Z412" s="6"/>
    </row>
    <row r="413" spans="1:26" ht="31.5" customHeight="1">
      <c r="A413" s="1"/>
      <c r="B413" s="6"/>
      <c r="C413" s="10"/>
      <c r="D413" s="1"/>
      <c r="E413" s="11"/>
      <c r="F413" s="11"/>
      <c r="G413" s="6"/>
      <c r="H413" s="6"/>
      <c r="I413" s="6"/>
      <c r="J413" s="6"/>
      <c r="K413" s="6"/>
      <c r="L413" s="6"/>
      <c r="M413" s="6"/>
      <c r="N413" s="6"/>
      <c r="O413" s="6"/>
      <c r="P413" s="6"/>
      <c r="Q413" s="6"/>
      <c r="R413" s="6"/>
      <c r="S413" s="6"/>
      <c r="T413" s="6"/>
      <c r="U413" s="6"/>
      <c r="V413" s="6"/>
      <c r="W413" s="6"/>
      <c r="X413" s="6"/>
      <c r="Y413" s="6"/>
      <c r="Z413" s="6"/>
    </row>
    <row r="414" spans="1:26" ht="31.5" customHeight="1">
      <c r="A414" s="1"/>
      <c r="B414" s="6"/>
      <c r="C414" s="10"/>
      <c r="D414" s="1"/>
      <c r="E414" s="11"/>
      <c r="F414" s="11"/>
      <c r="G414" s="6"/>
      <c r="H414" s="6"/>
      <c r="I414" s="6"/>
      <c r="J414" s="6"/>
      <c r="K414" s="6"/>
      <c r="L414" s="6"/>
      <c r="M414" s="6"/>
      <c r="N414" s="6"/>
      <c r="O414" s="6"/>
      <c r="P414" s="6"/>
      <c r="Q414" s="6"/>
      <c r="R414" s="6"/>
      <c r="S414" s="6"/>
      <c r="T414" s="6"/>
      <c r="U414" s="6"/>
      <c r="V414" s="6"/>
      <c r="W414" s="6"/>
      <c r="X414" s="6"/>
      <c r="Y414" s="6"/>
      <c r="Z414" s="6"/>
    </row>
    <row r="415" spans="1:26" ht="31.5" customHeight="1">
      <c r="A415" s="1"/>
      <c r="B415" s="6"/>
      <c r="C415" s="10"/>
      <c r="D415" s="1"/>
      <c r="E415" s="11"/>
      <c r="F415" s="11"/>
      <c r="G415" s="6"/>
      <c r="H415" s="6"/>
      <c r="I415" s="6"/>
      <c r="J415" s="6"/>
      <c r="K415" s="6"/>
      <c r="L415" s="6"/>
      <c r="M415" s="6"/>
      <c r="N415" s="6"/>
      <c r="O415" s="6"/>
      <c r="P415" s="6"/>
      <c r="Q415" s="6"/>
      <c r="R415" s="6"/>
      <c r="S415" s="6"/>
      <c r="T415" s="6"/>
      <c r="U415" s="6"/>
      <c r="V415" s="6"/>
      <c r="W415" s="6"/>
      <c r="X415" s="6"/>
      <c r="Y415" s="6"/>
      <c r="Z415" s="6"/>
    </row>
    <row r="416" spans="1:26" ht="31.5" customHeight="1">
      <c r="A416" s="1"/>
      <c r="B416" s="6"/>
      <c r="C416" s="10"/>
      <c r="D416" s="1"/>
      <c r="E416" s="11"/>
      <c r="F416" s="11"/>
      <c r="G416" s="6"/>
      <c r="H416" s="6"/>
      <c r="I416" s="6"/>
      <c r="J416" s="6"/>
      <c r="K416" s="6"/>
      <c r="L416" s="6"/>
      <c r="M416" s="6"/>
      <c r="N416" s="6"/>
      <c r="O416" s="6"/>
      <c r="P416" s="6"/>
      <c r="Q416" s="6"/>
      <c r="R416" s="6"/>
      <c r="S416" s="6"/>
      <c r="T416" s="6"/>
      <c r="U416" s="6"/>
      <c r="V416" s="6"/>
      <c r="W416" s="6"/>
      <c r="X416" s="6"/>
      <c r="Y416" s="6"/>
      <c r="Z416" s="6"/>
    </row>
    <row r="417" spans="1:26" ht="31.5" customHeight="1">
      <c r="A417" s="1"/>
      <c r="B417" s="6"/>
      <c r="C417" s="10"/>
      <c r="D417" s="1"/>
      <c r="E417" s="11"/>
      <c r="F417" s="11"/>
      <c r="G417" s="6"/>
      <c r="H417" s="6"/>
      <c r="I417" s="6"/>
      <c r="J417" s="6"/>
      <c r="K417" s="6"/>
      <c r="L417" s="6"/>
      <c r="M417" s="6"/>
      <c r="N417" s="6"/>
      <c r="O417" s="6"/>
      <c r="P417" s="6"/>
      <c r="Q417" s="6"/>
      <c r="R417" s="6"/>
      <c r="S417" s="6"/>
      <c r="T417" s="6"/>
      <c r="U417" s="6"/>
      <c r="V417" s="6"/>
      <c r="W417" s="6"/>
      <c r="X417" s="6"/>
      <c r="Y417" s="6"/>
      <c r="Z417" s="6"/>
    </row>
    <row r="418" spans="1:26" ht="31.5" customHeight="1">
      <c r="A418" s="1"/>
      <c r="B418" s="6"/>
      <c r="C418" s="10"/>
      <c r="D418" s="1"/>
      <c r="E418" s="11"/>
      <c r="F418" s="11"/>
      <c r="G418" s="6"/>
      <c r="H418" s="6"/>
      <c r="I418" s="6"/>
      <c r="J418" s="6"/>
      <c r="K418" s="6"/>
      <c r="L418" s="6"/>
      <c r="M418" s="6"/>
      <c r="N418" s="6"/>
      <c r="O418" s="6"/>
      <c r="P418" s="6"/>
      <c r="Q418" s="6"/>
      <c r="R418" s="6"/>
      <c r="S418" s="6"/>
      <c r="T418" s="6"/>
      <c r="U418" s="6"/>
      <c r="V418" s="6"/>
      <c r="W418" s="6"/>
      <c r="X418" s="6"/>
      <c r="Y418" s="6"/>
      <c r="Z418" s="6"/>
    </row>
    <row r="419" spans="1:26" ht="31.5" customHeight="1">
      <c r="A419" s="1"/>
      <c r="B419" s="6"/>
      <c r="C419" s="10"/>
      <c r="D419" s="1"/>
      <c r="E419" s="11"/>
      <c r="F419" s="11"/>
      <c r="G419" s="6"/>
      <c r="H419" s="6"/>
      <c r="I419" s="6"/>
      <c r="J419" s="6"/>
      <c r="K419" s="6"/>
      <c r="L419" s="6"/>
      <c r="M419" s="6"/>
      <c r="N419" s="6"/>
      <c r="O419" s="6"/>
      <c r="P419" s="6"/>
      <c r="Q419" s="6"/>
      <c r="R419" s="6"/>
      <c r="S419" s="6"/>
      <c r="T419" s="6"/>
      <c r="U419" s="6"/>
      <c r="V419" s="6"/>
      <c r="W419" s="6"/>
      <c r="X419" s="6"/>
      <c r="Y419" s="6"/>
      <c r="Z419" s="6"/>
    </row>
    <row r="420" spans="1:26" ht="31.5" customHeight="1">
      <c r="A420" s="1"/>
      <c r="B420" s="6"/>
      <c r="C420" s="10"/>
      <c r="D420" s="1"/>
      <c r="E420" s="11"/>
      <c r="F420" s="11"/>
      <c r="G420" s="6"/>
      <c r="H420" s="6"/>
      <c r="I420" s="6"/>
      <c r="J420" s="6"/>
      <c r="K420" s="6"/>
      <c r="L420" s="6"/>
      <c r="M420" s="6"/>
      <c r="N420" s="6"/>
      <c r="O420" s="6"/>
      <c r="P420" s="6"/>
      <c r="Q420" s="6"/>
      <c r="R420" s="6"/>
      <c r="S420" s="6"/>
      <c r="T420" s="6"/>
      <c r="U420" s="6"/>
      <c r="V420" s="6"/>
      <c r="W420" s="6"/>
      <c r="X420" s="6"/>
      <c r="Y420" s="6"/>
      <c r="Z420" s="6"/>
    </row>
    <row r="421" spans="1:26" ht="31.5" customHeight="1">
      <c r="A421" s="1"/>
      <c r="B421" s="6"/>
      <c r="C421" s="10"/>
      <c r="D421" s="1"/>
      <c r="E421" s="11"/>
      <c r="F421" s="11"/>
      <c r="G421" s="6"/>
      <c r="H421" s="6"/>
      <c r="I421" s="6"/>
      <c r="J421" s="6"/>
      <c r="K421" s="6"/>
      <c r="L421" s="6"/>
      <c r="M421" s="6"/>
      <c r="N421" s="6"/>
      <c r="O421" s="6"/>
      <c r="P421" s="6"/>
      <c r="Q421" s="6"/>
      <c r="R421" s="6"/>
      <c r="S421" s="6"/>
      <c r="T421" s="6"/>
      <c r="U421" s="6"/>
      <c r="V421" s="6"/>
      <c r="W421" s="6"/>
      <c r="X421" s="6"/>
      <c r="Y421" s="6"/>
      <c r="Z421" s="6"/>
    </row>
    <row r="422" spans="1:26" ht="31.5" customHeight="1">
      <c r="A422" s="1"/>
      <c r="B422" s="6"/>
      <c r="C422" s="10"/>
      <c r="D422" s="1"/>
      <c r="E422" s="11"/>
      <c r="F422" s="11"/>
      <c r="G422" s="6"/>
      <c r="H422" s="6"/>
      <c r="I422" s="6"/>
      <c r="J422" s="6"/>
      <c r="K422" s="6"/>
      <c r="L422" s="6"/>
      <c r="M422" s="6"/>
      <c r="N422" s="6"/>
      <c r="O422" s="6"/>
      <c r="P422" s="6"/>
      <c r="Q422" s="6"/>
      <c r="R422" s="6"/>
      <c r="S422" s="6"/>
      <c r="T422" s="6"/>
      <c r="U422" s="6"/>
      <c r="V422" s="6"/>
      <c r="W422" s="6"/>
      <c r="X422" s="6"/>
      <c r="Y422" s="6"/>
      <c r="Z422" s="6"/>
    </row>
    <row r="423" spans="1:26" ht="31.5" customHeight="1">
      <c r="A423" s="1"/>
      <c r="B423" s="6"/>
      <c r="C423" s="10"/>
      <c r="D423" s="1"/>
      <c r="E423" s="11"/>
      <c r="F423" s="11"/>
      <c r="G423" s="6"/>
      <c r="H423" s="6"/>
      <c r="I423" s="6"/>
      <c r="J423" s="6"/>
      <c r="K423" s="6"/>
      <c r="L423" s="6"/>
      <c r="M423" s="6"/>
      <c r="N423" s="6"/>
      <c r="O423" s="6"/>
      <c r="P423" s="6"/>
      <c r="Q423" s="6"/>
      <c r="R423" s="6"/>
      <c r="S423" s="6"/>
      <c r="T423" s="6"/>
      <c r="U423" s="6"/>
      <c r="V423" s="6"/>
      <c r="W423" s="6"/>
      <c r="X423" s="6"/>
      <c r="Y423" s="6"/>
      <c r="Z423" s="6"/>
    </row>
    <row r="424" spans="1:26" ht="31.5" customHeight="1">
      <c r="A424" s="1"/>
      <c r="B424" s="6"/>
      <c r="C424" s="10"/>
      <c r="D424" s="1"/>
      <c r="E424" s="11"/>
      <c r="F424" s="11"/>
      <c r="G424" s="6"/>
      <c r="H424" s="6"/>
      <c r="I424" s="6"/>
      <c r="J424" s="6"/>
      <c r="K424" s="6"/>
      <c r="L424" s="6"/>
      <c r="M424" s="6"/>
      <c r="N424" s="6"/>
      <c r="O424" s="6"/>
      <c r="P424" s="6"/>
      <c r="Q424" s="6"/>
      <c r="R424" s="6"/>
      <c r="S424" s="6"/>
      <c r="T424" s="6"/>
      <c r="U424" s="6"/>
      <c r="V424" s="6"/>
      <c r="W424" s="6"/>
      <c r="X424" s="6"/>
      <c r="Y424" s="6"/>
      <c r="Z424" s="6"/>
    </row>
    <row r="425" spans="1:26" ht="31.5" customHeight="1">
      <c r="A425" s="1"/>
      <c r="B425" s="6"/>
      <c r="C425" s="10"/>
      <c r="D425" s="1"/>
      <c r="E425" s="11"/>
      <c r="F425" s="11"/>
      <c r="G425" s="6"/>
      <c r="H425" s="6"/>
      <c r="I425" s="6"/>
      <c r="J425" s="6"/>
      <c r="K425" s="6"/>
      <c r="L425" s="6"/>
      <c r="M425" s="6"/>
      <c r="N425" s="6"/>
      <c r="O425" s="6"/>
      <c r="P425" s="6"/>
      <c r="Q425" s="6"/>
      <c r="R425" s="6"/>
      <c r="S425" s="6"/>
      <c r="T425" s="6"/>
      <c r="U425" s="6"/>
      <c r="V425" s="6"/>
      <c r="W425" s="6"/>
      <c r="X425" s="6"/>
      <c r="Y425" s="6"/>
      <c r="Z425" s="6"/>
    </row>
    <row r="426" spans="1:26" ht="31.5" customHeight="1">
      <c r="A426" s="1"/>
      <c r="B426" s="6"/>
      <c r="C426" s="10"/>
      <c r="D426" s="1"/>
      <c r="E426" s="11"/>
      <c r="F426" s="11"/>
      <c r="G426" s="6"/>
      <c r="H426" s="6"/>
      <c r="I426" s="6"/>
      <c r="J426" s="6"/>
      <c r="K426" s="6"/>
      <c r="L426" s="6"/>
      <c r="M426" s="6"/>
      <c r="N426" s="6"/>
      <c r="O426" s="6"/>
      <c r="P426" s="6"/>
      <c r="Q426" s="6"/>
      <c r="R426" s="6"/>
      <c r="S426" s="6"/>
      <c r="T426" s="6"/>
      <c r="U426" s="6"/>
      <c r="V426" s="6"/>
      <c r="W426" s="6"/>
      <c r="X426" s="6"/>
      <c r="Y426" s="6"/>
      <c r="Z426" s="6"/>
    </row>
    <row r="427" spans="1:26" ht="31.5" customHeight="1">
      <c r="A427" s="1"/>
      <c r="B427" s="6"/>
      <c r="C427" s="10"/>
      <c r="D427" s="1"/>
      <c r="E427" s="11"/>
      <c r="F427" s="11"/>
      <c r="G427" s="6"/>
      <c r="H427" s="6"/>
      <c r="I427" s="6"/>
      <c r="J427" s="6"/>
      <c r="K427" s="6"/>
      <c r="L427" s="6"/>
      <c r="M427" s="6"/>
      <c r="N427" s="6"/>
      <c r="O427" s="6"/>
      <c r="P427" s="6"/>
      <c r="Q427" s="6"/>
      <c r="R427" s="6"/>
      <c r="S427" s="6"/>
      <c r="T427" s="6"/>
      <c r="U427" s="6"/>
      <c r="V427" s="6"/>
      <c r="W427" s="6"/>
      <c r="X427" s="6"/>
      <c r="Y427" s="6"/>
      <c r="Z427" s="6"/>
    </row>
    <row r="428" spans="1:26" ht="31.5" customHeight="1">
      <c r="A428" s="1"/>
      <c r="B428" s="6"/>
      <c r="C428" s="10"/>
      <c r="D428" s="1"/>
      <c r="E428" s="11"/>
      <c r="F428" s="11"/>
      <c r="G428" s="6"/>
      <c r="H428" s="6"/>
      <c r="I428" s="6"/>
      <c r="J428" s="6"/>
      <c r="K428" s="6"/>
      <c r="L428" s="6"/>
      <c r="M428" s="6"/>
      <c r="N428" s="6"/>
      <c r="O428" s="6"/>
      <c r="P428" s="6"/>
      <c r="Q428" s="6"/>
      <c r="R428" s="6"/>
      <c r="S428" s="6"/>
      <c r="T428" s="6"/>
      <c r="U428" s="6"/>
      <c r="V428" s="6"/>
      <c r="W428" s="6"/>
      <c r="X428" s="6"/>
      <c r="Y428" s="6"/>
      <c r="Z428" s="6"/>
    </row>
    <row r="429" spans="1:26" ht="31.5" customHeight="1">
      <c r="A429" s="1"/>
      <c r="B429" s="6"/>
      <c r="C429" s="10"/>
      <c r="D429" s="1"/>
      <c r="E429" s="11"/>
      <c r="F429" s="11"/>
      <c r="G429" s="6"/>
      <c r="H429" s="6"/>
      <c r="I429" s="6"/>
      <c r="J429" s="6"/>
      <c r="K429" s="6"/>
      <c r="L429" s="6"/>
      <c r="M429" s="6"/>
      <c r="N429" s="6"/>
      <c r="O429" s="6"/>
      <c r="P429" s="6"/>
      <c r="Q429" s="6"/>
      <c r="R429" s="6"/>
      <c r="S429" s="6"/>
      <c r="T429" s="6"/>
      <c r="U429" s="6"/>
      <c r="V429" s="6"/>
      <c r="W429" s="6"/>
      <c r="X429" s="6"/>
      <c r="Y429" s="6"/>
      <c r="Z429" s="6"/>
    </row>
    <row r="430" spans="1:26" ht="31.5" customHeight="1">
      <c r="A430" s="1"/>
      <c r="B430" s="6"/>
      <c r="C430" s="10"/>
      <c r="D430" s="1"/>
      <c r="E430" s="11"/>
      <c r="F430" s="11"/>
      <c r="G430" s="6"/>
      <c r="H430" s="6"/>
      <c r="I430" s="6"/>
      <c r="J430" s="6"/>
      <c r="K430" s="6"/>
      <c r="L430" s="6"/>
      <c r="M430" s="6"/>
      <c r="N430" s="6"/>
      <c r="O430" s="6"/>
      <c r="P430" s="6"/>
      <c r="Q430" s="6"/>
      <c r="R430" s="6"/>
      <c r="S430" s="6"/>
      <c r="T430" s="6"/>
      <c r="U430" s="6"/>
      <c r="V430" s="6"/>
      <c r="W430" s="6"/>
      <c r="X430" s="6"/>
      <c r="Y430" s="6"/>
      <c r="Z430" s="6"/>
    </row>
    <row r="431" spans="1:26" ht="31.5" customHeight="1">
      <c r="A431" s="1"/>
      <c r="B431" s="6"/>
      <c r="C431" s="10"/>
      <c r="D431" s="1"/>
      <c r="E431" s="11"/>
      <c r="F431" s="11"/>
      <c r="G431" s="6"/>
      <c r="H431" s="6"/>
      <c r="I431" s="6"/>
      <c r="J431" s="6"/>
      <c r="K431" s="6"/>
      <c r="L431" s="6"/>
      <c r="M431" s="6"/>
      <c r="N431" s="6"/>
      <c r="O431" s="6"/>
      <c r="P431" s="6"/>
      <c r="Q431" s="6"/>
      <c r="R431" s="6"/>
      <c r="S431" s="6"/>
      <c r="T431" s="6"/>
      <c r="U431" s="6"/>
      <c r="V431" s="6"/>
      <c r="W431" s="6"/>
      <c r="X431" s="6"/>
      <c r="Y431" s="6"/>
      <c r="Z431" s="6"/>
    </row>
    <row r="432" spans="1:26" ht="31.5" customHeight="1">
      <c r="A432" s="1"/>
      <c r="B432" s="6"/>
      <c r="C432" s="10"/>
      <c r="D432" s="1"/>
      <c r="E432" s="11"/>
      <c r="F432" s="11"/>
      <c r="G432" s="6"/>
      <c r="H432" s="6"/>
      <c r="I432" s="6"/>
      <c r="J432" s="6"/>
      <c r="K432" s="6"/>
      <c r="L432" s="6"/>
      <c r="M432" s="6"/>
      <c r="N432" s="6"/>
      <c r="O432" s="6"/>
      <c r="P432" s="6"/>
      <c r="Q432" s="6"/>
      <c r="R432" s="6"/>
      <c r="S432" s="6"/>
      <c r="T432" s="6"/>
      <c r="U432" s="6"/>
      <c r="V432" s="6"/>
      <c r="W432" s="6"/>
      <c r="X432" s="6"/>
      <c r="Y432" s="6"/>
      <c r="Z432" s="6"/>
    </row>
    <row r="433" spans="1:26" ht="31.5" customHeight="1">
      <c r="A433" s="1"/>
      <c r="B433" s="6"/>
      <c r="C433" s="10"/>
      <c r="D433" s="1"/>
      <c r="E433" s="11"/>
      <c r="F433" s="11"/>
      <c r="G433" s="6"/>
      <c r="H433" s="6"/>
      <c r="I433" s="6"/>
      <c r="J433" s="6"/>
      <c r="K433" s="6"/>
      <c r="L433" s="6"/>
      <c r="M433" s="6"/>
      <c r="N433" s="6"/>
      <c r="O433" s="6"/>
      <c r="P433" s="6"/>
      <c r="Q433" s="6"/>
      <c r="R433" s="6"/>
      <c r="S433" s="6"/>
      <c r="T433" s="6"/>
      <c r="U433" s="6"/>
      <c r="V433" s="6"/>
      <c r="W433" s="6"/>
      <c r="X433" s="6"/>
      <c r="Y433" s="6"/>
      <c r="Z433" s="6"/>
    </row>
    <row r="434" spans="1:26" ht="31.5" customHeight="1">
      <c r="A434" s="1"/>
      <c r="B434" s="6"/>
      <c r="C434" s="10"/>
      <c r="D434" s="1"/>
      <c r="E434" s="11"/>
      <c r="F434" s="11"/>
      <c r="G434" s="6"/>
      <c r="H434" s="6"/>
      <c r="I434" s="6"/>
      <c r="J434" s="6"/>
      <c r="K434" s="6"/>
      <c r="L434" s="6"/>
      <c r="M434" s="6"/>
      <c r="N434" s="6"/>
      <c r="O434" s="6"/>
      <c r="P434" s="6"/>
      <c r="Q434" s="6"/>
      <c r="R434" s="6"/>
      <c r="S434" s="6"/>
      <c r="T434" s="6"/>
      <c r="U434" s="6"/>
      <c r="V434" s="6"/>
      <c r="W434" s="6"/>
      <c r="X434" s="6"/>
      <c r="Y434" s="6"/>
      <c r="Z434" s="6"/>
    </row>
    <row r="435" spans="1:26" ht="31.5" customHeight="1">
      <c r="A435" s="1"/>
      <c r="B435" s="6"/>
      <c r="C435" s="10"/>
      <c r="D435" s="1"/>
      <c r="E435" s="11"/>
      <c r="F435" s="11"/>
      <c r="G435" s="6"/>
      <c r="H435" s="6"/>
      <c r="I435" s="6"/>
      <c r="J435" s="6"/>
      <c r="K435" s="6"/>
      <c r="L435" s="6"/>
      <c r="M435" s="6"/>
      <c r="N435" s="6"/>
      <c r="O435" s="6"/>
      <c r="P435" s="6"/>
      <c r="Q435" s="6"/>
      <c r="R435" s="6"/>
      <c r="S435" s="6"/>
      <c r="T435" s="6"/>
      <c r="U435" s="6"/>
      <c r="V435" s="6"/>
      <c r="W435" s="6"/>
      <c r="X435" s="6"/>
      <c r="Y435" s="6"/>
      <c r="Z435" s="6"/>
    </row>
    <row r="436" spans="1:26" ht="31.5" customHeight="1">
      <c r="A436" s="1"/>
      <c r="B436" s="6"/>
      <c r="C436" s="10"/>
      <c r="D436" s="1"/>
      <c r="E436" s="11"/>
      <c r="F436" s="11"/>
      <c r="G436" s="6"/>
      <c r="H436" s="6"/>
      <c r="I436" s="6"/>
      <c r="J436" s="6"/>
      <c r="K436" s="6"/>
      <c r="L436" s="6"/>
      <c r="M436" s="6"/>
      <c r="N436" s="6"/>
      <c r="O436" s="6"/>
      <c r="P436" s="6"/>
      <c r="Q436" s="6"/>
      <c r="R436" s="6"/>
      <c r="S436" s="6"/>
      <c r="T436" s="6"/>
      <c r="U436" s="6"/>
      <c r="V436" s="6"/>
      <c r="W436" s="6"/>
      <c r="X436" s="6"/>
      <c r="Y436" s="6"/>
      <c r="Z436" s="6"/>
    </row>
    <row r="437" spans="1:26" ht="31.5" customHeight="1">
      <c r="A437" s="1"/>
      <c r="B437" s="6"/>
      <c r="C437" s="10"/>
      <c r="D437" s="1"/>
      <c r="E437" s="11"/>
      <c r="F437" s="11"/>
      <c r="G437" s="6"/>
      <c r="H437" s="6"/>
      <c r="I437" s="6"/>
      <c r="J437" s="6"/>
      <c r="K437" s="6"/>
      <c r="L437" s="6"/>
      <c r="M437" s="6"/>
      <c r="N437" s="6"/>
      <c r="O437" s="6"/>
      <c r="P437" s="6"/>
      <c r="Q437" s="6"/>
      <c r="R437" s="6"/>
      <c r="S437" s="6"/>
      <c r="T437" s="6"/>
      <c r="U437" s="6"/>
      <c r="V437" s="6"/>
      <c r="W437" s="6"/>
      <c r="X437" s="6"/>
      <c r="Y437" s="6"/>
      <c r="Z437" s="6"/>
    </row>
    <row r="438" spans="1:26" ht="31.5" customHeight="1">
      <c r="A438" s="1"/>
      <c r="B438" s="6"/>
      <c r="C438" s="10"/>
      <c r="D438" s="1"/>
      <c r="E438" s="11"/>
      <c r="F438" s="11"/>
      <c r="G438" s="6"/>
      <c r="H438" s="6"/>
      <c r="I438" s="6"/>
      <c r="J438" s="6"/>
      <c r="K438" s="6"/>
      <c r="L438" s="6"/>
      <c r="M438" s="6"/>
      <c r="N438" s="6"/>
      <c r="O438" s="6"/>
      <c r="P438" s="6"/>
      <c r="Q438" s="6"/>
      <c r="R438" s="6"/>
      <c r="S438" s="6"/>
      <c r="T438" s="6"/>
      <c r="U438" s="6"/>
      <c r="V438" s="6"/>
      <c r="W438" s="6"/>
      <c r="X438" s="6"/>
      <c r="Y438" s="6"/>
      <c r="Z438" s="6"/>
    </row>
    <row r="439" spans="1:26" ht="31.5" customHeight="1">
      <c r="A439" s="1"/>
      <c r="B439" s="6"/>
      <c r="C439" s="10"/>
      <c r="D439" s="1"/>
      <c r="E439" s="11"/>
      <c r="F439" s="11"/>
      <c r="G439" s="6"/>
      <c r="H439" s="6"/>
      <c r="I439" s="6"/>
      <c r="J439" s="6"/>
      <c r="K439" s="6"/>
      <c r="L439" s="6"/>
      <c r="M439" s="6"/>
      <c r="N439" s="6"/>
      <c r="O439" s="6"/>
      <c r="P439" s="6"/>
      <c r="Q439" s="6"/>
      <c r="R439" s="6"/>
      <c r="S439" s="6"/>
      <c r="T439" s="6"/>
      <c r="U439" s="6"/>
      <c r="V439" s="6"/>
      <c r="W439" s="6"/>
      <c r="X439" s="6"/>
      <c r="Y439" s="6"/>
      <c r="Z439" s="6"/>
    </row>
    <row r="440" spans="1:26" ht="31.5" customHeight="1">
      <c r="A440" s="1"/>
      <c r="B440" s="6"/>
      <c r="C440" s="10"/>
      <c r="D440" s="1"/>
      <c r="E440" s="11"/>
      <c r="F440" s="11"/>
      <c r="G440" s="6"/>
      <c r="H440" s="6"/>
      <c r="I440" s="6"/>
      <c r="J440" s="6"/>
      <c r="K440" s="6"/>
      <c r="L440" s="6"/>
      <c r="M440" s="6"/>
      <c r="N440" s="6"/>
      <c r="O440" s="6"/>
      <c r="P440" s="6"/>
      <c r="Q440" s="6"/>
      <c r="R440" s="6"/>
      <c r="S440" s="6"/>
      <c r="T440" s="6"/>
      <c r="U440" s="6"/>
      <c r="V440" s="6"/>
      <c r="W440" s="6"/>
      <c r="X440" s="6"/>
      <c r="Y440" s="6"/>
      <c r="Z440" s="6"/>
    </row>
    <row r="441" spans="1:26" ht="31.5" customHeight="1">
      <c r="A441" s="1"/>
      <c r="B441" s="6"/>
      <c r="C441" s="10"/>
      <c r="D441" s="1"/>
      <c r="E441" s="11"/>
      <c r="F441" s="11"/>
      <c r="G441" s="6"/>
      <c r="H441" s="6"/>
      <c r="I441" s="6"/>
      <c r="J441" s="6"/>
      <c r="K441" s="6"/>
      <c r="L441" s="6"/>
      <c r="M441" s="6"/>
      <c r="N441" s="6"/>
      <c r="O441" s="6"/>
      <c r="P441" s="6"/>
      <c r="Q441" s="6"/>
      <c r="R441" s="6"/>
      <c r="S441" s="6"/>
      <c r="T441" s="6"/>
      <c r="U441" s="6"/>
      <c r="V441" s="6"/>
      <c r="W441" s="6"/>
      <c r="X441" s="6"/>
      <c r="Y441" s="6"/>
      <c r="Z441" s="6"/>
    </row>
    <row r="442" spans="1:26" ht="31.5" customHeight="1">
      <c r="A442" s="1"/>
      <c r="B442" s="6"/>
      <c r="C442" s="10"/>
      <c r="D442" s="1"/>
      <c r="E442" s="11"/>
      <c r="F442" s="11"/>
      <c r="G442" s="6"/>
      <c r="H442" s="6"/>
      <c r="I442" s="6"/>
      <c r="J442" s="6"/>
      <c r="K442" s="6"/>
      <c r="L442" s="6"/>
      <c r="M442" s="6"/>
      <c r="N442" s="6"/>
      <c r="O442" s="6"/>
      <c r="P442" s="6"/>
      <c r="Q442" s="6"/>
      <c r="R442" s="6"/>
      <c r="S442" s="6"/>
      <c r="T442" s="6"/>
      <c r="U442" s="6"/>
      <c r="V442" s="6"/>
      <c r="W442" s="6"/>
      <c r="X442" s="6"/>
      <c r="Y442" s="6"/>
      <c r="Z442" s="6"/>
    </row>
    <row r="443" spans="1:26" ht="31.5" customHeight="1">
      <c r="A443" s="1"/>
      <c r="B443" s="6"/>
      <c r="C443" s="10"/>
      <c r="D443" s="1"/>
      <c r="E443" s="11"/>
      <c r="F443" s="11"/>
      <c r="G443" s="6"/>
      <c r="H443" s="6"/>
      <c r="I443" s="6"/>
      <c r="J443" s="6"/>
      <c r="K443" s="6"/>
      <c r="L443" s="6"/>
      <c r="M443" s="6"/>
      <c r="N443" s="6"/>
      <c r="O443" s="6"/>
      <c r="P443" s="6"/>
      <c r="Q443" s="6"/>
      <c r="R443" s="6"/>
      <c r="S443" s="6"/>
      <c r="T443" s="6"/>
      <c r="U443" s="6"/>
      <c r="V443" s="6"/>
      <c r="W443" s="6"/>
      <c r="X443" s="6"/>
      <c r="Y443" s="6"/>
      <c r="Z443" s="6"/>
    </row>
    <row r="444" spans="1:26" ht="31.5" customHeight="1">
      <c r="A444" s="1"/>
      <c r="B444" s="6"/>
      <c r="C444" s="10"/>
      <c r="D444" s="1"/>
      <c r="E444" s="11"/>
      <c r="F444" s="11"/>
      <c r="G444" s="6"/>
      <c r="H444" s="6"/>
      <c r="I444" s="6"/>
      <c r="J444" s="6"/>
      <c r="K444" s="6"/>
      <c r="L444" s="6"/>
      <c r="M444" s="6"/>
      <c r="N444" s="6"/>
      <c r="O444" s="6"/>
      <c r="P444" s="6"/>
      <c r="Q444" s="6"/>
      <c r="R444" s="6"/>
      <c r="S444" s="6"/>
      <c r="T444" s="6"/>
      <c r="U444" s="6"/>
      <c r="V444" s="6"/>
      <c r="W444" s="6"/>
      <c r="X444" s="6"/>
      <c r="Y444" s="6"/>
      <c r="Z444" s="6"/>
    </row>
    <row r="445" spans="1:26" ht="31.5" customHeight="1">
      <c r="A445" s="1"/>
      <c r="B445" s="6"/>
      <c r="C445" s="10"/>
      <c r="D445" s="1"/>
      <c r="E445" s="11"/>
      <c r="F445" s="11"/>
      <c r="G445" s="6"/>
      <c r="H445" s="6"/>
      <c r="I445" s="6"/>
      <c r="J445" s="6"/>
      <c r="K445" s="6"/>
      <c r="L445" s="6"/>
      <c r="M445" s="6"/>
      <c r="N445" s="6"/>
      <c r="O445" s="6"/>
      <c r="P445" s="6"/>
      <c r="Q445" s="6"/>
      <c r="R445" s="6"/>
      <c r="S445" s="6"/>
      <c r="T445" s="6"/>
      <c r="U445" s="6"/>
      <c r="V445" s="6"/>
      <c r="W445" s="6"/>
      <c r="X445" s="6"/>
      <c r="Y445" s="6"/>
      <c r="Z445" s="6"/>
    </row>
    <row r="446" spans="1:26" ht="31.5" customHeight="1">
      <c r="A446" s="1"/>
      <c r="B446" s="6"/>
      <c r="C446" s="10"/>
      <c r="D446" s="1"/>
      <c r="E446" s="11"/>
      <c r="F446" s="11"/>
      <c r="G446" s="6"/>
      <c r="H446" s="6"/>
      <c r="I446" s="6"/>
      <c r="J446" s="6"/>
      <c r="K446" s="6"/>
      <c r="L446" s="6"/>
      <c r="M446" s="6"/>
      <c r="N446" s="6"/>
      <c r="O446" s="6"/>
      <c r="P446" s="6"/>
      <c r="Q446" s="6"/>
      <c r="R446" s="6"/>
      <c r="S446" s="6"/>
      <c r="T446" s="6"/>
      <c r="U446" s="6"/>
      <c r="V446" s="6"/>
      <c r="W446" s="6"/>
      <c r="X446" s="6"/>
      <c r="Y446" s="6"/>
      <c r="Z446" s="6"/>
    </row>
    <row r="447" spans="1:26" ht="31.5" customHeight="1">
      <c r="A447" s="1"/>
      <c r="B447" s="6"/>
      <c r="C447" s="10"/>
      <c r="D447" s="1"/>
      <c r="E447" s="11"/>
      <c r="F447" s="11"/>
      <c r="G447" s="6"/>
      <c r="H447" s="6"/>
      <c r="I447" s="6"/>
      <c r="J447" s="6"/>
      <c r="K447" s="6"/>
      <c r="L447" s="6"/>
      <c r="M447" s="6"/>
      <c r="N447" s="6"/>
      <c r="O447" s="6"/>
      <c r="P447" s="6"/>
      <c r="Q447" s="6"/>
      <c r="R447" s="6"/>
      <c r="S447" s="6"/>
      <c r="T447" s="6"/>
      <c r="U447" s="6"/>
      <c r="V447" s="6"/>
      <c r="W447" s="6"/>
      <c r="X447" s="6"/>
      <c r="Y447" s="6"/>
      <c r="Z447" s="6"/>
    </row>
    <row r="448" spans="1:26" ht="31.5" customHeight="1">
      <c r="A448" s="1"/>
      <c r="B448" s="6"/>
      <c r="C448" s="10"/>
      <c r="D448" s="1"/>
      <c r="E448" s="11"/>
      <c r="F448" s="11"/>
      <c r="G448" s="6"/>
      <c r="H448" s="6"/>
      <c r="I448" s="6"/>
      <c r="J448" s="6"/>
      <c r="K448" s="6"/>
      <c r="L448" s="6"/>
      <c r="M448" s="6"/>
      <c r="N448" s="6"/>
      <c r="O448" s="6"/>
      <c r="P448" s="6"/>
      <c r="Q448" s="6"/>
      <c r="R448" s="6"/>
      <c r="S448" s="6"/>
      <c r="T448" s="6"/>
      <c r="U448" s="6"/>
      <c r="V448" s="6"/>
      <c r="W448" s="6"/>
      <c r="X448" s="6"/>
      <c r="Y448" s="6"/>
      <c r="Z448" s="6"/>
    </row>
    <row r="449" spans="1:26" ht="31.5" customHeight="1">
      <c r="A449" s="1"/>
      <c r="B449" s="6"/>
      <c r="C449" s="10"/>
      <c r="D449" s="1"/>
      <c r="E449" s="11"/>
      <c r="F449" s="11"/>
      <c r="G449" s="6"/>
      <c r="H449" s="6"/>
      <c r="I449" s="6"/>
      <c r="J449" s="6"/>
      <c r="K449" s="6"/>
      <c r="L449" s="6"/>
      <c r="M449" s="6"/>
      <c r="N449" s="6"/>
      <c r="O449" s="6"/>
      <c r="P449" s="6"/>
      <c r="Q449" s="6"/>
      <c r="R449" s="6"/>
      <c r="S449" s="6"/>
      <c r="T449" s="6"/>
      <c r="U449" s="6"/>
      <c r="V449" s="6"/>
      <c r="W449" s="6"/>
      <c r="X449" s="6"/>
      <c r="Y449" s="6"/>
      <c r="Z449" s="6"/>
    </row>
    <row r="450" spans="1:26" ht="31.5" customHeight="1">
      <c r="A450" s="1"/>
      <c r="B450" s="6"/>
      <c r="C450" s="10"/>
      <c r="D450" s="1"/>
      <c r="E450" s="11"/>
      <c r="F450" s="11"/>
      <c r="G450" s="6"/>
      <c r="H450" s="6"/>
      <c r="I450" s="6"/>
      <c r="J450" s="6"/>
      <c r="K450" s="6"/>
      <c r="L450" s="6"/>
      <c r="M450" s="6"/>
      <c r="N450" s="6"/>
      <c r="O450" s="6"/>
      <c r="P450" s="6"/>
      <c r="Q450" s="6"/>
      <c r="R450" s="6"/>
      <c r="S450" s="6"/>
      <c r="T450" s="6"/>
      <c r="U450" s="6"/>
      <c r="V450" s="6"/>
      <c r="W450" s="6"/>
      <c r="X450" s="6"/>
      <c r="Y450" s="6"/>
      <c r="Z450" s="6"/>
    </row>
    <row r="451" spans="1:26" ht="31.5" customHeight="1">
      <c r="A451" s="1"/>
      <c r="B451" s="6"/>
      <c r="C451" s="10"/>
      <c r="D451" s="1"/>
      <c r="E451" s="11"/>
      <c r="F451" s="11"/>
      <c r="G451" s="6"/>
      <c r="H451" s="6"/>
      <c r="I451" s="6"/>
      <c r="J451" s="6"/>
      <c r="K451" s="6"/>
      <c r="L451" s="6"/>
      <c r="M451" s="6"/>
      <c r="N451" s="6"/>
      <c r="O451" s="6"/>
      <c r="P451" s="6"/>
      <c r="Q451" s="6"/>
      <c r="R451" s="6"/>
      <c r="S451" s="6"/>
      <c r="T451" s="6"/>
      <c r="U451" s="6"/>
      <c r="V451" s="6"/>
      <c r="W451" s="6"/>
      <c r="X451" s="6"/>
      <c r="Y451" s="6"/>
      <c r="Z451" s="6"/>
    </row>
    <row r="452" spans="1:26" ht="31.5" customHeight="1">
      <c r="A452" s="1"/>
      <c r="B452" s="6"/>
      <c r="C452" s="10"/>
      <c r="D452" s="1"/>
      <c r="E452" s="11"/>
      <c r="F452" s="11"/>
      <c r="G452" s="6"/>
      <c r="H452" s="6"/>
      <c r="I452" s="6"/>
      <c r="J452" s="6"/>
      <c r="K452" s="6"/>
      <c r="L452" s="6"/>
      <c r="M452" s="6"/>
      <c r="N452" s="6"/>
      <c r="O452" s="6"/>
      <c r="P452" s="6"/>
      <c r="Q452" s="6"/>
      <c r="R452" s="6"/>
      <c r="S452" s="6"/>
      <c r="T452" s="6"/>
      <c r="U452" s="6"/>
      <c r="V452" s="6"/>
      <c r="W452" s="6"/>
      <c r="X452" s="6"/>
      <c r="Y452" s="6"/>
      <c r="Z452" s="6"/>
    </row>
    <row r="453" spans="1:26" ht="31.5" customHeight="1">
      <c r="A453" s="1"/>
      <c r="B453" s="6"/>
      <c r="C453" s="10"/>
      <c r="D453" s="1"/>
      <c r="E453" s="11"/>
      <c r="F453" s="11"/>
      <c r="G453" s="6"/>
      <c r="H453" s="6"/>
      <c r="I453" s="6"/>
      <c r="J453" s="6"/>
      <c r="K453" s="6"/>
      <c r="L453" s="6"/>
      <c r="M453" s="6"/>
      <c r="N453" s="6"/>
      <c r="O453" s="6"/>
      <c r="P453" s="6"/>
      <c r="Q453" s="6"/>
      <c r="R453" s="6"/>
      <c r="S453" s="6"/>
      <c r="T453" s="6"/>
      <c r="U453" s="6"/>
      <c r="V453" s="6"/>
      <c r="W453" s="6"/>
      <c r="X453" s="6"/>
      <c r="Y453" s="6"/>
      <c r="Z453" s="6"/>
    </row>
    <row r="454" spans="1:26" ht="31.5" customHeight="1">
      <c r="A454" s="1"/>
      <c r="B454" s="6"/>
      <c r="C454" s="10"/>
      <c r="D454" s="1"/>
      <c r="E454" s="11"/>
      <c r="F454" s="11"/>
      <c r="G454" s="6"/>
      <c r="H454" s="6"/>
      <c r="I454" s="6"/>
      <c r="J454" s="6"/>
      <c r="K454" s="6"/>
      <c r="L454" s="6"/>
      <c r="M454" s="6"/>
      <c r="N454" s="6"/>
      <c r="O454" s="6"/>
      <c r="P454" s="6"/>
      <c r="Q454" s="6"/>
      <c r="R454" s="6"/>
      <c r="S454" s="6"/>
      <c r="T454" s="6"/>
      <c r="U454" s="6"/>
      <c r="V454" s="6"/>
      <c r="W454" s="6"/>
      <c r="X454" s="6"/>
      <c r="Y454" s="6"/>
      <c r="Z454" s="6"/>
    </row>
    <row r="455" spans="1:26" ht="31.5" customHeight="1">
      <c r="A455" s="1"/>
      <c r="B455" s="6"/>
      <c r="C455" s="10"/>
      <c r="D455" s="1"/>
      <c r="E455" s="11"/>
      <c r="F455" s="11"/>
      <c r="G455" s="6"/>
      <c r="H455" s="6"/>
      <c r="I455" s="6"/>
      <c r="J455" s="6"/>
      <c r="K455" s="6"/>
      <c r="L455" s="6"/>
      <c r="M455" s="6"/>
      <c r="N455" s="6"/>
      <c r="O455" s="6"/>
      <c r="P455" s="6"/>
      <c r="Q455" s="6"/>
      <c r="R455" s="6"/>
      <c r="S455" s="6"/>
      <c r="T455" s="6"/>
      <c r="U455" s="6"/>
      <c r="V455" s="6"/>
      <c r="W455" s="6"/>
      <c r="X455" s="6"/>
      <c r="Y455" s="6"/>
      <c r="Z455" s="6"/>
    </row>
    <row r="456" spans="1:26" ht="31.5" customHeight="1">
      <c r="A456" s="1"/>
      <c r="B456" s="6"/>
      <c r="C456" s="10"/>
      <c r="D456" s="1"/>
      <c r="E456" s="11"/>
      <c r="F456" s="11"/>
      <c r="G456" s="6"/>
      <c r="H456" s="6"/>
      <c r="I456" s="6"/>
      <c r="J456" s="6"/>
      <c r="K456" s="6"/>
      <c r="L456" s="6"/>
      <c r="M456" s="6"/>
      <c r="N456" s="6"/>
      <c r="O456" s="6"/>
      <c r="P456" s="6"/>
      <c r="Q456" s="6"/>
      <c r="R456" s="6"/>
      <c r="S456" s="6"/>
      <c r="T456" s="6"/>
      <c r="U456" s="6"/>
      <c r="V456" s="6"/>
      <c r="W456" s="6"/>
      <c r="X456" s="6"/>
      <c r="Y456" s="6"/>
      <c r="Z456" s="6"/>
    </row>
    <row r="457" spans="1:26" ht="31.5" customHeight="1">
      <c r="A457" s="1"/>
      <c r="B457" s="6"/>
      <c r="C457" s="10"/>
      <c r="D457" s="1"/>
      <c r="E457" s="11"/>
      <c r="F457" s="11"/>
      <c r="G457" s="6"/>
      <c r="H457" s="6"/>
      <c r="I457" s="6"/>
      <c r="J457" s="6"/>
      <c r="K457" s="6"/>
      <c r="L457" s="6"/>
      <c r="M457" s="6"/>
      <c r="N457" s="6"/>
      <c r="O457" s="6"/>
      <c r="P457" s="6"/>
      <c r="Q457" s="6"/>
      <c r="R457" s="6"/>
      <c r="S457" s="6"/>
      <c r="T457" s="6"/>
      <c r="U457" s="6"/>
      <c r="V457" s="6"/>
      <c r="W457" s="6"/>
      <c r="X457" s="6"/>
      <c r="Y457" s="6"/>
      <c r="Z457" s="6"/>
    </row>
    <row r="458" spans="1:26" ht="31.5" customHeight="1">
      <c r="A458" s="1"/>
      <c r="B458" s="6"/>
      <c r="C458" s="10"/>
      <c r="D458" s="1"/>
      <c r="E458" s="11"/>
      <c r="F458" s="11"/>
      <c r="G458" s="6"/>
      <c r="H458" s="6"/>
      <c r="I458" s="6"/>
      <c r="J458" s="6"/>
      <c r="K458" s="6"/>
      <c r="L458" s="6"/>
      <c r="M458" s="6"/>
      <c r="N458" s="6"/>
      <c r="O458" s="6"/>
      <c r="P458" s="6"/>
      <c r="Q458" s="6"/>
      <c r="R458" s="6"/>
      <c r="S458" s="6"/>
      <c r="T458" s="6"/>
      <c r="U458" s="6"/>
      <c r="V458" s="6"/>
      <c r="W458" s="6"/>
      <c r="X458" s="6"/>
      <c r="Y458" s="6"/>
      <c r="Z458" s="6"/>
    </row>
    <row r="459" spans="1:26" ht="31.5" customHeight="1">
      <c r="A459" s="1"/>
      <c r="B459" s="6"/>
      <c r="C459" s="10"/>
      <c r="D459" s="1"/>
      <c r="E459" s="11"/>
      <c r="F459" s="11"/>
      <c r="G459" s="6"/>
      <c r="H459" s="6"/>
      <c r="I459" s="6"/>
      <c r="J459" s="6"/>
      <c r="K459" s="6"/>
      <c r="L459" s="6"/>
      <c r="M459" s="6"/>
      <c r="N459" s="6"/>
      <c r="O459" s="6"/>
      <c r="P459" s="6"/>
      <c r="Q459" s="6"/>
      <c r="R459" s="6"/>
      <c r="S459" s="6"/>
      <c r="T459" s="6"/>
      <c r="U459" s="6"/>
      <c r="V459" s="6"/>
      <c r="W459" s="6"/>
      <c r="X459" s="6"/>
      <c r="Y459" s="6"/>
      <c r="Z459" s="6"/>
    </row>
    <row r="460" spans="1:26" ht="31.5" customHeight="1">
      <c r="A460" s="1"/>
      <c r="B460" s="6"/>
      <c r="C460" s="10"/>
      <c r="D460" s="1"/>
      <c r="E460" s="11"/>
      <c r="F460" s="11"/>
      <c r="G460" s="6"/>
      <c r="H460" s="6"/>
      <c r="I460" s="6"/>
      <c r="J460" s="6"/>
      <c r="K460" s="6"/>
      <c r="L460" s="6"/>
      <c r="M460" s="6"/>
      <c r="N460" s="6"/>
      <c r="O460" s="6"/>
      <c r="P460" s="6"/>
      <c r="Q460" s="6"/>
      <c r="R460" s="6"/>
      <c r="S460" s="6"/>
      <c r="T460" s="6"/>
      <c r="U460" s="6"/>
      <c r="V460" s="6"/>
      <c r="W460" s="6"/>
      <c r="X460" s="6"/>
      <c r="Y460" s="6"/>
      <c r="Z460" s="6"/>
    </row>
    <row r="461" spans="1:26" ht="31.5" customHeight="1">
      <c r="A461" s="1"/>
      <c r="B461" s="6"/>
      <c r="C461" s="10"/>
      <c r="D461" s="1"/>
      <c r="E461" s="11"/>
      <c r="F461" s="11"/>
      <c r="G461" s="6"/>
      <c r="H461" s="6"/>
      <c r="I461" s="6"/>
      <c r="J461" s="6"/>
      <c r="K461" s="6"/>
      <c r="L461" s="6"/>
      <c r="M461" s="6"/>
      <c r="N461" s="6"/>
      <c r="O461" s="6"/>
      <c r="P461" s="6"/>
      <c r="Q461" s="6"/>
      <c r="R461" s="6"/>
      <c r="S461" s="6"/>
      <c r="T461" s="6"/>
      <c r="U461" s="6"/>
      <c r="V461" s="6"/>
      <c r="W461" s="6"/>
      <c r="X461" s="6"/>
      <c r="Y461" s="6"/>
      <c r="Z461" s="6"/>
    </row>
    <row r="462" spans="1:26" ht="31.5" customHeight="1">
      <c r="A462" s="1"/>
      <c r="B462" s="6"/>
      <c r="C462" s="10"/>
      <c r="D462" s="1"/>
      <c r="E462" s="11"/>
      <c r="F462" s="11"/>
      <c r="G462" s="6"/>
      <c r="H462" s="6"/>
      <c r="I462" s="6"/>
      <c r="J462" s="6"/>
      <c r="K462" s="6"/>
      <c r="L462" s="6"/>
      <c r="M462" s="6"/>
      <c r="N462" s="6"/>
      <c r="O462" s="6"/>
      <c r="P462" s="6"/>
      <c r="Q462" s="6"/>
      <c r="R462" s="6"/>
      <c r="S462" s="6"/>
      <c r="T462" s="6"/>
      <c r="U462" s="6"/>
      <c r="V462" s="6"/>
      <c r="W462" s="6"/>
      <c r="X462" s="6"/>
      <c r="Y462" s="6"/>
      <c r="Z462" s="6"/>
    </row>
    <row r="463" spans="1:26" ht="31.5" customHeight="1">
      <c r="A463" s="1"/>
      <c r="B463" s="6"/>
      <c r="C463" s="10"/>
      <c r="D463" s="1"/>
      <c r="E463" s="11"/>
      <c r="F463" s="11"/>
      <c r="G463" s="6"/>
      <c r="H463" s="6"/>
      <c r="I463" s="6"/>
      <c r="J463" s="6"/>
      <c r="K463" s="6"/>
      <c r="L463" s="6"/>
      <c r="M463" s="6"/>
      <c r="N463" s="6"/>
      <c r="O463" s="6"/>
      <c r="P463" s="6"/>
      <c r="Q463" s="6"/>
      <c r="R463" s="6"/>
      <c r="S463" s="6"/>
      <c r="T463" s="6"/>
      <c r="U463" s="6"/>
      <c r="V463" s="6"/>
      <c r="W463" s="6"/>
      <c r="X463" s="6"/>
      <c r="Y463" s="6"/>
      <c r="Z463" s="6"/>
    </row>
    <row r="464" spans="1:26" ht="31.5" customHeight="1">
      <c r="A464" s="1"/>
      <c r="B464" s="6"/>
      <c r="C464" s="10"/>
      <c r="D464" s="1"/>
      <c r="E464" s="11"/>
      <c r="F464" s="11"/>
      <c r="G464" s="6"/>
      <c r="H464" s="6"/>
      <c r="I464" s="6"/>
      <c r="J464" s="6"/>
      <c r="K464" s="6"/>
      <c r="L464" s="6"/>
      <c r="M464" s="6"/>
      <c r="N464" s="6"/>
      <c r="O464" s="6"/>
      <c r="P464" s="6"/>
      <c r="Q464" s="6"/>
      <c r="R464" s="6"/>
      <c r="S464" s="6"/>
      <c r="T464" s="6"/>
      <c r="U464" s="6"/>
      <c r="V464" s="6"/>
      <c r="W464" s="6"/>
      <c r="X464" s="6"/>
      <c r="Y464" s="6"/>
      <c r="Z464" s="6"/>
    </row>
    <row r="465" spans="1:26" ht="31.5" customHeight="1">
      <c r="A465" s="1"/>
      <c r="B465" s="6"/>
      <c r="C465" s="10"/>
      <c r="D465" s="1"/>
      <c r="E465" s="11"/>
      <c r="F465" s="11"/>
      <c r="G465" s="6"/>
      <c r="H465" s="6"/>
      <c r="I465" s="6"/>
      <c r="J465" s="6"/>
      <c r="K465" s="6"/>
      <c r="L465" s="6"/>
      <c r="M465" s="6"/>
      <c r="N465" s="6"/>
      <c r="O465" s="6"/>
      <c r="P465" s="6"/>
      <c r="Q465" s="6"/>
      <c r="R465" s="6"/>
      <c r="S465" s="6"/>
      <c r="T465" s="6"/>
      <c r="U465" s="6"/>
      <c r="V465" s="6"/>
      <c r="W465" s="6"/>
      <c r="X465" s="6"/>
      <c r="Y465" s="6"/>
      <c r="Z465" s="6"/>
    </row>
    <row r="466" spans="1:26" ht="31.5" customHeight="1">
      <c r="A466" s="1"/>
      <c r="B466" s="6"/>
      <c r="C466" s="10"/>
      <c r="D466" s="1"/>
      <c r="E466" s="11"/>
      <c r="F466" s="11"/>
      <c r="G466" s="6"/>
      <c r="H466" s="6"/>
      <c r="I466" s="6"/>
      <c r="J466" s="6"/>
      <c r="K466" s="6"/>
      <c r="L466" s="6"/>
      <c r="M466" s="6"/>
      <c r="N466" s="6"/>
      <c r="O466" s="6"/>
      <c r="P466" s="6"/>
      <c r="Q466" s="6"/>
      <c r="R466" s="6"/>
      <c r="S466" s="6"/>
      <c r="T466" s="6"/>
      <c r="U466" s="6"/>
      <c r="V466" s="6"/>
      <c r="W466" s="6"/>
      <c r="X466" s="6"/>
      <c r="Y466" s="6"/>
      <c r="Z466" s="6"/>
    </row>
    <row r="467" spans="1:26" ht="31.5" customHeight="1">
      <c r="A467" s="1"/>
      <c r="B467" s="6"/>
      <c r="C467" s="10"/>
      <c r="D467" s="1"/>
      <c r="E467" s="11"/>
      <c r="F467" s="11"/>
      <c r="G467" s="6"/>
      <c r="H467" s="6"/>
      <c r="I467" s="6"/>
      <c r="J467" s="6"/>
      <c r="K467" s="6"/>
      <c r="L467" s="6"/>
      <c r="M467" s="6"/>
      <c r="N467" s="6"/>
      <c r="O467" s="6"/>
      <c r="P467" s="6"/>
      <c r="Q467" s="6"/>
      <c r="R467" s="6"/>
      <c r="S467" s="6"/>
      <c r="T467" s="6"/>
      <c r="U467" s="6"/>
      <c r="V467" s="6"/>
      <c r="W467" s="6"/>
      <c r="X467" s="6"/>
      <c r="Y467" s="6"/>
      <c r="Z467" s="6"/>
    </row>
    <row r="468" spans="1:26" ht="31.5" customHeight="1">
      <c r="A468" s="1"/>
      <c r="B468" s="6"/>
      <c r="C468" s="10"/>
      <c r="D468" s="1"/>
      <c r="E468" s="11"/>
      <c r="F468" s="11"/>
      <c r="G468" s="6"/>
      <c r="H468" s="6"/>
      <c r="I468" s="6"/>
      <c r="J468" s="6"/>
      <c r="K468" s="6"/>
      <c r="L468" s="6"/>
      <c r="M468" s="6"/>
      <c r="N468" s="6"/>
      <c r="O468" s="6"/>
      <c r="P468" s="6"/>
      <c r="Q468" s="6"/>
      <c r="R468" s="6"/>
      <c r="S468" s="6"/>
      <c r="T468" s="6"/>
      <c r="U468" s="6"/>
      <c r="V468" s="6"/>
      <c r="W468" s="6"/>
      <c r="X468" s="6"/>
      <c r="Y468" s="6"/>
      <c r="Z468" s="6"/>
    </row>
    <row r="469" spans="1:26" ht="31.5" customHeight="1">
      <c r="A469" s="1"/>
      <c r="B469" s="6"/>
      <c r="C469" s="10"/>
      <c r="D469" s="1"/>
      <c r="E469" s="11"/>
      <c r="F469" s="11"/>
      <c r="G469" s="6"/>
      <c r="H469" s="6"/>
      <c r="I469" s="6"/>
      <c r="J469" s="6"/>
      <c r="K469" s="6"/>
      <c r="L469" s="6"/>
      <c r="M469" s="6"/>
      <c r="N469" s="6"/>
      <c r="O469" s="6"/>
      <c r="P469" s="6"/>
      <c r="Q469" s="6"/>
      <c r="R469" s="6"/>
      <c r="S469" s="6"/>
      <c r="T469" s="6"/>
      <c r="U469" s="6"/>
      <c r="V469" s="6"/>
      <c r="W469" s="6"/>
      <c r="X469" s="6"/>
      <c r="Y469" s="6"/>
      <c r="Z469" s="6"/>
    </row>
    <row r="470" spans="1:26" ht="31.5" customHeight="1">
      <c r="A470" s="1"/>
      <c r="B470" s="6"/>
      <c r="C470" s="10"/>
      <c r="D470" s="1"/>
      <c r="E470" s="11"/>
      <c r="F470" s="11"/>
      <c r="G470" s="6"/>
      <c r="H470" s="6"/>
      <c r="I470" s="6"/>
      <c r="J470" s="6"/>
      <c r="K470" s="6"/>
      <c r="L470" s="6"/>
      <c r="M470" s="6"/>
      <c r="N470" s="6"/>
      <c r="O470" s="6"/>
      <c r="P470" s="6"/>
      <c r="Q470" s="6"/>
      <c r="R470" s="6"/>
      <c r="S470" s="6"/>
      <c r="T470" s="6"/>
      <c r="U470" s="6"/>
      <c r="V470" s="6"/>
      <c r="W470" s="6"/>
      <c r="X470" s="6"/>
      <c r="Y470" s="6"/>
      <c r="Z470" s="6"/>
    </row>
    <row r="471" spans="1:26" ht="31.5" customHeight="1">
      <c r="A471" s="1"/>
      <c r="B471" s="6"/>
      <c r="C471" s="10"/>
      <c r="D471" s="1"/>
      <c r="E471" s="11"/>
      <c r="F471" s="11"/>
      <c r="G471" s="6"/>
      <c r="H471" s="6"/>
      <c r="I471" s="6"/>
      <c r="J471" s="6"/>
      <c r="K471" s="6"/>
      <c r="L471" s="6"/>
      <c r="M471" s="6"/>
      <c r="N471" s="6"/>
      <c r="O471" s="6"/>
      <c r="P471" s="6"/>
      <c r="Q471" s="6"/>
      <c r="R471" s="6"/>
      <c r="S471" s="6"/>
      <c r="T471" s="6"/>
      <c r="U471" s="6"/>
      <c r="V471" s="6"/>
      <c r="W471" s="6"/>
      <c r="X471" s="6"/>
      <c r="Y471" s="6"/>
      <c r="Z471" s="6"/>
    </row>
    <row r="472" spans="1:26" ht="31.5" customHeight="1">
      <c r="A472" s="1"/>
      <c r="B472" s="6"/>
      <c r="C472" s="10"/>
      <c r="D472" s="1"/>
      <c r="E472" s="11"/>
      <c r="F472" s="11"/>
      <c r="G472" s="6"/>
      <c r="H472" s="6"/>
      <c r="I472" s="6"/>
      <c r="J472" s="6"/>
      <c r="K472" s="6"/>
      <c r="L472" s="6"/>
      <c r="M472" s="6"/>
      <c r="N472" s="6"/>
      <c r="O472" s="6"/>
      <c r="P472" s="6"/>
      <c r="Q472" s="6"/>
      <c r="R472" s="6"/>
      <c r="S472" s="6"/>
      <c r="T472" s="6"/>
      <c r="U472" s="6"/>
      <c r="V472" s="6"/>
      <c r="W472" s="6"/>
      <c r="X472" s="6"/>
      <c r="Y472" s="6"/>
      <c r="Z472" s="6"/>
    </row>
    <row r="473" spans="1:26" ht="31.5" customHeight="1">
      <c r="A473" s="1"/>
      <c r="B473" s="6"/>
      <c r="C473" s="10"/>
      <c r="D473" s="1"/>
      <c r="E473" s="11"/>
      <c r="F473" s="11"/>
      <c r="G473" s="6"/>
      <c r="H473" s="6"/>
      <c r="I473" s="6"/>
      <c r="J473" s="6"/>
      <c r="K473" s="6"/>
      <c r="L473" s="6"/>
      <c r="M473" s="6"/>
      <c r="N473" s="6"/>
      <c r="O473" s="6"/>
      <c r="P473" s="6"/>
      <c r="Q473" s="6"/>
      <c r="R473" s="6"/>
      <c r="S473" s="6"/>
      <c r="T473" s="6"/>
      <c r="U473" s="6"/>
      <c r="V473" s="6"/>
      <c r="W473" s="6"/>
      <c r="X473" s="6"/>
      <c r="Y473" s="6"/>
      <c r="Z473" s="6"/>
    </row>
    <row r="474" spans="1:26" ht="31.5" customHeight="1">
      <c r="A474" s="1"/>
      <c r="B474" s="6"/>
      <c r="C474" s="10"/>
      <c r="D474" s="1"/>
      <c r="E474" s="11"/>
      <c r="F474" s="11"/>
      <c r="G474" s="6"/>
      <c r="H474" s="6"/>
      <c r="I474" s="6"/>
      <c r="J474" s="6"/>
      <c r="K474" s="6"/>
      <c r="L474" s="6"/>
      <c r="M474" s="6"/>
      <c r="N474" s="6"/>
      <c r="O474" s="6"/>
      <c r="P474" s="6"/>
      <c r="Q474" s="6"/>
      <c r="R474" s="6"/>
      <c r="S474" s="6"/>
      <c r="T474" s="6"/>
      <c r="U474" s="6"/>
      <c r="V474" s="6"/>
      <c r="W474" s="6"/>
      <c r="X474" s="6"/>
      <c r="Y474" s="6"/>
      <c r="Z474" s="6"/>
    </row>
    <row r="475" spans="1:26" ht="31.5" customHeight="1">
      <c r="A475" s="1"/>
      <c r="B475" s="6"/>
      <c r="C475" s="10"/>
      <c r="D475" s="1"/>
      <c r="E475" s="11"/>
      <c r="F475" s="11"/>
      <c r="G475" s="6"/>
      <c r="H475" s="6"/>
      <c r="I475" s="6"/>
      <c r="J475" s="6"/>
      <c r="K475" s="6"/>
      <c r="L475" s="6"/>
      <c r="M475" s="6"/>
      <c r="N475" s="6"/>
      <c r="O475" s="6"/>
      <c r="P475" s="6"/>
      <c r="Q475" s="6"/>
      <c r="R475" s="6"/>
      <c r="S475" s="6"/>
      <c r="T475" s="6"/>
      <c r="U475" s="6"/>
      <c r="V475" s="6"/>
      <c r="W475" s="6"/>
      <c r="X475" s="6"/>
      <c r="Y475" s="6"/>
      <c r="Z475" s="6"/>
    </row>
    <row r="476" spans="1:26" ht="31.5" customHeight="1">
      <c r="A476" s="1"/>
      <c r="B476" s="6"/>
      <c r="C476" s="10"/>
      <c r="D476" s="1"/>
      <c r="E476" s="11"/>
      <c r="F476" s="11"/>
      <c r="G476" s="6"/>
      <c r="H476" s="6"/>
      <c r="I476" s="6"/>
      <c r="J476" s="6"/>
      <c r="K476" s="6"/>
      <c r="L476" s="6"/>
      <c r="M476" s="6"/>
      <c r="N476" s="6"/>
      <c r="O476" s="6"/>
      <c r="P476" s="6"/>
      <c r="Q476" s="6"/>
      <c r="R476" s="6"/>
      <c r="S476" s="6"/>
      <c r="T476" s="6"/>
      <c r="U476" s="6"/>
      <c r="V476" s="6"/>
      <c r="W476" s="6"/>
      <c r="X476" s="6"/>
      <c r="Y476" s="6"/>
      <c r="Z476" s="6"/>
    </row>
    <row r="477" spans="1:26" ht="31.5" customHeight="1">
      <c r="A477" s="1"/>
      <c r="B477" s="6"/>
      <c r="C477" s="10"/>
      <c r="D477" s="1"/>
      <c r="E477" s="11"/>
      <c r="F477" s="11"/>
      <c r="G477" s="6"/>
      <c r="H477" s="6"/>
      <c r="I477" s="6"/>
      <c r="J477" s="6"/>
      <c r="K477" s="6"/>
      <c r="L477" s="6"/>
      <c r="M477" s="6"/>
      <c r="N477" s="6"/>
      <c r="O477" s="6"/>
      <c r="P477" s="6"/>
      <c r="Q477" s="6"/>
      <c r="R477" s="6"/>
      <c r="S477" s="6"/>
      <c r="T477" s="6"/>
      <c r="U477" s="6"/>
      <c r="V477" s="6"/>
      <c r="W477" s="6"/>
      <c r="X477" s="6"/>
      <c r="Y477" s="6"/>
      <c r="Z477" s="6"/>
    </row>
    <row r="478" spans="1:26" ht="31.5" customHeight="1">
      <c r="A478" s="1"/>
      <c r="B478" s="6"/>
      <c r="C478" s="10"/>
      <c r="D478" s="1"/>
      <c r="E478" s="11"/>
      <c r="F478" s="11"/>
      <c r="G478" s="6"/>
      <c r="H478" s="6"/>
      <c r="I478" s="6"/>
      <c r="J478" s="6"/>
      <c r="K478" s="6"/>
      <c r="L478" s="6"/>
      <c r="M478" s="6"/>
      <c r="N478" s="6"/>
      <c r="O478" s="6"/>
      <c r="P478" s="6"/>
      <c r="Q478" s="6"/>
      <c r="R478" s="6"/>
      <c r="S478" s="6"/>
      <c r="T478" s="6"/>
      <c r="U478" s="6"/>
      <c r="V478" s="6"/>
      <c r="W478" s="6"/>
      <c r="X478" s="6"/>
      <c r="Y478" s="6"/>
      <c r="Z478" s="6"/>
    </row>
    <row r="479" spans="1:26" ht="31.5" customHeight="1">
      <c r="A479" s="1"/>
      <c r="B479" s="6"/>
      <c r="C479" s="10"/>
      <c r="D479" s="1"/>
      <c r="E479" s="11"/>
      <c r="F479" s="11"/>
      <c r="G479" s="6"/>
      <c r="H479" s="6"/>
      <c r="I479" s="6"/>
      <c r="J479" s="6"/>
      <c r="K479" s="6"/>
      <c r="L479" s="6"/>
      <c r="M479" s="6"/>
      <c r="N479" s="6"/>
      <c r="O479" s="6"/>
      <c r="P479" s="6"/>
      <c r="Q479" s="6"/>
      <c r="R479" s="6"/>
      <c r="S479" s="6"/>
      <c r="T479" s="6"/>
      <c r="U479" s="6"/>
      <c r="V479" s="6"/>
      <c r="W479" s="6"/>
      <c r="X479" s="6"/>
      <c r="Y479" s="6"/>
      <c r="Z479" s="6"/>
    </row>
    <row r="480" spans="1:26" ht="31.5" customHeight="1">
      <c r="A480" s="1"/>
      <c r="B480" s="6"/>
      <c r="C480" s="10"/>
      <c r="D480" s="1"/>
      <c r="E480" s="11"/>
      <c r="F480" s="11"/>
      <c r="G480" s="6"/>
      <c r="H480" s="6"/>
      <c r="I480" s="6"/>
      <c r="J480" s="6"/>
      <c r="K480" s="6"/>
      <c r="L480" s="6"/>
      <c r="M480" s="6"/>
      <c r="N480" s="6"/>
      <c r="O480" s="6"/>
      <c r="P480" s="6"/>
      <c r="Q480" s="6"/>
      <c r="R480" s="6"/>
      <c r="S480" s="6"/>
      <c r="T480" s="6"/>
      <c r="U480" s="6"/>
      <c r="V480" s="6"/>
      <c r="W480" s="6"/>
      <c r="X480" s="6"/>
      <c r="Y480" s="6"/>
      <c r="Z480" s="6"/>
    </row>
    <row r="481" spans="1:26" ht="31.5" customHeight="1">
      <c r="A481" s="1"/>
      <c r="B481" s="6"/>
      <c r="C481" s="10"/>
      <c r="D481" s="1"/>
      <c r="E481" s="11"/>
      <c r="F481" s="11"/>
      <c r="G481" s="6"/>
      <c r="H481" s="6"/>
      <c r="I481" s="6"/>
      <c r="J481" s="6"/>
      <c r="K481" s="6"/>
      <c r="L481" s="6"/>
      <c r="M481" s="6"/>
      <c r="N481" s="6"/>
      <c r="O481" s="6"/>
      <c r="P481" s="6"/>
      <c r="Q481" s="6"/>
      <c r="R481" s="6"/>
      <c r="S481" s="6"/>
      <c r="T481" s="6"/>
      <c r="U481" s="6"/>
      <c r="V481" s="6"/>
      <c r="W481" s="6"/>
      <c r="X481" s="6"/>
      <c r="Y481" s="6"/>
      <c r="Z481" s="6"/>
    </row>
    <row r="482" spans="1:26" ht="31.5" customHeight="1">
      <c r="A482" s="1"/>
      <c r="B482" s="6"/>
      <c r="C482" s="10"/>
      <c r="D482" s="1"/>
      <c r="E482" s="11"/>
      <c r="F482" s="11"/>
      <c r="G482" s="6"/>
      <c r="H482" s="6"/>
      <c r="I482" s="6"/>
      <c r="J482" s="6"/>
      <c r="K482" s="6"/>
      <c r="L482" s="6"/>
      <c r="M482" s="6"/>
      <c r="N482" s="6"/>
      <c r="O482" s="6"/>
      <c r="P482" s="6"/>
      <c r="Q482" s="6"/>
      <c r="R482" s="6"/>
      <c r="S482" s="6"/>
      <c r="T482" s="6"/>
      <c r="U482" s="6"/>
      <c r="V482" s="6"/>
      <c r="W482" s="6"/>
      <c r="X482" s="6"/>
      <c r="Y482" s="6"/>
      <c r="Z482" s="6"/>
    </row>
    <row r="483" spans="1:26" ht="31.5" customHeight="1">
      <c r="A483" s="1"/>
      <c r="B483" s="6"/>
      <c r="C483" s="10"/>
      <c r="D483" s="1"/>
      <c r="E483" s="11"/>
      <c r="F483" s="11"/>
      <c r="G483" s="6"/>
      <c r="H483" s="6"/>
      <c r="I483" s="6"/>
      <c r="J483" s="6"/>
      <c r="K483" s="6"/>
      <c r="L483" s="6"/>
      <c r="M483" s="6"/>
      <c r="N483" s="6"/>
      <c r="O483" s="6"/>
      <c r="P483" s="6"/>
      <c r="Q483" s="6"/>
      <c r="R483" s="6"/>
      <c r="S483" s="6"/>
      <c r="T483" s="6"/>
      <c r="U483" s="6"/>
      <c r="V483" s="6"/>
      <c r="W483" s="6"/>
      <c r="X483" s="6"/>
      <c r="Y483" s="6"/>
      <c r="Z483" s="6"/>
    </row>
    <row r="484" spans="1:26" ht="31.5" customHeight="1">
      <c r="A484" s="1"/>
      <c r="B484" s="6"/>
      <c r="C484" s="10"/>
      <c r="D484" s="1"/>
      <c r="E484" s="11"/>
      <c r="F484" s="11"/>
      <c r="G484" s="6"/>
      <c r="H484" s="6"/>
      <c r="I484" s="6"/>
      <c r="J484" s="6"/>
      <c r="K484" s="6"/>
      <c r="L484" s="6"/>
      <c r="M484" s="6"/>
      <c r="N484" s="6"/>
      <c r="O484" s="6"/>
      <c r="P484" s="6"/>
      <c r="Q484" s="6"/>
      <c r="R484" s="6"/>
      <c r="S484" s="6"/>
      <c r="T484" s="6"/>
      <c r="U484" s="6"/>
      <c r="V484" s="6"/>
      <c r="W484" s="6"/>
      <c r="X484" s="6"/>
      <c r="Y484" s="6"/>
      <c r="Z484" s="6"/>
    </row>
    <row r="485" spans="1:26" ht="31.5" customHeight="1">
      <c r="A485" s="1"/>
      <c r="B485" s="6"/>
      <c r="C485" s="10"/>
      <c r="D485" s="1"/>
      <c r="E485" s="11"/>
      <c r="F485" s="11"/>
      <c r="G485" s="6"/>
      <c r="H485" s="6"/>
      <c r="I485" s="6"/>
      <c r="J485" s="6"/>
      <c r="K485" s="6"/>
      <c r="L485" s="6"/>
      <c r="M485" s="6"/>
      <c r="N485" s="6"/>
      <c r="O485" s="6"/>
      <c r="P485" s="6"/>
      <c r="Q485" s="6"/>
      <c r="R485" s="6"/>
      <c r="S485" s="6"/>
      <c r="T485" s="6"/>
      <c r="U485" s="6"/>
      <c r="V485" s="6"/>
      <c r="W485" s="6"/>
      <c r="X485" s="6"/>
      <c r="Y485" s="6"/>
      <c r="Z485" s="6"/>
    </row>
    <row r="486" spans="1:26" ht="31.5" customHeight="1">
      <c r="A486" s="1"/>
      <c r="B486" s="6"/>
      <c r="C486" s="10"/>
      <c r="D486" s="1"/>
      <c r="E486" s="11"/>
      <c r="F486" s="11"/>
      <c r="G486" s="6"/>
      <c r="H486" s="6"/>
      <c r="I486" s="6"/>
      <c r="J486" s="6"/>
      <c r="K486" s="6"/>
      <c r="L486" s="6"/>
      <c r="M486" s="6"/>
      <c r="N486" s="6"/>
      <c r="O486" s="6"/>
      <c r="P486" s="6"/>
      <c r="Q486" s="6"/>
      <c r="R486" s="6"/>
      <c r="S486" s="6"/>
      <c r="T486" s="6"/>
      <c r="U486" s="6"/>
      <c r="V486" s="6"/>
      <c r="W486" s="6"/>
      <c r="X486" s="6"/>
      <c r="Y486" s="6"/>
      <c r="Z486" s="6"/>
    </row>
    <row r="487" spans="1:26" ht="31.5" customHeight="1">
      <c r="A487" s="1"/>
      <c r="B487" s="6"/>
      <c r="C487" s="10"/>
      <c r="D487" s="1"/>
      <c r="E487" s="11"/>
      <c r="F487" s="11"/>
      <c r="G487" s="6"/>
      <c r="H487" s="6"/>
      <c r="I487" s="6"/>
      <c r="J487" s="6"/>
      <c r="K487" s="6"/>
      <c r="L487" s="6"/>
      <c r="M487" s="6"/>
      <c r="N487" s="6"/>
      <c r="O487" s="6"/>
      <c r="P487" s="6"/>
      <c r="Q487" s="6"/>
      <c r="R487" s="6"/>
      <c r="S487" s="6"/>
      <c r="T487" s="6"/>
      <c r="U487" s="6"/>
      <c r="V487" s="6"/>
      <c r="W487" s="6"/>
      <c r="X487" s="6"/>
      <c r="Y487" s="6"/>
      <c r="Z487" s="6"/>
    </row>
    <row r="488" spans="1:26" ht="31.5" customHeight="1">
      <c r="A488" s="1"/>
      <c r="B488" s="6"/>
      <c r="C488" s="10"/>
      <c r="D488" s="1"/>
      <c r="E488" s="11"/>
      <c r="F488" s="11"/>
      <c r="G488" s="6"/>
      <c r="H488" s="6"/>
      <c r="I488" s="6"/>
      <c r="J488" s="6"/>
      <c r="K488" s="6"/>
      <c r="L488" s="6"/>
      <c r="M488" s="6"/>
      <c r="N488" s="6"/>
      <c r="O488" s="6"/>
      <c r="P488" s="6"/>
      <c r="Q488" s="6"/>
      <c r="R488" s="6"/>
      <c r="S488" s="6"/>
      <c r="T488" s="6"/>
      <c r="U488" s="6"/>
      <c r="V488" s="6"/>
      <c r="W488" s="6"/>
      <c r="X488" s="6"/>
      <c r="Y488" s="6"/>
      <c r="Z488" s="6"/>
    </row>
    <row r="489" spans="1:26" ht="31.5" customHeight="1">
      <c r="A489" s="1"/>
      <c r="B489" s="6"/>
      <c r="C489" s="10"/>
      <c r="D489" s="1"/>
      <c r="E489" s="11"/>
      <c r="F489" s="11"/>
      <c r="G489" s="6"/>
      <c r="H489" s="6"/>
      <c r="I489" s="6"/>
      <c r="J489" s="6"/>
      <c r="K489" s="6"/>
      <c r="L489" s="6"/>
      <c r="M489" s="6"/>
      <c r="N489" s="6"/>
      <c r="O489" s="6"/>
      <c r="P489" s="6"/>
      <c r="Q489" s="6"/>
      <c r="R489" s="6"/>
      <c r="S489" s="6"/>
      <c r="T489" s="6"/>
      <c r="U489" s="6"/>
      <c r="V489" s="6"/>
      <c r="W489" s="6"/>
      <c r="X489" s="6"/>
      <c r="Y489" s="6"/>
      <c r="Z489" s="6"/>
    </row>
    <row r="490" spans="1:26" ht="31.5" customHeight="1">
      <c r="A490" s="1"/>
      <c r="B490" s="6"/>
      <c r="C490" s="10"/>
      <c r="D490" s="1"/>
      <c r="E490" s="11"/>
      <c r="F490" s="11"/>
      <c r="G490" s="6"/>
      <c r="H490" s="6"/>
      <c r="I490" s="6"/>
      <c r="J490" s="6"/>
      <c r="K490" s="6"/>
      <c r="L490" s="6"/>
      <c r="M490" s="6"/>
      <c r="N490" s="6"/>
      <c r="O490" s="6"/>
      <c r="P490" s="6"/>
      <c r="Q490" s="6"/>
      <c r="R490" s="6"/>
      <c r="S490" s="6"/>
      <c r="T490" s="6"/>
      <c r="U490" s="6"/>
      <c r="V490" s="6"/>
      <c r="W490" s="6"/>
      <c r="X490" s="6"/>
      <c r="Y490" s="6"/>
      <c r="Z490" s="6"/>
    </row>
    <row r="491" spans="1:26" ht="31.5" customHeight="1">
      <c r="A491" s="1"/>
      <c r="B491" s="6"/>
      <c r="C491" s="10"/>
      <c r="D491" s="1"/>
      <c r="E491" s="11"/>
      <c r="F491" s="11"/>
      <c r="G491" s="6"/>
      <c r="H491" s="6"/>
      <c r="I491" s="6"/>
      <c r="J491" s="6"/>
      <c r="K491" s="6"/>
      <c r="L491" s="6"/>
      <c r="M491" s="6"/>
      <c r="N491" s="6"/>
      <c r="O491" s="6"/>
      <c r="P491" s="6"/>
      <c r="Q491" s="6"/>
      <c r="R491" s="6"/>
      <c r="S491" s="6"/>
      <c r="T491" s="6"/>
      <c r="U491" s="6"/>
      <c r="V491" s="6"/>
      <c r="W491" s="6"/>
      <c r="X491" s="6"/>
      <c r="Y491" s="6"/>
      <c r="Z491" s="6"/>
    </row>
    <row r="492" spans="1:26" ht="31.5" customHeight="1">
      <c r="A492" s="1"/>
      <c r="B492" s="6"/>
      <c r="C492" s="10"/>
      <c r="D492" s="1"/>
      <c r="E492" s="11"/>
      <c r="F492" s="11"/>
      <c r="G492" s="6"/>
      <c r="H492" s="6"/>
      <c r="I492" s="6"/>
      <c r="J492" s="6"/>
      <c r="K492" s="6"/>
      <c r="L492" s="6"/>
      <c r="M492" s="6"/>
      <c r="N492" s="6"/>
      <c r="O492" s="6"/>
      <c r="P492" s="6"/>
      <c r="Q492" s="6"/>
      <c r="R492" s="6"/>
      <c r="S492" s="6"/>
      <c r="T492" s="6"/>
      <c r="U492" s="6"/>
      <c r="V492" s="6"/>
      <c r="W492" s="6"/>
      <c r="X492" s="6"/>
      <c r="Y492" s="6"/>
      <c r="Z492" s="6"/>
    </row>
    <row r="493" spans="1:26" ht="31.5" customHeight="1">
      <c r="A493" s="1"/>
      <c r="B493" s="6"/>
      <c r="C493" s="10"/>
      <c r="D493" s="1"/>
      <c r="E493" s="11"/>
      <c r="F493" s="11"/>
      <c r="G493" s="6"/>
      <c r="H493" s="6"/>
      <c r="I493" s="6"/>
      <c r="J493" s="6"/>
      <c r="K493" s="6"/>
      <c r="L493" s="6"/>
      <c r="M493" s="6"/>
      <c r="N493" s="6"/>
      <c r="O493" s="6"/>
      <c r="P493" s="6"/>
      <c r="Q493" s="6"/>
      <c r="R493" s="6"/>
      <c r="S493" s="6"/>
      <c r="T493" s="6"/>
      <c r="U493" s="6"/>
      <c r="V493" s="6"/>
      <c r="W493" s="6"/>
      <c r="X493" s="6"/>
      <c r="Y493" s="6"/>
      <c r="Z493" s="6"/>
    </row>
    <row r="494" spans="1:26" ht="31.5" customHeight="1">
      <c r="A494" s="1"/>
      <c r="B494" s="6"/>
      <c r="C494" s="10"/>
      <c r="D494" s="1"/>
      <c r="E494" s="11"/>
      <c r="F494" s="11"/>
      <c r="G494" s="6"/>
      <c r="H494" s="6"/>
      <c r="I494" s="6"/>
      <c r="J494" s="6"/>
      <c r="K494" s="6"/>
      <c r="L494" s="6"/>
      <c r="M494" s="6"/>
      <c r="N494" s="6"/>
      <c r="O494" s="6"/>
      <c r="P494" s="6"/>
      <c r="Q494" s="6"/>
      <c r="R494" s="6"/>
      <c r="S494" s="6"/>
      <c r="T494" s="6"/>
      <c r="U494" s="6"/>
      <c r="V494" s="6"/>
      <c r="W494" s="6"/>
      <c r="X494" s="6"/>
      <c r="Y494" s="6"/>
      <c r="Z494" s="6"/>
    </row>
    <row r="495" spans="1:26" ht="31.5" customHeight="1">
      <c r="A495" s="1"/>
      <c r="B495" s="6"/>
      <c r="C495" s="10"/>
      <c r="D495" s="1"/>
      <c r="E495" s="11"/>
      <c r="F495" s="11"/>
      <c r="G495" s="6"/>
      <c r="H495" s="6"/>
      <c r="I495" s="6"/>
      <c r="J495" s="6"/>
      <c r="K495" s="6"/>
      <c r="L495" s="6"/>
      <c r="M495" s="6"/>
      <c r="N495" s="6"/>
      <c r="O495" s="6"/>
      <c r="P495" s="6"/>
      <c r="Q495" s="6"/>
      <c r="R495" s="6"/>
      <c r="S495" s="6"/>
      <c r="T495" s="6"/>
      <c r="U495" s="6"/>
      <c r="V495" s="6"/>
      <c r="W495" s="6"/>
      <c r="X495" s="6"/>
      <c r="Y495" s="6"/>
      <c r="Z495" s="6"/>
    </row>
    <row r="496" spans="1:26" ht="31.5" customHeight="1">
      <c r="A496" s="1"/>
      <c r="B496" s="6"/>
      <c r="C496" s="10"/>
      <c r="D496" s="1"/>
      <c r="E496" s="11"/>
      <c r="F496" s="11"/>
      <c r="G496" s="6"/>
      <c r="H496" s="6"/>
      <c r="I496" s="6"/>
      <c r="J496" s="6"/>
      <c r="K496" s="6"/>
      <c r="L496" s="6"/>
      <c r="M496" s="6"/>
      <c r="N496" s="6"/>
      <c r="O496" s="6"/>
      <c r="P496" s="6"/>
      <c r="Q496" s="6"/>
      <c r="R496" s="6"/>
      <c r="S496" s="6"/>
      <c r="T496" s="6"/>
      <c r="U496" s="6"/>
      <c r="V496" s="6"/>
      <c r="W496" s="6"/>
      <c r="X496" s="6"/>
      <c r="Y496" s="6"/>
      <c r="Z496" s="6"/>
    </row>
    <row r="497" spans="1:26" ht="31.5" customHeight="1">
      <c r="A497" s="1"/>
      <c r="B497" s="6"/>
      <c r="C497" s="10"/>
      <c r="D497" s="1"/>
      <c r="E497" s="11"/>
      <c r="F497" s="11"/>
      <c r="G497" s="6"/>
      <c r="H497" s="6"/>
      <c r="I497" s="6"/>
      <c r="J497" s="6"/>
      <c r="K497" s="6"/>
      <c r="L497" s="6"/>
      <c r="M497" s="6"/>
      <c r="N497" s="6"/>
      <c r="O497" s="6"/>
      <c r="P497" s="6"/>
      <c r="Q497" s="6"/>
      <c r="R497" s="6"/>
      <c r="S497" s="6"/>
      <c r="T497" s="6"/>
      <c r="U497" s="6"/>
      <c r="V497" s="6"/>
      <c r="W497" s="6"/>
      <c r="X497" s="6"/>
      <c r="Y497" s="6"/>
      <c r="Z497" s="6"/>
    </row>
    <row r="498" spans="1:26" ht="31.5" customHeight="1">
      <c r="A498" s="1"/>
      <c r="B498" s="6"/>
      <c r="C498" s="10"/>
      <c r="D498" s="1"/>
      <c r="E498" s="11"/>
      <c r="F498" s="11"/>
      <c r="G498" s="6"/>
      <c r="H498" s="6"/>
      <c r="I498" s="6"/>
      <c r="J498" s="6"/>
      <c r="K498" s="6"/>
      <c r="L498" s="6"/>
      <c r="M498" s="6"/>
      <c r="N498" s="6"/>
      <c r="O498" s="6"/>
      <c r="P498" s="6"/>
      <c r="Q498" s="6"/>
      <c r="R498" s="6"/>
      <c r="S498" s="6"/>
      <c r="T498" s="6"/>
      <c r="U498" s="6"/>
      <c r="V498" s="6"/>
      <c r="W498" s="6"/>
      <c r="X498" s="6"/>
      <c r="Y498" s="6"/>
      <c r="Z498" s="6"/>
    </row>
    <row r="499" spans="1:26" ht="31.5" customHeight="1">
      <c r="A499" s="1"/>
      <c r="B499" s="6"/>
      <c r="C499" s="10"/>
      <c r="D499" s="1"/>
      <c r="E499" s="11"/>
      <c r="F499" s="11"/>
      <c r="G499" s="6"/>
      <c r="H499" s="6"/>
      <c r="I499" s="6"/>
      <c r="J499" s="6"/>
      <c r="K499" s="6"/>
      <c r="L499" s="6"/>
      <c r="M499" s="6"/>
      <c r="N499" s="6"/>
      <c r="O499" s="6"/>
      <c r="P499" s="6"/>
      <c r="Q499" s="6"/>
      <c r="R499" s="6"/>
      <c r="S499" s="6"/>
      <c r="T499" s="6"/>
      <c r="U499" s="6"/>
      <c r="V499" s="6"/>
      <c r="W499" s="6"/>
      <c r="X499" s="6"/>
      <c r="Y499" s="6"/>
      <c r="Z499" s="6"/>
    </row>
    <row r="500" spans="1:26" ht="31.5" customHeight="1">
      <c r="A500" s="1"/>
      <c r="B500" s="6"/>
      <c r="C500" s="10"/>
      <c r="D500" s="1"/>
      <c r="E500" s="11"/>
      <c r="F500" s="11"/>
      <c r="G500" s="6"/>
      <c r="H500" s="6"/>
      <c r="I500" s="6"/>
      <c r="J500" s="6"/>
      <c r="K500" s="6"/>
      <c r="L500" s="6"/>
      <c r="M500" s="6"/>
      <c r="N500" s="6"/>
      <c r="O500" s="6"/>
      <c r="P500" s="6"/>
      <c r="Q500" s="6"/>
      <c r="R500" s="6"/>
      <c r="S500" s="6"/>
      <c r="T500" s="6"/>
      <c r="U500" s="6"/>
      <c r="V500" s="6"/>
      <c r="W500" s="6"/>
      <c r="X500" s="6"/>
      <c r="Y500" s="6"/>
      <c r="Z500" s="6"/>
    </row>
    <row r="501" spans="1:26" ht="31.5" customHeight="1">
      <c r="A501" s="1"/>
      <c r="B501" s="6"/>
      <c r="C501" s="10"/>
      <c r="D501" s="1"/>
      <c r="E501" s="11"/>
      <c r="F501" s="11"/>
      <c r="G501" s="6"/>
      <c r="H501" s="6"/>
      <c r="I501" s="6"/>
      <c r="J501" s="6"/>
      <c r="K501" s="6"/>
      <c r="L501" s="6"/>
      <c r="M501" s="6"/>
      <c r="N501" s="6"/>
      <c r="O501" s="6"/>
      <c r="P501" s="6"/>
      <c r="Q501" s="6"/>
      <c r="R501" s="6"/>
      <c r="S501" s="6"/>
      <c r="T501" s="6"/>
      <c r="U501" s="6"/>
      <c r="V501" s="6"/>
      <c r="W501" s="6"/>
      <c r="X501" s="6"/>
      <c r="Y501" s="6"/>
      <c r="Z501" s="6"/>
    </row>
    <row r="502" spans="1:26" ht="31.5" customHeight="1">
      <c r="A502" s="1"/>
      <c r="B502" s="6"/>
      <c r="C502" s="10"/>
      <c r="D502" s="1"/>
      <c r="E502" s="11"/>
      <c r="F502" s="11"/>
      <c r="G502" s="6"/>
      <c r="H502" s="6"/>
      <c r="I502" s="6"/>
      <c r="J502" s="6"/>
      <c r="K502" s="6"/>
      <c r="L502" s="6"/>
      <c r="M502" s="6"/>
      <c r="N502" s="6"/>
      <c r="O502" s="6"/>
      <c r="P502" s="6"/>
      <c r="Q502" s="6"/>
      <c r="R502" s="6"/>
      <c r="S502" s="6"/>
      <c r="T502" s="6"/>
      <c r="U502" s="6"/>
      <c r="V502" s="6"/>
      <c r="W502" s="6"/>
      <c r="X502" s="6"/>
      <c r="Y502" s="6"/>
      <c r="Z502" s="6"/>
    </row>
    <row r="503" spans="1:26" ht="31.5" customHeight="1">
      <c r="A503" s="1"/>
      <c r="B503" s="6"/>
      <c r="C503" s="10"/>
      <c r="D503" s="1"/>
      <c r="E503" s="11"/>
      <c r="F503" s="11"/>
      <c r="G503" s="6"/>
      <c r="H503" s="6"/>
      <c r="I503" s="6"/>
      <c r="J503" s="6"/>
      <c r="K503" s="6"/>
      <c r="L503" s="6"/>
      <c r="M503" s="6"/>
      <c r="N503" s="6"/>
      <c r="O503" s="6"/>
      <c r="P503" s="6"/>
      <c r="Q503" s="6"/>
      <c r="R503" s="6"/>
      <c r="S503" s="6"/>
      <c r="T503" s="6"/>
      <c r="U503" s="6"/>
      <c r="V503" s="6"/>
      <c r="W503" s="6"/>
      <c r="X503" s="6"/>
      <c r="Y503" s="6"/>
      <c r="Z503" s="6"/>
    </row>
    <row r="504" spans="1:26" ht="31.5" customHeight="1">
      <c r="A504" s="1"/>
      <c r="B504" s="6"/>
      <c r="C504" s="10"/>
      <c r="D504" s="1"/>
      <c r="E504" s="11"/>
      <c r="F504" s="11"/>
      <c r="G504" s="6"/>
      <c r="H504" s="6"/>
      <c r="I504" s="6"/>
      <c r="J504" s="6"/>
      <c r="K504" s="6"/>
      <c r="L504" s="6"/>
      <c r="M504" s="6"/>
      <c r="N504" s="6"/>
      <c r="O504" s="6"/>
      <c r="P504" s="6"/>
      <c r="Q504" s="6"/>
      <c r="R504" s="6"/>
      <c r="S504" s="6"/>
      <c r="T504" s="6"/>
      <c r="U504" s="6"/>
      <c r="V504" s="6"/>
      <c r="W504" s="6"/>
      <c r="X504" s="6"/>
      <c r="Y504" s="6"/>
      <c r="Z504" s="6"/>
    </row>
    <row r="505" spans="1:26" ht="31.5" customHeight="1">
      <c r="A505" s="1"/>
      <c r="B505" s="6"/>
      <c r="C505" s="10"/>
      <c r="D505" s="1"/>
      <c r="E505" s="11"/>
      <c r="F505" s="11"/>
      <c r="G505" s="6"/>
      <c r="H505" s="6"/>
      <c r="I505" s="6"/>
      <c r="J505" s="6"/>
      <c r="K505" s="6"/>
      <c r="L505" s="6"/>
      <c r="M505" s="6"/>
      <c r="N505" s="6"/>
      <c r="O505" s="6"/>
      <c r="P505" s="6"/>
      <c r="Q505" s="6"/>
      <c r="R505" s="6"/>
      <c r="S505" s="6"/>
      <c r="T505" s="6"/>
      <c r="U505" s="6"/>
      <c r="V505" s="6"/>
      <c r="W505" s="6"/>
      <c r="X505" s="6"/>
      <c r="Y505" s="6"/>
      <c r="Z505" s="6"/>
    </row>
    <row r="506" spans="1:26" ht="31.5" customHeight="1">
      <c r="A506" s="1"/>
      <c r="B506" s="6"/>
      <c r="C506" s="10"/>
      <c r="D506" s="1"/>
      <c r="E506" s="11"/>
      <c r="F506" s="11"/>
      <c r="G506" s="6"/>
      <c r="H506" s="6"/>
      <c r="I506" s="6"/>
      <c r="J506" s="6"/>
      <c r="K506" s="6"/>
      <c r="L506" s="6"/>
      <c r="M506" s="6"/>
      <c r="N506" s="6"/>
      <c r="O506" s="6"/>
      <c r="P506" s="6"/>
      <c r="Q506" s="6"/>
      <c r="R506" s="6"/>
      <c r="S506" s="6"/>
      <c r="T506" s="6"/>
      <c r="U506" s="6"/>
      <c r="V506" s="6"/>
      <c r="W506" s="6"/>
      <c r="X506" s="6"/>
      <c r="Y506" s="6"/>
      <c r="Z506" s="6"/>
    </row>
    <row r="507" spans="1:26" ht="31.5" customHeight="1">
      <c r="A507" s="1"/>
      <c r="B507" s="6"/>
      <c r="C507" s="10"/>
      <c r="D507" s="1"/>
      <c r="E507" s="11"/>
      <c r="F507" s="11"/>
      <c r="G507" s="6"/>
      <c r="H507" s="6"/>
      <c r="I507" s="6"/>
      <c r="J507" s="6"/>
      <c r="K507" s="6"/>
      <c r="L507" s="6"/>
      <c r="M507" s="6"/>
      <c r="N507" s="6"/>
      <c r="O507" s="6"/>
      <c r="P507" s="6"/>
      <c r="Q507" s="6"/>
      <c r="R507" s="6"/>
      <c r="S507" s="6"/>
      <c r="T507" s="6"/>
      <c r="U507" s="6"/>
      <c r="V507" s="6"/>
      <c r="W507" s="6"/>
      <c r="X507" s="6"/>
      <c r="Y507" s="6"/>
      <c r="Z507" s="6"/>
    </row>
    <row r="508" spans="1:26" ht="31.5" customHeight="1">
      <c r="A508" s="1"/>
      <c r="B508" s="6"/>
      <c r="C508" s="10"/>
      <c r="D508" s="1"/>
      <c r="E508" s="11"/>
      <c r="F508" s="11"/>
      <c r="G508" s="6"/>
      <c r="H508" s="6"/>
      <c r="I508" s="6"/>
      <c r="J508" s="6"/>
      <c r="K508" s="6"/>
      <c r="L508" s="6"/>
      <c r="M508" s="6"/>
      <c r="N508" s="6"/>
      <c r="O508" s="6"/>
      <c r="P508" s="6"/>
      <c r="Q508" s="6"/>
      <c r="R508" s="6"/>
      <c r="S508" s="6"/>
      <c r="T508" s="6"/>
      <c r="U508" s="6"/>
      <c r="V508" s="6"/>
      <c r="W508" s="6"/>
      <c r="X508" s="6"/>
      <c r="Y508" s="6"/>
      <c r="Z508" s="6"/>
    </row>
    <row r="509" spans="1:26" ht="31.5" customHeight="1">
      <c r="A509" s="1"/>
      <c r="B509" s="6"/>
      <c r="C509" s="10"/>
      <c r="D509" s="1"/>
      <c r="E509" s="11"/>
      <c r="F509" s="11"/>
      <c r="G509" s="6"/>
      <c r="H509" s="6"/>
      <c r="I509" s="6"/>
      <c r="J509" s="6"/>
      <c r="K509" s="6"/>
      <c r="L509" s="6"/>
      <c r="M509" s="6"/>
      <c r="N509" s="6"/>
      <c r="O509" s="6"/>
      <c r="P509" s="6"/>
      <c r="Q509" s="6"/>
      <c r="R509" s="6"/>
      <c r="S509" s="6"/>
      <c r="T509" s="6"/>
      <c r="U509" s="6"/>
      <c r="V509" s="6"/>
      <c r="W509" s="6"/>
      <c r="X509" s="6"/>
      <c r="Y509" s="6"/>
      <c r="Z509" s="6"/>
    </row>
    <row r="510" spans="1:26" ht="31.5" customHeight="1">
      <c r="A510" s="1"/>
      <c r="B510" s="6"/>
      <c r="C510" s="10"/>
      <c r="D510" s="1"/>
      <c r="E510" s="11"/>
      <c r="F510" s="11"/>
      <c r="G510" s="6"/>
      <c r="H510" s="6"/>
      <c r="I510" s="6"/>
      <c r="J510" s="6"/>
      <c r="K510" s="6"/>
      <c r="L510" s="6"/>
      <c r="M510" s="6"/>
      <c r="N510" s="6"/>
      <c r="O510" s="6"/>
      <c r="P510" s="6"/>
      <c r="Q510" s="6"/>
      <c r="R510" s="6"/>
      <c r="S510" s="6"/>
      <c r="T510" s="6"/>
      <c r="U510" s="6"/>
      <c r="V510" s="6"/>
      <c r="W510" s="6"/>
      <c r="X510" s="6"/>
      <c r="Y510" s="6"/>
      <c r="Z510" s="6"/>
    </row>
    <row r="511" spans="1:26" ht="31.5" customHeight="1">
      <c r="A511" s="1"/>
      <c r="B511" s="6"/>
      <c r="C511" s="10"/>
      <c r="D511" s="1"/>
      <c r="E511" s="11"/>
      <c r="F511" s="11"/>
      <c r="G511" s="6"/>
      <c r="H511" s="6"/>
      <c r="I511" s="6"/>
      <c r="J511" s="6"/>
      <c r="K511" s="6"/>
      <c r="L511" s="6"/>
      <c r="M511" s="6"/>
      <c r="N511" s="6"/>
      <c r="O511" s="6"/>
      <c r="P511" s="6"/>
      <c r="Q511" s="6"/>
      <c r="R511" s="6"/>
      <c r="S511" s="6"/>
      <c r="T511" s="6"/>
      <c r="U511" s="6"/>
      <c r="V511" s="6"/>
      <c r="W511" s="6"/>
      <c r="X511" s="6"/>
      <c r="Y511" s="6"/>
      <c r="Z511" s="6"/>
    </row>
    <row r="512" spans="1:26" ht="31.5" customHeight="1">
      <c r="A512" s="1"/>
      <c r="B512" s="6"/>
      <c r="C512" s="10"/>
      <c r="D512" s="1"/>
      <c r="E512" s="11"/>
      <c r="F512" s="11"/>
      <c r="G512" s="6"/>
      <c r="H512" s="6"/>
      <c r="I512" s="6"/>
      <c r="J512" s="6"/>
      <c r="K512" s="6"/>
      <c r="L512" s="6"/>
      <c r="M512" s="6"/>
      <c r="N512" s="6"/>
      <c r="O512" s="6"/>
      <c r="P512" s="6"/>
      <c r="Q512" s="6"/>
      <c r="R512" s="6"/>
      <c r="S512" s="6"/>
      <c r="T512" s="6"/>
      <c r="U512" s="6"/>
      <c r="V512" s="6"/>
      <c r="W512" s="6"/>
      <c r="X512" s="6"/>
      <c r="Y512" s="6"/>
      <c r="Z512" s="6"/>
    </row>
    <row r="513" spans="1:26" ht="31.5" customHeight="1">
      <c r="A513" s="1"/>
      <c r="B513" s="6"/>
      <c r="C513" s="10"/>
      <c r="D513" s="1"/>
      <c r="E513" s="11"/>
      <c r="F513" s="11"/>
      <c r="G513" s="6"/>
      <c r="H513" s="6"/>
      <c r="I513" s="6"/>
      <c r="J513" s="6"/>
      <c r="K513" s="6"/>
      <c r="L513" s="6"/>
      <c r="M513" s="6"/>
      <c r="N513" s="6"/>
      <c r="O513" s="6"/>
      <c r="P513" s="6"/>
      <c r="Q513" s="6"/>
      <c r="R513" s="6"/>
      <c r="S513" s="6"/>
      <c r="T513" s="6"/>
      <c r="U513" s="6"/>
      <c r="V513" s="6"/>
      <c r="W513" s="6"/>
      <c r="X513" s="6"/>
      <c r="Y513" s="6"/>
      <c r="Z513" s="6"/>
    </row>
    <row r="514" spans="1:26" ht="31.5" customHeight="1">
      <c r="A514" s="1"/>
      <c r="B514" s="6"/>
      <c r="C514" s="10"/>
      <c r="D514" s="1"/>
      <c r="E514" s="11"/>
      <c r="F514" s="11"/>
      <c r="G514" s="6"/>
      <c r="H514" s="6"/>
      <c r="I514" s="6"/>
      <c r="J514" s="6"/>
      <c r="K514" s="6"/>
      <c r="L514" s="6"/>
      <c r="M514" s="6"/>
      <c r="N514" s="6"/>
      <c r="O514" s="6"/>
      <c r="P514" s="6"/>
      <c r="Q514" s="6"/>
      <c r="R514" s="6"/>
      <c r="S514" s="6"/>
      <c r="T514" s="6"/>
      <c r="U514" s="6"/>
      <c r="V514" s="6"/>
      <c r="W514" s="6"/>
      <c r="X514" s="6"/>
      <c r="Y514" s="6"/>
      <c r="Z514" s="6"/>
    </row>
    <row r="515" spans="1:26" ht="31.5" customHeight="1">
      <c r="A515" s="1"/>
      <c r="B515" s="6"/>
      <c r="C515" s="10"/>
      <c r="D515" s="1"/>
      <c r="E515" s="11"/>
      <c r="F515" s="11"/>
      <c r="G515" s="6"/>
      <c r="H515" s="6"/>
      <c r="I515" s="6"/>
      <c r="J515" s="6"/>
      <c r="K515" s="6"/>
      <c r="L515" s="6"/>
      <c r="M515" s="6"/>
      <c r="N515" s="6"/>
      <c r="O515" s="6"/>
      <c r="P515" s="6"/>
      <c r="Q515" s="6"/>
      <c r="R515" s="6"/>
      <c r="S515" s="6"/>
      <c r="T515" s="6"/>
      <c r="U515" s="6"/>
      <c r="V515" s="6"/>
      <c r="W515" s="6"/>
      <c r="X515" s="6"/>
      <c r="Y515" s="6"/>
      <c r="Z515" s="6"/>
    </row>
    <row r="516" spans="1:26" ht="31.5" customHeight="1">
      <c r="A516" s="1"/>
      <c r="B516" s="6"/>
      <c r="C516" s="10"/>
      <c r="D516" s="1"/>
      <c r="E516" s="11"/>
      <c r="F516" s="11"/>
      <c r="G516" s="6"/>
      <c r="H516" s="6"/>
      <c r="I516" s="6"/>
      <c r="J516" s="6"/>
      <c r="K516" s="6"/>
      <c r="L516" s="6"/>
      <c r="M516" s="6"/>
      <c r="N516" s="6"/>
      <c r="O516" s="6"/>
      <c r="P516" s="6"/>
      <c r="Q516" s="6"/>
      <c r="R516" s="6"/>
      <c r="S516" s="6"/>
      <c r="T516" s="6"/>
      <c r="U516" s="6"/>
      <c r="V516" s="6"/>
      <c r="W516" s="6"/>
      <c r="X516" s="6"/>
      <c r="Y516" s="6"/>
      <c r="Z516" s="6"/>
    </row>
    <row r="517" spans="1:26" ht="31.5" customHeight="1">
      <c r="A517" s="1"/>
      <c r="B517" s="6"/>
      <c r="C517" s="10"/>
      <c r="D517" s="1"/>
      <c r="E517" s="11"/>
      <c r="F517" s="11"/>
      <c r="G517" s="6"/>
      <c r="H517" s="6"/>
      <c r="I517" s="6"/>
      <c r="J517" s="6"/>
      <c r="K517" s="6"/>
      <c r="L517" s="6"/>
      <c r="M517" s="6"/>
      <c r="N517" s="6"/>
      <c r="O517" s="6"/>
      <c r="P517" s="6"/>
      <c r="Q517" s="6"/>
      <c r="R517" s="6"/>
      <c r="S517" s="6"/>
      <c r="T517" s="6"/>
      <c r="U517" s="6"/>
      <c r="V517" s="6"/>
      <c r="W517" s="6"/>
      <c r="X517" s="6"/>
      <c r="Y517" s="6"/>
      <c r="Z517" s="6"/>
    </row>
    <row r="518" spans="1:26" ht="31.5" customHeight="1">
      <c r="A518" s="1"/>
      <c r="B518" s="6"/>
      <c r="C518" s="10"/>
      <c r="D518" s="1"/>
      <c r="E518" s="11"/>
      <c r="F518" s="11"/>
      <c r="G518" s="6"/>
      <c r="H518" s="6"/>
      <c r="I518" s="6"/>
      <c r="J518" s="6"/>
      <c r="K518" s="6"/>
      <c r="L518" s="6"/>
      <c r="M518" s="6"/>
      <c r="N518" s="6"/>
      <c r="O518" s="6"/>
      <c r="P518" s="6"/>
      <c r="Q518" s="6"/>
      <c r="R518" s="6"/>
      <c r="S518" s="6"/>
      <c r="T518" s="6"/>
      <c r="U518" s="6"/>
      <c r="V518" s="6"/>
      <c r="W518" s="6"/>
      <c r="X518" s="6"/>
      <c r="Y518" s="6"/>
      <c r="Z518" s="6"/>
    </row>
    <row r="519" spans="1:26" ht="31.5" customHeight="1">
      <c r="A519" s="1"/>
      <c r="B519" s="6"/>
      <c r="C519" s="10"/>
      <c r="D519" s="1"/>
      <c r="E519" s="11"/>
      <c r="F519" s="11"/>
      <c r="G519" s="6"/>
      <c r="H519" s="6"/>
      <c r="I519" s="6"/>
      <c r="J519" s="6"/>
      <c r="K519" s="6"/>
      <c r="L519" s="6"/>
      <c r="M519" s="6"/>
      <c r="N519" s="6"/>
      <c r="O519" s="6"/>
      <c r="P519" s="6"/>
      <c r="Q519" s="6"/>
      <c r="R519" s="6"/>
      <c r="S519" s="6"/>
      <c r="T519" s="6"/>
      <c r="U519" s="6"/>
      <c r="V519" s="6"/>
      <c r="W519" s="6"/>
      <c r="X519" s="6"/>
      <c r="Y519" s="6"/>
      <c r="Z519" s="6"/>
    </row>
    <row r="520" spans="1:26" ht="31.5" customHeight="1">
      <c r="A520" s="1"/>
      <c r="B520" s="6"/>
      <c r="C520" s="10"/>
      <c r="D520" s="1"/>
      <c r="E520" s="11"/>
      <c r="F520" s="11"/>
      <c r="G520" s="6"/>
      <c r="H520" s="6"/>
      <c r="I520" s="6"/>
      <c r="J520" s="6"/>
      <c r="K520" s="6"/>
      <c r="L520" s="6"/>
      <c r="M520" s="6"/>
      <c r="N520" s="6"/>
      <c r="O520" s="6"/>
      <c r="P520" s="6"/>
      <c r="Q520" s="6"/>
      <c r="R520" s="6"/>
      <c r="S520" s="6"/>
      <c r="T520" s="6"/>
      <c r="U520" s="6"/>
      <c r="V520" s="6"/>
      <c r="W520" s="6"/>
      <c r="X520" s="6"/>
      <c r="Y520" s="6"/>
      <c r="Z520" s="6"/>
    </row>
    <row r="521" spans="1:26" ht="31.5" customHeight="1">
      <c r="A521" s="1"/>
      <c r="B521" s="6"/>
      <c r="C521" s="10"/>
      <c r="D521" s="1"/>
      <c r="E521" s="11"/>
      <c r="F521" s="11"/>
      <c r="G521" s="6"/>
      <c r="H521" s="6"/>
      <c r="I521" s="6"/>
      <c r="J521" s="6"/>
      <c r="K521" s="6"/>
      <c r="L521" s="6"/>
      <c r="M521" s="6"/>
      <c r="N521" s="6"/>
      <c r="O521" s="6"/>
      <c r="P521" s="6"/>
      <c r="Q521" s="6"/>
      <c r="R521" s="6"/>
      <c r="S521" s="6"/>
      <c r="T521" s="6"/>
      <c r="U521" s="6"/>
      <c r="V521" s="6"/>
      <c r="W521" s="6"/>
      <c r="X521" s="6"/>
      <c r="Y521" s="6"/>
      <c r="Z521" s="6"/>
    </row>
    <row r="522" spans="1:26" ht="31.5" customHeight="1">
      <c r="A522" s="1"/>
      <c r="B522" s="6"/>
      <c r="C522" s="10"/>
      <c r="D522" s="1"/>
      <c r="E522" s="11"/>
      <c r="F522" s="11"/>
      <c r="G522" s="6"/>
      <c r="H522" s="6"/>
      <c r="I522" s="6"/>
      <c r="J522" s="6"/>
      <c r="K522" s="6"/>
      <c r="L522" s="6"/>
      <c r="M522" s="6"/>
      <c r="N522" s="6"/>
      <c r="O522" s="6"/>
      <c r="P522" s="6"/>
      <c r="Q522" s="6"/>
      <c r="R522" s="6"/>
      <c r="S522" s="6"/>
      <c r="T522" s="6"/>
      <c r="U522" s="6"/>
      <c r="V522" s="6"/>
      <c r="W522" s="6"/>
      <c r="X522" s="6"/>
      <c r="Y522" s="6"/>
      <c r="Z522" s="6"/>
    </row>
    <row r="523" spans="1:26" ht="31.5" customHeight="1">
      <c r="A523" s="1"/>
      <c r="B523" s="6"/>
      <c r="C523" s="10"/>
      <c r="D523" s="1"/>
      <c r="E523" s="11"/>
      <c r="F523" s="11"/>
      <c r="G523" s="6"/>
      <c r="H523" s="6"/>
      <c r="I523" s="6"/>
      <c r="J523" s="6"/>
      <c r="K523" s="6"/>
      <c r="L523" s="6"/>
      <c r="M523" s="6"/>
      <c r="N523" s="6"/>
      <c r="O523" s="6"/>
      <c r="P523" s="6"/>
      <c r="Q523" s="6"/>
      <c r="R523" s="6"/>
      <c r="S523" s="6"/>
      <c r="T523" s="6"/>
      <c r="U523" s="6"/>
      <c r="V523" s="6"/>
      <c r="W523" s="6"/>
      <c r="X523" s="6"/>
      <c r="Y523" s="6"/>
      <c r="Z523" s="6"/>
    </row>
    <row r="524" spans="1:26" ht="31.5" customHeight="1">
      <c r="A524" s="1"/>
      <c r="B524" s="6"/>
      <c r="C524" s="10"/>
      <c r="D524" s="1"/>
      <c r="E524" s="11"/>
      <c r="F524" s="11"/>
      <c r="G524" s="6"/>
      <c r="H524" s="6"/>
      <c r="I524" s="6"/>
      <c r="J524" s="6"/>
      <c r="K524" s="6"/>
      <c r="L524" s="6"/>
      <c r="M524" s="6"/>
      <c r="N524" s="6"/>
      <c r="O524" s="6"/>
      <c r="P524" s="6"/>
      <c r="Q524" s="6"/>
      <c r="R524" s="6"/>
      <c r="S524" s="6"/>
      <c r="T524" s="6"/>
      <c r="U524" s="6"/>
      <c r="V524" s="6"/>
      <c r="W524" s="6"/>
      <c r="X524" s="6"/>
      <c r="Y524" s="6"/>
      <c r="Z524" s="6"/>
    </row>
    <row r="525" spans="1:26" ht="31.5" customHeight="1">
      <c r="A525" s="1"/>
      <c r="B525" s="6"/>
      <c r="C525" s="10"/>
      <c r="D525" s="1"/>
      <c r="E525" s="11"/>
      <c r="F525" s="11"/>
      <c r="G525" s="6"/>
      <c r="H525" s="6"/>
      <c r="I525" s="6"/>
      <c r="J525" s="6"/>
      <c r="K525" s="6"/>
      <c r="L525" s="6"/>
      <c r="M525" s="6"/>
      <c r="N525" s="6"/>
      <c r="O525" s="6"/>
      <c r="P525" s="6"/>
      <c r="Q525" s="6"/>
      <c r="R525" s="6"/>
      <c r="S525" s="6"/>
      <c r="T525" s="6"/>
      <c r="U525" s="6"/>
      <c r="V525" s="6"/>
      <c r="W525" s="6"/>
      <c r="X525" s="6"/>
      <c r="Y525" s="6"/>
      <c r="Z525" s="6"/>
    </row>
    <row r="526" spans="1:26" ht="31.5" customHeight="1">
      <c r="A526" s="1"/>
      <c r="B526" s="6"/>
      <c r="C526" s="10"/>
      <c r="D526" s="1"/>
      <c r="E526" s="11"/>
      <c r="F526" s="11"/>
      <c r="G526" s="6"/>
      <c r="H526" s="6"/>
      <c r="I526" s="6"/>
      <c r="J526" s="6"/>
      <c r="K526" s="6"/>
      <c r="L526" s="6"/>
      <c r="M526" s="6"/>
      <c r="N526" s="6"/>
      <c r="O526" s="6"/>
      <c r="P526" s="6"/>
      <c r="Q526" s="6"/>
      <c r="R526" s="6"/>
      <c r="S526" s="6"/>
      <c r="T526" s="6"/>
      <c r="U526" s="6"/>
      <c r="V526" s="6"/>
      <c r="W526" s="6"/>
      <c r="X526" s="6"/>
      <c r="Y526" s="6"/>
      <c r="Z526" s="6"/>
    </row>
    <row r="527" spans="1:26" ht="31.5" customHeight="1">
      <c r="A527" s="1"/>
      <c r="B527" s="6"/>
      <c r="C527" s="10"/>
      <c r="D527" s="1"/>
      <c r="E527" s="11"/>
      <c r="F527" s="11"/>
      <c r="G527" s="6"/>
      <c r="H527" s="6"/>
      <c r="I527" s="6"/>
      <c r="J527" s="6"/>
      <c r="K527" s="6"/>
      <c r="L527" s="6"/>
      <c r="M527" s="6"/>
      <c r="N527" s="6"/>
      <c r="O527" s="6"/>
      <c r="P527" s="6"/>
      <c r="Q527" s="6"/>
      <c r="R527" s="6"/>
      <c r="S527" s="6"/>
      <c r="T527" s="6"/>
      <c r="U527" s="6"/>
      <c r="V527" s="6"/>
      <c r="W527" s="6"/>
      <c r="X527" s="6"/>
      <c r="Y527" s="6"/>
      <c r="Z527" s="6"/>
    </row>
    <row r="528" spans="1:26" ht="31.5" customHeight="1">
      <c r="A528" s="1"/>
      <c r="B528" s="6"/>
      <c r="C528" s="10"/>
      <c r="D528" s="1"/>
      <c r="E528" s="11"/>
      <c r="F528" s="11"/>
      <c r="G528" s="6"/>
      <c r="H528" s="6"/>
      <c r="I528" s="6"/>
      <c r="J528" s="6"/>
      <c r="K528" s="6"/>
      <c r="L528" s="6"/>
      <c r="M528" s="6"/>
      <c r="N528" s="6"/>
      <c r="O528" s="6"/>
      <c r="P528" s="6"/>
      <c r="Q528" s="6"/>
      <c r="R528" s="6"/>
      <c r="S528" s="6"/>
      <c r="T528" s="6"/>
      <c r="U528" s="6"/>
      <c r="V528" s="6"/>
      <c r="W528" s="6"/>
      <c r="X528" s="6"/>
      <c r="Y528" s="6"/>
      <c r="Z528" s="6"/>
    </row>
    <row r="529" spans="1:26" ht="31.5" customHeight="1">
      <c r="A529" s="1"/>
      <c r="B529" s="6"/>
      <c r="C529" s="10"/>
      <c r="D529" s="1"/>
      <c r="E529" s="11"/>
      <c r="F529" s="11"/>
      <c r="G529" s="6"/>
      <c r="H529" s="6"/>
      <c r="I529" s="6"/>
      <c r="J529" s="6"/>
      <c r="K529" s="6"/>
      <c r="L529" s="6"/>
      <c r="M529" s="6"/>
      <c r="N529" s="6"/>
      <c r="O529" s="6"/>
      <c r="P529" s="6"/>
      <c r="Q529" s="6"/>
      <c r="R529" s="6"/>
      <c r="S529" s="6"/>
      <c r="T529" s="6"/>
      <c r="U529" s="6"/>
      <c r="V529" s="6"/>
      <c r="W529" s="6"/>
      <c r="X529" s="6"/>
      <c r="Y529" s="6"/>
      <c r="Z529" s="6"/>
    </row>
    <row r="530" spans="1:26" ht="31.5" customHeight="1">
      <c r="A530" s="1"/>
      <c r="B530" s="6"/>
      <c r="C530" s="10"/>
      <c r="D530" s="1"/>
      <c r="E530" s="11"/>
      <c r="F530" s="11"/>
      <c r="G530" s="6"/>
      <c r="H530" s="6"/>
      <c r="I530" s="6"/>
      <c r="J530" s="6"/>
      <c r="K530" s="6"/>
      <c r="L530" s="6"/>
      <c r="M530" s="6"/>
      <c r="N530" s="6"/>
      <c r="O530" s="6"/>
      <c r="P530" s="6"/>
      <c r="Q530" s="6"/>
      <c r="R530" s="6"/>
      <c r="S530" s="6"/>
      <c r="T530" s="6"/>
      <c r="U530" s="6"/>
      <c r="V530" s="6"/>
      <c r="W530" s="6"/>
      <c r="X530" s="6"/>
      <c r="Y530" s="6"/>
      <c r="Z530" s="6"/>
    </row>
    <row r="531" spans="1:26" ht="31.5" customHeight="1">
      <c r="A531" s="1"/>
      <c r="B531" s="6"/>
      <c r="C531" s="10"/>
      <c r="D531" s="1"/>
      <c r="E531" s="11"/>
      <c r="F531" s="11"/>
      <c r="G531" s="6"/>
      <c r="H531" s="6"/>
      <c r="I531" s="6"/>
      <c r="J531" s="6"/>
      <c r="K531" s="6"/>
      <c r="L531" s="6"/>
      <c r="M531" s="6"/>
      <c r="N531" s="6"/>
      <c r="O531" s="6"/>
      <c r="P531" s="6"/>
      <c r="Q531" s="6"/>
      <c r="R531" s="6"/>
      <c r="S531" s="6"/>
      <c r="T531" s="6"/>
      <c r="U531" s="6"/>
      <c r="V531" s="6"/>
      <c r="W531" s="6"/>
      <c r="X531" s="6"/>
      <c r="Y531" s="6"/>
      <c r="Z531" s="6"/>
    </row>
    <row r="532" spans="1:26" ht="31.5" customHeight="1">
      <c r="A532" s="1"/>
      <c r="B532" s="6"/>
      <c r="C532" s="10"/>
      <c r="D532" s="1"/>
      <c r="E532" s="11"/>
      <c r="F532" s="11"/>
      <c r="G532" s="6"/>
      <c r="H532" s="6"/>
      <c r="I532" s="6"/>
      <c r="J532" s="6"/>
      <c r="K532" s="6"/>
      <c r="L532" s="6"/>
      <c r="M532" s="6"/>
      <c r="N532" s="6"/>
      <c r="O532" s="6"/>
      <c r="P532" s="6"/>
      <c r="Q532" s="6"/>
      <c r="R532" s="6"/>
      <c r="S532" s="6"/>
      <c r="T532" s="6"/>
      <c r="U532" s="6"/>
      <c r="V532" s="6"/>
      <c r="W532" s="6"/>
      <c r="X532" s="6"/>
      <c r="Y532" s="6"/>
      <c r="Z532" s="6"/>
    </row>
    <row r="533" spans="1:26" ht="31.5" customHeight="1">
      <c r="A533" s="1"/>
      <c r="B533" s="6"/>
      <c r="C533" s="10"/>
      <c r="D533" s="1"/>
      <c r="E533" s="11"/>
      <c r="F533" s="11"/>
      <c r="G533" s="6"/>
      <c r="H533" s="6"/>
      <c r="I533" s="6"/>
      <c r="J533" s="6"/>
      <c r="K533" s="6"/>
      <c r="L533" s="6"/>
      <c r="M533" s="6"/>
      <c r="N533" s="6"/>
      <c r="O533" s="6"/>
      <c r="P533" s="6"/>
      <c r="Q533" s="6"/>
      <c r="R533" s="6"/>
      <c r="S533" s="6"/>
      <c r="T533" s="6"/>
      <c r="U533" s="6"/>
      <c r="V533" s="6"/>
      <c r="W533" s="6"/>
      <c r="X533" s="6"/>
      <c r="Y533" s="6"/>
      <c r="Z533" s="6"/>
    </row>
    <row r="534" spans="1:26" ht="31.5" customHeight="1">
      <c r="A534" s="1"/>
      <c r="B534" s="6"/>
      <c r="C534" s="10"/>
      <c r="D534" s="1"/>
      <c r="E534" s="11"/>
      <c r="F534" s="11"/>
      <c r="G534" s="6"/>
      <c r="H534" s="6"/>
      <c r="I534" s="6"/>
      <c r="J534" s="6"/>
      <c r="K534" s="6"/>
      <c r="L534" s="6"/>
      <c r="M534" s="6"/>
      <c r="N534" s="6"/>
      <c r="O534" s="6"/>
      <c r="P534" s="6"/>
      <c r="Q534" s="6"/>
      <c r="R534" s="6"/>
      <c r="S534" s="6"/>
      <c r="T534" s="6"/>
      <c r="U534" s="6"/>
      <c r="V534" s="6"/>
      <c r="W534" s="6"/>
      <c r="X534" s="6"/>
      <c r="Y534" s="6"/>
      <c r="Z534" s="6"/>
    </row>
    <row r="535" spans="1:26" ht="31.5" customHeight="1">
      <c r="A535" s="1"/>
      <c r="B535" s="6"/>
      <c r="C535" s="10"/>
      <c r="D535" s="1"/>
      <c r="E535" s="11"/>
      <c r="F535" s="11"/>
      <c r="G535" s="6"/>
      <c r="H535" s="6"/>
      <c r="I535" s="6"/>
      <c r="J535" s="6"/>
      <c r="K535" s="6"/>
      <c r="L535" s="6"/>
      <c r="M535" s="6"/>
      <c r="N535" s="6"/>
      <c r="O535" s="6"/>
      <c r="P535" s="6"/>
      <c r="Q535" s="6"/>
      <c r="R535" s="6"/>
      <c r="S535" s="6"/>
      <c r="T535" s="6"/>
      <c r="U535" s="6"/>
      <c r="V535" s="6"/>
      <c r="W535" s="6"/>
      <c r="X535" s="6"/>
      <c r="Y535" s="6"/>
      <c r="Z535" s="6"/>
    </row>
    <row r="536" spans="1:26" ht="31.5" customHeight="1">
      <c r="A536" s="1"/>
      <c r="B536" s="6"/>
      <c r="C536" s="10"/>
      <c r="D536" s="1"/>
      <c r="E536" s="11"/>
      <c r="F536" s="11"/>
      <c r="G536" s="6"/>
      <c r="H536" s="6"/>
      <c r="I536" s="6"/>
      <c r="J536" s="6"/>
      <c r="K536" s="6"/>
      <c r="L536" s="6"/>
      <c r="M536" s="6"/>
      <c r="N536" s="6"/>
      <c r="O536" s="6"/>
      <c r="P536" s="6"/>
      <c r="Q536" s="6"/>
      <c r="R536" s="6"/>
      <c r="S536" s="6"/>
      <c r="T536" s="6"/>
      <c r="U536" s="6"/>
      <c r="V536" s="6"/>
      <c r="W536" s="6"/>
      <c r="X536" s="6"/>
      <c r="Y536" s="6"/>
      <c r="Z536" s="6"/>
    </row>
    <row r="537" spans="1:26" ht="31.5" customHeight="1">
      <c r="A537" s="1"/>
      <c r="B537" s="6"/>
      <c r="C537" s="10"/>
      <c r="D537" s="1"/>
      <c r="E537" s="11"/>
      <c r="F537" s="11"/>
      <c r="G537" s="6"/>
      <c r="H537" s="6"/>
      <c r="I537" s="6"/>
      <c r="J537" s="6"/>
      <c r="K537" s="6"/>
      <c r="L537" s="6"/>
      <c r="M537" s="6"/>
      <c r="N537" s="6"/>
      <c r="O537" s="6"/>
      <c r="P537" s="6"/>
      <c r="Q537" s="6"/>
      <c r="R537" s="6"/>
      <c r="S537" s="6"/>
      <c r="T537" s="6"/>
      <c r="U537" s="6"/>
      <c r="V537" s="6"/>
      <c r="W537" s="6"/>
      <c r="X537" s="6"/>
      <c r="Y537" s="6"/>
      <c r="Z537" s="6"/>
    </row>
    <row r="538" spans="1:26" ht="31.5" customHeight="1">
      <c r="A538" s="1"/>
      <c r="B538" s="6"/>
      <c r="C538" s="10"/>
      <c r="D538" s="1"/>
      <c r="E538" s="11"/>
      <c r="F538" s="11"/>
      <c r="G538" s="6"/>
      <c r="H538" s="6"/>
      <c r="I538" s="6"/>
      <c r="J538" s="6"/>
      <c r="K538" s="6"/>
      <c r="L538" s="6"/>
      <c r="M538" s="6"/>
      <c r="N538" s="6"/>
      <c r="O538" s="6"/>
      <c r="P538" s="6"/>
      <c r="Q538" s="6"/>
      <c r="R538" s="6"/>
      <c r="S538" s="6"/>
      <c r="T538" s="6"/>
      <c r="U538" s="6"/>
      <c r="V538" s="6"/>
      <c r="W538" s="6"/>
      <c r="X538" s="6"/>
      <c r="Y538" s="6"/>
      <c r="Z538" s="6"/>
    </row>
    <row r="539" spans="1:26" ht="31.5" customHeight="1">
      <c r="A539" s="1"/>
      <c r="B539" s="6"/>
      <c r="C539" s="10"/>
      <c r="D539" s="1"/>
      <c r="E539" s="11"/>
      <c r="F539" s="11"/>
      <c r="G539" s="6"/>
      <c r="H539" s="6"/>
      <c r="I539" s="6"/>
      <c r="J539" s="6"/>
      <c r="K539" s="6"/>
      <c r="L539" s="6"/>
      <c r="M539" s="6"/>
      <c r="N539" s="6"/>
      <c r="O539" s="6"/>
      <c r="P539" s="6"/>
      <c r="Q539" s="6"/>
      <c r="R539" s="6"/>
      <c r="S539" s="6"/>
      <c r="T539" s="6"/>
      <c r="U539" s="6"/>
      <c r="V539" s="6"/>
      <c r="W539" s="6"/>
      <c r="X539" s="6"/>
      <c r="Y539" s="6"/>
      <c r="Z539" s="6"/>
    </row>
    <row r="540" spans="1:26" ht="31.5" customHeight="1">
      <c r="A540" s="1"/>
      <c r="B540" s="6"/>
      <c r="C540" s="10"/>
      <c r="D540" s="1"/>
      <c r="E540" s="11"/>
      <c r="F540" s="11"/>
      <c r="G540" s="6"/>
      <c r="H540" s="6"/>
      <c r="I540" s="6"/>
      <c r="J540" s="6"/>
      <c r="K540" s="6"/>
      <c r="L540" s="6"/>
      <c r="M540" s="6"/>
      <c r="N540" s="6"/>
      <c r="O540" s="6"/>
      <c r="P540" s="6"/>
      <c r="Q540" s="6"/>
      <c r="R540" s="6"/>
      <c r="S540" s="6"/>
      <c r="T540" s="6"/>
      <c r="U540" s="6"/>
      <c r="V540" s="6"/>
      <c r="W540" s="6"/>
      <c r="X540" s="6"/>
      <c r="Y540" s="6"/>
      <c r="Z540" s="6"/>
    </row>
    <row r="541" spans="1:26" ht="31.5" customHeight="1">
      <c r="A541" s="1"/>
      <c r="B541" s="6"/>
      <c r="C541" s="10"/>
      <c r="D541" s="1"/>
      <c r="E541" s="11"/>
      <c r="F541" s="11"/>
      <c r="G541" s="6"/>
      <c r="H541" s="6"/>
      <c r="I541" s="6"/>
      <c r="J541" s="6"/>
      <c r="K541" s="6"/>
      <c r="L541" s="6"/>
      <c r="M541" s="6"/>
      <c r="N541" s="6"/>
      <c r="O541" s="6"/>
      <c r="P541" s="6"/>
      <c r="Q541" s="6"/>
      <c r="R541" s="6"/>
      <c r="S541" s="6"/>
      <c r="T541" s="6"/>
      <c r="U541" s="6"/>
      <c r="V541" s="6"/>
      <c r="W541" s="6"/>
      <c r="X541" s="6"/>
      <c r="Y541" s="6"/>
      <c r="Z541" s="6"/>
    </row>
    <row r="542" spans="1:26" ht="31.5" customHeight="1">
      <c r="A542" s="1"/>
      <c r="B542" s="6"/>
      <c r="C542" s="10"/>
      <c r="D542" s="1"/>
      <c r="E542" s="11"/>
      <c r="F542" s="11"/>
      <c r="G542" s="6"/>
      <c r="H542" s="6"/>
      <c r="I542" s="6"/>
      <c r="J542" s="6"/>
      <c r="K542" s="6"/>
      <c r="L542" s="6"/>
      <c r="M542" s="6"/>
      <c r="N542" s="6"/>
      <c r="O542" s="6"/>
      <c r="P542" s="6"/>
      <c r="Q542" s="6"/>
      <c r="R542" s="6"/>
      <c r="S542" s="6"/>
      <c r="T542" s="6"/>
      <c r="U542" s="6"/>
      <c r="V542" s="6"/>
      <c r="W542" s="6"/>
      <c r="X542" s="6"/>
      <c r="Y542" s="6"/>
      <c r="Z542" s="6"/>
    </row>
    <row r="543" spans="1:26" ht="31.5" customHeight="1">
      <c r="A543" s="1"/>
      <c r="B543" s="6"/>
      <c r="C543" s="10"/>
      <c r="D543" s="1"/>
      <c r="E543" s="11"/>
      <c r="F543" s="11"/>
      <c r="G543" s="6"/>
      <c r="H543" s="6"/>
      <c r="I543" s="6"/>
      <c r="J543" s="6"/>
      <c r="K543" s="6"/>
      <c r="L543" s="6"/>
      <c r="M543" s="6"/>
      <c r="N543" s="6"/>
      <c r="O543" s="6"/>
      <c r="P543" s="6"/>
      <c r="Q543" s="6"/>
      <c r="R543" s="6"/>
      <c r="S543" s="6"/>
      <c r="T543" s="6"/>
      <c r="U543" s="6"/>
      <c r="V543" s="6"/>
      <c r="W543" s="6"/>
      <c r="X543" s="6"/>
      <c r="Y543" s="6"/>
      <c r="Z543" s="6"/>
    </row>
    <row r="544" spans="1:26" ht="31.5" customHeight="1">
      <c r="A544" s="1"/>
      <c r="B544" s="6"/>
      <c r="C544" s="10"/>
      <c r="D544" s="1"/>
      <c r="E544" s="11"/>
      <c r="F544" s="11"/>
      <c r="G544" s="6"/>
      <c r="H544" s="6"/>
      <c r="I544" s="6"/>
      <c r="J544" s="6"/>
      <c r="K544" s="6"/>
      <c r="L544" s="6"/>
      <c r="M544" s="6"/>
      <c r="N544" s="6"/>
      <c r="O544" s="6"/>
      <c r="P544" s="6"/>
      <c r="Q544" s="6"/>
      <c r="R544" s="6"/>
      <c r="S544" s="6"/>
      <c r="T544" s="6"/>
      <c r="U544" s="6"/>
      <c r="V544" s="6"/>
      <c r="W544" s="6"/>
      <c r="X544" s="6"/>
      <c r="Y544" s="6"/>
      <c r="Z544" s="6"/>
    </row>
    <row r="545" spans="1:26" ht="31.5" customHeight="1">
      <c r="A545" s="1"/>
      <c r="B545" s="6"/>
      <c r="C545" s="10"/>
      <c r="D545" s="1"/>
      <c r="E545" s="11"/>
      <c r="F545" s="11"/>
      <c r="G545" s="6"/>
      <c r="H545" s="6"/>
      <c r="I545" s="6"/>
      <c r="J545" s="6"/>
      <c r="K545" s="6"/>
      <c r="L545" s="6"/>
      <c r="M545" s="6"/>
      <c r="N545" s="6"/>
      <c r="O545" s="6"/>
      <c r="P545" s="6"/>
      <c r="Q545" s="6"/>
      <c r="R545" s="6"/>
      <c r="S545" s="6"/>
      <c r="T545" s="6"/>
      <c r="U545" s="6"/>
      <c r="V545" s="6"/>
      <c r="W545" s="6"/>
      <c r="X545" s="6"/>
      <c r="Y545" s="6"/>
      <c r="Z545" s="6"/>
    </row>
    <row r="546" spans="1:26" ht="31.5" customHeight="1">
      <c r="A546" s="1"/>
      <c r="B546" s="6"/>
      <c r="C546" s="10"/>
      <c r="D546" s="1"/>
      <c r="E546" s="11"/>
      <c r="F546" s="11"/>
      <c r="G546" s="6"/>
      <c r="H546" s="6"/>
      <c r="I546" s="6"/>
      <c r="J546" s="6"/>
      <c r="K546" s="6"/>
      <c r="L546" s="6"/>
      <c r="M546" s="6"/>
      <c r="N546" s="6"/>
      <c r="O546" s="6"/>
      <c r="P546" s="6"/>
      <c r="Q546" s="6"/>
      <c r="R546" s="6"/>
      <c r="S546" s="6"/>
      <c r="T546" s="6"/>
      <c r="U546" s="6"/>
      <c r="V546" s="6"/>
      <c r="W546" s="6"/>
      <c r="X546" s="6"/>
      <c r="Y546" s="6"/>
      <c r="Z546" s="6"/>
    </row>
    <row r="547" spans="1:26" ht="31.5" customHeight="1">
      <c r="A547" s="1"/>
      <c r="B547" s="6"/>
      <c r="C547" s="10"/>
      <c r="D547" s="1"/>
      <c r="E547" s="11"/>
      <c r="F547" s="11"/>
      <c r="G547" s="6"/>
      <c r="H547" s="6"/>
      <c r="I547" s="6"/>
      <c r="J547" s="6"/>
      <c r="K547" s="6"/>
      <c r="L547" s="6"/>
      <c r="M547" s="6"/>
      <c r="N547" s="6"/>
      <c r="O547" s="6"/>
      <c r="P547" s="6"/>
      <c r="Q547" s="6"/>
      <c r="R547" s="6"/>
      <c r="S547" s="6"/>
      <c r="T547" s="6"/>
      <c r="U547" s="6"/>
      <c r="V547" s="6"/>
      <c r="W547" s="6"/>
      <c r="X547" s="6"/>
      <c r="Y547" s="6"/>
      <c r="Z547" s="6"/>
    </row>
    <row r="548" spans="1:26" ht="31.5" customHeight="1">
      <c r="A548" s="1"/>
      <c r="B548" s="6"/>
      <c r="C548" s="10"/>
      <c r="D548" s="1"/>
      <c r="E548" s="11"/>
      <c r="F548" s="11"/>
      <c r="G548" s="6"/>
      <c r="H548" s="6"/>
      <c r="I548" s="6"/>
      <c r="J548" s="6"/>
      <c r="K548" s="6"/>
      <c r="L548" s="6"/>
      <c r="M548" s="6"/>
      <c r="N548" s="6"/>
      <c r="O548" s="6"/>
      <c r="P548" s="6"/>
      <c r="Q548" s="6"/>
      <c r="R548" s="6"/>
      <c r="S548" s="6"/>
      <c r="T548" s="6"/>
      <c r="U548" s="6"/>
      <c r="V548" s="6"/>
      <c r="W548" s="6"/>
      <c r="X548" s="6"/>
      <c r="Y548" s="6"/>
      <c r="Z548" s="6"/>
    </row>
    <row r="549" spans="1:26" ht="31.5" customHeight="1">
      <c r="A549" s="1"/>
      <c r="B549" s="6"/>
      <c r="C549" s="10"/>
      <c r="D549" s="1"/>
      <c r="E549" s="11"/>
      <c r="F549" s="11"/>
      <c r="G549" s="6"/>
      <c r="H549" s="6"/>
      <c r="I549" s="6"/>
      <c r="J549" s="6"/>
      <c r="K549" s="6"/>
      <c r="L549" s="6"/>
      <c r="M549" s="6"/>
      <c r="N549" s="6"/>
      <c r="O549" s="6"/>
      <c r="P549" s="6"/>
      <c r="Q549" s="6"/>
      <c r="R549" s="6"/>
      <c r="S549" s="6"/>
      <c r="T549" s="6"/>
      <c r="U549" s="6"/>
      <c r="V549" s="6"/>
      <c r="W549" s="6"/>
      <c r="X549" s="6"/>
      <c r="Y549" s="6"/>
      <c r="Z549" s="6"/>
    </row>
    <row r="550" spans="1:26" ht="31.5" customHeight="1">
      <c r="A550" s="1"/>
      <c r="B550" s="6"/>
      <c r="C550" s="10"/>
      <c r="D550" s="1"/>
      <c r="E550" s="11"/>
      <c r="F550" s="11"/>
      <c r="G550" s="6"/>
      <c r="H550" s="6"/>
      <c r="I550" s="6"/>
      <c r="J550" s="6"/>
      <c r="K550" s="6"/>
      <c r="L550" s="6"/>
      <c r="M550" s="6"/>
      <c r="N550" s="6"/>
      <c r="O550" s="6"/>
      <c r="P550" s="6"/>
      <c r="Q550" s="6"/>
      <c r="R550" s="6"/>
      <c r="S550" s="6"/>
      <c r="T550" s="6"/>
      <c r="U550" s="6"/>
      <c r="V550" s="6"/>
      <c r="W550" s="6"/>
      <c r="X550" s="6"/>
      <c r="Y550" s="6"/>
      <c r="Z550" s="6"/>
    </row>
    <row r="551" spans="1:26" ht="31.5" customHeight="1">
      <c r="A551" s="1"/>
      <c r="B551" s="6"/>
      <c r="C551" s="10"/>
      <c r="D551" s="1"/>
      <c r="E551" s="11"/>
      <c r="F551" s="11"/>
      <c r="G551" s="6"/>
      <c r="H551" s="6"/>
      <c r="I551" s="6"/>
      <c r="J551" s="6"/>
      <c r="K551" s="6"/>
      <c r="L551" s="6"/>
      <c r="M551" s="6"/>
      <c r="N551" s="6"/>
      <c r="O551" s="6"/>
      <c r="P551" s="6"/>
      <c r="Q551" s="6"/>
      <c r="R551" s="6"/>
      <c r="S551" s="6"/>
      <c r="T551" s="6"/>
      <c r="U551" s="6"/>
      <c r="V551" s="6"/>
      <c r="W551" s="6"/>
      <c r="X551" s="6"/>
      <c r="Y551" s="6"/>
      <c r="Z551" s="6"/>
    </row>
    <row r="552" spans="1:26" ht="31.5" customHeight="1">
      <c r="A552" s="1"/>
      <c r="B552" s="6"/>
      <c r="C552" s="10"/>
      <c r="D552" s="1"/>
      <c r="E552" s="11"/>
      <c r="F552" s="11"/>
      <c r="G552" s="6"/>
      <c r="H552" s="6"/>
      <c r="I552" s="6"/>
      <c r="J552" s="6"/>
      <c r="K552" s="6"/>
      <c r="L552" s="6"/>
      <c r="M552" s="6"/>
      <c r="N552" s="6"/>
      <c r="O552" s="6"/>
      <c r="P552" s="6"/>
      <c r="Q552" s="6"/>
      <c r="R552" s="6"/>
      <c r="S552" s="6"/>
      <c r="T552" s="6"/>
      <c r="U552" s="6"/>
      <c r="V552" s="6"/>
      <c r="W552" s="6"/>
      <c r="X552" s="6"/>
      <c r="Y552" s="6"/>
      <c r="Z552" s="6"/>
    </row>
    <row r="553" spans="1:26" ht="31.5" customHeight="1">
      <c r="A553" s="1"/>
      <c r="B553" s="6"/>
      <c r="C553" s="10"/>
      <c r="D553" s="1"/>
      <c r="E553" s="11"/>
      <c r="F553" s="11"/>
      <c r="G553" s="6"/>
      <c r="H553" s="6"/>
      <c r="I553" s="6"/>
      <c r="J553" s="6"/>
      <c r="K553" s="6"/>
      <c r="L553" s="6"/>
      <c r="M553" s="6"/>
      <c r="N553" s="6"/>
      <c r="O553" s="6"/>
      <c r="P553" s="6"/>
      <c r="Q553" s="6"/>
      <c r="R553" s="6"/>
      <c r="S553" s="6"/>
      <c r="T553" s="6"/>
      <c r="U553" s="6"/>
      <c r="V553" s="6"/>
      <c r="W553" s="6"/>
      <c r="X553" s="6"/>
      <c r="Y553" s="6"/>
      <c r="Z553" s="6"/>
    </row>
    <row r="554" spans="1:26" ht="31.5" customHeight="1">
      <c r="A554" s="1"/>
      <c r="B554" s="6"/>
      <c r="C554" s="10"/>
      <c r="D554" s="1"/>
      <c r="E554" s="11"/>
      <c r="F554" s="11"/>
      <c r="G554" s="6"/>
      <c r="H554" s="6"/>
      <c r="I554" s="6"/>
      <c r="J554" s="6"/>
      <c r="K554" s="6"/>
      <c r="L554" s="6"/>
      <c r="M554" s="6"/>
      <c r="N554" s="6"/>
      <c r="O554" s="6"/>
      <c r="P554" s="6"/>
      <c r="Q554" s="6"/>
      <c r="R554" s="6"/>
      <c r="S554" s="6"/>
      <c r="T554" s="6"/>
      <c r="U554" s="6"/>
      <c r="V554" s="6"/>
      <c r="W554" s="6"/>
      <c r="X554" s="6"/>
      <c r="Y554" s="6"/>
      <c r="Z554" s="6"/>
    </row>
    <row r="555" spans="1:26" ht="31.5" customHeight="1">
      <c r="A555" s="1"/>
      <c r="B555" s="6"/>
      <c r="C555" s="10"/>
      <c r="D555" s="1"/>
      <c r="E555" s="11"/>
      <c r="F555" s="11"/>
      <c r="G555" s="6"/>
      <c r="H555" s="6"/>
      <c r="I555" s="6"/>
      <c r="J555" s="6"/>
      <c r="K555" s="6"/>
      <c r="L555" s="6"/>
      <c r="M555" s="6"/>
      <c r="N555" s="6"/>
      <c r="O555" s="6"/>
      <c r="P555" s="6"/>
      <c r="Q555" s="6"/>
      <c r="R555" s="6"/>
      <c r="S555" s="6"/>
      <c r="T555" s="6"/>
      <c r="U555" s="6"/>
      <c r="V555" s="6"/>
      <c r="W555" s="6"/>
      <c r="X555" s="6"/>
      <c r="Y555" s="6"/>
      <c r="Z555" s="6"/>
    </row>
    <row r="556" spans="1:26" ht="31.5" customHeight="1">
      <c r="A556" s="1"/>
      <c r="B556" s="6"/>
      <c r="C556" s="10"/>
      <c r="D556" s="1"/>
      <c r="E556" s="11"/>
      <c r="F556" s="11"/>
      <c r="G556" s="6"/>
      <c r="H556" s="6"/>
      <c r="I556" s="6"/>
      <c r="J556" s="6"/>
      <c r="K556" s="6"/>
      <c r="L556" s="6"/>
      <c r="M556" s="6"/>
      <c r="N556" s="6"/>
      <c r="O556" s="6"/>
      <c r="P556" s="6"/>
      <c r="Q556" s="6"/>
      <c r="R556" s="6"/>
      <c r="S556" s="6"/>
      <c r="T556" s="6"/>
      <c r="U556" s="6"/>
      <c r="V556" s="6"/>
      <c r="W556" s="6"/>
      <c r="X556" s="6"/>
      <c r="Y556" s="6"/>
      <c r="Z556" s="6"/>
    </row>
    <row r="557" spans="1:26" ht="31.5" customHeight="1">
      <c r="A557" s="1"/>
      <c r="B557" s="6"/>
      <c r="C557" s="10"/>
      <c r="D557" s="1"/>
      <c r="E557" s="11"/>
      <c r="F557" s="11"/>
      <c r="G557" s="6"/>
      <c r="H557" s="6"/>
      <c r="I557" s="6"/>
      <c r="J557" s="6"/>
      <c r="K557" s="6"/>
      <c r="L557" s="6"/>
      <c r="M557" s="6"/>
      <c r="N557" s="6"/>
      <c r="O557" s="6"/>
      <c r="P557" s="6"/>
      <c r="Q557" s="6"/>
      <c r="R557" s="6"/>
      <c r="S557" s="6"/>
      <c r="T557" s="6"/>
      <c r="U557" s="6"/>
      <c r="V557" s="6"/>
      <c r="W557" s="6"/>
      <c r="X557" s="6"/>
      <c r="Y557" s="6"/>
      <c r="Z557" s="6"/>
    </row>
    <row r="558" spans="1:26" ht="31.5" customHeight="1">
      <c r="A558" s="1"/>
      <c r="B558" s="6"/>
      <c r="C558" s="10"/>
      <c r="D558" s="1"/>
      <c r="E558" s="11"/>
      <c r="F558" s="11"/>
      <c r="G558" s="6"/>
      <c r="H558" s="6"/>
      <c r="I558" s="6"/>
      <c r="J558" s="6"/>
      <c r="K558" s="6"/>
      <c r="L558" s="6"/>
      <c r="M558" s="6"/>
      <c r="N558" s="6"/>
      <c r="O558" s="6"/>
      <c r="P558" s="6"/>
      <c r="Q558" s="6"/>
      <c r="R558" s="6"/>
      <c r="S558" s="6"/>
      <c r="T558" s="6"/>
      <c r="U558" s="6"/>
      <c r="V558" s="6"/>
      <c r="W558" s="6"/>
      <c r="X558" s="6"/>
      <c r="Y558" s="6"/>
      <c r="Z558" s="6"/>
    </row>
    <row r="559" spans="1:26" ht="31.5" customHeight="1">
      <c r="A559" s="1"/>
      <c r="B559" s="6"/>
      <c r="C559" s="10"/>
      <c r="D559" s="1"/>
      <c r="E559" s="11"/>
      <c r="F559" s="11"/>
      <c r="G559" s="6"/>
      <c r="H559" s="6"/>
      <c r="I559" s="6"/>
      <c r="J559" s="6"/>
      <c r="K559" s="6"/>
      <c r="L559" s="6"/>
      <c r="M559" s="6"/>
      <c r="N559" s="6"/>
      <c r="O559" s="6"/>
      <c r="P559" s="6"/>
      <c r="Q559" s="6"/>
      <c r="R559" s="6"/>
      <c r="S559" s="6"/>
      <c r="T559" s="6"/>
      <c r="U559" s="6"/>
      <c r="V559" s="6"/>
      <c r="W559" s="6"/>
      <c r="X559" s="6"/>
      <c r="Y559" s="6"/>
      <c r="Z559" s="6"/>
    </row>
    <row r="560" spans="1:26" ht="31.5" customHeight="1">
      <c r="A560" s="1"/>
      <c r="B560" s="6"/>
      <c r="C560" s="10"/>
      <c r="D560" s="1"/>
      <c r="E560" s="11"/>
      <c r="F560" s="11"/>
      <c r="G560" s="6"/>
      <c r="H560" s="6"/>
      <c r="I560" s="6"/>
      <c r="J560" s="6"/>
      <c r="K560" s="6"/>
      <c r="L560" s="6"/>
      <c r="M560" s="6"/>
      <c r="N560" s="6"/>
      <c r="O560" s="6"/>
      <c r="P560" s="6"/>
      <c r="Q560" s="6"/>
      <c r="R560" s="6"/>
      <c r="S560" s="6"/>
      <c r="T560" s="6"/>
      <c r="U560" s="6"/>
      <c r="V560" s="6"/>
      <c r="W560" s="6"/>
      <c r="X560" s="6"/>
      <c r="Y560" s="6"/>
      <c r="Z560" s="6"/>
    </row>
    <row r="561" spans="1:26" ht="31.5" customHeight="1">
      <c r="A561" s="1"/>
      <c r="B561" s="6"/>
      <c r="C561" s="10"/>
      <c r="D561" s="1"/>
      <c r="E561" s="11"/>
      <c r="F561" s="11"/>
      <c r="G561" s="6"/>
      <c r="H561" s="6"/>
      <c r="I561" s="6"/>
      <c r="J561" s="6"/>
      <c r="K561" s="6"/>
      <c r="L561" s="6"/>
      <c r="M561" s="6"/>
      <c r="N561" s="6"/>
      <c r="O561" s="6"/>
      <c r="P561" s="6"/>
      <c r="Q561" s="6"/>
      <c r="R561" s="6"/>
      <c r="S561" s="6"/>
      <c r="T561" s="6"/>
      <c r="U561" s="6"/>
      <c r="V561" s="6"/>
      <c r="W561" s="6"/>
      <c r="X561" s="6"/>
      <c r="Y561" s="6"/>
      <c r="Z561" s="6"/>
    </row>
    <row r="562" spans="1:26" ht="31.5" customHeight="1">
      <c r="A562" s="1"/>
      <c r="B562" s="6"/>
      <c r="C562" s="10"/>
      <c r="D562" s="1"/>
      <c r="E562" s="11"/>
      <c r="F562" s="11"/>
      <c r="G562" s="6"/>
      <c r="H562" s="6"/>
      <c r="I562" s="6"/>
      <c r="J562" s="6"/>
      <c r="K562" s="6"/>
      <c r="L562" s="6"/>
      <c r="M562" s="6"/>
      <c r="N562" s="6"/>
      <c r="O562" s="6"/>
      <c r="P562" s="6"/>
      <c r="Q562" s="6"/>
      <c r="R562" s="6"/>
      <c r="S562" s="6"/>
      <c r="T562" s="6"/>
      <c r="U562" s="6"/>
      <c r="V562" s="6"/>
      <c r="W562" s="6"/>
      <c r="X562" s="6"/>
      <c r="Y562" s="6"/>
      <c r="Z562" s="6"/>
    </row>
    <row r="563" spans="1:26" ht="31.5" customHeight="1">
      <c r="A563" s="1"/>
      <c r="B563" s="6"/>
      <c r="C563" s="10"/>
      <c r="D563" s="1"/>
      <c r="E563" s="11"/>
      <c r="F563" s="11"/>
      <c r="G563" s="6"/>
      <c r="H563" s="6"/>
      <c r="I563" s="6"/>
      <c r="J563" s="6"/>
      <c r="K563" s="6"/>
      <c r="L563" s="6"/>
      <c r="M563" s="6"/>
      <c r="N563" s="6"/>
      <c r="O563" s="6"/>
      <c r="P563" s="6"/>
      <c r="Q563" s="6"/>
      <c r="R563" s="6"/>
      <c r="S563" s="6"/>
      <c r="T563" s="6"/>
      <c r="U563" s="6"/>
      <c r="V563" s="6"/>
      <c r="W563" s="6"/>
      <c r="X563" s="6"/>
      <c r="Y563" s="6"/>
      <c r="Z563" s="6"/>
    </row>
    <row r="564" spans="1:26" ht="31.5" customHeight="1">
      <c r="A564" s="1"/>
      <c r="B564" s="6"/>
      <c r="C564" s="10"/>
      <c r="D564" s="1"/>
      <c r="E564" s="11"/>
      <c r="F564" s="11"/>
      <c r="G564" s="6"/>
      <c r="H564" s="6"/>
      <c r="I564" s="6"/>
      <c r="J564" s="6"/>
      <c r="K564" s="6"/>
      <c r="L564" s="6"/>
      <c r="M564" s="6"/>
      <c r="N564" s="6"/>
      <c r="O564" s="6"/>
      <c r="P564" s="6"/>
      <c r="Q564" s="6"/>
      <c r="R564" s="6"/>
      <c r="S564" s="6"/>
      <c r="T564" s="6"/>
      <c r="U564" s="6"/>
      <c r="V564" s="6"/>
      <c r="W564" s="6"/>
      <c r="X564" s="6"/>
      <c r="Y564" s="6"/>
      <c r="Z564" s="6"/>
    </row>
    <row r="565" spans="1:26" ht="31.5" customHeight="1">
      <c r="A565" s="1"/>
      <c r="B565" s="6"/>
      <c r="C565" s="10"/>
      <c r="D565" s="1"/>
      <c r="E565" s="11"/>
      <c r="F565" s="11"/>
      <c r="G565" s="6"/>
      <c r="H565" s="6"/>
      <c r="I565" s="6"/>
      <c r="J565" s="6"/>
      <c r="K565" s="6"/>
      <c r="L565" s="6"/>
      <c r="M565" s="6"/>
      <c r="N565" s="6"/>
      <c r="O565" s="6"/>
      <c r="P565" s="6"/>
      <c r="Q565" s="6"/>
      <c r="R565" s="6"/>
      <c r="S565" s="6"/>
      <c r="T565" s="6"/>
      <c r="U565" s="6"/>
      <c r="V565" s="6"/>
      <c r="W565" s="6"/>
      <c r="X565" s="6"/>
      <c r="Y565" s="6"/>
      <c r="Z565" s="6"/>
    </row>
    <row r="566" spans="1:26" ht="31.5" customHeight="1">
      <c r="A566" s="1"/>
      <c r="B566" s="6"/>
      <c r="C566" s="10"/>
      <c r="D566" s="1"/>
      <c r="E566" s="11"/>
      <c r="F566" s="11"/>
      <c r="G566" s="6"/>
      <c r="H566" s="6"/>
      <c r="I566" s="6"/>
      <c r="J566" s="6"/>
      <c r="K566" s="6"/>
      <c r="L566" s="6"/>
      <c r="M566" s="6"/>
      <c r="N566" s="6"/>
      <c r="O566" s="6"/>
      <c r="P566" s="6"/>
      <c r="Q566" s="6"/>
      <c r="R566" s="6"/>
      <c r="S566" s="6"/>
      <c r="T566" s="6"/>
      <c r="U566" s="6"/>
      <c r="V566" s="6"/>
      <c r="W566" s="6"/>
      <c r="X566" s="6"/>
      <c r="Y566" s="6"/>
      <c r="Z566" s="6"/>
    </row>
    <row r="567" spans="1:26" ht="31.5" customHeight="1">
      <c r="A567" s="1"/>
      <c r="B567" s="6"/>
      <c r="C567" s="10"/>
      <c r="D567" s="1"/>
      <c r="E567" s="11"/>
      <c r="F567" s="11"/>
      <c r="G567" s="6"/>
      <c r="H567" s="6"/>
      <c r="I567" s="6"/>
      <c r="J567" s="6"/>
      <c r="K567" s="6"/>
      <c r="L567" s="6"/>
      <c r="M567" s="6"/>
      <c r="N567" s="6"/>
      <c r="O567" s="6"/>
      <c r="P567" s="6"/>
      <c r="Q567" s="6"/>
      <c r="R567" s="6"/>
      <c r="S567" s="6"/>
      <c r="T567" s="6"/>
      <c r="U567" s="6"/>
      <c r="V567" s="6"/>
      <c r="W567" s="6"/>
      <c r="X567" s="6"/>
      <c r="Y567" s="6"/>
      <c r="Z567" s="6"/>
    </row>
    <row r="568" spans="1:26" ht="31.5" customHeight="1">
      <c r="A568" s="1"/>
      <c r="B568" s="6"/>
      <c r="C568" s="10"/>
      <c r="D568" s="1"/>
      <c r="E568" s="11"/>
      <c r="F568" s="11"/>
      <c r="G568" s="6"/>
      <c r="H568" s="6"/>
      <c r="I568" s="6"/>
      <c r="J568" s="6"/>
      <c r="K568" s="6"/>
      <c r="L568" s="6"/>
      <c r="M568" s="6"/>
      <c r="N568" s="6"/>
      <c r="O568" s="6"/>
      <c r="P568" s="6"/>
      <c r="Q568" s="6"/>
      <c r="R568" s="6"/>
      <c r="S568" s="6"/>
      <c r="T568" s="6"/>
      <c r="U568" s="6"/>
      <c r="V568" s="6"/>
      <c r="W568" s="6"/>
      <c r="X568" s="6"/>
      <c r="Y568" s="6"/>
      <c r="Z568" s="6"/>
    </row>
    <row r="569" spans="1:26" ht="31.5" customHeight="1">
      <c r="A569" s="1"/>
      <c r="B569" s="6"/>
      <c r="C569" s="10"/>
      <c r="D569" s="1"/>
      <c r="E569" s="11"/>
      <c r="F569" s="11"/>
      <c r="G569" s="6"/>
      <c r="H569" s="6"/>
      <c r="I569" s="6"/>
      <c r="J569" s="6"/>
      <c r="K569" s="6"/>
      <c r="L569" s="6"/>
      <c r="M569" s="6"/>
      <c r="N569" s="6"/>
      <c r="O569" s="6"/>
      <c r="P569" s="6"/>
      <c r="Q569" s="6"/>
      <c r="R569" s="6"/>
      <c r="S569" s="6"/>
      <c r="T569" s="6"/>
      <c r="U569" s="6"/>
      <c r="V569" s="6"/>
      <c r="W569" s="6"/>
      <c r="X569" s="6"/>
      <c r="Y569" s="6"/>
      <c r="Z569" s="6"/>
    </row>
    <row r="570" spans="1:26" ht="31.5" customHeight="1">
      <c r="A570" s="1"/>
      <c r="B570" s="6"/>
      <c r="C570" s="10"/>
      <c r="D570" s="1"/>
      <c r="E570" s="11"/>
      <c r="F570" s="11"/>
      <c r="G570" s="6"/>
      <c r="H570" s="6"/>
      <c r="I570" s="6"/>
      <c r="J570" s="6"/>
      <c r="K570" s="6"/>
      <c r="L570" s="6"/>
      <c r="M570" s="6"/>
      <c r="N570" s="6"/>
      <c r="O570" s="6"/>
      <c r="P570" s="6"/>
      <c r="Q570" s="6"/>
      <c r="R570" s="6"/>
      <c r="S570" s="6"/>
      <c r="T570" s="6"/>
      <c r="U570" s="6"/>
      <c r="V570" s="6"/>
      <c r="W570" s="6"/>
      <c r="X570" s="6"/>
      <c r="Y570" s="6"/>
      <c r="Z570" s="6"/>
    </row>
    <row r="571" spans="1:26" ht="31.5" customHeight="1">
      <c r="A571" s="1"/>
      <c r="B571" s="6"/>
      <c r="C571" s="10"/>
      <c r="D571" s="1"/>
      <c r="E571" s="11"/>
      <c r="F571" s="11"/>
      <c r="G571" s="6"/>
      <c r="H571" s="6"/>
      <c r="I571" s="6"/>
      <c r="J571" s="6"/>
      <c r="K571" s="6"/>
      <c r="L571" s="6"/>
      <c r="M571" s="6"/>
      <c r="N571" s="6"/>
      <c r="O571" s="6"/>
      <c r="P571" s="6"/>
      <c r="Q571" s="6"/>
      <c r="R571" s="6"/>
      <c r="S571" s="6"/>
      <c r="T571" s="6"/>
      <c r="U571" s="6"/>
      <c r="V571" s="6"/>
      <c r="W571" s="6"/>
      <c r="X571" s="6"/>
      <c r="Y571" s="6"/>
      <c r="Z571" s="6"/>
    </row>
    <row r="572" spans="1:26" ht="31.5" customHeight="1">
      <c r="A572" s="1"/>
      <c r="B572" s="6"/>
      <c r="C572" s="10"/>
      <c r="D572" s="1"/>
      <c r="E572" s="11"/>
      <c r="F572" s="11"/>
      <c r="G572" s="6"/>
      <c r="H572" s="6"/>
      <c r="I572" s="6"/>
      <c r="J572" s="6"/>
      <c r="K572" s="6"/>
      <c r="L572" s="6"/>
      <c r="M572" s="6"/>
      <c r="N572" s="6"/>
      <c r="O572" s="6"/>
      <c r="P572" s="6"/>
      <c r="Q572" s="6"/>
      <c r="R572" s="6"/>
      <c r="S572" s="6"/>
      <c r="T572" s="6"/>
      <c r="U572" s="6"/>
      <c r="V572" s="6"/>
      <c r="W572" s="6"/>
      <c r="X572" s="6"/>
      <c r="Y572" s="6"/>
      <c r="Z572" s="6"/>
    </row>
    <row r="573" spans="1:26" ht="31.5" customHeight="1">
      <c r="A573" s="1"/>
      <c r="B573" s="6"/>
      <c r="C573" s="10"/>
      <c r="D573" s="1"/>
      <c r="E573" s="11"/>
      <c r="F573" s="11"/>
      <c r="G573" s="6"/>
      <c r="H573" s="6"/>
      <c r="I573" s="6"/>
      <c r="J573" s="6"/>
      <c r="K573" s="6"/>
      <c r="L573" s="6"/>
      <c r="M573" s="6"/>
      <c r="N573" s="6"/>
      <c r="O573" s="6"/>
      <c r="P573" s="6"/>
      <c r="Q573" s="6"/>
      <c r="R573" s="6"/>
      <c r="S573" s="6"/>
      <c r="T573" s="6"/>
      <c r="U573" s="6"/>
      <c r="V573" s="6"/>
      <c r="W573" s="6"/>
      <c r="X573" s="6"/>
      <c r="Y573" s="6"/>
      <c r="Z573" s="6"/>
    </row>
    <row r="574" spans="1:26" ht="31.5" customHeight="1">
      <c r="A574" s="1"/>
      <c r="B574" s="6"/>
      <c r="C574" s="10"/>
      <c r="D574" s="1"/>
      <c r="E574" s="11"/>
      <c r="F574" s="11"/>
      <c r="G574" s="6"/>
      <c r="H574" s="6"/>
      <c r="I574" s="6"/>
      <c r="J574" s="6"/>
      <c r="K574" s="6"/>
      <c r="L574" s="6"/>
      <c r="M574" s="6"/>
      <c r="N574" s="6"/>
      <c r="O574" s="6"/>
      <c r="P574" s="6"/>
      <c r="Q574" s="6"/>
      <c r="R574" s="6"/>
      <c r="S574" s="6"/>
      <c r="T574" s="6"/>
      <c r="U574" s="6"/>
      <c r="V574" s="6"/>
      <c r="W574" s="6"/>
      <c r="X574" s="6"/>
      <c r="Y574" s="6"/>
      <c r="Z574" s="6"/>
    </row>
    <row r="575" spans="1:26" ht="31.5" customHeight="1">
      <c r="A575" s="1"/>
      <c r="B575" s="6"/>
      <c r="C575" s="10"/>
      <c r="D575" s="1"/>
      <c r="E575" s="11"/>
      <c r="F575" s="11"/>
      <c r="G575" s="6"/>
      <c r="H575" s="6"/>
      <c r="I575" s="6"/>
      <c r="J575" s="6"/>
      <c r="K575" s="6"/>
      <c r="L575" s="6"/>
      <c r="M575" s="6"/>
      <c r="N575" s="6"/>
      <c r="O575" s="6"/>
      <c r="P575" s="6"/>
      <c r="Q575" s="6"/>
      <c r="R575" s="6"/>
      <c r="S575" s="6"/>
      <c r="T575" s="6"/>
      <c r="U575" s="6"/>
      <c r="V575" s="6"/>
      <c r="W575" s="6"/>
      <c r="X575" s="6"/>
      <c r="Y575" s="6"/>
      <c r="Z575" s="6"/>
    </row>
    <row r="576" spans="1:26" ht="31.5" customHeight="1">
      <c r="A576" s="1"/>
      <c r="B576" s="6"/>
      <c r="C576" s="10"/>
      <c r="D576" s="1"/>
      <c r="E576" s="11"/>
      <c r="F576" s="11"/>
      <c r="G576" s="6"/>
      <c r="H576" s="6"/>
      <c r="I576" s="6"/>
      <c r="J576" s="6"/>
      <c r="K576" s="6"/>
      <c r="L576" s="6"/>
      <c r="M576" s="6"/>
      <c r="N576" s="6"/>
      <c r="O576" s="6"/>
      <c r="P576" s="6"/>
      <c r="Q576" s="6"/>
      <c r="R576" s="6"/>
      <c r="S576" s="6"/>
      <c r="T576" s="6"/>
      <c r="U576" s="6"/>
      <c r="V576" s="6"/>
      <c r="W576" s="6"/>
      <c r="X576" s="6"/>
      <c r="Y576" s="6"/>
      <c r="Z576" s="6"/>
    </row>
    <row r="577" spans="1:26" ht="31.5" customHeight="1">
      <c r="A577" s="1"/>
      <c r="B577" s="6"/>
      <c r="C577" s="10"/>
      <c r="D577" s="1"/>
      <c r="E577" s="11"/>
      <c r="F577" s="11"/>
      <c r="G577" s="6"/>
      <c r="H577" s="6"/>
      <c r="I577" s="6"/>
      <c r="J577" s="6"/>
      <c r="K577" s="6"/>
      <c r="L577" s="6"/>
      <c r="M577" s="6"/>
      <c r="N577" s="6"/>
      <c r="O577" s="6"/>
      <c r="P577" s="6"/>
      <c r="Q577" s="6"/>
      <c r="R577" s="6"/>
      <c r="S577" s="6"/>
      <c r="T577" s="6"/>
      <c r="U577" s="6"/>
      <c r="V577" s="6"/>
      <c r="W577" s="6"/>
      <c r="X577" s="6"/>
      <c r="Y577" s="6"/>
      <c r="Z577" s="6"/>
    </row>
    <row r="578" spans="1:26" ht="31.5" customHeight="1">
      <c r="A578" s="1"/>
      <c r="B578" s="6"/>
      <c r="C578" s="10"/>
      <c r="D578" s="1"/>
      <c r="E578" s="11"/>
      <c r="F578" s="11"/>
      <c r="G578" s="6"/>
      <c r="H578" s="6"/>
      <c r="I578" s="6"/>
      <c r="J578" s="6"/>
      <c r="K578" s="6"/>
      <c r="L578" s="6"/>
      <c r="M578" s="6"/>
      <c r="N578" s="6"/>
      <c r="O578" s="6"/>
      <c r="P578" s="6"/>
      <c r="Q578" s="6"/>
      <c r="R578" s="6"/>
      <c r="S578" s="6"/>
      <c r="T578" s="6"/>
      <c r="U578" s="6"/>
      <c r="V578" s="6"/>
      <c r="W578" s="6"/>
      <c r="X578" s="6"/>
      <c r="Y578" s="6"/>
      <c r="Z578" s="6"/>
    </row>
    <row r="579" spans="1:26" ht="31.5" customHeight="1">
      <c r="A579" s="1"/>
      <c r="B579" s="6"/>
      <c r="C579" s="10"/>
      <c r="D579" s="1"/>
      <c r="E579" s="11"/>
      <c r="F579" s="11"/>
      <c r="G579" s="6"/>
      <c r="H579" s="6"/>
      <c r="I579" s="6"/>
      <c r="J579" s="6"/>
      <c r="K579" s="6"/>
      <c r="L579" s="6"/>
      <c r="M579" s="6"/>
      <c r="N579" s="6"/>
      <c r="O579" s="6"/>
      <c r="P579" s="6"/>
      <c r="Q579" s="6"/>
      <c r="R579" s="6"/>
      <c r="S579" s="6"/>
      <c r="T579" s="6"/>
      <c r="U579" s="6"/>
      <c r="V579" s="6"/>
      <c r="W579" s="6"/>
      <c r="X579" s="6"/>
      <c r="Y579" s="6"/>
      <c r="Z579" s="6"/>
    </row>
    <row r="580" spans="1:26" ht="31.5" customHeight="1">
      <c r="A580" s="1"/>
      <c r="B580" s="6"/>
      <c r="C580" s="10"/>
      <c r="D580" s="1"/>
      <c r="E580" s="11"/>
      <c r="F580" s="11"/>
      <c r="G580" s="6"/>
      <c r="H580" s="6"/>
      <c r="I580" s="6"/>
      <c r="J580" s="6"/>
      <c r="K580" s="6"/>
      <c r="L580" s="6"/>
      <c r="M580" s="6"/>
      <c r="N580" s="6"/>
      <c r="O580" s="6"/>
      <c r="P580" s="6"/>
      <c r="Q580" s="6"/>
      <c r="R580" s="6"/>
      <c r="S580" s="6"/>
      <c r="T580" s="6"/>
      <c r="U580" s="6"/>
      <c r="V580" s="6"/>
      <c r="W580" s="6"/>
      <c r="X580" s="6"/>
      <c r="Y580" s="6"/>
      <c r="Z580" s="6"/>
    </row>
    <row r="581" spans="1:26" ht="31.5" customHeight="1">
      <c r="A581" s="1"/>
      <c r="B581" s="6"/>
      <c r="C581" s="10"/>
      <c r="D581" s="1"/>
      <c r="E581" s="11"/>
      <c r="F581" s="11"/>
      <c r="G581" s="6"/>
      <c r="H581" s="6"/>
      <c r="I581" s="6"/>
      <c r="J581" s="6"/>
      <c r="K581" s="6"/>
      <c r="L581" s="6"/>
      <c r="M581" s="6"/>
      <c r="N581" s="6"/>
      <c r="O581" s="6"/>
      <c r="P581" s="6"/>
      <c r="Q581" s="6"/>
      <c r="R581" s="6"/>
      <c r="S581" s="6"/>
      <c r="T581" s="6"/>
      <c r="U581" s="6"/>
      <c r="V581" s="6"/>
      <c r="W581" s="6"/>
      <c r="X581" s="6"/>
      <c r="Y581" s="6"/>
      <c r="Z581" s="6"/>
    </row>
    <row r="582" spans="1:26" ht="31.5" customHeight="1">
      <c r="A582" s="1"/>
      <c r="B582" s="6"/>
      <c r="C582" s="10"/>
      <c r="D582" s="1"/>
      <c r="E582" s="11"/>
      <c r="F582" s="11"/>
      <c r="G582" s="6"/>
      <c r="H582" s="6"/>
      <c r="I582" s="6"/>
      <c r="J582" s="6"/>
      <c r="K582" s="6"/>
      <c r="L582" s="6"/>
      <c r="M582" s="6"/>
      <c r="N582" s="6"/>
      <c r="O582" s="6"/>
      <c r="P582" s="6"/>
      <c r="Q582" s="6"/>
      <c r="R582" s="6"/>
      <c r="S582" s="6"/>
      <c r="T582" s="6"/>
      <c r="U582" s="6"/>
      <c r="V582" s="6"/>
      <c r="W582" s="6"/>
      <c r="X582" s="6"/>
      <c r="Y582" s="6"/>
      <c r="Z582" s="6"/>
    </row>
    <row r="583" spans="1:26" ht="31.5" customHeight="1">
      <c r="A583" s="1"/>
      <c r="B583" s="6"/>
      <c r="C583" s="10"/>
      <c r="D583" s="1"/>
      <c r="E583" s="11"/>
      <c r="F583" s="11"/>
      <c r="G583" s="6"/>
      <c r="H583" s="6"/>
      <c r="I583" s="6"/>
      <c r="J583" s="6"/>
      <c r="K583" s="6"/>
      <c r="L583" s="6"/>
      <c r="M583" s="6"/>
      <c r="N583" s="6"/>
      <c r="O583" s="6"/>
      <c r="P583" s="6"/>
      <c r="Q583" s="6"/>
      <c r="R583" s="6"/>
      <c r="S583" s="6"/>
      <c r="T583" s="6"/>
      <c r="U583" s="6"/>
      <c r="V583" s="6"/>
      <c r="W583" s="6"/>
      <c r="X583" s="6"/>
      <c r="Y583" s="6"/>
      <c r="Z583" s="6"/>
    </row>
    <row r="584" spans="1:26" ht="31.5" customHeight="1">
      <c r="A584" s="1"/>
      <c r="B584" s="6"/>
      <c r="C584" s="10"/>
      <c r="D584" s="1"/>
      <c r="E584" s="11"/>
      <c r="F584" s="11"/>
      <c r="G584" s="6"/>
      <c r="H584" s="6"/>
      <c r="I584" s="6"/>
      <c r="J584" s="6"/>
      <c r="K584" s="6"/>
      <c r="L584" s="6"/>
      <c r="M584" s="6"/>
      <c r="N584" s="6"/>
      <c r="O584" s="6"/>
      <c r="P584" s="6"/>
      <c r="Q584" s="6"/>
      <c r="R584" s="6"/>
      <c r="S584" s="6"/>
      <c r="T584" s="6"/>
      <c r="U584" s="6"/>
      <c r="V584" s="6"/>
      <c r="W584" s="6"/>
      <c r="X584" s="6"/>
      <c r="Y584" s="6"/>
      <c r="Z584" s="6"/>
    </row>
    <row r="585" spans="1:26" ht="31.5" customHeight="1">
      <c r="A585" s="1"/>
      <c r="B585" s="6"/>
      <c r="C585" s="10"/>
      <c r="D585" s="1"/>
      <c r="E585" s="11"/>
      <c r="F585" s="11"/>
      <c r="G585" s="6"/>
      <c r="H585" s="6"/>
      <c r="I585" s="6"/>
      <c r="J585" s="6"/>
      <c r="K585" s="6"/>
      <c r="L585" s="6"/>
      <c r="M585" s="6"/>
      <c r="N585" s="6"/>
      <c r="O585" s="6"/>
      <c r="P585" s="6"/>
      <c r="Q585" s="6"/>
      <c r="R585" s="6"/>
      <c r="S585" s="6"/>
      <c r="T585" s="6"/>
      <c r="U585" s="6"/>
      <c r="V585" s="6"/>
      <c r="W585" s="6"/>
      <c r="X585" s="6"/>
      <c r="Y585" s="6"/>
      <c r="Z585" s="6"/>
    </row>
    <row r="586" spans="1:26" ht="31.5" customHeight="1">
      <c r="A586" s="1"/>
      <c r="B586" s="6"/>
      <c r="C586" s="10"/>
      <c r="D586" s="1"/>
      <c r="E586" s="11"/>
      <c r="F586" s="11"/>
      <c r="G586" s="6"/>
      <c r="H586" s="6"/>
      <c r="I586" s="6"/>
      <c r="J586" s="6"/>
      <c r="K586" s="6"/>
      <c r="L586" s="6"/>
      <c r="M586" s="6"/>
      <c r="N586" s="6"/>
      <c r="O586" s="6"/>
      <c r="P586" s="6"/>
      <c r="Q586" s="6"/>
      <c r="R586" s="6"/>
      <c r="S586" s="6"/>
      <c r="T586" s="6"/>
      <c r="U586" s="6"/>
      <c r="V586" s="6"/>
      <c r="W586" s="6"/>
      <c r="X586" s="6"/>
      <c r="Y586" s="6"/>
      <c r="Z586" s="6"/>
    </row>
    <row r="587" spans="1:26" ht="31.5" customHeight="1">
      <c r="A587" s="1"/>
      <c r="B587" s="6"/>
      <c r="C587" s="10"/>
      <c r="D587" s="1"/>
      <c r="E587" s="11"/>
      <c r="F587" s="11"/>
      <c r="G587" s="6"/>
      <c r="H587" s="6"/>
      <c r="I587" s="6"/>
      <c r="J587" s="6"/>
      <c r="K587" s="6"/>
      <c r="L587" s="6"/>
      <c r="M587" s="6"/>
      <c r="N587" s="6"/>
      <c r="O587" s="6"/>
      <c r="P587" s="6"/>
      <c r="Q587" s="6"/>
      <c r="R587" s="6"/>
      <c r="S587" s="6"/>
      <c r="T587" s="6"/>
      <c r="U587" s="6"/>
      <c r="V587" s="6"/>
      <c r="W587" s="6"/>
      <c r="X587" s="6"/>
      <c r="Y587" s="6"/>
      <c r="Z587" s="6"/>
    </row>
    <row r="588" spans="1:26" ht="31.5" customHeight="1">
      <c r="A588" s="1"/>
      <c r="B588" s="6"/>
      <c r="C588" s="10"/>
      <c r="D588" s="1"/>
      <c r="E588" s="11"/>
      <c r="F588" s="11"/>
      <c r="G588" s="6"/>
      <c r="H588" s="6"/>
      <c r="I588" s="6"/>
      <c r="J588" s="6"/>
      <c r="K588" s="6"/>
      <c r="L588" s="6"/>
      <c r="M588" s="6"/>
      <c r="N588" s="6"/>
      <c r="O588" s="6"/>
      <c r="P588" s="6"/>
      <c r="Q588" s="6"/>
      <c r="R588" s="6"/>
      <c r="S588" s="6"/>
      <c r="T588" s="6"/>
      <c r="U588" s="6"/>
      <c r="V588" s="6"/>
      <c r="W588" s="6"/>
      <c r="X588" s="6"/>
      <c r="Y588" s="6"/>
      <c r="Z588" s="6"/>
    </row>
    <row r="589" spans="1:26" ht="31.5" customHeight="1">
      <c r="A589" s="1"/>
      <c r="B589" s="6"/>
      <c r="C589" s="10"/>
      <c r="D589" s="1"/>
      <c r="E589" s="11"/>
      <c r="F589" s="11"/>
      <c r="G589" s="6"/>
      <c r="H589" s="6"/>
      <c r="I589" s="6"/>
      <c r="J589" s="6"/>
      <c r="K589" s="6"/>
      <c r="L589" s="6"/>
      <c r="M589" s="6"/>
      <c r="N589" s="6"/>
      <c r="O589" s="6"/>
      <c r="P589" s="6"/>
      <c r="Q589" s="6"/>
      <c r="R589" s="6"/>
      <c r="S589" s="6"/>
      <c r="T589" s="6"/>
      <c r="U589" s="6"/>
      <c r="V589" s="6"/>
      <c r="W589" s="6"/>
      <c r="X589" s="6"/>
      <c r="Y589" s="6"/>
      <c r="Z589" s="6"/>
    </row>
    <row r="590" spans="1:26" ht="31.5" customHeight="1">
      <c r="A590" s="1"/>
      <c r="B590" s="6"/>
      <c r="C590" s="10"/>
      <c r="D590" s="1"/>
      <c r="E590" s="11"/>
      <c r="F590" s="11"/>
      <c r="G590" s="6"/>
      <c r="H590" s="6"/>
      <c r="I590" s="6"/>
      <c r="J590" s="6"/>
      <c r="K590" s="6"/>
      <c r="L590" s="6"/>
      <c r="M590" s="6"/>
      <c r="N590" s="6"/>
      <c r="O590" s="6"/>
      <c r="P590" s="6"/>
      <c r="Q590" s="6"/>
      <c r="R590" s="6"/>
      <c r="S590" s="6"/>
      <c r="T590" s="6"/>
      <c r="U590" s="6"/>
      <c r="V590" s="6"/>
      <c r="W590" s="6"/>
      <c r="X590" s="6"/>
      <c r="Y590" s="6"/>
      <c r="Z590" s="6"/>
    </row>
    <row r="591" spans="1:26" ht="31.5" customHeight="1">
      <c r="A591" s="1"/>
      <c r="B591" s="6"/>
      <c r="C591" s="10"/>
      <c r="D591" s="1"/>
      <c r="E591" s="11"/>
      <c r="F591" s="11"/>
      <c r="G591" s="6"/>
      <c r="H591" s="6"/>
      <c r="I591" s="6"/>
      <c r="J591" s="6"/>
      <c r="K591" s="6"/>
      <c r="L591" s="6"/>
      <c r="M591" s="6"/>
      <c r="N591" s="6"/>
      <c r="O591" s="6"/>
      <c r="P591" s="6"/>
      <c r="Q591" s="6"/>
      <c r="R591" s="6"/>
      <c r="S591" s="6"/>
      <c r="T591" s="6"/>
      <c r="U591" s="6"/>
      <c r="V591" s="6"/>
      <c r="W591" s="6"/>
      <c r="X591" s="6"/>
      <c r="Y591" s="6"/>
      <c r="Z591" s="6"/>
    </row>
    <row r="592" spans="1:26" ht="31.5" customHeight="1">
      <c r="A592" s="1"/>
      <c r="B592" s="6"/>
      <c r="C592" s="10"/>
      <c r="D592" s="1"/>
      <c r="E592" s="11"/>
      <c r="F592" s="11"/>
      <c r="G592" s="6"/>
      <c r="H592" s="6"/>
      <c r="I592" s="6"/>
      <c r="J592" s="6"/>
      <c r="K592" s="6"/>
      <c r="L592" s="6"/>
      <c r="M592" s="6"/>
      <c r="N592" s="6"/>
      <c r="O592" s="6"/>
      <c r="P592" s="6"/>
      <c r="Q592" s="6"/>
      <c r="R592" s="6"/>
      <c r="S592" s="6"/>
      <c r="T592" s="6"/>
      <c r="U592" s="6"/>
      <c r="V592" s="6"/>
      <c r="W592" s="6"/>
      <c r="X592" s="6"/>
      <c r="Y592" s="6"/>
      <c r="Z592" s="6"/>
    </row>
    <row r="593" spans="1:26" ht="31.5" customHeight="1">
      <c r="A593" s="1"/>
      <c r="B593" s="6"/>
      <c r="C593" s="10"/>
      <c r="D593" s="1"/>
      <c r="E593" s="11"/>
      <c r="F593" s="11"/>
      <c r="G593" s="6"/>
      <c r="H593" s="6"/>
      <c r="I593" s="6"/>
      <c r="J593" s="6"/>
      <c r="K593" s="6"/>
      <c r="L593" s="6"/>
      <c r="M593" s="6"/>
      <c r="N593" s="6"/>
      <c r="O593" s="6"/>
      <c r="P593" s="6"/>
      <c r="Q593" s="6"/>
      <c r="R593" s="6"/>
      <c r="S593" s="6"/>
      <c r="T593" s="6"/>
      <c r="U593" s="6"/>
      <c r="V593" s="6"/>
      <c r="W593" s="6"/>
      <c r="X593" s="6"/>
      <c r="Y593" s="6"/>
      <c r="Z593" s="6"/>
    </row>
    <row r="594" spans="1:26" ht="31.5" customHeight="1">
      <c r="A594" s="1"/>
      <c r="B594" s="6"/>
      <c r="C594" s="10"/>
      <c r="D594" s="1"/>
      <c r="E594" s="11"/>
      <c r="F594" s="11"/>
      <c r="G594" s="6"/>
      <c r="H594" s="6"/>
      <c r="I594" s="6"/>
      <c r="J594" s="6"/>
      <c r="K594" s="6"/>
      <c r="L594" s="6"/>
      <c r="M594" s="6"/>
      <c r="N594" s="6"/>
      <c r="O594" s="6"/>
      <c r="P594" s="6"/>
      <c r="Q594" s="6"/>
      <c r="R594" s="6"/>
      <c r="S594" s="6"/>
      <c r="T594" s="6"/>
      <c r="U594" s="6"/>
      <c r="V594" s="6"/>
      <c r="W594" s="6"/>
      <c r="X594" s="6"/>
      <c r="Y594" s="6"/>
      <c r="Z594" s="6"/>
    </row>
    <row r="595" spans="1:26" ht="31.5" customHeight="1">
      <c r="A595" s="1"/>
      <c r="B595" s="6"/>
      <c r="C595" s="10"/>
      <c r="D595" s="1"/>
      <c r="E595" s="11"/>
      <c r="F595" s="11"/>
      <c r="G595" s="6"/>
      <c r="H595" s="6"/>
      <c r="I595" s="6"/>
      <c r="J595" s="6"/>
      <c r="K595" s="6"/>
      <c r="L595" s="6"/>
      <c r="M595" s="6"/>
      <c r="N595" s="6"/>
      <c r="O595" s="6"/>
      <c r="P595" s="6"/>
      <c r="Q595" s="6"/>
      <c r="R595" s="6"/>
      <c r="S595" s="6"/>
      <c r="T595" s="6"/>
      <c r="U595" s="6"/>
      <c r="V595" s="6"/>
      <c r="W595" s="6"/>
      <c r="X595" s="6"/>
      <c r="Y595" s="6"/>
      <c r="Z595" s="6"/>
    </row>
    <row r="596" spans="1:26" ht="31.5" customHeight="1">
      <c r="A596" s="1"/>
      <c r="B596" s="6"/>
      <c r="C596" s="10"/>
      <c r="D596" s="1"/>
      <c r="E596" s="11"/>
      <c r="F596" s="11"/>
      <c r="G596" s="6"/>
      <c r="H596" s="6"/>
      <c r="I596" s="6"/>
      <c r="J596" s="6"/>
      <c r="K596" s="6"/>
      <c r="L596" s="6"/>
      <c r="M596" s="6"/>
      <c r="N596" s="6"/>
      <c r="O596" s="6"/>
      <c r="P596" s="6"/>
      <c r="Q596" s="6"/>
      <c r="R596" s="6"/>
      <c r="S596" s="6"/>
      <c r="T596" s="6"/>
      <c r="U596" s="6"/>
      <c r="V596" s="6"/>
      <c r="W596" s="6"/>
      <c r="X596" s="6"/>
      <c r="Y596" s="6"/>
      <c r="Z596" s="6"/>
    </row>
    <row r="597" spans="1:26" ht="31.5" customHeight="1">
      <c r="A597" s="1"/>
      <c r="B597" s="6"/>
      <c r="C597" s="10"/>
      <c r="D597" s="1"/>
      <c r="E597" s="11"/>
      <c r="F597" s="11"/>
      <c r="G597" s="6"/>
      <c r="H597" s="6"/>
      <c r="I597" s="6"/>
      <c r="J597" s="6"/>
      <c r="K597" s="6"/>
      <c r="L597" s="6"/>
      <c r="M597" s="6"/>
      <c r="N597" s="6"/>
      <c r="O597" s="6"/>
      <c r="P597" s="6"/>
      <c r="Q597" s="6"/>
      <c r="R597" s="6"/>
      <c r="S597" s="6"/>
      <c r="T597" s="6"/>
      <c r="U597" s="6"/>
      <c r="V597" s="6"/>
      <c r="W597" s="6"/>
      <c r="X597" s="6"/>
      <c r="Y597" s="6"/>
      <c r="Z597" s="6"/>
    </row>
    <row r="598" spans="1:26" ht="31.5" customHeight="1">
      <c r="A598" s="1"/>
      <c r="B598" s="6"/>
      <c r="C598" s="10"/>
      <c r="D598" s="1"/>
      <c r="E598" s="11"/>
      <c r="F598" s="11"/>
      <c r="G598" s="6"/>
      <c r="H598" s="6"/>
      <c r="I598" s="6"/>
      <c r="J598" s="6"/>
      <c r="K598" s="6"/>
      <c r="L598" s="6"/>
      <c r="M598" s="6"/>
      <c r="N598" s="6"/>
      <c r="O598" s="6"/>
      <c r="P598" s="6"/>
      <c r="Q598" s="6"/>
      <c r="R598" s="6"/>
      <c r="S598" s="6"/>
      <c r="T598" s="6"/>
      <c r="U598" s="6"/>
      <c r="V598" s="6"/>
      <c r="W598" s="6"/>
      <c r="X598" s="6"/>
      <c r="Y598" s="6"/>
      <c r="Z598" s="6"/>
    </row>
    <row r="599" spans="1:26" ht="31.5" customHeight="1">
      <c r="A599" s="1"/>
      <c r="B599" s="6"/>
      <c r="C599" s="10"/>
      <c r="D599" s="1"/>
      <c r="E599" s="11"/>
      <c r="F599" s="11"/>
      <c r="G599" s="6"/>
      <c r="H599" s="6"/>
      <c r="I599" s="6"/>
      <c r="J599" s="6"/>
      <c r="K599" s="6"/>
      <c r="L599" s="6"/>
      <c r="M599" s="6"/>
      <c r="N599" s="6"/>
      <c r="O599" s="6"/>
      <c r="P599" s="6"/>
      <c r="Q599" s="6"/>
      <c r="R599" s="6"/>
      <c r="S599" s="6"/>
      <c r="T599" s="6"/>
      <c r="U599" s="6"/>
      <c r="V599" s="6"/>
      <c r="W599" s="6"/>
      <c r="X599" s="6"/>
      <c r="Y599" s="6"/>
      <c r="Z599" s="6"/>
    </row>
    <row r="600" spans="1:26" ht="31.5" customHeight="1">
      <c r="A600" s="1"/>
      <c r="B600" s="6"/>
      <c r="C600" s="10"/>
      <c r="D600" s="1"/>
      <c r="E600" s="11"/>
      <c r="F600" s="11"/>
      <c r="G600" s="6"/>
      <c r="H600" s="6"/>
      <c r="I600" s="6"/>
      <c r="J600" s="6"/>
      <c r="K600" s="6"/>
      <c r="L600" s="6"/>
      <c r="M600" s="6"/>
      <c r="N600" s="6"/>
      <c r="O600" s="6"/>
      <c r="P600" s="6"/>
      <c r="Q600" s="6"/>
      <c r="R600" s="6"/>
      <c r="S600" s="6"/>
      <c r="T600" s="6"/>
      <c r="U600" s="6"/>
      <c r="V600" s="6"/>
      <c r="W600" s="6"/>
      <c r="X600" s="6"/>
      <c r="Y600" s="6"/>
      <c r="Z600" s="6"/>
    </row>
    <row r="601" spans="1:26" ht="31.5" customHeight="1">
      <c r="A601" s="1"/>
      <c r="B601" s="6"/>
      <c r="C601" s="10"/>
      <c r="D601" s="1"/>
      <c r="E601" s="11"/>
      <c r="F601" s="11"/>
      <c r="G601" s="6"/>
      <c r="H601" s="6"/>
      <c r="I601" s="6"/>
      <c r="J601" s="6"/>
      <c r="K601" s="6"/>
      <c r="L601" s="6"/>
      <c r="M601" s="6"/>
      <c r="N601" s="6"/>
      <c r="O601" s="6"/>
      <c r="P601" s="6"/>
      <c r="Q601" s="6"/>
      <c r="R601" s="6"/>
      <c r="S601" s="6"/>
      <c r="T601" s="6"/>
      <c r="U601" s="6"/>
      <c r="V601" s="6"/>
      <c r="W601" s="6"/>
      <c r="X601" s="6"/>
      <c r="Y601" s="6"/>
      <c r="Z601" s="6"/>
    </row>
    <row r="602" spans="1:26" ht="31.5" customHeight="1">
      <c r="A602" s="1"/>
      <c r="B602" s="6"/>
      <c r="C602" s="10"/>
      <c r="D602" s="1"/>
      <c r="E602" s="11"/>
      <c r="F602" s="11"/>
      <c r="G602" s="6"/>
      <c r="H602" s="6"/>
      <c r="I602" s="6"/>
      <c r="J602" s="6"/>
      <c r="K602" s="6"/>
      <c r="L602" s="6"/>
      <c r="M602" s="6"/>
      <c r="N602" s="6"/>
      <c r="O602" s="6"/>
      <c r="P602" s="6"/>
      <c r="Q602" s="6"/>
      <c r="R602" s="6"/>
      <c r="S602" s="6"/>
      <c r="T602" s="6"/>
      <c r="U602" s="6"/>
      <c r="V602" s="6"/>
      <c r="W602" s="6"/>
      <c r="X602" s="6"/>
      <c r="Y602" s="6"/>
      <c r="Z602" s="6"/>
    </row>
    <row r="603" spans="1:26" ht="31.5" customHeight="1">
      <c r="A603" s="1"/>
      <c r="B603" s="6"/>
      <c r="C603" s="10"/>
      <c r="D603" s="1"/>
      <c r="E603" s="11"/>
      <c r="F603" s="11"/>
      <c r="G603" s="6"/>
      <c r="H603" s="6"/>
      <c r="I603" s="6"/>
      <c r="J603" s="6"/>
      <c r="K603" s="6"/>
      <c r="L603" s="6"/>
      <c r="M603" s="6"/>
      <c r="N603" s="6"/>
      <c r="O603" s="6"/>
      <c r="P603" s="6"/>
      <c r="Q603" s="6"/>
      <c r="R603" s="6"/>
      <c r="S603" s="6"/>
      <c r="T603" s="6"/>
      <c r="U603" s="6"/>
      <c r="V603" s="6"/>
      <c r="W603" s="6"/>
      <c r="X603" s="6"/>
      <c r="Y603" s="6"/>
      <c r="Z603" s="6"/>
    </row>
    <row r="604" spans="1:26" ht="31.5" customHeight="1">
      <c r="A604" s="1"/>
      <c r="B604" s="6"/>
      <c r="C604" s="10"/>
      <c r="D604" s="1"/>
      <c r="E604" s="11"/>
      <c r="F604" s="11"/>
      <c r="G604" s="6"/>
      <c r="H604" s="6"/>
      <c r="I604" s="6"/>
      <c r="J604" s="6"/>
      <c r="K604" s="6"/>
      <c r="L604" s="6"/>
      <c r="M604" s="6"/>
      <c r="N604" s="6"/>
      <c r="O604" s="6"/>
      <c r="P604" s="6"/>
      <c r="Q604" s="6"/>
      <c r="R604" s="6"/>
      <c r="S604" s="6"/>
      <c r="T604" s="6"/>
      <c r="U604" s="6"/>
      <c r="V604" s="6"/>
      <c r="W604" s="6"/>
      <c r="X604" s="6"/>
      <c r="Y604" s="6"/>
      <c r="Z604" s="6"/>
    </row>
    <row r="605" spans="1:26" ht="31.5" customHeight="1">
      <c r="A605" s="1"/>
      <c r="B605" s="6"/>
      <c r="C605" s="10"/>
      <c r="D605" s="1"/>
      <c r="E605" s="11"/>
      <c r="F605" s="11"/>
      <c r="G605" s="6"/>
      <c r="H605" s="6"/>
      <c r="I605" s="6"/>
      <c r="J605" s="6"/>
      <c r="K605" s="6"/>
      <c r="L605" s="6"/>
      <c r="M605" s="6"/>
      <c r="N605" s="6"/>
      <c r="O605" s="6"/>
      <c r="P605" s="6"/>
      <c r="Q605" s="6"/>
      <c r="R605" s="6"/>
      <c r="S605" s="6"/>
      <c r="T605" s="6"/>
      <c r="U605" s="6"/>
      <c r="V605" s="6"/>
      <c r="W605" s="6"/>
      <c r="X605" s="6"/>
      <c r="Y605" s="6"/>
      <c r="Z605" s="6"/>
    </row>
    <row r="606" spans="1:26" ht="31.5" customHeight="1">
      <c r="A606" s="1"/>
      <c r="B606" s="6"/>
      <c r="C606" s="10"/>
      <c r="D606" s="1"/>
      <c r="E606" s="11"/>
      <c r="F606" s="11"/>
      <c r="G606" s="6"/>
      <c r="H606" s="6"/>
      <c r="I606" s="6"/>
      <c r="J606" s="6"/>
      <c r="K606" s="6"/>
      <c r="L606" s="6"/>
      <c r="M606" s="6"/>
      <c r="N606" s="6"/>
      <c r="O606" s="6"/>
      <c r="P606" s="6"/>
      <c r="Q606" s="6"/>
      <c r="R606" s="6"/>
      <c r="S606" s="6"/>
      <c r="T606" s="6"/>
      <c r="U606" s="6"/>
      <c r="V606" s="6"/>
      <c r="W606" s="6"/>
      <c r="X606" s="6"/>
      <c r="Y606" s="6"/>
      <c r="Z606" s="6"/>
    </row>
    <row r="607" spans="1:26" ht="31.5" customHeight="1">
      <c r="A607" s="1"/>
      <c r="B607" s="6"/>
      <c r="C607" s="10"/>
      <c r="D607" s="1"/>
      <c r="E607" s="11"/>
      <c r="F607" s="11"/>
      <c r="G607" s="6"/>
      <c r="H607" s="6"/>
      <c r="I607" s="6"/>
      <c r="J607" s="6"/>
      <c r="K607" s="6"/>
      <c r="L607" s="6"/>
      <c r="M607" s="6"/>
      <c r="N607" s="6"/>
      <c r="O607" s="6"/>
      <c r="P607" s="6"/>
      <c r="Q607" s="6"/>
      <c r="R607" s="6"/>
      <c r="S607" s="6"/>
      <c r="T607" s="6"/>
      <c r="U607" s="6"/>
      <c r="V607" s="6"/>
      <c r="W607" s="6"/>
      <c r="X607" s="6"/>
      <c r="Y607" s="6"/>
      <c r="Z607" s="6"/>
    </row>
    <row r="608" spans="1:26" ht="31.5" customHeight="1">
      <c r="A608" s="1"/>
      <c r="B608" s="6"/>
      <c r="C608" s="10"/>
      <c r="D608" s="1"/>
      <c r="E608" s="11"/>
      <c r="F608" s="11"/>
      <c r="G608" s="6"/>
      <c r="H608" s="6"/>
      <c r="I608" s="6"/>
      <c r="J608" s="6"/>
      <c r="K608" s="6"/>
      <c r="L608" s="6"/>
      <c r="M608" s="6"/>
      <c r="N608" s="6"/>
      <c r="O608" s="6"/>
      <c r="P608" s="6"/>
      <c r="Q608" s="6"/>
      <c r="R608" s="6"/>
      <c r="S608" s="6"/>
      <c r="T608" s="6"/>
      <c r="U608" s="6"/>
      <c r="V608" s="6"/>
      <c r="W608" s="6"/>
      <c r="X608" s="6"/>
      <c r="Y608" s="6"/>
      <c r="Z608" s="6"/>
    </row>
    <row r="609" spans="1:26" ht="31.5" customHeight="1">
      <c r="A609" s="1"/>
      <c r="B609" s="6"/>
      <c r="C609" s="10"/>
      <c r="D609" s="1"/>
      <c r="E609" s="11"/>
      <c r="F609" s="11"/>
      <c r="G609" s="6"/>
      <c r="H609" s="6"/>
      <c r="I609" s="6"/>
      <c r="J609" s="6"/>
      <c r="K609" s="6"/>
      <c r="L609" s="6"/>
      <c r="M609" s="6"/>
      <c r="N609" s="6"/>
      <c r="O609" s="6"/>
      <c r="P609" s="6"/>
      <c r="Q609" s="6"/>
      <c r="R609" s="6"/>
      <c r="S609" s="6"/>
      <c r="T609" s="6"/>
      <c r="U609" s="6"/>
      <c r="V609" s="6"/>
      <c r="W609" s="6"/>
      <c r="X609" s="6"/>
      <c r="Y609" s="6"/>
      <c r="Z609" s="6"/>
    </row>
    <row r="610" spans="1:26" ht="31.5" customHeight="1">
      <c r="A610" s="1"/>
      <c r="B610" s="6"/>
      <c r="C610" s="10"/>
      <c r="D610" s="1"/>
      <c r="E610" s="11"/>
      <c r="F610" s="11"/>
      <c r="G610" s="6"/>
      <c r="H610" s="6"/>
      <c r="I610" s="6"/>
      <c r="J610" s="6"/>
      <c r="K610" s="6"/>
      <c r="L610" s="6"/>
      <c r="M610" s="6"/>
      <c r="N610" s="6"/>
      <c r="O610" s="6"/>
      <c r="P610" s="6"/>
      <c r="Q610" s="6"/>
      <c r="R610" s="6"/>
      <c r="S610" s="6"/>
      <c r="T610" s="6"/>
      <c r="U610" s="6"/>
      <c r="V610" s="6"/>
      <c r="W610" s="6"/>
      <c r="X610" s="6"/>
      <c r="Y610" s="6"/>
      <c r="Z610" s="6"/>
    </row>
    <row r="611" spans="1:26" ht="31.5" customHeight="1">
      <c r="A611" s="1"/>
      <c r="B611" s="6"/>
      <c r="C611" s="10"/>
      <c r="D611" s="1"/>
      <c r="E611" s="11"/>
      <c r="F611" s="11"/>
      <c r="G611" s="6"/>
      <c r="H611" s="6"/>
      <c r="I611" s="6"/>
      <c r="J611" s="6"/>
      <c r="K611" s="6"/>
      <c r="L611" s="6"/>
      <c r="M611" s="6"/>
      <c r="N611" s="6"/>
      <c r="O611" s="6"/>
      <c r="P611" s="6"/>
      <c r="Q611" s="6"/>
      <c r="R611" s="6"/>
      <c r="S611" s="6"/>
      <c r="T611" s="6"/>
      <c r="U611" s="6"/>
      <c r="V611" s="6"/>
      <c r="W611" s="6"/>
      <c r="X611" s="6"/>
      <c r="Y611" s="6"/>
      <c r="Z611" s="6"/>
    </row>
    <row r="612" spans="1:26" ht="31.5" customHeight="1">
      <c r="A612" s="1"/>
      <c r="B612" s="6"/>
      <c r="C612" s="10"/>
      <c r="D612" s="1"/>
      <c r="E612" s="11"/>
      <c r="F612" s="11"/>
      <c r="G612" s="6"/>
      <c r="H612" s="6"/>
      <c r="I612" s="6"/>
      <c r="J612" s="6"/>
      <c r="K612" s="6"/>
      <c r="L612" s="6"/>
      <c r="M612" s="6"/>
      <c r="N612" s="6"/>
      <c r="O612" s="6"/>
      <c r="P612" s="6"/>
      <c r="Q612" s="6"/>
      <c r="R612" s="6"/>
      <c r="S612" s="6"/>
      <c r="T612" s="6"/>
      <c r="U612" s="6"/>
      <c r="V612" s="6"/>
      <c r="W612" s="6"/>
      <c r="X612" s="6"/>
      <c r="Y612" s="6"/>
      <c r="Z612" s="6"/>
    </row>
    <row r="613" spans="1:26" ht="31.5" customHeight="1">
      <c r="A613" s="1"/>
      <c r="B613" s="6"/>
      <c r="C613" s="10"/>
      <c r="D613" s="1"/>
      <c r="E613" s="11"/>
      <c r="F613" s="11"/>
      <c r="G613" s="6"/>
      <c r="H613" s="6"/>
      <c r="I613" s="6"/>
      <c r="J613" s="6"/>
      <c r="K613" s="6"/>
      <c r="L613" s="6"/>
      <c r="M613" s="6"/>
      <c r="N613" s="6"/>
      <c r="O613" s="6"/>
      <c r="P613" s="6"/>
      <c r="Q613" s="6"/>
      <c r="R613" s="6"/>
      <c r="S613" s="6"/>
      <c r="T613" s="6"/>
      <c r="U613" s="6"/>
      <c r="V613" s="6"/>
      <c r="W613" s="6"/>
      <c r="X613" s="6"/>
      <c r="Y613" s="6"/>
      <c r="Z613" s="6"/>
    </row>
    <row r="614" spans="1:26" ht="31.5" customHeight="1">
      <c r="A614" s="1"/>
      <c r="B614" s="6"/>
      <c r="C614" s="10"/>
      <c r="D614" s="1"/>
      <c r="E614" s="11"/>
      <c r="F614" s="11"/>
      <c r="G614" s="6"/>
      <c r="H614" s="6"/>
      <c r="I614" s="6"/>
      <c r="J614" s="6"/>
      <c r="K614" s="6"/>
      <c r="L614" s="6"/>
      <c r="M614" s="6"/>
      <c r="N614" s="6"/>
      <c r="O614" s="6"/>
      <c r="P614" s="6"/>
      <c r="Q614" s="6"/>
      <c r="R614" s="6"/>
      <c r="S614" s="6"/>
      <c r="T614" s="6"/>
      <c r="U614" s="6"/>
      <c r="V614" s="6"/>
      <c r="W614" s="6"/>
      <c r="X614" s="6"/>
      <c r="Y614" s="6"/>
      <c r="Z614" s="6"/>
    </row>
    <row r="615" spans="1:26" ht="31.5" customHeight="1">
      <c r="A615" s="1"/>
      <c r="B615" s="6"/>
      <c r="C615" s="10"/>
      <c r="D615" s="1"/>
      <c r="E615" s="11"/>
      <c r="F615" s="11"/>
      <c r="G615" s="6"/>
      <c r="H615" s="6"/>
      <c r="I615" s="6"/>
      <c r="J615" s="6"/>
      <c r="K615" s="6"/>
      <c r="L615" s="6"/>
      <c r="M615" s="6"/>
      <c r="N615" s="6"/>
      <c r="O615" s="6"/>
      <c r="P615" s="6"/>
      <c r="Q615" s="6"/>
      <c r="R615" s="6"/>
      <c r="S615" s="6"/>
      <c r="T615" s="6"/>
      <c r="U615" s="6"/>
      <c r="V615" s="6"/>
      <c r="W615" s="6"/>
      <c r="X615" s="6"/>
      <c r="Y615" s="6"/>
      <c r="Z615" s="6"/>
    </row>
    <row r="616" spans="1:26" ht="31.5" customHeight="1">
      <c r="A616" s="1"/>
      <c r="B616" s="6"/>
      <c r="C616" s="10"/>
      <c r="D616" s="1"/>
      <c r="E616" s="11"/>
      <c r="F616" s="11"/>
      <c r="G616" s="6"/>
      <c r="H616" s="6"/>
      <c r="I616" s="6"/>
      <c r="J616" s="6"/>
      <c r="K616" s="6"/>
      <c r="L616" s="6"/>
      <c r="M616" s="6"/>
      <c r="N616" s="6"/>
      <c r="O616" s="6"/>
      <c r="P616" s="6"/>
      <c r="Q616" s="6"/>
      <c r="R616" s="6"/>
      <c r="S616" s="6"/>
      <c r="T616" s="6"/>
      <c r="U616" s="6"/>
      <c r="V616" s="6"/>
      <c r="W616" s="6"/>
      <c r="X616" s="6"/>
      <c r="Y616" s="6"/>
      <c r="Z616" s="6"/>
    </row>
    <row r="617" spans="1:26" ht="31.5" customHeight="1">
      <c r="A617" s="1"/>
      <c r="B617" s="6"/>
      <c r="C617" s="10"/>
      <c r="D617" s="1"/>
      <c r="E617" s="11"/>
      <c r="F617" s="11"/>
      <c r="G617" s="6"/>
      <c r="H617" s="6"/>
      <c r="I617" s="6"/>
      <c r="J617" s="6"/>
      <c r="K617" s="6"/>
      <c r="L617" s="6"/>
      <c r="M617" s="6"/>
      <c r="N617" s="6"/>
      <c r="O617" s="6"/>
      <c r="P617" s="6"/>
      <c r="Q617" s="6"/>
      <c r="R617" s="6"/>
      <c r="S617" s="6"/>
      <c r="T617" s="6"/>
      <c r="U617" s="6"/>
      <c r="V617" s="6"/>
      <c r="W617" s="6"/>
      <c r="X617" s="6"/>
      <c r="Y617" s="6"/>
      <c r="Z617" s="6"/>
    </row>
    <row r="618" spans="1:26" ht="31.5" customHeight="1">
      <c r="A618" s="1"/>
      <c r="B618" s="6"/>
      <c r="C618" s="10"/>
      <c r="D618" s="1"/>
      <c r="E618" s="11"/>
      <c r="F618" s="11"/>
      <c r="G618" s="6"/>
      <c r="H618" s="6"/>
      <c r="I618" s="6"/>
      <c r="J618" s="6"/>
      <c r="K618" s="6"/>
      <c r="L618" s="6"/>
      <c r="M618" s="6"/>
      <c r="N618" s="6"/>
      <c r="O618" s="6"/>
      <c r="P618" s="6"/>
      <c r="Q618" s="6"/>
      <c r="R618" s="6"/>
      <c r="S618" s="6"/>
      <c r="T618" s="6"/>
      <c r="U618" s="6"/>
      <c r="V618" s="6"/>
      <c r="W618" s="6"/>
      <c r="X618" s="6"/>
      <c r="Y618" s="6"/>
      <c r="Z618" s="6"/>
    </row>
    <row r="619" spans="1:26" ht="31.5" customHeight="1">
      <c r="A619" s="1"/>
      <c r="B619" s="6"/>
      <c r="C619" s="10"/>
      <c r="D619" s="1"/>
      <c r="E619" s="11"/>
      <c r="F619" s="11"/>
      <c r="G619" s="6"/>
      <c r="H619" s="6"/>
      <c r="I619" s="6"/>
      <c r="J619" s="6"/>
      <c r="K619" s="6"/>
      <c r="L619" s="6"/>
      <c r="M619" s="6"/>
      <c r="N619" s="6"/>
      <c r="O619" s="6"/>
      <c r="P619" s="6"/>
      <c r="Q619" s="6"/>
      <c r="R619" s="6"/>
      <c r="S619" s="6"/>
      <c r="T619" s="6"/>
      <c r="U619" s="6"/>
      <c r="V619" s="6"/>
      <c r="W619" s="6"/>
      <c r="X619" s="6"/>
      <c r="Y619" s="6"/>
      <c r="Z619" s="6"/>
    </row>
    <row r="620" spans="1:26" ht="31.5" customHeight="1">
      <c r="A620" s="1"/>
      <c r="B620" s="6"/>
      <c r="C620" s="10"/>
      <c r="D620" s="1"/>
      <c r="E620" s="11"/>
      <c r="F620" s="11"/>
      <c r="G620" s="6"/>
      <c r="H620" s="6"/>
      <c r="I620" s="6"/>
      <c r="J620" s="6"/>
      <c r="K620" s="6"/>
      <c r="L620" s="6"/>
      <c r="M620" s="6"/>
      <c r="N620" s="6"/>
      <c r="O620" s="6"/>
      <c r="P620" s="6"/>
      <c r="Q620" s="6"/>
      <c r="R620" s="6"/>
      <c r="S620" s="6"/>
      <c r="T620" s="6"/>
      <c r="U620" s="6"/>
      <c r="V620" s="6"/>
      <c r="W620" s="6"/>
      <c r="X620" s="6"/>
      <c r="Y620" s="6"/>
      <c r="Z620" s="6"/>
    </row>
    <row r="621" spans="1:26" ht="31.5" customHeight="1">
      <c r="A621" s="1"/>
      <c r="B621" s="6"/>
      <c r="C621" s="10"/>
      <c r="D621" s="1"/>
      <c r="E621" s="11"/>
      <c r="F621" s="11"/>
      <c r="G621" s="6"/>
      <c r="H621" s="6"/>
      <c r="I621" s="6"/>
      <c r="J621" s="6"/>
      <c r="K621" s="6"/>
      <c r="L621" s="6"/>
      <c r="M621" s="6"/>
      <c r="N621" s="6"/>
      <c r="O621" s="6"/>
      <c r="P621" s="6"/>
      <c r="Q621" s="6"/>
      <c r="R621" s="6"/>
      <c r="S621" s="6"/>
      <c r="T621" s="6"/>
      <c r="U621" s="6"/>
      <c r="V621" s="6"/>
      <c r="W621" s="6"/>
      <c r="X621" s="6"/>
      <c r="Y621" s="6"/>
      <c r="Z621" s="6"/>
    </row>
    <row r="622" spans="1:26" ht="31.5" customHeight="1">
      <c r="A622" s="1"/>
      <c r="B622" s="6"/>
      <c r="C622" s="10"/>
      <c r="D622" s="1"/>
      <c r="E622" s="11"/>
      <c r="F622" s="11"/>
      <c r="G622" s="6"/>
      <c r="H622" s="6"/>
      <c r="I622" s="6"/>
      <c r="J622" s="6"/>
      <c r="K622" s="6"/>
      <c r="L622" s="6"/>
      <c r="M622" s="6"/>
      <c r="N622" s="6"/>
      <c r="O622" s="6"/>
      <c r="P622" s="6"/>
      <c r="Q622" s="6"/>
      <c r="R622" s="6"/>
      <c r="S622" s="6"/>
      <c r="T622" s="6"/>
      <c r="U622" s="6"/>
      <c r="V622" s="6"/>
      <c r="W622" s="6"/>
      <c r="X622" s="6"/>
      <c r="Y622" s="6"/>
      <c r="Z622" s="6"/>
    </row>
    <row r="623" spans="1:26" ht="31.5" customHeight="1">
      <c r="A623" s="1"/>
      <c r="B623" s="6"/>
      <c r="C623" s="10"/>
      <c r="D623" s="1"/>
      <c r="E623" s="11"/>
      <c r="F623" s="11"/>
      <c r="G623" s="6"/>
      <c r="H623" s="6"/>
      <c r="I623" s="6"/>
      <c r="J623" s="6"/>
      <c r="K623" s="6"/>
      <c r="L623" s="6"/>
      <c r="M623" s="6"/>
      <c r="N623" s="6"/>
      <c r="O623" s="6"/>
      <c r="P623" s="6"/>
      <c r="Q623" s="6"/>
      <c r="R623" s="6"/>
      <c r="S623" s="6"/>
      <c r="T623" s="6"/>
      <c r="U623" s="6"/>
      <c r="V623" s="6"/>
      <c r="W623" s="6"/>
      <c r="X623" s="6"/>
      <c r="Y623" s="6"/>
      <c r="Z623" s="6"/>
    </row>
    <row r="624" spans="1:26" ht="31.5" customHeight="1">
      <c r="A624" s="1"/>
      <c r="B624" s="6"/>
      <c r="C624" s="10"/>
      <c r="D624" s="1"/>
      <c r="E624" s="11"/>
      <c r="F624" s="11"/>
      <c r="G624" s="6"/>
      <c r="H624" s="6"/>
      <c r="I624" s="6"/>
      <c r="J624" s="6"/>
      <c r="K624" s="6"/>
      <c r="L624" s="6"/>
      <c r="M624" s="6"/>
      <c r="N624" s="6"/>
      <c r="O624" s="6"/>
      <c r="P624" s="6"/>
      <c r="Q624" s="6"/>
      <c r="R624" s="6"/>
      <c r="S624" s="6"/>
      <c r="T624" s="6"/>
      <c r="U624" s="6"/>
      <c r="V624" s="6"/>
      <c r="W624" s="6"/>
      <c r="X624" s="6"/>
      <c r="Y624" s="6"/>
      <c r="Z624" s="6"/>
    </row>
    <row r="625" spans="1:26" ht="31.5" customHeight="1">
      <c r="A625" s="1"/>
      <c r="B625" s="6"/>
      <c r="C625" s="10"/>
      <c r="D625" s="1"/>
      <c r="E625" s="11"/>
      <c r="F625" s="11"/>
      <c r="G625" s="6"/>
      <c r="H625" s="6"/>
      <c r="I625" s="6"/>
      <c r="J625" s="6"/>
      <c r="K625" s="6"/>
      <c r="L625" s="6"/>
      <c r="M625" s="6"/>
      <c r="N625" s="6"/>
      <c r="O625" s="6"/>
      <c r="P625" s="6"/>
      <c r="Q625" s="6"/>
      <c r="R625" s="6"/>
      <c r="S625" s="6"/>
      <c r="T625" s="6"/>
      <c r="U625" s="6"/>
      <c r="V625" s="6"/>
      <c r="W625" s="6"/>
      <c r="X625" s="6"/>
      <c r="Y625" s="6"/>
      <c r="Z625" s="6"/>
    </row>
    <row r="626" spans="1:26" ht="31.5" customHeight="1">
      <c r="A626" s="1"/>
      <c r="B626" s="6"/>
      <c r="C626" s="10"/>
      <c r="D626" s="1"/>
      <c r="E626" s="11"/>
      <c r="F626" s="11"/>
      <c r="G626" s="6"/>
      <c r="H626" s="6"/>
      <c r="I626" s="6"/>
      <c r="J626" s="6"/>
      <c r="K626" s="6"/>
      <c r="L626" s="6"/>
      <c r="M626" s="6"/>
      <c r="N626" s="6"/>
      <c r="O626" s="6"/>
      <c r="P626" s="6"/>
      <c r="Q626" s="6"/>
      <c r="R626" s="6"/>
      <c r="S626" s="6"/>
      <c r="T626" s="6"/>
      <c r="U626" s="6"/>
      <c r="V626" s="6"/>
      <c r="W626" s="6"/>
      <c r="X626" s="6"/>
      <c r="Y626" s="6"/>
      <c r="Z626" s="6"/>
    </row>
    <row r="627" spans="1:26" ht="31.5" customHeight="1">
      <c r="A627" s="1"/>
      <c r="B627" s="6"/>
      <c r="C627" s="10"/>
      <c r="D627" s="1"/>
      <c r="E627" s="11"/>
      <c r="F627" s="11"/>
      <c r="G627" s="6"/>
      <c r="H627" s="6"/>
      <c r="I627" s="6"/>
      <c r="J627" s="6"/>
      <c r="K627" s="6"/>
      <c r="L627" s="6"/>
      <c r="M627" s="6"/>
      <c r="N627" s="6"/>
      <c r="O627" s="6"/>
      <c r="P627" s="6"/>
      <c r="Q627" s="6"/>
      <c r="R627" s="6"/>
      <c r="S627" s="6"/>
      <c r="T627" s="6"/>
      <c r="U627" s="6"/>
      <c r="V627" s="6"/>
      <c r="W627" s="6"/>
      <c r="X627" s="6"/>
      <c r="Y627" s="6"/>
      <c r="Z627" s="6"/>
    </row>
    <row r="628" spans="1:26" ht="31.5" customHeight="1">
      <c r="A628" s="1"/>
      <c r="B628" s="6"/>
      <c r="C628" s="10"/>
      <c r="D628" s="1"/>
      <c r="E628" s="11"/>
      <c r="F628" s="11"/>
      <c r="G628" s="6"/>
      <c r="H628" s="6"/>
      <c r="I628" s="6"/>
      <c r="J628" s="6"/>
      <c r="K628" s="6"/>
      <c r="L628" s="6"/>
      <c r="M628" s="6"/>
      <c r="N628" s="6"/>
      <c r="O628" s="6"/>
      <c r="P628" s="6"/>
      <c r="Q628" s="6"/>
      <c r="R628" s="6"/>
      <c r="S628" s="6"/>
      <c r="T628" s="6"/>
      <c r="U628" s="6"/>
      <c r="V628" s="6"/>
      <c r="W628" s="6"/>
      <c r="X628" s="6"/>
      <c r="Y628" s="6"/>
      <c r="Z628" s="6"/>
    </row>
    <row r="629" spans="1:26" ht="31.5" customHeight="1">
      <c r="A629" s="1"/>
      <c r="B629" s="6"/>
      <c r="C629" s="10"/>
      <c r="D629" s="1"/>
      <c r="E629" s="11"/>
      <c r="F629" s="11"/>
      <c r="G629" s="6"/>
      <c r="H629" s="6"/>
      <c r="I629" s="6"/>
      <c r="J629" s="6"/>
      <c r="K629" s="6"/>
      <c r="L629" s="6"/>
      <c r="M629" s="6"/>
      <c r="N629" s="6"/>
      <c r="O629" s="6"/>
      <c r="P629" s="6"/>
      <c r="Q629" s="6"/>
      <c r="R629" s="6"/>
      <c r="S629" s="6"/>
      <c r="T629" s="6"/>
      <c r="U629" s="6"/>
      <c r="V629" s="6"/>
      <c r="W629" s="6"/>
      <c r="X629" s="6"/>
      <c r="Y629" s="6"/>
      <c r="Z629" s="6"/>
    </row>
    <row r="630" spans="1:26" ht="31.5" customHeight="1">
      <c r="A630" s="1"/>
      <c r="B630" s="6"/>
      <c r="C630" s="10"/>
      <c r="D630" s="1"/>
      <c r="E630" s="11"/>
      <c r="F630" s="11"/>
      <c r="G630" s="6"/>
      <c r="H630" s="6"/>
      <c r="I630" s="6"/>
      <c r="J630" s="6"/>
      <c r="K630" s="6"/>
      <c r="L630" s="6"/>
      <c r="M630" s="6"/>
      <c r="N630" s="6"/>
      <c r="O630" s="6"/>
      <c r="P630" s="6"/>
      <c r="Q630" s="6"/>
      <c r="R630" s="6"/>
      <c r="S630" s="6"/>
      <c r="T630" s="6"/>
      <c r="U630" s="6"/>
      <c r="V630" s="6"/>
      <c r="W630" s="6"/>
      <c r="X630" s="6"/>
      <c r="Y630" s="6"/>
      <c r="Z630" s="6"/>
    </row>
    <row r="631" spans="1:26" ht="31.5" customHeight="1">
      <c r="A631" s="1"/>
      <c r="B631" s="6"/>
      <c r="C631" s="10"/>
      <c r="D631" s="1"/>
      <c r="E631" s="11"/>
      <c r="F631" s="11"/>
      <c r="G631" s="6"/>
      <c r="H631" s="6"/>
      <c r="I631" s="6"/>
      <c r="J631" s="6"/>
      <c r="K631" s="6"/>
      <c r="L631" s="6"/>
      <c r="M631" s="6"/>
      <c r="N631" s="6"/>
      <c r="O631" s="6"/>
      <c r="P631" s="6"/>
      <c r="Q631" s="6"/>
      <c r="R631" s="6"/>
      <c r="S631" s="6"/>
      <c r="T631" s="6"/>
      <c r="U631" s="6"/>
      <c r="V631" s="6"/>
      <c r="W631" s="6"/>
      <c r="X631" s="6"/>
      <c r="Y631" s="6"/>
      <c r="Z631" s="6"/>
    </row>
    <row r="632" spans="1:26" ht="31.5" customHeight="1">
      <c r="A632" s="1"/>
      <c r="B632" s="6"/>
      <c r="C632" s="10"/>
      <c r="D632" s="1"/>
      <c r="E632" s="11"/>
      <c r="F632" s="11"/>
      <c r="G632" s="6"/>
      <c r="H632" s="6"/>
      <c r="I632" s="6"/>
      <c r="J632" s="6"/>
      <c r="K632" s="6"/>
      <c r="L632" s="6"/>
      <c r="M632" s="6"/>
      <c r="N632" s="6"/>
      <c r="O632" s="6"/>
      <c r="P632" s="6"/>
      <c r="Q632" s="6"/>
      <c r="R632" s="6"/>
      <c r="S632" s="6"/>
      <c r="T632" s="6"/>
      <c r="U632" s="6"/>
      <c r="V632" s="6"/>
      <c r="W632" s="6"/>
      <c r="X632" s="6"/>
      <c r="Y632" s="6"/>
      <c r="Z632" s="6"/>
    </row>
    <row r="633" spans="1:26" ht="31.5" customHeight="1">
      <c r="A633" s="1"/>
      <c r="B633" s="6"/>
      <c r="C633" s="10"/>
      <c r="D633" s="1"/>
      <c r="E633" s="11"/>
      <c r="F633" s="11"/>
      <c r="G633" s="6"/>
      <c r="H633" s="6"/>
      <c r="I633" s="6"/>
      <c r="J633" s="6"/>
      <c r="K633" s="6"/>
      <c r="L633" s="6"/>
      <c r="M633" s="6"/>
      <c r="N633" s="6"/>
      <c r="O633" s="6"/>
      <c r="P633" s="6"/>
      <c r="Q633" s="6"/>
      <c r="R633" s="6"/>
      <c r="S633" s="6"/>
      <c r="T633" s="6"/>
      <c r="U633" s="6"/>
      <c r="V633" s="6"/>
      <c r="W633" s="6"/>
      <c r="X633" s="6"/>
      <c r="Y633" s="6"/>
      <c r="Z633" s="6"/>
    </row>
    <row r="634" spans="1:26" ht="31.5" customHeight="1">
      <c r="A634" s="1"/>
      <c r="B634" s="6"/>
      <c r="C634" s="10"/>
      <c r="D634" s="1"/>
      <c r="E634" s="11"/>
      <c r="F634" s="11"/>
      <c r="G634" s="6"/>
      <c r="H634" s="6"/>
      <c r="I634" s="6"/>
      <c r="J634" s="6"/>
      <c r="K634" s="6"/>
      <c r="L634" s="6"/>
      <c r="M634" s="6"/>
      <c r="N634" s="6"/>
      <c r="O634" s="6"/>
      <c r="P634" s="6"/>
      <c r="Q634" s="6"/>
      <c r="R634" s="6"/>
      <c r="S634" s="6"/>
      <c r="T634" s="6"/>
      <c r="U634" s="6"/>
      <c r="V634" s="6"/>
      <c r="W634" s="6"/>
      <c r="X634" s="6"/>
      <c r="Y634" s="6"/>
      <c r="Z634" s="6"/>
    </row>
    <row r="635" spans="1:26" ht="31.5" customHeight="1">
      <c r="A635" s="1"/>
      <c r="B635" s="6"/>
      <c r="C635" s="10"/>
      <c r="D635" s="1"/>
      <c r="E635" s="11"/>
      <c r="F635" s="11"/>
      <c r="G635" s="6"/>
      <c r="H635" s="6"/>
      <c r="I635" s="6"/>
      <c r="J635" s="6"/>
      <c r="K635" s="6"/>
      <c r="L635" s="6"/>
      <c r="M635" s="6"/>
      <c r="N635" s="6"/>
      <c r="O635" s="6"/>
      <c r="P635" s="6"/>
      <c r="Q635" s="6"/>
      <c r="R635" s="6"/>
      <c r="S635" s="6"/>
      <c r="T635" s="6"/>
      <c r="U635" s="6"/>
      <c r="V635" s="6"/>
      <c r="W635" s="6"/>
      <c r="X635" s="6"/>
      <c r="Y635" s="6"/>
      <c r="Z635" s="6"/>
    </row>
    <row r="636" spans="1:26" ht="31.5" customHeight="1">
      <c r="A636" s="1"/>
      <c r="B636" s="6"/>
      <c r="C636" s="10"/>
      <c r="D636" s="1"/>
      <c r="E636" s="11"/>
      <c r="F636" s="11"/>
      <c r="G636" s="6"/>
      <c r="H636" s="6"/>
      <c r="I636" s="6"/>
      <c r="J636" s="6"/>
      <c r="K636" s="6"/>
      <c r="L636" s="6"/>
      <c r="M636" s="6"/>
      <c r="N636" s="6"/>
      <c r="O636" s="6"/>
      <c r="P636" s="6"/>
      <c r="Q636" s="6"/>
      <c r="R636" s="6"/>
      <c r="S636" s="6"/>
      <c r="T636" s="6"/>
      <c r="U636" s="6"/>
      <c r="V636" s="6"/>
      <c r="W636" s="6"/>
      <c r="X636" s="6"/>
      <c r="Y636" s="6"/>
      <c r="Z636" s="6"/>
    </row>
    <row r="637" spans="1:26" ht="31.5" customHeight="1">
      <c r="A637" s="1"/>
      <c r="B637" s="6"/>
      <c r="C637" s="10"/>
      <c r="D637" s="1"/>
      <c r="E637" s="11"/>
      <c r="F637" s="11"/>
      <c r="G637" s="6"/>
      <c r="H637" s="6"/>
      <c r="I637" s="6"/>
      <c r="J637" s="6"/>
      <c r="K637" s="6"/>
      <c r="L637" s="6"/>
      <c r="M637" s="6"/>
      <c r="N637" s="6"/>
      <c r="O637" s="6"/>
      <c r="P637" s="6"/>
      <c r="Q637" s="6"/>
      <c r="R637" s="6"/>
      <c r="S637" s="6"/>
      <c r="T637" s="6"/>
      <c r="U637" s="6"/>
      <c r="V637" s="6"/>
      <c r="W637" s="6"/>
      <c r="X637" s="6"/>
      <c r="Y637" s="6"/>
      <c r="Z637" s="6"/>
    </row>
    <row r="638" spans="1:26" ht="31.5" customHeight="1">
      <c r="A638" s="1"/>
      <c r="B638" s="6"/>
      <c r="C638" s="10"/>
      <c r="D638" s="1"/>
      <c r="E638" s="11"/>
      <c r="F638" s="11"/>
      <c r="G638" s="6"/>
      <c r="H638" s="6"/>
      <c r="I638" s="6"/>
      <c r="J638" s="6"/>
      <c r="K638" s="6"/>
      <c r="L638" s="6"/>
      <c r="M638" s="6"/>
      <c r="N638" s="6"/>
      <c r="O638" s="6"/>
      <c r="P638" s="6"/>
      <c r="Q638" s="6"/>
      <c r="R638" s="6"/>
      <c r="S638" s="6"/>
      <c r="T638" s="6"/>
      <c r="U638" s="6"/>
      <c r="V638" s="6"/>
      <c r="W638" s="6"/>
      <c r="X638" s="6"/>
      <c r="Y638" s="6"/>
      <c r="Z638" s="6"/>
    </row>
    <row r="639" spans="1:26" ht="31.5" customHeight="1">
      <c r="A639" s="1"/>
      <c r="B639" s="6"/>
      <c r="C639" s="10"/>
      <c r="D639" s="1"/>
      <c r="E639" s="11"/>
      <c r="F639" s="11"/>
      <c r="G639" s="6"/>
      <c r="H639" s="6"/>
      <c r="I639" s="6"/>
      <c r="J639" s="6"/>
      <c r="K639" s="6"/>
      <c r="L639" s="6"/>
      <c r="M639" s="6"/>
      <c r="N639" s="6"/>
      <c r="O639" s="6"/>
      <c r="P639" s="6"/>
      <c r="Q639" s="6"/>
      <c r="R639" s="6"/>
      <c r="S639" s="6"/>
      <c r="T639" s="6"/>
      <c r="U639" s="6"/>
      <c r="V639" s="6"/>
      <c r="W639" s="6"/>
      <c r="X639" s="6"/>
      <c r="Y639" s="6"/>
      <c r="Z639" s="6"/>
    </row>
    <row r="640" spans="1:26" ht="31.5" customHeight="1">
      <c r="A640" s="1"/>
      <c r="B640" s="6"/>
      <c r="C640" s="10"/>
      <c r="D640" s="1"/>
      <c r="E640" s="11"/>
      <c r="F640" s="11"/>
      <c r="G640" s="6"/>
      <c r="H640" s="6"/>
      <c r="I640" s="6"/>
      <c r="J640" s="6"/>
      <c r="K640" s="6"/>
      <c r="L640" s="6"/>
      <c r="M640" s="6"/>
      <c r="N640" s="6"/>
      <c r="O640" s="6"/>
      <c r="P640" s="6"/>
      <c r="Q640" s="6"/>
      <c r="R640" s="6"/>
      <c r="S640" s="6"/>
      <c r="T640" s="6"/>
      <c r="U640" s="6"/>
      <c r="V640" s="6"/>
      <c r="W640" s="6"/>
      <c r="X640" s="6"/>
      <c r="Y640" s="6"/>
      <c r="Z640" s="6"/>
    </row>
    <row r="641" spans="1:26" ht="31.5" customHeight="1">
      <c r="A641" s="1"/>
      <c r="B641" s="6"/>
      <c r="C641" s="10"/>
      <c r="D641" s="1"/>
      <c r="E641" s="11"/>
      <c r="F641" s="11"/>
      <c r="G641" s="6"/>
      <c r="H641" s="6"/>
      <c r="I641" s="6"/>
      <c r="J641" s="6"/>
      <c r="K641" s="6"/>
      <c r="L641" s="6"/>
      <c r="M641" s="6"/>
      <c r="N641" s="6"/>
      <c r="O641" s="6"/>
      <c r="P641" s="6"/>
      <c r="Q641" s="6"/>
      <c r="R641" s="6"/>
      <c r="S641" s="6"/>
      <c r="T641" s="6"/>
      <c r="U641" s="6"/>
      <c r="V641" s="6"/>
      <c r="W641" s="6"/>
      <c r="X641" s="6"/>
      <c r="Y641" s="6"/>
      <c r="Z641" s="6"/>
    </row>
    <row r="642" spans="1:26" ht="31.5" customHeight="1">
      <c r="A642" s="1"/>
      <c r="B642" s="6"/>
      <c r="C642" s="10"/>
      <c r="D642" s="1"/>
      <c r="E642" s="11"/>
      <c r="F642" s="11"/>
      <c r="G642" s="6"/>
      <c r="H642" s="6"/>
      <c r="I642" s="6"/>
      <c r="J642" s="6"/>
      <c r="K642" s="6"/>
      <c r="L642" s="6"/>
      <c r="M642" s="6"/>
      <c r="N642" s="6"/>
      <c r="O642" s="6"/>
      <c r="P642" s="6"/>
      <c r="Q642" s="6"/>
      <c r="R642" s="6"/>
      <c r="S642" s="6"/>
      <c r="T642" s="6"/>
      <c r="U642" s="6"/>
      <c r="V642" s="6"/>
      <c r="W642" s="6"/>
      <c r="X642" s="6"/>
      <c r="Y642" s="6"/>
      <c r="Z642" s="6"/>
    </row>
    <row r="643" spans="1:26" ht="31.5" customHeight="1">
      <c r="A643" s="1"/>
      <c r="B643" s="6"/>
      <c r="C643" s="10"/>
      <c r="D643" s="1"/>
      <c r="E643" s="11"/>
      <c r="F643" s="11"/>
      <c r="G643" s="6"/>
      <c r="H643" s="6"/>
      <c r="I643" s="6"/>
      <c r="J643" s="6"/>
      <c r="K643" s="6"/>
      <c r="L643" s="6"/>
      <c r="M643" s="6"/>
      <c r="N643" s="6"/>
      <c r="O643" s="6"/>
      <c r="P643" s="6"/>
      <c r="Q643" s="6"/>
      <c r="R643" s="6"/>
      <c r="S643" s="6"/>
      <c r="T643" s="6"/>
      <c r="U643" s="6"/>
      <c r="V643" s="6"/>
      <c r="W643" s="6"/>
      <c r="X643" s="6"/>
      <c r="Y643" s="6"/>
      <c r="Z643" s="6"/>
    </row>
    <row r="644" spans="1:26" ht="31.5" customHeight="1">
      <c r="A644" s="1"/>
      <c r="B644" s="6"/>
      <c r="C644" s="10"/>
      <c r="D644" s="1"/>
      <c r="E644" s="11"/>
      <c r="F644" s="11"/>
      <c r="G644" s="6"/>
      <c r="H644" s="6"/>
      <c r="I644" s="6"/>
      <c r="J644" s="6"/>
      <c r="K644" s="6"/>
      <c r="L644" s="6"/>
      <c r="M644" s="6"/>
      <c r="N644" s="6"/>
      <c r="O644" s="6"/>
      <c r="P644" s="6"/>
      <c r="Q644" s="6"/>
      <c r="R644" s="6"/>
      <c r="S644" s="6"/>
      <c r="T644" s="6"/>
      <c r="U644" s="6"/>
      <c r="V644" s="6"/>
      <c r="W644" s="6"/>
      <c r="X644" s="6"/>
      <c r="Y644" s="6"/>
      <c r="Z644" s="6"/>
    </row>
    <row r="645" spans="1:26" ht="31.5" customHeight="1">
      <c r="A645" s="1"/>
      <c r="B645" s="6"/>
      <c r="C645" s="10"/>
      <c r="D645" s="1"/>
      <c r="E645" s="11"/>
      <c r="F645" s="11"/>
      <c r="G645" s="6"/>
      <c r="H645" s="6"/>
      <c r="I645" s="6"/>
      <c r="J645" s="6"/>
      <c r="K645" s="6"/>
      <c r="L645" s="6"/>
      <c r="M645" s="6"/>
      <c r="N645" s="6"/>
      <c r="O645" s="6"/>
      <c r="P645" s="6"/>
      <c r="Q645" s="6"/>
      <c r="R645" s="6"/>
      <c r="S645" s="6"/>
      <c r="T645" s="6"/>
      <c r="U645" s="6"/>
      <c r="V645" s="6"/>
      <c r="W645" s="6"/>
      <c r="X645" s="6"/>
      <c r="Y645" s="6"/>
      <c r="Z645" s="6"/>
    </row>
    <row r="646" spans="1:26" ht="31.5" customHeight="1">
      <c r="A646" s="1"/>
      <c r="B646" s="6"/>
      <c r="C646" s="10"/>
      <c r="D646" s="1"/>
      <c r="E646" s="11"/>
      <c r="F646" s="11"/>
      <c r="G646" s="6"/>
      <c r="H646" s="6"/>
      <c r="I646" s="6"/>
      <c r="J646" s="6"/>
      <c r="K646" s="6"/>
      <c r="L646" s="6"/>
      <c r="M646" s="6"/>
      <c r="N646" s="6"/>
      <c r="O646" s="6"/>
      <c r="P646" s="6"/>
      <c r="Q646" s="6"/>
      <c r="R646" s="6"/>
      <c r="S646" s="6"/>
      <c r="T646" s="6"/>
      <c r="U646" s="6"/>
      <c r="V646" s="6"/>
      <c r="W646" s="6"/>
      <c r="X646" s="6"/>
      <c r="Y646" s="6"/>
      <c r="Z646" s="6"/>
    </row>
    <row r="647" spans="1:26" ht="31.5" customHeight="1">
      <c r="A647" s="1"/>
      <c r="B647" s="6"/>
      <c r="C647" s="10"/>
      <c r="D647" s="1"/>
      <c r="E647" s="11"/>
      <c r="F647" s="11"/>
      <c r="G647" s="6"/>
      <c r="H647" s="6"/>
      <c r="I647" s="6"/>
      <c r="J647" s="6"/>
      <c r="K647" s="6"/>
      <c r="L647" s="6"/>
      <c r="M647" s="6"/>
      <c r="N647" s="6"/>
      <c r="O647" s="6"/>
      <c r="P647" s="6"/>
      <c r="Q647" s="6"/>
      <c r="R647" s="6"/>
      <c r="S647" s="6"/>
      <c r="T647" s="6"/>
      <c r="U647" s="6"/>
      <c r="V647" s="6"/>
      <c r="W647" s="6"/>
      <c r="X647" s="6"/>
      <c r="Y647" s="6"/>
      <c r="Z647" s="6"/>
    </row>
    <row r="648" spans="1:26" ht="31.5" customHeight="1">
      <c r="A648" s="1"/>
      <c r="B648" s="6"/>
      <c r="C648" s="10"/>
      <c r="D648" s="1"/>
      <c r="E648" s="11"/>
      <c r="F648" s="11"/>
      <c r="G648" s="6"/>
      <c r="H648" s="6"/>
      <c r="I648" s="6"/>
      <c r="J648" s="6"/>
      <c r="K648" s="6"/>
      <c r="L648" s="6"/>
      <c r="M648" s="6"/>
      <c r="N648" s="6"/>
      <c r="O648" s="6"/>
      <c r="P648" s="6"/>
      <c r="Q648" s="6"/>
      <c r="R648" s="6"/>
      <c r="S648" s="6"/>
      <c r="T648" s="6"/>
      <c r="U648" s="6"/>
      <c r="V648" s="6"/>
      <c r="W648" s="6"/>
      <c r="X648" s="6"/>
      <c r="Y648" s="6"/>
      <c r="Z648" s="6"/>
    </row>
    <row r="649" spans="1:26" ht="31.5" customHeight="1">
      <c r="A649" s="1"/>
      <c r="B649" s="6"/>
      <c r="C649" s="10"/>
      <c r="D649" s="1"/>
      <c r="E649" s="11"/>
      <c r="F649" s="11"/>
      <c r="G649" s="6"/>
      <c r="H649" s="6"/>
      <c r="I649" s="6"/>
      <c r="J649" s="6"/>
      <c r="K649" s="6"/>
      <c r="L649" s="6"/>
      <c r="M649" s="6"/>
      <c r="N649" s="6"/>
      <c r="O649" s="6"/>
      <c r="P649" s="6"/>
      <c r="Q649" s="6"/>
      <c r="R649" s="6"/>
      <c r="S649" s="6"/>
      <c r="T649" s="6"/>
      <c r="U649" s="6"/>
      <c r="V649" s="6"/>
      <c r="W649" s="6"/>
      <c r="X649" s="6"/>
      <c r="Y649" s="6"/>
      <c r="Z649" s="6"/>
    </row>
    <row r="650" spans="1:26" ht="31.5" customHeight="1">
      <c r="A650" s="1"/>
      <c r="B650" s="6"/>
      <c r="C650" s="10"/>
      <c r="D650" s="1"/>
      <c r="E650" s="11"/>
      <c r="F650" s="11"/>
      <c r="G650" s="6"/>
      <c r="H650" s="6"/>
      <c r="I650" s="6"/>
      <c r="J650" s="6"/>
      <c r="K650" s="6"/>
      <c r="L650" s="6"/>
      <c r="M650" s="6"/>
      <c r="N650" s="6"/>
      <c r="O650" s="6"/>
      <c r="P650" s="6"/>
      <c r="Q650" s="6"/>
      <c r="R650" s="6"/>
      <c r="S650" s="6"/>
      <c r="T650" s="6"/>
      <c r="U650" s="6"/>
      <c r="V650" s="6"/>
      <c r="W650" s="6"/>
      <c r="X650" s="6"/>
      <c r="Y650" s="6"/>
      <c r="Z650" s="6"/>
    </row>
    <row r="651" spans="1:26" ht="31.5" customHeight="1">
      <c r="A651" s="1"/>
      <c r="B651" s="6"/>
      <c r="C651" s="10"/>
      <c r="D651" s="1"/>
      <c r="E651" s="11"/>
      <c r="F651" s="11"/>
      <c r="G651" s="6"/>
      <c r="H651" s="6"/>
      <c r="I651" s="6"/>
      <c r="J651" s="6"/>
      <c r="K651" s="6"/>
      <c r="L651" s="6"/>
      <c r="M651" s="6"/>
      <c r="N651" s="6"/>
      <c r="O651" s="6"/>
      <c r="P651" s="6"/>
      <c r="Q651" s="6"/>
      <c r="R651" s="6"/>
      <c r="S651" s="6"/>
      <c r="T651" s="6"/>
      <c r="U651" s="6"/>
      <c r="V651" s="6"/>
      <c r="W651" s="6"/>
      <c r="X651" s="6"/>
      <c r="Y651" s="6"/>
      <c r="Z651" s="6"/>
    </row>
    <row r="652" spans="1:26" ht="31.5" customHeight="1">
      <c r="A652" s="1"/>
      <c r="B652" s="6"/>
      <c r="C652" s="10"/>
      <c r="D652" s="1"/>
      <c r="E652" s="11"/>
      <c r="F652" s="11"/>
      <c r="G652" s="6"/>
      <c r="H652" s="6"/>
      <c r="I652" s="6"/>
      <c r="J652" s="6"/>
      <c r="K652" s="6"/>
      <c r="L652" s="6"/>
      <c r="M652" s="6"/>
      <c r="N652" s="6"/>
      <c r="O652" s="6"/>
      <c r="P652" s="6"/>
      <c r="Q652" s="6"/>
      <c r="R652" s="6"/>
      <c r="S652" s="6"/>
      <c r="T652" s="6"/>
      <c r="U652" s="6"/>
      <c r="V652" s="6"/>
      <c r="W652" s="6"/>
      <c r="X652" s="6"/>
      <c r="Y652" s="6"/>
      <c r="Z652" s="6"/>
    </row>
    <row r="653" spans="1:26" ht="31.5" customHeight="1">
      <c r="A653" s="1"/>
      <c r="B653" s="6"/>
      <c r="C653" s="10"/>
      <c r="D653" s="1"/>
      <c r="E653" s="11"/>
      <c r="F653" s="11"/>
      <c r="G653" s="6"/>
      <c r="H653" s="6"/>
      <c r="I653" s="6"/>
      <c r="J653" s="6"/>
      <c r="K653" s="6"/>
      <c r="L653" s="6"/>
      <c r="M653" s="6"/>
      <c r="N653" s="6"/>
      <c r="O653" s="6"/>
      <c r="P653" s="6"/>
      <c r="Q653" s="6"/>
      <c r="R653" s="6"/>
      <c r="S653" s="6"/>
      <c r="T653" s="6"/>
      <c r="U653" s="6"/>
      <c r="V653" s="6"/>
      <c r="W653" s="6"/>
      <c r="X653" s="6"/>
      <c r="Y653" s="6"/>
      <c r="Z653" s="6"/>
    </row>
    <row r="654" spans="1:26" ht="31.5" customHeight="1">
      <c r="A654" s="1"/>
      <c r="B654" s="6"/>
      <c r="C654" s="10"/>
      <c r="D654" s="1"/>
      <c r="E654" s="11"/>
      <c r="F654" s="11"/>
      <c r="G654" s="6"/>
      <c r="H654" s="6"/>
      <c r="I654" s="6"/>
      <c r="J654" s="6"/>
      <c r="K654" s="6"/>
      <c r="L654" s="6"/>
      <c r="M654" s="6"/>
      <c r="N654" s="6"/>
      <c r="O654" s="6"/>
      <c r="P654" s="6"/>
      <c r="Q654" s="6"/>
      <c r="R654" s="6"/>
      <c r="S654" s="6"/>
      <c r="T654" s="6"/>
      <c r="U654" s="6"/>
      <c r="V654" s="6"/>
      <c r="W654" s="6"/>
      <c r="X654" s="6"/>
      <c r="Y654" s="6"/>
      <c r="Z654" s="6"/>
    </row>
    <row r="655" spans="1:26" ht="31.5" customHeight="1">
      <c r="A655" s="1"/>
      <c r="B655" s="6"/>
      <c r="C655" s="10"/>
      <c r="D655" s="1"/>
      <c r="E655" s="11"/>
      <c r="F655" s="11"/>
      <c r="G655" s="6"/>
      <c r="H655" s="6"/>
      <c r="I655" s="6"/>
      <c r="J655" s="6"/>
      <c r="K655" s="6"/>
      <c r="L655" s="6"/>
      <c r="M655" s="6"/>
      <c r="N655" s="6"/>
      <c r="O655" s="6"/>
      <c r="P655" s="6"/>
      <c r="Q655" s="6"/>
      <c r="R655" s="6"/>
      <c r="S655" s="6"/>
      <c r="T655" s="6"/>
      <c r="U655" s="6"/>
      <c r="V655" s="6"/>
      <c r="W655" s="6"/>
      <c r="X655" s="6"/>
      <c r="Y655" s="6"/>
      <c r="Z655" s="6"/>
    </row>
    <row r="656" spans="1:26" ht="31.5" customHeight="1">
      <c r="A656" s="1"/>
      <c r="B656" s="6"/>
      <c r="C656" s="10"/>
      <c r="D656" s="1"/>
      <c r="E656" s="11"/>
      <c r="F656" s="11"/>
      <c r="G656" s="6"/>
      <c r="H656" s="6"/>
      <c r="I656" s="6"/>
      <c r="J656" s="6"/>
      <c r="K656" s="6"/>
      <c r="L656" s="6"/>
      <c r="M656" s="6"/>
      <c r="N656" s="6"/>
      <c r="O656" s="6"/>
      <c r="P656" s="6"/>
      <c r="Q656" s="6"/>
      <c r="R656" s="6"/>
      <c r="S656" s="6"/>
      <c r="T656" s="6"/>
      <c r="U656" s="6"/>
      <c r="V656" s="6"/>
      <c r="W656" s="6"/>
      <c r="X656" s="6"/>
      <c r="Y656" s="6"/>
      <c r="Z656" s="6"/>
    </row>
    <row r="657" spans="1:26" ht="31.5" customHeight="1">
      <c r="A657" s="1"/>
      <c r="B657" s="6"/>
      <c r="C657" s="10"/>
      <c r="D657" s="1"/>
      <c r="E657" s="11"/>
      <c r="F657" s="11"/>
      <c r="G657" s="6"/>
      <c r="H657" s="6"/>
      <c r="I657" s="6"/>
      <c r="J657" s="6"/>
      <c r="K657" s="6"/>
      <c r="L657" s="6"/>
      <c r="M657" s="6"/>
      <c r="N657" s="6"/>
      <c r="O657" s="6"/>
      <c r="P657" s="6"/>
      <c r="Q657" s="6"/>
      <c r="R657" s="6"/>
      <c r="S657" s="6"/>
      <c r="T657" s="6"/>
      <c r="U657" s="6"/>
      <c r="V657" s="6"/>
      <c r="W657" s="6"/>
      <c r="X657" s="6"/>
      <c r="Y657" s="6"/>
      <c r="Z657" s="6"/>
    </row>
    <row r="658" spans="1:26" ht="31.5" customHeight="1">
      <c r="A658" s="1"/>
      <c r="B658" s="6"/>
      <c r="C658" s="10"/>
      <c r="D658" s="1"/>
      <c r="E658" s="11"/>
      <c r="F658" s="11"/>
      <c r="G658" s="6"/>
      <c r="H658" s="6"/>
      <c r="I658" s="6"/>
      <c r="J658" s="6"/>
      <c r="K658" s="6"/>
      <c r="L658" s="6"/>
      <c r="M658" s="6"/>
      <c r="N658" s="6"/>
      <c r="O658" s="6"/>
      <c r="P658" s="6"/>
      <c r="Q658" s="6"/>
      <c r="R658" s="6"/>
      <c r="S658" s="6"/>
      <c r="T658" s="6"/>
      <c r="U658" s="6"/>
      <c r="V658" s="6"/>
      <c r="W658" s="6"/>
      <c r="X658" s="6"/>
      <c r="Y658" s="6"/>
      <c r="Z658" s="6"/>
    </row>
    <row r="659" spans="1:26" ht="31.5" customHeight="1">
      <c r="A659" s="1"/>
      <c r="B659" s="6"/>
      <c r="C659" s="10"/>
      <c r="D659" s="1"/>
      <c r="E659" s="11"/>
      <c r="F659" s="11"/>
      <c r="G659" s="6"/>
      <c r="H659" s="6"/>
      <c r="I659" s="6"/>
      <c r="J659" s="6"/>
      <c r="K659" s="6"/>
      <c r="L659" s="6"/>
      <c r="M659" s="6"/>
      <c r="N659" s="6"/>
      <c r="O659" s="6"/>
      <c r="P659" s="6"/>
      <c r="Q659" s="6"/>
      <c r="R659" s="6"/>
      <c r="S659" s="6"/>
      <c r="T659" s="6"/>
      <c r="U659" s="6"/>
      <c r="V659" s="6"/>
      <c r="W659" s="6"/>
      <c r="X659" s="6"/>
      <c r="Y659" s="6"/>
      <c r="Z659" s="6"/>
    </row>
    <row r="660" spans="1:26" ht="31.5" customHeight="1">
      <c r="A660" s="1"/>
      <c r="B660" s="6"/>
      <c r="C660" s="10"/>
      <c r="D660" s="1"/>
      <c r="E660" s="11"/>
      <c r="F660" s="11"/>
      <c r="G660" s="6"/>
      <c r="H660" s="6"/>
      <c r="I660" s="6"/>
      <c r="J660" s="6"/>
      <c r="K660" s="6"/>
      <c r="L660" s="6"/>
      <c r="M660" s="6"/>
      <c r="N660" s="6"/>
      <c r="O660" s="6"/>
      <c r="P660" s="6"/>
      <c r="Q660" s="6"/>
      <c r="R660" s="6"/>
      <c r="S660" s="6"/>
      <c r="T660" s="6"/>
      <c r="U660" s="6"/>
      <c r="V660" s="6"/>
      <c r="W660" s="6"/>
      <c r="X660" s="6"/>
      <c r="Y660" s="6"/>
      <c r="Z660" s="6"/>
    </row>
    <row r="661" spans="1:26" ht="31.5" customHeight="1">
      <c r="A661" s="1"/>
      <c r="B661" s="6"/>
      <c r="C661" s="10"/>
      <c r="D661" s="1"/>
      <c r="E661" s="11"/>
      <c r="F661" s="11"/>
      <c r="G661" s="6"/>
      <c r="H661" s="6"/>
      <c r="I661" s="6"/>
      <c r="J661" s="6"/>
      <c r="K661" s="6"/>
      <c r="L661" s="6"/>
      <c r="M661" s="6"/>
      <c r="N661" s="6"/>
      <c r="O661" s="6"/>
      <c r="P661" s="6"/>
      <c r="Q661" s="6"/>
      <c r="R661" s="6"/>
      <c r="S661" s="6"/>
      <c r="T661" s="6"/>
      <c r="U661" s="6"/>
      <c r="V661" s="6"/>
      <c r="W661" s="6"/>
      <c r="X661" s="6"/>
      <c r="Y661" s="6"/>
      <c r="Z661" s="6"/>
    </row>
    <row r="662" spans="1:26" ht="31.5" customHeight="1">
      <c r="A662" s="1"/>
      <c r="B662" s="6"/>
      <c r="C662" s="10"/>
      <c r="D662" s="1"/>
      <c r="E662" s="11"/>
      <c r="F662" s="11"/>
      <c r="G662" s="6"/>
      <c r="H662" s="6"/>
      <c r="I662" s="6"/>
      <c r="J662" s="6"/>
      <c r="K662" s="6"/>
      <c r="L662" s="6"/>
      <c r="M662" s="6"/>
      <c r="N662" s="6"/>
      <c r="O662" s="6"/>
      <c r="P662" s="6"/>
      <c r="Q662" s="6"/>
      <c r="R662" s="6"/>
      <c r="S662" s="6"/>
      <c r="T662" s="6"/>
      <c r="U662" s="6"/>
      <c r="V662" s="6"/>
      <c r="W662" s="6"/>
      <c r="X662" s="6"/>
      <c r="Y662" s="6"/>
      <c r="Z662" s="6"/>
    </row>
    <row r="663" spans="1:26" ht="31.5" customHeight="1">
      <c r="A663" s="1"/>
      <c r="B663" s="6"/>
      <c r="C663" s="10"/>
      <c r="D663" s="1"/>
      <c r="E663" s="11"/>
      <c r="F663" s="11"/>
      <c r="G663" s="6"/>
      <c r="H663" s="6"/>
      <c r="I663" s="6"/>
      <c r="J663" s="6"/>
      <c r="K663" s="6"/>
      <c r="L663" s="6"/>
      <c r="M663" s="6"/>
      <c r="N663" s="6"/>
      <c r="O663" s="6"/>
      <c r="P663" s="6"/>
      <c r="Q663" s="6"/>
      <c r="R663" s="6"/>
      <c r="S663" s="6"/>
      <c r="T663" s="6"/>
      <c r="U663" s="6"/>
      <c r="V663" s="6"/>
      <c r="W663" s="6"/>
      <c r="X663" s="6"/>
      <c r="Y663" s="6"/>
      <c r="Z663" s="6"/>
    </row>
    <row r="664" spans="1:26" ht="31.5" customHeight="1">
      <c r="A664" s="1"/>
      <c r="B664" s="6"/>
      <c r="C664" s="10"/>
      <c r="D664" s="1"/>
      <c r="E664" s="11"/>
      <c r="F664" s="11"/>
      <c r="G664" s="6"/>
      <c r="H664" s="6"/>
      <c r="I664" s="6"/>
      <c r="J664" s="6"/>
      <c r="K664" s="6"/>
      <c r="L664" s="6"/>
      <c r="M664" s="6"/>
      <c r="N664" s="6"/>
      <c r="O664" s="6"/>
      <c r="P664" s="6"/>
      <c r="Q664" s="6"/>
      <c r="R664" s="6"/>
      <c r="S664" s="6"/>
      <c r="T664" s="6"/>
      <c r="U664" s="6"/>
      <c r="V664" s="6"/>
      <c r="W664" s="6"/>
      <c r="X664" s="6"/>
      <c r="Y664" s="6"/>
      <c r="Z664" s="6"/>
    </row>
    <row r="665" spans="1:26" ht="31.5" customHeight="1">
      <c r="A665" s="1"/>
      <c r="B665" s="6"/>
      <c r="C665" s="10"/>
      <c r="D665" s="1"/>
      <c r="E665" s="11"/>
      <c r="F665" s="11"/>
      <c r="G665" s="6"/>
      <c r="H665" s="6"/>
      <c r="I665" s="6"/>
      <c r="J665" s="6"/>
      <c r="K665" s="6"/>
      <c r="L665" s="6"/>
      <c r="M665" s="6"/>
      <c r="N665" s="6"/>
      <c r="O665" s="6"/>
      <c r="P665" s="6"/>
      <c r="Q665" s="6"/>
      <c r="R665" s="6"/>
      <c r="S665" s="6"/>
      <c r="T665" s="6"/>
      <c r="U665" s="6"/>
      <c r="V665" s="6"/>
      <c r="W665" s="6"/>
      <c r="X665" s="6"/>
      <c r="Y665" s="6"/>
      <c r="Z665" s="6"/>
    </row>
    <row r="666" spans="1:26" ht="31.5" customHeight="1">
      <c r="A666" s="1"/>
      <c r="B666" s="6"/>
      <c r="C666" s="10"/>
      <c r="D666" s="1"/>
      <c r="E666" s="11"/>
      <c r="F666" s="11"/>
      <c r="G666" s="6"/>
      <c r="H666" s="6"/>
      <c r="I666" s="6"/>
      <c r="J666" s="6"/>
      <c r="K666" s="6"/>
      <c r="L666" s="6"/>
      <c r="M666" s="6"/>
      <c r="N666" s="6"/>
      <c r="O666" s="6"/>
      <c r="P666" s="6"/>
      <c r="Q666" s="6"/>
      <c r="R666" s="6"/>
      <c r="S666" s="6"/>
      <c r="T666" s="6"/>
      <c r="U666" s="6"/>
      <c r="V666" s="6"/>
      <c r="W666" s="6"/>
      <c r="X666" s="6"/>
      <c r="Y666" s="6"/>
      <c r="Z666" s="6"/>
    </row>
    <row r="667" spans="1:26" ht="31.5" customHeight="1">
      <c r="A667" s="1"/>
      <c r="B667" s="6"/>
      <c r="C667" s="10"/>
      <c r="D667" s="1"/>
      <c r="E667" s="11"/>
      <c r="F667" s="11"/>
      <c r="G667" s="6"/>
      <c r="H667" s="6"/>
      <c r="I667" s="6"/>
      <c r="J667" s="6"/>
      <c r="K667" s="6"/>
      <c r="L667" s="6"/>
      <c r="M667" s="6"/>
      <c r="N667" s="6"/>
      <c r="O667" s="6"/>
      <c r="P667" s="6"/>
      <c r="Q667" s="6"/>
      <c r="R667" s="6"/>
      <c r="S667" s="6"/>
      <c r="T667" s="6"/>
      <c r="U667" s="6"/>
      <c r="V667" s="6"/>
      <c r="W667" s="6"/>
      <c r="X667" s="6"/>
      <c r="Y667" s="6"/>
      <c r="Z667" s="6"/>
    </row>
    <row r="668" spans="1:26" ht="31.5" customHeight="1">
      <c r="A668" s="1"/>
      <c r="B668" s="6"/>
      <c r="C668" s="10"/>
      <c r="D668" s="1"/>
      <c r="E668" s="11"/>
      <c r="F668" s="11"/>
      <c r="G668" s="6"/>
      <c r="H668" s="6"/>
      <c r="I668" s="6"/>
      <c r="J668" s="6"/>
      <c r="K668" s="6"/>
      <c r="L668" s="6"/>
      <c r="M668" s="6"/>
      <c r="N668" s="6"/>
      <c r="O668" s="6"/>
      <c r="P668" s="6"/>
      <c r="Q668" s="6"/>
      <c r="R668" s="6"/>
      <c r="S668" s="6"/>
      <c r="T668" s="6"/>
      <c r="U668" s="6"/>
      <c r="V668" s="6"/>
      <c r="W668" s="6"/>
      <c r="X668" s="6"/>
      <c r="Y668" s="6"/>
      <c r="Z668" s="6"/>
    </row>
    <row r="669" spans="1:26" ht="31.5" customHeight="1">
      <c r="A669" s="1"/>
      <c r="B669" s="6"/>
      <c r="C669" s="10"/>
      <c r="D669" s="1"/>
      <c r="E669" s="11"/>
      <c r="F669" s="11"/>
      <c r="G669" s="6"/>
      <c r="H669" s="6"/>
      <c r="I669" s="6"/>
      <c r="J669" s="6"/>
      <c r="K669" s="6"/>
      <c r="L669" s="6"/>
      <c r="M669" s="6"/>
      <c r="N669" s="6"/>
      <c r="O669" s="6"/>
      <c r="P669" s="6"/>
      <c r="Q669" s="6"/>
      <c r="R669" s="6"/>
      <c r="S669" s="6"/>
      <c r="T669" s="6"/>
      <c r="U669" s="6"/>
      <c r="V669" s="6"/>
      <c r="W669" s="6"/>
      <c r="X669" s="6"/>
      <c r="Y669" s="6"/>
      <c r="Z669" s="6"/>
    </row>
    <row r="670" spans="1:26" ht="31.5" customHeight="1">
      <c r="A670" s="1"/>
      <c r="B670" s="6"/>
      <c r="C670" s="10"/>
      <c r="D670" s="1"/>
      <c r="E670" s="11"/>
      <c r="F670" s="11"/>
      <c r="G670" s="6"/>
      <c r="H670" s="6"/>
      <c r="I670" s="6"/>
      <c r="J670" s="6"/>
      <c r="K670" s="6"/>
      <c r="L670" s="6"/>
      <c r="M670" s="6"/>
      <c r="N670" s="6"/>
      <c r="O670" s="6"/>
      <c r="P670" s="6"/>
      <c r="Q670" s="6"/>
      <c r="R670" s="6"/>
      <c r="S670" s="6"/>
      <c r="T670" s="6"/>
      <c r="U670" s="6"/>
      <c r="V670" s="6"/>
      <c r="W670" s="6"/>
      <c r="X670" s="6"/>
      <c r="Y670" s="6"/>
      <c r="Z670" s="6"/>
    </row>
    <row r="671" spans="1:26" ht="31.5" customHeight="1">
      <c r="A671" s="1"/>
      <c r="B671" s="6"/>
      <c r="C671" s="10"/>
      <c r="D671" s="1"/>
      <c r="E671" s="11"/>
      <c r="F671" s="11"/>
      <c r="G671" s="6"/>
      <c r="H671" s="6"/>
      <c r="I671" s="6"/>
      <c r="J671" s="6"/>
      <c r="K671" s="6"/>
      <c r="L671" s="6"/>
      <c r="M671" s="6"/>
      <c r="N671" s="6"/>
      <c r="O671" s="6"/>
      <c r="P671" s="6"/>
      <c r="Q671" s="6"/>
      <c r="R671" s="6"/>
      <c r="S671" s="6"/>
      <c r="T671" s="6"/>
      <c r="U671" s="6"/>
      <c r="V671" s="6"/>
      <c r="W671" s="6"/>
      <c r="X671" s="6"/>
      <c r="Y671" s="6"/>
      <c r="Z671" s="6"/>
    </row>
    <row r="672" spans="1:26" ht="31.5" customHeight="1">
      <c r="A672" s="1"/>
      <c r="B672" s="6"/>
      <c r="C672" s="10"/>
      <c r="D672" s="1"/>
      <c r="E672" s="11"/>
      <c r="F672" s="11"/>
      <c r="G672" s="6"/>
      <c r="H672" s="6"/>
      <c r="I672" s="6"/>
      <c r="J672" s="6"/>
      <c r="K672" s="6"/>
      <c r="L672" s="6"/>
      <c r="M672" s="6"/>
      <c r="N672" s="6"/>
      <c r="O672" s="6"/>
      <c r="P672" s="6"/>
      <c r="Q672" s="6"/>
      <c r="R672" s="6"/>
      <c r="S672" s="6"/>
      <c r="T672" s="6"/>
      <c r="U672" s="6"/>
      <c r="V672" s="6"/>
      <c r="W672" s="6"/>
      <c r="X672" s="6"/>
      <c r="Y672" s="6"/>
      <c r="Z672" s="6"/>
    </row>
    <row r="673" spans="1:26" ht="31.5" customHeight="1">
      <c r="A673" s="1"/>
      <c r="B673" s="6"/>
      <c r="C673" s="10"/>
      <c r="D673" s="1"/>
      <c r="E673" s="11"/>
      <c r="F673" s="11"/>
      <c r="G673" s="6"/>
      <c r="H673" s="6"/>
      <c r="I673" s="6"/>
      <c r="J673" s="6"/>
      <c r="K673" s="6"/>
      <c r="L673" s="6"/>
      <c r="M673" s="6"/>
      <c r="N673" s="6"/>
      <c r="O673" s="6"/>
      <c r="P673" s="6"/>
      <c r="Q673" s="6"/>
      <c r="R673" s="6"/>
      <c r="S673" s="6"/>
      <c r="T673" s="6"/>
      <c r="U673" s="6"/>
      <c r="V673" s="6"/>
      <c r="W673" s="6"/>
      <c r="X673" s="6"/>
      <c r="Y673" s="6"/>
      <c r="Z673" s="6"/>
    </row>
    <row r="674" spans="1:26" ht="31.5" customHeight="1">
      <c r="A674" s="1"/>
      <c r="B674" s="6"/>
      <c r="C674" s="10"/>
      <c r="D674" s="1"/>
      <c r="E674" s="11"/>
      <c r="F674" s="11"/>
      <c r="G674" s="6"/>
      <c r="H674" s="6"/>
      <c r="I674" s="6"/>
      <c r="J674" s="6"/>
      <c r="K674" s="6"/>
      <c r="L674" s="6"/>
      <c r="M674" s="6"/>
      <c r="N674" s="6"/>
      <c r="O674" s="6"/>
      <c r="P674" s="6"/>
      <c r="Q674" s="6"/>
      <c r="R674" s="6"/>
      <c r="S674" s="6"/>
      <c r="T674" s="6"/>
      <c r="U674" s="6"/>
      <c r="V674" s="6"/>
      <c r="W674" s="6"/>
      <c r="X674" s="6"/>
      <c r="Y674" s="6"/>
      <c r="Z674" s="6"/>
    </row>
    <row r="675" spans="1:26" ht="31.5" customHeight="1">
      <c r="A675" s="1"/>
      <c r="B675" s="6"/>
      <c r="C675" s="10"/>
      <c r="D675" s="1"/>
      <c r="E675" s="11"/>
      <c r="F675" s="11"/>
      <c r="G675" s="6"/>
      <c r="H675" s="6"/>
      <c r="I675" s="6"/>
      <c r="J675" s="6"/>
      <c r="K675" s="6"/>
      <c r="L675" s="6"/>
      <c r="M675" s="6"/>
      <c r="N675" s="6"/>
      <c r="O675" s="6"/>
      <c r="P675" s="6"/>
      <c r="Q675" s="6"/>
      <c r="R675" s="6"/>
      <c r="S675" s="6"/>
      <c r="T675" s="6"/>
      <c r="U675" s="6"/>
      <c r="V675" s="6"/>
      <c r="W675" s="6"/>
      <c r="X675" s="6"/>
      <c r="Y675" s="6"/>
      <c r="Z675" s="6"/>
    </row>
    <row r="676" spans="1:26" ht="31.5" customHeight="1">
      <c r="A676" s="1"/>
      <c r="B676" s="6"/>
      <c r="C676" s="10"/>
      <c r="D676" s="1"/>
      <c r="E676" s="11"/>
      <c r="F676" s="11"/>
      <c r="G676" s="6"/>
      <c r="H676" s="6"/>
      <c r="I676" s="6"/>
      <c r="J676" s="6"/>
      <c r="K676" s="6"/>
      <c r="L676" s="6"/>
      <c r="M676" s="6"/>
      <c r="N676" s="6"/>
      <c r="O676" s="6"/>
      <c r="P676" s="6"/>
      <c r="Q676" s="6"/>
      <c r="R676" s="6"/>
      <c r="S676" s="6"/>
      <c r="T676" s="6"/>
      <c r="U676" s="6"/>
      <c r="V676" s="6"/>
      <c r="W676" s="6"/>
      <c r="X676" s="6"/>
      <c r="Y676" s="6"/>
      <c r="Z676" s="6"/>
    </row>
    <row r="677" spans="1:26" ht="31.5" customHeight="1">
      <c r="A677" s="1"/>
      <c r="B677" s="6"/>
      <c r="C677" s="10"/>
      <c r="D677" s="1"/>
      <c r="E677" s="11"/>
      <c r="F677" s="11"/>
      <c r="G677" s="6"/>
      <c r="H677" s="6"/>
      <c r="I677" s="6"/>
      <c r="J677" s="6"/>
      <c r="K677" s="6"/>
      <c r="L677" s="6"/>
      <c r="M677" s="6"/>
      <c r="N677" s="6"/>
      <c r="O677" s="6"/>
      <c r="P677" s="6"/>
      <c r="Q677" s="6"/>
      <c r="R677" s="6"/>
      <c r="S677" s="6"/>
      <c r="T677" s="6"/>
      <c r="U677" s="6"/>
      <c r="V677" s="6"/>
      <c r="W677" s="6"/>
      <c r="X677" s="6"/>
      <c r="Y677" s="6"/>
      <c r="Z677" s="6"/>
    </row>
    <row r="678" spans="1:26" ht="31.5" customHeight="1">
      <c r="A678" s="1"/>
      <c r="B678" s="6"/>
      <c r="C678" s="10"/>
      <c r="D678" s="1"/>
      <c r="E678" s="11"/>
      <c r="F678" s="11"/>
      <c r="G678" s="6"/>
      <c r="H678" s="6"/>
      <c r="I678" s="6"/>
      <c r="J678" s="6"/>
      <c r="K678" s="6"/>
      <c r="L678" s="6"/>
      <c r="M678" s="6"/>
      <c r="N678" s="6"/>
      <c r="O678" s="6"/>
      <c r="P678" s="6"/>
      <c r="Q678" s="6"/>
      <c r="R678" s="6"/>
      <c r="S678" s="6"/>
      <c r="T678" s="6"/>
      <c r="U678" s="6"/>
      <c r="V678" s="6"/>
      <c r="W678" s="6"/>
      <c r="X678" s="6"/>
      <c r="Y678" s="6"/>
      <c r="Z678" s="6"/>
    </row>
    <row r="679" spans="1:26" ht="31.5" customHeight="1">
      <c r="A679" s="1"/>
      <c r="B679" s="6"/>
      <c r="C679" s="10"/>
      <c r="D679" s="1"/>
      <c r="E679" s="11"/>
      <c r="F679" s="11"/>
      <c r="G679" s="6"/>
      <c r="H679" s="6"/>
      <c r="I679" s="6"/>
      <c r="J679" s="6"/>
      <c r="K679" s="6"/>
      <c r="L679" s="6"/>
      <c r="M679" s="6"/>
      <c r="N679" s="6"/>
      <c r="O679" s="6"/>
      <c r="P679" s="6"/>
      <c r="Q679" s="6"/>
      <c r="R679" s="6"/>
      <c r="S679" s="6"/>
      <c r="T679" s="6"/>
      <c r="U679" s="6"/>
      <c r="V679" s="6"/>
      <c r="W679" s="6"/>
      <c r="X679" s="6"/>
      <c r="Y679" s="6"/>
      <c r="Z679" s="6"/>
    </row>
    <row r="680" spans="1:26" ht="31.5" customHeight="1">
      <c r="A680" s="1"/>
      <c r="B680" s="6"/>
      <c r="C680" s="10"/>
      <c r="D680" s="1"/>
      <c r="E680" s="11"/>
      <c r="F680" s="11"/>
      <c r="G680" s="6"/>
      <c r="H680" s="6"/>
      <c r="I680" s="6"/>
      <c r="J680" s="6"/>
      <c r="K680" s="6"/>
      <c r="L680" s="6"/>
      <c r="M680" s="6"/>
      <c r="N680" s="6"/>
      <c r="O680" s="6"/>
      <c r="P680" s="6"/>
      <c r="Q680" s="6"/>
      <c r="R680" s="6"/>
      <c r="S680" s="6"/>
      <c r="T680" s="6"/>
      <c r="U680" s="6"/>
      <c r="V680" s="6"/>
      <c r="W680" s="6"/>
      <c r="X680" s="6"/>
      <c r="Y680" s="6"/>
      <c r="Z680" s="6"/>
    </row>
    <row r="681" spans="1:26" ht="31.5" customHeight="1">
      <c r="A681" s="1"/>
      <c r="B681" s="6"/>
      <c r="C681" s="10"/>
      <c r="D681" s="1"/>
      <c r="E681" s="11"/>
      <c r="F681" s="11"/>
      <c r="G681" s="6"/>
      <c r="H681" s="6"/>
      <c r="I681" s="6"/>
      <c r="J681" s="6"/>
      <c r="K681" s="6"/>
      <c r="L681" s="6"/>
      <c r="M681" s="6"/>
      <c r="N681" s="6"/>
      <c r="O681" s="6"/>
      <c r="P681" s="6"/>
      <c r="Q681" s="6"/>
      <c r="R681" s="6"/>
      <c r="S681" s="6"/>
      <c r="T681" s="6"/>
      <c r="U681" s="6"/>
      <c r="V681" s="6"/>
      <c r="W681" s="6"/>
      <c r="X681" s="6"/>
      <c r="Y681" s="6"/>
      <c r="Z681" s="6"/>
    </row>
    <row r="682" spans="1:26" ht="31.5" customHeight="1">
      <c r="A682" s="1"/>
      <c r="B682" s="6"/>
      <c r="C682" s="10"/>
      <c r="D682" s="1"/>
      <c r="E682" s="11"/>
      <c r="F682" s="11"/>
      <c r="G682" s="6"/>
      <c r="H682" s="6"/>
      <c r="I682" s="6"/>
      <c r="J682" s="6"/>
      <c r="K682" s="6"/>
      <c r="L682" s="6"/>
      <c r="M682" s="6"/>
      <c r="N682" s="6"/>
      <c r="O682" s="6"/>
      <c r="P682" s="6"/>
      <c r="Q682" s="6"/>
      <c r="R682" s="6"/>
      <c r="S682" s="6"/>
      <c r="T682" s="6"/>
      <c r="U682" s="6"/>
      <c r="V682" s="6"/>
      <c r="W682" s="6"/>
      <c r="X682" s="6"/>
      <c r="Y682" s="6"/>
      <c r="Z682" s="6"/>
    </row>
    <row r="683" spans="1:26" ht="31.5" customHeight="1">
      <c r="A683" s="1"/>
      <c r="B683" s="6"/>
      <c r="C683" s="10"/>
      <c r="D683" s="1"/>
      <c r="E683" s="11"/>
      <c r="F683" s="11"/>
      <c r="G683" s="6"/>
      <c r="H683" s="6"/>
      <c r="I683" s="6"/>
      <c r="J683" s="6"/>
      <c r="K683" s="6"/>
      <c r="L683" s="6"/>
      <c r="M683" s="6"/>
      <c r="N683" s="6"/>
      <c r="O683" s="6"/>
      <c r="P683" s="6"/>
      <c r="Q683" s="6"/>
      <c r="R683" s="6"/>
      <c r="S683" s="6"/>
      <c r="T683" s="6"/>
      <c r="U683" s="6"/>
      <c r="V683" s="6"/>
      <c r="W683" s="6"/>
      <c r="X683" s="6"/>
      <c r="Y683" s="6"/>
      <c r="Z683" s="6"/>
    </row>
    <row r="684" spans="1:26" ht="31.5" customHeight="1">
      <c r="A684" s="1"/>
      <c r="B684" s="6"/>
      <c r="C684" s="10"/>
      <c r="D684" s="1"/>
      <c r="E684" s="11"/>
      <c r="F684" s="11"/>
      <c r="G684" s="6"/>
      <c r="H684" s="6"/>
      <c r="I684" s="6"/>
      <c r="J684" s="6"/>
      <c r="K684" s="6"/>
      <c r="L684" s="6"/>
      <c r="M684" s="6"/>
      <c r="N684" s="6"/>
      <c r="O684" s="6"/>
      <c r="P684" s="6"/>
      <c r="Q684" s="6"/>
      <c r="R684" s="6"/>
      <c r="S684" s="6"/>
      <c r="T684" s="6"/>
      <c r="U684" s="6"/>
      <c r="V684" s="6"/>
      <c r="W684" s="6"/>
      <c r="X684" s="6"/>
      <c r="Y684" s="6"/>
      <c r="Z684" s="6"/>
    </row>
    <row r="685" spans="1:26" ht="31.5" customHeight="1">
      <c r="A685" s="1"/>
      <c r="B685" s="6"/>
      <c r="C685" s="10"/>
      <c r="D685" s="1"/>
      <c r="E685" s="11"/>
      <c r="F685" s="11"/>
      <c r="G685" s="6"/>
      <c r="H685" s="6"/>
      <c r="I685" s="6"/>
      <c r="J685" s="6"/>
      <c r="K685" s="6"/>
      <c r="L685" s="6"/>
      <c r="M685" s="6"/>
      <c r="N685" s="6"/>
      <c r="O685" s="6"/>
      <c r="P685" s="6"/>
      <c r="Q685" s="6"/>
      <c r="R685" s="6"/>
      <c r="S685" s="6"/>
      <c r="T685" s="6"/>
      <c r="U685" s="6"/>
      <c r="V685" s="6"/>
      <c r="W685" s="6"/>
      <c r="X685" s="6"/>
      <c r="Y685" s="6"/>
      <c r="Z685" s="6"/>
    </row>
    <row r="686" spans="1:26" ht="31.5" customHeight="1">
      <c r="A686" s="1"/>
      <c r="B686" s="6"/>
      <c r="C686" s="10"/>
      <c r="D686" s="1"/>
      <c r="E686" s="11"/>
      <c r="F686" s="11"/>
      <c r="G686" s="6"/>
      <c r="H686" s="6"/>
      <c r="I686" s="6"/>
      <c r="J686" s="6"/>
      <c r="K686" s="6"/>
      <c r="L686" s="6"/>
      <c r="M686" s="6"/>
      <c r="N686" s="6"/>
      <c r="O686" s="6"/>
      <c r="P686" s="6"/>
      <c r="Q686" s="6"/>
      <c r="R686" s="6"/>
      <c r="S686" s="6"/>
      <c r="T686" s="6"/>
      <c r="U686" s="6"/>
      <c r="V686" s="6"/>
      <c r="W686" s="6"/>
      <c r="X686" s="6"/>
      <c r="Y686" s="6"/>
      <c r="Z686" s="6"/>
    </row>
    <row r="687" spans="1:26" ht="31.5" customHeight="1">
      <c r="A687" s="1"/>
      <c r="B687" s="6"/>
      <c r="C687" s="10"/>
      <c r="D687" s="1"/>
      <c r="E687" s="11"/>
      <c r="F687" s="11"/>
      <c r="G687" s="6"/>
      <c r="H687" s="6"/>
      <c r="I687" s="6"/>
      <c r="J687" s="6"/>
      <c r="K687" s="6"/>
      <c r="L687" s="6"/>
      <c r="M687" s="6"/>
      <c r="N687" s="6"/>
      <c r="O687" s="6"/>
      <c r="P687" s="6"/>
      <c r="Q687" s="6"/>
      <c r="R687" s="6"/>
      <c r="S687" s="6"/>
      <c r="T687" s="6"/>
      <c r="U687" s="6"/>
      <c r="V687" s="6"/>
      <c r="W687" s="6"/>
      <c r="X687" s="6"/>
      <c r="Y687" s="6"/>
      <c r="Z687" s="6"/>
    </row>
    <row r="688" spans="1:26" ht="31.5" customHeight="1">
      <c r="A688" s="1"/>
      <c r="B688" s="6"/>
      <c r="C688" s="10"/>
      <c r="D688" s="1"/>
      <c r="E688" s="11"/>
      <c r="F688" s="11"/>
      <c r="G688" s="6"/>
      <c r="H688" s="6"/>
      <c r="I688" s="6"/>
      <c r="J688" s="6"/>
      <c r="K688" s="6"/>
      <c r="L688" s="6"/>
      <c r="M688" s="6"/>
      <c r="N688" s="6"/>
      <c r="O688" s="6"/>
      <c r="P688" s="6"/>
      <c r="Q688" s="6"/>
      <c r="R688" s="6"/>
      <c r="S688" s="6"/>
      <c r="T688" s="6"/>
      <c r="U688" s="6"/>
      <c r="V688" s="6"/>
      <c r="W688" s="6"/>
      <c r="X688" s="6"/>
      <c r="Y688" s="6"/>
      <c r="Z688" s="6"/>
    </row>
    <row r="689" spans="1:26" ht="31.5" customHeight="1">
      <c r="A689" s="1"/>
      <c r="B689" s="6"/>
      <c r="C689" s="10"/>
      <c r="D689" s="1"/>
      <c r="E689" s="11"/>
      <c r="F689" s="11"/>
      <c r="G689" s="6"/>
      <c r="H689" s="6"/>
      <c r="I689" s="6"/>
      <c r="J689" s="6"/>
      <c r="K689" s="6"/>
      <c r="L689" s="6"/>
      <c r="M689" s="6"/>
      <c r="N689" s="6"/>
      <c r="O689" s="6"/>
      <c r="P689" s="6"/>
      <c r="Q689" s="6"/>
      <c r="R689" s="6"/>
      <c r="S689" s="6"/>
      <c r="T689" s="6"/>
      <c r="U689" s="6"/>
      <c r="V689" s="6"/>
      <c r="W689" s="6"/>
      <c r="X689" s="6"/>
      <c r="Y689" s="6"/>
      <c r="Z689" s="6"/>
    </row>
    <row r="690" spans="1:26" ht="31.5" customHeight="1">
      <c r="A690" s="1"/>
      <c r="B690" s="6"/>
      <c r="C690" s="10"/>
      <c r="D690" s="1"/>
      <c r="E690" s="11"/>
      <c r="F690" s="11"/>
      <c r="G690" s="6"/>
      <c r="H690" s="6"/>
      <c r="I690" s="6"/>
      <c r="J690" s="6"/>
      <c r="K690" s="6"/>
      <c r="L690" s="6"/>
      <c r="M690" s="6"/>
      <c r="N690" s="6"/>
      <c r="O690" s="6"/>
      <c r="P690" s="6"/>
      <c r="Q690" s="6"/>
      <c r="R690" s="6"/>
      <c r="S690" s="6"/>
      <c r="T690" s="6"/>
      <c r="U690" s="6"/>
      <c r="V690" s="6"/>
      <c r="W690" s="6"/>
      <c r="X690" s="6"/>
      <c r="Y690" s="6"/>
      <c r="Z690" s="6"/>
    </row>
    <row r="691" spans="1:26" ht="31.5" customHeight="1">
      <c r="A691" s="1"/>
      <c r="B691" s="6"/>
      <c r="C691" s="10"/>
      <c r="D691" s="1"/>
      <c r="E691" s="11"/>
      <c r="F691" s="11"/>
      <c r="G691" s="6"/>
      <c r="H691" s="6"/>
      <c r="I691" s="6"/>
      <c r="J691" s="6"/>
      <c r="K691" s="6"/>
      <c r="L691" s="6"/>
      <c r="M691" s="6"/>
      <c r="N691" s="6"/>
      <c r="O691" s="6"/>
      <c r="P691" s="6"/>
      <c r="Q691" s="6"/>
      <c r="R691" s="6"/>
      <c r="S691" s="6"/>
      <c r="T691" s="6"/>
      <c r="U691" s="6"/>
      <c r="V691" s="6"/>
      <c r="W691" s="6"/>
      <c r="X691" s="6"/>
      <c r="Y691" s="6"/>
      <c r="Z691" s="6"/>
    </row>
    <row r="692" spans="1:26" ht="31.5" customHeight="1">
      <c r="A692" s="1"/>
      <c r="B692" s="6"/>
      <c r="C692" s="10"/>
      <c r="D692" s="1"/>
      <c r="E692" s="11"/>
      <c r="F692" s="11"/>
      <c r="G692" s="6"/>
      <c r="H692" s="6"/>
      <c r="I692" s="6"/>
      <c r="J692" s="6"/>
      <c r="K692" s="6"/>
      <c r="L692" s="6"/>
      <c r="M692" s="6"/>
      <c r="N692" s="6"/>
      <c r="O692" s="6"/>
      <c r="P692" s="6"/>
      <c r="Q692" s="6"/>
      <c r="R692" s="6"/>
      <c r="S692" s="6"/>
      <c r="T692" s="6"/>
      <c r="U692" s="6"/>
      <c r="V692" s="6"/>
      <c r="W692" s="6"/>
      <c r="X692" s="6"/>
      <c r="Y692" s="6"/>
      <c r="Z692" s="6"/>
    </row>
    <row r="693" spans="1:26" ht="31.5" customHeight="1">
      <c r="A693" s="1"/>
      <c r="B693" s="6"/>
      <c r="C693" s="10"/>
      <c r="D693" s="1"/>
      <c r="E693" s="11"/>
      <c r="F693" s="11"/>
      <c r="G693" s="6"/>
      <c r="H693" s="6"/>
      <c r="I693" s="6"/>
      <c r="J693" s="6"/>
      <c r="K693" s="6"/>
      <c r="L693" s="6"/>
      <c r="M693" s="6"/>
      <c r="N693" s="6"/>
      <c r="O693" s="6"/>
      <c r="P693" s="6"/>
      <c r="Q693" s="6"/>
      <c r="R693" s="6"/>
      <c r="S693" s="6"/>
      <c r="T693" s="6"/>
      <c r="U693" s="6"/>
      <c r="V693" s="6"/>
      <c r="W693" s="6"/>
      <c r="X693" s="6"/>
      <c r="Y693" s="6"/>
      <c r="Z693" s="6"/>
    </row>
    <row r="694" spans="1:26" ht="31.5" customHeight="1">
      <c r="A694" s="1"/>
      <c r="B694" s="6"/>
      <c r="C694" s="10"/>
      <c r="D694" s="1"/>
      <c r="E694" s="11"/>
      <c r="F694" s="11"/>
      <c r="G694" s="6"/>
      <c r="H694" s="6"/>
      <c r="I694" s="6"/>
      <c r="J694" s="6"/>
      <c r="K694" s="6"/>
      <c r="L694" s="6"/>
      <c r="M694" s="6"/>
      <c r="N694" s="6"/>
      <c r="O694" s="6"/>
      <c r="P694" s="6"/>
      <c r="Q694" s="6"/>
      <c r="R694" s="6"/>
      <c r="S694" s="6"/>
      <c r="T694" s="6"/>
      <c r="U694" s="6"/>
      <c r="V694" s="6"/>
      <c r="W694" s="6"/>
      <c r="X694" s="6"/>
      <c r="Y694" s="6"/>
      <c r="Z694" s="6"/>
    </row>
    <row r="695" spans="1:26" ht="31.5" customHeight="1">
      <c r="A695" s="1"/>
      <c r="B695" s="6"/>
      <c r="C695" s="10"/>
      <c r="D695" s="1"/>
      <c r="E695" s="11"/>
      <c r="F695" s="11"/>
      <c r="G695" s="6"/>
      <c r="H695" s="6"/>
      <c r="I695" s="6"/>
      <c r="J695" s="6"/>
      <c r="K695" s="6"/>
      <c r="L695" s="6"/>
      <c r="M695" s="6"/>
      <c r="N695" s="6"/>
      <c r="O695" s="6"/>
      <c r="P695" s="6"/>
      <c r="Q695" s="6"/>
      <c r="R695" s="6"/>
      <c r="S695" s="6"/>
      <c r="T695" s="6"/>
      <c r="U695" s="6"/>
      <c r="V695" s="6"/>
      <c r="W695" s="6"/>
      <c r="X695" s="6"/>
      <c r="Y695" s="6"/>
      <c r="Z695" s="6"/>
    </row>
    <row r="696" spans="1:26" ht="31.5" customHeight="1">
      <c r="A696" s="1"/>
      <c r="B696" s="6"/>
      <c r="C696" s="10"/>
      <c r="D696" s="1"/>
      <c r="E696" s="11"/>
      <c r="F696" s="11"/>
      <c r="G696" s="6"/>
      <c r="H696" s="6"/>
      <c r="I696" s="6"/>
      <c r="J696" s="6"/>
      <c r="K696" s="6"/>
      <c r="L696" s="6"/>
      <c r="M696" s="6"/>
      <c r="N696" s="6"/>
      <c r="O696" s="6"/>
      <c r="P696" s="6"/>
      <c r="Q696" s="6"/>
      <c r="R696" s="6"/>
      <c r="S696" s="6"/>
      <c r="T696" s="6"/>
      <c r="U696" s="6"/>
      <c r="V696" s="6"/>
      <c r="W696" s="6"/>
      <c r="X696" s="6"/>
      <c r="Y696" s="6"/>
      <c r="Z696" s="6"/>
    </row>
    <row r="697" spans="1:26" ht="31.5" customHeight="1">
      <c r="A697" s="1"/>
      <c r="B697" s="6"/>
      <c r="C697" s="10"/>
      <c r="D697" s="1"/>
      <c r="E697" s="11"/>
      <c r="F697" s="11"/>
      <c r="G697" s="6"/>
      <c r="H697" s="6"/>
      <c r="I697" s="6"/>
      <c r="J697" s="6"/>
      <c r="K697" s="6"/>
      <c r="L697" s="6"/>
      <c r="M697" s="6"/>
      <c r="N697" s="6"/>
      <c r="O697" s="6"/>
      <c r="P697" s="6"/>
      <c r="Q697" s="6"/>
      <c r="R697" s="6"/>
      <c r="S697" s="6"/>
      <c r="T697" s="6"/>
      <c r="U697" s="6"/>
      <c r="V697" s="6"/>
      <c r="W697" s="6"/>
      <c r="X697" s="6"/>
      <c r="Y697" s="6"/>
      <c r="Z697" s="6"/>
    </row>
    <row r="698" spans="1:26" ht="31.5" customHeight="1">
      <c r="A698" s="1"/>
      <c r="B698" s="6"/>
      <c r="C698" s="10"/>
      <c r="D698" s="1"/>
      <c r="E698" s="11"/>
      <c r="F698" s="11"/>
      <c r="G698" s="6"/>
      <c r="H698" s="6"/>
      <c r="I698" s="6"/>
      <c r="J698" s="6"/>
      <c r="K698" s="6"/>
      <c r="L698" s="6"/>
      <c r="M698" s="6"/>
      <c r="N698" s="6"/>
      <c r="O698" s="6"/>
      <c r="P698" s="6"/>
      <c r="Q698" s="6"/>
      <c r="R698" s="6"/>
      <c r="S698" s="6"/>
      <c r="T698" s="6"/>
      <c r="U698" s="6"/>
      <c r="V698" s="6"/>
      <c r="W698" s="6"/>
      <c r="X698" s="6"/>
      <c r="Y698" s="6"/>
      <c r="Z698" s="6"/>
    </row>
    <row r="699" spans="1:26" ht="31.5" customHeight="1">
      <c r="A699" s="1"/>
      <c r="B699" s="6"/>
      <c r="C699" s="10"/>
      <c r="D699" s="1"/>
      <c r="E699" s="11"/>
      <c r="F699" s="11"/>
      <c r="G699" s="6"/>
      <c r="H699" s="6"/>
      <c r="I699" s="6"/>
      <c r="J699" s="6"/>
      <c r="K699" s="6"/>
      <c r="L699" s="6"/>
      <c r="M699" s="6"/>
      <c r="N699" s="6"/>
      <c r="O699" s="6"/>
      <c r="P699" s="6"/>
      <c r="Q699" s="6"/>
      <c r="R699" s="6"/>
      <c r="S699" s="6"/>
      <c r="T699" s="6"/>
      <c r="U699" s="6"/>
      <c r="V699" s="6"/>
      <c r="W699" s="6"/>
      <c r="X699" s="6"/>
      <c r="Y699" s="6"/>
      <c r="Z699" s="6"/>
    </row>
    <row r="700" spans="1:26" ht="31.5" customHeight="1">
      <c r="A700" s="1"/>
      <c r="B700" s="6"/>
      <c r="C700" s="10"/>
      <c r="D700" s="1"/>
      <c r="E700" s="11"/>
      <c r="F700" s="11"/>
      <c r="G700" s="6"/>
      <c r="H700" s="6"/>
      <c r="I700" s="6"/>
      <c r="J700" s="6"/>
      <c r="K700" s="6"/>
      <c r="L700" s="6"/>
      <c r="M700" s="6"/>
      <c r="N700" s="6"/>
      <c r="O700" s="6"/>
      <c r="P700" s="6"/>
      <c r="Q700" s="6"/>
      <c r="R700" s="6"/>
      <c r="S700" s="6"/>
      <c r="T700" s="6"/>
      <c r="U700" s="6"/>
      <c r="V700" s="6"/>
      <c r="W700" s="6"/>
      <c r="X700" s="6"/>
      <c r="Y700" s="6"/>
      <c r="Z700" s="6"/>
    </row>
    <row r="701" spans="1:26" ht="31.5" customHeight="1">
      <c r="A701" s="1"/>
      <c r="B701" s="6"/>
      <c r="C701" s="10"/>
      <c r="D701" s="1"/>
      <c r="E701" s="11"/>
      <c r="F701" s="11"/>
      <c r="G701" s="6"/>
      <c r="H701" s="6"/>
      <c r="I701" s="6"/>
      <c r="J701" s="6"/>
      <c r="K701" s="6"/>
      <c r="L701" s="6"/>
      <c r="M701" s="6"/>
      <c r="N701" s="6"/>
      <c r="O701" s="6"/>
      <c r="P701" s="6"/>
      <c r="Q701" s="6"/>
      <c r="R701" s="6"/>
      <c r="S701" s="6"/>
      <c r="T701" s="6"/>
      <c r="U701" s="6"/>
      <c r="V701" s="6"/>
      <c r="W701" s="6"/>
      <c r="X701" s="6"/>
      <c r="Y701" s="6"/>
      <c r="Z701" s="6"/>
    </row>
    <row r="702" spans="1:26" ht="31.5" customHeight="1">
      <c r="A702" s="1"/>
      <c r="B702" s="6"/>
      <c r="C702" s="10"/>
      <c r="D702" s="1"/>
      <c r="E702" s="11"/>
      <c r="F702" s="11"/>
      <c r="G702" s="6"/>
      <c r="H702" s="6"/>
      <c r="I702" s="6"/>
      <c r="J702" s="6"/>
      <c r="K702" s="6"/>
      <c r="L702" s="6"/>
      <c r="M702" s="6"/>
      <c r="N702" s="6"/>
      <c r="O702" s="6"/>
      <c r="P702" s="6"/>
      <c r="Q702" s="6"/>
      <c r="R702" s="6"/>
      <c r="S702" s="6"/>
      <c r="T702" s="6"/>
      <c r="U702" s="6"/>
      <c r="V702" s="6"/>
      <c r="W702" s="6"/>
      <c r="X702" s="6"/>
      <c r="Y702" s="6"/>
      <c r="Z702" s="6"/>
    </row>
    <row r="703" spans="1:26" ht="31.5" customHeight="1">
      <c r="A703" s="1"/>
      <c r="B703" s="6"/>
      <c r="C703" s="10"/>
      <c r="D703" s="1"/>
      <c r="E703" s="11"/>
      <c r="F703" s="11"/>
      <c r="G703" s="6"/>
      <c r="H703" s="6"/>
      <c r="I703" s="6"/>
      <c r="J703" s="6"/>
      <c r="K703" s="6"/>
      <c r="L703" s="6"/>
      <c r="M703" s="6"/>
      <c r="N703" s="6"/>
      <c r="O703" s="6"/>
      <c r="P703" s="6"/>
      <c r="Q703" s="6"/>
      <c r="R703" s="6"/>
      <c r="S703" s="6"/>
      <c r="T703" s="6"/>
      <c r="U703" s="6"/>
      <c r="V703" s="6"/>
      <c r="W703" s="6"/>
      <c r="X703" s="6"/>
      <c r="Y703" s="6"/>
      <c r="Z703" s="6"/>
    </row>
    <row r="704" spans="1:26" ht="31.5" customHeight="1">
      <c r="A704" s="1"/>
      <c r="B704" s="6"/>
      <c r="C704" s="10"/>
      <c r="D704" s="1"/>
      <c r="E704" s="11"/>
      <c r="F704" s="11"/>
      <c r="G704" s="6"/>
      <c r="H704" s="6"/>
      <c r="I704" s="6"/>
      <c r="J704" s="6"/>
      <c r="K704" s="6"/>
      <c r="L704" s="6"/>
      <c r="M704" s="6"/>
      <c r="N704" s="6"/>
      <c r="O704" s="6"/>
      <c r="P704" s="6"/>
      <c r="Q704" s="6"/>
      <c r="R704" s="6"/>
      <c r="S704" s="6"/>
      <c r="T704" s="6"/>
      <c r="U704" s="6"/>
      <c r="V704" s="6"/>
      <c r="W704" s="6"/>
      <c r="X704" s="6"/>
      <c r="Y704" s="6"/>
      <c r="Z704" s="6"/>
    </row>
    <row r="705" spans="1:26" ht="31.5" customHeight="1">
      <c r="A705" s="1"/>
      <c r="B705" s="6"/>
      <c r="C705" s="10"/>
      <c r="D705" s="1"/>
      <c r="E705" s="11"/>
      <c r="F705" s="11"/>
      <c r="G705" s="6"/>
      <c r="H705" s="6"/>
      <c r="I705" s="6"/>
      <c r="J705" s="6"/>
      <c r="K705" s="6"/>
      <c r="L705" s="6"/>
      <c r="M705" s="6"/>
      <c r="N705" s="6"/>
      <c r="O705" s="6"/>
      <c r="P705" s="6"/>
      <c r="Q705" s="6"/>
      <c r="R705" s="6"/>
      <c r="S705" s="6"/>
      <c r="T705" s="6"/>
      <c r="U705" s="6"/>
      <c r="V705" s="6"/>
      <c r="W705" s="6"/>
      <c r="X705" s="6"/>
      <c r="Y705" s="6"/>
      <c r="Z705" s="6"/>
    </row>
    <row r="706" spans="1:26" ht="31.5" customHeight="1">
      <c r="A706" s="1"/>
      <c r="B706" s="6"/>
      <c r="C706" s="10"/>
      <c r="D706" s="1"/>
      <c r="E706" s="11"/>
      <c r="F706" s="11"/>
      <c r="G706" s="6"/>
      <c r="H706" s="6"/>
      <c r="I706" s="6"/>
      <c r="J706" s="6"/>
      <c r="K706" s="6"/>
      <c r="L706" s="6"/>
      <c r="M706" s="6"/>
      <c r="N706" s="6"/>
      <c r="O706" s="6"/>
      <c r="P706" s="6"/>
      <c r="Q706" s="6"/>
      <c r="R706" s="6"/>
      <c r="S706" s="6"/>
      <c r="T706" s="6"/>
      <c r="U706" s="6"/>
      <c r="V706" s="6"/>
      <c r="W706" s="6"/>
      <c r="X706" s="6"/>
      <c r="Y706" s="6"/>
      <c r="Z706" s="6"/>
    </row>
    <row r="707" spans="1:26" ht="31.5" customHeight="1">
      <c r="A707" s="1"/>
      <c r="B707" s="6"/>
      <c r="C707" s="10"/>
      <c r="D707" s="1"/>
      <c r="E707" s="11"/>
      <c r="F707" s="11"/>
      <c r="G707" s="6"/>
      <c r="H707" s="6"/>
      <c r="I707" s="6"/>
      <c r="J707" s="6"/>
      <c r="K707" s="6"/>
      <c r="L707" s="6"/>
      <c r="M707" s="6"/>
      <c r="N707" s="6"/>
      <c r="O707" s="6"/>
      <c r="P707" s="6"/>
      <c r="Q707" s="6"/>
      <c r="R707" s="6"/>
      <c r="S707" s="6"/>
      <c r="T707" s="6"/>
      <c r="U707" s="6"/>
      <c r="V707" s="6"/>
      <c r="W707" s="6"/>
      <c r="X707" s="6"/>
      <c r="Y707" s="6"/>
      <c r="Z707" s="6"/>
    </row>
    <row r="708" spans="1:26" ht="31.5" customHeight="1">
      <c r="A708" s="1"/>
      <c r="B708" s="6"/>
      <c r="C708" s="10"/>
      <c r="D708" s="1"/>
      <c r="E708" s="11"/>
      <c r="F708" s="11"/>
      <c r="G708" s="6"/>
      <c r="H708" s="6"/>
      <c r="I708" s="6"/>
      <c r="J708" s="6"/>
      <c r="K708" s="6"/>
      <c r="L708" s="6"/>
      <c r="M708" s="6"/>
      <c r="N708" s="6"/>
      <c r="O708" s="6"/>
      <c r="P708" s="6"/>
      <c r="Q708" s="6"/>
      <c r="R708" s="6"/>
      <c r="S708" s="6"/>
      <c r="T708" s="6"/>
      <c r="U708" s="6"/>
      <c r="V708" s="6"/>
      <c r="W708" s="6"/>
      <c r="X708" s="6"/>
      <c r="Y708" s="6"/>
      <c r="Z708" s="6"/>
    </row>
    <row r="709" spans="1:26" ht="31.5" customHeight="1">
      <c r="A709" s="1"/>
      <c r="B709" s="6"/>
      <c r="C709" s="10"/>
      <c r="D709" s="1"/>
      <c r="E709" s="11"/>
      <c r="F709" s="11"/>
      <c r="G709" s="6"/>
      <c r="H709" s="6"/>
      <c r="I709" s="6"/>
      <c r="J709" s="6"/>
      <c r="K709" s="6"/>
      <c r="L709" s="6"/>
      <c r="M709" s="6"/>
      <c r="N709" s="6"/>
      <c r="O709" s="6"/>
      <c r="P709" s="6"/>
      <c r="Q709" s="6"/>
      <c r="R709" s="6"/>
      <c r="S709" s="6"/>
      <c r="T709" s="6"/>
      <c r="U709" s="6"/>
      <c r="V709" s="6"/>
      <c r="W709" s="6"/>
      <c r="X709" s="6"/>
      <c r="Y709" s="6"/>
      <c r="Z709" s="6"/>
    </row>
    <row r="710" spans="1:26" ht="31.5" customHeight="1">
      <c r="A710" s="1"/>
      <c r="B710" s="6"/>
      <c r="C710" s="10"/>
      <c r="D710" s="1"/>
      <c r="E710" s="11"/>
      <c r="F710" s="11"/>
      <c r="G710" s="6"/>
      <c r="H710" s="6"/>
      <c r="I710" s="6"/>
      <c r="J710" s="6"/>
      <c r="K710" s="6"/>
      <c r="L710" s="6"/>
      <c r="M710" s="6"/>
      <c r="N710" s="6"/>
      <c r="O710" s="6"/>
      <c r="P710" s="6"/>
      <c r="Q710" s="6"/>
      <c r="R710" s="6"/>
      <c r="S710" s="6"/>
      <c r="T710" s="6"/>
      <c r="U710" s="6"/>
      <c r="V710" s="6"/>
      <c r="W710" s="6"/>
      <c r="X710" s="6"/>
      <c r="Y710" s="6"/>
      <c r="Z710" s="6"/>
    </row>
    <row r="711" spans="1:26" ht="31.5" customHeight="1">
      <c r="A711" s="1"/>
      <c r="B711" s="6"/>
      <c r="C711" s="10"/>
      <c r="D711" s="1"/>
      <c r="E711" s="11"/>
      <c r="F711" s="11"/>
      <c r="G711" s="6"/>
      <c r="H711" s="6"/>
      <c r="I711" s="6"/>
      <c r="J711" s="6"/>
      <c r="K711" s="6"/>
      <c r="L711" s="6"/>
      <c r="M711" s="6"/>
      <c r="N711" s="6"/>
      <c r="O711" s="6"/>
      <c r="P711" s="6"/>
      <c r="Q711" s="6"/>
      <c r="R711" s="6"/>
      <c r="S711" s="6"/>
      <c r="T711" s="6"/>
      <c r="U711" s="6"/>
      <c r="V711" s="6"/>
      <c r="W711" s="6"/>
      <c r="X711" s="6"/>
      <c r="Y711" s="6"/>
      <c r="Z711" s="6"/>
    </row>
    <row r="712" spans="1:26" ht="31.5" customHeight="1">
      <c r="A712" s="1"/>
      <c r="B712" s="6"/>
      <c r="C712" s="10"/>
      <c r="D712" s="1"/>
      <c r="E712" s="11"/>
      <c r="F712" s="11"/>
      <c r="G712" s="6"/>
      <c r="H712" s="6"/>
      <c r="I712" s="6"/>
      <c r="J712" s="6"/>
      <c r="K712" s="6"/>
      <c r="L712" s="6"/>
      <c r="M712" s="6"/>
      <c r="N712" s="6"/>
      <c r="O712" s="6"/>
      <c r="P712" s="6"/>
      <c r="Q712" s="6"/>
      <c r="R712" s="6"/>
      <c r="S712" s="6"/>
      <c r="T712" s="6"/>
      <c r="U712" s="6"/>
      <c r="V712" s="6"/>
      <c r="W712" s="6"/>
      <c r="X712" s="6"/>
      <c r="Y712" s="6"/>
      <c r="Z712" s="6"/>
    </row>
    <row r="713" spans="1:26" ht="31.5" customHeight="1">
      <c r="A713" s="1"/>
      <c r="B713" s="6"/>
      <c r="C713" s="10"/>
      <c r="D713" s="1"/>
      <c r="E713" s="11"/>
      <c r="F713" s="11"/>
      <c r="G713" s="6"/>
      <c r="H713" s="6"/>
      <c r="I713" s="6"/>
      <c r="J713" s="6"/>
      <c r="K713" s="6"/>
      <c r="L713" s="6"/>
      <c r="M713" s="6"/>
      <c r="N713" s="6"/>
      <c r="O713" s="6"/>
      <c r="P713" s="6"/>
      <c r="Q713" s="6"/>
      <c r="R713" s="6"/>
      <c r="S713" s="6"/>
      <c r="T713" s="6"/>
      <c r="U713" s="6"/>
      <c r="V713" s="6"/>
      <c r="W713" s="6"/>
      <c r="X713" s="6"/>
      <c r="Y713" s="6"/>
      <c r="Z713" s="6"/>
    </row>
    <row r="714" spans="1:26" ht="31.5" customHeight="1">
      <c r="A714" s="1"/>
      <c r="B714" s="6"/>
      <c r="C714" s="10"/>
      <c r="D714" s="1"/>
      <c r="E714" s="11"/>
      <c r="F714" s="11"/>
      <c r="G714" s="6"/>
      <c r="H714" s="6"/>
      <c r="I714" s="6"/>
      <c r="J714" s="6"/>
      <c r="K714" s="6"/>
      <c r="L714" s="6"/>
      <c r="M714" s="6"/>
      <c r="N714" s="6"/>
      <c r="O714" s="6"/>
      <c r="P714" s="6"/>
      <c r="Q714" s="6"/>
      <c r="R714" s="6"/>
      <c r="S714" s="6"/>
      <c r="T714" s="6"/>
      <c r="U714" s="6"/>
      <c r="V714" s="6"/>
      <c r="W714" s="6"/>
      <c r="X714" s="6"/>
      <c r="Y714" s="6"/>
      <c r="Z714" s="6"/>
    </row>
    <row r="715" spans="1:26" ht="31.5" customHeight="1">
      <c r="A715" s="1"/>
      <c r="B715" s="6"/>
      <c r="C715" s="10"/>
      <c r="D715" s="1"/>
      <c r="E715" s="11"/>
      <c r="F715" s="11"/>
      <c r="G715" s="6"/>
      <c r="H715" s="6"/>
      <c r="I715" s="6"/>
      <c r="J715" s="6"/>
      <c r="K715" s="6"/>
      <c r="L715" s="6"/>
      <c r="M715" s="6"/>
      <c r="N715" s="6"/>
      <c r="O715" s="6"/>
      <c r="P715" s="6"/>
      <c r="Q715" s="6"/>
      <c r="R715" s="6"/>
      <c r="S715" s="6"/>
      <c r="T715" s="6"/>
      <c r="U715" s="6"/>
      <c r="V715" s="6"/>
      <c r="W715" s="6"/>
      <c r="X715" s="6"/>
      <c r="Y715" s="6"/>
      <c r="Z715" s="6"/>
    </row>
    <row r="716" spans="1:26" ht="31.5" customHeight="1">
      <c r="A716" s="1"/>
      <c r="B716" s="6"/>
      <c r="C716" s="10"/>
      <c r="D716" s="1"/>
      <c r="E716" s="11"/>
      <c r="F716" s="11"/>
      <c r="G716" s="6"/>
      <c r="H716" s="6"/>
      <c r="I716" s="6"/>
      <c r="J716" s="6"/>
      <c r="K716" s="6"/>
      <c r="L716" s="6"/>
      <c r="M716" s="6"/>
      <c r="N716" s="6"/>
      <c r="O716" s="6"/>
      <c r="P716" s="6"/>
      <c r="Q716" s="6"/>
      <c r="R716" s="6"/>
      <c r="S716" s="6"/>
      <c r="T716" s="6"/>
      <c r="U716" s="6"/>
      <c r="V716" s="6"/>
      <c r="W716" s="6"/>
      <c r="X716" s="6"/>
      <c r="Y716" s="6"/>
      <c r="Z716" s="6"/>
    </row>
    <row r="717" spans="1:26" ht="31.5" customHeight="1">
      <c r="A717" s="1"/>
      <c r="B717" s="6"/>
      <c r="C717" s="10"/>
      <c r="D717" s="1"/>
      <c r="E717" s="11"/>
      <c r="F717" s="11"/>
      <c r="G717" s="6"/>
      <c r="H717" s="6"/>
      <c r="I717" s="6"/>
      <c r="J717" s="6"/>
      <c r="K717" s="6"/>
      <c r="L717" s="6"/>
      <c r="M717" s="6"/>
      <c r="N717" s="6"/>
      <c r="O717" s="6"/>
      <c r="P717" s="6"/>
      <c r="Q717" s="6"/>
      <c r="R717" s="6"/>
      <c r="S717" s="6"/>
      <c r="T717" s="6"/>
      <c r="U717" s="6"/>
      <c r="V717" s="6"/>
      <c r="W717" s="6"/>
      <c r="X717" s="6"/>
      <c r="Y717" s="6"/>
      <c r="Z717" s="6"/>
    </row>
    <row r="718" spans="1:26" ht="31.5" customHeight="1">
      <c r="A718" s="1"/>
      <c r="B718" s="6"/>
      <c r="C718" s="10"/>
      <c r="D718" s="1"/>
      <c r="E718" s="11"/>
      <c r="F718" s="11"/>
      <c r="G718" s="6"/>
      <c r="H718" s="6"/>
      <c r="I718" s="6"/>
      <c r="J718" s="6"/>
      <c r="K718" s="6"/>
      <c r="L718" s="6"/>
      <c r="M718" s="6"/>
      <c r="N718" s="6"/>
      <c r="O718" s="6"/>
      <c r="P718" s="6"/>
      <c r="Q718" s="6"/>
      <c r="R718" s="6"/>
      <c r="S718" s="6"/>
      <c r="T718" s="6"/>
      <c r="U718" s="6"/>
      <c r="V718" s="6"/>
      <c r="W718" s="6"/>
      <c r="X718" s="6"/>
      <c r="Y718" s="6"/>
      <c r="Z718" s="6"/>
    </row>
    <row r="719" spans="1:26" ht="31.5" customHeight="1">
      <c r="A719" s="1"/>
      <c r="B719" s="6"/>
      <c r="C719" s="10"/>
      <c r="D719" s="1"/>
      <c r="E719" s="11"/>
      <c r="F719" s="11"/>
      <c r="G719" s="6"/>
      <c r="H719" s="6"/>
      <c r="I719" s="6"/>
      <c r="J719" s="6"/>
      <c r="K719" s="6"/>
      <c r="L719" s="6"/>
      <c r="M719" s="6"/>
      <c r="N719" s="6"/>
      <c r="O719" s="6"/>
      <c r="P719" s="6"/>
      <c r="Q719" s="6"/>
      <c r="R719" s="6"/>
      <c r="S719" s="6"/>
      <c r="T719" s="6"/>
      <c r="U719" s="6"/>
      <c r="V719" s="6"/>
      <c r="W719" s="6"/>
      <c r="X719" s="6"/>
      <c r="Y719" s="6"/>
      <c r="Z719" s="6"/>
    </row>
    <row r="720" spans="1:26" ht="31.5" customHeight="1">
      <c r="A720" s="1"/>
      <c r="B720" s="6"/>
      <c r="C720" s="10"/>
      <c r="D720" s="1"/>
      <c r="E720" s="11"/>
      <c r="F720" s="11"/>
      <c r="G720" s="6"/>
      <c r="H720" s="6"/>
      <c r="I720" s="6"/>
      <c r="J720" s="6"/>
      <c r="K720" s="6"/>
      <c r="L720" s="6"/>
      <c r="M720" s="6"/>
      <c r="N720" s="6"/>
      <c r="O720" s="6"/>
      <c r="P720" s="6"/>
      <c r="Q720" s="6"/>
      <c r="R720" s="6"/>
      <c r="S720" s="6"/>
      <c r="T720" s="6"/>
      <c r="U720" s="6"/>
      <c r="V720" s="6"/>
      <c r="W720" s="6"/>
      <c r="X720" s="6"/>
      <c r="Y720" s="6"/>
      <c r="Z720" s="6"/>
    </row>
    <row r="721" spans="1:26" ht="31.5" customHeight="1">
      <c r="A721" s="1"/>
      <c r="B721" s="6"/>
      <c r="C721" s="10"/>
      <c r="D721" s="1"/>
      <c r="E721" s="11"/>
      <c r="F721" s="11"/>
      <c r="G721" s="6"/>
      <c r="H721" s="6"/>
      <c r="I721" s="6"/>
      <c r="J721" s="6"/>
      <c r="K721" s="6"/>
      <c r="L721" s="6"/>
      <c r="M721" s="6"/>
      <c r="N721" s="6"/>
      <c r="O721" s="6"/>
      <c r="P721" s="6"/>
      <c r="Q721" s="6"/>
      <c r="R721" s="6"/>
      <c r="S721" s="6"/>
      <c r="T721" s="6"/>
      <c r="U721" s="6"/>
      <c r="V721" s="6"/>
      <c r="W721" s="6"/>
      <c r="X721" s="6"/>
      <c r="Y721" s="6"/>
      <c r="Z721" s="6"/>
    </row>
    <row r="722" spans="1:26" ht="31.5" customHeight="1">
      <c r="A722" s="1"/>
      <c r="B722" s="6"/>
      <c r="C722" s="10"/>
      <c r="D722" s="1"/>
      <c r="E722" s="11"/>
      <c r="F722" s="11"/>
      <c r="G722" s="6"/>
      <c r="H722" s="6"/>
      <c r="I722" s="6"/>
      <c r="J722" s="6"/>
      <c r="K722" s="6"/>
      <c r="L722" s="6"/>
      <c r="M722" s="6"/>
      <c r="N722" s="6"/>
      <c r="O722" s="6"/>
      <c r="P722" s="6"/>
      <c r="Q722" s="6"/>
      <c r="R722" s="6"/>
      <c r="S722" s="6"/>
      <c r="T722" s="6"/>
      <c r="U722" s="6"/>
      <c r="V722" s="6"/>
      <c r="W722" s="6"/>
      <c r="X722" s="6"/>
      <c r="Y722" s="6"/>
      <c r="Z722" s="6"/>
    </row>
    <row r="723" spans="1:26" ht="31.5" customHeight="1">
      <c r="A723" s="1"/>
      <c r="B723" s="6"/>
      <c r="C723" s="10"/>
      <c r="D723" s="1"/>
      <c r="E723" s="11"/>
      <c r="F723" s="11"/>
      <c r="G723" s="6"/>
      <c r="H723" s="6"/>
      <c r="I723" s="6"/>
      <c r="J723" s="6"/>
      <c r="K723" s="6"/>
      <c r="L723" s="6"/>
      <c r="M723" s="6"/>
      <c r="N723" s="6"/>
      <c r="O723" s="6"/>
      <c r="P723" s="6"/>
      <c r="Q723" s="6"/>
      <c r="R723" s="6"/>
      <c r="S723" s="6"/>
      <c r="T723" s="6"/>
      <c r="U723" s="6"/>
      <c r="V723" s="6"/>
      <c r="W723" s="6"/>
      <c r="X723" s="6"/>
      <c r="Y723" s="6"/>
      <c r="Z723" s="6"/>
    </row>
    <row r="724" spans="1:26" ht="31.5" customHeight="1">
      <c r="A724" s="1"/>
      <c r="B724" s="6"/>
      <c r="C724" s="10"/>
      <c r="D724" s="1"/>
      <c r="E724" s="11"/>
      <c r="F724" s="11"/>
      <c r="G724" s="6"/>
      <c r="H724" s="6"/>
      <c r="I724" s="6"/>
      <c r="J724" s="6"/>
      <c r="K724" s="6"/>
      <c r="L724" s="6"/>
      <c r="M724" s="6"/>
      <c r="N724" s="6"/>
      <c r="O724" s="6"/>
      <c r="P724" s="6"/>
      <c r="Q724" s="6"/>
      <c r="R724" s="6"/>
      <c r="S724" s="6"/>
      <c r="T724" s="6"/>
      <c r="U724" s="6"/>
      <c r="V724" s="6"/>
      <c r="W724" s="6"/>
      <c r="X724" s="6"/>
      <c r="Y724" s="6"/>
      <c r="Z724" s="6"/>
    </row>
    <row r="725" spans="1:26" ht="31.5" customHeight="1">
      <c r="A725" s="1"/>
      <c r="B725" s="6"/>
      <c r="C725" s="10"/>
      <c r="D725" s="1"/>
      <c r="E725" s="11"/>
      <c r="F725" s="11"/>
      <c r="G725" s="6"/>
      <c r="H725" s="6"/>
      <c r="I725" s="6"/>
      <c r="J725" s="6"/>
      <c r="K725" s="6"/>
      <c r="L725" s="6"/>
      <c r="M725" s="6"/>
      <c r="N725" s="6"/>
      <c r="O725" s="6"/>
      <c r="P725" s="6"/>
      <c r="Q725" s="6"/>
      <c r="R725" s="6"/>
      <c r="S725" s="6"/>
      <c r="T725" s="6"/>
      <c r="U725" s="6"/>
      <c r="V725" s="6"/>
      <c r="W725" s="6"/>
      <c r="X725" s="6"/>
      <c r="Y725" s="6"/>
      <c r="Z725" s="6"/>
    </row>
    <row r="726" spans="1:26" ht="31.5" customHeight="1">
      <c r="A726" s="1"/>
      <c r="B726" s="6"/>
      <c r="C726" s="10"/>
      <c r="D726" s="1"/>
      <c r="E726" s="11"/>
      <c r="F726" s="11"/>
      <c r="G726" s="6"/>
      <c r="H726" s="6"/>
      <c r="I726" s="6"/>
      <c r="J726" s="6"/>
      <c r="K726" s="6"/>
      <c r="L726" s="6"/>
      <c r="M726" s="6"/>
      <c r="N726" s="6"/>
      <c r="O726" s="6"/>
      <c r="P726" s="6"/>
      <c r="Q726" s="6"/>
      <c r="R726" s="6"/>
      <c r="S726" s="6"/>
      <c r="T726" s="6"/>
      <c r="U726" s="6"/>
      <c r="V726" s="6"/>
      <c r="W726" s="6"/>
      <c r="X726" s="6"/>
      <c r="Y726" s="6"/>
      <c r="Z726" s="6"/>
    </row>
    <row r="727" spans="1:26" ht="31.5" customHeight="1">
      <c r="A727" s="1"/>
      <c r="B727" s="6"/>
      <c r="C727" s="10"/>
      <c r="D727" s="1"/>
      <c r="E727" s="11"/>
      <c r="F727" s="11"/>
      <c r="G727" s="6"/>
      <c r="H727" s="6"/>
      <c r="I727" s="6"/>
      <c r="J727" s="6"/>
      <c r="K727" s="6"/>
      <c r="L727" s="6"/>
      <c r="M727" s="6"/>
      <c r="N727" s="6"/>
      <c r="O727" s="6"/>
      <c r="P727" s="6"/>
      <c r="Q727" s="6"/>
      <c r="R727" s="6"/>
      <c r="S727" s="6"/>
      <c r="T727" s="6"/>
      <c r="U727" s="6"/>
      <c r="V727" s="6"/>
      <c r="W727" s="6"/>
      <c r="X727" s="6"/>
      <c r="Y727" s="6"/>
      <c r="Z727" s="6"/>
    </row>
    <row r="728" spans="1:26" ht="31.5" customHeight="1">
      <c r="A728" s="1"/>
      <c r="B728" s="6"/>
      <c r="C728" s="10"/>
      <c r="D728" s="1"/>
      <c r="E728" s="11"/>
      <c r="F728" s="11"/>
      <c r="G728" s="6"/>
      <c r="H728" s="6"/>
      <c r="I728" s="6"/>
      <c r="J728" s="6"/>
      <c r="K728" s="6"/>
      <c r="L728" s="6"/>
      <c r="M728" s="6"/>
      <c r="N728" s="6"/>
      <c r="O728" s="6"/>
      <c r="P728" s="6"/>
      <c r="Q728" s="6"/>
      <c r="R728" s="6"/>
      <c r="S728" s="6"/>
      <c r="T728" s="6"/>
      <c r="U728" s="6"/>
      <c r="V728" s="6"/>
      <c r="W728" s="6"/>
      <c r="X728" s="6"/>
      <c r="Y728" s="6"/>
      <c r="Z728" s="6"/>
    </row>
    <row r="729" spans="1:26" ht="31.5" customHeight="1">
      <c r="A729" s="1"/>
      <c r="B729" s="6"/>
      <c r="C729" s="10"/>
      <c r="D729" s="1"/>
      <c r="E729" s="11"/>
      <c r="F729" s="11"/>
      <c r="G729" s="6"/>
      <c r="H729" s="6"/>
      <c r="I729" s="6"/>
      <c r="J729" s="6"/>
      <c r="K729" s="6"/>
      <c r="L729" s="6"/>
      <c r="M729" s="6"/>
      <c r="N729" s="6"/>
      <c r="O729" s="6"/>
      <c r="P729" s="6"/>
      <c r="Q729" s="6"/>
      <c r="R729" s="6"/>
      <c r="S729" s="6"/>
      <c r="T729" s="6"/>
      <c r="U729" s="6"/>
      <c r="V729" s="6"/>
      <c r="W729" s="6"/>
      <c r="X729" s="6"/>
      <c r="Y729" s="6"/>
      <c r="Z729" s="6"/>
    </row>
    <row r="730" spans="1:26" ht="31.5" customHeight="1">
      <c r="A730" s="1"/>
      <c r="B730" s="6"/>
      <c r="C730" s="10"/>
      <c r="D730" s="1"/>
      <c r="E730" s="11"/>
      <c r="F730" s="11"/>
      <c r="G730" s="6"/>
      <c r="H730" s="6"/>
      <c r="I730" s="6"/>
      <c r="J730" s="6"/>
      <c r="K730" s="6"/>
      <c r="L730" s="6"/>
      <c r="M730" s="6"/>
      <c r="N730" s="6"/>
      <c r="O730" s="6"/>
      <c r="P730" s="6"/>
      <c r="Q730" s="6"/>
      <c r="R730" s="6"/>
      <c r="S730" s="6"/>
      <c r="T730" s="6"/>
      <c r="U730" s="6"/>
      <c r="V730" s="6"/>
      <c r="W730" s="6"/>
      <c r="X730" s="6"/>
      <c r="Y730" s="6"/>
      <c r="Z730" s="6"/>
    </row>
    <row r="731" spans="1:26" ht="31.5" customHeight="1">
      <c r="A731" s="1"/>
      <c r="B731" s="6"/>
      <c r="C731" s="10"/>
      <c r="D731" s="1"/>
      <c r="E731" s="11"/>
      <c r="F731" s="11"/>
      <c r="G731" s="6"/>
      <c r="H731" s="6"/>
      <c r="I731" s="6"/>
      <c r="J731" s="6"/>
      <c r="K731" s="6"/>
      <c r="L731" s="6"/>
      <c r="M731" s="6"/>
      <c r="N731" s="6"/>
      <c r="O731" s="6"/>
      <c r="P731" s="6"/>
      <c r="Q731" s="6"/>
      <c r="R731" s="6"/>
      <c r="S731" s="6"/>
      <c r="T731" s="6"/>
      <c r="U731" s="6"/>
      <c r="V731" s="6"/>
      <c r="W731" s="6"/>
      <c r="X731" s="6"/>
      <c r="Y731" s="6"/>
      <c r="Z731" s="6"/>
    </row>
    <row r="732" spans="1:26" ht="31.5" customHeight="1">
      <c r="A732" s="1"/>
      <c r="B732" s="6"/>
      <c r="C732" s="10"/>
      <c r="D732" s="1"/>
      <c r="E732" s="11"/>
      <c r="F732" s="11"/>
      <c r="G732" s="6"/>
      <c r="H732" s="6"/>
      <c r="I732" s="6"/>
      <c r="J732" s="6"/>
      <c r="K732" s="6"/>
      <c r="L732" s="6"/>
      <c r="M732" s="6"/>
      <c r="N732" s="6"/>
      <c r="O732" s="6"/>
      <c r="P732" s="6"/>
      <c r="Q732" s="6"/>
      <c r="R732" s="6"/>
      <c r="S732" s="6"/>
      <c r="T732" s="6"/>
      <c r="U732" s="6"/>
      <c r="V732" s="6"/>
      <c r="W732" s="6"/>
      <c r="X732" s="6"/>
      <c r="Y732" s="6"/>
      <c r="Z732" s="6"/>
    </row>
    <row r="733" spans="1:26" ht="31.5" customHeight="1">
      <c r="A733" s="1"/>
      <c r="B733" s="6"/>
      <c r="C733" s="10"/>
      <c r="D733" s="1"/>
      <c r="E733" s="11"/>
      <c r="F733" s="11"/>
      <c r="G733" s="6"/>
      <c r="H733" s="6"/>
      <c r="I733" s="6"/>
      <c r="J733" s="6"/>
      <c r="K733" s="6"/>
      <c r="L733" s="6"/>
      <c r="M733" s="6"/>
      <c r="N733" s="6"/>
      <c r="O733" s="6"/>
      <c r="P733" s="6"/>
      <c r="Q733" s="6"/>
      <c r="R733" s="6"/>
      <c r="S733" s="6"/>
      <c r="T733" s="6"/>
      <c r="U733" s="6"/>
      <c r="V733" s="6"/>
      <c r="W733" s="6"/>
      <c r="X733" s="6"/>
      <c r="Y733" s="6"/>
      <c r="Z733" s="6"/>
    </row>
    <row r="734" spans="1:26" ht="31.5" customHeight="1">
      <c r="A734" s="1"/>
      <c r="B734" s="6"/>
      <c r="C734" s="10"/>
      <c r="D734" s="1"/>
      <c r="E734" s="11"/>
      <c r="F734" s="11"/>
      <c r="G734" s="6"/>
      <c r="H734" s="6"/>
      <c r="I734" s="6"/>
      <c r="J734" s="6"/>
      <c r="K734" s="6"/>
      <c r="L734" s="6"/>
      <c r="M734" s="6"/>
      <c r="N734" s="6"/>
      <c r="O734" s="6"/>
      <c r="P734" s="6"/>
      <c r="Q734" s="6"/>
      <c r="R734" s="6"/>
      <c r="S734" s="6"/>
      <c r="T734" s="6"/>
      <c r="U734" s="6"/>
      <c r="V734" s="6"/>
      <c r="W734" s="6"/>
      <c r="X734" s="6"/>
      <c r="Y734" s="6"/>
      <c r="Z734" s="6"/>
    </row>
    <row r="735" spans="1:26" ht="31.5" customHeight="1">
      <c r="A735" s="1"/>
      <c r="B735" s="6"/>
      <c r="C735" s="10"/>
      <c r="D735" s="1"/>
      <c r="E735" s="11"/>
      <c r="F735" s="11"/>
      <c r="G735" s="6"/>
      <c r="H735" s="6"/>
      <c r="I735" s="6"/>
      <c r="J735" s="6"/>
      <c r="K735" s="6"/>
      <c r="L735" s="6"/>
      <c r="M735" s="6"/>
      <c r="N735" s="6"/>
      <c r="O735" s="6"/>
      <c r="P735" s="6"/>
      <c r="Q735" s="6"/>
      <c r="R735" s="6"/>
      <c r="S735" s="6"/>
      <c r="T735" s="6"/>
      <c r="U735" s="6"/>
      <c r="V735" s="6"/>
      <c r="W735" s="6"/>
      <c r="X735" s="6"/>
      <c r="Y735" s="6"/>
      <c r="Z735" s="6"/>
    </row>
    <row r="736" spans="1:26" ht="31.5" customHeight="1">
      <c r="A736" s="1"/>
      <c r="B736" s="6"/>
      <c r="C736" s="10"/>
      <c r="D736" s="1"/>
      <c r="E736" s="11"/>
      <c r="F736" s="11"/>
      <c r="G736" s="6"/>
      <c r="H736" s="6"/>
      <c r="I736" s="6"/>
      <c r="J736" s="6"/>
      <c r="K736" s="6"/>
      <c r="L736" s="6"/>
      <c r="M736" s="6"/>
      <c r="N736" s="6"/>
      <c r="O736" s="6"/>
      <c r="P736" s="6"/>
      <c r="Q736" s="6"/>
      <c r="R736" s="6"/>
      <c r="S736" s="6"/>
      <c r="T736" s="6"/>
      <c r="U736" s="6"/>
      <c r="V736" s="6"/>
      <c r="W736" s="6"/>
      <c r="X736" s="6"/>
      <c r="Y736" s="6"/>
      <c r="Z736" s="6"/>
    </row>
    <row r="737" spans="1:26" ht="31.5" customHeight="1">
      <c r="A737" s="1"/>
      <c r="B737" s="6"/>
      <c r="C737" s="10"/>
      <c r="D737" s="1"/>
      <c r="E737" s="11"/>
      <c r="F737" s="11"/>
      <c r="G737" s="6"/>
      <c r="H737" s="6"/>
      <c r="I737" s="6"/>
      <c r="J737" s="6"/>
      <c r="K737" s="6"/>
      <c r="L737" s="6"/>
      <c r="M737" s="6"/>
      <c r="N737" s="6"/>
      <c r="O737" s="6"/>
      <c r="P737" s="6"/>
      <c r="Q737" s="6"/>
      <c r="R737" s="6"/>
      <c r="S737" s="6"/>
      <c r="T737" s="6"/>
      <c r="U737" s="6"/>
      <c r="V737" s="6"/>
      <c r="W737" s="6"/>
      <c r="X737" s="6"/>
      <c r="Y737" s="6"/>
      <c r="Z737" s="6"/>
    </row>
    <row r="738" spans="1:26" ht="31.5" customHeight="1">
      <c r="A738" s="1"/>
      <c r="B738" s="6"/>
      <c r="C738" s="10"/>
      <c r="D738" s="1"/>
      <c r="E738" s="11"/>
      <c r="F738" s="11"/>
      <c r="G738" s="6"/>
      <c r="H738" s="6"/>
      <c r="I738" s="6"/>
      <c r="J738" s="6"/>
      <c r="K738" s="6"/>
      <c r="L738" s="6"/>
      <c r="M738" s="6"/>
      <c r="N738" s="6"/>
      <c r="O738" s="6"/>
      <c r="P738" s="6"/>
      <c r="Q738" s="6"/>
      <c r="R738" s="6"/>
      <c r="S738" s="6"/>
      <c r="T738" s="6"/>
      <c r="U738" s="6"/>
      <c r="V738" s="6"/>
      <c r="W738" s="6"/>
      <c r="X738" s="6"/>
      <c r="Y738" s="6"/>
      <c r="Z738" s="6"/>
    </row>
    <row r="739" spans="1:26" ht="31.5" customHeight="1">
      <c r="A739" s="1"/>
      <c r="B739" s="6"/>
      <c r="C739" s="10"/>
      <c r="D739" s="1"/>
      <c r="E739" s="11"/>
      <c r="F739" s="11"/>
      <c r="G739" s="6"/>
      <c r="H739" s="6"/>
      <c r="I739" s="6"/>
      <c r="J739" s="6"/>
      <c r="K739" s="6"/>
      <c r="L739" s="6"/>
      <c r="M739" s="6"/>
      <c r="N739" s="6"/>
      <c r="O739" s="6"/>
      <c r="P739" s="6"/>
      <c r="Q739" s="6"/>
      <c r="R739" s="6"/>
      <c r="S739" s="6"/>
      <c r="T739" s="6"/>
      <c r="U739" s="6"/>
      <c r="V739" s="6"/>
      <c r="W739" s="6"/>
      <c r="X739" s="6"/>
      <c r="Y739" s="6"/>
      <c r="Z739" s="6"/>
    </row>
    <row r="740" spans="1:26" ht="31.5" customHeight="1">
      <c r="A740" s="1"/>
      <c r="B740" s="6"/>
      <c r="C740" s="10"/>
      <c r="D740" s="1"/>
      <c r="E740" s="11"/>
      <c r="F740" s="11"/>
      <c r="G740" s="6"/>
      <c r="H740" s="6"/>
      <c r="I740" s="6"/>
      <c r="J740" s="6"/>
      <c r="K740" s="6"/>
      <c r="L740" s="6"/>
      <c r="M740" s="6"/>
      <c r="N740" s="6"/>
      <c r="O740" s="6"/>
      <c r="P740" s="6"/>
      <c r="Q740" s="6"/>
      <c r="R740" s="6"/>
      <c r="S740" s="6"/>
      <c r="T740" s="6"/>
      <c r="U740" s="6"/>
      <c r="V740" s="6"/>
      <c r="W740" s="6"/>
      <c r="X740" s="6"/>
      <c r="Y740" s="6"/>
      <c r="Z740" s="6"/>
    </row>
    <row r="741" spans="1:26" ht="31.5" customHeight="1">
      <c r="A741" s="1"/>
      <c r="B741" s="6"/>
      <c r="C741" s="10"/>
      <c r="D741" s="1"/>
      <c r="E741" s="11"/>
      <c r="F741" s="11"/>
      <c r="G741" s="6"/>
      <c r="H741" s="6"/>
      <c r="I741" s="6"/>
      <c r="J741" s="6"/>
      <c r="K741" s="6"/>
      <c r="L741" s="6"/>
      <c r="M741" s="6"/>
      <c r="N741" s="6"/>
      <c r="O741" s="6"/>
      <c r="P741" s="6"/>
      <c r="Q741" s="6"/>
      <c r="R741" s="6"/>
      <c r="S741" s="6"/>
      <c r="T741" s="6"/>
      <c r="U741" s="6"/>
      <c r="V741" s="6"/>
      <c r="W741" s="6"/>
      <c r="X741" s="6"/>
      <c r="Y741" s="6"/>
      <c r="Z741" s="6"/>
    </row>
    <row r="742" spans="1:26" ht="31.5" customHeight="1">
      <c r="A742" s="1"/>
      <c r="B742" s="6"/>
      <c r="C742" s="10"/>
      <c r="D742" s="1"/>
      <c r="E742" s="11"/>
      <c r="F742" s="11"/>
      <c r="G742" s="6"/>
      <c r="H742" s="6"/>
      <c r="I742" s="6"/>
      <c r="J742" s="6"/>
      <c r="K742" s="6"/>
      <c r="L742" s="6"/>
      <c r="M742" s="6"/>
      <c r="N742" s="6"/>
      <c r="O742" s="6"/>
      <c r="P742" s="6"/>
      <c r="Q742" s="6"/>
      <c r="R742" s="6"/>
      <c r="S742" s="6"/>
      <c r="T742" s="6"/>
      <c r="U742" s="6"/>
      <c r="V742" s="6"/>
      <c r="W742" s="6"/>
      <c r="X742" s="6"/>
      <c r="Y742" s="6"/>
      <c r="Z742" s="6"/>
    </row>
    <row r="743" spans="1:26" ht="31.5" customHeight="1">
      <c r="A743" s="1"/>
      <c r="B743" s="6"/>
      <c r="C743" s="10"/>
      <c r="D743" s="1"/>
      <c r="E743" s="11"/>
      <c r="F743" s="11"/>
      <c r="G743" s="6"/>
      <c r="H743" s="6"/>
      <c r="I743" s="6"/>
      <c r="J743" s="6"/>
      <c r="K743" s="6"/>
      <c r="L743" s="6"/>
      <c r="M743" s="6"/>
      <c r="N743" s="6"/>
      <c r="O743" s="6"/>
      <c r="P743" s="6"/>
      <c r="Q743" s="6"/>
      <c r="R743" s="6"/>
      <c r="S743" s="6"/>
      <c r="T743" s="6"/>
      <c r="U743" s="6"/>
      <c r="V743" s="6"/>
      <c r="W743" s="6"/>
      <c r="X743" s="6"/>
      <c r="Y743" s="6"/>
      <c r="Z743" s="6"/>
    </row>
    <row r="744" spans="1:26" ht="31.5" customHeight="1">
      <c r="A744" s="1"/>
      <c r="B744" s="6"/>
      <c r="C744" s="10"/>
      <c r="D744" s="1"/>
      <c r="E744" s="11"/>
      <c r="F744" s="11"/>
      <c r="G744" s="6"/>
      <c r="H744" s="6"/>
      <c r="I744" s="6"/>
      <c r="J744" s="6"/>
      <c r="K744" s="6"/>
      <c r="L744" s="6"/>
      <c r="M744" s="6"/>
      <c r="N744" s="6"/>
      <c r="O744" s="6"/>
      <c r="P744" s="6"/>
      <c r="Q744" s="6"/>
      <c r="R744" s="6"/>
      <c r="S744" s="6"/>
      <c r="T744" s="6"/>
      <c r="U744" s="6"/>
      <c r="V744" s="6"/>
      <c r="W744" s="6"/>
      <c r="X744" s="6"/>
      <c r="Y744" s="6"/>
      <c r="Z744" s="6"/>
    </row>
    <row r="745" spans="1:26" ht="31.5" customHeight="1">
      <c r="A745" s="1"/>
      <c r="B745" s="6"/>
      <c r="C745" s="10"/>
      <c r="D745" s="1"/>
      <c r="E745" s="11"/>
      <c r="F745" s="11"/>
      <c r="G745" s="6"/>
      <c r="H745" s="6"/>
      <c r="I745" s="6"/>
      <c r="J745" s="6"/>
      <c r="K745" s="6"/>
      <c r="L745" s="6"/>
      <c r="M745" s="6"/>
      <c r="N745" s="6"/>
      <c r="O745" s="6"/>
      <c r="P745" s="6"/>
      <c r="Q745" s="6"/>
      <c r="R745" s="6"/>
      <c r="S745" s="6"/>
      <c r="T745" s="6"/>
      <c r="U745" s="6"/>
      <c r="V745" s="6"/>
      <c r="W745" s="6"/>
      <c r="X745" s="6"/>
      <c r="Y745" s="6"/>
      <c r="Z745" s="6"/>
    </row>
    <row r="746" spans="1:26" ht="31.5" customHeight="1">
      <c r="A746" s="1"/>
      <c r="B746" s="6"/>
      <c r="C746" s="10"/>
      <c r="D746" s="1"/>
      <c r="E746" s="11"/>
      <c r="F746" s="11"/>
      <c r="G746" s="6"/>
      <c r="H746" s="6"/>
      <c r="I746" s="6"/>
      <c r="J746" s="6"/>
      <c r="K746" s="6"/>
      <c r="L746" s="6"/>
      <c r="M746" s="6"/>
      <c r="N746" s="6"/>
      <c r="O746" s="6"/>
      <c r="P746" s="6"/>
      <c r="Q746" s="6"/>
      <c r="R746" s="6"/>
      <c r="S746" s="6"/>
      <c r="T746" s="6"/>
      <c r="U746" s="6"/>
      <c r="V746" s="6"/>
      <c r="W746" s="6"/>
      <c r="X746" s="6"/>
      <c r="Y746" s="6"/>
      <c r="Z746" s="6"/>
    </row>
    <row r="747" spans="1:26" ht="31.5" customHeight="1">
      <c r="A747" s="1"/>
      <c r="B747" s="6"/>
      <c r="C747" s="10"/>
      <c r="D747" s="1"/>
      <c r="E747" s="11"/>
      <c r="F747" s="11"/>
      <c r="G747" s="6"/>
      <c r="H747" s="6"/>
      <c r="I747" s="6"/>
      <c r="J747" s="6"/>
      <c r="K747" s="6"/>
      <c r="L747" s="6"/>
      <c r="M747" s="6"/>
      <c r="N747" s="6"/>
      <c r="O747" s="6"/>
      <c r="P747" s="6"/>
      <c r="Q747" s="6"/>
      <c r="R747" s="6"/>
      <c r="S747" s="6"/>
      <c r="T747" s="6"/>
      <c r="U747" s="6"/>
      <c r="V747" s="6"/>
      <c r="W747" s="6"/>
      <c r="X747" s="6"/>
      <c r="Y747" s="6"/>
      <c r="Z747" s="6"/>
    </row>
    <row r="748" spans="1:26" ht="31.5" customHeight="1">
      <c r="A748" s="1"/>
      <c r="B748" s="6"/>
      <c r="C748" s="10"/>
      <c r="D748" s="1"/>
      <c r="E748" s="11"/>
      <c r="F748" s="11"/>
      <c r="G748" s="6"/>
      <c r="H748" s="6"/>
      <c r="I748" s="6"/>
      <c r="J748" s="6"/>
      <c r="K748" s="6"/>
      <c r="L748" s="6"/>
      <c r="M748" s="6"/>
      <c r="N748" s="6"/>
      <c r="O748" s="6"/>
      <c r="P748" s="6"/>
      <c r="Q748" s="6"/>
      <c r="R748" s="6"/>
      <c r="S748" s="6"/>
      <c r="T748" s="6"/>
      <c r="U748" s="6"/>
      <c r="V748" s="6"/>
      <c r="W748" s="6"/>
      <c r="X748" s="6"/>
      <c r="Y748" s="6"/>
      <c r="Z748" s="6"/>
    </row>
    <row r="749" spans="1:26" ht="31.5" customHeight="1">
      <c r="A749" s="1"/>
      <c r="B749" s="6"/>
      <c r="C749" s="10"/>
      <c r="D749" s="1"/>
      <c r="E749" s="11"/>
      <c r="F749" s="11"/>
      <c r="G749" s="6"/>
      <c r="H749" s="6"/>
      <c r="I749" s="6"/>
      <c r="J749" s="6"/>
      <c r="K749" s="6"/>
      <c r="L749" s="6"/>
      <c r="M749" s="6"/>
      <c r="N749" s="6"/>
      <c r="O749" s="6"/>
      <c r="P749" s="6"/>
      <c r="Q749" s="6"/>
      <c r="R749" s="6"/>
      <c r="S749" s="6"/>
      <c r="T749" s="6"/>
      <c r="U749" s="6"/>
      <c r="V749" s="6"/>
      <c r="W749" s="6"/>
      <c r="X749" s="6"/>
      <c r="Y749" s="6"/>
      <c r="Z749" s="6"/>
    </row>
    <row r="750" spans="1:26" ht="31.5" customHeight="1">
      <c r="A750" s="1"/>
      <c r="B750" s="6"/>
      <c r="C750" s="10"/>
      <c r="D750" s="1"/>
      <c r="E750" s="11"/>
      <c r="F750" s="11"/>
      <c r="G750" s="6"/>
      <c r="H750" s="6"/>
      <c r="I750" s="6"/>
      <c r="J750" s="6"/>
      <c r="K750" s="6"/>
      <c r="L750" s="6"/>
      <c r="M750" s="6"/>
      <c r="N750" s="6"/>
      <c r="O750" s="6"/>
      <c r="P750" s="6"/>
      <c r="Q750" s="6"/>
      <c r="R750" s="6"/>
      <c r="S750" s="6"/>
      <c r="T750" s="6"/>
      <c r="U750" s="6"/>
      <c r="V750" s="6"/>
      <c r="W750" s="6"/>
      <c r="X750" s="6"/>
      <c r="Y750" s="6"/>
      <c r="Z750" s="6"/>
    </row>
    <row r="751" spans="1:26" ht="31.5" customHeight="1">
      <c r="A751" s="1"/>
      <c r="B751" s="6"/>
      <c r="C751" s="10"/>
      <c r="D751" s="1"/>
      <c r="E751" s="11"/>
      <c r="F751" s="11"/>
      <c r="G751" s="6"/>
      <c r="H751" s="6"/>
      <c r="I751" s="6"/>
      <c r="J751" s="6"/>
      <c r="K751" s="6"/>
      <c r="L751" s="6"/>
      <c r="M751" s="6"/>
      <c r="N751" s="6"/>
      <c r="O751" s="6"/>
      <c r="P751" s="6"/>
      <c r="Q751" s="6"/>
      <c r="R751" s="6"/>
      <c r="S751" s="6"/>
      <c r="T751" s="6"/>
      <c r="U751" s="6"/>
      <c r="V751" s="6"/>
      <c r="W751" s="6"/>
      <c r="X751" s="6"/>
      <c r="Y751" s="6"/>
      <c r="Z751" s="6"/>
    </row>
    <row r="752" spans="1:26" ht="31.5" customHeight="1">
      <c r="A752" s="1"/>
      <c r="B752" s="6"/>
      <c r="C752" s="10"/>
      <c r="D752" s="1"/>
      <c r="E752" s="11"/>
      <c r="F752" s="11"/>
      <c r="G752" s="6"/>
      <c r="H752" s="6"/>
      <c r="I752" s="6"/>
      <c r="J752" s="6"/>
      <c r="K752" s="6"/>
      <c r="L752" s="6"/>
      <c r="M752" s="6"/>
      <c r="N752" s="6"/>
      <c r="O752" s="6"/>
      <c r="P752" s="6"/>
      <c r="Q752" s="6"/>
      <c r="R752" s="6"/>
      <c r="S752" s="6"/>
      <c r="T752" s="6"/>
      <c r="U752" s="6"/>
      <c r="V752" s="6"/>
      <c r="W752" s="6"/>
      <c r="X752" s="6"/>
      <c r="Y752" s="6"/>
      <c r="Z752" s="6"/>
    </row>
    <row r="753" spans="1:26" ht="31.5" customHeight="1">
      <c r="A753" s="1"/>
      <c r="B753" s="6"/>
      <c r="C753" s="10"/>
      <c r="D753" s="1"/>
      <c r="E753" s="11"/>
      <c r="F753" s="11"/>
      <c r="G753" s="6"/>
      <c r="H753" s="6"/>
      <c r="I753" s="6"/>
      <c r="J753" s="6"/>
      <c r="K753" s="6"/>
      <c r="L753" s="6"/>
      <c r="M753" s="6"/>
      <c r="N753" s="6"/>
      <c r="O753" s="6"/>
      <c r="P753" s="6"/>
      <c r="Q753" s="6"/>
      <c r="R753" s="6"/>
      <c r="S753" s="6"/>
      <c r="T753" s="6"/>
      <c r="U753" s="6"/>
      <c r="V753" s="6"/>
      <c r="W753" s="6"/>
      <c r="X753" s="6"/>
      <c r="Y753" s="6"/>
      <c r="Z753" s="6"/>
    </row>
    <row r="754" spans="1:26" ht="31.5" customHeight="1">
      <c r="A754" s="1"/>
      <c r="B754" s="6"/>
      <c r="C754" s="10"/>
      <c r="D754" s="1"/>
      <c r="E754" s="11"/>
      <c r="F754" s="11"/>
      <c r="G754" s="6"/>
      <c r="H754" s="6"/>
      <c r="I754" s="6"/>
      <c r="J754" s="6"/>
      <c r="K754" s="6"/>
      <c r="L754" s="6"/>
      <c r="M754" s="6"/>
      <c r="N754" s="6"/>
      <c r="O754" s="6"/>
      <c r="P754" s="6"/>
      <c r="Q754" s="6"/>
      <c r="R754" s="6"/>
      <c r="S754" s="6"/>
      <c r="T754" s="6"/>
      <c r="U754" s="6"/>
      <c r="V754" s="6"/>
      <c r="W754" s="6"/>
      <c r="X754" s="6"/>
      <c r="Y754" s="6"/>
      <c r="Z754" s="6"/>
    </row>
    <row r="755" spans="1:26" ht="31.5" customHeight="1">
      <c r="A755" s="1"/>
      <c r="B755" s="6"/>
      <c r="C755" s="10"/>
      <c r="D755" s="1"/>
      <c r="E755" s="11"/>
      <c r="F755" s="11"/>
      <c r="G755" s="6"/>
      <c r="H755" s="6"/>
      <c r="I755" s="6"/>
      <c r="J755" s="6"/>
      <c r="K755" s="6"/>
      <c r="L755" s="6"/>
      <c r="M755" s="6"/>
      <c r="N755" s="6"/>
      <c r="O755" s="6"/>
      <c r="P755" s="6"/>
      <c r="Q755" s="6"/>
      <c r="R755" s="6"/>
      <c r="S755" s="6"/>
      <c r="T755" s="6"/>
      <c r="U755" s="6"/>
      <c r="V755" s="6"/>
      <c r="W755" s="6"/>
      <c r="X755" s="6"/>
      <c r="Y755" s="6"/>
      <c r="Z755" s="6"/>
    </row>
    <row r="756" spans="1:26" ht="31.5" customHeight="1">
      <c r="A756" s="1"/>
      <c r="B756" s="6"/>
      <c r="C756" s="10"/>
      <c r="D756" s="1"/>
      <c r="E756" s="11"/>
      <c r="F756" s="11"/>
      <c r="G756" s="6"/>
      <c r="H756" s="6"/>
      <c r="I756" s="6"/>
      <c r="J756" s="6"/>
      <c r="K756" s="6"/>
      <c r="L756" s="6"/>
      <c r="M756" s="6"/>
      <c r="N756" s="6"/>
      <c r="O756" s="6"/>
      <c r="P756" s="6"/>
      <c r="Q756" s="6"/>
      <c r="R756" s="6"/>
      <c r="S756" s="6"/>
      <c r="T756" s="6"/>
      <c r="U756" s="6"/>
      <c r="V756" s="6"/>
      <c r="W756" s="6"/>
      <c r="X756" s="6"/>
      <c r="Y756" s="6"/>
      <c r="Z756" s="6"/>
    </row>
    <row r="757" spans="1:26" ht="31.5" customHeight="1">
      <c r="A757" s="1"/>
      <c r="B757" s="6"/>
      <c r="C757" s="10"/>
      <c r="D757" s="1"/>
      <c r="E757" s="11"/>
      <c r="F757" s="11"/>
      <c r="G757" s="6"/>
      <c r="H757" s="6"/>
      <c r="I757" s="6"/>
      <c r="J757" s="6"/>
      <c r="K757" s="6"/>
      <c r="L757" s="6"/>
      <c r="M757" s="6"/>
      <c r="N757" s="6"/>
      <c r="O757" s="6"/>
      <c r="P757" s="6"/>
      <c r="Q757" s="6"/>
      <c r="R757" s="6"/>
      <c r="S757" s="6"/>
      <c r="T757" s="6"/>
      <c r="U757" s="6"/>
      <c r="V757" s="6"/>
      <c r="W757" s="6"/>
      <c r="X757" s="6"/>
      <c r="Y757" s="6"/>
      <c r="Z757" s="6"/>
    </row>
    <row r="758" spans="1:26" ht="31.5" customHeight="1">
      <c r="A758" s="1"/>
      <c r="B758" s="6"/>
      <c r="C758" s="10"/>
      <c r="D758" s="1"/>
      <c r="E758" s="11"/>
      <c r="F758" s="11"/>
      <c r="G758" s="6"/>
      <c r="H758" s="6"/>
      <c r="I758" s="6"/>
      <c r="J758" s="6"/>
      <c r="K758" s="6"/>
      <c r="L758" s="6"/>
      <c r="M758" s="6"/>
      <c r="N758" s="6"/>
      <c r="O758" s="6"/>
      <c r="P758" s="6"/>
      <c r="Q758" s="6"/>
      <c r="R758" s="6"/>
      <c r="S758" s="6"/>
      <c r="T758" s="6"/>
      <c r="U758" s="6"/>
      <c r="V758" s="6"/>
      <c r="W758" s="6"/>
      <c r="X758" s="6"/>
      <c r="Y758" s="6"/>
      <c r="Z758" s="6"/>
    </row>
    <row r="759" spans="1:26" ht="31.5" customHeight="1">
      <c r="A759" s="1"/>
      <c r="B759" s="6"/>
      <c r="C759" s="10"/>
      <c r="D759" s="1"/>
      <c r="E759" s="11"/>
      <c r="F759" s="11"/>
      <c r="G759" s="6"/>
      <c r="H759" s="6"/>
      <c r="I759" s="6"/>
      <c r="J759" s="6"/>
      <c r="K759" s="6"/>
      <c r="L759" s="6"/>
      <c r="M759" s="6"/>
      <c r="N759" s="6"/>
      <c r="O759" s="6"/>
      <c r="P759" s="6"/>
      <c r="Q759" s="6"/>
      <c r="R759" s="6"/>
      <c r="S759" s="6"/>
      <c r="T759" s="6"/>
      <c r="U759" s="6"/>
      <c r="V759" s="6"/>
      <c r="W759" s="6"/>
      <c r="X759" s="6"/>
      <c r="Y759" s="6"/>
      <c r="Z759" s="6"/>
    </row>
    <row r="760" spans="1:26" ht="31.5" customHeight="1">
      <c r="A760" s="1"/>
      <c r="B760" s="6"/>
      <c r="C760" s="10"/>
      <c r="D760" s="1"/>
      <c r="E760" s="11"/>
      <c r="F760" s="11"/>
      <c r="G760" s="6"/>
      <c r="H760" s="6"/>
      <c r="I760" s="6"/>
      <c r="J760" s="6"/>
      <c r="K760" s="6"/>
      <c r="L760" s="6"/>
      <c r="M760" s="6"/>
      <c r="N760" s="6"/>
      <c r="O760" s="6"/>
      <c r="P760" s="6"/>
      <c r="Q760" s="6"/>
      <c r="R760" s="6"/>
      <c r="S760" s="6"/>
      <c r="T760" s="6"/>
      <c r="U760" s="6"/>
      <c r="V760" s="6"/>
      <c r="W760" s="6"/>
      <c r="X760" s="6"/>
      <c r="Y760" s="6"/>
      <c r="Z760" s="6"/>
    </row>
    <row r="761" spans="1:26" ht="31.5" customHeight="1">
      <c r="A761" s="1"/>
      <c r="B761" s="6"/>
      <c r="C761" s="10"/>
      <c r="D761" s="1"/>
      <c r="E761" s="11"/>
      <c r="F761" s="11"/>
      <c r="G761" s="6"/>
      <c r="H761" s="6"/>
      <c r="I761" s="6"/>
      <c r="J761" s="6"/>
      <c r="K761" s="6"/>
      <c r="L761" s="6"/>
      <c r="M761" s="6"/>
      <c r="N761" s="6"/>
      <c r="O761" s="6"/>
      <c r="P761" s="6"/>
      <c r="Q761" s="6"/>
      <c r="R761" s="6"/>
      <c r="S761" s="6"/>
      <c r="T761" s="6"/>
      <c r="U761" s="6"/>
      <c r="V761" s="6"/>
      <c r="W761" s="6"/>
      <c r="X761" s="6"/>
      <c r="Y761" s="6"/>
      <c r="Z761" s="6"/>
    </row>
    <row r="762" spans="1:26" ht="31.5" customHeight="1">
      <c r="A762" s="1"/>
      <c r="B762" s="6"/>
      <c r="C762" s="10"/>
      <c r="D762" s="1"/>
      <c r="E762" s="11"/>
      <c r="F762" s="11"/>
      <c r="G762" s="6"/>
      <c r="H762" s="6"/>
      <c r="I762" s="6"/>
      <c r="J762" s="6"/>
      <c r="K762" s="6"/>
      <c r="L762" s="6"/>
      <c r="M762" s="6"/>
      <c r="N762" s="6"/>
      <c r="O762" s="6"/>
      <c r="P762" s="6"/>
      <c r="Q762" s="6"/>
      <c r="R762" s="6"/>
      <c r="S762" s="6"/>
      <c r="T762" s="6"/>
      <c r="U762" s="6"/>
      <c r="V762" s="6"/>
      <c r="W762" s="6"/>
      <c r="X762" s="6"/>
      <c r="Y762" s="6"/>
      <c r="Z762" s="6"/>
    </row>
    <row r="763" spans="1:26" ht="31.5" customHeight="1">
      <c r="A763" s="1"/>
      <c r="B763" s="6"/>
      <c r="C763" s="10"/>
      <c r="D763" s="1"/>
      <c r="E763" s="11"/>
      <c r="F763" s="11"/>
      <c r="G763" s="6"/>
      <c r="H763" s="6"/>
      <c r="I763" s="6"/>
      <c r="J763" s="6"/>
      <c r="K763" s="6"/>
      <c r="L763" s="6"/>
      <c r="M763" s="6"/>
      <c r="N763" s="6"/>
      <c r="O763" s="6"/>
      <c r="P763" s="6"/>
      <c r="Q763" s="6"/>
      <c r="R763" s="6"/>
      <c r="S763" s="6"/>
      <c r="T763" s="6"/>
      <c r="U763" s="6"/>
      <c r="V763" s="6"/>
      <c r="W763" s="6"/>
      <c r="X763" s="6"/>
      <c r="Y763" s="6"/>
      <c r="Z763" s="6"/>
    </row>
    <row r="764" spans="1:26" ht="31.5" customHeight="1">
      <c r="A764" s="1"/>
      <c r="B764" s="6"/>
      <c r="C764" s="10"/>
      <c r="D764" s="1"/>
      <c r="E764" s="11"/>
      <c r="F764" s="11"/>
      <c r="G764" s="6"/>
      <c r="H764" s="6"/>
      <c r="I764" s="6"/>
      <c r="J764" s="6"/>
      <c r="K764" s="6"/>
      <c r="L764" s="6"/>
      <c r="M764" s="6"/>
      <c r="N764" s="6"/>
      <c r="O764" s="6"/>
      <c r="P764" s="6"/>
      <c r="Q764" s="6"/>
      <c r="R764" s="6"/>
      <c r="S764" s="6"/>
      <c r="T764" s="6"/>
      <c r="U764" s="6"/>
      <c r="V764" s="6"/>
      <c r="W764" s="6"/>
      <c r="X764" s="6"/>
      <c r="Y764" s="6"/>
      <c r="Z764" s="6"/>
    </row>
    <row r="765" spans="1:26" ht="31.5" customHeight="1">
      <c r="A765" s="1"/>
      <c r="B765" s="6"/>
      <c r="C765" s="10"/>
      <c r="D765" s="1"/>
      <c r="E765" s="11"/>
      <c r="F765" s="11"/>
      <c r="G765" s="6"/>
      <c r="H765" s="6"/>
      <c r="I765" s="6"/>
      <c r="J765" s="6"/>
      <c r="K765" s="6"/>
      <c r="L765" s="6"/>
      <c r="M765" s="6"/>
      <c r="N765" s="6"/>
      <c r="O765" s="6"/>
      <c r="P765" s="6"/>
      <c r="Q765" s="6"/>
      <c r="R765" s="6"/>
      <c r="S765" s="6"/>
      <c r="T765" s="6"/>
      <c r="U765" s="6"/>
      <c r="V765" s="6"/>
      <c r="W765" s="6"/>
      <c r="X765" s="6"/>
      <c r="Y765" s="6"/>
      <c r="Z765" s="6"/>
    </row>
    <row r="766" spans="1:26" ht="31.5" customHeight="1">
      <c r="A766" s="1"/>
      <c r="B766" s="6"/>
      <c r="C766" s="10"/>
      <c r="D766" s="1"/>
      <c r="E766" s="11"/>
      <c r="F766" s="11"/>
      <c r="G766" s="6"/>
      <c r="H766" s="6"/>
      <c r="I766" s="6"/>
      <c r="J766" s="6"/>
      <c r="K766" s="6"/>
      <c r="L766" s="6"/>
      <c r="M766" s="6"/>
      <c r="N766" s="6"/>
      <c r="O766" s="6"/>
      <c r="P766" s="6"/>
      <c r="Q766" s="6"/>
      <c r="R766" s="6"/>
      <c r="S766" s="6"/>
      <c r="T766" s="6"/>
      <c r="U766" s="6"/>
      <c r="V766" s="6"/>
      <c r="W766" s="6"/>
      <c r="X766" s="6"/>
      <c r="Y766" s="6"/>
      <c r="Z766" s="6"/>
    </row>
    <row r="767" spans="1:26" ht="31.5" customHeight="1">
      <c r="A767" s="1"/>
      <c r="B767" s="6"/>
      <c r="C767" s="10"/>
      <c r="D767" s="1"/>
      <c r="E767" s="11"/>
      <c r="F767" s="11"/>
      <c r="G767" s="6"/>
      <c r="H767" s="6"/>
      <c r="I767" s="6"/>
      <c r="J767" s="6"/>
      <c r="K767" s="6"/>
      <c r="L767" s="6"/>
      <c r="M767" s="6"/>
      <c r="N767" s="6"/>
      <c r="O767" s="6"/>
      <c r="P767" s="6"/>
      <c r="Q767" s="6"/>
      <c r="R767" s="6"/>
      <c r="S767" s="6"/>
      <c r="T767" s="6"/>
      <c r="U767" s="6"/>
      <c r="V767" s="6"/>
      <c r="W767" s="6"/>
      <c r="X767" s="6"/>
      <c r="Y767" s="6"/>
      <c r="Z767" s="6"/>
    </row>
    <row r="768" spans="1:26" ht="31.5" customHeight="1">
      <c r="A768" s="1"/>
      <c r="B768" s="6"/>
      <c r="C768" s="10"/>
      <c r="D768" s="1"/>
      <c r="E768" s="11"/>
      <c r="F768" s="11"/>
      <c r="G768" s="6"/>
      <c r="H768" s="6"/>
      <c r="I768" s="6"/>
      <c r="J768" s="6"/>
      <c r="K768" s="6"/>
      <c r="L768" s="6"/>
      <c r="M768" s="6"/>
      <c r="N768" s="6"/>
      <c r="O768" s="6"/>
      <c r="P768" s="6"/>
      <c r="Q768" s="6"/>
      <c r="R768" s="6"/>
      <c r="S768" s="6"/>
      <c r="T768" s="6"/>
      <c r="U768" s="6"/>
      <c r="V768" s="6"/>
      <c r="W768" s="6"/>
      <c r="X768" s="6"/>
      <c r="Y768" s="6"/>
      <c r="Z768" s="6"/>
    </row>
    <row r="769" spans="1:26" ht="31.5" customHeight="1">
      <c r="A769" s="1"/>
      <c r="B769" s="6"/>
      <c r="C769" s="10"/>
      <c r="D769" s="1"/>
      <c r="E769" s="11"/>
      <c r="F769" s="11"/>
      <c r="G769" s="6"/>
      <c r="H769" s="6"/>
      <c r="I769" s="6"/>
      <c r="J769" s="6"/>
      <c r="K769" s="6"/>
      <c r="L769" s="6"/>
      <c r="M769" s="6"/>
      <c r="N769" s="6"/>
      <c r="O769" s="6"/>
      <c r="P769" s="6"/>
      <c r="Q769" s="6"/>
      <c r="R769" s="6"/>
      <c r="S769" s="6"/>
      <c r="T769" s="6"/>
      <c r="U769" s="6"/>
      <c r="V769" s="6"/>
      <c r="W769" s="6"/>
      <c r="X769" s="6"/>
      <c r="Y769" s="6"/>
      <c r="Z769" s="6"/>
    </row>
    <row r="770" spans="1:26" ht="31.5" customHeight="1">
      <c r="A770" s="1"/>
      <c r="B770" s="6"/>
      <c r="C770" s="10"/>
      <c r="D770" s="1"/>
      <c r="E770" s="11"/>
      <c r="F770" s="11"/>
      <c r="G770" s="6"/>
      <c r="H770" s="6"/>
      <c r="I770" s="6"/>
      <c r="J770" s="6"/>
      <c r="K770" s="6"/>
      <c r="L770" s="6"/>
      <c r="M770" s="6"/>
      <c r="N770" s="6"/>
      <c r="O770" s="6"/>
      <c r="P770" s="6"/>
      <c r="Q770" s="6"/>
      <c r="R770" s="6"/>
      <c r="S770" s="6"/>
      <c r="T770" s="6"/>
      <c r="U770" s="6"/>
      <c r="V770" s="6"/>
      <c r="W770" s="6"/>
      <c r="X770" s="6"/>
      <c r="Y770" s="6"/>
      <c r="Z770" s="6"/>
    </row>
    <row r="771" spans="1:26" ht="31.5" customHeight="1">
      <c r="A771" s="1"/>
      <c r="B771" s="6"/>
      <c r="C771" s="10"/>
      <c r="D771" s="1"/>
      <c r="E771" s="11"/>
      <c r="F771" s="11"/>
      <c r="G771" s="6"/>
      <c r="H771" s="6"/>
      <c r="I771" s="6"/>
      <c r="J771" s="6"/>
      <c r="K771" s="6"/>
      <c r="L771" s="6"/>
      <c r="M771" s="6"/>
      <c r="N771" s="6"/>
      <c r="O771" s="6"/>
      <c r="P771" s="6"/>
      <c r="Q771" s="6"/>
      <c r="R771" s="6"/>
      <c r="S771" s="6"/>
      <c r="T771" s="6"/>
      <c r="U771" s="6"/>
      <c r="V771" s="6"/>
      <c r="W771" s="6"/>
      <c r="X771" s="6"/>
      <c r="Y771" s="6"/>
      <c r="Z771" s="6"/>
    </row>
    <row r="772" spans="1:26" ht="31.5" customHeight="1">
      <c r="A772" s="1"/>
      <c r="B772" s="6"/>
      <c r="C772" s="10"/>
      <c r="D772" s="1"/>
      <c r="E772" s="11"/>
      <c r="F772" s="11"/>
      <c r="G772" s="6"/>
      <c r="H772" s="6"/>
      <c r="I772" s="6"/>
      <c r="J772" s="6"/>
      <c r="K772" s="6"/>
      <c r="L772" s="6"/>
      <c r="M772" s="6"/>
      <c r="N772" s="6"/>
      <c r="O772" s="6"/>
      <c r="P772" s="6"/>
      <c r="Q772" s="6"/>
      <c r="R772" s="6"/>
      <c r="S772" s="6"/>
      <c r="T772" s="6"/>
      <c r="U772" s="6"/>
      <c r="V772" s="6"/>
      <c r="W772" s="6"/>
      <c r="X772" s="6"/>
      <c r="Y772" s="6"/>
      <c r="Z772" s="6"/>
    </row>
    <row r="773" spans="1:26" ht="31.5" customHeight="1">
      <c r="A773" s="1"/>
      <c r="B773" s="6"/>
      <c r="C773" s="10"/>
      <c r="D773" s="1"/>
      <c r="E773" s="11"/>
      <c r="F773" s="11"/>
      <c r="G773" s="6"/>
      <c r="H773" s="6"/>
      <c r="I773" s="6"/>
      <c r="J773" s="6"/>
      <c r="K773" s="6"/>
      <c r="L773" s="6"/>
      <c r="M773" s="6"/>
      <c r="N773" s="6"/>
      <c r="O773" s="6"/>
      <c r="P773" s="6"/>
      <c r="Q773" s="6"/>
      <c r="R773" s="6"/>
      <c r="S773" s="6"/>
      <c r="T773" s="6"/>
      <c r="U773" s="6"/>
      <c r="V773" s="6"/>
      <c r="W773" s="6"/>
      <c r="X773" s="6"/>
      <c r="Y773" s="6"/>
      <c r="Z773" s="6"/>
    </row>
    <row r="774" spans="1:26" ht="31.5" customHeight="1">
      <c r="A774" s="1"/>
      <c r="B774" s="6"/>
      <c r="C774" s="10"/>
      <c r="D774" s="1"/>
      <c r="E774" s="11"/>
      <c r="F774" s="11"/>
      <c r="G774" s="6"/>
      <c r="H774" s="6"/>
      <c r="I774" s="6"/>
      <c r="J774" s="6"/>
      <c r="K774" s="6"/>
      <c r="L774" s="6"/>
      <c r="M774" s="6"/>
      <c r="N774" s="6"/>
      <c r="O774" s="6"/>
      <c r="P774" s="6"/>
      <c r="Q774" s="6"/>
      <c r="R774" s="6"/>
      <c r="S774" s="6"/>
      <c r="T774" s="6"/>
      <c r="U774" s="6"/>
      <c r="V774" s="6"/>
      <c r="W774" s="6"/>
      <c r="X774" s="6"/>
      <c r="Y774" s="6"/>
      <c r="Z774" s="6"/>
    </row>
    <row r="775" spans="1:26" ht="31.5" customHeight="1">
      <c r="A775" s="1"/>
      <c r="B775" s="6"/>
      <c r="C775" s="10"/>
      <c r="D775" s="1"/>
      <c r="E775" s="11"/>
      <c r="F775" s="11"/>
      <c r="G775" s="6"/>
      <c r="H775" s="6"/>
      <c r="I775" s="6"/>
      <c r="J775" s="6"/>
      <c r="K775" s="6"/>
      <c r="L775" s="6"/>
      <c r="M775" s="6"/>
      <c r="N775" s="6"/>
      <c r="O775" s="6"/>
      <c r="P775" s="6"/>
      <c r="Q775" s="6"/>
      <c r="R775" s="6"/>
      <c r="S775" s="6"/>
      <c r="T775" s="6"/>
      <c r="U775" s="6"/>
      <c r="V775" s="6"/>
      <c r="W775" s="6"/>
      <c r="X775" s="6"/>
      <c r="Y775" s="6"/>
      <c r="Z775" s="6"/>
    </row>
    <row r="776" spans="1:26" ht="31.5" customHeight="1">
      <c r="A776" s="1"/>
      <c r="B776" s="6"/>
      <c r="C776" s="10"/>
      <c r="D776" s="1"/>
      <c r="E776" s="11"/>
      <c r="F776" s="11"/>
      <c r="G776" s="6"/>
      <c r="H776" s="6"/>
      <c r="I776" s="6"/>
      <c r="J776" s="6"/>
      <c r="K776" s="6"/>
      <c r="L776" s="6"/>
      <c r="M776" s="6"/>
      <c r="N776" s="6"/>
      <c r="O776" s="6"/>
      <c r="P776" s="6"/>
      <c r="Q776" s="6"/>
      <c r="R776" s="6"/>
      <c r="S776" s="6"/>
      <c r="T776" s="6"/>
      <c r="U776" s="6"/>
      <c r="V776" s="6"/>
      <c r="W776" s="6"/>
      <c r="X776" s="6"/>
      <c r="Y776" s="6"/>
      <c r="Z776" s="6"/>
    </row>
    <row r="777" spans="1:26" ht="31.5" customHeight="1">
      <c r="A777" s="1"/>
      <c r="B777" s="6"/>
      <c r="C777" s="10"/>
      <c r="D777" s="1"/>
      <c r="E777" s="11"/>
      <c r="F777" s="11"/>
      <c r="G777" s="6"/>
      <c r="H777" s="6"/>
      <c r="I777" s="6"/>
      <c r="J777" s="6"/>
      <c r="K777" s="6"/>
      <c r="L777" s="6"/>
      <c r="M777" s="6"/>
      <c r="N777" s="6"/>
      <c r="O777" s="6"/>
      <c r="P777" s="6"/>
      <c r="Q777" s="6"/>
      <c r="R777" s="6"/>
      <c r="S777" s="6"/>
      <c r="T777" s="6"/>
      <c r="U777" s="6"/>
      <c r="V777" s="6"/>
      <c r="W777" s="6"/>
      <c r="X777" s="6"/>
      <c r="Y777" s="6"/>
      <c r="Z777" s="6"/>
    </row>
    <row r="778" spans="1:26" ht="31.5" customHeight="1">
      <c r="A778" s="1"/>
      <c r="B778" s="6"/>
      <c r="C778" s="10"/>
      <c r="D778" s="1"/>
      <c r="E778" s="11"/>
      <c r="F778" s="11"/>
      <c r="G778" s="6"/>
      <c r="H778" s="6"/>
      <c r="I778" s="6"/>
      <c r="J778" s="6"/>
      <c r="K778" s="6"/>
      <c r="L778" s="6"/>
      <c r="M778" s="6"/>
      <c r="N778" s="6"/>
      <c r="O778" s="6"/>
      <c r="P778" s="6"/>
      <c r="Q778" s="6"/>
      <c r="R778" s="6"/>
      <c r="S778" s="6"/>
      <c r="T778" s="6"/>
      <c r="U778" s="6"/>
      <c r="V778" s="6"/>
      <c r="W778" s="6"/>
      <c r="X778" s="6"/>
      <c r="Y778" s="6"/>
      <c r="Z778" s="6"/>
    </row>
    <row r="779" spans="1:26" ht="31.5" customHeight="1">
      <c r="A779" s="1"/>
      <c r="B779" s="6"/>
      <c r="C779" s="10"/>
      <c r="D779" s="1"/>
      <c r="E779" s="11"/>
      <c r="F779" s="11"/>
      <c r="G779" s="6"/>
      <c r="H779" s="6"/>
      <c r="I779" s="6"/>
      <c r="J779" s="6"/>
      <c r="K779" s="6"/>
      <c r="L779" s="6"/>
      <c r="M779" s="6"/>
      <c r="N779" s="6"/>
      <c r="O779" s="6"/>
      <c r="P779" s="6"/>
      <c r="Q779" s="6"/>
      <c r="R779" s="6"/>
      <c r="S779" s="6"/>
      <c r="T779" s="6"/>
      <c r="U779" s="6"/>
      <c r="V779" s="6"/>
      <c r="W779" s="6"/>
      <c r="X779" s="6"/>
      <c r="Y779" s="6"/>
      <c r="Z779" s="6"/>
    </row>
    <row r="780" spans="1:26" ht="31.5" customHeight="1">
      <c r="A780" s="1"/>
      <c r="B780" s="6"/>
      <c r="C780" s="10"/>
      <c r="D780" s="1"/>
      <c r="E780" s="11"/>
      <c r="F780" s="11"/>
      <c r="G780" s="6"/>
      <c r="H780" s="6"/>
      <c r="I780" s="6"/>
      <c r="J780" s="6"/>
      <c r="K780" s="6"/>
      <c r="L780" s="6"/>
      <c r="M780" s="6"/>
      <c r="N780" s="6"/>
      <c r="O780" s="6"/>
      <c r="P780" s="6"/>
      <c r="Q780" s="6"/>
      <c r="R780" s="6"/>
      <c r="S780" s="6"/>
      <c r="T780" s="6"/>
      <c r="U780" s="6"/>
      <c r="V780" s="6"/>
      <c r="W780" s="6"/>
      <c r="X780" s="6"/>
      <c r="Y780" s="6"/>
      <c r="Z780" s="6"/>
    </row>
    <row r="781" spans="1:26" ht="31.5" customHeight="1">
      <c r="A781" s="1"/>
      <c r="B781" s="6"/>
      <c r="C781" s="10"/>
      <c r="D781" s="1"/>
      <c r="E781" s="11"/>
      <c r="F781" s="11"/>
      <c r="G781" s="6"/>
      <c r="H781" s="6"/>
      <c r="I781" s="6"/>
      <c r="J781" s="6"/>
      <c r="K781" s="6"/>
      <c r="L781" s="6"/>
      <c r="M781" s="6"/>
      <c r="N781" s="6"/>
      <c r="O781" s="6"/>
      <c r="P781" s="6"/>
      <c r="Q781" s="6"/>
      <c r="R781" s="6"/>
      <c r="S781" s="6"/>
      <c r="T781" s="6"/>
      <c r="U781" s="6"/>
      <c r="V781" s="6"/>
      <c r="W781" s="6"/>
      <c r="X781" s="6"/>
      <c r="Y781" s="6"/>
      <c r="Z781" s="6"/>
    </row>
    <row r="782" spans="1:26" ht="31.5" customHeight="1">
      <c r="A782" s="1"/>
      <c r="B782" s="6"/>
      <c r="C782" s="10"/>
      <c r="D782" s="1"/>
      <c r="E782" s="11"/>
      <c r="F782" s="11"/>
      <c r="G782" s="6"/>
      <c r="H782" s="6"/>
      <c r="I782" s="6"/>
      <c r="J782" s="6"/>
      <c r="K782" s="6"/>
      <c r="L782" s="6"/>
      <c r="M782" s="6"/>
      <c r="N782" s="6"/>
      <c r="O782" s="6"/>
      <c r="P782" s="6"/>
      <c r="Q782" s="6"/>
      <c r="R782" s="6"/>
      <c r="S782" s="6"/>
      <c r="T782" s="6"/>
      <c r="U782" s="6"/>
      <c r="V782" s="6"/>
      <c r="W782" s="6"/>
      <c r="X782" s="6"/>
      <c r="Y782" s="6"/>
      <c r="Z782" s="6"/>
    </row>
    <row r="783" spans="1:26" ht="31.5" customHeight="1">
      <c r="A783" s="1"/>
      <c r="B783" s="6"/>
      <c r="C783" s="10"/>
      <c r="D783" s="1"/>
      <c r="E783" s="11"/>
      <c r="F783" s="11"/>
      <c r="G783" s="6"/>
      <c r="H783" s="6"/>
      <c r="I783" s="6"/>
      <c r="J783" s="6"/>
      <c r="K783" s="6"/>
      <c r="L783" s="6"/>
      <c r="M783" s="6"/>
      <c r="N783" s="6"/>
      <c r="O783" s="6"/>
      <c r="P783" s="6"/>
      <c r="Q783" s="6"/>
      <c r="R783" s="6"/>
      <c r="S783" s="6"/>
      <c r="T783" s="6"/>
      <c r="U783" s="6"/>
      <c r="V783" s="6"/>
      <c r="W783" s="6"/>
      <c r="X783" s="6"/>
      <c r="Y783" s="6"/>
      <c r="Z783" s="6"/>
    </row>
    <row r="784" spans="1:26" ht="31.5" customHeight="1">
      <c r="A784" s="1"/>
      <c r="B784" s="6"/>
      <c r="C784" s="10"/>
      <c r="D784" s="1"/>
      <c r="E784" s="11"/>
      <c r="F784" s="11"/>
      <c r="G784" s="6"/>
      <c r="H784" s="6"/>
      <c r="I784" s="6"/>
      <c r="J784" s="6"/>
      <c r="K784" s="6"/>
      <c r="L784" s="6"/>
      <c r="M784" s="6"/>
      <c r="N784" s="6"/>
      <c r="O784" s="6"/>
      <c r="P784" s="6"/>
      <c r="Q784" s="6"/>
      <c r="R784" s="6"/>
      <c r="S784" s="6"/>
      <c r="T784" s="6"/>
      <c r="U784" s="6"/>
      <c r="V784" s="6"/>
      <c r="W784" s="6"/>
      <c r="X784" s="6"/>
      <c r="Y784" s="6"/>
      <c r="Z784" s="6"/>
    </row>
    <row r="785" spans="1:26" ht="31.5" customHeight="1">
      <c r="A785" s="1"/>
      <c r="B785" s="6"/>
      <c r="C785" s="10"/>
      <c r="D785" s="1"/>
      <c r="E785" s="11"/>
      <c r="F785" s="11"/>
      <c r="G785" s="6"/>
      <c r="H785" s="6"/>
      <c r="I785" s="6"/>
      <c r="J785" s="6"/>
      <c r="K785" s="6"/>
      <c r="L785" s="6"/>
      <c r="M785" s="6"/>
      <c r="N785" s="6"/>
      <c r="O785" s="6"/>
      <c r="P785" s="6"/>
      <c r="Q785" s="6"/>
      <c r="R785" s="6"/>
      <c r="S785" s="6"/>
      <c r="T785" s="6"/>
      <c r="U785" s="6"/>
      <c r="V785" s="6"/>
      <c r="W785" s="6"/>
      <c r="X785" s="6"/>
      <c r="Y785" s="6"/>
      <c r="Z785" s="6"/>
    </row>
    <row r="786" spans="1:26" ht="31.5" customHeight="1">
      <c r="A786" s="1"/>
      <c r="B786" s="6"/>
      <c r="C786" s="10"/>
      <c r="D786" s="1"/>
      <c r="E786" s="11"/>
      <c r="F786" s="11"/>
      <c r="G786" s="6"/>
      <c r="H786" s="6"/>
      <c r="I786" s="6"/>
      <c r="J786" s="6"/>
      <c r="K786" s="6"/>
      <c r="L786" s="6"/>
      <c r="M786" s="6"/>
      <c r="N786" s="6"/>
      <c r="O786" s="6"/>
      <c r="P786" s="6"/>
      <c r="Q786" s="6"/>
      <c r="R786" s="6"/>
      <c r="S786" s="6"/>
      <c r="T786" s="6"/>
      <c r="U786" s="6"/>
      <c r="V786" s="6"/>
      <c r="W786" s="6"/>
      <c r="X786" s="6"/>
      <c r="Y786" s="6"/>
      <c r="Z786" s="6"/>
    </row>
    <row r="787" spans="1:26" ht="31.5" customHeight="1">
      <c r="A787" s="1"/>
      <c r="B787" s="6"/>
      <c r="C787" s="10"/>
      <c r="D787" s="1"/>
      <c r="E787" s="11"/>
      <c r="F787" s="11"/>
      <c r="G787" s="6"/>
      <c r="H787" s="6"/>
      <c r="I787" s="6"/>
      <c r="J787" s="6"/>
      <c r="K787" s="6"/>
      <c r="L787" s="6"/>
      <c r="M787" s="6"/>
      <c r="N787" s="6"/>
      <c r="O787" s="6"/>
      <c r="P787" s="6"/>
      <c r="Q787" s="6"/>
      <c r="R787" s="6"/>
      <c r="S787" s="6"/>
      <c r="T787" s="6"/>
      <c r="U787" s="6"/>
      <c r="V787" s="6"/>
      <c r="W787" s="6"/>
      <c r="X787" s="6"/>
      <c r="Y787" s="6"/>
      <c r="Z787" s="6"/>
    </row>
    <row r="788" spans="1:26" ht="31.5" customHeight="1">
      <c r="A788" s="1"/>
      <c r="B788" s="6"/>
      <c r="C788" s="10"/>
      <c r="D788" s="1"/>
      <c r="E788" s="11"/>
      <c r="F788" s="11"/>
      <c r="G788" s="6"/>
      <c r="H788" s="6"/>
      <c r="I788" s="6"/>
      <c r="J788" s="6"/>
      <c r="K788" s="6"/>
      <c r="L788" s="6"/>
      <c r="M788" s="6"/>
      <c r="N788" s="6"/>
      <c r="O788" s="6"/>
      <c r="P788" s="6"/>
      <c r="Q788" s="6"/>
      <c r="R788" s="6"/>
      <c r="S788" s="6"/>
      <c r="T788" s="6"/>
      <c r="U788" s="6"/>
      <c r="V788" s="6"/>
      <c r="W788" s="6"/>
      <c r="X788" s="6"/>
      <c r="Y788" s="6"/>
      <c r="Z788" s="6"/>
    </row>
    <row r="789" spans="1:26" ht="31.5" customHeight="1">
      <c r="A789" s="1"/>
      <c r="B789" s="6"/>
      <c r="C789" s="10"/>
      <c r="D789" s="1"/>
      <c r="E789" s="11"/>
      <c r="F789" s="11"/>
      <c r="G789" s="6"/>
      <c r="H789" s="6"/>
      <c r="I789" s="6"/>
      <c r="J789" s="6"/>
      <c r="K789" s="6"/>
      <c r="L789" s="6"/>
      <c r="M789" s="6"/>
      <c r="N789" s="6"/>
      <c r="O789" s="6"/>
      <c r="P789" s="6"/>
      <c r="Q789" s="6"/>
      <c r="R789" s="6"/>
      <c r="S789" s="6"/>
      <c r="T789" s="6"/>
      <c r="U789" s="6"/>
      <c r="V789" s="6"/>
      <c r="W789" s="6"/>
      <c r="X789" s="6"/>
      <c r="Y789" s="6"/>
      <c r="Z789" s="6"/>
    </row>
    <row r="790" spans="1:26" ht="31.5" customHeight="1">
      <c r="A790" s="1"/>
      <c r="B790" s="6"/>
      <c r="C790" s="10"/>
      <c r="D790" s="1"/>
      <c r="E790" s="11"/>
      <c r="F790" s="11"/>
      <c r="G790" s="6"/>
      <c r="H790" s="6"/>
      <c r="I790" s="6"/>
      <c r="J790" s="6"/>
      <c r="K790" s="6"/>
      <c r="L790" s="6"/>
      <c r="M790" s="6"/>
      <c r="N790" s="6"/>
      <c r="O790" s="6"/>
      <c r="P790" s="6"/>
      <c r="Q790" s="6"/>
      <c r="R790" s="6"/>
      <c r="S790" s="6"/>
      <c r="T790" s="6"/>
      <c r="U790" s="6"/>
      <c r="V790" s="6"/>
      <c r="W790" s="6"/>
      <c r="X790" s="6"/>
      <c r="Y790" s="6"/>
      <c r="Z790" s="6"/>
    </row>
    <row r="791" spans="1:26" ht="31.5" customHeight="1">
      <c r="A791" s="1"/>
      <c r="B791" s="6"/>
      <c r="C791" s="10"/>
      <c r="D791" s="1"/>
      <c r="E791" s="11"/>
      <c r="F791" s="11"/>
      <c r="G791" s="6"/>
      <c r="H791" s="6"/>
      <c r="I791" s="6"/>
      <c r="J791" s="6"/>
      <c r="K791" s="6"/>
      <c r="L791" s="6"/>
      <c r="M791" s="6"/>
      <c r="N791" s="6"/>
      <c r="O791" s="6"/>
      <c r="P791" s="6"/>
      <c r="Q791" s="6"/>
      <c r="R791" s="6"/>
      <c r="S791" s="6"/>
      <c r="T791" s="6"/>
      <c r="U791" s="6"/>
      <c r="V791" s="6"/>
      <c r="W791" s="6"/>
      <c r="X791" s="6"/>
      <c r="Y791" s="6"/>
      <c r="Z791" s="6"/>
    </row>
    <row r="792" spans="1:26" ht="31.5" customHeight="1">
      <c r="A792" s="1"/>
      <c r="B792" s="6"/>
      <c r="C792" s="10"/>
      <c r="D792" s="1"/>
      <c r="E792" s="11"/>
      <c r="F792" s="11"/>
      <c r="G792" s="6"/>
      <c r="H792" s="6"/>
      <c r="I792" s="6"/>
      <c r="J792" s="6"/>
      <c r="K792" s="6"/>
      <c r="L792" s="6"/>
      <c r="M792" s="6"/>
      <c r="N792" s="6"/>
      <c r="O792" s="6"/>
      <c r="P792" s="6"/>
      <c r="Q792" s="6"/>
      <c r="R792" s="6"/>
      <c r="S792" s="6"/>
      <c r="T792" s="6"/>
      <c r="U792" s="6"/>
      <c r="V792" s="6"/>
      <c r="W792" s="6"/>
      <c r="X792" s="6"/>
      <c r="Y792" s="6"/>
      <c r="Z792" s="6"/>
    </row>
    <row r="793" spans="1:26" ht="31.5" customHeight="1">
      <c r="A793" s="1"/>
      <c r="B793" s="6"/>
      <c r="C793" s="10"/>
      <c r="D793" s="1"/>
      <c r="E793" s="11"/>
      <c r="F793" s="11"/>
      <c r="G793" s="6"/>
      <c r="H793" s="6"/>
      <c r="I793" s="6"/>
      <c r="J793" s="6"/>
      <c r="K793" s="6"/>
      <c r="L793" s="6"/>
      <c r="M793" s="6"/>
      <c r="N793" s="6"/>
      <c r="O793" s="6"/>
      <c r="P793" s="6"/>
      <c r="Q793" s="6"/>
      <c r="R793" s="6"/>
      <c r="S793" s="6"/>
      <c r="T793" s="6"/>
      <c r="U793" s="6"/>
      <c r="V793" s="6"/>
      <c r="W793" s="6"/>
      <c r="X793" s="6"/>
      <c r="Y793" s="6"/>
      <c r="Z793" s="6"/>
    </row>
    <row r="794" spans="1:26" ht="31.5" customHeight="1">
      <c r="A794" s="1"/>
      <c r="B794" s="6"/>
      <c r="C794" s="10"/>
      <c r="D794" s="1"/>
      <c r="E794" s="11"/>
      <c r="F794" s="11"/>
      <c r="G794" s="6"/>
      <c r="H794" s="6"/>
      <c r="I794" s="6"/>
      <c r="J794" s="6"/>
      <c r="K794" s="6"/>
      <c r="L794" s="6"/>
      <c r="M794" s="6"/>
      <c r="N794" s="6"/>
      <c r="O794" s="6"/>
      <c r="P794" s="6"/>
      <c r="Q794" s="6"/>
      <c r="R794" s="6"/>
      <c r="S794" s="6"/>
      <c r="T794" s="6"/>
      <c r="U794" s="6"/>
      <c r="V794" s="6"/>
      <c r="W794" s="6"/>
      <c r="X794" s="6"/>
      <c r="Y794" s="6"/>
      <c r="Z794" s="6"/>
    </row>
    <row r="795" spans="1:26" ht="31.5" customHeight="1">
      <c r="A795" s="1"/>
      <c r="B795" s="6"/>
      <c r="C795" s="10"/>
      <c r="D795" s="1"/>
      <c r="E795" s="11"/>
      <c r="F795" s="11"/>
      <c r="G795" s="6"/>
      <c r="H795" s="6"/>
      <c r="I795" s="6"/>
      <c r="J795" s="6"/>
      <c r="K795" s="6"/>
      <c r="L795" s="6"/>
      <c r="M795" s="6"/>
      <c r="N795" s="6"/>
      <c r="O795" s="6"/>
      <c r="P795" s="6"/>
      <c r="Q795" s="6"/>
      <c r="R795" s="6"/>
      <c r="S795" s="6"/>
      <c r="T795" s="6"/>
      <c r="U795" s="6"/>
      <c r="V795" s="6"/>
      <c r="W795" s="6"/>
      <c r="X795" s="6"/>
      <c r="Y795" s="6"/>
      <c r="Z795" s="6"/>
    </row>
    <row r="796" spans="1:26" ht="31.5" customHeight="1">
      <c r="A796" s="1"/>
      <c r="B796" s="6"/>
      <c r="C796" s="10"/>
      <c r="D796" s="1"/>
      <c r="E796" s="11"/>
      <c r="F796" s="11"/>
      <c r="G796" s="6"/>
      <c r="H796" s="6"/>
      <c r="I796" s="6"/>
      <c r="J796" s="6"/>
      <c r="K796" s="6"/>
      <c r="L796" s="6"/>
      <c r="M796" s="6"/>
      <c r="N796" s="6"/>
      <c r="O796" s="6"/>
      <c r="P796" s="6"/>
      <c r="Q796" s="6"/>
      <c r="R796" s="6"/>
      <c r="S796" s="6"/>
      <c r="T796" s="6"/>
      <c r="U796" s="6"/>
      <c r="V796" s="6"/>
      <c r="W796" s="6"/>
      <c r="X796" s="6"/>
      <c r="Y796" s="6"/>
      <c r="Z796" s="6"/>
    </row>
    <row r="797" spans="1:26" ht="31.5" customHeight="1">
      <c r="A797" s="1"/>
      <c r="B797" s="6"/>
      <c r="C797" s="10"/>
      <c r="D797" s="1"/>
      <c r="E797" s="11"/>
      <c r="F797" s="11"/>
      <c r="G797" s="6"/>
      <c r="H797" s="6"/>
      <c r="I797" s="6"/>
      <c r="J797" s="6"/>
      <c r="K797" s="6"/>
      <c r="L797" s="6"/>
      <c r="M797" s="6"/>
      <c r="N797" s="6"/>
      <c r="O797" s="6"/>
      <c r="P797" s="6"/>
      <c r="Q797" s="6"/>
      <c r="R797" s="6"/>
      <c r="S797" s="6"/>
      <c r="T797" s="6"/>
      <c r="U797" s="6"/>
      <c r="V797" s="6"/>
      <c r="W797" s="6"/>
      <c r="X797" s="6"/>
      <c r="Y797" s="6"/>
      <c r="Z797" s="6"/>
    </row>
    <row r="798" spans="1:26" ht="31.5" customHeight="1">
      <c r="A798" s="1"/>
      <c r="B798" s="6"/>
      <c r="C798" s="10"/>
      <c r="D798" s="1"/>
      <c r="E798" s="11"/>
      <c r="F798" s="11"/>
      <c r="G798" s="6"/>
      <c r="H798" s="6"/>
      <c r="I798" s="6"/>
      <c r="J798" s="6"/>
      <c r="K798" s="6"/>
      <c r="L798" s="6"/>
      <c r="M798" s="6"/>
      <c r="N798" s="6"/>
      <c r="O798" s="6"/>
      <c r="P798" s="6"/>
      <c r="Q798" s="6"/>
      <c r="R798" s="6"/>
      <c r="S798" s="6"/>
      <c r="T798" s="6"/>
      <c r="U798" s="6"/>
      <c r="V798" s="6"/>
      <c r="W798" s="6"/>
      <c r="X798" s="6"/>
      <c r="Y798" s="6"/>
      <c r="Z798" s="6"/>
    </row>
    <row r="799" spans="1:26" ht="31.5" customHeight="1">
      <c r="A799" s="1"/>
      <c r="B799" s="6"/>
      <c r="C799" s="10"/>
      <c r="D799" s="1"/>
      <c r="E799" s="11"/>
      <c r="F799" s="11"/>
      <c r="G799" s="6"/>
      <c r="H799" s="6"/>
      <c r="I799" s="6"/>
      <c r="J799" s="6"/>
      <c r="K799" s="6"/>
      <c r="L799" s="6"/>
      <c r="M799" s="6"/>
      <c r="N799" s="6"/>
      <c r="O799" s="6"/>
      <c r="P799" s="6"/>
      <c r="Q799" s="6"/>
      <c r="R799" s="6"/>
      <c r="S799" s="6"/>
      <c r="T799" s="6"/>
      <c r="U799" s="6"/>
      <c r="V799" s="6"/>
      <c r="W799" s="6"/>
      <c r="X799" s="6"/>
      <c r="Y799" s="6"/>
      <c r="Z799" s="6"/>
    </row>
    <row r="800" spans="1:26" ht="31.5" customHeight="1">
      <c r="A800" s="1"/>
      <c r="B800" s="6"/>
      <c r="C800" s="10"/>
      <c r="D800" s="1"/>
      <c r="E800" s="11"/>
      <c r="F800" s="11"/>
      <c r="G800" s="6"/>
      <c r="H800" s="6"/>
      <c r="I800" s="6"/>
      <c r="J800" s="6"/>
      <c r="K800" s="6"/>
      <c r="L800" s="6"/>
      <c r="M800" s="6"/>
      <c r="N800" s="6"/>
      <c r="O800" s="6"/>
      <c r="P800" s="6"/>
      <c r="Q800" s="6"/>
      <c r="R800" s="6"/>
      <c r="S800" s="6"/>
      <c r="T800" s="6"/>
      <c r="U800" s="6"/>
      <c r="V800" s="6"/>
      <c r="W800" s="6"/>
      <c r="X800" s="6"/>
      <c r="Y800" s="6"/>
      <c r="Z800" s="6"/>
    </row>
    <row r="801" spans="1:26" ht="31.5" customHeight="1">
      <c r="A801" s="1"/>
      <c r="B801" s="6"/>
      <c r="C801" s="10"/>
      <c r="D801" s="1"/>
      <c r="E801" s="11"/>
      <c r="F801" s="11"/>
      <c r="G801" s="6"/>
      <c r="H801" s="6"/>
      <c r="I801" s="6"/>
      <c r="J801" s="6"/>
      <c r="K801" s="6"/>
      <c r="L801" s="6"/>
      <c r="M801" s="6"/>
      <c r="N801" s="6"/>
      <c r="O801" s="6"/>
      <c r="P801" s="6"/>
      <c r="Q801" s="6"/>
      <c r="R801" s="6"/>
      <c r="S801" s="6"/>
      <c r="T801" s="6"/>
      <c r="U801" s="6"/>
      <c r="V801" s="6"/>
      <c r="W801" s="6"/>
      <c r="X801" s="6"/>
      <c r="Y801" s="6"/>
      <c r="Z801" s="6"/>
    </row>
    <row r="802" spans="1:26" ht="31.5" customHeight="1">
      <c r="A802" s="1"/>
      <c r="B802" s="6"/>
      <c r="C802" s="10"/>
      <c r="D802" s="1"/>
      <c r="E802" s="11"/>
      <c r="F802" s="11"/>
      <c r="G802" s="6"/>
      <c r="H802" s="6"/>
      <c r="I802" s="6"/>
      <c r="J802" s="6"/>
      <c r="K802" s="6"/>
      <c r="L802" s="6"/>
      <c r="M802" s="6"/>
      <c r="N802" s="6"/>
      <c r="O802" s="6"/>
      <c r="P802" s="6"/>
      <c r="Q802" s="6"/>
      <c r="R802" s="6"/>
      <c r="S802" s="6"/>
      <c r="T802" s="6"/>
      <c r="U802" s="6"/>
      <c r="V802" s="6"/>
      <c r="W802" s="6"/>
      <c r="X802" s="6"/>
      <c r="Y802" s="6"/>
      <c r="Z802" s="6"/>
    </row>
    <row r="803" spans="1:26" ht="31.5" customHeight="1">
      <c r="A803" s="1"/>
      <c r="B803" s="6"/>
      <c r="C803" s="10"/>
      <c r="D803" s="1"/>
      <c r="E803" s="11"/>
      <c r="F803" s="11"/>
      <c r="G803" s="6"/>
      <c r="H803" s="6"/>
      <c r="I803" s="6"/>
      <c r="J803" s="6"/>
      <c r="K803" s="6"/>
      <c r="L803" s="6"/>
      <c r="M803" s="6"/>
      <c r="N803" s="6"/>
      <c r="O803" s="6"/>
      <c r="P803" s="6"/>
      <c r="Q803" s="6"/>
      <c r="R803" s="6"/>
      <c r="S803" s="6"/>
      <c r="T803" s="6"/>
      <c r="U803" s="6"/>
      <c r="V803" s="6"/>
      <c r="W803" s="6"/>
      <c r="X803" s="6"/>
      <c r="Y803" s="6"/>
      <c r="Z803" s="6"/>
    </row>
    <row r="804" spans="1:26" ht="31.5" customHeight="1">
      <c r="A804" s="1"/>
      <c r="B804" s="6"/>
      <c r="C804" s="10"/>
      <c r="D804" s="1"/>
      <c r="E804" s="11"/>
      <c r="F804" s="11"/>
      <c r="G804" s="6"/>
      <c r="H804" s="6"/>
      <c r="I804" s="6"/>
      <c r="J804" s="6"/>
      <c r="K804" s="6"/>
      <c r="L804" s="6"/>
      <c r="M804" s="6"/>
      <c r="N804" s="6"/>
      <c r="O804" s="6"/>
      <c r="P804" s="6"/>
      <c r="Q804" s="6"/>
      <c r="R804" s="6"/>
      <c r="S804" s="6"/>
      <c r="T804" s="6"/>
      <c r="U804" s="6"/>
      <c r="V804" s="6"/>
      <c r="W804" s="6"/>
      <c r="X804" s="6"/>
      <c r="Y804" s="6"/>
      <c r="Z804" s="6"/>
    </row>
    <row r="805" spans="1:26" ht="31.5" customHeight="1">
      <c r="A805" s="1"/>
      <c r="B805" s="6"/>
      <c r="C805" s="10"/>
      <c r="D805" s="1"/>
      <c r="E805" s="11"/>
      <c r="F805" s="11"/>
      <c r="G805" s="6"/>
      <c r="H805" s="6"/>
      <c r="I805" s="6"/>
      <c r="J805" s="6"/>
      <c r="K805" s="6"/>
      <c r="L805" s="6"/>
      <c r="M805" s="6"/>
      <c r="N805" s="6"/>
      <c r="O805" s="6"/>
      <c r="P805" s="6"/>
      <c r="Q805" s="6"/>
      <c r="R805" s="6"/>
      <c r="S805" s="6"/>
      <c r="T805" s="6"/>
      <c r="U805" s="6"/>
      <c r="V805" s="6"/>
      <c r="W805" s="6"/>
      <c r="X805" s="6"/>
      <c r="Y805" s="6"/>
      <c r="Z805" s="6"/>
    </row>
    <row r="806" spans="1:26" ht="31.5" customHeight="1">
      <c r="A806" s="1"/>
      <c r="B806" s="6"/>
      <c r="C806" s="10"/>
      <c r="D806" s="1"/>
      <c r="E806" s="11"/>
      <c r="F806" s="11"/>
      <c r="G806" s="6"/>
      <c r="H806" s="6"/>
      <c r="I806" s="6"/>
      <c r="J806" s="6"/>
      <c r="K806" s="6"/>
      <c r="L806" s="6"/>
      <c r="M806" s="6"/>
      <c r="N806" s="6"/>
      <c r="O806" s="6"/>
      <c r="P806" s="6"/>
      <c r="Q806" s="6"/>
      <c r="R806" s="6"/>
      <c r="S806" s="6"/>
      <c r="T806" s="6"/>
      <c r="U806" s="6"/>
      <c r="V806" s="6"/>
      <c r="W806" s="6"/>
      <c r="X806" s="6"/>
      <c r="Y806" s="6"/>
      <c r="Z806" s="6"/>
    </row>
    <row r="807" spans="1:26" ht="31.5" customHeight="1">
      <c r="A807" s="1"/>
      <c r="B807" s="6"/>
      <c r="C807" s="10"/>
      <c r="D807" s="1"/>
      <c r="E807" s="11"/>
      <c r="F807" s="11"/>
      <c r="G807" s="6"/>
      <c r="H807" s="6"/>
      <c r="I807" s="6"/>
      <c r="J807" s="6"/>
      <c r="K807" s="6"/>
      <c r="L807" s="6"/>
      <c r="M807" s="6"/>
      <c r="N807" s="6"/>
      <c r="O807" s="6"/>
      <c r="P807" s="6"/>
      <c r="Q807" s="6"/>
      <c r="R807" s="6"/>
      <c r="S807" s="6"/>
      <c r="T807" s="6"/>
      <c r="U807" s="6"/>
      <c r="V807" s="6"/>
      <c r="W807" s="6"/>
      <c r="X807" s="6"/>
      <c r="Y807" s="6"/>
      <c r="Z807" s="6"/>
    </row>
    <row r="808" spans="1:26" ht="31.5" customHeight="1">
      <c r="A808" s="1"/>
      <c r="B808" s="6"/>
      <c r="C808" s="10"/>
      <c r="D808" s="1"/>
      <c r="E808" s="11"/>
      <c r="F808" s="11"/>
      <c r="G808" s="6"/>
      <c r="H808" s="6"/>
      <c r="I808" s="6"/>
      <c r="J808" s="6"/>
      <c r="K808" s="6"/>
      <c r="L808" s="6"/>
      <c r="M808" s="6"/>
      <c r="N808" s="6"/>
      <c r="O808" s="6"/>
      <c r="P808" s="6"/>
      <c r="Q808" s="6"/>
      <c r="R808" s="6"/>
      <c r="S808" s="6"/>
      <c r="T808" s="6"/>
      <c r="U808" s="6"/>
      <c r="V808" s="6"/>
      <c r="W808" s="6"/>
      <c r="X808" s="6"/>
      <c r="Y808" s="6"/>
      <c r="Z808" s="6"/>
    </row>
    <row r="809" spans="1:26" ht="31.5" customHeight="1">
      <c r="A809" s="1"/>
      <c r="B809" s="6"/>
      <c r="C809" s="10"/>
      <c r="D809" s="1"/>
      <c r="E809" s="11"/>
      <c r="F809" s="11"/>
      <c r="G809" s="6"/>
      <c r="H809" s="6"/>
      <c r="I809" s="6"/>
      <c r="J809" s="6"/>
      <c r="K809" s="6"/>
      <c r="L809" s="6"/>
      <c r="M809" s="6"/>
      <c r="N809" s="6"/>
      <c r="O809" s="6"/>
      <c r="P809" s="6"/>
      <c r="Q809" s="6"/>
      <c r="R809" s="6"/>
      <c r="S809" s="6"/>
      <c r="T809" s="6"/>
      <c r="U809" s="6"/>
      <c r="V809" s="6"/>
      <c r="W809" s="6"/>
      <c r="X809" s="6"/>
      <c r="Y809" s="6"/>
      <c r="Z809" s="6"/>
    </row>
    <row r="810" spans="1:26" ht="31.5" customHeight="1">
      <c r="A810" s="1"/>
      <c r="B810" s="6"/>
      <c r="C810" s="10"/>
      <c r="D810" s="1"/>
      <c r="E810" s="11"/>
      <c r="F810" s="11"/>
      <c r="G810" s="6"/>
      <c r="H810" s="6"/>
      <c r="I810" s="6"/>
      <c r="J810" s="6"/>
      <c r="K810" s="6"/>
      <c r="L810" s="6"/>
      <c r="M810" s="6"/>
      <c r="N810" s="6"/>
      <c r="O810" s="6"/>
      <c r="P810" s="6"/>
      <c r="Q810" s="6"/>
      <c r="R810" s="6"/>
      <c r="S810" s="6"/>
      <c r="T810" s="6"/>
      <c r="U810" s="6"/>
      <c r="V810" s="6"/>
      <c r="W810" s="6"/>
      <c r="X810" s="6"/>
      <c r="Y810" s="6"/>
      <c r="Z810" s="6"/>
    </row>
    <row r="811" spans="1:26" ht="31.5" customHeight="1">
      <c r="A811" s="1"/>
      <c r="B811" s="6"/>
      <c r="C811" s="10"/>
      <c r="D811" s="1"/>
      <c r="E811" s="11"/>
      <c r="F811" s="11"/>
      <c r="G811" s="6"/>
      <c r="H811" s="6"/>
      <c r="I811" s="6"/>
      <c r="J811" s="6"/>
      <c r="K811" s="6"/>
      <c r="L811" s="6"/>
      <c r="M811" s="6"/>
      <c r="N811" s="6"/>
      <c r="O811" s="6"/>
      <c r="P811" s="6"/>
      <c r="Q811" s="6"/>
      <c r="R811" s="6"/>
      <c r="S811" s="6"/>
      <c r="T811" s="6"/>
      <c r="U811" s="6"/>
      <c r="V811" s="6"/>
      <c r="W811" s="6"/>
      <c r="X811" s="6"/>
      <c r="Y811" s="6"/>
      <c r="Z811" s="6"/>
    </row>
    <row r="812" spans="1:26" ht="31.5" customHeight="1">
      <c r="A812" s="1"/>
      <c r="B812" s="6"/>
      <c r="C812" s="10"/>
      <c r="D812" s="1"/>
      <c r="E812" s="11"/>
      <c r="F812" s="11"/>
      <c r="G812" s="6"/>
      <c r="H812" s="6"/>
      <c r="I812" s="6"/>
      <c r="J812" s="6"/>
      <c r="K812" s="6"/>
      <c r="L812" s="6"/>
      <c r="M812" s="6"/>
      <c r="N812" s="6"/>
      <c r="O812" s="6"/>
      <c r="P812" s="6"/>
      <c r="Q812" s="6"/>
      <c r="R812" s="6"/>
      <c r="S812" s="6"/>
      <c r="T812" s="6"/>
      <c r="U812" s="6"/>
      <c r="V812" s="6"/>
      <c r="W812" s="6"/>
      <c r="X812" s="6"/>
      <c r="Y812" s="6"/>
      <c r="Z812" s="6"/>
    </row>
    <row r="813" spans="1:26" ht="31.5" customHeight="1">
      <c r="A813" s="1"/>
      <c r="B813" s="6"/>
      <c r="C813" s="10"/>
      <c r="D813" s="1"/>
      <c r="E813" s="11"/>
      <c r="F813" s="11"/>
      <c r="G813" s="6"/>
      <c r="H813" s="6"/>
      <c r="I813" s="6"/>
      <c r="J813" s="6"/>
      <c r="K813" s="6"/>
      <c r="L813" s="6"/>
      <c r="M813" s="6"/>
      <c r="N813" s="6"/>
      <c r="O813" s="6"/>
      <c r="P813" s="6"/>
      <c r="Q813" s="6"/>
      <c r="R813" s="6"/>
      <c r="S813" s="6"/>
      <c r="T813" s="6"/>
      <c r="U813" s="6"/>
      <c r="V813" s="6"/>
      <c r="W813" s="6"/>
      <c r="X813" s="6"/>
      <c r="Y813" s="6"/>
      <c r="Z813" s="6"/>
    </row>
    <row r="814" spans="1:26" ht="31.5" customHeight="1">
      <c r="A814" s="1"/>
      <c r="B814" s="6"/>
      <c r="C814" s="10"/>
      <c r="D814" s="1"/>
      <c r="E814" s="11"/>
      <c r="F814" s="11"/>
      <c r="G814" s="6"/>
      <c r="H814" s="6"/>
      <c r="I814" s="6"/>
      <c r="J814" s="6"/>
      <c r="K814" s="6"/>
      <c r="L814" s="6"/>
      <c r="M814" s="6"/>
      <c r="N814" s="6"/>
      <c r="O814" s="6"/>
      <c r="P814" s="6"/>
      <c r="Q814" s="6"/>
      <c r="R814" s="6"/>
      <c r="S814" s="6"/>
      <c r="T814" s="6"/>
      <c r="U814" s="6"/>
      <c r="V814" s="6"/>
      <c r="W814" s="6"/>
      <c r="X814" s="6"/>
      <c r="Y814" s="6"/>
      <c r="Z814" s="6"/>
    </row>
    <row r="815" spans="1:26" ht="31.5" customHeight="1">
      <c r="A815" s="1"/>
      <c r="B815" s="6"/>
      <c r="C815" s="10"/>
      <c r="D815" s="1"/>
      <c r="E815" s="11"/>
      <c r="F815" s="11"/>
      <c r="G815" s="6"/>
      <c r="H815" s="6"/>
      <c r="I815" s="6"/>
      <c r="J815" s="6"/>
      <c r="K815" s="6"/>
      <c r="L815" s="6"/>
      <c r="M815" s="6"/>
      <c r="N815" s="6"/>
      <c r="O815" s="6"/>
      <c r="P815" s="6"/>
      <c r="Q815" s="6"/>
      <c r="R815" s="6"/>
      <c r="S815" s="6"/>
      <c r="T815" s="6"/>
      <c r="U815" s="6"/>
      <c r="V815" s="6"/>
      <c r="W815" s="6"/>
      <c r="X815" s="6"/>
      <c r="Y815" s="6"/>
      <c r="Z815" s="6"/>
    </row>
    <row r="816" spans="1:26" ht="31.5" customHeight="1">
      <c r="A816" s="1"/>
      <c r="B816" s="6"/>
      <c r="C816" s="10"/>
      <c r="D816" s="1"/>
      <c r="E816" s="11"/>
      <c r="F816" s="11"/>
      <c r="G816" s="6"/>
      <c r="H816" s="6"/>
      <c r="I816" s="6"/>
      <c r="J816" s="6"/>
      <c r="K816" s="6"/>
      <c r="L816" s="6"/>
      <c r="M816" s="6"/>
      <c r="N816" s="6"/>
      <c r="O816" s="6"/>
      <c r="P816" s="6"/>
      <c r="Q816" s="6"/>
      <c r="R816" s="6"/>
      <c r="S816" s="6"/>
      <c r="T816" s="6"/>
      <c r="U816" s="6"/>
      <c r="V816" s="6"/>
      <c r="W816" s="6"/>
      <c r="X816" s="6"/>
      <c r="Y816" s="6"/>
      <c r="Z816" s="6"/>
    </row>
    <row r="817" spans="1:26" ht="31.5" customHeight="1">
      <c r="A817" s="1"/>
      <c r="B817" s="6"/>
      <c r="C817" s="10"/>
      <c r="D817" s="1"/>
      <c r="E817" s="11"/>
      <c r="F817" s="11"/>
      <c r="G817" s="6"/>
      <c r="H817" s="6"/>
      <c r="I817" s="6"/>
      <c r="J817" s="6"/>
      <c r="K817" s="6"/>
      <c r="L817" s="6"/>
      <c r="M817" s="6"/>
      <c r="N817" s="6"/>
      <c r="O817" s="6"/>
      <c r="P817" s="6"/>
      <c r="Q817" s="6"/>
      <c r="R817" s="6"/>
      <c r="S817" s="6"/>
      <c r="T817" s="6"/>
      <c r="U817" s="6"/>
      <c r="V817" s="6"/>
      <c r="W817" s="6"/>
      <c r="X817" s="6"/>
      <c r="Y817" s="6"/>
      <c r="Z817" s="6"/>
    </row>
    <row r="818" spans="1:26" ht="31.5" customHeight="1">
      <c r="A818" s="1"/>
      <c r="B818" s="6"/>
      <c r="C818" s="10"/>
      <c r="D818" s="1"/>
      <c r="E818" s="11"/>
      <c r="F818" s="11"/>
      <c r="G818" s="6"/>
      <c r="H818" s="6"/>
      <c r="I818" s="6"/>
      <c r="J818" s="6"/>
      <c r="K818" s="6"/>
      <c r="L818" s="6"/>
      <c r="M818" s="6"/>
      <c r="N818" s="6"/>
      <c r="O818" s="6"/>
      <c r="P818" s="6"/>
      <c r="Q818" s="6"/>
      <c r="R818" s="6"/>
      <c r="S818" s="6"/>
      <c r="T818" s="6"/>
      <c r="U818" s="6"/>
      <c r="V818" s="6"/>
      <c r="W818" s="6"/>
      <c r="X818" s="6"/>
      <c r="Y818" s="6"/>
      <c r="Z818" s="6"/>
    </row>
    <row r="819" spans="1:26" ht="31.5" customHeight="1">
      <c r="A819" s="1"/>
      <c r="B819" s="6"/>
      <c r="C819" s="10"/>
      <c r="D819" s="1"/>
      <c r="E819" s="11"/>
      <c r="F819" s="11"/>
      <c r="G819" s="6"/>
      <c r="H819" s="6"/>
      <c r="I819" s="6"/>
      <c r="J819" s="6"/>
      <c r="K819" s="6"/>
      <c r="L819" s="6"/>
      <c r="M819" s="6"/>
      <c r="N819" s="6"/>
      <c r="O819" s="6"/>
      <c r="P819" s="6"/>
      <c r="Q819" s="6"/>
      <c r="R819" s="6"/>
      <c r="S819" s="6"/>
      <c r="T819" s="6"/>
      <c r="U819" s="6"/>
      <c r="V819" s="6"/>
      <c r="W819" s="6"/>
      <c r="X819" s="6"/>
      <c r="Y819" s="6"/>
      <c r="Z819" s="6"/>
    </row>
    <row r="820" spans="1:26" ht="31.5" customHeight="1">
      <c r="A820" s="1"/>
      <c r="B820" s="6"/>
      <c r="C820" s="10"/>
      <c r="D820" s="1"/>
      <c r="E820" s="11"/>
      <c r="F820" s="11"/>
      <c r="G820" s="6"/>
      <c r="H820" s="6"/>
      <c r="I820" s="6"/>
      <c r="J820" s="6"/>
      <c r="K820" s="6"/>
      <c r="L820" s="6"/>
      <c r="M820" s="6"/>
      <c r="N820" s="6"/>
      <c r="O820" s="6"/>
      <c r="P820" s="6"/>
      <c r="Q820" s="6"/>
      <c r="R820" s="6"/>
      <c r="S820" s="6"/>
      <c r="T820" s="6"/>
      <c r="U820" s="6"/>
      <c r="V820" s="6"/>
      <c r="W820" s="6"/>
      <c r="X820" s="6"/>
      <c r="Y820" s="6"/>
      <c r="Z820" s="6"/>
    </row>
    <row r="821" spans="1:26" ht="31.5" customHeight="1">
      <c r="A821" s="1"/>
      <c r="B821" s="6"/>
      <c r="C821" s="10"/>
      <c r="D821" s="1"/>
      <c r="E821" s="11"/>
      <c r="F821" s="11"/>
      <c r="G821" s="6"/>
      <c r="H821" s="6"/>
      <c r="I821" s="6"/>
      <c r="J821" s="6"/>
      <c r="K821" s="6"/>
      <c r="L821" s="6"/>
      <c r="M821" s="6"/>
      <c r="N821" s="6"/>
      <c r="O821" s="6"/>
      <c r="P821" s="6"/>
      <c r="Q821" s="6"/>
      <c r="R821" s="6"/>
      <c r="S821" s="6"/>
      <c r="T821" s="6"/>
      <c r="U821" s="6"/>
      <c r="V821" s="6"/>
      <c r="W821" s="6"/>
      <c r="X821" s="6"/>
      <c r="Y821" s="6"/>
      <c r="Z821" s="6"/>
    </row>
    <row r="822" spans="1:26" ht="31.5" customHeight="1">
      <c r="A822" s="1"/>
      <c r="B822" s="6"/>
      <c r="C822" s="10"/>
      <c r="D822" s="1"/>
      <c r="E822" s="11"/>
      <c r="F822" s="11"/>
      <c r="G822" s="6"/>
      <c r="H822" s="6"/>
      <c r="I822" s="6"/>
      <c r="J822" s="6"/>
      <c r="K822" s="6"/>
      <c r="L822" s="6"/>
      <c r="M822" s="6"/>
      <c r="N822" s="6"/>
      <c r="O822" s="6"/>
      <c r="P822" s="6"/>
      <c r="Q822" s="6"/>
      <c r="R822" s="6"/>
      <c r="S822" s="6"/>
      <c r="T822" s="6"/>
      <c r="U822" s="6"/>
      <c r="V822" s="6"/>
      <c r="W822" s="6"/>
      <c r="X822" s="6"/>
      <c r="Y822" s="6"/>
      <c r="Z822" s="6"/>
    </row>
    <row r="823" spans="1:26" ht="31.5" customHeight="1">
      <c r="A823" s="1"/>
      <c r="B823" s="6"/>
      <c r="C823" s="10"/>
      <c r="D823" s="1"/>
      <c r="E823" s="11"/>
      <c r="F823" s="11"/>
      <c r="G823" s="6"/>
      <c r="H823" s="6"/>
      <c r="I823" s="6"/>
      <c r="J823" s="6"/>
      <c r="K823" s="6"/>
      <c r="L823" s="6"/>
      <c r="M823" s="6"/>
      <c r="N823" s="6"/>
      <c r="O823" s="6"/>
      <c r="P823" s="6"/>
      <c r="Q823" s="6"/>
      <c r="R823" s="6"/>
      <c r="S823" s="6"/>
      <c r="T823" s="6"/>
      <c r="U823" s="6"/>
      <c r="V823" s="6"/>
      <c r="W823" s="6"/>
      <c r="X823" s="6"/>
      <c r="Y823" s="6"/>
      <c r="Z823" s="6"/>
    </row>
    <row r="824" spans="1:26" ht="31.5" customHeight="1">
      <c r="A824" s="1"/>
      <c r="B824" s="6"/>
      <c r="C824" s="10"/>
      <c r="D824" s="1"/>
      <c r="E824" s="11"/>
      <c r="F824" s="11"/>
      <c r="G824" s="6"/>
      <c r="H824" s="6"/>
      <c r="I824" s="6"/>
      <c r="J824" s="6"/>
      <c r="K824" s="6"/>
      <c r="L824" s="6"/>
      <c r="M824" s="6"/>
      <c r="N824" s="6"/>
      <c r="O824" s="6"/>
      <c r="P824" s="6"/>
      <c r="Q824" s="6"/>
      <c r="R824" s="6"/>
      <c r="S824" s="6"/>
      <c r="T824" s="6"/>
      <c r="U824" s="6"/>
      <c r="V824" s="6"/>
      <c r="W824" s="6"/>
      <c r="X824" s="6"/>
      <c r="Y824" s="6"/>
      <c r="Z824" s="6"/>
    </row>
    <row r="825" spans="1:26" ht="31.5" customHeight="1">
      <c r="A825" s="1"/>
      <c r="B825" s="6"/>
      <c r="C825" s="10"/>
      <c r="D825" s="1"/>
      <c r="E825" s="11"/>
      <c r="F825" s="11"/>
      <c r="G825" s="6"/>
      <c r="H825" s="6"/>
      <c r="I825" s="6"/>
      <c r="J825" s="6"/>
      <c r="K825" s="6"/>
      <c r="L825" s="6"/>
      <c r="M825" s="6"/>
      <c r="N825" s="6"/>
      <c r="O825" s="6"/>
      <c r="P825" s="6"/>
      <c r="Q825" s="6"/>
      <c r="R825" s="6"/>
      <c r="S825" s="6"/>
      <c r="T825" s="6"/>
      <c r="U825" s="6"/>
      <c r="V825" s="6"/>
      <c r="W825" s="6"/>
      <c r="X825" s="6"/>
      <c r="Y825" s="6"/>
      <c r="Z825" s="6"/>
    </row>
    <row r="826" spans="1:26" ht="31.5" customHeight="1">
      <c r="A826" s="1"/>
      <c r="B826" s="6"/>
      <c r="C826" s="10"/>
      <c r="D826" s="1"/>
      <c r="E826" s="11"/>
      <c r="F826" s="11"/>
      <c r="G826" s="6"/>
      <c r="H826" s="6"/>
      <c r="I826" s="6"/>
      <c r="J826" s="6"/>
      <c r="K826" s="6"/>
      <c r="L826" s="6"/>
      <c r="M826" s="6"/>
      <c r="N826" s="6"/>
      <c r="O826" s="6"/>
      <c r="P826" s="6"/>
      <c r="Q826" s="6"/>
      <c r="R826" s="6"/>
      <c r="S826" s="6"/>
      <c r="T826" s="6"/>
      <c r="U826" s="6"/>
      <c r="V826" s="6"/>
      <c r="W826" s="6"/>
      <c r="X826" s="6"/>
      <c r="Y826" s="6"/>
      <c r="Z826" s="6"/>
    </row>
    <row r="827" spans="1:26" ht="31.5" customHeight="1">
      <c r="A827" s="1"/>
      <c r="B827" s="6"/>
      <c r="C827" s="10"/>
      <c r="D827" s="1"/>
      <c r="E827" s="11"/>
      <c r="F827" s="11"/>
      <c r="G827" s="6"/>
      <c r="H827" s="6"/>
      <c r="I827" s="6"/>
      <c r="J827" s="6"/>
      <c r="K827" s="6"/>
      <c r="L827" s="6"/>
      <c r="M827" s="6"/>
      <c r="N827" s="6"/>
      <c r="O827" s="6"/>
      <c r="P827" s="6"/>
      <c r="Q827" s="6"/>
      <c r="R827" s="6"/>
      <c r="S827" s="6"/>
      <c r="T827" s="6"/>
      <c r="U827" s="6"/>
      <c r="V827" s="6"/>
      <c r="W827" s="6"/>
      <c r="X827" s="6"/>
      <c r="Y827" s="6"/>
      <c r="Z827" s="6"/>
    </row>
    <row r="828" spans="1:26" ht="31.5" customHeight="1">
      <c r="A828" s="1"/>
      <c r="B828" s="6"/>
      <c r="C828" s="10"/>
      <c r="D828" s="1"/>
      <c r="E828" s="11"/>
      <c r="F828" s="11"/>
      <c r="G828" s="6"/>
      <c r="H828" s="6"/>
      <c r="I828" s="6"/>
      <c r="J828" s="6"/>
      <c r="K828" s="6"/>
      <c r="L828" s="6"/>
      <c r="M828" s="6"/>
      <c r="N828" s="6"/>
      <c r="O828" s="6"/>
      <c r="P828" s="6"/>
      <c r="Q828" s="6"/>
      <c r="R828" s="6"/>
      <c r="S828" s="6"/>
      <c r="T828" s="6"/>
      <c r="U828" s="6"/>
      <c r="V828" s="6"/>
      <c r="W828" s="6"/>
      <c r="X828" s="6"/>
      <c r="Y828" s="6"/>
      <c r="Z828" s="6"/>
    </row>
    <row r="829" spans="1:26" ht="31.5" customHeight="1">
      <c r="A829" s="1"/>
      <c r="B829" s="6"/>
      <c r="C829" s="10"/>
      <c r="D829" s="1"/>
      <c r="E829" s="11"/>
      <c r="F829" s="11"/>
      <c r="G829" s="6"/>
      <c r="H829" s="6"/>
      <c r="I829" s="6"/>
      <c r="J829" s="6"/>
      <c r="K829" s="6"/>
      <c r="L829" s="6"/>
      <c r="M829" s="6"/>
      <c r="N829" s="6"/>
      <c r="O829" s="6"/>
      <c r="P829" s="6"/>
      <c r="Q829" s="6"/>
      <c r="R829" s="6"/>
      <c r="S829" s="6"/>
      <c r="T829" s="6"/>
      <c r="U829" s="6"/>
      <c r="V829" s="6"/>
      <c r="W829" s="6"/>
      <c r="X829" s="6"/>
      <c r="Y829" s="6"/>
      <c r="Z829" s="6"/>
    </row>
    <row r="830" spans="1:26" ht="31.5" customHeight="1">
      <c r="A830" s="1"/>
      <c r="B830" s="6"/>
      <c r="C830" s="10"/>
      <c r="D830" s="1"/>
      <c r="E830" s="11"/>
      <c r="F830" s="11"/>
      <c r="G830" s="6"/>
      <c r="H830" s="6"/>
      <c r="I830" s="6"/>
      <c r="J830" s="6"/>
      <c r="K830" s="6"/>
      <c r="L830" s="6"/>
      <c r="M830" s="6"/>
      <c r="N830" s="6"/>
      <c r="O830" s="6"/>
      <c r="P830" s="6"/>
      <c r="Q830" s="6"/>
      <c r="R830" s="6"/>
      <c r="S830" s="6"/>
      <c r="T830" s="6"/>
      <c r="U830" s="6"/>
      <c r="V830" s="6"/>
      <c r="W830" s="6"/>
      <c r="X830" s="6"/>
      <c r="Y830" s="6"/>
      <c r="Z830" s="6"/>
    </row>
    <row r="831" spans="1:26" ht="31.5" customHeight="1">
      <c r="A831" s="1"/>
      <c r="B831" s="6"/>
      <c r="C831" s="10"/>
      <c r="D831" s="1"/>
      <c r="E831" s="11"/>
      <c r="F831" s="11"/>
      <c r="G831" s="6"/>
      <c r="H831" s="6"/>
      <c r="I831" s="6"/>
      <c r="J831" s="6"/>
      <c r="K831" s="6"/>
      <c r="L831" s="6"/>
      <c r="M831" s="6"/>
      <c r="N831" s="6"/>
      <c r="O831" s="6"/>
      <c r="P831" s="6"/>
      <c r="Q831" s="6"/>
      <c r="R831" s="6"/>
      <c r="S831" s="6"/>
      <c r="T831" s="6"/>
      <c r="U831" s="6"/>
      <c r="V831" s="6"/>
      <c r="W831" s="6"/>
      <c r="X831" s="6"/>
      <c r="Y831" s="6"/>
      <c r="Z831" s="6"/>
    </row>
    <row r="832" spans="1:26" ht="31.5" customHeight="1">
      <c r="A832" s="1"/>
      <c r="B832" s="6"/>
      <c r="C832" s="10"/>
      <c r="D832" s="1"/>
      <c r="E832" s="11"/>
      <c r="F832" s="11"/>
      <c r="G832" s="6"/>
      <c r="H832" s="6"/>
      <c r="I832" s="6"/>
      <c r="J832" s="6"/>
      <c r="K832" s="6"/>
      <c r="L832" s="6"/>
      <c r="M832" s="6"/>
      <c r="N832" s="6"/>
      <c r="O832" s="6"/>
      <c r="P832" s="6"/>
      <c r="Q832" s="6"/>
      <c r="R832" s="6"/>
      <c r="S832" s="6"/>
      <c r="T832" s="6"/>
      <c r="U832" s="6"/>
      <c r="V832" s="6"/>
      <c r="W832" s="6"/>
      <c r="X832" s="6"/>
      <c r="Y832" s="6"/>
      <c r="Z832" s="6"/>
    </row>
    <row r="833" spans="1:26" ht="31.5" customHeight="1">
      <c r="A833" s="1"/>
      <c r="B833" s="6"/>
      <c r="C833" s="10"/>
      <c r="D833" s="1"/>
      <c r="E833" s="11"/>
      <c r="F833" s="11"/>
      <c r="G833" s="6"/>
      <c r="H833" s="6"/>
      <c r="I833" s="6"/>
      <c r="J833" s="6"/>
      <c r="K833" s="6"/>
      <c r="L833" s="6"/>
      <c r="M833" s="6"/>
      <c r="N833" s="6"/>
      <c r="O833" s="6"/>
      <c r="P833" s="6"/>
      <c r="Q833" s="6"/>
      <c r="R833" s="6"/>
      <c r="S833" s="6"/>
      <c r="T833" s="6"/>
      <c r="U833" s="6"/>
      <c r="V833" s="6"/>
      <c r="W833" s="6"/>
      <c r="X833" s="6"/>
      <c r="Y833" s="6"/>
      <c r="Z833" s="6"/>
    </row>
    <row r="834" spans="1:26" ht="31.5" customHeight="1">
      <c r="A834" s="1"/>
      <c r="B834" s="6"/>
      <c r="C834" s="10"/>
      <c r="D834" s="1"/>
      <c r="E834" s="11"/>
      <c r="F834" s="11"/>
      <c r="G834" s="6"/>
      <c r="H834" s="6"/>
      <c r="I834" s="6"/>
      <c r="J834" s="6"/>
      <c r="K834" s="6"/>
      <c r="L834" s="6"/>
      <c r="M834" s="6"/>
      <c r="N834" s="6"/>
      <c r="O834" s="6"/>
      <c r="P834" s="6"/>
      <c r="Q834" s="6"/>
      <c r="R834" s="6"/>
      <c r="S834" s="6"/>
      <c r="T834" s="6"/>
      <c r="U834" s="6"/>
      <c r="V834" s="6"/>
      <c r="W834" s="6"/>
      <c r="X834" s="6"/>
      <c r="Y834" s="6"/>
      <c r="Z834" s="6"/>
    </row>
    <row r="835" spans="1:26" ht="31.5" customHeight="1">
      <c r="A835" s="1"/>
      <c r="B835" s="6"/>
      <c r="C835" s="10"/>
      <c r="D835" s="1"/>
      <c r="E835" s="11"/>
      <c r="F835" s="11"/>
      <c r="G835" s="6"/>
      <c r="H835" s="6"/>
      <c r="I835" s="6"/>
      <c r="J835" s="6"/>
      <c r="K835" s="6"/>
      <c r="L835" s="6"/>
      <c r="M835" s="6"/>
      <c r="N835" s="6"/>
      <c r="O835" s="6"/>
      <c r="P835" s="6"/>
      <c r="Q835" s="6"/>
      <c r="R835" s="6"/>
      <c r="S835" s="6"/>
      <c r="T835" s="6"/>
      <c r="U835" s="6"/>
      <c r="V835" s="6"/>
      <c r="W835" s="6"/>
      <c r="X835" s="6"/>
      <c r="Y835" s="6"/>
      <c r="Z835" s="6"/>
    </row>
    <row r="836" spans="1:26" ht="31.5" customHeight="1">
      <c r="A836" s="1"/>
      <c r="B836" s="6"/>
      <c r="C836" s="10"/>
      <c r="D836" s="1"/>
      <c r="E836" s="11"/>
      <c r="F836" s="11"/>
      <c r="G836" s="6"/>
      <c r="H836" s="6"/>
      <c r="I836" s="6"/>
      <c r="J836" s="6"/>
      <c r="K836" s="6"/>
      <c r="L836" s="6"/>
      <c r="M836" s="6"/>
      <c r="N836" s="6"/>
      <c r="O836" s="6"/>
      <c r="P836" s="6"/>
      <c r="Q836" s="6"/>
      <c r="R836" s="6"/>
      <c r="S836" s="6"/>
      <c r="T836" s="6"/>
      <c r="U836" s="6"/>
      <c r="V836" s="6"/>
      <c r="W836" s="6"/>
      <c r="X836" s="6"/>
      <c r="Y836" s="6"/>
      <c r="Z836" s="6"/>
    </row>
    <row r="837" spans="1:26" ht="31.5" customHeight="1">
      <c r="A837" s="1"/>
      <c r="B837" s="6"/>
      <c r="C837" s="10"/>
      <c r="D837" s="1"/>
      <c r="E837" s="11"/>
      <c r="F837" s="11"/>
      <c r="G837" s="6"/>
      <c r="H837" s="6"/>
      <c r="I837" s="6"/>
      <c r="J837" s="6"/>
      <c r="K837" s="6"/>
      <c r="L837" s="6"/>
      <c r="M837" s="6"/>
      <c r="N837" s="6"/>
      <c r="O837" s="6"/>
      <c r="P837" s="6"/>
      <c r="Q837" s="6"/>
      <c r="R837" s="6"/>
      <c r="S837" s="6"/>
      <c r="T837" s="6"/>
      <c r="U837" s="6"/>
      <c r="V837" s="6"/>
      <c r="W837" s="6"/>
      <c r="X837" s="6"/>
      <c r="Y837" s="6"/>
      <c r="Z837" s="6"/>
    </row>
    <row r="838" spans="1:26" ht="31.5" customHeight="1">
      <c r="A838" s="1"/>
      <c r="B838" s="6"/>
      <c r="C838" s="10"/>
      <c r="D838" s="1"/>
      <c r="E838" s="11"/>
      <c r="F838" s="11"/>
      <c r="G838" s="6"/>
      <c r="H838" s="6"/>
      <c r="I838" s="6"/>
      <c r="J838" s="6"/>
      <c r="K838" s="6"/>
      <c r="L838" s="6"/>
      <c r="M838" s="6"/>
      <c r="N838" s="6"/>
      <c r="O838" s="6"/>
      <c r="P838" s="6"/>
      <c r="Q838" s="6"/>
      <c r="R838" s="6"/>
      <c r="S838" s="6"/>
      <c r="T838" s="6"/>
      <c r="U838" s="6"/>
      <c r="V838" s="6"/>
      <c r="W838" s="6"/>
      <c r="X838" s="6"/>
      <c r="Y838" s="6"/>
      <c r="Z838" s="6"/>
    </row>
    <row r="839" spans="1:26" ht="31.5" customHeight="1">
      <c r="A839" s="1"/>
      <c r="B839" s="6"/>
      <c r="C839" s="10"/>
      <c r="D839" s="1"/>
      <c r="E839" s="11"/>
      <c r="F839" s="11"/>
      <c r="G839" s="6"/>
      <c r="H839" s="6"/>
      <c r="I839" s="6"/>
      <c r="J839" s="6"/>
      <c r="K839" s="6"/>
      <c r="L839" s="6"/>
      <c r="M839" s="6"/>
      <c r="N839" s="6"/>
      <c r="O839" s="6"/>
      <c r="P839" s="6"/>
      <c r="Q839" s="6"/>
      <c r="R839" s="6"/>
      <c r="S839" s="6"/>
      <c r="T839" s="6"/>
      <c r="U839" s="6"/>
      <c r="V839" s="6"/>
      <c r="W839" s="6"/>
      <c r="X839" s="6"/>
      <c r="Y839" s="6"/>
      <c r="Z839" s="6"/>
    </row>
    <row r="840" spans="1:26" ht="31.5" customHeight="1">
      <c r="A840" s="1"/>
      <c r="B840" s="6"/>
      <c r="C840" s="10"/>
      <c r="D840" s="1"/>
      <c r="E840" s="11"/>
      <c r="F840" s="11"/>
      <c r="G840" s="6"/>
      <c r="H840" s="6"/>
      <c r="I840" s="6"/>
      <c r="J840" s="6"/>
      <c r="K840" s="6"/>
      <c r="L840" s="6"/>
      <c r="M840" s="6"/>
      <c r="N840" s="6"/>
      <c r="O840" s="6"/>
      <c r="P840" s="6"/>
      <c r="Q840" s="6"/>
      <c r="R840" s="6"/>
      <c r="S840" s="6"/>
      <c r="T840" s="6"/>
      <c r="U840" s="6"/>
      <c r="V840" s="6"/>
      <c r="W840" s="6"/>
      <c r="X840" s="6"/>
      <c r="Y840" s="6"/>
      <c r="Z840" s="6"/>
    </row>
    <row r="841" spans="1:26" ht="31.5" customHeight="1">
      <c r="A841" s="1"/>
      <c r="B841" s="6"/>
      <c r="C841" s="10"/>
      <c r="D841" s="1"/>
      <c r="E841" s="11"/>
      <c r="F841" s="11"/>
      <c r="G841" s="6"/>
      <c r="H841" s="6"/>
      <c r="I841" s="6"/>
      <c r="J841" s="6"/>
      <c r="K841" s="6"/>
      <c r="L841" s="6"/>
      <c r="M841" s="6"/>
      <c r="N841" s="6"/>
      <c r="O841" s="6"/>
      <c r="P841" s="6"/>
      <c r="Q841" s="6"/>
      <c r="R841" s="6"/>
      <c r="S841" s="6"/>
      <c r="T841" s="6"/>
      <c r="U841" s="6"/>
      <c r="V841" s="6"/>
      <c r="W841" s="6"/>
      <c r="X841" s="6"/>
      <c r="Y841" s="6"/>
      <c r="Z841" s="6"/>
    </row>
    <row r="842" spans="1:26" ht="31.5" customHeight="1">
      <c r="A842" s="1"/>
      <c r="B842" s="6"/>
      <c r="C842" s="10"/>
      <c r="D842" s="1"/>
      <c r="E842" s="11"/>
      <c r="F842" s="11"/>
      <c r="G842" s="6"/>
      <c r="H842" s="6"/>
      <c r="I842" s="6"/>
      <c r="J842" s="6"/>
      <c r="K842" s="6"/>
      <c r="L842" s="6"/>
      <c r="M842" s="6"/>
      <c r="N842" s="6"/>
      <c r="O842" s="6"/>
      <c r="P842" s="6"/>
      <c r="Q842" s="6"/>
      <c r="R842" s="6"/>
      <c r="S842" s="6"/>
      <c r="T842" s="6"/>
      <c r="U842" s="6"/>
      <c r="V842" s="6"/>
      <c r="W842" s="6"/>
      <c r="X842" s="6"/>
      <c r="Y842" s="6"/>
      <c r="Z842" s="6"/>
    </row>
    <row r="843" spans="1:26" ht="31.5" customHeight="1">
      <c r="A843" s="1"/>
      <c r="B843" s="6"/>
      <c r="C843" s="10"/>
      <c r="D843" s="1"/>
      <c r="E843" s="11"/>
      <c r="F843" s="11"/>
      <c r="G843" s="6"/>
      <c r="H843" s="6"/>
      <c r="I843" s="6"/>
      <c r="J843" s="6"/>
      <c r="K843" s="6"/>
      <c r="L843" s="6"/>
      <c r="M843" s="6"/>
      <c r="N843" s="6"/>
      <c r="O843" s="6"/>
      <c r="P843" s="6"/>
      <c r="Q843" s="6"/>
      <c r="R843" s="6"/>
      <c r="S843" s="6"/>
      <c r="T843" s="6"/>
      <c r="U843" s="6"/>
      <c r="V843" s="6"/>
      <c r="W843" s="6"/>
      <c r="X843" s="6"/>
      <c r="Y843" s="6"/>
      <c r="Z843" s="6"/>
    </row>
    <row r="844" spans="1:26" ht="31.5" customHeight="1">
      <c r="A844" s="1"/>
      <c r="B844" s="6"/>
      <c r="C844" s="10"/>
      <c r="D844" s="1"/>
      <c r="E844" s="11"/>
      <c r="F844" s="11"/>
      <c r="G844" s="6"/>
      <c r="H844" s="6"/>
      <c r="I844" s="6"/>
      <c r="J844" s="6"/>
      <c r="K844" s="6"/>
      <c r="L844" s="6"/>
      <c r="M844" s="6"/>
      <c r="N844" s="6"/>
      <c r="O844" s="6"/>
      <c r="P844" s="6"/>
      <c r="Q844" s="6"/>
      <c r="R844" s="6"/>
      <c r="S844" s="6"/>
      <c r="T844" s="6"/>
      <c r="U844" s="6"/>
      <c r="V844" s="6"/>
      <c r="W844" s="6"/>
      <c r="X844" s="6"/>
      <c r="Y844" s="6"/>
      <c r="Z844" s="6"/>
    </row>
    <row r="845" spans="1:26" ht="31.5" customHeight="1">
      <c r="A845" s="1"/>
      <c r="B845" s="6"/>
      <c r="C845" s="10"/>
      <c r="D845" s="1"/>
      <c r="E845" s="11"/>
      <c r="F845" s="11"/>
      <c r="G845" s="6"/>
      <c r="H845" s="6"/>
      <c r="I845" s="6"/>
      <c r="J845" s="6"/>
      <c r="K845" s="6"/>
      <c r="L845" s="6"/>
      <c r="M845" s="6"/>
      <c r="N845" s="6"/>
      <c r="O845" s="6"/>
      <c r="P845" s="6"/>
      <c r="Q845" s="6"/>
      <c r="R845" s="6"/>
      <c r="S845" s="6"/>
      <c r="T845" s="6"/>
      <c r="U845" s="6"/>
      <c r="V845" s="6"/>
      <c r="W845" s="6"/>
      <c r="X845" s="6"/>
      <c r="Y845" s="6"/>
      <c r="Z845" s="6"/>
    </row>
    <row r="846" spans="1:26" ht="31.5" customHeight="1">
      <c r="A846" s="1"/>
      <c r="B846" s="6"/>
      <c r="C846" s="10"/>
      <c r="D846" s="1"/>
      <c r="E846" s="11"/>
      <c r="F846" s="11"/>
      <c r="G846" s="6"/>
      <c r="H846" s="6"/>
      <c r="I846" s="6"/>
      <c r="J846" s="6"/>
      <c r="K846" s="6"/>
      <c r="L846" s="6"/>
      <c r="M846" s="6"/>
      <c r="N846" s="6"/>
      <c r="O846" s="6"/>
      <c r="P846" s="6"/>
      <c r="Q846" s="6"/>
      <c r="R846" s="6"/>
      <c r="S846" s="6"/>
      <c r="T846" s="6"/>
      <c r="U846" s="6"/>
      <c r="V846" s="6"/>
      <c r="W846" s="6"/>
      <c r="X846" s="6"/>
      <c r="Y846" s="6"/>
      <c r="Z846" s="6"/>
    </row>
    <row r="847" spans="1:26" ht="31.5" customHeight="1">
      <c r="A847" s="1"/>
      <c r="B847" s="6"/>
      <c r="C847" s="10"/>
      <c r="D847" s="1"/>
      <c r="E847" s="11"/>
      <c r="F847" s="11"/>
      <c r="G847" s="6"/>
      <c r="H847" s="6"/>
      <c r="I847" s="6"/>
      <c r="J847" s="6"/>
      <c r="K847" s="6"/>
      <c r="L847" s="6"/>
      <c r="M847" s="6"/>
      <c r="N847" s="6"/>
      <c r="O847" s="6"/>
      <c r="P847" s="6"/>
      <c r="Q847" s="6"/>
      <c r="R847" s="6"/>
      <c r="S847" s="6"/>
      <c r="T847" s="6"/>
      <c r="U847" s="6"/>
      <c r="V847" s="6"/>
      <c r="W847" s="6"/>
      <c r="X847" s="6"/>
      <c r="Y847" s="6"/>
      <c r="Z847" s="6"/>
    </row>
    <row r="848" spans="1:26" ht="31.5" customHeight="1">
      <c r="A848" s="1"/>
      <c r="B848" s="6"/>
      <c r="C848" s="10"/>
      <c r="D848" s="1"/>
      <c r="E848" s="11"/>
      <c r="F848" s="11"/>
      <c r="G848" s="6"/>
      <c r="H848" s="6"/>
      <c r="I848" s="6"/>
      <c r="J848" s="6"/>
      <c r="K848" s="6"/>
      <c r="L848" s="6"/>
      <c r="M848" s="6"/>
      <c r="N848" s="6"/>
      <c r="O848" s="6"/>
      <c r="P848" s="6"/>
      <c r="Q848" s="6"/>
      <c r="R848" s="6"/>
      <c r="S848" s="6"/>
      <c r="T848" s="6"/>
      <c r="U848" s="6"/>
      <c r="V848" s="6"/>
      <c r="W848" s="6"/>
      <c r="X848" s="6"/>
      <c r="Y848" s="6"/>
      <c r="Z848" s="6"/>
    </row>
    <row r="849" spans="1:26" ht="31.5" customHeight="1">
      <c r="A849" s="1"/>
      <c r="B849" s="6"/>
      <c r="C849" s="10"/>
      <c r="D849" s="1"/>
      <c r="E849" s="11"/>
      <c r="F849" s="11"/>
      <c r="G849" s="6"/>
      <c r="H849" s="6"/>
      <c r="I849" s="6"/>
      <c r="J849" s="6"/>
      <c r="K849" s="6"/>
      <c r="L849" s="6"/>
      <c r="M849" s="6"/>
      <c r="N849" s="6"/>
      <c r="O849" s="6"/>
      <c r="P849" s="6"/>
      <c r="Q849" s="6"/>
      <c r="R849" s="6"/>
      <c r="S849" s="6"/>
      <c r="T849" s="6"/>
      <c r="U849" s="6"/>
      <c r="V849" s="6"/>
      <c r="W849" s="6"/>
      <c r="X849" s="6"/>
      <c r="Y849" s="6"/>
      <c r="Z849" s="6"/>
    </row>
    <row r="850" spans="1:26" ht="31.5" customHeight="1">
      <c r="A850" s="1"/>
      <c r="B850" s="6"/>
      <c r="C850" s="10"/>
      <c r="D850" s="1"/>
      <c r="E850" s="11"/>
      <c r="F850" s="11"/>
      <c r="G850" s="6"/>
      <c r="H850" s="6"/>
      <c r="I850" s="6"/>
      <c r="J850" s="6"/>
      <c r="K850" s="6"/>
      <c r="L850" s="6"/>
      <c r="M850" s="6"/>
      <c r="N850" s="6"/>
      <c r="O850" s="6"/>
      <c r="P850" s="6"/>
      <c r="Q850" s="6"/>
      <c r="R850" s="6"/>
      <c r="S850" s="6"/>
      <c r="T850" s="6"/>
      <c r="U850" s="6"/>
      <c r="V850" s="6"/>
      <c r="W850" s="6"/>
      <c r="X850" s="6"/>
      <c r="Y850" s="6"/>
      <c r="Z850" s="6"/>
    </row>
    <row r="851" spans="1:26" ht="31.5" customHeight="1">
      <c r="A851" s="1"/>
      <c r="B851" s="6"/>
      <c r="C851" s="10"/>
      <c r="D851" s="1"/>
      <c r="E851" s="11"/>
      <c r="F851" s="11"/>
      <c r="G851" s="6"/>
      <c r="H851" s="6"/>
      <c r="I851" s="6"/>
      <c r="J851" s="6"/>
      <c r="K851" s="6"/>
      <c r="L851" s="6"/>
      <c r="M851" s="6"/>
      <c r="N851" s="6"/>
      <c r="O851" s="6"/>
      <c r="P851" s="6"/>
      <c r="Q851" s="6"/>
      <c r="R851" s="6"/>
      <c r="S851" s="6"/>
      <c r="T851" s="6"/>
      <c r="U851" s="6"/>
      <c r="V851" s="6"/>
      <c r="W851" s="6"/>
      <c r="X851" s="6"/>
      <c r="Y851" s="6"/>
      <c r="Z851" s="6"/>
    </row>
    <row r="852" spans="1:26" ht="31.5" customHeight="1">
      <c r="A852" s="1"/>
      <c r="B852" s="6"/>
      <c r="C852" s="10"/>
      <c r="D852" s="1"/>
      <c r="E852" s="11"/>
      <c r="F852" s="11"/>
      <c r="G852" s="6"/>
      <c r="H852" s="6"/>
      <c r="I852" s="6"/>
      <c r="J852" s="6"/>
      <c r="K852" s="6"/>
      <c r="L852" s="6"/>
      <c r="M852" s="6"/>
      <c r="N852" s="6"/>
      <c r="O852" s="6"/>
      <c r="P852" s="6"/>
      <c r="Q852" s="6"/>
      <c r="R852" s="6"/>
      <c r="S852" s="6"/>
      <c r="T852" s="6"/>
      <c r="U852" s="6"/>
      <c r="V852" s="6"/>
      <c r="W852" s="6"/>
      <c r="X852" s="6"/>
      <c r="Y852" s="6"/>
      <c r="Z852" s="6"/>
    </row>
    <row r="853" spans="1:26" ht="31.5" customHeight="1">
      <c r="A853" s="1"/>
      <c r="B853" s="6"/>
      <c r="C853" s="10"/>
      <c r="D853" s="1"/>
      <c r="E853" s="11"/>
      <c r="F853" s="11"/>
      <c r="G853" s="6"/>
      <c r="H853" s="6"/>
      <c r="I853" s="6"/>
      <c r="J853" s="6"/>
      <c r="K853" s="6"/>
      <c r="L853" s="6"/>
      <c r="M853" s="6"/>
      <c r="N853" s="6"/>
      <c r="O853" s="6"/>
      <c r="P853" s="6"/>
      <c r="Q853" s="6"/>
      <c r="R853" s="6"/>
      <c r="S853" s="6"/>
      <c r="T853" s="6"/>
      <c r="U853" s="6"/>
      <c r="V853" s="6"/>
      <c r="W853" s="6"/>
      <c r="X853" s="6"/>
      <c r="Y853" s="6"/>
      <c r="Z853" s="6"/>
    </row>
    <row r="854" spans="1:26" ht="31.5" customHeight="1">
      <c r="A854" s="1"/>
      <c r="B854" s="6"/>
      <c r="C854" s="10"/>
      <c r="D854" s="1"/>
      <c r="E854" s="11"/>
      <c r="F854" s="11"/>
      <c r="G854" s="6"/>
      <c r="H854" s="6"/>
      <c r="I854" s="6"/>
      <c r="J854" s="6"/>
      <c r="K854" s="6"/>
      <c r="L854" s="6"/>
      <c r="M854" s="6"/>
      <c r="N854" s="6"/>
      <c r="O854" s="6"/>
      <c r="P854" s="6"/>
      <c r="Q854" s="6"/>
      <c r="R854" s="6"/>
      <c r="S854" s="6"/>
      <c r="T854" s="6"/>
      <c r="U854" s="6"/>
      <c r="V854" s="6"/>
      <c r="W854" s="6"/>
      <c r="X854" s="6"/>
      <c r="Y854" s="6"/>
      <c r="Z854" s="6"/>
    </row>
    <row r="855" spans="1:26" ht="31.5" customHeight="1">
      <c r="A855" s="1"/>
      <c r="B855" s="6"/>
      <c r="C855" s="10"/>
      <c r="D855" s="1"/>
      <c r="E855" s="11"/>
      <c r="F855" s="11"/>
      <c r="G855" s="6"/>
      <c r="H855" s="6"/>
      <c r="I855" s="6"/>
      <c r="J855" s="6"/>
      <c r="K855" s="6"/>
      <c r="L855" s="6"/>
      <c r="M855" s="6"/>
      <c r="N855" s="6"/>
      <c r="O855" s="6"/>
      <c r="P855" s="6"/>
      <c r="Q855" s="6"/>
      <c r="R855" s="6"/>
      <c r="S855" s="6"/>
      <c r="T855" s="6"/>
      <c r="U855" s="6"/>
      <c r="V855" s="6"/>
      <c r="W855" s="6"/>
      <c r="X855" s="6"/>
      <c r="Y855" s="6"/>
      <c r="Z855" s="6"/>
    </row>
    <row r="856" spans="1:26" ht="31.5" customHeight="1">
      <c r="A856" s="1"/>
      <c r="B856" s="6"/>
      <c r="C856" s="10"/>
      <c r="D856" s="1"/>
      <c r="E856" s="11"/>
      <c r="F856" s="11"/>
      <c r="G856" s="6"/>
      <c r="H856" s="6"/>
      <c r="I856" s="6"/>
      <c r="J856" s="6"/>
      <c r="K856" s="6"/>
      <c r="L856" s="6"/>
      <c r="M856" s="6"/>
      <c r="N856" s="6"/>
      <c r="O856" s="6"/>
      <c r="P856" s="6"/>
      <c r="Q856" s="6"/>
      <c r="R856" s="6"/>
      <c r="S856" s="6"/>
      <c r="T856" s="6"/>
      <c r="U856" s="6"/>
      <c r="V856" s="6"/>
      <c r="W856" s="6"/>
      <c r="X856" s="6"/>
      <c r="Y856" s="6"/>
      <c r="Z856" s="6"/>
    </row>
    <row r="857" spans="1:26" ht="31.5" customHeight="1">
      <c r="A857" s="1"/>
      <c r="B857" s="6"/>
      <c r="C857" s="10"/>
      <c r="D857" s="1"/>
      <c r="E857" s="11"/>
      <c r="F857" s="11"/>
      <c r="G857" s="6"/>
      <c r="H857" s="6"/>
      <c r="I857" s="6"/>
      <c r="J857" s="6"/>
      <c r="K857" s="6"/>
      <c r="L857" s="6"/>
      <c r="M857" s="6"/>
      <c r="N857" s="6"/>
      <c r="O857" s="6"/>
      <c r="P857" s="6"/>
      <c r="Q857" s="6"/>
      <c r="R857" s="6"/>
      <c r="S857" s="6"/>
      <c r="T857" s="6"/>
      <c r="U857" s="6"/>
      <c r="V857" s="6"/>
      <c r="W857" s="6"/>
      <c r="X857" s="6"/>
      <c r="Y857" s="6"/>
      <c r="Z857" s="6"/>
    </row>
    <row r="858" spans="1:26" ht="31.5" customHeight="1">
      <c r="A858" s="1"/>
      <c r="B858" s="6"/>
      <c r="C858" s="10"/>
      <c r="D858" s="1"/>
      <c r="E858" s="11"/>
      <c r="F858" s="11"/>
      <c r="G858" s="6"/>
      <c r="H858" s="6"/>
      <c r="I858" s="6"/>
      <c r="J858" s="6"/>
      <c r="K858" s="6"/>
      <c r="L858" s="6"/>
      <c r="M858" s="6"/>
      <c r="N858" s="6"/>
      <c r="O858" s="6"/>
      <c r="P858" s="6"/>
      <c r="Q858" s="6"/>
      <c r="R858" s="6"/>
      <c r="S858" s="6"/>
      <c r="T858" s="6"/>
      <c r="U858" s="6"/>
      <c r="V858" s="6"/>
      <c r="W858" s="6"/>
      <c r="X858" s="6"/>
      <c r="Y858" s="6"/>
      <c r="Z858" s="6"/>
    </row>
    <row r="859" spans="1:26" ht="31.5" customHeight="1">
      <c r="A859" s="1"/>
      <c r="B859" s="6"/>
      <c r="C859" s="10"/>
      <c r="D859" s="1"/>
      <c r="E859" s="11"/>
      <c r="F859" s="11"/>
      <c r="G859" s="6"/>
      <c r="H859" s="6"/>
      <c r="I859" s="6"/>
      <c r="J859" s="6"/>
      <c r="K859" s="6"/>
      <c r="L859" s="6"/>
      <c r="M859" s="6"/>
      <c r="N859" s="6"/>
      <c r="O859" s="6"/>
      <c r="P859" s="6"/>
      <c r="Q859" s="6"/>
      <c r="R859" s="6"/>
      <c r="S859" s="6"/>
      <c r="T859" s="6"/>
      <c r="U859" s="6"/>
      <c r="V859" s="6"/>
      <c r="W859" s="6"/>
      <c r="X859" s="6"/>
      <c r="Y859" s="6"/>
      <c r="Z859" s="6"/>
    </row>
    <row r="860" spans="1:26" ht="31.5" customHeight="1">
      <c r="A860" s="1"/>
      <c r="B860" s="6"/>
      <c r="C860" s="10"/>
      <c r="D860" s="1"/>
      <c r="E860" s="11"/>
      <c r="F860" s="11"/>
      <c r="G860" s="6"/>
      <c r="H860" s="6"/>
      <c r="I860" s="6"/>
      <c r="J860" s="6"/>
      <c r="K860" s="6"/>
      <c r="L860" s="6"/>
      <c r="M860" s="6"/>
      <c r="N860" s="6"/>
      <c r="O860" s="6"/>
      <c r="P860" s="6"/>
      <c r="Q860" s="6"/>
      <c r="R860" s="6"/>
      <c r="S860" s="6"/>
      <c r="T860" s="6"/>
      <c r="U860" s="6"/>
      <c r="V860" s="6"/>
      <c r="W860" s="6"/>
      <c r="X860" s="6"/>
      <c r="Y860" s="6"/>
      <c r="Z860" s="6"/>
    </row>
    <row r="861" spans="1:26" ht="31.5" customHeight="1">
      <c r="A861" s="1"/>
      <c r="B861" s="6"/>
      <c r="C861" s="10"/>
      <c r="D861" s="1"/>
      <c r="E861" s="11"/>
      <c r="F861" s="11"/>
      <c r="G861" s="6"/>
      <c r="H861" s="6"/>
      <c r="I861" s="6"/>
      <c r="J861" s="6"/>
      <c r="K861" s="6"/>
      <c r="L861" s="6"/>
      <c r="M861" s="6"/>
      <c r="N861" s="6"/>
      <c r="O861" s="6"/>
      <c r="P861" s="6"/>
      <c r="Q861" s="6"/>
      <c r="R861" s="6"/>
      <c r="S861" s="6"/>
      <c r="T861" s="6"/>
      <c r="U861" s="6"/>
      <c r="V861" s="6"/>
      <c r="W861" s="6"/>
      <c r="X861" s="6"/>
      <c r="Y861" s="6"/>
      <c r="Z861" s="6"/>
    </row>
    <row r="862" spans="1:26" ht="31.5" customHeight="1">
      <c r="A862" s="1"/>
      <c r="B862" s="6"/>
      <c r="C862" s="10"/>
      <c r="D862" s="1"/>
      <c r="E862" s="11"/>
      <c r="F862" s="11"/>
      <c r="G862" s="6"/>
      <c r="H862" s="6"/>
      <c r="I862" s="6"/>
      <c r="J862" s="6"/>
      <c r="K862" s="6"/>
      <c r="L862" s="6"/>
      <c r="M862" s="6"/>
      <c r="N862" s="6"/>
      <c r="O862" s="6"/>
      <c r="P862" s="6"/>
      <c r="Q862" s="6"/>
      <c r="R862" s="6"/>
      <c r="S862" s="6"/>
      <c r="T862" s="6"/>
      <c r="U862" s="6"/>
      <c r="V862" s="6"/>
      <c r="W862" s="6"/>
      <c r="X862" s="6"/>
      <c r="Y862" s="6"/>
      <c r="Z862" s="6"/>
    </row>
    <row r="863" spans="1:26" ht="31.5" customHeight="1">
      <c r="A863" s="1"/>
      <c r="B863" s="6"/>
      <c r="C863" s="10"/>
      <c r="D863" s="1"/>
      <c r="E863" s="11"/>
      <c r="F863" s="11"/>
      <c r="G863" s="6"/>
      <c r="H863" s="6"/>
      <c r="I863" s="6"/>
      <c r="J863" s="6"/>
      <c r="K863" s="6"/>
      <c r="L863" s="6"/>
      <c r="M863" s="6"/>
      <c r="N863" s="6"/>
      <c r="O863" s="6"/>
      <c r="P863" s="6"/>
      <c r="Q863" s="6"/>
      <c r="R863" s="6"/>
      <c r="S863" s="6"/>
      <c r="T863" s="6"/>
      <c r="U863" s="6"/>
      <c r="V863" s="6"/>
      <c r="W863" s="6"/>
      <c r="X863" s="6"/>
      <c r="Y863" s="6"/>
      <c r="Z863" s="6"/>
    </row>
    <row r="864" spans="1:26" ht="31.5" customHeight="1">
      <c r="A864" s="1"/>
      <c r="B864" s="6"/>
      <c r="C864" s="10"/>
      <c r="D864" s="1"/>
      <c r="E864" s="11"/>
      <c r="F864" s="11"/>
      <c r="G864" s="6"/>
      <c r="H864" s="6"/>
      <c r="I864" s="6"/>
      <c r="J864" s="6"/>
      <c r="K864" s="6"/>
      <c r="L864" s="6"/>
      <c r="M864" s="6"/>
      <c r="N864" s="6"/>
      <c r="O864" s="6"/>
      <c r="P864" s="6"/>
      <c r="Q864" s="6"/>
      <c r="R864" s="6"/>
      <c r="S864" s="6"/>
      <c r="T864" s="6"/>
      <c r="U864" s="6"/>
      <c r="V864" s="6"/>
      <c r="W864" s="6"/>
      <c r="X864" s="6"/>
      <c r="Y864" s="6"/>
      <c r="Z864" s="6"/>
    </row>
    <row r="865" spans="1:26" ht="31.5" customHeight="1">
      <c r="A865" s="1"/>
      <c r="B865" s="6"/>
      <c r="C865" s="10"/>
      <c r="D865" s="1"/>
      <c r="E865" s="11"/>
      <c r="F865" s="11"/>
      <c r="G865" s="6"/>
      <c r="H865" s="6"/>
      <c r="I865" s="6"/>
      <c r="J865" s="6"/>
      <c r="K865" s="6"/>
      <c r="L865" s="6"/>
      <c r="M865" s="6"/>
      <c r="N865" s="6"/>
      <c r="O865" s="6"/>
      <c r="P865" s="6"/>
      <c r="Q865" s="6"/>
      <c r="R865" s="6"/>
      <c r="S865" s="6"/>
      <c r="T865" s="6"/>
      <c r="U865" s="6"/>
      <c r="V865" s="6"/>
      <c r="W865" s="6"/>
      <c r="X865" s="6"/>
      <c r="Y865" s="6"/>
      <c r="Z865" s="6"/>
    </row>
    <row r="866" spans="1:26" ht="31.5" customHeight="1">
      <c r="A866" s="1"/>
      <c r="B866" s="6"/>
      <c r="C866" s="10"/>
      <c r="D866" s="1"/>
      <c r="E866" s="11"/>
      <c r="F866" s="11"/>
      <c r="G866" s="6"/>
      <c r="H866" s="6"/>
      <c r="I866" s="6"/>
      <c r="J866" s="6"/>
      <c r="K866" s="6"/>
      <c r="L866" s="6"/>
      <c r="M866" s="6"/>
      <c r="N866" s="6"/>
      <c r="O866" s="6"/>
      <c r="P866" s="6"/>
      <c r="Q866" s="6"/>
      <c r="R866" s="6"/>
      <c r="S866" s="6"/>
      <c r="T866" s="6"/>
      <c r="U866" s="6"/>
      <c r="V866" s="6"/>
      <c r="W866" s="6"/>
      <c r="X866" s="6"/>
      <c r="Y866" s="6"/>
      <c r="Z866" s="6"/>
    </row>
    <row r="867" spans="1:26" ht="31.5" customHeight="1">
      <c r="A867" s="1"/>
      <c r="B867" s="6"/>
      <c r="C867" s="10"/>
      <c r="D867" s="1"/>
      <c r="E867" s="11"/>
      <c r="F867" s="11"/>
      <c r="G867" s="6"/>
      <c r="H867" s="6"/>
      <c r="I867" s="6"/>
      <c r="J867" s="6"/>
      <c r="K867" s="6"/>
      <c r="L867" s="6"/>
      <c r="M867" s="6"/>
      <c r="N867" s="6"/>
      <c r="O867" s="6"/>
      <c r="P867" s="6"/>
      <c r="Q867" s="6"/>
      <c r="R867" s="6"/>
      <c r="S867" s="6"/>
      <c r="T867" s="6"/>
      <c r="U867" s="6"/>
      <c r="V867" s="6"/>
      <c r="W867" s="6"/>
      <c r="X867" s="6"/>
      <c r="Y867" s="6"/>
      <c r="Z867" s="6"/>
    </row>
    <row r="868" spans="1:26" ht="31.5" customHeight="1">
      <c r="A868" s="1"/>
      <c r="B868" s="6"/>
      <c r="C868" s="10"/>
      <c r="D868" s="1"/>
      <c r="E868" s="11"/>
      <c r="F868" s="11"/>
      <c r="G868" s="6"/>
      <c r="H868" s="6"/>
      <c r="I868" s="6"/>
      <c r="J868" s="6"/>
      <c r="K868" s="6"/>
      <c r="L868" s="6"/>
      <c r="M868" s="6"/>
      <c r="N868" s="6"/>
      <c r="O868" s="6"/>
      <c r="P868" s="6"/>
      <c r="Q868" s="6"/>
      <c r="R868" s="6"/>
      <c r="S868" s="6"/>
      <c r="T868" s="6"/>
      <c r="U868" s="6"/>
      <c r="V868" s="6"/>
      <c r="W868" s="6"/>
      <c r="X868" s="6"/>
      <c r="Y868" s="6"/>
      <c r="Z868" s="6"/>
    </row>
    <row r="869" spans="1:26" ht="31.5" customHeight="1">
      <c r="A869" s="1"/>
      <c r="B869" s="6"/>
      <c r="C869" s="10"/>
      <c r="D869" s="1"/>
      <c r="E869" s="11"/>
      <c r="F869" s="11"/>
      <c r="G869" s="6"/>
      <c r="H869" s="6"/>
      <c r="I869" s="6"/>
      <c r="J869" s="6"/>
      <c r="K869" s="6"/>
      <c r="L869" s="6"/>
      <c r="M869" s="6"/>
      <c r="N869" s="6"/>
      <c r="O869" s="6"/>
      <c r="P869" s="6"/>
      <c r="Q869" s="6"/>
      <c r="R869" s="6"/>
      <c r="S869" s="6"/>
      <c r="T869" s="6"/>
      <c r="U869" s="6"/>
      <c r="V869" s="6"/>
      <c r="W869" s="6"/>
      <c r="X869" s="6"/>
      <c r="Y869" s="6"/>
      <c r="Z869" s="6"/>
    </row>
    <row r="870" spans="1:26" ht="31.5" customHeight="1">
      <c r="A870" s="1"/>
      <c r="B870" s="6"/>
      <c r="C870" s="10"/>
      <c r="D870" s="1"/>
      <c r="E870" s="11"/>
      <c r="F870" s="11"/>
      <c r="G870" s="6"/>
      <c r="H870" s="6"/>
      <c r="I870" s="6"/>
      <c r="J870" s="6"/>
      <c r="K870" s="6"/>
      <c r="L870" s="6"/>
      <c r="M870" s="6"/>
      <c r="N870" s="6"/>
      <c r="O870" s="6"/>
      <c r="P870" s="6"/>
      <c r="Q870" s="6"/>
      <c r="R870" s="6"/>
      <c r="S870" s="6"/>
      <c r="T870" s="6"/>
      <c r="U870" s="6"/>
      <c r="V870" s="6"/>
      <c r="W870" s="6"/>
      <c r="X870" s="6"/>
      <c r="Y870" s="6"/>
      <c r="Z870" s="6"/>
    </row>
    <row r="871" spans="1:26" ht="31.5" customHeight="1">
      <c r="A871" s="1"/>
      <c r="B871" s="6"/>
      <c r="C871" s="10"/>
      <c r="D871" s="1"/>
      <c r="E871" s="11"/>
      <c r="F871" s="11"/>
      <c r="G871" s="6"/>
      <c r="H871" s="6"/>
      <c r="I871" s="6"/>
      <c r="J871" s="6"/>
      <c r="K871" s="6"/>
      <c r="L871" s="6"/>
      <c r="M871" s="6"/>
      <c r="N871" s="6"/>
      <c r="O871" s="6"/>
      <c r="P871" s="6"/>
      <c r="Q871" s="6"/>
      <c r="R871" s="6"/>
      <c r="S871" s="6"/>
      <c r="T871" s="6"/>
      <c r="U871" s="6"/>
      <c r="V871" s="6"/>
      <c r="W871" s="6"/>
      <c r="X871" s="6"/>
      <c r="Y871" s="6"/>
      <c r="Z871" s="6"/>
    </row>
    <row r="872" spans="1:26" ht="31.5" customHeight="1">
      <c r="A872" s="1"/>
      <c r="B872" s="6"/>
      <c r="C872" s="10"/>
      <c r="D872" s="1"/>
      <c r="E872" s="11"/>
      <c r="F872" s="11"/>
      <c r="G872" s="6"/>
      <c r="H872" s="6"/>
      <c r="I872" s="6"/>
      <c r="J872" s="6"/>
      <c r="K872" s="6"/>
      <c r="L872" s="6"/>
      <c r="M872" s="6"/>
      <c r="N872" s="6"/>
      <c r="O872" s="6"/>
      <c r="P872" s="6"/>
      <c r="Q872" s="6"/>
      <c r="R872" s="6"/>
      <c r="S872" s="6"/>
      <c r="T872" s="6"/>
      <c r="U872" s="6"/>
      <c r="V872" s="6"/>
      <c r="W872" s="6"/>
      <c r="X872" s="6"/>
      <c r="Y872" s="6"/>
      <c r="Z872" s="6"/>
    </row>
    <row r="873" spans="1:26" ht="31.5" customHeight="1">
      <c r="A873" s="1"/>
      <c r="B873" s="6"/>
      <c r="C873" s="10"/>
      <c r="D873" s="1"/>
      <c r="E873" s="11"/>
      <c r="F873" s="11"/>
      <c r="G873" s="6"/>
      <c r="H873" s="6"/>
      <c r="I873" s="6"/>
      <c r="J873" s="6"/>
      <c r="K873" s="6"/>
      <c r="L873" s="6"/>
      <c r="M873" s="6"/>
      <c r="N873" s="6"/>
      <c r="O873" s="6"/>
      <c r="P873" s="6"/>
      <c r="Q873" s="6"/>
      <c r="R873" s="6"/>
      <c r="S873" s="6"/>
      <c r="T873" s="6"/>
      <c r="U873" s="6"/>
      <c r="V873" s="6"/>
      <c r="W873" s="6"/>
      <c r="X873" s="6"/>
      <c r="Y873" s="6"/>
      <c r="Z873" s="6"/>
    </row>
    <row r="874" spans="1:26" ht="31.5" customHeight="1">
      <c r="A874" s="1"/>
      <c r="B874" s="6"/>
      <c r="C874" s="10"/>
      <c r="D874" s="1"/>
      <c r="E874" s="11"/>
      <c r="F874" s="11"/>
      <c r="G874" s="6"/>
      <c r="H874" s="6"/>
      <c r="I874" s="6"/>
      <c r="J874" s="6"/>
      <c r="K874" s="6"/>
      <c r="L874" s="6"/>
      <c r="M874" s="6"/>
      <c r="N874" s="6"/>
      <c r="O874" s="6"/>
      <c r="P874" s="6"/>
      <c r="Q874" s="6"/>
      <c r="R874" s="6"/>
      <c r="S874" s="6"/>
      <c r="T874" s="6"/>
      <c r="U874" s="6"/>
      <c r="V874" s="6"/>
      <c r="W874" s="6"/>
      <c r="X874" s="6"/>
      <c r="Y874" s="6"/>
      <c r="Z874" s="6"/>
    </row>
    <row r="875" spans="1:26" ht="31.5" customHeight="1">
      <c r="A875" s="1"/>
      <c r="B875" s="6"/>
      <c r="C875" s="10"/>
      <c r="D875" s="1"/>
      <c r="E875" s="11"/>
      <c r="F875" s="11"/>
      <c r="G875" s="6"/>
      <c r="H875" s="6"/>
      <c r="I875" s="6"/>
      <c r="J875" s="6"/>
      <c r="K875" s="6"/>
      <c r="L875" s="6"/>
      <c r="M875" s="6"/>
      <c r="N875" s="6"/>
      <c r="O875" s="6"/>
      <c r="P875" s="6"/>
      <c r="Q875" s="6"/>
      <c r="R875" s="6"/>
      <c r="S875" s="6"/>
      <c r="T875" s="6"/>
      <c r="U875" s="6"/>
      <c r="V875" s="6"/>
      <c r="W875" s="6"/>
      <c r="X875" s="6"/>
      <c r="Y875" s="6"/>
      <c r="Z875" s="6"/>
    </row>
    <row r="876" spans="1:26" ht="31.5" customHeight="1">
      <c r="A876" s="1"/>
      <c r="B876" s="6"/>
      <c r="C876" s="10"/>
      <c r="D876" s="1"/>
      <c r="E876" s="11"/>
      <c r="F876" s="11"/>
      <c r="G876" s="6"/>
      <c r="H876" s="6"/>
      <c r="I876" s="6"/>
      <c r="J876" s="6"/>
      <c r="K876" s="6"/>
      <c r="L876" s="6"/>
      <c r="M876" s="6"/>
      <c r="N876" s="6"/>
      <c r="O876" s="6"/>
      <c r="P876" s="6"/>
      <c r="Q876" s="6"/>
      <c r="R876" s="6"/>
      <c r="S876" s="6"/>
      <c r="T876" s="6"/>
      <c r="U876" s="6"/>
      <c r="V876" s="6"/>
      <c r="W876" s="6"/>
      <c r="X876" s="6"/>
      <c r="Y876" s="6"/>
      <c r="Z876" s="6"/>
    </row>
    <row r="877" spans="1:26" ht="31.5" customHeight="1">
      <c r="A877" s="1"/>
      <c r="B877" s="6"/>
      <c r="C877" s="10"/>
      <c r="D877" s="1"/>
      <c r="E877" s="11"/>
      <c r="F877" s="11"/>
      <c r="G877" s="6"/>
      <c r="H877" s="6"/>
      <c r="I877" s="6"/>
      <c r="J877" s="6"/>
      <c r="K877" s="6"/>
      <c r="L877" s="6"/>
      <c r="M877" s="6"/>
      <c r="N877" s="6"/>
      <c r="O877" s="6"/>
      <c r="P877" s="6"/>
      <c r="Q877" s="6"/>
      <c r="R877" s="6"/>
      <c r="S877" s="6"/>
      <c r="T877" s="6"/>
      <c r="U877" s="6"/>
      <c r="V877" s="6"/>
      <c r="W877" s="6"/>
      <c r="X877" s="6"/>
      <c r="Y877" s="6"/>
      <c r="Z877" s="6"/>
    </row>
    <row r="878" spans="1:26" ht="31.5" customHeight="1">
      <c r="A878" s="1"/>
      <c r="B878" s="6"/>
      <c r="C878" s="10"/>
      <c r="D878" s="1"/>
      <c r="E878" s="11"/>
      <c r="F878" s="11"/>
      <c r="G878" s="6"/>
      <c r="H878" s="6"/>
      <c r="I878" s="6"/>
      <c r="J878" s="6"/>
      <c r="K878" s="6"/>
      <c r="L878" s="6"/>
      <c r="M878" s="6"/>
      <c r="N878" s="6"/>
      <c r="O878" s="6"/>
      <c r="P878" s="6"/>
      <c r="Q878" s="6"/>
      <c r="R878" s="6"/>
      <c r="S878" s="6"/>
      <c r="T878" s="6"/>
      <c r="U878" s="6"/>
      <c r="V878" s="6"/>
      <c r="W878" s="6"/>
      <c r="X878" s="6"/>
      <c r="Y878" s="6"/>
      <c r="Z878" s="6"/>
    </row>
    <row r="879" spans="1:26" ht="31.5" customHeight="1">
      <c r="A879" s="1"/>
      <c r="B879" s="6"/>
      <c r="C879" s="10"/>
      <c r="D879" s="1"/>
      <c r="E879" s="11"/>
      <c r="F879" s="11"/>
      <c r="G879" s="6"/>
      <c r="H879" s="6"/>
      <c r="I879" s="6"/>
      <c r="J879" s="6"/>
      <c r="K879" s="6"/>
      <c r="L879" s="6"/>
      <c r="M879" s="6"/>
      <c r="N879" s="6"/>
      <c r="O879" s="6"/>
      <c r="P879" s="6"/>
      <c r="Q879" s="6"/>
      <c r="R879" s="6"/>
      <c r="S879" s="6"/>
      <c r="T879" s="6"/>
      <c r="U879" s="6"/>
      <c r="V879" s="6"/>
      <c r="W879" s="6"/>
      <c r="X879" s="6"/>
      <c r="Y879" s="6"/>
      <c r="Z879" s="6"/>
    </row>
    <row r="880" spans="1:26" ht="31.5" customHeight="1">
      <c r="A880" s="1"/>
      <c r="B880" s="6"/>
      <c r="C880" s="10"/>
      <c r="D880" s="1"/>
      <c r="E880" s="11"/>
      <c r="F880" s="11"/>
      <c r="G880" s="6"/>
      <c r="H880" s="6"/>
      <c r="I880" s="6"/>
      <c r="J880" s="6"/>
      <c r="K880" s="6"/>
      <c r="L880" s="6"/>
      <c r="M880" s="6"/>
      <c r="N880" s="6"/>
      <c r="O880" s="6"/>
      <c r="P880" s="6"/>
      <c r="Q880" s="6"/>
      <c r="R880" s="6"/>
      <c r="S880" s="6"/>
      <c r="T880" s="6"/>
      <c r="U880" s="6"/>
      <c r="V880" s="6"/>
      <c r="W880" s="6"/>
      <c r="X880" s="6"/>
      <c r="Y880" s="6"/>
      <c r="Z880" s="6"/>
    </row>
    <row r="881" spans="1:26" ht="31.5" customHeight="1">
      <c r="A881" s="1"/>
      <c r="B881" s="6"/>
      <c r="C881" s="10"/>
      <c r="D881" s="1"/>
      <c r="E881" s="11"/>
      <c r="F881" s="11"/>
      <c r="G881" s="6"/>
      <c r="H881" s="6"/>
      <c r="I881" s="6"/>
      <c r="J881" s="6"/>
      <c r="K881" s="6"/>
      <c r="L881" s="6"/>
      <c r="M881" s="6"/>
      <c r="N881" s="6"/>
      <c r="O881" s="6"/>
      <c r="P881" s="6"/>
      <c r="Q881" s="6"/>
      <c r="R881" s="6"/>
      <c r="S881" s="6"/>
      <c r="T881" s="6"/>
      <c r="U881" s="6"/>
      <c r="V881" s="6"/>
      <c r="W881" s="6"/>
      <c r="X881" s="6"/>
      <c r="Y881" s="6"/>
      <c r="Z881" s="6"/>
    </row>
    <row r="882" spans="1:26" ht="31.5" customHeight="1">
      <c r="A882" s="1"/>
      <c r="B882" s="6"/>
      <c r="C882" s="10"/>
      <c r="D882" s="1"/>
      <c r="E882" s="11"/>
      <c r="F882" s="11"/>
      <c r="G882" s="6"/>
      <c r="H882" s="6"/>
      <c r="I882" s="6"/>
      <c r="J882" s="6"/>
      <c r="K882" s="6"/>
      <c r="L882" s="6"/>
      <c r="M882" s="6"/>
      <c r="N882" s="6"/>
      <c r="O882" s="6"/>
      <c r="P882" s="6"/>
      <c r="Q882" s="6"/>
      <c r="R882" s="6"/>
      <c r="S882" s="6"/>
      <c r="T882" s="6"/>
      <c r="U882" s="6"/>
      <c r="V882" s="6"/>
      <c r="W882" s="6"/>
      <c r="X882" s="6"/>
      <c r="Y882" s="6"/>
      <c r="Z882" s="6"/>
    </row>
    <row r="883" spans="1:26" ht="31.5" customHeight="1">
      <c r="A883" s="1"/>
      <c r="B883" s="6"/>
      <c r="C883" s="10"/>
      <c r="D883" s="1"/>
      <c r="E883" s="11"/>
      <c r="F883" s="11"/>
      <c r="G883" s="6"/>
      <c r="H883" s="6"/>
      <c r="I883" s="6"/>
      <c r="J883" s="6"/>
      <c r="K883" s="6"/>
      <c r="L883" s="6"/>
      <c r="M883" s="6"/>
      <c r="N883" s="6"/>
      <c r="O883" s="6"/>
      <c r="P883" s="6"/>
      <c r="Q883" s="6"/>
      <c r="R883" s="6"/>
      <c r="S883" s="6"/>
      <c r="T883" s="6"/>
      <c r="U883" s="6"/>
      <c r="V883" s="6"/>
      <c r="W883" s="6"/>
      <c r="X883" s="6"/>
      <c r="Y883" s="6"/>
      <c r="Z883" s="6"/>
    </row>
    <row r="884" spans="1:26" ht="31.5" customHeight="1">
      <c r="A884" s="1"/>
      <c r="B884" s="6"/>
      <c r="C884" s="10"/>
      <c r="D884" s="1"/>
      <c r="E884" s="11"/>
      <c r="F884" s="11"/>
      <c r="G884" s="6"/>
      <c r="H884" s="6"/>
      <c r="I884" s="6"/>
      <c r="J884" s="6"/>
      <c r="K884" s="6"/>
      <c r="L884" s="6"/>
      <c r="M884" s="6"/>
      <c r="N884" s="6"/>
      <c r="O884" s="6"/>
      <c r="P884" s="6"/>
      <c r="Q884" s="6"/>
      <c r="R884" s="6"/>
      <c r="S884" s="6"/>
      <c r="T884" s="6"/>
      <c r="U884" s="6"/>
      <c r="V884" s="6"/>
      <c r="W884" s="6"/>
      <c r="X884" s="6"/>
      <c r="Y884" s="6"/>
      <c r="Z884" s="6"/>
    </row>
    <row r="885" spans="1:26" ht="31.5" customHeight="1">
      <c r="A885" s="1"/>
      <c r="B885" s="6"/>
      <c r="C885" s="10"/>
      <c r="D885" s="1"/>
      <c r="E885" s="11"/>
      <c r="F885" s="11"/>
      <c r="G885" s="6"/>
      <c r="H885" s="6"/>
      <c r="I885" s="6"/>
      <c r="J885" s="6"/>
      <c r="K885" s="6"/>
      <c r="L885" s="6"/>
      <c r="M885" s="6"/>
      <c r="N885" s="6"/>
      <c r="O885" s="6"/>
      <c r="P885" s="6"/>
      <c r="Q885" s="6"/>
      <c r="R885" s="6"/>
      <c r="S885" s="6"/>
      <c r="T885" s="6"/>
      <c r="U885" s="6"/>
      <c r="V885" s="6"/>
      <c r="W885" s="6"/>
      <c r="X885" s="6"/>
      <c r="Y885" s="6"/>
      <c r="Z885" s="6"/>
    </row>
    <row r="886" spans="1:26" ht="31.5" customHeight="1">
      <c r="A886" s="1"/>
      <c r="B886" s="6"/>
      <c r="C886" s="10"/>
      <c r="D886" s="1"/>
      <c r="E886" s="11"/>
      <c r="F886" s="11"/>
      <c r="G886" s="6"/>
      <c r="H886" s="6"/>
      <c r="I886" s="6"/>
      <c r="J886" s="6"/>
      <c r="K886" s="6"/>
      <c r="L886" s="6"/>
      <c r="M886" s="6"/>
      <c r="N886" s="6"/>
      <c r="O886" s="6"/>
      <c r="P886" s="6"/>
      <c r="Q886" s="6"/>
      <c r="R886" s="6"/>
      <c r="S886" s="6"/>
      <c r="T886" s="6"/>
      <c r="U886" s="6"/>
      <c r="V886" s="6"/>
      <c r="W886" s="6"/>
      <c r="X886" s="6"/>
      <c r="Y886" s="6"/>
      <c r="Z886" s="6"/>
    </row>
    <row r="887" spans="1:26" ht="31.5" customHeight="1">
      <c r="A887" s="1"/>
      <c r="B887" s="6"/>
      <c r="C887" s="10"/>
      <c r="D887" s="1"/>
      <c r="E887" s="11"/>
      <c r="F887" s="11"/>
      <c r="G887" s="6"/>
      <c r="H887" s="6"/>
      <c r="I887" s="6"/>
      <c r="J887" s="6"/>
      <c r="K887" s="6"/>
      <c r="L887" s="6"/>
      <c r="M887" s="6"/>
      <c r="N887" s="6"/>
      <c r="O887" s="6"/>
      <c r="P887" s="6"/>
      <c r="Q887" s="6"/>
      <c r="R887" s="6"/>
      <c r="S887" s="6"/>
      <c r="T887" s="6"/>
      <c r="U887" s="6"/>
      <c r="V887" s="6"/>
      <c r="W887" s="6"/>
      <c r="X887" s="6"/>
      <c r="Y887" s="6"/>
      <c r="Z887" s="6"/>
    </row>
    <row r="888" spans="1:26" ht="31.5" customHeight="1">
      <c r="A888" s="1"/>
      <c r="B888" s="6"/>
      <c r="C888" s="10"/>
      <c r="D888" s="1"/>
      <c r="E888" s="11"/>
      <c r="F888" s="11"/>
      <c r="G888" s="6"/>
      <c r="H888" s="6"/>
      <c r="I888" s="6"/>
      <c r="J888" s="6"/>
      <c r="K888" s="6"/>
      <c r="L888" s="6"/>
      <c r="M888" s="6"/>
      <c r="N888" s="6"/>
      <c r="O888" s="6"/>
      <c r="P888" s="6"/>
      <c r="Q888" s="6"/>
      <c r="R888" s="6"/>
      <c r="S888" s="6"/>
      <c r="T888" s="6"/>
      <c r="U888" s="6"/>
      <c r="V888" s="6"/>
      <c r="W888" s="6"/>
      <c r="X888" s="6"/>
      <c r="Y888" s="6"/>
      <c r="Z888" s="6"/>
    </row>
    <row r="889" spans="1:26" ht="31.5" customHeight="1">
      <c r="A889" s="1"/>
      <c r="B889" s="6"/>
      <c r="C889" s="10"/>
      <c r="D889" s="1"/>
      <c r="E889" s="11"/>
      <c r="F889" s="11"/>
      <c r="G889" s="6"/>
      <c r="H889" s="6"/>
      <c r="I889" s="6"/>
      <c r="J889" s="6"/>
      <c r="K889" s="6"/>
      <c r="L889" s="6"/>
      <c r="M889" s="6"/>
      <c r="N889" s="6"/>
      <c r="O889" s="6"/>
      <c r="P889" s="6"/>
      <c r="Q889" s="6"/>
      <c r="R889" s="6"/>
      <c r="S889" s="6"/>
      <c r="T889" s="6"/>
      <c r="U889" s="6"/>
      <c r="V889" s="6"/>
      <c r="W889" s="6"/>
      <c r="X889" s="6"/>
      <c r="Y889" s="6"/>
      <c r="Z889" s="6"/>
    </row>
    <row r="890" spans="1:26" ht="31.5" customHeight="1">
      <c r="A890" s="1"/>
      <c r="B890" s="6"/>
      <c r="C890" s="10"/>
      <c r="D890" s="1"/>
      <c r="E890" s="11"/>
      <c r="F890" s="11"/>
      <c r="G890" s="6"/>
      <c r="H890" s="6"/>
      <c r="I890" s="6"/>
      <c r="J890" s="6"/>
      <c r="K890" s="6"/>
      <c r="L890" s="6"/>
      <c r="M890" s="6"/>
      <c r="N890" s="6"/>
      <c r="O890" s="6"/>
      <c r="P890" s="6"/>
      <c r="Q890" s="6"/>
      <c r="R890" s="6"/>
      <c r="S890" s="6"/>
      <c r="T890" s="6"/>
      <c r="U890" s="6"/>
      <c r="V890" s="6"/>
      <c r="W890" s="6"/>
      <c r="X890" s="6"/>
      <c r="Y890" s="6"/>
      <c r="Z890" s="6"/>
    </row>
    <row r="891" spans="1:26" ht="31.5" customHeight="1">
      <c r="A891" s="1"/>
      <c r="B891" s="6"/>
      <c r="C891" s="10"/>
      <c r="D891" s="1"/>
      <c r="E891" s="11"/>
      <c r="F891" s="11"/>
      <c r="G891" s="6"/>
      <c r="H891" s="6"/>
      <c r="I891" s="6"/>
      <c r="J891" s="6"/>
      <c r="K891" s="6"/>
      <c r="L891" s="6"/>
      <c r="M891" s="6"/>
      <c r="N891" s="6"/>
      <c r="O891" s="6"/>
      <c r="P891" s="6"/>
      <c r="Q891" s="6"/>
      <c r="R891" s="6"/>
      <c r="S891" s="6"/>
      <c r="T891" s="6"/>
      <c r="U891" s="6"/>
      <c r="V891" s="6"/>
      <c r="W891" s="6"/>
      <c r="X891" s="6"/>
      <c r="Y891" s="6"/>
      <c r="Z891" s="6"/>
    </row>
    <row r="892" spans="1:26" ht="31.5" customHeight="1">
      <c r="A892" s="1"/>
      <c r="B892" s="6"/>
      <c r="C892" s="10"/>
      <c r="D892" s="1"/>
      <c r="E892" s="11"/>
      <c r="F892" s="11"/>
      <c r="G892" s="6"/>
      <c r="H892" s="6"/>
      <c r="I892" s="6"/>
      <c r="J892" s="6"/>
      <c r="K892" s="6"/>
      <c r="L892" s="6"/>
      <c r="M892" s="6"/>
      <c r="N892" s="6"/>
      <c r="O892" s="6"/>
      <c r="P892" s="6"/>
      <c r="Q892" s="6"/>
      <c r="R892" s="6"/>
      <c r="S892" s="6"/>
      <c r="T892" s="6"/>
      <c r="U892" s="6"/>
      <c r="V892" s="6"/>
      <c r="W892" s="6"/>
      <c r="X892" s="6"/>
      <c r="Y892" s="6"/>
      <c r="Z892" s="6"/>
    </row>
    <row r="893" spans="1:26" ht="31.5" customHeight="1">
      <c r="A893" s="1"/>
      <c r="B893" s="6"/>
      <c r="C893" s="10"/>
      <c r="D893" s="1"/>
      <c r="E893" s="11"/>
      <c r="F893" s="11"/>
      <c r="G893" s="6"/>
      <c r="H893" s="6"/>
      <c r="I893" s="6"/>
      <c r="J893" s="6"/>
      <c r="K893" s="6"/>
      <c r="L893" s="6"/>
      <c r="M893" s="6"/>
      <c r="N893" s="6"/>
      <c r="O893" s="6"/>
      <c r="P893" s="6"/>
      <c r="Q893" s="6"/>
      <c r="R893" s="6"/>
      <c r="S893" s="6"/>
      <c r="T893" s="6"/>
      <c r="U893" s="6"/>
      <c r="V893" s="6"/>
      <c r="W893" s="6"/>
      <c r="X893" s="6"/>
      <c r="Y893" s="6"/>
      <c r="Z893" s="6"/>
    </row>
    <row r="894" spans="1:26" ht="31.5" customHeight="1">
      <c r="A894" s="1"/>
      <c r="B894" s="6"/>
      <c r="C894" s="10"/>
      <c r="D894" s="1"/>
      <c r="E894" s="11"/>
      <c r="F894" s="11"/>
      <c r="G894" s="6"/>
      <c r="H894" s="6"/>
      <c r="I894" s="6"/>
      <c r="J894" s="6"/>
      <c r="K894" s="6"/>
      <c r="L894" s="6"/>
      <c r="M894" s="6"/>
      <c r="N894" s="6"/>
      <c r="O894" s="6"/>
      <c r="P894" s="6"/>
      <c r="Q894" s="6"/>
      <c r="R894" s="6"/>
      <c r="S894" s="6"/>
      <c r="T894" s="6"/>
      <c r="U894" s="6"/>
      <c r="V894" s="6"/>
      <c r="W894" s="6"/>
      <c r="X894" s="6"/>
      <c r="Y894" s="6"/>
      <c r="Z894" s="6"/>
    </row>
    <row r="895" spans="1:26" ht="31.5" customHeight="1">
      <c r="A895" s="1"/>
      <c r="B895" s="6"/>
      <c r="C895" s="10"/>
      <c r="D895" s="1"/>
      <c r="E895" s="11"/>
      <c r="F895" s="11"/>
      <c r="G895" s="6"/>
      <c r="H895" s="6"/>
      <c r="I895" s="6"/>
      <c r="J895" s="6"/>
      <c r="K895" s="6"/>
      <c r="L895" s="6"/>
      <c r="M895" s="6"/>
      <c r="N895" s="6"/>
      <c r="O895" s="6"/>
      <c r="P895" s="6"/>
      <c r="Q895" s="6"/>
      <c r="R895" s="6"/>
      <c r="S895" s="6"/>
      <c r="T895" s="6"/>
      <c r="U895" s="6"/>
      <c r="V895" s="6"/>
      <c r="W895" s="6"/>
      <c r="X895" s="6"/>
      <c r="Y895" s="6"/>
      <c r="Z895" s="6"/>
    </row>
    <row r="896" spans="1:26" ht="31.5" customHeight="1">
      <c r="A896" s="1"/>
      <c r="B896" s="6"/>
      <c r="C896" s="10"/>
      <c r="D896" s="1"/>
      <c r="E896" s="11"/>
      <c r="F896" s="11"/>
      <c r="G896" s="6"/>
      <c r="H896" s="6"/>
      <c r="I896" s="6"/>
      <c r="J896" s="6"/>
      <c r="K896" s="6"/>
      <c r="L896" s="6"/>
      <c r="M896" s="6"/>
      <c r="N896" s="6"/>
      <c r="O896" s="6"/>
      <c r="P896" s="6"/>
      <c r="Q896" s="6"/>
      <c r="R896" s="6"/>
      <c r="S896" s="6"/>
      <c r="T896" s="6"/>
      <c r="U896" s="6"/>
      <c r="V896" s="6"/>
      <c r="W896" s="6"/>
      <c r="X896" s="6"/>
      <c r="Y896" s="6"/>
      <c r="Z896" s="6"/>
    </row>
    <row r="897" spans="1:26" ht="31.5" customHeight="1">
      <c r="A897" s="1"/>
      <c r="B897" s="6"/>
      <c r="C897" s="10"/>
      <c r="D897" s="1"/>
      <c r="E897" s="11"/>
      <c r="F897" s="11"/>
      <c r="G897" s="6"/>
      <c r="H897" s="6"/>
      <c r="I897" s="6"/>
      <c r="J897" s="6"/>
      <c r="K897" s="6"/>
      <c r="L897" s="6"/>
      <c r="M897" s="6"/>
      <c r="N897" s="6"/>
      <c r="O897" s="6"/>
      <c r="P897" s="6"/>
      <c r="Q897" s="6"/>
      <c r="R897" s="6"/>
      <c r="S897" s="6"/>
      <c r="T897" s="6"/>
      <c r="U897" s="6"/>
      <c r="V897" s="6"/>
      <c r="W897" s="6"/>
      <c r="X897" s="6"/>
      <c r="Y897" s="6"/>
      <c r="Z897" s="6"/>
    </row>
    <row r="898" spans="1:26" ht="31.5" customHeight="1">
      <c r="A898" s="1"/>
      <c r="B898" s="6"/>
      <c r="C898" s="10"/>
      <c r="D898" s="1"/>
      <c r="E898" s="11"/>
      <c r="F898" s="11"/>
      <c r="G898" s="6"/>
      <c r="H898" s="6"/>
      <c r="I898" s="6"/>
      <c r="J898" s="6"/>
      <c r="K898" s="6"/>
      <c r="L898" s="6"/>
      <c r="M898" s="6"/>
      <c r="N898" s="6"/>
      <c r="O898" s="6"/>
      <c r="P898" s="6"/>
      <c r="Q898" s="6"/>
      <c r="R898" s="6"/>
      <c r="S898" s="6"/>
      <c r="T898" s="6"/>
      <c r="U898" s="6"/>
      <c r="V898" s="6"/>
      <c r="W898" s="6"/>
      <c r="X898" s="6"/>
      <c r="Y898" s="6"/>
      <c r="Z898" s="6"/>
    </row>
    <row r="899" spans="1:26" ht="31.5" customHeight="1">
      <c r="A899" s="1"/>
      <c r="B899" s="6"/>
      <c r="C899" s="10"/>
      <c r="D899" s="1"/>
      <c r="E899" s="11"/>
      <c r="F899" s="11"/>
      <c r="G899" s="6"/>
      <c r="H899" s="6"/>
      <c r="I899" s="6"/>
      <c r="J899" s="6"/>
      <c r="K899" s="6"/>
      <c r="L899" s="6"/>
      <c r="M899" s="6"/>
      <c r="N899" s="6"/>
      <c r="O899" s="6"/>
      <c r="P899" s="6"/>
      <c r="Q899" s="6"/>
      <c r="R899" s="6"/>
      <c r="S899" s="6"/>
      <c r="T899" s="6"/>
      <c r="U899" s="6"/>
      <c r="V899" s="6"/>
      <c r="W899" s="6"/>
      <c r="X899" s="6"/>
      <c r="Y899" s="6"/>
      <c r="Z899" s="6"/>
    </row>
    <row r="900" spans="1:26" ht="31.5" customHeight="1">
      <c r="A900" s="1"/>
      <c r="B900" s="6"/>
      <c r="C900" s="10"/>
      <c r="D900" s="1"/>
      <c r="E900" s="11"/>
      <c r="F900" s="11"/>
      <c r="G900" s="6"/>
      <c r="H900" s="6"/>
      <c r="I900" s="6"/>
      <c r="J900" s="6"/>
      <c r="K900" s="6"/>
      <c r="L900" s="6"/>
      <c r="M900" s="6"/>
      <c r="N900" s="6"/>
      <c r="O900" s="6"/>
      <c r="P900" s="6"/>
      <c r="Q900" s="6"/>
      <c r="R900" s="6"/>
      <c r="S900" s="6"/>
      <c r="T900" s="6"/>
      <c r="U900" s="6"/>
      <c r="V900" s="6"/>
      <c r="W900" s="6"/>
      <c r="X900" s="6"/>
      <c r="Y900" s="6"/>
      <c r="Z900" s="6"/>
    </row>
    <row r="901" spans="1:26" ht="31.5" customHeight="1">
      <c r="A901" s="1"/>
      <c r="B901" s="6"/>
      <c r="C901" s="10"/>
      <c r="D901" s="1"/>
      <c r="E901" s="11"/>
      <c r="F901" s="11"/>
      <c r="G901" s="6"/>
      <c r="H901" s="6"/>
      <c r="I901" s="6"/>
      <c r="J901" s="6"/>
      <c r="K901" s="6"/>
      <c r="L901" s="6"/>
      <c r="M901" s="6"/>
      <c r="N901" s="6"/>
      <c r="O901" s="6"/>
      <c r="P901" s="6"/>
      <c r="Q901" s="6"/>
      <c r="R901" s="6"/>
      <c r="S901" s="6"/>
      <c r="T901" s="6"/>
      <c r="U901" s="6"/>
      <c r="V901" s="6"/>
      <c r="W901" s="6"/>
      <c r="X901" s="6"/>
      <c r="Y901" s="6"/>
      <c r="Z901" s="6"/>
    </row>
    <row r="902" spans="1:26" ht="31.5" customHeight="1">
      <c r="A902" s="1"/>
      <c r="B902" s="6"/>
      <c r="C902" s="10"/>
      <c r="D902" s="1"/>
      <c r="E902" s="11"/>
      <c r="F902" s="11"/>
      <c r="G902" s="6"/>
      <c r="H902" s="6"/>
      <c r="I902" s="6"/>
      <c r="J902" s="6"/>
      <c r="K902" s="6"/>
      <c r="L902" s="6"/>
      <c r="M902" s="6"/>
      <c r="N902" s="6"/>
      <c r="O902" s="6"/>
      <c r="P902" s="6"/>
      <c r="Q902" s="6"/>
      <c r="R902" s="6"/>
      <c r="S902" s="6"/>
      <c r="T902" s="6"/>
      <c r="U902" s="6"/>
      <c r="V902" s="6"/>
      <c r="W902" s="6"/>
      <c r="X902" s="6"/>
      <c r="Y902" s="6"/>
      <c r="Z902" s="6"/>
    </row>
    <row r="903" spans="1:26" ht="31.5" customHeight="1">
      <c r="A903" s="1"/>
      <c r="B903" s="6"/>
      <c r="C903" s="10"/>
      <c r="D903" s="1"/>
      <c r="E903" s="11"/>
      <c r="F903" s="11"/>
      <c r="G903" s="6"/>
      <c r="H903" s="6"/>
      <c r="I903" s="6"/>
      <c r="J903" s="6"/>
      <c r="K903" s="6"/>
      <c r="L903" s="6"/>
      <c r="M903" s="6"/>
      <c r="N903" s="6"/>
      <c r="O903" s="6"/>
      <c r="P903" s="6"/>
      <c r="Q903" s="6"/>
      <c r="R903" s="6"/>
      <c r="S903" s="6"/>
      <c r="T903" s="6"/>
      <c r="U903" s="6"/>
      <c r="V903" s="6"/>
      <c r="W903" s="6"/>
      <c r="X903" s="6"/>
      <c r="Y903" s="6"/>
      <c r="Z903" s="6"/>
    </row>
    <row r="904" spans="1:26" ht="31.5" customHeight="1">
      <c r="A904" s="1"/>
      <c r="B904" s="6"/>
      <c r="C904" s="10"/>
      <c r="D904" s="1"/>
      <c r="E904" s="11"/>
      <c r="F904" s="11"/>
      <c r="G904" s="6"/>
      <c r="H904" s="6"/>
      <c r="I904" s="6"/>
      <c r="J904" s="6"/>
      <c r="K904" s="6"/>
      <c r="L904" s="6"/>
      <c r="M904" s="6"/>
      <c r="N904" s="6"/>
      <c r="O904" s="6"/>
      <c r="P904" s="6"/>
      <c r="Q904" s="6"/>
      <c r="R904" s="6"/>
      <c r="S904" s="6"/>
      <c r="T904" s="6"/>
      <c r="U904" s="6"/>
      <c r="V904" s="6"/>
      <c r="W904" s="6"/>
      <c r="X904" s="6"/>
      <c r="Y904" s="6"/>
      <c r="Z904" s="6"/>
    </row>
    <row r="905" spans="1:26" ht="31.5" customHeight="1">
      <c r="A905" s="1"/>
      <c r="B905" s="6"/>
      <c r="C905" s="10"/>
      <c r="D905" s="1"/>
      <c r="E905" s="11"/>
      <c r="F905" s="11"/>
      <c r="G905" s="6"/>
      <c r="H905" s="6"/>
      <c r="I905" s="6"/>
      <c r="J905" s="6"/>
      <c r="K905" s="6"/>
      <c r="L905" s="6"/>
      <c r="M905" s="6"/>
      <c r="N905" s="6"/>
      <c r="O905" s="6"/>
      <c r="P905" s="6"/>
      <c r="Q905" s="6"/>
      <c r="R905" s="6"/>
      <c r="S905" s="6"/>
      <c r="T905" s="6"/>
      <c r="U905" s="6"/>
      <c r="V905" s="6"/>
      <c r="W905" s="6"/>
      <c r="X905" s="6"/>
      <c r="Y905" s="6"/>
      <c r="Z905" s="6"/>
    </row>
    <row r="906" spans="1:26" ht="31.5" customHeight="1">
      <c r="A906" s="1"/>
      <c r="B906" s="6"/>
      <c r="C906" s="10"/>
      <c r="D906" s="1"/>
      <c r="E906" s="11"/>
      <c r="F906" s="11"/>
      <c r="G906" s="6"/>
      <c r="H906" s="6"/>
      <c r="I906" s="6"/>
      <c r="J906" s="6"/>
      <c r="K906" s="6"/>
      <c r="L906" s="6"/>
      <c r="M906" s="6"/>
      <c r="N906" s="6"/>
      <c r="O906" s="6"/>
      <c r="P906" s="6"/>
      <c r="Q906" s="6"/>
      <c r="R906" s="6"/>
      <c r="S906" s="6"/>
      <c r="T906" s="6"/>
      <c r="U906" s="6"/>
      <c r="V906" s="6"/>
      <c r="W906" s="6"/>
      <c r="X906" s="6"/>
      <c r="Y906" s="6"/>
      <c r="Z906" s="6"/>
    </row>
    <row r="907" spans="1:26" ht="31.5" customHeight="1">
      <c r="A907" s="1"/>
      <c r="B907" s="6"/>
      <c r="C907" s="10"/>
      <c r="D907" s="1"/>
      <c r="E907" s="11"/>
      <c r="F907" s="11"/>
      <c r="G907" s="6"/>
      <c r="H907" s="6"/>
      <c r="I907" s="6"/>
      <c r="J907" s="6"/>
      <c r="K907" s="6"/>
      <c r="L907" s="6"/>
      <c r="M907" s="6"/>
      <c r="N907" s="6"/>
      <c r="O907" s="6"/>
      <c r="P907" s="6"/>
      <c r="Q907" s="6"/>
      <c r="R907" s="6"/>
      <c r="S907" s="6"/>
      <c r="T907" s="6"/>
      <c r="U907" s="6"/>
      <c r="V907" s="6"/>
      <c r="W907" s="6"/>
      <c r="X907" s="6"/>
      <c r="Y907" s="6"/>
      <c r="Z907" s="6"/>
    </row>
    <row r="908" spans="1:26" ht="31.5" customHeight="1">
      <c r="A908" s="1"/>
      <c r="B908" s="6"/>
      <c r="C908" s="10"/>
      <c r="D908" s="1"/>
      <c r="E908" s="11"/>
      <c r="F908" s="11"/>
      <c r="G908" s="6"/>
      <c r="H908" s="6"/>
      <c r="I908" s="6"/>
      <c r="J908" s="6"/>
      <c r="K908" s="6"/>
      <c r="L908" s="6"/>
      <c r="M908" s="6"/>
      <c r="N908" s="6"/>
      <c r="O908" s="6"/>
      <c r="P908" s="6"/>
      <c r="Q908" s="6"/>
      <c r="R908" s="6"/>
      <c r="S908" s="6"/>
      <c r="T908" s="6"/>
      <c r="U908" s="6"/>
      <c r="V908" s="6"/>
      <c r="W908" s="6"/>
      <c r="X908" s="6"/>
      <c r="Y908" s="6"/>
      <c r="Z908" s="6"/>
    </row>
    <row r="909" spans="1:26" ht="31.5" customHeight="1">
      <c r="A909" s="1"/>
      <c r="B909" s="6"/>
      <c r="C909" s="10"/>
      <c r="D909" s="1"/>
      <c r="E909" s="11"/>
      <c r="F909" s="11"/>
      <c r="G909" s="6"/>
      <c r="H909" s="6"/>
      <c r="I909" s="6"/>
      <c r="J909" s="6"/>
      <c r="K909" s="6"/>
      <c r="L909" s="6"/>
      <c r="M909" s="6"/>
      <c r="N909" s="6"/>
      <c r="O909" s="6"/>
      <c r="P909" s="6"/>
      <c r="Q909" s="6"/>
      <c r="R909" s="6"/>
      <c r="S909" s="6"/>
      <c r="T909" s="6"/>
      <c r="U909" s="6"/>
      <c r="V909" s="6"/>
      <c r="W909" s="6"/>
      <c r="X909" s="6"/>
      <c r="Y909" s="6"/>
      <c r="Z909" s="6"/>
    </row>
    <row r="910" spans="1:26" ht="31.5" customHeight="1">
      <c r="A910" s="1"/>
      <c r="B910" s="6"/>
      <c r="C910" s="10"/>
      <c r="D910" s="1"/>
      <c r="E910" s="11"/>
      <c r="F910" s="11"/>
      <c r="G910" s="6"/>
      <c r="H910" s="6"/>
      <c r="I910" s="6"/>
      <c r="J910" s="6"/>
      <c r="K910" s="6"/>
      <c r="L910" s="6"/>
      <c r="M910" s="6"/>
      <c r="N910" s="6"/>
      <c r="O910" s="6"/>
      <c r="P910" s="6"/>
      <c r="Q910" s="6"/>
      <c r="R910" s="6"/>
      <c r="S910" s="6"/>
      <c r="T910" s="6"/>
      <c r="U910" s="6"/>
      <c r="V910" s="6"/>
      <c r="W910" s="6"/>
      <c r="X910" s="6"/>
      <c r="Y910" s="6"/>
      <c r="Z910" s="6"/>
    </row>
    <row r="911" spans="1:26" ht="31.5" customHeight="1">
      <c r="A911" s="1"/>
      <c r="B911" s="6"/>
      <c r="C911" s="10"/>
      <c r="D911" s="1"/>
      <c r="E911" s="11"/>
      <c r="F911" s="11"/>
      <c r="G911" s="6"/>
      <c r="H911" s="6"/>
      <c r="I911" s="6"/>
      <c r="J911" s="6"/>
      <c r="K911" s="6"/>
      <c r="L911" s="6"/>
      <c r="M911" s="6"/>
      <c r="N911" s="6"/>
      <c r="O911" s="6"/>
      <c r="P911" s="6"/>
      <c r="Q911" s="6"/>
      <c r="R911" s="6"/>
      <c r="S911" s="6"/>
      <c r="T911" s="6"/>
      <c r="U911" s="6"/>
      <c r="V911" s="6"/>
      <c r="W911" s="6"/>
      <c r="X911" s="6"/>
      <c r="Y911" s="6"/>
      <c r="Z911" s="6"/>
    </row>
    <row r="912" spans="1:26" ht="31.5" customHeight="1">
      <c r="A912" s="1"/>
      <c r="B912" s="6"/>
      <c r="C912" s="10"/>
      <c r="D912" s="1"/>
      <c r="E912" s="11"/>
      <c r="F912" s="11"/>
      <c r="G912" s="6"/>
      <c r="H912" s="6"/>
      <c r="I912" s="6"/>
      <c r="J912" s="6"/>
      <c r="K912" s="6"/>
      <c r="L912" s="6"/>
      <c r="M912" s="6"/>
      <c r="N912" s="6"/>
      <c r="O912" s="6"/>
      <c r="P912" s="6"/>
      <c r="Q912" s="6"/>
      <c r="R912" s="6"/>
      <c r="S912" s="6"/>
      <c r="T912" s="6"/>
      <c r="U912" s="6"/>
      <c r="V912" s="6"/>
      <c r="W912" s="6"/>
      <c r="X912" s="6"/>
      <c r="Y912" s="6"/>
      <c r="Z912" s="6"/>
    </row>
    <row r="913" spans="1:26" ht="31.5" customHeight="1">
      <c r="A913" s="1"/>
      <c r="B913" s="6"/>
      <c r="C913" s="10"/>
      <c r="D913" s="1"/>
      <c r="E913" s="11"/>
      <c r="F913" s="11"/>
      <c r="G913" s="6"/>
      <c r="H913" s="6"/>
      <c r="I913" s="6"/>
      <c r="J913" s="6"/>
      <c r="K913" s="6"/>
      <c r="L913" s="6"/>
      <c r="M913" s="6"/>
      <c r="N913" s="6"/>
      <c r="O913" s="6"/>
      <c r="P913" s="6"/>
      <c r="Q913" s="6"/>
      <c r="R913" s="6"/>
      <c r="S913" s="6"/>
      <c r="T913" s="6"/>
      <c r="U913" s="6"/>
      <c r="V913" s="6"/>
      <c r="W913" s="6"/>
      <c r="X913" s="6"/>
      <c r="Y913" s="6"/>
      <c r="Z913" s="6"/>
    </row>
    <row r="914" spans="1:26" ht="31.5" customHeight="1">
      <c r="A914" s="1"/>
      <c r="B914" s="6"/>
      <c r="C914" s="10"/>
      <c r="D914" s="1"/>
      <c r="E914" s="11"/>
      <c r="F914" s="11"/>
      <c r="G914" s="6"/>
      <c r="H914" s="6"/>
      <c r="I914" s="6"/>
      <c r="J914" s="6"/>
      <c r="K914" s="6"/>
      <c r="L914" s="6"/>
      <c r="M914" s="6"/>
      <c r="N914" s="6"/>
      <c r="O914" s="6"/>
      <c r="P914" s="6"/>
      <c r="Q914" s="6"/>
      <c r="R914" s="6"/>
      <c r="S914" s="6"/>
      <c r="T914" s="6"/>
      <c r="U914" s="6"/>
      <c r="V914" s="6"/>
      <c r="W914" s="6"/>
      <c r="X914" s="6"/>
      <c r="Y914" s="6"/>
      <c r="Z914" s="6"/>
    </row>
    <row r="915" spans="1:26" ht="31.5" customHeight="1">
      <c r="A915" s="1"/>
      <c r="B915" s="6"/>
      <c r="C915" s="10"/>
      <c r="D915" s="1"/>
      <c r="E915" s="11"/>
      <c r="F915" s="11"/>
      <c r="G915" s="6"/>
      <c r="H915" s="6"/>
      <c r="I915" s="6"/>
      <c r="J915" s="6"/>
      <c r="K915" s="6"/>
      <c r="L915" s="6"/>
      <c r="M915" s="6"/>
      <c r="N915" s="6"/>
      <c r="O915" s="6"/>
      <c r="P915" s="6"/>
      <c r="Q915" s="6"/>
      <c r="R915" s="6"/>
      <c r="S915" s="6"/>
      <c r="T915" s="6"/>
      <c r="U915" s="6"/>
      <c r="V915" s="6"/>
      <c r="W915" s="6"/>
      <c r="X915" s="6"/>
      <c r="Y915" s="6"/>
      <c r="Z915" s="6"/>
    </row>
    <row r="916" spans="1:26" ht="31.5" customHeight="1">
      <c r="A916" s="1"/>
      <c r="B916" s="6"/>
      <c r="C916" s="10"/>
      <c r="D916" s="1"/>
      <c r="E916" s="11"/>
      <c r="F916" s="11"/>
      <c r="G916" s="6"/>
      <c r="H916" s="6"/>
      <c r="I916" s="6"/>
      <c r="J916" s="6"/>
      <c r="K916" s="6"/>
      <c r="L916" s="6"/>
      <c r="M916" s="6"/>
      <c r="N916" s="6"/>
      <c r="O916" s="6"/>
      <c r="P916" s="6"/>
      <c r="Q916" s="6"/>
      <c r="R916" s="6"/>
      <c r="S916" s="6"/>
      <c r="T916" s="6"/>
      <c r="U916" s="6"/>
      <c r="V916" s="6"/>
      <c r="W916" s="6"/>
      <c r="X916" s="6"/>
      <c r="Y916" s="6"/>
      <c r="Z916" s="6"/>
    </row>
    <row r="917" spans="1:26" ht="31.5" customHeight="1">
      <c r="A917" s="1"/>
      <c r="B917" s="6"/>
      <c r="C917" s="10"/>
      <c r="D917" s="1"/>
      <c r="E917" s="11"/>
      <c r="F917" s="11"/>
      <c r="G917" s="6"/>
      <c r="H917" s="6"/>
      <c r="I917" s="6"/>
      <c r="J917" s="6"/>
      <c r="K917" s="6"/>
      <c r="L917" s="6"/>
      <c r="M917" s="6"/>
      <c r="N917" s="6"/>
      <c r="O917" s="6"/>
      <c r="P917" s="6"/>
      <c r="Q917" s="6"/>
      <c r="R917" s="6"/>
      <c r="S917" s="6"/>
      <c r="T917" s="6"/>
      <c r="U917" s="6"/>
      <c r="V917" s="6"/>
      <c r="W917" s="6"/>
      <c r="X917" s="6"/>
      <c r="Y917" s="6"/>
      <c r="Z917" s="6"/>
    </row>
    <row r="918" spans="1:26" ht="31.5" customHeight="1">
      <c r="A918" s="1"/>
      <c r="B918" s="6"/>
      <c r="C918" s="10"/>
      <c r="D918" s="1"/>
      <c r="E918" s="11"/>
      <c r="F918" s="11"/>
      <c r="G918" s="6"/>
      <c r="H918" s="6"/>
      <c r="I918" s="6"/>
      <c r="J918" s="6"/>
      <c r="K918" s="6"/>
      <c r="L918" s="6"/>
      <c r="M918" s="6"/>
      <c r="N918" s="6"/>
      <c r="O918" s="6"/>
      <c r="P918" s="6"/>
      <c r="Q918" s="6"/>
      <c r="R918" s="6"/>
      <c r="S918" s="6"/>
      <c r="T918" s="6"/>
      <c r="U918" s="6"/>
      <c r="V918" s="6"/>
      <c r="W918" s="6"/>
      <c r="X918" s="6"/>
      <c r="Y918" s="6"/>
      <c r="Z918" s="6"/>
    </row>
    <row r="919" spans="1:26" ht="31.5" customHeight="1">
      <c r="A919" s="1"/>
      <c r="B919" s="6"/>
      <c r="C919" s="10"/>
      <c r="D919" s="1"/>
      <c r="E919" s="11"/>
      <c r="F919" s="11"/>
      <c r="G919" s="6"/>
      <c r="H919" s="6"/>
      <c r="I919" s="6"/>
      <c r="J919" s="6"/>
      <c r="K919" s="6"/>
      <c r="L919" s="6"/>
      <c r="M919" s="6"/>
      <c r="N919" s="6"/>
      <c r="O919" s="6"/>
      <c r="P919" s="6"/>
      <c r="Q919" s="6"/>
      <c r="R919" s="6"/>
      <c r="S919" s="6"/>
      <c r="T919" s="6"/>
      <c r="U919" s="6"/>
      <c r="V919" s="6"/>
      <c r="W919" s="6"/>
      <c r="X919" s="6"/>
      <c r="Y919" s="6"/>
      <c r="Z919" s="6"/>
    </row>
    <row r="920" spans="1:26" ht="31.5" customHeight="1">
      <c r="A920" s="1"/>
      <c r="B920" s="6"/>
      <c r="C920" s="10"/>
      <c r="D920" s="1"/>
      <c r="E920" s="11"/>
      <c r="F920" s="11"/>
      <c r="G920" s="6"/>
      <c r="H920" s="6"/>
      <c r="I920" s="6"/>
      <c r="J920" s="6"/>
      <c r="K920" s="6"/>
      <c r="L920" s="6"/>
      <c r="M920" s="6"/>
      <c r="N920" s="6"/>
      <c r="O920" s="6"/>
      <c r="P920" s="6"/>
      <c r="Q920" s="6"/>
      <c r="R920" s="6"/>
      <c r="S920" s="6"/>
      <c r="T920" s="6"/>
      <c r="U920" s="6"/>
      <c r="V920" s="6"/>
      <c r="W920" s="6"/>
      <c r="X920" s="6"/>
      <c r="Y920" s="6"/>
      <c r="Z920" s="6"/>
    </row>
    <row r="921" spans="1:26" ht="31.5" customHeight="1">
      <c r="A921" s="1"/>
      <c r="B921" s="6"/>
      <c r="C921" s="10"/>
      <c r="D921" s="1"/>
      <c r="E921" s="11"/>
      <c r="F921" s="11"/>
      <c r="G921" s="6"/>
      <c r="H921" s="6"/>
      <c r="I921" s="6"/>
      <c r="J921" s="6"/>
      <c r="K921" s="6"/>
      <c r="L921" s="6"/>
      <c r="M921" s="6"/>
      <c r="N921" s="6"/>
      <c r="O921" s="6"/>
      <c r="P921" s="6"/>
      <c r="Q921" s="6"/>
      <c r="R921" s="6"/>
      <c r="S921" s="6"/>
      <c r="T921" s="6"/>
      <c r="U921" s="6"/>
      <c r="V921" s="6"/>
      <c r="W921" s="6"/>
      <c r="X921" s="6"/>
      <c r="Y921" s="6"/>
      <c r="Z921" s="6"/>
    </row>
    <row r="922" spans="1:26" ht="31.5" customHeight="1">
      <c r="A922" s="1"/>
      <c r="B922" s="6"/>
      <c r="C922" s="10"/>
      <c r="D922" s="1"/>
      <c r="E922" s="11"/>
      <c r="F922" s="11"/>
      <c r="G922" s="6"/>
      <c r="H922" s="6"/>
      <c r="I922" s="6"/>
      <c r="J922" s="6"/>
      <c r="K922" s="6"/>
      <c r="L922" s="6"/>
      <c r="M922" s="6"/>
      <c r="N922" s="6"/>
      <c r="O922" s="6"/>
      <c r="P922" s="6"/>
      <c r="Q922" s="6"/>
      <c r="R922" s="6"/>
      <c r="S922" s="6"/>
      <c r="T922" s="6"/>
      <c r="U922" s="6"/>
      <c r="V922" s="6"/>
      <c r="W922" s="6"/>
      <c r="X922" s="6"/>
      <c r="Y922" s="6"/>
      <c r="Z922" s="6"/>
    </row>
    <row r="923" spans="1:26" ht="31.5" customHeight="1">
      <c r="A923" s="1"/>
      <c r="B923" s="6"/>
      <c r="C923" s="10"/>
      <c r="D923" s="1"/>
      <c r="E923" s="11"/>
      <c r="F923" s="11"/>
      <c r="G923" s="6"/>
      <c r="H923" s="6"/>
      <c r="I923" s="6"/>
      <c r="J923" s="6"/>
      <c r="K923" s="6"/>
      <c r="L923" s="6"/>
      <c r="M923" s="6"/>
      <c r="N923" s="6"/>
      <c r="O923" s="6"/>
      <c r="P923" s="6"/>
      <c r="Q923" s="6"/>
      <c r="R923" s="6"/>
      <c r="S923" s="6"/>
      <c r="T923" s="6"/>
      <c r="U923" s="6"/>
      <c r="V923" s="6"/>
      <c r="W923" s="6"/>
      <c r="X923" s="6"/>
      <c r="Y923" s="6"/>
      <c r="Z923" s="6"/>
    </row>
    <row r="924" spans="1:26" ht="31.5" customHeight="1">
      <c r="A924" s="1"/>
      <c r="B924" s="6"/>
      <c r="C924" s="10"/>
      <c r="D924" s="1"/>
      <c r="E924" s="11"/>
      <c r="F924" s="11"/>
      <c r="G924" s="6"/>
      <c r="H924" s="6"/>
      <c r="I924" s="6"/>
      <c r="J924" s="6"/>
      <c r="K924" s="6"/>
      <c r="L924" s="6"/>
      <c r="M924" s="6"/>
      <c r="N924" s="6"/>
      <c r="O924" s="6"/>
      <c r="P924" s="6"/>
      <c r="Q924" s="6"/>
      <c r="R924" s="6"/>
      <c r="S924" s="6"/>
      <c r="T924" s="6"/>
      <c r="U924" s="6"/>
      <c r="V924" s="6"/>
      <c r="W924" s="6"/>
      <c r="X924" s="6"/>
      <c r="Y924" s="6"/>
      <c r="Z924" s="6"/>
    </row>
    <row r="925" spans="1:26" ht="31.5" customHeight="1">
      <c r="A925" s="1"/>
      <c r="B925" s="6"/>
      <c r="C925" s="10"/>
      <c r="D925" s="1"/>
      <c r="E925" s="11"/>
      <c r="F925" s="11"/>
      <c r="G925" s="6"/>
      <c r="H925" s="6"/>
      <c r="I925" s="6"/>
      <c r="J925" s="6"/>
      <c r="K925" s="6"/>
      <c r="L925" s="6"/>
      <c r="M925" s="6"/>
      <c r="N925" s="6"/>
      <c r="O925" s="6"/>
      <c r="P925" s="6"/>
      <c r="Q925" s="6"/>
      <c r="R925" s="6"/>
      <c r="S925" s="6"/>
      <c r="T925" s="6"/>
      <c r="U925" s="6"/>
      <c r="V925" s="6"/>
      <c r="W925" s="6"/>
      <c r="X925" s="6"/>
      <c r="Y925" s="6"/>
      <c r="Z925" s="6"/>
    </row>
    <row r="926" spans="1:26" ht="31.5" customHeight="1">
      <c r="A926" s="1"/>
      <c r="B926" s="6"/>
      <c r="C926" s="10"/>
      <c r="D926" s="1"/>
      <c r="E926" s="11"/>
      <c r="F926" s="11"/>
      <c r="G926" s="6"/>
      <c r="H926" s="6"/>
      <c r="I926" s="6"/>
      <c r="J926" s="6"/>
      <c r="K926" s="6"/>
      <c r="L926" s="6"/>
      <c r="M926" s="6"/>
      <c r="N926" s="6"/>
      <c r="O926" s="6"/>
      <c r="P926" s="6"/>
      <c r="Q926" s="6"/>
      <c r="R926" s="6"/>
      <c r="S926" s="6"/>
      <c r="T926" s="6"/>
      <c r="U926" s="6"/>
      <c r="V926" s="6"/>
      <c r="W926" s="6"/>
      <c r="X926" s="6"/>
      <c r="Y926" s="6"/>
      <c r="Z926" s="6"/>
    </row>
    <row r="927" spans="1:26" ht="31.5" customHeight="1">
      <c r="A927" s="1"/>
      <c r="B927" s="6"/>
      <c r="C927" s="10"/>
      <c r="D927" s="1"/>
      <c r="E927" s="11"/>
      <c r="F927" s="11"/>
      <c r="G927" s="6"/>
      <c r="H927" s="6"/>
      <c r="I927" s="6"/>
      <c r="J927" s="6"/>
      <c r="K927" s="6"/>
      <c r="L927" s="6"/>
      <c r="M927" s="6"/>
      <c r="N927" s="6"/>
      <c r="O927" s="6"/>
      <c r="P927" s="6"/>
      <c r="Q927" s="6"/>
      <c r="R927" s="6"/>
      <c r="S927" s="6"/>
      <c r="T927" s="6"/>
      <c r="U927" s="6"/>
      <c r="V927" s="6"/>
      <c r="W927" s="6"/>
      <c r="X927" s="6"/>
      <c r="Y927" s="6"/>
      <c r="Z927" s="6"/>
    </row>
    <row r="928" spans="1:26" ht="31.5" customHeight="1">
      <c r="A928" s="1"/>
      <c r="B928" s="6"/>
      <c r="C928" s="10"/>
      <c r="D928" s="1"/>
      <c r="E928" s="11"/>
      <c r="F928" s="11"/>
      <c r="G928" s="6"/>
      <c r="H928" s="6"/>
      <c r="I928" s="6"/>
      <c r="J928" s="6"/>
      <c r="K928" s="6"/>
      <c r="L928" s="6"/>
      <c r="M928" s="6"/>
      <c r="N928" s="6"/>
      <c r="O928" s="6"/>
      <c r="P928" s="6"/>
      <c r="Q928" s="6"/>
      <c r="R928" s="6"/>
      <c r="S928" s="6"/>
      <c r="T928" s="6"/>
      <c r="U928" s="6"/>
      <c r="V928" s="6"/>
      <c r="W928" s="6"/>
      <c r="X928" s="6"/>
      <c r="Y928" s="6"/>
      <c r="Z928" s="6"/>
    </row>
    <row r="929" spans="1:26" ht="31.5" customHeight="1">
      <c r="A929" s="1"/>
      <c r="B929" s="6"/>
      <c r="C929" s="10"/>
      <c r="D929" s="1"/>
      <c r="E929" s="11"/>
      <c r="F929" s="11"/>
      <c r="G929" s="6"/>
      <c r="H929" s="6"/>
      <c r="I929" s="6"/>
      <c r="J929" s="6"/>
      <c r="K929" s="6"/>
      <c r="L929" s="6"/>
      <c r="M929" s="6"/>
      <c r="N929" s="6"/>
      <c r="O929" s="6"/>
      <c r="P929" s="6"/>
      <c r="Q929" s="6"/>
      <c r="R929" s="6"/>
      <c r="S929" s="6"/>
      <c r="T929" s="6"/>
      <c r="U929" s="6"/>
      <c r="V929" s="6"/>
      <c r="W929" s="6"/>
      <c r="X929" s="6"/>
      <c r="Y929" s="6"/>
      <c r="Z929" s="6"/>
    </row>
    <row r="930" spans="1:26" ht="31.5" customHeight="1">
      <c r="A930" s="1"/>
      <c r="B930" s="6"/>
      <c r="C930" s="10"/>
      <c r="D930" s="1"/>
      <c r="E930" s="11"/>
      <c r="F930" s="11"/>
      <c r="G930" s="6"/>
      <c r="H930" s="6"/>
      <c r="I930" s="6"/>
      <c r="J930" s="6"/>
      <c r="K930" s="6"/>
      <c r="L930" s="6"/>
      <c r="M930" s="6"/>
      <c r="N930" s="6"/>
      <c r="O930" s="6"/>
      <c r="P930" s="6"/>
      <c r="Q930" s="6"/>
      <c r="R930" s="6"/>
      <c r="S930" s="6"/>
      <c r="T930" s="6"/>
      <c r="U930" s="6"/>
      <c r="V930" s="6"/>
      <c r="W930" s="6"/>
      <c r="X930" s="6"/>
      <c r="Y930" s="6"/>
      <c r="Z930" s="6"/>
    </row>
    <row r="931" spans="1:26" ht="31.5" customHeight="1">
      <c r="A931" s="1"/>
      <c r="B931" s="6"/>
      <c r="C931" s="10"/>
      <c r="D931" s="1"/>
      <c r="E931" s="11"/>
      <c r="F931" s="11"/>
      <c r="G931" s="6"/>
      <c r="H931" s="6"/>
      <c r="I931" s="6"/>
      <c r="J931" s="6"/>
      <c r="K931" s="6"/>
      <c r="L931" s="6"/>
      <c r="M931" s="6"/>
      <c r="N931" s="6"/>
      <c r="O931" s="6"/>
      <c r="P931" s="6"/>
      <c r="Q931" s="6"/>
      <c r="R931" s="6"/>
      <c r="S931" s="6"/>
      <c r="T931" s="6"/>
      <c r="U931" s="6"/>
      <c r="V931" s="6"/>
      <c r="W931" s="6"/>
      <c r="X931" s="6"/>
      <c r="Y931" s="6"/>
      <c r="Z931" s="6"/>
    </row>
    <row r="932" spans="1:26" ht="31.5" customHeight="1">
      <c r="A932" s="1"/>
      <c r="B932" s="6"/>
      <c r="C932" s="10"/>
      <c r="D932" s="1"/>
      <c r="E932" s="11"/>
      <c r="F932" s="11"/>
      <c r="G932" s="6"/>
      <c r="H932" s="6"/>
      <c r="I932" s="6"/>
      <c r="J932" s="6"/>
      <c r="K932" s="6"/>
      <c r="L932" s="6"/>
      <c r="M932" s="6"/>
      <c r="N932" s="6"/>
      <c r="O932" s="6"/>
      <c r="P932" s="6"/>
      <c r="Q932" s="6"/>
      <c r="R932" s="6"/>
      <c r="S932" s="6"/>
      <c r="T932" s="6"/>
      <c r="U932" s="6"/>
      <c r="V932" s="6"/>
      <c r="W932" s="6"/>
      <c r="X932" s="6"/>
      <c r="Y932" s="6"/>
      <c r="Z932" s="6"/>
    </row>
    <row r="933" spans="1:26" ht="31.5" customHeight="1">
      <c r="A933" s="1"/>
      <c r="B933" s="6"/>
      <c r="C933" s="10"/>
      <c r="D933" s="1"/>
      <c r="E933" s="11"/>
      <c r="F933" s="11"/>
      <c r="G933" s="6"/>
      <c r="H933" s="6"/>
      <c r="I933" s="6"/>
      <c r="J933" s="6"/>
      <c r="K933" s="6"/>
      <c r="L933" s="6"/>
      <c r="M933" s="6"/>
      <c r="N933" s="6"/>
      <c r="O933" s="6"/>
      <c r="P933" s="6"/>
      <c r="Q933" s="6"/>
      <c r="R933" s="6"/>
      <c r="S933" s="6"/>
      <c r="T933" s="6"/>
      <c r="U933" s="6"/>
      <c r="V933" s="6"/>
      <c r="W933" s="6"/>
      <c r="X933" s="6"/>
      <c r="Y933" s="6"/>
      <c r="Z933" s="6"/>
    </row>
    <row r="934" spans="1:26" ht="31.5" customHeight="1">
      <c r="A934" s="1"/>
      <c r="B934" s="6"/>
      <c r="C934" s="10"/>
      <c r="D934" s="1"/>
      <c r="E934" s="11"/>
      <c r="F934" s="11"/>
      <c r="G934" s="6"/>
      <c r="H934" s="6"/>
      <c r="I934" s="6"/>
      <c r="J934" s="6"/>
      <c r="K934" s="6"/>
      <c r="L934" s="6"/>
      <c r="M934" s="6"/>
      <c r="N934" s="6"/>
      <c r="O934" s="6"/>
      <c r="P934" s="6"/>
      <c r="Q934" s="6"/>
      <c r="R934" s="6"/>
      <c r="S934" s="6"/>
      <c r="T934" s="6"/>
      <c r="U934" s="6"/>
      <c r="V934" s="6"/>
      <c r="W934" s="6"/>
      <c r="X934" s="6"/>
      <c r="Y934" s="6"/>
      <c r="Z934" s="6"/>
    </row>
    <row r="935" spans="1:26" ht="31.5" customHeight="1">
      <c r="A935" s="1"/>
      <c r="B935" s="6"/>
      <c r="C935" s="10"/>
      <c r="D935" s="1"/>
      <c r="E935" s="11"/>
      <c r="F935" s="11"/>
      <c r="G935" s="6"/>
      <c r="H935" s="6"/>
      <c r="I935" s="6"/>
      <c r="J935" s="6"/>
      <c r="K935" s="6"/>
      <c r="L935" s="6"/>
      <c r="M935" s="6"/>
      <c r="N935" s="6"/>
      <c r="O935" s="6"/>
      <c r="P935" s="6"/>
      <c r="Q935" s="6"/>
      <c r="R935" s="6"/>
      <c r="S935" s="6"/>
      <c r="T935" s="6"/>
      <c r="U935" s="6"/>
      <c r="V935" s="6"/>
      <c r="W935" s="6"/>
      <c r="X935" s="6"/>
      <c r="Y935" s="6"/>
      <c r="Z935" s="6"/>
    </row>
    <row r="936" spans="1:26" ht="31.5" customHeight="1">
      <c r="A936" s="1"/>
      <c r="B936" s="6"/>
      <c r="C936" s="10"/>
      <c r="D936" s="1"/>
      <c r="E936" s="11"/>
      <c r="F936" s="11"/>
      <c r="G936" s="6"/>
      <c r="H936" s="6"/>
      <c r="I936" s="6"/>
      <c r="J936" s="6"/>
      <c r="K936" s="6"/>
      <c r="L936" s="6"/>
      <c r="M936" s="6"/>
      <c r="N936" s="6"/>
      <c r="O936" s="6"/>
      <c r="P936" s="6"/>
      <c r="Q936" s="6"/>
      <c r="R936" s="6"/>
      <c r="S936" s="6"/>
      <c r="T936" s="6"/>
      <c r="U936" s="6"/>
      <c r="V936" s="6"/>
      <c r="W936" s="6"/>
      <c r="X936" s="6"/>
      <c r="Y936" s="6"/>
      <c r="Z936" s="6"/>
    </row>
    <row r="937" spans="1:26" ht="31.5" customHeight="1">
      <c r="A937" s="1"/>
      <c r="B937" s="6"/>
      <c r="C937" s="10"/>
      <c r="D937" s="1"/>
      <c r="E937" s="11"/>
      <c r="F937" s="11"/>
      <c r="G937" s="6"/>
      <c r="H937" s="6"/>
      <c r="I937" s="6"/>
      <c r="J937" s="6"/>
      <c r="K937" s="6"/>
      <c r="L937" s="6"/>
      <c r="M937" s="6"/>
      <c r="N937" s="6"/>
      <c r="O937" s="6"/>
      <c r="P937" s="6"/>
      <c r="Q937" s="6"/>
      <c r="R937" s="6"/>
      <c r="S937" s="6"/>
      <c r="T937" s="6"/>
      <c r="U937" s="6"/>
      <c r="V937" s="6"/>
      <c r="W937" s="6"/>
      <c r="X937" s="6"/>
      <c r="Y937" s="6"/>
      <c r="Z937" s="6"/>
    </row>
    <row r="938" spans="1:26" ht="31.5" customHeight="1">
      <c r="A938" s="1"/>
      <c r="B938" s="6"/>
      <c r="C938" s="10"/>
      <c r="D938" s="1"/>
      <c r="E938" s="11"/>
      <c r="F938" s="11"/>
      <c r="G938" s="6"/>
      <c r="H938" s="6"/>
      <c r="I938" s="6"/>
      <c r="J938" s="6"/>
      <c r="K938" s="6"/>
      <c r="L938" s="6"/>
      <c r="M938" s="6"/>
      <c r="N938" s="6"/>
      <c r="O938" s="6"/>
      <c r="P938" s="6"/>
      <c r="Q938" s="6"/>
      <c r="R938" s="6"/>
      <c r="S938" s="6"/>
      <c r="T938" s="6"/>
      <c r="U938" s="6"/>
      <c r="V938" s="6"/>
      <c r="W938" s="6"/>
      <c r="X938" s="6"/>
      <c r="Y938" s="6"/>
      <c r="Z938" s="6"/>
    </row>
    <row r="939" spans="1:26" ht="31.5" customHeight="1">
      <c r="A939" s="1"/>
      <c r="B939" s="6"/>
      <c r="C939" s="10"/>
      <c r="D939" s="1"/>
      <c r="E939" s="11"/>
      <c r="F939" s="11"/>
      <c r="G939" s="6"/>
      <c r="H939" s="6"/>
      <c r="I939" s="6"/>
      <c r="J939" s="6"/>
      <c r="K939" s="6"/>
      <c r="L939" s="6"/>
      <c r="M939" s="6"/>
      <c r="N939" s="6"/>
      <c r="O939" s="6"/>
      <c r="P939" s="6"/>
      <c r="Q939" s="6"/>
      <c r="R939" s="6"/>
      <c r="S939" s="6"/>
      <c r="T939" s="6"/>
      <c r="U939" s="6"/>
      <c r="V939" s="6"/>
      <c r="W939" s="6"/>
      <c r="X939" s="6"/>
      <c r="Y939" s="6"/>
      <c r="Z939" s="6"/>
    </row>
    <row r="940" spans="1:26" ht="31.5" customHeight="1">
      <c r="A940" s="1"/>
      <c r="B940" s="6"/>
      <c r="C940" s="10"/>
      <c r="D940" s="1"/>
      <c r="E940" s="11"/>
      <c r="F940" s="11"/>
      <c r="G940" s="6"/>
      <c r="H940" s="6"/>
      <c r="I940" s="6"/>
      <c r="J940" s="6"/>
      <c r="K940" s="6"/>
      <c r="L940" s="6"/>
      <c r="M940" s="6"/>
      <c r="N940" s="6"/>
      <c r="O940" s="6"/>
      <c r="P940" s="6"/>
      <c r="Q940" s="6"/>
      <c r="R940" s="6"/>
      <c r="S940" s="6"/>
      <c r="T940" s="6"/>
      <c r="U940" s="6"/>
      <c r="V940" s="6"/>
      <c r="W940" s="6"/>
      <c r="X940" s="6"/>
      <c r="Y940" s="6"/>
      <c r="Z940" s="6"/>
    </row>
    <row r="941" spans="1:26" ht="31.5" customHeight="1">
      <c r="A941" s="1"/>
      <c r="B941" s="6"/>
      <c r="C941" s="10"/>
      <c r="D941" s="1"/>
      <c r="E941" s="11"/>
      <c r="F941" s="11"/>
      <c r="G941" s="6"/>
      <c r="H941" s="6"/>
      <c r="I941" s="6"/>
      <c r="J941" s="6"/>
      <c r="K941" s="6"/>
      <c r="L941" s="6"/>
      <c r="M941" s="6"/>
      <c r="N941" s="6"/>
      <c r="O941" s="6"/>
      <c r="P941" s="6"/>
      <c r="Q941" s="6"/>
      <c r="R941" s="6"/>
      <c r="S941" s="6"/>
      <c r="T941" s="6"/>
      <c r="U941" s="6"/>
      <c r="V941" s="6"/>
      <c r="W941" s="6"/>
      <c r="X941" s="6"/>
      <c r="Y941" s="6"/>
      <c r="Z941" s="6"/>
    </row>
    <row r="942" spans="1:26" ht="31.5" customHeight="1">
      <c r="A942" s="1"/>
      <c r="B942" s="6"/>
      <c r="C942" s="10"/>
      <c r="D942" s="1"/>
      <c r="E942" s="11"/>
      <c r="F942" s="11"/>
      <c r="G942" s="6"/>
      <c r="H942" s="6"/>
      <c r="I942" s="6"/>
      <c r="J942" s="6"/>
      <c r="K942" s="6"/>
      <c r="L942" s="6"/>
      <c r="M942" s="6"/>
      <c r="N942" s="6"/>
      <c r="O942" s="6"/>
      <c r="P942" s="6"/>
      <c r="Q942" s="6"/>
      <c r="R942" s="6"/>
      <c r="S942" s="6"/>
      <c r="T942" s="6"/>
      <c r="U942" s="6"/>
      <c r="V942" s="6"/>
      <c r="W942" s="6"/>
      <c r="X942" s="6"/>
      <c r="Y942" s="6"/>
      <c r="Z942" s="6"/>
    </row>
    <row r="943" spans="1:26" ht="31.5" customHeight="1">
      <c r="A943" s="1"/>
      <c r="B943" s="6"/>
      <c r="C943" s="10"/>
      <c r="D943" s="1"/>
      <c r="E943" s="11"/>
      <c r="F943" s="11"/>
      <c r="G943" s="6"/>
      <c r="H943" s="6"/>
      <c r="I943" s="6"/>
      <c r="J943" s="6"/>
      <c r="K943" s="6"/>
      <c r="L943" s="6"/>
      <c r="M943" s="6"/>
      <c r="N943" s="6"/>
      <c r="O943" s="6"/>
      <c r="P943" s="6"/>
      <c r="Q943" s="6"/>
      <c r="R943" s="6"/>
      <c r="S943" s="6"/>
      <c r="T943" s="6"/>
      <c r="U943" s="6"/>
      <c r="V943" s="6"/>
      <c r="W943" s="6"/>
      <c r="X943" s="6"/>
      <c r="Y943" s="6"/>
      <c r="Z943" s="6"/>
    </row>
    <row r="944" spans="1:26" ht="31.5" customHeight="1">
      <c r="A944" s="1"/>
      <c r="B944" s="6"/>
      <c r="C944" s="10"/>
      <c r="D944" s="1"/>
      <c r="E944" s="11"/>
      <c r="F944" s="11"/>
      <c r="G944" s="6"/>
      <c r="H944" s="6"/>
      <c r="I944" s="6"/>
      <c r="J944" s="6"/>
      <c r="K944" s="6"/>
      <c r="L944" s="6"/>
      <c r="M944" s="6"/>
      <c r="N944" s="6"/>
      <c r="O944" s="6"/>
      <c r="P944" s="6"/>
      <c r="Q944" s="6"/>
      <c r="R944" s="6"/>
      <c r="S944" s="6"/>
      <c r="T944" s="6"/>
      <c r="U944" s="6"/>
      <c r="V944" s="6"/>
      <c r="W944" s="6"/>
      <c r="X944" s="6"/>
      <c r="Y944" s="6"/>
      <c r="Z944" s="6"/>
    </row>
    <row r="945" spans="1:26" ht="31.5" customHeight="1">
      <c r="A945" s="1"/>
      <c r="B945" s="6"/>
      <c r="C945" s="10"/>
      <c r="D945" s="1"/>
      <c r="E945" s="11"/>
      <c r="F945" s="11"/>
      <c r="G945" s="6"/>
      <c r="H945" s="6"/>
      <c r="I945" s="6"/>
      <c r="J945" s="6"/>
      <c r="K945" s="6"/>
      <c r="L945" s="6"/>
      <c r="M945" s="6"/>
      <c r="N945" s="6"/>
      <c r="O945" s="6"/>
      <c r="P945" s="6"/>
      <c r="Q945" s="6"/>
      <c r="R945" s="6"/>
      <c r="S945" s="6"/>
      <c r="T945" s="6"/>
      <c r="U945" s="6"/>
      <c r="V945" s="6"/>
      <c r="W945" s="6"/>
      <c r="X945" s="6"/>
      <c r="Y945" s="6"/>
      <c r="Z945" s="6"/>
    </row>
    <row r="946" spans="1:26" ht="31.5" customHeight="1">
      <c r="A946" s="1"/>
      <c r="B946" s="6"/>
      <c r="C946" s="10"/>
      <c r="D946" s="1"/>
      <c r="E946" s="11"/>
      <c r="F946" s="11"/>
      <c r="G946" s="6"/>
      <c r="H946" s="6"/>
      <c r="I946" s="6"/>
      <c r="J946" s="6"/>
      <c r="K946" s="6"/>
      <c r="L946" s="6"/>
      <c r="M946" s="6"/>
      <c r="N946" s="6"/>
      <c r="O946" s="6"/>
      <c r="P946" s="6"/>
      <c r="Q946" s="6"/>
      <c r="R946" s="6"/>
      <c r="S946" s="6"/>
      <c r="T946" s="6"/>
      <c r="U946" s="6"/>
      <c r="V946" s="6"/>
      <c r="W946" s="6"/>
      <c r="X946" s="6"/>
      <c r="Y946" s="6"/>
      <c r="Z946" s="6"/>
    </row>
    <row r="947" spans="1:26" ht="31.5" customHeight="1">
      <c r="A947" s="1"/>
      <c r="B947" s="6"/>
      <c r="C947" s="10"/>
      <c r="D947" s="1"/>
      <c r="E947" s="11"/>
      <c r="F947" s="11"/>
      <c r="G947" s="6"/>
      <c r="H947" s="6"/>
      <c r="I947" s="6"/>
      <c r="J947" s="6"/>
      <c r="K947" s="6"/>
      <c r="L947" s="6"/>
      <c r="M947" s="6"/>
      <c r="N947" s="6"/>
      <c r="O947" s="6"/>
      <c r="P947" s="6"/>
      <c r="Q947" s="6"/>
      <c r="R947" s="6"/>
      <c r="S947" s="6"/>
      <c r="T947" s="6"/>
      <c r="U947" s="6"/>
      <c r="V947" s="6"/>
      <c r="W947" s="6"/>
      <c r="X947" s="6"/>
      <c r="Y947" s="6"/>
      <c r="Z947" s="6"/>
    </row>
    <row r="948" spans="1:26" ht="31.5" customHeight="1">
      <c r="A948" s="1"/>
      <c r="B948" s="6"/>
      <c r="C948" s="10"/>
      <c r="D948" s="1"/>
      <c r="E948" s="11"/>
      <c r="F948" s="11"/>
      <c r="G948" s="6"/>
      <c r="H948" s="6"/>
      <c r="I948" s="6"/>
      <c r="J948" s="6"/>
      <c r="K948" s="6"/>
      <c r="L948" s="6"/>
      <c r="M948" s="6"/>
      <c r="N948" s="6"/>
      <c r="O948" s="6"/>
      <c r="P948" s="6"/>
      <c r="Q948" s="6"/>
      <c r="R948" s="6"/>
      <c r="S948" s="6"/>
      <c r="T948" s="6"/>
      <c r="U948" s="6"/>
      <c r="V948" s="6"/>
      <c r="W948" s="6"/>
      <c r="X948" s="6"/>
      <c r="Y948" s="6"/>
      <c r="Z948" s="6"/>
    </row>
    <row r="949" spans="1:26" ht="31.5" customHeight="1">
      <c r="A949" s="1"/>
      <c r="B949" s="6"/>
      <c r="C949" s="10"/>
      <c r="D949" s="1"/>
      <c r="E949" s="11"/>
      <c r="F949" s="11"/>
      <c r="G949" s="6"/>
      <c r="H949" s="6"/>
      <c r="I949" s="6"/>
      <c r="J949" s="6"/>
      <c r="K949" s="6"/>
      <c r="L949" s="6"/>
      <c r="M949" s="6"/>
      <c r="N949" s="6"/>
      <c r="O949" s="6"/>
      <c r="P949" s="6"/>
      <c r="Q949" s="6"/>
      <c r="R949" s="6"/>
      <c r="S949" s="6"/>
      <c r="T949" s="6"/>
      <c r="U949" s="6"/>
      <c r="V949" s="6"/>
      <c r="W949" s="6"/>
      <c r="X949" s="6"/>
      <c r="Y949" s="6"/>
      <c r="Z949" s="6"/>
    </row>
    <row r="950" spans="1:26" ht="31.5" customHeight="1">
      <c r="A950" s="1"/>
      <c r="B950" s="6"/>
      <c r="C950" s="10"/>
      <c r="D950" s="1"/>
      <c r="E950" s="11"/>
      <c r="F950" s="11"/>
      <c r="G950" s="6"/>
      <c r="H950" s="6"/>
      <c r="I950" s="6"/>
      <c r="J950" s="6"/>
      <c r="K950" s="6"/>
      <c r="L950" s="6"/>
      <c r="M950" s="6"/>
      <c r="N950" s="6"/>
      <c r="O950" s="6"/>
      <c r="P950" s="6"/>
      <c r="Q950" s="6"/>
      <c r="R950" s="6"/>
      <c r="S950" s="6"/>
      <c r="T950" s="6"/>
      <c r="U950" s="6"/>
      <c r="V950" s="6"/>
      <c r="W950" s="6"/>
      <c r="X950" s="6"/>
      <c r="Y950" s="6"/>
      <c r="Z950" s="6"/>
    </row>
    <row r="951" spans="1:26" ht="31.5" customHeight="1">
      <c r="A951" s="1"/>
      <c r="B951" s="6"/>
      <c r="C951" s="10"/>
      <c r="D951" s="1"/>
      <c r="E951" s="11"/>
      <c r="F951" s="11"/>
      <c r="G951" s="6"/>
      <c r="H951" s="6"/>
      <c r="I951" s="6"/>
      <c r="J951" s="6"/>
      <c r="K951" s="6"/>
      <c r="L951" s="6"/>
      <c r="M951" s="6"/>
      <c r="N951" s="6"/>
      <c r="O951" s="6"/>
      <c r="P951" s="6"/>
      <c r="Q951" s="6"/>
      <c r="R951" s="6"/>
      <c r="S951" s="6"/>
      <c r="T951" s="6"/>
      <c r="U951" s="6"/>
      <c r="V951" s="6"/>
      <c r="W951" s="6"/>
      <c r="X951" s="6"/>
      <c r="Y951" s="6"/>
      <c r="Z951" s="6"/>
    </row>
    <row r="952" spans="1:26" ht="31.5" customHeight="1">
      <c r="A952" s="1"/>
      <c r="B952" s="6"/>
      <c r="C952" s="10"/>
      <c r="D952" s="1"/>
      <c r="E952" s="11"/>
      <c r="F952" s="11"/>
      <c r="G952" s="6"/>
      <c r="H952" s="6"/>
      <c r="I952" s="6"/>
      <c r="J952" s="6"/>
      <c r="K952" s="6"/>
      <c r="L952" s="6"/>
      <c r="M952" s="6"/>
      <c r="N952" s="6"/>
      <c r="O952" s="6"/>
      <c r="P952" s="6"/>
      <c r="Q952" s="6"/>
      <c r="R952" s="6"/>
      <c r="S952" s="6"/>
      <c r="T952" s="6"/>
      <c r="U952" s="6"/>
      <c r="V952" s="6"/>
      <c r="W952" s="6"/>
      <c r="X952" s="6"/>
      <c r="Y952" s="6"/>
      <c r="Z952" s="6"/>
    </row>
    <row r="953" spans="1:26" ht="31.5" customHeight="1">
      <c r="A953" s="1"/>
      <c r="B953" s="6"/>
      <c r="C953" s="10"/>
      <c r="D953" s="1"/>
      <c r="E953" s="11"/>
      <c r="F953" s="11"/>
      <c r="G953" s="6"/>
      <c r="H953" s="6"/>
      <c r="I953" s="6"/>
      <c r="J953" s="6"/>
      <c r="K953" s="6"/>
      <c r="L953" s="6"/>
      <c r="M953" s="6"/>
      <c r="N953" s="6"/>
      <c r="O953" s="6"/>
      <c r="P953" s="6"/>
      <c r="Q953" s="6"/>
      <c r="R953" s="6"/>
      <c r="S953" s="6"/>
      <c r="T953" s="6"/>
      <c r="U953" s="6"/>
      <c r="V953" s="6"/>
      <c r="W953" s="6"/>
      <c r="X953" s="6"/>
      <c r="Y953" s="6"/>
      <c r="Z953" s="6"/>
    </row>
    <row r="954" spans="1:26" ht="31.5" customHeight="1">
      <c r="A954" s="1"/>
      <c r="B954" s="6"/>
      <c r="C954" s="10"/>
      <c r="D954" s="1"/>
      <c r="E954" s="11"/>
      <c r="F954" s="11"/>
      <c r="G954" s="6"/>
      <c r="H954" s="6"/>
      <c r="I954" s="6"/>
      <c r="J954" s="6"/>
      <c r="K954" s="6"/>
      <c r="L954" s="6"/>
      <c r="M954" s="6"/>
      <c r="N954" s="6"/>
      <c r="O954" s="6"/>
      <c r="P954" s="6"/>
      <c r="Q954" s="6"/>
      <c r="R954" s="6"/>
      <c r="S954" s="6"/>
      <c r="T954" s="6"/>
      <c r="U954" s="6"/>
      <c r="V954" s="6"/>
      <c r="W954" s="6"/>
      <c r="X954" s="6"/>
      <c r="Y954" s="6"/>
      <c r="Z954" s="6"/>
    </row>
    <row r="955" spans="1:26" ht="31.5" customHeight="1">
      <c r="A955" s="1"/>
      <c r="B955" s="6"/>
      <c r="C955" s="10"/>
      <c r="D955" s="1"/>
      <c r="E955" s="11"/>
      <c r="F955" s="11"/>
      <c r="G955" s="6"/>
      <c r="H955" s="6"/>
      <c r="I955" s="6"/>
      <c r="J955" s="6"/>
      <c r="K955" s="6"/>
      <c r="L955" s="6"/>
      <c r="M955" s="6"/>
      <c r="N955" s="6"/>
      <c r="O955" s="6"/>
      <c r="P955" s="6"/>
      <c r="Q955" s="6"/>
      <c r="R955" s="6"/>
      <c r="S955" s="6"/>
      <c r="T955" s="6"/>
      <c r="U955" s="6"/>
      <c r="V955" s="6"/>
      <c r="W955" s="6"/>
      <c r="X955" s="6"/>
      <c r="Y955" s="6"/>
      <c r="Z955" s="6"/>
    </row>
    <row r="956" spans="1:26" ht="31.5" customHeight="1">
      <c r="A956" s="1"/>
      <c r="B956" s="6"/>
      <c r="C956" s="10"/>
      <c r="D956" s="1"/>
      <c r="E956" s="11"/>
      <c r="F956" s="11"/>
      <c r="G956" s="6"/>
      <c r="H956" s="6"/>
      <c r="I956" s="6"/>
      <c r="J956" s="6"/>
      <c r="K956" s="6"/>
      <c r="L956" s="6"/>
      <c r="M956" s="6"/>
      <c r="N956" s="6"/>
      <c r="O956" s="6"/>
      <c r="P956" s="6"/>
      <c r="Q956" s="6"/>
      <c r="R956" s="6"/>
      <c r="S956" s="6"/>
      <c r="T956" s="6"/>
      <c r="U956" s="6"/>
      <c r="V956" s="6"/>
      <c r="W956" s="6"/>
      <c r="X956" s="6"/>
      <c r="Y956" s="6"/>
      <c r="Z956" s="6"/>
    </row>
    <row r="957" spans="1:26" ht="31.5" customHeight="1">
      <c r="A957" s="1"/>
      <c r="B957" s="6"/>
      <c r="C957" s="10"/>
      <c r="D957" s="1"/>
      <c r="E957" s="11"/>
      <c r="F957" s="11"/>
      <c r="G957" s="6"/>
      <c r="H957" s="6"/>
      <c r="I957" s="6"/>
      <c r="J957" s="6"/>
      <c r="K957" s="6"/>
      <c r="L957" s="6"/>
      <c r="M957" s="6"/>
      <c r="N957" s="6"/>
      <c r="O957" s="6"/>
      <c r="P957" s="6"/>
      <c r="Q957" s="6"/>
      <c r="R957" s="6"/>
      <c r="S957" s="6"/>
      <c r="T957" s="6"/>
      <c r="U957" s="6"/>
      <c r="V957" s="6"/>
      <c r="W957" s="6"/>
      <c r="X957" s="6"/>
      <c r="Y957" s="6"/>
      <c r="Z957" s="6"/>
    </row>
    <row r="958" spans="1:26" ht="31.5" customHeight="1">
      <c r="A958" s="1"/>
      <c r="B958" s="6"/>
      <c r="C958" s="10"/>
      <c r="D958" s="1"/>
      <c r="E958" s="11"/>
      <c r="F958" s="11"/>
      <c r="G958" s="6"/>
      <c r="H958" s="6"/>
      <c r="I958" s="6"/>
      <c r="J958" s="6"/>
      <c r="K958" s="6"/>
      <c r="L958" s="6"/>
      <c r="M958" s="6"/>
      <c r="N958" s="6"/>
      <c r="O958" s="6"/>
      <c r="P958" s="6"/>
      <c r="Q958" s="6"/>
      <c r="R958" s="6"/>
      <c r="S958" s="6"/>
      <c r="T958" s="6"/>
      <c r="U958" s="6"/>
      <c r="V958" s="6"/>
      <c r="W958" s="6"/>
      <c r="X958" s="6"/>
      <c r="Y958" s="6"/>
      <c r="Z958" s="6"/>
    </row>
    <row r="959" spans="1:26" ht="31.5" customHeight="1">
      <c r="A959" s="1"/>
      <c r="B959" s="6"/>
      <c r="C959" s="10"/>
      <c r="D959" s="1"/>
      <c r="E959" s="11"/>
      <c r="F959" s="11"/>
      <c r="G959" s="6"/>
      <c r="H959" s="6"/>
      <c r="I959" s="6"/>
      <c r="J959" s="6"/>
      <c r="K959" s="6"/>
      <c r="L959" s="6"/>
      <c r="M959" s="6"/>
      <c r="N959" s="6"/>
      <c r="O959" s="6"/>
      <c r="P959" s="6"/>
      <c r="Q959" s="6"/>
      <c r="R959" s="6"/>
      <c r="S959" s="6"/>
      <c r="T959" s="6"/>
      <c r="U959" s="6"/>
      <c r="V959" s="6"/>
      <c r="W959" s="6"/>
      <c r="X959" s="6"/>
      <c r="Y959" s="6"/>
      <c r="Z959" s="6"/>
    </row>
    <row r="960" spans="1:26" ht="31.5" customHeight="1">
      <c r="A960" s="1"/>
      <c r="B960" s="6"/>
      <c r="C960" s="10"/>
      <c r="D960" s="1"/>
      <c r="E960" s="11"/>
      <c r="F960" s="11"/>
      <c r="G960" s="6"/>
      <c r="H960" s="6"/>
      <c r="I960" s="6"/>
      <c r="J960" s="6"/>
      <c r="K960" s="6"/>
      <c r="L960" s="6"/>
      <c r="M960" s="6"/>
      <c r="N960" s="6"/>
      <c r="O960" s="6"/>
      <c r="P960" s="6"/>
      <c r="Q960" s="6"/>
      <c r="R960" s="6"/>
      <c r="S960" s="6"/>
      <c r="T960" s="6"/>
      <c r="U960" s="6"/>
      <c r="V960" s="6"/>
      <c r="W960" s="6"/>
      <c r="X960" s="6"/>
      <c r="Y960" s="6"/>
      <c r="Z960" s="6"/>
    </row>
    <row r="961" spans="1:26" ht="31.5" customHeight="1">
      <c r="A961" s="1"/>
      <c r="B961" s="6"/>
      <c r="C961" s="10"/>
      <c r="D961" s="1"/>
      <c r="E961" s="11"/>
      <c r="F961" s="11"/>
      <c r="G961" s="6"/>
      <c r="H961" s="6"/>
      <c r="I961" s="6"/>
      <c r="J961" s="6"/>
      <c r="K961" s="6"/>
      <c r="L961" s="6"/>
      <c r="M961" s="6"/>
      <c r="N961" s="6"/>
      <c r="O961" s="6"/>
      <c r="P961" s="6"/>
      <c r="Q961" s="6"/>
      <c r="R961" s="6"/>
      <c r="S961" s="6"/>
      <c r="T961" s="6"/>
      <c r="U961" s="6"/>
      <c r="V961" s="6"/>
      <c r="W961" s="6"/>
      <c r="X961" s="6"/>
      <c r="Y961" s="6"/>
      <c r="Z961" s="6"/>
    </row>
    <row r="962" spans="1:26" ht="31.5" customHeight="1">
      <c r="A962" s="1"/>
      <c r="B962" s="6"/>
      <c r="C962" s="10"/>
      <c r="D962" s="1"/>
      <c r="E962" s="11"/>
      <c r="F962" s="11"/>
      <c r="G962" s="6"/>
      <c r="H962" s="6"/>
      <c r="I962" s="6"/>
      <c r="J962" s="6"/>
      <c r="K962" s="6"/>
      <c r="L962" s="6"/>
      <c r="M962" s="6"/>
      <c r="N962" s="6"/>
      <c r="O962" s="6"/>
      <c r="P962" s="6"/>
      <c r="Q962" s="6"/>
      <c r="R962" s="6"/>
      <c r="S962" s="6"/>
      <c r="T962" s="6"/>
      <c r="U962" s="6"/>
      <c r="V962" s="6"/>
      <c r="W962" s="6"/>
      <c r="X962" s="6"/>
      <c r="Y962" s="6"/>
      <c r="Z962" s="6"/>
    </row>
    <row r="963" spans="1:26" ht="31.5" customHeight="1">
      <c r="A963" s="1"/>
      <c r="B963" s="6"/>
      <c r="C963" s="10"/>
      <c r="D963" s="1"/>
      <c r="E963" s="11"/>
      <c r="F963" s="11"/>
      <c r="G963" s="6"/>
      <c r="H963" s="6"/>
      <c r="I963" s="6"/>
      <c r="J963" s="6"/>
      <c r="K963" s="6"/>
      <c r="L963" s="6"/>
      <c r="M963" s="6"/>
      <c r="N963" s="6"/>
      <c r="O963" s="6"/>
      <c r="P963" s="6"/>
      <c r="Q963" s="6"/>
      <c r="R963" s="6"/>
      <c r="S963" s="6"/>
      <c r="T963" s="6"/>
      <c r="U963" s="6"/>
      <c r="V963" s="6"/>
      <c r="W963" s="6"/>
      <c r="X963" s="6"/>
      <c r="Y963" s="6"/>
      <c r="Z963" s="6"/>
    </row>
    <row r="964" spans="1:26" ht="31.5" customHeight="1">
      <c r="A964" s="1"/>
      <c r="B964" s="6"/>
      <c r="C964" s="10"/>
      <c r="D964" s="1"/>
      <c r="E964" s="11"/>
      <c r="F964" s="11"/>
      <c r="G964" s="6"/>
      <c r="H964" s="6"/>
      <c r="I964" s="6"/>
      <c r="J964" s="6"/>
      <c r="K964" s="6"/>
      <c r="L964" s="6"/>
      <c r="M964" s="6"/>
      <c r="N964" s="6"/>
      <c r="O964" s="6"/>
      <c r="P964" s="6"/>
      <c r="Q964" s="6"/>
      <c r="R964" s="6"/>
      <c r="S964" s="6"/>
      <c r="T964" s="6"/>
      <c r="U964" s="6"/>
      <c r="V964" s="6"/>
      <c r="W964" s="6"/>
      <c r="X964" s="6"/>
      <c r="Y964" s="6"/>
      <c r="Z964" s="6"/>
    </row>
    <row r="965" spans="1:26" ht="31.5" customHeight="1">
      <c r="A965" s="1"/>
      <c r="B965" s="6"/>
      <c r="C965" s="10"/>
      <c r="D965" s="1"/>
      <c r="E965" s="11"/>
      <c r="F965" s="11"/>
      <c r="G965" s="6"/>
      <c r="H965" s="6"/>
      <c r="I965" s="6"/>
      <c r="J965" s="6"/>
      <c r="K965" s="6"/>
      <c r="L965" s="6"/>
      <c r="M965" s="6"/>
      <c r="N965" s="6"/>
      <c r="O965" s="6"/>
      <c r="P965" s="6"/>
      <c r="Q965" s="6"/>
      <c r="R965" s="6"/>
      <c r="S965" s="6"/>
      <c r="T965" s="6"/>
      <c r="U965" s="6"/>
      <c r="V965" s="6"/>
      <c r="W965" s="6"/>
      <c r="X965" s="6"/>
      <c r="Y965" s="6"/>
      <c r="Z965" s="6"/>
    </row>
    <row r="966" spans="1:26" ht="31.5" customHeight="1">
      <c r="A966" s="1"/>
      <c r="B966" s="6"/>
      <c r="C966" s="10"/>
      <c r="D966" s="1"/>
      <c r="E966" s="11"/>
      <c r="F966" s="11"/>
      <c r="G966" s="6"/>
      <c r="H966" s="6"/>
      <c r="I966" s="6"/>
      <c r="J966" s="6"/>
      <c r="K966" s="6"/>
      <c r="L966" s="6"/>
      <c r="M966" s="6"/>
      <c r="N966" s="6"/>
      <c r="O966" s="6"/>
      <c r="P966" s="6"/>
      <c r="Q966" s="6"/>
      <c r="R966" s="6"/>
      <c r="S966" s="6"/>
      <c r="T966" s="6"/>
      <c r="U966" s="6"/>
      <c r="V966" s="6"/>
      <c r="W966" s="6"/>
      <c r="X966" s="6"/>
      <c r="Y966" s="6"/>
      <c r="Z966" s="6"/>
    </row>
    <row r="967" spans="1:26" ht="31.5" customHeight="1">
      <c r="A967" s="1"/>
      <c r="B967" s="6"/>
      <c r="C967" s="10"/>
      <c r="D967" s="1"/>
      <c r="E967" s="11"/>
      <c r="F967" s="11"/>
      <c r="G967" s="6"/>
      <c r="H967" s="6"/>
      <c r="I967" s="6"/>
      <c r="J967" s="6"/>
      <c r="K967" s="6"/>
      <c r="L967" s="6"/>
      <c r="M967" s="6"/>
      <c r="N967" s="6"/>
      <c r="O967" s="6"/>
      <c r="P967" s="6"/>
      <c r="Q967" s="6"/>
      <c r="R967" s="6"/>
      <c r="S967" s="6"/>
      <c r="T967" s="6"/>
      <c r="U967" s="6"/>
      <c r="V967" s="6"/>
      <c r="W967" s="6"/>
      <c r="X967" s="6"/>
      <c r="Y967" s="6"/>
      <c r="Z967" s="6"/>
    </row>
    <row r="968" spans="1:26" ht="31.5" customHeight="1">
      <c r="A968" s="1"/>
      <c r="B968" s="6"/>
      <c r="C968" s="10"/>
      <c r="D968" s="1"/>
      <c r="E968" s="11"/>
      <c r="F968" s="11"/>
      <c r="G968" s="6"/>
      <c r="H968" s="6"/>
      <c r="I968" s="6"/>
      <c r="J968" s="6"/>
      <c r="K968" s="6"/>
      <c r="L968" s="6"/>
      <c r="M968" s="6"/>
      <c r="N968" s="6"/>
      <c r="O968" s="6"/>
      <c r="P968" s="6"/>
      <c r="Q968" s="6"/>
      <c r="R968" s="6"/>
      <c r="S968" s="6"/>
      <c r="T968" s="6"/>
      <c r="U968" s="6"/>
      <c r="V968" s="6"/>
      <c r="W968" s="6"/>
      <c r="X968" s="6"/>
      <c r="Y968" s="6"/>
      <c r="Z968" s="6"/>
    </row>
    <row r="969" spans="1:26" ht="31.5" customHeight="1">
      <c r="A969" s="1"/>
      <c r="B969" s="6"/>
      <c r="C969" s="10"/>
      <c r="D969" s="1"/>
      <c r="E969" s="11"/>
      <c r="F969" s="11"/>
      <c r="G969" s="6"/>
      <c r="H969" s="6"/>
      <c r="I969" s="6"/>
      <c r="J969" s="6"/>
      <c r="K969" s="6"/>
      <c r="L969" s="6"/>
      <c r="M969" s="6"/>
      <c r="N969" s="6"/>
      <c r="O969" s="6"/>
      <c r="P969" s="6"/>
      <c r="Q969" s="6"/>
      <c r="R969" s="6"/>
      <c r="S969" s="6"/>
      <c r="T969" s="6"/>
      <c r="U969" s="6"/>
      <c r="V969" s="6"/>
      <c r="W969" s="6"/>
      <c r="X969" s="6"/>
      <c r="Y969" s="6"/>
      <c r="Z969" s="6"/>
    </row>
    <row r="970" spans="1:26" ht="31.5" customHeight="1">
      <c r="A970" s="1"/>
      <c r="B970" s="6"/>
      <c r="C970" s="10"/>
      <c r="D970" s="1"/>
      <c r="E970" s="11"/>
      <c r="F970" s="11"/>
      <c r="G970" s="6"/>
      <c r="H970" s="6"/>
      <c r="I970" s="6"/>
      <c r="J970" s="6"/>
      <c r="K970" s="6"/>
      <c r="L970" s="6"/>
      <c r="M970" s="6"/>
      <c r="N970" s="6"/>
      <c r="O970" s="6"/>
      <c r="P970" s="6"/>
      <c r="Q970" s="6"/>
      <c r="R970" s="6"/>
      <c r="S970" s="6"/>
      <c r="T970" s="6"/>
      <c r="U970" s="6"/>
      <c r="V970" s="6"/>
      <c r="W970" s="6"/>
      <c r="X970" s="6"/>
      <c r="Y970" s="6"/>
      <c r="Z970" s="6"/>
    </row>
    <row r="971" spans="1:26" ht="31.5" customHeight="1">
      <c r="A971" s="1"/>
      <c r="B971" s="6"/>
      <c r="C971" s="10"/>
      <c r="D971" s="1"/>
      <c r="E971" s="11"/>
      <c r="F971" s="11"/>
      <c r="G971" s="6"/>
      <c r="H971" s="6"/>
      <c r="I971" s="6"/>
      <c r="J971" s="6"/>
      <c r="K971" s="6"/>
      <c r="L971" s="6"/>
      <c r="M971" s="6"/>
      <c r="N971" s="6"/>
      <c r="O971" s="6"/>
      <c r="P971" s="6"/>
      <c r="Q971" s="6"/>
      <c r="R971" s="6"/>
      <c r="S971" s="6"/>
      <c r="T971" s="6"/>
      <c r="U971" s="6"/>
      <c r="V971" s="6"/>
      <c r="W971" s="6"/>
      <c r="X971" s="6"/>
      <c r="Y971" s="6"/>
      <c r="Z971" s="6"/>
    </row>
    <row r="972" spans="1:26" ht="31.5" customHeight="1">
      <c r="A972" s="1"/>
      <c r="B972" s="6"/>
      <c r="C972" s="10"/>
      <c r="D972" s="1"/>
      <c r="E972" s="11"/>
      <c r="F972" s="11"/>
      <c r="G972" s="6"/>
      <c r="H972" s="6"/>
      <c r="I972" s="6"/>
      <c r="J972" s="6"/>
      <c r="K972" s="6"/>
      <c r="L972" s="6"/>
      <c r="M972" s="6"/>
      <c r="N972" s="6"/>
      <c r="O972" s="6"/>
      <c r="P972" s="6"/>
      <c r="Q972" s="6"/>
      <c r="R972" s="6"/>
      <c r="S972" s="6"/>
      <c r="T972" s="6"/>
      <c r="U972" s="6"/>
      <c r="V972" s="6"/>
      <c r="W972" s="6"/>
      <c r="X972" s="6"/>
      <c r="Y972" s="6"/>
      <c r="Z972" s="6"/>
    </row>
    <row r="973" spans="1:26" ht="31.5" customHeight="1">
      <c r="A973" s="1"/>
      <c r="B973" s="6"/>
      <c r="C973" s="10"/>
      <c r="D973" s="1"/>
      <c r="E973" s="11"/>
      <c r="F973" s="11"/>
      <c r="G973" s="6"/>
      <c r="H973" s="6"/>
      <c r="I973" s="6"/>
      <c r="J973" s="6"/>
      <c r="K973" s="6"/>
      <c r="L973" s="6"/>
      <c r="M973" s="6"/>
      <c r="N973" s="6"/>
      <c r="O973" s="6"/>
      <c r="P973" s="6"/>
      <c r="Q973" s="6"/>
      <c r="R973" s="6"/>
      <c r="S973" s="6"/>
      <c r="T973" s="6"/>
      <c r="U973" s="6"/>
      <c r="V973" s="6"/>
      <c r="W973" s="6"/>
      <c r="X973" s="6"/>
      <c r="Y973" s="6"/>
      <c r="Z973" s="6"/>
    </row>
    <row r="974" spans="1:26" ht="31.5" customHeight="1">
      <c r="A974" s="1"/>
      <c r="B974" s="6"/>
      <c r="C974" s="10"/>
      <c r="D974" s="1"/>
      <c r="E974" s="11"/>
      <c r="F974" s="11"/>
      <c r="G974" s="6"/>
      <c r="H974" s="6"/>
      <c r="I974" s="6"/>
      <c r="J974" s="6"/>
      <c r="K974" s="6"/>
      <c r="L974" s="6"/>
      <c r="M974" s="6"/>
      <c r="N974" s="6"/>
      <c r="O974" s="6"/>
      <c r="P974" s="6"/>
      <c r="Q974" s="6"/>
      <c r="R974" s="6"/>
      <c r="S974" s="6"/>
      <c r="T974" s="6"/>
      <c r="U974" s="6"/>
      <c r="V974" s="6"/>
      <c r="W974" s="6"/>
      <c r="X974" s="6"/>
      <c r="Y974" s="6"/>
      <c r="Z974" s="6"/>
    </row>
    <row r="975" spans="1:26" ht="31.5" customHeight="1">
      <c r="A975" s="1"/>
      <c r="B975" s="6"/>
      <c r="C975" s="10"/>
      <c r="D975" s="1"/>
      <c r="E975" s="11"/>
      <c r="F975" s="11"/>
      <c r="G975" s="6"/>
      <c r="H975" s="6"/>
      <c r="I975" s="6"/>
      <c r="J975" s="6"/>
      <c r="K975" s="6"/>
      <c r="L975" s="6"/>
      <c r="M975" s="6"/>
      <c r="N975" s="6"/>
      <c r="O975" s="6"/>
      <c r="P975" s="6"/>
      <c r="Q975" s="6"/>
      <c r="R975" s="6"/>
      <c r="S975" s="6"/>
      <c r="T975" s="6"/>
      <c r="U975" s="6"/>
      <c r="V975" s="6"/>
      <c r="W975" s="6"/>
      <c r="X975" s="6"/>
      <c r="Y975" s="6"/>
      <c r="Z975" s="6"/>
    </row>
    <row r="976" spans="1:26" ht="31.5" customHeight="1">
      <c r="A976" s="1"/>
      <c r="B976" s="6"/>
      <c r="C976" s="10"/>
      <c r="D976" s="1"/>
      <c r="E976" s="11"/>
      <c r="F976" s="11"/>
      <c r="G976" s="6"/>
      <c r="H976" s="6"/>
      <c r="I976" s="6"/>
      <c r="J976" s="6"/>
      <c r="K976" s="6"/>
      <c r="L976" s="6"/>
      <c r="M976" s="6"/>
      <c r="N976" s="6"/>
      <c r="O976" s="6"/>
      <c r="P976" s="6"/>
      <c r="Q976" s="6"/>
      <c r="R976" s="6"/>
      <c r="S976" s="6"/>
      <c r="T976" s="6"/>
      <c r="U976" s="6"/>
      <c r="V976" s="6"/>
      <c r="W976" s="6"/>
      <c r="X976" s="6"/>
      <c r="Y976" s="6"/>
      <c r="Z976" s="6"/>
    </row>
    <row r="977" spans="1:26" ht="31.5" customHeight="1">
      <c r="A977" s="1"/>
      <c r="B977" s="6"/>
      <c r="C977" s="10"/>
      <c r="D977" s="1"/>
      <c r="E977" s="11"/>
      <c r="F977" s="11"/>
      <c r="G977" s="6"/>
      <c r="H977" s="6"/>
      <c r="I977" s="6"/>
      <c r="J977" s="6"/>
      <c r="K977" s="6"/>
      <c r="L977" s="6"/>
      <c r="M977" s="6"/>
      <c r="N977" s="6"/>
      <c r="O977" s="6"/>
      <c r="P977" s="6"/>
      <c r="Q977" s="6"/>
      <c r="R977" s="6"/>
      <c r="S977" s="6"/>
      <c r="T977" s="6"/>
      <c r="U977" s="6"/>
      <c r="V977" s="6"/>
      <c r="W977" s="6"/>
      <c r="X977" s="6"/>
      <c r="Y977" s="6"/>
      <c r="Z977" s="6"/>
    </row>
    <row r="978" spans="1:26" ht="31.5" customHeight="1">
      <c r="A978" s="1"/>
      <c r="B978" s="6"/>
      <c r="C978" s="10"/>
      <c r="D978" s="1"/>
      <c r="E978" s="11"/>
      <c r="F978" s="11"/>
      <c r="G978" s="6"/>
      <c r="H978" s="6"/>
      <c r="I978" s="6"/>
      <c r="J978" s="6"/>
      <c r="K978" s="6"/>
      <c r="L978" s="6"/>
      <c r="M978" s="6"/>
      <c r="N978" s="6"/>
      <c r="O978" s="6"/>
      <c r="P978" s="6"/>
      <c r="Q978" s="6"/>
      <c r="R978" s="6"/>
      <c r="S978" s="6"/>
      <c r="T978" s="6"/>
      <c r="U978" s="6"/>
      <c r="V978" s="6"/>
      <c r="W978" s="6"/>
      <c r="X978" s="6"/>
      <c r="Y978" s="6"/>
      <c r="Z978" s="6"/>
    </row>
    <row r="979" spans="1:26" ht="31.5" customHeight="1">
      <c r="A979" s="1"/>
      <c r="B979" s="6"/>
      <c r="C979" s="10"/>
      <c r="D979" s="1"/>
      <c r="E979" s="11"/>
      <c r="F979" s="11"/>
      <c r="G979" s="6"/>
      <c r="H979" s="6"/>
      <c r="I979" s="6"/>
      <c r="J979" s="6"/>
      <c r="K979" s="6"/>
      <c r="L979" s="6"/>
      <c r="M979" s="6"/>
      <c r="N979" s="6"/>
      <c r="O979" s="6"/>
      <c r="P979" s="6"/>
      <c r="Q979" s="6"/>
      <c r="R979" s="6"/>
      <c r="S979" s="6"/>
      <c r="T979" s="6"/>
      <c r="U979" s="6"/>
      <c r="V979" s="6"/>
      <c r="W979" s="6"/>
      <c r="X979" s="6"/>
      <c r="Y979" s="6"/>
      <c r="Z979" s="6"/>
    </row>
    <row r="980" spans="1:26" ht="31.5" customHeight="1">
      <c r="A980" s="1"/>
      <c r="B980" s="6"/>
      <c r="C980" s="10"/>
      <c r="D980" s="1"/>
      <c r="E980" s="11"/>
      <c r="F980" s="11"/>
      <c r="G980" s="6"/>
      <c r="H980" s="6"/>
      <c r="I980" s="6"/>
      <c r="J980" s="6"/>
      <c r="K980" s="6"/>
      <c r="L980" s="6"/>
      <c r="M980" s="6"/>
      <c r="N980" s="6"/>
      <c r="O980" s="6"/>
      <c r="P980" s="6"/>
      <c r="Q980" s="6"/>
      <c r="R980" s="6"/>
      <c r="S980" s="6"/>
      <c r="T980" s="6"/>
      <c r="U980" s="6"/>
      <c r="V980" s="6"/>
      <c r="W980" s="6"/>
      <c r="X980" s="6"/>
      <c r="Y980" s="6"/>
      <c r="Z980" s="6"/>
    </row>
    <row r="981" spans="1:26" ht="31.5" customHeight="1">
      <c r="A981" s="1"/>
      <c r="B981" s="6"/>
      <c r="C981" s="10"/>
      <c r="D981" s="1"/>
      <c r="E981" s="11"/>
      <c r="F981" s="11"/>
      <c r="G981" s="6"/>
      <c r="H981" s="6"/>
      <c r="I981" s="6"/>
      <c r="J981" s="6"/>
      <c r="K981" s="6"/>
      <c r="L981" s="6"/>
      <c r="M981" s="6"/>
      <c r="N981" s="6"/>
      <c r="O981" s="6"/>
      <c r="P981" s="6"/>
      <c r="Q981" s="6"/>
      <c r="R981" s="6"/>
      <c r="S981" s="6"/>
      <c r="T981" s="6"/>
      <c r="U981" s="6"/>
      <c r="V981" s="6"/>
      <c r="W981" s="6"/>
      <c r="X981" s="6"/>
      <c r="Y981" s="6"/>
      <c r="Z981" s="6"/>
    </row>
    <row r="982" spans="1:26" ht="31.5" customHeight="1">
      <c r="A982" s="1"/>
      <c r="B982" s="6"/>
      <c r="C982" s="10"/>
      <c r="D982" s="1"/>
      <c r="E982" s="11"/>
      <c r="F982" s="11"/>
      <c r="G982" s="6"/>
      <c r="H982" s="6"/>
      <c r="I982" s="6"/>
      <c r="J982" s="6"/>
      <c r="K982" s="6"/>
      <c r="L982" s="6"/>
      <c r="M982" s="6"/>
      <c r="N982" s="6"/>
      <c r="O982" s="6"/>
      <c r="P982" s="6"/>
      <c r="Q982" s="6"/>
      <c r="R982" s="6"/>
      <c r="S982" s="6"/>
      <c r="T982" s="6"/>
      <c r="U982" s="6"/>
      <c r="V982" s="6"/>
      <c r="W982" s="6"/>
      <c r="X982" s="6"/>
      <c r="Y982" s="6"/>
      <c r="Z982" s="6"/>
    </row>
    <row r="983" spans="1:26" ht="31.5" customHeight="1">
      <c r="A983" s="1"/>
      <c r="B983" s="6"/>
      <c r="C983" s="10"/>
      <c r="D983" s="1"/>
      <c r="E983" s="11"/>
      <c r="F983" s="11"/>
      <c r="G983" s="6"/>
      <c r="H983" s="6"/>
      <c r="I983" s="6"/>
      <c r="J983" s="6"/>
      <c r="K983" s="6"/>
      <c r="L983" s="6"/>
      <c r="M983" s="6"/>
      <c r="N983" s="6"/>
      <c r="O983" s="6"/>
      <c r="P983" s="6"/>
      <c r="Q983" s="6"/>
      <c r="R983" s="6"/>
      <c r="S983" s="6"/>
      <c r="T983" s="6"/>
      <c r="U983" s="6"/>
      <c r="V983" s="6"/>
      <c r="W983" s="6"/>
      <c r="X983" s="6"/>
      <c r="Y983" s="6"/>
      <c r="Z983" s="6"/>
    </row>
    <row r="984" spans="1:26" ht="31.5" customHeight="1">
      <c r="A984" s="1"/>
      <c r="B984" s="6"/>
      <c r="C984" s="10"/>
      <c r="D984" s="1"/>
      <c r="E984" s="11"/>
      <c r="F984" s="11"/>
      <c r="G984" s="6"/>
      <c r="H984" s="6"/>
      <c r="I984" s="6"/>
      <c r="J984" s="6"/>
      <c r="K984" s="6"/>
      <c r="L984" s="6"/>
      <c r="M984" s="6"/>
      <c r="N984" s="6"/>
      <c r="O984" s="6"/>
      <c r="P984" s="6"/>
      <c r="Q984" s="6"/>
      <c r="R984" s="6"/>
      <c r="S984" s="6"/>
      <c r="T984" s="6"/>
      <c r="U984" s="6"/>
      <c r="V984" s="6"/>
      <c r="W984" s="6"/>
      <c r="X984" s="6"/>
      <c r="Y984" s="6"/>
      <c r="Z984" s="6"/>
    </row>
    <row r="985" spans="1:26" ht="31.5" customHeight="1">
      <c r="A985" s="1"/>
      <c r="B985" s="6"/>
      <c r="C985" s="10"/>
      <c r="D985" s="1"/>
      <c r="E985" s="11"/>
      <c r="F985" s="11"/>
      <c r="G985" s="6"/>
      <c r="H985" s="6"/>
      <c r="I985" s="6"/>
      <c r="J985" s="6"/>
      <c r="K985" s="6"/>
      <c r="L985" s="6"/>
      <c r="M985" s="6"/>
      <c r="N985" s="6"/>
      <c r="O985" s="6"/>
      <c r="P985" s="6"/>
      <c r="Q985" s="6"/>
      <c r="R985" s="6"/>
      <c r="S985" s="6"/>
      <c r="T985" s="6"/>
      <c r="U985" s="6"/>
      <c r="V985" s="6"/>
      <c r="W985" s="6"/>
      <c r="X985" s="6"/>
      <c r="Y985" s="6"/>
      <c r="Z985" s="6"/>
    </row>
    <row r="986" spans="1:26" ht="31.5" customHeight="1">
      <c r="A986" s="1"/>
      <c r="B986" s="6"/>
      <c r="C986" s="10"/>
      <c r="D986" s="1"/>
      <c r="E986" s="11"/>
      <c r="F986" s="11"/>
      <c r="G986" s="6"/>
      <c r="H986" s="6"/>
      <c r="I986" s="6"/>
      <c r="J986" s="6"/>
      <c r="K986" s="6"/>
      <c r="L986" s="6"/>
      <c r="M986" s="6"/>
      <c r="N986" s="6"/>
      <c r="O986" s="6"/>
      <c r="P986" s="6"/>
      <c r="Q986" s="6"/>
      <c r="R986" s="6"/>
      <c r="S986" s="6"/>
      <c r="T986" s="6"/>
      <c r="U986" s="6"/>
      <c r="V986" s="6"/>
      <c r="W986" s="6"/>
      <c r="X986" s="6"/>
      <c r="Y986" s="6"/>
      <c r="Z986" s="6"/>
    </row>
    <row r="987" spans="1:26" ht="31.5" customHeight="1">
      <c r="A987" s="1"/>
      <c r="B987" s="6"/>
      <c r="C987" s="10"/>
      <c r="D987" s="1"/>
      <c r="E987" s="11"/>
      <c r="F987" s="11"/>
      <c r="G987" s="6"/>
      <c r="H987" s="6"/>
      <c r="I987" s="6"/>
      <c r="J987" s="6"/>
      <c r="K987" s="6"/>
      <c r="L987" s="6"/>
      <c r="M987" s="6"/>
      <c r="N987" s="6"/>
      <c r="O987" s="6"/>
      <c r="P987" s="6"/>
      <c r="Q987" s="6"/>
      <c r="R987" s="6"/>
      <c r="S987" s="6"/>
      <c r="T987" s="6"/>
      <c r="U987" s="6"/>
      <c r="V987" s="6"/>
      <c r="W987" s="6"/>
      <c r="X987" s="6"/>
      <c r="Y987" s="6"/>
      <c r="Z987" s="6"/>
    </row>
    <row r="988" spans="1:26" ht="31.5" customHeight="1">
      <c r="A988" s="1"/>
      <c r="B988" s="6"/>
      <c r="C988" s="10"/>
      <c r="D988" s="1"/>
      <c r="E988" s="11"/>
      <c r="F988" s="11"/>
      <c r="G988" s="6"/>
      <c r="H988" s="6"/>
      <c r="I988" s="6"/>
      <c r="J988" s="6"/>
      <c r="K988" s="6"/>
      <c r="L988" s="6"/>
      <c r="M988" s="6"/>
      <c r="N988" s="6"/>
      <c r="O988" s="6"/>
      <c r="P988" s="6"/>
      <c r="Q988" s="6"/>
      <c r="R988" s="6"/>
      <c r="S988" s="6"/>
      <c r="T988" s="6"/>
      <c r="U988" s="6"/>
      <c r="V988" s="6"/>
      <c r="W988" s="6"/>
      <c r="X988" s="6"/>
      <c r="Y988" s="6"/>
      <c r="Z988" s="6"/>
    </row>
    <row r="989" spans="1:26" ht="31.5" customHeight="1">
      <c r="A989" s="1"/>
      <c r="B989" s="6"/>
      <c r="C989" s="10"/>
      <c r="D989" s="1"/>
      <c r="E989" s="11"/>
      <c r="F989" s="11"/>
      <c r="G989" s="6"/>
      <c r="H989" s="6"/>
      <c r="I989" s="6"/>
      <c r="J989" s="6"/>
      <c r="K989" s="6"/>
      <c r="L989" s="6"/>
      <c r="M989" s="6"/>
      <c r="N989" s="6"/>
      <c r="O989" s="6"/>
      <c r="P989" s="6"/>
      <c r="Q989" s="6"/>
      <c r="R989" s="6"/>
      <c r="S989" s="6"/>
      <c r="T989" s="6"/>
      <c r="U989" s="6"/>
      <c r="V989" s="6"/>
      <c r="W989" s="6"/>
      <c r="X989" s="6"/>
      <c r="Y989" s="6"/>
      <c r="Z989" s="6"/>
    </row>
    <row r="990" spans="1:26" ht="31.5" customHeight="1">
      <c r="A990" s="1"/>
      <c r="B990" s="6"/>
      <c r="C990" s="10"/>
      <c r="D990" s="1"/>
      <c r="E990" s="11"/>
      <c r="F990" s="11"/>
      <c r="G990" s="6"/>
      <c r="H990" s="6"/>
      <c r="I990" s="6"/>
      <c r="J990" s="6"/>
      <c r="K990" s="6"/>
      <c r="L990" s="6"/>
      <c r="M990" s="6"/>
      <c r="N990" s="6"/>
      <c r="O990" s="6"/>
      <c r="P990" s="6"/>
      <c r="Q990" s="6"/>
      <c r="R990" s="6"/>
      <c r="S990" s="6"/>
      <c r="T990" s="6"/>
      <c r="U990" s="6"/>
      <c r="V990" s="6"/>
      <c r="W990" s="6"/>
      <c r="X990" s="6"/>
      <c r="Y990" s="6"/>
      <c r="Z990" s="6"/>
    </row>
    <row r="991" spans="1:26" ht="31.5" customHeight="1">
      <c r="A991" s="1"/>
      <c r="B991" s="6"/>
      <c r="C991" s="10"/>
      <c r="D991" s="1"/>
      <c r="E991" s="11"/>
      <c r="F991" s="11"/>
      <c r="G991" s="6"/>
      <c r="H991" s="6"/>
      <c r="I991" s="6"/>
      <c r="J991" s="6"/>
      <c r="K991" s="6"/>
      <c r="L991" s="6"/>
      <c r="M991" s="6"/>
      <c r="N991" s="6"/>
      <c r="O991" s="6"/>
      <c r="P991" s="6"/>
      <c r="Q991" s="6"/>
      <c r="R991" s="6"/>
      <c r="S991" s="6"/>
      <c r="T991" s="6"/>
      <c r="U991" s="6"/>
      <c r="V991" s="6"/>
      <c r="W991" s="6"/>
      <c r="X991" s="6"/>
      <c r="Y991" s="6"/>
      <c r="Z991" s="6"/>
    </row>
    <row r="992" spans="1:26" ht="31.5" customHeight="1">
      <c r="A992" s="1"/>
      <c r="B992" s="6"/>
      <c r="C992" s="10"/>
      <c r="D992" s="1"/>
      <c r="E992" s="11"/>
      <c r="F992" s="11"/>
      <c r="G992" s="6"/>
      <c r="H992" s="6"/>
      <c r="I992" s="6"/>
      <c r="J992" s="6"/>
      <c r="K992" s="6"/>
      <c r="L992" s="6"/>
      <c r="M992" s="6"/>
      <c r="N992" s="6"/>
      <c r="O992" s="6"/>
      <c r="P992" s="6"/>
      <c r="Q992" s="6"/>
      <c r="R992" s="6"/>
      <c r="S992" s="6"/>
      <c r="T992" s="6"/>
      <c r="U992" s="6"/>
      <c r="V992" s="6"/>
      <c r="W992" s="6"/>
      <c r="X992" s="6"/>
      <c r="Y992" s="6"/>
      <c r="Z992" s="6"/>
    </row>
    <row r="993" spans="1:26" ht="31.5" customHeight="1">
      <c r="A993" s="1"/>
      <c r="B993" s="6"/>
      <c r="C993" s="10"/>
      <c r="D993" s="1"/>
      <c r="E993" s="11"/>
      <c r="F993" s="11"/>
      <c r="G993" s="6"/>
      <c r="H993" s="6"/>
      <c r="I993" s="6"/>
      <c r="J993" s="6"/>
      <c r="K993" s="6"/>
      <c r="L993" s="6"/>
      <c r="M993" s="6"/>
      <c r="N993" s="6"/>
      <c r="O993" s="6"/>
      <c r="P993" s="6"/>
      <c r="Q993" s="6"/>
      <c r="R993" s="6"/>
      <c r="S993" s="6"/>
      <c r="T993" s="6"/>
      <c r="U993" s="6"/>
      <c r="V993" s="6"/>
      <c r="W993" s="6"/>
      <c r="X993" s="6"/>
      <c r="Y993" s="6"/>
      <c r="Z993" s="6"/>
    </row>
    <row r="994" spans="1:26" ht="31.5" customHeight="1">
      <c r="A994" s="1"/>
      <c r="B994" s="6"/>
      <c r="C994" s="10"/>
      <c r="D994" s="1"/>
      <c r="E994" s="11"/>
      <c r="F994" s="11"/>
      <c r="G994" s="6"/>
      <c r="H994" s="6"/>
      <c r="I994" s="6"/>
      <c r="J994" s="6"/>
      <c r="K994" s="6"/>
      <c r="L994" s="6"/>
      <c r="M994" s="6"/>
      <c r="N994" s="6"/>
      <c r="O994" s="6"/>
      <c r="P994" s="6"/>
      <c r="Q994" s="6"/>
      <c r="R994" s="6"/>
      <c r="S994" s="6"/>
      <c r="T994" s="6"/>
      <c r="U994" s="6"/>
      <c r="V994" s="6"/>
      <c r="W994" s="6"/>
      <c r="X994" s="6"/>
      <c r="Y994" s="6"/>
      <c r="Z994" s="6"/>
    </row>
    <row r="995" spans="1:26" ht="31.5" customHeight="1">
      <c r="A995" s="1"/>
      <c r="B995" s="6"/>
      <c r="C995" s="10"/>
      <c r="D995" s="1"/>
      <c r="E995" s="11"/>
      <c r="F995" s="11"/>
      <c r="G995" s="6"/>
      <c r="H995" s="6"/>
      <c r="I995" s="6"/>
      <c r="J995" s="6"/>
      <c r="K995" s="6"/>
      <c r="L995" s="6"/>
      <c r="M995" s="6"/>
      <c r="N995" s="6"/>
      <c r="O995" s="6"/>
      <c r="P995" s="6"/>
      <c r="Q995" s="6"/>
      <c r="R995" s="6"/>
      <c r="S995" s="6"/>
      <c r="T995" s="6"/>
      <c r="U995" s="6"/>
      <c r="V995" s="6"/>
      <c r="W995" s="6"/>
      <c r="X995" s="6"/>
      <c r="Y995" s="6"/>
      <c r="Z995" s="6"/>
    </row>
    <row r="996" spans="1:26" ht="31.5" customHeight="1">
      <c r="A996" s="1"/>
      <c r="B996" s="6"/>
      <c r="C996" s="10"/>
      <c r="D996" s="1"/>
      <c r="E996" s="11"/>
      <c r="F996" s="11"/>
      <c r="G996" s="6"/>
      <c r="H996" s="6"/>
      <c r="I996" s="6"/>
      <c r="J996" s="6"/>
      <c r="K996" s="6"/>
      <c r="L996" s="6"/>
      <c r="M996" s="6"/>
      <c r="N996" s="6"/>
      <c r="O996" s="6"/>
      <c r="P996" s="6"/>
      <c r="Q996" s="6"/>
      <c r="R996" s="6"/>
      <c r="S996" s="6"/>
      <c r="T996" s="6"/>
      <c r="U996" s="6"/>
      <c r="V996" s="6"/>
      <c r="W996" s="6"/>
      <c r="X996" s="6"/>
      <c r="Y996" s="6"/>
      <c r="Z996" s="6"/>
    </row>
    <row r="997" spans="1:26" ht="31.5" customHeight="1">
      <c r="A997" s="1"/>
      <c r="B997" s="6"/>
      <c r="C997" s="10"/>
      <c r="D997" s="1"/>
      <c r="E997" s="11"/>
      <c r="F997" s="11"/>
      <c r="G997" s="6"/>
      <c r="H997" s="6"/>
      <c r="I997" s="6"/>
      <c r="J997" s="6"/>
      <c r="K997" s="6"/>
      <c r="L997" s="6"/>
      <c r="M997" s="6"/>
      <c r="N997" s="6"/>
      <c r="O997" s="6"/>
      <c r="P997" s="6"/>
      <c r="Q997" s="6"/>
      <c r="R997" s="6"/>
      <c r="S997" s="6"/>
      <c r="T997" s="6"/>
      <c r="U997" s="6"/>
      <c r="V997" s="6"/>
      <c r="W997" s="6"/>
      <c r="X997" s="6"/>
      <c r="Y997" s="6"/>
      <c r="Z997" s="6"/>
    </row>
    <row r="998" spans="1:26" ht="31.5" customHeight="1">
      <c r="A998" s="1"/>
      <c r="B998" s="6"/>
      <c r="C998" s="10"/>
      <c r="D998" s="1"/>
      <c r="E998" s="11"/>
      <c r="F998" s="11"/>
      <c r="G998" s="6"/>
      <c r="H998" s="6"/>
      <c r="I998" s="6"/>
      <c r="J998" s="6"/>
      <c r="K998" s="6"/>
      <c r="L998" s="6"/>
      <c r="M998" s="6"/>
      <c r="N998" s="6"/>
      <c r="O998" s="6"/>
      <c r="P998" s="6"/>
      <c r="Q998" s="6"/>
      <c r="R998" s="6"/>
      <c r="S998" s="6"/>
      <c r="T998" s="6"/>
      <c r="U998" s="6"/>
      <c r="V998" s="6"/>
      <c r="W998" s="6"/>
      <c r="X998" s="6"/>
      <c r="Y998" s="6"/>
      <c r="Z998" s="6"/>
    </row>
  </sheetData>
  <mergeCells count="2">
    <mergeCell ref="B17:F17"/>
    <mergeCell ref="B11:F11"/>
  </mergeCells>
  <pageMargins left="0.70866141732283472" right="0.70866141732283472" top="0.74803149606299213" bottom="0.74803149606299213" header="0" footer="0"/>
  <pageSetup paperSize="9" scale="58" fitToHeight="0" orientation="portrait"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pageSetUpPr fitToPage="1"/>
  </sheetPr>
  <dimension ref="A1:F979"/>
  <sheetViews>
    <sheetView tabSelected="1" view="pageBreakPreview" topLeftCell="A31" zoomScale="104" zoomScaleNormal="68" workbookViewId="0">
      <selection activeCell="D41" sqref="D41"/>
    </sheetView>
  </sheetViews>
  <sheetFormatPr defaultColWidth="14.44140625" defaultRowHeight="15" customHeight="1"/>
  <cols>
    <col min="1" max="1" width="14.33203125" style="9" customWidth="1"/>
    <col min="2" max="2" width="80.44140625" style="9" customWidth="1"/>
    <col min="3" max="3" width="26.33203125" style="9" customWidth="1"/>
    <col min="4" max="4" width="31.77734375" style="50" customWidth="1"/>
  </cols>
  <sheetData>
    <row r="1" spans="1:6" ht="21" customHeight="1">
      <c r="A1" s="21" t="s">
        <v>3</v>
      </c>
      <c r="B1" s="21"/>
      <c r="C1" s="22"/>
      <c r="D1" s="23"/>
      <c r="E1" s="24"/>
      <c r="F1" s="24"/>
    </row>
    <row r="2" spans="1:6" ht="21" customHeight="1">
      <c r="A2" s="21" t="s">
        <v>4</v>
      </c>
      <c r="B2" s="21"/>
      <c r="C2" s="22"/>
      <c r="D2" s="25"/>
      <c r="E2" s="24"/>
      <c r="F2" s="24"/>
    </row>
    <row r="3" spans="1:6" ht="21" customHeight="1">
      <c r="A3" s="21" t="s">
        <v>5</v>
      </c>
      <c r="B3" s="21"/>
      <c r="C3" s="22"/>
      <c r="D3" s="23"/>
      <c r="E3" s="24"/>
      <c r="F3" s="24"/>
    </row>
    <row r="4" spans="1:6" ht="21" customHeight="1" thickBot="1">
      <c r="A4" s="26" t="str">
        <f>'Cover Page '!F23</f>
        <v>DATE:9/30/2026</v>
      </c>
      <c r="B4" s="26"/>
      <c r="C4" s="22"/>
      <c r="D4" s="23"/>
      <c r="E4" s="24"/>
      <c r="F4" s="24"/>
    </row>
    <row r="5" spans="1:6" ht="23.25" customHeight="1" thickBot="1">
      <c r="A5" s="27" t="s">
        <v>6</v>
      </c>
      <c r="B5" s="28" t="s">
        <v>7</v>
      </c>
      <c r="C5" s="29"/>
      <c r="D5" s="30" t="s">
        <v>8</v>
      </c>
      <c r="E5" s="31"/>
      <c r="F5" s="31"/>
    </row>
    <row r="6" spans="1:6" ht="14.25" customHeight="1">
      <c r="A6" s="32"/>
      <c r="B6" s="33"/>
      <c r="C6" s="34"/>
      <c r="D6" s="103"/>
      <c r="E6" s="24"/>
      <c r="F6" s="24"/>
    </row>
    <row r="7" spans="1:6" ht="21.6" customHeight="1">
      <c r="A7" s="32" t="s">
        <v>9</v>
      </c>
      <c r="B7" s="35" t="s">
        <v>10</v>
      </c>
      <c r="C7" s="36"/>
      <c r="D7" s="103">
        <f>'PRELIMS &amp; GEN. ITEMS'!F40</f>
        <v>6123000</v>
      </c>
      <c r="E7" s="24"/>
      <c r="F7" s="24"/>
    </row>
    <row r="8" spans="1:6" ht="21.6" customHeight="1">
      <c r="A8" s="32"/>
      <c r="B8" s="35"/>
      <c r="C8" s="35"/>
      <c r="D8" s="103"/>
      <c r="E8" s="24"/>
      <c r="F8" s="24"/>
    </row>
    <row r="9" spans="1:6" ht="21.6" customHeight="1">
      <c r="A9" s="32" t="s">
        <v>11</v>
      </c>
      <c r="B9" s="35" t="s">
        <v>12</v>
      </c>
      <c r="C9" s="37"/>
      <c r="D9" s="103">
        <f>SUBSTRUCTURE!F19</f>
        <v>11462307.832500001</v>
      </c>
      <c r="E9" s="24"/>
      <c r="F9" s="24"/>
    </row>
    <row r="10" spans="1:6" ht="21.6" customHeight="1">
      <c r="A10" s="32"/>
      <c r="B10" s="35"/>
      <c r="C10" s="35"/>
      <c r="D10" s="103"/>
      <c r="E10" s="24"/>
      <c r="F10" s="24"/>
    </row>
    <row r="11" spans="1:6" ht="21.6" customHeight="1">
      <c r="A11" s="32" t="s">
        <v>13</v>
      </c>
      <c r="B11" s="35" t="s">
        <v>14</v>
      </c>
      <c r="C11" s="37"/>
      <c r="D11" s="103">
        <f>'GROUND FLR '!F25</f>
        <v>3564210.3404634208</v>
      </c>
      <c r="E11" s="24"/>
      <c r="F11" s="24"/>
    </row>
    <row r="12" spans="1:6" ht="21.6" customHeight="1">
      <c r="A12" s="32"/>
      <c r="B12" s="35"/>
      <c r="C12" s="35"/>
      <c r="D12" s="103"/>
      <c r="E12" s="24"/>
      <c r="F12" s="24"/>
    </row>
    <row r="13" spans="1:6" ht="21.6" customHeight="1">
      <c r="A13" s="32" t="s">
        <v>15</v>
      </c>
      <c r="B13" s="35" t="s">
        <v>16</v>
      </c>
      <c r="C13" s="37"/>
      <c r="D13" s="103">
        <f>'1ST FLR '!F25</f>
        <v>3329563.052625</v>
      </c>
      <c r="E13" s="24"/>
      <c r="F13" s="24"/>
    </row>
    <row r="14" spans="1:6" ht="21.6" customHeight="1">
      <c r="A14" s="32"/>
      <c r="B14" s="35"/>
      <c r="C14" s="35"/>
      <c r="D14" s="103"/>
      <c r="E14" s="24"/>
      <c r="F14" s="24"/>
    </row>
    <row r="15" spans="1:6" ht="21.6" customHeight="1">
      <c r="A15" s="32" t="s">
        <v>17</v>
      </c>
      <c r="B15" s="35" t="s">
        <v>18</v>
      </c>
      <c r="C15" s="37"/>
      <c r="D15" s="103">
        <f>'2ND FLR'!F25</f>
        <v>4022915.6845</v>
      </c>
      <c r="E15" s="24"/>
      <c r="F15" s="24"/>
    </row>
    <row r="16" spans="1:6" ht="21.6" customHeight="1">
      <c r="A16" s="32"/>
      <c r="B16" s="35"/>
      <c r="C16" s="35"/>
      <c r="D16" s="103"/>
      <c r="E16" s="24"/>
      <c r="F16" s="24"/>
    </row>
    <row r="17" spans="1:6" ht="21.6" customHeight="1">
      <c r="A17" s="32" t="s">
        <v>19</v>
      </c>
      <c r="B17" s="35" t="s">
        <v>20</v>
      </c>
      <c r="C17" s="37"/>
      <c r="D17" s="103">
        <f>'3RD FLR'!F25</f>
        <v>4846104.7299605263</v>
      </c>
      <c r="E17" s="24"/>
      <c r="F17" s="24"/>
    </row>
    <row r="18" spans="1:6" ht="21.6" customHeight="1">
      <c r="A18" s="32"/>
      <c r="B18" s="35"/>
      <c r="C18" s="35"/>
      <c r="D18" s="103"/>
      <c r="E18" s="24"/>
      <c r="F18" s="24"/>
    </row>
    <row r="19" spans="1:6" ht="21.6" customHeight="1">
      <c r="A19" s="32" t="s">
        <v>21</v>
      </c>
      <c r="B19" s="35" t="s">
        <v>22</v>
      </c>
      <c r="C19" s="37"/>
      <c r="D19" s="103">
        <f>'4TH FLR '!F25</f>
        <v>4493131.5046414472</v>
      </c>
      <c r="E19" s="24"/>
      <c r="F19" s="24"/>
    </row>
    <row r="20" spans="1:6" ht="21.6" customHeight="1">
      <c r="A20" s="32"/>
      <c r="B20" s="35"/>
      <c r="C20" s="35"/>
      <c r="D20" s="103"/>
      <c r="E20" s="24"/>
      <c r="F20" s="24"/>
    </row>
    <row r="21" spans="1:6" ht="21.6" customHeight="1">
      <c r="A21" s="32" t="s">
        <v>23</v>
      </c>
      <c r="B21" s="35" t="s">
        <v>24</v>
      </c>
      <c r="C21" s="37"/>
      <c r="D21" s="103">
        <f>'5TH FLR '!F25</f>
        <v>4413966.7708815783</v>
      </c>
      <c r="E21" s="24"/>
      <c r="F21" s="24"/>
    </row>
    <row r="22" spans="1:6" ht="21.6" customHeight="1">
      <c r="A22" s="32"/>
      <c r="B22" s="35"/>
      <c r="C22" s="35"/>
      <c r="D22" s="103"/>
      <c r="E22" s="24"/>
      <c r="F22" s="24"/>
    </row>
    <row r="23" spans="1:6" ht="21.6" customHeight="1">
      <c r="A23" s="32" t="s">
        <v>25</v>
      </c>
      <c r="B23" s="35" t="s">
        <v>26</v>
      </c>
      <c r="C23" s="37"/>
      <c r="D23" s="103">
        <f>'6TH FLR  '!F25</f>
        <v>4486311.697671053</v>
      </c>
      <c r="E23" s="24"/>
      <c r="F23" s="24"/>
    </row>
    <row r="24" spans="1:6" ht="21.6" customHeight="1">
      <c r="A24" s="32"/>
      <c r="B24" s="35"/>
      <c r="C24" s="35"/>
      <c r="D24" s="103"/>
      <c r="E24" s="24"/>
      <c r="F24" s="24"/>
    </row>
    <row r="25" spans="1:6" ht="21.6" customHeight="1">
      <c r="A25" s="32" t="s">
        <v>27</v>
      </c>
      <c r="B25" s="35" t="s">
        <v>28</v>
      </c>
      <c r="C25" s="37"/>
      <c r="D25" s="103">
        <f>'7TH FLR   '!F25</f>
        <v>4431733.9025592105</v>
      </c>
      <c r="E25" s="24"/>
      <c r="F25" s="24"/>
    </row>
    <row r="26" spans="1:6" ht="21.6" customHeight="1">
      <c r="A26" s="32"/>
      <c r="B26" s="35"/>
      <c r="C26" s="35"/>
      <c r="D26" s="103"/>
      <c r="E26" s="24"/>
      <c r="F26" s="24"/>
    </row>
    <row r="27" spans="1:6" ht="21.6" customHeight="1">
      <c r="A27" s="32" t="s">
        <v>29</v>
      </c>
      <c r="B27" s="35" t="s">
        <v>30</v>
      </c>
      <c r="C27" s="37"/>
      <c r="D27" s="103">
        <f>'8TH FLR   '!F25</f>
        <v>4427887.6777401306</v>
      </c>
      <c r="E27" s="24"/>
      <c r="F27" s="24"/>
    </row>
    <row r="28" spans="1:6" ht="21.6" customHeight="1">
      <c r="A28" s="32"/>
      <c r="B28" s="35"/>
      <c r="C28" s="35"/>
      <c r="D28" s="103"/>
      <c r="E28" s="24"/>
      <c r="F28" s="24"/>
    </row>
    <row r="29" spans="1:6" ht="21.6" customHeight="1">
      <c r="A29" s="32" t="s">
        <v>31</v>
      </c>
      <c r="B29" s="35" t="s">
        <v>32</v>
      </c>
      <c r="C29" s="35"/>
      <c r="D29" s="103">
        <f>'9TH FLR    '!F27</f>
        <v>4096981.5438421047</v>
      </c>
      <c r="E29" s="24"/>
      <c r="F29" s="24"/>
    </row>
    <row r="30" spans="1:6" ht="21.6" customHeight="1">
      <c r="A30" s="32"/>
      <c r="B30" s="35"/>
      <c r="C30" s="35"/>
      <c r="D30" s="103"/>
      <c r="E30" s="24"/>
      <c r="F30" s="24"/>
    </row>
    <row r="31" spans="1:6" ht="21.6" customHeight="1">
      <c r="A31" s="32" t="s">
        <v>33</v>
      </c>
      <c r="B31" s="35" t="s">
        <v>34</v>
      </c>
      <c r="C31" s="35"/>
      <c r="D31" s="103">
        <f>'10TH FLR   '!F25</f>
        <v>3426769.8664013152</v>
      </c>
      <c r="E31" s="24"/>
      <c r="F31" s="24"/>
    </row>
    <row r="32" spans="1:6" ht="21.6" customHeight="1">
      <c r="A32" s="32"/>
      <c r="B32" s="35"/>
      <c r="C32" s="35"/>
      <c r="D32" s="103"/>
      <c r="E32" s="24"/>
      <c r="F32" s="24"/>
    </row>
    <row r="33" spans="1:6" ht="21.6" customHeight="1">
      <c r="A33" s="32" t="s">
        <v>35</v>
      </c>
      <c r="B33" s="35" t="s">
        <v>36</v>
      </c>
      <c r="C33" s="35"/>
      <c r="D33" s="103">
        <f>'11TH FLR'!F27</f>
        <v>2622767.3519407893</v>
      </c>
      <c r="E33" s="24"/>
      <c r="F33" s="24"/>
    </row>
    <row r="34" spans="1:6" ht="21.6" customHeight="1">
      <c r="A34" s="32"/>
      <c r="B34" s="35"/>
      <c r="C34" s="35"/>
      <c r="D34" s="103"/>
      <c r="E34" s="24"/>
      <c r="F34" s="24"/>
    </row>
    <row r="35" spans="1:6" ht="21.6" customHeight="1">
      <c r="A35" s="32" t="s">
        <v>37</v>
      </c>
      <c r="B35" s="35" t="s">
        <v>38</v>
      </c>
      <c r="C35" s="35"/>
      <c r="D35" s="103">
        <f>'12TH FLR '!F19</f>
        <v>532030.671875</v>
      </c>
      <c r="E35" s="24"/>
      <c r="F35" s="24"/>
    </row>
    <row r="36" spans="1:6" ht="21.6" customHeight="1">
      <c r="A36" s="95"/>
      <c r="B36" s="96"/>
      <c r="C36" s="38"/>
      <c r="D36" s="104"/>
      <c r="E36" s="24"/>
      <c r="F36" s="24"/>
    </row>
    <row r="37" spans="1:6" ht="21.6" customHeight="1">
      <c r="A37" s="32" t="s">
        <v>39</v>
      </c>
      <c r="B37" s="35" t="s">
        <v>40</v>
      </c>
      <c r="C37" s="40"/>
      <c r="D37" s="105">
        <f>'LIFTS &amp; PS'!F17</f>
        <v>4354000</v>
      </c>
      <c r="E37" s="24"/>
      <c r="F37" s="24"/>
    </row>
    <row r="38" spans="1:6" s="9" customFormat="1" ht="21.6" customHeight="1">
      <c r="A38" s="131"/>
      <c r="B38" s="35"/>
      <c r="C38" s="132"/>
      <c r="D38" s="103"/>
      <c r="E38" s="24"/>
      <c r="F38" s="24"/>
    </row>
    <row r="39" spans="1:6" ht="21.6" customHeight="1">
      <c r="A39" s="41"/>
      <c r="B39" s="42" t="s">
        <v>41</v>
      </c>
      <c r="C39" s="43" t="s">
        <v>8</v>
      </c>
      <c r="D39" s="106">
        <f>SUM(D6:D37)</f>
        <v>70633682.627601594</v>
      </c>
      <c r="E39" s="24"/>
      <c r="F39" s="24"/>
    </row>
    <row r="40" spans="1:6" ht="21.6" customHeight="1">
      <c r="A40" s="44"/>
      <c r="B40" s="35"/>
      <c r="C40" s="34"/>
      <c r="D40" s="103"/>
      <c r="E40" s="24"/>
      <c r="F40" s="24"/>
    </row>
    <row r="41" spans="1:6" ht="21.6" customHeight="1">
      <c r="A41" s="45"/>
      <c r="B41" s="39"/>
      <c r="C41" s="40"/>
      <c r="D41" s="105"/>
      <c r="E41" s="24"/>
      <c r="F41" s="24"/>
    </row>
    <row r="42" spans="1:6" ht="21.6" customHeight="1">
      <c r="A42" s="44"/>
      <c r="B42" s="97" t="s">
        <v>42</v>
      </c>
      <c r="C42" s="98">
        <v>0.2</v>
      </c>
      <c r="D42" s="106">
        <f>D39*C42</f>
        <v>14126736.525520319</v>
      </c>
      <c r="E42" s="24"/>
      <c r="F42" s="24"/>
    </row>
    <row r="43" spans="1:6" ht="21.6" customHeight="1">
      <c r="A43" s="101"/>
      <c r="B43" s="102"/>
      <c r="C43" s="102"/>
      <c r="D43" s="107"/>
      <c r="E43" s="24"/>
      <c r="F43" s="24"/>
    </row>
    <row r="44" spans="1:6" ht="21.6" customHeight="1">
      <c r="A44" s="99"/>
      <c r="B44" s="100" t="s">
        <v>43</v>
      </c>
      <c r="C44" s="43" t="s">
        <v>8</v>
      </c>
      <c r="D44" s="108">
        <f>D42+D39</f>
        <v>84760419.153121918</v>
      </c>
      <c r="E44" s="24"/>
      <c r="F44" s="24"/>
    </row>
    <row r="45" spans="1:6" ht="21.6" customHeight="1" thickBot="1">
      <c r="A45" s="46"/>
      <c r="B45" s="47"/>
      <c r="C45" s="48"/>
      <c r="D45" s="49"/>
      <c r="E45" s="24"/>
      <c r="F45" s="24"/>
    </row>
    <row r="46" spans="1:6" ht="14.25" customHeight="1" thickTop="1">
      <c r="A46" s="24"/>
      <c r="B46" s="24"/>
      <c r="C46" s="24"/>
      <c r="D46" s="23"/>
      <c r="E46" s="24"/>
      <c r="F46" s="24"/>
    </row>
    <row r="47" spans="1:6" ht="14.25" customHeight="1">
      <c r="A47" s="24"/>
      <c r="B47" s="24"/>
      <c r="C47" s="24"/>
      <c r="D47" s="23"/>
      <c r="E47" s="24"/>
      <c r="F47" s="24"/>
    </row>
    <row r="48" spans="1:6" ht="14.25" customHeight="1">
      <c r="A48" s="24"/>
      <c r="B48" s="24"/>
      <c r="C48" s="24"/>
      <c r="D48" s="23"/>
      <c r="E48" s="24"/>
      <c r="F48" s="24"/>
    </row>
    <row r="49" spans="1:6" ht="14.25" customHeight="1">
      <c r="A49" s="24"/>
      <c r="B49" s="24"/>
      <c r="C49" s="24"/>
      <c r="D49" s="23"/>
      <c r="E49" s="24"/>
      <c r="F49" s="24"/>
    </row>
    <row r="50" spans="1:6" ht="14.25" customHeight="1">
      <c r="A50" s="24"/>
      <c r="B50" s="24"/>
      <c r="C50" s="24"/>
      <c r="D50" s="23"/>
      <c r="E50" s="24"/>
      <c r="F50" s="24"/>
    </row>
    <row r="51" spans="1:6" ht="14.25" customHeight="1">
      <c r="A51" s="24"/>
      <c r="B51" s="24"/>
      <c r="C51" s="24"/>
      <c r="D51" s="23"/>
      <c r="E51" s="24"/>
      <c r="F51" s="24"/>
    </row>
    <row r="52" spans="1:6" ht="14.25" customHeight="1">
      <c r="A52" s="24"/>
      <c r="B52" s="24"/>
      <c r="C52" s="24"/>
      <c r="D52" s="23"/>
      <c r="E52" s="24"/>
      <c r="F52" s="24"/>
    </row>
    <row r="53" spans="1:6" ht="14.25" customHeight="1">
      <c r="A53" s="24"/>
      <c r="B53" s="24"/>
      <c r="C53" s="24"/>
      <c r="D53" s="23"/>
      <c r="E53" s="24"/>
      <c r="F53" s="24"/>
    </row>
    <row r="54" spans="1:6" ht="14.25" customHeight="1">
      <c r="A54" s="24"/>
      <c r="B54" s="24"/>
      <c r="C54" s="24"/>
      <c r="D54" s="23"/>
      <c r="E54" s="24"/>
      <c r="F54" s="24"/>
    </row>
    <row r="55" spans="1:6" ht="14.25" customHeight="1">
      <c r="A55" s="24"/>
      <c r="B55" s="24"/>
      <c r="C55" s="24"/>
      <c r="D55" s="23"/>
      <c r="E55" s="24"/>
      <c r="F55" s="24"/>
    </row>
    <row r="56" spans="1:6" ht="14.25" customHeight="1">
      <c r="A56" s="24"/>
      <c r="B56" s="24"/>
      <c r="C56" s="24"/>
      <c r="D56" s="23"/>
      <c r="E56" s="24"/>
      <c r="F56" s="24"/>
    </row>
    <row r="57" spans="1:6" ht="14.25" customHeight="1">
      <c r="A57" s="24"/>
      <c r="B57" s="24"/>
      <c r="C57" s="24"/>
      <c r="D57" s="23"/>
      <c r="E57" s="24"/>
      <c r="F57" s="24"/>
    </row>
    <row r="58" spans="1:6" ht="14.25" customHeight="1">
      <c r="A58" s="24"/>
      <c r="B58" s="24"/>
      <c r="C58" s="24"/>
      <c r="D58" s="23"/>
      <c r="E58" s="24"/>
      <c r="F58" s="24"/>
    </row>
    <row r="59" spans="1:6" ht="14.25" customHeight="1">
      <c r="A59" s="24"/>
      <c r="B59" s="24"/>
      <c r="C59" s="24"/>
      <c r="D59" s="23"/>
      <c r="E59" s="24"/>
      <c r="F59" s="24"/>
    </row>
    <row r="60" spans="1:6" ht="14.25" customHeight="1">
      <c r="A60" s="24"/>
      <c r="B60" s="24"/>
      <c r="C60" s="24"/>
      <c r="D60" s="23"/>
      <c r="E60" s="24"/>
      <c r="F60" s="24"/>
    </row>
    <row r="61" spans="1:6" ht="14.25" customHeight="1">
      <c r="A61" s="24"/>
      <c r="B61" s="24"/>
      <c r="C61" s="24"/>
      <c r="D61" s="23"/>
      <c r="E61" s="24"/>
      <c r="F61" s="24"/>
    </row>
    <row r="62" spans="1:6" ht="14.25" customHeight="1">
      <c r="A62" s="24"/>
      <c r="B62" s="24"/>
      <c r="C62" s="24"/>
      <c r="D62" s="23"/>
      <c r="E62" s="24"/>
      <c r="F62" s="24"/>
    </row>
    <row r="63" spans="1:6" ht="14.25" customHeight="1">
      <c r="A63" s="24"/>
      <c r="B63" s="24"/>
      <c r="C63" s="24"/>
      <c r="D63" s="23"/>
      <c r="E63" s="24"/>
      <c r="F63" s="24"/>
    </row>
    <row r="64" spans="1:6" ht="14.25" customHeight="1">
      <c r="A64" s="24"/>
      <c r="B64" s="24"/>
      <c r="C64" s="24"/>
      <c r="D64" s="23"/>
      <c r="E64" s="24"/>
      <c r="F64" s="24"/>
    </row>
    <row r="65" spans="1:6" ht="14.25" customHeight="1">
      <c r="A65" s="24"/>
      <c r="B65" s="24"/>
      <c r="C65" s="24"/>
      <c r="D65" s="23"/>
      <c r="E65" s="24"/>
      <c r="F65" s="24"/>
    </row>
    <row r="66" spans="1:6" ht="14.25" customHeight="1">
      <c r="A66" s="24"/>
      <c r="B66" s="24"/>
      <c r="C66" s="24"/>
      <c r="D66" s="23"/>
      <c r="E66" s="24"/>
      <c r="F66" s="24"/>
    </row>
    <row r="67" spans="1:6" ht="14.25" customHeight="1">
      <c r="A67" s="24"/>
      <c r="B67" s="24"/>
      <c r="C67" s="24"/>
      <c r="D67" s="23"/>
      <c r="E67" s="24"/>
      <c r="F67" s="24"/>
    </row>
    <row r="68" spans="1:6" ht="14.25" customHeight="1">
      <c r="A68" s="24"/>
      <c r="B68" s="24"/>
      <c r="C68" s="24"/>
      <c r="D68" s="23"/>
      <c r="E68" s="24"/>
      <c r="F68" s="24"/>
    </row>
    <row r="69" spans="1:6" ht="14.25" customHeight="1">
      <c r="A69" s="24"/>
      <c r="B69" s="24"/>
      <c r="C69" s="24"/>
      <c r="D69" s="23"/>
      <c r="E69" s="24"/>
      <c r="F69" s="24"/>
    </row>
    <row r="70" spans="1:6" ht="14.25" customHeight="1">
      <c r="A70" s="24"/>
      <c r="B70" s="24"/>
      <c r="C70" s="24"/>
      <c r="D70" s="23"/>
      <c r="E70" s="24"/>
      <c r="F70" s="24"/>
    </row>
    <row r="71" spans="1:6" ht="14.25" customHeight="1">
      <c r="A71" s="24"/>
      <c r="B71" s="24"/>
      <c r="C71" s="24"/>
      <c r="D71" s="23"/>
      <c r="E71" s="24"/>
      <c r="F71" s="24"/>
    </row>
    <row r="72" spans="1:6" ht="14.25" customHeight="1">
      <c r="A72" s="24"/>
      <c r="B72" s="24"/>
      <c r="C72" s="24"/>
      <c r="D72" s="23"/>
      <c r="E72" s="24"/>
      <c r="F72" s="24"/>
    </row>
    <row r="73" spans="1:6" ht="14.25" customHeight="1">
      <c r="A73" s="24"/>
      <c r="B73" s="24"/>
      <c r="C73" s="24"/>
      <c r="D73" s="23"/>
      <c r="E73" s="24"/>
      <c r="F73" s="24"/>
    </row>
    <row r="74" spans="1:6" ht="14.25" customHeight="1">
      <c r="A74" s="24"/>
      <c r="B74" s="24"/>
      <c r="C74" s="24"/>
      <c r="D74" s="23"/>
      <c r="E74" s="24"/>
      <c r="F74" s="24"/>
    </row>
    <row r="75" spans="1:6" ht="14.25" customHeight="1">
      <c r="A75" s="24"/>
      <c r="B75" s="24"/>
      <c r="C75" s="24"/>
      <c r="D75" s="23"/>
      <c r="E75" s="24"/>
      <c r="F75" s="24"/>
    </row>
    <row r="76" spans="1:6" ht="14.25" customHeight="1">
      <c r="A76" s="24"/>
      <c r="B76" s="24"/>
      <c r="C76" s="24"/>
      <c r="D76" s="23"/>
      <c r="E76" s="24"/>
      <c r="F76" s="24"/>
    </row>
    <row r="77" spans="1:6" ht="14.25" customHeight="1">
      <c r="A77" s="24"/>
      <c r="B77" s="24"/>
      <c r="C77" s="24"/>
      <c r="D77" s="23"/>
      <c r="E77" s="24"/>
      <c r="F77" s="24"/>
    </row>
    <row r="78" spans="1:6" ht="14.25" customHeight="1">
      <c r="A78" s="24"/>
      <c r="B78" s="24"/>
      <c r="C78" s="24"/>
      <c r="D78" s="23"/>
      <c r="E78" s="24"/>
      <c r="F78" s="24"/>
    </row>
    <row r="79" spans="1:6" ht="14.25" customHeight="1">
      <c r="A79" s="24"/>
      <c r="B79" s="24"/>
      <c r="C79" s="24"/>
      <c r="D79" s="23"/>
      <c r="E79" s="24"/>
      <c r="F79" s="24"/>
    </row>
    <row r="80" spans="1:6" ht="14.25" customHeight="1">
      <c r="A80" s="24"/>
      <c r="B80" s="24"/>
      <c r="C80" s="24"/>
      <c r="D80" s="23"/>
      <c r="E80" s="24"/>
      <c r="F80" s="24"/>
    </row>
    <row r="81" spans="1:6" ht="14.25" customHeight="1">
      <c r="A81" s="24"/>
      <c r="B81" s="24"/>
      <c r="C81" s="24"/>
      <c r="D81" s="23"/>
      <c r="E81" s="24"/>
      <c r="F81" s="24"/>
    </row>
    <row r="82" spans="1:6" ht="14.25" customHeight="1">
      <c r="A82" s="24"/>
      <c r="B82" s="24"/>
      <c r="C82" s="24"/>
      <c r="D82" s="23"/>
      <c r="E82" s="24"/>
      <c r="F82" s="24"/>
    </row>
    <row r="83" spans="1:6" ht="14.25" customHeight="1">
      <c r="A83" s="24"/>
      <c r="B83" s="24"/>
      <c r="C83" s="24"/>
      <c r="D83" s="23"/>
      <c r="E83" s="24"/>
      <c r="F83" s="24"/>
    </row>
    <row r="84" spans="1:6" ht="14.25" customHeight="1">
      <c r="A84" s="24"/>
      <c r="B84" s="24"/>
      <c r="C84" s="24"/>
      <c r="D84" s="23"/>
      <c r="E84" s="24"/>
      <c r="F84" s="24"/>
    </row>
    <row r="85" spans="1:6" ht="14.25" customHeight="1">
      <c r="A85" s="24"/>
      <c r="B85" s="24"/>
      <c r="C85" s="24"/>
      <c r="D85" s="23"/>
      <c r="E85" s="24"/>
      <c r="F85" s="24"/>
    </row>
    <row r="86" spans="1:6" ht="14.25" customHeight="1">
      <c r="A86" s="24"/>
      <c r="B86" s="24"/>
      <c r="C86" s="24"/>
      <c r="D86" s="23"/>
      <c r="E86" s="24"/>
      <c r="F86" s="24"/>
    </row>
    <row r="87" spans="1:6" ht="14.25" customHeight="1">
      <c r="A87" s="24"/>
      <c r="B87" s="24"/>
      <c r="C87" s="24"/>
      <c r="D87" s="23"/>
      <c r="E87" s="24"/>
      <c r="F87" s="24"/>
    </row>
    <row r="88" spans="1:6" ht="14.25" customHeight="1">
      <c r="A88" s="24"/>
      <c r="B88" s="24"/>
      <c r="C88" s="24"/>
      <c r="D88" s="23"/>
      <c r="E88" s="24"/>
      <c r="F88" s="24"/>
    </row>
    <row r="89" spans="1:6" ht="14.25" customHeight="1">
      <c r="A89" s="24"/>
      <c r="B89" s="24"/>
      <c r="C89" s="24"/>
      <c r="D89" s="23"/>
      <c r="E89" s="24"/>
      <c r="F89" s="24"/>
    </row>
    <row r="90" spans="1:6" ht="14.25" customHeight="1">
      <c r="A90" s="24"/>
      <c r="B90" s="24"/>
      <c r="C90" s="24"/>
      <c r="D90" s="23"/>
      <c r="E90" s="24"/>
      <c r="F90" s="24"/>
    </row>
    <row r="91" spans="1:6" ht="14.25" customHeight="1">
      <c r="A91" s="24"/>
      <c r="B91" s="24"/>
      <c r="C91" s="24"/>
      <c r="D91" s="23"/>
      <c r="E91" s="24"/>
      <c r="F91" s="24"/>
    </row>
    <row r="92" spans="1:6" ht="14.25" customHeight="1">
      <c r="A92" s="24"/>
      <c r="B92" s="24"/>
      <c r="C92" s="24"/>
      <c r="D92" s="23"/>
      <c r="E92" s="24"/>
      <c r="F92" s="24"/>
    </row>
    <row r="93" spans="1:6" ht="14.25" customHeight="1">
      <c r="A93" s="24"/>
      <c r="B93" s="24"/>
      <c r="C93" s="24"/>
      <c r="D93" s="23"/>
      <c r="E93" s="24"/>
      <c r="F93" s="24"/>
    </row>
    <row r="94" spans="1:6" ht="14.25" customHeight="1">
      <c r="A94" s="24"/>
      <c r="B94" s="24"/>
      <c r="C94" s="24"/>
      <c r="D94" s="23"/>
      <c r="E94" s="24"/>
      <c r="F94" s="24"/>
    </row>
    <row r="95" spans="1:6" ht="14.25" customHeight="1">
      <c r="A95" s="24"/>
      <c r="B95" s="24"/>
      <c r="C95" s="24"/>
      <c r="D95" s="23"/>
      <c r="E95" s="24"/>
      <c r="F95" s="24"/>
    </row>
    <row r="96" spans="1:6" ht="14.25" customHeight="1">
      <c r="A96" s="24"/>
      <c r="B96" s="24"/>
      <c r="C96" s="24"/>
      <c r="D96" s="23"/>
      <c r="E96" s="24"/>
      <c r="F96" s="24"/>
    </row>
    <row r="97" spans="1:6" ht="14.25" customHeight="1">
      <c r="A97" s="24"/>
      <c r="B97" s="24"/>
      <c r="C97" s="24"/>
      <c r="D97" s="23"/>
      <c r="E97" s="24"/>
      <c r="F97" s="24"/>
    </row>
    <row r="98" spans="1:6" ht="14.25" customHeight="1">
      <c r="A98" s="24"/>
      <c r="B98" s="24"/>
      <c r="C98" s="24"/>
      <c r="D98" s="23"/>
      <c r="E98" s="24"/>
      <c r="F98" s="24"/>
    </row>
    <row r="99" spans="1:6" ht="14.25" customHeight="1">
      <c r="A99" s="24"/>
      <c r="B99" s="24"/>
      <c r="C99" s="24"/>
      <c r="D99" s="23"/>
      <c r="E99" s="24"/>
      <c r="F99" s="24"/>
    </row>
    <row r="100" spans="1:6" ht="14.25" customHeight="1">
      <c r="A100" s="24"/>
      <c r="B100" s="24"/>
      <c r="C100" s="24"/>
      <c r="D100" s="23"/>
      <c r="E100" s="24"/>
      <c r="F100" s="24"/>
    </row>
    <row r="101" spans="1:6" ht="14.25" customHeight="1">
      <c r="A101" s="24"/>
      <c r="B101" s="24"/>
      <c r="C101" s="24"/>
      <c r="D101" s="23"/>
      <c r="E101" s="24"/>
      <c r="F101" s="24"/>
    </row>
    <row r="102" spans="1:6" ht="14.25" customHeight="1">
      <c r="A102" s="24"/>
      <c r="B102" s="24"/>
      <c r="C102" s="24"/>
      <c r="D102" s="23"/>
      <c r="E102" s="24"/>
      <c r="F102" s="24"/>
    </row>
    <row r="103" spans="1:6" ht="14.25" customHeight="1">
      <c r="A103" s="24"/>
      <c r="B103" s="24"/>
      <c r="C103" s="24"/>
      <c r="D103" s="23"/>
      <c r="E103" s="24"/>
      <c r="F103" s="24"/>
    </row>
    <row r="104" spans="1:6" ht="14.25" customHeight="1">
      <c r="A104" s="24"/>
      <c r="B104" s="24"/>
      <c r="C104" s="24"/>
      <c r="D104" s="23"/>
      <c r="E104" s="24"/>
      <c r="F104" s="24"/>
    </row>
    <row r="105" spans="1:6" ht="14.25" customHeight="1">
      <c r="A105" s="24"/>
      <c r="B105" s="24"/>
      <c r="C105" s="24"/>
      <c r="D105" s="23"/>
      <c r="E105" s="24"/>
      <c r="F105" s="24"/>
    </row>
    <row r="106" spans="1:6" ht="14.25" customHeight="1">
      <c r="A106" s="24"/>
      <c r="B106" s="24"/>
      <c r="C106" s="24"/>
      <c r="D106" s="23"/>
      <c r="E106" s="24"/>
      <c r="F106" s="24"/>
    </row>
    <row r="107" spans="1:6" ht="14.25" customHeight="1">
      <c r="A107" s="24"/>
      <c r="B107" s="24"/>
      <c r="C107" s="24"/>
      <c r="D107" s="23"/>
      <c r="E107" s="24"/>
      <c r="F107" s="24"/>
    </row>
    <row r="108" spans="1:6" ht="14.25" customHeight="1">
      <c r="A108" s="24"/>
      <c r="B108" s="24"/>
      <c r="C108" s="24"/>
      <c r="D108" s="23"/>
      <c r="E108" s="24"/>
      <c r="F108" s="24"/>
    </row>
    <row r="109" spans="1:6" ht="14.25" customHeight="1">
      <c r="A109" s="24"/>
      <c r="B109" s="24"/>
      <c r="C109" s="24"/>
      <c r="D109" s="23"/>
      <c r="E109" s="24"/>
      <c r="F109" s="24"/>
    </row>
    <row r="110" spans="1:6" ht="14.25" customHeight="1">
      <c r="A110" s="24"/>
      <c r="B110" s="24"/>
      <c r="C110" s="24"/>
      <c r="D110" s="23"/>
      <c r="E110" s="24"/>
      <c r="F110" s="24"/>
    </row>
    <row r="111" spans="1:6" ht="14.25" customHeight="1">
      <c r="A111" s="24"/>
      <c r="B111" s="24"/>
      <c r="C111" s="24"/>
      <c r="D111" s="23"/>
      <c r="E111" s="24"/>
      <c r="F111" s="24"/>
    </row>
    <row r="112" spans="1:6" ht="14.25" customHeight="1">
      <c r="A112" s="24"/>
      <c r="B112" s="24"/>
      <c r="C112" s="24"/>
      <c r="D112" s="23"/>
      <c r="E112" s="24"/>
      <c r="F112" s="24"/>
    </row>
    <row r="113" spans="1:6" ht="14.25" customHeight="1">
      <c r="A113" s="24"/>
      <c r="B113" s="24"/>
      <c r="C113" s="24"/>
      <c r="D113" s="23"/>
      <c r="E113" s="24"/>
      <c r="F113" s="24"/>
    </row>
    <row r="114" spans="1:6" ht="14.25" customHeight="1">
      <c r="A114" s="24"/>
      <c r="B114" s="24"/>
      <c r="C114" s="24"/>
      <c r="D114" s="23"/>
      <c r="E114" s="24"/>
      <c r="F114" s="24"/>
    </row>
    <row r="115" spans="1:6" ht="14.25" customHeight="1">
      <c r="A115" s="24"/>
      <c r="B115" s="24"/>
      <c r="C115" s="24"/>
      <c r="D115" s="23"/>
      <c r="E115" s="24"/>
      <c r="F115" s="24"/>
    </row>
    <row r="116" spans="1:6" ht="14.25" customHeight="1">
      <c r="A116" s="24"/>
      <c r="B116" s="24"/>
      <c r="C116" s="24"/>
      <c r="D116" s="23"/>
      <c r="E116" s="24"/>
      <c r="F116" s="24"/>
    </row>
    <row r="117" spans="1:6" ht="14.25" customHeight="1">
      <c r="A117" s="24"/>
      <c r="B117" s="24"/>
      <c r="C117" s="24"/>
      <c r="D117" s="23"/>
      <c r="E117" s="24"/>
      <c r="F117" s="24"/>
    </row>
    <row r="118" spans="1:6" ht="14.25" customHeight="1">
      <c r="A118" s="24"/>
      <c r="B118" s="24"/>
      <c r="C118" s="24"/>
      <c r="D118" s="23"/>
      <c r="E118" s="24"/>
      <c r="F118" s="24"/>
    </row>
    <row r="119" spans="1:6" ht="14.25" customHeight="1">
      <c r="A119" s="24"/>
      <c r="B119" s="24"/>
      <c r="C119" s="24"/>
      <c r="D119" s="23"/>
      <c r="E119" s="24"/>
      <c r="F119" s="24"/>
    </row>
    <row r="120" spans="1:6" ht="14.25" customHeight="1">
      <c r="A120" s="24"/>
      <c r="B120" s="24"/>
      <c r="C120" s="24"/>
      <c r="D120" s="23"/>
      <c r="E120" s="24"/>
      <c r="F120" s="24"/>
    </row>
    <row r="121" spans="1:6" ht="14.25" customHeight="1">
      <c r="A121" s="24"/>
      <c r="B121" s="24"/>
      <c r="C121" s="24"/>
      <c r="D121" s="23"/>
      <c r="E121" s="24"/>
      <c r="F121" s="24"/>
    </row>
    <row r="122" spans="1:6" ht="14.25" customHeight="1">
      <c r="A122" s="24"/>
      <c r="B122" s="24"/>
      <c r="C122" s="24"/>
      <c r="D122" s="23"/>
      <c r="E122" s="24"/>
      <c r="F122" s="24"/>
    </row>
    <row r="123" spans="1:6" ht="14.25" customHeight="1">
      <c r="A123" s="24"/>
      <c r="B123" s="24"/>
      <c r="C123" s="24"/>
      <c r="D123" s="23"/>
      <c r="E123" s="24"/>
      <c r="F123" s="24"/>
    </row>
    <row r="124" spans="1:6" ht="14.25" customHeight="1">
      <c r="A124" s="24"/>
      <c r="B124" s="24"/>
      <c r="C124" s="24"/>
      <c r="D124" s="23"/>
      <c r="E124" s="24"/>
      <c r="F124" s="24"/>
    </row>
    <row r="125" spans="1:6" ht="14.25" customHeight="1">
      <c r="A125" s="24"/>
      <c r="B125" s="24"/>
      <c r="C125" s="24"/>
      <c r="D125" s="23"/>
      <c r="E125" s="24"/>
      <c r="F125" s="24"/>
    </row>
    <row r="126" spans="1:6" ht="14.25" customHeight="1">
      <c r="A126" s="24"/>
      <c r="B126" s="24"/>
      <c r="C126" s="24"/>
      <c r="D126" s="23"/>
      <c r="E126" s="24"/>
      <c r="F126" s="24"/>
    </row>
    <row r="127" spans="1:6" ht="14.25" customHeight="1">
      <c r="A127" s="24"/>
      <c r="B127" s="24"/>
      <c r="C127" s="24"/>
      <c r="D127" s="23"/>
      <c r="E127" s="24"/>
      <c r="F127" s="24"/>
    </row>
    <row r="128" spans="1:6" ht="14.25" customHeight="1">
      <c r="A128" s="24"/>
      <c r="B128" s="24"/>
      <c r="C128" s="24"/>
      <c r="D128" s="23"/>
      <c r="E128" s="24"/>
      <c r="F128" s="24"/>
    </row>
    <row r="129" spans="1:6" ht="14.25" customHeight="1">
      <c r="A129" s="24"/>
      <c r="B129" s="24"/>
      <c r="C129" s="24"/>
      <c r="D129" s="23"/>
      <c r="E129" s="24"/>
      <c r="F129" s="24"/>
    </row>
    <row r="130" spans="1:6" ht="14.25" customHeight="1">
      <c r="A130" s="24"/>
      <c r="B130" s="24"/>
      <c r="C130" s="24"/>
      <c r="D130" s="23"/>
      <c r="E130" s="24"/>
      <c r="F130" s="24"/>
    </row>
    <row r="131" spans="1:6" ht="14.25" customHeight="1">
      <c r="A131" s="24"/>
      <c r="B131" s="24"/>
      <c r="C131" s="24"/>
      <c r="D131" s="23"/>
      <c r="E131" s="24"/>
      <c r="F131" s="24"/>
    </row>
    <row r="132" spans="1:6" ht="14.25" customHeight="1">
      <c r="A132" s="24"/>
      <c r="B132" s="24"/>
      <c r="C132" s="24"/>
      <c r="D132" s="23"/>
      <c r="E132" s="24"/>
      <c r="F132" s="24"/>
    </row>
    <row r="133" spans="1:6" ht="14.25" customHeight="1">
      <c r="A133" s="24"/>
      <c r="B133" s="24"/>
      <c r="C133" s="24"/>
      <c r="D133" s="23"/>
      <c r="E133" s="24"/>
      <c r="F133" s="24"/>
    </row>
    <row r="134" spans="1:6" ht="14.25" customHeight="1">
      <c r="A134" s="24"/>
      <c r="B134" s="24"/>
      <c r="C134" s="24"/>
      <c r="D134" s="23"/>
      <c r="E134" s="24"/>
      <c r="F134" s="24"/>
    </row>
    <row r="135" spans="1:6" ht="14.25" customHeight="1">
      <c r="A135" s="24"/>
      <c r="B135" s="24"/>
      <c r="C135" s="24"/>
      <c r="D135" s="23"/>
      <c r="E135" s="24"/>
      <c r="F135" s="24"/>
    </row>
    <row r="136" spans="1:6" ht="14.25" customHeight="1">
      <c r="A136" s="24"/>
      <c r="B136" s="24"/>
      <c r="C136" s="24"/>
      <c r="D136" s="23"/>
      <c r="E136" s="24"/>
      <c r="F136" s="24"/>
    </row>
    <row r="137" spans="1:6" ht="14.25" customHeight="1">
      <c r="A137" s="24"/>
      <c r="B137" s="24"/>
      <c r="C137" s="24"/>
      <c r="D137" s="23"/>
      <c r="E137" s="24"/>
      <c r="F137" s="24"/>
    </row>
    <row r="138" spans="1:6" ht="14.25" customHeight="1">
      <c r="A138" s="24"/>
      <c r="B138" s="24"/>
      <c r="C138" s="24"/>
      <c r="D138" s="23"/>
      <c r="E138" s="24"/>
      <c r="F138" s="24"/>
    </row>
    <row r="139" spans="1:6" ht="14.25" customHeight="1">
      <c r="A139" s="24"/>
      <c r="B139" s="24"/>
      <c r="C139" s="24"/>
      <c r="D139" s="23"/>
      <c r="E139" s="24"/>
      <c r="F139" s="24"/>
    </row>
    <row r="140" spans="1:6" ht="14.25" customHeight="1">
      <c r="A140" s="24"/>
      <c r="B140" s="24"/>
      <c r="C140" s="24"/>
      <c r="D140" s="23"/>
      <c r="E140" s="24"/>
      <c r="F140" s="24"/>
    </row>
    <row r="141" spans="1:6" ht="14.25" customHeight="1">
      <c r="A141" s="24"/>
      <c r="B141" s="24"/>
      <c r="C141" s="24"/>
      <c r="D141" s="23"/>
      <c r="E141" s="24"/>
      <c r="F141" s="24"/>
    </row>
    <row r="142" spans="1:6" ht="14.25" customHeight="1">
      <c r="A142" s="24"/>
      <c r="B142" s="24"/>
      <c r="C142" s="24"/>
      <c r="D142" s="23"/>
      <c r="E142" s="24"/>
      <c r="F142" s="24"/>
    </row>
    <row r="143" spans="1:6" ht="14.25" customHeight="1">
      <c r="A143" s="24"/>
      <c r="B143" s="24"/>
      <c r="C143" s="24"/>
      <c r="D143" s="23"/>
      <c r="E143" s="24"/>
      <c r="F143" s="24"/>
    </row>
    <row r="144" spans="1:6" ht="14.25" customHeight="1">
      <c r="A144" s="24"/>
      <c r="B144" s="24"/>
      <c r="C144" s="24"/>
      <c r="D144" s="23"/>
      <c r="E144" s="24"/>
      <c r="F144" s="24"/>
    </row>
    <row r="145" spans="1:6" ht="14.25" customHeight="1">
      <c r="A145" s="24"/>
      <c r="B145" s="24"/>
      <c r="C145" s="24"/>
      <c r="D145" s="23"/>
      <c r="E145" s="24"/>
      <c r="F145" s="24"/>
    </row>
    <row r="146" spans="1:6" ht="14.25" customHeight="1">
      <c r="A146" s="24"/>
      <c r="B146" s="24"/>
      <c r="C146" s="24"/>
      <c r="D146" s="23"/>
      <c r="E146" s="24"/>
      <c r="F146" s="24"/>
    </row>
    <row r="147" spans="1:6" ht="14.25" customHeight="1">
      <c r="A147" s="24"/>
      <c r="B147" s="24"/>
      <c r="C147" s="24"/>
      <c r="D147" s="23"/>
      <c r="E147" s="24"/>
      <c r="F147" s="24"/>
    </row>
    <row r="148" spans="1:6" ht="14.25" customHeight="1">
      <c r="A148" s="24"/>
      <c r="B148" s="24"/>
      <c r="C148" s="24"/>
      <c r="D148" s="23"/>
      <c r="E148" s="24"/>
      <c r="F148" s="24"/>
    </row>
    <row r="149" spans="1:6" ht="14.25" customHeight="1">
      <c r="A149" s="24"/>
      <c r="B149" s="24"/>
      <c r="C149" s="24"/>
      <c r="D149" s="23"/>
      <c r="E149" s="24"/>
      <c r="F149" s="24"/>
    </row>
    <row r="150" spans="1:6" ht="14.25" customHeight="1">
      <c r="A150" s="24"/>
      <c r="B150" s="24"/>
      <c r="C150" s="24"/>
      <c r="D150" s="23"/>
      <c r="E150" s="24"/>
      <c r="F150" s="24"/>
    </row>
    <row r="151" spans="1:6" ht="14.25" customHeight="1">
      <c r="A151" s="24"/>
      <c r="B151" s="24"/>
      <c r="C151" s="24"/>
      <c r="D151" s="23"/>
      <c r="E151" s="24"/>
      <c r="F151" s="24"/>
    </row>
    <row r="152" spans="1:6" ht="14.25" customHeight="1">
      <c r="A152" s="24"/>
      <c r="B152" s="24"/>
      <c r="C152" s="24"/>
      <c r="D152" s="23"/>
      <c r="E152" s="24"/>
      <c r="F152" s="24"/>
    </row>
    <row r="153" spans="1:6" ht="14.25" customHeight="1">
      <c r="A153" s="24"/>
      <c r="B153" s="24"/>
      <c r="C153" s="24"/>
      <c r="D153" s="23"/>
      <c r="E153" s="24"/>
      <c r="F153" s="24"/>
    </row>
    <row r="154" spans="1:6" ht="14.25" customHeight="1">
      <c r="A154" s="24"/>
      <c r="B154" s="24"/>
      <c r="C154" s="24"/>
      <c r="D154" s="23"/>
      <c r="E154" s="24"/>
      <c r="F154" s="24"/>
    </row>
    <row r="155" spans="1:6" ht="14.25" customHeight="1">
      <c r="A155" s="24"/>
      <c r="B155" s="24"/>
      <c r="C155" s="24"/>
      <c r="D155" s="23"/>
      <c r="E155" s="24"/>
      <c r="F155" s="24"/>
    </row>
    <row r="156" spans="1:6" ht="14.25" customHeight="1">
      <c r="A156" s="24"/>
      <c r="B156" s="24"/>
      <c r="C156" s="24"/>
      <c r="D156" s="23"/>
      <c r="E156" s="24"/>
      <c r="F156" s="24"/>
    </row>
    <row r="157" spans="1:6" ht="14.25" customHeight="1">
      <c r="A157" s="24"/>
      <c r="B157" s="24"/>
      <c r="C157" s="24"/>
      <c r="D157" s="23"/>
      <c r="E157" s="24"/>
      <c r="F157" s="24"/>
    </row>
    <row r="158" spans="1:6" ht="14.25" customHeight="1">
      <c r="A158" s="24"/>
      <c r="B158" s="24"/>
      <c r="C158" s="24"/>
      <c r="D158" s="23"/>
      <c r="E158" s="24"/>
      <c r="F158" s="24"/>
    </row>
    <row r="159" spans="1:6" ht="14.25" customHeight="1">
      <c r="A159" s="24"/>
      <c r="B159" s="24"/>
      <c r="C159" s="24"/>
      <c r="D159" s="23"/>
      <c r="E159" s="24"/>
      <c r="F159" s="24"/>
    </row>
    <row r="160" spans="1:6" ht="14.25" customHeight="1">
      <c r="A160" s="24"/>
      <c r="B160" s="24"/>
      <c r="C160" s="24"/>
      <c r="D160" s="23"/>
      <c r="E160" s="24"/>
      <c r="F160" s="24"/>
    </row>
    <row r="161" spans="1:6" ht="14.25" customHeight="1">
      <c r="A161" s="24"/>
      <c r="B161" s="24"/>
      <c r="C161" s="24"/>
      <c r="D161" s="23"/>
      <c r="E161" s="24"/>
      <c r="F161" s="24"/>
    </row>
    <row r="162" spans="1:6" ht="14.25" customHeight="1">
      <c r="A162" s="24"/>
      <c r="B162" s="24"/>
      <c r="C162" s="24"/>
      <c r="D162" s="23"/>
      <c r="E162" s="24"/>
      <c r="F162" s="24"/>
    </row>
    <row r="163" spans="1:6" ht="14.25" customHeight="1">
      <c r="A163" s="24"/>
      <c r="B163" s="24"/>
      <c r="C163" s="24"/>
      <c r="D163" s="23"/>
      <c r="E163" s="24"/>
      <c r="F163" s="24"/>
    </row>
    <row r="164" spans="1:6" ht="14.25" customHeight="1">
      <c r="A164" s="24"/>
      <c r="B164" s="24"/>
      <c r="C164" s="24"/>
      <c r="D164" s="23"/>
      <c r="E164" s="24"/>
      <c r="F164" s="24"/>
    </row>
    <row r="165" spans="1:6" ht="14.25" customHeight="1">
      <c r="A165" s="24"/>
      <c r="B165" s="24"/>
      <c r="C165" s="24"/>
      <c r="D165" s="23"/>
      <c r="E165" s="24"/>
      <c r="F165" s="24"/>
    </row>
    <row r="166" spans="1:6" ht="14.25" customHeight="1">
      <c r="A166" s="24"/>
      <c r="B166" s="24"/>
      <c r="C166" s="24"/>
      <c r="D166" s="23"/>
      <c r="E166" s="24"/>
      <c r="F166" s="24"/>
    </row>
    <row r="167" spans="1:6" ht="14.25" customHeight="1">
      <c r="A167" s="24"/>
      <c r="B167" s="24"/>
      <c r="C167" s="24"/>
      <c r="D167" s="23"/>
      <c r="E167" s="24"/>
      <c r="F167" s="24"/>
    </row>
    <row r="168" spans="1:6" ht="14.25" customHeight="1">
      <c r="A168" s="24"/>
      <c r="B168" s="24"/>
      <c r="C168" s="24"/>
      <c r="D168" s="23"/>
      <c r="E168" s="24"/>
      <c r="F168" s="24"/>
    </row>
    <row r="169" spans="1:6" ht="14.25" customHeight="1">
      <c r="A169" s="24"/>
      <c r="B169" s="24"/>
      <c r="C169" s="24"/>
      <c r="D169" s="23"/>
      <c r="E169" s="24"/>
      <c r="F169" s="24"/>
    </row>
    <row r="170" spans="1:6" ht="14.25" customHeight="1">
      <c r="A170" s="24"/>
      <c r="B170" s="24"/>
      <c r="C170" s="24"/>
      <c r="D170" s="23"/>
      <c r="E170" s="24"/>
      <c r="F170" s="24"/>
    </row>
    <row r="171" spans="1:6" ht="14.25" customHeight="1">
      <c r="A171" s="24"/>
      <c r="B171" s="24"/>
      <c r="C171" s="24"/>
      <c r="D171" s="23"/>
      <c r="E171" s="24"/>
      <c r="F171" s="24"/>
    </row>
    <row r="172" spans="1:6" ht="14.25" customHeight="1">
      <c r="A172" s="24"/>
      <c r="B172" s="24"/>
      <c r="C172" s="24"/>
      <c r="D172" s="23"/>
      <c r="E172" s="24"/>
      <c r="F172" s="24"/>
    </row>
    <row r="173" spans="1:6" ht="14.25" customHeight="1">
      <c r="A173" s="24"/>
      <c r="B173" s="24"/>
      <c r="C173" s="24"/>
      <c r="D173" s="23"/>
      <c r="E173" s="24"/>
      <c r="F173" s="24"/>
    </row>
    <row r="174" spans="1:6" ht="14.25" customHeight="1">
      <c r="A174" s="24"/>
      <c r="B174" s="24"/>
      <c r="C174" s="24"/>
      <c r="D174" s="23"/>
      <c r="E174" s="24"/>
      <c r="F174" s="24"/>
    </row>
    <row r="175" spans="1:6" ht="14.25" customHeight="1">
      <c r="A175" s="24"/>
      <c r="B175" s="24"/>
      <c r="C175" s="24"/>
      <c r="D175" s="23"/>
      <c r="E175" s="24"/>
      <c r="F175" s="24"/>
    </row>
    <row r="176" spans="1:6" ht="14.25" customHeight="1">
      <c r="A176" s="24"/>
      <c r="B176" s="24"/>
      <c r="C176" s="24"/>
      <c r="D176" s="23"/>
      <c r="E176" s="24"/>
      <c r="F176" s="24"/>
    </row>
    <row r="177" spans="1:6" ht="14.25" customHeight="1">
      <c r="A177" s="24"/>
      <c r="B177" s="24"/>
      <c r="C177" s="24"/>
      <c r="D177" s="23"/>
      <c r="E177" s="24"/>
      <c r="F177" s="24"/>
    </row>
    <row r="178" spans="1:6" ht="14.25" customHeight="1">
      <c r="A178" s="24"/>
      <c r="B178" s="24"/>
      <c r="C178" s="24"/>
      <c r="D178" s="23"/>
      <c r="E178" s="24"/>
      <c r="F178" s="24"/>
    </row>
    <row r="179" spans="1:6" ht="14.25" customHeight="1">
      <c r="A179" s="24"/>
      <c r="B179" s="24"/>
      <c r="C179" s="24"/>
      <c r="D179" s="23"/>
      <c r="E179" s="24"/>
      <c r="F179" s="24"/>
    </row>
    <row r="180" spans="1:6" ht="14.25" customHeight="1">
      <c r="A180" s="24"/>
      <c r="B180" s="24"/>
      <c r="C180" s="24"/>
      <c r="D180" s="23"/>
      <c r="E180" s="24"/>
      <c r="F180" s="24"/>
    </row>
    <row r="181" spans="1:6" ht="14.25" customHeight="1">
      <c r="A181" s="24"/>
      <c r="B181" s="24"/>
      <c r="C181" s="24"/>
      <c r="D181" s="23"/>
      <c r="E181" s="24"/>
      <c r="F181" s="24"/>
    </row>
    <row r="182" spans="1:6" ht="14.25" customHeight="1">
      <c r="A182" s="24"/>
      <c r="B182" s="24"/>
      <c r="C182" s="24"/>
      <c r="D182" s="23"/>
      <c r="E182" s="24"/>
      <c r="F182" s="24"/>
    </row>
    <row r="183" spans="1:6" ht="14.25" customHeight="1">
      <c r="A183" s="24"/>
      <c r="B183" s="24"/>
      <c r="C183" s="24"/>
      <c r="D183" s="23"/>
      <c r="E183" s="24"/>
      <c r="F183" s="24"/>
    </row>
    <row r="184" spans="1:6" ht="14.25" customHeight="1">
      <c r="A184" s="24"/>
      <c r="B184" s="24"/>
      <c r="C184" s="24"/>
      <c r="D184" s="23"/>
      <c r="E184" s="24"/>
      <c r="F184" s="24"/>
    </row>
    <row r="185" spans="1:6" ht="14.25" customHeight="1">
      <c r="A185" s="24"/>
      <c r="B185" s="24"/>
      <c r="C185" s="24"/>
      <c r="D185" s="23"/>
      <c r="E185" s="24"/>
      <c r="F185" s="24"/>
    </row>
    <row r="186" spans="1:6" ht="14.25" customHeight="1">
      <c r="A186" s="24"/>
      <c r="B186" s="24"/>
      <c r="C186" s="24"/>
      <c r="D186" s="23"/>
      <c r="E186" s="24"/>
      <c r="F186" s="24"/>
    </row>
    <row r="187" spans="1:6" ht="14.25" customHeight="1">
      <c r="A187" s="24"/>
      <c r="B187" s="24"/>
      <c r="C187" s="24"/>
      <c r="D187" s="23"/>
      <c r="E187" s="24"/>
      <c r="F187" s="24"/>
    </row>
    <row r="188" spans="1:6" ht="14.25" customHeight="1">
      <c r="A188" s="24"/>
      <c r="B188" s="24"/>
      <c r="C188" s="24"/>
      <c r="D188" s="23"/>
      <c r="E188" s="24"/>
      <c r="F188" s="24"/>
    </row>
    <row r="189" spans="1:6" ht="14.25" customHeight="1">
      <c r="A189" s="24"/>
      <c r="B189" s="24"/>
      <c r="C189" s="24"/>
      <c r="D189" s="23"/>
      <c r="E189" s="24"/>
      <c r="F189" s="24"/>
    </row>
    <row r="190" spans="1:6" ht="14.25" customHeight="1">
      <c r="A190" s="24"/>
      <c r="B190" s="24"/>
      <c r="C190" s="24"/>
      <c r="D190" s="23"/>
      <c r="E190" s="24"/>
      <c r="F190" s="24"/>
    </row>
    <row r="191" spans="1:6" ht="14.25" customHeight="1">
      <c r="A191" s="24"/>
      <c r="B191" s="24"/>
      <c r="C191" s="24"/>
      <c r="D191" s="23"/>
      <c r="E191" s="24"/>
      <c r="F191" s="24"/>
    </row>
    <row r="192" spans="1:6" ht="14.25" customHeight="1">
      <c r="A192" s="24"/>
      <c r="B192" s="24"/>
      <c r="C192" s="24"/>
      <c r="D192" s="23"/>
      <c r="E192" s="24"/>
      <c r="F192" s="24"/>
    </row>
    <row r="193" spans="1:6" ht="14.25" customHeight="1">
      <c r="A193" s="24"/>
      <c r="B193" s="24"/>
      <c r="C193" s="24"/>
      <c r="D193" s="23"/>
      <c r="E193" s="24"/>
      <c r="F193" s="24"/>
    </row>
    <row r="194" spans="1:6" ht="14.25" customHeight="1">
      <c r="A194" s="24"/>
      <c r="B194" s="24"/>
      <c r="C194" s="24"/>
      <c r="D194" s="23"/>
      <c r="E194" s="24"/>
      <c r="F194" s="24"/>
    </row>
    <row r="195" spans="1:6" ht="14.25" customHeight="1">
      <c r="A195" s="24"/>
      <c r="B195" s="24"/>
      <c r="C195" s="24"/>
      <c r="D195" s="23"/>
      <c r="E195" s="24"/>
      <c r="F195" s="24"/>
    </row>
    <row r="196" spans="1:6" ht="14.25" customHeight="1">
      <c r="A196" s="24"/>
      <c r="B196" s="24"/>
      <c r="C196" s="24"/>
      <c r="D196" s="23"/>
      <c r="E196" s="24"/>
      <c r="F196" s="24"/>
    </row>
    <row r="197" spans="1:6" ht="14.25" customHeight="1">
      <c r="A197" s="24"/>
      <c r="B197" s="24"/>
      <c r="C197" s="24"/>
      <c r="D197" s="23"/>
      <c r="E197" s="24"/>
      <c r="F197" s="24"/>
    </row>
    <row r="198" spans="1:6" ht="14.25" customHeight="1">
      <c r="A198" s="24"/>
      <c r="B198" s="24"/>
      <c r="C198" s="24"/>
      <c r="D198" s="23"/>
      <c r="E198" s="24"/>
      <c r="F198" s="24"/>
    </row>
    <row r="199" spans="1:6" ht="14.25" customHeight="1">
      <c r="A199" s="24"/>
      <c r="B199" s="24"/>
      <c r="C199" s="24"/>
      <c r="D199" s="23"/>
      <c r="E199" s="24"/>
      <c r="F199" s="24"/>
    </row>
    <row r="200" spans="1:6" ht="14.25" customHeight="1">
      <c r="A200" s="24"/>
      <c r="B200" s="24"/>
      <c r="C200" s="24"/>
      <c r="D200" s="23"/>
      <c r="E200" s="24"/>
      <c r="F200" s="24"/>
    </row>
    <row r="201" spans="1:6" ht="14.25" customHeight="1">
      <c r="A201" s="24"/>
      <c r="B201" s="24"/>
      <c r="C201" s="24"/>
      <c r="D201" s="23"/>
      <c r="E201" s="24"/>
      <c r="F201" s="24"/>
    </row>
    <row r="202" spans="1:6" ht="14.25" customHeight="1">
      <c r="A202" s="24"/>
      <c r="B202" s="24"/>
      <c r="C202" s="24"/>
      <c r="D202" s="23"/>
      <c r="E202" s="24"/>
      <c r="F202" s="24"/>
    </row>
    <row r="203" spans="1:6" ht="14.25" customHeight="1">
      <c r="A203" s="24"/>
      <c r="B203" s="24"/>
      <c r="C203" s="24"/>
      <c r="D203" s="23"/>
      <c r="E203" s="24"/>
      <c r="F203" s="24"/>
    </row>
    <row r="204" spans="1:6" ht="14.25" customHeight="1">
      <c r="A204" s="24"/>
      <c r="B204" s="24"/>
      <c r="C204" s="24"/>
      <c r="D204" s="23"/>
      <c r="E204" s="24"/>
      <c r="F204" s="24"/>
    </row>
    <row r="205" spans="1:6" ht="14.25" customHeight="1">
      <c r="A205" s="24"/>
      <c r="B205" s="24"/>
      <c r="C205" s="24"/>
      <c r="D205" s="23"/>
      <c r="E205" s="24"/>
      <c r="F205" s="24"/>
    </row>
    <row r="206" spans="1:6" ht="14.25" customHeight="1">
      <c r="A206" s="24"/>
      <c r="B206" s="24"/>
      <c r="C206" s="24"/>
      <c r="D206" s="23"/>
      <c r="E206" s="24"/>
      <c r="F206" s="24"/>
    </row>
    <row r="207" spans="1:6" ht="14.25" customHeight="1">
      <c r="A207" s="24"/>
      <c r="B207" s="24"/>
      <c r="C207" s="24"/>
      <c r="D207" s="23"/>
      <c r="E207" s="24"/>
      <c r="F207" s="24"/>
    </row>
    <row r="208" spans="1:6" ht="14.25" customHeight="1">
      <c r="A208" s="24"/>
      <c r="B208" s="24"/>
      <c r="C208" s="24"/>
      <c r="D208" s="23"/>
      <c r="E208" s="24"/>
      <c r="F208" s="24"/>
    </row>
    <row r="209" spans="1:6" ht="14.25" customHeight="1">
      <c r="A209" s="24"/>
      <c r="B209" s="24"/>
      <c r="C209" s="24"/>
      <c r="D209" s="23"/>
      <c r="E209" s="24"/>
      <c r="F209" s="24"/>
    </row>
    <row r="210" spans="1:6" ht="14.25" customHeight="1">
      <c r="A210" s="24"/>
      <c r="B210" s="24"/>
      <c r="C210" s="24"/>
      <c r="D210" s="23"/>
      <c r="E210" s="24"/>
      <c r="F210" s="24"/>
    </row>
    <row r="211" spans="1:6" ht="14.25" customHeight="1">
      <c r="A211" s="24"/>
      <c r="B211" s="24"/>
      <c r="C211" s="24"/>
      <c r="D211" s="23"/>
      <c r="E211" s="24"/>
      <c r="F211" s="24"/>
    </row>
    <row r="212" spans="1:6" ht="14.25" customHeight="1">
      <c r="A212" s="24"/>
      <c r="B212" s="24"/>
      <c r="C212" s="24"/>
      <c r="D212" s="23"/>
      <c r="E212" s="24"/>
      <c r="F212" s="24"/>
    </row>
    <row r="213" spans="1:6" ht="14.25" customHeight="1">
      <c r="A213" s="24"/>
      <c r="B213" s="24"/>
      <c r="C213" s="24"/>
      <c r="D213" s="23"/>
      <c r="E213" s="24"/>
      <c r="F213" s="24"/>
    </row>
    <row r="214" spans="1:6" ht="14.25" customHeight="1">
      <c r="A214" s="24"/>
      <c r="B214" s="24"/>
      <c r="C214" s="24"/>
      <c r="D214" s="23"/>
      <c r="E214" s="24"/>
      <c r="F214" s="24"/>
    </row>
    <row r="215" spans="1:6" ht="14.25" customHeight="1">
      <c r="A215" s="24"/>
      <c r="B215" s="24"/>
      <c r="C215" s="24"/>
      <c r="D215" s="23"/>
      <c r="E215" s="24"/>
      <c r="F215" s="24"/>
    </row>
    <row r="216" spans="1:6" ht="14.25" customHeight="1">
      <c r="A216" s="24"/>
      <c r="B216" s="24"/>
      <c r="C216" s="24"/>
      <c r="D216" s="23"/>
      <c r="E216" s="24"/>
      <c r="F216" s="24"/>
    </row>
    <row r="217" spans="1:6" ht="14.25" customHeight="1">
      <c r="A217" s="24"/>
      <c r="B217" s="24"/>
      <c r="C217" s="24"/>
      <c r="D217" s="23"/>
      <c r="E217" s="24"/>
      <c r="F217" s="24"/>
    </row>
    <row r="218" spans="1:6" ht="14.25" customHeight="1">
      <c r="A218" s="24"/>
      <c r="B218" s="24"/>
      <c r="C218" s="24"/>
      <c r="D218" s="23"/>
      <c r="E218" s="24"/>
      <c r="F218" s="24"/>
    </row>
    <row r="219" spans="1:6" ht="14.25" customHeight="1">
      <c r="A219" s="24"/>
      <c r="B219" s="24"/>
      <c r="C219" s="24"/>
      <c r="D219" s="23"/>
      <c r="E219" s="24"/>
      <c r="F219" s="24"/>
    </row>
    <row r="220" spans="1:6" ht="14.25" customHeight="1">
      <c r="A220" s="24"/>
      <c r="B220" s="24"/>
      <c r="C220" s="24"/>
      <c r="D220" s="23"/>
      <c r="E220" s="24"/>
      <c r="F220" s="24"/>
    </row>
    <row r="221" spans="1:6" ht="14.25" customHeight="1">
      <c r="A221" s="24"/>
      <c r="B221" s="24"/>
      <c r="C221" s="24"/>
      <c r="D221" s="23"/>
      <c r="E221" s="24"/>
      <c r="F221" s="24"/>
    </row>
    <row r="222" spans="1:6" ht="14.25" customHeight="1">
      <c r="A222" s="24"/>
      <c r="B222" s="24"/>
      <c r="C222" s="24"/>
      <c r="D222" s="23"/>
      <c r="E222" s="24"/>
      <c r="F222" s="24"/>
    </row>
    <row r="223" spans="1:6" ht="14.25" customHeight="1">
      <c r="A223" s="24"/>
      <c r="B223" s="24"/>
      <c r="C223" s="24"/>
      <c r="D223" s="23"/>
      <c r="E223" s="24"/>
      <c r="F223" s="24"/>
    </row>
    <row r="224" spans="1:6" ht="14.25" customHeight="1">
      <c r="A224" s="24"/>
      <c r="B224" s="24"/>
      <c r="C224" s="24"/>
      <c r="D224" s="23"/>
      <c r="E224" s="24"/>
      <c r="F224" s="24"/>
    </row>
    <row r="225" spans="1:6" ht="14.25" customHeight="1">
      <c r="A225" s="24"/>
      <c r="B225" s="24"/>
      <c r="C225" s="24"/>
      <c r="D225" s="23"/>
      <c r="E225" s="24"/>
      <c r="F225" s="24"/>
    </row>
    <row r="226" spans="1:6" ht="14.25" customHeight="1">
      <c r="A226" s="24"/>
      <c r="B226" s="24"/>
      <c r="C226" s="24"/>
      <c r="D226" s="23"/>
      <c r="E226" s="24"/>
      <c r="F226" s="24"/>
    </row>
    <row r="227" spans="1:6" ht="14.25" customHeight="1">
      <c r="A227" s="24"/>
      <c r="B227" s="24"/>
      <c r="C227" s="24"/>
      <c r="D227" s="23"/>
      <c r="E227" s="24"/>
      <c r="F227" s="24"/>
    </row>
    <row r="228" spans="1:6" ht="14.25" customHeight="1">
      <c r="A228" s="24"/>
      <c r="B228" s="24"/>
      <c r="C228" s="24"/>
      <c r="D228" s="23"/>
      <c r="E228" s="24"/>
      <c r="F228" s="24"/>
    </row>
    <row r="229" spans="1:6" ht="14.25" customHeight="1">
      <c r="A229" s="24"/>
      <c r="B229" s="24"/>
      <c r="C229" s="24"/>
      <c r="D229" s="23"/>
      <c r="E229" s="24"/>
      <c r="F229" s="24"/>
    </row>
    <row r="230" spans="1:6" ht="14.25" customHeight="1">
      <c r="A230" s="24"/>
      <c r="B230" s="24"/>
      <c r="C230" s="24"/>
      <c r="D230" s="23"/>
      <c r="E230" s="24"/>
      <c r="F230" s="24"/>
    </row>
    <row r="231" spans="1:6" ht="14.25" customHeight="1">
      <c r="A231" s="24"/>
      <c r="B231" s="24"/>
      <c r="C231" s="24"/>
      <c r="D231" s="23"/>
      <c r="E231" s="24"/>
      <c r="F231" s="24"/>
    </row>
    <row r="232" spans="1:6" ht="14.25" customHeight="1">
      <c r="A232" s="24"/>
      <c r="B232" s="24"/>
      <c r="C232" s="24"/>
      <c r="D232" s="23"/>
      <c r="E232" s="24"/>
      <c r="F232" s="24"/>
    </row>
    <row r="233" spans="1:6" ht="14.25" customHeight="1">
      <c r="A233" s="24"/>
      <c r="B233" s="24"/>
      <c r="C233" s="24"/>
      <c r="D233" s="23"/>
      <c r="E233" s="24"/>
      <c r="F233" s="24"/>
    </row>
    <row r="234" spans="1:6" ht="14.25" customHeight="1">
      <c r="A234" s="24"/>
      <c r="B234" s="24"/>
      <c r="C234" s="24"/>
      <c r="D234" s="23"/>
      <c r="E234" s="24"/>
      <c r="F234" s="24"/>
    </row>
    <row r="235" spans="1:6" ht="14.25" customHeight="1">
      <c r="A235" s="24"/>
      <c r="B235" s="24"/>
      <c r="C235" s="24"/>
      <c r="D235" s="23"/>
      <c r="E235" s="24"/>
      <c r="F235" s="24"/>
    </row>
    <row r="236" spans="1:6" ht="14.25" customHeight="1">
      <c r="A236" s="24"/>
      <c r="B236" s="24"/>
      <c r="C236" s="24"/>
      <c r="D236" s="23"/>
      <c r="E236" s="24"/>
      <c r="F236" s="24"/>
    </row>
    <row r="237" spans="1:6" ht="14.25" customHeight="1">
      <c r="A237" s="24"/>
      <c r="B237" s="24"/>
      <c r="C237" s="24"/>
      <c r="D237" s="23"/>
      <c r="E237" s="24"/>
      <c r="F237" s="24"/>
    </row>
    <row r="238" spans="1:6" ht="14.25" customHeight="1">
      <c r="A238" s="24"/>
      <c r="B238" s="24"/>
      <c r="C238" s="24"/>
      <c r="D238" s="23"/>
      <c r="E238" s="24"/>
      <c r="F238" s="24"/>
    </row>
    <row r="239" spans="1:6" ht="14.25" customHeight="1">
      <c r="A239" s="24"/>
      <c r="B239" s="24"/>
      <c r="C239" s="24"/>
      <c r="D239" s="23"/>
      <c r="E239" s="24"/>
      <c r="F239" s="24"/>
    </row>
    <row r="240" spans="1:6" ht="14.25" customHeight="1">
      <c r="A240" s="24"/>
      <c r="B240" s="24"/>
      <c r="C240" s="24"/>
      <c r="D240" s="23"/>
      <c r="E240" s="24"/>
      <c r="F240" s="24"/>
    </row>
    <row r="241" spans="1:6" ht="14.25" customHeight="1">
      <c r="A241" s="24"/>
      <c r="B241" s="24"/>
      <c r="C241" s="24"/>
      <c r="D241" s="23"/>
      <c r="E241" s="24"/>
      <c r="F241" s="24"/>
    </row>
    <row r="242" spans="1:6" ht="14.25" customHeight="1">
      <c r="A242" s="24"/>
      <c r="B242" s="24"/>
      <c r="C242" s="24"/>
      <c r="D242" s="23"/>
      <c r="E242" s="24"/>
      <c r="F242" s="24"/>
    </row>
    <row r="243" spans="1:6" ht="15.75" customHeight="1">
      <c r="A243" s="24"/>
      <c r="B243" s="24"/>
      <c r="C243" s="24"/>
      <c r="D243" s="23"/>
      <c r="E243" s="24"/>
      <c r="F243" s="24"/>
    </row>
    <row r="244" spans="1:6" ht="15.75" customHeight="1">
      <c r="A244" s="24"/>
      <c r="B244" s="24"/>
      <c r="C244" s="24"/>
      <c r="D244" s="23"/>
      <c r="E244" s="24"/>
      <c r="F244" s="24"/>
    </row>
    <row r="245" spans="1:6" ht="15.75" customHeight="1">
      <c r="A245" s="24"/>
      <c r="B245" s="24"/>
      <c r="C245" s="24"/>
      <c r="D245" s="23"/>
      <c r="E245" s="24"/>
      <c r="F245" s="24"/>
    </row>
    <row r="246" spans="1:6" ht="15.75" customHeight="1">
      <c r="A246" s="24"/>
      <c r="B246" s="24"/>
      <c r="C246" s="24"/>
      <c r="D246" s="23"/>
      <c r="E246" s="24"/>
      <c r="F246" s="24"/>
    </row>
    <row r="247" spans="1:6" ht="15.75" customHeight="1">
      <c r="A247" s="24"/>
      <c r="B247" s="24"/>
      <c r="C247" s="24"/>
      <c r="D247" s="23"/>
      <c r="E247" s="24"/>
      <c r="F247" s="24"/>
    </row>
    <row r="248" spans="1:6" ht="15.75" customHeight="1">
      <c r="A248" s="24"/>
      <c r="B248" s="24"/>
      <c r="C248" s="24"/>
      <c r="D248" s="23"/>
      <c r="E248" s="24"/>
      <c r="F248" s="24"/>
    </row>
    <row r="249" spans="1:6" ht="15.75" customHeight="1">
      <c r="A249" s="24"/>
      <c r="B249" s="24"/>
      <c r="C249" s="24"/>
      <c r="D249" s="23"/>
      <c r="E249" s="24"/>
      <c r="F249" s="24"/>
    </row>
    <row r="250" spans="1:6" ht="15.75" customHeight="1">
      <c r="A250" s="24"/>
      <c r="B250" s="24"/>
      <c r="C250" s="24"/>
      <c r="D250" s="23"/>
      <c r="E250" s="24"/>
      <c r="F250" s="24"/>
    </row>
    <row r="251" spans="1:6" ht="15.75" customHeight="1">
      <c r="A251" s="24"/>
      <c r="B251" s="24"/>
      <c r="C251" s="24"/>
      <c r="D251" s="23"/>
      <c r="E251" s="24"/>
      <c r="F251" s="24"/>
    </row>
    <row r="252" spans="1:6" ht="15.75" customHeight="1">
      <c r="A252" s="24"/>
      <c r="B252" s="24"/>
      <c r="C252" s="24"/>
      <c r="D252" s="23"/>
      <c r="E252" s="24"/>
      <c r="F252" s="24"/>
    </row>
    <row r="253" spans="1:6" ht="15.75" customHeight="1">
      <c r="A253" s="24"/>
      <c r="B253" s="24"/>
      <c r="C253" s="24"/>
      <c r="D253" s="23"/>
      <c r="E253" s="24"/>
      <c r="F253" s="24"/>
    </row>
    <row r="254" spans="1:6" ht="15.75" customHeight="1">
      <c r="A254" s="24"/>
      <c r="B254" s="24"/>
      <c r="C254" s="24"/>
      <c r="D254" s="23"/>
      <c r="E254" s="24"/>
      <c r="F254" s="24"/>
    </row>
    <row r="255" spans="1:6" ht="15.75" customHeight="1">
      <c r="A255" s="24"/>
      <c r="B255" s="24"/>
      <c r="C255" s="24"/>
      <c r="D255" s="23"/>
      <c r="E255" s="24"/>
      <c r="F255" s="24"/>
    </row>
    <row r="256" spans="1:6" ht="15.75" customHeight="1">
      <c r="A256" s="24"/>
      <c r="B256" s="24"/>
      <c r="C256" s="24"/>
      <c r="D256" s="23"/>
      <c r="E256" s="24"/>
      <c r="F256" s="24"/>
    </row>
    <row r="257" spans="1:6" ht="15.75" customHeight="1">
      <c r="A257" s="24"/>
      <c r="B257" s="24"/>
      <c r="C257" s="24"/>
      <c r="D257" s="23"/>
      <c r="E257" s="24"/>
      <c r="F257" s="24"/>
    </row>
    <row r="258" spans="1:6" ht="15.75" customHeight="1">
      <c r="A258" s="24"/>
      <c r="B258" s="24"/>
      <c r="C258" s="24"/>
      <c r="D258" s="23"/>
      <c r="E258" s="24"/>
      <c r="F258" s="24"/>
    </row>
    <row r="259" spans="1:6" ht="15.75" customHeight="1">
      <c r="A259" s="24"/>
      <c r="B259" s="24"/>
      <c r="C259" s="24"/>
      <c r="D259" s="23"/>
      <c r="E259" s="24"/>
      <c r="F259" s="24"/>
    </row>
    <row r="260" spans="1:6" ht="15.75" customHeight="1">
      <c r="A260" s="24"/>
      <c r="B260" s="24"/>
      <c r="C260" s="24"/>
      <c r="D260" s="23"/>
      <c r="E260" s="24"/>
      <c r="F260" s="24"/>
    </row>
    <row r="261" spans="1:6" ht="15.75" customHeight="1">
      <c r="A261" s="24"/>
      <c r="B261" s="24"/>
      <c r="C261" s="24"/>
      <c r="D261" s="23"/>
      <c r="E261" s="24"/>
      <c r="F261" s="24"/>
    </row>
    <row r="262" spans="1:6" ht="15.75" customHeight="1">
      <c r="A262" s="24"/>
      <c r="B262" s="24"/>
      <c r="C262" s="24"/>
      <c r="D262" s="23"/>
      <c r="E262" s="24"/>
      <c r="F262" s="24"/>
    </row>
    <row r="263" spans="1:6" ht="15.75" customHeight="1">
      <c r="A263" s="24"/>
      <c r="B263" s="24"/>
      <c r="C263" s="24"/>
      <c r="D263" s="23"/>
      <c r="E263" s="24"/>
      <c r="F263" s="24"/>
    </row>
    <row r="264" spans="1:6" ht="15.75" customHeight="1">
      <c r="A264" s="24"/>
      <c r="B264" s="24"/>
      <c r="C264" s="24"/>
      <c r="D264" s="23"/>
      <c r="E264" s="24"/>
      <c r="F264" s="24"/>
    </row>
    <row r="265" spans="1:6" ht="15.75" customHeight="1">
      <c r="A265" s="24"/>
      <c r="B265" s="24"/>
      <c r="C265" s="24"/>
      <c r="D265" s="23"/>
      <c r="E265" s="24"/>
      <c r="F265" s="24"/>
    </row>
    <row r="266" spans="1:6" ht="15.75" customHeight="1">
      <c r="A266" s="24"/>
      <c r="B266" s="24"/>
      <c r="C266" s="24"/>
      <c r="D266" s="23"/>
      <c r="E266" s="24"/>
      <c r="F266" s="24"/>
    </row>
    <row r="267" spans="1:6" ht="15.75" customHeight="1">
      <c r="A267" s="24"/>
      <c r="B267" s="24"/>
      <c r="C267" s="24"/>
      <c r="D267" s="23"/>
      <c r="E267" s="24"/>
      <c r="F267" s="24"/>
    </row>
    <row r="268" spans="1:6" ht="15.75" customHeight="1">
      <c r="A268" s="24"/>
      <c r="B268" s="24"/>
      <c r="C268" s="24"/>
      <c r="D268" s="23"/>
      <c r="E268" s="24"/>
      <c r="F268" s="24"/>
    </row>
    <row r="269" spans="1:6" ht="15.75" customHeight="1">
      <c r="A269" s="24"/>
      <c r="B269" s="24"/>
      <c r="C269" s="24"/>
      <c r="D269" s="23"/>
      <c r="E269" s="24"/>
      <c r="F269" s="24"/>
    </row>
    <row r="270" spans="1:6" ht="15.75" customHeight="1">
      <c r="A270" s="24"/>
      <c r="B270" s="24"/>
      <c r="C270" s="24"/>
      <c r="D270" s="23"/>
      <c r="E270" s="24"/>
      <c r="F270" s="24"/>
    </row>
    <row r="271" spans="1:6" ht="15.75" customHeight="1">
      <c r="A271" s="24"/>
      <c r="B271" s="24"/>
      <c r="C271" s="24"/>
      <c r="D271" s="23"/>
      <c r="E271" s="24"/>
      <c r="F271" s="24"/>
    </row>
    <row r="272" spans="1:6" ht="15.75" customHeight="1">
      <c r="A272" s="24"/>
      <c r="B272" s="24"/>
      <c r="C272" s="24"/>
      <c r="D272" s="23"/>
      <c r="E272" s="24"/>
      <c r="F272" s="24"/>
    </row>
    <row r="273" spans="1:6" ht="15.75" customHeight="1">
      <c r="A273" s="24"/>
      <c r="B273" s="24"/>
      <c r="C273" s="24"/>
      <c r="D273" s="23"/>
      <c r="E273" s="24"/>
      <c r="F273" s="24"/>
    </row>
    <row r="274" spans="1:6" ht="15.75" customHeight="1">
      <c r="A274" s="24"/>
      <c r="B274" s="24"/>
      <c r="C274" s="24"/>
      <c r="D274" s="23"/>
      <c r="E274" s="24"/>
      <c r="F274" s="24"/>
    </row>
    <row r="275" spans="1:6" ht="15.75" customHeight="1">
      <c r="A275" s="24"/>
      <c r="B275" s="24"/>
      <c r="C275" s="24"/>
      <c r="D275" s="23"/>
      <c r="E275" s="24"/>
      <c r="F275" s="24"/>
    </row>
    <row r="276" spans="1:6" ht="15.75" customHeight="1">
      <c r="A276" s="24"/>
      <c r="B276" s="24"/>
      <c r="C276" s="24"/>
      <c r="D276" s="23"/>
      <c r="E276" s="24"/>
      <c r="F276" s="24"/>
    </row>
    <row r="277" spans="1:6" ht="15.75" customHeight="1">
      <c r="A277" s="24"/>
      <c r="B277" s="24"/>
      <c r="C277" s="24"/>
      <c r="D277" s="23"/>
      <c r="E277" s="24"/>
      <c r="F277" s="24"/>
    </row>
    <row r="278" spans="1:6" ht="15.75" customHeight="1">
      <c r="A278" s="24"/>
      <c r="B278" s="24"/>
      <c r="C278" s="24"/>
      <c r="D278" s="23"/>
      <c r="E278" s="24"/>
      <c r="F278" s="24"/>
    </row>
    <row r="279" spans="1:6" ht="15.75" customHeight="1">
      <c r="A279" s="24"/>
      <c r="B279" s="24"/>
      <c r="C279" s="24"/>
      <c r="D279" s="23"/>
      <c r="E279" s="24"/>
      <c r="F279" s="24"/>
    </row>
    <row r="280" spans="1:6" ht="15.75" customHeight="1">
      <c r="A280" s="24"/>
      <c r="B280" s="24"/>
      <c r="C280" s="24"/>
      <c r="D280" s="23"/>
      <c r="E280" s="24"/>
      <c r="F280" s="24"/>
    </row>
    <row r="281" spans="1:6" ht="15.75" customHeight="1">
      <c r="A281" s="24"/>
      <c r="B281" s="24"/>
      <c r="C281" s="24"/>
      <c r="D281" s="23"/>
      <c r="E281" s="24"/>
      <c r="F281" s="24"/>
    </row>
    <row r="282" spans="1:6" ht="15.75" customHeight="1">
      <c r="A282" s="24"/>
      <c r="B282" s="24"/>
      <c r="C282" s="24"/>
      <c r="D282" s="23"/>
      <c r="E282" s="24"/>
      <c r="F282" s="24"/>
    </row>
    <row r="283" spans="1:6" ht="15.75" customHeight="1">
      <c r="A283" s="24"/>
      <c r="B283" s="24"/>
      <c r="C283" s="24"/>
      <c r="D283" s="23"/>
      <c r="E283" s="24"/>
      <c r="F283" s="24"/>
    </row>
    <row r="284" spans="1:6" ht="15.75" customHeight="1">
      <c r="A284" s="24"/>
      <c r="B284" s="24"/>
      <c r="C284" s="24"/>
      <c r="D284" s="23"/>
      <c r="E284" s="24"/>
      <c r="F284" s="24"/>
    </row>
    <row r="285" spans="1:6" ht="15.75" customHeight="1">
      <c r="A285" s="24"/>
      <c r="B285" s="24"/>
      <c r="C285" s="24"/>
      <c r="D285" s="23"/>
      <c r="E285" s="24"/>
      <c r="F285" s="24"/>
    </row>
    <row r="286" spans="1:6" ht="15.75" customHeight="1">
      <c r="A286" s="24"/>
      <c r="B286" s="24"/>
      <c r="C286" s="24"/>
      <c r="D286" s="23"/>
      <c r="E286" s="24"/>
      <c r="F286" s="24"/>
    </row>
    <row r="287" spans="1:6" ht="15.75" customHeight="1">
      <c r="A287" s="24"/>
      <c r="B287" s="24"/>
      <c r="C287" s="24"/>
      <c r="D287" s="23"/>
      <c r="E287" s="24"/>
      <c r="F287" s="24"/>
    </row>
    <row r="288" spans="1:6" ht="15.75" customHeight="1">
      <c r="A288" s="24"/>
      <c r="B288" s="24"/>
      <c r="C288" s="24"/>
      <c r="D288" s="23"/>
      <c r="E288" s="24"/>
      <c r="F288" s="24"/>
    </row>
    <row r="289" spans="1:6" ht="15.75" customHeight="1">
      <c r="A289" s="24"/>
      <c r="B289" s="24"/>
      <c r="C289" s="24"/>
      <c r="D289" s="23"/>
      <c r="E289" s="24"/>
      <c r="F289" s="24"/>
    </row>
    <row r="290" spans="1:6" ht="15.75" customHeight="1">
      <c r="A290" s="24"/>
      <c r="B290" s="24"/>
      <c r="C290" s="24"/>
      <c r="D290" s="23"/>
      <c r="E290" s="24"/>
      <c r="F290" s="24"/>
    </row>
    <row r="291" spans="1:6" ht="15.75" customHeight="1">
      <c r="A291" s="24"/>
      <c r="B291" s="24"/>
      <c r="C291" s="24"/>
      <c r="D291" s="23"/>
      <c r="E291" s="24"/>
      <c r="F291" s="24"/>
    </row>
    <row r="292" spans="1:6" ht="15.75" customHeight="1">
      <c r="A292" s="24"/>
      <c r="B292" s="24"/>
      <c r="C292" s="24"/>
      <c r="D292" s="23"/>
      <c r="E292" s="24"/>
      <c r="F292" s="24"/>
    </row>
    <row r="293" spans="1:6" ht="15.75" customHeight="1">
      <c r="A293" s="24"/>
      <c r="B293" s="24"/>
      <c r="C293" s="24"/>
      <c r="D293" s="23"/>
      <c r="E293" s="24"/>
      <c r="F293" s="24"/>
    </row>
    <row r="294" spans="1:6" ht="15.75" customHeight="1">
      <c r="A294" s="24"/>
      <c r="B294" s="24"/>
      <c r="C294" s="24"/>
      <c r="D294" s="23"/>
      <c r="E294" s="24"/>
      <c r="F294" s="24"/>
    </row>
    <row r="295" spans="1:6" ht="15.75" customHeight="1">
      <c r="A295" s="24"/>
      <c r="B295" s="24"/>
      <c r="C295" s="24"/>
      <c r="D295" s="23"/>
      <c r="E295" s="24"/>
      <c r="F295" s="24"/>
    </row>
    <row r="296" spans="1:6" ht="15.75" customHeight="1">
      <c r="A296" s="24"/>
      <c r="B296" s="24"/>
      <c r="C296" s="24"/>
      <c r="D296" s="23"/>
      <c r="E296" s="24"/>
      <c r="F296" s="24"/>
    </row>
    <row r="297" spans="1:6" ht="15.75" customHeight="1">
      <c r="A297" s="24"/>
      <c r="B297" s="24"/>
      <c r="C297" s="24"/>
      <c r="D297" s="23"/>
      <c r="E297" s="24"/>
      <c r="F297" s="24"/>
    </row>
    <row r="298" spans="1:6" ht="15.75" customHeight="1">
      <c r="A298" s="24"/>
      <c r="B298" s="24"/>
      <c r="C298" s="24"/>
      <c r="D298" s="23"/>
      <c r="E298" s="24"/>
      <c r="F298" s="24"/>
    </row>
    <row r="299" spans="1:6" ht="15.75" customHeight="1">
      <c r="A299" s="24"/>
      <c r="B299" s="24"/>
      <c r="C299" s="24"/>
      <c r="D299" s="23"/>
      <c r="E299" s="24"/>
      <c r="F299" s="24"/>
    </row>
    <row r="300" spans="1:6" ht="15.75" customHeight="1">
      <c r="A300" s="24"/>
      <c r="B300" s="24"/>
      <c r="C300" s="24"/>
      <c r="D300" s="23"/>
      <c r="E300" s="24"/>
      <c r="F300" s="24"/>
    </row>
    <row r="301" spans="1:6" ht="15.75" customHeight="1">
      <c r="A301" s="24"/>
      <c r="B301" s="24"/>
      <c r="C301" s="24"/>
      <c r="D301" s="23"/>
      <c r="E301" s="24"/>
      <c r="F301" s="24"/>
    </row>
    <row r="302" spans="1:6" ht="15.75" customHeight="1">
      <c r="A302" s="24"/>
      <c r="B302" s="24"/>
      <c r="C302" s="24"/>
      <c r="D302" s="23"/>
      <c r="E302" s="24"/>
      <c r="F302" s="24"/>
    </row>
    <row r="303" spans="1:6" ht="15.75" customHeight="1">
      <c r="A303" s="24"/>
      <c r="B303" s="24"/>
      <c r="C303" s="24"/>
      <c r="D303" s="23"/>
      <c r="E303" s="24"/>
      <c r="F303" s="24"/>
    </row>
    <row r="304" spans="1:6" ht="15.75" customHeight="1">
      <c r="A304" s="24"/>
      <c r="B304" s="24"/>
      <c r="C304" s="24"/>
      <c r="D304" s="23"/>
      <c r="E304" s="24"/>
      <c r="F304" s="24"/>
    </row>
    <row r="305" spans="1:6" ht="15.75" customHeight="1">
      <c r="A305" s="24"/>
      <c r="B305" s="24"/>
      <c r="C305" s="24"/>
      <c r="D305" s="23"/>
      <c r="E305" s="24"/>
      <c r="F305" s="24"/>
    </row>
    <row r="306" spans="1:6" ht="15.75" customHeight="1">
      <c r="A306" s="24"/>
      <c r="B306" s="24"/>
      <c r="C306" s="24"/>
      <c r="D306" s="23"/>
      <c r="E306" s="24"/>
      <c r="F306" s="24"/>
    </row>
    <row r="307" spans="1:6" ht="15.75" customHeight="1">
      <c r="A307" s="24"/>
      <c r="B307" s="24"/>
      <c r="C307" s="24"/>
      <c r="D307" s="23"/>
      <c r="E307" s="24"/>
      <c r="F307" s="24"/>
    </row>
    <row r="308" spans="1:6" ht="15.75" customHeight="1">
      <c r="A308" s="24"/>
      <c r="B308" s="24"/>
      <c r="C308" s="24"/>
      <c r="D308" s="23"/>
      <c r="E308" s="24"/>
      <c r="F308" s="24"/>
    </row>
    <row r="309" spans="1:6" ht="15.75" customHeight="1">
      <c r="A309" s="24"/>
      <c r="B309" s="24"/>
      <c r="C309" s="24"/>
      <c r="D309" s="23"/>
      <c r="E309" s="24"/>
      <c r="F309" s="24"/>
    </row>
    <row r="310" spans="1:6" ht="15.75" customHeight="1">
      <c r="A310" s="24"/>
      <c r="B310" s="24"/>
      <c r="C310" s="24"/>
      <c r="D310" s="23"/>
      <c r="E310" s="24"/>
      <c r="F310" s="24"/>
    </row>
    <row r="311" spans="1:6" ht="15.75" customHeight="1">
      <c r="A311" s="24"/>
      <c r="B311" s="24"/>
      <c r="C311" s="24"/>
      <c r="D311" s="23"/>
      <c r="E311" s="24"/>
      <c r="F311" s="24"/>
    </row>
    <row r="312" spans="1:6" ht="15.75" customHeight="1">
      <c r="A312" s="24"/>
      <c r="B312" s="24"/>
      <c r="C312" s="24"/>
      <c r="D312" s="23"/>
      <c r="E312" s="24"/>
      <c r="F312" s="24"/>
    </row>
    <row r="313" spans="1:6" ht="15.75" customHeight="1">
      <c r="A313" s="24"/>
      <c r="B313" s="24"/>
      <c r="C313" s="24"/>
      <c r="D313" s="23"/>
      <c r="E313" s="24"/>
      <c r="F313" s="24"/>
    </row>
    <row r="314" spans="1:6" ht="15.75" customHeight="1">
      <c r="A314" s="24"/>
      <c r="B314" s="24"/>
      <c r="C314" s="24"/>
      <c r="D314" s="23"/>
      <c r="E314" s="24"/>
      <c r="F314" s="24"/>
    </row>
    <row r="315" spans="1:6" ht="15.75" customHeight="1">
      <c r="A315" s="24"/>
      <c r="B315" s="24"/>
      <c r="C315" s="24"/>
      <c r="D315" s="23"/>
      <c r="E315" s="24"/>
      <c r="F315" s="24"/>
    </row>
    <row r="316" spans="1:6" ht="15.75" customHeight="1">
      <c r="A316" s="24"/>
      <c r="B316" s="24"/>
      <c r="C316" s="24"/>
      <c r="D316" s="23"/>
      <c r="E316" s="24"/>
      <c r="F316" s="24"/>
    </row>
    <row r="317" spans="1:6" ht="15.75" customHeight="1">
      <c r="A317" s="24"/>
      <c r="B317" s="24"/>
      <c r="C317" s="24"/>
      <c r="D317" s="23"/>
      <c r="E317" s="24"/>
      <c r="F317" s="24"/>
    </row>
    <row r="318" spans="1:6" ht="15.75" customHeight="1">
      <c r="A318" s="24"/>
      <c r="B318" s="24"/>
      <c r="C318" s="24"/>
      <c r="D318" s="23"/>
      <c r="E318" s="24"/>
      <c r="F318" s="24"/>
    </row>
    <row r="319" spans="1:6" ht="15.75" customHeight="1">
      <c r="A319" s="24"/>
      <c r="B319" s="24"/>
      <c r="C319" s="24"/>
      <c r="D319" s="23"/>
      <c r="E319" s="24"/>
      <c r="F319" s="24"/>
    </row>
    <row r="320" spans="1:6" ht="15.75" customHeight="1">
      <c r="A320" s="24"/>
      <c r="B320" s="24"/>
      <c r="C320" s="24"/>
      <c r="D320" s="23"/>
      <c r="E320" s="24"/>
      <c r="F320" s="24"/>
    </row>
    <row r="321" spans="1:6" ht="15.75" customHeight="1">
      <c r="A321" s="24"/>
      <c r="B321" s="24"/>
      <c r="C321" s="24"/>
      <c r="D321" s="23"/>
      <c r="E321" s="24"/>
      <c r="F321" s="24"/>
    </row>
    <row r="322" spans="1:6" ht="15.75" customHeight="1">
      <c r="A322" s="24"/>
      <c r="B322" s="24"/>
      <c r="C322" s="24"/>
      <c r="D322" s="23"/>
      <c r="E322" s="24"/>
      <c r="F322" s="24"/>
    </row>
    <row r="323" spans="1:6" ht="15.75" customHeight="1">
      <c r="A323" s="24"/>
      <c r="B323" s="24"/>
      <c r="C323" s="24"/>
      <c r="D323" s="23"/>
      <c r="E323" s="24"/>
      <c r="F323" s="24"/>
    </row>
    <row r="324" spans="1:6" ht="15.75" customHeight="1">
      <c r="A324" s="24"/>
      <c r="B324" s="24"/>
      <c r="C324" s="24"/>
      <c r="D324" s="23"/>
      <c r="E324" s="24"/>
      <c r="F324" s="24"/>
    </row>
    <row r="325" spans="1:6" ht="15.75" customHeight="1">
      <c r="A325" s="24"/>
      <c r="B325" s="24"/>
      <c r="C325" s="24"/>
      <c r="D325" s="23"/>
      <c r="E325" s="24"/>
      <c r="F325" s="24"/>
    </row>
    <row r="326" spans="1:6" ht="15.75" customHeight="1">
      <c r="A326" s="24"/>
      <c r="B326" s="24"/>
      <c r="C326" s="24"/>
      <c r="D326" s="23"/>
      <c r="E326" s="24"/>
      <c r="F326" s="24"/>
    </row>
    <row r="327" spans="1:6" ht="15.75" customHeight="1">
      <c r="A327" s="24"/>
      <c r="B327" s="24"/>
      <c r="C327" s="24"/>
      <c r="D327" s="23"/>
      <c r="E327" s="24"/>
      <c r="F327" s="24"/>
    </row>
    <row r="328" spans="1:6" ht="15.75" customHeight="1">
      <c r="A328" s="24"/>
      <c r="B328" s="24"/>
      <c r="C328" s="24"/>
      <c r="D328" s="23"/>
      <c r="E328" s="24"/>
      <c r="F328" s="24"/>
    </row>
    <row r="329" spans="1:6" ht="15.75" customHeight="1">
      <c r="A329" s="24"/>
      <c r="B329" s="24"/>
      <c r="C329" s="24"/>
      <c r="D329" s="23"/>
      <c r="E329" s="24"/>
      <c r="F329" s="24"/>
    </row>
    <row r="330" spans="1:6" ht="15.75" customHeight="1">
      <c r="A330" s="24"/>
      <c r="B330" s="24"/>
      <c r="C330" s="24"/>
      <c r="D330" s="23"/>
      <c r="E330" s="24"/>
      <c r="F330" s="24"/>
    </row>
    <row r="331" spans="1:6" ht="15.75" customHeight="1">
      <c r="A331" s="24"/>
      <c r="B331" s="24"/>
      <c r="C331" s="24"/>
      <c r="D331" s="23"/>
      <c r="E331" s="24"/>
      <c r="F331" s="24"/>
    </row>
    <row r="332" spans="1:6" ht="15.75" customHeight="1">
      <c r="A332" s="24"/>
      <c r="B332" s="24"/>
      <c r="C332" s="24"/>
      <c r="D332" s="23"/>
      <c r="E332" s="24"/>
      <c r="F332" s="24"/>
    </row>
    <row r="333" spans="1:6" ht="15.75" customHeight="1">
      <c r="A333" s="24"/>
      <c r="B333" s="24"/>
      <c r="C333" s="24"/>
      <c r="D333" s="23"/>
      <c r="E333" s="24"/>
      <c r="F333" s="24"/>
    </row>
    <row r="334" spans="1:6" ht="15.75" customHeight="1">
      <c r="A334" s="24"/>
      <c r="B334" s="24"/>
      <c r="C334" s="24"/>
      <c r="D334" s="23"/>
      <c r="E334" s="24"/>
      <c r="F334" s="24"/>
    </row>
    <row r="335" spans="1:6" ht="15.75" customHeight="1">
      <c r="A335" s="24"/>
      <c r="B335" s="24"/>
      <c r="C335" s="24"/>
      <c r="D335" s="23"/>
      <c r="E335" s="24"/>
      <c r="F335" s="24"/>
    </row>
    <row r="336" spans="1:6" ht="15.75" customHeight="1">
      <c r="A336" s="24"/>
      <c r="B336" s="24"/>
      <c r="C336" s="24"/>
      <c r="D336" s="23"/>
      <c r="E336" s="24"/>
      <c r="F336" s="24"/>
    </row>
    <row r="337" spans="1:6" ht="15.75" customHeight="1">
      <c r="A337" s="24"/>
      <c r="B337" s="24"/>
      <c r="C337" s="24"/>
      <c r="D337" s="23"/>
      <c r="E337" s="24"/>
      <c r="F337" s="24"/>
    </row>
    <row r="338" spans="1:6" ht="15.75" customHeight="1">
      <c r="A338" s="24"/>
      <c r="B338" s="24"/>
      <c r="C338" s="24"/>
      <c r="D338" s="23"/>
      <c r="E338" s="24"/>
      <c r="F338" s="24"/>
    </row>
    <row r="339" spans="1:6" ht="15.75" customHeight="1">
      <c r="A339" s="24"/>
      <c r="B339" s="24"/>
      <c r="C339" s="24"/>
      <c r="D339" s="23"/>
      <c r="E339" s="24"/>
      <c r="F339" s="24"/>
    </row>
    <row r="340" spans="1:6" ht="15.75" customHeight="1">
      <c r="A340" s="24"/>
      <c r="B340" s="24"/>
      <c r="C340" s="24"/>
      <c r="D340" s="23"/>
      <c r="E340" s="24"/>
      <c r="F340" s="24"/>
    </row>
    <row r="341" spans="1:6" ht="15.75" customHeight="1">
      <c r="A341" s="24"/>
      <c r="B341" s="24"/>
      <c r="C341" s="24"/>
      <c r="D341" s="23"/>
      <c r="E341" s="24"/>
      <c r="F341" s="24"/>
    </row>
    <row r="342" spans="1:6" ht="15.75" customHeight="1">
      <c r="A342" s="24"/>
      <c r="B342" s="24"/>
      <c r="C342" s="24"/>
      <c r="D342" s="23"/>
      <c r="E342" s="24"/>
      <c r="F342" s="24"/>
    </row>
    <row r="343" spans="1:6" ht="15.75" customHeight="1">
      <c r="A343" s="24"/>
      <c r="B343" s="24"/>
      <c r="C343" s="24"/>
      <c r="D343" s="23"/>
      <c r="E343" s="24"/>
      <c r="F343" s="24"/>
    </row>
    <row r="344" spans="1:6" ht="15.75" customHeight="1">
      <c r="A344" s="24"/>
      <c r="B344" s="24"/>
      <c r="C344" s="24"/>
      <c r="D344" s="23"/>
      <c r="E344" s="24"/>
      <c r="F344" s="24"/>
    </row>
    <row r="345" spans="1:6" ht="15.75" customHeight="1">
      <c r="A345" s="24"/>
      <c r="B345" s="24"/>
      <c r="C345" s="24"/>
      <c r="D345" s="23"/>
      <c r="E345" s="24"/>
      <c r="F345" s="24"/>
    </row>
    <row r="346" spans="1:6" ht="15.75" customHeight="1">
      <c r="A346" s="24"/>
      <c r="B346" s="24"/>
      <c r="C346" s="24"/>
      <c r="D346" s="23"/>
      <c r="E346" s="24"/>
      <c r="F346" s="24"/>
    </row>
    <row r="347" spans="1:6" ht="15.75" customHeight="1">
      <c r="A347" s="24"/>
      <c r="B347" s="24"/>
      <c r="C347" s="24"/>
      <c r="D347" s="23"/>
      <c r="E347" s="24"/>
      <c r="F347" s="24"/>
    </row>
    <row r="348" spans="1:6" ht="15.75" customHeight="1">
      <c r="A348" s="24"/>
      <c r="B348" s="24"/>
      <c r="C348" s="24"/>
      <c r="D348" s="23"/>
      <c r="E348" s="24"/>
      <c r="F348" s="24"/>
    </row>
    <row r="349" spans="1:6" ht="15.75" customHeight="1">
      <c r="A349" s="24"/>
      <c r="B349" s="24"/>
      <c r="C349" s="24"/>
      <c r="D349" s="23"/>
      <c r="E349" s="24"/>
      <c r="F349" s="24"/>
    </row>
    <row r="350" spans="1:6" ht="15.75" customHeight="1">
      <c r="A350" s="24"/>
      <c r="B350" s="24"/>
      <c r="C350" s="24"/>
      <c r="D350" s="23"/>
      <c r="E350" s="24"/>
      <c r="F350" s="24"/>
    </row>
    <row r="351" spans="1:6" ht="15.75" customHeight="1">
      <c r="A351" s="24"/>
      <c r="B351" s="24"/>
      <c r="C351" s="24"/>
      <c r="D351" s="23"/>
      <c r="E351" s="24"/>
      <c r="F351" s="24"/>
    </row>
    <row r="352" spans="1:6" ht="15.75" customHeight="1">
      <c r="A352" s="24"/>
      <c r="B352" s="24"/>
      <c r="C352" s="24"/>
      <c r="D352" s="23"/>
      <c r="E352" s="24"/>
      <c r="F352" s="24"/>
    </row>
    <row r="353" spans="1:6" ht="15.75" customHeight="1">
      <c r="A353" s="24"/>
      <c r="B353" s="24"/>
      <c r="C353" s="24"/>
      <c r="D353" s="23"/>
      <c r="E353" s="24"/>
      <c r="F353" s="24"/>
    </row>
    <row r="354" spans="1:6" ht="15.75" customHeight="1">
      <c r="A354" s="24"/>
      <c r="B354" s="24"/>
      <c r="C354" s="24"/>
      <c r="D354" s="23"/>
      <c r="E354" s="24"/>
      <c r="F354" s="24"/>
    </row>
    <row r="355" spans="1:6" ht="15.75" customHeight="1">
      <c r="A355" s="24"/>
      <c r="B355" s="24"/>
      <c r="C355" s="24"/>
      <c r="D355" s="23"/>
      <c r="E355" s="24"/>
      <c r="F355" s="24"/>
    </row>
    <row r="356" spans="1:6" ht="15.75" customHeight="1">
      <c r="A356" s="24"/>
      <c r="B356" s="24"/>
      <c r="C356" s="24"/>
      <c r="D356" s="23"/>
      <c r="E356" s="24"/>
      <c r="F356" s="24"/>
    </row>
    <row r="357" spans="1:6" ht="15.75" customHeight="1">
      <c r="A357" s="24"/>
      <c r="B357" s="24"/>
      <c r="C357" s="24"/>
      <c r="D357" s="23"/>
      <c r="E357" s="24"/>
      <c r="F357" s="24"/>
    </row>
    <row r="358" spans="1:6" ht="15.75" customHeight="1">
      <c r="A358" s="24"/>
      <c r="B358" s="24"/>
      <c r="C358" s="24"/>
      <c r="D358" s="23"/>
      <c r="E358" s="24"/>
      <c r="F358" s="24"/>
    </row>
    <row r="359" spans="1:6" ht="15.75" customHeight="1">
      <c r="A359" s="24"/>
      <c r="B359" s="24"/>
      <c r="C359" s="24"/>
      <c r="D359" s="23"/>
      <c r="E359" s="24"/>
      <c r="F359" s="24"/>
    </row>
    <row r="360" spans="1:6" ht="15.75" customHeight="1">
      <c r="A360" s="24"/>
      <c r="B360" s="24"/>
      <c r="C360" s="24"/>
      <c r="D360" s="23"/>
      <c r="E360" s="24"/>
      <c r="F360" s="24"/>
    </row>
    <row r="361" spans="1:6" ht="15.75" customHeight="1">
      <c r="A361" s="24"/>
      <c r="B361" s="24"/>
      <c r="C361" s="24"/>
      <c r="D361" s="23"/>
      <c r="E361" s="24"/>
      <c r="F361" s="24"/>
    </row>
    <row r="362" spans="1:6" ht="15.75" customHeight="1">
      <c r="A362" s="24"/>
      <c r="B362" s="24"/>
      <c r="C362" s="24"/>
      <c r="D362" s="23"/>
      <c r="E362" s="24"/>
      <c r="F362" s="24"/>
    </row>
    <row r="363" spans="1:6" ht="15.75" customHeight="1">
      <c r="A363" s="24"/>
      <c r="B363" s="24"/>
      <c r="C363" s="24"/>
      <c r="D363" s="23"/>
      <c r="E363" s="24"/>
      <c r="F363" s="24"/>
    </row>
    <row r="364" spans="1:6" ht="15.75" customHeight="1">
      <c r="A364" s="24"/>
      <c r="B364" s="24"/>
      <c r="C364" s="24"/>
      <c r="D364" s="23"/>
      <c r="E364" s="24"/>
      <c r="F364" s="24"/>
    </row>
    <row r="365" spans="1:6" ht="15.75" customHeight="1">
      <c r="A365" s="24"/>
      <c r="B365" s="24"/>
      <c r="C365" s="24"/>
      <c r="D365" s="23"/>
      <c r="E365" s="24"/>
      <c r="F365" s="24"/>
    </row>
    <row r="366" spans="1:6" ht="15.75" customHeight="1">
      <c r="A366" s="24"/>
      <c r="B366" s="24"/>
      <c r="C366" s="24"/>
      <c r="D366" s="23"/>
      <c r="E366" s="24"/>
      <c r="F366" s="24"/>
    </row>
    <row r="367" spans="1:6" ht="15.75" customHeight="1">
      <c r="A367" s="24"/>
      <c r="B367" s="24"/>
      <c r="C367" s="24"/>
      <c r="D367" s="23"/>
      <c r="E367" s="24"/>
      <c r="F367" s="24"/>
    </row>
    <row r="368" spans="1:6" ht="15.75" customHeight="1">
      <c r="A368" s="24"/>
      <c r="B368" s="24"/>
      <c r="C368" s="24"/>
      <c r="D368" s="23"/>
      <c r="E368" s="24"/>
      <c r="F368" s="24"/>
    </row>
    <row r="369" spans="1:6" ht="15.75" customHeight="1">
      <c r="A369" s="24"/>
      <c r="B369" s="24"/>
      <c r="C369" s="24"/>
      <c r="D369" s="23"/>
      <c r="E369" s="24"/>
      <c r="F369" s="24"/>
    </row>
    <row r="370" spans="1:6" ht="15.75" customHeight="1">
      <c r="A370" s="24"/>
      <c r="B370" s="24"/>
      <c r="C370" s="24"/>
      <c r="D370" s="23"/>
      <c r="E370" s="24"/>
      <c r="F370" s="24"/>
    </row>
    <row r="371" spans="1:6" ht="15.75" customHeight="1">
      <c r="A371" s="24"/>
      <c r="B371" s="24"/>
      <c r="C371" s="24"/>
      <c r="D371" s="23"/>
      <c r="E371" s="24"/>
      <c r="F371" s="24"/>
    </row>
    <row r="372" spans="1:6" ht="15.75" customHeight="1">
      <c r="A372" s="24"/>
      <c r="B372" s="24"/>
      <c r="C372" s="24"/>
      <c r="D372" s="23"/>
      <c r="E372" s="24"/>
      <c r="F372" s="24"/>
    </row>
    <row r="373" spans="1:6" ht="15.75" customHeight="1">
      <c r="A373" s="24"/>
      <c r="B373" s="24"/>
      <c r="C373" s="24"/>
      <c r="D373" s="23"/>
      <c r="E373" s="24"/>
      <c r="F373" s="24"/>
    </row>
    <row r="374" spans="1:6" ht="15.75" customHeight="1">
      <c r="A374" s="24"/>
      <c r="B374" s="24"/>
      <c r="C374" s="24"/>
      <c r="D374" s="23"/>
      <c r="E374" s="24"/>
      <c r="F374" s="24"/>
    </row>
    <row r="375" spans="1:6" ht="15.75" customHeight="1">
      <c r="A375" s="24"/>
      <c r="B375" s="24"/>
      <c r="C375" s="24"/>
      <c r="D375" s="23"/>
      <c r="E375" s="24"/>
      <c r="F375" s="24"/>
    </row>
    <row r="376" spans="1:6" ht="15.75" customHeight="1">
      <c r="A376" s="24"/>
      <c r="B376" s="24"/>
      <c r="C376" s="24"/>
      <c r="D376" s="23"/>
      <c r="E376" s="24"/>
      <c r="F376" s="24"/>
    </row>
    <row r="377" spans="1:6" ht="15.75" customHeight="1">
      <c r="A377" s="24"/>
      <c r="B377" s="24"/>
      <c r="C377" s="24"/>
      <c r="D377" s="23"/>
      <c r="E377" s="24"/>
      <c r="F377" s="24"/>
    </row>
    <row r="378" spans="1:6" ht="15.75" customHeight="1">
      <c r="A378" s="24"/>
      <c r="B378" s="24"/>
      <c r="C378" s="24"/>
      <c r="D378" s="23"/>
      <c r="E378" s="24"/>
      <c r="F378" s="24"/>
    </row>
    <row r="379" spans="1:6" ht="15.75" customHeight="1">
      <c r="A379" s="24"/>
      <c r="B379" s="24"/>
      <c r="C379" s="24"/>
      <c r="D379" s="23"/>
      <c r="E379" s="24"/>
      <c r="F379" s="24"/>
    </row>
    <row r="380" spans="1:6" ht="15.75" customHeight="1">
      <c r="A380" s="24"/>
      <c r="B380" s="24"/>
      <c r="C380" s="24"/>
      <c r="D380" s="23"/>
      <c r="E380" s="24"/>
      <c r="F380" s="24"/>
    </row>
    <row r="381" spans="1:6" ht="15.75" customHeight="1">
      <c r="A381" s="24"/>
      <c r="B381" s="24"/>
      <c r="C381" s="24"/>
      <c r="D381" s="23"/>
      <c r="E381" s="24"/>
      <c r="F381" s="24"/>
    </row>
    <row r="382" spans="1:6" ht="15.75" customHeight="1">
      <c r="A382" s="24"/>
      <c r="B382" s="24"/>
      <c r="C382" s="24"/>
      <c r="D382" s="23"/>
      <c r="E382" s="24"/>
      <c r="F382" s="24"/>
    </row>
    <row r="383" spans="1:6" ht="15.75" customHeight="1">
      <c r="A383" s="24"/>
      <c r="B383" s="24"/>
      <c r="C383" s="24"/>
      <c r="D383" s="23"/>
      <c r="E383" s="24"/>
      <c r="F383" s="24"/>
    </row>
    <row r="384" spans="1:6" ht="15.75" customHeight="1">
      <c r="A384" s="24"/>
      <c r="B384" s="24"/>
      <c r="C384" s="24"/>
      <c r="D384" s="23"/>
      <c r="E384" s="24"/>
      <c r="F384" s="24"/>
    </row>
    <row r="385" spans="1:6" ht="15.75" customHeight="1">
      <c r="A385" s="24"/>
      <c r="B385" s="24"/>
      <c r="C385" s="24"/>
      <c r="D385" s="23"/>
      <c r="E385" s="24"/>
      <c r="F385" s="24"/>
    </row>
    <row r="386" spans="1:6" ht="15.75" customHeight="1">
      <c r="A386" s="24"/>
      <c r="B386" s="24"/>
      <c r="C386" s="24"/>
      <c r="D386" s="23"/>
      <c r="E386" s="24"/>
      <c r="F386" s="24"/>
    </row>
    <row r="387" spans="1:6" ht="15.75" customHeight="1">
      <c r="A387" s="24"/>
      <c r="B387" s="24"/>
      <c r="C387" s="24"/>
      <c r="D387" s="23"/>
      <c r="E387" s="24"/>
      <c r="F387" s="24"/>
    </row>
    <row r="388" spans="1:6" ht="15.75" customHeight="1">
      <c r="A388" s="24"/>
      <c r="B388" s="24"/>
      <c r="C388" s="24"/>
      <c r="D388" s="23"/>
      <c r="E388" s="24"/>
      <c r="F388" s="24"/>
    </row>
    <row r="389" spans="1:6" ht="15.75" customHeight="1">
      <c r="A389" s="24"/>
      <c r="B389" s="24"/>
      <c r="C389" s="24"/>
      <c r="D389" s="23"/>
      <c r="E389" s="24"/>
      <c r="F389" s="24"/>
    </row>
    <row r="390" spans="1:6" ht="15.75" customHeight="1">
      <c r="A390" s="24"/>
      <c r="B390" s="24"/>
      <c r="C390" s="24"/>
      <c r="D390" s="23"/>
      <c r="E390" s="24"/>
      <c r="F390" s="24"/>
    </row>
    <row r="391" spans="1:6" ht="15.75" customHeight="1">
      <c r="A391" s="24"/>
      <c r="B391" s="24"/>
      <c r="C391" s="24"/>
      <c r="D391" s="23"/>
      <c r="E391" s="24"/>
      <c r="F391" s="24"/>
    </row>
    <row r="392" spans="1:6" ht="15.75" customHeight="1">
      <c r="A392" s="24"/>
      <c r="B392" s="24"/>
      <c r="C392" s="24"/>
      <c r="D392" s="23"/>
      <c r="E392" s="24"/>
      <c r="F392" s="24"/>
    </row>
    <row r="393" spans="1:6" ht="15.75" customHeight="1">
      <c r="A393" s="24"/>
      <c r="B393" s="24"/>
      <c r="C393" s="24"/>
      <c r="D393" s="23"/>
      <c r="E393" s="24"/>
      <c r="F393" s="24"/>
    </row>
    <row r="394" spans="1:6" ht="15.75" customHeight="1">
      <c r="A394" s="24"/>
      <c r="B394" s="24"/>
      <c r="C394" s="24"/>
      <c r="D394" s="23"/>
      <c r="E394" s="24"/>
      <c r="F394" s="24"/>
    </row>
    <row r="395" spans="1:6" ht="15.75" customHeight="1">
      <c r="A395" s="24"/>
      <c r="B395" s="24"/>
      <c r="C395" s="24"/>
      <c r="D395" s="23"/>
      <c r="E395" s="24"/>
      <c r="F395" s="24"/>
    </row>
    <row r="396" spans="1:6" ht="15.75" customHeight="1">
      <c r="A396" s="24"/>
      <c r="B396" s="24"/>
      <c r="C396" s="24"/>
      <c r="D396" s="23"/>
      <c r="E396" s="24"/>
      <c r="F396" s="24"/>
    </row>
    <row r="397" spans="1:6" ht="15.75" customHeight="1">
      <c r="A397" s="24"/>
      <c r="B397" s="24"/>
      <c r="C397" s="24"/>
      <c r="D397" s="23"/>
      <c r="E397" s="24"/>
      <c r="F397" s="24"/>
    </row>
    <row r="398" spans="1:6" ht="15.75" customHeight="1">
      <c r="A398" s="24"/>
      <c r="B398" s="24"/>
      <c r="C398" s="24"/>
      <c r="D398" s="23"/>
      <c r="E398" s="24"/>
      <c r="F398" s="24"/>
    </row>
    <row r="399" spans="1:6" ht="15.75" customHeight="1">
      <c r="A399" s="24"/>
      <c r="B399" s="24"/>
      <c r="C399" s="24"/>
      <c r="D399" s="23"/>
      <c r="E399" s="24"/>
      <c r="F399" s="24"/>
    </row>
    <row r="400" spans="1:6" ht="15.75" customHeight="1">
      <c r="A400" s="24"/>
      <c r="B400" s="24"/>
      <c r="C400" s="24"/>
      <c r="D400" s="23"/>
      <c r="E400" s="24"/>
      <c r="F400" s="24"/>
    </row>
    <row r="401" spans="1:6" ht="15.75" customHeight="1">
      <c r="A401" s="24"/>
      <c r="B401" s="24"/>
      <c r="C401" s="24"/>
      <c r="D401" s="23"/>
      <c r="E401" s="24"/>
      <c r="F401" s="24"/>
    </row>
    <row r="402" spans="1:6" ht="15.75" customHeight="1">
      <c r="A402" s="24"/>
      <c r="B402" s="24"/>
      <c r="C402" s="24"/>
      <c r="D402" s="23"/>
      <c r="E402" s="24"/>
      <c r="F402" s="24"/>
    </row>
    <row r="403" spans="1:6" ht="15.75" customHeight="1">
      <c r="A403" s="24"/>
      <c r="B403" s="24"/>
      <c r="C403" s="24"/>
      <c r="D403" s="23"/>
      <c r="E403" s="24"/>
      <c r="F403" s="24"/>
    </row>
    <row r="404" spans="1:6" ht="15.75" customHeight="1">
      <c r="A404" s="24"/>
      <c r="B404" s="24"/>
      <c r="C404" s="24"/>
      <c r="D404" s="23"/>
      <c r="E404" s="24"/>
      <c r="F404" s="24"/>
    </row>
    <row r="405" spans="1:6" ht="15.75" customHeight="1">
      <c r="A405" s="24"/>
      <c r="B405" s="24"/>
      <c r="C405" s="24"/>
      <c r="D405" s="23"/>
      <c r="E405" s="24"/>
      <c r="F405" s="24"/>
    </row>
    <row r="406" spans="1:6" ht="15.75" customHeight="1">
      <c r="A406" s="24"/>
      <c r="B406" s="24"/>
      <c r="C406" s="24"/>
      <c r="D406" s="23"/>
      <c r="E406" s="24"/>
      <c r="F406" s="24"/>
    </row>
    <row r="407" spans="1:6" ht="15.75" customHeight="1">
      <c r="A407" s="24"/>
      <c r="B407" s="24"/>
      <c r="C407" s="24"/>
      <c r="D407" s="23"/>
      <c r="E407" s="24"/>
      <c r="F407" s="24"/>
    </row>
    <row r="408" spans="1:6" ht="15.75" customHeight="1">
      <c r="A408" s="24"/>
      <c r="B408" s="24"/>
      <c r="C408" s="24"/>
      <c r="D408" s="23"/>
      <c r="E408" s="24"/>
      <c r="F408" s="24"/>
    </row>
    <row r="409" spans="1:6" ht="15.75" customHeight="1">
      <c r="A409" s="24"/>
      <c r="B409" s="24"/>
      <c r="C409" s="24"/>
      <c r="D409" s="23"/>
      <c r="E409" s="24"/>
      <c r="F409" s="24"/>
    </row>
    <row r="410" spans="1:6" ht="15.75" customHeight="1">
      <c r="A410" s="24"/>
      <c r="B410" s="24"/>
      <c r="C410" s="24"/>
      <c r="D410" s="23"/>
      <c r="E410" s="24"/>
      <c r="F410" s="24"/>
    </row>
    <row r="411" spans="1:6" ht="15.75" customHeight="1">
      <c r="A411" s="24"/>
      <c r="B411" s="24"/>
      <c r="C411" s="24"/>
      <c r="D411" s="23"/>
      <c r="E411" s="24"/>
      <c r="F411" s="24"/>
    </row>
    <row r="412" spans="1:6" ht="15.75" customHeight="1">
      <c r="A412" s="24"/>
      <c r="B412" s="24"/>
      <c r="C412" s="24"/>
      <c r="D412" s="23"/>
      <c r="E412" s="24"/>
      <c r="F412" s="24"/>
    </row>
    <row r="413" spans="1:6" ht="15.75" customHeight="1">
      <c r="A413" s="24"/>
      <c r="B413" s="24"/>
      <c r="C413" s="24"/>
      <c r="D413" s="23"/>
      <c r="E413" s="24"/>
      <c r="F413" s="24"/>
    </row>
    <row r="414" spans="1:6" ht="15.75" customHeight="1">
      <c r="A414" s="24"/>
      <c r="B414" s="24"/>
      <c r="C414" s="24"/>
      <c r="D414" s="23"/>
      <c r="E414" s="24"/>
      <c r="F414" s="24"/>
    </row>
    <row r="415" spans="1:6" ht="15.75" customHeight="1">
      <c r="A415" s="24"/>
      <c r="B415" s="24"/>
      <c r="C415" s="24"/>
      <c r="D415" s="23"/>
      <c r="E415" s="24"/>
      <c r="F415" s="24"/>
    </row>
    <row r="416" spans="1:6" ht="15.75" customHeight="1">
      <c r="A416" s="24"/>
      <c r="B416" s="24"/>
      <c r="C416" s="24"/>
      <c r="D416" s="23"/>
      <c r="E416" s="24"/>
      <c r="F416" s="24"/>
    </row>
    <row r="417" spans="1:6" ht="15.75" customHeight="1">
      <c r="A417" s="24"/>
      <c r="B417" s="24"/>
      <c r="C417" s="24"/>
      <c r="D417" s="23"/>
      <c r="E417" s="24"/>
      <c r="F417" s="24"/>
    </row>
    <row r="418" spans="1:6" ht="15.75" customHeight="1">
      <c r="A418" s="24"/>
      <c r="B418" s="24"/>
      <c r="C418" s="24"/>
      <c r="D418" s="23"/>
      <c r="E418" s="24"/>
      <c r="F418" s="24"/>
    </row>
    <row r="419" spans="1:6" ht="15.75" customHeight="1">
      <c r="A419" s="24"/>
      <c r="B419" s="24"/>
      <c r="C419" s="24"/>
      <c r="D419" s="23"/>
      <c r="E419" s="24"/>
      <c r="F419" s="24"/>
    </row>
    <row r="420" spans="1:6" ht="15.75" customHeight="1">
      <c r="A420" s="24"/>
      <c r="B420" s="24"/>
      <c r="C420" s="24"/>
      <c r="D420" s="23"/>
      <c r="E420" s="24"/>
      <c r="F420" s="24"/>
    </row>
    <row r="421" spans="1:6" ht="15.75" customHeight="1">
      <c r="A421" s="24"/>
      <c r="B421" s="24"/>
      <c r="C421" s="24"/>
      <c r="D421" s="23"/>
      <c r="E421" s="24"/>
      <c r="F421" s="24"/>
    </row>
    <row r="422" spans="1:6" ht="15.75" customHeight="1">
      <c r="A422" s="24"/>
      <c r="B422" s="24"/>
      <c r="C422" s="24"/>
      <c r="D422" s="23"/>
      <c r="E422" s="24"/>
      <c r="F422" s="24"/>
    </row>
    <row r="423" spans="1:6" ht="15.75" customHeight="1">
      <c r="A423" s="24"/>
      <c r="B423" s="24"/>
      <c r="C423" s="24"/>
      <c r="D423" s="23"/>
      <c r="E423" s="24"/>
      <c r="F423" s="24"/>
    </row>
    <row r="424" spans="1:6" ht="15.75" customHeight="1">
      <c r="A424" s="24"/>
      <c r="B424" s="24"/>
      <c r="C424" s="24"/>
      <c r="D424" s="23"/>
      <c r="E424" s="24"/>
      <c r="F424" s="24"/>
    </row>
    <row r="425" spans="1:6" ht="15.75" customHeight="1">
      <c r="A425" s="24"/>
      <c r="B425" s="24"/>
      <c r="C425" s="24"/>
      <c r="D425" s="23"/>
      <c r="E425" s="24"/>
      <c r="F425" s="24"/>
    </row>
    <row r="426" spans="1:6" ht="15.75" customHeight="1">
      <c r="A426" s="24"/>
      <c r="B426" s="24"/>
      <c r="C426" s="24"/>
      <c r="D426" s="23"/>
      <c r="E426" s="24"/>
      <c r="F426" s="24"/>
    </row>
    <row r="427" spans="1:6" ht="15.75" customHeight="1">
      <c r="A427" s="24"/>
      <c r="B427" s="24"/>
      <c r="C427" s="24"/>
      <c r="D427" s="23"/>
      <c r="E427" s="24"/>
      <c r="F427" s="24"/>
    </row>
    <row r="428" spans="1:6" ht="15.75" customHeight="1">
      <c r="A428" s="24"/>
      <c r="B428" s="24"/>
      <c r="C428" s="24"/>
      <c r="D428" s="23"/>
      <c r="E428" s="24"/>
      <c r="F428" s="24"/>
    </row>
    <row r="429" spans="1:6" ht="15.75" customHeight="1">
      <c r="A429" s="24"/>
      <c r="B429" s="24"/>
      <c r="C429" s="24"/>
      <c r="D429" s="23"/>
      <c r="E429" s="24"/>
      <c r="F429" s="24"/>
    </row>
    <row r="430" spans="1:6" ht="15.75" customHeight="1">
      <c r="A430" s="24"/>
      <c r="B430" s="24"/>
      <c r="C430" s="24"/>
      <c r="D430" s="23"/>
      <c r="E430" s="24"/>
      <c r="F430" s="24"/>
    </row>
    <row r="431" spans="1:6" ht="15.75" customHeight="1">
      <c r="A431" s="24"/>
      <c r="B431" s="24"/>
      <c r="C431" s="24"/>
      <c r="D431" s="23"/>
      <c r="E431" s="24"/>
      <c r="F431" s="24"/>
    </row>
    <row r="432" spans="1:6" ht="15.75" customHeight="1">
      <c r="A432" s="24"/>
      <c r="B432" s="24"/>
      <c r="C432" s="24"/>
      <c r="D432" s="23"/>
      <c r="E432" s="24"/>
      <c r="F432" s="24"/>
    </row>
    <row r="433" spans="1:6" ht="15.75" customHeight="1">
      <c r="A433" s="24"/>
      <c r="B433" s="24"/>
      <c r="C433" s="24"/>
      <c r="D433" s="23"/>
      <c r="E433" s="24"/>
      <c r="F433" s="24"/>
    </row>
    <row r="434" spans="1:6" ht="15.75" customHeight="1">
      <c r="A434" s="24"/>
      <c r="B434" s="24"/>
      <c r="C434" s="24"/>
      <c r="D434" s="23"/>
      <c r="E434" s="24"/>
      <c r="F434" s="24"/>
    </row>
    <row r="435" spans="1:6" ht="15.75" customHeight="1">
      <c r="A435" s="24"/>
      <c r="B435" s="24"/>
      <c r="C435" s="24"/>
      <c r="D435" s="23"/>
      <c r="E435" s="24"/>
      <c r="F435" s="24"/>
    </row>
    <row r="436" spans="1:6" ht="15.75" customHeight="1">
      <c r="A436" s="24"/>
      <c r="B436" s="24"/>
      <c r="C436" s="24"/>
      <c r="D436" s="23"/>
      <c r="E436" s="24"/>
      <c r="F436" s="24"/>
    </row>
    <row r="437" spans="1:6" ht="15.75" customHeight="1">
      <c r="A437" s="24"/>
      <c r="B437" s="24"/>
      <c r="C437" s="24"/>
      <c r="D437" s="23"/>
      <c r="E437" s="24"/>
      <c r="F437" s="24"/>
    </row>
    <row r="438" spans="1:6" ht="15.75" customHeight="1">
      <c r="A438" s="24"/>
      <c r="B438" s="24"/>
      <c r="C438" s="24"/>
      <c r="D438" s="23"/>
      <c r="E438" s="24"/>
      <c r="F438" s="24"/>
    </row>
    <row r="439" spans="1:6" ht="15.75" customHeight="1">
      <c r="A439" s="24"/>
      <c r="B439" s="24"/>
      <c r="C439" s="24"/>
      <c r="D439" s="23"/>
      <c r="E439" s="24"/>
      <c r="F439" s="24"/>
    </row>
    <row r="440" spans="1:6" ht="15.75" customHeight="1">
      <c r="A440" s="24"/>
      <c r="B440" s="24"/>
      <c r="C440" s="24"/>
      <c r="D440" s="23"/>
      <c r="E440" s="24"/>
      <c r="F440" s="24"/>
    </row>
    <row r="441" spans="1:6" ht="15.75" customHeight="1">
      <c r="A441" s="24"/>
      <c r="B441" s="24"/>
      <c r="C441" s="24"/>
      <c r="D441" s="23"/>
      <c r="E441" s="24"/>
      <c r="F441" s="24"/>
    </row>
    <row r="442" spans="1:6" ht="15.75" customHeight="1">
      <c r="A442" s="24"/>
      <c r="B442" s="24"/>
      <c r="C442" s="24"/>
      <c r="D442" s="23"/>
      <c r="E442" s="24"/>
      <c r="F442" s="24"/>
    </row>
    <row r="443" spans="1:6" ht="15.75" customHeight="1">
      <c r="A443" s="24"/>
      <c r="B443" s="24"/>
      <c r="C443" s="24"/>
      <c r="D443" s="23"/>
      <c r="E443" s="24"/>
      <c r="F443" s="24"/>
    </row>
    <row r="444" spans="1:6" ht="15.75" customHeight="1">
      <c r="A444" s="24"/>
      <c r="B444" s="24"/>
      <c r="C444" s="24"/>
      <c r="D444" s="23"/>
      <c r="E444" s="24"/>
      <c r="F444" s="24"/>
    </row>
    <row r="445" spans="1:6" ht="15.75" customHeight="1">
      <c r="A445" s="24"/>
      <c r="B445" s="24"/>
      <c r="C445" s="24"/>
      <c r="D445" s="23"/>
      <c r="E445" s="24"/>
      <c r="F445" s="24"/>
    </row>
    <row r="446" spans="1:6" ht="15.75" customHeight="1">
      <c r="A446" s="24"/>
      <c r="B446" s="24"/>
      <c r="C446" s="24"/>
      <c r="D446" s="23"/>
      <c r="E446" s="24"/>
      <c r="F446" s="24"/>
    </row>
    <row r="447" spans="1:6" ht="15.75" customHeight="1">
      <c r="A447" s="24"/>
      <c r="B447" s="24"/>
      <c r="C447" s="24"/>
      <c r="D447" s="23"/>
      <c r="E447" s="24"/>
      <c r="F447" s="24"/>
    </row>
    <row r="448" spans="1:6" ht="15.75" customHeight="1">
      <c r="A448" s="24"/>
      <c r="B448" s="24"/>
      <c r="C448" s="24"/>
      <c r="D448" s="23"/>
      <c r="E448" s="24"/>
      <c r="F448" s="24"/>
    </row>
    <row r="449" spans="1:6" ht="15.75" customHeight="1">
      <c r="A449" s="24"/>
      <c r="B449" s="24"/>
      <c r="C449" s="24"/>
      <c r="D449" s="23"/>
      <c r="E449" s="24"/>
      <c r="F449" s="24"/>
    </row>
    <row r="450" spans="1:6" ht="15.75" customHeight="1">
      <c r="A450" s="24"/>
      <c r="B450" s="24"/>
      <c r="C450" s="24"/>
      <c r="D450" s="23"/>
      <c r="E450" s="24"/>
      <c r="F450" s="24"/>
    </row>
    <row r="451" spans="1:6" ht="15.75" customHeight="1">
      <c r="A451" s="24"/>
      <c r="B451" s="24"/>
      <c r="C451" s="24"/>
      <c r="D451" s="23"/>
      <c r="E451" s="24"/>
      <c r="F451" s="24"/>
    </row>
    <row r="452" spans="1:6" ht="15.75" customHeight="1">
      <c r="A452" s="24"/>
      <c r="B452" s="24"/>
      <c r="C452" s="24"/>
      <c r="D452" s="23"/>
      <c r="E452" s="24"/>
      <c r="F452" s="24"/>
    </row>
    <row r="453" spans="1:6" ht="15.75" customHeight="1">
      <c r="A453" s="24"/>
      <c r="B453" s="24"/>
      <c r="C453" s="24"/>
      <c r="D453" s="23"/>
      <c r="E453" s="24"/>
      <c r="F453" s="24"/>
    </row>
    <row r="454" spans="1:6" ht="15.75" customHeight="1">
      <c r="A454" s="24"/>
      <c r="B454" s="24"/>
      <c r="C454" s="24"/>
      <c r="D454" s="23"/>
      <c r="E454" s="24"/>
      <c r="F454" s="24"/>
    </row>
    <row r="455" spans="1:6" ht="15.75" customHeight="1">
      <c r="A455" s="24"/>
      <c r="B455" s="24"/>
      <c r="C455" s="24"/>
      <c r="D455" s="23"/>
      <c r="E455" s="24"/>
      <c r="F455" s="24"/>
    </row>
    <row r="456" spans="1:6" ht="15.75" customHeight="1">
      <c r="A456" s="24"/>
      <c r="B456" s="24"/>
      <c r="C456" s="24"/>
      <c r="D456" s="23"/>
      <c r="E456" s="24"/>
      <c r="F456" s="24"/>
    </row>
    <row r="457" spans="1:6" ht="15.75" customHeight="1">
      <c r="A457" s="24"/>
      <c r="B457" s="24"/>
      <c r="C457" s="24"/>
      <c r="D457" s="23"/>
      <c r="E457" s="24"/>
      <c r="F457" s="24"/>
    </row>
    <row r="458" spans="1:6" ht="15.75" customHeight="1">
      <c r="A458" s="24"/>
      <c r="B458" s="24"/>
      <c r="C458" s="24"/>
      <c r="D458" s="23"/>
      <c r="E458" s="24"/>
      <c r="F458" s="24"/>
    </row>
    <row r="459" spans="1:6" ht="15.75" customHeight="1">
      <c r="A459" s="24"/>
      <c r="B459" s="24"/>
      <c r="C459" s="24"/>
      <c r="D459" s="23"/>
      <c r="E459" s="24"/>
      <c r="F459" s="24"/>
    </row>
    <row r="460" spans="1:6" ht="15.75" customHeight="1">
      <c r="A460" s="24"/>
      <c r="B460" s="24"/>
      <c r="C460" s="24"/>
      <c r="D460" s="23"/>
      <c r="E460" s="24"/>
      <c r="F460" s="24"/>
    </row>
    <row r="461" spans="1:6" ht="15.75" customHeight="1">
      <c r="A461" s="24"/>
      <c r="B461" s="24"/>
      <c r="C461" s="24"/>
      <c r="D461" s="23"/>
      <c r="E461" s="24"/>
      <c r="F461" s="24"/>
    </row>
    <row r="462" spans="1:6" ht="15.75" customHeight="1">
      <c r="A462" s="24"/>
      <c r="B462" s="24"/>
      <c r="C462" s="24"/>
      <c r="D462" s="23"/>
      <c r="E462" s="24"/>
      <c r="F462" s="24"/>
    </row>
    <row r="463" spans="1:6" ht="15.75" customHeight="1">
      <c r="A463" s="24"/>
      <c r="B463" s="24"/>
      <c r="C463" s="24"/>
      <c r="D463" s="23"/>
      <c r="E463" s="24"/>
      <c r="F463" s="24"/>
    </row>
    <row r="464" spans="1:6" ht="15.75" customHeight="1">
      <c r="A464" s="24"/>
      <c r="B464" s="24"/>
      <c r="C464" s="24"/>
      <c r="D464" s="23"/>
      <c r="E464" s="24"/>
      <c r="F464" s="24"/>
    </row>
    <row r="465" spans="1:6" ht="15.75" customHeight="1">
      <c r="A465" s="24"/>
      <c r="B465" s="24"/>
      <c r="C465" s="24"/>
      <c r="D465" s="23"/>
      <c r="E465" s="24"/>
      <c r="F465" s="24"/>
    </row>
    <row r="466" spans="1:6" ht="15.75" customHeight="1">
      <c r="A466" s="24"/>
      <c r="B466" s="24"/>
      <c r="C466" s="24"/>
      <c r="D466" s="23"/>
      <c r="E466" s="24"/>
      <c r="F466" s="24"/>
    </row>
    <row r="467" spans="1:6" ht="15.75" customHeight="1">
      <c r="A467" s="24"/>
      <c r="B467" s="24"/>
      <c r="C467" s="24"/>
      <c r="D467" s="23"/>
      <c r="E467" s="24"/>
      <c r="F467" s="24"/>
    </row>
    <row r="468" spans="1:6" ht="15.75" customHeight="1">
      <c r="A468" s="24"/>
      <c r="B468" s="24"/>
      <c r="C468" s="24"/>
      <c r="D468" s="23"/>
      <c r="E468" s="24"/>
      <c r="F468" s="24"/>
    </row>
    <row r="469" spans="1:6" ht="15.75" customHeight="1">
      <c r="A469" s="24"/>
      <c r="B469" s="24"/>
      <c r="C469" s="24"/>
      <c r="D469" s="23"/>
      <c r="E469" s="24"/>
      <c r="F469" s="24"/>
    </row>
    <row r="470" spans="1:6" ht="15.75" customHeight="1">
      <c r="A470" s="24"/>
      <c r="B470" s="24"/>
      <c r="C470" s="24"/>
      <c r="D470" s="23"/>
      <c r="E470" s="24"/>
      <c r="F470" s="24"/>
    </row>
    <row r="471" spans="1:6" ht="15.75" customHeight="1">
      <c r="A471" s="24"/>
      <c r="B471" s="24"/>
      <c r="C471" s="24"/>
      <c r="D471" s="23"/>
      <c r="E471" s="24"/>
      <c r="F471" s="24"/>
    </row>
    <row r="472" spans="1:6" ht="15.75" customHeight="1">
      <c r="A472" s="24"/>
      <c r="B472" s="24"/>
      <c r="C472" s="24"/>
      <c r="D472" s="23"/>
      <c r="E472" s="24"/>
      <c r="F472" s="24"/>
    </row>
    <row r="473" spans="1:6" ht="15.75" customHeight="1">
      <c r="A473" s="24"/>
      <c r="B473" s="24"/>
      <c r="C473" s="24"/>
      <c r="D473" s="23"/>
      <c r="E473" s="24"/>
      <c r="F473" s="24"/>
    </row>
    <row r="474" spans="1:6" ht="15.75" customHeight="1">
      <c r="A474" s="24"/>
      <c r="B474" s="24"/>
      <c r="C474" s="24"/>
      <c r="D474" s="23"/>
      <c r="E474" s="24"/>
      <c r="F474" s="24"/>
    </row>
    <row r="475" spans="1:6" ht="15.75" customHeight="1">
      <c r="A475" s="24"/>
      <c r="B475" s="24"/>
      <c r="C475" s="24"/>
      <c r="D475" s="23"/>
      <c r="E475" s="24"/>
      <c r="F475" s="24"/>
    </row>
    <row r="476" spans="1:6" ht="15.75" customHeight="1">
      <c r="A476" s="24"/>
      <c r="B476" s="24"/>
      <c r="C476" s="24"/>
      <c r="D476" s="23"/>
      <c r="E476" s="24"/>
      <c r="F476" s="24"/>
    </row>
    <row r="477" spans="1:6" ht="15.75" customHeight="1">
      <c r="A477" s="24"/>
      <c r="B477" s="24"/>
      <c r="C477" s="24"/>
      <c r="D477" s="23"/>
      <c r="E477" s="24"/>
      <c r="F477" s="24"/>
    </row>
    <row r="478" spans="1:6" ht="15.75" customHeight="1">
      <c r="A478" s="24"/>
      <c r="B478" s="24"/>
      <c r="C478" s="24"/>
      <c r="D478" s="23"/>
      <c r="E478" s="24"/>
      <c r="F478" s="24"/>
    </row>
    <row r="479" spans="1:6" ht="15.75" customHeight="1">
      <c r="A479" s="24"/>
      <c r="B479" s="24"/>
      <c r="C479" s="24"/>
      <c r="D479" s="23"/>
      <c r="E479" s="24"/>
      <c r="F479" s="24"/>
    </row>
    <row r="480" spans="1:6" ht="15.75" customHeight="1">
      <c r="A480" s="24"/>
      <c r="B480" s="24"/>
      <c r="C480" s="24"/>
      <c r="D480" s="23"/>
      <c r="E480" s="24"/>
      <c r="F480" s="24"/>
    </row>
    <row r="481" spans="1:6" ht="15.75" customHeight="1">
      <c r="A481" s="24"/>
      <c r="B481" s="24"/>
      <c r="C481" s="24"/>
      <c r="D481" s="23"/>
      <c r="E481" s="24"/>
      <c r="F481" s="24"/>
    </row>
    <row r="482" spans="1:6" ht="15.75" customHeight="1">
      <c r="A482" s="24"/>
      <c r="B482" s="24"/>
      <c r="C482" s="24"/>
      <c r="D482" s="23"/>
      <c r="E482" s="24"/>
      <c r="F482" s="24"/>
    </row>
    <row r="483" spans="1:6" ht="15.75" customHeight="1">
      <c r="A483" s="24"/>
      <c r="B483" s="24"/>
      <c r="C483" s="24"/>
      <c r="D483" s="23"/>
      <c r="E483" s="24"/>
      <c r="F483" s="24"/>
    </row>
    <row r="484" spans="1:6" ht="15.75" customHeight="1">
      <c r="A484" s="24"/>
      <c r="B484" s="24"/>
      <c r="C484" s="24"/>
      <c r="D484" s="23"/>
      <c r="E484" s="24"/>
      <c r="F484" s="24"/>
    </row>
    <row r="485" spans="1:6" ht="15.75" customHeight="1">
      <c r="A485" s="24"/>
      <c r="B485" s="24"/>
      <c r="C485" s="24"/>
      <c r="D485" s="23"/>
      <c r="E485" s="24"/>
      <c r="F485" s="24"/>
    </row>
    <row r="486" spans="1:6" ht="15.75" customHeight="1">
      <c r="A486" s="24"/>
      <c r="B486" s="24"/>
      <c r="C486" s="24"/>
      <c r="D486" s="23"/>
      <c r="E486" s="24"/>
      <c r="F486" s="24"/>
    </row>
    <row r="487" spans="1:6" ht="15.75" customHeight="1">
      <c r="A487" s="24"/>
      <c r="B487" s="24"/>
      <c r="C487" s="24"/>
      <c r="D487" s="23"/>
      <c r="E487" s="24"/>
      <c r="F487" s="24"/>
    </row>
    <row r="488" spans="1:6" ht="15.75" customHeight="1">
      <c r="A488" s="24"/>
      <c r="B488" s="24"/>
      <c r="C488" s="24"/>
      <c r="D488" s="23"/>
      <c r="E488" s="24"/>
      <c r="F488" s="24"/>
    </row>
    <row r="489" spans="1:6" ht="15.75" customHeight="1">
      <c r="A489" s="24"/>
      <c r="B489" s="24"/>
      <c r="C489" s="24"/>
      <c r="D489" s="23"/>
      <c r="E489" s="24"/>
      <c r="F489" s="24"/>
    </row>
    <row r="490" spans="1:6" ht="15.75" customHeight="1">
      <c r="A490" s="24"/>
      <c r="B490" s="24"/>
      <c r="C490" s="24"/>
      <c r="D490" s="23"/>
      <c r="E490" s="24"/>
      <c r="F490" s="24"/>
    </row>
    <row r="491" spans="1:6" ht="15.75" customHeight="1">
      <c r="A491" s="24"/>
      <c r="B491" s="24"/>
      <c r="C491" s="24"/>
      <c r="D491" s="23"/>
      <c r="E491" s="24"/>
      <c r="F491" s="24"/>
    </row>
    <row r="492" spans="1:6" ht="15.75" customHeight="1">
      <c r="A492" s="24"/>
      <c r="B492" s="24"/>
      <c r="C492" s="24"/>
      <c r="D492" s="23"/>
      <c r="E492" s="24"/>
      <c r="F492" s="24"/>
    </row>
    <row r="493" spans="1:6" ht="15.75" customHeight="1">
      <c r="A493" s="24"/>
      <c r="B493" s="24"/>
      <c r="C493" s="24"/>
      <c r="D493" s="23"/>
      <c r="E493" s="24"/>
      <c r="F493" s="24"/>
    </row>
    <row r="494" spans="1:6" ht="15.75" customHeight="1">
      <c r="A494" s="24"/>
      <c r="B494" s="24"/>
      <c r="C494" s="24"/>
      <c r="D494" s="23"/>
      <c r="E494" s="24"/>
      <c r="F494" s="24"/>
    </row>
    <row r="495" spans="1:6" ht="15.75" customHeight="1">
      <c r="A495" s="24"/>
      <c r="B495" s="24"/>
      <c r="C495" s="24"/>
      <c r="D495" s="23"/>
      <c r="E495" s="24"/>
      <c r="F495" s="24"/>
    </row>
    <row r="496" spans="1:6" ht="15.75" customHeight="1">
      <c r="A496" s="24"/>
      <c r="B496" s="24"/>
      <c r="C496" s="24"/>
      <c r="D496" s="23"/>
      <c r="E496" s="24"/>
      <c r="F496" s="24"/>
    </row>
    <row r="497" spans="1:6" ht="15.75" customHeight="1">
      <c r="A497" s="24"/>
      <c r="B497" s="24"/>
      <c r="C497" s="24"/>
      <c r="D497" s="23"/>
      <c r="E497" s="24"/>
      <c r="F497" s="24"/>
    </row>
    <row r="498" spans="1:6" ht="15.75" customHeight="1">
      <c r="A498" s="24"/>
      <c r="B498" s="24"/>
      <c r="C498" s="24"/>
      <c r="D498" s="23"/>
      <c r="E498" s="24"/>
      <c r="F498" s="24"/>
    </row>
    <row r="499" spans="1:6" ht="15.75" customHeight="1">
      <c r="A499" s="24"/>
      <c r="B499" s="24"/>
      <c r="C499" s="24"/>
      <c r="D499" s="23"/>
      <c r="E499" s="24"/>
      <c r="F499" s="24"/>
    </row>
    <row r="500" spans="1:6" ht="15.75" customHeight="1">
      <c r="A500" s="24"/>
      <c r="B500" s="24"/>
      <c r="C500" s="24"/>
      <c r="D500" s="23"/>
      <c r="E500" s="24"/>
      <c r="F500" s="24"/>
    </row>
    <row r="501" spans="1:6" ht="15.75" customHeight="1">
      <c r="A501" s="24"/>
      <c r="B501" s="24"/>
      <c r="C501" s="24"/>
      <c r="D501" s="23"/>
      <c r="E501" s="24"/>
      <c r="F501" s="24"/>
    </row>
    <row r="502" spans="1:6" ht="15.75" customHeight="1">
      <c r="A502" s="24"/>
      <c r="B502" s="24"/>
      <c r="C502" s="24"/>
      <c r="D502" s="23"/>
      <c r="E502" s="24"/>
      <c r="F502" s="24"/>
    </row>
    <row r="503" spans="1:6" ht="15.75" customHeight="1">
      <c r="A503" s="24"/>
      <c r="B503" s="24"/>
      <c r="C503" s="24"/>
      <c r="D503" s="23"/>
      <c r="E503" s="24"/>
      <c r="F503" s="24"/>
    </row>
    <row r="504" spans="1:6" ht="15.75" customHeight="1">
      <c r="A504" s="24"/>
      <c r="B504" s="24"/>
      <c r="C504" s="24"/>
      <c r="D504" s="23"/>
      <c r="E504" s="24"/>
      <c r="F504" s="24"/>
    </row>
    <row r="505" spans="1:6" ht="15.75" customHeight="1">
      <c r="A505" s="24"/>
      <c r="B505" s="24"/>
      <c r="C505" s="24"/>
      <c r="D505" s="23"/>
      <c r="E505" s="24"/>
      <c r="F505" s="24"/>
    </row>
    <row r="506" spans="1:6" ht="15.75" customHeight="1">
      <c r="A506" s="24"/>
      <c r="B506" s="24"/>
      <c r="C506" s="24"/>
      <c r="D506" s="23"/>
      <c r="E506" s="24"/>
      <c r="F506" s="24"/>
    </row>
    <row r="507" spans="1:6" ht="15.75" customHeight="1">
      <c r="A507" s="24"/>
      <c r="B507" s="24"/>
      <c r="C507" s="24"/>
      <c r="D507" s="23"/>
      <c r="E507" s="24"/>
      <c r="F507" s="24"/>
    </row>
    <row r="508" spans="1:6" ht="15.75" customHeight="1">
      <c r="A508" s="24"/>
      <c r="B508" s="24"/>
      <c r="C508" s="24"/>
      <c r="D508" s="23"/>
      <c r="E508" s="24"/>
      <c r="F508" s="24"/>
    </row>
    <row r="509" spans="1:6" ht="15.75" customHeight="1">
      <c r="A509" s="24"/>
      <c r="B509" s="24"/>
      <c r="C509" s="24"/>
      <c r="D509" s="23"/>
      <c r="E509" s="24"/>
      <c r="F509" s="24"/>
    </row>
    <row r="510" spans="1:6" ht="15.75" customHeight="1">
      <c r="A510" s="24"/>
      <c r="B510" s="24"/>
      <c r="C510" s="24"/>
      <c r="D510" s="23"/>
      <c r="E510" s="24"/>
      <c r="F510" s="24"/>
    </row>
    <row r="511" spans="1:6" ht="15.75" customHeight="1">
      <c r="A511" s="24"/>
      <c r="B511" s="24"/>
      <c r="C511" s="24"/>
      <c r="D511" s="23"/>
      <c r="E511" s="24"/>
      <c r="F511" s="24"/>
    </row>
    <row r="512" spans="1:6" ht="15.75" customHeight="1">
      <c r="A512" s="24"/>
      <c r="B512" s="24"/>
      <c r="C512" s="24"/>
      <c r="D512" s="23"/>
      <c r="E512" s="24"/>
      <c r="F512" s="24"/>
    </row>
    <row r="513" spans="1:6" ht="15.75" customHeight="1">
      <c r="A513" s="24"/>
      <c r="B513" s="24"/>
      <c r="C513" s="24"/>
      <c r="D513" s="23"/>
      <c r="E513" s="24"/>
      <c r="F513" s="24"/>
    </row>
    <row r="514" spans="1:6" ht="15.75" customHeight="1">
      <c r="A514" s="24"/>
      <c r="B514" s="24"/>
      <c r="C514" s="24"/>
      <c r="D514" s="23"/>
      <c r="E514" s="24"/>
      <c r="F514" s="24"/>
    </row>
    <row r="515" spans="1:6" ht="15.75" customHeight="1">
      <c r="A515" s="24"/>
      <c r="B515" s="24"/>
      <c r="C515" s="24"/>
      <c r="D515" s="23"/>
      <c r="E515" s="24"/>
      <c r="F515" s="24"/>
    </row>
    <row r="516" spans="1:6" ht="15.75" customHeight="1">
      <c r="A516" s="24"/>
      <c r="B516" s="24"/>
      <c r="C516" s="24"/>
      <c r="D516" s="23"/>
      <c r="E516" s="24"/>
      <c r="F516" s="24"/>
    </row>
    <row r="517" spans="1:6" ht="15.75" customHeight="1">
      <c r="A517" s="24"/>
      <c r="B517" s="24"/>
      <c r="C517" s="24"/>
      <c r="D517" s="23"/>
      <c r="E517" s="24"/>
      <c r="F517" s="24"/>
    </row>
    <row r="518" spans="1:6" ht="15.75" customHeight="1">
      <c r="A518" s="24"/>
      <c r="B518" s="24"/>
      <c r="C518" s="24"/>
      <c r="D518" s="23"/>
      <c r="E518" s="24"/>
      <c r="F518" s="24"/>
    </row>
    <row r="519" spans="1:6" ht="15.75" customHeight="1">
      <c r="A519" s="24"/>
      <c r="B519" s="24"/>
      <c r="C519" s="24"/>
      <c r="D519" s="23"/>
      <c r="E519" s="24"/>
      <c r="F519" s="24"/>
    </row>
    <row r="520" spans="1:6" ht="15.75" customHeight="1">
      <c r="A520" s="24"/>
      <c r="B520" s="24"/>
      <c r="C520" s="24"/>
      <c r="D520" s="23"/>
      <c r="E520" s="24"/>
      <c r="F520" s="24"/>
    </row>
    <row r="521" spans="1:6" ht="15.75" customHeight="1">
      <c r="A521" s="24"/>
      <c r="B521" s="24"/>
      <c r="C521" s="24"/>
      <c r="D521" s="23"/>
      <c r="E521" s="24"/>
      <c r="F521" s="24"/>
    </row>
    <row r="522" spans="1:6" ht="15.75" customHeight="1">
      <c r="A522" s="24"/>
      <c r="B522" s="24"/>
      <c r="C522" s="24"/>
      <c r="D522" s="23"/>
      <c r="E522" s="24"/>
      <c r="F522" s="24"/>
    </row>
    <row r="523" spans="1:6" ht="15.75" customHeight="1">
      <c r="A523" s="24"/>
      <c r="B523" s="24"/>
      <c r="C523" s="24"/>
      <c r="D523" s="23"/>
      <c r="E523" s="24"/>
      <c r="F523" s="24"/>
    </row>
    <row r="524" spans="1:6" ht="15.75" customHeight="1">
      <c r="A524" s="24"/>
      <c r="B524" s="24"/>
      <c r="C524" s="24"/>
      <c r="D524" s="23"/>
      <c r="E524" s="24"/>
      <c r="F524" s="24"/>
    </row>
    <row r="525" spans="1:6" ht="15.75" customHeight="1">
      <c r="A525" s="24"/>
      <c r="B525" s="24"/>
      <c r="C525" s="24"/>
      <c r="D525" s="23"/>
      <c r="E525" s="24"/>
      <c r="F525" s="24"/>
    </row>
    <row r="526" spans="1:6" ht="15.75" customHeight="1">
      <c r="A526" s="24"/>
      <c r="B526" s="24"/>
      <c r="C526" s="24"/>
      <c r="D526" s="23"/>
      <c r="E526" s="24"/>
      <c r="F526" s="24"/>
    </row>
    <row r="527" spans="1:6" ht="15.75" customHeight="1">
      <c r="A527" s="24"/>
      <c r="B527" s="24"/>
      <c r="C527" s="24"/>
      <c r="D527" s="23"/>
      <c r="E527" s="24"/>
      <c r="F527" s="24"/>
    </row>
    <row r="528" spans="1:6" ht="15.75" customHeight="1">
      <c r="A528" s="24"/>
      <c r="B528" s="24"/>
      <c r="C528" s="24"/>
      <c r="D528" s="23"/>
      <c r="E528" s="24"/>
      <c r="F528" s="24"/>
    </row>
    <row r="529" spans="1:6" ht="15.75" customHeight="1">
      <c r="A529" s="24"/>
      <c r="B529" s="24"/>
      <c r="C529" s="24"/>
      <c r="D529" s="23"/>
      <c r="E529" s="24"/>
      <c r="F529" s="24"/>
    </row>
    <row r="530" spans="1:6" ht="15.75" customHeight="1">
      <c r="A530" s="24"/>
      <c r="B530" s="24"/>
      <c r="C530" s="24"/>
      <c r="D530" s="23"/>
      <c r="E530" s="24"/>
      <c r="F530" s="24"/>
    </row>
    <row r="531" spans="1:6" ht="15.75" customHeight="1">
      <c r="A531" s="24"/>
      <c r="B531" s="24"/>
      <c r="C531" s="24"/>
      <c r="D531" s="23"/>
      <c r="E531" s="24"/>
      <c r="F531" s="24"/>
    </row>
    <row r="532" spans="1:6" ht="15.75" customHeight="1">
      <c r="A532" s="24"/>
      <c r="B532" s="24"/>
      <c r="C532" s="24"/>
      <c r="D532" s="23"/>
      <c r="E532" s="24"/>
      <c r="F532" s="24"/>
    </row>
    <row r="533" spans="1:6" ht="15.75" customHeight="1">
      <c r="A533" s="24"/>
      <c r="B533" s="24"/>
      <c r="C533" s="24"/>
      <c r="D533" s="23"/>
      <c r="E533" s="24"/>
      <c r="F533" s="24"/>
    </row>
    <row r="534" spans="1:6" ht="15.75" customHeight="1">
      <c r="A534" s="24"/>
      <c r="B534" s="24"/>
      <c r="C534" s="24"/>
      <c r="D534" s="23"/>
      <c r="E534" s="24"/>
      <c r="F534" s="24"/>
    </row>
    <row r="535" spans="1:6" ht="15.75" customHeight="1">
      <c r="A535" s="24"/>
      <c r="B535" s="24"/>
      <c r="C535" s="24"/>
      <c r="D535" s="23"/>
      <c r="E535" s="24"/>
      <c r="F535" s="24"/>
    </row>
    <row r="536" spans="1:6" ht="15.75" customHeight="1">
      <c r="A536" s="24"/>
      <c r="B536" s="24"/>
      <c r="C536" s="24"/>
      <c r="D536" s="23"/>
      <c r="E536" s="24"/>
      <c r="F536" s="24"/>
    </row>
    <row r="537" spans="1:6" ht="15.75" customHeight="1">
      <c r="A537" s="24"/>
      <c r="B537" s="24"/>
      <c r="C537" s="24"/>
      <c r="D537" s="23"/>
      <c r="E537" s="24"/>
      <c r="F537" s="24"/>
    </row>
    <row r="538" spans="1:6" ht="15.75" customHeight="1">
      <c r="A538" s="24"/>
      <c r="B538" s="24"/>
      <c r="C538" s="24"/>
      <c r="D538" s="23"/>
      <c r="E538" s="24"/>
      <c r="F538" s="24"/>
    </row>
    <row r="539" spans="1:6" ht="15.75" customHeight="1">
      <c r="A539" s="24"/>
      <c r="B539" s="24"/>
      <c r="C539" s="24"/>
      <c r="D539" s="23"/>
      <c r="E539" s="24"/>
      <c r="F539" s="24"/>
    </row>
    <row r="540" spans="1:6" ht="15.75" customHeight="1">
      <c r="A540" s="24"/>
      <c r="B540" s="24"/>
      <c r="C540" s="24"/>
      <c r="D540" s="23"/>
      <c r="E540" s="24"/>
      <c r="F540" s="24"/>
    </row>
    <row r="541" spans="1:6" ht="15.75" customHeight="1">
      <c r="A541" s="24"/>
      <c r="B541" s="24"/>
      <c r="C541" s="24"/>
      <c r="D541" s="23"/>
      <c r="E541" s="24"/>
      <c r="F541" s="24"/>
    </row>
    <row r="542" spans="1:6" ht="15.75" customHeight="1">
      <c r="A542" s="24"/>
      <c r="B542" s="24"/>
      <c r="C542" s="24"/>
      <c r="D542" s="23"/>
      <c r="E542" s="24"/>
      <c r="F542" s="24"/>
    </row>
    <row r="543" spans="1:6" ht="15.75" customHeight="1">
      <c r="A543" s="24"/>
      <c r="B543" s="24"/>
      <c r="C543" s="24"/>
      <c r="D543" s="23"/>
      <c r="E543" s="24"/>
      <c r="F543" s="24"/>
    </row>
    <row r="544" spans="1:6" ht="15.75" customHeight="1">
      <c r="A544" s="24"/>
      <c r="B544" s="24"/>
      <c r="C544" s="24"/>
      <c r="D544" s="23"/>
      <c r="E544" s="24"/>
      <c r="F544" s="24"/>
    </row>
    <row r="545" spans="1:6" ht="15.75" customHeight="1">
      <c r="A545" s="24"/>
      <c r="B545" s="24"/>
      <c r="C545" s="24"/>
      <c r="D545" s="23"/>
      <c r="E545" s="24"/>
      <c r="F545" s="24"/>
    </row>
    <row r="546" spans="1:6" ht="15.75" customHeight="1">
      <c r="A546" s="24"/>
      <c r="B546" s="24"/>
      <c r="C546" s="24"/>
      <c r="D546" s="23"/>
      <c r="E546" s="24"/>
      <c r="F546" s="24"/>
    </row>
    <row r="547" spans="1:6" ht="15.75" customHeight="1">
      <c r="A547" s="24"/>
      <c r="B547" s="24"/>
      <c r="C547" s="24"/>
      <c r="D547" s="23"/>
      <c r="E547" s="24"/>
      <c r="F547" s="24"/>
    </row>
    <row r="548" spans="1:6" ht="15.75" customHeight="1">
      <c r="A548" s="24"/>
      <c r="B548" s="24"/>
      <c r="C548" s="24"/>
      <c r="D548" s="23"/>
      <c r="E548" s="24"/>
      <c r="F548" s="24"/>
    </row>
    <row r="549" spans="1:6" ht="15.75" customHeight="1">
      <c r="A549" s="24"/>
      <c r="B549" s="24"/>
      <c r="C549" s="24"/>
      <c r="D549" s="23"/>
      <c r="E549" s="24"/>
      <c r="F549" s="24"/>
    </row>
    <row r="550" spans="1:6" ht="15.75" customHeight="1">
      <c r="A550" s="24"/>
      <c r="B550" s="24"/>
      <c r="C550" s="24"/>
      <c r="D550" s="23"/>
      <c r="E550" s="24"/>
      <c r="F550" s="24"/>
    </row>
    <row r="551" spans="1:6" ht="15.75" customHeight="1">
      <c r="A551" s="24"/>
      <c r="B551" s="24"/>
      <c r="C551" s="24"/>
      <c r="D551" s="23"/>
      <c r="E551" s="24"/>
      <c r="F551" s="24"/>
    </row>
    <row r="552" spans="1:6" ht="15.75" customHeight="1">
      <c r="A552" s="24"/>
      <c r="B552" s="24"/>
      <c r="C552" s="24"/>
      <c r="D552" s="23"/>
      <c r="E552" s="24"/>
      <c r="F552" s="24"/>
    </row>
    <row r="553" spans="1:6" ht="15.75" customHeight="1">
      <c r="A553" s="24"/>
      <c r="B553" s="24"/>
      <c r="C553" s="24"/>
      <c r="D553" s="23"/>
      <c r="E553" s="24"/>
      <c r="F553" s="24"/>
    </row>
    <row r="554" spans="1:6" ht="15.75" customHeight="1">
      <c r="A554" s="24"/>
      <c r="B554" s="24"/>
      <c r="C554" s="24"/>
      <c r="D554" s="23"/>
      <c r="E554" s="24"/>
      <c r="F554" s="24"/>
    </row>
    <row r="555" spans="1:6" ht="15.75" customHeight="1">
      <c r="A555" s="24"/>
      <c r="B555" s="24"/>
      <c r="C555" s="24"/>
      <c r="D555" s="23"/>
      <c r="E555" s="24"/>
      <c r="F555" s="24"/>
    </row>
    <row r="556" spans="1:6" ht="15.75" customHeight="1">
      <c r="A556" s="24"/>
      <c r="B556" s="24"/>
      <c r="C556" s="24"/>
      <c r="D556" s="23"/>
      <c r="E556" s="24"/>
      <c r="F556" s="24"/>
    </row>
    <row r="557" spans="1:6" ht="15.75" customHeight="1">
      <c r="A557" s="24"/>
      <c r="B557" s="24"/>
      <c r="C557" s="24"/>
      <c r="D557" s="23"/>
      <c r="E557" s="24"/>
      <c r="F557" s="24"/>
    </row>
    <row r="558" spans="1:6" ht="15.75" customHeight="1">
      <c r="A558" s="24"/>
      <c r="B558" s="24"/>
      <c r="C558" s="24"/>
      <c r="D558" s="23"/>
      <c r="E558" s="24"/>
      <c r="F558" s="24"/>
    </row>
    <row r="559" spans="1:6" ht="15.75" customHeight="1">
      <c r="A559" s="24"/>
      <c r="B559" s="24"/>
      <c r="C559" s="24"/>
      <c r="D559" s="23"/>
      <c r="E559" s="24"/>
      <c r="F559" s="24"/>
    </row>
    <row r="560" spans="1:6" ht="15.75" customHeight="1">
      <c r="A560" s="24"/>
      <c r="B560" s="24"/>
      <c r="C560" s="24"/>
      <c r="D560" s="23"/>
      <c r="E560" s="24"/>
      <c r="F560" s="24"/>
    </row>
    <row r="561" spans="1:6" ht="15.75" customHeight="1">
      <c r="A561" s="24"/>
      <c r="B561" s="24"/>
      <c r="C561" s="24"/>
      <c r="D561" s="23"/>
      <c r="E561" s="24"/>
      <c r="F561" s="24"/>
    </row>
    <row r="562" spans="1:6" ht="15.75" customHeight="1">
      <c r="A562" s="24"/>
      <c r="B562" s="24"/>
      <c r="C562" s="24"/>
      <c r="D562" s="23"/>
      <c r="E562" s="24"/>
      <c r="F562" s="24"/>
    </row>
    <row r="563" spans="1:6" ht="15.75" customHeight="1">
      <c r="A563" s="24"/>
      <c r="B563" s="24"/>
      <c r="C563" s="24"/>
      <c r="D563" s="23"/>
      <c r="E563" s="24"/>
      <c r="F563" s="24"/>
    </row>
    <row r="564" spans="1:6" ht="15.75" customHeight="1">
      <c r="A564" s="24"/>
      <c r="B564" s="24"/>
      <c r="C564" s="24"/>
      <c r="D564" s="23"/>
      <c r="E564" s="24"/>
      <c r="F564" s="24"/>
    </row>
    <row r="565" spans="1:6" ht="15.75" customHeight="1">
      <c r="A565" s="24"/>
      <c r="B565" s="24"/>
      <c r="C565" s="24"/>
      <c r="D565" s="23"/>
      <c r="E565" s="24"/>
      <c r="F565" s="24"/>
    </row>
    <row r="566" spans="1:6" ht="15.75" customHeight="1">
      <c r="A566" s="24"/>
      <c r="B566" s="24"/>
      <c r="C566" s="24"/>
      <c r="D566" s="23"/>
      <c r="E566" s="24"/>
      <c r="F566" s="24"/>
    </row>
    <row r="567" spans="1:6" ht="15.75" customHeight="1">
      <c r="A567" s="24"/>
      <c r="B567" s="24"/>
      <c r="C567" s="24"/>
      <c r="D567" s="23"/>
      <c r="E567" s="24"/>
      <c r="F567" s="24"/>
    </row>
    <row r="568" spans="1:6" ht="15.75" customHeight="1">
      <c r="A568" s="24"/>
      <c r="B568" s="24"/>
      <c r="C568" s="24"/>
      <c r="D568" s="23"/>
      <c r="E568" s="24"/>
      <c r="F568" s="24"/>
    </row>
    <row r="569" spans="1:6" ht="15.75" customHeight="1">
      <c r="A569" s="24"/>
      <c r="B569" s="24"/>
      <c r="C569" s="24"/>
      <c r="D569" s="23"/>
      <c r="E569" s="24"/>
      <c r="F569" s="24"/>
    </row>
    <row r="570" spans="1:6" ht="15.75" customHeight="1">
      <c r="A570" s="24"/>
      <c r="B570" s="24"/>
      <c r="C570" s="24"/>
      <c r="D570" s="23"/>
      <c r="E570" s="24"/>
      <c r="F570" s="24"/>
    </row>
    <row r="571" spans="1:6" ht="15.75" customHeight="1">
      <c r="A571" s="24"/>
      <c r="B571" s="24"/>
      <c r="C571" s="24"/>
      <c r="D571" s="23"/>
      <c r="E571" s="24"/>
      <c r="F571" s="24"/>
    </row>
    <row r="572" spans="1:6" ht="15.75" customHeight="1">
      <c r="A572" s="24"/>
      <c r="B572" s="24"/>
      <c r="C572" s="24"/>
      <c r="D572" s="23"/>
      <c r="E572" s="24"/>
      <c r="F572" s="24"/>
    </row>
    <row r="573" spans="1:6" ht="15.75" customHeight="1">
      <c r="A573" s="24"/>
      <c r="B573" s="24"/>
      <c r="C573" s="24"/>
      <c r="D573" s="23"/>
      <c r="E573" s="24"/>
      <c r="F573" s="24"/>
    </row>
    <row r="574" spans="1:6" ht="15.75" customHeight="1">
      <c r="A574" s="24"/>
      <c r="B574" s="24"/>
      <c r="C574" s="24"/>
      <c r="D574" s="23"/>
      <c r="E574" s="24"/>
      <c r="F574" s="24"/>
    </row>
    <row r="575" spans="1:6" ht="15.75" customHeight="1">
      <c r="A575" s="24"/>
      <c r="B575" s="24"/>
      <c r="C575" s="24"/>
      <c r="D575" s="23"/>
      <c r="E575" s="24"/>
      <c r="F575" s="24"/>
    </row>
    <row r="576" spans="1:6" ht="15.75" customHeight="1">
      <c r="A576" s="24"/>
      <c r="B576" s="24"/>
      <c r="C576" s="24"/>
      <c r="D576" s="23"/>
      <c r="E576" s="24"/>
      <c r="F576" s="24"/>
    </row>
    <row r="577" spans="1:6" ht="15.75" customHeight="1">
      <c r="A577" s="24"/>
      <c r="B577" s="24"/>
      <c r="C577" s="24"/>
      <c r="D577" s="23"/>
      <c r="E577" s="24"/>
      <c r="F577" s="24"/>
    </row>
    <row r="578" spans="1:6" ht="15.75" customHeight="1">
      <c r="A578" s="24"/>
      <c r="B578" s="24"/>
      <c r="C578" s="24"/>
      <c r="D578" s="23"/>
      <c r="E578" s="24"/>
      <c r="F578" s="24"/>
    </row>
    <row r="579" spans="1:6" ht="15.75" customHeight="1">
      <c r="A579" s="24"/>
      <c r="B579" s="24"/>
      <c r="C579" s="24"/>
      <c r="D579" s="23"/>
      <c r="E579" s="24"/>
      <c r="F579" s="24"/>
    </row>
    <row r="580" spans="1:6" ht="15.75" customHeight="1">
      <c r="A580" s="24"/>
      <c r="B580" s="24"/>
      <c r="C580" s="24"/>
      <c r="D580" s="23"/>
      <c r="E580" s="24"/>
      <c r="F580" s="24"/>
    </row>
    <row r="581" spans="1:6" ht="15.75" customHeight="1">
      <c r="A581" s="24"/>
      <c r="B581" s="24"/>
      <c r="C581" s="24"/>
      <c r="D581" s="23"/>
      <c r="E581" s="24"/>
      <c r="F581" s="24"/>
    </row>
    <row r="582" spans="1:6" ht="15.75" customHeight="1">
      <c r="A582" s="24"/>
      <c r="B582" s="24"/>
      <c r="C582" s="24"/>
      <c r="D582" s="23"/>
      <c r="E582" s="24"/>
      <c r="F582" s="24"/>
    </row>
    <row r="583" spans="1:6" ht="15.75" customHeight="1">
      <c r="A583" s="24"/>
      <c r="B583" s="24"/>
      <c r="C583" s="24"/>
      <c r="D583" s="23"/>
      <c r="E583" s="24"/>
      <c r="F583" s="24"/>
    </row>
    <row r="584" spans="1:6" ht="15.75" customHeight="1">
      <c r="A584" s="24"/>
      <c r="B584" s="24"/>
      <c r="C584" s="24"/>
      <c r="D584" s="23"/>
      <c r="E584" s="24"/>
      <c r="F584" s="24"/>
    </row>
    <row r="585" spans="1:6" ht="15.75" customHeight="1">
      <c r="A585" s="24"/>
      <c r="B585" s="24"/>
      <c r="C585" s="24"/>
      <c r="D585" s="23"/>
      <c r="E585" s="24"/>
      <c r="F585" s="24"/>
    </row>
    <row r="586" spans="1:6" ht="15.75" customHeight="1">
      <c r="A586" s="24"/>
      <c r="B586" s="24"/>
      <c r="C586" s="24"/>
      <c r="D586" s="23"/>
      <c r="E586" s="24"/>
      <c r="F586" s="24"/>
    </row>
    <row r="587" spans="1:6" ht="15.75" customHeight="1">
      <c r="A587" s="24"/>
      <c r="B587" s="24"/>
      <c r="C587" s="24"/>
      <c r="D587" s="23"/>
      <c r="E587" s="24"/>
      <c r="F587" s="24"/>
    </row>
    <row r="588" spans="1:6" ht="15.75" customHeight="1">
      <c r="A588" s="24"/>
      <c r="B588" s="24"/>
      <c r="C588" s="24"/>
      <c r="D588" s="23"/>
      <c r="E588" s="24"/>
      <c r="F588" s="24"/>
    </row>
    <row r="589" spans="1:6" ht="15.75" customHeight="1">
      <c r="A589" s="24"/>
      <c r="B589" s="24"/>
      <c r="C589" s="24"/>
      <c r="D589" s="23"/>
      <c r="E589" s="24"/>
      <c r="F589" s="24"/>
    </row>
    <row r="590" spans="1:6" ht="15.75" customHeight="1">
      <c r="A590" s="24"/>
      <c r="B590" s="24"/>
      <c r="C590" s="24"/>
      <c r="D590" s="23"/>
      <c r="E590" s="24"/>
      <c r="F590" s="24"/>
    </row>
    <row r="591" spans="1:6" ht="15.75" customHeight="1">
      <c r="A591" s="24"/>
      <c r="B591" s="24"/>
      <c r="C591" s="24"/>
      <c r="D591" s="23"/>
      <c r="E591" s="24"/>
      <c r="F591" s="24"/>
    </row>
    <row r="592" spans="1:6" ht="15.75" customHeight="1">
      <c r="A592" s="24"/>
      <c r="B592" s="24"/>
      <c r="C592" s="24"/>
      <c r="D592" s="23"/>
      <c r="E592" s="24"/>
      <c r="F592" s="24"/>
    </row>
    <row r="593" spans="1:6" ht="15.75" customHeight="1">
      <c r="A593" s="24"/>
      <c r="B593" s="24"/>
      <c r="C593" s="24"/>
      <c r="D593" s="23"/>
      <c r="E593" s="24"/>
      <c r="F593" s="24"/>
    </row>
    <row r="594" spans="1:6" ht="15.75" customHeight="1">
      <c r="A594" s="24"/>
      <c r="B594" s="24"/>
      <c r="C594" s="24"/>
      <c r="D594" s="23"/>
      <c r="E594" s="24"/>
      <c r="F594" s="24"/>
    </row>
    <row r="595" spans="1:6" ht="15.75" customHeight="1">
      <c r="A595" s="24"/>
      <c r="B595" s="24"/>
      <c r="C595" s="24"/>
      <c r="D595" s="23"/>
      <c r="E595" s="24"/>
      <c r="F595" s="24"/>
    </row>
    <row r="596" spans="1:6" ht="15.75" customHeight="1">
      <c r="A596" s="24"/>
      <c r="B596" s="24"/>
      <c r="C596" s="24"/>
      <c r="D596" s="23"/>
      <c r="E596" s="24"/>
      <c r="F596" s="24"/>
    </row>
    <row r="597" spans="1:6" ht="15.75" customHeight="1">
      <c r="A597" s="24"/>
      <c r="B597" s="24"/>
      <c r="C597" s="24"/>
      <c r="D597" s="23"/>
      <c r="E597" s="24"/>
      <c r="F597" s="24"/>
    </row>
    <row r="598" spans="1:6" ht="15.75" customHeight="1">
      <c r="A598" s="24"/>
      <c r="B598" s="24"/>
      <c r="C598" s="24"/>
      <c r="D598" s="23"/>
      <c r="E598" s="24"/>
      <c r="F598" s="24"/>
    </row>
    <row r="599" spans="1:6" ht="15.75" customHeight="1">
      <c r="A599" s="24"/>
      <c r="B599" s="24"/>
      <c r="C599" s="24"/>
      <c r="D599" s="23"/>
      <c r="E599" s="24"/>
      <c r="F599" s="24"/>
    </row>
    <row r="600" spans="1:6" ht="15.75" customHeight="1">
      <c r="A600" s="24"/>
      <c r="B600" s="24"/>
      <c r="C600" s="24"/>
      <c r="D600" s="23"/>
      <c r="E600" s="24"/>
      <c r="F600" s="24"/>
    </row>
    <row r="601" spans="1:6" ht="15.75" customHeight="1">
      <c r="A601" s="24"/>
      <c r="B601" s="24"/>
      <c r="C601" s="24"/>
      <c r="D601" s="23"/>
      <c r="E601" s="24"/>
      <c r="F601" s="24"/>
    </row>
    <row r="602" spans="1:6" ht="15.75" customHeight="1">
      <c r="A602" s="24"/>
      <c r="B602" s="24"/>
      <c r="C602" s="24"/>
      <c r="D602" s="23"/>
      <c r="E602" s="24"/>
      <c r="F602" s="24"/>
    </row>
    <row r="603" spans="1:6" ht="15.75" customHeight="1">
      <c r="A603" s="24"/>
      <c r="B603" s="24"/>
      <c r="C603" s="24"/>
      <c r="D603" s="23"/>
      <c r="E603" s="24"/>
      <c r="F603" s="24"/>
    </row>
    <row r="604" spans="1:6" ht="15.75" customHeight="1">
      <c r="A604" s="24"/>
      <c r="B604" s="24"/>
      <c r="C604" s="24"/>
      <c r="D604" s="23"/>
      <c r="E604" s="24"/>
      <c r="F604" s="24"/>
    </row>
    <row r="605" spans="1:6" ht="15.75" customHeight="1">
      <c r="A605" s="24"/>
      <c r="B605" s="24"/>
      <c r="C605" s="24"/>
      <c r="D605" s="23"/>
      <c r="E605" s="24"/>
      <c r="F605" s="24"/>
    </row>
    <row r="606" spans="1:6" ht="15.75" customHeight="1">
      <c r="A606" s="24"/>
      <c r="B606" s="24"/>
      <c r="C606" s="24"/>
      <c r="D606" s="23"/>
      <c r="E606" s="24"/>
      <c r="F606" s="24"/>
    </row>
    <row r="607" spans="1:6" ht="15.75" customHeight="1">
      <c r="A607" s="24"/>
      <c r="B607" s="24"/>
      <c r="C607" s="24"/>
      <c r="D607" s="23"/>
      <c r="E607" s="24"/>
      <c r="F607" s="24"/>
    </row>
    <row r="608" spans="1:6" ht="15.75" customHeight="1">
      <c r="A608" s="24"/>
      <c r="B608" s="24"/>
      <c r="C608" s="24"/>
      <c r="D608" s="23"/>
      <c r="E608" s="24"/>
      <c r="F608" s="24"/>
    </row>
    <row r="609" spans="1:6" ht="15.75" customHeight="1">
      <c r="A609" s="24"/>
      <c r="B609" s="24"/>
      <c r="C609" s="24"/>
      <c r="D609" s="23"/>
      <c r="E609" s="24"/>
      <c r="F609" s="24"/>
    </row>
    <row r="610" spans="1:6" ht="15.75" customHeight="1">
      <c r="A610" s="24"/>
      <c r="B610" s="24"/>
      <c r="C610" s="24"/>
      <c r="D610" s="23"/>
      <c r="E610" s="24"/>
      <c r="F610" s="24"/>
    </row>
    <row r="611" spans="1:6" ht="15.75" customHeight="1">
      <c r="A611" s="24"/>
      <c r="B611" s="24"/>
      <c r="C611" s="24"/>
      <c r="D611" s="23"/>
      <c r="E611" s="24"/>
      <c r="F611" s="24"/>
    </row>
    <row r="612" spans="1:6" ht="15.75" customHeight="1">
      <c r="A612" s="24"/>
      <c r="B612" s="24"/>
      <c r="C612" s="24"/>
      <c r="D612" s="23"/>
      <c r="E612" s="24"/>
      <c r="F612" s="24"/>
    </row>
    <row r="613" spans="1:6" ht="15.75" customHeight="1">
      <c r="A613" s="24"/>
      <c r="B613" s="24"/>
      <c r="C613" s="24"/>
      <c r="D613" s="23"/>
      <c r="E613" s="24"/>
      <c r="F613" s="24"/>
    </row>
    <row r="614" spans="1:6" ht="15.75" customHeight="1">
      <c r="A614" s="24"/>
      <c r="B614" s="24"/>
      <c r="C614" s="24"/>
      <c r="D614" s="23"/>
      <c r="E614" s="24"/>
      <c r="F614" s="24"/>
    </row>
    <row r="615" spans="1:6" ht="15.75" customHeight="1">
      <c r="A615" s="24"/>
      <c r="B615" s="24"/>
      <c r="C615" s="24"/>
      <c r="D615" s="23"/>
      <c r="E615" s="24"/>
      <c r="F615" s="24"/>
    </row>
    <row r="616" spans="1:6" ht="15.75" customHeight="1">
      <c r="A616" s="24"/>
      <c r="B616" s="24"/>
      <c r="C616" s="24"/>
      <c r="D616" s="23"/>
      <c r="E616" s="24"/>
      <c r="F616" s="24"/>
    </row>
    <row r="617" spans="1:6" ht="15.75" customHeight="1">
      <c r="A617" s="24"/>
      <c r="B617" s="24"/>
      <c r="C617" s="24"/>
      <c r="D617" s="23"/>
      <c r="E617" s="24"/>
      <c r="F617" s="24"/>
    </row>
    <row r="618" spans="1:6" ht="15.75" customHeight="1">
      <c r="A618" s="24"/>
      <c r="B618" s="24"/>
      <c r="C618" s="24"/>
      <c r="D618" s="23"/>
      <c r="E618" s="24"/>
      <c r="F618" s="24"/>
    </row>
    <row r="619" spans="1:6" ht="15.75" customHeight="1">
      <c r="A619" s="24"/>
      <c r="B619" s="24"/>
      <c r="C619" s="24"/>
      <c r="D619" s="23"/>
      <c r="E619" s="24"/>
      <c r="F619" s="24"/>
    </row>
    <row r="620" spans="1:6" ht="15.75" customHeight="1">
      <c r="A620" s="24"/>
      <c r="B620" s="24"/>
      <c r="C620" s="24"/>
      <c r="D620" s="23"/>
      <c r="E620" s="24"/>
      <c r="F620" s="24"/>
    </row>
    <row r="621" spans="1:6" ht="15.75" customHeight="1">
      <c r="A621" s="24"/>
      <c r="B621" s="24"/>
      <c r="C621" s="24"/>
      <c r="D621" s="23"/>
      <c r="E621" s="24"/>
      <c r="F621" s="24"/>
    </row>
    <row r="622" spans="1:6" ht="15.75" customHeight="1">
      <c r="A622" s="24"/>
      <c r="B622" s="24"/>
      <c r="C622" s="24"/>
      <c r="D622" s="23"/>
      <c r="E622" s="24"/>
      <c r="F622" s="24"/>
    </row>
    <row r="623" spans="1:6" ht="15.75" customHeight="1">
      <c r="A623" s="24"/>
      <c r="B623" s="24"/>
      <c r="C623" s="24"/>
      <c r="D623" s="23"/>
      <c r="E623" s="24"/>
      <c r="F623" s="24"/>
    </row>
    <row r="624" spans="1:6" ht="15.75" customHeight="1">
      <c r="A624" s="24"/>
      <c r="B624" s="24"/>
      <c r="C624" s="24"/>
      <c r="D624" s="23"/>
      <c r="E624" s="24"/>
      <c r="F624" s="24"/>
    </row>
    <row r="625" spans="1:6" ht="15.75" customHeight="1">
      <c r="A625" s="24"/>
      <c r="B625" s="24"/>
      <c r="C625" s="24"/>
      <c r="D625" s="23"/>
      <c r="E625" s="24"/>
      <c r="F625" s="24"/>
    </row>
    <row r="626" spans="1:6" ht="15.75" customHeight="1">
      <c r="A626" s="24"/>
      <c r="B626" s="24"/>
      <c r="C626" s="24"/>
      <c r="D626" s="23"/>
      <c r="E626" s="24"/>
      <c r="F626" s="24"/>
    </row>
    <row r="627" spans="1:6" ht="15.75" customHeight="1">
      <c r="A627" s="24"/>
      <c r="B627" s="24"/>
      <c r="C627" s="24"/>
      <c r="D627" s="23"/>
      <c r="E627" s="24"/>
      <c r="F627" s="24"/>
    </row>
    <row r="628" spans="1:6" ht="15.75" customHeight="1">
      <c r="A628" s="24"/>
      <c r="B628" s="24"/>
      <c r="C628" s="24"/>
      <c r="D628" s="23"/>
      <c r="E628" s="24"/>
      <c r="F628" s="24"/>
    </row>
    <row r="629" spans="1:6" ht="15.75" customHeight="1">
      <c r="A629" s="24"/>
      <c r="B629" s="24"/>
      <c r="C629" s="24"/>
      <c r="D629" s="23"/>
      <c r="E629" s="24"/>
      <c r="F629" s="24"/>
    </row>
    <row r="630" spans="1:6" ht="15.75" customHeight="1">
      <c r="A630" s="24"/>
      <c r="B630" s="24"/>
      <c r="C630" s="24"/>
      <c r="D630" s="23"/>
      <c r="E630" s="24"/>
      <c r="F630" s="24"/>
    </row>
    <row r="631" spans="1:6" ht="15.75" customHeight="1">
      <c r="A631" s="24"/>
      <c r="B631" s="24"/>
      <c r="C631" s="24"/>
      <c r="D631" s="23"/>
      <c r="E631" s="24"/>
      <c r="F631" s="24"/>
    </row>
    <row r="632" spans="1:6" ht="15.75" customHeight="1">
      <c r="A632" s="24"/>
      <c r="B632" s="24"/>
      <c r="C632" s="24"/>
      <c r="D632" s="23"/>
      <c r="E632" s="24"/>
      <c r="F632" s="24"/>
    </row>
    <row r="633" spans="1:6" ht="15.75" customHeight="1">
      <c r="A633" s="24"/>
      <c r="B633" s="24"/>
      <c r="C633" s="24"/>
      <c r="D633" s="23"/>
      <c r="E633" s="24"/>
      <c r="F633" s="24"/>
    </row>
    <row r="634" spans="1:6" ht="15.75" customHeight="1">
      <c r="A634" s="24"/>
      <c r="B634" s="24"/>
      <c r="C634" s="24"/>
      <c r="D634" s="23"/>
      <c r="E634" s="24"/>
      <c r="F634" s="24"/>
    </row>
    <row r="635" spans="1:6" ht="15.75" customHeight="1">
      <c r="A635" s="24"/>
      <c r="B635" s="24"/>
      <c r="C635" s="24"/>
      <c r="D635" s="23"/>
      <c r="E635" s="24"/>
      <c r="F635" s="24"/>
    </row>
    <row r="636" spans="1:6" ht="15.75" customHeight="1">
      <c r="A636" s="24"/>
      <c r="B636" s="24"/>
      <c r="C636" s="24"/>
      <c r="D636" s="23"/>
      <c r="E636" s="24"/>
      <c r="F636" s="24"/>
    </row>
    <row r="637" spans="1:6" ht="15.75" customHeight="1">
      <c r="A637" s="24"/>
      <c r="B637" s="24"/>
      <c r="C637" s="24"/>
      <c r="D637" s="23"/>
      <c r="E637" s="24"/>
      <c r="F637" s="24"/>
    </row>
    <row r="638" spans="1:6" ht="15.75" customHeight="1">
      <c r="A638" s="24"/>
      <c r="B638" s="24"/>
      <c r="C638" s="24"/>
      <c r="D638" s="23"/>
      <c r="E638" s="24"/>
      <c r="F638" s="24"/>
    </row>
    <row r="639" spans="1:6" ht="15.75" customHeight="1">
      <c r="A639" s="24"/>
      <c r="B639" s="24"/>
      <c r="C639" s="24"/>
      <c r="D639" s="23"/>
      <c r="E639" s="24"/>
      <c r="F639" s="24"/>
    </row>
    <row r="640" spans="1:6" ht="15.75" customHeight="1">
      <c r="A640" s="24"/>
      <c r="B640" s="24"/>
      <c r="C640" s="24"/>
      <c r="D640" s="23"/>
      <c r="E640" s="24"/>
      <c r="F640" s="24"/>
    </row>
    <row r="641" spans="1:6" ht="15.75" customHeight="1">
      <c r="A641" s="24"/>
      <c r="B641" s="24"/>
      <c r="C641" s="24"/>
      <c r="D641" s="23"/>
      <c r="E641" s="24"/>
      <c r="F641" s="24"/>
    </row>
    <row r="642" spans="1:6" ht="15.75" customHeight="1">
      <c r="A642" s="24"/>
      <c r="B642" s="24"/>
      <c r="C642" s="24"/>
      <c r="D642" s="23"/>
      <c r="E642" s="24"/>
      <c r="F642" s="24"/>
    </row>
    <row r="643" spans="1:6" ht="15.75" customHeight="1">
      <c r="A643" s="24"/>
      <c r="B643" s="24"/>
      <c r="C643" s="24"/>
      <c r="D643" s="23"/>
      <c r="E643" s="24"/>
      <c r="F643" s="24"/>
    </row>
    <row r="644" spans="1:6" ht="15.75" customHeight="1">
      <c r="A644" s="24"/>
      <c r="B644" s="24"/>
      <c r="C644" s="24"/>
      <c r="D644" s="23"/>
      <c r="E644" s="24"/>
      <c r="F644" s="24"/>
    </row>
    <row r="645" spans="1:6" ht="15.75" customHeight="1">
      <c r="A645" s="24"/>
      <c r="B645" s="24"/>
      <c r="C645" s="24"/>
      <c r="D645" s="23"/>
      <c r="E645" s="24"/>
      <c r="F645" s="24"/>
    </row>
    <row r="646" spans="1:6" ht="15.75" customHeight="1">
      <c r="A646" s="24"/>
      <c r="B646" s="24"/>
      <c r="C646" s="24"/>
      <c r="D646" s="23"/>
      <c r="E646" s="24"/>
      <c r="F646" s="24"/>
    </row>
    <row r="647" spans="1:6" ht="15.75" customHeight="1">
      <c r="A647" s="24"/>
      <c r="B647" s="24"/>
      <c r="C647" s="24"/>
      <c r="D647" s="23"/>
      <c r="E647" s="24"/>
      <c r="F647" s="24"/>
    </row>
    <row r="648" spans="1:6" ht="15.75" customHeight="1">
      <c r="A648" s="24"/>
      <c r="B648" s="24"/>
      <c r="C648" s="24"/>
      <c r="D648" s="23"/>
      <c r="E648" s="24"/>
      <c r="F648" s="24"/>
    </row>
    <row r="649" spans="1:6" ht="15.75" customHeight="1">
      <c r="A649" s="24"/>
      <c r="B649" s="24"/>
      <c r="C649" s="24"/>
      <c r="D649" s="23"/>
      <c r="E649" s="24"/>
      <c r="F649" s="24"/>
    </row>
    <row r="650" spans="1:6" ht="15.75" customHeight="1">
      <c r="A650" s="24"/>
      <c r="B650" s="24"/>
      <c r="C650" s="24"/>
      <c r="D650" s="23"/>
      <c r="E650" s="24"/>
      <c r="F650" s="24"/>
    </row>
    <row r="651" spans="1:6" ht="15.75" customHeight="1">
      <c r="A651" s="24"/>
      <c r="B651" s="24"/>
      <c r="C651" s="24"/>
      <c r="D651" s="23"/>
      <c r="E651" s="24"/>
      <c r="F651" s="24"/>
    </row>
    <row r="652" spans="1:6" ht="15.75" customHeight="1">
      <c r="A652" s="24"/>
      <c r="B652" s="24"/>
      <c r="C652" s="24"/>
      <c r="D652" s="23"/>
      <c r="E652" s="24"/>
      <c r="F652" s="24"/>
    </row>
    <row r="653" spans="1:6" ht="15.75" customHeight="1">
      <c r="A653" s="24"/>
      <c r="B653" s="24"/>
      <c r="C653" s="24"/>
      <c r="D653" s="23"/>
      <c r="E653" s="24"/>
      <c r="F653" s="24"/>
    </row>
    <row r="654" spans="1:6" ht="15.75" customHeight="1">
      <c r="A654" s="24"/>
      <c r="B654" s="24"/>
      <c r="C654" s="24"/>
      <c r="D654" s="23"/>
      <c r="E654" s="24"/>
      <c r="F654" s="24"/>
    </row>
    <row r="655" spans="1:6" ht="15.75" customHeight="1">
      <c r="A655" s="24"/>
      <c r="B655" s="24"/>
      <c r="C655" s="24"/>
      <c r="D655" s="23"/>
      <c r="E655" s="24"/>
      <c r="F655" s="24"/>
    </row>
    <row r="656" spans="1:6" ht="15.75" customHeight="1">
      <c r="A656" s="24"/>
      <c r="B656" s="24"/>
      <c r="C656" s="24"/>
      <c r="D656" s="23"/>
      <c r="E656" s="24"/>
      <c r="F656" s="24"/>
    </row>
    <row r="657" spans="1:6" ht="15.75" customHeight="1">
      <c r="A657" s="24"/>
      <c r="B657" s="24"/>
      <c r="C657" s="24"/>
      <c r="D657" s="23"/>
      <c r="E657" s="24"/>
      <c r="F657" s="24"/>
    </row>
    <row r="658" spans="1:6" ht="15.75" customHeight="1">
      <c r="A658" s="24"/>
      <c r="B658" s="24"/>
      <c r="C658" s="24"/>
      <c r="D658" s="23"/>
      <c r="E658" s="24"/>
      <c r="F658" s="24"/>
    </row>
    <row r="659" spans="1:6" ht="15.75" customHeight="1">
      <c r="A659" s="24"/>
      <c r="B659" s="24"/>
      <c r="C659" s="24"/>
      <c r="D659" s="23"/>
      <c r="E659" s="24"/>
      <c r="F659" s="24"/>
    </row>
    <row r="660" spans="1:6" ht="15.75" customHeight="1">
      <c r="A660" s="24"/>
      <c r="B660" s="24"/>
      <c r="C660" s="24"/>
      <c r="D660" s="23"/>
      <c r="E660" s="24"/>
      <c r="F660" s="24"/>
    </row>
    <row r="661" spans="1:6" ht="15.75" customHeight="1">
      <c r="A661" s="24"/>
      <c r="B661" s="24"/>
      <c r="C661" s="24"/>
      <c r="D661" s="23"/>
      <c r="E661" s="24"/>
      <c r="F661" s="24"/>
    </row>
    <row r="662" spans="1:6" ht="15.75" customHeight="1">
      <c r="A662" s="24"/>
      <c r="B662" s="24"/>
      <c r="C662" s="24"/>
      <c r="D662" s="23"/>
      <c r="E662" s="24"/>
      <c r="F662" s="24"/>
    </row>
    <row r="663" spans="1:6" ht="15.75" customHeight="1">
      <c r="A663" s="24"/>
      <c r="B663" s="24"/>
      <c r="C663" s="24"/>
      <c r="D663" s="23"/>
      <c r="E663" s="24"/>
      <c r="F663" s="24"/>
    </row>
    <row r="664" spans="1:6" ht="15.75" customHeight="1">
      <c r="A664" s="24"/>
      <c r="B664" s="24"/>
      <c r="C664" s="24"/>
      <c r="D664" s="23"/>
      <c r="E664" s="24"/>
      <c r="F664" s="24"/>
    </row>
    <row r="665" spans="1:6" ht="15.75" customHeight="1">
      <c r="A665" s="24"/>
      <c r="B665" s="24"/>
      <c r="C665" s="24"/>
      <c r="D665" s="23"/>
      <c r="E665" s="24"/>
      <c r="F665" s="24"/>
    </row>
    <row r="666" spans="1:6" ht="15.75" customHeight="1">
      <c r="A666" s="24"/>
      <c r="B666" s="24"/>
      <c r="C666" s="24"/>
      <c r="D666" s="23"/>
      <c r="E666" s="24"/>
      <c r="F666" s="24"/>
    </row>
    <row r="667" spans="1:6" ht="15.75" customHeight="1">
      <c r="A667" s="24"/>
      <c r="B667" s="24"/>
      <c r="C667" s="24"/>
      <c r="D667" s="23"/>
      <c r="E667" s="24"/>
      <c r="F667" s="24"/>
    </row>
    <row r="668" spans="1:6" ht="15.75" customHeight="1">
      <c r="A668" s="24"/>
      <c r="B668" s="24"/>
      <c r="C668" s="24"/>
      <c r="D668" s="23"/>
      <c r="E668" s="24"/>
      <c r="F668" s="24"/>
    </row>
    <row r="669" spans="1:6" ht="15.75" customHeight="1">
      <c r="A669" s="24"/>
      <c r="B669" s="24"/>
      <c r="C669" s="24"/>
      <c r="D669" s="23"/>
      <c r="E669" s="24"/>
      <c r="F669" s="24"/>
    </row>
    <row r="670" spans="1:6" ht="15.75" customHeight="1">
      <c r="A670" s="24"/>
      <c r="B670" s="24"/>
      <c r="C670" s="24"/>
      <c r="D670" s="23"/>
      <c r="E670" s="24"/>
      <c r="F670" s="24"/>
    </row>
    <row r="671" spans="1:6" ht="15.75" customHeight="1">
      <c r="A671" s="24"/>
      <c r="B671" s="24"/>
      <c r="C671" s="24"/>
      <c r="D671" s="23"/>
      <c r="E671" s="24"/>
      <c r="F671" s="24"/>
    </row>
    <row r="672" spans="1:6" ht="15.75" customHeight="1">
      <c r="A672" s="24"/>
      <c r="B672" s="24"/>
      <c r="C672" s="24"/>
      <c r="D672" s="23"/>
      <c r="E672" s="24"/>
      <c r="F672" s="24"/>
    </row>
    <row r="673" spans="1:6" ht="15.75" customHeight="1">
      <c r="A673" s="24"/>
      <c r="B673" s="24"/>
      <c r="C673" s="24"/>
      <c r="D673" s="23"/>
      <c r="E673" s="24"/>
      <c r="F673" s="24"/>
    </row>
    <row r="674" spans="1:6" ht="15.75" customHeight="1">
      <c r="A674" s="24"/>
      <c r="B674" s="24"/>
      <c r="C674" s="24"/>
      <c r="D674" s="23"/>
      <c r="E674" s="24"/>
      <c r="F674" s="24"/>
    </row>
    <row r="675" spans="1:6" ht="15.75" customHeight="1">
      <c r="A675" s="24"/>
      <c r="B675" s="24"/>
      <c r="C675" s="24"/>
      <c r="D675" s="23"/>
      <c r="E675" s="24"/>
      <c r="F675" s="24"/>
    </row>
    <row r="676" spans="1:6" ht="15.75" customHeight="1">
      <c r="A676" s="24"/>
      <c r="B676" s="24"/>
      <c r="C676" s="24"/>
      <c r="D676" s="23"/>
      <c r="E676" s="24"/>
      <c r="F676" s="24"/>
    </row>
    <row r="677" spans="1:6" ht="15.75" customHeight="1">
      <c r="A677" s="24"/>
      <c r="B677" s="24"/>
      <c r="C677" s="24"/>
      <c r="D677" s="23"/>
      <c r="E677" s="24"/>
      <c r="F677" s="24"/>
    </row>
    <row r="678" spans="1:6" ht="15.75" customHeight="1">
      <c r="A678" s="24"/>
      <c r="B678" s="24"/>
      <c r="C678" s="24"/>
      <c r="D678" s="23"/>
      <c r="E678" s="24"/>
      <c r="F678" s="24"/>
    </row>
    <row r="679" spans="1:6" ht="15.75" customHeight="1">
      <c r="A679" s="24"/>
      <c r="B679" s="24"/>
      <c r="C679" s="24"/>
      <c r="D679" s="23"/>
      <c r="E679" s="24"/>
      <c r="F679" s="24"/>
    </row>
    <row r="680" spans="1:6" ht="15.75" customHeight="1">
      <c r="A680" s="24"/>
      <c r="B680" s="24"/>
      <c r="C680" s="24"/>
      <c r="D680" s="23"/>
      <c r="E680" s="24"/>
      <c r="F680" s="24"/>
    </row>
    <row r="681" spans="1:6" ht="15.75" customHeight="1">
      <c r="A681" s="24"/>
      <c r="B681" s="24"/>
      <c r="C681" s="24"/>
      <c r="D681" s="23"/>
      <c r="E681" s="24"/>
      <c r="F681" s="24"/>
    </row>
    <row r="682" spans="1:6" ht="15.75" customHeight="1">
      <c r="A682" s="24"/>
      <c r="B682" s="24"/>
      <c r="C682" s="24"/>
      <c r="D682" s="23"/>
      <c r="E682" s="24"/>
      <c r="F682" s="24"/>
    </row>
    <row r="683" spans="1:6" ht="15.75" customHeight="1">
      <c r="A683" s="24"/>
      <c r="B683" s="24"/>
      <c r="C683" s="24"/>
      <c r="D683" s="23"/>
      <c r="E683" s="24"/>
      <c r="F683" s="24"/>
    </row>
    <row r="684" spans="1:6" ht="15.75" customHeight="1">
      <c r="A684" s="24"/>
      <c r="B684" s="24"/>
      <c r="C684" s="24"/>
      <c r="D684" s="23"/>
      <c r="E684" s="24"/>
      <c r="F684" s="24"/>
    </row>
    <row r="685" spans="1:6" ht="15.75" customHeight="1">
      <c r="A685" s="24"/>
      <c r="B685" s="24"/>
      <c r="C685" s="24"/>
      <c r="D685" s="23"/>
      <c r="E685" s="24"/>
      <c r="F685" s="24"/>
    </row>
    <row r="686" spans="1:6" ht="15.75" customHeight="1">
      <c r="A686" s="24"/>
      <c r="B686" s="24"/>
      <c r="C686" s="24"/>
      <c r="D686" s="23"/>
      <c r="E686" s="24"/>
      <c r="F686" s="24"/>
    </row>
    <row r="687" spans="1:6" ht="15.75" customHeight="1">
      <c r="A687" s="24"/>
      <c r="B687" s="24"/>
      <c r="C687" s="24"/>
      <c r="D687" s="23"/>
      <c r="E687" s="24"/>
      <c r="F687" s="24"/>
    </row>
    <row r="688" spans="1:6" ht="15.75" customHeight="1">
      <c r="A688" s="24"/>
      <c r="B688" s="24"/>
      <c r="C688" s="24"/>
      <c r="D688" s="23"/>
      <c r="E688" s="24"/>
      <c r="F688" s="24"/>
    </row>
    <row r="689" spans="1:6" ht="15.75" customHeight="1">
      <c r="A689" s="24"/>
      <c r="B689" s="24"/>
      <c r="C689" s="24"/>
      <c r="D689" s="23"/>
      <c r="E689" s="24"/>
      <c r="F689" s="24"/>
    </row>
    <row r="690" spans="1:6" ht="15.75" customHeight="1">
      <c r="A690" s="24"/>
      <c r="B690" s="24"/>
      <c r="C690" s="24"/>
      <c r="D690" s="23"/>
      <c r="E690" s="24"/>
      <c r="F690" s="24"/>
    </row>
    <row r="691" spans="1:6" ht="15.75" customHeight="1">
      <c r="A691" s="24"/>
      <c r="B691" s="24"/>
      <c r="C691" s="24"/>
      <c r="D691" s="23"/>
      <c r="E691" s="24"/>
      <c r="F691" s="24"/>
    </row>
    <row r="692" spans="1:6" ht="15.75" customHeight="1">
      <c r="A692" s="24"/>
      <c r="B692" s="24"/>
      <c r="C692" s="24"/>
      <c r="D692" s="23"/>
      <c r="E692" s="24"/>
      <c r="F692" s="24"/>
    </row>
    <row r="693" spans="1:6" ht="15.75" customHeight="1">
      <c r="A693" s="24"/>
      <c r="B693" s="24"/>
      <c r="C693" s="24"/>
      <c r="D693" s="23"/>
      <c r="E693" s="24"/>
      <c r="F693" s="24"/>
    </row>
    <row r="694" spans="1:6" ht="15.75" customHeight="1">
      <c r="A694" s="24"/>
      <c r="B694" s="24"/>
      <c r="C694" s="24"/>
      <c r="D694" s="23"/>
      <c r="E694" s="24"/>
      <c r="F694" s="24"/>
    </row>
    <row r="695" spans="1:6" ht="15.75" customHeight="1">
      <c r="A695" s="24"/>
      <c r="B695" s="24"/>
      <c r="C695" s="24"/>
      <c r="D695" s="23"/>
      <c r="E695" s="24"/>
      <c r="F695" s="24"/>
    </row>
    <row r="696" spans="1:6" ht="15.75" customHeight="1">
      <c r="A696" s="24"/>
      <c r="B696" s="24"/>
      <c r="C696" s="24"/>
      <c r="D696" s="23"/>
      <c r="E696" s="24"/>
      <c r="F696" s="24"/>
    </row>
    <row r="697" spans="1:6" ht="15.75" customHeight="1">
      <c r="A697" s="24"/>
      <c r="B697" s="24"/>
      <c r="C697" s="24"/>
      <c r="D697" s="23"/>
      <c r="E697" s="24"/>
      <c r="F697" s="24"/>
    </row>
    <row r="698" spans="1:6" ht="15.75" customHeight="1">
      <c r="A698" s="24"/>
      <c r="B698" s="24"/>
      <c r="C698" s="24"/>
      <c r="D698" s="23"/>
      <c r="E698" s="24"/>
      <c r="F698" s="24"/>
    </row>
    <row r="699" spans="1:6" ht="15.75" customHeight="1">
      <c r="A699" s="24"/>
      <c r="B699" s="24"/>
      <c r="C699" s="24"/>
      <c r="D699" s="23"/>
      <c r="E699" s="24"/>
      <c r="F699" s="24"/>
    </row>
    <row r="700" spans="1:6" ht="15.75" customHeight="1">
      <c r="A700" s="24"/>
      <c r="B700" s="24"/>
      <c r="C700" s="24"/>
      <c r="D700" s="23"/>
      <c r="E700" s="24"/>
      <c r="F700" s="24"/>
    </row>
    <row r="701" spans="1:6" ht="15.75" customHeight="1">
      <c r="A701" s="24"/>
      <c r="B701" s="24"/>
      <c r="C701" s="24"/>
      <c r="D701" s="23"/>
      <c r="E701" s="24"/>
      <c r="F701" s="24"/>
    </row>
    <row r="702" spans="1:6" ht="15.75" customHeight="1">
      <c r="A702" s="24"/>
      <c r="B702" s="24"/>
      <c r="C702" s="24"/>
      <c r="D702" s="23"/>
      <c r="E702" s="24"/>
      <c r="F702" s="24"/>
    </row>
    <row r="703" spans="1:6" ht="15.75" customHeight="1">
      <c r="A703" s="24"/>
      <c r="B703" s="24"/>
      <c r="C703" s="24"/>
      <c r="D703" s="23"/>
      <c r="E703" s="24"/>
      <c r="F703" s="24"/>
    </row>
    <row r="704" spans="1:6" ht="15.75" customHeight="1">
      <c r="A704" s="24"/>
      <c r="B704" s="24"/>
      <c r="C704" s="24"/>
      <c r="D704" s="23"/>
      <c r="E704" s="24"/>
      <c r="F704" s="24"/>
    </row>
    <row r="705" spans="1:6" ht="15.75" customHeight="1">
      <c r="A705" s="24"/>
      <c r="B705" s="24"/>
      <c r="C705" s="24"/>
      <c r="D705" s="23"/>
      <c r="E705" s="24"/>
      <c r="F705" s="24"/>
    </row>
    <row r="706" spans="1:6" ht="15.75" customHeight="1">
      <c r="A706" s="24"/>
      <c r="B706" s="24"/>
      <c r="C706" s="24"/>
      <c r="D706" s="23"/>
      <c r="E706" s="24"/>
      <c r="F706" s="24"/>
    </row>
    <row r="707" spans="1:6" ht="15.75" customHeight="1">
      <c r="A707" s="24"/>
      <c r="B707" s="24"/>
      <c r="C707" s="24"/>
      <c r="D707" s="23"/>
      <c r="E707" s="24"/>
      <c r="F707" s="24"/>
    </row>
    <row r="708" spans="1:6" ht="15.75" customHeight="1">
      <c r="A708" s="24"/>
      <c r="B708" s="24"/>
      <c r="C708" s="24"/>
      <c r="D708" s="23"/>
      <c r="E708" s="24"/>
      <c r="F708" s="24"/>
    </row>
    <row r="709" spans="1:6" ht="15.75" customHeight="1">
      <c r="A709" s="24"/>
      <c r="B709" s="24"/>
      <c r="C709" s="24"/>
      <c r="D709" s="23"/>
      <c r="E709" s="24"/>
      <c r="F709" s="24"/>
    </row>
    <row r="710" spans="1:6" ht="15.75" customHeight="1">
      <c r="A710" s="24"/>
      <c r="B710" s="24"/>
      <c r="C710" s="24"/>
      <c r="D710" s="23"/>
      <c r="E710" s="24"/>
      <c r="F710" s="24"/>
    </row>
    <row r="711" spans="1:6" ht="15.75" customHeight="1">
      <c r="A711" s="24"/>
      <c r="B711" s="24"/>
      <c r="C711" s="24"/>
      <c r="D711" s="23"/>
      <c r="E711" s="24"/>
      <c r="F711" s="24"/>
    </row>
    <row r="712" spans="1:6" ht="15.75" customHeight="1">
      <c r="A712" s="24"/>
      <c r="B712" s="24"/>
      <c r="C712" s="24"/>
      <c r="D712" s="23"/>
      <c r="E712" s="24"/>
      <c r="F712" s="24"/>
    </row>
    <row r="713" spans="1:6" ht="15.75" customHeight="1">
      <c r="A713" s="24"/>
      <c r="B713" s="24"/>
      <c r="C713" s="24"/>
      <c r="D713" s="23"/>
      <c r="E713" s="24"/>
      <c r="F713" s="24"/>
    </row>
    <row r="714" spans="1:6" ht="15.75" customHeight="1">
      <c r="A714" s="24"/>
      <c r="B714" s="24"/>
      <c r="C714" s="24"/>
      <c r="D714" s="23"/>
      <c r="E714" s="24"/>
      <c r="F714" s="24"/>
    </row>
    <row r="715" spans="1:6" ht="15.75" customHeight="1">
      <c r="A715" s="24"/>
      <c r="B715" s="24"/>
      <c r="C715" s="24"/>
      <c r="D715" s="23"/>
      <c r="E715" s="24"/>
      <c r="F715" s="24"/>
    </row>
    <row r="716" spans="1:6" ht="15.75" customHeight="1">
      <c r="A716" s="24"/>
      <c r="B716" s="24"/>
      <c r="C716" s="24"/>
      <c r="D716" s="23"/>
      <c r="E716" s="24"/>
      <c r="F716" s="24"/>
    </row>
    <row r="717" spans="1:6" ht="15.75" customHeight="1">
      <c r="A717" s="24"/>
      <c r="B717" s="24"/>
      <c r="C717" s="24"/>
      <c r="D717" s="23"/>
      <c r="E717" s="24"/>
      <c r="F717" s="24"/>
    </row>
    <row r="718" spans="1:6" ht="15.75" customHeight="1">
      <c r="A718" s="24"/>
      <c r="B718" s="24"/>
      <c r="C718" s="24"/>
      <c r="D718" s="23"/>
      <c r="E718" s="24"/>
      <c r="F718" s="24"/>
    </row>
    <row r="719" spans="1:6" ht="15.75" customHeight="1">
      <c r="A719" s="24"/>
      <c r="B719" s="24"/>
      <c r="C719" s="24"/>
      <c r="D719" s="23"/>
      <c r="E719" s="24"/>
      <c r="F719" s="24"/>
    </row>
    <row r="720" spans="1:6" ht="15.75" customHeight="1">
      <c r="A720" s="24"/>
      <c r="B720" s="24"/>
      <c r="C720" s="24"/>
      <c r="D720" s="23"/>
      <c r="E720" s="24"/>
      <c r="F720" s="24"/>
    </row>
    <row r="721" spans="1:6" ht="15.75" customHeight="1">
      <c r="A721" s="24"/>
      <c r="B721" s="24"/>
      <c r="C721" s="24"/>
      <c r="D721" s="23"/>
      <c r="E721" s="24"/>
      <c r="F721" s="24"/>
    </row>
    <row r="722" spans="1:6" ht="15.75" customHeight="1">
      <c r="A722" s="24"/>
      <c r="B722" s="24"/>
      <c r="C722" s="24"/>
      <c r="D722" s="23"/>
      <c r="E722" s="24"/>
      <c r="F722" s="24"/>
    </row>
    <row r="723" spans="1:6" ht="15.75" customHeight="1">
      <c r="A723" s="24"/>
      <c r="B723" s="24"/>
      <c r="C723" s="24"/>
      <c r="D723" s="23"/>
      <c r="E723" s="24"/>
      <c r="F723" s="24"/>
    </row>
    <row r="724" spans="1:6" ht="15.75" customHeight="1">
      <c r="A724" s="24"/>
      <c r="B724" s="24"/>
      <c r="C724" s="24"/>
      <c r="D724" s="23"/>
      <c r="E724" s="24"/>
      <c r="F724" s="24"/>
    </row>
    <row r="725" spans="1:6" ht="15.75" customHeight="1">
      <c r="A725" s="24"/>
      <c r="B725" s="24"/>
      <c r="C725" s="24"/>
      <c r="D725" s="23"/>
      <c r="E725" s="24"/>
      <c r="F725" s="24"/>
    </row>
    <row r="726" spans="1:6" ht="15.75" customHeight="1">
      <c r="A726" s="24"/>
      <c r="B726" s="24"/>
      <c r="C726" s="24"/>
      <c r="D726" s="23"/>
      <c r="E726" s="24"/>
      <c r="F726" s="24"/>
    </row>
    <row r="727" spans="1:6" ht="15.75" customHeight="1">
      <c r="A727" s="24"/>
      <c r="B727" s="24"/>
      <c r="C727" s="24"/>
      <c r="D727" s="23"/>
      <c r="E727" s="24"/>
      <c r="F727" s="24"/>
    </row>
    <row r="728" spans="1:6" ht="15.75" customHeight="1">
      <c r="A728" s="24"/>
      <c r="B728" s="24"/>
      <c r="C728" s="24"/>
      <c r="D728" s="23"/>
      <c r="E728" s="24"/>
      <c r="F728" s="24"/>
    </row>
    <row r="729" spans="1:6" ht="15.75" customHeight="1">
      <c r="A729" s="24"/>
      <c r="B729" s="24"/>
      <c r="C729" s="24"/>
      <c r="D729" s="23"/>
      <c r="E729" s="24"/>
      <c r="F729" s="24"/>
    </row>
    <row r="730" spans="1:6" ht="15.75" customHeight="1">
      <c r="A730" s="24"/>
      <c r="B730" s="24"/>
      <c r="C730" s="24"/>
      <c r="D730" s="23"/>
      <c r="E730" s="24"/>
      <c r="F730" s="24"/>
    </row>
    <row r="731" spans="1:6" ht="15.75" customHeight="1">
      <c r="A731" s="24"/>
      <c r="B731" s="24"/>
      <c r="C731" s="24"/>
      <c r="D731" s="23"/>
      <c r="E731" s="24"/>
      <c r="F731" s="24"/>
    </row>
    <row r="732" spans="1:6" ht="15.75" customHeight="1">
      <c r="A732" s="24"/>
      <c r="B732" s="24"/>
      <c r="C732" s="24"/>
      <c r="D732" s="23"/>
      <c r="E732" s="24"/>
      <c r="F732" s="24"/>
    </row>
    <row r="733" spans="1:6" ht="15.75" customHeight="1">
      <c r="A733" s="24"/>
      <c r="B733" s="24"/>
      <c r="C733" s="24"/>
      <c r="D733" s="23"/>
      <c r="E733" s="24"/>
      <c r="F733" s="24"/>
    </row>
    <row r="734" spans="1:6" ht="15.75" customHeight="1">
      <c r="A734" s="24"/>
      <c r="B734" s="24"/>
      <c r="C734" s="24"/>
      <c r="D734" s="23"/>
      <c r="E734" s="24"/>
      <c r="F734" s="24"/>
    </row>
    <row r="735" spans="1:6" ht="15.75" customHeight="1">
      <c r="A735" s="24"/>
      <c r="B735" s="24"/>
      <c r="C735" s="24"/>
      <c r="D735" s="23"/>
      <c r="E735" s="24"/>
      <c r="F735" s="24"/>
    </row>
    <row r="736" spans="1:6" ht="15.75" customHeight="1">
      <c r="A736" s="24"/>
      <c r="B736" s="24"/>
      <c r="C736" s="24"/>
      <c r="D736" s="23"/>
      <c r="E736" s="24"/>
      <c r="F736" s="24"/>
    </row>
    <row r="737" spans="1:6" ht="15.75" customHeight="1">
      <c r="A737" s="24"/>
      <c r="B737" s="24"/>
      <c r="C737" s="24"/>
      <c r="D737" s="23"/>
      <c r="E737" s="24"/>
      <c r="F737" s="24"/>
    </row>
    <row r="738" spans="1:6" ht="15.75" customHeight="1">
      <c r="A738" s="24"/>
      <c r="B738" s="24"/>
      <c r="C738" s="24"/>
      <c r="D738" s="23"/>
      <c r="E738" s="24"/>
      <c r="F738" s="24"/>
    </row>
    <row r="739" spans="1:6" ht="15.75" customHeight="1">
      <c r="A739" s="24"/>
      <c r="B739" s="24"/>
      <c r="C739" s="24"/>
      <c r="D739" s="23"/>
      <c r="E739" s="24"/>
      <c r="F739" s="24"/>
    </row>
    <row r="740" spans="1:6" ht="15.75" customHeight="1">
      <c r="A740" s="24"/>
      <c r="B740" s="24"/>
      <c r="C740" s="24"/>
      <c r="D740" s="23"/>
      <c r="E740" s="24"/>
      <c r="F740" s="24"/>
    </row>
    <row r="741" spans="1:6" ht="15.75" customHeight="1">
      <c r="A741" s="24"/>
      <c r="B741" s="24"/>
      <c r="C741" s="24"/>
      <c r="D741" s="23"/>
      <c r="E741" s="24"/>
      <c r="F741" s="24"/>
    </row>
    <row r="742" spans="1:6" ht="15.75" customHeight="1">
      <c r="A742" s="24"/>
      <c r="B742" s="24"/>
      <c r="C742" s="24"/>
      <c r="D742" s="23"/>
      <c r="E742" s="24"/>
      <c r="F742" s="24"/>
    </row>
    <row r="743" spans="1:6" ht="15.75" customHeight="1">
      <c r="A743" s="24"/>
      <c r="B743" s="24"/>
      <c r="C743" s="24"/>
      <c r="D743" s="23"/>
      <c r="E743" s="24"/>
      <c r="F743" s="24"/>
    </row>
    <row r="744" spans="1:6" ht="15.75" customHeight="1">
      <c r="A744" s="24"/>
      <c r="B744" s="24"/>
      <c r="C744" s="24"/>
      <c r="D744" s="23"/>
      <c r="E744" s="24"/>
      <c r="F744" s="24"/>
    </row>
    <row r="745" spans="1:6" ht="15.75" customHeight="1">
      <c r="A745" s="24"/>
      <c r="B745" s="24"/>
      <c r="C745" s="24"/>
      <c r="D745" s="23"/>
      <c r="E745" s="24"/>
      <c r="F745" s="24"/>
    </row>
    <row r="746" spans="1:6" ht="15.75" customHeight="1">
      <c r="A746" s="24"/>
      <c r="B746" s="24"/>
      <c r="C746" s="24"/>
      <c r="D746" s="23"/>
      <c r="E746" s="24"/>
      <c r="F746" s="24"/>
    </row>
    <row r="747" spans="1:6" ht="15.75" customHeight="1">
      <c r="A747" s="24"/>
      <c r="B747" s="24"/>
      <c r="C747" s="24"/>
      <c r="D747" s="23"/>
      <c r="E747" s="24"/>
      <c r="F747" s="24"/>
    </row>
    <row r="748" spans="1:6" ht="15.75" customHeight="1">
      <c r="A748" s="24"/>
      <c r="B748" s="24"/>
      <c r="C748" s="24"/>
      <c r="D748" s="23"/>
      <c r="E748" s="24"/>
      <c r="F748" s="24"/>
    </row>
    <row r="749" spans="1:6" ht="15.75" customHeight="1">
      <c r="A749" s="24"/>
      <c r="B749" s="24"/>
      <c r="C749" s="24"/>
      <c r="D749" s="23"/>
      <c r="E749" s="24"/>
      <c r="F749" s="24"/>
    </row>
    <row r="750" spans="1:6" ht="15.75" customHeight="1">
      <c r="A750" s="24"/>
      <c r="B750" s="24"/>
      <c r="C750" s="24"/>
      <c r="D750" s="23"/>
      <c r="E750" s="24"/>
      <c r="F750" s="24"/>
    </row>
    <row r="751" spans="1:6" ht="15.75" customHeight="1">
      <c r="A751" s="24"/>
      <c r="B751" s="24"/>
      <c r="C751" s="24"/>
      <c r="D751" s="23"/>
      <c r="E751" s="24"/>
      <c r="F751" s="24"/>
    </row>
    <row r="752" spans="1:6" ht="15.75" customHeight="1">
      <c r="A752" s="24"/>
      <c r="B752" s="24"/>
      <c r="C752" s="24"/>
      <c r="D752" s="23"/>
      <c r="E752" s="24"/>
      <c r="F752" s="24"/>
    </row>
    <row r="753" spans="1:6" ht="15.75" customHeight="1">
      <c r="A753" s="24"/>
      <c r="B753" s="24"/>
      <c r="C753" s="24"/>
      <c r="D753" s="23"/>
      <c r="E753" s="24"/>
      <c r="F753" s="24"/>
    </row>
    <row r="754" spans="1:6" ht="15.75" customHeight="1">
      <c r="A754" s="24"/>
      <c r="B754" s="24"/>
      <c r="C754" s="24"/>
      <c r="D754" s="23"/>
      <c r="E754" s="24"/>
      <c r="F754" s="24"/>
    </row>
    <row r="755" spans="1:6" ht="15.75" customHeight="1">
      <c r="A755" s="24"/>
      <c r="B755" s="24"/>
      <c r="C755" s="24"/>
      <c r="D755" s="23"/>
      <c r="E755" s="24"/>
      <c r="F755" s="24"/>
    </row>
    <row r="756" spans="1:6" ht="15.75" customHeight="1">
      <c r="A756" s="24"/>
      <c r="B756" s="24"/>
      <c r="C756" s="24"/>
      <c r="D756" s="23"/>
      <c r="E756" s="24"/>
      <c r="F756" s="24"/>
    </row>
    <row r="757" spans="1:6" ht="15.75" customHeight="1">
      <c r="A757" s="24"/>
      <c r="B757" s="24"/>
      <c r="C757" s="24"/>
      <c r="D757" s="23"/>
      <c r="E757" s="24"/>
      <c r="F757" s="24"/>
    </row>
    <row r="758" spans="1:6" ht="15.75" customHeight="1">
      <c r="A758" s="24"/>
      <c r="B758" s="24"/>
      <c r="C758" s="24"/>
      <c r="D758" s="23"/>
      <c r="E758" s="24"/>
      <c r="F758" s="24"/>
    </row>
    <row r="759" spans="1:6" ht="15.75" customHeight="1">
      <c r="A759" s="24"/>
      <c r="B759" s="24"/>
      <c r="C759" s="24"/>
      <c r="D759" s="23"/>
      <c r="E759" s="24"/>
      <c r="F759" s="24"/>
    </row>
    <row r="760" spans="1:6" ht="15.75" customHeight="1">
      <c r="A760" s="24"/>
      <c r="B760" s="24"/>
      <c r="C760" s="24"/>
      <c r="D760" s="23"/>
      <c r="E760" s="24"/>
      <c r="F760" s="24"/>
    </row>
    <row r="761" spans="1:6" ht="15.75" customHeight="1">
      <c r="A761" s="24"/>
      <c r="B761" s="24"/>
      <c r="C761" s="24"/>
      <c r="D761" s="23"/>
      <c r="E761" s="24"/>
      <c r="F761" s="24"/>
    </row>
    <row r="762" spans="1:6" ht="15.75" customHeight="1">
      <c r="A762" s="24"/>
      <c r="B762" s="24"/>
      <c r="C762" s="24"/>
      <c r="D762" s="23"/>
      <c r="E762" s="24"/>
      <c r="F762" s="24"/>
    </row>
    <row r="763" spans="1:6" ht="15.75" customHeight="1">
      <c r="A763" s="24"/>
      <c r="B763" s="24"/>
      <c r="C763" s="24"/>
      <c r="D763" s="23"/>
      <c r="E763" s="24"/>
      <c r="F763" s="24"/>
    </row>
    <row r="764" spans="1:6" ht="15.75" customHeight="1">
      <c r="A764" s="24"/>
      <c r="B764" s="24"/>
      <c r="C764" s="24"/>
      <c r="D764" s="23"/>
      <c r="E764" s="24"/>
      <c r="F764" s="24"/>
    </row>
    <row r="765" spans="1:6" ht="15.75" customHeight="1">
      <c r="A765" s="24"/>
      <c r="B765" s="24"/>
      <c r="C765" s="24"/>
      <c r="D765" s="23"/>
      <c r="E765" s="24"/>
      <c r="F765" s="24"/>
    </row>
    <row r="766" spans="1:6" ht="15.75" customHeight="1">
      <c r="A766" s="24"/>
      <c r="B766" s="24"/>
      <c r="C766" s="24"/>
      <c r="D766" s="23"/>
      <c r="E766" s="24"/>
      <c r="F766" s="24"/>
    </row>
    <row r="767" spans="1:6" ht="15.75" customHeight="1">
      <c r="A767" s="24"/>
      <c r="B767" s="24"/>
      <c r="C767" s="24"/>
      <c r="D767" s="23"/>
      <c r="E767" s="24"/>
      <c r="F767" s="24"/>
    </row>
    <row r="768" spans="1:6" ht="15.75" customHeight="1">
      <c r="A768" s="24"/>
      <c r="B768" s="24"/>
      <c r="C768" s="24"/>
      <c r="D768" s="23"/>
      <c r="E768" s="24"/>
      <c r="F768" s="24"/>
    </row>
    <row r="769" spans="1:6" ht="15.75" customHeight="1">
      <c r="A769" s="24"/>
      <c r="B769" s="24"/>
      <c r="C769" s="24"/>
      <c r="D769" s="23"/>
      <c r="E769" s="24"/>
      <c r="F769" s="24"/>
    </row>
    <row r="770" spans="1:6" ht="15.75" customHeight="1">
      <c r="A770" s="24"/>
      <c r="B770" s="24"/>
      <c r="C770" s="24"/>
      <c r="D770" s="23"/>
      <c r="E770" s="24"/>
      <c r="F770" s="24"/>
    </row>
    <row r="771" spans="1:6" ht="15.75" customHeight="1">
      <c r="A771" s="24"/>
      <c r="B771" s="24"/>
      <c r="C771" s="24"/>
      <c r="D771" s="23"/>
      <c r="E771" s="24"/>
      <c r="F771" s="24"/>
    </row>
    <row r="772" spans="1:6" ht="15.75" customHeight="1">
      <c r="A772" s="24"/>
      <c r="B772" s="24"/>
      <c r="C772" s="24"/>
      <c r="D772" s="23"/>
      <c r="E772" s="24"/>
      <c r="F772" s="24"/>
    </row>
    <row r="773" spans="1:6" ht="15.75" customHeight="1">
      <c r="A773" s="24"/>
      <c r="B773" s="24"/>
      <c r="C773" s="24"/>
      <c r="D773" s="23"/>
      <c r="E773" s="24"/>
      <c r="F773" s="24"/>
    </row>
    <row r="774" spans="1:6" ht="15.75" customHeight="1">
      <c r="A774" s="24"/>
      <c r="B774" s="24"/>
      <c r="C774" s="24"/>
      <c r="D774" s="23"/>
      <c r="E774" s="24"/>
      <c r="F774" s="24"/>
    </row>
    <row r="775" spans="1:6" ht="15.75" customHeight="1">
      <c r="A775" s="24"/>
      <c r="B775" s="24"/>
      <c r="C775" s="24"/>
      <c r="D775" s="23"/>
      <c r="E775" s="24"/>
      <c r="F775" s="24"/>
    </row>
    <row r="776" spans="1:6" ht="15.75" customHeight="1">
      <c r="A776" s="24"/>
      <c r="B776" s="24"/>
      <c r="C776" s="24"/>
      <c r="D776" s="23"/>
      <c r="E776" s="24"/>
      <c r="F776" s="24"/>
    </row>
    <row r="777" spans="1:6" ht="15.75" customHeight="1">
      <c r="A777" s="24"/>
      <c r="B777" s="24"/>
      <c r="C777" s="24"/>
      <c r="D777" s="23"/>
      <c r="E777" s="24"/>
      <c r="F777" s="24"/>
    </row>
    <row r="778" spans="1:6" ht="15.75" customHeight="1">
      <c r="A778" s="24"/>
      <c r="B778" s="24"/>
      <c r="C778" s="24"/>
      <c r="D778" s="23"/>
      <c r="E778" s="24"/>
      <c r="F778" s="24"/>
    </row>
    <row r="779" spans="1:6" ht="15.75" customHeight="1">
      <c r="A779" s="24"/>
      <c r="B779" s="24"/>
      <c r="C779" s="24"/>
      <c r="D779" s="23"/>
      <c r="E779" s="24"/>
      <c r="F779" s="24"/>
    </row>
    <row r="780" spans="1:6" ht="15.75" customHeight="1">
      <c r="A780" s="24"/>
      <c r="B780" s="24"/>
      <c r="C780" s="24"/>
      <c r="D780" s="23"/>
      <c r="E780" s="24"/>
      <c r="F780" s="24"/>
    </row>
    <row r="781" spans="1:6" ht="15.75" customHeight="1">
      <c r="A781" s="24"/>
      <c r="B781" s="24"/>
      <c r="C781" s="24"/>
      <c r="D781" s="23"/>
      <c r="E781" s="24"/>
      <c r="F781" s="24"/>
    </row>
    <row r="782" spans="1:6" ht="15.75" customHeight="1">
      <c r="A782" s="24"/>
      <c r="B782" s="24"/>
      <c r="C782" s="24"/>
      <c r="D782" s="23"/>
      <c r="E782" s="24"/>
      <c r="F782" s="24"/>
    </row>
    <row r="783" spans="1:6" ht="15.75" customHeight="1">
      <c r="A783" s="24"/>
      <c r="B783" s="24"/>
      <c r="C783" s="24"/>
      <c r="D783" s="23"/>
      <c r="E783" s="24"/>
      <c r="F783" s="24"/>
    </row>
    <row r="784" spans="1:6" ht="15.75" customHeight="1">
      <c r="A784" s="24"/>
      <c r="B784" s="24"/>
      <c r="C784" s="24"/>
      <c r="D784" s="23"/>
      <c r="E784" s="24"/>
      <c r="F784" s="24"/>
    </row>
    <row r="785" spans="1:6" ht="15.75" customHeight="1">
      <c r="A785" s="24"/>
      <c r="B785" s="24"/>
      <c r="C785" s="24"/>
      <c r="D785" s="23"/>
      <c r="E785" s="24"/>
      <c r="F785" s="24"/>
    </row>
    <row r="786" spans="1:6" ht="15.75" customHeight="1">
      <c r="A786" s="24"/>
      <c r="B786" s="24"/>
      <c r="C786" s="24"/>
      <c r="D786" s="23"/>
      <c r="E786" s="24"/>
      <c r="F786" s="24"/>
    </row>
    <row r="787" spans="1:6" ht="15.75" customHeight="1">
      <c r="A787" s="24"/>
      <c r="B787" s="24"/>
      <c r="C787" s="24"/>
      <c r="D787" s="23"/>
      <c r="E787" s="24"/>
      <c r="F787" s="24"/>
    </row>
    <row r="788" spans="1:6" ht="15.75" customHeight="1">
      <c r="A788" s="24"/>
      <c r="B788" s="24"/>
      <c r="C788" s="24"/>
      <c r="D788" s="23"/>
      <c r="E788" s="24"/>
      <c r="F788" s="24"/>
    </row>
    <row r="789" spans="1:6" ht="15.75" customHeight="1">
      <c r="A789" s="24"/>
      <c r="B789" s="24"/>
      <c r="C789" s="24"/>
      <c r="D789" s="23"/>
      <c r="E789" s="24"/>
      <c r="F789" s="24"/>
    </row>
    <row r="790" spans="1:6" ht="15.75" customHeight="1">
      <c r="A790" s="24"/>
      <c r="B790" s="24"/>
      <c r="C790" s="24"/>
      <c r="D790" s="23"/>
      <c r="E790" s="24"/>
      <c r="F790" s="24"/>
    </row>
    <row r="791" spans="1:6" ht="15.75" customHeight="1">
      <c r="A791" s="24"/>
      <c r="B791" s="24"/>
      <c r="C791" s="24"/>
      <c r="D791" s="23"/>
      <c r="E791" s="24"/>
      <c r="F791" s="24"/>
    </row>
    <row r="792" spans="1:6" ht="15.75" customHeight="1">
      <c r="A792" s="24"/>
      <c r="B792" s="24"/>
      <c r="C792" s="24"/>
      <c r="D792" s="23"/>
      <c r="E792" s="24"/>
      <c r="F792" s="24"/>
    </row>
    <row r="793" spans="1:6" ht="15.75" customHeight="1">
      <c r="A793" s="24"/>
      <c r="B793" s="24"/>
      <c r="C793" s="24"/>
      <c r="D793" s="23"/>
      <c r="E793" s="24"/>
      <c r="F793" s="24"/>
    </row>
    <row r="794" spans="1:6" ht="15.75" customHeight="1">
      <c r="A794" s="24"/>
      <c r="B794" s="24"/>
      <c r="C794" s="24"/>
      <c r="D794" s="23"/>
      <c r="E794" s="24"/>
      <c r="F794" s="24"/>
    </row>
    <row r="795" spans="1:6" ht="15.75" customHeight="1">
      <c r="A795" s="24"/>
      <c r="B795" s="24"/>
      <c r="C795" s="24"/>
      <c r="D795" s="23"/>
      <c r="E795" s="24"/>
      <c r="F795" s="24"/>
    </row>
    <row r="796" spans="1:6" ht="15.75" customHeight="1">
      <c r="A796" s="24"/>
      <c r="B796" s="24"/>
      <c r="C796" s="24"/>
      <c r="D796" s="23"/>
      <c r="E796" s="24"/>
      <c r="F796" s="24"/>
    </row>
    <row r="797" spans="1:6" ht="15.75" customHeight="1">
      <c r="A797" s="24"/>
      <c r="B797" s="24"/>
      <c r="C797" s="24"/>
      <c r="D797" s="23"/>
      <c r="E797" s="24"/>
      <c r="F797" s="24"/>
    </row>
    <row r="798" spans="1:6" ht="15.75" customHeight="1">
      <c r="A798" s="24"/>
      <c r="B798" s="24"/>
      <c r="C798" s="24"/>
      <c r="D798" s="23"/>
      <c r="E798" s="24"/>
      <c r="F798" s="24"/>
    </row>
    <row r="799" spans="1:6" ht="15.75" customHeight="1">
      <c r="A799" s="24"/>
      <c r="B799" s="24"/>
      <c r="C799" s="24"/>
      <c r="D799" s="23"/>
      <c r="E799" s="24"/>
      <c r="F799" s="24"/>
    </row>
    <row r="800" spans="1:6" ht="15.75" customHeight="1">
      <c r="A800" s="24"/>
      <c r="B800" s="24"/>
      <c r="C800" s="24"/>
      <c r="D800" s="23"/>
      <c r="E800" s="24"/>
      <c r="F800" s="24"/>
    </row>
    <row r="801" spans="1:6" ht="15.75" customHeight="1">
      <c r="A801" s="24"/>
      <c r="B801" s="24"/>
      <c r="C801" s="24"/>
      <c r="D801" s="23"/>
      <c r="E801" s="24"/>
      <c r="F801" s="24"/>
    </row>
    <row r="802" spans="1:6" ht="15.75" customHeight="1">
      <c r="A802" s="24"/>
      <c r="B802" s="24"/>
      <c r="C802" s="24"/>
      <c r="D802" s="23"/>
      <c r="E802" s="24"/>
      <c r="F802" s="24"/>
    </row>
    <row r="803" spans="1:6" ht="15.75" customHeight="1">
      <c r="A803" s="24"/>
      <c r="B803" s="24"/>
      <c r="C803" s="24"/>
      <c r="D803" s="23"/>
      <c r="E803" s="24"/>
      <c r="F803" s="24"/>
    </row>
    <row r="804" spans="1:6" ht="15.75" customHeight="1">
      <c r="A804" s="24"/>
      <c r="B804" s="24"/>
      <c r="C804" s="24"/>
      <c r="D804" s="23"/>
      <c r="E804" s="24"/>
      <c r="F804" s="24"/>
    </row>
    <row r="805" spans="1:6" ht="15.75" customHeight="1">
      <c r="A805" s="24"/>
      <c r="B805" s="24"/>
      <c r="C805" s="24"/>
      <c r="D805" s="23"/>
      <c r="E805" s="24"/>
      <c r="F805" s="24"/>
    </row>
    <row r="806" spans="1:6" ht="15.75" customHeight="1">
      <c r="A806" s="24"/>
      <c r="B806" s="24"/>
      <c r="C806" s="24"/>
      <c r="D806" s="23"/>
      <c r="E806" s="24"/>
      <c r="F806" s="24"/>
    </row>
    <row r="807" spans="1:6" ht="15.75" customHeight="1">
      <c r="A807" s="24"/>
      <c r="B807" s="24"/>
      <c r="C807" s="24"/>
      <c r="D807" s="23"/>
      <c r="E807" s="24"/>
      <c r="F807" s="24"/>
    </row>
    <row r="808" spans="1:6" ht="15.75" customHeight="1">
      <c r="A808" s="24"/>
      <c r="B808" s="24"/>
      <c r="C808" s="24"/>
      <c r="D808" s="23"/>
      <c r="E808" s="24"/>
      <c r="F808" s="24"/>
    </row>
    <row r="809" spans="1:6" ht="15.75" customHeight="1">
      <c r="A809" s="24"/>
      <c r="B809" s="24"/>
      <c r="C809" s="24"/>
      <c r="D809" s="23"/>
      <c r="E809" s="24"/>
      <c r="F809" s="24"/>
    </row>
    <row r="810" spans="1:6" ht="15.75" customHeight="1">
      <c r="A810" s="24"/>
      <c r="B810" s="24"/>
      <c r="C810" s="24"/>
      <c r="D810" s="23"/>
      <c r="E810" s="24"/>
      <c r="F810" s="24"/>
    </row>
    <row r="811" spans="1:6" ht="15.75" customHeight="1">
      <c r="A811" s="24"/>
      <c r="B811" s="24"/>
      <c r="C811" s="24"/>
      <c r="D811" s="23"/>
      <c r="E811" s="24"/>
      <c r="F811" s="24"/>
    </row>
    <row r="812" spans="1:6" ht="15.75" customHeight="1">
      <c r="A812" s="24"/>
      <c r="B812" s="24"/>
      <c r="C812" s="24"/>
      <c r="D812" s="23"/>
      <c r="E812" s="24"/>
      <c r="F812" s="24"/>
    </row>
    <row r="813" spans="1:6" ht="15.75" customHeight="1">
      <c r="A813" s="24"/>
      <c r="B813" s="24"/>
      <c r="C813" s="24"/>
      <c r="D813" s="23"/>
      <c r="E813" s="24"/>
      <c r="F813" s="24"/>
    </row>
    <row r="814" spans="1:6" ht="15.75" customHeight="1">
      <c r="A814" s="24"/>
      <c r="B814" s="24"/>
      <c r="C814" s="24"/>
      <c r="D814" s="23"/>
      <c r="E814" s="24"/>
      <c r="F814" s="24"/>
    </row>
    <row r="815" spans="1:6" ht="15.75" customHeight="1">
      <c r="A815" s="24"/>
      <c r="B815" s="24"/>
      <c r="C815" s="24"/>
      <c r="D815" s="23"/>
      <c r="E815" s="24"/>
      <c r="F815" s="24"/>
    </row>
    <row r="816" spans="1:6" ht="15.75" customHeight="1">
      <c r="A816" s="24"/>
      <c r="B816" s="24"/>
      <c r="C816" s="24"/>
      <c r="D816" s="23"/>
      <c r="E816" s="24"/>
      <c r="F816" s="24"/>
    </row>
    <row r="817" spans="1:6" ht="15.75" customHeight="1">
      <c r="A817" s="24"/>
      <c r="B817" s="24"/>
      <c r="C817" s="24"/>
      <c r="D817" s="23"/>
      <c r="E817" s="24"/>
      <c r="F817" s="24"/>
    </row>
    <row r="818" spans="1:6" ht="15.75" customHeight="1">
      <c r="A818" s="24"/>
      <c r="B818" s="24"/>
      <c r="C818" s="24"/>
      <c r="D818" s="23"/>
      <c r="E818" s="24"/>
      <c r="F818" s="24"/>
    </row>
    <row r="819" spans="1:6" ht="15.75" customHeight="1">
      <c r="A819" s="24"/>
      <c r="B819" s="24"/>
      <c r="C819" s="24"/>
      <c r="D819" s="23"/>
      <c r="E819" s="24"/>
      <c r="F819" s="24"/>
    </row>
    <row r="820" spans="1:6" ht="15.75" customHeight="1">
      <c r="A820" s="24"/>
      <c r="B820" s="24"/>
      <c r="C820" s="24"/>
      <c r="D820" s="23"/>
      <c r="E820" s="24"/>
      <c r="F820" s="24"/>
    </row>
    <row r="821" spans="1:6" ht="15.75" customHeight="1">
      <c r="A821" s="24"/>
      <c r="B821" s="24"/>
      <c r="C821" s="24"/>
      <c r="D821" s="23"/>
      <c r="E821" s="24"/>
      <c r="F821" s="24"/>
    </row>
    <row r="822" spans="1:6" ht="15.75" customHeight="1">
      <c r="A822" s="24"/>
      <c r="B822" s="24"/>
      <c r="C822" s="24"/>
      <c r="D822" s="23"/>
      <c r="E822" s="24"/>
      <c r="F822" s="24"/>
    </row>
    <row r="823" spans="1:6" ht="15.75" customHeight="1">
      <c r="A823" s="24"/>
      <c r="B823" s="24"/>
      <c r="C823" s="24"/>
      <c r="D823" s="23"/>
      <c r="E823" s="24"/>
      <c r="F823" s="24"/>
    </row>
    <row r="824" spans="1:6" ht="15.75" customHeight="1">
      <c r="A824" s="24"/>
      <c r="B824" s="24"/>
      <c r="C824" s="24"/>
      <c r="D824" s="23"/>
      <c r="E824" s="24"/>
      <c r="F824" s="24"/>
    </row>
    <row r="825" spans="1:6" ht="15.75" customHeight="1">
      <c r="A825" s="24"/>
      <c r="B825" s="24"/>
      <c r="C825" s="24"/>
      <c r="D825" s="23"/>
      <c r="E825" s="24"/>
      <c r="F825" s="24"/>
    </row>
    <row r="826" spans="1:6" ht="15.75" customHeight="1">
      <c r="A826" s="24"/>
      <c r="B826" s="24"/>
      <c r="C826" s="24"/>
      <c r="D826" s="23"/>
      <c r="E826" s="24"/>
      <c r="F826" s="24"/>
    </row>
    <row r="827" spans="1:6" ht="15.75" customHeight="1">
      <c r="A827" s="24"/>
      <c r="B827" s="24"/>
      <c r="C827" s="24"/>
      <c r="D827" s="23"/>
      <c r="E827" s="24"/>
      <c r="F827" s="24"/>
    </row>
    <row r="828" spans="1:6" ht="15.75" customHeight="1">
      <c r="A828" s="24"/>
      <c r="B828" s="24"/>
      <c r="C828" s="24"/>
      <c r="D828" s="23"/>
      <c r="E828" s="24"/>
      <c r="F828" s="24"/>
    </row>
    <row r="829" spans="1:6" ht="15.75" customHeight="1">
      <c r="A829" s="24"/>
      <c r="B829" s="24"/>
      <c r="C829" s="24"/>
      <c r="D829" s="23"/>
      <c r="E829" s="24"/>
      <c r="F829" s="24"/>
    </row>
    <row r="830" spans="1:6" ht="15.75" customHeight="1">
      <c r="A830" s="24"/>
      <c r="B830" s="24"/>
      <c r="C830" s="24"/>
      <c r="D830" s="23"/>
      <c r="E830" s="24"/>
      <c r="F830" s="24"/>
    </row>
    <row r="831" spans="1:6" ht="15.75" customHeight="1">
      <c r="A831" s="24"/>
      <c r="B831" s="24"/>
      <c r="C831" s="24"/>
      <c r="D831" s="23"/>
      <c r="E831" s="24"/>
      <c r="F831" s="24"/>
    </row>
    <row r="832" spans="1:6" ht="15.75" customHeight="1">
      <c r="A832" s="24"/>
      <c r="B832" s="24"/>
      <c r="C832" s="24"/>
      <c r="D832" s="23"/>
      <c r="E832" s="24"/>
      <c r="F832" s="24"/>
    </row>
    <row r="833" spans="1:6" ht="15.75" customHeight="1">
      <c r="A833" s="24"/>
      <c r="B833" s="24"/>
      <c r="C833" s="24"/>
      <c r="D833" s="23"/>
      <c r="E833" s="24"/>
      <c r="F833" s="24"/>
    </row>
    <row r="834" spans="1:6" ht="15.75" customHeight="1">
      <c r="A834" s="24"/>
      <c r="B834" s="24"/>
      <c r="C834" s="24"/>
      <c r="D834" s="23"/>
      <c r="E834" s="24"/>
      <c r="F834" s="24"/>
    </row>
    <row r="835" spans="1:6" ht="15.75" customHeight="1">
      <c r="A835" s="24"/>
      <c r="B835" s="24"/>
      <c r="C835" s="24"/>
      <c r="D835" s="23"/>
      <c r="E835" s="24"/>
      <c r="F835" s="24"/>
    </row>
    <row r="836" spans="1:6" ht="15.75" customHeight="1">
      <c r="A836" s="24"/>
      <c r="B836" s="24"/>
      <c r="C836" s="24"/>
      <c r="D836" s="23"/>
      <c r="E836" s="24"/>
      <c r="F836" s="24"/>
    </row>
    <row r="837" spans="1:6" ht="15.75" customHeight="1">
      <c r="A837" s="24"/>
      <c r="B837" s="24"/>
      <c r="C837" s="24"/>
      <c r="D837" s="23"/>
      <c r="E837" s="24"/>
      <c r="F837" s="24"/>
    </row>
    <row r="838" spans="1:6" ht="15.75" customHeight="1">
      <c r="A838" s="24"/>
      <c r="B838" s="24"/>
      <c r="C838" s="24"/>
      <c r="D838" s="23"/>
      <c r="E838" s="24"/>
      <c r="F838" s="24"/>
    </row>
    <row r="839" spans="1:6" ht="15.75" customHeight="1">
      <c r="A839" s="24"/>
      <c r="B839" s="24"/>
      <c r="C839" s="24"/>
      <c r="D839" s="23"/>
      <c r="E839" s="24"/>
      <c r="F839" s="24"/>
    </row>
    <row r="840" spans="1:6" ht="15.75" customHeight="1">
      <c r="A840" s="24"/>
      <c r="B840" s="24"/>
      <c r="C840" s="24"/>
      <c r="D840" s="23"/>
      <c r="E840" s="24"/>
      <c r="F840" s="24"/>
    </row>
    <row r="841" spans="1:6" ht="15.75" customHeight="1">
      <c r="A841" s="24"/>
      <c r="B841" s="24"/>
      <c r="C841" s="24"/>
      <c r="D841" s="23"/>
      <c r="E841" s="24"/>
      <c r="F841" s="24"/>
    </row>
    <row r="842" spans="1:6" ht="15.75" customHeight="1">
      <c r="A842" s="24"/>
      <c r="B842" s="24"/>
      <c r="C842" s="24"/>
      <c r="D842" s="23"/>
      <c r="E842" s="24"/>
      <c r="F842" s="24"/>
    </row>
    <row r="843" spans="1:6" ht="15.75" customHeight="1">
      <c r="A843" s="24"/>
      <c r="B843" s="24"/>
      <c r="C843" s="24"/>
      <c r="D843" s="23"/>
      <c r="E843" s="24"/>
      <c r="F843" s="24"/>
    </row>
    <row r="844" spans="1:6" ht="15.75" customHeight="1">
      <c r="A844" s="24"/>
      <c r="B844" s="24"/>
      <c r="C844" s="24"/>
      <c r="D844" s="23"/>
      <c r="E844" s="24"/>
      <c r="F844" s="24"/>
    </row>
    <row r="845" spans="1:6" ht="15.75" customHeight="1">
      <c r="A845" s="24"/>
      <c r="B845" s="24"/>
      <c r="C845" s="24"/>
      <c r="D845" s="23"/>
      <c r="E845" s="24"/>
      <c r="F845" s="24"/>
    </row>
    <row r="846" spans="1:6" ht="15.75" customHeight="1">
      <c r="A846" s="24"/>
      <c r="B846" s="24"/>
      <c r="C846" s="24"/>
      <c r="D846" s="23"/>
      <c r="E846" s="24"/>
      <c r="F846" s="24"/>
    </row>
    <row r="847" spans="1:6" ht="15.75" customHeight="1">
      <c r="A847" s="24"/>
      <c r="B847" s="24"/>
      <c r="C847" s="24"/>
      <c r="D847" s="23"/>
      <c r="E847" s="24"/>
      <c r="F847" s="24"/>
    </row>
    <row r="848" spans="1:6" ht="15.75" customHeight="1">
      <c r="A848" s="24"/>
      <c r="B848" s="24"/>
      <c r="C848" s="24"/>
      <c r="D848" s="23"/>
      <c r="E848" s="24"/>
      <c r="F848" s="24"/>
    </row>
    <row r="849" spans="1:6" ht="15.75" customHeight="1">
      <c r="A849" s="24"/>
      <c r="B849" s="24"/>
      <c r="C849" s="24"/>
      <c r="D849" s="23"/>
      <c r="E849" s="24"/>
      <c r="F849" s="24"/>
    </row>
    <row r="850" spans="1:6" ht="15.75" customHeight="1">
      <c r="A850" s="24"/>
      <c r="B850" s="24"/>
      <c r="C850" s="24"/>
      <c r="D850" s="23"/>
      <c r="E850" s="24"/>
      <c r="F850" s="24"/>
    </row>
    <row r="851" spans="1:6" ht="15.75" customHeight="1">
      <c r="A851" s="24"/>
      <c r="B851" s="24"/>
      <c r="C851" s="24"/>
      <c r="D851" s="23"/>
      <c r="E851" s="24"/>
      <c r="F851" s="24"/>
    </row>
    <row r="852" spans="1:6" ht="15.75" customHeight="1">
      <c r="A852" s="24"/>
      <c r="B852" s="24"/>
      <c r="C852" s="24"/>
      <c r="D852" s="23"/>
      <c r="E852" s="24"/>
      <c r="F852" s="24"/>
    </row>
    <row r="853" spans="1:6" ht="15.75" customHeight="1">
      <c r="A853" s="24"/>
      <c r="B853" s="24"/>
      <c r="C853" s="24"/>
      <c r="D853" s="23"/>
      <c r="E853" s="24"/>
      <c r="F853" s="24"/>
    </row>
    <row r="854" spans="1:6" ht="15.75" customHeight="1">
      <c r="A854" s="24"/>
      <c r="B854" s="24"/>
      <c r="C854" s="24"/>
      <c r="D854" s="23"/>
      <c r="E854" s="24"/>
      <c r="F854" s="24"/>
    </row>
    <row r="855" spans="1:6" ht="15.75" customHeight="1">
      <c r="A855" s="24"/>
      <c r="B855" s="24"/>
      <c r="C855" s="24"/>
      <c r="D855" s="23"/>
      <c r="E855" s="24"/>
      <c r="F855" s="24"/>
    </row>
    <row r="856" spans="1:6" ht="15.75" customHeight="1">
      <c r="A856" s="24"/>
      <c r="B856" s="24"/>
      <c r="C856" s="24"/>
      <c r="D856" s="23"/>
      <c r="E856" s="24"/>
      <c r="F856" s="24"/>
    </row>
    <row r="857" spans="1:6" ht="15.75" customHeight="1">
      <c r="A857" s="24"/>
      <c r="B857" s="24"/>
      <c r="C857" s="24"/>
      <c r="D857" s="23"/>
      <c r="E857" s="24"/>
      <c r="F857" s="24"/>
    </row>
    <row r="858" spans="1:6" ht="15.75" customHeight="1">
      <c r="A858" s="24"/>
      <c r="B858" s="24"/>
      <c r="C858" s="24"/>
      <c r="D858" s="23"/>
      <c r="E858" s="24"/>
      <c r="F858" s="24"/>
    </row>
    <row r="859" spans="1:6" ht="15.75" customHeight="1">
      <c r="A859" s="24"/>
      <c r="B859" s="24"/>
      <c r="C859" s="24"/>
      <c r="D859" s="23"/>
      <c r="E859" s="24"/>
      <c r="F859" s="24"/>
    </row>
    <row r="860" spans="1:6" ht="15.75" customHeight="1">
      <c r="A860" s="24"/>
      <c r="B860" s="24"/>
      <c r="C860" s="24"/>
      <c r="D860" s="23"/>
      <c r="E860" s="24"/>
      <c r="F860" s="24"/>
    </row>
    <row r="861" spans="1:6" ht="15.75" customHeight="1">
      <c r="A861" s="24"/>
      <c r="B861" s="24"/>
      <c r="C861" s="24"/>
      <c r="D861" s="23"/>
      <c r="E861" s="24"/>
      <c r="F861" s="24"/>
    </row>
    <row r="862" spans="1:6" ht="15.75" customHeight="1">
      <c r="A862" s="24"/>
      <c r="B862" s="24"/>
      <c r="C862" s="24"/>
      <c r="D862" s="23"/>
      <c r="E862" s="24"/>
      <c r="F862" s="24"/>
    </row>
    <row r="863" spans="1:6" ht="15.75" customHeight="1">
      <c r="A863" s="24"/>
      <c r="B863" s="24"/>
      <c r="C863" s="24"/>
      <c r="D863" s="23"/>
      <c r="E863" s="24"/>
      <c r="F863" s="24"/>
    </row>
    <row r="864" spans="1:6" ht="15.75" customHeight="1">
      <c r="A864" s="24"/>
      <c r="B864" s="24"/>
      <c r="C864" s="24"/>
      <c r="D864" s="23"/>
      <c r="E864" s="24"/>
      <c r="F864" s="24"/>
    </row>
    <row r="865" spans="1:6" ht="15.75" customHeight="1">
      <c r="A865" s="24"/>
      <c r="B865" s="24"/>
      <c r="C865" s="24"/>
      <c r="D865" s="23"/>
      <c r="E865" s="24"/>
      <c r="F865" s="24"/>
    </row>
    <row r="866" spans="1:6" ht="15.75" customHeight="1">
      <c r="A866" s="24"/>
      <c r="B866" s="24"/>
      <c r="C866" s="24"/>
      <c r="D866" s="23"/>
      <c r="E866" s="24"/>
      <c r="F866" s="24"/>
    </row>
    <row r="867" spans="1:6" ht="15.75" customHeight="1">
      <c r="A867" s="24"/>
      <c r="B867" s="24"/>
      <c r="C867" s="24"/>
      <c r="D867" s="23"/>
      <c r="E867" s="24"/>
      <c r="F867" s="24"/>
    </row>
    <row r="868" spans="1:6" ht="15.75" customHeight="1">
      <c r="A868" s="24"/>
      <c r="B868" s="24"/>
      <c r="C868" s="24"/>
      <c r="D868" s="23"/>
      <c r="E868" s="24"/>
      <c r="F868" s="24"/>
    </row>
    <row r="869" spans="1:6" ht="15.75" customHeight="1">
      <c r="A869" s="24"/>
      <c r="B869" s="24"/>
      <c r="C869" s="24"/>
      <c r="D869" s="23"/>
      <c r="E869" s="24"/>
      <c r="F869" s="24"/>
    </row>
    <row r="870" spans="1:6" ht="15.75" customHeight="1">
      <c r="A870" s="24"/>
      <c r="B870" s="24"/>
      <c r="C870" s="24"/>
      <c r="D870" s="23"/>
      <c r="E870" s="24"/>
      <c r="F870" s="24"/>
    </row>
    <row r="871" spans="1:6" ht="15.75" customHeight="1">
      <c r="A871" s="24"/>
      <c r="B871" s="24"/>
      <c r="C871" s="24"/>
      <c r="D871" s="23"/>
      <c r="E871" s="24"/>
      <c r="F871" s="24"/>
    </row>
    <row r="872" spans="1:6" ht="15.75" customHeight="1">
      <c r="A872" s="24"/>
      <c r="B872" s="24"/>
      <c r="C872" s="24"/>
      <c r="D872" s="23"/>
      <c r="E872" s="24"/>
      <c r="F872" s="24"/>
    </row>
    <row r="873" spans="1:6" ht="15.75" customHeight="1">
      <c r="A873" s="24"/>
      <c r="B873" s="24"/>
      <c r="C873" s="24"/>
      <c r="D873" s="23"/>
      <c r="E873" s="24"/>
      <c r="F873" s="24"/>
    </row>
    <row r="874" spans="1:6" ht="15.75" customHeight="1">
      <c r="A874" s="24"/>
      <c r="B874" s="24"/>
      <c r="C874" s="24"/>
      <c r="D874" s="23"/>
      <c r="E874" s="24"/>
      <c r="F874" s="24"/>
    </row>
    <row r="875" spans="1:6" ht="15.75" customHeight="1">
      <c r="A875" s="24"/>
      <c r="B875" s="24"/>
      <c r="C875" s="24"/>
      <c r="D875" s="23"/>
      <c r="E875" s="24"/>
      <c r="F875" s="24"/>
    </row>
    <row r="876" spans="1:6" ht="15.75" customHeight="1">
      <c r="A876" s="24"/>
      <c r="B876" s="24"/>
      <c r="C876" s="24"/>
      <c r="D876" s="23"/>
      <c r="E876" s="24"/>
      <c r="F876" s="24"/>
    </row>
    <row r="877" spans="1:6" ht="15.75" customHeight="1">
      <c r="A877" s="24"/>
      <c r="B877" s="24"/>
      <c r="C877" s="24"/>
      <c r="D877" s="23"/>
      <c r="E877" s="24"/>
      <c r="F877" s="24"/>
    </row>
    <row r="878" spans="1:6" ht="15.75" customHeight="1">
      <c r="A878" s="24"/>
      <c r="B878" s="24"/>
      <c r="C878" s="24"/>
      <c r="D878" s="23"/>
      <c r="E878" s="24"/>
      <c r="F878" s="24"/>
    </row>
    <row r="879" spans="1:6" ht="15.75" customHeight="1">
      <c r="A879" s="24"/>
      <c r="B879" s="24"/>
      <c r="C879" s="24"/>
      <c r="D879" s="23"/>
      <c r="E879" s="24"/>
      <c r="F879" s="24"/>
    </row>
    <row r="880" spans="1:6" ht="15.75" customHeight="1">
      <c r="A880" s="24"/>
      <c r="B880" s="24"/>
      <c r="C880" s="24"/>
      <c r="D880" s="23"/>
      <c r="E880" s="24"/>
      <c r="F880" s="24"/>
    </row>
    <row r="881" spans="1:6" ht="15.75" customHeight="1">
      <c r="A881" s="24"/>
      <c r="B881" s="24"/>
      <c r="C881" s="24"/>
      <c r="D881" s="23"/>
      <c r="E881" s="24"/>
      <c r="F881" s="24"/>
    </row>
    <row r="882" spans="1:6" ht="15.75" customHeight="1">
      <c r="A882" s="24"/>
      <c r="B882" s="24"/>
      <c r="C882" s="24"/>
      <c r="D882" s="23"/>
      <c r="E882" s="24"/>
      <c r="F882" s="24"/>
    </row>
    <row r="883" spans="1:6" ht="15.75" customHeight="1">
      <c r="A883" s="24"/>
      <c r="B883" s="24"/>
      <c r="C883" s="24"/>
      <c r="D883" s="23"/>
      <c r="E883" s="24"/>
      <c r="F883" s="24"/>
    </row>
    <row r="884" spans="1:6" ht="15.75" customHeight="1">
      <c r="A884" s="24"/>
      <c r="B884" s="24"/>
      <c r="C884" s="24"/>
      <c r="D884" s="23"/>
      <c r="E884" s="24"/>
      <c r="F884" s="24"/>
    </row>
    <row r="885" spans="1:6" ht="15.75" customHeight="1">
      <c r="A885" s="24"/>
      <c r="B885" s="24"/>
      <c r="C885" s="24"/>
      <c r="D885" s="23"/>
      <c r="E885" s="24"/>
      <c r="F885" s="24"/>
    </row>
    <row r="886" spans="1:6" ht="15.75" customHeight="1">
      <c r="A886" s="24"/>
      <c r="B886" s="24"/>
      <c r="C886" s="24"/>
      <c r="D886" s="23"/>
      <c r="E886" s="24"/>
      <c r="F886" s="24"/>
    </row>
    <row r="887" spans="1:6" ht="15.75" customHeight="1">
      <c r="A887" s="24"/>
      <c r="B887" s="24"/>
      <c r="C887" s="24"/>
      <c r="D887" s="23"/>
      <c r="E887" s="24"/>
      <c r="F887" s="24"/>
    </row>
    <row r="888" spans="1:6" ht="15.75" customHeight="1">
      <c r="A888" s="24"/>
      <c r="B888" s="24"/>
      <c r="C888" s="24"/>
      <c r="D888" s="23"/>
      <c r="E888" s="24"/>
      <c r="F888" s="24"/>
    </row>
    <row r="889" spans="1:6" ht="15.75" customHeight="1">
      <c r="A889" s="24"/>
      <c r="B889" s="24"/>
      <c r="C889" s="24"/>
      <c r="D889" s="23"/>
      <c r="E889" s="24"/>
      <c r="F889" s="24"/>
    </row>
    <row r="890" spans="1:6" ht="15.75" customHeight="1">
      <c r="A890" s="24"/>
      <c r="B890" s="24"/>
      <c r="C890" s="24"/>
      <c r="D890" s="23"/>
      <c r="E890" s="24"/>
      <c r="F890" s="24"/>
    </row>
    <row r="891" spans="1:6" ht="15.75" customHeight="1">
      <c r="A891" s="24"/>
      <c r="B891" s="24"/>
      <c r="C891" s="24"/>
      <c r="D891" s="23"/>
      <c r="E891" s="24"/>
      <c r="F891" s="24"/>
    </row>
    <row r="892" spans="1:6" ht="15.75" customHeight="1">
      <c r="A892" s="24"/>
      <c r="B892" s="24"/>
      <c r="C892" s="24"/>
      <c r="D892" s="23"/>
      <c r="E892" s="24"/>
      <c r="F892" s="24"/>
    </row>
    <row r="893" spans="1:6" ht="15.75" customHeight="1">
      <c r="A893" s="24"/>
      <c r="B893" s="24"/>
      <c r="C893" s="24"/>
      <c r="D893" s="23"/>
      <c r="E893" s="24"/>
      <c r="F893" s="24"/>
    </row>
    <row r="894" spans="1:6" ht="15.75" customHeight="1">
      <c r="A894" s="24"/>
      <c r="B894" s="24"/>
      <c r="C894" s="24"/>
      <c r="D894" s="23"/>
      <c r="E894" s="24"/>
      <c r="F894" s="24"/>
    </row>
    <row r="895" spans="1:6" ht="15.75" customHeight="1">
      <c r="A895" s="24"/>
      <c r="B895" s="24"/>
      <c r="C895" s="24"/>
      <c r="D895" s="23"/>
      <c r="E895" s="24"/>
      <c r="F895" s="24"/>
    </row>
    <row r="896" spans="1:6" ht="15.75" customHeight="1">
      <c r="A896" s="24"/>
      <c r="B896" s="24"/>
      <c r="C896" s="24"/>
      <c r="D896" s="23"/>
      <c r="E896" s="24"/>
      <c r="F896" s="24"/>
    </row>
    <row r="897" spans="1:6" ht="15.75" customHeight="1">
      <c r="A897" s="24"/>
      <c r="B897" s="24"/>
      <c r="C897" s="24"/>
      <c r="D897" s="23"/>
      <c r="E897" s="24"/>
      <c r="F897" s="24"/>
    </row>
    <row r="898" spans="1:6" ht="15.75" customHeight="1">
      <c r="A898" s="24"/>
      <c r="B898" s="24"/>
      <c r="C898" s="24"/>
      <c r="D898" s="23"/>
      <c r="E898" s="24"/>
      <c r="F898" s="24"/>
    </row>
    <row r="899" spans="1:6" ht="15.75" customHeight="1">
      <c r="A899" s="24"/>
      <c r="B899" s="24"/>
      <c r="C899" s="24"/>
      <c r="D899" s="23"/>
      <c r="E899" s="24"/>
      <c r="F899" s="24"/>
    </row>
    <row r="900" spans="1:6" ht="15.75" customHeight="1">
      <c r="A900" s="24"/>
      <c r="B900" s="24"/>
      <c r="C900" s="24"/>
      <c r="D900" s="23"/>
      <c r="E900" s="24"/>
      <c r="F900" s="24"/>
    </row>
    <row r="901" spans="1:6" ht="15.75" customHeight="1">
      <c r="A901" s="24"/>
      <c r="B901" s="24"/>
      <c r="C901" s="24"/>
      <c r="D901" s="23"/>
      <c r="E901" s="24"/>
      <c r="F901" s="24"/>
    </row>
    <row r="902" spans="1:6" ht="15.75" customHeight="1">
      <c r="A902" s="24"/>
      <c r="B902" s="24"/>
      <c r="C902" s="24"/>
      <c r="D902" s="23"/>
      <c r="E902" s="24"/>
      <c r="F902" s="24"/>
    </row>
    <row r="903" spans="1:6" ht="15.75" customHeight="1">
      <c r="A903" s="24"/>
      <c r="B903" s="24"/>
      <c r="C903" s="24"/>
      <c r="D903" s="23"/>
      <c r="E903" s="24"/>
      <c r="F903" s="24"/>
    </row>
    <row r="904" spans="1:6" ht="15.75" customHeight="1">
      <c r="A904" s="24"/>
      <c r="B904" s="24"/>
      <c r="C904" s="24"/>
      <c r="D904" s="23"/>
      <c r="E904" s="24"/>
      <c r="F904" s="24"/>
    </row>
    <row r="905" spans="1:6" ht="15.75" customHeight="1">
      <c r="A905" s="24"/>
      <c r="B905" s="24"/>
      <c r="C905" s="24"/>
      <c r="D905" s="23"/>
      <c r="E905" s="24"/>
      <c r="F905" s="24"/>
    </row>
    <row r="906" spans="1:6" ht="15.75" customHeight="1">
      <c r="A906" s="24"/>
      <c r="B906" s="24"/>
      <c r="C906" s="24"/>
      <c r="D906" s="23"/>
      <c r="E906" s="24"/>
      <c r="F906" s="24"/>
    </row>
    <row r="907" spans="1:6" ht="15.75" customHeight="1">
      <c r="A907" s="24"/>
      <c r="B907" s="24"/>
      <c r="C907" s="24"/>
      <c r="D907" s="23"/>
      <c r="E907" s="24"/>
      <c r="F907" s="24"/>
    </row>
    <row r="908" spans="1:6" ht="15.75" customHeight="1">
      <c r="A908" s="24"/>
      <c r="B908" s="24"/>
      <c r="C908" s="24"/>
      <c r="D908" s="23"/>
      <c r="E908" s="24"/>
      <c r="F908" s="24"/>
    </row>
    <row r="909" spans="1:6" ht="15.75" customHeight="1">
      <c r="A909" s="24"/>
      <c r="B909" s="24"/>
      <c r="C909" s="24"/>
      <c r="D909" s="23"/>
      <c r="E909" s="24"/>
      <c r="F909" s="24"/>
    </row>
    <row r="910" spans="1:6" ht="15.75" customHeight="1">
      <c r="A910" s="24"/>
      <c r="B910" s="24"/>
      <c r="C910" s="24"/>
      <c r="D910" s="23"/>
      <c r="E910" s="24"/>
      <c r="F910" s="24"/>
    </row>
    <row r="911" spans="1:6" ht="15.75" customHeight="1">
      <c r="A911" s="24"/>
      <c r="B911" s="24"/>
      <c r="C911" s="24"/>
      <c r="D911" s="23"/>
      <c r="E911" s="24"/>
      <c r="F911" s="24"/>
    </row>
    <row r="912" spans="1:6" ht="15.75" customHeight="1">
      <c r="A912" s="24"/>
      <c r="B912" s="24"/>
      <c r="C912" s="24"/>
      <c r="D912" s="23"/>
      <c r="E912" s="24"/>
      <c r="F912" s="24"/>
    </row>
    <row r="913" spans="1:6" ht="15.75" customHeight="1">
      <c r="A913" s="24"/>
      <c r="B913" s="24"/>
      <c r="C913" s="24"/>
      <c r="D913" s="23"/>
      <c r="E913" s="24"/>
      <c r="F913" s="24"/>
    </row>
    <row r="914" spans="1:6" ht="15.75" customHeight="1">
      <c r="A914" s="24"/>
      <c r="B914" s="24"/>
      <c r="C914" s="24"/>
      <c r="D914" s="23"/>
      <c r="E914" s="24"/>
      <c r="F914" s="24"/>
    </row>
    <row r="915" spans="1:6" ht="15.75" customHeight="1">
      <c r="A915" s="24"/>
      <c r="B915" s="24"/>
      <c r="C915" s="24"/>
      <c r="D915" s="23"/>
      <c r="E915" s="24"/>
      <c r="F915" s="24"/>
    </row>
    <row r="916" spans="1:6" ht="15.75" customHeight="1">
      <c r="A916" s="24"/>
      <c r="B916" s="24"/>
      <c r="C916" s="24"/>
      <c r="D916" s="23"/>
      <c r="E916" s="24"/>
      <c r="F916" s="24"/>
    </row>
    <row r="917" spans="1:6" ht="15.75" customHeight="1">
      <c r="A917" s="24"/>
      <c r="B917" s="24"/>
      <c r="C917" s="24"/>
      <c r="D917" s="23"/>
      <c r="E917" s="24"/>
      <c r="F917" s="24"/>
    </row>
    <row r="918" spans="1:6" ht="15.75" customHeight="1">
      <c r="A918" s="24"/>
      <c r="B918" s="24"/>
      <c r="C918" s="24"/>
      <c r="D918" s="23"/>
      <c r="E918" s="24"/>
      <c r="F918" s="24"/>
    </row>
    <row r="919" spans="1:6" ht="15.75" customHeight="1">
      <c r="A919" s="24"/>
      <c r="B919" s="24"/>
      <c r="C919" s="24"/>
      <c r="D919" s="23"/>
      <c r="E919" s="24"/>
      <c r="F919" s="24"/>
    </row>
    <row r="920" spans="1:6" ht="15.75" customHeight="1">
      <c r="A920" s="24"/>
      <c r="B920" s="24"/>
      <c r="C920" s="24"/>
      <c r="D920" s="23"/>
      <c r="E920" s="24"/>
      <c r="F920" s="24"/>
    </row>
    <row r="921" spans="1:6" ht="15.75" customHeight="1">
      <c r="A921" s="24"/>
      <c r="B921" s="24"/>
      <c r="C921" s="24"/>
      <c r="D921" s="23"/>
      <c r="E921" s="24"/>
      <c r="F921" s="24"/>
    </row>
    <row r="922" spans="1:6" ht="15.75" customHeight="1">
      <c r="A922" s="24"/>
      <c r="B922" s="24"/>
      <c r="C922" s="24"/>
      <c r="D922" s="23"/>
      <c r="E922" s="24"/>
      <c r="F922" s="24"/>
    </row>
    <row r="923" spans="1:6" ht="15.75" customHeight="1">
      <c r="A923" s="24"/>
      <c r="B923" s="24"/>
      <c r="C923" s="24"/>
      <c r="D923" s="23"/>
      <c r="E923" s="24"/>
      <c r="F923" s="24"/>
    </row>
    <row r="924" spans="1:6" ht="15.75" customHeight="1">
      <c r="A924" s="24"/>
      <c r="B924" s="24"/>
      <c r="C924" s="24"/>
      <c r="D924" s="23"/>
      <c r="E924" s="24"/>
      <c r="F924" s="24"/>
    </row>
    <row r="925" spans="1:6" ht="15.75" customHeight="1">
      <c r="A925" s="24"/>
      <c r="B925" s="24"/>
      <c r="C925" s="24"/>
      <c r="D925" s="23"/>
      <c r="E925" s="24"/>
      <c r="F925" s="24"/>
    </row>
    <row r="926" spans="1:6" ht="15.75" customHeight="1">
      <c r="A926" s="24"/>
      <c r="B926" s="24"/>
      <c r="C926" s="24"/>
      <c r="D926" s="23"/>
      <c r="E926" s="24"/>
      <c r="F926" s="24"/>
    </row>
    <row r="927" spans="1:6" ht="15.75" customHeight="1">
      <c r="A927" s="24"/>
      <c r="B927" s="24"/>
      <c r="C927" s="24"/>
      <c r="D927" s="23"/>
      <c r="E927" s="24"/>
      <c r="F927" s="24"/>
    </row>
    <row r="928" spans="1:6" ht="15.75" customHeight="1">
      <c r="A928" s="24"/>
      <c r="B928" s="24"/>
      <c r="C928" s="24"/>
      <c r="D928" s="23"/>
      <c r="E928" s="24"/>
      <c r="F928" s="24"/>
    </row>
    <row r="929" spans="1:6" ht="15.75" customHeight="1">
      <c r="A929" s="24"/>
      <c r="B929" s="24"/>
      <c r="C929" s="24"/>
      <c r="D929" s="23"/>
      <c r="E929" s="24"/>
      <c r="F929" s="24"/>
    </row>
    <row r="930" spans="1:6" ht="15.75" customHeight="1">
      <c r="A930" s="24"/>
      <c r="B930" s="24"/>
      <c r="C930" s="24"/>
      <c r="D930" s="23"/>
      <c r="E930" s="24"/>
      <c r="F930" s="24"/>
    </row>
    <row r="931" spans="1:6" ht="15.75" customHeight="1">
      <c r="A931" s="24"/>
      <c r="B931" s="24"/>
      <c r="C931" s="24"/>
      <c r="D931" s="23"/>
      <c r="E931" s="24"/>
      <c r="F931" s="24"/>
    </row>
    <row r="932" spans="1:6" ht="15.75" customHeight="1">
      <c r="A932" s="24"/>
      <c r="B932" s="24"/>
      <c r="C932" s="24"/>
      <c r="D932" s="23"/>
      <c r="E932" s="24"/>
      <c r="F932" s="24"/>
    </row>
    <row r="933" spans="1:6" ht="15.75" customHeight="1">
      <c r="A933" s="24"/>
      <c r="B933" s="24"/>
      <c r="C933" s="24"/>
      <c r="D933" s="23"/>
      <c r="E933" s="24"/>
      <c r="F933" s="24"/>
    </row>
    <row r="934" spans="1:6" ht="15.75" customHeight="1">
      <c r="A934" s="24"/>
      <c r="B934" s="24"/>
      <c r="C934" s="24"/>
      <c r="D934" s="23"/>
      <c r="E934" s="24"/>
      <c r="F934" s="24"/>
    </row>
    <row r="935" spans="1:6" ht="15.75" customHeight="1">
      <c r="A935" s="24"/>
      <c r="B935" s="24"/>
      <c r="C935" s="24"/>
      <c r="D935" s="23"/>
      <c r="E935" s="24"/>
      <c r="F935" s="24"/>
    </row>
    <row r="936" spans="1:6" ht="15.75" customHeight="1">
      <c r="A936" s="24"/>
      <c r="B936" s="24"/>
      <c r="C936" s="24"/>
      <c r="D936" s="23"/>
      <c r="E936" s="24"/>
      <c r="F936" s="24"/>
    </row>
    <row r="937" spans="1:6" ht="15.75" customHeight="1">
      <c r="A937" s="24"/>
      <c r="B937" s="24"/>
      <c r="C937" s="24"/>
      <c r="D937" s="23"/>
      <c r="E937" s="24"/>
      <c r="F937" s="24"/>
    </row>
    <row r="938" spans="1:6" ht="15.75" customHeight="1">
      <c r="A938" s="24"/>
      <c r="B938" s="24"/>
      <c r="C938" s="24"/>
      <c r="D938" s="23"/>
      <c r="E938" s="24"/>
      <c r="F938" s="24"/>
    </row>
    <row r="939" spans="1:6" ht="15.75" customHeight="1">
      <c r="A939" s="24"/>
      <c r="B939" s="24"/>
      <c r="C939" s="24"/>
      <c r="D939" s="23"/>
      <c r="E939" s="24"/>
      <c r="F939" s="24"/>
    </row>
    <row r="940" spans="1:6" ht="15.75" customHeight="1">
      <c r="A940" s="24"/>
      <c r="B940" s="24"/>
      <c r="C940" s="24"/>
      <c r="D940" s="23"/>
      <c r="E940" s="24"/>
      <c r="F940" s="24"/>
    </row>
    <row r="941" spans="1:6" ht="15.75" customHeight="1">
      <c r="A941" s="24"/>
      <c r="B941" s="24"/>
      <c r="C941" s="24"/>
      <c r="D941" s="23"/>
      <c r="E941" s="24"/>
      <c r="F941" s="24"/>
    </row>
    <row r="942" spans="1:6" ht="15.75" customHeight="1">
      <c r="A942" s="24"/>
      <c r="B942" s="24"/>
      <c r="C942" s="24"/>
      <c r="D942" s="23"/>
      <c r="E942" s="24"/>
      <c r="F942" s="24"/>
    </row>
    <row r="943" spans="1:6" ht="15.75" customHeight="1">
      <c r="A943" s="24"/>
      <c r="B943" s="24"/>
      <c r="C943" s="24"/>
      <c r="D943" s="23"/>
      <c r="E943" s="24"/>
      <c r="F943" s="24"/>
    </row>
    <row r="944" spans="1:6" ht="15.75" customHeight="1">
      <c r="A944" s="24"/>
      <c r="B944" s="24"/>
      <c r="C944" s="24"/>
      <c r="D944" s="23"/>
      <c r="E944" s="24"/>
      <c r="F944" s="24"/>
    </row>
    <row r="945" spans="1:6" ht="15.75" customHeight="1">
      <c r="A945" s="24"/>
      <c r="B945" s="24"/>
      <c r="C945" s="24"/>
      <c r="D945" s="23"/>
      <c r="E945" s="24"/>
      <c r="F945" s="24"/>
    </row>
    <row r="946" spans="1:6" ht="15.75" customHeight="1">
      <c r="A946" s="24"/>
      <c r="B946" s="24"/>
      <c r="C946" s="24"/>
      <c r="D946" s="23"/>
      <c r="E946" s="24"/>
      <c r="F946" s="24"/>
    </row>
    <row r="947" spans="1:6" ht="15.75" customHeight="1">
      <c r="A947" s="24"/>
      <c r="B947" s="24"/>
      <c r="C947" s="24"/>
      <c r="D947" s="23"/>
      <c r="E947" s="24"/>
      <c r="F947" s="24"/>
    </row>
    <row r="948" spans="1:6" ht="15.75" customHeight="1">
      <c r="A948" s="24"/>
      <c r="B948" s="24"/>
      <c r="C948" s="24"/>
      <c r="D948" s="23"/>
      <c r="E948" s="24"/>
      <c r="F948" s="24"/>
    </row>
    <row r="949" spans="1:6" ht="15.75" customHeight="1">
      <c r="A949" s="24"/>
      <c r="B949" s="24"/>
      <c r="C949" s="24"/>
      <c r="D949" s="23"/>
      <c r="E949" s="24"/>
      <c r="F949" s="24"/>
    </row>
    <row r="950" spans="1:6" ht="15.75" customHeight="1">
      <c r="A950" s="24"/>
      <c r="B950" s="24"/>
      <c r="C950" s="24"/>
      <c r="D950" s="23"/>
      <c r="E950" s="24"/>
      <c r="F950" s="24"/>
    </row>
    <row r="951" spans="1:6" ht="15.75" customHeight="1">
      <c r="A951" s="24"/>
      <c r="B951" s="24"/>
      <c r="C951" s="24"/>
      <c r="D951" s="23"/>
      <c r="E951" s="24"/>
      <c r="F951" s="24"/>
    </row>
    <row r="952" spans="1:6" ht="15.75" customHeight="1">
      <c r="A952" s="24"/>
      <c r="B952" s="24"/>
      <c r="C952" s="24"/>
      <c r="D952" s="23"/>
      <c r="E952" s="24"/>
      <c r="F952" s="24"/>
    </row>
    <row r="953" spans="1:6" ht="15.75" customHeight="1">
      <c r="A953" s="24"/>
      <c r="B953" s="24"/>
      <c r="C953" s="24"/>
      <c r="D953" s="23"/>
      <c r="E953" s="24"/>
      <c r="F953" s="24"/>
    </row>
    <row r="954" spans="1:6" ht="15.75" customHeight="1">
      <c r="A954" s="24"/>
      <c r="B954" s="24"/>
      <c r="C954" s="24"/>
      <c r="D954" s="23"/>
      <c r="E954" s="24"/>
      <c r="F954" s="24"/>
    </row>
    <row r="955" spans="1:6" ht="15.75" customHeight="1">
      <c r="A955" s="24"/>
      <c r="B955" s="24"/>
      <c r="C955" s="24"/>
      <c r="D955" s="23"/>
      <c r="E955" s="24"/>
      <c r="F955" s="24"/>
    </row>
    <row r="956" spans="1:6" ht="15.75" customHeight="1">
      <c r="A956" s="24"/>
      <c r="B956" s="24"/>
      <c r="C956" s="24"/>
      <c r="D956" s="23"/>
      <c r="E956" s="24"/>
      <c r="F956" s="24"/>
    </row>
    <row r="957" spans="1:6" ht="15.75" customHeight="1">
      <c r="A957" s="24"/>
      <c r="B957" s="24"/>
      <c r="C957" s="24"/>
      <c r="D957" s="23"/>
      <c r="E957" s="24"/>
      <c r="F957" s="24"/>
    </row>
    <row r="958" spans="1:6" ht="15.75" customHeight="1">
      <c r="A958" s="24"/>
      <c r="B958" s="24"/>
      <c r="C958" s="24"/>
      <c r="D958" s="23"/>
      <c r="E958" s="24"/>
      <c r="F958" s="24"/>
    </row>
    <row r="959" spans="1:6" ht="15.75" customHeight="1">
      <c r="A959" s="24"/>
      <c r="B959" s="24"/>
      <c r="C959" s="24"/>
      <c r="D959" s="23"/>
      <c r="E959" s="24"/>
      <c r="F959" s="24"/>
    </row>
    <row r="960" spans="1:6" ht="15.75" customHeight="1">
      <c r="A960" s="24"/>
      <c r="B960" s="24"/>
      <c r="C960" s="24"/>
      <c r="D960" s="23"/>
      <c r="E960" s="24"/>
      <c r="F960" s="24"/>
    </row>
    <row r="961" spans="1:6" ht="15.75" customHeight="1">
      <c r="A961" s="24"/>
      <c r="B961" s="24"/>
      <c r="C961" s="24"/>
      <c r="D961" s="23"/>
      <c r="E961" s="24"/>
      <c r="F961" s="24"/>
    </row>
    <row r="962" spans="1:6" ht="15.75" customHeight="1">
      <c r="A962" s="24"/>
      <c r="B962" s="24"/>
      <c r="C962" s="24"/>
      <c r="D962" s="23"/>
      <c r="E962" s="24"/>
      <c r="F962" s="24"/>
    </row>
    <row r="963" spans="1:6" ht="15.75" customHeight="1">
      <c r="A963" s="24"/>
      <c r="B963" s="24"/>
      <c r="C963" s="24"/>
      <c r="D963" s="23"/>
      <c r="E963" s="24"/>
      <c r="F963" s="24"/>
    </row>
    <row r="964" spans="1:6" ht="15.75" customHeight="1">
      <c r="A964" s="24"/>
      <c r="B964" s="24"/>
      <c r="C964" s="24"/>
      <c r="D964" s="23"/>
      <c r="E964" s="24"/>
      <c r="F964" s="24"/>
    </row>
    <row r="965" spans="1:6" ht="15.75" customHeight="1">
      <c r="A965" s="24"/>
      <c r="B965" s="24"/>
      <c r="C965" s="24"/>
      <c r="D965" s="23"/>
      <c r="E965" s="24"/>
      <c r="F965" s="24"/>
    </row>
    <row r="966" spans="1:6" ht="15.75" customHeight="1">
      <c r="A966" s="24"/>
      <c r="B966" s="24"/>
      <c r="C966" s="24"/>
      <c r="D966" s="23"/>
      <c r="E966" s="24"/>
      <c r="F966" s="24"/>
    </row>
    <row r="967" spans="1:6" ht="15.75" customHeight="1">
      <c r="A967" s="24"/>
      <c r="B967" s="24"/>
      <c r="C967" s="24"/>
      <c r="D967" s="23"/>
      <c r="E967" s="24"/>
      <c r="F967" s="24"/>
    </row>
    <row r="968" spans="1:6" ht="15.75" customHeight="1">
      <c r="A968" s="24"/>
      <c r="B968" s="24"/>
      <c r="C968" s="24"/>
      <c r="D968" s="23"/>
      <c r="E968" s="24"/>
      <c r="F968" s="24"/>
    </row>
    <row r="969" spans="1:6" ht="15.75" customHeight="1">
      <c r="A969" s="24"/>
      <c r="B969" s="24"/>
      <c r="C969" s="24"/>
      <c r="D969" s="23"/>
      <c r="E969" s="24"/>
      <c r="F969" s="24"/>
    </row>
    <row r="970" spans="1:6" ht="15.75" customHeight="1">
      <c r="A970" s="24"/>
      <c r="B970" s="24"/>
      <c r="C970" s="24"/>
      <c r="D970" s="23"/>
      <c r="E970" s="24"/>
      <c r="F970" s="24"/>
    </row>
    <row r="971" spans="1:6" ht="15.75" customHeight="1">
      <c r="A971" s="24"/>
      <c r="B971" s="24"/>
      <c r="C971" s="24"/>
      <c r="D971" s="23"/>
      <c r="E971" s="24"/>
      <c r="F971" s="24"/>
    </row>
    <row r="972" spans="1:6" ht="15.75" customHeight="1">
      <c r="A972" s="24"/>
      <c r="B972" s="24"/>
      <c r="C972" s="24"/>
      <c r="D972" s="23"/>
      <c r="E972" s="24"/>
      <c r="F972" s="24"/>
    </row>
    <row r="973" spans="1:6" ht="15.75" customHeight="1">
      <c r="A973" s="24"/>
      <c r="B973" s="24"/>
      <c r="C973" s="24"/>
      <c r="D973" s="23"/>
      <c r="E973" s="24"/>
      <c r="F973" s="24"/>
    </row>
    <row r="974" spans="1:6" ht="15.75" customHeight="1">
      <c r="A974" s="24"/>
      <c r="B974" s="24"/>
      <c r="C974" s="24"/>
      <c r="D974" s="23"/>
      <c r="E974" s="24"/>
      <c r="F974" s="24"/>
    </row>
    <row r="975" spans="1:6" ht="15.75" customHeight="1">
      <c r="A975" s="24"/>
      <c r="B975" s="24"/>
      <c r="C975" s="24"/>
      <c r="D975" s="23"/>
      <c r="E975" s="24"/>
      <c r="F975" s="24"/>
    </row>
    <row r="976" spans="1:6" ht="15.75" customHeight="1">
      <c r="A976" s="24"/>
      <c r="B976" s="24"/>
      <c r="C976" s="24"/>
      <c r="D976" s="23"/>
      <c r="E976" s="24"/>
      <c r="F976" s="24"/>
    </row>
    <row r="977" spans="1:6" ht="15.75" customHeight="1">
      <c r="A977" s="24"/>
      <c r="B977" s="24"/>
      <c r="C977" s="24"/>
      <c r="D977" s="23"/>
      <c r="E977" s="24"/>
      <c r="F977" s="24"/>
    </row>
    <row r="978" spans="1:6" ht="15.75" customHeight="1">
      <c r="A978" s="24"/>
      <c r="B978" s="24"/>
      <c r="C978" s="24"/>
      <c r="D978" s="23"/>
      <c r="E978" s="24"/>
      <c r="F978" s="24"/>
    </row>
    <row r="979" spans="1:6" ht="15.75" customHeight="1">
      <c r="A979" s="24"/>
      <c r="B979" s="24"/>
      <c r="C979" s="24"/>
      <c r="D979" s="23"/>
      <c r="E979" s="24"/>
      <c r="F979" s="24"/>
    </row>
  </sheetData>
  <pageMargins left="0.7" right="0.7" top="0.75" bottom="0.75" header="0" footer="0"/>
  <pageSetup scale="5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pageSetUpPr fitToPage="1"/>
  </sheetPr>
  <dimension ref="A1:N387"/>
  <sheetViews>
    <sheetView view="pageBreakPreview" topLeftCell="A292" zoomScale="78" zoomScaleNormal="100" workbookViewId="0">
      <selection activeCell="C78" sqref="C78"/>
    </sheetView>
  </sheetViews>
  <sheetFormatPr defaultColWidth="8.88671875" defaultRowHeight="18"/>
  <cols>
    <col min="1" max="1" width="11.33203125" style="188" customWidth="1"/>
    <col min="2" max="2" width="91.6640625" style="170" customWidth="1"/>
    <col min="3" max="3" width="16.33203125" style="55" customWidth="1"/>
    <col min="4" max="4" width="15.33203125" style="55" customWidth="1"/>
    <col min="5" max="5" width="16.6640625" style="55" customWidth="1"/>
    <col min="6" max="6" width="29.21875" style="223" bestFit="1" customWidth="1"/>
    <col min="7" max="7" width="12.88671875" style="56" customWidth="1"/>
    <col min="8" max="8" width="8.88671875" style="56" customWidth="1"/>
    <col min="9" max="9" width="8.6640625" style="56" customWidth="1"/>
    <col min="10" max="15" width="8.88671875" style="56" customWidth="1"/>
    <col min="16" max="16384" width="8.88671875" style="56"/>
  </cols>
  <sheetData>
    <row r="1" spans="1:14" s="53" customFormat="1">
      <c r="A1" s="51" t="str">
        <f>'GEN SUMMARY'!A1</f>
        <v>PROJECT: BLOCK N REDEVELOPMENT</v>
      </c>
      <c r="B1" s="52"/>
      <c r="C1" s="52"/>
      <c r="D1" s="52"/>
      <c r="E1" s="52"/>
      <c r="F1" s="200"/>
    </row>
    <row r="2" spans="1:14" s="54" customFormat="1">
      <c r="A2" s="51" t="str">
        <f>'GEN SUMMARY'!A2</f>
        <v>LOCATION: KANESHIE</v>
      </c>
      <c r="B2" s="52"/>
      <c r="C2" s="52"/>
      <c r="D2" s="52"/>
      <c r="E2" s="52"/>
      <c r="F2" s="200"/>
    </row>
    <row r="3" spans="1:14" s="54" customFormat="1">
      <c r="A3" s="51" t="str">
        <f>'GEN SUMMARY'!A3</f>
        <v>CLIENT: STATE HOUSING LIMITED</v>
      </c>
      <c r="B3" s="52"/>
      <c r="C3" s="52"/>
      <c r="D3" s="52"/>
      <c r="E3" s="52"/>
      <c r="F3" s="200"/>
    </row>
    <row r="4" spans="1:14" s="54" customFormat="1">
      <c r="A4" s="51" t="str">
        <f>'GEN SUMMARY'!A4</f>
        <v>DATE:9/30/2026</v>
      </c>
      <c r="B4" s="52"/>
      <c r="C4" s="52"/>
      <c r="D4" s="52"/>
      <c r="E4" s="52"/>
      <c r="F4" s="200"/>
    </row>
    <row r="5" spans="1:14">
      <c r="F5" s="200"/>
    </row>
    <row r="6" spans="1:14" ht="18.600000000000001" customHeight="1" thickBot="1">
      <c r="B6" s="171" t="s">
        <v>44</v>
      </c>
      <c r="C6" s="57"/>
      <c r="D6" s="57"/>
      <c r="E6" s="57"/>
      <c r="F6" s="201"/>
      <c r="G6" s="58"/>
      <c r="H6" s="58"/>
      <c r="I6" s="58"/>
      <c r="J6" s="58"/>
      <c r="K6" s="58"/>
      <c r="L6" s="58"/>
      <c r="M6" s="58"/>
      <c r="N6" s="58"/>
    </row>
    <row r="7" spans="1:14" s="62" customFormat="1" ht="31.2" customHeight="1" thickBot="1">
      <c r="A7" s="189" t="s">
        <v>6</v>
      </c>
      <c r="B7" s="59" t="s">
        <v>45</v>
      </c>
      <c r="C7" s="59" t="s">
        <v>46</v>
      </c>
      <c r="D7" s="59" t="s">
        <v>47</v>
      </c>
      <c r="E7" s="60" t="s">
        <v>48</v>
      </c>
      <c r="F7" s="202" t="s">
        <v>49</v>
      </c>
      <c r="G7" s="61"/>
      <c r="H7" s="61"/>
      <c r="I7" s="61"/>
      <c r="J7" s="61"/>
      <c r="K7" s="61"/>
      <c r="L7" s="61"/>
      <c r="M7" s="61"/>
      <c r="N7" s="61"/>
    </row>
    <row r="8" spans="1:14" s="62" customFormat="1">
      <c r="A8" s="190"/>
      <c r="B8" s="63"/>
      <c r="C8" s="63"/>
      <c r="D8" s="63"/>
      <c r="E8" s="63"/>
      <c r="F8" s="203"/>
      <c r="G8" s="61"/>
      <c r="H8" s="61"/>
      <c r="I8" s="61"/>
      <c r="J8" s="61"/>
      <c r="K8" s="61"/>
      <c r="L8" s="61"/>
      <c r="M8" s="61"/>
      <c r="N8" s="61"/>
    </row>
    <row r="9" spans="1:14" s="62" customFormat="1">
      <c r="A9" s="190"/>
      <c r="B9" s="64" t="s">
        <v>50</v>
      </c>
      <c r="C9" s="63"/>
      <c r="D9" s="63"/>
      <c r="E9" s="63"/>
      <c r="F9" s="203"/>
      <c r="G9" s="61"/>
      <c r="H9" s="61"/>
      <c r="I9" s="61"/>
      <c r="J9" s="61"/>
      <c r="K9" s="61"/>
      <c r="L9" s="61"/>
      <c r="M9" s="61"/>
      <c r="N9" s="61"/>
    </row>
    <row r="10" spans="1:14" s="62" customFormat="1">
      <c r="A10" s="190"/>
      <c r="B10" s="64"/>
      <c r="C10" s="63"/>
      <c r="D10" s="63"/>
      <c r="E10" s="63"/>
      <c r="F10" s="203"/>
      <c r="G10" s="61"/>
      <c r="H10" s="61"/>
      <c r="I10" s="61"/>
      <c r="J10" s="61"/>
      <c r="K10" s="61"/>
      <c r="L10" s="61"/>
      <c r="M10" s="61"/>
      <c r="N10" s="61"/>
    </row>
    <row r="11" spans="1:14">
      <c r="A11" s="191"/>
      <c r="B11" s="172" t="s">
        <v>51</v>
      </c>
      <c r="C11" s="65"/>
      <c r="D11" s="65"/>
      <c r="E11" s="65"/>
      <c r="F11" s="204"/>
      <c r="G11" s="66"/>
      <c r="H11" s="66"/>
      <c r="I11" s="66"/>
      <c r="J11" s="66"/>
      <c r="K11" s="66"/>
      <c r="L11" s="66"/>
      <c r="M11" s="66"/>
      <c r="N11" s="66"/>
    </row>
    <row r="12" spans="1:14">
      <c r="A12" s="191"/>
      <c r="B12" s="172" t="s">
        <v>52</v>
      </c>
      <c r="C12" s="65"/>
      <c r="D12" s="65"/>
      <c r="E12" s="65"/>
      <c r="F12" s="204">
        <f>F73</f>
        <v>0</v>
      </c>
      <c r="G12" s="66"/>
      <c r="H12" s="66"/>
      <c r="I12" s="66"/>
      <c r="J12" s="66"/>
      <c r="K12" s="66"/>
      <c r="L12" s="66"/>
      <c r="M12" s="66"/>
      <c r="N12" s="66"/>
    </row>
    <row r="13" spans="1:14">
      <c r="A13" s="191"/>
      <c r="B13" s="172"/>
      <c r="C13" s="65"/>
      <c r="D13" s="65"/>
      <c r="E13" s="65"/>
      <c r="F13" s="204"/>
      <c r="G13" s="66"/>
      <c r="H13" s="66"/>
      <c r="I13" s="66"/>
      <c r="J13" s="66"/>
      <c r="K13" s="66"/>
      <c r="L13" s="66"/>
      <c r="M13" s="66"/>
      <c r="N13" s="66"/>
    </row>
    <row r="14" spans="1:14">
      <c r="A14" s="191"/>
      <c r="B14" s="172" t="s">
        <v>53</v>
      </c>
      <c r="C14" s="65"/>
      <c r="D14" s="65"/>
      <c r="E14" s="65"/>
      <c r="F14" s="204">
        <f>F105</f>
        <v>0</v>
      </c>
      <c r="G14" s="66"/>
      <c r="H14" s="66"/>
      <c r="I14" s="66"/>
      <c r="J14" s="66"/>
      <c r="K14" s="66"/>
      <c r="L14" s="66"/>
      <c r="M14" s="66"/>
      <c r="N14" s="66"/>
    </row>
    <row r="15" spans="1:14">
      <c r="A15" s="191"/>
      <c r="B15" s="172"/>
      <c r="C15" s="65"/>
      <c r="D15" s="65"/>
      <c r="E15" s="65"/>
      <c r="F15" s="204"/>
      <c r="G15" s="66"/>
      <c r="H15" s="66"/>
      <c r="I15" s="66"/>
      <c r="J15" s="66"/>
      <c r="K15" s="66"/>
      <c r="L15" s="66"/>
      <c r="M15" s="66"/>
      <c r="N15" s="66"/>
    </row>
    <row r="16" spans="1:14">
      <c r="A16" s="191"/>
      <c r="B16" s="172" t="s">
        <v>54</v>
      </c>
      <c r="C16" s="65"/>
      <c r="D16" s="65"/>
      <c r="E16" s="65"/>
      <c r="F16" s="204">
        <f>F136</f>
        <v>910000</v>
      </c>
      <c r="G16" s="66"/>
      <c r="H16" s="66"/>
      <c r="I16" s="66"/>
      <c r="J16" s="66"/>
      <c r="K16" s="66"/>
      <c r="L16" s="66"/>
      <c r="M16" s="66"/>
      <c r="N16" s="66"/>
    </row>
    <row r="17" spans="1:14">
      <c r="A17" s="191"/>
      <c r="B17" s="172"/>
      <c r="C17" s="65"/>
      <c r="D17" s="65"/>
      <c r="E17" s="65"/>
      <c r="F17" s="204"/>
      <c r="G17" s="66"/>
      <c r="H17" s="66"/>
      <c r="I17" s="66"/>
      <c r="J17" s="66"/>
      <c r="K17" s="66"/>
      <c r="L17" s="66"/>
      <c r="M17" s="66"/>
      <c r="N17" s="66"/>
    </row>
    <row r="18" spans="1:14">
      <c r="A18" s="191"/>
      <c r="B18" s="172" t="s">
        <v>55</v>
      </c>
      <c r="C18" s="65"/>
      <c r="D18" s="65"/>
      <c r="E18" s="65"/>
      <c r="F18" s="204">
        <f>F162</f>
        <v>245000</v>
      </c>
      <c r="G18" s="66"/>
      <c r="H18" s="66"/>
      <c r="I18" s="66"/>
      <c r="J18" s="66"/>
      <c r="K18" s="66"/>
      <c r="L18" s="66"/>
      <c r="M18" s="66"/>
      <c r="N18" s="66"/>
    </row>
    <row r="19" spans="1:14">
      <c r="A19" s="191"/>
      <c r="B19" s="172"/>
      <c r="C19" s="65"/>
      <c r="D19" s="65"/>
      <c r="E19" s="65"/>
      <c r="F19" s="204"/>
      <c r="G19" s="66"/>
      <c r="H19" s="66"/>
      <c r="I19" s="66"/>
      <c r="J19" s="66"/>
      <c r="K19" s="66"/>
      <c r="L19" s="66"/>
      <c r="M19" s="66"/>
      <c r="N19" s="66"/>
    </row>
    <row r="20" spans="1:14">
      <c r="A20" s="191"/>
      <c r="B20" s="172" t="s">
        <v>56</v>
      </c>
      <c r="C20" s="65"/>
      <c r="D20" s="65"/>
      <c r="E20" s="65"/>
      <c r="F20" s="204">
        <f>F185</f>
        <v>0</v>
      </c>
      <c r="G20" s="66"/>
      <c r="H20" s="66"/>
      <c r="I20" s="66"/>
      <c r="J20" s="66"/>
      <c r="K20" s="66"/>
      <c r="L20" s="66"/>
      <c r="M20" s="66"/>
      <c r="N20" s="66"/>
    </row>
    <row r="21" spans="1:14">
      <c r="A21" s="191"/>
      <c r="B21" s="172"/>
      <c r="C21" s="65"/>
      <c r="D21" s="65"/>
      <c r="E21" s="65"/>
      <c r="F21" s="204"/>
      <c r="G21" s="66"/>
      <c r="H21" s="66"/>
      <c r="I21" s="66"/>
      <c r="J21" s="66"/>
      <c r="K21" s="66"/>
      <c r="L21" s="66"/>
      <c r="M21" s="66"/>
      <c r="N21" s="66"/>
    </row>
    <row r="22" spans="1:14">
      <c r="A22" s="191"/>
      <c r="B22" s="172" t="s">
        <v>57</v>
      </c>
      <c r="C22" s="65"/>
      <c r="D22" s="65"/>
      <c r="E22" s="65"/>
      <c r="F22" s="204">
        <f>F215</f>
        <v>3000000</v>
      </c>
      <c r="G22" s="66"/>
      <c r="H22" s="66"/>
      <c r="I22" s="66"/>
      <c r="J22" s="66"/>
      <c r="K22" s="66"/>
      <c r="L22" s="66"/>
      <c r="M22" s="66"/>
      <c r="N22" s="66"/>
    </row>
    <row r="23" spans="1:14">
      <c r="A23" s="191"/>
      <c r="B23" s="172"/>
      <c r="C23" s="65"/>
      <c r="D23" s="65"/>
      <c r="E23" s="65"/>
      <c r="F23" s="204"/>
      <c r="G23" s="66"/>
      <c r="H23" s="66"/>
      <c r="I23" s="66"/>
      <c r="J23" s="66"/>
      <c r="K23" s="66"/>
      <c r="L23" s="66"/>
      <c r="M23" s="66"/>
      <c r="N23" s="66"/>
    </row>
    <row r="24" spans="1:14">
      <c r="A24" s="191"/>
      <c r="B24" s="172" t="s">
        <v>58</v>
      </c>
      <c r="C24" s="65"/>
      <c r="D24" s="65"/>
      <c r="E24" s="65"/>
      <c r="F24" s="204">
        <f>F240</f>
        <v>801000</v>
      </c>
      <c r="G24" s="66"/>
      <c r="H24" s="66"/>
      <c r="I24" s="66"/>
      <c r="J24" s="66"/>
      <c r="K24" s="66"/>
      <c r="L24" s="66"/>
      <c r="M24" s="66"/>
      <c r="N24" s="66"/>
    </row>
    <row r="25" spans="1:14">
      <c r="A25" s="191"/>
      <c r="B25" s="172"/>
      <c r="C25" s="65"/>
      <c r="D25" s="65"/>
      <c r="E25" s="65"/>
      <c r="F25" s="204"/>
      <c r="G25" s="66"/>
      <c r="H25" s="66"/>
      <c r="I25" s="66"/>
      <c r="J25" s="66"/>
      <c r="K25" s="66"/>
      <c r="L25" s="66"/>
      <c r="M25" s="66"/>
      <c r="N25" s="66"/>
    </row>
    <row r="26" spans="1:14">
      <c r="A26" s="191"/>
      <c r="B26" s="172" t="s">
        <v>59</v>
      </c>
      <c r="C26" s="65"/>
      <c r="D26" s="65"/>
      <c r="E26" s="65"/>
      <c r="F26" s="204">
        <f>F267</f>
        <v>650000</v>
      </c>
      <c r="G26" s="66"/>
      <c r="H26" s="66"/>
      <c r="I26" s="66"/>
      <c r="J26" s="66"/>
      <c r="K26" s="66"/>
      <c r="L26" s="66"/>
      <c r="M26" s="66"/>
      <c r="N26" s="66"/>
    </row>
    <row r="27" spans="1:14">
      <c r="A27" s="191"/>
      <c r="B27" s="172"/>
      <c r="C27" s="65"/>
      <c r="D27" s="65"/>
      <c r="E27" s="65"/>
      <c r="F27" s="204"/>
      <c r="G27" s="66"/>
      <c r="H27" s="66"/>
      <c r="I27" s="66"/>
      <c r="J27" s="66"/>
      <c r="K27" s="66"/>
      <c r="L27" s="66"/>
      <c r="M27" s="66"/>
      <c r="N27" s="66"/>
    </row>
    <row r="28" spans="1:14">
      <c r="A28" s="191"/>
      <c r="B28" s="172" t="s">
        <v>60</v>
      </c>
      <c r="C28" s="65"/>
      <c r="D28" s="65"/>
      <c r="E28" s="65"/>
      <c r="F28" s="204">
        <f>F294</f>
        <v>60000</v>
      </c>
      <c r="G28" s="66"/>
      <c r="H28" s="66"/>
      <c r="I28" s="66"/>
      <c r="J28" s="66"/>
      <c r="K28" s="66"/>
      <c r="L28" s="66"/>
      <c r="M28" s="66"/>
      <c r="N28" s="66"/>
    </row>
    <row r="29" spans="1:14">
      <c r="A29" s="191"/>
      <c r="B29" s="172"/>
      <c r="C29" s="65"/>
      <c r="D29" s="65"/>
      <c r="E29" s="65"/>
      <c r="F29" s="204"/>
      <c r="G29" s="66"/>
      <c r="H29" s="66"/>
      <c r="I29" s="66"/>
      <c r="J29" s="66"/>
      <c r="K29" s="66"/>
      <c r="L29" s="66"/>
      <c r="M29" s="66"/>
      <c r="N29" s="66"/>
    </row>
    <row r="30" spans="1:14">
      <c r="A30" s="191"/>
      <c r="B30" s="172" t="s">
        <v>61</v>
      </c>
      <c r="C30" s="65"/>
      <c r="D30" s="65"/>
      <c r="E30" s="65"/>
      <c r="F30" s="204">
        <f>F324</f>
        <v>282000</v>
      </c>
      <c r="G30" s="66"/>
      <c r="H30" s="66"/>
      <c r="I30" s="66"/>
      <c r="J30" s="66"/>
      <c r="K30" s="66"/>
      <c r="L30" s="66"/>
      <c r="M30" s="66"/>
      <c r="N30" s="66"/>
    </row>
    <row r="31" spans="1:14">
      <c r="A31" s="191"/>
      <c r="B31" s="172"/>
      <c r="C31" s="65"/>
      <c r="D31" s="65"/>
      <c r="E31" s="65"/>
      <c r="F31" s="204"/>
      <c r="G31" s="66"/>
      <c r="H31" s="66"/>
      <c r="I31" s="66"/>
      <c r="J31" s="66"/>
      <c r="K31" s="66"/>
      <c r="L31" s="66"/>
      <c r="M31" s="66"/>
      <c r="N31" s="66"/>
    </row>
    <row r="32" spans="1:14">
      <c r="A32" s="191"/>
      <c r="B32" s="172" t="s">
        <v>62</v>
      </c>
      <c r="C32" s="65"/>
      <c r="D32" s="65"/>
      <c r="E32" s="65"/>
      <c r="F32" s="204">
        <f>F354</f>
        <v>90000</v>
      </c>
      <c r="G32" s="66"/>
      <c r="H32" s="66"/>
      <c r="I32" s="66"/>
      <c r="J32" s="66"/>
      <c r="K32" s="66"/>
      <c r="L32" s="66"/>
      <c r="M32" s="66"/>
      <c r="N32" s="66"/>
    </row>
    <row r="33" spans="1:14">
      <c r="A33" s="191"/>
      <c r="B33" s="172"/>
      <c r="C33" s="65"/>
      <c r="D33" s="65"/>
      <c r="E33" s="65"/>
      <c r="F33" s="204"/>
      <c r="G33" s="66"/>
      <c r="H33" s="66"/>
      <c r="I33" s="66"/>
      <c r="J33" s="66"/>
      <c r="K33" s="66"/>
      <c r="L33" s="66"/>
      <c r="M33" s="66"/>
      <c r="N33" s="66"/>
    </row>
    <row r="34" spans="1:14">
      <c r="A34" s="191"/>
      <c r="B34" s="172" t="s">
        <v>63</v>
      </c>
      <c r="C34" s="65"/>
      <c r="D34" s="65"/>
      <c r="E34" s="65"/>
      <c r="F34" s="204">
        <f>F369</f>
        <v>25000</v>
      </c>
      <c r="G34" s="66"/>
      <c r="H34" s="66"/>
      <c r="I34" s="66"/>
      <c r="J34" s="66"/>
      <c r="K34" s="66"/>
      <c r="L34" s="66"/>
      <c r="M34" s="66"/>
      <c r="N34" s="66"/>
    </row>
    <row r="35" spans="1:14">
      <c r="A35" s="191"/>
      <c r="B35" s="172"/>
      <c r="C35" s="65"/>
      <c r="D35" s="65"/>
      <c r="E35" s="65"/>
      <c r="F35" s="204"/>
      <c r="G35" s="66"/>
      <c r="H35" s="66"/>
      <c r="I35" s="66"/>
      <c r="J35" s="66"/>
      <c r="K35" s="66"/>
      <c r="L35" s="66"/>
      <c r="M35" s="66"/>
      <c r="N35" s="66"/>
    </row>
    <row r="36" spans="1:14">
      <c r="A36" s="191"/>
      <c r="B36" s="172" t="s">
        <v>64</v>
      </c>
      <c r="C36" s="65"/>
      <c r="D36" s="65"/>
      <c r="E36" s="65"/>
      <c r="F36" s="204">
        <f>F378</f>
        <v>60000</v>
      </c>
      <c r="G36" s="66"/>
      <c r="H36" s="66"/>
      <c r="I36" s="66"/>
      <c r="J36" s="66"/>
      <c r="K36" s="66"/>
      <c r="L36" s="66"/>
      <c r="M36" s="66"/>
      <c r="N36" s="66"/>
    </row>
    <row r="37" spans="1:14">
      <c r="A37" s="191"/>
      <c r="B37" s="172"/>
      <c r="C37" s="65"/>
      <c r="D37" s="65"/>
      <c r="E37" s="65"/>
      <c r="F37" s="204"/>
      <c r="G37" s="66"/>
      <c r="H37" s="66"/>
      <c r="I37" s="66"/>
      <c r="J37" s="66"/>
      <c r="K37" s="66"/>
      <c r="L37" s="66"/>
      <c r="M37" s="66"/>
      <c r="N37" s="66"/>
    </row>
    <row r="38" spans="1:14">
      <c r="A38" s="191"/>
      <c r="B38" s="172"/>
      <c r="C38" s="65"/>
      <c r="D38" s="65"/>
      <c r="E38" s="65"/>
      <c r="F38" s="204"/>
      <c r="G38" s="66"/>
      <c r="H38" s="66"/>
      <c r="I38" s="66"/>
      <c r="J38" s="66"/>
      <c r="K38" s="66"/>
      <c r="L38" s="66"/>
      <c r="M38" s="66"/>
      <c r="N38" s="66"/>
    </row>
    <row r="39" spans="1:14">
      <c r="A39" s="191"/>
      <c r="B39" s="172"/>
      <c r="C39" s="65"/>
      <c r="D39" s="65"/>
      <c r="E39" s="65"/>
      <c r="F39" s="204"/>
      <c r="G39" s="66"/>
      <c r="H39" s="66"/>
      <c r="I39" s="66"/>
      <c r="J39" s="66"/>
      <c r="K39" s="66"/>
      <c r="L39" s="66"/>
      <c r="M39" s="66"/>
      <c r="N39" s="66"/>
    </row>
    <row r="40" spans="1:14">
      <c r="A40" s="192"/>
      <c r="B40" s="173" t="s">
        <v>65</v>
      </c>
      <c r="C40" s="67"/>
      <c r="D40" s="67"/>
      <c r="E40" s="67"/>
      <c r="F40" s="205">
        <f>SUM(F12:F38)</f>
        <v>6123000</v>
      </c>
      <c r="G40" s="66"/>
      <c r="H40" s="66"/>
      <c r="I40" s="66"/>
      <c r="J40" s="66"/>
      <c r="K40" s="66"/>
      <c r="L40" s="66"/>
      <c r="M40" s="66"/>
      <c r="N40" s="66"/>
    </row>
    <row r="41" spans="1:14" ht="18.600000000000001" thickBot="1">
      <c r="A41" s="193"/>
      <c r="B41" s="174" t="s">
        <v>66</v>
      </c>
      <c r="C41" s="68"/>
      <c r="D41" s="68"/>
      <c r="E41" s="68"/>
      <c r="F41" s="206"/>
      <c r="G41" s="66"/>
      <c r="H41" s="66"/>
      <c r="I41" s="66"/>
      <c r="J41" s="66"/>
      <c r="K41" s="66"/>
      <c r="L41" s="66"/>
      <c r="M41" s="66"/>
      <c r="N41" s="66"/>
    </row>
    <row r="42" spans="1:14">
      <c r="A42" s="191" t="s">
        <v>9</v>
      </c>
      <c r="B42" s="175" t="s">
        <v>67</v>
      </c>
      <c r="C42" s="69"/>
      <c r="D42" s="69"/>
      <c r="E42" s="69"/>
      <c r="F42" s="207"/>
      <c r="G42" s="70"/>
      <c r="H42" s="70"/>
      <c r="I42" s="70"/>
      <c r="J42" s="70"/>
      <c r="K42" s="70"/>
      <c r="L42" s="70"/>
      <c r="M42" s="70"/>
      <c r="N42" s="70"/>
    </row>
    <row r="43" spans="1:14" ht="109.2">
      <c r="A43" s="191"/>
      <c r="B43" s="176" t="s">
        <v>68</v>
      </c>
      <c r="C43" s="65"/>
      <c r="D43" s="65"/>
      <c r="E43" s="65"/>
      <c r="F43" s="208"/>
      <c r="G43" s="66"/>
      <c r="H43" s="66"/>
      <c r="I43" s="66"/>
      <c r="J43" s="66"/>
      <c r="K43" s="66"/>
      <c r="L43" s="66"/>
      <c r="M43" s="66"/>
      <c r="N43" s="66"/>
    </row>
    <row r="44" spans="1:14">
      <c r="A44" s="191"/>
      <c r="B44" s="176"/>
      <c r="C44" s="65"/>
      <c r="D44" s="65"/>
      <c r="E44" s="65"/>
      <c r="F44" s="208"/>
      <c r="G44" s="66"/>
      <c r="H44" s="66"/>
      <c r="I44" s="66"/>
      <c r="J44" s="66"/>
      <c r="K44" s="66"/>
      <c r="L44" s="66"/>
      <c r="M44" s="66"/>
      <c r="N44" s="66"/>
    </row>
    <row r="45" spans="1:14">
      <c r="A45" s="191" t="s">
        <v>11</v>
      </c>
      <c r="B45" s="175" t="s">
        <v>69</v>
      </c>
      <c r="C45" s="69"/>
      <c r="D45" s="69"/>
      <c r="E45" s="69"/>
      <c r="F45" s="207"/>
      <c r="G45" s="70"/>
      <c r="H45" s="70"/>
      <c r="I45" s="70"/>
      <c r="J45" s="70"/>
      <c r="K45" s="70"/>
      <c r="L45" s="70"/>
      <c r="M45" s="70"/>
      <c r="N45" s="70"/>
    </row>
    <row r="46" spans="1:14" ht="31.2">
      <c r="A46" s="191"/>
      <c r="B46" s="176" t="s">
        <v>70</v>
      </c>
      <c r="C46" s="65"/>
      <c r="D46" s="65"/>
      <c r="E46" s="65"/>
      <c r="F46" s="208"/>
      <c r="G46" s="66"/>
      <c r="H46" s="66"/>
      <c r="I46" s="66"/>
      <c r="J46" s="66"/>
      <c r="K46" s="66"/>
      <c r="L46" s="66"/>
      <c r="M46" s="66"/>
      <c r="N46" s="66"/>
    </row>
    <row r="47" spans="1:14">
      <c r="A47" s="191"/>
      <c r="B47" s="177" t="s">
        <v>71</v>
      </c>
      <c r="C47" s="71"/>
      <c r="D47" s="71"/>
      <c r="E47" s="71"/>
      <c r="F47" s="208"/>
      <c r="G47" s="58"/>
      <c r="H47" s="58"/>
      <c r="I47" s="58"/>
      <c r="J47" s="58"/>
      <c r="K47" s="58"/>
      <c r="L47" s="58"/>
      <c r="M47" s="58"/>
      <c r="N47" s="58"/>
    </row>
    <row r="48" spans="1:14">
      <c r="A48" s="191"/>
      <c r="B48" s="177"/>
      <c r="C48" s="71"/>
      <c r="D48" s="71"/>
      <c r="E48" s="71"/>
      <c r="F48" s="208"/>
      <c r="G48" s="58"/>
      <c r="H48" s="58"/>
      <c r="I48" s="58"/>
      <c r="J48" s="58"/>
      <c r="K48" s="58"/>
      <c r="L48" s="58"/>
      <c r="M48" s="58"/>
      <c r="N48" s="58"/>
    </row>
    <row r="49" spans="1:14">
      <c r="A49" s="191" t="s">
        <v>13</v>
      </c>
      <c r="B49" s="175" t="s">
        <v>72</v>
      </c>
      <c r="C49" s="69"/>
      <c r="D49" s="69"/>
      <c r="E49" s="69"/>
      <c r="F49" s="207"/>
      <c r="G49" s="72"/>
      <c r="H49" s="72"/>
      <c r="I49" s="72"/>
      <c r="J49" s="72"/>
      <c r="K49" s="72"/>
      <c r="L49" s="72"/>
      <c r="M49" s="72"/>
      <c r="N49" s="72"/>
    </row>
    <row r="50" spans="1:14">
      <c r="A50" s="191"/>
      <c r="B50" s="176" t="s">
        <v>73</v>
      </c>
      <c r="C50" s="65"/>
      <c r="D50" s="65"/>
      <c r="E50" s="65"/>
      <c r="F50" s="208"/>
      <c r="G50" s="73"/>
      <c r="H50" s="73"/>
      <c r="I50" s="73"/>
      <c r="J50" s="73"/>
      <c r="K50" s="73"/>
      <c r="L50" s="73"/>
      <c r="M50" s="73"/>
      <c r="N50" s="73"/>
    </row>
    <row r="51" spans="1:14">
      <c r="A51" s="191"/>
      <c r="B51" s="176"/>
      <c r="C51" s="65"/>
      <c r="D51" s="65"/>
      <c r="E51" s="65"/>
      <c r="F51" s="208"/>
      <c r="G51" s="73"/>
      <c r="H51" s="73"/>
      <c r="I51" s="73"/>
      <c r="J51" s="73"/>
      <c r="K51" s="73"/>
      <c r="L51" s="73"/>
      <c r="M51" s="73"/>
      <c r="N51" s="73"/>
    </row>
    <row r="52" spans="1:14">
      <c r="A52" s="191" t="s">
        <v>15</v>
      </c>
      <c r="B52" s="80" t="s">
        <v>74</v>
      </c>
      <c r="C52" s="74"/>
      <c r="D52" s="74"/>
      <c r="E52" s="74"/>
      <c r="F52" s="209"/>
      <c r="G52" s="75"/>
      <c r="H52" s="75"/>
      <c r="I52" s="75"/>
      <c r="J52" s="75"/>
      <c r="K52" s="75"/>
      <c r="L52" s="75"/>
      <c r="M52" s="75"/>
      <c r="N52" s="75"/>
    </row>
    <row r="53" spans="1:14" ht="156">
      <c r="A53" s="191"/>
      <c r="B53" s="176" t="s">
        <v>75</v>
      </c>
      <c r="C53" s="65"/>
      <c r="D53" s="65"/>
      <c r="E53" s="65"/>
      <c r="F53" s="208"/>
      <c r="G53" s="66"/>
      <c r="H53" s="66"/>
      <c r="I53" s="66"/>
      <c r="J53" s="66"/>
      <c r="K53" s="66"/>
      <c r="L53" s="66"/>
      <c r="M53" s="66"/>
      <c r="N53" s="66"/>
    </row>
    <row r="54" spans="1:14">
      <c r="A54" s="191"/>
      <c r="B54" s="178"/>
      <c r="C54" s="76"/>
      <c r="D54" s="76"/>
      <c r="E54" s="76"/>
      <c r="F54" s="210"/>
    </row>
    <row r="55" spans="1:14">
      <c r="A55" s="191" t="s">
        <v>17</v>
      </c>
      <c r="B55" s="80" t="s">
        <v>76</v>
      </c>
      <c r="C55" s="74"/>
      <c r="D55" s="74"/>
      <c r="E55" s="74"/>
      <c r="F55" s="209"/>
      <c r="G55" s="75"/>
      <c r="H55" s="75"/>
      <c r="I55" s="75"/>
      <c r="J55" s="75"/>
      <c r="K55" s="75"/>
      <c r="L55" s="75"/>
      <c r="M55" s="75"/>
      <c r="N55" s="75"/>
    </row>
    <row r="56" spans="1:14" ht="46.8">
      <c r="A56" s="191"/>
      <c r="B56" s="176" t="s">
        <v>77</v>
      </c>
      <c r="C56" s="65"/>
      <c r="D56" s="65"/>
      <c r="E56" s="65"/>
      <c r="F56" s="208"/>
      <c r="G56" s="66"/>
      <c r="H56" s="66"/>
      <c r="I56" s="66"/>
      <c r="J56" s="66"/>
      <c r="K56" s="66"/>
      <c r="L56" s="66"/>
      <c r="M56" s="66"/>
      <c r="N56" s="66"/>
    </row>
    <row r="57" spans="1:14">
      <c r="A57" s="191"/>
      <c r="B57" s="176"/>
      <c r="C57" s="65"/>
      <c r="D57" s="65"/>
      <c r="E57" s="65"/>
      <c r="F57" s="208"/>
      <c r="G57" s="66"/>
      <c r="H57" s="66"/>
      <c r="I57" s="66"/>
      <c r="J57" s="66"/>
      <c r="K57" s="66"/>
      <c r="L57" s="66"/>
      <c r="M57" s="66"/>
      <c r="N57" s="66"/>
    </row>
    <row r="58" spans="1:14">
      <c r="A58" s="191" t="s">
        <v>19</v>
      </c>
      <c r="B58" s="175" t="s">
        <v>78</v>
      </c>
      <c r="C58" s="69"/>
      <c r="D58" s="69"/>
      <c r="E58" s="69"/>
      <c r="F58" s="207"/>
      <c r="G58" s="70"/>
      <c r="H58" s="70"/>
      <c r="I58" s="70"/>
      <c r="J58" s="70"/>
      <c r="K58" s="70"/>
      <c r="L58" s="70"/>
      <c r="M58" s="70"/>
      <c r="N58" s="70"/>
    </row>
    <row r="59" spans="1:14" ht="62.4">
      <c r="A59" s="191"/>
      <c r="B59" s="176" t="s">
        <v>79</v>
      </c>
      <c r="C59" s="65"/>
      <c r="D59" s="65"/>
      <c r="E59" s="65"/>
      <c r="F59" s="208"/>
      <c r="G59" s="66"/>
      <c r="H59" s="66"/>
      <c r="I59" s="66"/>
      <c r="J59" s="66"/>
      <c r="K59" s="66"/>
      <c r="L59" s="66"/>
      <c r="M59" s="66"/>
      <c r="N59" s="66"/>
    </row>
    <row r="60" spans="1:14">
      <c r="A60" s="191"/>
      <c r="B60" s="176"/>
      <c r="C60" s="65"/>
      <c r="D60" s="65"/>
      <c r="E60" s="65"/>
      <c r="F60" s="208"/>
      <c r="G60" s="66"/>
      <c r="H60" s="66"/>
      <c r="I60" s="66"/>
      <c r="J60" s="66"/>
      <c r="K60" s="66"/>
      <c r="L60" s="66"/>
      <c r="M60" s="66"/>
      <c r="N60" s="66"/>
    </row>
    <row r="61" spans="1:14">
      <c r="A61" s="191" t="s">
        <v>21</v>
      </c>
      <c r="B61" s="177" t="s">
        <v>80</v>
      </c>
      <c r="C61" s="71"/>
      <c r="D61" s="71"/>
      <c r="E61" s="71"/>
      <c r="F61" s="208"/>
      <c r="G61" s="58"/>
      <c r="H61" s="58"/>
      <c r="I61" s="58"/>
      <c r="J61" s="58"/>
      <c r="K61" s="58"/>
      <c r="L61" s="58"/>
      <c r="M61" s="58"/>
      <c r="N61" s="58"/>
    </row>
    <row r="62" spans="1:14" ht="93.6">
      <c r="A62" s="191"/>
      <c r="B62" s="176" t="s">
        <v>81</v>
      </c>
      <c r="C62" s="65"/>
      <c r="D62" s="65"/>
      <c r="E62" s="65"/>
      <c r="F62" s="208"/>
      <c r="G62" s="66"/>
      <c r="H62" s="66"/>
      <c r="I62" s="66"/>
      <c r="J62" s="66"/>
      <c r="K62" s="66"/>
      <c r="L62" s="66"/>
      <c r="M62" s="66"/>
      <c r="N62" s="66"/>
    </row>
    <row r="63" spans="1:14">
      <c r="A63" s="191"/>
      <c r="B63" s="176"/>
      <c r="C63" s="65"/>
      <c r="D63" s="65"/>
      <c r="E63" s="65"/>
      <c r="F63" s="208"/>
      <c r="G63" s="66"/>
      <c r="H63" s="66"/>
      <c r="I63" s="66"/>
      <c r="J63" s="66"/>
      <c r="K63" s="66"/>
      <c r="L63" s="66"/>
      <c r="M63" s="66"/>
      <c r="N63" s="66"/>
    </row>
    <row r="64" spans="1:14">
      <c r="A64" s="191" t="s">
        <v>23</v>
      </c>
      <c r="B64" s="80" t="s">
        <v>82</v>
      </c>
      <c r="C64" s="74"/>
      <c r="D64" s="74"/>
      <c r="E64" s="74"/>
      <c r="F64" s="209"/>
      <c r="G64" s="75"/>
      <c r="H64" s="75"/>
      <c r="I64" s="75"/>
      <c r="J64" s="75"/>
      <c r="K64" s="75"/>
      <c r="L64" s="75"/>
      <c r="M64" s="75"/>
      <c r="N64" s="75"/>
    </row>
    <row r="65" spans="1:14" ht="31.2">
      <c r="A65" s="194"/>
      <c r="B65" s="176" t="s">
        <v>83</v>
      </c>
      <c r="C65" s="65"/>
      <c r="D65" s="65"/>
      <c r="E65" s="65"/>
      <c r="F65" s="208"/>
      <c r="G65" s="66"/>
      <c r="H65" s="66"/>
      <c r="I65" s="66"/>
      <c r="J65" s="66"/>
      <c r="K65" s="66"/>
      <c r="L65" s="66"/>
      <c r="M65" s="66"/>
      <c r="N65" s="66"/>
    </row>
    <row r="66" spans="1:14">
      <c r="A66" s="195"/>
      <c r="B66" s="176" t="s">
        <v>84</v>
      </c>
      <c r="C66" s="65"/>
      <c r="D66" s="65"/>
      <c r="E66" s="65"/>
      <c r="F66" s="208"/>
      <c r="G66" s="66"/>
      <c r="H66" s="66"/>
      <c r="I66" s="66"/>
      <c r="J66" s="66"/>
      <c r="K66" s="66"/>
      <c r="L66" s="66"/>
      <c r="M66" s="66"/>
      <c r="N66" s="66"/>
    </row>
    <row r="67" spans="1:14">
      <c r="A67" s="195"/>
      <c r="B67" s="176" t="s">
        <v>85</v>
      </c>
      <c r="C67" s="65"/>
      <c r="D67" s="65"/>
      <c r="E67" s="65"/>
      <c r="F67" s="208"/>
      <c r="G67" s="66"/>
      <c r="H67" s="66"/>
      <c r="I67" s="66"/>
      <c r="J67" s="66"/>
      <c r="K67" s="66"/>
      <c r="L67" s="66"/>
      <c r="M67" s="66"/>
      <c r="N67" s="66"/>
    </row>
    <row r="68" spans="1:14">
      <c r="A68" s="195"/>
      <c r="B68" s="176" t="s">
        <v>86</v>
      </c>
      <c r="C68" s="65"/>
      <c r="D68" s="65"/>
      <c r="E68" s="65"/>
      <c r="F68" s="208"/>
      <c r="G68" s="66"/>
      <c r="H68" s="66"/>
      <c r="I68" s="66"/>
      <c r="J68" s="66"/>
      <c r="K68" s="66"/>
      <c r="L68" s="66"/>
      <c r="M68" s="66"/>
      <c r="N68" s="66"/>
    </row>
    <row r="69" spans="1:14">
      <c r="A69" s="195"/>
      <c r="B69" s="176" t="s">
        <v>87</v>
      </c>
      <c r="C69" s="65"/>
      <c r="D69" s="65"/>
      <c r="E69" s="65"/>
      <c r="F69" s="208"/>
      <c r="G69" s="66"/>
      <c r="H69" s="66"/>
      <c r="I69" s="66"/>
      <c r="J69" s="66"/>
      <c r="K69" s="66"/>
      <c r="L69" s="66"/>
      <c r="M69" s="66"/>
      <c r="N69" s="66"/>
    </row>
    <row r="70" spans="1:14">
      <c r="A70" s="195"/>
      <c r="B70" s="176" t="s">
        <v>88</v>
      </c>
      <c r="C70" s="65"/>
      <c r="D70" s="65"/>
      <c r="E70" s="65"/>
      <c r="F70" s="208"/>
      <c r="G70" s="66"/>
      <c r="H70" s="66"/>
      <c r="I70" s="66"/>
      <c r="J70" s="66"/>
      <c r="K70" s="66"/>
      <c r="L70" s="66"/>
      <c r="M70" s="66"/>
      <c r="N70" s="66"/>
    </row>
    <row r="71" spans="1:14">
      <c r="A71" s="195"/>
      <c r="B71" s="176" t="s">
        <v>89</v>
      </c>
      <c r="C71" s="65"/>
      <c r="D71" s="65"/>
      <c r="E71" s="65"/>
      <c r="F71" s="208"/>
      <c r="G71" s="66"/>
      <c r="H71" s="66"/>
      <c r="I71" s="66"/>
      <c r="J71" s="66"/>
      <c r="K71" s="66"/>
      <c r="L71" s="66"/>
      <c r="M71" s="66"/>
      <c r="N71" s="66"/>
    </row>
    <row r="72" spans="1:14" ht="18.600000000000001" thickBot="1">
      <c r="A72" s="195"/>
      <c r="B72" s="176" t="s">
        <v>90</v>
      </c>
      <c r="C72" s="65"/>
      <c r="D72" s="65"/>
      <c r="E72" s="65"/>
      <c r="F72" s="208"/>
      <c r="G72" s="66"/>
      <c r="H72" s="66"/>
      <c r="I72" s="66"/>
      <c r="J72" s="66"/>
      <c r="K72" s="66"/>
      <c r="L72" s="66"/>
      <c r="M72" s="66"/>
      <c r="N72" s="66"/>
    </row>
    <row r="73" spans="1:14" ht="18.600000000000001" thickBot="1">
      <c r="A73" s="196"/>
      <c r="B73" s="179" t="s">
        <v>91</v>
      </c>
      <c r="C73" s="77"/>
      <c r="D73" s="77"/>
      <c r="E73" s="77"/>
      <c r="F73" s="211">
        <f>SUM(F42:F72)</f>
        <v>0</v>
      </c>
      <c r="G73" s="66"/>
      <c r="H73" s="66"/>
      <c r="I73" s="66"/>
      <c r="J73" s="66"/>
      <c r="K73" s="66"/>
      <c r="L73" s="66"/>
      <c r="M73" s="66"/>
      <c r="N73" s="66"/>
    </row>
    <row r="74" spans="1:14">
      <c r="A74" s="191" t="s">
        <v>9</v>
      </c>
      <c r="B74" s="80" t="s">
        <v>92</v>
      </c>
      <c r="C74" s="74"/>
      <c r="D74" s="74"/>
      <c r="E74" s="74"/>
      <c r="F74" s="209"/>
      <c r="G74" s="75"/>
      <c r="H74" s="75"/>
      <c r="I74" s="75"/>
      <c r="J74" s="75"/>
      <c r="K74" s="75"/>
      <c r="L74" s="75"/>
      <c r="M74" s="75"/>
      <c r="N74" s="75"/>
    </row>
    <row r="75" spans="1:14" ht="62.4">
      <c r="A75" s="191"/>
      <c r="B75" s="176" t="s">
        <v>93</v>
      </c>
      <c r="C75" s="65"/>
      <c r="D75" s="65"/>
      <c r="E75" s="65"/>
      <c r="F75" s="208"/>
      <c r="G75" s="66"/>
      <c r="H75" s="66"/>
      <c r="I75" s="66"/>
      <c r="J75" s="66"/>
      <c r="K75" s="66"/>
      <c r="L75" s="66"/>
      <c r="M75" s="66"/>
      <c r="N75" s="66"/>
    </row>
    <row r="76" spans="1:14">
      <c r="A76" s="191"/>
      <c r="B76" s="178"/>
      <c r="C76" s="76"/>
      <c r="D76" s="76"/>
      <c r="E76" s="76"/>
      <c r="F76" s="210"/>
    </row>
    <row r="77" spans="1:14">
      <c r="A77" s="191" t="s">
        <v>11</v>
      </c>
      <c r="B77" s="80" t="s">
        <v>94</v>
      </c>
      <c r="C77" s="74"/>
      <c r="D77" s="74"/>
      <c r="E77" s="74"/>
      <c r="F77" s="209"/>
      <c r="G77" s="75"/>
      <c r="H77" s="75"/>
      <c r="I77" s="75"/>
      <c r="J77" s="75"/>
      <c r="K77" s="75"/>
      <c r="L77" s="75"/>
      <c r="M77" s="75"/>
      <c r="N77" s="75"/>
    </row>
    <row r="78" spans="1:14" ht="93.6">
      <c r="A78" s="191"/>
      <c r="B78" s="176" t="s">
        <v>95</v>
      </c>
      <c r="C78" s="65"/>
      <c r="D78" s="65"/>
      <c r="E78" s="65"/>
      <c r="F78" s="208"/>
      <c r="G78" s="66"/>
      <c r="H78" s="66"/>
      <c r="I78" s="66"/>
      <c r="J78" s="66"/>
      <c r="K78" s="66"/>
      <c r="L78" s="66"/>
      <c r="M78" s="66"/>
      <c r="N78" s="66"/>
    </row>
    <row r="79" spans="1:14">
      <c r="A79" s="191"/>
      <c r="B79" s="176"/>
      <c r="C79" s="65"/>
      <c r="D79" s="65"/>
      <c r="E79" s="65"/>
      <c r="F79" s="208"/>
      <c r="G79" s="66"/>
      <c r="H79" s="66"/>
      <c r="I79" s="66"/>
      <c r="J79" s="66"/>
      <c r="K79" s="66"/>
      <c r="L79" s="66"/>
      <c r="M79" s="66"/>
      <c r="N79" s="66"/>
    </row>
    <row r="80" spans="1:14">
      <c r="A80" s="191" t="s">
        <v>13</v>
      </c>
      <c r="B80" s="80" t="s">
        <v>96</v>
      </c>
      <c r="C80" s="74"/>
      <c r="D80" s="74"/>
      <c r="E80" s="74"/>
      <c r="F80" s="209"/>
      <c r="G80" s="75"/>
      <c r="H80" s="75"/>
      <c r="I80" s="75"/>
      <c r="J80" s="75"/>
      <c r="K80" s="75"/>
      <c r="L80" s="75"/>
      <c r="M80" s="75"/>
      <c r="N80" s="75"/>
    </row>
    <row r="81" spans="1:14" ht="109.2">
      <c r="A81" s="191"/>
      <c r="B81" s="176" t="s">
        <v>97</v>
      </c>
      <c r="C81" s="65"/>
      <c r="D81" s="65"/>
      <c r="E81" s="65"/>
      <c r="F81" s="208"/>
      <c r="G81" s="66"/>
      <c r="H81" s="66"/>
      <c r="I81" s="66"/>
      <c r="J81" s="66"/>
      <c r="K81" s="66"/>
      <c r="L81" s="66"/>
      <c r="M81" s="66"/>
      <c r="N81" s="66"/>
    </row>
    <row r="82" spans="1:14">
      <c r="A82" s="191"/>
      <c r="B82" s="176"/>
      <c r="C82" s="65"/>
      <c r="D82" s="65"/>
      <c r="E82" s="65"/>
      <c r="F82" s="208"/>
      <c r="G82" s="66"/>
      <c r="H82" s="66"/>
      <c r="I82" s="66"/>
      <c r="J82" s="66"/>
      <c r="K82" s="66"/>
      <c r="L82" s="66"/>
      <c r="M82" s="66"/>
      <c r="N82" s="66"/>
    </row>
    <row r="83" spans="1:14">
      <c r="A83" s="191" t="s">
        <v>15</v>
      </c>
      <c r="B83" s="80" t="s">
        <v>98</v>
      </c>
      <c r="C83" s="74"/>
      <c r="D83" s="74"/>
      <c r="E83" s="74"/>
      <c r="F83" s="209"/>
      <c r="G83" s="75"/>
      <c r="H83" s="75"/>
      <c r="I83" s="75"/>
      <c r="J83" s="75"/>
      <c r="K83" s="75"/>
      <c r="L83" s="75"/>
      <c r="M83" s="75"/>
      <c r="N83" s="75"/>
    </row>
    <row r="84" spans="1:14" ht="78">
      <c r="A84" s="191"/>
      <c r="B84" s="176" t="s">
        <v>99</v>
      </c>
      <c r="C84" s="65"/>
      <c r="D84" s="65"/>
      <c r="E84" s="65"/>
      <c r="F84" s="208"/>
      <c r="G84" s="66"/>
      <c r="H84" s="66"/>
      <c r="I84" s="66"/>
      <c r="J84" s="66"/>
      <c r="K84" s="66"/>
      <c r="L84" s="66"/>
      <c r="M84" s="66"/>
      <c r="N84" s="66"/>
    </row>
    <row r="85" spans="1:14">
      <c r="A85" s="191"/>
      <c r="B85" s="176"/>
      <c r="C85" s="65"/>
      <c r="D85" s="65"/>
      <c r="E85" s="65"/>
      <c r="F85" s="208"/>
      <c r="G85" s="66"/>
      <c r="H85" s="66"/>
      <c r="I85" s="66"/>
      <c r="J85" s="66"/>
      <c r="K85" s="66"/>
      <c r="L85" s="66"/>
      <c r="M85" s="66"/>
      <c r="N85" s="66"/>
    </row>
    <row r="86" spans="1:14">
      <c r="A86" s="191" t="s">
        <v>17</v>
      </c>
      <c r="B86" s="80" t="s">
        <v>100</v>
      </c>
      <c r="C86" s="74"/>
      <c r="D86" s="74"/>
      <c r="E86" s="74"/>
      <c r="F86" s="209"/>
      <c r="G86" s="75"/>
      <c r="H86" s="75"/>
      <c r="I86" s="75"/>
      <c r="J86" s="75"/>
      <c r="K86" s="75"/>
      <c r="L86" s="75"/>
      <c r="M86" s="75"/>
      <c r="N86" s="75"/>
    </row>
    <row r="87" spans="1:14" ht="156">
      <c r="A87" s="191"/>
      <c r="B87" s="176" t="s">
        <v>101</v>
      </c>
      <c r="C87" s="65"/>
      <c r="D87" s="65"/>
      <c r="E87" s="65"/>
      <c r="F87" s="208"/>
      <c r="G87" s="66"/>
      <c r="H87" s="66"/>
      <c r="I87" s="66"/>
      <c r="J87" s="66"/>
      <c r="K87" s="66"/>
      <c r="L87" s="66"/>
      <c r="M87" s="66"/>
      <c r="N87" s="66"/>
    </row>
    <row r="88" spans="1:14">
      <c r="A88" s="191"/>
      <c r="B88" s="178"/>
      <c r="C88" s="76"/>
      <c r="D88" s="76"/>
      <c r="E88" s="76"/>
      <c r="F88" s="210"/>
    </row>
    <row r="89" spans="1:14">
      <c r="A89" s="191" t="s">
        <v>19</v>
      </c>
      <c r="B89" s="80" t="s">
        <v>102</v>
      </c>
      <c r="C89" s="74"/>
      <c r="D89" s="74"/>
      <c r="E89" s="74"/>
      <c r="F89" s="209"/>
      <c r="G89" s="75"/>
      <c r="H89" s="75"/>
      <c r="I89" s="75"/>
      <c r="J89" s="75"/>
      <c r="K89" s="75"/>
      <c r="L89" s="75"/>
      <c r="M89" s="75"/>
      <c r="N89" s="75"/>
    </row>
    <row r="90" spans="1:14">
      <c r="A90" s="191"/>
      <c r="B90" s="176" t="s">
        <v>103</v>
      </c>
      <c r="C90" s="65"/>
      <c r="D90" s="65"/>
      <c r="E90" s="65"/>
      <c r="F90" s="208"/>
      <c r="G90" s="66"/>
      <c r="H90" s="66"/>
      <c r="I90" s="66"/>
      <c r="J90" s="66"/>
      <c r="K90" s="66"/>
      <c r="L90" s="66"/>
      <c r="M90" s="66"/>
      <c r="N90" s="66"/>
    </row>
    <row r="91" spans="1:14">
      <c r="A91" s="191"/>
      <c r="B91" s="176"/>
      <c r="C91" s="65"/>
      <c r="D91" s="65"/>
      <c r="E91" s="65"/>
      <c r="F91" s="208"/>
      <c r="G91" s="66"/>
      <c r="H91" s="66"/>
      <c r="I91" s="66"/>
      <c r="J91" s="66"/>
      <c r="K91" s="66"/>
      <c r="L91" s="66"/>
      <c r="M91" s="66"/>
      <c r="N91" s="66"/>
    </row>
    <row r="92" spans="1:14">
      <c r="A92" s="191" t="s">
        <v>21</v>
      </c>
      <c r="B92" s="80" t="s">
        <v>104</v>
      </c>
      <c r="C92" s="74"/>
      <c r="D92" s="74"/>
      <c r="E92" s="74"/>
      <c r="F92" s="209"/>
      <c r="G92" s="75"/>
      <c r="H92" s="75"/>
      <c r="I92" s="75"/>
      <c r="J92" s="75"/>
      <c r="K92" s="75"/>
      <c r="L92" s="75"/>
      <c r="M92" s="75"/>
      <c r="N92" s="75"/>
    </row>
    <row r="93" spans="1:14" ht="31.2">
      <c r="A93" s="191"/>
      <c r="B93" s="180" t="s">
        <v>105</v>
      </c>
      <c r="C93" s="78"/>
      <c r="D93" s="78"/>
      <c r="E93" s="78"/>
      <c r="F93" s="212"/>
      <c r="G93" s="79"/>
      <c r="H93" s="79"/>
      <c r="I93" s="79"/>
      <c r="J93" s="79"/>
      <c r="K93" s="79"/>
      <c r="L93" s="79"/>
      <c r="M93" s="79"/>
      <c r="N93" s="79"/>
    </row>
    <row r="94" spans="1:14">
      <c r="A94" s="191"/>
      <c r="B94" s="176" t="s">
        <v>106</v>
      </c>
      <c r="C94" s="65"/>
      <c r="D94" s="65"/>
      <c r="E94" s="65"/>
      <c r="F94" s="208"/>
      <c r="G94" s="66"/>
      <c r="H94" s="66"/>
      <c r="I94" s="66"/>
      <c r="J94" s="66"/>
      <c r="K94" s="66"/>
      <c r="L94" s="66"/>
      <c r="M94" s="66"/>
      <c r="N94" s="66"/>
    </row>
    <row r="95" spans="1:14">
      <c r="A95" s="191"/>
      <c r="B95" s="176" t="s">
        <v>107</v>
      </c>
      <c r="C95" s="65"/>
      <c r="D95" s="65"/>
      <c r="E95" s="65"/>
      <c r="F95" s="208"/>
      <c r="G95" s="66"/>
      <c r="H95" s="66"/>
      <c r="I95" s="66"/>
      <c r="J95" s="66"/>
      <c r="K95" s="66"/>
      <c r="L95" s="66"/>
      <c r="M95" s="66"/>
      <c r="N95" s="66"/>
    </row>
    <row r="96" spans="1:14">
      <c r="A96" s="191"/>
      <c r="B96" s="176" t="s">
        <v>108</v>
      </c>
      <c r="C96" s="65"/>
      <c r="D96" s="65"/>
      <c r="E96" s="65"/>
      <c r="F96" s="208"/>
      <c r="G96" s="66"/>
      <c r="H96" s="66"/>
      <c r="I96" s="66"/>
      <c r="J96" s="66"/>
      <c r="K96" s="66"/>
      <c r="L96" s="66"/>
      <c r="M96" s="66"/>
      <c r="N96" s="66"/>
    </row>
    <row r="97" spans="1:14">
      <c r="A97" s="191"/>
      <c r="B97" s="176" t="s">
        <v>109</v>
      </c>
      <c r="C97" s="65"/>
      <c r="D97" s="65"/>
      <c r="E97" s="65"/>
      <c r="F97" s="208"/>
      <c r="G97" s="66"/>
      <c r="H97" s="66"/>
      <c r="I97" s="66"/>
      <c r="J97" s="66"/>
      <c r="K97" s="66"/>
      <c r="L97" s="66"/>
      <c r="M97" s="66"/>
      <c r="N97" s="66"/>
    </row>
    <row r="98" spans="1:14" ht="31.2">
      <c r="A98" s="191"/>
      <c r="B98" s="176" t="s">
        <v>110</v>
      </c>
      <c r="C98" s="65"/>
      <c r="D98" s="65"/>
      <c r="E98" s="65"/>
      <c r="F98" s="208"/>
      <c r="G98" s="66"/>
      <c r="H98" s="66"/>
      <c r="I98" s="66"/>
      <c r="J98" s="66"/>
      <c r="K98" s="66"/>
      <c r="L98" s="66"/>
      <c r="M98" s="66"/>
      <c r="N98" s="66"/>
    </row>
    <row r="99" spans="1:14">
      <c r="A99" s="191"/>
      <c r="B99" s="176" t="s">
        <v>111</v>
      </c>
      <c r="C99" s="65"/>
      <c r="D99" s="65"/>
      <c r="E99" s="65"/>
      <c r="F99" s="208"/>
      <c r="G99" s="66"/>
      <c r="H99" s="66"/>
      <c r="I99" s="66"/>
      <c r="J99" s="66"/>
      <c r="K99" s="66"/>
      <c r="L99" s="66"/>
      <c r="M99" s="66"/>
      <c r="N99" s="66"/>
    </row>
    <row r="100" spans="1:14">
      <c r="A100" s="191"/>
      <c r="B100" s="176" t="s">
        <v>112</v>
      </c>
      <c r="C100" s="65"/>
      <c r="D100" s="65"/>
      <c r="E100" s="65"/>
      <c r="F100" s="208"/>
      <c r="G100" s="66"/>
      <c r="H100" s="66"/>
      <c r="I100" s="66"/>
      <c r="J100" s="66"/>
      <c r="K100" s="66"/>
      <c r="L100" s="66"/>
      <c r="M100" s="66"/>
      <c r="N100" s="66"/>
    </row>
    <row r="101" spans="1:14">
      <c r="A101" s="191"/>
      <c r="B101" s="176" t="s">
        <v>113</v>
      </c>
      <c r="C101" s="65"/>
      <c r="D101" s="65"/>
      <c r="E101" s="65"/>
      <c r="F101" s="208"/>
      <c r="G101" s="66"/>
      <c r="H101" s="66"/>
      <c r="I101" s="66"/>
      <c r="J101" s="66"/>
      <c r="K101" s="66"/>
      <c r="L101" s="66"/>
      <c r="M101" s="66"/>
      <c r="N101" s="66"/>
    </row>
    <row r="102" spans="1:14">
      <c r="A102" s="191"/>
      <c r="B102" s="176" t="s">
        <v>114</v>
      </c>
      <c r="C102" s="65"/>
      <c r="D102" s="65"/>
      <c r="E102" s="65"/>
      <c r="F102" s="208"/>
      <c r="G102" s="66"/>
      <c r="H102" s="66"/>
      <c r="I102" s="66"/>
      <c r="J102" s="66"/>
      <c r="K102" s="66"/>
      <c r="L102" s="66"/>
      <c r="M102" s="66"/>
      <c r="N102" s="66"/>
    </row>
    <row r="103" spans="1:14">
      <c r="A103" s="191"/>
      <c r="B103" s="176" t="s">
        <v>115</v>
      </c>
      <c r="C103" s="65"/>
      <c r="D103" s="65"/>
      <c r="E103" s="65"/>
      <c r="F103" s="208"/>
      <c r="G103" s="66"/>
      <c r="H103" s="66"/>
      <c r="I103" s="66"/>
      <c r="J103" s="66"/>
      <c r="K103" s="66"/>
      <c r="L103" s="66"/>
      <c r="M103" s="66"/>
      <c r="N103" s="66"/>
    </row>
    <row r="104" spans="1:14" ht="31.8" thickBot="1">
      <c r="A104" s="191"/>
      <c r="B104" s="176" t="s">
        <v>116</v>
      </c>
      <c r="C104" s="65"/>
      <c r="D104" s="65"/>
      <c r="E104" s="65"/>
      <c r="F104" s="208"/>
      <c r="G104" s="66"/>
      <c r="H104" s="66"/>
      <c r="I104" s="66"/>
      <c r="J104" s="66"/>
      <c r="K104" s="66"/>
      <c r="L104" s="66"/>
      <c r="M104" s="66"/>
      <c r="N104" s="66"/>
    </row>
    <row r="105" spans="1:14" ht="18.600000000000001" thickBot="1">
      <c r="A105" s="196"/>
      <c r="B105" s="179" t="s">
        <v>91</v>
      </c>
      <c r="C105" s="77"/>
      <c r="D105" s="77"/>
      <c r="E105" s="77"/>
      <c r="F105" s="211">
        <f>SUM(F74:F104)</f>
        <v>0</v>
      </c>
      <c r="G105" s="66"/>
      <c r="H105" s="66"/>
      <c r="I105" s="66"/>
      <c r="J105" s="66"/>
      <c r="K105" s="66"/>
      <c r="L105" s="66"/>
      <c r="M105" s="66"/>
      <c r="N105" s="66"/>
    </row>
    <row r="106" spans="1:14">
      <c r="A106" s="191" t="s">
        <v>9</v>
      </c>
      <c r="B106" s="175" t="s">
        <v>117</v>
      </c>
      <c r="C106" s="69"/>
      <c r="D106" s="69"/>
      <c r="E106" s="69"/>
      <c r="F106" s="207"/>
      <c r="G106" s="70"/>
      <c r="H106" s="70"/>
      <c r="I106" s="70"/>
      <c r="J106" s="70"/>
      <c r="K106" s="70"/>
      <c r="L106" s="70"/>
      <c r="M106" s="70"/>
      <c r="N106" s="70"/>
    </row>
    <row r="107" spans="1:14" ht="46.8">
      <c r="A107" s="191"/>
      <c r="B107" s="176" t="s">
        <v>118</v>
      </c>
      <c r="C107" s="65"/>
      <c r="D107" s="65"/>
      <c r="E107" s="65"/>
      <c r="F107" s="208"/>
      <c r="G107" s="66"/>
      <c r="H107" s="66"/>
      <c r="I107" s="66"/>
      <c r="J107" s="66"/>
      <c r="K107" s="66"/>
      <c r="L107" s="66"/>
      <c r="M107" s="66"/>
      <c r="N107" s="66"/>
    </row>
    <row r="108" spans="1:14">
      <c r="A108" s="191"/>
      <c r="B108" s="176"/>
      <c r="C108" s="65"/>
      <c r="D108" s="65"/>
      <c r="E108" s="65"/>
      <c r="F108" s="208"/>
      <c r="G108" s="66"/>
      <c r="H108" s="66"/>
      <c r="I108" s="66"/>
      <c r="J108" s="66"/>
      <c r="K108" s="66"/>
      <c r="L108" s="66"/>
      <c r="M108" s="66"/>
      <c r="N108" s="66"/>
    </row>
    <row r="109" spans="1:14">
      <c r="A109" s="191" t="s">
        <v>11</v>
      </c>
      <c r="B109" s="80" t="s">
        <v>119</v>
      </c>
      <c r="C109" s="74"/>
      <c r="D109" s="74"/>
      <c r="E109" s="74"/>
      <c r="F109" s="213"/>
      <c r="G109" s="75"/>
      <c r="H109" s="75"/>
      <c r="I109" s="75"/>
      <c r="J109" s="75"/>
      <c r="K109" s="75"/>
      <c r="L109" s="75"/>
      <c r="M109" s="75"/>
      <c r="N109" s="75"/>
    </row>
    <row r="110" spans="1:14" ht="62.4">
      <c r="A110" s="191"/>
      <c r="B110" s="176" t="s">
        <v>120</v>
      </c>
      <c r="C110" s="65"/>
      <c r="D110" s="65"/>
      <c r="E110" s="65"/>
      <c r="F110" s="214">
        <f>RATES!$D$142</f>
        <v>250000</v>
      </c>
      <c r="G110" s="66"/>
      <c r="H110" s="66"/>
      <c r="I110" s="66"/>
      <c r="J110" s="66"/>
      <c r="K110" s="66"/>
      <c r="L110" s="66"/>
      <c r="M110" s="66"/>
      <c r="N110" s="66"/>
    </row>
    <row r="111" spans="1:14" ht="62.4">
      <c r="A111" s="191"/>
      <c r="B111" s="176" t="s">
        <v>121</v>
      </c>
      <c r="C111" s="65"/>
      <c r="D111" s="65"/>
      <c r="E111" s="65"/>
      <c r="F111" s="213"/>
      <c r="G111" s="66"/>
      <c r="H111" s="66"/>
      <c r="I111" s="66"/>
      <c r="J111" s="66"/>
      <c r="K111" s="66"/>
      <c r="L111" s="66"/>
      <c r="M111" s="66"/>
      <c r="N111" s="66"/>
    </row>
    <row r="112" spans="1:14">
      <c r="A112" s="191"/>
      <c r="B112" s="176"/>
      <c r="C112" s="65"/>
      <c r="D112" s="65"/>
      <c r="E112" s="65"/>
      <c r="F112" s="213"/>
      <c r="G112" s="66"/>
      <c r="H112" s="66"/>
      <c r="I112" s="66"/>
      <c r="J112" s="66"/>
      <c r="K112" s="66"/>
      <c r="L112" s="66"/>
      <c r="M112" s="66"/>
      <c r="N112" s="66"/>
    </row>
    <row r="113" spans="1:14">
      <c r="A113" s="191" t="s">
        <v>13</v>
      </c>
      <c r="B113" s="80" t="s">
        <v>122</v>
      </c>
      <c r="C113" s="74"/>
      <c r="D113" s="74"/>
      <c r="E113" s="74"/>
      <c r="F113" s="213"/>
      <c r="G113" s="75"/>
      <c r="H113" s="75"/>
      <c r="I113" s="75"/>
      <c r="J113" s="75"/>
      <c r="K113" s="75"/>
      <c r="L113" s="75"/>
      <c r="M113" s="75"/>
      <c r="N113" s="75"/>
    </row>
    <row r="114" spans="1:14" ht="46.8">
      <c r="A114" s="191"/>
      <c r="B114" s="176" t="s">
        <v>123</v>
      </c>
      <c r="C114" s="65"/>
      <c r="D114" s="65"/>
      <c r="E114" s="65"/>
      <c r="F114" s="214">
        <f>RATES!$D$143</f>
        <v>150000</v>
      </c>
      <c r="G114" s="66"/>
      <c r="H114" s="66"/>
      <c r="I114" s="66"/>
      <c r="J114" s="66"/>
      <c r="K114" s="66"/>
      <c r="L114" s="66"/>
      <c r="M114" s="66"/>
      <c r="N114" s="66"/>
    </row>
    <row r="115" spans="1:14">
      <c r="A115" s="191"/>
      <c r="B115" s="178"/>
      <c r="C115" s="76"/>
      <c r="D115" s="76"/>
      <c r="E115" s="76"/>
      <c r="F115" s="210"/>
    </row>
    <row r="116" spans="1:14">
      <c r="A116" s="191"/>
      <c r="B116" s="80" t="s">
        <v>124</v>
      </c>
      <c r="C116" s="76"/>
      <c r="D116" s="76"/>
      <c r="E116" s="76"/>
      <c r="F116" s="210"/>
    </row>
    <row r="117" spans="1:14" ht="31.2">
      <c r="A117" s="197" t="s">
        <v>15</v>
      </c>
      <c r="B117" s="176" t="s">
        <v>125</v>
      </c>
      <c r="C117" s="76"/>
      <c r="D117" s="76"/>
      <c r="E117" s="76"/>
      <c r="F117" s="215">
        <f>RATES!$D$144</f>
        <v>450000</v>
      </c>
    </row>
    <row r="118" spans="1:14">
      <c r="A118" s="191"/>
      <c r="B118" s="178"/>
      <c r="C118" s="76"/>
      <c r="D118" s="76"/>
      <c r="E118" s="76"/>
      <c r="F118" s="210"/>
    </row>
    <row r="119" spans="1:14">
      <c r="A119" s="191"/>
      <c r="B119" s="178"/>
      <c r="C119" s="76"/>
      <c r="D119" s="76"/>
      <c r="E119" s="76"/>
      <c r="F119" s="210"/>
    </row>
    <row r="120" spans="1:14">
      <c r="A120" s="191" t="s">
        <v>17</v>
      </c>
      <c r="B120" s="181" t="s">
        <v>126</v>
      </c>
      <c r="C120" s="81"/>
      <c r="D120" s="81"/>
      <c r="E120" s="81"/>
      <c r="F120" s="210"/>
    </row>
    <row r="121" spans="1:14" ht="62.4">
      <c r="A121" s="191"/>
      <c r="B121" s="178" t="s">
        <v>127</v>
      </c>
      <c r="C121" s="76"/>
      <c r="D121" s="76"/>
      <c r="E121" s="76"/>
      <c r="F121" s="210"/>
      <c r="G121" s="110"/>
    </row>
    <row r="122" spans="1:14">
      <c r="A122" s="191"/>
      <c r="B122" s="178"/>
      <c r="C122" s="76"/>
      <c r="D122" s="76"/>
      <c r="E122" s="76"/>
      <c r="F122" s="210"/>
      <c r="G122" s="110"/>
    </row>
    <row r="123" spans="1:14">
      <c r="A123" s="191" t="s">
        <v>19</v>
      </c>
      <c r="B123" s="181" t="s">
        <v>128</v>
      </c>
      <c r="C123" s="81"/>
      <c r="D123" s="81"/>
      <c r="E123" s="81"/>
      <c r="F123" s="213"/>
      <c r="G123" s="111"/>
    </row>
    <row r="124" spans="1:14" ht="62.4">
      <c r="A124" s="191"/>
      <c r="B124" s="178" t="s">
        <v>129</v>
      </c>
      <c r="C124" s="76"/>
      <c r="D124" s="76"/>
      <c r="E124" s="76"/>
      <c r="F124" s="216">
        <f>RATES!$D$145</f>
        <v>60000</v>
      </c>
      <c r="G124" s="82"/>
    </row>
    <row r="125" spans="1:14" ht="62.4">
      <c r="A125" s="191"/>
      <c r="B125" s="178" t="s">
        <v>130</v>
      </c>
      <c r="C125" s="76"/>
      <c r="D125" s="76"/>
      <c r="E125" s="76"/>
      <c r="F125" s="210"/>
      <c r="G125" s="110"/>
    </row>
    <row r="126" spans="1:14" ht="31.2">
      <c r="A126" s="191"/>
      <c r="B126" s="178" t="s">
        <v>131</v>
      </c>
      <c r="C126" s="76"/>
      <c r="D126" s="76"/>
      <c r="E126" s="76"/>
      <c r="F126" s="210"/>
    </row>
    <row r="127" spans="1:14">
      <c r="A127" s="191"/>
      <c r="B127" s="178"/>
      <c r="C127" s="76"/>
      <c r="D127" s="76"/>
      <c r="E127" s="76"/>
      <c r="F127" s="210"/>
    </row>
    <row r="128" spans="1:14">
      <c r="A128" s="191" t="s">
        <v>21</v>
      </c>
      <c r="B128" s="181" t="s">
        <v>132</v>
      </c>
      <c r="C128" s="81"/>
      <c r="D128" s="81"/>
      <c r="E128" s="81"/>
      <c r="F128" s="210"/>
    </row>
    <row r="129" spans="1:14" ht="62.4">
      <c r="A129" s="191"/>
      <c r="B129" s="178" t="s">
        <v>133</v>
      </c>
      <c r="C129" s="76"/>
      <c r="D129" s="76"/>
      <c r="E129" s="76"/>
      <c r="F129" s="210"/>
    </row>
    <row r="130" spans="1:14">
      <c r="A130" s="191"/>
      <c r="B130" s="178"/>
      <c r="C130" s="76"/>
      <c r="D130" s="76"/>
      <c r="E130" s="76"/>
      <c r="F130" s="210"/>
    </row>
    <row r="131" spans="1:14">
      <c r="A131" s="191" t="s">
        <v>23</v>
      </c>
      <c r="B131" s="181" t="s">
        <v>134</v>
      </c>
      <c r="C131" s="81"/>
      <c r="D131" s="81"/>
      <c r="E131" s="81"/>
      <c r="F131" s="210"/>
    </row>
    <row r="132" spans="1:14" ht="78">
      <c r="A132" s="191"/>
      <c r="B132" s="178" t="s">
        <v>135</v>
      </c>
      <c r="C132" s="76"/>
      <c r="D132" s="76"/>
      <c r="E132" s="76"/>
      <c r="F132" s="210"/>
    </row>
    <row r="133" spans="1:14">
      <c r="A133" s="191"/>
      <c r="B133" s="178"/>
      <c r="C133" s="76"/>
      <c r="D133" s="76"/>
      <c r="E133" s="76"/>
      <c r="F133" s="210"/>
    </row>
    <row r="134" spans="1:14">
      <c r="A134" s="191" t="s">
        <v>23</v>
      </c>
      <c r="B134" s="182" t="s">
        <v>136</v>
      </c>
      <c r="C134" s="83"/>
      <c r="D134" s="83"/>
      <c r="E134" s="83"/>
      <c r="F134" s="217"/>
      <c r="G134" s="84"/>
      <c r="H134" s="84"/>
      <c r="I134" s="84"/>
      <c r="J134" s="84"/>
      <c r="K134" s="84"/>
      <c r="L134" s="84"/>
      <c r="M134" s="84"/>
      <c r="N134" s="84"/>
    </row>
    <row r="135" spans="1:14" ht="63" thickBot="1">
      <c r="A135" s="191"/>
      <c r="B135" s="176" t="s">
        <v>137</v>
      </c>
      <c r="C135" s="65"/>
      <c r="D135" s="65"/>
      <c r="E135" s="65"/>
      <c r="F135" s="208"/>
      <c r="G135" s="66"/>
      <c r="H135" s="66"/>
      <c r="I135" s="66"/>
      <c r="J135" s="66"/>
      <c r="K135" s="66"/>
      <c r="L135" s="66"/>
      <c r="M135" s="66"/>
      <c r="N135" s="66"/>
    </row>
    <row r="136" spans="1:14" ht="18.600000000000001" thickBot="1">
      <c r="A136" s="196"/>
      <c r="B136" s="179" t="s">
        <v>91</v>
      </c>
      <c r="C136" s="77"/>
      <c r="D136" s="77"/>
      <c r="E136" s="77"/>
      <c r="F136" s="218">
        <f>SUM(F106:F135)</f>
        <v>910000</v>
      </c>
      <c r="G136" s="66"/>
      <c r="H136" s="66"/>
      <c r="I136" s="66"/>
      <c r="J136" s="66"/>
      <c r="K136" s="66"/>
      <c r="L136" s="66"/>
      <c r="M136" s="66"/>
      <c r="N136" s="66"/>
    </row>
    <row r="137" spans="1:14">
      <c r="A137" s="191" t="s">
        <v>9</v>
      </c>
      <c r="B137" s="80" t="s">
        <v>138</v>
      </c>
      <c r="C137" s="74"/>
      <c r="D137" s="74"/>
      <c r="E137" s="74"/>
      <c r="F137" s="213"/>
      <c r="G137" s="75"/>
      <c r="H137" s="75"/>
      <c r="I137" s="75"/>
      <c r="J137" s="75"/>
      <c r="K137" s="75"/>
      <c r="L137" s="75"/>
      <c r="M137" s="75"/>
      <c r="N137" s="75"/>
    </row>
    <row r="138" spans="1:14" ht="62.4">
      <c r="A138" s="191"/>
      <c r="B138" s="176" t="s">
        <v>139</v>
      </c>
      <c r="C138" s="65"/>
      <c r="D138" s="65"/>
      <c r="E138" s="65"/>
      <c r="F138" s="214">
        <f>RATES!$D$146</f>
        <v>25000</v>
      </c>
      <c r="G138" s="66"/>
      <c r="H138" s="66"/>
      <c r="I138" s="66"/>
      <c r="J138" s="66"/>
      <c r="K138" s="66"/>
      <c r="L138" s="66"/>
      <c r="M138" s="66"/>
      <c r="N138" s="66"/>
    </row>
    <row r="139" spans="1:14">
      <c r="A139" s="191"/>
      <c r="B139" s="176"/>
      <c r="C139" s="65"/>
      <c r="D139" s="65"/>
      <c r="E139" s="65"/>
      <c r="F139" s="208"/>
      <c r="G139" s="66"/>
      <c r="H139" s="66"/>
      <c r="I139" s="66"/>
      <c r="J139" s="66"/>
      <c r="K139" s="66"/>
      <c r="L139" s="66"/>
      <c r="M139" s="66"/>
      <c r="N139" s="66"/>
    </row>
    <row r="140" spans="1:14">
      <c r="A140" s="191" t="s">
        <v>11</v>
      </c>
      <c r="B140" s="80" t="s">
        <v>140</v>
      </c>
      <c r="C140" s="74"/>
      <c r="D140" s="74"/>
      <c r="E140" s="74"/>
      <c r="F140" s="217"/>
      <c r="G140" s="84"/>
      <c r="H140" s="84"/>
      <c r="I140" s="84"/>
      <c r="J140" s="84"/>
      <c r="K140" s="84"/>
      <c r="L140" s="84"/>
      <c r="M140" s="84"/>
      <c r="N140" s="84"/>
    </row>
    <row r="141" spans="1:14" ht="46.8">
      <c r="A141" s="191"/>
      <c r="B141" s="176" t="s">
        <v>141</v>
      </c>
      <c r="C141" s="65"/>
      <c r="D141" s="65"/>
      <c r="E141" s="65"/>
      <c r="F141" s="208"/>
      <c r="G141" s="66"/>
      <c r="H141" s="66"/>
      <c r="I141" s="66"/>
      <c r="J141" s="66"/>
      <c r="K141" s="66"/>
      <c r="L141" s="66"/>
      <c r="M141" s="66"/>
      <c r="N141" s="66"/>
    </row>
    <row r="142" spans="1:14">
      <c r="A142" s="191"/>
      <c r="B142" s="176"/>
      <c r="C142" s="65"/>
      <c r="D142" s="65"/>
      <c r="E142" s="65"/>
      <c r="F142" s="208"/>
      <c r="G142" s="66"/>
      <c r="H142" s="66"/>
      <c r="I142" s="66"/>
      <c r="J142" s="66"/>
      <c r="K142" s="66"/>
      <c r="L142" s="66"/>
      <c r="M142" s="66"/>
      <c r="N142" s="66"/>
    </row>
    <row r="143" spans="1:14">
      <c r="A143" s="191" t="s">
        <v>13</v>
      </c>
      <c r="B143" s="80" t="s">
        <v>142</v>
      </c>
      <c r="C143" s="74"/>
      <c r="D143" s="74"/>
      <c r="E143" s="74"/>
      <c r="F143" s="217"/>
      <c r="G143" s="84"/>
      <c r="H143" s="84"/>
      <c r="I143" s="84"/>
      <c r="J143" s="84"/>
      <c r="K143" s="84"/>
      <c r="L143" s="84"/>
      <c r="M143" s="84"/>
      <c r="N143" s="84"/>
    </row>
    <row r="144" spans="1:14" ht="31.2">
      <c r="A144" s="191"/>
      <c r="B144" s="176" t="s">
        <v>143</v>
      </c>
      <c r="C144" s="65"/>
      <c r="D144" s="65"/>
      <c r="E144" s="65"/>
      <c r="F144" s="210"/>
      <c r="G144" s="85"/>
      <c r="H144" s="85"/>
      <c r="I144" s="85"/>
      <c r="J144" s="85"/>
      <c r="K144" s="85"/>
      <c r="L144" s="85"/>
      <c r="M144" s="85"/>
      <c r="N144" s="85"/>
    </row>
    <row r="145" spans="1:14">
      <c r="A145" s="191"/>
      <c r="B145" s="176"/>
      <c r="C145" s="65"/>
      <c r="D145" s="65"/>
      <c r="E145" s="65"/>
      <c r="F145" s="210"/>
      <c r="G145" s="85"/>
      <c r="H145" s="85"/>
      <c r="I145" s="85"/>
      <c r="J145" s="85"/>
      <c r="K145" s="85"/>
      <c r="L145" s="85"/>
      <c r="M145" s="85"/>
      <c r="N145" s="85"/>
    </row>
    <row r="146" spans="1:14">
      <c r="A146" s="191" t="s">
        <v>15</v>
      </c>
      <c r="B146" s="80" t="s">
        <v>144</v>
      </c>
      <c r="C146" s="74"/>
      <c r="D146" s="74"/>
      <c r="E146" s="74"/>
      <c r="F146" s="215">
        <f>RATES!$D$147</f>
        <v>180000</v>
      </c>
      <c r="G146" s="84"/>
      <c r="H146" s="84"/>
      <c r="I146" s="84"/>
      <c r="J146" s="84"/>
      <c r="K146" s="84"/>
      <c r="L146" s="84"/>
      <c r="M146" s="84"/>
      <c r="N146" s="84"/>
    </row>
    <row r="147" spans="1:14" ht="31.2">
      <c r="A147" s="191"/>
      <c r="B147" s="176" t="s">
        <v>145</v>
      </c>
      <c r="C147" s="65"/>
      <c r="D147" s="65"/>
      <c r="E147" s="65"/>
      <c r="F147" s="208"/>
      <c r="G147" s="66"/>
      <c r="H147" s="66"/>
      <c r="I147" s="66"/>
      <c r="J147" s="66"/>
      <c r="K147" s="66"/>
      <c r="L147" s="66"/>
      <c r="M147" s="66"/>
      <c r="N147" s="66"/>
    </row>
    <row r="148" spans="1:14">
      <c r="A148" s="191"/>
      <c r="B148" s="176"/>
      <c r="C148" s="65"/>
      <c r="D148" s="65"/>
      <c r="E148" s="65"/>
      <c r="F148" s="208"/>
      <c r="G148" s="66"/>
      <c r="H148" s="66"/>
      <c r="I148" s="66"/>
      <c r="J148" s="66"/>
      <c r="K148" s="66"/>
      <c r="L148" s="66"/>
      <c r="M148" s="66"/>
      <c r="N148" s="66"/>
    </row>
    <row r="149" spans="1:14">
      <c r="A149" s="191" t="s">
        <v>17</v>
      </c>
      <c r="B149" s="80" t="s">
        <v>146</v>
      </c>
      <c r="C149" s="74"/>
      <c r="D149" s="74"/>
      <c r="E149" s="74"/>
      <c r="F149" s="215">
        <f>RATES!$D$148</f>
        <v>40000</v>
      </c>
      <c r="G149" s="84"/>
      <c r="H149" s="84"/>
      <c r="I149" s="84"/>
      <c r="J149" s="84"/>
      <c r="K149" s="84"/>
      <c r="L149" s="84"/>
      <c r="M149" s="84"/>
      <c r="N149" s="84"/>
    </row>
    <row r="150" spans="1:14" ht="62.4">
      <c r="A150" s="191"/>
      <c r="B150" s="176" t="s">
        <v>147</v>
      </c>
      <c r="C150" s="65"/>
      <c r="D150" s="65"/>
      <c r="E150" s="65"/>
      <c r="F150" s="210"/>
      <c r="G150" s="85"/>
      <c r="H150" s="85"/>
      <c r="I150" s="85"/>
      <c r="J150" s="85"/>
      <c r="K150" s="85"/>
      <c r="L150" s="85"/>
      <c r="M150" s="85"/>
      <c r="N150" s="85"/>
    </row>
    <row r="151" spans="1:14">
      <c r="A151" s="191"/>
      <c r="B151" s="178"/>
      <c r="C151" s="76"/>
      <c r="D151" s="76"/>
      <c r="E151" s="76"/>
      <c r="F151" s="210"/>
    </row>
    <row r="152" spans="1:14">
      <c r="A152" s="191"/>
      <c r="B152" s="175" t="s">
        <v>148</v>
      </c>
      <c r="C152" s="69"/>
      <c r="D152" s="69"/>
      <c r="E152" s="69"/>
      <c r="F152" s="207"/>
      <c r="G152" s="70"/>
      <c r="H152" s="70"/>
      <c r="I152" s="70"/>
      <c r="J152" s="70"/>
      <c r="K152" s="70"/>
      <c r="L152" s="70"/>
      <c r="M152" s="70"/>
      <c r="N152" s="70"/>
    </row>
    <row r="153" spans="1:14">
      <c r="A153" s="191" t="s">
        <v>19</v>
      </c>
      <c r="B153" s="80" t="s">
        <v>149</v>
      </c>
      <c r="C153" s="74"/>
      <c r="D153" s="74"/>
      <c r="E153" s="74"/>
      <c r="F153" s="217"/>
      <c r="G153" s="84"/>
      <c r="H153" s="84"/>
      <c r="I153" s="84"/>
      <c r="J153" s="84"/>
      <c r="K153" s="84"/>
      <c r="L153" s="84"/>
      <c r="M153" s="84"/>
      <c r="N153" s="84"/>
    </row>
    <row r="154" spans="1:14" ht="46.8">
      <c r="A154" s="191"/>
      <c r="B154" s="176" t="s">
        <v>150</v>
      </c>
      <c r="C154" s="65"/>
      <c r="D154" s="65"/>
      <c r="E154" s="65"/>
      <c r="F154" s="208"/>
      <c r="G154" s="66"/>
      <c r="H154" s="66"/>
      <c r="I154" s="66"/>
      <c r="J154" s="66"/>
      <c r="K154" s="66"/>
      <c r="L154" s="66"/>
      <c r="M154" s="66"/>
      <c r="N154" s="66"/>
    </row>
    <row r="155" spans="1:14" ht="31.2">
      <c r="A155" s="191"/>
      <c r="B155" s="176" t="s">
        <v>151</v>
      </c>
      <c r="C155" s="65"/>
      <c r="D155" s="65"/>
      <c r="E155" s="65"/>
      <c r="F155" s="208"/>
      <c r="G155" s="66"/>
      <c r="H155" s="66"/>
      <c r="I155" s="66"/>
      <c r="J155" s="66"/>
      <c r="K155" s="66"/>
      <c r="L155" s="66"/>
      <c r="M155" s="66"/>
      <c r="N155" s="66"/>
    </row>
    <row r="156" spans="1:14">
      <c r="A156" s="191"/>
      <c r="B156" s="176"/>
      <c r="C156" s="65"/>
      <c r="D156" s="65"/>
      <c r="E156" s="65"/>
      <c r="F156" s="208"/>
      <c r="G156" s="66"/>
      <c r="H156" s="66"/>
      <c r="I156" s="66"/>
      <c r="J156" s="66"/>
      <c r="K156" s="66"/>
      <c r="L156" s="66"/>
      <c r="M156" s="66"/>
      <c r="N156" s="66"/>
    </row>
    <row r="157" spans="1:14">
      <c r="A157" s="191" t="s">
        <v>21</v>
      </c>
      <c r="B157" s="80" t="s">
        <v>152</v>
      </c>
      <c r="C157" s="74"/>
      <c r="D157" s="74"/>
      <c r="E157" s="74"/>
      <c r="F157" s="217"/>
      <c r="G157" s="84"/>
      <c r="H157" s="84"/>
      <c r="I157" s="84"/>
      <c r="J157" s="84"/>
      <c r="K157" s="84"/>
      <c r="L157" s="84"/>
      <c r="M157" s="84"/>
      <c r="N157" s="84"/>
    </row>
    <row r="158" spans="1:14" ht="46.8">
      <c r="A158" s="191"/>
      <c r="B158" s="176" t="s">
        <v>153</v>
      </c>
      <c r="C158" s="65"/>
      <c r="D158" s="65"/>
      <c r="E158" s="65"/>
      <c r="F158" s="208"/>
      <c r="G158" s="66"/>
      <c r="H158" s="66"/>
      <c r="I158" s="66"/>
      <c r="J158" s="66"/>
      <c r="K158" s="66"/>
      <c r="L158" s="66"/>
      <c r="M158" s="66"/>
      <c r="N158" s="66"/>
    </row>
    <row r="159" spans="1:14">
      <c r="A159" s="191"/>
      <c r="B159" s="176" t="s">
        <v>154</v>
      </c>
      <c r="C159" s="65"/>
      <c r="D159" s="65"/>
      <c r="E159" s="65"/>
      <c r="F159" s="210"/>
      <c r="G159" s="85"/>
      <c r="H159" s="85"/>
      <c r="I159" s="85"/>
      <c r="J159" s="85"/>
      <c r="K159" s="85"/>
      <c r="L159" s="85"/>
      <c r="M159" s="85"/>
      <c r="N159" s="85"/>
    </row>
    <row r="160" spans="1:14" ht="31.2">
      <c r="A160" s="191"/>
      <c r="B160" s="176" t="s">
        <v>155</v>
      </c>
      <c r="C160" s="65"/>
      <c r="D160" s="65"/>
      <c r="E160" s="65"/>
      <c r="F160" s="208"/>
      <c r="G160" s="66"/>
      <c r="H160" s="66"/>
      <c r="I160" s="66"/>
      <c r="J160" s="66"/>
      <c r="K160" s="66"/>
      <c r="L160" s="66"/>
      <c r="M160" s="66"/>
      <c r="N160" s="66"/>
    </row>
    <row r="161" spans="1:14" ht="47.4" thickBot="1">
      <c r="A161" s="191"/>
      <c r="B161" s="176" t="s">
        <v>156</v>
      </c>
      <c r="C161" s="65"/>
      <c r="D161" s="65"/>
      <c r="E161" s="65"/>
      <c r="F161" s="208"/>
      <c r="G161" s="66"/>
      <c r="H161" s="66"/>
      <c r="I161" s="66"/>
      <c r="J161" s="66"/>
      <c r="K161" s="66"/>
      <c r="L161" s="66"/>
      <c r="M161" s="66"/>
      <c r="N161" s="66"/>
    </row>
    <row r="162" spans="1:14" ht="18.600000000000001" thickBot="1">
      <c r="A162" s="196"/>
      <c r="B162" s="179" t="s">
        <v>91</v>
      </c>
      <c r="C162" s="77"/>
      <c r="D162" s="77"/>
      <c r="E162" s="77"/>
      <c r="F162" s="218">
        <f>SUM(F138:F161)</f>
        <v>245000</v>
      </c>
      <c r="G162" s="66"/>
      <c r="H162" s="66"/>
      <c r="I162" s="66"/>
      <c r="J162" s="66"/>
      <c r="K162" s="66"/>
      <c r="L162" s="66"/>
      <c r="M162" s="66"/>
      <c r="N162" s="66"/>
    </row>
    <row r="163" spans="1:14">
      <c r="A163" s="191" t="s">
        <v>9</v>
      </c>
      <c r="B163" s="80" t="s">
        <v>157</v>
      </c>
      <c r="C163" s="74"/>
      <c r="D163" s="74"/>
      <c r="E163" s="74"/>
      <c r="F163" s="209"/>
      <c r="G163" s="75"/>
      <c r="H163" s="75"/>
      <c r="I163" s="75"/>
      <c r="J163" s="75"/>
      <c r="K163" s="75"/>
      <c r="L163" s="75"/>
      <c r="M163" s="75"/>
      <c r="N163" s="75"/>
    </row>
    <row r="164" spans="1:14" ht="124.8">
      <c r="A164" s="191"/>
      <c r="B164" s="176" t="s">
        <v>158</v>
      </c>
      <c r="C164" s="65"/>
      <c r="D164" s="65"/>
      <c r="E164" s="65"/>
      <c r="F164" s="208"/>
      <c r="G164" s="66"/>
      <c r="H164" s="66"/>
      <c r="I164" s="66"/>
      <c r="J164" s="66"/>
      <c r="K164" s="66"/>
      <c r="L164" s="66"/>
      <c r="M164" s="66"/>
      <c r="N164" s="66"/>
    </row>
    <row r="165" spans="1:14" ht="46.8">
      <c r="A165" s="191"/>
      <c r="B165" s="176" t="s">
        <v>159</v>
      </c>
      <c r="C165" s="65"/>
      <c r="D165" s="65"/>
      <c r="E165" s="65"/>
      <c r="F165" s="210"/>
      <c r="G165" s="85"/>
      <c r="H165" s="85"/>
      <c r="I165" s="85"/>
      <c r="J165" s="85"/>
      <c r="K165" s="85"/>
      <c r="L165" s="85"/>
      <c r="M165" s="85"/>
      <c r="N165" s="85"/>
    </row>
    <row r="166" spans="1:14">
      <c r="A166" s="191"/>
      <c r="B166" s="178"/>
      <c r="C166" s="76"/>
      <c r="D166" s="76"/>
      <c r="E166" s="76"/>
      <c r="F166" s="210"/>
    </row>
    <row r="167" spans="1:14">
      <c r="A167" s="191" t="s">
        <v>11</v>
      </c>
      <c r="B167" s="183" t="s">
        <v>160</v>
      </c>
      <c r="C167" s="74"/>
      <c r="D167" s="74"/>
      <c r="E167" s="74"/>
      <c r="F167" s="209"/>
      <c r="G167" s="75"/>
      <c r="H167" s="75"/>
      <c r="I167" s="75"/>
      <c r="J167" s="75"/>
      <c r="K167" s="75"/>
      <c r="L167" s="75"/>
      <c r="M167" s="75"/>
      <c r="N167" s="75"/>
    </row>
    <row r="168" spans="1:14" ht="140.4">
      <c r="A168" s="191"/>
      <c r="B168" s="176" t="s">
        <v>161</v>
      </c>
      <c r="C168" s="65"/>
      <c r="D168" s="65"/>
      <c r="E168" s="65"/>
      <c r="F168" s="208"/>
      <c r="G168" s="66"/>
      <c r="H168" s="66"/>
      <c r="I168" s="66"/>
      <c r="J168" s="66"/>
      <c r="K168" s="66"/>
      <c r="L168" s="66"/>
      <c r="M168" s="66"/>
      <c r="N168" s="66"/>
    </row>
    <row r="169" spans="1:14">
      <c r="A169" s="191"/>
      <c r="B169" s="176"/>
      <c r="C169" s="65"/>
      <c r="D169" s="65"/>
      <c r="E169" s="65"/>
      <c r="F169" s="208"/>
      <c r="G169" s="66"/>
      <c r="H169" s="66"/>
      <c r="I169" s="66"/>
      <c r="J169" s="66"/>
      <c r="K169" s="66"/>
      <c r="L169" s="66"/>
      <c r="M169" s="66"/>
      <c r="N169" s="66"/>
    </row>
    <row r="170" spans="1:14">
      <c r="A170" s="191" t="s">
        <v>13</v>
      </c>
      <c r="B170" s="80" t="s">
        <v>162</v>
      </c>
      <c r="C170" s="74"/>
      <c r="D170" s="74"/>
      <c r="E170" s="74"/>
      <c r="F170" s="209"/>
      <c r="G170" s="75"/>
      <c r="H170" s="75"/>
      <c r="I170" s="75"/>
      <c r="J170" s="75"/>
      <c r="K170" s="75"/>
      <c r="L170" s="75"/>
      <c r="M170" s="75"/>
      <c r="N170" s="75"/>
    </row>
    <row r="171" spans="1:14" ht="62.4">
      <c r="A171" s="191"/>
      <c r="B171" s="176" t="s">
        <v>163</v>
      </c>
      <c r="C171" s="65"/>
      <c r="D171" s="65"/>
      <c r="E171" s="65"/>
      <c r="F171" s="208"/>
      <c r="G171" s="66"/>
      <c r="H171" s="66"/>
      <c r="I171" s="66"/>
      <c r="J171" s="66"/>
      <c r="K171" s="66"/>
      <c r="L171" s="66"/>
      <c r="M171" s="66"/>
      <c r="N171" s="66"/>
    </row>
    <row r="172" spans="1:14">
      <c r="A172" s="191"/>
      <c r="B172" s="178"/>
      <c r="C172" s="76"/>
      <c r="D172" s="76"/>
      <c r="E172" s="76"/>
      <c r="F172" s="210"/>
    </row>
    <row r="173" spans="1:14">
      <c r="A173" s="191" t="s">
        <v>15</v>
      </c>
      <c r="B173" s="80" t="s">
        <v>164</v>
      </c>
      <c r="C173" s="74"/>
      <c r="D173" s="74"/>
      <c r="E173" s="74"/>
      <c r="F173" s="209"/>
      <c r="G173" s="75"/>
      <c r="H173" s="75"/>
      <c r="I173" s="75"/>
      <c r="J173" s="75"/>
      <c r="K173" s="75"/>
      <c r="L173" s="75"/>
      <c r="M173" s="75"/>
      <c r="N173" s="75"/>
    </row>
    <row r="174" spans="1:14" ht="124.8">
      <c r="A174" s="191"/>
      <c r="B174" s="176" t="s">
        <v>165</v>
      </c>
      <c r="C174" s="65"/>
      <c r="D174" s="65"/>
      <c r="E174" s="65"/>
      <c r="F174" s="208"/>
      <c r="G174" s="66"/>
      <c r="H174" s="66"/>
      <c r="I174" s="66"/>
      <c r="J174" s="66"/>
      <c r="K174" s="66"/>
      <c r="L174" s="66"/>
      <c r="M174" s="66"/>
      <c r="N174" s="66"/>
    </row>
    <row r="175" spans="1:14">
      <c r="A175" s="191"/>
      <c r="B175" s="176"/>
      <c r="C175" s="65"/>
      <c r="D175" s="65"/>
      <c r="E175" s="65"/>
      <c r="F175" s="208"/>
      <c r="G175" s="66"/>
      <c r="H175" s="66"/>
      <c r="I175" s="66"/>
      <c r="J175" s="66"/>
      <c r="K175" s="66"/>
      <c r="L175" s="66"/>
      <c r="M175" s="66"/>
      <c r="N175" s="66"/>
    </row>
    <row r="176" spans="1:14">
      <c r="A176" s="191" t="s">
        <v>17</v>
      </c>
      <c r="B176" s="80" t="s">
        <v>166</v>
      </c>
      <c r="C176" s="74"/>
      <c r="D176" s="74"/>
      <c r="E176" s="74"/>
      <c r="F176" s="209"/>
      <c r="G176" s="75"/>
      <c r="H176" s="75"/>
      <c r="I176" s="75"/>
      <c r="J176" s="75"/>
      <c r="K176" s="75"/>
      <c r="L176" s="75"/>
      <c r="M176" s="75"/>
      <c r="N176" s="75"/>
    </row>
    <row r="177" spans="1:14" ht="31.2">
      <c r="A177" s="191"/>
      <c r="B177" s="176" t="s">
        <v>167</v>
      </c>
      <c r="C177" s="65"/>
      <c r="D177" s="65"/>
      <c r="E177" s="65"/>
      <c r="F177" s="208"/>
      <c r="G177" s="66"/>
      <c r="H177" s="66"/>
      <c r="I177" s="66"/>
      <c r="J177" s="66"/>
      <c r="K177" s="66"/>
      <c r="L177" s="66"/>
      <c r="M177" s="66"/>
      <c r="N177" s="66"/>
    </row>
    <row r="178" spans="1:14">
      <c r="A178" s="191"/>
      <c r="B178" s="176"/>
      <c r="C178" s="65"/>
      <c r="D178" s="65"/>
      <c r="E178" s="65"/>
      <c r="F178" s="208"/>
      <c r="G178" s="66"/>
      <c r="H178" s="66"/>
      <c r="I178" s="66"/>
      <c r="J178" s="66"/>
      <c r="K178" s="66"/>
      <c r="L178" s="66"/>
      <c r="M178" s="66"/>
      <c r="N178" s="66"/>
    </row>
    <row r="179" spans="1:14">
      <c r="A179" s="191" t="s">
        <v>19</v>
      </c>
      <c r="B179" s="80" t="s">
        <v>168</v>
      </c>
      <c r="C179" s="74"/>
      <c r="D179" s="74"/>
      <c r="E179" s="74"/>
      <c r="F179" s="209"/>
      <c r="G179" s="75"/>
      <c r="H179" s="75"/>
      <c r="I179" s="75"/>
      <c r="J179" s="75"/>
      <c r="K179" s="75"/>
      <c r="L179" s="75"/>
      <c r="M179" s="75"/>
      <c r="N179" s="75"/>
    </row>
    <row r="180" spans="1:14" ht="109.2">
      <c r="A180" s="191"/>
      <c r="B180" s="176" t="s">
        <v>169</v>
      </c>
      <c r="C180" s="65"/>
      <c r="D180" s="65"/>
      <c r="E180" s="65"/>
      <c r="F180" s="208"/>
      <c r="G180" s="66"/>
      <c r="H180" s="66"/>
      <c r="I180" s="66"/>
      <c r="J180" s="66"/>
      <c r="K180" s="66"/>
      <c r="L180" s="66"/>
      <c r="M180" s="66"/>
      <c r="N180" s="66"/>
    </row>
    <row r="181" spans="1:14" ht="62.4">
      <c r="A181" s="191"/>
      <c r="B181" s="176" t="s">
        <v>170</v>
      </c>
      <c r="C181" s="65"/>
      <c r="D181" s="65"/>
      <c r="E181" s="65"/>
      <c r="F181" s="208"/>
      <c r="G181" s="66"/>
      <c r="H181" s="66"/>
      <c r="I181" s="66"/>
      <c r="J181" s="66"/>
      <c r="K181" s="66"/>
      <c r="L181" s="66"/>
      <c r="M181" s="66"/>
      <c r="N181" s="66"/>
    </row>
    <row r="182" spans="1:14">
      <c r="A182" s="191"/>
      <c r="B182" s="176"/>
      <c r="C182" s="86"/>
      <c r="D182" s="86"/>
      <c r="E182" s="86"/>
      <c r="F182" s="208"/>
      <c r="G182" s="87"/>
      <c r="H182" s="87"/>
      <c r="I182" s="87"/>
      <c r="J182" s="87"/>
      <c r="K182" s="87"/>
      <c r="L182" s="87"/>
      <c r="M182" s="87"/>
      <c r="N182" s="87"/>
    </row>
    <row r="183" spans="1:14">
      <c r="A183" s="191" t="s">
        <v>21</v>
      </c>
      <c r="B183" s="80" t="s">
        <v>171</v>
      </c>
      <c r="C183" s="74"/>
      <c r="D183" s="74"/>
      <c r="E183" s="74"/>
      <c r="F183" s="209"/>
      <c r="G183" s="75"/>
      <c r="H183" s="75"/>
      <c r="I183" s="75"/>
      <c r="J183" s="75"/>
      <c r="K183" s="75"/>
      <c r="L183" s="75"/>
      <c r="M183" s="75"/>
      <c r="N183" s="75"/>
    </row>
    <row r="184" spans="1:14" ht="63" thickBot="1">
      <c r="A184" s="191"/>
      <c r="B184" s="176" t="s">
        <v>172</v>
      </c>
      <c r="C184" s="65"/>
      <c r="D184" s="65"/>
      <c r="E184" s="65"/>
      <c r="F184" s="208"/>
      <c r="G184" s="66"/>
      <c r="H184" s="66"/>
      <c r="I184" s="66"/>
      <c r="J184" s="66"/>
      <c r="K184" s="66"/>
      <c r="L184" s="66"/>
      <c r="M184" s="66"/>
      <c r="N184" s="66"/>
    </row>
    <row r="185" spans="1:14" ht="18.600000000000001" thickBot="1">
      <c r="A185" s="196"/>
      <c r="B185" s="179" t="s">
        <v>91</v>
      </c>
      <c r="C185" s="77"/>
      <c r="D185" s="77"/>
      <c r="E185" s="77"/>
      <c r="F185" s="218">
        <f>SUM(F163:F184)</f>
        <v>0</v>
      </c>
    </row>
    <row r="186" spans="1:14">
      <c r="A186" s="191"/>
      <c r="B186" s="175" t="s">
        <v>173</v>
      </c>
      <c r="C186" s="69"/>
      <c r="D186" s="69"/>
      <c r="E186" s="69"/>
      <c r="F186" s="219"/>
      <c r="G186" s="88"/>
      <c r="H186" s="88"/>
      <c r="I186" s="88"/>
      <c r="J186" s="88"/>
      <c r="K186" s="88"/>
      <c r="L186" s="88"/>
      <c r="M186" s="88"/>
      <c r="N186" s="88"/>
    </row>
    <row r="187" spans="1:14">
      <c r="A187" s="191" t="s">
        <v>9</v>
      </c>
      <c r="B187" s="80" t="s">
        <v>174</v>
      </c>
      <c r="C187" s="74"/>
      <c r="D187" s="74"/>
      <c r="E187" s="74"/>
      <c r="F187" s="213"/>
      <c r="G187" s="84"/>
      <c r="H187" s="84"/>
      <c r="I187" s="84"/>
      <c r="J187" s="84"/>
      <c r="K187" s="84"/>
      <c r="L187" s="84"/>
      <c r="M187" s="84"/>
      <c r="N187" s="84"/>
    </row>
    <row r="188" spans="1:14" ht="93.6">
      <c r="A188" s="191"/>
      <c r="B188" s="176" t="s">
        <v>175</v>
      </c>
      <c r="C188" s="65"/>
      <c r="D188" s="65"/>
      <c r="E188" s="65"/>
      <c r="F188" s="215">
        <f>RATES!$D$149</f>
        <v>1800000</v>
      </c>
      <c r="G188" s="112"/>
      <c r="H188" s="85"/>
      <c r="I188" s="85"/>
      <c r="J188" s="85"/>
      <c r="K188" s="85"/>
      <c r="L188" s="85"/>
      <c r="M188" s="85"/>
      <c r="N188" s="85"/>
    </row>
    <row r="189" spans="1:14">
      <c r="A189" s="191"/>
      <c r="B189" s="176"/>
      <c r="C189" s="65"/>
      <c r="D189" s="65"/>
      <c r="E189" s="65"/>
      <c r="F189" s="210"/>
      <c r="G189" s="85"/>
      <c r="H189" s="85"/>
      <c r="I189" s="85"/>
      <c r="J189" s="85"/>
      <c r="K189" s="85"/>
      <c r="L189" s="85"/>
      <c r="M189" s="85"/>
      <c r="N189" s="85"/>
    </row>
    <row r="190" spans="1:14">
      <c r="A190" s="191" t="s">
        <v>11</v>
      </c>
      <c r="B190" s="80" t="s">
        <v>176</v>
      </c>
      <c r="C190" s="74"/>
      <c r="D190" s="74"/>
      <c r="E190" s="74"/>
      <c r="F190" s="217"/>
      <c r="G190" s="84"/>
      <c r="H190" s="84"/>
      <c r="I190" s="84"/>
      <c r="J190" s="84"/>
      <c r="K190" s="84"/>
      <c r="L190" s="84"/>
      <c r="M190" s="84"/>
      <c r="N190" s="84"/>
    </row>
    <row r="191" spans="1:14" ht="62.4">
      <c r="A191" s="191"/>
      <c r="B191" s="176" t="s">
        <v>177</v>
      </c>
      <c r="C191" s="65"/>
      <c r="D191" s="65"/>
      <c r="E191" s="65"/>
      <c r="F191" s="210"/>
      <c r="G191" s="85"/>
      <c r="H191" s="85"/>
      <c r="I191" s="85"/>
      <c r="J191" s="85"/>
      <c r="K191" s="85"/>
      <c r="L191" s="85"/>
      <c r="M191" s="85"/>
      <c r="N191" s="85"/>
    </row>
    <row r="192" spans="1:14">
      <c r="A192" s="191"/>
      <c r="B192" s="176"/>
      <c r="C192" s="65"/>
      <c r="D192" s="65"/>
      <c r="E192" s="65"/>
      <c r="F192" s="210"/>
      <c r="G192" s="85"/>
      <c r="H192" s="85"/>
      <c r="I192" s="85"/>
      <c r="J192" s="85"/>
      <c r="K192" s="85"/>
      <c r="L192" s="85"/>
      <c r="M192" s="85"/>
      <c r="N192" s="85"/>
    </row>
    <row r="193" spans="1:14">
      <c r="A193" s="191" t="s">
        <v>13</v>
      </c>
      <c r="B193" s="80" t="s">
        <v>178</v>
      </c>
      <c r="C193" s="74"/>
      <c r="D193" s="74"/>
      <c r="E193" s="74"/>
      <c r="F193" s="217"/>
      <c r="G193" s="84"/>
      <c r="H193" s="84"/>
      <c r="I193" s="84"/>
      <c r="J193" s="84"/>
      <c r="K193" s="84"/>
      <c r="L193" s="84"/>
      <c r="M193" s="84"/>
      <c r="N193" s="84"/>
    </row>
    <row r="194" spans="1:14" ht="46.8">
      <c r="A194" s="191"/>
      <c r="B194" s="176" t="s">
        <v>179</v>
      </c>
      <c r="C194" s="65"/>
      <c r="D194" s="65"/>
      <c r="E194" s="65"/>
      <c r="F194" s="210"/>
      <c r="G194" s="85"/>
      <c r="H194" s="85"/>
      <c r="I194" s="85"/>
      <c r="J194" s="85"/>
      <c r="K194" s="85"/>
      <c r="L194" s="85"/>
      <c r="M194" s="85"/>
      <c r="N194" s="85"/>
    </row>
    <row r="195" spans="1:14">
      <c r="A195" s="191"/>
      <c r="B195" s="176"/>
      <c r="C195" s="65"/>
      <c r="D195" s="65"/>
      <c r="E195" s="65"/>
      <c r="F195" s="210"/>
      <c r="G195" s="85"/>
      <c r="H195" s="85"/>
      <c r="I195" s="85"/>
      <c r="J195" s="85"/>
      <c r="K195" s="85"/>
      <c r="L195" s="85"/>
      <c r="M195" s="85"/>
      <c r="N195" s="85"/>
    </row>
    <row r="196" spans="1:14">
      <c r="A196" s="191" t="s">
        <v>15</v>
      </c>
      <c r="B196" s="80" t="s">
        <v>180</v>
      </c>
      <c r="C196" s="74"/>
      <c r="D196" s="74"/>
      <c r="E196" s="74"/>
      <c r="F196" s="217"/>
      <c r="G196" s="84"/>
      <c r="H196" s="84"/>
      <c r="I196" s="84"/>
      <c r="J196" s="84"/>
      <c r="K196" s="84"/>
      <c r="L196" s="84"/>
      <c r="M196" s="84"/>
      <c r="N196" s="84"/>
    </row>
    <row r="197" spans="1:14" ht="31.2">
      <c r="A197" s="191"/>
      <c r="B197" s="176" t="s">
        <v>181</v>
      </c>
      <c r="C197" s="65"/>
      <c r="D197" s="65"/>
      <c r="E197" s="65"/>
      <c r="F197" s="210"/>
      <c r="G197" s="85"/>
      <c r="H197" s="85"/>
      <c r="I197" s="85"/>
      <c r="J197" s="85"/>
      <c r="K197" s="85"/>
      <c r="L197" s="85"/>
      <c r="M197" s="85"/>
      <c r="N197" s="85"/>
    </row>
    <row r="198" spans="1:14">
      <c r="A198" s="191"/>
      <c r="B198" s="176"/>
      <c r="C198" s="65"/>
      <c r="D198" s="65"/>
      <c r="E198" s="65"/>
      <c r="F198" s="210"/>
      <c r="G198" s="85"/>
      <c r="H198" s="85"/>
      <c r="I198" s="85"/>
      <c r="J198" s="85"/>
      <c r="K198" s="85"/>
      <c r="L198" s="85"/>
      <c r="M198" s="85"/>
      <c r="N198" s="85"/>
    </row>
    <row r="199" spans="1:14">
      <c r="A199" s="191" t="s">
        <v>17</v>
      </c>
      <c r="B199" s="80" t="s">
        <v>182</v>
      </c>
      <c r="C199" s="74"/>
      <c r="D199" s="74"/>
      <c r="E199" s="74"/>
      <c r="F199" s="217"/>
      <c r="G199" s="84"/>
      <c r="H199" s="84"/>
      <c r="I199" s="84"/>
      <c r="J199" s="84"/>
      <c r="K199" s="84"/>
      <c r="L199" s="84"/>
      <c r="M199" s="84"/>
      <c r="N199" s="84"/>
    </row>
    <row r="200" spans="1:14" ht="46.8">
      <c r="A200" s="191"/>
      <c r="B200" s="176" t="s">
        <v>183</v>
      </c>
      <c r="C200" s="65"/>
      <c r="D200" s="65"/>
      <c r="E200" s="65"/>
      <c r="F200" s="210"/>
      <c r="G200" s="85"/>
      <c r="H200" s="85"/>
      <c r="I200" s="85"/>
      <c r="J200" s="85"/>
      <c r="K200" s="85"/>
      <c r="L200" s="85"/>
      <c r="M200" s="85"/>
      <c r="N200" s="85"/>
    </row>
    <row r="201" spans="1:14" ht="31.2">
      <c r="A201" s="191"/>
      <c r="B201" s="176" t="s">
        <v>184</v>
      </c>
      <c r="C201" s="65"/>
      <c r="D201" s="65"/>
      <c r="E201" s="65"/>
      <c r="F201" s="210"/>
      <c r="G201" s="85"/>
      <c r="H201" s="85"/>
      <c r="I201" s="85"/>
      <c r="J201" s="85"/>
      <c r="K201" s="85"/>
      <c r="L201" s="85"/>
      <c r="M201" s="85"/>
      <c r="N201" s="85"/>
    </row>
    <row r="202" spans="1:14">
      <c r="A202" s="191"/>
      <c r="B202" s="176"/>
      <c r="C202" s="65"/>
      <c r="D202" s="65"/>
      <c r="E202" s="65"/>
      <c r="F202" s="210"/>
      <c r="G202" s="85"/>
      <c r="H202" s="85"/>
      <c r="I202" s="85"/>
      <c r="J202" s="85"/>
      <c r="K202" s="85"/>
      <c r="L202" s="85"/>
      <c r="M202" s="85"/>
      <c r="N202" s="85"/>
    </row>
    <row r="203" spans="1:14">
      <c r="A203" s="191" t="s">
        <v>19</v>
      </c>
      <c r="B203" s="80" t="s">
        <v>185</v>
      </c>
      <c r="C203" s="74"/>
      <c r="D203" s="74"/>
      <c r="E203" s="74"/>
      <c r="F203" s="213"/>
      <c r="G203" s="84"/>
      <c r="H203" s="84"/>
      <c r="I203" s="84"/>
      <c r="J203" s="84"/>
      <c r="K203" s="84"/>
      <c r="L203" s="84"/>
      <c r="M203" s="84"/>
      <c r="N203" s="84"/>
    </row>
    <row r="204" spans="1:14" s="91" customFormat="1" ht="93.6">
      <c r="A204" s="198"/>
      <c r="B204" s="176" t="s">
        <v>186</v>
      </c>
      <c r="C204" s="89"/>
      <c r="D204" s="89"/>
      <c r="E204" s="89"/>
      <c r="F204" s="215">
        <f>RATES!$D$150</f>
        <v>1200000</v>
      </c>
      <c r="G204" s="90"/>
      <c r="H204" s="90"/>
      <c r="I204" s="90"/>
      <c r="J204" s="90"/>
      <c r="K204" s="90"/>
      <c r="L204" s="90"/>
      <c r="M204" s="90"/>
      <c r="N204" s="90"/>
    </row>
    <row r="205" spans="1:14">
      <c r="A205" s="191"/>
      <c r="B205" s="178"/>
      <c r="C205" s="76"/>
      <c r="D205" s="76"/>
      <c r="E205" s="76"/>
      <c r="F205" s="210"/>
    </row>
    <row r="206" spans="1:14">
      <c r="A206" s="191" t="s">
        <v>21</v>
      </c>
      <c r="B206" s="80" t="s">
        <v>187</v>
      </c>
      <c r="C206" s="74"/>
      <c r="D206" s="74"/>
      <c r="E206" s="74"/>
      <c r="F206" s="209"/>
      <c r="G206" s="75"/>
      <c r="H206" s="75"/>
      <c r="I206" s="75"/>
      <c r="J206" s="75"/>
      <c r="K206" s="75"/>
      <c r="L206" s="75"/>
      <c r="M206" s="75"/>
      <c r="N206" s="75"/>
    </row>
    <row r="207" spans="1:14" ht="31.2">
      <c r="A207" s="191"/>
      <c r="B207" s="176" t="s">
        <v>188</v>
      </c>
      <c r="C207" s="65"/>
      <c r="D207" s="65"/>
      <c r="E207" s="65"/>
      <c r="F207" s="208"/>
      <c r="G207" s="66"/>
      <c r="H207" s="66"/>
      <c r="I207" s="66"/>
      <c r="J207" s="66"/>
      <c r="K207" s="66"/>
      <c r="L207" s="66"/>
      <c r="M207" s="66"/>
      <c r="N207" s="66"/>
    </row>
    <row r="208" spans="1:14" ht="31.2">
      <c r="A208" s="191"/>
      <c r="B208" s="176" t="s">
        <v>189</v>
      </c>
      <c r="C208" s="65"/>
      <c r="D208" s="65"/>
      <c r="E208" s="65"/>
      <c r="F208" s="208"/>
      <c r="G208" s="66"/>
      <c r="H208" s="66"/>
      <c r="I208" s="66"/>
      <c r="J208" s="66"/>
      <c r="K208" s="66"/>
      <c r="L208" s="66"/>
      <c r="M208" s="66"/>
      <c r="N208" s="66"/>
    </row>
    <row r="209" spans="1:14">
      <c r="A209" s="191"/>
      <c r="B209" s="176"/>
      <c r="C209" s="65"/>
      <c r="D209" s="65"/>
      <c r="E209" s="65"/>
      <c r="F209" s="208"/>
      <c r="G209" s="66"/>
      <c r="H209" s="66"/>
      <c r="I209" s="66"/>
      <c r="J209" s="66"/>
      <c r="K209" s="66"/>
      <c r="L209" s="66"/>
      <c r="M209" s="66"/>
      <c r="N209" s="66"/>
    </row>
    <row r="210" spans="1:14">
      <c r="A210" s="191" t="s">
        <v>23</v>
      </c>
      <c r="B210" s="80" t="s">
        <v>190</v>
      </c>
      <c r="C210" s="74"/>
      <c r="D210" s="74"/>
      <c r="E210" s="74"/>
      <c r="F210" s="209"/>
      <c r="G210" s="75"/>
      <c r="H210" s="75"/>
      <c r="I210" s="75"/>
      <c r="J210" s="75"/>
      <c r="K210" s="75"/>
      <c r="L210" s="75"/>
      <c r="M210" s="75"/>
      <c r="N210" s="75"/>
    </row>
    <row r="211" spans="1:14" ht="93.6">
      <c r="A211" s="191"/>
      <c r="B211" s="176" t="s">
        <v>191</v>
      </c>
      <c r="C211" s="65"/>
      <c r="D211" s="65"/>
      <c r="E211" s="65"/>
      <c r="F211" s="208"/>
      <c r="G211" s="66"/>
      <c r="H211" s="66"/>
      <c r="I211" s="66"/>
      <c r="J211" s="66"/>
      <c r="K211" s="66"/>
      <c r="L211" s="66"/>
      <c r="M211" s="66"/>
      <c r="N211" s="66"/>
    </row>
    <row r="212" spans="1:14">
      <c r="A212" s="191"/>
      <c r="B212" s="176"/>
      <c r="C212" s="65"/>
      <c r="D212" s="65"/>
      <c r="E212" s="65"/>
      <c r="F212" s="208"/>
      <c r="G212" s="66"/>
      <c r="H212" s="66"/>
      <c r="I212" s="66"/>
      <c r="J212" s="66"/>
      <c r="K212" s="66"/>
      <c r="L212" s="66"/>
      <c r="M212" s="66"/>
      <c r="N212" s="66"/>
    </row>
    <row r="213" spans="1:14">
      <c r="A213" s="191" t="s">
        <v>25</v>
      </c>
      <c r="B213" s="80" t="s">
        <v>192</v>
      </c>
      <c r="C213" s="74"/>
      <c r="D213" s="74"/>
      <c r="E213" s="74"/>
      <c r="F213" s="209"/>
      <c r="G213" s="75"/>
      <c r="H213" s="75"/>
      <c r="I213" s="75"/>
      <c r="J213" s="75"/>
      <c r="K213" s="75"/>
      <c r="L213" s="75"/>
      <c r="M213" s="75"/>
      <c r="N213" s="75"/>
    </row>
    <row r="214" spans="1:14" ht="94.2" thickBot="1">
      <c r="A214" s="191"/>
      <c r="B214" s="176" t="s">
        <v>193</v>
      </c>
      <c r="C214" s="65"/>
      <c r="D214" s="65"/>
      <c r="E214" s="65"/>
      <c r="F214" s="208"/>
      <c r="G214" s="66"/>
      <c r="H214" s="66"/>
      <c r="I214" s="66"/>
      <c r="J214" s="66"/>
      <c r="K214" s="66"/>
      <c r="L214" s="66"/>
      <c r="M214" s="66"/>
      <c r="N214" s="66"/>
    </row>
    <row r="215" spans="1:14" ht="18.600000000000001" thickBot="1">
      <c r="A215" s="196"/>
      <c r="B215" s="179" t="s">
        <v>91</v>
      </c>
      <c r="C215" s="77"/>
      <c r="D215" s="77"/>
      <c r="E215" s="77"/>
      <c r="F215" s="218">
        <f>SUM(F186:F214)</f>
        <v>3000000</v>
      </c>
      <c r="G215" s="66"/>
      <c r="H215" s="66"/>
      <c r="I215" s="66"/>
      <c r="J215" s="66"/>
      <c r="K215" s="66"/>
      <c r="L215" s="66"/>
      <c r="M215" s="66"/>
      <c r="N215" s="66"/>
    </row>
    <row r="216" spans="1:14">
      <c r="A216" s="191" t="s">
        <v>9</v>
      </c>
      <c r="B216" s="80" t="s">
        <v>194</v>
      </c>
      <c r="C216" s="74"/>
      <c r="D216" s="74"/>
      <c r="E216" s="74"/>
      <c r="F216" s="213"/>
      <c r="G216" s="75"/>
      <c r="H216" s="75"/>
      <c r="I216" s="75"/>
      <c r="J216" s="75"/>
      <c r="K216" s="75"/>
      <c r="L216" s="75"/>
      <c r="M216" s="75"/>
      <c r="N216" s="75"/>
    </row>
    <row r="217" spans="1:14" ht="46.8">
      <c r="A217" s="191"/>
      <c r="B217" s="176" t="s">
        <v>195</v>
      </c>
      <c r="C217" s="65"/>
      <c r="D217" s="65"/>
      <c r="E217" s="65"/>
      <c r="F217" s="214">
        <f>RATES!$D$151</f>
        <v>150000</v>
      </c>
      <c r="G217" s="66"/>
      <c r="H217" s="66"/>
      <c r="I217" s="66"/>
      <c r="J217" s="66"/>
      <c r="K217" s="66"/>
      <c r="L217" s="66"/>
      <c r="M217" s="66"/>
      <c r="N217" s="66"/>
    </row>
    <row r="218" spans="1:14">
      <c r="A218" s="191"/>
      <c r="B218" s="176"/>
      <c r="C218" s="65"/>
      <c r="D218" s="65"/>
      <c r="E218" s="65"/>
      <c r="F218" s="208"/>
      <c r="G218" s="66"/>
      <c r="H218" s="66"/>
      <c r="I218" s="66"/>
      <c r="J218" s="66"/>
      <c r="K218" s="66"/>
      <c r="L218" s="66"/>
      <c r="M218" s="66"/>
      <c r="N218" s="66"/>
    </row>
    <row r="219" spans="1:14">
      <c r="A219" s="191" t="s">
        <v>11</v>
      </c>
      <c r="B219" s="80" t="s">
        <v>196</v>
      </c>
      <c r="C219" s="74"/>
      <c r="D219" s="74"/>
      <c r="E219" s="74"/>
      <c r="F219" s="213"/>
      <c r="G219" s="75"/>
      <c r="H219" s="75"/>
      <c r="I219" s="75"/>
      <c r="J219" s="75"/>
      <c r="K219" s="75"/>
      <c r="L219" s="75"/>
      <c r="M219" s="75"/>
      <c r="N219" s="75"/>
    </row>
    <row r="220" spans="1:14" ht="62.4">
      <c r="A220" s="191"/>
      <c r="B220" s="176" t="s">
        <v>197</v>
      </c>
      <c r="C220" s="65"/>
      <c r="D220" s="65"/>
      <c r="E220" s="65"/>
      <c r="F220" s="214">
        <f>RATES!$D$152</f>
        <v>220000</v>
      </c>
      <c r="G220" s="66"/>
      <c r="H220" s="66"/>
      <c r="I220" s="66"/>
      <c r="J220" s="66"/>
      <c r="K220" s="66"/>
      <c r="L220" s="66"/>
      <c r="M220" s="66"/>
      <c r="N220" s="66"/>
    </row>
    <row r="221" spans="1:14">
      <c r="A221" s="191"/>
      <c r="B221" s="178"/>
      <c r="C221" s="76"/>
      <c r="D221" s="76"/>
      <c r="E221" s="76"/>
      <c r="F221" s="210"/>
    </row>
    <row r="222" spans="1:14">
      <c r="A222" s="191" t="s">
        <v>13</v>
      </c>
      <c r="B222" s="80" t="s">
        <v>198</v>
      </c>
      <c r="C222" s="74"/>
      <c r="D222" s="74"/>
      <c r="E222" s="74"/>
      <c r="F222" s="209"/>
      <c r="G222" s="75"/>
      <c r="H222" s="75"/>
      <c r="I222" s="75"/>
      <c r="J222" s="75"/>
      <c r="K222" s="75"/>
      <c r="L222" s="75"/>
      <c r="M222" s="75"/>
      <c r="N222" s="75"/>
    </row>
    <row r="223" spans="1:14" ht="78">
      <c r="A223" s="191"/>
      <c r="B223" s="176" t="s">
        <v>199</v>
      </c>
      <c r="C223" s="65"/>
      <c r="D223" s="65"/>
      <c r="E223" s="65"/>
      <c r="F223" s="208"/>
      <c r="G223" s="66"/>
      <c r="H223" s="66"/>
      <c r="I223" s="66"/>
      <c r="J223" s="66"/>
      <c r="K223" s="66"/>
      <c r="L223" s="66"/>
      <c r="M223" s="66"/>
      <c r="N223" s="66"/>
    </row>
    <row r="224" spans="1:14">
      <c r="A224" s="191"/>
      <c r="B224" s="176"/>
      <c r="C224" s="65"/>
      <c r="D224" s="65"/>
      <c r="E224" s="65"/>
      <c r="F224" s="208"/>
      <c r="G224" s="66"/>
      <c r="H224" s="66"/>
      <c r="I224" s="66"/>
      <c r="J224" s="66"/>
      <c r="K224" s="66"/>
      <c r="L224" s="66"/>
      <c r="M224" s="66"/>
      <c r="N224" s="66"/>
    </row>
    <row r="225" spans="1:14">
      <c r="A225" s="191" t="s">
        <v>15</v>
      </c>
      <c r="B225" s="80" t="s">
        <v>200</v>
      </c>
      <c r="C225" s="74"/>
      <c r="D225" s="74"/>
      <c r="E225" s="74"/>
      <c r="F225" s="214">
        <f>RATES!$D$153</f>
        <v>80000</v>
      </c>
      <c r="G225" s="75"/>
      <c r="H225" s="75"/>
      <c r="I225" s="75"/>
      <c r="J225" s="75"/>
      <c r="K225" s="75"/>
      <c r="L225" s="75"/>
      <c r="M225" s="75"/>
      <c r="N225" s="75"/>
    </row>
    <row r="226" spans="1:14" ht="62.4">
      <c r="A226" s="191"/>
      <c r="B226" s="176" t="s">
        <v>201</v>
      </c>
      <c r="C226" s="65"/>
      <c r="D226" s="65"/>
      <c r="E226" s="65"/>
      <c r="F226" s="208"/>
      <c r="G226" s="66"/>
      <c r="H226" s="66"/>
      <c r="I226" s="66"/>
      <c r="J226" s="66"/>
      <c r="K226" s="66"/>
      <c r="L226" s="66"/>
      <c r="M226" s="66"/>
      <c r="N226" s="66"/>
    </row>
    <row r="227" spans="1:14">
      <c r="A227" s="191"/>
      <c r="B227" s="176"/>
      <c r="C227" s="65"/>
      <c r="D227" s="65"/>
      <c r="E227" s="65"/>
      <c r="F227" s="208"/>
      <c r="G227" s="66"/>
      <c r="H227" s="66"/>
      <c r="I227" s="66"/>
      <c r="J227" s="66"/>
      <c r="K227" s="66"/>
      <c r="L227" s="66"/>
      <c r="M227" s="66"/>
      <c r="N227" s="66"/>
    </row>
    <row r="228" spans="1:14">
      <c r="A228" s="191" t="s">
        <v>17</v>
      </c>
      <c r="B228" s="80" t="s">
        <v>202</v>
      </c>
      <c r="C228" s="74"/>
      <c r="D228" s="74"/>
      <c r="E228" s="74"/>
      <c r="F228" s="213"/>
      <c r="G228" s="75"/>
      <c r="H228" s="75"/>
      <c r="I228" s="75"/>
      <c r="J228" s="75"/>
      <c r="K228" s="75"/>
      <c r="L228" s="75"/>
      <c r="M228" s="75"/>
      <c r="N228" s="75"/>
    </row>
    <row r="229" spans="1:14" ht="78">
      <c r="A229" s="191"/>
      <c r="B229" s="176" t="s">
        <v>203</v>
      </c>
      <c r="C229" s="65"/>
      <c r="D229" s="65"/>
      <c r="E229" s="65"/>
      <c r="F229" s="214">
        <f>RATES!$D$154</f>
        <v>60000</v>
      </c>
      <c r="G229" s="66"/>
      <c r="H229" s="66"/>
      <c r="I229" s="66"/>
      <c r="J229" s="66"/>
      <c r="K229" s="66"/>
      <c r="L229" s="66"/>
      <c r="M229" s="66"/>
      <c r="N229" s="66"/>
    </row>
    <row r="230" spans="1:14">
      <c r="A230" s="191"/>
      <c r="B230" s="176"/>
      <c r="C230" s="65"/>
      <c r="D230" s="65"/>
      <c r="E230" s="65"/>
      <c r="F230" s="208"/>
      <c r="G230" s="66"/>
      <c r="H230" s="66"/>
      <c r="I230" s="66"/>
      <c r="J230" s="66"/>
      <c r="K230" s="66"/>
      <c r="L230" s="66"/>
      <c r="M230" s="66"/>
      <c r="N230" s="66"/>
    </row>
    <row r="231" spans="1:14">
      <c r="A231" s="191" t="s">
        <v>19</v>
      </c>
      <c r="B231" s="80" t="s">
        <v>204</v>
      </c>
      <c r="C231" s="74"/>
      <c r="D231" s="74"/>
      <c r="E231" s="74"/>
      <c r="F231" s="213"/>
      <c r="G231" s="75"/>
      <c r="H231" s="75"/>
      <c r="I231" s="75"/>
      <c r="J231" s="75"/>
      <c r="K231" s="75"/>
      <c r="L231" s="75"/>
      <c r="M231" s="75"/>
      <c r="N231" s="75"/>
    </row>
    <row r="232" spans="1:14" ht="171.6">
      <c r="A232" s="191"/>
      <c r="B232" s="176" t="s">
        <v>205</v>
      </c>
      <c r="C232" s="65"/>
      <c r="D232" s="65"/>
      <c r="E232" s="65"/>
      <c r="F232" s="214">
        <f>RATES!$D$155</f>
        <v>36000</v>
      </c>
      <c r="G232" s="66"/>
      <c r="H232" s="66"/>
      <c r="I232" s="66"/>
      <c r="J232" s="66"/>
      <c r="K232" s="66"/>
      <c r="L232" s="66"/>
      <c r="M232" s="66"/>
      <c r="N232" s="66"/>
    </row>
    <row r="233" spans="1:14">
      <c r="A233" s="191"/>
      <c r="B233" s="176"/>
      <c r="C233" s="65"/>
      <c r="D233" s="65"/>
      <c r="E233" s="65"/>
      <c r="F233" s="208"/>
      <c r="G233" s="66"/>
      <c r="H233" s="66"/>
      <c r="I233" s="66"/>
      <c r="J233" s="66"/>
      <c r="K233" s="66"/>
      <c r="L233" s="66"/>
      <c r="M233" s="66"/>
      <c r="N233" s="66"/>
    </row>
    <row r="234" spans="1:14">
      <c r="A234" s="191" t="s">
        <v>21</v>
      </c>
      <c r="B234" s="80" t="s">
        <v>206</v>
      </c>
      <c r="C234" s="74"/>
      <c r="D234" s="74"/>
      <c r="E234" s="74"/>
      <c r="F234" s="213"/>
      <c r="G234" s="75"/>
      <c r="H234" s="75"/>
      <c r="I234" s="75"/>
      <c r="J234" s="75"/>
      <c r="K234" s="75"/>
      <c r="L234" s="75"/>
      <c r="M234" s="75"/>
      <c r="N234" s="75"/>
    </row>
    <row r="235" spans="1:14" ht="31.2">
      <c r="A235" s="191"/>
      <c r="B235" s="176" t="s">
        <v>207</v>
      </c>
      <c r="C235" s="65"/>
      <c r="D235" s="65"/>
      <c r="E235" s="65"/>
      <c r="F235" s="214">
        <f>RATES!$D$156</f>
        <v>15000</v>
      </c>
      <c r="G235" s="66"/>
      <c r="H235" s="66"/>
      <c r="I235" s="66"/>
      <c r="J235" s="66"/>
      <c r="K235" s="66"/>
      <c r="L235" s="66"/>
      <c r="M235" s="66"/>
      <c r="N235" s="66"/>
    </row>
    <row r="236" spans="1:14">
      <c r="A236" s="191"/>
      <c r="B236" s="178"/>
      <c r="C236" s="76"/>
      <c r="D236" s="76"/>
      <c r="E236" s="76"/>
      <c r="F236" s="210"/>
    </row>
    <row r="237" spans="1:14">
      <c r="A237" s="191" t="s">
        <v>23</v>
      </c>
      <c r="B237" s="80" t="s">
        <v>208</v>
      </c>
      <c r="C237" s="74"/>
      <c r="D237" s="74"/>
      <c r="E237" s="74"/>
      <c r="F237" s="213"/>
      <c r="G237" s="75"/>
      <c r="H237" s="75"/>
      <c r="I237" s="75"/>
      <c r="J237" s="75"/>
      <c r="K237" s="75"/>
      <c r="L237" s="75"/>
      <c r="M237" s="75"/>
      <c r="N237" s="75"/>
    </row>
    <row r="238" spans="1:14" ht="78">
      <c r="A238" s="191"/>
      <c r="B238" s="176" t="s">
        <v>209</v>
      </c>
      <c r="C238" s="65"/>
      <c r="D238" s="65"/>
      <c r="E238" s="65"/>
      <c r="F238" s="214">
        <f>RATES!$D$157</f>
        <v>240000</v>
      </c>
      <c r="G238" s="66"/>
      <c r="H238" s="66"/>
      <c r="I238" s="66"/>
      <c r="J238" s="66"/>
      <c r="K238" s="66"/>
      <c r="L238" s="66"/>
      <c r="M238" s="66"/>
      <c r="N238" s="66"/>
    </row>
    <row r="239" spans="1:14" ht="31.8" thickBot="1">
      <c r="A239" s="191"/>
      <c r="B239" s="176" t="s">
        <v>210</v>
      </c>
      <c r="C239" s="65"/>
      <c r="D239" s="65"/>
      <c r="E239" s="65"/>
      <c r="F239" s="208"/>
      <c r="G239" s="66"/>
      <c r="H239" s="66"/>
      <c r="I239" s="66"/>
      <c r="J239" s="66"/>
      <c r="K239" s="66"/>
      <c r="L239" s="66"/>
      <c r="M239" s="66"/>
      <c r="N239" s="66"/>
    </row>
    <row r="240" spans="1:14" ht="18.600000000000001" thickBot="1">
      <c r="A240" s="196"/>
      <c r="B240" s="179" t="s">
        <v>91</v>
      </c>
      <c r="C240" s="77"/>
      <c r="D240" s="77"/>
      <c r="E240" s="77"/>
      <c r="F240" s="218">
        <f>SUM(F217:F239)</f>
        <v>801000</v>
      </c>
      <c r="G240" s="66"/>
      <c r="H240" s="66"/>
      <c r="I240" s="66"/>
      <c r="J240" s="66"/>
      <c r="K240" s="66"/>
      <c r="L240" s="66"/>
      <c r="M240" s="66"/>
      <c r="N240" s="66"/>
    </row>
    <row r="241" spans="1:14">
      <c r="A241" s="191" t="s">
        <v>9</v>
      </c>
      <c r="B241" s="80" t="s">
        <v>211</v>
      </c>
      <c r="C241" s="74"/>
      <c r="D241" s="74"/>
      <c r="E241" s="74"/>
      <c r="F241" s="213"/>
      <c r="G241" s="75"/>
      <c r="H241" s="75"/>
      <c r="I241" s="75"/>
      <c r="J241" s="75"/>
      <c r="K241" s="75"/>
      <c r="L241" s="75"/>
      <c r="M241" s="75"/>
      <c r="N241" s="75"/>
    </row>
    <row r="242" spans="1:14" ht="93.6">
      <c r="A242" s="191"/>
      <c r="B242" s="176" t="s">
        <v>212</v>
      </c>
      <c r="C242" s="65"/>
      <c r="D242" s="65"/>
      <c r="E242" s="65"/>
      <c r="F242" s="214">
        <f>RATES!$D$158</f>
        <v>80000</v>
      </c>
      <c r="G242" s="66"/>
      <c r="H242" s="66"/>
      <c r="I242" s="66"/>
      <c r="J242" s="66"/>
      <c r="K242" s="66"/>
      <c r="L242" s="66"/>
      <c r="M242" s="66"/>
      <c r="N242" s="66"/>
    </row>
    <row r="243" spans="1:14">
      <c r="A243" s="191"/>
      <c r="B243" s="176"/>
      <c r="C243" s="65"/>
      <c r="D243" s="65"/>
      <c r="E243" s="65"/>
      <c r="F243" s="208"/>
      <c r="G243" s="66"/>
      <c r="H243" s="66"/>
      <c r="I243" s="66"/>
      <c r="J243" s="66"/>
      <c r="K243" s="66"/>
      <c r="L243" s="66"/>
      <c r="M243" s="66"/>
      <c r="N243" s="66"/>
    </row>
    <row r="244" spans="1:14">
      <c r="A244" s="191" t="s">
        <v>11</v>
      </c>
      <c r="B244" s="80" t="s">
        <v>213</v>
      </c>
      <c r="C244" s="74"/>
      <c r="D244" s="74"/>
      <c r="E244" s="74"/>
      <c r="F244" s="209"/>
      <c r="G244" s="75"/>
      <c r="H244" s="75"/>
      <c r="I244" s="75"/>
      <c r="J244" s="75"/>
      <c r="K244" s="75"/>
      <c r="L244" s="75"/>
      <c r="M244" s="75"/>
      <c r="N244" s="75"/>
    </row>
    <row r="245" spans="1:14" ht="93.6">
      <c r="A245" s="191"/>
      <c r="B245" s="176" t="s">
        <v>214</v>
      </c>
      <c r="C245" s="65"/>
      <c r="D245" s="65"/>
      <c r="E245" s="65"/>
      <c r="F245" s="208"/>
      <c r="G245" s="66"/>
      <c r="H245" s="66"/>
      <c r="I245" s="66"/>
      <c r="J245" s="66"/>
      <c r="K245" s="66"/>
      <c r="L245" s="66"/>
      <c r="M245" s="66"/>
      <c r="N245" s="66"/>
    </row>
    <row r="246" spans="1:14">
      <c r="A246" s="191"/>
      <c r="B246" s="176"/>
      <c r="C246" s="65"/>
      <c r="D246" s="65"/>
      <c r="E246" s="65"/>
      <c r="F246" s="208"/>
      <c r="G246" s="66"/>
      <c r="H246" s="66"/>
      <c r="I246" s="66"/>
      <c r="J246" s="66"/>
      <c r="K246" s="66"/>
      <c r="L246" s="66"/>
      <c r="M246" s="66"/>
      <c r="N246" s="66"/>
    </row>
    <row r="247" spans="1:14">
      <c r="A247" s="191" t="s">
        <v>13</v>
      </c>
      <c r="B247" s="80" t="s">
        <v>215</v>
      </c>
      <c r="C247" s="74"/>
      <c r="D247" s="74"/>
      <c r="E247" s="74"/>
      <c r="F247" s="213"/>
      <c r="G247" s="75"/>
      <c r="H247" s="75"/>
      <c r="I247" s="75"/>
      <c r="J247" s="75"/>
      <c r="K247" s="75"/>
      <c r="L247" s="75"/>
      <c r="M247" s="75"/>
      <c r="N247" s="75"/>
    </row>
    <row r="248" spans="1:14" ht="109.2">
      <c r="A248" s="191"/>
      <c r="B248" s="176" t="s">
        <v>216</v>
      </c>
      <c r="C248" s="65"/>
      <c r="D248" s="65"/>
      <c r="E248" s="65"/>
      <c r="F248" s="214">
        <f>RATES!$D$159</f>
        <v>150000</v>
      </c>
      <c r="G248" s="66"/>
      <c r="H248" s="66"/>
      <c r="I248" s="66"/>
      <c r="J248" s="66"/>
      <c r="K248" s="66"/>
      <c r="L248" s="66"/>
      <c r="M248" s="66"/>
      <c r="N248" s="66"/>
    </row>
    <row r="249" spans="1:14">
      <c r="A249" s="191"/>
      <c r="B249" s="178"/>
      <c r="C249" s="76"/>
      <c r="D249" s="76"/>
      <c r="E249" s="76"/>
      <c r="F249" s="210"/>
    </row>
    <row r="250" spans="1:14">
      <c r="A250" s="191" t="s">
        <v>15</v>
      </c>
      <c r="B250" s="80" t="s">
        <v>217</v>
      </c>
      <c r="C250" s="74"/>
      <c r="D250" s="74"/>
      <c r="E250" s="74"/>
      <c r="F250" s="213"/>
      <c r="G250" s="75"/>
      <c r="H250" s="75"/>
      <c r="I250" s="75"/>
      <c r="J250" s="75"/>
      <c r="K250" s="75"/>
      <c r="L250" s="75"/>
      <c r="M250" s="75"/>
      <c r="N250" s="75"/>
    </row>
    <row r="251" spans="1:14" ht="93.6">
      <c r="A251" s="191"/>
      <c r="B251" s="176" t="s">
        <v>218</v>
      </c>
      <c r="C251" s="65"/>
      <c r="D251" s="65"/>
      <c r="E251" s="65"/>
      <c r="F251" s="214">
        <f>RATES!$D$160</f>
        <v>300000</v>
      </c>
      <c r="G251" s="66"/>
      <c r="H251" s="66"/>
      <c r="I251" s="66"/>
      <c r="J251" s="66"/>
      <c r="K251" s="66"/>
      <c r="L251" s="66"/>
      <c r="M251" s="66"/>
      <c r="N251" s="66"/>
    </row>
    <row r="252" spans="1:14">
      <c r="A252" s="191"/>
      <c r="B252" s="176"/>
      <c r="C252" s="65"/>
      <c r="D252" s="65"/>
      <c r="E252" s="65"/>
      <c r="F252" s="208"/>
      <c r="G252" s="66"/>
      <c r="H252" s="66"/>
      <c r="I252" s="66"/>
      <c r="J252" s="66"/>
      <c r="K252" s="66"/>
      <c r="L252" s="66"/>
      <c r="M252" s="66"/>
      <c r="N252" s="66"/>
    </row>
    <row r="253" spans="1:14">
      <c r="A253" s="191" t="s">
        <v>17</v>
      </c>
      <c r="B253" s="80" t="s">
        <v>219</v>
      </c>
      <c r="C253" s="74"/>
      <c r="D253" s="74"/>
      <c r="E253" s="74"/>
      <c r="F253" s="209"/>
      <c r="G253" s="75"/>
      <c r="H253" s="75"/>
      <c r="I253" s="75"/>
      <c r="J253" s="75"/>
      <c r="K253" s="75"/>
      <c r="L253" s="75"/>
      <c r="M253" s="75"/>
      <c r="N253" s="75"/>
    </row>
    <row r="254" spans="1:14">
      <c r="A254" s="191"/>
      <c r="B254" s="176" t="s">
        <v>220</v>
      </c>
      <c r="C254" s="65"/>
      <c r="D254" s="65"/>
      <c r="E254" s="65"/>
      <c r="F254" s="208"/>
      <c r="G254" s="66"/>
      <c r="H254" s="66"/>
      <c r="I254" s="66"/>
      <c r="J254" s="66"/>
      <c r="K254" s="66"/>
      <c r="L254" s="66"/>
      <c r="M254" s="66"/>
      <c r="N254" s="66"/>
    </row>
    <row r="255" spans="1:14">
      <c r="A255" s="191"/>
      <c r="B255" s="176"/>
      <c r="C255" s="65"/>
      <c r="D255" s="65"/>
      <c r="E255" s="65"/>
      <c r="F255" s="208"/>
      <c r="G255" s="66"/>
      <c r="H255" s="66"/>
      <c r="I255" s="66"/>
      <c r="J255" s="66"/>
      <c r="K255" s="66"/>
      <c r="L255" s="66"/>
      <c r="M255" s="66"/>
      <c r="N255" s="66"/>
    </row>
    <row r="256" spans="1:14">
      <c r="A256" s="191" t="s">
        <v>19</v>
      </c>
      <c r="B256" s="80" t="s">
        <v>221</v>
      </c>
      <c r="C256" s="74"/>
      <c r="D256" s="74"/>
      <c r="E256" s="74"/>
      <c r="F256" s="209"/>
      <c r="G256" s="75"/>
      <c r="H256" s="75"/>
      <c r="I256" s="75"/>
      <c r="J256" s="75"/>
      <c r="K256" s="75"/>
      <c r="L256" s="75"/>
      <c r="M256" s="75"/>
      <c r="N256" s="75"/>
    </row>
    <row r="257" spans="1:14" ht="46.8">
      <c r="A257" s="191"/>
      <c r="B257" s="176" t="s">
        <v>222</v>
      </c>
      <c r="C257" s="65"/>
      <c r="D257" s="65"/>
      <c r="E257" s="65"/>
      <c r="F257" s="208"/>
      <c r="G257" s="66"/>
      <c r="H257" s="66"/>
      <c r="I257" s="66"/>
      <c r="J257" s="66"/>
      <c r="K257" s="66"/>
      <c r="L257" s="66"/>
      <c r="M257" s="66"/>
      <c r="N257" s="66"/>
    </row>
    <row r="258" spans="1:14">
      <c r="A258" s="191"/>
      <c r="B258" s="176"/>
      <c r="C258" s="65"/>
      <c r="D258" s="65"/>
      <c r="E258" s="65"/>
      <c r="F258" s="208"/>
      <c r="G258" s="66"/>
      <c r="H258" s="66"/>
      <c r="I258" s="66"/>
      <c r="J258" s="66"/>
      <c r="K258" s="66"/>
      <c r="L258" s="66"/>
      <c r="M258" s="66"/>
      <c r="N258" s="66"/>
    </row>
    <row r="259" spans="1:14">
      <c r="A259" s="191" t="s">
        <v>21</v>
      </c>
      <c r="B259" s="80" t="s">
        <v>223</v>
      </c>
      <c r="C259" s="74"/>
      <c r="D259" s="74"/>
      <c r="E259" s="74"/>
      <c r="F259" s="209"/>
      <c r="G259" s="75"/>
      <c r="H259" s="75"/>
      <c r="I259" s="75"/>
      <c r="J259" s="75"/>
      <c r="K259" s="75"/>
      <c r="L259" s="75"/>
      <c r="M259" s="75"/>
      <c r="N259" s="75"/>
    </row>
    <row r="260" spans="1:14" ht="31.2">
      <c r="A260" s="191"/>
      <c r="B260" s="176" t="s">
        <v>224</v>
      </c>
      <c r="C260" s="65"/>
      <c r="D260" s="65"/>
      <c r="E260" s="65"/>
      <c r="F260" s="208"/>
      <c r="G260" s="66"/>
      <c r="H260" s="66"/>
      <c r="I260" s="66"/>
      <c r="J260" s="66"/>
      <c r="K260" s="66"/>
      <c r="L260" s="66"/>
      <c r="M260" s="66"/>
      <c r="N260" s="66"/>
    </row>
    <row r="261" spans="1:14">
      <c r="A261" s="191"/>
      <c r="B261" s="176"/>
      <c r="C261" s="65"/>
      <c r="D261" s="65"/>
      <c r="E261" s="65"/>
      <c r="F261" s="208"/>
      <c r="G261" s="66"/>
      <c r="H261" s="66"/>
      <c r="I261" s="66"/>
      <c r="J261" s="66"/>
      <c r="K261" s="66"/>
      <c r="L261" s="66"/>
      <c r="M261" s="66"/>
      <c r="N261" s="66"/>
    </row>
    <row r="262" spans="1:14">
      <c r="A262" s="191" t="s">
        <v>23</v>
      </c>
      <c r="B262" s="80" t="s">
        <v>225</v>
      </c>
      <c r="C262" s="74"/>
      <c r="D262" s="74"/>
      <c r="E262" s="74"/>
      <c r="F262" s="209"/>
      <c r="G262" s="75"/>
      <c r="H262" s="75"/>
      <c r="I262" s="75"/>
      <c r="J262" s="75"/>
      <c r="K262" s="75"/>
      <c r="L262" s="75"/>
      <c r="M262" s="75"/>
      <c r="N262" s="75"/>
    </row>
    <row r="263" spans="1:14" ht="78">
      <c r="A263" s="191"/>
      <c r="B263" s="176" t="s">
        <v>226</v>
      </c>
      <c r="C263" s="65"/>
      <c r="D263" s="65"/>
      <c r="E263" s="65"/>
      <c r="F263" s="209"/>
      <c r="G263" s="66"/>
      <c r="H263" s="66"/>
      <c r="I263" s="66"/>
      <c r="J263" s="66"/>
      <c r="K263" s="66"/>
      <c r="L263" s="66"/>
      <c r="M263" s="66"/>
      <c r="N263" s="66"/>
    </row>
    <row r="264" spans="1:14">
      <c r="A264" s="191"/>
      <c r="B264" s="176"/>
      <c r="C264" s="65"/>
      <c r="D264" s="65"/>
      <c r="E264" s="65"/>
      <c r="F264" s="208"/>
      <c r="G264" s="66"/>
      <c r="H264" s="66"/>
      <c r="I264" s="66"/>
      <c r="J264" s="66"/>
      <c r="K264" s="66"/>
      <c r="L264" s="66"/>
      <c r="M264" s="66"/>
      <c r="N264" s="66"/>
    </row>
    <row r="265" spans="1:14">
      <c r="A265" s="191" t="s">
        <v>25</v>
      </c>
      <c r="B265" s="80" t="s">
        <v>227</v>
      </c>
      <c r="C265" s="74"/>
      <c r="D265" s="74"/>
      <c r="E265" s="74"/>
      <c r="F265" s="213"/>
      <c r="G265" s="75"/>
      <c r="H265" s="75"/>
      <c r="I265" s="75"/>
      <c r="J265" s="75"/>
      <c r="K265" s="75"/>
      <c r="L265" s="75"/>
      <c r="M265" s="75"/>
      <c r="N265" s="75"/>
    </row>
    <row r="266" spans="1:14" ht="78.599999999999994" thickBot="1">
      <c r="A266" s="191"/>
      <c r="B266" s="176" t="s">
        <v>228</v>
      </c>
      <c r="C266" s="65"/>
      <c r="D266" s="65"/>
      <c r="E266" s="65"/>
      <c r="F266" s="214">
        <f>RATES!$D$161</f>
        <v>120000</v>
      </c>
      <c r="G266" s="66"/>
      <c r="H266" s="66"/>
      <c r="I266" s="66"/>
      <c r="J266" s="66"/>
      <c r="K266" s="66"/>
      <c r="L266" s="66"/>
      <c r="M266" s="66"/>
      <c r="N266" s="66"/>
    </row>
    <row r="267" spans="1:14" ht="18.600000000000001" thickBot="1">
      <c r="A267" s="196"/>
      <c r="B267" s="179" t="s">
        <v>91</v>
      </c>
      <c r="C267" s="77"/>
      <c r="D267" s="77"/>
      <c r="E267" s="77"/>
      <c r="F267" s="218">
        <f>SUM(F242:F266)</f>
        <v>650000</v>
      </c>
    </row>
    <row r="268" spans="1:14" ht="18.600000000000001" thickBot="1">
      <c r="A268" s="191" t="s">
        <v>9</v>
      </c>
      <c r="B268" s="80" t="s">
        <v>229</v>
      </c>
      <c r="C268" s="74"/>
      <c r="D268" s="74"/>
      <c r="E268" s="74"/>
      <c r="F268" s="213"/>
      <c r="G268" s="75"/>
      <c r="H268" s="75"/>
      <c r="I268" s="75"/>
      <c r="J268" s="75"/>
      <c r="K268" s="75"/>
      <c r="L268" s="75"/>
      <c r="M268" s="75"/>
      <c r="N268" s="75"/>
    </row>
    <row r="269" spans="1:14" ht="78">
      <c r="A269" s="191"/>
      <c r="B269" s="176" t="s">
        <v>230</v>
      </c>
      <c r="C269" s="65"/>
      <c r="D269" s="65"/>
      <c r="E269" s="65"/>
      <c r="F269" s="220">
        <f>RATES!$D$162</f>
        <v>60000</v>
      </c>
      <c r="G269" s="66"/>
      <c r="H269" s="66"/>
      <c r="I269" s="66"/>
      <c r="J269" s="66"/>
      <c r="K269" s="66"/>
      <c r="L269" s="66"/>
      <c r="M269" s="66"/>
      <c r="N269" s="66"/>
    </row>
    <row r="270" spans="1:14">
      <c r="A270" s="191"/>
      <c r="B270" s="176"/>
      <c r="C270" s="65"/>
      <c r="D270" s="65"/>
      <c r="E270" s="65"/>
      <c r="F270" s="208"/>
      <c r="G270" s="66"/>
      <c r="H270" s="66"/>
      <c r="I270" s="66"/>
      <c r="J270" s="66"/>
      <c r="K270" s="66"/>
      <c r="L270" s="66"/>
      <c r="M270" s="66"/>
      <c r="N270" s="66"/>
    </row>
    <row r="271" spans="1:14">
      <c r="A271" s="191" t="s">
        <v>11</v>
      </c>
      <c r="B271" s="80" t="s">
        <v>231</v>
      </c>
      <c r="C271" s="74"/>
      <c r="D271" s="74"/>
      <c r="E271" s="74"/>
      <c r="F271" s="209"/>
      <c r="G271" s="75"/>
      <c r="H271" s="75"/>
      <c r="I271" s="75"/>
      <c r="J271" s="75"/>
      <c r="K271" s="75"/>
      <c r="L271" s="75"/>
      <c r="M271" s="75"/>
      <c r="N271" s="75"/>
    </row>
    <row r="272" spans="1:14" ht="93.6">
      <c r="A272" s="191"/>
      <c r="B272" s="176" t="s">
        <v>232</v>
      </c>
      <c r="C272" s="65"/>
      <c r="D272" s="65"/>
      <c r="E272" s="65"/>
      <c r="F272" s="208"/>
      <c r="G272" s="66"/>
      <c r="H272" s="66"/>
      <c r="I272" s="66"/>
      <c r="J272" s="66"/>
      <c r="K272" s="66"/>
      <c r="L272" s="66"/>
      <c r="M272" s="66"/>
      <c r="N272" s="66"/>
    </row>
    <row r="273" spans="1:14">
      <c r="A273" s="191"/>
      <c r="B273" s="176"/>
      <c r="C273" s="65"/>
      <c r="D273" s="65"/>
      <c r="E273" s="65"/>
      <c r="F273" s="208"/>
      <c r="G273" s="66"/>
      <c r="H273" s="66"/>
      <c r="I273" s="66"/>
      <c r="J273" s="66"/>
      <c r="K273" s="66"/>
      <c r="L273" s="66"/>
      <c r="M273" s="66"/>
      <c r="N273" s="66"/>
    </row>
    <row r="274" spans="1:14">
      <c r="A274" s="191" t="s">
        <v>13</v>
      </c>
      <c r="B274" s="80" t="s">
        <v>233</v>
      </c>
      <c r="C274" s="74"/>
      <c r="D274" s="74"/>
      <c r="E274" s="74"/>
      <c r="F274" s="209"/>
      <c r="G274" s="75"/>
      <c r="H274" s="75"/>
      <c r="I274" s="75"/>
      <c r="J274" s="75"/>
      <c r="K274" s="75"/>
      <c r="L274" s="75"/>
      <c r="M274" s="75"/>
      <c r="N274" s="75"/>
    </row>
    <row r="275" spans="1:14" ht="31.2">
      <c r="A275" s="191"/>
      <c r="B275" s="176" t="s">
        <v>234</v>
      </c>
      <c r="C275" s="65"/>
      <c r="D275" s="65"/>
      <c r="E275" s="65"/>
      <c r="F275" s="208"/>
      <c r="G275" s="66"/>
      <c r="H275" s="66"/>
      <c r="I275" s="66"/>
      <c r="J275" s="66"/>
      <c r="K275" s="66"/>
      <c r="L275" s="66"/>
      <c r="M275" s="66"/>
      <c r="N275" s="66"/>
    </row>
    <row r="276" spans="1:14">
      <c r="A276" s="191"/>
      <c r="B276" s="176"/>
      <c r="C276" s="65"/>
      <c r="D276" s="65"/>
      <c r="E276" s="65"/>
      <c r="F276" s="208"/>
      <c r="G276" s="66"/>
      <c r="H276" s="66"/>
      <c r="I276" s="66"/>
      <c r="J276" s="66"/>
      <c r="K276" s="66"/>
      <c r="L276" s="66"/>
      <c r="M276" s="66"/>
      <c r="N276" s="66"/>
    </row>
    <row r="277" spans="1:14">
      <c r="A277" s="191" t="s">
        <v>15</v>
      </c>
      <c r="B277" s="80" t="s">
        <v>235</v>
      </c>
      <c r="C277" s="74"/>
      <c r="D277" s="74"/>
      <c r="E277" s="74"/>
      <c r="F277" s="209"/>
      <c r="G277" s="75"/>
      <c r="H277" s="75"/>
      <c r="I277" s="75"/>
      <c r="J277" s="75"/>
      <c r="K277" s="75"/>
      <c r="L277" s="75"/>
      <c r="M277" s="75"/>
      <c r="N277" s="75"/>
    </row>
    <row r="278" spans="1:14" ht="46.8">
      <c r="A278" s="191"/>
      <c r="B278" s="176" t="s">
        <v>236</v>
      </c>
      <c r="C278" s="65"/>
      <c r="D278" s="65"/>
      <c r="E278" s="65"/>
      <c r="F278" s="208"/>
      <c r="G278" s="66"/>
      <c r="H278" s="66"/>
      <c r="I278" s="66"/>
      <c r="J278" s="66"/>
      <c r="K278" s="66"/>
      <c r="L278" s="66"/>
      <c r="M278" s="66"/>
      <c r="N278" s="66"/>
    </row>
    <row r="279" spans="1:14">
      <c r="A279" s="191"/>
      <c r="B279" s="176"/>
      <c r="C279" s="65"/>
      <c r="D279" s="65"/>
      <c r="E279" s="65"/>
      <c r="F279" s="208"/>
      <c r="G279" s="66"/>
      <c r="H279" s="66"/>
      <c r="I279" s="66"/>
      <c r="J279" s="66"/>
      <c r="K279" s="66"/>
      <c r="L279" s="66"/>
      <c r="M279" s="66"/>
      <c r="N279" s="66"/>
    </row>
    <row r="280" spans="1:14">
      <c r="A280" s="191" t="s">
        <v>17</v>
      </c>
      <c r="B280" s="80" t="s">
        <v>237</v>
      </c>
      <c r="C280" s="74"/>
      <c r="D280" s="74"/>
      <c r="E280" s="74"/>
      <c r="F280" s="209"/>
      <c r="G280" s="75"/>
      <c r="H280" s="75"/>
      <c r="I280" s="75"/>
      <c r="J280" s="75"/>
      <c r="K280" s="75"/>
      <c r="L280" s="75"/>
      <c r="M280" s="75"/>
      <c r="N280" s="75"/>
    </row>
    <row r="281" spans="1:14" ht="62.4">
      <c r="A281" s="191"/>
      <c r="B281" s="176" t="s">
        <v>238</v>
      </c>
      <c r="C281" s="65"/>
      <c r="D281" s="65"/>
      <c r="E281" s="65"/>
      <c r="F281" s="208"/>
      <c r="G281" s="66"/>
      <c r="H281" s="66"/>
      <c r="I281" s="66"/>
      <c r="J281" s="66"/>
      <c r="K281" s="66"/>
      <c r="L281" s="66"/>
      <c r="M281" s="66"/>
      <c r="N281" s="66"/>
    </row>
    <row r="282" spans="1:14" ht="31.2">
      <c r="A282" s="191"/>
      <c r="B282" s="176" t="s">
        <v>239</v>
      </c>
      <c r="C282" s="65"/>
      <c r="D282" s="65"/>
      <c r="E282" s="65"/>
      <c r="F282" s="208"/>
      <c r="G282" s="66"/>
      <c r="H282" s="66"/>
      <c r="I282" s="66"/>
      <c r="J282" s="66"/>
      <c r="K282" s="66"/>
      <c r="L282" s="66"/>
      <c r="M282" s="66"/>
      <c r="N282" s="66"/>
    </row>
    <row r="283" spans="1:14">
      <c r="A283" s="191"/>
      <c r="B283" s="176"/>
      <c r="C283" s="65"/>
      <c r="D283" s="65"/>
      <c r="E283" s="65"/>
      <c r="F283" s="208"/>
      <c r="G283" s="66"/>
      <c r="H283" s="66"/>
      <c r="I283" s="66"/>
      <c r="J283" s="66"/>
      <c r="K283" s="66"/>
      <c r="L283" s="66"/>
      <c r="M283" s="66"/>
      <c r="N283" s="66"/>
    </row>
    <row r="284" spans="1:14">
      <c r="A284" s="191" t="s">
        <v>19</v>
      </c>
      <c r="B284" s="80" t="s">
        <v>240</v>
      </c>
      <c r="C284" s="74"/>
      <c r="D284" s="74"/>
      <c r="E284" s="74"/>
      <c r="F284" s="209"/>
      <c r="G284" s="75"/>
      <c r="H284" s="75"/>
      <c r="I284" s="75"/>
      <c r="J284" s="75"/>
      <c r="K284" s="75"/>
      <c r="L284" s="75"/>
      <c r="M284" s="75"/>
      <c r="N284" s="75"/>
    </row>
    <row r="285" spans="1:14" ht="46.8">
      <c r="A285" s="191"/>
      <c r="B285" s="176" t="s">
        <v>241</v>
      </c>
      <c r="C285" s="65"/>
      <c r="D285" s="65"/>
      <c r="E285" s="65"/>
      <c r="F285" s="208"/>
      <c r="G285" s="66"/>
      <c r="H285" s="66"/>
      <c r="I285" s="66"/>
      <c r="J285" s="66"/>
      <c r="K285" s="66"/>
      <c r="L285" s="66"/>
      <c r="M285" s="66"/>
      <c r="N285" s="66"/>
    </row>
    <row r="286" spans="1:14">
      <c r="A286" s="191"/>
      <c r="B286" s="178"/>
      <c r="C286" s="76"/>
      <c r="D286" s="76"/>
      <c r="E286" s="76"/>
      <c r="F286" s="210"/>
    </row>
    <row r="287" spans="1:14">
      <c r="A287" s="191" t="s">
        <v>21</v>
      </c>
      <c r="B287" s="80" t="s">
        <v>242</v>
      </c>
      <c r="C287" s="74"/>
      <c r="D287" s="74"/>
      <c r="E287" s="74"/>
      <c r="F287" s="209"/>
      <c r="G287" s="75"/>
      <c r="H287" s="75"/>
      <c r="I287" s="75"/>
      <c r="J287" s="75"/>
      <c r="K287" s="75"/>
      <c r="L287" s="75"/>
      <c r="M287" s="75"/>
      <c r="N287" s="75"/>
    </row>
    <row r="288" spans="1:14" ht="62.4">
      <c r="A288" s="191"/>
      <c r="B288" s="176" t="s">
        <v>243</v>
      </c>
      <c r="C288" s="65"/>
      <c r="D288" s="65"/>
      <c r="E288" s="65"/>
      <c r="F288" s="208"/>
      <c r="G288" s="66"/>
      <c r="H288" s="66"/>
      <c r="I288" s="66"/>
      <c r="J288" s="66"/>
      <c r="K288" s="66"/>
      <c r="L288" s="66"/>
      <c r="M288" s="66"/>
      <c r="N288" s="66"/>
    </row>
    <row r="289" spans="1:14" ht="46.8">
      <c r="A289" s="191"/>
      <c r="B289" s="176" t="s">
        <v>244</v>
      </c>
      <c r="C289" s="65"/>
      <c r="D289" s="65"/>
      <c r="E289" s="65"/>
      <c r="F289" s="208"/>
      <c r="G289" s="66"/>
      <c r="H289" s="66"/>
      <c r="I289" s="66"/>
      <c r="J289" s="66"/>
      <c r="K289" s="66"/>
      <c r="L289" s="66"/>
      <c r="M289" s="66"/>
      <c r="N289" s="66"/>
    </row>
    <row r="290" spans="1:14" ht="93.6">
      <c r="A290" s="191"/>
      <c r="B290" s="176" t="s">
        <v>245</v>
      </c>
      <c r="C290" s="65"/>
      <c r="D290" s="65"/>
      <c r="E290" s="65"/>
      <c r="F290" s="208"/>
      <c r="G290" s="66"/>
      <c r="H290" s="66"/>
      <c r="I290" s="66"/>
      <c r="J290" s="66"/>
      <c r="K290" s="66"/>
      <c r="L290" s="66"/>
      <c r="M290" s="66"/>
      <c r="N290" s="66"/>
    </row>
    <row r="291" spans="1:14">
      <c r="A291" s="191"/>
      <c r="B291" s="176"/>
      <c r="C291" s="65"/>
      <c r="D291" s="65"/>
      <c r="E291" s="65"/>
      <c r="F291" s="208"/>
      <c r="G291" s="66"/>
      <c r="H291" s="66"/>
      <c r="I291" s="66"/>
      <c r="J291" s="66"/>
      <c r="K291" s="66"/>
      <c r="L291" s="66"/>
      <c r="M291" s="66"/>
      <c r="N291" s="66"/>
    </row>
    <row r="292" spans="1:14">
      <c r="A292" s="191" t="s">
        <v>23</v>
      </c>
      <c r="B292" s="80" t="s">
        <v>246</v>
      </c>
      <c r="C292" s="74"/>
      <c r="D292" s="74"/>
      <c r="E292" s="74"/>
      <c r="F292" s="209"/>
      <c r="G292" s="75"/>
      <c r="H292" s="75"/>
      <c r="I292" s="75"/>
      <c r="J292" s="75"/>
      <c r="K292" s="75"/>
      <c r="L292" s="75"/>
      <c r="M292" s="75"/>
      <c r="N292" s="75"/>
    </row>
    <row r="293" spans="1:14" ht="78.599999999999994" thickBot="1">
      <c r="A293" s="191"/>
      <c r="B293" s="176" t="s">
        <v>247</v>
      </c>
      <c r="C293" s="65"/>
      <c r="D293" s="65"/>
      <c r="E293" s="65"/>
      <c r="F293" s="208"/>
      <c r="G293" s="66"/>
      <c r="H293" s="66"/>
      <c r="I293" s="66"/>
      <c r="J293" s="66"/>
      <c r="K293" s="66"/>
      <c r="L293" s="66"/>
      <c r="M293" s="66"/>
      <c r="N293" s="66"/>
    </row>
    <row r="294" spans="1:14" ht="18.600000000000001" thickBot="1">
      <c r="A294" s="196"/>
      <c r="B294" s="179" t="s">
        <v>91</v>
      </c>
      <c r="C294" s="77"/>
      <c r="D294" s="77"/>
      <c r="E294" s="77"/>
      <c r="F294" s="218">
        <f>SUM(F269:F293)</f>
        <v>60000</v>
      </c>
      <c r="G294" s="66"/>
      <c r="H294" s="66"/>
      <c r="I294" s="66"/>
      <c r="J294" s="66"/>
      <c r="K294" s="66"/>
      <c r="L294" s="66"/>
      <c r="M294" s="66"/>
      <c r="N294" s="66"/>
    </row>
    <row r="295" spans="1:14">
      <c r="A295" s="191" t="s">
        <v>9</v>
      </c>
      <c r="B295" s="80" t="s">
        <v>248</v>
      </c>
      <c r="C295" s="74"/>
      <c r="D295" s="74"/>
      <c r="E295" s="74"/>
      <c r="F295" s="213"/>
      <c r="G295" s="75"/>
      <c r="H295" s="75"/>
      <c r="I295" s="75"/>
      <c r="J295" s="75"/>
      <c r="K295" s="75"/>
      <c r="L295" s="75"/>
      <c r="M295" s="75"/>
      <c r="N295" s="75"/>
    </row>
    <row r="296" spans="1:14" s="91" customFormat="1" ht="93.6">
      <c r="A296" s="198"/>
      <c r="B296" s="176" t="s">
        <v>249</v>
      </c>
      <c r="C296" s="89"/>
      <c r="D296" s="89"/>
      <c r="E296" s="89"/>
      <c r="F296" s="214">
        <f>RATES!$D$163</f>
        <v>150000</v>
      </c>
      <c r="G296" s="92"/>
      <c r="H296" s="92"/>
      <c r="I296" s="92"/>
      <c r="J296" s="92"/>
      <c r="K296" s="92"/>
      <c r="L296" s="92"/>
      <c r="M296" s="92"/>
      <c r="N296" s="92"/>
    </row>
    <row r="297" spans="1:14">
      <c r="A297" s="191"/>
      <c r="B297" s="178"/>
      <c r="C297" s="76"/>
      <c r="D297" s="76"/>
      <c r="E297" s="76"/>
      <c r="F297" s="210"/>
    </row>
    <row r="298" spans="1:14">
      <c r="A298" s="191" t="s">
        <v>11</v>
      </c>
      <c r="B298" s="80" t="s">
        <v>250</v>
      </c>
      <c r="C298" s="74"/>
      <c r="D298" s="74"/>
      <c r="E298" s="74"/>
      <c r="F298" s="213"/>
      <c r="G298" s="75"/>
      <c r="H298" s="75"/>
      <c r="I298" s="75"/>
      <c r="J298" s="75"/>
      <c r="K298" s="75"/>
      <c r="L298" s="75"/>
      <c r="M298" s="75"/>
      <c r="N298" s="75"/>
    </row>
    <row r="299" spans="1:14" ht="31.2">
      <c r="A299" s="191"/>
      <c r="B299" s="176" t="s">
        <v>251</v>
      </c>
      <c r="C299" s="65"/>
      <c r="D299" s="65"/>
      <c r="E299" s="65"/>
      <c r="F299" s="214">
        <f>RATES!$D$164</f>
        <v>120000</v>
      </c>
      <c r="G299" s="66"/>
      <c r="H299" s="66"/>
      <c r="I299" s="66"/>
      <c r="J299" s="66"/>
      <c r="K299" s="66"/>
      <c r="L299" s="66"/>
      <c r="M299" s="66"/>
      <c r="N299" s="66"/>
    </row>
    <row r="300" spans="1:14" ht="46.8">
      <c r="A300" s="191"/>
      <c r="B300" s="176" t="s">
        <v>252</v>
      </c>
      <c r="C300" s="65"/>
      <c r="D300" s="65"/>
      <c r="E300" s="65"/>
      <c r="F300" s="208"/>
      <c r="G300" s="66"/>
      <c r="H300" s="66"/>
      <c r="I300" s="66"/>
      <c r="J300" s="66"/>
      <c r="K300" s="66"/>
      <c r="L300" s="66"/>
      <c r="M300" s="66"/>
      <c r="N300" s="66"/>
    </row>
    <row r="301" spans="1:14" ht="62.4">
      <c r="A301" s="191"/>
      <c r="B301" s="176" t="s">
        <v>253</v>
      </c>
      <c r="C301" s="65"/>
      <c r="D301" s="65"/>
      <c r="E301" s="65"/>
      <c r="F301" s="208"/>
      <c r="G301" s="66"/>
      <c r="H301" s="66"/>
      <c r="I301" s="66"/>
      <c r="J301" s="66"/>
      <c r="K301" s="66"/>
      <c r="L301" s="66"/>
      <c r="M301" s="66"/>
      <c r="N301" s="66"/>
    </row>
    <row r="302" spans="1:14">
      <c r="A302" s="191"/>
      <c r="B302" s="176"/>
      <c r="C302" s="65"/>
      <c r="D302" s="65"/>
      <c r="E302" s="65"/>
      <c r="F302" s="208"/>
      <c r="G302" s="66"/>
      <c r="H302" s="66"/>
      <c r="I302" s="66"/>
      <c r="J302" s="66"/>
      <c r="K302" s="66"/>
      <c r="L302" s="66"/>
      <c r="M302" s="66"/>
      <c r="N302" s="66"/>
    </row>
    <row r="303" spans="1:14">
      <c r="A303" s="191" t="s">
        <v>13</v>
      </c>
      <c r="B303" s="80" t="s">
        <v>254</v>
      </c>
      <c r="C303" s="74"/>
      <c r="D303" s="74"/>
      <c r="E303" s="74"/>
      <c r="F303" s="213"/>
      <c r="G303" s="75"/>
      <c r="H303" s="75"/>
      <c r="I303" s="75"/>
      <c r="J303" s="75"/>
      <c r="K303" s="75"/>
      <c r="L303" s="75"/>
      <c r="M303" s="75"/>
      <c r="N303" s="75"/>
    </row>
    <row r="304" spans="1:14" ht="78">
      <c r="A304" s="191"/>
      <c r="B304" s="176" t="s">
        <v>255</v>
      </c>
      <c r="C304" s="65"/>
      <c r="D304" s="65"/>
      <c r="E304" s="65"/>
      <c r="F304" s="214">
        <f>RATES!$D$165</f>
        <v>12000</v>
      </c>
      <c r="G304" s="66"/>
      <c r="H304" s="66"/>
      <c r="I304" s="66"/>
      <c r="J304" s="66"/>
      <c r="K304" s="66"/>
      <c r="L304" s="66"/>
      <c r="M304" s="66"/>
      <c r="N304" s="66"/>
    </row>
    <row r="305" spans="1:14">
      <c r="A305" s="191"/>
      <c r="B305" s="80" t="s">
        <v>256</v>
      </c>
      <c r="C305" s="65"/>
      <c r="D305" s="65"/>
      <c r="E305" s="65"/>
      <c r="F305" s="208"/>
      <c r="G305" s="66"/>
      <c r="H305" s="66"/>
      <c r="I305" s="66"/>
      <c r="J305" s="66"/>
      <c r="K305" s="66"/>
      <c r="L305" s="66"/>
      <c r="M305" s="66"/>
      <c r="N305" s="66"/>
    </row>
    <row r="306" spans="1:14" ht="78">
      <c r="A306" s="191"/>
      <c r="B306" s="176" t="s">
        <v>257</v>
      </c>
      <c r="C306" s="65"/>
      <c r="D306" s="65"/>
      <c r="E306" s="65"/>
      <c r="F306" s="208"/>
      <c r="G306" s="66"/>
      <c r="H306" s="66"/>
      <c r="I306" s="66"/>
      <c r="J306" s="66"/>
      <c r="K306" s="66"/>
      <c r="L306" s="66"/>
      <c r="M306" s="66"/>
      <c r="N306" s="66"/>
    </row>
    <row r="307" spans="1:14">
      <c r="A307" s="191"/>
      <c r="B307" s="176"/>
      <c r="C307" s="65"/>
      <c r="D307" s="65"/>
      <c r="E307" s="65"/>
      <c r="F307" s="208"/>
      <c r="G307" s="66"/>
      <c r="H307" s="66"/>
      <c r="I307" s="66"/>
      <c r="J307" s="66"/>
      <c r="K307" s="66"/>
      <c r="L307" s="66"/>
      <c r="M307" s="66"/>
      <c r="N307" s="66"/>
    </row>
    <row r="308" spans="1:14">
      <c r="A308" s="191" t="s">
        <v>15</v>
      </c>
      <c r="B308" s="80" t="s">
        <v>258</v>
      </c>
      <c r="C308" s="74"/>
      <c r="D308" s="74"/>
      <c r="E308" s="74"/>
      <c r="F308" s="209"/>
      <c r="G308" s="75"/>
      <c r="H308" s="75"/>
      <c r="I308" s="75"/>
      <c r="J308" s="75"/>
      <c r="K308" s="75"/>
      <c r="L308" s="75"/>
      <c r="M308" s="75"/>
      <c r="N308" s="75"/>
    </row>
    <row r="309" spans="1:14" ht="62.4">
      <c r="A309" s="191"/>
      <c r="B309" s="176" t="s">
        <v>259</v>
      </c>
      <c r="C309" s="65"/>
      <c r="D309" s="65"/>
      <c r="E309" s="65"/>
      <c r="F309" s="208"/>
      <c r="G309" s="66"/>
      <c r="H309" s="66"/>
      <c r="I309" s="66"/>
      <c r="J309" s="66"/>
      <c r="K309" s="66"/>
      <c r="L309" s="66"/>
      <c r="M309" s="66"/>
      <c r="N309" s="66"/>
    </row>
    <row r="310" spans="1:14">
      <c r="A310" s="191"/>
      <c r="B310" s="178"/>
      <c r="C310" s="76"/>
      <c r="D310" s="76"/>
      <c r="E310" s="76"/>
      <c r="F310" s="210"/>
    </row>
    <row r="311" spans="1:14">
      <c r="A311" s="191" t="s">
        <v>17</v>
      </c>
      <c r="B311" s="80" t="s">
        <v>260</v>
      </c>
      <c r="C311" s="74"/>
      <c r="D311" s="74"/>
      <c r="E311" s="74"/>
      <c r="F311" s="209"/>
      <c r="G311" s="75"/>
      <c r="H311" s="75"/>
      <c r="I311" s="75"/>
      <c r="J311" s="75"/>
      <c r="K311" s="75"/>
      <c r="L311" s="75"/>
      <c r="M311" s="75"/>
      <c r="N311" s="75"/>
    </row>
    <row r="312" spans="1:14" ht="93.6">
      <c r="A312" s="191"/>
      <c r="B312" s="176" t="s">
        <v>261</v>
      </c>
      <c r="C312" s="65"/>
      <c r="D312" s="65"/>
      <c r="E312" s="65"/>
      <c r="F312" s="210"/>
      <c r="G312" s="85"/>
      <c r="H312" s="85"/>
      <c r="I312" s="85"/>
      <c r="J312" s="85"/>
      <c r="K312" s="85"/>
      <c r="L312" s="85"/>
      <c r="M312" s="85"/>
      <c r="N312" s="85"/>
    </row>
    <row r="313" spans="1:14">
      <c r="A313" s="191"/>
      <c r="B313" s="176"/>
      <c r="C313" s="65"/>
      <c r="D313" s="65"/>
      <c r="E313" s="65"/>
      <c r="F313" s="210"/>
      <c r="G313" s="85"/>
      <c r="H313" s="85"/>
      <c r="I313" s="85"/>
      <c r="J313" s="85"/>
      <c r="K313" s="85"/>
      <c r="L313" s="85"/>
      <c r="M313" s="85"/>
      <c r="N313" s="85"/>
    </row>
    <row r="314" spans="1:14">
      <c r="A314" s="191" t="s">
        <v>19</v>
      </c>
      <c r="B314" s="182" t="s">
        <v>262</v>
      </c>
      <c r="C314" s="83"/>
      <c r="D314" s="83"/>
      <c r="E314" s="83"/>
      <c r="F314" s="217"/>
      <c r="G314" s="84"/>
      <c r="H314" s="84"/>
      <c r="I314" s="84"/>
      <c r="J314" s="84"/>
      <c r="K314" s="84"/>
      <c r="L314" s="84"/>
      <c r="M314" s="84"/>
      <c r="N314" s="84"/>
    </row>
    <row r="315" spans="1:14" ht="31.2">
      <c r="A315" s="191"/>
      <c r="B315" s="176" t="s">
        <v>263</v>
      </c>
      <c r="C315" s="65"/>
      <c r="D315" s="65"/>
      <c r="E315" s="65"/>
      <c r="F315" s="208"/>
      <c r="G315" s="66"/>
      <c r="H315" s="66"/>
      <c r="I315" s="66"/>
      <c r="J315" s="66"/>
      <c r="K315" s="66"/>
      <c r="L315" s="66"/>
      <c r="M315" s="66"/>
      <c r="N315" s="66"/>
    </row>
    <row r="316" spans="1:14">
      <c r="A316" s="191"/>
      <c r="B316" s="184" t="s">
        <v>264</v>
      </c>
      <c r="C316" s="93"/>
      <c r="D316" s="93"/>
      <c r="E316" s="93"/>
      <c r="F316" s="210"/>
      <c r="G316" s="85"/>
      <c r="H316" s="85"/>
      <c r="I316" s="85"/>
      <c r="J316" s="85"/>
      <c r="K316" s="85"/>
      <c r="L316" s="85"/>
      <c r="M316" s="85"/>
    </row>
    <row r="317" spans="1:14" ht="46.8">
      <c r="A317" s="191"/>
      <c r="B317" s="185" t="s">
        <v>265</v>
      </c>
      <c r="C317" s="65"/>
      <c r="D317" s="65"/>
      <c r="E317" s="65"/>
      <c r="F317" s="208"/>
      <c r="G317" s="66"/>
      <c r="H317" s="66"/>
      <c r="I317" s="66"/>
      <c r="J317" s="66"/>
      <c r="K317" s="66"/>
      <c r="L317" s="66"/>
      <c r="M317" s="66"/>
    </row>
    <row r="318" spans="1:14">
      <c r="A318" s="191"/>
      <c r="B318" s="176"/>
      <c r="C318" s="65"/>
      <c r="D318" s="65"/>
      <c r="E318" s="65"/>
      <c r="F318" s="208"/>
      <c r="G318" s="66"/>
      <c r="H318" s="66"/>
      <c r="I318" s="66"/>
      <c r="J318" s="66"/>
      <c r="K318" s="66"/>
      <c r="L318" s="66"/>
      <c r="M318" s="66"/>
    </row>
    <row r="319" spans="1:14">
      <c r="A319" s="191" t="s">
        <v>21</v>
      </c>
      <c r="B319" s="182" t="s">
        <v>266</v>
      </c>
      <c r="C319" s="83"/>
      <c r="D319" s="83"/>
      <c r="E319" s="83"/>
      <c r="F319" s="217"/>
      <c r="G319" s="84"/>
      <c r="H319" s="84"/>
      <c r="I319" s="84"/>
      <c r="J319" s="84"/>
      <c r="K319" s="84"/>
      <c r="L319" s="84"/>
      <c r="M319" s="84"/>
      <c r="N319" s="84"/>
    </row>
    <row r="320" spans="1:14" ht="46.8">
      <c r="A320" s="191"/>
      <c r="B320" s="176" t="s">
        <v>267</v>
      </c>
      <c r="C320" s="65"/>
      <c r="D320" s="65"/>
      <c r="E320" s="65"/>
      <c r="F320" s="208"/>
      <c r="G320" s="66"/>
      <c r="H320" s="66"/>
      <c r="I320" s="66"/>
      <c r="J320" s="66"/>
      <c r="K320" s="66"/>
      <c r="L320" s="66"/>
      <c r="M320" s="66"/>
      <c r="N320" s="66"/>
    </row>
    <row r="321" spans="1:14">
      <c r="A321" s="191"/>
      <c r="B321" s="176"/>
      <c r="C321" s="65"/>
      <c r="D321" s="65"/>
      <c r="E321" s="65"/>
      <c r="F321" s="208"/>
      <c r="G321" s="66"/>
      <c r="H321" s="66"/>
      <c r="I321" s="66"/>
      <c r="J321" s="66"/>
      <c r="K321" s="66"/>
      <c r="L321" s="66"/>
      <c r="M321" s="66"/>
      <c r="N321" s="66"/>
    </row>
    <row r="322" spans="1:14">
      <c r="A322" s="191" t="s">
        <v>23</v>
      </c>
      <c r="B322" s="80" t="s">
        <v>268</v>
      </c>
      <c r="C322" s="74"/>
      <c r="D322" s="74"/>
      <c r="E322" s="74"/>
      <c r="F322" s="217"/>
      <c r="G322" s="84"/>
      <c r="H322" s="84"/>
      <c r="I322" s="84"/>
      <c r="J322" s="84"/>
      <c r="K322" s="84"/>
      <c r="L322" s="84"/>
      <c r="M322" s="84"/>
      <c r="N322" s="84"/>
    </row>
    <row r="323" spans="1:14" ht="31.8" thickBot="1">
      <c r="A323" s="191"/>
      <c r="B323" s="176" t="s">
        <v>269</v>
      </c>
      <c r="C323" s="65"/>
      <c r="D323" s="65"/>
      <c r="E323" s="65"/>
      <c r="F323" s="210"/>
      <c r="G323" s="85"/>
      <c r="H323" s="85"/>
      <c r="I323" s="85"/>
      <c r="J323" s="85"/>
      <c r="K323" s="85"/>
      <c r="L323" s="85"/>
      <c r="M323" s="85"/>
      <c r="N323" s="85"/>
    </row>
    <row r="324" spans="1:14" ht="18.600000000000001" thickBot="1">
      <c r="A324" s="196"/>
      <c r="B324" s="179" t="s">
        <v>91</v>
      </c>
      <c r="C324" s="77"/>
      <c r="D324" s="77"/>
      <c r="E324" s="77"/>
      <c r="F324" s="218">
        <f>SUM(F296:F323)</f>
        <v>282000</v>
      </c>
      <c r="G324" s="85"/>
      <c r="H324" s="85"/>
      <c r="I324" s="85"/>
      <c r="J324" s="85"/>
      <c r="K324" s="85"/>
      <c r="L324" s="85"/>
      <c r="M324" s="85"/>
      <c r="N324" s="85"/>
    </row>
    <row r="325" spans="1:14">
      <c r="A325" s="191" t="s">
        <v>9</v>
      </c>
      <c r="B325" s="80" t="s">
        <v>270</v>
      </c>
      <c r="C325" s="74"/>
      <c r="D325" s="74"/>
      <c r="E325" s="74"/>
      <c r="F325" s="217"/>
      <c r="G325" s="84"/>
      <c r="H325" s="84"/>
      <c r="I325" s="84"/>
      <c r="J325" s="84"/>
      <c r="K325" s="84"/>
      <c r="L325" s="84"/>
      <c r="M325" s="84"/>
      <c r="N325" s="84"/>
    </row>
    <row r="326" spans="1:14" ht="62.4">
      <c r="A326" s="191"/>
      <c r="B326" s="176" t="s">
        <v>271</v>
      </c>
      <c r="C326" s="65"/>
      <c r="D326" s="65"/>
      <c r="E326" s="65"/>
      <c r="F326" s="208"/>
      <c r="G326" s="66"/>
      <c r="H326" s="66"/>
      <c r="I326" s="66"/>
      <c r="J326" s="66"/>
      <c r="K326" s="66"/>
      <c r="L326" s="66"/>
      <c r="M326" s="66"/>
      <c r="N326" s="66"/>
    </row>
    <row r="327" spans="1:14" ht="62.4">
      <c r="A327" s="191"/>
      <c r="B327" s="176" t="s">
        <v>272</v>
      </c>
      <c r="C327" s="65"/>
      <c r="D327" s="65"/>
      <c r="E327" s="65"/>
      <c r="F327" s="208"/>
      <c r="G327" s="66"/>
      <c r="H327" s="66"/>
      <c r="I327" s="66"/>
      <c r="J327" s="66"/>
      <c r="K327" s="66"/>
      <c r="L327" s="66"/>
      <c r="M327" s="66"/>
      <c r="N327" s="66"/>
    </row>
    <row r="328" spans="1:14">
      <c r="A328" s="191"/>
      <c r="B328" s="178"/>
      <c r="C328" s="76"/>
      <c r="D328" s="76"/>
      <c r="E328" s="76"/>
      <c r="F328" s="210"/>
    </row>
    <row r="329" spans="1:14">
      <c r="A329" s="191" t="s">
        <v>11</v>
      </c>
      <c r="B329" s="80" t="s">
        <v>273</v>
      </c>
      <c r="C329" s="74"/>
      <c r="D329" s="74"/>
      <c r="E329" s="74"/>
      <c r="F329" s="209"/>
      <c r="G329" s="75"/>
      <c r="H329" s="75"/>
      <c r="I329" s="75"/>
      <c r="J329" s="75"/>
      <c r="K329" s="75"/>
      <c r="L329" s="75"/>
      <c r="M329" s="75"/>
      <c r="N329" s="75"/>
    </row>
    <row r="330" spans="1:14" ht="78">
      <c r="A330" s="191"/>
      <c r="B330" s="176" t="s">
        <v>274</v>
      </c>
      <c r="C330" s="65"/>
      <c r="D330" s="65"/>
      <c r="E330" s="65"/>
      <c r="F330" s="208"/>
      <c r="G330" s="66"/>
      <c r="H330" s="66"/>
      <c r="I330" s="66"/>
      <c r="J330" s="66"/>
      <c r="K330" s="66"/>
      <c r="L330" s="66"/>
      <c r="M330" s="66"/>
      <c r="N330" s="66"/>
    </row>
    <row r="331" spans="1:14">
      <c r="A331" s="191"/>
      <c r="B331" s="176"/>
      <c r="C331" s="65"/>
      <c r="D331" s="65"/>
      <c r="E331" s="65"/>
      <c r="F331" s="208"/>
      <c r="G331" s="66"/>
      <c r="H331" s="66"/>
      <c r="I331" s="66"/>
      <c r="J331" s="66"/>
      <c r="K331" s="66"/>
      <c r="L331" s="66"/>
      <c r="M331" s="66"/>
      <c r="N331" s="66"/>
    </row>
    <row r="332" spans="1:14">
      <c r="A332" s="191" t="s">
        <v>13</v>
      </c>
      <c r="B332" s="182" t="s">
        <v>275</v>
      </c>
      <c r="C332" s="83"/>
      <c r="D332" s="83"/>
      <c r="E332" s="83"/>
      <c r="F332" s="217"/>
      <c r="G332" s="84"/>
      <c r="H332" s="84"/>
      <c r="I332" s="84"/>
      <c r="J332" s="84"/>
      <c r="K332" s="84"/>
      <c r="L332" s="84"/>
      <c r="M332" s="84"/>
      <c r="N332" s="84"/>
    </row>
    <row r="333" spans="1:14" ht="46.8">
      <c r="A333" s="191"/>
      <c r="B333" s="176" t="s">
        <v>276</v>
      </c>
      <c r="C333" s="65"/>
      <c r="D333" s="65"/>
      <c r="E333" s="65"/>
      <c r="F333" s="208"/>
      <c r="G333" s="66"/>
      <c r="H333" s="66"/>
      <c r="I333" s="66"/>
      <c r="J333" s="66"/>
      <c r="K333" s="66"/>
      <c r="L333" s="66"/>
      <c r="M333" s="66"/>
      <c r="N333" s="66"/>
    </row>
    <row r="334" spans="1:14">
      <c r="A334" s="191"/>
      <c r="B334" s="176"/>
      <c r="C334" s="65"/>
      <c r="D334" s="65"/>
      <c r="E334" s="65"/>
      <c r="F334" s="208"/>
      <c r="G334" s="66"/>
      <c r="H334" s="66"/>
      <c r="I334" s="66"/>
      <c r="J334" s="66"/>
      <c r="K334" s="66"/>
      <c r="L334" s="66"/>
      <c r="M334" s="66"/>
      <c r="N334" s="66"/>
    </row>
    <row r="335" spans="1:14">
      <c r="A335" s="191" t="s">
        <v>15</v>
      </c>
      <c r="B335" s="80" t="s">
        <v>277</v>
      </c>
      <c r="C335" s="74"/>
      <c r="D335" s="74"/>
      <c r="E335" s="74"/>
      <c r="F335" s="213"/>
      <c r="G335" s="75"/>
      <c r="H335" s="75"/>
      <c r="I335" s="75"/>
      <c r="J335" s="75"/>
      <c r="K335" s="75"/>
      <c r="L335" s="75"/>
      <c r="M335" s="75"/>
      <c r="N335" s="75"/>
    </row>
    <row r="336" spans="1:14" ht="46.8">
      <c r="A336" s="191"/>
      <c r="B336" s="176" t="s">
        <v>278</v>
      </c>
      <c r="C336" s="65"/>
      <c r="D336" s="65"/>
      <c r="E336" s="65"/>
      <c r="F336" s="214">
        <f>RATES!$D$166</f>
        <v>90000</v>
      </c>
      <c r="G336" s="66"/>
      <c r="H336" s="66"/>
      <c r="I336" s="66"/>
      <c r="J336" s="66"/>
      <c r="K336" s="66"/>
      <c r="L336" s="66"/>
      <c r="M336" s="66"/>
      <c r="N336" s="66"/>
    </row>
    <row r="337" spans="1:14">
      <c r="A337" s="191"/>
      <c r="B337" s="176"/>
      <c r="C337" s="65"/>
      <c r="D337" s="65"/>
      <c r="E337" s="65"/>
      <c r="F337" s="208"/>
      <c r="G337" s="66"/>
      <c r="H337" s="66"/>
      <c r="I337" s="66"/>
      <c r="J337" s="66"/>
      <c r="K337" s="66"/>
      <c r="L337" s="66"/>
      <c r="M337" s="66"/>
      <c r="N337" s="66"/>
    </row>
    <row r="338" spans="1:14">
      <c r="A338" s="191" t="s">
        <v>17</v>
      </c>
      <c r="B338" s="80" t="s">
        <v>279</v>
      </c>
      <c r="C338" s="74"/>
      <c r="D338" s="74"/>
      <c r="E338" s="74"/>
      <c r="F338" s="209"/>
      <c r="G338" s="75"/>
      <c r="H338" s="75"/>
      <c r="I338" s="75"/>
      <c r="J338" s="75"/>
      <c r="K338" s="75"/>
      <c r="L338" s="75"/>
      <c r="M338" s="75"/>
      <c r="N338" s="75"/>
    </row>
    <row r="339" spans="1:14" ht="62.4">
      <c r="A339" s="191"/>
      <c r="B339" s="176" t="s">
        <v>280</v>
      </c>
      <c r="C339" s="65"/>
      <c r="D339" s="65"/>
      <c r="E339" s="65"/>
      <c r="F339" s="208"/>
      <c r="G339" s="66"/>
      <c r="H339" s="66"/>
      <c r="I339" s="66"/>
      <c r="J339" s="66"/>
      <c r="K339" s="66"/>
      <c r="L339" s="66"/>
      <c r="M339" s="66"/>
      <c r="N339" s="66"/>
    </row>
    <row r="340" spans="1:14" ht="46.8">
      <c r="A340" s="191"/>
      <c r="B340" s="176" t="s">
        <v>281</v>
      </c>
      <c r="C340" s="65"/>
      <c r="D340" s="65"/>
      <c r="E340" s="65"/>
      <c r="F340" s="208"/>
      <c r="G340" s="66"/>
      <c r="H340" s="66"/>
      <c r="I340" s="66"/>
      <c r="J340" s="66"/>
      <c r="K340" s="66"/>
      <c r="L340" s="66"/>
      <c r="M340" s="66"/>
      <c r="N340" s="66"/>
    </row>
    <row r="341" spans="1:14" ht="46.8">
      <c r="A341" s="191"/>
      <c r="B341" s="176" t="s">
        <v>282</v>
      </c>
      <c r="C341" s="65"/>
      <c r="D341" s="65"/>
      <c r="E341" s="65"/>
      <c r="F341" s="208"/>
      <c r="G341" s="66"/>
      <c r="H341" s="66"/>
      <c r="I341" s="66"/>
      <c r="J341" s="66"/>
      <c r="K341" s="66"/>
      <c r="L341" s="66"/>
      <c r="M341" s="66"/>
      <c r="N341" s="66"/>
    </row>
    <row r="342" spans="1:14" ht="31.2">
      <c r="A342" s="191"/>
      <c r="B342" s="176" t="s">
        <v>283</v>
      </c>
      <c r="C342" s="65"/>
      <c r="D342" s="65"/>
      <c r="E342" s="65"/>
      <c r="F342" s="208"/>
      <c r="G342" s="66"/>
      <c r="H342" s="66"/>
      <c r="I342" s="66"/>
      <c r="J342" s="66"/>
      <c r="K342" s="66"/>
      <c r="L342" s="66"/>
      <c r="M342" s="66"/>
      <c r="N342" s="66"/>
    </row>
    <row r="343" spans="1:14" ht="46.8">
      <c r="A343" s="191"/>
      <c r="B343" s="176" t="s">
        <v>284</v>
      </c>
      <c r="C343" s="65"/>
      <c r="D343" s="65"/>
      <c r="E343" s="65"/>
      <c r="F343" s="208"/>
      <c r="G343" s="66"/>
      <c r="H343" s="66"/>
      <c r="I343" s="66"/>
      <c r="J343" s="66"/>
      <c r="K343" s="66"/>
      <c r="L343" s="66"/>
      <c r="M343" s="66"/>
      <c r="N343" s="66"/>
    </row>
    <row r="344" spans="1:14" ht="31.2">
      <c r="A344" s="191"/>
      <c r="B344" s="176" t="s">
        <v>285</v>
      </c>
      <c r="C344" s="65"/>
      <c r="D344" s="65"/>
      <c r="E344" s="65"/>
      <c r="F344" s="208"/>
      <c r="G344" s="66"/>
      <c r="H344" s="66"/>
      <c r="I344" s="66"/>
      <c r="J344" s="66"/>
      <c r="K344" s="66"/>
      <c r="L344" s="66"/>
      <c r="M344" s="66"/>
      <c r="N344" s="66"/>
    </row>
    <row r="345" spans="1:14">
      <c r="A345" s="191"/>
      <c r="B345" s="178"/>
      <c r="C345" s="76"/>
      <c r="D345" s="76"/>
      <c r="E345" s="76"/>
      <c r="F345" s="210"/>
    </row>
    <row r="346" spans="1:14">
      <c r="A346" s="191" t="s">
        <v>19</v>
      </c>
      <c r="B346" s="80" t="s">
        <v>286</v>
      </c>
      <c r="C346" s="74"/>
      <c r="D346" s="74"/>
      <c r="E346" s="74"/>
      <c r="F346" s="209"/>
      <c r="G346" s="75"/>
      <c r="H346" s="75"/>
      <c r="I346" s="75"/>
      <c r="J346" s="75"/>
      <c r="K346" s="75"/>
      <c r="L346" s="75"/>
      <c r="M346" s="75"/>
      <c r="N346" s="75"/>
    </row>
    <row r="347" spans="1:14" ht="62.4">
      <c r="A347" s="191"/>
      <c r="B347" s="176" t="s">
        <v>287</v>
      </c>
      <c r="C347" s="65"/>
      <c r="D347" s="65"/>
      <c r="E347" s="65"/>
      <c r="F347" s="208"/>
      <c r="G347" s="66"/>
      <c r="H347" s="66"/>
      <c r="I347" s="66"/>
      <c r="J347" s="66"/>
      <c r="K347" s="66"/>
      <c r="L347" s="66"/>
      <c r="M347" s="66"/>
      <c r="N347" s="66"/>
    </row>
    <row r="348" spans="1:14">
      <c r="A348" s="191"/>
      <c r="B348" s="176"/>
      <c r="C348" s="65"/>
      <c r="D348" s="65"/>
      <c r="E348" s="65"/>
      <c r="F348" s="208"/>
      <c r="G348" s="66"/>
      <c r="H348" s="66"/>
      <c r="I348" s="66"/>
      <c r="J348" s="66"/>
      <c r="K348" s="66"/>
      <c r="L348" s="66"/>
      <c r="M348" s="66"/>
      <c r="N348" s="66"/>
    </row>
    <row r="349" spans="1:14">
      <c r="A349" s="191" t="s">
        <v>21</v>
      </c>
      <c r="B349" s="80" t="s">
        <v>288</v>
      </c>
      <c r="C349" s="74"/>
      <c r="D349" s="74"/>
      <c r="E349" s="74"/>
      <c r="F349" s="209"/>
      <c r="G349" s="75"/>
      <c r="H349" s="75"/>
      <c r="I349" s="75"/>
      <c r="J349" s="75"/>
      <c r="K349" s="75"/>
      <c r="L349" s="75"/>
      <c r="M349" s="75"/>
      <c r="N349" s="75"/>
    </row>
    <row r="350" spans="1:14" ht="78">
      <c r="A350" s="191"/>
      <c r="B350" s="176" t="s">
        <v>289</v>
      </c>
      <c r="C350" s="65"/>
      <c r="D350" s="65"/>
      <c r="E350" s="65"/>
      <c r="F350" s="208"/>
      <c r="G350" s="66"/>
      <c r="H350" s="66"/>
      <c r="I350" s="66"/>
      <c r="J350" s="66"/>
      <c r="K350" s="66"/>
      <c r="L350" s="66"/>
      <c r="M350" s="66"/>
      <c r="N350" s="66"/>
    </row>
    <row r="351" spans="1:14">
      <c r="A351" s="191"/>
      <c r="B351" s="176"/>
      <c r="C351" s="65"/>
      <c r="D351" s="65"/>
      <c r="E351" s="65"/>
      <c r="F351" s="208"/>
      <c r="G351" s="66"/>
      <c r="H351" s="66"/>
      <c r="I351" s="66"/>
      <c r="J351" s="66"/>
      <c r="K351" s="66"/>
      <c r="L351" s="66"/>
      <c r="M351" s="66"/>
      <c r="N351" s="66"/>
    </row>
    <row r="352" spans="1:14">
      <c r="A352" s="191" t="s">
        <v>23</v>
      </c>
      <c r="B352" s="80" t="s">
        <v>290</v>
      </c>
      <c r="C352" s="74"/>
      <c r="D352" s="74"/>
      <c r="E352" s="74"/>
      <c r="F352" s="209"/>
      <c r="G352" s="75"/>
      <c r="H352" s="75"/>
      <c r="I352" s="75"/>
      <c r="J352" s="75"/>
      <c r="K352" s="75"/>
      <c r="L352" s="75"/>
      <c r="M352" s="75"/>
      <c r="N352" s="75"/>
    </row>
    <row r="353" spans="1:14" ht="18.600000000000001" thickBot="1">
      <c r="A353" s="191"/>
      <c r="B353" s="176" t="s">
        <v>291</v>
      </c>
      <c r="C353" s="65"/>
      <c r="D353" s="65"/>
      <c r="E353" s="65"/>
      <c r="F353" s="208"/>
      <c r="G353" s="66"/>
      <c r="H353" s="66"/>
      <c r="I353" s="66"/>
      <c r="J353" s="66"/>
      <c r="K353" s="66"/>
      <c r="L353" s="66"/>
      <c r="M353" s="66"/>
      <c r="N353" s="66"/>
    </row>
    <row r="354" spans="1:14" ht="18.600000000000001" thickBot="1">
      <c r="A354" s="196"/>
      <c r="B354" s="179" t="s">
        <v>91</v>
      </c>
      <c r="C354" s="77"/>
      <c r="D354" s="77"/>
      <c r="E354" s="77"/>
      <c r="F354" s="218">
        <f>SUM(F325:F353)</f>
        <v>90000</v>
      </c>
      <c r="G354" s="66"/>
      <c r="H354" s="66"/>
      <c r="I354" s="66"/>
      <c r="J354" s="66"/>
      <c r="K354" s="66"/>
      <c r="L354" s="66"/>
      <c r="M354" s="66"/>
      <c r="N354" s="66"/>
    </row>
    <row r="355" spans="1:14">
      <c r="A355" s="191" t="s">
        <v>9</v>
      </c>
      <c r="B355" s="80" t="s">
        <v>292</v>
      </c>
      <c r="C355" s="74"/>
      <c r="D355" s="74"/>
      <c r="E355" s="74"/>
      <c r="F355" s="209"/>
      <c r="G355" s="75"/>
      <c r="H355" s="75"/>
      <c r="I355" s="75"/>
      <c r="J355" s="75"/>
      <c r="K355" s="75"/>
      <c r="L355" s="75"/>
      <c r="M355" s="75"/>
      <c r="N355" s="75"/>
    </row>
    <row r="356" spans="1:14" ht="31.2">
      <c r="A356" s="191"/>
      <c r="B356" s="176" t="s">
        <v>293</v>
      </c>
      <c r="C356" s="65"/>
      <c r="D356" s="65"/>
      <c r="E356" s="65"/>
      <c r="F356" s="208"/>
      <c r="G356" s="66"/>
      <c r="H356" s="66"/>
      <c r="I356" s="66"/>
      <c r="J356" s="66"/>
      <c r="K356" s="66"/>
      <c r="L356" s="66"/>
      <c r="M356" s="66"/>
      <c r="N356" s="66"/>
    </row>
    <row r="357" spans="1:14" ht="62.4">
      <c r="A357" s="191"/>
      <c r="B357" s="176" t="s">
        <v>294</v>
      </c>
      <c r="C357" s="65"/>
      <c r="D357" s="65"/>
      <c r="E357" s="65"/>
      <c r="F357" s="208"/>
      <c r="G357" s="66"/>
      <c r="H357" s="66"/>
      <c r="I357" s="66"/>
      <c r="J357" s="66"/>
      <c r="K357" s="66"/>
      <c r="L357" s="66"/>
      <c r="M357" s="66"/>
      <c r="N357" s="66"/>
    </row>
    <row r="358" spans="1:14">
      <c r="A358" s="191"/>
      <c r="B358" s="176"/>
      <c r="C358" s="65"/>
      <c r="D358" s="65"/>
      <c r="E358" s="65"/>
      <c r="F358" s="208"/>
      <c r="G358" s="66"/>
      <c r="H358" s="66"/>
      <c r="I358" s="66"/>
      <c r="J358" s="66"/>
      <c r="K358" s="66"/>
      <c r="L358" s="66"/>
      <c r="M358" s="66"/>
      <c r="N358" s="66"/>
    </row>
    <row r="359" spans="1:14">
      <c r="A359" s="191" t="s">
        <v>11</v>
      </c>
      <c r="B359" s="80" t="s">
        <v>295</v>
      </c>
      <c r="C359" s="74"/>
      <c r="D359" s="74"/>
      <c r="E359" s="74"/>
      <c r="F359" s="209"/>
      <c r="G359" s="75"/>
      <c r="H359" s="75"/>
      <c r="I359" s="75"/>
      <c r="J359" s="75"/>
      <c r="K359" s="75"/>
      <c r="L359" s="75"/>
      <c r="M359" s="75"/>
      <c r="N359" s="75"/>
    </row>
    <row r="360" spans="1:14" ht="93.6">
      <c r="A360" s="191"/>
      <c r="B360" s="176" t="s">
        <v>296</v>
      </c>
      <c r="C360" s="65"/>
      <c r="D360" s="65"/>
      <c r="E360" s="65"/>
      <c r="F360" s="208"/>
      <c r="G360" s="66"/>
      <c r="H360" s="66"/>
      <c r="I360" s="66"/>
      <c r="J360" s="66"/>
      <c r="K360" s="66"/>
      <c r="L360" s="66"/>
      <c r="M360" s="66"/>
      <c r="N360" s="66"/>
    </row>
    <row r="361" spans="1:14">
      <c r="A361" s="191"/>
      <c r="B361" s="176"/>
      <c r="C361" s="65"/>
      <c r="D361" s="65"/>
      <c r="E361" s="65"/>
      <c r="F361" s="208"/>
      <c r="G361" s="66"/>
      <c r="H361" s="66"/>
      <c r="I361" s="66"/>
      <c r="J361" s="66"/>
      <c r="K361" s="66"/>
      <c r="L361" s="66"/>
      <c r="M361" s="66"/>
      <c r="N361" s="66"/>
    </row>
    <row r="362" spans="1:14">
      <c r="A362" s="191" t="s">
        <v>13</v>
      </c>
      <c r="B362" s="175" t="s">
        <v>297</v>
      </c>
      <c r="C362" s="69"/>
      <c r="D362" s="69"/>
      <c r="E362" s="69"/>
      <c r="F362" s="207"/>
      <c r="G362" s="70"/>
      <c r="H362" s="70"/>
      <c r="I362" s="70"/>
      <c r="J362" s="70"/>
      <c r="K362" s="70"/>
      <c r="L362" s="70"/>
      <c r="M362" s="70"/>
      <c r="N362" s="70"/>
    </row>
    <row r="363" spans="1:14" ht="31.2">
      <c r="A363" s="191"/>
      <c r="B363" s="176" t="s">
        <v>298</v>
      </c>
      <c r="C363" s="65"/>
      <c r="D363" s="65"/>
      <c r="E363" s="65"/>
      <c r="F363" s="208"/>
      <c r="G363" s="66"/>
      <c r="H363" s="66"/>
      <c r="I363" s="66"/>
      <c r="J363" s="66"/>
      <c r="K363" s="66"/>
      <c r="L363" s="66"/>
      <c r="M363" s="66"/>
      <c r="N363" s="66"/>
    </row>
    <row r="364" spans="1:14">
      <c r="A364" s="191"/>
      <c r="B364" s="178"/>
      <c r="C364" s="76"/>
      <c r="D364" s="76"/>
      <c r="E364" s="76"/>
      <c r="F364" s="210"/>
    </row>
    <row r="365" spans="1:14">
      <c r="A365" s="191" t="s">
        <v>15</v>
      </c>
      <c r="B365" s="80" t="s">
        <v>299</v>
      </c>
      <c r="C365" s="74"/>
      <c r="D365" s="74"/>
      <c r="E365" s="74"/>
      <c r="F365" s="214">
        <f>RATES!$D$167</f>
        <v>25000</v>
      </c>
      <c r="G365" s="75"/>
      <c r="H365" s="75"/>
      <c r="I365" s="75"/>
      <c r="J365" s="75"/>
      <c r="K365" s="75"/>
      <c r="L365" s="75"/>
      <c r="M365" s="75"/>
      <c r="N365" s="75"/>
    </row>
    <row r="366" spans="1:14" ht="62.4">
      <c r="A366" s="191"/>
      <c r="B366" s="176" t="s">
        <v>300</v>
      </c>
      <c r="C366" s="65"/>
      <c r="D366" s="65"/>
      <c r="E366" s="65"/>
      <c r="F366" s="208"/>
      <c r="G366" s="66"/>
      <c r="H366" s="66"/>
      <c r="I366" s="66"/>
      <c r="J366" s="66"/>
      <c r="K366" s="66"/>
      <c r="L366" s="66"/>
      <c r="M366" s="66"/>
      <c r="N366" s="66"/>
    </row>
    <row r="367" spans="1:14">
      <c r="A367" s="191"/>
      <c r="B367" s="176" t="s">
        <v>301</v>
      </c>
      <c r="C367" s="65"/>
      <c r="D367" s="65"/>
      <c r="E367" s="65"/>
      <c r="F367" s="208"/>
      <c r="G367" s="66"/>
      <c r="H367" s="66"/>
      <c r="I367" s="66"/>
      <c r="J367" s="66"/>
      <c r="K367" s="66"/>
      <c r="L367" s="66"/>
      <c r="M367" s="66"/>
      <c r="N367" s="66"/>
    </row>
    <row r="368" spans="1:14" ht="203.4" thickBot="1">
      <c r="A368" s="191"/>
      <c r="B368" s="176" t="s">
        <v>302</v>
      </c>
      <c r="C368" s="65"/>
      <c r="D368" s="65"/>
      <c r="E368" s="65"/>
      <c r="F368" s="208"/>
      <c r="G368" s="66"/>
      <c r="H368" s="66"/>
      <c r="I368" s="66"/>
      <c r="J368" s="66"/>
      <c r="K368" s="66"/>
      <c r="L368" s="66"/>
      <c r="M368" s="66"/>
      <c r="N368" s="66"/>
    </row>
    <row r="369" spans="1:14" ht="18.600000000000001" thickBot="1">
      <c r="A369" s="196"/>
      <c r="B369" s="179" t="s">
        <v>91</v>
      </c>
      <c r="C369" s="77"/>
      <c r="D369" s="77"/>
      <c r="E369" s="77"/>
      <c r="F369" s="218">
        <f>SUM(F355:F368)</f>
        <v>25000</v>
      </c>
      <c r="G369" s="66"/>
      <c r="H369" s="66"/>
      <c r="I369" s="66"/>
      <c r="J369" s="66"/>
      <c r="K369" s="66"/>
      <c r="L369" s="66"/>
      <c r="M369" s="66"/>
      <c r="N369" s="66"/>
    </row>
    <row r="370" spans="1:14">
      <c r="A370" s="191" t="s">
        <v>9</v>
      </c>
      <c r="B370" s="80" t="s">
        <v>303</v>
      </c>
      <c r="C370" s="74"/>
      <c r="D370" s="74"/>
      <c r="E370" s="74"/>
      <c r="F370" s="213"/>
      <c r="G370" s="75"/>
      <c r="H370" s="75"/>
      <c r="I370" s="75"/>
      <c r="J370" s="75"/>
      <c r="K370" s="75"/>
      <c r="L370" s="75"/>
      <c r="M370" s="75"/>
      <c r="N370" s="75"/>
    </row>
    <row r="371" spans="1:14" ht="46.8">
      <c r="A371" s="191"/>
      <c r="B371" s="176" t="s">
        <v>304</v>
      </c>
      <c r="C371" s="65"/>
      <c r="D371" s="65"/>
      <c r="E371" s="65"/>
      <c r="F371" s="214">
        <f>RATES!$D$168</f>
        <v>60000</v>
      </c>
      <c r="G371" s="66"/>
      <c r="H371" s="66"/>
      <c r="I371" s="66"/>
      <c r="J371" s="66"/>
      <c r="K371" s="66"/>
      <c r="L371" s="66"/>
      <c r="M371" s="66"/>
      <c r="N371" s="66"/>
    </row>
    <row r="372" spans="1:14" ht="78">
      <c r="A372" s="191"/>
      <c r="B372" s="176" t="s">
        <v>305</v>
      </c>
      <c r="C372" s="65"/>
      <c r="D372" s="65"/>
      <c r="E372" s="65"/>
      <c r="F372" s="208"/>
      <c r="G372" s="66"/>
      <c r="H372" s="66"/>
      <c r="I372" s="66"/>
      <c r="J372" s="66"/>
      <c r="K372" s="66"/>
      <c r="L372" s="66"/>
      <c r="M372" s="66"/>
      <c r="N372" s="66"/>
    </row>
    <row r="373" spans="1:14" ht="62.4">
      <c r="A373" s="191"/>
      <c r="B373" s="176" t="s">
        <v>306</v>
      </c>
      <c r="C373" s="65"/>
      <c r="D373" s="65"/>
      <c r="E373" s="65"/>
      <c r="F373" s="208"/>
      <c r="G373" s="66"/>
      <c r="H373" s="66"/>
      <c r="I373" s="66"/>
      <c r="J373" s="66"/>
      <c r="K373" s="66"/>
      <c r="L373" s="66"/>
      <c r="M373" s="66"/>
      <c r="N373" s="66"/>
    </row>
    <row r="374" spans="1:14">
      <c r="A374" s="191"/>
      <c r="B374" s="178"/>
      <c r="C374" s="76"/>
      <c r="D374" s="76"/>
      <c r="E374" s="76"/>
      <c r="F374" s="210"/>
    </row>
    <row r="375" spans="1:14" ht="109.2">
      <c r="A375" s="191"/>
      <c r="B375" s="176" t="s">
        <v>307</v>
      </c>
      <c r="C375" s="65"/>
      <c r="D375" s="65"/>
      <c r="E375" s="65"/>
      <c r="F375" s="208"/>
      <c r="G375" s="66"/>
      <c r="H375" s="66"/>
      <c r="I375" s="66"/>
      <c r="J375" s="66"/>
      <c r="K375" s="66"/>
      <c r="L375" s="66"/>
      <c r="M375" s="66"/>
      <c r="N375" s="66"/>
    </row>
    <row r="376" spans="1:14" ht="78">
      <c r="A376" s="191"/>
      <c r="B376" s="176" t="s">
        <v>308</v>
      </c>
      <c r="C376" s="65"/>
      <c r="D376" s="65"/>
      <c r="E376" s="65"/>
      <c r="F376" s="208"/>
      <c r="G376" s="66"/>
      <c r="H376" s="66"/>
      <c r="I376" s="66"/>
      <c r="J376" s="66"/>
      <c r="K376" s="66"/>
      <c r="L376" s="66"/>
      <c r="M376" s="66"/>
      <c r="N376" s="66"/>
    </row>
    <row r="377" spans="1:14" ht="78.599999999999994" thickBot="1">
      <c r="A377" s="191"/>
      <c r="B377" s="176" t="s">
        <v>309</v>
      </c>
      <c r="C377" s="65"/>
      <c r="D377" s="65"/>
      <c r="E377" s="65"/>
      <c r="F377" s="208"/>
      <c r="G377" s="66"/>
      <c r="H377" s="66"/>
      <c r="I377" s="66"/>
      <c r="J377" s="66"/>
      <c r="K377" s="66"/>
      <c r="L377" s="66"/>
      <c r="M377" s="66"/>
      <c r="N377" s="66"/>
    </row>
    <row r="378" spans="1:14" ht="18.600000000000001" thickBot="1">
      <c r="A378" s="196"/>
      <c r="B378" s="179" t="s">
        <v>91</v>
      </c>
      <c r="C378" s="77"/>
      <c r="D378" s="77"/>
      <c r="E378" s="77"/>
      <c r="F378" s="218">
        <f>SUM(F371:F377)</f>
        <v>60000</v>
      </c>
      <c r="G378" s="66"/>
      <c r="H378" s="66"/>
      <c r="I378" s="66"/>
      <c r="J378" s="66"/>
      <c r="K378" s="66"/>
      <c r="L378" s="66"/>
      <c r="M378" s="66"/>
      <c r="N378" s="66"/>
    </row>
    <row r="379" spans="1:14" ht="14.4" customHeight="1">
      <c r="A379" s="199"/>
      <c r="B379" s="186"/>
      <c r="C379" s="94"/>
      <c r="D379" s="94"/>
      <c r="E379" s="94"/>
      <c r="F379" s="221"/>
      <c r="G379" s="66"/>
      <c r="H379" s="66"/>
      <c r="I379" s="66"/>
      <c r="J379" s="66"/>
      <c r="K379" s="66"/>
      <c r="L379" s="66"/>
      <c r="M379" s="66"/>
      <c r="N379" s="66"/>
    </row>
    <row r="380" spans="1:14" ht="14.4" customHeight="1">
      <c r="A380" s="199"/>
      <c r="B380" s="186"/>
      <c r="C380" s="94"/>
      <c r="D380" s="94"/>
      <c r="E380" s="94"/>
      <c r="F380" s="221"/>
      <c r="G380" s="66"/>
      <c r="H380" s="66"/>
      <c r="I380" s="66"/>
      <c r="J380" s="66"/>
      <c r="K380" s="66"/>
      <c r="L380" s="66"/>
      <c r="M380" s="66"/>
      <c r="N380" s="66"/>
    </row>
    <row r="381" spans="1:14" ht="14.4" customHeight="1">
      <c r="A381" s="199"/>
      <c r="B381" s="186"/>
      <c r="C381" s="94"/>
      <c r="D381" s="94"/>
      <c r="E381" s="94"/>
      <c r="F381" s="221"/>
      <c r="G381" s="66"/>
      <c r="H381" s="66"/>
      <c r="I381" s="66"/>
      <c r="J381" s="66"/>
      <c r="K381" s="66"/>
      <c r="L381" s="66"/>
      <c r="M381" s="66"/>
      <c r="N381" s="66"/>
    </row>
    <row r="382" spans="1:14" ht="14.4" customHeight="1">
      <c r="A382" s="199"/>
      <c r="B382" s="186"/>
      <c r="C382" s="94"/>
      <c r="D382" s="94"/>
      <c r="E382" s="94"/>
      <c r="F382" s="221"/>
      <c r="G382" s="66"/>
      <c r="H382" s="66"/>
      <c r="I382" s="66"/>
      <c r="J382" s="66"/>
      <c r="K382" s="66"/>
      <c r="L382" s="66"/>
      <c r="M382" s="66"/>
      <c r="N382" s="66"/>
    </row>
    <row r="383" spans="1:14">
      <c r="B383" s="187"/>
      <c r="C383" s="94"/>
      <c r="D383" s="94"/>
      <c r="E383" s="94"/>
      <c r="F383" s="222"/>
      <c r="G383" s="66"/>
      <c r="H383" s="66"/>
      <c r="I383" s="66"/>
      <c r="J383" s="66"/>
      <c r="K383" s="66"/>
      <c r="L383" s="66"/>
      <c r="M383" s="66"/>
      <c r="N383" s="66"/>
    </row>
    <row r="384" spans="1:14">
      <c r="B384" s="187"/>
      <c r="C384" s="94"/>
      <c r="D384" s="94"/>
      <c r="E384" s="94"/>
      <c r="F384" s="222"/>
      <c r="G384" s="66"/>
      <c r="H384" s="66"/>
      <c r="I384" s="66"/>
      <c r="J384" s="66"/>
      <c r="K384" s="66"/>
      <c r="L384" s="66"/>
      <c r="M384" s="66"/>
      <c r="N384" s="66"/>
    </row>
    <row r="385" spans="2:14">
      <c r="B385" s="187"/>
      <c r="C385" s="94"/>
      <c r="D385" s="94"/>
      <c r="E385" s="94"/>
      <c r="F385" s="222"/>
      <c r="G385" s="66"/>
      <c r="H385" s="66"/>
      <c r="I385" s="66"/>
      <c r="J385" s="66"/>
      <c r="K385" s="66"/>
      <c r="L385" s="66"/>
      <c r="M385" s="66"/>
      <c r="N385" s="66"/>
    </row>
    <row r="386" spans="2:14">
      <c r="B386" s="187"/>
      <c r="C386" s="94"/>
      <c r="D386" s="94"/>
      <c r="E386" s="94"/>
      <c r="F386" s="222"/>
      <c r="G386" s="66"/>
      <c r="H386" s="66"/>
      <c r="I386" s="66"/>
      <c r="J386" s="66"/>
      <c r="K386" s="66"/>
      <c r="L386" s="66"/>
      <c r="M386" s="66"/>
      <c r="N386" s="66"/>
    </row>
    <row r="387" spans="2:14">
      <c r="B387" s="187"/>
      <c r="C387" s="94"/>
      <c r="D387" s="94"/>
      <c r="E387" s="94"/>
      <c r="F387" s="222"/>
      <c r="G387" s="66"/>
      <c r="H387" s="66"/>
      <c r="I387" s="66"/>
      <c r="J387" s="66"/>
      <c r="K387" s="66"/>
      <c r="L387" s="66"/>
      <c r="M387" s="66"/>
      <c r="N387" s="66"/>
    </row>
  </sheetData>
  <mergeCells count="1">
    <mergeCell ref="A65:A72"/>
  </mergeCells>
  <pageMargins left="0.70866141732283472" right="0.70866141732283472" top="0.74803149606299213" bottom="0.74803149606299213" header="0.31496062992125978" footer="0.31496062992125978"/>
  <pageSetup paperSize="9" scale="48" fitToHeight="0" orientation="portrait" r:id="rId1"/>
  <headerFooter differentFirst="1">
    <oddFooter>&amp;CBILL NR. 1  / &amp;P</oddFooter>
  </headerFooter>
  <rowBreaks count="13" manualBreakCount="13">
    <brk id="41" max="5" man="1"/>
    <brk id="73" max="5" man="1"/>
    <brk id="105" max="5" man="1"/>
    <brk id="136" max="5" man="1"/>
    <brk id="162" max="5" man="1"/>
    <brk id="185" max="5" man="1"/>
    <brk id="215" max="5" man="1"/>
    <brk id="240" max="5" man="1"/>
    <brk id="267" max="5" man="1"/>
    <brk id="294" max="5" man="1"/>
    <brk id="324" max="5" man="1"/>
    <brk id="354" max="5" man="1"/>
    <brk id="369"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6"/>
  <sheetViews>
    <sheetView view="pageBreakPreview" topLeftCell="A92" zoomScale="60" zoomScaleNormal="100" workbookViewId="0">
      <selection activeCell="B35" sqref="B35"/>
    </sheetView>
  </sheetViews>
  <sheetFormatPr defaultRowHeight="14.4"/>
  <cols>
    <col min="1" max="1" width="13.33203125" style="9" customWidth="1"/>
    <col min="2" max="2" width="120" style="9" customWidth="1"/>
    <col min="3" max="3" width="18" style="9" customWidth="1"/>
    <col min="4" max="4" width="16.77734375" style="9" customWidth="1"/>
    <col min="5" max="5" width="20" style="9" customWidth="1"/>
    <col min="6" max="6" width="30.6640625" style="158" bestFit="1"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3.4">
      <c r="A4" s="113" t="str">
        <f>'PRELIMS &amp; GEN. ITEMS'!A4</f>
        <v>DATE:9/30/2026</v>
      </c>
    </row>
    <row r="5" spans="1:7" ht="31.2" customHeight="1">
      <c r="A5" s="133" t="s">
        <v>6</v>
      </c>
      <c r="B5" s="134" t="s">
        <v>45</v>
      </c>
      <c r="C5" s="134" t="s">
        <v>46</v>
      </c>
      <c r="D5" s="134" t="s">
        <v>47</v>
      </c>
      <c r="E5" s="134" t="s">
        <v>310</v>
      </c>
      <c r="F5" s="159" t="s">
        <v>311</v>
      </c>
      <c r="G5" s="114" t="s">
        <v>312</v>
      </c>
    </row>
    <row r="6" spans="1:7" ht="26.4" customHeight="1">
      <c r="A6" s="109"/>
      <c r="B6" s="136"/>
      <c r="C6" s="136"/>
      <c r="D6" s="136"/>
      <c r="E6" s="136"/>
      <c r="F6" s="160"/>
    </row>
    <row r="7" spans="1:7" ht="26.4" customHeight="1">
      <c r="A7" s="109"/>
      <c r="B7" s="137" t="s">
        <v>313</v>
      </c>
      <c r="C7" s="136"/>
      <c r="D7" s="136"/>
      <c r="E7" s="136"/>
      <c r="F7" s="160"/>
    </row>
    <row r="8" spans="1:7" ht="26.4" customHeight="1">
      <c r="A8" s="109"/>
      <c r="B8" s="136"/>
      <c r="C8" s="136"/>
      <c r="D8" s="136"/>
      <c r="E8" s="136"/>
      <c r="F8" s="160"/>
    </row>
    <row r="9" spans="1:7" ht="26.4" customHeight="1">
      <c r="A9" s="109"/>
      <c r="B9" s="137" t="s">
        <v>12</v>
      </c>
      <c r="C9" s="136"/>
      <c r="D9" s="136"/>
      <c r="E9" s="136"/>
      <c r="F9" s="160"/>
    </row>
    <row r="10" spans="1:7" ht="26.4" customHeight="1">
      <c r="A10" s="109"/>
      <c r="B10" s="136"/>
      <c r="C10" s="136"/>
      <c r="D10" s="136"/>
      <c r="E10" s="136"/>
      <c r="F10" s="160"/>
    </row>
    <row r="11" spans="1:7" ht="26.4" customHeight="1">
      <c r="A11" s="109"/>
      <c r="B11" s="138" t="s">
        <v>314</v>
      </c>
      <c r="C11" s="136"/>
      <c r="D11" s="136"/>
      <c r="E11" s="136"/>
      <c r="F11" s="160"/>
    </row>
    <row r="12" spans="1:7" ht="26.4" customHeight="1">
      <c r="A12" s="109"/>
      <c r="B12" s="136"/>
      <c r="C12" s="136"/>
      <c r="D12" s="136"/>
      <c r="E12" s="136"/>
      <c r="F12" s="160"/>
    </row>
    <row r="13" spans="1:7" ht="26.4" customHeight="1">
      <c r="A13" s="139" t="s">
        <v>9</v>
      </c>
      <c r="B13" s="140" t="s">
        <v>315</v>
      </c>
      <c r="C13" s="136"/>
      <c r="D13" s="136"/>
      <c r="E13" s="136"/>
      <c r="F13" s="161">
        <f>F43</f>
        <v>3068497.1875</v>
      </c>
    </row>
    <row r="14" spans="1:7" ht="26.4" customHeight="1">
      <c r="A14" s="109"/>
      <c r="B14" s="136"/>
      <c r="C14" s="136"/>
      <c r="D14" s="136"/>
      <c r="E14" s="136"/>
      <c r="F14" s="160"/>
    </row>
    <row r="15" spans="1:7" ht="26.4" customHeight="1">
      <c r="A15" s="139" t="s">
        <v>11</v>
      </c>
      <c r="B15" s="140" t="s">
        <v>316</v>
      </c>
      <c r="C15" s="136"/>
      <c r="D15" s="136"/>
      <c r="E15" s="136"/>
      <c r="F15" s="161">
        <f>F83</f>
        <v>8350767.6450000014</v>
      </c>
    </row>
    <row r="16" spans="1:7" ht="26.4" customHeight="1">
      <c r="A16" s="109"/>
      <c r="B16" s="136"/>
      <c r="C16" s="136"/>
      <c r="D16" s="136"/>
      <c r="E16" s="136"/>
      <c r="F16" s="160"/>
    </row>
    <row r="17" spans="1:7" ht="26.4" customHeight="1">
      <c r="A17" s="139" t="s">
        <v>13</v>
      </c>
      <c r="B17" s="140" t="s">
        <v>317</v>
      </c>
      <c r="C17" s="136"/>
      <c r="D17" s="136"/>
      <c r="E17" s="136"/>
      <c r="F17" s="161">
        <f>F92</f>
        <v>43043.000000000007</v>
      </c>
    </row>
    <row r="18" spans="1:7" ht="26.4" customHeight="1">
      <c r="A18" s="109"/>
      <c r="B18" s="136"/>
      <c r="C18" s="136"/>
      <c r="D18" s="136"/>
      <c r="E18" s="136"/>
      <c r="F18" s="160"/>
    </row>
    <row r="19" spans="1:7" ht="26.4" customHeight="1" thickBot="1">
      <c r="A19" s="141"/>
      <c r="B19" s="154" t="str">
        <f>B9</f>
        <v>SUBSTRUCTURE (ALL PROVISIONAL)</v>
      </c>
      <c r="C19" s="142"/>
      <c r="D19" s="142"/>
      <c r="E19" s="143" t="s">
        <v>8</v>
      </c>
      <c r="F19" s="162">
        <f>SUM(F13:F18)</f>
        <v>11462307.832500001</v>
      </c>
    </row>
    <row r="20" spans="1:7" ht="26.4" customHeight="1" thickTop="1" thickBot="1">
      <c r="A20" s="150"/>
      <c r="B20" s="151" t="s">
        <v>318</v>
      </c>
      <c r="C20" s="152"/>
      <c r="D20" s="152"/>
      <c r="E20" s="152"/>
      <c r="F20" s="163"/>
    </row>
    <row r="21" spans="1:7" ht="35.4" customHeight="1" thickTop="1">
      <c r="A21" s="109"/>
      <c r="B21" s="136"/>
      <c r="C21" s="136"/>
      <c r="D21" s="136"/>
      <c r="E21" s="136"/>
      <c r="F21" s="160"/>
    </row>
    <row r="22" spans="1:7" ht="35.4" customHeight="1">
      <c r="A22" s="109"/>
      <c r="B22" s="136"/>
      <c r="C22" s="136"/>
      <c r="D22" s="136"/>
      <c r="E22" s="136"/>
      <c r="F22" s="160"/>
    </row>
    <row r="23" spans="1:7" ht="35.4" customHeight="1">
      <c r="A23" s="109"/>
      <c r="B23" s="137" t="s">
        <v>319</v>
      </c>
      <c r="C23" s="136"/>
      <c r="D23" s="136"/>
      <c r="E23" s="136"/>
      <c r="F23" s="160"/>
    </row>
    <row r="24" spans="1:7" ht="35.4" customHeight="1">
      <c r="A24" s="109"/>
      <c r="B24" s="136"/>
      <c r="C24" s="136"/>
      <c r="D24" s="136"/>
      <c r="E24" s="136"/>
      <c r="F24" s="160"/>
    </row>
    <row r="25" spans="1:7" ht="35.4" customHeight="1">
      <c r="A25" s="109"/>
      <c r="B25" s="137" t="s">
        <v>315</v>
      </c>
      <c r="C25" s="136"/>
      <c r="D25" s="136"/>
      <c r="E25" s="136"/>
      <c r="F25" s="160"/>
    </row>
    <row r="26" spans="1:7" ht="35.4" customHeight="1">
      <c r="A26" s="109"/>
      <c r="B26" s="144" t="s">
        <v>320</v>
      </c>
      <c r="C26" s="136"/>
      <c r="D26" s="136"/>
      <c r="E26" s="136"/>
      <c r="F26" s="160"/>
    </row>
    <row r="27" spans="1:7" ht="59.4" customHeight="1">
      <c r="A27" s="139" t="s">
        <v>9</v>
      </c>
      <c r="B27" s="145" t="s">
        <v>321</v>
      </c>
      <c r="C27" s="146">
        <f>TAKEOFF!$H$29</f>
        <v>2299.0095000000001</v>
      </c>
      <c r="D27" s="147" t="s">
        <v>322</v>
      </c>
      <c r="E27" s="148">
        <f>RATES!$D$7</f>
        <v>15</v>
      </c>
      <c r="F27" s="161">
        <f>C27*E27</f>
        <v>34485.142500000002</v>
      </c>
      <c r="G27" s="118" t="s">
        <v>323</v>
      </c>
    </row>
    <row r="28" spans="1:7" ht="35.4" customHeight="1">
      <c r="A28" s="109"/>
      <c r="B28" s="136"/>
      <c r="C28" s="136"/>
      <c r="D28" s="136"/>
      <c r="E28" s="136"/>
      <c r="F28" s="160"/>
    </row>
    <row r="29" spans="1:7" ht="53.4" customHeight="1">
      <c r="A29" s="139" t="s">
        <v>11</v>
      </c>
      <c r="B29" s="145" t="s">
        <v>324</v>
      </c>
      <c r="C29" s="146">
        <f>TAKEOFF!$H$32</f>
        <v>1800</v>
      </c>
      <c r="D29" s="147" t="s">
        <v>322</v>
      </c>
      <c r="E29" s="148">
        <f>RATES!$D$8</f>
        <v>28</v>
      </c>
      <c r="F29" s="161">
        <f>C29*E29</f>
        <v>50400</v>
      </c>
      <c r="G29" s="118" t="s">
        <v>325</v>
      </c>
    </row>
    <row r="30" spans="1:7" ht="35.4" customHeight="1">
      <c r="A30" s="109"/>
      <c r="B30" s="136"/>
      <c r="C30" s="136"/>
      <c r="D30" s="136"/>
      <c r="E30" s="136"/>
      <c r="F30" s="160"/>
    </row>
    <row r="31" spans="1:7" ht="35.4" customHeight="1">
      <c r="A31" s="139" t="s">
        <v>13</v>
      </c>
      <c r="B31" s="145" t="s">
        <v>326</v>
      </c>
      <c r="C31" s="146">
        <f>TAKEOFF!$H$35</f>
        <v>7200</v>
      </c>
      <c r="D31" s="147" t="s">
        <v>327</v>
      </c>
      <c r="E31" s="148">
        <f>RATES!$D$9</f>
        <v>85</v>
      </c>
      <c r="F31" s="161">
        <f>C31*E31</f>
        <v>612000</v>
      </c>
      <c r="G31" s="118" t="s">
        <v>328</v>
      </c>
    </row>
    <row r="32" spans="1:7" ht="35.4" customHeight="1">
      <c r="A32" s="109"/>
      <c r="B32" s="136"/>
      <c r="C32" s="136"/>
      <c r="D32" s="136"/>
      <c r="E32" s="136"/>
      <c r="F32" s="160"/>
    </row>
    <row r="33" spans="1:7" ht="46.8">
      <c r="A33" s="139" t="s">
        <v>15</v>
      </c>
      <c r="B33" s="145" t="s">
        <v>329</v>
      </c>
      <c r="C33" s="146">
        <f>TAKEOFF!$H$40</f>
        <v>1445.34475</v>
      </c>
      <c r="D33" s="147" t="s">
        <v>327</v>
      </c>
      <c r="E33" s="148">
        <f>RATES!$D$10</f>
        <v>220</v>
      </c>
      <c r="F33" s="161">
        <f>C33*E33</f>
        <v>317975.84499999997</v>
      </c>
      <c r="G33" s="118" t="s">
        <v>330</v>
      </c>
    </row>
    <row r="34" spans="1:7" ht="35.4" customHeight="1">
      <c r="A34" s="109"/>
      <c r="B34" s="136"/>
      <c r="C34" s="136"/>
      <c r="D34" s="136"/>
      <c r="E34" s="136"/>
      <c r="F34" s="160"/>
    </row>
    <row r="35" spans="1:7" ht="46.8">
      <c r="A35" s="139" t="s">
        <v>17</v>
      </c>
      <c r="B35" s="145" t="s">
        <v>331</v>
      </c>
      <c r="C35" s="146">
        <f>TAKEOFF!$H$43</f>
        <v>3060</v>
      </c>
      <c r="D35" s="147" t="s">
        <v>327</v>
      </c>
      <c r="E35" s="148">
        <f>RATES!$D$11</f>
        <v>480</v>
      </c>
      <c r="F35" s="161">
        <f>C35*E35</f>
        <v>1468800</v>
      </c>
      <c r="G35" s="118" t="s">
        <v>332</v>
      </c>
    </row>
    <row r="36" spans="1:7" ht="35.4" customHeight="1">
      <c r="A36" s="109"/>
      <c r="B36" s="136"/>
      <c r="C36" s="136"/>
      <c r="D36" s="136"/>
      <c r="E36" s="136"/>
      <c r="F36" s="160"/>
    </row>
    <row r="37" spans="1:7" ht="35.4" customHeight="1">
      <c r="A37" s="139" t="s">
        <v>19</v>
      </c>
      <c r="B37" s="145" t="s">
        <v>333</v>
      </c>
      <c r="C37" s="146">
        <f>TAKEOFF!$H$47</f>
        <v>745.19999999999993</v>
      </c>
      <c r="D37" s="147" t="s">
        <v>327</v>
      </c>
      <c r="E37" s="148">
        <f>RATES!$D$12</f>
        <v>60</v>
      </c>
      <c r="F37" s="161">
        <f>C37*E37</f>
        <v>44711.999999999993</v>
      </c>
      <c r="G37" s="118" t="s">
        <v>334</v>
      </c>
    </row>
    <row r="38" spans="1:7" ht="35.4" customHeight="1">
      <c r="A38" s="109"/>
      <c r="B38" s="136"/>
      <c r="C38" s="136"/>
      <c r="D38" s="136"/>
      <c r="E38" s="136"/>
      <c r="F38" s="160"/>
    </row>
    <row r="39" spans="1:7" ht="35.4" customHeight="1">
      <c r="A39" s="139" t="s">
        <v>21</v>
      </c>
      <c r="B39" s="145" t="s">
        <v>335</v>
      </c>
      <c r="C39" s="146">
        <f>TAKEOFF!$H$52</f>
        <v>6454.8</v>
      </c>
      <c r="D39" s="147" t="s">
        <v>327</v>
      </c>
      <c r="E39" s="148">
        <f>RATES!$D$13</f>
        <v>75</v>
      </c>
      <c r="F39" s="161">
        <f>C39*E39</f>
        <v>484110</v>
      </c>
      <c r="G39" s="118" t="s">
        <v>336</v>
      </c>
    </row>
    <row r="40" spans="1:7" ht="35.4" customHeight="1">
      <c r="A40" s="109"/>
      <c r="B40" s="136"/>
      <c r="C40" s="136"/>
      <c r="D40" s="136"/>
      <c r="E40" s="136"/>
      <c r="F40" s="160"/>
    </row>
    <row r="41" spans="1:7" ht="46.8">
      <c r="A41" s="139" t="s">
        <v>23</v>
      </c>
      <c r="B41" s="145" t="s">
        <v>337</v>
      </c>
      <c r="C41" s="146">
        <f>TAKEOFF!$H$55</f>
        <v>221.4</v>
      </c>
      <c r="D41" s="147" t="s">
        <v>327</v>
      </c>
      <c r="E41" s="148">
        <f>RATES!$D$14</f>
        <v>253.00000000000003</v>
      </c>
      <c r="F41" s="161">
        <f>C41*E41</f>
        <v>56014.200000000004</v>
      </c>
      <c r="G41" s="118" t="s">
        <v>338</v>
      </c>
    </row>
    <row r="42" spans="1:7" ht="35.4" customHeight="1">
      <c r="A42" s="109"/>
      <c r="B42" s="136"/>
      <c r="C42" s="136"/>
      <c r="D42" s="136"/>
      <c r="E42" s="136"/>
      <c r="F42" s="160"/>
    </row>
    <row r="43" spans="1:7" s="9" customFormat="1" ht="35.4" customHeight="1" thickBot="1">
      <c r="A43" s="141"/>
      <c r="B43" s="154" t="str">
        <f>B25</f>
        <v>D GROUNDWORK (D20 EXCAVATION AND FILLING)</v>
      </c>
      <c r="C43" s="142"/>
      <c r="D43" s="142"/>
      <c r="E43" s="143"/>
      <c r="F43" s="162">
        <f>SUM(F26:F42)</f>
        <v>3068497.1875</v>
      </c>
    </row>
    <row r="44" spans="1:7" s="9" customFormat="1" ht="24.6" thickTop="1" thickBot="1">
      <c r="A44" s="150"/>
      <c r="B44" s="151" t="s">
        <v>339</v>
      </c>
      <c r="C44" s="152"/>
      <c r="D44" s="152"/>
      <c r="E44" s="152"/>
      <c r="F44" s="163"/>
    </row>
    <row r="45" spans="1:7" ht="15" thickTop="1">
      <c r="A45" s="109"/>
      <c r="B45" s="136"/>
      <c r="C45" s="136"/>
      <c r="D45" s="136"/>
      <c r="E45" s="136"/>
      <c r="F45" s="160"/>
    </row>
    <row r="46" spans="1:7">
      <c r="A46" s="109"/>
      <c r="B46" s="136"/>
      <c r="C46" s="136"/>
      <c r="D46" s="136"/>
      <c r="E46" s="136"/>
      <c r="F46" s="160"/>
    </row>
    <row r="47" spans="1:7" ht="23.4">
      <c r="A47" s="109"/>
      <c r="B47" s="137" t="s">
        <v>316</v>
      </c>
      <c r="C47" s="136"/>
      <c r="D47" s="136"/>
      <c r="E47" s="136"/>
      <c r="F47" s="160"/>
    </row>
    <row r="48" spans="1:7">
      <c r="A48" s="109"/>
      <c r="B48" s="136"/>
      <c r="C48" s="136"/>
      <c r="D48" s="136"/>
      <c r="E48" s="136"/>
      <c r="F48" s="160"/>
    </row>
    <row r="49" spans="1:7" ht="24" customHeight="1">
      <c r="A49" s="109"/>
      <c r="B49" s="144" t="s">
        <v>340</v>
      </c>
      <c r="C49" s="136"/>
      <c r="D49" s="136"/>
      <c r="E49" s="136"/>
      <c r="F49" s="160"/>
    </row>
    <row r="50" spans="1:7" ht="28.8" customHeight="1">
      <c r="A50" s="139" t="s">
        <v>9</v>
      </c>
      <c r="B50" s="145" t="s">
        <v>341</v>
      </c>
      <c r="C50" s="146">
        <f>TAKEOFF!$H$60</f>
        <v>147.6</v>
      </c>
      <c r="D50" s="147" t="s">
        <v>327</v>
      </c>
      <c r="E50" s="148">
        <f>RATES!$D$15</f>
        <v>1650.0000000000002</v>
      </c>
      <c r="F50" s="161">
        <f>C50*E50</f>
        <v>243540.00000000003</v>
      </c>
      <c r="G50" s="118" t="s">
        <v>342</v>
      </c>
    </row>
    <row r="51" spans="1:7" ht="28.8" customHeight="1">
      <c r="A51" s="109"/>
      <c r="B51" s="136"/>
      <c r="C51" s="136"/>
      <c r="D51" s="136"/>
      <c r="E51" s="136"/>
      <c r="F51" s="160"/>
    </row>
    <row r="52" spans="1:7" ht="28.8" customHeight="1">
      <c r="A52" s="139" t="s">
        <v>11</v>
      </c>
      <c r="B52" s="145" t="s">
        <v>343</v>
      </c>
      <c r="C52" s="146">
        <f>TAKEOFF!$H$63</f>
        <v>221.4</v>
      </c>
      <c r="D52" s="147" t="s">
        <v>327</v>
      </c>
      <c r="E52" s="148">
        <f>RATES!$D$16</f>
        <v>1925.0000000000002</v>
      </c>
      <c r="F52" s="161">
        <f>C52*E52</f>
        <v>426195.00000000006</v>
      </c>
      <c r="G52" s="118" t="s">
        <v>338</v>
      </c>
    </row>
    <row r="53" spans="1:7" ht="28.8" customHeight="1">
      <c r="A53" s="109"/>
      <c r="B53" s="136"/>
      <c r="C53" s="136"/>
      <c r="D53" s="136"/>
      <c r="E53" s="136"/>
      <c r="F53" s="160"/>
    </row>
    <row r="54" spans="1:7" ht="28.8" customHeight="1">
      <c r="A54" s="109"/>
      <c r="B54" s="144" t="s">
        <v>344</v>
      </c>
      <c r="C54" s="136"/>
      <c r="D54" s="136"/>
      <c r="E54" s="136"/>
      <c r="F54" s="160"/>
    </row>
    <row r="55" spans="1:7" ht="28.8" customHeight="1">
      <c r="A55" s="139" t="s">
        <v>13</v>
      </c>
      <c r="B55" s="145" t="s">
        <v>345</v>
      </c>
      <c r="C55" s="146">
        <f>TAKEOFF!$H$69</f>
        <v>22.569624999999998</v>
      </c>
      <c r="D55" s="147" t="s">
        <v>327</v>
      </c>
      <c r="E55" s="148">
        <f>RATES!$D$20</f>
        <v>2310</v>
      </c>
      <c r="F55" s="161">
        <f>C55*E55</f>
        <v>52135.833749999998</v>
      </c>
      <c r="G55" s="118" t="s">
        <v>346</v>
      </c>
    </row>
    <row r="56" spans="1:7" ht="28.8" customHeight="1">
      <c r="A56" s="109"/>
      <c r="B56" s="136"/>
      <c r="C56" s="136"/>
      <c r="D56" s="136"/>
      <c r="E56" s="136"/>
      <c r="F56" s="160"/>
    </row>
    <row r="57" spans="1:7" ht="28.8" customHeight="1">
      <c r="A57" s="139" t="s">
        <v>15</v>
      </c>
      <c r="B57" s="145" t="s">
        <v>347</v>
      </c>
      <c r="C57" s="146">
        <f>TAKEOFF!$H$72</f>
        <v>1918.8</v>
      </c>
      <c r="D57" s="147" t="s">
        <v>327</v>
      </c>
      <c r="E57" s="148">
        <f>RATES!$D$19</f>
        <v>2310</v>
      </c>
      <c r="F57" s="161">
        <f>C57*E57</f>
        <v>4432428</v>
      </c>
      <c r="G57" s="118" t="s">
        <v>348</v>
      </c>
    </row>
    <row r="58" spans="1:7" ht="28.8" customHeight="1">
      <c r="A58" s="109"/>
      <c r="B58" s="136"/>
      <c r="C58" s="136"/>
      <c r="D58" s="136"/>
      <c r="E58" s="136"/>
      <c r="F58" s="160"/>
    </row>
    <row r="59" spans="1:7" ht="28.8" customHeight="1">
      <c r="A59" s="139" t="s">
        <v>17</v>
      </c>
      <c r="B59" s="145" t="s">
        <v>349</v>
      </c>
      <c r="C59" s="146">
        <f>TAKEOFF!$H$83</f>
        <v>17.281874999999999</v>
      </c>
      <c r="D59" s="147" t="s">
        <v>327</v>
      </c>
      <c r="E59" s="148">
        <f>RATES!$D$21</f>
        <v>2310</v>
      </c>
      <c r="F59" s="161">
        <f>C59*E59</f>
        <v>39921.131249999999</v>
      </c>
      <c r="G59" s="118" t="s">
        <v>350</v>
      </c>
    </row>
    <row r="60" spans="1:7" ht="28.8" customHeight="1">
      <c r="A60" s="109"/>
      <c r="B60" s="136"/>
      <c r="C60" s="136"/>
      <c r="D60" s="136"/>
      <c r="E60" s="136"/>
      <c r="F60" s="160"/>
    </row>
    <row r="61" spans="1:7" ht="28.8" customHeight="1">
      <c r="A61" s="109"/>
      <c r="B61" s="144" t="s">
        <v>351</v>
      </c>
      <c r="C61" s="136"/>
      <c r="D61" s="136"/>
      <c r="E61" s="136"/>
      <c r="F61" s="160"/>
    </row>
    <row r="62" spans="1:7" ht="28.8" customHeight="1">
      <c r="A62" s="139" t="s">
        <v>19</v>
      </c>
      <c r="B62" s="145" t="s">
        <v>352</v>
      </c>
      <c r="C62" s="146">
        <f>TAKEOFF!$H$87</f>
        <v>2.4660000000000002</v>
      </c>
      <c r="D62" s="147" t="s">
        <v>353</v>
      </c>
      <c r="E62" s="148">
        <f>RATES!$D$32</f>
        <v>14300.000000000002</v>
      </c>
      <c r="F62" s="161">
        <f>C62*E62</f>
        <v>35263.80000000001</v>
      </c>
      <c r="G62" s="118" t="s">
        <v>354</v>
      </c>
    </row>
    <row r="63" spans="1:7" ht="28.8" customHeight="1">
      <c r="A63" s="109"/>
      <c r="B63" s="136"/>
      <c r="C63" s="136"/>
      <c r="D63" s="136"/>
      <c r="E63" s="136"/>
      <c r="F63" s="160"/>
    </row>
    <row r="64" spans="1:7" ht="28.8" customHeight="1">
      <c r="A64" s="139" t="s">
        <v>21</v>
      </c>
      <c r="B64" s="145" t="s">
        <v>355</v>
      </c>
      <c r="C64" s="146">
        <f>TAKEOFF!$H$90</f>
        <v>184.672</v>
      </c>
      <c r="D64" s="147" t="s">
        <v>353</v>
      </c>
      <c r="E64" s="148">
        <f>RATES!$D$33</f>
        <v>14300.000000000002</v>
      </c>
      <c r="F64" s="161">
        <f>C64*E64</f>
        <v>2640809.6</v>
      </c>
      <c r="G64" s="118" t="s">
        <v>356</v>
      </c>
    </row>
    <row r="65" spans="1:7" ht="28.8" customHeight="1">
      <c r="A65" s="109"/>
      <c r="B65" s="136"/>
      <c r="C65" s="136"/>
      <c r="D65" s="136"/>
      <c r="E65" s="136"/>
      <c r="F65" s="160"/>
    </row>
    <row r="66" spans="1:7" ht="28.8" customHeight="1">
      <c r="A66" s="139" t="s">
        <v>23</v>
      </c>
      <c r="B66" s="145" t="s">
        <v>357</v>
      </c>
      <c r="C66" s="146">
        <f>TAKEOFF!$H$95</f>
        <v>4.0289999999999999</v>
      </c>
      <c r="D66" s="147" t="s">
        <v>353</v>
      </c>
      <c r="E66" s="148">
        <f>RATES!$D$29</f>
        <v>14300.000000000002</v>
      </c>
      <c r="F66" s="161">
        <f>C66*E66</f>
        <v>57614.700000000004</v>
      </c>
      <c r="G66" s="118" t="s">
        <v>358</v>
      </c>
    </row>
    <row r="67" spans="1:7" ht="28.8" customHeight="1">
      <c r="A67" s="109"/>
      <c r="B67" s="136"/>
      <c r="C67" s="136"/>
      <c r="D67" s="136"/>
      <c r="E67" s="136"/>
      <c r="F67" s="160"/>
    </row>
    <row r="68" spans="1:7" ht="28.8" customHeight="1">
      <c r="A68" s="139" t="s">
        <v>25</v>
      </c>
      <c r="B68" s="145" t="s">
        <v>359</v>
      </c>
      <c r="C68" s="146">
        <f>TAKEOFF!$H$99</f>
        <v>1.2530000000000001</v>
      </c>
      <c r="D68" s="147" t="s">
        <v>353</v>
      </c>
      <c r="E68" s="148">
        <f>RATES!$D$30</f>
        <v>14300.000000000002</v>
      </c>
      <c r="F68" s="161">
        <f>C68*E68</f>
        <v>17917.900000000005</v>
      </c>
      <c r="G68" s="118" t="s">
        <v>360</v>
      </c>
    </row>
    <row r="69" spans="1:7" ht="28.8" customHeight="1">
      <c r="A69" s="109"/>
      <c r="B69" s="136"/>
      <c r="C69" s="136"/>
      <c r="D69" s="136"/>
      <c r="E69" s="136"/>
      <c r="F69" s="160"/>
    </row>
    <row r="70" spans="1:7" ht="28.8" customHeight="1">
      <c r="A70" s="139" t="s">
        <v>27</v>
      </c>
      <c r="B70" s="145" t="s">
        <v>361</v>
      </c>
      <c r="C70" s="146">
        <f>TAKEOFF!$H$104</f>
        <v>21.305999999999997</v>
      </c>
      <c r="D70" s="147" t="s">
        <v>353</v>
      </c>
      <c r="E70" s="148">
        <f>RATES!$D$33</f>
        <v>14300.000000000002</v>
      </c>
      <c r="F70" s="161">
        <f>C70*E70</f>
        <v>304675.8</v>
      </c>
      <c r="G70" s="118" t="s">
        <v>362</v>
      </c>
    </row>
    <row r="71" spans="1:7" ht="28.8" customHeight="1">
      <c r="A71" s="109"/>
      <c r="B71" s="136"/>
      <c r="C71" s="136"/>
      <c r="D71" s="136"/>
      <c r="E71" s="136"/>
      <c r="F71" s="160"/>
    </row>
    <row r="72" spans="1:7" ht="28.8" customHeight="1">
      <c r="A72" s="139" t="s">
        <v>29</v>
      </c>
      <c r="B72" s="145" t="s">
        <v>363</v>
      </c>
      <c r="C72" s="146">
        <f>TAKEOFF!$H$107</f>
        <v>0.33800000000000002</v>
      </c>
      <c r="D72" s="147" t="s">
        <v>353</v>
      </c>
      <c r="E72" s="148">
        <f>RATES!$D$32</f>
        <v>14300.000000000002</v>
      </c>
      <c r="F72" s="161">
        <f>C72*E72</f>
        <v>4833.4000000000005</v>
      </c>
      <c r="G72" s="118" t="s">
        <v>364</v>
      </c>
    </row>
    <row r="73" spans="1:7" ht="28.8" customHeight="1">
      <c r="A73" s="109"/>
      <c r="B73" s="136"/>
      <c r="C73" s="136"/>
      <c r="D73" s="136"/>
      <c r="E73" s="136"/>
      <c r="F73" s="160"/>
    </row>
    <row r="74" spans="1:7" ht="28.8" customHeight="1">
      <c r="A74" s="109"/>
      <c r="B74" s="144" t="s">
        <v>365</v>
      </c>
      <c r="C74" s="136"/>
      <c r="D74" s="136"/>
      <c r="E74" s="136"/>
      <c r="F74" s="160"/>
    </row>
    <row r="75" spans="1:7" ht="28.8" customHeight="1">
      <c r="A75" s="139" t="s">
        <v>31</v>
      </c>
      <c r="B75" s="145" t="s">
        <v>366</v>
      </c>
      <c r="C75" s="146">
        <f>TAKEOFF!$H$113</f>
        <v>180.55699999999999</v>
      </c>
      <c r="D75" s="147" t="s">
        <v>322</v>
      </c>
      <c r="E75" s="148">
        <f>RATES!$D$36</f>
        <v>165</v>
      </c>
      <c r="F75" s="161">
        <f>C75*E75</f>
        <v>29791.904999999999</v>
      </c>
      <c r="G75" s="118" t="s">
        <v>367</v>
      </c>
    </row>
    <row r="76" spans="1:7" ht="28.8" customHeight="1">
      <c r="A76" s="109"/>
      <c r="B76" s="136"/>
      <c r="C76" s="136"/>
      <c r="D76" s="136"/>
      <c r="E76" s="136"/>
      <c r="F76" s="160"/>
    </row>
    <row r="77" spans="1:7" ht="28.8" customHeight="1">
      <c r="A77" s="139" t="s">
        <v>33</v>
      </c>
      <c r="B77" s="145" t="s">
        <v>368</v>
      </c>
      <c r="C77" s="146">
        <f>TAKEOFF!$H$116</f>
        <v>154</v>
      </c>
      <c r="D77" s="147" t="s">
        <v>369</v>
      </c>
      <c r="E77" s="148">
        <f>RATES!$D$40</f>
        <v>65</v>
      </c>
      <c r="F77" s="161">
        <f>C77*E77</f>
        <v>10010</v>
      </c>
      <c r="G77" s="118" t="s">
        <v>370</v>
      </c>
    </row>
    <row r="78" spans="1:7" ht="28.8" customHeight="1">
      <c r="A78" s="109"/>
      <c r="B78" s="136"/>
      <c r="C78" s="136"/>
      <c r="D78" s="136"/>
      <c r="E78" s="136"/>
      <c r="F78" s="160"/>
    </row>
    <row r="79" spans="1:7" ht="28.8" customHeight="1">
      <c r="A79" s="139" t="s">
        <v>35</v>
      </c>
      <c r="B79" s="145" t="s">
        <v>371</v>
      </c>
      <c r="C79" s="146">
        <f>TAKEOFF!$H$119</f>
        <v>200.20000000000002</v>
      </c>
      <c r="D79" s="147" t="s">
        <v>322</v>
      </c>
      <c r="E79" s="148">
        <f>RATES!$D$41</f>
        <v>165</v>
      </c>
      <c r="F79" s="161">
        <f>C79*E79</f>
        <v>33033</v>
      </c>
      <c r="G79" s="118" t="s">
        <v>372</v>
      </c>
    </row>
    <row r="80" spans="1:7" ht="28.8" customHeight="1">
      <c r="A80" s="109"/>
      <c r="B80" s="136"/>
      <c r="C80" s="136"/>
      <c r="D80" s="136"/>
      <c r="E80" s="136"/>
      <c r="F80" s="160"/>
    </row>
    <row r="81" spans="1:7" ht="28.8" customHeight="1">
      <c r="A81" s="139" t="s">
        <v>37</v>
      </c>
      <c r="B81" s="145" t="s">
        <v>373</v>
      </c>
      <c r="C81" s="146">
        <f>TAKEOFF!$H$130</f>
        <v>136.95500000000001</v>
      </c>
      <c r="D81" s="147" t="s">
        <v>322</v>
      </c>
      <c r="E81" s="148">
        <f>RATES!$D$37</f>
        <v>165</v>
      </c>
      <c r="F81" s="161">
        <f>C81*E81</f>
        <v>22597.575000000001</v>
      </c>
      <c r="G81" s="118" t="s">
        <v>374</v>
      </c>
    </row>
    <row r="82" spans="1:7" ht="28.8" customHeight="1">
      <c r="A82" s="109"/>
      <c r="B82" s="136"/>
      <c r="C82" s="136"/>
      <c r="D82" s="136"/>
      <c r="E82" s="136"/>
      <c r="F82" s="160"/>
    </row>
    <row r="83" spans="1:7" s="9" customFormat="1" ht="26.4" customHeight="1" thickBot="1">
      <c r="A83" s="141"/>
      <c r="B83" s="154" t="str">
        <f>B47</f>
        <v>E IN SITU CONCRETE</v>
      </c>
      <c r="C83" s="142"/>
      <c r="D83" s="142"/>
      <c r="E83" s="143"/>
      <c r="F83" s="162">
        <f>SUM(F49:F82)</f>
        <v>8350767.6450000014</v>
      </c>
    </row>
    <row r="84" spans="1:7" s="9" customFormat="1" ht="26.4" customHeight="1" thickTop="1" thickBot="1">
      <c r="A84" s="150"/>
      <c r="B84" s="151" t="s">
        <v>339</v>
      </c>
      <c r="C84" s="152"/>
      <c r="D84" s="152"/>
      <c r="E84" s="152"/>
      <c r="F84" s="163"/>
    </row>
    <row r="85" spans="1:7" ht="15" thickTop="1">
      <c r="A85" s="109"/>
      <c r="B85" s="136"/>
      <c r="C85" s="136"/>
      <c r="D85" s="136"/>
      <c r="E85" s="136"/>
      <c r="F85" s="160"/>
    </row>
    <row r="86" spans="1:7">
      <c r="A86" s="109"/>
      <c r="B86" s="136"/>
      <c r="C86" s="136"/>
      <c r="D86" s="136"/>
      <c r="E86" s="136"/>
      <c r="F86" s="160"/>
    </row>
    <row r="87" spans="1:7" ht="23.4">
      <c r="A87" s="109"/>
      <c r="B87" s="137" t="s">
        <v>317</v>
      </c>
      <c r="C87" s="136"/>
      <c r="D87" s="136"/>
      <c r="E87" s="136"/>
      <c r="F87" s="160"/>
    </row>
    <row r="88" spans="1:7">
      <c r="A88" s="109"/>
      <c r="B88" s="136"/>
      <c r="C88" s="136"/>
      <c r="D88" s="136"/>
      <c r="E88" s="136"/>
      <c r="F88" s="160"/>
    </row>
    <row r="89" spans="1:7" ht="24" customHeight="1">
      <c r="A89" s="109"/>
      <c r="B89" s="144" t="s">
        <v>375</v>
      </c>
      <c r="C89" s="136"/>
      <c r="D89" s="136"/>
      <c r="E89" s="136"/>
      <c r="F89" s="160"/>
    </row>
    <row r="90" spans="1:7" ht="24" customHeight="1">
      <c r="A90" s="139" t="s">
        <v>9</v>
      </c>
      <c r="B90" s="145" t="s">
        <v>376</v>
      </c>
      <c r="C90" s="146">
        <f>TAKEOFF!$H$135</f>
        <v>200.20000000000002</v>
      </c>
      <c r="D90" s="147" t="s">
        <v>322</v>
      </c>
      <c r="E90" s="148">
        <f>RATES!$D$46</f>
        <v>215</v>
      </c>
      <c r="F90" s="161">
        <f>C90*E90</f>
        <v>43043.000000000007</v>
      </c>
      <c r="G90" s="118" t="s">
        <v>372</v>
      </c>
    </row>
    <row r="91" spans="1:7">
      <c r="A91" s="109"/>
      <c r="B91" s="136"/>
      <c r="C91" s="136"/>
      <c r="D91" s="136"/>
      <c r="E91" s="136"/>
      <c r="F91" s="160"/>
    </row>
    <row r="92" spans="1:7" s="9" customFormat="1" ht="26.4" customHeight="1" thickBot="1">
      <c r="A92" s="141"/>
      <c r="B92" s="154" t="str">
        <f>B87</f>
        <v>BLOCK WORK</v>
      </c>
      <c r="C92" s="142"/>
      <c r="D92" s="142"/>
      <c r="E92" s="143"/>
      <c r="F92" s="162">
        <f>SUM(F89:F91)</f>
        <v>43043.000000000007</v>
      </c>
    </row>
    <row r="93" spans="1:7" s="9" customFormat="1" ht="26.4" customHeight="1" thickTop="1" thickBot="1">
      <c r="A93" s="150"/>
      <c r="B93" s="151" t="s">
        <v>339</v>
      </c>
      <c r="C93" s="152"/>
      <c r="D93" s="152"/>
      <c r="E93" s="152"/>
      <c r="F93" s="163"/>
    </row>
    <row r="94" spans="1:7" ht="15" thickTop="1"/>
    <row r="96" spans="1:7" ht="15.6">
      <c r="B96" s="119" t="s">
        <v>377</v>
      </c>
    </row>
  </sheetData>
  <pageMargins left="0.75" right="0.75" top="1" bottom="1" header="0.5" footer="0.5"/>
  <pageSetup scale="40" fitToHeight="0" orientation="portrait" r:id="rId1"/>
  <rowBreaks count="1" manualBreakCount="1">
    <brk id="44"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35"/>
  <sheetViews>
    <sheetView view="pageBreakPreview" topLeftCell="A91" zoomScale="60" zoomScaleNormal="73" workbookViewId="0">
      <selection activeCell="B16" sqref="B16:B17"/>
    </sheetView>
  </sheetViews>
  <sheetFormatPr defaultRowHeight="14.4"/>
  <cols>
    <col min="1" max="1" width="13.33203125" style="9" customWidth="1"/>
    <col min="2" max="2" width="124.5546875" style="9" customWidth="1"/>
    <col min="3" max="3" width="21" style="9" customWidth="1"/>
    <col min="4" max="4" width="14.554687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3.4">
      <c r="A4" s="113" t="str">
        <f>'PRELIMS &amp; GEN. ITEMS'!A4</f>
        <v>DATE:9/30/2026</v>
      </c>
    </row>
    <row r="5" spans="1:7" ht="28.8" customHeight="1" thickBot="1">
      <c r="A5" s="133" t="s">
        <v>6</v>
      </c>
      <c r="B5" s="134" t="s">
        <v>45</v>
      </c>
      <c r="C5" s="134" t="s">
        <v>46</v>
      </c>
      <c r="D5" s="134" t="s">
        <v>47</v>
      </c>
      <c r="E5" s="134" t="s">
        <v>310</v>
      </c>
      <c r="F5" s="135" t="s">
        <v>311</v>
      </c>
      <c r="G5" s="114" t="s">
        <v>312</v>
      </c>
    </row>
    <row r="6" spans="1:7" ht="21" customHeight="1">
      <c r="A6" s="155"/>
      <c r="B6" s="156"/>
      <c r="C6" s="156"/>
      <c r="D6" s="156"/>
      <c r="E6" s="156"/>
      <c r="F6" s="157"/>
    </row>
    <row r="7" spans="1:7" ht="21" customHeight="1">
      <c r="A7" s="109"/>
      <c r="B7" s="137" t="s">
        <v>313</v>
      </c>
      <c r="C7" s="136"/>
      <c r="D7" s="136"/>
      <c r="E7" s="136"/>
      <c r="F7" s="117"/>
    </row>
    <row r="8" spans="1:7" ht="21" customHeight="1">
      <c r="A8" s="109"/>
      <c r="B8" s="136"/>
      <c r="C8" s="136"/>
      <c r="D8" s="136"/>
      <c r="E8" s="136"/>
      <c r="F8" s="117"/>
    </row>
    <row r="9" spans="1:7" ht="21" customHeight="1">
      <c r="A9" s="109"/>
      <c r="B9" s="137" t="s">
        <v>378</v>
      </c>
      <c r="C9" s="136"/>
      <c r="D9" s="136"/>
      <c r="E9" s="136"/>
      <c r="F9" s="117"/>
    </row>
    <row r="10" spans="1:7" ht="21" customHeight="1">
      <c r="A10" s="109"/>
      <c r="B10" s="136"/>
      <c r="C10" s="136"/>
      <c r="D10" s="136"/>
      <c r="E10" s="136"/>
      <c r="F10" s="117"/>
    </row>
    <row r="11" spans="1:7" ht="21" customHeight="1">
      <c r="A11" s="109"/>
      <c r="B11" s="138" t="s">
        <v>314</v>
      </c>
      <c r="C11" s="136"/>
      <c r="D11" s="136"/>
      <c r="E11" s="136"/>
      <c r="F11" s="117"/>
    </row>
    <row r="12" spans="1:7" ht="21" customHeight="1">
      <c r="A12" s="109"/>
      <c r="B12" s="136"/>
      <c r="C12" s="136"/>
      <c r="D12" s="136"/>
      <c r="E12" s="136"/>
      <c r="F12" s="117"/>
    </row>
    <row r="13" spans="1:7" ht="21" customHeight="1">
      <c r="A13" s="139" t="s">
        <v>9</v>
      </c>
      <c r="B13" s="140" t="s">
        <v>379</v>
      </c>
      <c r="C13" s="136"/>
      <c r="D13" s="136"/>
      <c r="E13" s="136"/>
      <c r="F13" s="115">
        <f>F92</f>
        <v>2337940.382375</v>
      </c>
    </row>
    <row r="14" spans="1:7" ht="21" customHeight="1">
      <c r="A14" s="109"/>
      <c r="B14" s="136"/>
      <c r="C14" s="136"/>
      <c r="D14" s="136"/>
      <c r="E14" s="136"/>
      <c r="F14" s="117"/>
    </row>
    <row r="15" spans="1:7" ht="21" customHeight="1">
      <c r="A15" s="139" t="s">
        <v>11</v>
      </c>
      <c r="B15" s="140" t="s">
        <v>380</v>
      </c>
      <c r="C15" s="136"/>
      <c r="D15" s="136"/>
      <c r="E15" s="136"/>
      <c r="F15" s="115">
        <f>F103</f>
        <v>209940.80051999999</v>
      </c>
    </row>
    <row r="16" spans="1:7" ht="21" customHeight="1">
      <c r="A16" s="109"/>
      <c r="B16" s="136"/>
      <c r="C16" s="136"/>
      <c r="D16" s="136"/>
      <c r="E16" s="136"/>
      <c r="F16" s="117"/>
    </row>
    <row r="17" spans="1:6" ht="21" customHeight="1">
      <c r="A17" s="139" t="s">
        <v>13</v>
      </c>
      <c r="B17" s="140" t="s">
        <v>381</v>
      </c>
      <c r="C17" s="136"/>
      <c r="D17" s="136"/>
      <c r="E17" s="136"/>
      <c r="F17" s="115">
        <f>F169</f>
        <v>406389.10000000003</v>
      </c>
    </row>
    <row r="18" spans="1:6" ht="21" customHeight="1">
      <c r="A18" s="109"/>
      <c r="B18" s="136"/>
      <c r="C18" s="136"/>
      <c r="D18" s="136"/>
      <c r="E18" s="136"/>
      <c r="F18" s="117"/>
    </row>
    <row r="19" spans="1:6" ht="21" customHeight="1">
      <c r="A19" s="139" t="s">
        <v>15</v>
      </c>
      <c r="B19" s="140" t="s">
        <v>382</v>
      </c>
      <c r="C19" s="136"/>
      <c r="D19" s="136"/>
      <c r="E19" s="136"/>
      <c r="F19" s="115">
        <f>F192</f>
        <v>311872.36</v>
      </c>
    </row>
    <row r="20" spans="1:6" ht="21" customHeight="1">
      <c r="A20" s="109"/>
      <c r="B20" s="136"/>
      <c r="C20" s="136"/>
      <c r="D20" s="136"/>
      <c r="E20" s="136"/>
      <c r="F20" s="117"/>
    </row>
    <row r="21" spans="1:6" ht="21" customHeight="1">
      <c r="A21" s="139" t="s">
        <v>17</v>
      </c>
      <c r="B21" s="140" t="s">
        <v>383</v>
      </c>
      <c r="C21" s="136"/>
      <c r="D21" s="136"/>
      <c r="E21" s="136"/>
      <c r="F21" s="115">
        <f>F209</f>
        <v>157798.4479894737</v>
      </c>
    </row>
    <row r="22" spans="1:6" ht="21" customHeight="1">
      <c r="A22" s="109"/>
      <c r="B22" s="136"/>
      <c r="C22" s="136"/>
      <c r="D22" s="136"/>
      <c r="E22" s="136"/>
      <c r="F22" s="117"/>
    </row>
    <row r="23" spans="1:6" ht="21" customHeight="1">
      <c r="A23" s="139" t="s">
        <v>19</v>
      </c>
      <c r="B23" s="140" t="s">
        <v>384</v>
      </c>
      <c r="C23" s="136"/>
      <c r="D23" s="136"/>
      <c r="E23" s="136"/>
      <c r="F23" s="115">
        <f>F231</f>
        <v>140269.24957894738</v>
      </c>
    </row>
    <row r="24" spans="1:6" ht="23.4" customHeight="1">
      <c r="A24" s="109"/>
      <c r="B24" s="136"/>
      <c r="C24" s="136"/>
      <c r="D24" s="136"/>
      <c r="E24" s="136"/>
      <c r="F24" s="117"/>
    </row>
    <row r="25" spans="1:6" s="9" customFormat="1" ht="35.4" customHeight="1" thickBot="1">
      <c r="A25" s="141"/>
      <c r="B25" s="154" t="str">
        <f>B9</f>
        <v xml:space="preserve"> GROUND FLOOR (INCL. M1 PARKING LEVEL 1B)</v>
      </c>
      <c r="C25" s="142"/>
      <c r="D25" s="142"/>
      <c r="E25" s="143" t="s">
        <v>8</v>
      </c>
      <c r="F25" s="116">
        <f>SUM(F13:F24)</f>
        <v>3564210.3404634208</v>
      </c>
    </row>
    <row r="26" spans="1:6" s="9" customFormat="1" ht="24.6" thickTop="1" thickBot="1">
      <c r="A26" s="150"/>
      <c r="B26" s="151" t="s">
        <v>318</v>
      </c>
      <c r="C26" s="152"/>
      <c r="D26" s="152"/>
      <c r="E26" s="152"/>
      <c r="F26" s="153"/>
    </row>
    <row r="27" spans="1:6" ht="15" thickTop="1">
      <c r="A27" s="109"/>
      <c r="B27" s="136"/>
      <c r="C27" s="136"/>
      <c r="D27" s="136"/>
      <c r="E27" s="136"/>
      <c r="F27" s="117"/>
    </row>
    <row r="28" spans="1:6">
      <c r="A28" s="109"/>
      <c r="B28" s="136"/>
      <c r="C28" s="136"/>
      <c r="D28" s="136"/>
      <c r="E28" s="136"/>
      <c r="F28" s="117"/>
    </row>
    <row r="29" spans="1:6" ht="23.4">
      <c r="A29" s="109"/>
      <c r="B29" s="137" t="s">
        <v>385</v>
      </c>
      <c r="C29" s="136"/>
      <c r="D29" s="136"/>
      <c r="E29" s="136"/>
      <c r="F29" s="117"/>
    </row>
    <row r="30" spans="1:6">
      <c r="A30" s="109"/>
      <c r="B30" s="136"/>
      <c r="C30" s="136"/>
      <c r="D30" s="136"/>
      <c r="E30" s="136"/>
      <c r="F30" s="117"/>
    </row>
    <row r="31" spans="1:6" ht="23.4">
      <c r="A31" s="109"/>
      <c r="B31" s="137" t="s">
        <v>379</v>
      </c>
      <c r="C31" s="136"/>
      <c r="D31" s="136"/>
      <c r="E31" s="136"/>
      <c r="F31" s="117"/>
    </row>
    <row r="32" spans="1:6">
      <c r="A32" s="109"/>
      <c r="B32" s="136"/>
      <c r="C32" s="136"/>
      <c r="D32" s="136"/>
      <c r="E32" s="136"/>
      <c r="F32" s="117"/>
    </row>
    <row r="33" spans="1:7" ht="24" customHeight="1">
      <c r="A33" s="109"/>
      <c r="B33" s="144" t="s">
        <v>344</v>
      </c>
      <c r="C33" s="136"/>
      <c r="D33" s="136"/>
      <c r="E33" s="136"/>
      <c r="F33" s="117"/>
    </row>
    <row r="34" spans="1:7" ht="24" customHeight="1">
      <c r="A34" s="139" t="s">
        <v>9</v>
      </c>
      <c r="B34" s="145" t="s">
        <v>386</v>
      </c>
      <c r="C34" s="146">
        <f>TAKEOFF!$H$143</f>
        <v>172.27500000000001</v>
      </c>
      <c r="D34" s="147" t="s">
        <v>327</v>
      </c>
      <c r="E34" s="148">
        <f>RATES!$D$22</f>
        <v>2310</v>
      </c>
      <c r="F34" s="115">
        <f>C34*E34</f>
        <v>397955.25</v>
      </c>
      <c r="G34" s="118" t="s">
        <v>387</v>
      </c>
    </row>
    <row r="35" spans="1:7">
      <c r="A35" s="109"/>
      <c r="B35" s="136"/>
      <c r="C35" s="136"/>
      <c r="D35" s="136"/>
      <c r="E35" s="136"/>
      <c r="F35" s="117"/>
    </row>
    <row r="36" spans="1:7" ht="24" customHeight="1">
      <c r="A36" s="139" t="s">
        <v>11</v>
      </c>
      <c r="B36" s="145" t="s">
        <v>388</v>
      </c>
      <c r="C36" s="146">
        <f>TAKEOFF!$H$146</f>
        <v>7.1189999999999998</v>
      </c>
      <c r="D36" s="147" t="s">
        <v>327</v>
      </c>
      <c r="E36" s="148">
        <f>RATES!$D$23</f>
        <v>2310</v>
      </c>
      <c r="F36" s="115">
        <f>C36*E36</f>
        <v>16444.89</v>
      </c>
      <c r="G36" s="118" t="s">
        <v>389</v>
      </c>
    </row>
    <row r="37" spans="1:7">
      <c r="A37" s="109"/>
      <c r="B37" s="136"/>
      <c r="C37" s="136"/>
      <c r="D37" s="136"/>
      <c r="E37" s="136"/>
      <c r="F37" s="117"/>
    </row>
    <row r="38" spans="1:7" ht="24" customHeight="1">
      <c r="A38" s="139" t="s">
        <v>13</v>
      </c>
      <c r="B38" s="145" t="s">
        <v>390</v>
      </c>
      <c r="C38" s="146">
        <f>TAKEOFF!$H$159</f>
        <v>52.477499999999999</v>
      </c>
      <c r="D38" s="147" t="s">
        <v>327</v>
      </c>
      <c r="E38" s="148">
        <f>RATES!$D$21</f>
        <v>2310</v>
      </c>
      <c r="F38" s="115">
        <f>C38*E38</f>
        <v>121223.02499999999</v>
      </c>
      <c r="G38" s="118" t="s">
        <v>391</v>
      </c>
    </row>
    <row r="39" spans="1:7">
      <c r="A39" s="109"/>
      <c r="B39" s="136"/>
      <c r="C39" s="136"/>
      <c r="D39" s="136"/>
      <c r="E39" s="136"/>
      <c r="F39" s="117"/>
    </row>
    <row r="40" spans="1:7" ht="24" customHeight="1">
      <c r="A40" s="139" t="s">
        <v>15</v>
      </c>
      <c r="B40" s="145" t="s">
        <v>392</v>
      </c>
      <c r="C40" s="146">
        <f>TAKEOFF!$H$164</f>
        <v>49.889750000000006</v>
      </c>
      <c r="D40" s="147" t="s">
        <v>327</v>
      </c>
      <c r="E40" s="148">
        <f>RATES!$D$20</f>
        <v>2310</v>
      </c>
      <c r="F40" s="115">
        <f>C40*E40</f>
        <v>115245.32250000001</v>
      </c>
      <c r="G40" s="118" t="s">
        <v>393</v>
      </c>
    </row>
    <row r="41" spans="1:7">
      <c r="A41" s="109"/>
      <c r="B41" s="136"/>
      <c r="C41" s="136"/>
      <c r="D41" s="136"/>
      <c r="E41" s="136"/>
      <c r="F41" s="117"/>
    </row>
    <row r="42" spans="1:7" ht="24" customHeight="1">
      <c r="A42" s="139" t="s">
        <v>17</v>
      </c>
      <c r="B42" s="145" t="s">
        <v>394</v>
      </c>
      <c r="C42" s="146">
        <f>TAKEOFF!$H$167</f>
        <v>19.642499999999998</v>
      </c>
      <c r="D42" s="147" t="s">
        <v>327</v>
      </c>
      <c r="E42" s="148">
        <f>RATES!$D$20</f>
        <v>2310</v>
      </c>
      <c r="F42" s="115">
        <f>C42*E42</f>
        <v>45374.174999999996</v>
      </c>
      <c r="G42" s="118" t="s">
        <v>395</v>
      </c>
    </row>
    <row r="43" spans="1:7">
      <c r="A43" s="109"/>
      <c r="B43" s="136"/>
      <c r="C43" s="136"/>
      <c r="D43" s="136"/>
      <c r="E43" s="136"/>
      <c r="F43" s="117"/>
    </row>
    <row r="44" spans="1:7" ht="24" customHeight="1">
      <c r="A44" s="139" t="s">
        <v>19</v>
      </c>
      <c r="B44" s="145" t="s">
        <v>396</v>
      </c>
      <c r="C44" s="146">
        <f>TAKEOFF!$H$175</f>
        <v>16.009030303030304</v>
      </c>
      <c r="D44" s="147" t="s">
        <v>327</v>
      </c>
      <c r="E44" s="148">
        <f>RATES!$D$24</f>
        <v>2310</v>
      </c>
      <c r="F44" s="115">
        <f>C44*E44</f>
        <v>36980.86</v>
      </c>
      <c r="G44" s="118" t="s">
        <v>397</v>
      </c>
    </row>
    <row r="45" spans="1:7">
      <c r="A45" s="109"/>
      <c r="B45" s="136"/>
      <c r="C45" s="136"/>
      <c r="D45" s="136"/>
      <c r="E45" s="136"/>
      <c r="F45" s="117"/>
    </row>
    <row r="46" spans="1:7" ht="24" customHeight="1">
      <c r="A46" s="139" t="s">
        <v>21</v>
      </c>
      <c r="B46" s="145" t="s">
        <v>398</v>
      </c>
      <c r="C46" s="146">
        <f>TAKEOFF!$H$199</f>
        <v>3.3243749999999994</v>
      </c>
      <c r="D46" s="147" t="s">
        <v>327</v>
      </c>
      <c r="E46" s="148">
        <f>RATES!$D$25</f>
        <v>1925.0000000000002</v>
      </c>
      <c r="F46" s="115">
        <f>C46*E46</f>
        <v>6399.421875</v>
      </c>
      <c r="G46" s="118" t="s">
        <v>399</v>
      </c>
    </row>
    <row r="47" spans="1:7">
      <c r="A47" s="109"/>
      <c r="B47" s="136"/>
      <c r="C47" s="136"/>
      <c r="D47" s="136"/>
      <c r="E47" s="136"/>
      <c r="F47" s="117"/>
    </row>
    <row r="48" spans="1:7" ht="24" customHeight="1">
      <c r="A48" s="109"/>
      <c r="B48" s="144" t="s">
        <v>400</v>
      </c>
      <c r="C48" s="136"/>
      <c r="D48" s="136"/>
      <c r="E48" s="136"/>
      <c r="F48" s="117"/>
    </row>
    <row r="49" spans="1:7" ht="24" customHeight="1">
      <c r="A49" s="139" t="s">
        <v>23</v>
      </c>
      <c r="B49" s="145" t="s">
        <v>401</v>
      </c>
      <c r="C49" s="146">
        <f>TAKEOFF!$H$203</f>
        <v>689.1</v>
      </c>
      <c r="D49" s="147" t="s">
        <v>322</v>
      </c>
      <c r="E49" s="148">
        <f>RATES!$D$38</f>
        <v>165</v>
      </c>
      <c r="F49" s="115">
        <f>C49*E49</f>
        <v>113701.5</v>
      </c>
      <c r="G49" s="118" t="s">
        <v>402</v>
      </c>
    </row>
    <row r="50" spans="1:7">
      <c r="A50" s="109"/>
      <c r="B50" s="136"/>
      <c r="C50" s="136"/>
      <c r="D50" s="136"/>
      <c r="E50" s="136"/>
      <c r="F50" s="117"/>
    </row>
    <row r="51" spans="1:7" ht="24" customHeight="1">
      <c r="A51" s="139" t="s">
        <v>25</v>
      </c>
      <c r="B51" s="145" t="s">
        <v>403</v>
      </c>
      <c r="C51" s="146">
        <f>TAKEOFF!$H$206</f>
        <v>238.4</v>
      </c>
      <c r="D51" s="147" t="s">
        <v>369</v>
      </c>
      <c r="E51" s="148">
        <f>RATES!$D$40</f>
        <v>65</v>
      </c>
      <c r="F51" s="115">
        <f>C51*E51</f>
        <v>15496</v>
      </c>
      <c r="G51" s="118" t="s">
        <v>404</v>
      </c>
    </row>
    <row r="52" spans="1:7">
      <c r="A52" s="109"/>
      <c r="B52" s="136"/>
      <c r="C52" s="136"/>
      <c r="D52" s="136"/>
      <c r="E52" s="136"/>
      <c r="F52" s="117"/>
    </row>
    <row r="53" spans="1:7" ht="24" customHeight="1">
      <c r="A53" s="139" t="s">
        <v>27</v>
      </c>
      <c r="B53" s="145" t="s">
        <v>405</v>
      </c>
      <c r="C53" s="146">
        <f>TAKEOFF!$H$209</f>
        <v>67.8</v>
      </c>
      <c r="D53" s="147" t="s">
        <v>322</v>
      </c>
      <c r="E53" s="148">
        <f>RATES!$D$39</f>
        <v>165</v>
      </c>
      <c r="F53" s="115">
        <f>C53*E53</f>
        <v>11187</v>
      </c>
      <c r="G53" s="118" t="s">
        <v>406</v>
      </c>
    </row>
    <row r="54" spans="1:7">
      <c r="A54" s="109"/>
      <c r="B54" s="136"/>
      <c r="C54" s="136"/>
      <c r="D54" s="136"/>
      <c r="E54" s="136"/>
      <c r="F54" s="117"/>
    </row>
    <row r="55" spans="1:7" ht="24" customHeight="1">
      <c r="A55" s="139" t="s">
        <v>29</v>
      </c>
      <c r="B55" s="145" t="s">
        <v>390</v>
      </c>
      <c r="C55" s="146">
        <f>TAKEOFF!$H$222</f>
        <v>417.26</v>
      </c>
      <c r="D55" s="147" t="s">
        <v>322</v>
      </c>
      <c r="E55" s="148">
        <f>RATES!$D$37</f>
        <v>165</v>
      </c>
      <c r="F55" s="115">
        <f>C55*E55</f>
        <v>68847.899999999994</v>
      </c>
      <c r="G55" s="118" t="s">
        <v>407</v>
      </c>
    </row>
    <row r="56" spans="1:7">
      <c r="A56" s="109"/>
      <c r="B56" s="136"/>
      <c r="C56" s="136"/>
      <c r="D56" s="136"/>
      <c r="E56" s="136"/>
      <c r="F56" s="117"/>
    </row>
    <row r="57" spans="1:7" ht="24" customHeight="1">
      <c r="A57" s="139" t="s">
        <v>31</v>
      </c>
      <c r="B57" s="145" t="s">
        <v>408</v>
      </c>
      <c r="C57" s="146">
        <f>TAKEOFF!$H$228</f>
        <v>556.25800000000004</v>
      </c>
      <c r="D57" s="147" t="s">
        <v>322</v>
      </c>
      <c r="E57" s="148">
        <f>RATES!$D$36</f>
        <v>165</v>
      </c>
      <c r="F57" s="115">
        <f>C57*E57</f>
        <v>91782.57</v>
      </c>
      <c r="G57" s="118" t="s">
        <v>409</v>
      </c>
    </row>
    <row r="58" spans="1:7">
      <c r="A58" s="109"/>
      <c r="B58" s="136"/>
      <c r="C58" s="136"/>
      <c r="D58" s="136"/>
      <c r="E58" s="136"/>
      <c r="F58" s="117"/>
    </row>
    <row r="59" spans="1:7" ht="24" customHeight="1">
      <c r="A59" s="139" t="s">
        <v>33</v>
      </c>
      <c r="B59" s="145" t="s">
        <v>410</v>
      </c>
      <c r="C59" s="146">
        <f>TAKEOFF!$H$239</f>
        <v>99.799199999999985</v>
      </c>
      <c r="D59" s="147" t="s">
        <v>322</v>
      </c>
      <c r="E59" s="148">
        <f>RATES!$D$42</f>
        <v>165</v>
      </c>
      <c r="F59" s="115">
        <f>C59*E59</f>
        <v>16466.867999999999</v>
      </c>
      <c r="G59" s="118" t="s">
        <v>411</v>
      </c>
    </row>
    <row r="60" spans="1:7">
      <c r="A60" s="109"/>
      <c r="B60" s="136"/>
      <c r="C60" s="136"/>
      <c r="D60" s="136"/>
      <c r="E60" s="136"/>
      <c r="F60" s="117"/>
    </row>
    <row r="61" spans="1:7" ht="24" customHeight="1">
      <c r="A61" s="139" t="s">
        <v>35</v>
      </c>
      <c r="B61" s="145" t="s">
        <v>412</v>
      </c>
      <c r="C61" s="146">
        <f>TAKEOFF!$H$263</f>
        <v>59.099999999999987</v>
      </c>
      <c r="D61" s="147" t="s">
        <v>322</v>
      </c>
      <c r="E61" s="148">
        <f>RATES!$D$43</f>
        <v>165</v>
      </c>
      <c r="F61" s="115">
        <f>C61*E61</f>
        <v>9751.4999999999982</v>
      </c>
      <c r="G61" s="118" t="s">
        <v>399</v>
      </c>
    </row>
    <row r="62" spans="1:7">
      <c r="A62" s="109"/>
      <c r="B62" s="136"/>
      <c r="C62" s="136"/>
      <c r="D62" s="136"/>
      <c r="E62" s="136"/>
      <c r="F62" s="117"/>
    </row>
    <row r="63" spans="1:7" ht="24" customHeight="1">
      <c r="A63" s="109"/>
      <c r="B63" s="144" t="s">
        <v>413</v>
      </c>
      <c r="C63" s="136"/>
      <c r="D63" s="136"/>
      <c r="E63" s="136"/>
      <c r="F63" s="117"/>
    </row>
    <row r="64" spans="1:7" ht="24" customHeight="1">
      <c r="A64" s="139" t="s">
        <v>37</v>
      </c>
      <c r="B64" s="145" t="s">
        <v>414</v>
      </c>
      <c r="C64" s="146">
        <f>TAKEOFF!$H$268</f>
        <v>6.0279999999999996</v>
      </c>
      <c r="D64" s="147" t="s">
        <v>353</v>
      </c>
      <c r="E64" s="148">
        <f>RATES!$D$29</f>
        <v>14300.000000000002</v>
      </c>
      <c r="F64" s="115">
        <f>C64*E64</f>
        <v>86200.400000000009</v>
      </c>
      <c r="G64" s="118" t="s">
        <v>415</v>
      </c>
    </row>
    <row r="65" spans="1:7">
      <c r="A65" s="109"/>
      <c r="B65" s="136"/>
      <c r="C65" s="136"/>
      <c r="D65" s="136"/>
      <c r="E65" s="136"/>
      <c r="F65" s="117"/>
    </row>
    <row r="66" spans="1:7" ht="24" customHeight="1">
      <c r="A66" s="139" t="s">
        <v>39</v>
      </c>
      <c r="B66" s="145" t="s">
        <v>416</v>
      </c>
      <c r="C66" s="146">
        <f>TAKEOFF!$H$271</f>
        <v>0.59899999999999998</v>
      </c>
      <c r="D66" s="147" t="s">
        <v>353</v>
      </c>
      <c r="E66" s="148">
        <f>RATES!$D$32</f>
        <v>14300.000000000002</v>
      </c>
      <c r="F66" s="115">
        <f>C66*E66</f>
        <v>8565.7000000000007</v>
      </c>
      <c r="G66" s="118" t="s">
        <v>417</v>
      </c>
    </row>
    <row r="67" spans="1:7">
      <c r="A67" s="109"/>
      <c r="B67" s="136"/>
      <c r="C67" s="136"/>
      <c r="D67" s="136"/>
      <c r="E67" s="136"/>
      <c r="F67" s="117"/>
    </row>
    <row r="68" spans="1:7" ht="24" customHeight="1">
      <c r="A68" s="139" t="s">
        <v>418</v>
      </c>
      <c r="B68" s="145" t="s">
        <v>419</v>
      </c>
      <c r="C68" s="146">
        <f>TAKEOFF!$H$275</f>
        <v>14.385999999999999</v>
      </c>
      <c r="D68" s="147" t="s">
        <v>353</v>
      </c>
      <c r="E68" s="148">
        <f>RATES!$D$33</f>
        <v>14300.000000000002</v>
      </c>
      <c r="F68" s="115">
        <f>C68*E68</f>
        <v>205719.80000000002</v>
      </c>
      <c r="G68" s="118" t="s">
        <v>420</v>
      </c>
    </row>
    <row r="69" spans="1:7">
      <c r="A69" s="109"/>
      <c r="B69" s="136"/>
      <c r="C69" s="136"/>
      <c r="D69" s="136"/>
      <c r="E69" s="136"/>
      <c r="F69" s="117"/>
    </row>
    <row r="70" spans="1:7" ht="24" customHeight="1">
      <c r="A70" s="139" t="s">
        <v>421</v>
      </c>
      <c r="B70" s="145" t="s">
        <v>422</v>
      </c>
      <c r="C70" s="146">
        <f>TAKEOFF!$H$278</f>
        <v>1.1259999999999999</v>
      </c>
      <c r="D70" s="147" t="s">
        <v>353</v>
      </c>
      <c r="E70" s="148">
        <f>RATES!$D$29</f>
        <v>14300.000000000002</v>
      </c>
      <c r="F70" s="115">
        <f>C70*E70</f>
        <v>16101.800000000001</v>
      </c>
      <c r="G70" s="118" t="s">
        <v>423</v>
      </c>
    </row>
    <row r="71" spans="1:7">
      <c r="A71" s="109"/>
      <c r="B71" s="136"/>
      <c r="C71" s="136"/>
      <c r="D71" s="136"/>
      <c r="E71" s="136"/>
      <c r="F71" s="117"/>
    </row>
    <row r="72" spans="1:7" ht="24" customHeight="1">
      <c r="A72" s="139" t="s">
        <v>424</v>
      </c>
      <c r="B72" s="145" t="s">
        <v>425</v>
      </c>
      <c r="C72" s="146">
        <f>TAKEOFF!$H$281</f>
        <v>0.57599999999999996</v>
      </c>
      <c r="D72" s="147" t="s">
        <v>353</v>
      </c>
      <c r="E72" s="148">
        <f>RATES!$D$31</f>
        <v>14300.000000000002</v>
      </c>
      <c r="F72" s="115">
        <f>C72*E72</f>
        <v>8236.8000000000011</v>
      </c>
      <c r="G72" s="118" t="s">
        <v>426</v>
      </c>
    </row>
    <row r="73" spans="1:7">
      <c r="A73" s="109"/>
      <c r="B73" s="136"/>
      <c r="C73" s="136"/>
      <c r="D73" s="136"/>
      <c r="E73" s="136"/>
      <c r="F73" s="117"/>
    </row>
    <row r="74" spans="1:7" ht="24" customHeight="1">
      <c r="A74" s="139" t="s">
        <v>427</v>
      </c>
      <c r="B74" s="145" t="s">
        <v>428</v>
      </c>
      <c r="C74" s="146">
        <f>TAKEOFF!$H$284</f>
        <v>0.81399999999999995</v>
      </c>
      <c r="D74" s="147" t="s">
        <v>353</v>
      </c>
      <c r="E74" s="148">
        <f>RATES!$D$32</f>
        <v>14300.000000000002</v>
      </c>
      <c r="F74" s="115">
        <f>C74*E74</f>
        <v>11640.2</v>
      </c>
      <c r="G74" s="118" t="s">
        <v>429</v>
      </c>
    </row>
    <row r="75" spans="1:7">
      <c r="A75" s="109"/>
      <c r="B75" s="136"/>
      <c r="C75" s="136"/>
      <c r="D75" s="136"/>
      <c r="E75" s="136"/>
      <c r="F75" s="117"/>
    </row>
    <row r="76" spans="1:7" ht="24" customHeight="1">
      <c r="A76" s="139" t="s">
        <v>430</v>
      </c>
      <c r="B76" s="145" t="s">
        <v>431</v>
      </c>
      <c r="C76" s="146">
        <f>TAKEOFF!$H$287</f>
        <v>2.4380000000000002</v>
      </c>
      <c r="D76" s="147" t="s">
        <v>353</v>
      </c>
      <c r="E76" s="148">
        <f>RATES!$D$33</f>
        <v>14300.000000000002</v>
      </c>
      <c r="F76" s="115">
        <f>C76*E76</f>
        <v>34863.400000000009</v>
      </c>
      <c r="G76" s="118" t="s">
        <v>432</v>
      </c>
    </row>
    <row r="77" spans="1:7">
      <c r="A77" s="109"/>
      <c r="B77" s="136"/>
      <c r="C77" s="136"/>
      <c r="D77" s="136"/>
      <c r="E77" s="136"/>
      <c r="F77" s="117"/>
    </row>
    <row r="78" spans="1:7" ht="24" customHeight="1">
      <c r="A78" s="139" t="s">
        <v>433</v>
      </c>
      <c r="B78" s="145" t="s">
        <v>434</v>
      </c>
      <c r="C78" s="146">
        <f>TAKEOFF!$H$292</f>
        <v>2.7850000000000001</v>
      </c>
      <c r="D78" s="147" t="s">
        <v>353</v>
      </c>
      <c r="E78" s="148">
        <f>RATES!$D$29</f>
        <v>14300.000000000002</v>
      </c>
      <c r="F78" s="115">
        <f>C78*E78</f>
        <v>39825.500000000007</v>
      </c>
      <c r="G78" s="118" t="s">
        <v>435</v>
      </c>
    </row>
    <row r="79" spans="1:7">
      <c r="A79" s="109"/>
      <c r="B79" s="136"/>
      <c r="C79" s="136"/>
      <c r="D79" s="136"/>
      <c r="E79" s="136"/>
      <c r="F79" s="117"/>
    </row>
    <row r="80" spans="1:7" ht="24" customHeight="1">
      <c r="A80" s="139" t="s">
        <v>436</v>
      </c>
      <c r="B80" s="145" t="s">
        <v>437</v>
      </c>
      <c r="C80" s="146">
        <f>TAKEOFF!$H$298</f>
        <v>5.415</v>
      </c>
      <c r="D80" s="147" t="s">
        <v>353</v>
      </c>
      <c r="E80" s="148">
        <f>RATES!$D$30</f>
        <v>14300.000000000002</v>
      </c>
      <c r="F80" s="115">
        <f>C80*E80</f>
        <v>77434.500000000015</v>
      </c>
      <c r="G80" s="118" t="s">
        <v>438</v>
      </c>
    </row>
    <row r="81" spans="1:7">
      <c r="A81" s="109"/>
      <c r="B81" s="136"/>
      <c r="C81" s="136"/>
      <c r="D81" s="136"/>
      <c r="E81" s="136"/>
      <c r="F81" s="117"/>
    </row>
    <row r="82" spans="1:7" ht="24" customHeight="1">
      <c r="A82" s="139" t="s">
        <v>439</v>
      </c>
      <c r="B82" s="145" t="s">
        <v>440</v>
      </c>
      <c r="C82" s="146">
        <f>TAKEOFF!$H$303</f>
        <v>22.198</v>
      </c>
      <c r="D82" s="147" t="s">
        <v>353</v>
      </c>
      <c r="E82" s="148">
        <f>RATES!$D$33</f>
        <v>14300.000000000002</v>
      </c>
      <c r="F82" s="115">
        <f>C82*E82</f>
        <v>317431.40000000002</v>
      </c>
      <c r="G82" s="118" t="s">
        <v>441</v>
      </c>
    </row>
    <row r="83" spans="1:7">
      <c r="A83" s="109"/>
      <c r="B83" s="136"/>
      <c r="C83" s="136"/>
      <c r="D83" s="136"/>
      <c r="E83" s="136"/>
      <c r="F83" s="117"/>
    </row>
    <row r="84" spans="1:7" ht="24" customHeight="1">
      <c r="A84" s="139" t="s">
        <v>9</v>
      </c>
      <c r="B84" s="145" t="s">
        <v>442</v>
      </c>
      <c r="C84" s="146">
        <f>TAKEOFF!$H$307</f>
        <v>1.32</v>
      </c>
      <c r="D84" s="147" t="s">
        <v>353</v>
      </c>
      <c r="E84" s="148">
        <f>RATES!$D$30</f>
        <v>14300.000000000002</v>
      </c>
      <c r="F84" s="115">
        <f>C84*E84</f>
        <v>18876.000000000004</v>
      </c>
      <c r="G84" s="118" t="s">
        <v>443</v>
      </c>
    </row>
    <row r="85" spans="1:7">
      <c r="A85" s="109"/>
      <c r="B85" s="136"/>
      <c r="C85" s="136"/>
      <c r="D85" s="136"/>
      <c r="E85" s="136"/>
      <c r="F85" s="117"/>
    </row>
    <row r="86" spans="1:7" ht="24" customHeight="1">
      <c r="A86" s="139" t="s">
        <v>11</v>
      </c>
      <c r="B86" s="145" t="s">
        <v>444</v>
      </c>
      <c r="C86" s="146">
        <f>TAKEOFF!$H$311</f>
        <v>1.8859999999999999</v>
      </c>
      <c r="D86" s="147" t="s">
        <v>353</v>
      </c>
      <c r="E86" s="148">
        <f>RATES!$D$31</f>
        <v>14300.000000000002</v>
      </c>
      <c r="F86" s="115">
        <f>C86*E86</f>
        <v>26969.800000000003</v>
      </c>
      <c r="G86" s="118" t="s">
        <v>445</v>
      </c>
    </row>
    <row r="87" spans="1:7">
      <c r="A87" s="109"/>
      <c r="B87" s="136"/>
      <c r="C87" s="136"/>
      <c r="D87" s="136"/>
      <c r="E87" s="136"/>
      <c r="F87" s="117"/>
    </row>
    <row r="88" spans="1:7" ht="24" customHeight="1">
      <c r="A88" s="139" t="s">
        <v>13</v>
      </c>
      <c r="B88" s="145" t="s">
        <v>446</v>
      </c>
      <c r="C88" s="146">
        <f>TAKEOFF!$H$314</f>
        <v>25.574000000000002</v>
      </c>
      <c r="D88" s="147" t="s">
        <v>353</v>
      </c>
      <c r="E88" s="148">
        <f>RATES!$D$30</f>
        <v>14300.000000000002</v>
      </c>
      <c r="F88" s="115">
        <f>C88*E88</f>
        <v>365708.20000000007</v>
      </c>
      <c r="G88" s="118" t="s">
        <v>447</v>
      </c>
    </row>
    <row r="89" spans="1:7">
      <c r="A89" s="109"/>
      <c r="B89" s="136"/>
      <c r="C89" s="136"/>
      <c r="D89" s="136"/>
      <c r="E89" s="136"/>
      <c r="F89" s="117"/>
    </row>
    <row r="90" spans="1:7" ht="24" customHeight="1">
      <c r="A90" s="139" t="s">
        <v>15</v>
      </c>
      <c r="B90" s="145" t="s">
        <v>448</v>
      </c>
      <c r="C90" s="146">
        <f>TAKEOFF!$H$317</f>
        <v>3.742</v>
      </c>
      <c r="D90" s="147" t="s">
        <v>353</v>
      </c>
      <c r="E90" s="148">
        <f>RATES!$D$31</f>
        <v>14300.000000000002</v>
      </c>
      <c r="F90" s="115">
        <f>C90*E90</f>
        <v>53510.600000000006</v>
      </c>
      <c r="G90" s="118" t="s">
        <v>449</v>
      </c>
    </row>
    <row r="91" spans="1:7">
      <c r="A91" s="109"/>
      <c r="B91" s="136"/>
      <c r="C91" s="136"/>
      <c r="D91" s="136"/>
      <c r="E91" s="136"/>
      <c r="F91" s="117"/>
    </row>
    <row r="92" spans="1:7" s="9" customFormat="1" ht="35.4" customHeight="1" thickBot="1">
      <c r="A92" s="141"/>
      <c r="B92" s="154" t="str">
        <f>B31</f>
        <v>ELEMENT NO. 1: IN SITU CONCRETE/LARGE PRECAST CONCRETE</v>
      </c>
      <c r="C92" s="142"/>
      <c r="D92" s="142"/>
      <c r="E92" s="143"/>
      <c r="F92" s="116">
        <f>SUM(F33:F91)</f>
        <v>2337940.382375</v>
      </c>
    </row>
    <row r="93" spans="1:7" s="9" customFormat="1" ht="24.6" thickTop="1" thickBot="1">
      <c r="A93" s="150"/>
      <c r="B93" s="151" t="s">
        <v>339</v>
      </c>
      <c r="C93" s="152"/>
      <c r="D93" s="152"/>
      <c r="E93" s="152"/>
      <c r="F93" s="153"/>
    </row>
    <row r="94" spans="1:7" ht="15" thickTop="1">
      <c r="A94" s="109"/>
      <c r="B94" s="136"/>
      <c r="C94" s="136"/>
      <c r="D94" s="136"/>
      <c r="E94" s="136"/>
      <c r="F94" s="117"/>
    </row>
    <row r="95" spans="1:7">
      <c r="A95" s="109"/>
      <c r="B95" s="136"/>
      <c r="C95" s="136"/>
      <c r="D95" s="136"/>
      <c r="E95" s="136"/>
      <c r="F95" s="117"/>
    </row>
    <row r="96" spans="1:7" ht="23.4">
      <c r="A96" s="109"/>
      <c r="B96" s="137" t="s">
        <v>380</v>
      </c>
      <c r="C96" s="136"/>
      <c r="D96" s="136"/>
      <c r="E96" s="136"/>
      <c r="F96" s="117"/>
    </row>
    <row r="97" spans="1:7">
      <c r="A97" s="109"/>
      <c r="B97" s="136"/>
      <c r="C97" s="136"/>
      <c r="D97" s="136"/>
      <c r="E97" s="136"/>
      <c r="F97" s="117"/>
    </row>
    <row r="98" spans="1:7" ht="24" customHeight="1">
      <c r="A98" s="109"/>
      <c r="B98" s="144" t="s">
        <v>450</v>
      </c>
      <c r="C98" s="136"/>
      <c r="D98" s="136"/>
      <c r="E98" s="136"/>
      <c r="F98" s="117"/>
    </row>
    <row r="99" spans="1:7" ht="24" customHeight="1">
      <c r="A99" s="139" t="s">
        <v>9</v>
      </c>
      <c r="B99" s="145" t="s">
        <v>451</v>
      </c>
      <c r="C99" s="146">
        <f>TAKEOFF!$H$344</f>
        <v>810.64434960000006</v>
      </c>
      <c r="D99" s="147" t="s">
        <v>322</v>
      </c>
      <c r="E99" s="148">
        <f>RATES!$D$46</f>
        <v>215</v>
      </c>
      <c r="F99" s="115">
        <f>C99*E99</f>
        <v>174288.535164</v>
      </c>
      <c r="G99" s="118" t="s">
        <v>452</v>
      </c>
    </row>
    <row r="100" spans="1:7">
      <c r="A100" s="109"/>
      <c r="B100" s="136"/>
      <c r="C100" s="136"/>
      <c r="D100" s="136"/>
      <c r="E100" s="136"/>
      <c r="F100" s="117"/>
    </row>
    <row r="101" spans="1:7" ht="24" customHeight="1">
      <c r="A101" s="139" t="s">
        <v>11</v>
      </c>
      <c r="B101" s="145" t="s">
        <v>453</v>
      </c>
      <c r="C101" s="146">
        <f>TAKEOFF!$H$369</f>
        <v>134.53685039999999</v>
      </c>
      <c r="D101" s="147" t="s">
        <v>322</v>
      </c>
      <c r="E101" s="148">
        <f>RATES!$D$47</f>
        <v>265</v>
      </c>
      <c r="F101" s="115">
        <f>C101*E101</f>
        <v>35652.265355999996</v>
      </c>
      <c r="G101" s="118" t="s">
        <v>454</v>
      </c>
    </row>
    <row r="102" spans="1:7">
      <c r="A102" s="109"/>
      <c r="B102" s="136"/>
      <c r="C102" s="136"/>
      <c r="D102" s="136"/>
      <c r="E102" s="136"/>
      <c r="F102" s="117"/>
    </row>
    <row r="103" spans="1:7" s="9" customFormat="1" ht="24" thickBot="1">
      <c r="A103" s="141"/>
      <c r="B103" s="154" t="str">
        <f>B96</f>
        <v>ELEMENT NO. 2: MASONRY</v>
      </c>
      <c r="C103" s="142"/>
      <c r="D103" s="142"/>
      <c r="E103" s="143"/>
      <c r="F103" s="116">
        <f>SUM(F98:F102)</f>
        <v>209940.80051999999</v>
      </c>
    </row>
    <row r="104" spans="1:7" s="9" customFormat="1" ht="24.6" thickTop="1" thickBot="1">
      <c r="A104" s="150"/>
      <c r="B104" s="151" t="s">
        <v>339</v>
      </c>
      <c r="C104" s="152"/>
      <c r="D104" s="152"/>
      <c r="E104" s="152"/>
      <c r="F104" s="153"/>
    </row>
    <row r="105" spans="1:7" ht="27.6" customHeight="1" thickTop="1">
      <c r="A105" s="109"/>
      <c r="B105" s="136"/>
      <c r="C105" s="136"/>
      <c r="D105" s="136"/>
      <c r="E105" s="136"/>
      <c r="F105" s="117"/>
    </row>
    <row r="106" spans="1:7" ht="27.6" customHeight="1">
      <c r="A106" s="109"/>
      <c r="B106" s="136"/>
      <c r="C106" s="136"/>
      <c r="D106" s="136"/>
      <c r="E106" s="136"/>
      <c r="F106" s="117"/>
    </row>
    <row r="107" spans="1:7" ht="27.6" customHeight="1">
      <c r="A107" s="109"/>
      <c r="B107" s="137" t="s">
        <v>381</v>
      </c>
      <c r="C107" s="136"/>
      <c r="D107" s="136"/>
      <c r="E107" s="136"/>
      <c r="F107" s="117"/>
    </row>
    <row r="108" spans="1:7" ht="27.6" customHeight="1">
      <c r="A108" s="109"/>
      <c r="B108" s="136"/>
      <c r="C108" s="136"/>
      <c r="D108" s="136"/>
      <c r="E108" s="136"/>
      <c r="F108" s="117"/>
    </row>
    <row r="109" spans="1:7" ht="27.6" customHeight="1">
      <c r="A109" s="109"/>
      <c r="B109" s="144" t="s">
        <v>455</v>
      </c>
      <c r="C109" s="136"/>
      <c r="D109" s="136"/>
      <c r="E109" s="136"/>
      <c r="F109" s="117"/>
    </row>
    <row r="110" spans="1:7" ht="27.6" customHeight="1">
      <c r="A110" s="139" t="s">
        <v>9</v>
      </c>
      <c r="B110" s="145" t="s">
        <v>456</v>
      </c>
      <c r="C110" s="146">
        <f>TAKEOFF!$H$374</f>
        <v>1</v>
      </c>
      <c r="D110" s="147" t="s">
        <v>457</v>
      </c>
      <c r="E110" s="148">
        <f>RATES!$D$74</f>
        <v>18500</v>
      </c>
      <c r="F110" s="115">
        <f>C110*E110</f>
        <v>18500</v>
      </c>
      <c r="G110" s="118" t="s">
        <v>458</v>
      </c>
    </row>
    <row r="111" spans="1:7" ht="27.6" customHeight="1">
      <c r="A111" s="109"/>
      <c r="B111" s="136"/>
      <c r="C111" s="136"/>
      <c r="D111" s="136"/>
      <c r="E111" s="136"/>
      <c r="F111" s="117"/>
    </row>
    <row r="112" spans="1:7" ht="27.6" customHeight="1">
      <c r="A112" s="139" t="s">
        <v>11</v>
      </c>
      <c r="B112" s="145" t="s">
        <v>459</v>
      </c>
      <c r="C112" s="146">
        <f>TAKEOFF!$H$377</f>
        <v>6</v>
      </c>
      <c r="D112" s="147" t="s">
        <v>457</v>
      </c>
      <c r="E112" s="148">
        <f>RATES!$D$76</f>
        <v>3400</v>
      </c>
      <c r="F112" s="115">
        <f>C112*E112</f>
        <v>20400</v>
      </c>
      <c r="G112" s="118" t="s">
        <v>460</v>
      </c>
    </row>
    <row r="113" spans="1:7" ht="27.6" customHeight="1">
      <c r="A113" s="109"/>
      <c r="B113" s="136"/>
      <c r="C113" s="136"/>
      <c r="D113" s="136"/>
      <c r="E113" s="136"/>
      <c r="F113" s="117"/>
    </row>
    <row r="114" spans="1:7" ht="27.6" customHeight="1">
      <c r="A114" s="139" t="s">
        <v>13</v>
      </c>
      <c r="B114" s="145" t="s">
        <v>461</v>
      </c>
      <c r="C114" s="146">
        <f>TAKEOFF!$H$380</f>
        <v>1</v>
      </c>
      <c r="D114" s="147" t="s">
        <v>457</v>
      </c>
      <c r="E114" s="148">
        <f>RATES!$D$77</f>
        <v>3900</v>
      </c>
      <c r="F114" s="115">
        <f>C114*E114</f>
        <v>3900</v>
      </c>
      <c r="G114" s="118" t="s">
        <v>458</v>
      </c>
    </row>
    <row r="115" spans="1:7" ht="27.6" customHeight="1">
      <c r="A115" s="109"/>
      <c r="B115" s="136"/>
      <c r="C115" s="136"/>
      <c r="D115" s="136"/>
      <c r="E115" s="136"/>
      <c r="F115" s="117"/>
    </row>
    <row r="116" spans="1:7" ht="27.6" customHeight="1">
      <c r="A116" s="139" t="s">
        <v>15</v>
      </c>
      <c r="B116" s="145" t="s">
        <v>462</v>
      </c>
      <c r="C116" s="146">
        <f>TAKEOFF!$H$383</f>
        <v>1</v>
      </c>
      <c r="D116" s="147" t="s">
        <v>457</v>
      </c>
      <c r="E116" s="148">
        <f>RATES!$D$78</f>
        <v>16500</v>
      </c>
      <c r="F116" s="115">
        <f>C116*E116</f>
        <v>16500</v>
      </c>
      <c r="G116" s="118" t="s">
        <v>458</v>
      </c>
    </row>
    <row r="117" spans="1:7" ht="27.6" customHeight="1">
      <c r="A117" s="109"/>
      <c r="B117" s="136"/>
      <c r="C117" s="136"/>
      <c r="D117" s="136"/>
      <c r="E117" s="136"/>
      <c r="F117" s="117"/>
    </row>
    <row r="118" spans="1:7" ht="27.6" customHeight="1">
      <c r="A118" s="139" t="s">
        <v>17</v>
      </c>
      <c r="B118" s="145" t="s">
        <v>463</v>
      </c>
      <c r="C118" s="146">
        <f>TAKEOFF!$H$386</f>
        <v>6</v>
      </c>
      <c r="D118" s="147" t="s">
        <v>457</v>
      </c>
      <c r="E118" s="148">
        <f>RATES!$D$79</f>
        <v>1900</v>
      </c>
      <c r="F118" s="115">
        <f>C118*E118</f>
        <v>11400</v>
      </c>
      <c r="G118" s="118" t="s">
        <v>460</v>
      </c>
    </row>
    <row r="119" spans="1:7" ht="27.6" customHeight="1">
      <c r="A119" s="109"/>
      <c r="B119" s="136"/>
      <c r="C119" s="136"/>
      <c r="D119" s="136"/>
      <c r="E119" s="136"/>
      <c r="F119" s="117"/>
    </row>
    <row r="120" spans="1:7" ht="27.6" customHeight="1">
      <c r="A120" s="139" t="s">
        <v>19</v>
      </c>
      <c r="B120" s="145" t="s">
        <v>464</v>
      </c>
      <c r="C120" s="146">
        <f>TAKEOFF!$H$389</f>
        <v>2</v>
      </c>
      <c r="D120" s="147" t="s">
        <v>457</v>
      </c>
      <c r="E120" s="148">
        <f>RATES!$D$80</f>
        <v>6800</v>
      </c>
      <c r="F120" s="115">
        <f>C120*E120</f>
        <v>13600</v>
      </c>
      <c r="G120" s="118" t="s">
        <v>465</v>
      </c>
    </row>
    <row r="121" spans="1:7" ht="27.6" customHeight="1">
      <c r="A121" s="109"/>
      <c r="B121" s="136"/>
      <c r="C121" s="136"/>
      <c r="D121" s="136"/>
      <c r="E121" s="136"/>
      <c r="F121" s="117"/>
    </row>
    <row r="122" spans="1:7" ht="27.6" customHeight="1">
      <c r="A122" s="139" t="s">
        <v>21</v>
      </c>
      <c r="B122" s="145" t="s">
        <v>466</v>
      </c>
      <c r="C122" s="146">
        <f>TAKEOFF!$H$392</f>
        <v>3</v>
      </c>
      <c r="D122" s="147" t="s">
        <v>457</v>
      </c>
      <c r="E122" s="148">
        <f>RATES!$D$82</f>
        <v>7200</v>
      </c>
      <c r="F122" s="115">
        <f>C122*E122</f>
        <v>21600</v>
      </c>
      <c r="G122" s="118" t="s">
        <v>467</v>
      </c>
    </row>
    <row r="123" spans="1:7" ht="27.6" customHeight="1">
      <c r="A123" s="109"/>
      <c r="B123" s="136"/>
      <c r="C123" s="136"/>
      <c r="D123" s="136"/>
      <c r="E123" s="136"/>
      <c r="F123" s="117"/>
    </row>
    <row r="124" spans="1:7" ht="27.6" customHeight="1">
      <c r="A124" s="139" t="s">
        <v>23</v>
      </c>
      <c r="B124" s="145" t="s">
        <v>468</v>
      </c>
      <c r="C124" s="146">
        <f>TAKEOFF!$H$395</f>
        <v>2</v>
      </c>
      <c r="D124" s="147" t="s">
        <v>457</v>
      </c>
      <c r="E124" s="148">
        <f>RATES!$D$84</f>
        <v>6900</v>
      </c>
      <c r="F124" s="115">
        <f>C124*E124</f>
        <v>13800</v>
      </c>
      <c r="G124" s="118" t="s">
        <v>465</v>
      </c>
    </row>
    <row r="125" spans="1:7" ht="27.6" customHeight="1">
      <c r="A125" s="109"/>
      <c r="B125" s="136"/>
      <c r="C125" s="136"/>
      <c r="D125" s="136"/>
      <c r="E125" s="136"/>
      <c r="F125" s="117"/>
    </row>
    <row r="126" spans="1:7" ht="27.6" customHeight="1">
      <c r="A126" s="139" t="s">
        <v>25</v>
      </c>
      <c r="B126" s="145" t="s">
        <v>469</v>
      </c>
      <c r="C126" s="146">
        <f>TAKEOFF!$H$398</f>
        <v>3</v>
      </c>
      <c r="D126" s="147" t="s">
        <v>457</v>
      </c>
      <c r="E126" s="148">
        <f>RATES!$D$85</f>
        <v>14500</v>
      </c>
      <c r="F126" s="115">
        <f>C126*E126</f>
        <v>43500</v>
      </c>
      <c r="G126" s="118" t="s">
        <v>467</v>
      </c>
    </row>
    <row r="127" spans="1:7" ht="27.6" customHeight="1">
      <c r="A127" s="109"/>
      <c r="B127" s="136"/>
      <c r="C127" s="136"/>
      <c r="D127" s="136"/>
      <c r="E127" s="136"/>
      <c r="F127" s="117"/>
    </row>
    <row r="128" spans="1:7" ht="27.6" customHeight="1">
      <c r="A128" s="139" t="s">
        <v>27</v>
      </c>
      <c r="B128" s="145" t="s">
        <v>470</v>
      </c>
      <c r="C128" s="146">
        <f>TAKEOFF!$H$401</f>
        <v>2</v>
      </c>
      <c r="D128" s="147" t="s">
        <v>457</v>
      </c>
      <c r="E128" s="148">
        <f>RATES!$D$91</f>
        <v>12500</v>
      </c>
      <c r="F128" s="115">
        <f>C128*E128</f>
        <v>25000</v>
      </c>
      <c r="G128" s="118" t="s">
        <v>465</v>
      </c>
    </row>
    <row r="129" spans="1:7" ht="27.6" customHeight="1">
      <c r="A129" s="109"/>
      <c r="B129" s="136"/>
      <c r="C129" s="136"/>
      <c r="D129" s="136"/>
      <c r="E129" s="136"/>
      <c r="F129" s="117"/>
    </row>
    <row r="130" spans="1:7" ht="27.6" customHeight="1">
      <c r="A130" s="139" t="s">
        <v>29</v>
      </c>
      <c r="B130" s="145" t="s">
        <v>471</v>
      </c>
      <c r="C130" s="146">
        <f>TAKEOFF!$H$404</f>
        <v>2</v>
      </c>
      <c r="D130" s="147" t="s">
        <v>457</v>
      </c>
      <c r="E130" s="148">
        <f>RATES!$D$92</f>
        <v>15500</v>
      </c>
      <c r="F130" s="115">
        <f>C130*E130</f>
        <v>31000</v>
      </c>
      <c r="G130" s="118" t="s">
        <v>465</v>
      </c>
    </row>
    <row r="131" spans="1:7" ht="27.6" customHeight="1">
      <c r="A131" s="109"/>
      <c r="B131" s="136"/>
      <c r="C131" s="136"/>
      <c r="D131" s="136"/>
      <c r="E131" s="136"/>
      <c r="F131" s="117"/>
    </row>
    <row r="132" spans="1:7" ht="27.6" customHeight="1">
      <c r="A132" s="139" t="s">
        <v>31</v>
      </c>
      <c r="B132" s="145" t="s">
        <v>472</v>
      </c>
      <c r="C132" s="146">
        <f>TAKEOFF!$H$407</f>
        <v>1</v>
      </c>
      <c r="D132" s="147" t="s">
        <v>457</v>
      </c>
      <c r="E132" s="148">
        <f>RATES!$D$93</f>
        <v>33000</v>
      </c>
      <c r="F132" s="115">
        <f>C132*E132</f>
        <v>33000</v>
      </c>
      <c r="G132" s="118" t="s">
        <v>458</v>
      </c>
    </row>
    <row r="133" spans="1:7" ht="27.6" customHeight="1">
      <c r="A133" s="109"/>
      <c r="B133" s="136"/>
      <c r="C133" s="136"/>
      <c r="D133" s="136"/>
      <c r="E133" s="136"/>
      <c r="F133" s="117"/>
    </row>
    <row r="134" spans="1:7" ht="27.6" customHeight="1">
      <c r="A134" s="139" t="s">
        <v>33</v>
      </c>
      <c r="B134" s="145" t="s">
        <v>473</v>
      </c>
      <c r="C134" s="146">
        <f>TAKEOFF!$H$410</f>
        <v>2</v>
      </c>
      <c r="D134" s="147" t="s">
        <v>457</v>
      </c>
      <c r="E134" s="148">
        <f>RATES!$D$99</f>
        <v>23000</v>
      </c>
      <c r="F134" s="115">
        <f>C134*E134</f>
        <v>46000</v>
      </c>
      <c r="G134" s="118" t="s">
        <v>465</v>
      </c>
    </row>
    <row r="135" spans="1:7" ht="27.6" customHeight="1">
      <c r="A135" s="109"/>
      <c r="B135" s="136"/>
      <c r="C135" s="136"/>
      <c r="D135" s="136"/>
      <c r="E135" s="136"/>
      <c r="F135" s="117"/>
    </row>
    <row r="136" spans="1:7" ht="27.6" customHeight="1">
      <c r="A136" s="139" t="s">
        <v>35</v>
      </c>
      <c r="B136" s="145" t="s">
        <v>474</v>
      </c>
      <c r="C136" s="146">
        <f>TAKEOFF!$H$415</f>
        <v>68.300000000000011</v>
      </c>
      <c r="D136" s="147" t="s">
        <v>369</v>
      </c>
      <c r="E136" s="148">
        <f>RATES!$D$100</f>
        <v>125</v>
      </c>
      <c r="F136" s="115">
        <f>C136*E136</f>
        <v>8537.5000000000018</v>
      </c>
      <c r="G136" s="118" t="s">
        <v>475</v>
      </c>
    </row>
    <row r="137" spans="1:7" ht="27.6" customHeight="1">
      <c r="A137" s="109"/>
      <c r="B137" s="136"/>
      <c r="C137" s="136"/>
      <c r="D137" s="136"/>
      <c r="E137" s="136"/>
      <c r="F137" s="117"/>
    </row>
    <row r="138" spans="1:7" ht="27.6" customHeight="1">
      <c r="A138" s="139" t="s">
        <v>37</v>
      </c>
      <c r="B138" s="145" t="s">
        <v>476</v>
      </c>
      <c r="C138" s="146">
        <f>TAKEOFF!$H$420</f>
        <v>68.300000000000011</v>
      </c>
      <c r="D138" s="147" t="s">
        <v>369</v>
      </c>
      <c r="E138" s="148">
        <f>RATES!$D$101</f>
        <v>28</v>
      </c>
      <c r="F138" s="115">
        <f>C138*E138</f>
        <v>1912.4000000000003</v>
      </c>
      <c r="G138" s="118" t="s">
        <v>475</v>
      </c>
    </row>
    <row r="139" spans="1:7" s="9" customFormat="1" ht="31.8" customHeight="1">
      <c r="A139" s="139"/>
      <c r="B139" s="145"/>
      <c r="C139" s="146"/>
      <c r="D139" s="147"/>
      <c r="E139" s="148"/>
      <c r="F139" s="115"/>
      <c r="G139" s="118"/>
    </row>
    <row r="140" spans="1:7" ht="27.6" customHeight="1" thickBot="1">
      <c r="A140" s="165"/>
      <c r="B140" s="166" t="s">
        <v>1278</v>
      </c>
      <c r="C140" s="167"/>
      <c r="D140" s="167"/>
      <c r="E140" s="167"/>
      <c r="F140" s="168">
        <f>SUM(F106:F138)</f>
        <v>308649.90000000002</v>
      </c>
    </row>
    <row r="141" spans="1:7" s="9" customFormat="1" ht="27.6" customHeight="1" thickBot="1">
      <c r="A141" s="109"/>
      <c r="B141" s="164" t="s">
        <v>1279</v>
      </c>
      <c r="C141" s="136"/>
      <c r="D141" s="136"/>
      <c r="E141" s="136"/>
      <c r="F141" s="168">
        <f>F140</f>
        <v>308649.90000000002</v>
      </c>
    </row>
    <row r="142" spans="1:7" s="9" customFormat="1" ht="27.6" customHeight="1">
      <c r="A142" s="109"/>
      <c r="B142" s="136"/>
      <c r="C142" s="136"/>
      <c r="D142" s="136"/>
      <c r="E142" s="136"/>
      <c r="F142" s="169"/>
    </row>
    <row r="143" spans="1:7" ht="27.6" customHeight="1">
      <c r="A143" s="109"/>
      <c r="B143" s="144" t="s">
        <v>477</v>
      </c>
      <c r="C143" s="136"/>
      <c r="D143" s="136"/>
      <c r="E143" s="136"/>
      <c r="F143" s="117"/>
    </row>
    <row r="144" spans="1:7" ht="27.6" customHeight="1">
      <c r="A144" s="139" t="s">
        <v>39</v>
      </c>
      <c r="B144" s="145" t="s">
        <v>478</v>
      </c>
      <c r="C144" s="146">
        <f>TAKEOFF!$H$424</f>
        <v>20</v>
      </c>
      <c r="D144" s="147" t="s">
        <v>479</v>
      </c>
      <c r="E144" s="148">
        <f>RATES!$D$102</f>
        <v>125</v>
      </c>
      <c r="F144" s="115">
        <f>C144*E144</f>
        <v>2500</v>
      </c>
      <c r="G144" s="118" t="s">
        <v>480</v>
      </c>
    </row>
    <row r="145" spans="1:7" ht="27.6" customHeight="1">
      <c r="A145" s="109"/>
      <c r="B145" s="136"/>
      <c r="C145" s="136"/>
      <c r="D145" s="136"/>
      <c r="E145" s="136"/>
      <c r="F145" s="117"/>
    </row>
    <row r="146" spans="1:7" ht="27.6" customHeight="1">
      <c r="A146" s="139" t="s">
        <v>418</v>
      </c>
      <c r="B146" s="145" t="s">
        <v>481</v>
      </c>
      <c r="C146" s="146">
        <f>TAKEOFF!$H$427</f>
        <v>7</v>
      </c>
      <c r="D146" s="147" t="s">
        <v>457</v>
      </c>
      <c r="E146" s="148">
        <f>RATES!$D$103</f>
        <v>480</v>
      </c>
      <c r="F146" s="115">
        <f>C146*E146</f>
        <v>3360</v>
      </c>
      <c r="G146" s="118" t="s">
        <v>482</v>
      </c>
    </row>
    <row r="147" spans="1:7" ht="27.6" customHeight="1">
      <c r="A147" s="109"/>
      <c r="B147" s="136"/>
      <c r="C147" s="136"/>
      <c r="D147" s="136"/>
      <c r="E147" s="136"/>
      <c r="F147" s="117"/>
    </row>
    <row r="148" spans="1:7" ht="27.6" customHeight="1">
      <c r="A148" s="139" t="s">
        <v>421</v>
      </c>
      <c r="B148" s="145" t="s">
        <v>483</v>
      </c>
      <c r="C148" s="146">
        <f>TAKEOFF!$H$430</f>
        <v>6</v>
      </c>
      <c r="D148" s="147" t="s">
        <v>457</v>
      </c>
      <c r="E148" s="148">
        <f>RATES!$D$104</f>
        <v>560</v>
      </c>
      <c r="F148" s="115">
        <f>C148*E148</f>
        <v>3360</v>
      </c>
      <c r="G148" s="118" t="s">
        <v>460</v>
      </c>
    </row>
    <row r="149" spans="1:7" ht="27.6" customHeight="1">
      <c r="A149" s="109"/>
      <c r="B149" s="136"/>
      <c r="C149" s="136"/>
      <c r="D149" s="136"/>
      <c r="E149" s="136"/>
      <c r="F149" s="117"/>
    </row>
    <row r="150" spans="1:7" ht="27.6" customHeight="1">
      <c r="A150" s="109"/>
      <c r="B150" s="144" t="s">
        <v>484</v>
      </c>
      <c r="C150" s="136"/>
      <c r="D150" s="136"/>
      <c r="E150" s="136"/>
      <c r="F150" s="117"/>
    </row>
    <row r="151" spans="1:7" ht="27.6" customHeight="1">
      <c r="A151" s="139" t="s">
        <v>424</v>
      </c>
      <c r="B151" s="145" t="s">
        <v>485</v>
      </c>
      <c r="C151" s="146">
        <f>TAKEOFF!$H$434</f>
        <v>1</v>
      </c>
      <c r="D151" s="147" t="s">
        <v>457</v>
      </c>
      <c r="E151" s="148">
        <f>RATES!$D$108</f>
        <v>10533.600000000002</v>
      </c>
      <c r="F151" s="115">
        <f>C151*E151</f>
        <v>10533.600000000002</v>
      </c>
      <c r="G151" s="118" t="s">
        <v>458</v>
      </c>
    </row>
    <row r="152" spans="1:7" ht="27.6" customHeight="1">
      <c r="A152" s="109"/>
      <c r="B152" s="136"/>
      <c r="C152" s="136"/>
      <c r="D152" s="136"/>
      <c r="E152" s="136"/>
      <c r="F152" s="117"/>
    </row>
    <row r="153" spans="1:7" ht="27.6" customHeight="1">
      <c r="A153" s="139" t="s">
        <v>427</v>
      </c>
      <c r="B153" s="145" t="s">
        <v>486</v>
      </c>
      <c r="C153" s="146">
        <f>TAKEOFF!$H$437</f>
        <v>1</v>
      </c>
      <c r="D153" s="147" t="s">
        <v>457</v>
      </c>
      <c r="E153" s="148">
        <f>RATES!$D$110</f>
        <v>4158.0000000000009</v>
      </c>
      <c r="F153" s="115">
        <f>C153*E153</f>
        <v>4158.0000000000009</v>
      </c>
      <c r="G153" s="118" t="s">
        <v>458</v>
      </c>
    </row>
    <row r="154" spans="1:7" ht="27.6" customHeight="1">
      <c r="A154" s="109"/>
      <c r="B154" s="136"/>
      <c r="C154" s="136"/>
      <c r="D154" s="136"/>
      <c r="E154" s="136"/>
      <c r="F154" s="117"/>
    </row>
    <row r="155" spans="1:7" ht="27.6" customHeight="1">
      <c r="A155" s="139" t="s">
        <v>430</v>
      </c>
      <c r="B155" s="145" t="s">
        <v>487</v>
      </c>
      <c r="C155" s="146">
        <f>TAKEOFF!$H$440</f>
        <v>1</v>
      </c>
      <c r="D155" s="147" t="s">
        <v>457</v>
      </c>
      <c r="E155" s="148">
        <f>RATES!$D$112</f>
        <v>5266.8000000000011</v>
      </c>
      <c r="F155" s="115">
        <f>C155*E155</f>
        <v>5266.8000000000011</v>
      </c>
      <c r="G155" s="118" t="s">
        <v>458</v>
      </c>
    </row>
    <row r="156" spans="1:7" ht="27.6" customHeight="1">
      <c r="A156" s="109"/>
      <c r="B156" s="136"/>
      <c r="C156" s="136"/>
      <c r="D156" s="136"/>
      <c r="E156" s="136"/>
      <c r="F156" s="117"/>
    </row>
    <row r="157" spans="1:7" ht="27.6" customHeight="1">
      <c r="A157" s="139" t="s">
        <v>433</v>
      </c>
      <c r="B157" s="145" t="s">
        <v>488</v>
      </c>
      <c r="C157" s="146">
        <f>TAKEOFF!$H$443</f>
        <v>1</v>
      </c>
      <c r="D157" s="147" t="s">
        <v>457</v>
      </c>
      <c r="E157" s="148">
        <f>RATES!$D$113</f>
        <v>8085.0000000000009</v>
      </c>
      <c r="F157" s="115">
        <f>C157*E157</f>
        <v>8085.0000000000009</v>
      </c>
      <c r="G157" s="118" t="s">
        <v>458</v>
      </c>
    </row>
    <row r="158" spans="1:7" ht="27.6" customHeight="1">
      <c r="A158" s="109"/>
      <c r="B158" s="136"/>
      <c r="C158" s="136"/>
      <c r="D158" s="136"/>
      <c r="E158" s="136"/>
      <c r="F158" s="117"/>
    </row>
    <row r="159" spans="1:7" ht="27.6" customHeight="1">
      <c r="A159" s="139" t="s">
        <v>436</v>
      </c>
      <c r="B159" s="145" t="s">
        <v>489</v>
      </c>
      <c r="C159" s="146">
        <f>TAKEOFF!$H$446</f>
        <v>3</v>
      </c>
      <c r="D159" s="147" t="s">
        <v>457</v>
      </c>
      <c r="E159" s="148">
        <f>RATES!$D$121</f>
        <v>12196.800000000003</v>
      </c>
      <c r="F159" s="115">
        <f>C159*E159</f>
        <v>36590.400000000009</v>
      </c>
      <c r="G159" s="118" t="s">
        <v>467</v>
      </c>
    </row>
    <row r="160" spans="1:7" ht="27.6" customHeight="1">
      <c r="A160" s="109"/>
      <c r="B160" s="136"/>
      <c r="C160" s="136"/>
      <c r="D160" s="136"/>
      <c r="E160" s="136"/>
      <c r="F160" s="117"/>
    </row>
    <row r="161" spans="1:7" ht="27.6" customHeight="1">
      <c r="A161" s="139" t="s">
        <v>439</v>
      </c>
      <c r="B161" s="145" t="s">
        <v>490</v>
      </c>
      <c r="C161" s="146">
        <f>TAKEOFF!$H$449</f>
        <v>2</v>
      </c>
      <c r="D161" s="147" t="s">
        <v>457</v>
      </c>
      <c r="E161" s="148">
        <f>RATES!$D$123</f>
        <v>7022.4000000000005</v>
      </c>
      <c r="F161" s="115">
        <f>C161*E161</f>
        <v>14044.800000000001</v>
      </c>
      <c r="G161" s="118" t="s">
        <v>465</v>
      </c>
    </row>
    <row r="162" spans="1:7" ht="27.6" customHeight="1">
      <c r="A162" s="109"/>
      <c r="B162" s="136"/>
      <c r="C162" s="136"/>
      <c r="D162" s="136"/>
      <c r="E162" s="136"/>
      <c r="F162" s="117"/>
    </row>
    <row r="163" spans="1:7" ht="27.6" customHeight="1">
      <c r="A163" s="139" t="s">
        <v>9</v>
      </c>
      <c r="B163" s="145" t="s">
        <v>491</v>
      </c>
      <c r="C163" s="146">
        <f>TAKEOFF!$H$452</f>
        <v>2</v>
      </c>
      <c r="D163" s="147" t="s">
        <v>457</v>
      </c>
      <c r="E163" s="148">
        <f>RATES!$D$126</f>
        <v>2910.6000000000008</v>
      </c>
      <c r="F163" s="115">
        <f>C163*E163</f>
        <v>5821.2000000000016</v>
      </c>
      <c r="G163" s="118" t="s">
        <v>465</v>
      </c>
    </row>
    <row r="164" spans="1:7" ht="27.6" customHeight="1">
      <c r="A164" s="109"/>
      <c r="B164" s="136"/>
      <c r="C164" s="136"/>
      <c r="D164" s="136"/>
      <c r="E164" s="136"/>
      <c r="F164" s="117"/>
    </row>
    <row r="165" spans="1:7" ht="27.6" customHeight="1">
      <c r="A165" s="139" t="s">
        <v>11</v>
      </c>
      <c r="B165" s="145" t="s">
        <v>492</v>
      </c>
      <c r="C165" s="146">
        <f>TAKEOFF!$H$455</f>
        <v>4</v>
      </c>
      <c r="D165" s="147" t="s">
        <v>457</v>
      </c>
      <c r="E165" s="148">
        <f>RATES!$D$128</f>
        <v>831.60000000000014</v>
      </c>
      <c r="F165" s="115">
        <f>C165*E165</f>
        <v>3326.4000000000005</v>
      </c>
      <c r="G165" s="118" t="s">
        <v>493</v>
      </c>
    </row>
    <row r="166" spans="1:7" ht="27.6" customHeight="1">
      <c r="A166" s="109"/>
      <c r="B166" s="136"/>
      <c r="C166" s="136"/>
      <c r="D166" s="136"/>
      <c r="E166" s="136"/>
      <c r="F166" s="117"/>
    </row>
    <row r="167" spans="1:7" ht="27.6" customHeight="1">
      <c r="A167" s="139" t="s">
        <v>13</v>
      </c>
      <c r="B167" s="145" t="s">
        <v>494</v>
      </c>
      <c r="C167" s="146">
        <f>TAKEOFF!$H$458</f>
        <v>1</v>
      </c>
      <c r="D167" s="147" t="s">
        <v>457</v>
      </c>
      <c r="E167" s="148">
        <f>RATES!$D$129</f>
        <v>693</v>
      </c>
      <c r="F167" s="115">
        <f>C167*E167</f>
        <v>693</v>
      </c>
      <c r="G167" s="118" t="s">
        <v>458</v>
      </c>
    </row>
    <row r="168" spans="1:7" ht="27.6" customHeight="1">
      <c r="A168" s="109"/>
      <c r="B168" s="136"/>
      <c r="C168" s="136"/>
      <c r="D168" s="136"/>
      <c r="E168" s="136"/>
      <c r="F168" s="117"/>
    </row>
    <row r="169" spans="1:7" s="9" customFormat="1" ht="27.6" customHeight="1" thickBot="1">
      <c r="A169" s="141"/>
      <c r="B169" s="154" t="str">
        <f>B107</f>
        <v>ELEMENT NO. 4: WINDOWS/DOORS</v>
      </c>
      <c r="C169" s="142"/>
      <c r="D169" s="142"/>
      <c r="E169" s="143"/>
      <c r="F169" s="116">
        <f>SUM(F141:F168)</f>
        <v>406389.10000000003</v>
      </c>
    </row>
    <row r="170" spans="1:7" s="9" customFormat="1" ht="27.6" customHeight="1" thickTop="1" thickBot="1">
      <c r="A170" s="150"/>
      <c r="B170" s="151" t="s">
        <v>339</v>
      </c>
      <c r="C170" s="152"/>
      <c r="D170" s="152"/>
      <c r="E170" s="152"/>
      <c r="F170" s="153"/>
    </row>
    <row r="171" spans="1:7" ht="26.4" customHeight="1" thickTop="1">
      <c r="A171" s="109"/>
      <c r="B171" s="136"/>
      <c r="C171" s="136"/>
      <c r="D171" s="136"/>
      <c r="E171" s="136"/>
      <c r="F171" s="117"/>
    </row>
    <row r="172" spans="1:7" ht="26.4" customHeight="1">
      <c r="A172" s="109"/>
      <c r="B172" s="136"/>
      <c r="C172" s="136"/>
      <c r="D172" s="136"/>
      <c r="E172" s="136"/>
      <c r="F172" s="117"/>
    </row>
    <row r="173" spans="1:7" ht="26.4" customHeight="1">
      <c r="A173" s="109"/>
      <c r="B173" s="137" t="s">
        <v>382</v>
      </c>
      <c r="C173" s="136"/>
      <c r="D173" s="136"/>
      <c r="E173" s="136"/>
      <c r="F173" s="117"/>
    </row>
    <row r="174" spans="1:7" ht="26.4" customHeight="1">
      <c r="A174" s="109"/>
      <c r="B174" s="136"/>
      <c r="C174" s="136"/>
      <c r="D174" s="136"/>
      <c r="E174" s="136"/>
      <c r="F174" s="117"/>
    </row>
    <row r="175" spans="1:7" ht="26.4" customHeight="1">
      <c r="A175" s="109"/>
      <c r="B175" s="144" t="s">
        <v>495</v>
      </c>
      <c r="C175" s="136"/>
      <c r="D175" s="136"/>
      <c r="E175" s="136"/>
      <c r="F175" s="117"/>
    </row>
    <row r="176" spans="1:7" ht="26.4" customHeight="1">
      <c r="A176" s="139" t="s">
        <v>9</v>
      </c>
      <c r="B176" s="145" t="s">
        <v>496</v>
      </c>
      <c r="C176" s="146">
        <f>TAKEOFF!$H$463</f>
        <v>749.4</v>
      </c>
      <c r="D176" s="147" t="s">
        <v>322</v>
      </c>
      <c r="E176" s="148">
        <f>RATES!$D$50</f>
        <v>68</v>
      </c>
      <c r="F176" s="115">
        <f>C176*E176</f>
        <v>50959.199999999997</v>
      </c>
      <c r="G176" s="118" t="s">
        <v>497</v>
      </c>
    </row>
    <row r="177" spans="1:7" ht="26.4" customHeight="1">
      <c r="A177" s="109"/>
      <c r="B177" s="136"/>
      <c r="C177" s="136"/>
      <c r="D177" s="136"/>
      <c r="E177" s="136"/>
      <c r="F177" s="117"/>
    </row>
    <row r="178" spans="1:7" ht="26.4" customHeight="1">
      <c r="A178" s="139" t="s">
        <v>11</v>
      </c>
      <c r="B178" s="145" t="s">
        <v>498</v>
      </c>
      <c r="C178" s="146">
        <f>TAKEOFF!$H$478</f>
        <v>844.62</v>
      </c>
      <c r="D178" s="147" t="s">
        <v>322</v>
      </c>
      <c r="E178" s="148">
        <f>RATES!$D$51</f>
        <v>48</v>
      </c>
      <c r="F178" s="115">
        <f>C178*E178</f>
        <v>40541.760000000002</v>
      </c>
      <c r="G178" s="118" t="s">
        <v>499</v>
      </c>
    </row>
    <row r="179" spans="1:7" ht="26.4" customHeight="1">
      <c r="A179" s="109"/>
      <c r="B179" s="136"/>
      <c r="C179" s="136"/>
      <c r="D179" s="136"/>
      <c r="E179" s="136"/>
      <c r="F179" s="117"/>
    </row>
    <row r="180" spans="1:7" ht="26.4" customHeight="1">
      <c r="A180" s="139" t="s">
        <v>13</v>
      </c>
      <c r="B180" s="145" t="s">
        <v>500</v>
      </c>
      <c r="C180" s="146">
        <f>TAKEOFF!$H$481</f>
        <v>18.100000000000001</v>
      </c>
      <c r="D180" s="147" t="s">
        <v>322</v>
      </c>
      <c r="E180" s="148">
        <f>RATES!$D$53</f>
        <v>230</v>
      </c>
      <c r="F180" s="115">
        <f>C180*E180</f>
        <v>4163</v>
      </c>
      <c r="G180" s="118" t="s">
        <v>501</v>
      </c>
    </row>
    <row r="181" spans="1:7" ht="26.4" customHeight="1">
      <c r="A181" s="109"/>
      <c r="B181" s="136"/>
      <c r="C181" s="136"/>
      <c r="D181" s="136"/>
      <c r="E181" s="136"/>
      <c r="F181" s="117"/>
    </row>
    <row r="182" spans="1:7" ht="26.4" customHeight="1">
      <c r="A182" s="139" t="s">
        <v>15</v>
      </c>
      <c r="B182" s="145" t="s">
        <v>502</v>
      </c>
      <c r="C182" s="146">
        <f>TAKEOFF!$H$495</f>
        <v>95.22</v>
      </c>
      <c r="D182" s="147" t="s">
        <v>322</v>
      </c>
      <c r="E182" s="148">
        <f>RATES!$D$54</f>
        <v>270</v>
      </c>
      <c r="F182" s="115">
        <f>C182*E182</f>
        <v>25709.4</v>
      </c>
      <c r="G182" s="118" t="s">
        <v>503</v>
      </c>
    </row>
    <row r="183" spans="1:7" ht="26.4" customHeight="1">
      <c r="A183" s="109"/>
      <c r="B183" s="136"/>
      <c r="C183" s="136"/>
      <c r="D183" s="136"/>
      <c r="E183" s="136"/>
      <c r="F183" s="117"/>
    </row>
    <row r="184" spans="1:7" ht="26.4" customHeight="1">
      <c r="A184" s="139" t="s">
        <v>17</v>
      </c>
      <c r="B184" s="145" t="s">
        <v>504</v>
      </c>
      <c r="C184" s="146">
        <f>TAKEOFF!$H$498</f>
        <v>208.6</v>
      </c>
      <c r="D184" s="147" t="s">
        <v>322</v>
      </c>
      <c r="E184" s="148">
        <f>RATES!$D$55</f>
        <v>265</v>
      </c>
      <c r="F184" s="115">
        <f>C184*E184</f>
        <v>55279</v>
      </c>
      <c r="G184" s="118" t="s">
        <v>505</v>
      </c>
    </row>
    <row r="185" spans="1:7" ht="26.4" customHeight="1">
      <c r="A185" s="109"/>
      <c r="B185" s="136"/>
      <c r="C185" s="136"/>
      <c r="D185" s="136"/>
      <c r="E185" s="136"/>
      <c r="F185" s="117"/>
    </row>
    <row r="186" spans="1:7" ht="26.4" customHeight="1">
      <c r="A186" s="139" t="s">
        <v>19</v>
      </c>
      <c r="B186" s="145" t="s">
        <v>506</v>
      </c>
      <c r="C186" s="146">
        <f>TAKEOFF!$H$501</f>
        <v>52</v>
      </c>
      <c r="D186" s="147" t="s">
        <v>322</v>
      </c>
      <c r="E186" s="148">
        <f>RATES!$D$56</f>
        <v>330</v>
      </c>
      <c r="F186" s="115">
        <f>C186*E186</f>
        <v>17160</v>
      </c>
      <c r="G186" s="118" t="s">
        <v>507</v>
      </c>
    </row>
    <row r="187" spans="1:7" ht="26.4" customHeight="1">
      <c r="A187" s="109"/>
      <c r="B187" s="136"/>
      <c r="C187" s="136"/>
      <c r="D187" s="136"/>
      <c r="E187" s="136"/>
      <c r="F187" s="117"/>
    </row>
    <row r="188" spans="1:7" ht="26.4" customHeight="1">
      <c r="A188" s="139" t="s">
        <v>21</v>
      </c>
      <c r="B188" s="145" t="s">
        <v>508</v>
      </c>
      <c r="C188" s="146">
        <f>TAKEOFF!$H$504</f>
        <v>470.8</v>
      </c>
      <c r="D188" s="147" t="s">
        <v>322</v>
      </c>
      <c r="E188" s="148">
        <f>RATES!$D$57</f>
        <v>250</v>
      </c>
      <c r="F188" s="115">
        <f>C188*E188</f>
        <v>117700</v>
      </c>
      <c r="G188" s="118" t="s">
        <v>509</v>
      </c>
    </row>
    <row r="189" spans="1:7" ht="26.4" customHeight="1">
      <c r="A189" s="109"/>
      <c r="B189" s="136"/>
      <c r="C189" s="136"/>
      <c r="D189" s="136"/>
      <c r="E189" s="136"/>
      <c r="F189" s="117"/>
    </row>
    <row r="190" spans="1:7" ht="26.4" customHeight="1">
      <c r="A190" s="139" t="s">
        <v>23</v>
      </c>
      <c r="B190" s="145" t="s">
        <v>510</v>
      </c>
      <c r="C190" s="146">
        <f>TAKEOFF!$H$507</f>
        <v>1</v>
      </c>
      <c r="D190" s="147" t="s">
        <v>322</v>
      </c>
      <c r="E190" s="148">
        <f>RATES!$D$58</f>
        <v>360</v>
      </c>
      <c r="F190" s="115">
        <f>C190*E190</f>
        <v>360</v>
      </c>
      <c r="G190" s="118" t="s">
        <v>511</v>
      </c>
    </row>
    <row r="191" spans="1:7" ht="26.4" customHeight="1">
      <c r="A191" s="109"/>
      <c r="B191" s="136"/>
      <c r="C191" s="136"/>
      <c r="D191" s="136"/>
      <c r="E191" s="136"/>
      <c r="F191" s="117"/>
    </row>
    <row r="192" spans="1:7" s="9" customFormat="1" ht="26.4" customHeight="1" thickBot="1">
      <c r="A192" s="141"/>
      <c r="B192" s="154" t="str">
        <f>B173</f>
        <v>ELEMENT NO. 5: FLOOR FINISHES</v>
      </c>
      <c r="C192" s="142"/>
      <c r="D192" s="142"/>
      <c r="E192" s="143"/>
      <c r="F192" s="116">
        <f>SUM(F175:F191)</f>
        <v>311872.36</v>
      </c>
    </row>
    <row r="193" spans="1:7" s="9" customFormat="1" ht="24.6" thickTop="1" thickBot="1">
      <c r="A193" s="150"/>
      <c r="B193" s="151" t="s">
        <v>339</v>
      </c>
      <c r="C193" s="152"/>
      <c r="D193" s="152"/>
      <c r="E193" s="152"/>
      <c r="F193" s="153"/>
    </row>
    <row r="194" spans="1:7" ht="23.4" customHeight="1" thickTop="1">
      <c r="A194" s="109"/>
      <c r="B194" s="136"/>
      <c r="C194" s="136"/>
      <c r="D194" s="136"/>
      <c r="E194" s="136"/>
      <c r="F194" s="117"/>
    </row>
    <row r="195" spans="1:7" ht="23.4" customHeight="1">
      <c r="A195" s="109"/>
      <c r="B195" s="136"/>
      <c r="C195" s="136"/>
      <c r="D195" s="136"/>
      <c r="E195" s="136"/>
      <c r="F195" s="117"/>
    </row>
    <row r="196" spans="1:7" ht="23.4" customHeight="1">
      <c r="A196" s="109"/>
      <c r="B196" s="137" t="s">
        <v>383</v>
      </c>
      <c r="C196" s="136"/>
      <c r="D196" s="136"/>
      <c r="E196" s="136"/>
      <c r="F196" s="117"/>
    </row>
    <row r="197" spans="1:7" ht="23.4" customHeight="1">
      <c r="A197" s="109"/>
      <c r="B197" s="136"/>
      <c r="C197" s="136"/>
      <c r="D197" s="136"/>
      <c r="E197" s="136"/>
      <c r="F197" s="117"/>
    </row>
    <row r="198" spans="1:7" ht="23.4" customHeight="1">
      <c r="A198" s="109"/>
      <c r="B198" s="144" t="s">
        <v>512</v>
      </c>
      <c r="C198" s="136"/>
      <c r="D198" s="136"/>
      <c r="E198" s="136"/>
      <c r="F198" s="117"/>
    </row>
    <row r="199" spans="1:7" ht="23.4" customHeight="1">
      <c r="A199" s="139" t="s">
        <v>9</v>
      </c>
      <c r="B199" s="145" t="s">
        <v>513</v>
      </c>
      <c r="C199" s="146">
        <f>TAKEOFF!$H$538</f>
        <v>1024.7734526315794</v>
      </c>
      <c r="D199" s="147" t="s">
        <v>322</v>
      </c>
      <c r="E199" s="148">
        <f>RATES!$D$48</f>
        <v>78</v>
      </c>
      <c r="F199" s="115">
        <f>C199*E199</f>
        <v>79932.329305263193</v>
      </c>
      <c r="G199" s="118" t="s">
        <v>514</v>
      </c>
    </row>
    <row r="200" spans="1:7" ht="23.4" customHeight="1">
      <c r="A200" s="109"/>
      <c r="B200" s="136"/>
      <c r="C200" s="136"/>
      <c r="D200" s="136"/>
      <c r="E200" s="136"/>
      <c r="F200" s="117"/>
    </row>
    <row r="201" spans="1:7" ht="23.4" customHeight="1">
      <c r="A201" s="139" t="s">
        <v>11</v>
      </c>
      <c r="B201" s="145" t="s">
        <v>515</v>
      </c>
      <c r="C201" s="146">
        <f>TAKEOFF!$H$542</f>
        <v>129.31973684210527</v>
      </c>
      <c r="D201" s="147" t="s">
        <v>322</v>
      </c>
      <c r="E201" s="148">
        <f>RATES!$D$48</f>
        <v>78</v>
      </c>
      <c r="F201" s="115">
        <f>C201*E201</f>
        <v>10086.939473684211</v>
      </c>
      <c r="G201" s="118" t="s">
        <v>516</v>
      </c>
    </row>
    <row r="202" spans="1:7" ht="23.4" customHeight="1">
      <c r="A202" s="109"/>
      <c r="B202" s="136"/>
      <c r="C202" s="136"/>
      <c r="D202" s="136"/>
      <c r="E202" s="136"/>
      <c r="F202" s="117"/>
    </row>
    <row r="203" spans="1:7" ht="23.4" customHeight="1">
      <c r="A203" s="139" t="s">
        <v>13</v>
      </c>
      <c r="B203" s="145" t="s">
        <v>517</v>
      </c>
      <c r="C203" s="146">
        <f>TAKEOFF!$H$554</f>
        <v>489.9899999999999</v>
      </c>
      <c r="D203" s="147" t="s">
        <v>322</v>
      </c>
      <c r="E203" s="148">
        <f>RATES!$D$49</f>
        <v>88</v>
      </c>
      <c r="F203" s="115">
        <f>C203*E203</f>
        <v>43119.119999999988</v>
      </c>
      <c r="G203" s="118" t="s">
        <v>518</v>
      </c>
    </row>
    <row r="204" spans="1:7" ht="23.4" customHeight="1">
      <c r="A204" s="109"/>
      <c r="B204" s="136"/>
      <c r="C204" s="136"/>
      <c r="D204" s="136"/>
      <c r="E204" s="136"/>
      <c r="F204" s="117"/>
    </row>
    <row r="205" spans="1:7" ht="23.4" customHeight="1">
      <c r="A205" s="139" t="s">
        <v>15</v>
      </c>
      <c r="B205" s="145" t="s">
        <v>519</v>
      </c>
      <c r="C205" s="146">
        <f>TAKEOFF!$H$558</f>
        <v>83.593421052631584</v>
      </c>
      <c r="D205" s="147" t="s">
        <v>322</v>
      </c>
      <c r="E205" s="148">
        <f>RATES!$D$52</f>
        <v>55</v>
      </c>
      <c r="F205" s="115">
        <f>C205*E205</f>
        <v>4597.6381578947367</v>
      </c>
      <c r="G205" s="118" t="s">
        <v>520</v>
      </c>
    </row>
    <row r="206" spans="1:7" ht="23.4" customHeight="1">
      <c r="A206" s="109"/>
      <c r="B206" s="136"/>
      <c r="C206" s="136"/>
      <c r="D206" s="136"/>
      <c r="E206" s="136"/>
      <c r="F206" s="117"/>
    </row>
    <row r="207" spans="1:7" ht="23.4" customHeight="1">
      <c r="A207" s="139" t="s">
        <v>17</v>
      </c>
      <c r="B207" s="145" t="s">
        <v>521</v>
      </c>
      <c r="C207" s="146">
        <f>TAKEOFF!$H$562</f>
        <v>83.593421052631584</v>
      </c>
      <c r="D207" s="147" t="s">
        <v>322</v>
      </c>
      <c r="E207" s="148">
        <f>RATES!$D$60</f>
        <v>240</v>
      </c>
      <c r="F207" s="115">
        <f>C207*E207</f>
        <v>20062.42105263158</v>
      </c>
      <c r="G207" s="118" t="s">
        <v>520</v>
      </c>
    </row>
    <row r="208" spans="1:7" ht="23.4" customHeight="1">
      <c r="A208" s="109"/>
      <c r="B208" s="136"/>
      <c r="C208" s="136"/>
      <c r="D208" s="136"/>
      <c r="E208" s="136"/>
      <c r="F208" s="117"/>
    </row>
    <row r="209" spans="1:7" s="9" customFormat="1" ht="23.4" customHeight="1" thickBot="1">
      <c r="A209" s="141"/>
      <c r="B209" s="154" t="str">
        <f>B196</f>
        <v>ELEMENT NO. 6: WALL FINISHES</v>
      </c>
      <c r="C209" s="142"/>
      <c r="D209" s="142"/>
      <c r="E209" s="143"/>
      <c r="F209" s="116">
        <f>SUM(F198:F208)</f>
        <v>157798.4479894737</v>
      </c>
    </row>
    <row r="210" spans="1:7" s="9" customFormat="1" ht="23.4" customHeight="1" thickTop="1" thickBot="1">
      <c r="A210" s="150"/>
      <c r="B210" s="151" t="s">
        <v>339</v>
      </c>
      <c r="C210" s="152"/>
      <c r="D210" s="152"/>
      <c r="E210" s="152"/>
      <c r="F210" s="153"/>
    </row>
    <row r="211" spans="1:7" ht="15" thickTop="1">
      <c r="A211" s="109"/>
      <c r="B211" s="136"/>
      <c r="C211" s="136"/>
      <c r="D211" s="136"/>
      <c r="E211" s="136"/>
      <c r="F211" s="117"/>
    </row>
    <row r="212" spans="1:7" ht="23.4">
      <c r="A212" s="109"/>
      <c r="B212" s="137" t="s">
        <v>384</v>
      </c>
      <c r="C212" s="136"/>
      <c r="D212" s="136"/>
      <c r="E212" s="136"/>
      <c r="F212" s="117"/>
    </row>
    <row r="213" spans="1:7">
      <c r="A213" s="109"/>
      <c r="B213" s="136"/>
      <c r="C213" s="136"/>
      <c r="D213" s="136"/>
      <c r="E213" s="136"/>
      <c r="F213" s="117"/>
    </row>
    <row r="214" spans="1:7" ht="24" customHeight="1">
      <c r="A214" s="109"/>
      <c r="B214" s="144" t="s">
        <v>522</v>
      </c>
      <c r="C214" s="136"/>
      <c r="D214" s="136"/>
      <c r="E214" s="136"/>
      <c r="F214" s="117"/>
    </row>
    <row r="215" spans="1:7" ht="24" customHeight="1">
      <c r="A215" s="139" t="s">
        <v>9</v>
      </c>
      <c r="B215" s="145" t="s">
        <v>513</v>
      </c>
      <c r="C215" s="146">
        <f>TAKEOFF!$H$593</f>
        <v>1024.7734526315794</v>
      </c>
      <c r="D215" s="147" t="s">
        <v>322</v>
      </c>
      <c r="E215" s="148">
        <f>RATES!$D$61</f>
        <v>45</v>
      </c>
      <c r="F215" s="115">
        <f>C215*E215</f>
        <v>46114.805368421075</v>
      </c>
      <c r="G215" s="118" t="s">
        <v>514</v>
      </c>
    </row>
    <row r="216" spans="1:7">
      <c r="A216" s="109"/>
      <c r="B216" s="136"/>
      <c r="C216" s="136"/>
      <c r="D216" s="136"/>
      <c r="E216" s="136"/>
      <c r="F216" s="117"/>
    </row>
    <row r="217" spans="1:7" ht="24" customHeight="1">
      <c r="A217" s="139" t="s">
        <v>11</v>
      </c>
      <c r="B217" s="145" t="s">
        <v>523</v>
      </c>
      <c r="C217" s="146">
        <f>TAKEOFF!$H$599</f>
        <v>45.726315789473688</v>
      </c>
      <c r="D217" s="147" t="s">
        <v>322</v>
      </c>
      <c r="E217" s="148">
        <f>RATES!$D$61</f>
        <v>45</v>
      </c>
      <c r="F217" s="115">
        <f>C217*E217</f>
        <v>2057.6842105263158</v>
      </c>
      <c r="G217" s="118" t="s">
        <v>524</v>
      </c>
    </row>
    <row r="218" spans="1:7">
      <c r="A218" s="109"/>
      <c r="B218" s="136"/>
      <c r="C218" s="136"/>
      <c r="D218" s="136"/>
      <c r="E218" s="136"/>
      <c r="F218" s="117"/>
    </row>
    <row r="219" spans="1:7" ht="24" customHeight="1">
      <c r="A219" s="139" t="s">
        <v>13</v>
      </c>
      <c r="B219" s="145" t="s">
        <v>525</v>
      </c>
      <c r="C219" s="146">
        <f>TAKEOFF!$H$611</f>
        <v>489.9899999999999</v>
      </c>
      <c r="D219" s="147" t="s">
        <v>322</v>
      </c>
      <c r="E219" s="148">
        <f>RATES!$D$62</f>
        <v>62</v>
      </c>
      <c r="F219" s="115">
        <f>C219*E219</f>
        <v>30379.379999999994</v>
      </c>
      <c r="G219" s="118" t="s">
        <v>518</v>
      </c>
    </row>
    <row r="220" spans="1:7">
      <c r="A220" s="109"/>
      <c r="B220" s="136"/>
      <c r="C220" s="136"/>
      <c r="D220" s="136"/>
      <c r="E220" s="136"/>
      <c r="F220" s="117"/>
    </row>
    <row r="221" spans="1:7" ht="24" customHeight="1">
      <c r="A221" s="139" t="s">
        <v>15</v>
      </c>
      <c r="B221" s="145" t="s">
        <v>526</v>
      </c>
      <c r="C221" s="146">
        <f>TAKEOFF!$H$624</f>
        <v>417.26</v>
      </c>
      <c r="D221" s="147" t="s">
        <v>322</v>
      </c>
      <c r="E221" s="148">
        <f>RATES!$D$61</f>
        <v>45</v>
      </c>
      <c r="F221" s="115">
        <f>C221*E221</f>
        <v>18776.7</v>
      </c>
      <c r="G221" s="118" t="s">
        <v>407</v>
      </c>
    </row>
    <row r="222" spans="1:7">
      <c r="A222" s="109"/>
      <c r="B222" s="136"/>
      <c r="C222" s="136"/>
      <c r="D222" s="136"/>
      <c r="E222" s="136"/>
      <c r="F222" s="117"/>
    </row>
    <row r="223" spans="1:7" ht="24" customHeight="1">
      <c r="A223" s="139" t="s">
        <v>17</v>
      </c>
      <c r="B223" s="145" t="s">
        <v>527</v>
      </c>
      <c r="C223" s="146">
        <f>TAKEOFF!$H$627</f>
        <v>731.3</v>
      </c>
      <c r="D223" s="147" t="s">
        <v>322</v>
      </c>
      <c r="E223" s="148">
        <f>RATES!$D$63</f>
        <v>48</v>
      </c>
      <c r="F223" s="115">
        <f>C223*E223</f>
        <v>35102.399999999994</v>
      </c>
      <c r="G223" s="118" t="s">
        <v>528</v>
      </c>
    </row>
    <row r="224" spans="1:7">
      <c r="A224" s="109"/>
      <c r="B224" s="136"/>
      <c r="C224" s="136"/>
      <c r="D224" s="136"/>
      <c r="E224" s="136"/>
      <c r="F224" s="117"/>
    </row>
    <row r="225" spans="1:7" ht="24" customHeight="1">
      <c r="A225" s="139" t="s">
        <v>19</v>
      </c>
      <c r="B225" s="145" t="s">
        <v>529</v>
      </c>
      <c r="C225" s="146">
        <f>TAKEOFF!$H$630</f>
        <v>18.100000000000001</v>
      </c>
      <c r="D225" s="147" t="s">
        <v>322</v>
      </c>
      <c r="E225" s="148">
        <f>RATES!$D$63</f>
        <v>48</v>
      </c>
      <c r="F225" s="115">
        <f>C225*E225</f>
        <v>868.80000000000007</v>
      </c>
      <c r="G225" s="118" t="s">
        <v>501</v>
      </c>
    </row>
    <row r="226" spans="1:7">
      <c r="A226" s="109"/>
      <c r="B226" s="136"/>
      <c r="C226" s="136"/>
      <c r="D226" s="136"/>
      <c r="E226" s="136"/>
      <c r="F226" s="117"/>
    </row>
    <row r="227" spans="1:7" ht="48" customHeight="1">
      <c r="A227" s="139" t="s">
        <v>21</v>
      </c>
      <c r="B227" s="145" t="s">
        <v>530</v>
      </c>
      <c r="C227" s="146">
        <f>TAKEOFF!$H$638</f>
        <v>64.865000000000009</v>
      </c>
      <c r="D227" s="147" t="s">
        <v>322</v>
      </c>
      <c r="E227" s="148">
        <f>RATES!$D$64</f>
        <v>72</v>
      </c>
      <c r="F227" s="115">
        <f>C227*E227</f>
        <v>4670.2800000000007</v>
      </c>
      <c r="G227" s="118" t="s">
        <v>531</v>
      </c>
    </row>
    <row r="228" spans="1:7">
      <c r="A228" s="109"/>
      <c r="B228" s="136"/>
      <c r="C228" s="136"/>
      <c r="D228" s="136"/>
      <c r="E228" s="136"/>
      <c r="F228" s="117"/>
    </row>
    <row r="229" spans="1:7" ht="48" customHeight="1">
      <c r="A229" s="139" t="s">
        <v>23</v>
      </c>
      <c r="B229" s="145" t="s">
        <v>532</v>
      </c>
      <c r="C229" s="146">
        <f>TAKEOFF!$H$649</f>
        <v>57.480000000000004</v>
      </c>
      <c r="D229" s="147" t="s">
        <v>322</v>
      </c>
      <c r="E229" s="148">
        <f>RATES!$D$65</f>
        <v>40</v>
      </c>
      <c r="F229" s="115">
        <f>C229*E229</f>
        <v>2299.2000000000003</v>
      </c>
      <c r="G229" s="118" t="s">
        <v>533</v>
      </c>
    </row>
    <row r="230" spans="1:7">
      <c r="A230" s="109"/>
      <c r="B230" s="136"/>
      <c r="C230" s="136"/>
      <c r="D230" s="136"/>
      <c r="E230" s="136"/>
      <c r="F230" s="117"/>
    </row>
    <row r="231" spans="1:7" ht="24" thickBot="1">
      <c r="A231" s="141"/>
      <c r="B231" s="149" t="str">
        <f>B212</f>
        <v>ELEMENT NO. 7: PAINTING AND DECORATING</v>
      </c>
      <c r="C231" s="142"/>
      <c r="D231" s="142"/>
      <c r="E231" s="142"/>
      <c r="F231" s="116">
        <f>SUM(F214:F230)</f>
        <v>140269.24957894738</v>
      </c>
    </row>
    <row r="232" spans="1:7" s="9" customFormat="1" ht="23.4" customHeight="1" thickTop="1" thickBot="1">
      <c r="A232" s="141"/>
      <c r="B232" s="154" t="s">
        <v>339</v>
      </c>
      <c r="C232" s="142"/>
      <c r="D232" s="142"/>
      <c r="E232" s="143"/>
      <c r="F232" s="116"/>
    </row>
    <row r="233" spans="1:7" ht="15" thickTop="1"/>
    <row r="235" spans="1:7" ht="31.2">
      <c r="B235" s="119" t="s">
        <v>534</v>
      </c>
    </row>
  </sheetData>
  <pageMargins left="0.75" right="0.75" top="1" bottom="1" header="0.5" footer="0.5"/>
  <pageSetup scale="40" fitToHeight="0" orientation="portrait" r:id="rId1"/>
  <rowBreaks count="4" manualBreakCount="4">
    <brk id="26" max="5" man="1"/>
    <brk id="93" max="5" man="1"/>
    <brk id="140" max="5" man="1"/>
    <brk id="17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60"/>
  <sheetViews>
    <sheetView view="pageBreakPreview" topLeftCell="A13" zoomScale="60" zoomScaleNormal="69" workbookViewId="0">
      <selection activeCell="G13" sqref="G13"/>
    </sheetView>
  </sheetViews>
  <sheetFormatPr defaultRowHeight="14.4"/>
  <cols>
    <col min="1" max="1" width="13.33203125" style="9" customWidth="1"/>
    <col min="2" max="2" width="122.21875" style="9" customWidth="1"/>
    <col min="3" max="3" width="18" style="9" customWidth="1"/>
    <col min="4" max="4" width="16.554687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1" customHeight="1">
      <c r="A6" s="155"/>
      <c r="B6" s="156"/>
      <c r="C6" s="156"/>
      <c r="D6" s="156"/>
      <c r="E6" s="156"/>
      <c r="F6" s="157"/>
    </row>
    <row r="7" spans="1:7" ht="21" customHeight="1">
      <c r="A7" s="224"/>
      <c r="B7" s="225" t="s">
        <v>313</v>
      </c>
      <c r="C7" s="226"/>
      <c r="D7" s="226"/>
      <c r="E7" s="226"/>
      <c r="F7" s="235"/>
    </row>
    <row r="8" spans="1:7" ht="21" customHeight="1">
      <c r="A8" s="224"/>
      <c r="B8" s="226"/>
      <c r="C8" s="226"/>
      <c r="D8" s="226"/>
      <c r="E8" s="226"/>
      <c r="F8" s="235"/>
    </row>
    <row r="9" spans="1:7" ht="21" customHeight="1">
      <c r="A9" s="224"/>
      <c r="B9" s="225" t="s">
        <v>535</v>
      </c>
      <c r="C9" s="226"/>
      <c r="D9" s="226"/>
      <c r="E9" s="226"/>
      <c r="F9" s="235"/>
    </row>
    <row r="10" spans="1:7" ht="21" customHeight="1">
      <c r="A10" s="224"/>
      <c r="B10" s="226"/>
      <c r="C10" s="226"/>
      <c r="D10" s="226"/>
      <c r="E10" s="226"/>
      <c r="F10" s="235"/>
    </row>
    <row r="11" spans="1:7" ht="21" customHeight="1">
      <c r="A11" s="224"/>
      <c r="B11" s="227" t="s">
        <v>314</v>
      </c>
      <c r="C11" s="226"/>
      <c r="D11" s="226"/>
      <c r="E11" s="226"/>
      <c r="F11" s="235"/>
    </row>
    <row r="12" spans="1:7" ht="21" customHeight="1">
      <c r="A12" s="224"/>
      <c r="B12" s="226"/>
      <c r="C12" s="226"/>
      <c r="D12" s="226"/>
      <c r="E12" s="226"/>
      <c r="F12" s="235"/>
    </row>
    <row r="13" spans="1:7" ht="21" customHeight="1">
      <c r="A13" s="228" t="s">
        <v>9</v>
      </c>
      <c r="B13" s="229" t="s">
        <v>379</v>
      </c>
      <c r="C13" s="226"/>
      <c r="D13" s="226"/>
      <c r="E13" s="226"/>
      <c r="F13" s="236">
        <f>F93</f>
        <v>2886751.5476250001</v>
      </c>
    </row>
    <row r="14" spans="1:7" ht="21" customHeight="1">
      <c r="A14" s="224"/>
      <c r="B14" s="226"/>
      <c r="C14" s="226"/>
      <c r="D14" s="226"/>
      <c r="E14" s="226"/>
      <c r="F14" s="235"/>
    </row>
    <row r="15" spans="1:7" ht="21" customHeight="1">
      <c r="A15" s="228" t="s">
        <v>11</v>
      </c>
      <c r="B15" s="229" t="s">
        <v>380</v>
      </c>
      <c r="C15" s="226"/>
      <c r="D15" s="226"/>
      <c r="E15" s="226"/>
      <c r="F15" s="236">
        <f>F104</f>
        <v>76177.55250000002</v>
      </c>
    </row>
    <row r="16" spans="1:7" ht="21" customHeight="1">
      <c r="A16" s="224"/>
      <c r="B16" s="226"/>
      <c r="C16" s="226"/>
      <c r="D16" s="226"/>
      <c r="E16" s="226"/>
      <c r="F16" s="235"/>
    </row>
    <row r="17" spans="1:6" ht="21" customHeight="1">
      <c r="A17" s="228" t="s">
        <v>13</v>
      </c>
      <c r="B17" s="229" t="s">
        <v>381</v>
      </c>
      <c r="C17" s="226"/>
      <c r="D17" s="226"/>
      <c r="E17" s="226"/>
      <c r="F17" s="236">
        <f>F113</f>
        <v>21600</v>
      </c>
    </row>
    <row r="18" spans="1:6" ht="21" customHeight="1">
      <c r="A18" s="224"/>
      <c r="B18" s="226"/>
      <c r="C18" s="226"/>
      <c r="D18" s="226"/>
      <c r="E18" s="226"/>
      <c r="F18" s="235"/>
    </row>
    <row r="19" spans="1:6" ht="21" customHeight="1">
      <c r="A19" s="228" t="s">
        <v>15</v>
      </c>
      <c r="B19" s="229" t="s">
        <v>382</v>
      </c>
      <c r="C19" s="226"/>
      <c r="D19" s="226"/>
      <c r="E19" s="226"/>
      <c r="F19" s="236">
        <f>F131</f>
        <v>227701.44</v>
      </c>
    </row>
    <row r="20" spans="1:6" ht="21" customHeight="1">
      <c r="A20" s="224"/>
      <c r="B20" s="226"/>
      <c r="C20" s="226"/>
      <c r="D20" s="226"/>
      <c r="E20" s="226"/>
      <c r="F20" s="235"/>
    </row>
    <row r="21" spans="1:6" ht="21" customHeight="1">
      <c r="A21" s="228" t="s">
        <v>17</v>
      </c>
      <c r="B21" s="229" t="s">
        <v>383</v>
      </c>
      <c r="C21" s="226"/>
      <c r="D21" s="226"/>
      <c r="E21" s="226"/>
      <c r="F21" s="236">
        <f>F141</f>
        <v>63462.630000000012</v>
      </c>
    </row>
    <row r="22" spans="1:6" ht="21" customHeight="1">
      <c r="A22" s="224"/>
      <c r="B22" s="226"/>
      <c r="C22" s="226"/>
      <c r="D22" s="226"/>
      <c r="E22" s="226"/>
      <c r="F22" s="235"/>
    </row>
    <row r="23" spans="1:6" ht="21" customHeight="1">
      <c r="A23" s="228" t="s">
        <v>19</v>
      </c>
      <c r="B23" s="229" t="s">
        <v>384</v>
      </c>
      <c r="C23" s="226"/>
      <c r="D23" s="226"/>
      <c r="E23" s="226"/>
      <c r="F23" s="236">
        <f>F156</f>
        <v>53869.882500000007</v>
      </c>
    </row>
    <row r="24" spans="1:6" ht="26.4" customHeight="1">
      <c r="A24" s="109"/>
      <c r="B24" s="136"/>
      <c r="C24" s="136"/>
      <c r="D24" s="136"/>
      <c r="E24" s="136"/>
      <c r="F24" s="117"/>
    </row>
    <row r="25" spans="1:6" s="9" customFormat="1" ht="35.549999999999997" customHeight="1" thickBot="1">
      <c r="A25" s="141"/>
      <c r="B25" s="154" t="str">
        <f>B9</f>
        <v xml:space="preserve"> FIRST FLOOR - LEVEL 2A PARKING (INCL. M2 LEVEL 2B)</v>
      </c>
      <c r="C25" s="142"/>
      <c r="D25" s="142"/>
      <c r="E25" s="143" t="s">
        <v>8</v>
      </c>
      <c r="F25" s="116">
        <f>SUM(F13:F24)</f>
        <v>3329563.052625</v>
      </c>
    </row>
    <row r="26" spans="1:6" s="9" customFormat="1" ht="24.45" customHeight="1" thickTop="1" thickBot="1">
      <c r="A26" s="150"/>
      <c r="B26" s="151" t="s">
        <v>318</v>
      </c>
      <c r="C26" s="152"/>
      <c r="D26" s="152"/>
      <c r="E26" s="152"/>
      <c r="F26" s="153"/>
    </row>
    <row r="27" spans="1:6" ht="15" customHeight="1" thickTop="1">
      <c r="A27" s="109"/>
      <c r="B27" s="136"/>
      <c r="C27" s="136"/>
      <c r="D27" s="136"/>
      <c r="E27" s="136"/>
      <c r="F27" s="117"/>
    </row>
    <row r="28" spans="1:6" ht="24.6" customHeight="1">
      <c r="A28" s="224"/>
      <c r="B28" s="225" t="s">
        <v>536</v>
      </c>
      <c r="C28" s="226"/>
      <c r="D28" s="226"/>
      <c r="E28" s="226"/>
      <c r="F28" s="235"/>
    </row>
    <row r="29" spans="1:6" ht="24.6" customHeight="1">
      <c r="A29" s="224"/>
      <c r="B29" s="226"/>
      <c r="C29" s="226"/>
      <c r="D29" s="226"/>
      <c r="E29" s="226"/>
      <c r="F29" s="235"/>
    </row>
    <row r="30" spans="1:6" ht="24.6" customHeight="1">
      <c r="A30" s="224"/>
      <c r="B30" s="225" t="s">
        <v>379</v>
      </c>
      <c r="C30" s="226"/>
      <c r="D30" s="226"/>
      <c r="E30" s="226"/>
      <c r="F30" s="235"/>
    </row>
    <row r="31" spans="1:6" ht="24.6" customHeight="1">
      <c r="A31" s="224"/>
      <c r="B31" s="226"/>
      <c r="C31" s="226"/>
      <c r="D31" s="226"/>
      <c r="E31" s="226"/>
      <c r="F31" s="235"/>
    </row>
    <row r="32" spans="1:6" ht="24.6" customHeight="1">
      <c r="A32" s="224"/>
      <c r="B32" s="230" t="s">
        <v>344</v>
      </c>
      <c r="C32" s="226"/>
      <c r="D32" s="226"/>
      <c r="E32" s="226"/>
      <c r="F32" s="235"/>
    </row>
    <row r="33" spans="1:7" ht="24.6" customHeight="1">
      <c r="A33" s="228" t="s">
        <v>9</v>
      </c>
      <c r="B33" s="231" t="s">
        <v>386</v>
      </c>
      <c r="C33" s="232">
        <f>TAKEOFF!$H$658</f>
        <v>347.05</v>
      </c>
      <c r="D33" s="233" t="s">
        <v>327</v>
      </c>
      <c r="E33" s="234">
        <f>RATES!$D$22</f>
        <v>2310</v>
      </c>
      <c r="F33" s="236">
        <f>C33*E33</f>
        <v>801685.5</v>
      </c>
      <c r="G33" s="118" t="s">
        <v>537</v>
      </c>
    </row>
    <row r="34" spans="1:7" ht="24.6" customHeight="1">
      <c r="A34" s="224"/>
      <c r="B34" s="226"/>
      <c r="C34" s="226"/>
      <c r="D34" s="226"/>
      <c r="E34" s="226"/>
      <c r="F34" s="235"/>
    </row>
    <row r="35" spans="1:7" ht="24.6" customHeight="1">
      <c r="A35" s="228" t="s">
        <v>11</v>
      </c>
      <c r="B35" s="231" t="s">
        <v>388</v>
      </c>
      <c r="C35" s="232">
        <f>TAKEOFF!$H$663</f>
        <v>18.238499999999998</v>
      </c>
      <c r="D35" s="233" t="s">
        <v>327</v>
      </c>
      <c r="E35" s="234">
        <f>RATES!$D$23</f>
        <v>2310</v>
      </c>
      <c r="F35" s="236">
        <f>C35*E35</f>
        <v>42130.934999999998</v>
      </c>
      <c r="G35" s="118" t="s">
        <v>538</v>
      </c>
    </row>
    <row r="36" spans="1:7" ht="24.6" customHeight="1">
      <c r="A36" s="224"/>
      <c r="B36" s="226"/>
      <c r="C36" s="226"/>
      <c r="D36" s="226"/>
      <c r="E36" s="226"/>
      <c r="F36" s="235"/>
    </row>
    <row r="37" spans="1:7" ht="24.6" customHeight="1">
      <c r="A37" s="228" t="s">
        <v>13</v>
      </c>
      <c r="B37" s="231" t="s">
        <v>390</v>
      </c>
      <c r="C37" s="232">
        <f>TAKEOFF!$H$674</f>
        <v>32.569687500000001</v>
      </c>
      <c r="D37" s="233" t="s">
        <v>327</v>
      </c>
      <c r="E37" s="234">
        <f>RATES!$D$21</f>
        <v>2310</v>
      </c>
      <c r="F37" s="236">
        <f>C37*E37</f>
        <v>75235.978124999994</v>
      </c>
      <c r="G37" s="118" t="s">
        <v>539</v>
      </c>
    </row>
    <row r="38" spans="1:7" ht="24.6" customHeight="1">
      <c r="A38" s="224"/>
      <c r="B38" s="226"/>
      <c r="C38" s="226"/>
      <c r="D38" s="226"/>
      <c r="E38" s="226"/>
      <c r="F38" s="235"/>
    </row>
    <row r="39" spans="1:7" ht="24.6" customHeight="1">
      <c r="A39" s="228" t="s">
        <v>15</v>
      </c>
      <c r="B39" s="231" t="s">
        <v>392</v>
      </c>
      <c r="C39" s="232">
        <f>TAKEOFF!$H$678</f>
        <v>29.167250000000003</v>
      </c>
      <c r="D39" s="233" t="s">
        <v>327</v>
      </c>
      <c r="E39" s="234">
        <f>RATES!$D$20</f>
        <v>2310</v>
      </c>
      <c r="F39" s="236">
        <f>C39*E39</f>
        <v>67376.347500000003</v>
      </c>
      <c r="G39" s="118" t="s">
        <v>540</v>
      </c>
    </row>
    <row r="40" spans="1:7" ht="24.6" customHeight="1">
      <c r="A40" s="224"/>
      <c r="B40" s="226"/>
      <c r="C40" s="226"/>
      <c r="D40" s="226"/>
      <c r="E40" s="226"/>
      <c r="F40" s="235"/>
    </row>
    <row r="41" spans="1:7" ht="24.6" customHeight="1">
      <c r="A41" s="228" t="s">
        <v>17</v>
      </c>
      <c r="B41" s="231" t="s">
        <v>394</v>
      </c>
      <c r="C41" s="232">
        <f>TAKEOFF!$H$681</f>
        <v>13.367812500000001</v>
      </c>
      <c r="D41" s="233" t="s">
        <v>327</v>
      </c>
      <c r="E41" s="234">
        <f>RATES!$D$20</f>
        <v>2310</v>
      </c>
      <c r="F41" s="236">
        <f>C41*E41</f>
        <v>30879.646875000002</v>
      </c>
      <c r="G41" s="118" t="s">
        <v>541</v>
      </c>
    </row>
    <row r="42" spans="1:7" ht="24.6" customHeight="1">
      <c r="A42" s="224"/>
      <c r="B42" s="226"/>
      <c r="C42" s="226"/>
      <c r="D42" s="226"/>
      <c r="E42" s="226"/>
      <c r="F42" s="235"/>
    </row>
    <row r="43" spans="1:7" ht="24.6" customHeight="1">
      <c r="A43" s="228" t="s">
        <v>19</v>
      </c>
      <c r="B43" s="231" t="s">
        <v>396</v>
      </c>
      <c r="C43" s="232">
        <f>TAKEOFF!$H$687</f>
        <v>10.103454545454547</v>
      </c>
      <c r="D43" s="233" t="s">
        <v>327</v>
      </c>
      <c r="E43" s="234">
        <f>RATES!$D$24</f>
        <v>2310</v>
      </c>
      <c r="F43" s="236">
        <f>C43*E43</f>
        <v>23338.980000000003</v>
      </c>
      <c r="G43" s="118" t="s">
        <v>542</v>
      </c>
    </row>
    <row r="44" spans="1:7" ht="24.6" customHeight="1">
      <c r="A44" s="224"/>
      <c r="B44" s="226"/>
      <c r="C44" s="226"/>
      <c r="D44" s="226"/>
      <c r="E44" s="226"/>
      <c r="F44" s="235"/>
    </row>
    <row r="45" spans="1:7" ht="24.6" customHeight="1">
      <c r="A45" s="228" t="s">
        <v>21</v>
      </c>
      <c r="B45" s="231" t="s">
        <v>398</v>
      </c>
      <c r="C45" s="232">
        <f>TAKEOFF!$H$690</f>
        <v>0.13162500000000002</v>
      </c>
      <c r="D45" s="233" t="s">
        <v>327</v>
      </c>
      <c r="E45" s="234">
        <f>RATES!$D$25</f>
        <v>1925.0000000000002</v>
      </c>
      <c r="F45" s="236">
        <f>C45*E45</f>
        <v>253.37812500000007</v>
      </c>
      <c r="G45" s="118" t="s">
        <v>543</v>
      </c>
    </row>
    <row r="46" spans="1:7" ht="24.6" customHeight="1">
      <c r="A46" s="224"/>
      <c r="B46" s="226"/>
      <c r="C46" s="226"/>
      <c r="D46" s="226"/>
      <c r="E46" s="226"/>
      <c r="F46" s="235"/>
    </row>
    <row r="47" spans="1:7" ht="24.6" customHeight="1">
      <c r="A47" s="224"/>
      <c r="B47" s="230" t="s">
        <v>400</v>
      </c>
      <c r="C47" s="226"/>
      <c r="D47" s="226"/>
      <c r="E47" s="226"/>
      <c r="F47" s="235"/>
    </row>
    <row r="48" spans="1:7" ht="24.6" customHeight="1">
      <c r="A48" s="228" t="s">
        <v>23</v>
      </c>
      <c r="B48" s="231" t="s">
        <v>401</v>
      </c>
      <c r="C48" s="232">
        <f>TAKEOFF!$H$695</f>
        <v>1388.2</v>
      </c>
      <c r="D48" s="233" t="s">
        <v>322</v>
      </c>
      <c r="E48" s="234">
        <f>RATES!$D$38</f>
        <v>165</v>
      </c>
      <c r="F48" s="236">
        <f>C48*E48</f>
        <v>229053</v>
      </c>
      <c r="G48" s="118" t="s">
        <v>544</v>
      </c>
    </row>
    <row r="49" spans="1:7" ht="24.6" customHeight="1">
      <c r="A49" s="224"/>
      <c r="B49" s="226"/>
      <c r="C49" s="226"/>
      <c r="D49" s="226"/>
      <c r="E49" s="226"/>
      <c r="F49" s="235"/>
    </row>
    <row r="50" spans="1:7" ht="24.6" customHeight="1">
      <c r="A50" s="228" t="s">
        <v>25</v>
      </c>
      <c r="B50" s="231" t="s">
        <v>403</v>
      </c>
      <c r="C50" s="232">
        <f>TAKEOFF!$H$699</f>
        <v>410.8</v>
      </c>
      <c r="D50" s="233" t="s">
        <v>369</v>
      </c>
      <c r="E50" s="234">
        <f>RATES!$D$40</f>
        <v>65</v>
      </c>
      <c r="F50" s="236">
        <f>C50*E50</f>
        <v>26702</v>
      </c>
      <c r="G50" s="118" t="s">
        <v>545</v>
      </c>
    </row>
    <row r="51" spans="1:7" ht="24.6" customHeight="1">
      <c r="A51" s="224"/>
      <c r="B51" s="226"/>
      <c r="C51" s="226"/>
      <c r="D51" s="226"/>
      <c r="E51" s="226"/>
      <c r="F51" s="235"/>
    </row>
    <row r="52" spans="1:7" ht="24.6" customHeight="1">
      <c r="A52" s="228" t="s">
        <v>27</v>
      </c>
      <c r="B52" s="231" t="s">
        <v>405</v>
      </c>
      <c r="C52" s="232">
        <f>TAKEOFF!$H$704</f>
        <v>183.85</v>
      </c>
      <c r="D52" s="233" t="s">
        <v>322</v>
      </c>
      <c r="E52" s="234">
        <f>RATES!$D$39</f>
        <v>165</v>
      </c>
      <c r="F52" s="236">
        <f>C52*E52</f>
        <v>30335.25</v>
      </c>
      <c r="G52" s="118" t="s">
        <v>546</v>
      </c>
    </row>
    <row r="53" spans="1:7" ht="24.6" customHeight="1">
      <c r="A53" s="224"/>
      <c r="B53" s="226"/>
      <c r="C53" s="226"/>
      <c r="D53" s="226"/>
      <c r="E53" s="226"/>
      <c r="F53" s="235"/>
    </row>
    <row r="54" spans="1:7" ht="24.6" customHeight="1">
      <c r="A54" s="228" t="s">
        <v>29</v>
      </c>
      <c r="B54" s="231" t="s">
        <v>390</v>
      </c>
      <c r="C54" s="232">
        <f>TAKEOFF!$H$715</f>
        <v>258.10750000000002</v>
      </c>
      <c r="D54" s="233" t="s">
        <v>322</v>
      </c>
      <c r="E54" s="234">
        <f>RATES!$D$37</f>
        <v>165</v>
      </c>
      <c r="F54" s="236">
        <f>C54*E54</f>
        <v>42587.737500000003</v>
      </c>
      <c r="G54" s="118" t="s">
        <v>547</v>
      </c>
    </row>
    <row r="55" spans="1:7" ht="24.6" customHeight="1">
      <c r="A55" s="224"/>
      <c r="B55" s="226"/>
      <c r="C55" s="226"/>
      <c r="D55" s="226"/>
      <c r="E55" s="226"/>
      <c r="F55" s="235"/>
    </row>
    <row r="56" spans="1:7" ht="24.6" customHeight="1">
      <c r="A56" s="228" t="s">
        <v>31</v>
      </c>
      <c r="B56" s="231" t="s">
        <v>408</v>
      </c>
      <c r="C56" s="232">
        <f>TAKEOFF!$H$720</f>
        <v>340.28050000000002</v>
      </c>
      <c r="D56" s="233" t="s">
        <v>322</v>
      </c>
      <c r="E56" s="234">
        <f>RATES!$D$36</f>
        <v>165</v>
      </c>
      <c r="F56" s="236">
        <f>C56*E56</f>
        <v>56146.282500000001</v>
      </c>
      <c r="G56" s="118" t="s">
        <v>548</v>
      </c>
    </row>
    <row r="57" spans="1:7" ht="24.6" customHeight="1">
      <c r="A57" s="224"/>
      <c r="B57" s="226"/>
      <c r="C57" s="226"/>
      <c r="D57" s="226"/>
      <c r="E57" s="226"/>
      <c r="F57" s="235"/>
    </row>
    <row r="58" spans="1:7" ht="24.6" customHeight="1">
      <c r="A58" s="228" t="s">
        <v>33</v>
      </c>
      <c r="B58" s="231" t="s">
        <v>410</v>
      </c>
      <c r="C58" s="232">
        <f>TAKEOFF!$H$728</f>
        <v>66.532799999999995</v>
      </c>
      <c r="D58" s="233" t="s">
        <v>322</v>
      </c>
      <c r="E58" s="234">
        <f>RATES!$D$42</f>
        <v>165</v>
      </c>
      <c r="F58" s="236">
        <f>C58*E58</f>
        <v>10977.911999999998</v>
      </c>
      <c r="G58" s="118" t="s">
        <v>549</v>
      </c>
    </row>
    <row r="59" spans="1:7" ht="24.6" customHeight="1">
      <c r="A59" s="224"/>
      <c r="B59" s="226"/>
      <c r="C59" s="226"/>
      <c r="D59" s="226"/>
      <c r="E59" s="226"/>
      <c r="F59" s="235"/>
    </row>
    <row r="60" spans="1:7" ht="24.6" customHeight="1">
      <c r="A60" s="228" t="s">
        <v>35</v>
      </c>
      <c r="B60" s="231" t="s">
        <v>412</v>
      </c>
      <c r="C60" s="232">
        <f>TAKEOFF!$H$731</f>
        <v>2.3400000000000003</v>
      </c>
      <c r="D60" s="233" t="s">
        <v>322</v>
      </c>
      <c r="E60" s="234">
        <f>RATES!$D$43</f>
        <v>165</v>
      </c>
      <c r="F60" s="236">
        <f>C60*E60</f>
        <v>386.1</v>
      </c>
      <c r="G60" s="118" t="s">
        <v>550</v>
      </c>
    </row>
    <row r="61" spans="1:7" ht="24.6" customHeight="1">
      <c r="A61" s="224"/>
      <c r="B61" s="226"/>
      <c r="C61" s="226"/>
      <c r="D61" s="226"/>
      <c r="E61" s="226"/>
      <c r="F61" s="235"/>
    </row>
    <row r="62" spans="1:7" s="9" customFormat="1" ht="24.6" customHeight="1">
      <c r="A62" s="224"/>
      <c r="B62" s="226"/>
      <c r="C62" s="226"/>
      <c r="D62" s="226"/>
      <c r="E62" s="226"/>
      <c r="F62" s="235"/>
    </row>
    <row r="63" spans="1:7" s="9" customFormat="1" ht="24.6" customHeight="1">
      <c r="A63" s="224"/>
      <c r="B63" s="226"/>
      <c r="C63" s="226"/>
      <c r="D63" s="226"/>
      <c r="E63" s="226"/>
      <c r="F63" s="235"/>
    </row>
    <row r="64" spans="1:7" ht="24.6" customHeight="1">
      <c r="A64" s="224"/>
      <c r="B64" s="230" t="s">
        <v>413</v>
      </c>
      <c r="C64" s="226"/>
      <c r="D64" s="226"/>
      <c r="E64" s="226"/>
      <c r="F64" s="235"/>
    </row>
    <row r="65" spans="1:7" ht="24.6" customHeight="1">
      <c r="A65" s="228" t="s">
        <v>37</v>
      </c>
      <c r="B65" s="231" t="s">
        <v>414</v>
      </c>
      <c r="C65" s="232">
        <f>TAKEOFF!$H$736</f>
        <v>4.3730000000000002</v>
      </c>
      <c r="D65" s="233" t="s">
        <v>353</v>
      </c>
      <c r="E65" s="234">
        <f>RATES!$D$29</f>
        <v>14300.000000000002</v>
      </c>
      <c r="F65" s="236">
        <f>C65*E65</f>
        <v>62533.900000000009</v>
      </c>
      <c r="G65" s="118" t="s">
        <v>551</v>
      </c>
    </row>
    <row r="66" spans="1:7" ht="24.6" customHeight="1">
      <c r="A66" s="224"/>
      <c r="B66" s="226"/>
      <c r="C66" s="226"/>
      <c r="D66" s="226"/>
      <c r="E66" s="226"/>
      <c r="F66" s="235"/>
    </row>
    <row r="67" spans="1:7" ht="24.6" customHeight="1">
      <c r="A67" s="228" t="s">
        <v>39</v>
      </c>
      <c r="B67" s="231" t="s">
        <v>416</v>
      </c>
      <c r="C67" s="232">
        <f>TAKEOFF!$H$740</f>
        <v>0.61599999999999999</v>
      </c>
      <c r="D67" s="233" t="s">
        <v>353</v>
      </c>
      <c r="E67" s="234">
        <f>RATES!$D$32</f>
        <v>14300.000000000002</v>
      </c>
      <c r="F67" s="236">
        <f>C67*E67</f>
        <v>8808.8000000000011</v>
      </c>
      <c r="G67" s="118" t="s">
        <v>552</v>
      </c>
    </row>
    <row r="68" spans="1:7" ht="24.6" customHeight="1">
      <c r="A68" s="224"/>
      <c r="B68" s="226"/>
      <c r="C68" s="226"/>
      <c r="D68" s="226"/>
      <c r="E68" s="226"/>
      <c r="F68" s="235"/>
    </row>
    <row r="69" spans="1:7" ht="24.6" customHeight="1">
      <c r="A69" s="228" t="s">
        <v>418</v>
      </c>
      <c r="B69" s="231" t="s">
        <v>419</v>
      </c>
      <c r="C69" s="232">
        <f>TAKEOFF!$H$744</f>
        <v>8.6960000000000015</v>
      </c>
      <c r="D69" s="233" t="s">
        <v>353</v>
      </c>
      <c r="E69" s="234">
        <f>RATES!$D$33</f>
        <v>14300.000000000002</v>
      </c>
      <c r="F69" s="236">
        <f>C69*E69</f>
        <v>124352.80000000003</v>
      </c>
      <c r="G69" s="118" t="s">
        <v>553</v>
      </c>
    </row>
    <row r="70" spans="1:7" ht="24.6" customHeight="1">
      <c r="A70" s="224"/>
      <c r="B70" s="226"/>
      <c r="C70" s="226"/>
      <c r="D70" s="226"/>
      <c r="E70" s="226"/>
      <c r="F70" s="235"/>
    </row>
    <row r="71" spans="1:7" ht="24.6" customHeight="1">
      <c r="A71" s="228" t="s">
        <v>421</v>
      </c>
      <c r="B71" s="231" t="s">
        <v>422</v>
      </c>
      <c r="C71" s="232">
        <f>TAKEOFF!$H$748</f>
        <v>1.621</v>
      </c>
      <c r="D71" s="233" t="s">
        <v>353</v>
      </c>
      <c r="E71" s="234">
        <f>RATES!$D$29</f>
        <v>14300.000000000002</v>
      </c>
      <c r="F71" s="236">
        <f>C71*E71</f>
        <v>23180.300000000003</v>
      </c>
      <c r="G71" s="118" t="s">
        <v>554</v>
      </c>
    </row>
    <row r="72" spans="1:7" ht="24.6" customHeight="1">
      <c r="A72" s="224"/>
      <c r="B72" s="226"/>
      <c r="C72" s="226"/>
      <c r="D72" s="226"/>
      <c r="E72" s="226"/>
      <c r="F72" s="235"/>
    </row>
    <row r="73" spans="1:7" ht="24.6" customHeight="1">
      <c r="A73" s="228" t="s">
        <v>424</v>
      </c>
      <c r="B73" s="231" t="s">
        <v>425</v>
      </c>
      <c r="C73" s="232">
        <f>TAKEOFF!$H$752</f>
        <v>1.2230000000000001</v>
      </c>
      <c r="D73" s="233" t="s">
        <v>353</v>
      </c>
      <c r="E73" s="234">
        <f>RATES!$D$31</f>
        <v>14300.000000000002</v>
      </c>
      <c r="F73" s="236">
        <f>C73*E73</f>
        <v>17488.900000000005</v>
      </c>
      <c r="G73" s="118" t="s">
        <v>555</v>
      </c>
    </row>
    <row r="74" spans="1:7" ht="24.6" customHeight="1">
      <c r="A74" s="224"/>
      <c r="B74" s="226"/>
      <c r="C74" s="226"/>
      <c r="D74" s="226"/>
      <c r="E74" s="226"/>
      <c r="F74" s="235"/>
    </row>
    <row r="75" spans="1:7" ht="24.6" customHeight="1">
      <c r="A75" s="228" t="s">
        <v>427</v>
      </c>
      <c r="B75" s="231" t="s">
        <v>428</v>
      </c>
      <c r="C75" s="232">
        <f>TAKEOFF!$H$756</f>
        <v>1.5990000000000002</v>
      </c>
      <c r="D75" s="233" t="s">
        <v>353</v>
      </c>
      <c r="E75" s="234">
        <f>RATES!$D$32</f>
        <v>14300.000000000002</v>
      </c>
      <c r="F75" s="236">
        <f>C75*E75</f>
        <v>22865.700000000004</v>
      </c>
      <c r="G75" s="118" t="s">
        <v>556</v>
      </c>
    </row>
    <row r="76" spans="1:7" ht="24.6" customHeight="1">
      <c r="A76" s="224"/>
      <c r="B76" s="226"/>
      <c r="C76" s="226"/>
      <c r="D76" s="226"/>
      <c r="E76" s="226"/>
      <c r="F76" s="235"/>
    </row>
    <row r="77" spans="1:7" ht="24.6" customHeight="1">
      <c r="A77" s="228" t="s">
        <v>430</v>
      </c>
      <c r="B77" s="231" t="s">
        <v>431</v>
      </c>
      <c r="C77" s="232">
        <f>TAKEOFF!$H$760</f>
        <v>4.5969999999999995</v>
      </c>
      <c r="D77" s="233" t="s">
        <v>353</v>
      </c>
      <c r="E77" s="234">
        <f>RATES!$D$33</f>
        <v>14300.000000000002</v>
      </c>
      <c r="F77" s="236">
        <f>C77*E77</f>
        <v>65737.100000000006</v>
      </c>
      <c r="G77" s="118" t="s">
        <v>557</v>
      </c>
    </row>
    <row r="78" spans="1:7" ht="24.6" customHeight="1">
      <c r="A78" s="224"/>
      <c r="B78" s="226"/>
      <c r="C78" s="226"/>
      <c r="D78" s="226"/>
      <c r="E78" s="226"/>
      <c r="F78" s="235"/>
    </row>
    <row r="79" spans="1:7" ht="24.6" customHeight="1">
      <c r="A79" s="228" t="s">
        <v>433</v>
      </c>
      <c r="B79" s="231" t="s">
        <v>434</v>
      </c>
      <c r="C79" s="232">
        <f>TAKEOFF!$H$765</f>
        <v>1.7000000000000002</v>
      </c>
      <c r="D79" s="233" t="s">
        <v>353</v>
      </c>
      <c r="E79" s="234">
        <f>RATES!$D$29</f>
        <v>14300.000000000002</v>
      </c>
      <c r="F79" s="236">
        <f>C79*E79</f>
        <v>24310.000000000007</v>
      </c>
      <c r="G79" s="118" t="s">
        <v>558</v>
      </c>
    </row>
    <row r="80" spans="1:7" ht="24.6" customHeight="1">
      <c r="A80" s="224"/>
      <c r="B80" s="226"/>
      <c r="C80" s="226"/>
      <c r="D80" s="226"/>
      <c r="E80" s="226"/>
      <c r="F80" s="235"/>
    </row>
    <row r="81" spans="1:7" ht="24.6" customHeight="1">
      <c r="A81" s="228" t="s">
        <v>436</v>
      </c>
      <c r="B81" s="231" t="s">
        <v>437</v>
      </c>
      <c r="C81" s="232">
        <f>TAKEOFF!$H$770</f>
        <v>2.226</v>
      </c>
      <c r="D81" s="233" t="s">
        <v>353</v>
      </c>
      <c r="E81" s="234">
        <f>RATES!$D$30</f>
        <v>14300.000000000002</v>
      </c>
      <c r="F81" s="236">
        <f>C81*E81</f>
        <v>31831.800000000003</v>
      </c>
      <c r="G81" s="118" t="s">
        <v>559</v>
      </c>
    </row>
    <row r="82" spans="1:7" ht="24.6" customHeight="1">
      <c r="A82" s="224"/>
      <c r="B82" s="226"/>
      <c r="C82" s="226"/>
      <c r="D82" s="226"/>
      <c r="E82" s="226"/>
      <c r="F82" s="235"/>
    </row>
    <row r="83" spans="1:7" ht="24.6" customHeight="1">
      <c r="A83" s="228" t="s">
        <v>439</v>
      </c>
      <c r="B83" s="231" t="s">
        <v>440</v>
      </c>
      <c r="C83" s="232">
        <f>TAKEOFF!$H$775</f>
        <v>14.417</v>
      </c>
      <c r="D83" s="233" t="s">
        <v>353</v>
      </c>
      <c r="E83" s="234">
        <f>RATES!$D$33</f>
        <v>14300.000000000002</v>
      </c>
      <c r="F83" s="236">
        <f>C83*E83</f>
        <v>206163.10000000003</v>
      </c>
      <c r="G83" s="118" t="s">
        <v>560</v>
      </c>
    </row>
    <row r="84" spans="1:7" ht="24.6" customHeight="1">
      <c r="A84" s="224"/>
      <c r="B84" s="226"/>
      <c r="C84" s="226"/>
      <c r="D84" s="226"/>
      <c r="E84" s="226"/>
      <c r="F84" s="235"/>
    </row>
    <row r="85" spans="1:7" ht="24.6" customHeight="1">
      <c r="A85" s="228" t="s">
        <v>9</v>
      </c>
      <c r="B85" s="231" t="s">
        <v>442</v>
      </c>
      <c r="C85" s="232">
        <f>TAKEOFF!$H$779</f>
        <v>0.88</v>
      </c>
      <c r="D85" s="233" t="s">
        <v>353</v>
      </c>
      <c r="E85" s="234">
        <f>RATES!$D$30</f>
        <v>14300.000000000002</v>
      </c>
      <c r="F85" s="236">
        <f>C85*E85</f>
        <v>12584.000000000002</v>
      </c>
      <c r="G85" s="118" t="s">
        <v>561</v>
      </c>
    </row>
    <row r="86" spans="1:7" ht="24.6" customHeight="1">
      <c r="A86" s="224"/>
      <c r="B86" s="226"/>
      <c r="C86" s="226"/>
      <c r="D86" s="226"/>
      <c r="E86" s="226"/>
      <c r="F86" s="235"/>
    </row>
    <row r="87" spans="1:7" ht="24.6" customHeight="1">
      <c r="A87" s="228" t="s">
        <v>11</v>
      </c>
      <c r="B87" s="231" t="s">
        <v>444</v>
      </c>
      <c r="C87" s="232">
        <f>TAKEOFF!$H$783</f>
        <v>1.4339999999999999</v>
      </c>
      <c r="D87" s="233" t="s">
        <v>353</v>
      </c>
      <c r="E87" s="234">
        <f>RATES!$D$31</f>
        <v>14300.000000000002</v>
      </c>
      <c r="F87" s="236">
        <f>C87*E87</f>
        <v>20506.2</v>
      </c>
      <c r="G87" s="118" t="s">
        <v>562</v>
      </c>
    </row>
    <row r="88" spans="1:7" ht="24.6" customHeight="1">
      <c r="A88" s="224"/>
      <c r="B88" s="226"/>
      <c r="C88" s="226"/>
      <c r="D88" s="226"/>
      <c r="E88" s="226"/>
      <c r="F88" s="235"/>
    </row>
    <row r="89" spans="1:7" ht="24.6" customHeight="1">
      <c r="A89" s="228" t="s">
        <v>13</v>
      </c>
      <c r="B89" s="231" t="s">
        <v>446</v>
      </c>
      <c r="C89" s="232">
        <f>TAKEOFF!$H$787</f>
        <v>51.722999999999999</v>
      </c>
      <c r="D89" s="233" t="s">
        <v>353</v>
      </c>
      <c r="E89" s="234">
        <f>RATES!$D$30</f>
        <v>14300.000000000002</v>
      </c>
      <c r="F89" s="236">
        <f>C89*E89</f>
        <v>739638.9</v>
      </c>
      <c r="G89" s="118" t="s">
        <v>563</v>
      </c>
    </row>
    <row r="90" spans="1:7" ht="24.6" customHeight="1">
      <c r="A90" s="224"/>
      <c r="B90" s="226"/>
      <c r="C90" s="226"/>
      <c r="D90" s="226"/>
      <c r="E90" s="226"/>
      <c r="F90" s="235"/>
    </row>
    <row r="91" spans="1:7" ht="24.6" customHeight="1">
      <c r="A91" s="228" t="s">
        <v>15</v>
      </c>
      <c r="B91" s="231" t="s">
        <v>448</v>
      </c>
      <c r="C91" s="232">
        <f>TAKEOFF!$H$791</f>
        <v>6.27</v>
      </c>
      <c r="D91" s="233" t="s">
        <v>353</v>
      </c>
      <c r="E91" s="234">
        <f>RATES!$D$31</f>
        <v>14300.000000000002</v>
      </c>
      <c r="F91" s="236">
        <f>C91*E91</f>
        <v>89661</v>
      </c>
      <c r="G91" s="118" t="s">
        <v>564</v>
      </c>
    </row>
    <row r="92" spans="1:7" ht="24.6" customHeight="1">
      <c r="A92" s="109"/>
      <c r="B92" s="136"/>
      <c r="C92" s="136"/>
      <c r="D92" s="136"/>
      <c r="E92" s="136"/>
      <c r="F92" s="117"/>
    </row>
    <row r="93" spans="1:7" s="9" customFormat="1" ht="24.6" customHeight="1" thickBot="1">
      <c r="A93" s="141"/>
      <c r="B93" s="154" t="str">
        <f>B30</f>
        <v>ELEMENT NO. 1: IN SITU CONCRETE/LARGE PRECAST CONCRETE</v>
      </c>
      <c r="C93" s="142"/>
      <c r="D93" s="142"/>
      <c r="E93" s="143"/>
      <c r="F93" s="116">
        <f>SUM(F32:F92)</f>
        <v>2886751.5476250001</v>
      </c>
    </row>
    <row r="94" spans="1:7" s="9" customFormat="1" ht="24.45" customHeight="1" thickTop="1" thickBot="1">
      <c r="A94" s="150"/>
      <c r="B94" s="151" t="s">
        <v>339</v>
      </c>
      <c r="C94" s="152"/>
      <c r="D94" s="152"/>
      <c r="E94" s="152"/>
      <c r="F94" s="153"/>
    </row>
    <row r="95" spans="1:7" ht="15" customHeight="1" thickTop="1">
      <c r="A95" s="109"/>
      <c r="B95" s="136"/>
      <c r="C95" s="136"/>
      <c r="D95" s="136"/>
      <c r="E95" s="136"/>
      <c r="F95" s="117"/>
    </row>
    <row r="96" spans="1:7" ht="25.2" customHeight="1">
      <c r="A96" s="224"/>
      <c r="B96" s="226"/>
      <c r="C96" s="226"/>
      <c r="D96" s="226"/>
      <c r="E96" s="226"/>
      <c r="F96" s="235"/>
    </row>
    <row r="97" spans="1:7" ht="25.2" customHeight="1">
      <c r="A97" s="224"/>
      <c r="B97" s="225" t="s">
        <v>380</v>
      </c>
      <c r="C97" s="226"/>
      <c r="D97" s="226"/>
      <c r="E97" s="226"/>
      <c r="F97" s="235"/>
    </row>
    <row r="98" spans="1:7" ht="25.2" customHeight="1">
      <c r="A98" s="224"/>
      <c r="B98" s="226"/>
      <c r="C98" s="226"/>
      <c r="D98" s="226"/>
      <c r="E98" s="226"/>
      <c r="F98" s="235"/>
    </row>
    <row r="99" spans="1:7" ht="25.2" customHeight="1">
      <c r="A99" s="224"/>
      <c r="B99" s="230" t="s">
        <v>450</v>
      </c>
      <c r="C99" s="226"/>
      <c r="D99" s="226"/>
      <c r="E99" s="226"/>
      <c r="F99" s="235"/>
    </row>
    <row r="100" spans="1:7" ht="25.2" customHeight="1">
      <c r="A100" s="228" t="s">
        <v>9</v>
      </c>
      <c r="B100" s="231" t="s">
        <v>451</v>
      </c>
      <c r="C100" s="232">
        <f>TAKEOFF!$H$797</f>
        <v>242.93895000000003</v>
      </c>
      <c r="D100" s="233" t="s">
        <v>322</v>
      </c>
      <c r="E100" s="234">
        <f>RATES!$D$46</f>
        <v>215</v>
      </c>
      <c r="F100" s="236">
        <f>C100*E100</f>
        <v>52231.874250000008</v>
      </c>
      <c r="G100" s="118" t="s">
        <v>565</v>
      </c>
    </row>
    <row r="101" spans="1:7" ht="25.2" customHeight="1">
      <c r="A101" s="224"/>
      <c r="B101" s="226"/>
      <c r="C101" s="226"/>
      <c r="D101" s="226"/>
      <c r="E101" s="226"/>
      <c r="F101" s="235"/>
    </row>
    <row r="102" spans="1:7" ht="25.2" customHeight="1">
      <c r="A102" s="228" t="s">
        <v>11</v>
      </c>
      <c r="B102" s="231" t="s">
        <v>453</v>
      </c>
      <c r="C102" s="232">
        <f>TAKEOFF!$H$801</f>
        <v>90.36105000000002</v>
      </c>
      <c r="D102" s="233" t="s">
        <v>322</v>
      </c>
      <c r="E102" s="234">
        <f>RATES!$D$47</f>
        <v>265</v>
      </c>
      <c r="F102" s="236">
        <f>C102*E102</f>
        <v>23945.678250000004</v>
      </c>
      <c r="G102" s="118" t="s">
        <v>566</v>
      </c>
    </row>
    <row r="103" spans="1:7" ht="25.2" customHeight="1">
      <c r="A103" s="109"/>
      <c r="B103" s="136"/>
      <c r="C103" s="136"/>
      <c r="D103" s="136"/>
      <c r="E103" s="136"/>
      <c r="F103" s="117"/>
    </row>
    <row r="104" spans="1:7" ht="25.2" customHeight="1" thickBot="1">
      <c r="A104" s="141"/>
      <c r="B104" s="154" t="str">
        <f>B97</f>
        <v>ELEMENT NO. 2: MASONRY</v>
      </c>
      <c r="C104" s="142"/>
      <c r="D104" s="142"/>
      <c r="E104" s="143"/>
      <c r="F104" s="116">
        <f>SUM(F99:F103)</f>
        <v>76177.55250000002</v>
      </c>
    </row>
    <row r="105" spans="1:7" s="9" customFormat="1" ht="24.45" customHeight="1" thickTop="1" thickBot="1">
      <c r="A105" s="150"/>
      <c r="B105" s="151" t="s">
        <v>339</v>
      </c>
      <c r="C105" s="152"/>
      <c r="D105" s="152"/>
      <c r="E105" s="152"/>
      <c r="F105" s="153"/>
    </row>
    <row r="106" spans="1:7" ht="15" customHeight="1" thickTop="1">
      <c r="A106" s="109"/>
      <c r="B106" s="136"/>
      <c r="C106" s="136"/>
      <c r="D106" s="136"/>
      <c r="E106" s="136"/>
      <c r="F106" s="117"/>
    </row>
    <row r="107" spans="1:7">
      <c r="A107" s="224"/>
      <c r="B107" s="226"/>
      <c r="C107" s="226"/>
      <c r="D107" s="226"/>
      <c r="E107" s="226"/>
      <c r="F107" s="235"/>
    </row>
    <row r="108" spans="1:7" ht="23.4">
      <c r="A108" s="224"/>
      <c r="B108" s="225" t="s">
        <v>381</v>
      </c>
      <c r="C108" s="226"/>
      <c r="D108" s="226"/>
      <c r="E108" s="226"/>
      <c r="F108" s="235"/>
    </row>
    <row r="109" spans="1:7">
      <c r="A109" s="224"/>
      <c r="B109" s="226"/>
      <c r="C109" s="226"/>
      <c r="D109" s="226"/>
      <c r="E109" s="226"/>
      <c r="F109" s="235"/>
    </row>
    <row r="110" spans="1:7" ht="48" customHeight="1">
      <c r="A110" s="224"/>
      <c r="B110" s="230" t="s">
        <v>455</v>
      </c>
      <c r="C110" s="226"/>
      <c r="D110" s="226"/>
      <c r="E110" s="226"/>
      <c r="F110" s="235"/>
    </row>
    <row r="111" spans="1:7" ht="48" customHeight="1">
      <c r="A111" s="228" t="s">
        <v>9</v>
      </c>
      <c r="B111" s="231" t="s">
        <v>466</v>
      </c>
      <c r="C111" s="232">
        <f>TAKEOFF!$H$806</f>
        <v>3</v>
      </c>
      <c r="D111" s="233" t="s">
        <v>457</v>
      </c>
      <c r="E111" s="234">
        <f>RATES!$D$82</f>
        <v>7200</v>
      </c>
      <c r="F111" s="236">
        <f>C111*E111</f>
        <v>21600</v>
      </c>
      <c r="G111" s="118" t="s">
        <v>467</v>
      </c>
    </row>
    <row r="112" spans="1:7">
      <c r="A112" s="109"/>
      <c r="B112" s="136"/>
      <c r="C112" s="136"/>
      <c r="D112" s="136"/>
      <c r="E112" s="136"/>
      <c r="F112" s="117"/>
    </row>
    <row r="113" spans="1:7" ht="24" thickBot="1">
      <c r="A113" s="141"/>
      <c r="B113" s="154" t="str">
        <f>B108</f>
        <v>ELEMENT NO. 4: WINDOWS/DOORS</v>
      </c>
      <c r="C113" s="142"/>
      <c r="D113" s="142"/>
      <c r="E113" s="143"/>
      <c r="F113" s="116">
        <f>SUM(F110:F112)</f>
        <v>21600</v>
      </c>
    </row>
    <row r="114" spans="1:7" s="9" customFormat="1" ht="24.45" customHeight="1" thickTop="1" thickBot="1">
      <c r="A114" s="150"/>
      <c r="B114" s="151" t="s">
        <v>339</v>
      </c>
      <c r="C114" s="152"/>
      <c r="D114" s="152"/>
      <c r="E114" s="152"/>
      <c r="F114" s="153"/>
    </row>
    <row r="115" spans="1:7" ht="15" customHeight="1" thickTop="1">
      <c r="A115" s="109"/>
      <c r="B115" s="136"/>
      <c r="C115" s="136"/>
      <c r="D115" s="136"/>
      <c r="E115" s="136"/>
      <c r="F115" s="117"/>
    </row>
    <row r="116" spans="1:7" ht="28.2" customHeight="1">
      <c r="A116" s="224"/>
      <c r="B116" s="225" t="s">
        <v>382</v>
      </c>
      <c r="C116" s="226"/>
      <c r="D116" s="226"/>
      <c r="E116" s="226"/>
      <c r="F116" s="235"/>
    </row>
    <row r="117" spans="1:7" ht="28.2" customHeight="1">
      <c r="A117" s="224"/>
      <c r="B117" s="226"/>
      <c r="C117" s="226"/>
      <c r="D117" s="226"/>
      <c r="E117" s="226"/>
      <c r="F117" s="235"/>
    </row>
    <row r="118" spans="1:7" ht="28.2" customHeight="1">
      <c r="A118" s="224"/>
      <c r="B118" s="230" t="s">
        <v>495</v>
      </c>
      <c r="C118" s="226"/>
      <c r="D118" s="226"/>
      <c r="E118" s="226"/>
      <c r="F118" s="235"/>
    </row>
    <row r="119" spans="1:7" ht="28.2" customHeight="1">
      <c r="A119" s="228" t="s">
        <v>9</v>
      </c>
      <c r="B119" s="231" t="s">
        <v>496</v>
      </c>
      <c r="C119" s="232">
        <f>TAKEOFF!$H$811</f>
        <v>54.8</v>
      </c>
      <c r="D119" s="233" t="s">
        <v>322</v>
      </c>
      <c r="E119" s="234">
        <f>RATES!$D$50</f>
        <v>68</v>
      </c>
      <c r="F119" s="236">
        <f>C119*E119</f>
        <v>3726.3999999999996</v>
      </c>
      <c r="G119" s="118" t="s">
        <v>567</v>
      </c>
    </row>
    <row r="120" spans="1:7" ht="28.2" customHeight="1">
      <c r="A120" s="224"/>
      <c r="B120" s="226"/>
      <c r="C120" s="226"/>
      <c r="D120" s="226"/>
      <c r="E120" s="226"/>
      <c r="F120" s="235"/>
    </row>
    <row r="121" spans="1:7" ht="28.2" customHeight="1">
      <c r="A121" s="228" t="s">
        <v>11</v>
      </c>
      <c r="B121" s="231" t="s">
        <v>498</v>
      </c>
      <c r="C121" s="232">
        <f>TAKEOFF!$H$822</f>
        <v>118.28</v>
      </c>
      <c r="D121" s="233" t="s">
        <v>322</v>
      </c>
      <c r="E121" s="234">
        <f>RATES!$D$51</f>
        <v>48</v>
      </c>
      <c r="F121" s="236">
        <f>C121*E121</f>
        <v>5677.4400000000005</v>
      </c>
      <c r="G121" s="118" t="s">
        <v>568</v>
      </c>
    </row>
    <row r="122" spans="1:7" ht="28.2" customHeight="1">
      <c r="A122" s="224"/>
      <c r="B122" s="226"/>
      <c r="C122" s="226"/>
      <c r="D122" s="226"/>
      <c r="E122" s="226"/>
      <c r="F122" s="235"/>
    </row>
    <row r="123" spans="1:7" ht="28.2" customHeight="1">
      <c r="A123" s="228" t="s">
        <v>13</v>
      </c>
      <c r="B123" s="231" t="s">
        <v>502</v>
      </c>
      <c r="C123" s="232">
        <f>TAKEOFF!$H$832</f>
        <v>63.480000000000004</v>
      </c>
      <c r="D123" s="233" t="s">
        <v>322</v>
      </c>
      <c r="E123" s="234">
        <f>RATES!$D$54</f>
        <v>270</v>
      </c>
      <c r="F123" s="236">
        <f>C123*E123</f>
        <v>17139.600000000002</v>
      </c>
      <c r="G123" s="118" t="s">
        <v>569</v>
      </c>
    </row>
    <row r="124" spans="1:7" ht="28.2" customHeight="1">
      <c r="A124" s="224"/>
      <c r="B124" s="226"/>
      <c r="C124" s="226"/>
      <c r="D124" s="226"/>
      <c r="E124" s="226"/>
      <c r="F124" s="235"/>
    </row>
    <row r="125" spans="1:7" ht="28.2" customHeight="1">
      <c r="A125" s="228" t="s">
        <v>15</v>
      </c>
      <c r="B125" s="231" t="s">
        <v>506</v>
      </c>
      <c r="C125" s="232">
        <f>TAKEOFF!$H$835</f>
        <v>32.700000000000003</v>
      </c>
      <c r="D125" s="233" t="s">
        <v>322</v>
      </c>
      <c r="E125" s="234">
        <f>RATES!$D$56</f>
        <v>330</v>
      </c>
      <c r="F125" s="236">
        <f>C125*E125</f>
        <v>10791.000000000002</v>
      </c>
      <c r="G125" s="118" t="s">
        <v>570</v>
      </c>
    </row>
    <row r="126" spans="1:7" ht="28.2" customHeight="1">
      <c r="A126" s="224"/>
      <c r="B126" s="226"/>
      <c r="C126" s="226"/>
      <c r="D126" s="226"/>
      <c r="E126" s="226"/>
      <c r="F126" s="235"/>
    </row>
    <row r="127" spans="1:7" ht="28.2" customHeight="1">
      <c r="A127" s="228" t="s">
        <v>17</v>
      </c>
      <c r="B127" s="231" t="s">
        <v>508</v>
      </c>
      <c r="C127" s="232">
        <f>TAKEOFF!$H$838</f>
        <v>22.2</v>
      </c>
      <c r="D127" s="233" t="s">
        <v>322</v>
      </c>
      <c r="E127" s="234">
        <f>RATES!$D$57</f>
        <v>250</v>
      </c>
      <c r="F127" s="236">
        <f>C127*E127</f>
        <v>5550</v>
      </c>
      <c r="G127" s="118" t="s">
        <v>571</v>
      </c>
    </row>
    <row r="128" spans="1:7" ht="28.2" customHeight="1">
      <c r="A128" s="224"/>
      <c r="B128" s="226"/>
      <c r="C128" s="226"/>
      <c r="D128" s="226"/>
      <c r="E128" s="226"/>
      <c r="F128" s="235"/>
    </row>
    <row r="129" spans="1:7" ht="28.2" customHeight="1">
      <c r="A129" s="228" t="s">
        <v>19</v>
      </c>
      <c r="B129" s="231" t="s">
        <v>572</v>
      </c>
      <c r="C129" s="232">
        <f>TAKEOFF!$H$841</f>
        <v>637.29999999999995</v>
      </c>
      <c r="D129" s="233" t="s">
        <v>322</v>
      </c>
      <c r="E129" s="234">
        <f>RATES!$D$59</f>
        <v>290</v>
      </c>
      <c r="F129" s="236">
        <f>C129*E129</f>
        <v>184817</v>
      </c>
      <c r="G129" s="118" t="s">
        <v>573</v>
      </c>
    </row>
    <row r="130" spans="1:7" ht="28.2" customHeight="1">
      <c r="A130" s="109"/>
      <c r="B130" s="136"/>
      <c r="C130" s="136"/>
      <c r="D130" s="136"/>
      <c r="E130" s="136"/>
      <c r="F130" s="117"/>
    </row>
    <row r="131" spans="1:7" ht="28.2" customHeight="1" thickBot="1">
      <c r="A131" s="141"/>
      <c r="B131" s="154" t="str">
        <f>B116</f>
        <v>ELEMENT NO. 5: FLOOR FINISHES</v>
      </c>
      <c r="C131" s="142"/>
      <c r="D131" s="142"/>
      <c r="E131" s="143"/>
      <c r="F131" s="116">
        <f>SUM(F118:F130)</f>
        <v>227701.44</v>
      </c>
    </row>
    <row r="132" spans="1:7" s="9" customFormat="1" ht="24.45" customHeight="1" thickTop="1" thickBot="1">
      <c r="A132" s="150"/>
      <c r="B132" s="151" t="s">
        <v>339</v>
      </c>
      <c r="C132" s="152"/>
      <c r="D132" s="152"/>
      <c r="E132" s="152"/>
      <c r="F132" s="153"/>
    </row>
    <row r="133" spans="1:7" ht="15" customHeight="1" thickTop="1">
      <c r="A133" s="109"/>
      <c r="B133" s="136"/>
      <c r="C133" s="136"/>
      <c r="D133" s="136"/>
      <c r="E133" s="136"/>
      <c r="F133" s="117"/>
    </row>
    <row r="134" spans="1:7" ht="27.6" customHeight="1">
      <c r="A134" s="224"/>
      <c r="B134" s="225" t="s">
        <v>383</v>
      </c>
      <c r="C134" s="226"/>
      <c r="D134" s="226"/>
      <c r="E134" s="226"/>
      <c r="F134" s="235"/>
    </row>
    <row r="135" spans="1:7" ht="27.6" customHeight="1">
      <c r="A135" s="224"/>
      <c r="B135" s="226"/>
      <c r="C135" s="226"/>
      <c r="D135" s="226"/>
      <c r="E135" s="226"/>
      <c r="F135" s="235"/>
    </row>
    <row r="136" spans="1:7" ht="27.6" customHeight="1">
      <c r="A136" s="224"/>
      <c r="B136" s="230" t="s">
        <v>512</v>
      </c>
      <c r="C136" s="226"/>
      <c r="D136" s="226"/>
      <c r="E136" s="226"/>
      <c r="F136" s="235"/>
    </row>
    <row r="137" spans="1:7" ht="27.6" customHeight="1">
      <c r="A137" s="228" t="s">
        <v>9</v>
      </c>
      <c r="B137" s="231" t="s">
        <v>513</v>
      </c>
      <c r="C137" s="232">
        <f>TAKEOFF!$H$852</f>
        <v>404.52500000000003</v>
      </c>
      <c r="D137" s="233" t="s">
        <v>322</v>
      </c>
      <c r="E137" s="234">
        <f>RATES!$D$48</f>
        <v>78</v>
      </c>
      <c r="F137" s="236">
        <f>C137*E137</f>
        <v>31552.950000000004</v>
      </c>
      <c r="G137" s="118" t="s">
        <v>574</v>
      </c>
    </row>
    <row r="138" spans="1:7" ht="27.6" customHeight="1">
      <c r="A138" s="224"/>
      <c r="B138" s="226"/>
      <c r="C138" s="226"/>
      <c r="D138" s="226"/>
      <c r="E138" s="226"/>
      <c r="F138" s="235"/>
    </row>
    <row r="139" spans="1:7" ht="27.6" customHeight="1">
      <c r="A139" s="228" t="s">
        <v>11</v>
      </c>
      <c r="B139" s="231" t="s">
        <v>517</v>
      </c>
      <c r="C139" s="232">
        <f>TAKEOFF!$H$856</f>
        <v>362.61000000000007</v>
      </c>
      <c r="D139" s="233" t="s">
        <v>322</v>
      </c>
      <c r="E139" s="234">
        <f>RATES!$D$49</f>
        <v>88</v>
      </c>
      <c r="F139" s="236">
        <f>C139*E139</f>
        <v>31909.680000000008</v>
      </c>
      <c r="G139" s="118" t="s">
        <v>575</v>
      </c>
    </row>
    <row r="140" spans="1:7" ht="27.6" customHeight="1">
      <c r="A140" s="109"/>
      <c r="B140" s="136"/>
      <c r="C140" s="136"/>
      <c r="D140" s="136"/>
      <c r="E140" s="136"/>
      <c r="F140" s="117"/>
    </row>
    <row r="141" spans="1:7" ht="27.6" customHeight="1" thickBot="1">
      <c r="A141" s="141"/>
      <c r="B141" s="154" t="str">
        <f>B134</f>
        <v>ELEMENT NO. 6: WALL FINISHES</v>
      </c>
      <c r="C141" s="142"/>
      <c r="D141" s="142"/>
      <c r="E141" s="143"/>
      <c r="F141" s="116">
        <f>SUM(F136:F140)</f>
        <v>63462.630000000012</v>
      </c>
    </row>
    <row r="142" spans="1:7" s="9" customFormat="1" ht="24.45" customHeight="1" thickTop="1" thickBot="1">
      <c r="A142" s="150"/>
      <c r="B142" s="151" t="s">
        <v>339</v>
      </c>
      <c r="C142" s="152"/>
      <c r="D142" s="152"/>
      <c r="E142" s="152"/>
      <c r="F142" s="153"/>
    </row>
    <row r="143" spans="1:7" ht="15" customHeight="1" thickTop="1">
      <c r="A143" s="109"/>
      <c r="B143" s="136"/>
      <c r="C143" s="136"/>
      <c r="D143" s="136"/>
      <c r="E143" s="136"/>
      <c r="F143" s="117"/>
    </row>
    <row r="144" spans="1:7" ht="28.8" customHeight="1">
      <c r="A144" s="224"/>
      <c r="B144" s="226"/>
      <c r="C144" s="226"/>
      <c r="D144" s="226"/>
      <c r="E144" s="226"/>
      <c r="F144" s="235"/>
    </row>
    <row r="145" spans="1:7" ht="28.8" customHeight="1">
      <c r="A145" s="224"/>
      <c r="B145" s="225" t="s">
        <v>384</v>
      </c>
      <c r="C145" s="226"/>
      <c r="D145" s="226"/>
      <c r="E145" s="226"/>
      <c r="F145" s="235"/>
    </row>
    <row r="146" spans="1:7" ht="28.8" customHeight="1">
      <c r="A146" s="224"/>
      <c r="B146" s="226"/>
      <c r="C146" s="226"/>
      <c r="D146" s="226"/>
      <c r="E146" s="226"/>
      <c r="F146" s="235"/>
    </row>
    <row r="147" spans="1:7" ht="28.8" customHeight="1">
      <c r="A147" s="224"/>
      <c r="B147" s="230" t="s">
        <v>522</v>
      </c>
      <c r="C147" s="226"/>
      <c r="D147" s="226"/>
      <c r="E147" s="226"/>
      <c r="F147" s="235"/>
    </row>
    <row r="148" spans="1:7" ht="28.8" customHeight="1">
      <c r="A148" s="228" t="s">
        <v>9</v>
      </c>
      <c r="B148" s="231" t="s">
        <v>513</v>
      </c>
      <c r="C148" s="232">
        <f>TAKEOFF!$H$867</f>
        <v>404.52500000000003</v>
      </c>
      <c r="D148" s="233" t="s">
        <v>322</v>
      </c>
      <c r="E148" s="234">
        <f>RATES!$D$61</f>
        <v>45</v>
      </c>
      <c r="F148" s="236">
        <f>C148*E148</f>
        <v>18203.625</v>
      </c>
      <c r="G148" s="118" t="s">
        <v>574</v>
      </c>
    </row>
    <row r="149" spans="1:7" ht="28.8" customHeight="1">
      <c r="A149" s="224"/>
      <c r="B149" s="226"/>
      <c r="C149" s="226"/>
      <c r="D149" s="226"/>
      <c r="E149" s="226"/>
      <c r="F149" s="235"/>
    </row>
    <row r="150" spans="1:7" ht="28.8" customHeight="1">
      <c r="A150" s="228" t="s">
        <v>11</v>
      </c>
      <c r="B150" s="231" t="s">
        <v>525</v>
      </c>
      <c r="C150" s="232">
        <f>TAKEOFF!$H$871</f>
        <v>362.61000000000007</v>
      </c>
      <c r="D150" s="233" t="s">
        <v>322</v>
      </c>
      <c r="E150" s="234">
        <f>RATES!$D$62</f>
        <v>62</v>
      </c>
      <c r="F150" s="236">
        <f>C150*E150</f>
        <v>22481.820000000003</v>
      </c>
      <c r="G150" s="118" t="s">
        <v>575</v>
      </c>
    </row>
    <row r="151" spans="1:7" ht="28.8" customHeight="1">
      <c r="A151" s="224"/>
      <c r="B151" s="226"/>
      <c r="C151" s="226"/>
      <c r="D151" s="226"/>
      <c r="E151" s="226"/>
      <c r="F151" s="235"/>
    </row>
    <row r="152" spans="1:7" ht="28.8" customHeight="1">
      <c r="A152" s="228" t="s">
        <v>13</v>
      </c>
      <c r="B152" s="231" t="s">
        <v>526</v>
      </c>
      <c r="C152" s="232">
        <f>TAKEOFF!$H$882</f>
        <v>258.10750000000002</v>
      </c>
      <c r="D152" s="233" t="s">
        <v>322</v>
      </c>
      <c r="E152" s="234">
        <f>RATES!$D$61</f>
        <v>45</v>
      </c>
      <c r="F152" s="236">
        <f>C152*E152</f>
        <v>11614.837500000001</v>
      </c>
      <c r="G152" s="118" t="s">
        <v>547</v>
      </c>
    </row>
    <row r="153" spans="1:7" ht="28.8" customHeight="1">
      <c r="A153" s="224"/>
      <c r="B153" s="226"/>
      <c r="C153" s="226"/>
      <c r="D153" s="226"/>
      <c r="E153" s="226"/>
      <c r="F153" s="235"/>
    </row>
    <row r="154" spans="1:7" ht="28.8" customHeight="1">
      <c r="A154" s="228" t="s">
        <v>15</v>
      </c>
      <c r="B154" s="231" t="s">
        <v>527</v>
      </c>
      <c r="C154" s="232">
        <f>TAKEOFF!$H$885</f>
        <v>32.700000000000003</v>
      </c>
      <c r="D154" s="233" t="s">
        <v>322</v>
      </c>
      <c r="E154" s="234">
        <f>RATES!$D$63</f>
        <v>48</v>
      </c>
      <c r="F154" s="236">
        <f>C154*E154</f>
        <v>1569.6000000000001</v>
      </c>
      <c r="G154" s="118" t="s">
        <v>570</v>
      </c>
    </row>
    <row r="155" spans="1:7" ht="28.8" customHeight="1">
      <c r="A155" s="109"/>
      <c r="B155" s="136"/>
      <c r="C155" s="136"/>
      <c r="D155" s="136"/>
      <c r="E155" s="136"/>
      <c r="F155" s="117"/>
    </row>
    <row r="156" spans="1:7" ht="28.8" customHeight="1" thickBot="1">
      <c r="A156" s="141"/>
      <c r="B156" s="154" t="str">
        <f>B145</f>
        <v>ELEMENT NO. 7: PAINTING AND DECORATING</v>
      </c>
      <c r="C156" s="142"/>
      <c r="D156" s="142"/>
      <c r="E156" s="143"/>
      <c r="F156" s="116">
        <f>SUM(F147:F155)</f>
        <v>53869.882500000007</v>
      </c>
    </row>
    <row r="157" spans="1:7" s="9" customFormat="1" ht="24.45" customHeight="1" thickTop="1" thickBot="1">
      <c r="A157" s="141"/>
      <c r="B157" s="154" t="s">
        <v>339</v>
      </c>
      <c r="C157" s="142"/>
      <c r="D157" s="142"/>
      <c r="E157" s="143"/>
      <c r="F157" s="116"/>
    </row>
    <row r="158" spans="1:7" ht="15" customHeight="1" thickTop="1"/>
    <row r="160" spans="1:7" ht="31.2">
      <c r="B160" s="119" t="s">
        <v>534</v>
      </c>
    </row>
  </sheetData>
  <pageMargins left="0.75" right="0.75" top="1" bottom="1" header="0.5" footer="0.5"/>
  <pageSetup scale="41" fitToHeight="0" orientation="portrait" r:id="rId1"/>
  <rowBreaks count="1" manualBreakCount="1">
    <brk id="61"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60"/>
  <sheetViews>
    <sheetView view="pageBreakPreview" topLeftCell="A133" zoomScale="60" zoomScaleNormal="56" workbookViewId="0">
      <selection activeCell="C151" sqref="C151:D151"/>
    </sheetView>
  </sheetViews>
  <sheetFormatPr defaultRowHeight="14.4"/>
  <cols>
    <col min="1" max="1" width="13.33203125" style="9" customWidth="1"/>
    <col min="2" max="2" width="122.5546875" style="9" customWidth="1"/>
    <col min="3" max="3" width="26" style="9" customWidth="1"/>
    <col min="4" max="4" width="21"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7.6" customHeight="1">
      <c r="A6" s="155"/>
      <c r="B6" s="156"/>
      <c r="C6" s="156"/>
      <c r="D6" s="156"/>
      <c r="E6" s="156"/>
      <c r="F6" s="157"/>
    </row>
    <row r="7" spans="1:7" ht="27.6" customHeight="1">
      <c r="A7" s="224"/>
      <c r="B7" s="225" t="s">
        <v>313</v>
      </c>
      <c r="C7" s="226"/>
      <c r="D7" s="226"/>
      <c r="E7" s="226"/>
      <c r="F7" s="235"/>
    </row>
    <row r="8" spans="1:7" ht="27.6" customHeight="1">
      <c r="A8" s="224"/>
      <c r="B8" s="226"/>
      <c r="C8" s="226"/>
      <c r="D8" s="226"/>
      <c r="E8" s="226"/>
      <c r="F8" s="235"/>
    </row>
    <row r="9" spans="1:7" ht="27.6" customHeight="1">
      <c r="A9" s="224"/>
      <c r="B9" s="225" t="s">
        <v>576</v>
      </c>
      <c r="C9" s="226"/>
      <c r="D9" s="226"/>
      <c r="E9" s="226"/>
      <c r="F9" s="235"/>
    </row>
    <row r="10" spans="1:7" ht="27.6" customHeight="1">
      <c r="A10" s="224"/>
      <c r="B10" s="226"/>
      <c r="C10" s="226"/>
      <c r="D10" s="226"/>
      <c r="E10" s="226"/>
      <c r="F10" s="235"/>
    </row>
    <row r="11" spans="1:7" ht="27.6" customHeight="1">
      <c r="A11" s="224"/>
      <c r="B11" s="227" t="s">
        <v>314</v>
      </c>
      <c r="C11" s="226"/>
      <c r="D11" s="226"/>
      <c r="E11" s="226"/>
      <c r="F11" s="235"/>
    </row>
    <row r="12" spans="1:7" ht="27.6" customHeight="1">
      <c r="A12" s="224"/>
      <c r="B12" s="226"/>
      <c r="C12" s="226"/>
      <c r="D12" s="226"/>
      <c r="E12" s="226"/>
      <c r="F12" s="235"/>
    </row>
    <row r="13" spans="1:7" ht="27.6" customHeight="1">
      <c r="A13" s="228" t="s">
        <v>9</v>
      </c>
      <c r="B13" s="229" t="s">
        <v>379</v>
      </c>
      <c r="C13" s="226"/>
      <c r="D13" s="226"/>
      <c r="E13" s="226"/>
      <c r="F13" s="236">
        <f>F91</f>
        <v>3157591.307</v>
      </c>
    </row>
    <row r="14" spans="1:7" ht="27.6" customHeight="1">
      <c r="A14" s="224"/>
      <c r="B14" s="226"/>
      <c r="C14" s="226"/>
      <c r="D14" s="226"/>
      <c r="E14" s="226"/>
      <c r="F14" s="235"/>
    </row>
    <row r="15" spans="1:7" ht="27.6" customHeight="1">
      <c r="A15" s="228" t="s">
        <v>11</v>
      </c>
      <c r="B15" s="229" t="s">
        <v>380</v>
      </c>
      <c r="C15" s="226"/>
      <c r="D15" s="226"/>
      <c r="E15" s="226"/>
      <c r="F15" s="236">
        <f>F102</f>
        <v>175769.9075</v>
      </c>
    </row>
    <row r="16" spans="1:7" ht="27.6" customHeight="1">
      <c r="A16" s="224"/>
      <c r="B16" s="226"/>
      <c r="C16" s="226"/>
      <c r="D16" s="226"/>
      <c r="E16" s="226"/>
      <c r="F16" s="235"/>
    </row>
    <row r="17" spans="1:6" ht="27.6" customHeight="1">
      <c r="A17" s="228" t="s">
        <v>13</v>
      </c>
      <c r="B17" s="229" t="s">
        <v>381</v>
      </c>
      <c r="C17" s="226"/>
      <c r="D17" s="226"/>
      <c r="E17" s="226"/>
      <c r="F17" s="236">
        <f>F111</f>
        <v>43200</v>
      </c>
    </row>
    <row r="18" spans="1:6" ht="27.6" customHeight="1">
      <c r="A18" s="224"/>
      <c r="B18" s="226"/>
      <c r="C18" s="226"/>
      <c r="D18" s="226"/>
      <c r="E18" s="226"/>
      <c r="F18" s="235"/>
    </row>
    <row r="19" spans="1:6" ht="27.6" customHeight="1">
      <c r="A19" s="228" t="s">
        <v>15</v>
      </c>
      <c r="B19" s="229" t="s">
        <v>382</v>
      </c>
      <c r="C19" s="226"/>
      <c r="D19" s="226"/>
      <c r="E19" s="226"/>
      <c r="F19" s="236">
        <f>F130</f>
        <v>370064.94</v>
      </c>
    </row>
    <row r="20" spans="1:6" ht="27.6" customHeight="1">
      <c r="A20" s="224"/>
      <c r="B20" s="226"/>
      <c r="C20" s="226"/>
      <c r="D20" s="226"/>
      <c r="E20" s="226"/>
      <c r="F20" s="235"/>
    </row>
    <row r="21" spans="1:6" ht="27.6" customHeight="1">
      <c r="A21" s="228" t="s">
        <v>17</v>
      </c>
      <c r="B21" s="229" t="s">
        <v>383</v>
      </c>
      <c r="C21" s="226"/>
      <c r="D21" s="226"/>
      <c r="E21" s="226"/>
      <c r="F21" s="236">
        <f>F141</f>
        <v>158847.63</v>
      </c>
    </row>
    <row r="22" spans="1:6" ht="27.6" customHeight="1">
      <c r="A22" s="224"/>
      <c r="B22" s="226"/>
      <c r="C22" s="226"/>
      <c r="D22" s="226"/>
      <c r="E22" s="226"/>
      <c r="F22" s="235"/>
    </row>
    <row r="23" spans="1:6" ht="27.6" customHeight="1">
      <c r="A23" s="228" t="s">
        <v>19</v>
      </c>
      <c r="B23" s="229" t="s">
        <v>384</v>
      </c>
      <c r="C23" s="226"/>
      <c r="D23" s="226"/>
      <c r="E23" s="226"/>
      <c r="F23" s="236">
        <f>F156</f>
        <v>117441.9</v>
      </c>
    </row>
    <row r="24" spans="1:6" ht="27.6" customHeight="1">
      <c r="A24" s="109"/>
      <c r="B24" s="136"/>
      <c r="C24" s="136"/>
      <c r="D24" s="136"/>
      <c r="E24" s="136"/>
      <c r="F24" s="117"/>
    </row>
    <row r="25" spans="1:6" ht="27.6" customHeight="1" thickBot="1">
      <c r="A25" s="141"/>
      <c r="B25" s="154" t="str">
        <f>B9</f>
        <v xml:space="preserve"> SECOND FLOOR - LEVEL 3A PARKING (INCL. MEZZANINE LEVEL 3B)</v>
      </c>
      <c r="C25" s="142"/>
      <c r="D25" s="142"/>
      <c r="E25" s="143" t="s">
        <v>8</v>
      </c>
      <c r="F25" s="116">
        <f>SUM(F13:F24)</f>
        <v>4022915.6845</v>
      </c>
    </row>
    <row r="26" spans="1:6" s="9" customFormat="1" ht="27.6" customHeight="1" thickTop="1" thickBot="1">
      <c r="A26" s="150"/>
      <c r="B26" s="151" t="s">
        <v>318</v>
      </c>
      <c r="C26" s="152"/>
      <c r="D26" s="152"/>
      <c r="E26" s="152"/>
      <c r="F26" s="153"/>
    </row>
    <row r="27" spans="1:6" ht="25.2" customHeight="1" thickTop="1">
      <c r="A27" s="109"/>
      <c r="B27" s="136"/>
      <c r="C27" s="136"/>
      <c r="D27" s="136"/>
      <c r="E27" s="136"/>
      <c r="F27" s="117"/>
    </row>
    <row r="28" spans="1:6" ht="25.2" customHeight="1">
      <c r="A28" s="224"/>
      <c r="B28" s="225" t="s">
        <v>577</v>
      </c>
      <c r="C28" s="226"/>
      <c r="D28" s="226"/>
      <c r="E28" s="226"/>
      <c r="F28" s="235"/>
    </row>
    <row r="29" spans="1:6" ht="25.2" customHeight="1">
      <c r="A29" s="224"/>
      <c r="B29" s="226"/>
      <c r="C29" s="226"/>
      <c r="D29" s="226"/>
      <c r="E29" s="226"/>
      <c r="F29" s="235"/>
    </row>
    <row r="30" spans="1:6" ht="25.2" customHeight="1">
      <c r="A30" s="224"/>
      <c r="B30" s="225" t="s">
        <v>379</v>
      </c>
      <c r="C30" s="226"/>
      <c r="D30" s="226"/>
      <c r="E30" s="226"/>
      <c r="F30" s="235"/>
    </row>
    <row r="31" spans="1:6" ht="25.2" customHeight="1">
      <c r="A31" s="224"/>
      <c r="B31" s="226"/>
      <c r="C31" s="226"/>
      <c r="D31" s="226"/>
      <c r="E31" s="226"/>
      <c r="F31" s="235"/>
    </row>
    <row r="32" spans="1:6" ht="25.2" customHeight="1">
      <c r="A32" s="224"/>
      <c r="B32" s="230" t="s">
        <v>344</v>
      </c>
      <c r="C32" s="226"/>
      <c r="D32" s="226"/>
      <c r="E32" s="226"/>
      <c r="F32" s="235"/>
    </row>
    <row r="33" spans="1:7" ht="25.2" customHeight="1">
      <c r="A33" s="228" t="s">
        <v>9</v>
      </c>
      <c r="B33" s="231" t="s">
        <v>386</v>
      </c>
      <c r="C33" s="232">
        <f>TAKEOFF!$H$894</f>
        <v>323.10000000000002</v>
      </c>
      <c r="D33" s="233" t="s">
        <v>327</v>
      </c>
      <c r="E33" s="234">
        <f>RATES!$D$22</f>
        <v>2310</v>
      </c>
      <c r="F33" s="236">
        <f>C33*E33</f>
        <v>746361</v>
      </c>
      <c r="G33" s="118" t="s">
        <v>578</v>
      </c>
    </row>
    <row r="34" spans="1:7" ht="25.2" customHeight="1">
      <c r="A34" s="224"/>
      <c r="B34" s="226"/>
      <c r="C34" s="226"/>
      <c r="D34" s="226"/>
      <c r="E34" s="226"/>
      <c r="F34" s="235"/>
    </row>
    <row r="35" spans="1:7" ht="25.2" customHeight="1">
      <c r="A35" s="228" t="s">
        <v>11</v>
      </c>
      <c r="B35" s="231" t="s">
        <v>388</v>
      </c>
      <c r="C35" s="232">
        <f>TAKEOFF!$H$899</f>
        <v>18.151</v>
      </c>
      <c r="D35" s="233" t="s">
        <v>327</v>
      </c>
      <c r="E35" s="234">
        <f>RATES!$D$23</f>
        <v>2310</v>
      </c>
      <c r="F35" s="236">
        <f>C35*E35</f>
        <v>41928.81</v>
      </c>
      <c r="G35" s="118" t="s">
        <v>579</v>
      </c>
    </row>
    <row r="36" spans="1:7" ht="25.2" customHeight="1">
      <c r="A36" s="224"/>
      <c r="B36" s="226"/>
      <c r="C36" s="226"/>
      <c r="D36" s="226"/>
      <c r="E36" s="226"/>
      <c r="F36" s="235"/>
    </row>
    <row r="37" spans="1:7" ht="25.2" customHeight="1">
      <c r="A37" s="228" t="s">
        <v>13</v>
      </c>
      <c r="B37" s="231" t="s">
        <v>390</v>
      </c>
      <c r="C37" s="232">
        <f>TAKEOFF!$H$910</f>
        <v>44.452499999999993</v>
      </c>
      <c r="D37" s="233" t="s">
        <v>327</v>
      </c>
      <c r="E37" s="234">
        <f>RATES!$D$21</f>
        <v>2310</v>
      </c>
      <c r="F37" s="236">
        <f>C37*E37</f>
        <v>102685.27499999998</v>
      </c>
      <c r="G37" s="118" t="s">
        <v>580</v>
      </c>
    </row>
    <row r="38" spans="1:7" ht="25.2" customHeight="1">
      <c r="A38" s="224"/>
      <c r="B38" s="226"/>
      <c r="C38" s="226"/>
      <c r="D38" s="226"/>
      <c r="E38" s="226"/>
      <c r="F38" s="235"/>
    </row>
    <row r="39" spans="1:7" ht="25.2" customHeight="1">
      <c r="A39" s="228" t="s">
        <v>15</v>
      </c>
      <c r="B39" s="231" t="s">
        <v>392</v>
      </c>
      <c r="C39" s="232">
        <f>TAKEOFF!$H$914</f>
        <v>38.526874999999997</v>
      </c>
      <c r="D39" s="233" t="s">
        <v>327</v>
      </c>
      <c r="E39" s="234">
        <f>RATES!$D$20</f>
        <v>2310</v>
      </c>
      <c r="F39" s="236">
        <f>C39*E39</f>
        <v>88997.081249999988</v>
      </c>
      <c r="G39" s="118" t="s">
        <v>581</v>
      </c>
    </row>
    <row r="40" spans="1:7" ht="25.2" customHeight="1">
      <c r="A40" s="224"/>
      <c r="B40" s="226"/>
      <c r="C40" s="226"/>
      <c r="D40" s="226"/>
      <c r="E40" s="226"/>
      <c r="F40" s="235"/>
    </row>
    <row r="41" spans="1:7" ht="25.2" customHeight="1">
      <c r="A41" s="228" t="s">
        <v>17</v>
      </c>
      <c r="B41" s="231" t="s">
        <v>394</v>
      </c>
      <c r="C41" s="232">
        <f>TAKEOFF!$H$917</f>
        <v>20.733749999999997</v>
      </c>
      <c r="D41" s="233" t="s">
        <v>327</v>
      </c>
      <c r="E41" s="234">
        <f>RATES!$D$20</f>
        <v>2310</v>
      </c>
      <c r="F41" s="236">
        <f>C41*E41</f>
        <v>47894.962499999994</v>
      </c>
      <c r="G41" s="118" t="s">
        <v>582</v>
      </c>
    </row>
    <row r="42" spans="1:7" ht="25.2" customHeight="1">
      <c r="A42" s="224"/>
      <c r="B42" s="226"/>
      <c r="C42" s="226"/>
      <c r="D42" s="226"/>
      <c r="E42" s="226"/>
      <c r="F42" s="235"/>
    </row>
    <row r="43" spans="1:7" ht="25.2" customHeight="1">
      <c r="A43" s="228" t="s">
        <v>19</v>
      </c>
      <c r="B43" s="231" t="s">
        <v>396</v>
      </c>
      <c r="C43" s="232">
        <f>TAKEOFF!$H$923</f>
        <v>11.586454545454545</v>
      </c>
      <c r="D43" s="233" t="s">
        <v>327</v>
      </c>
      <c r="E43" s="234">
        <f>RATES!$D$24</f>
        <v>2310</v>
      </c>
      <c r="F43" s="236">
        <f>C43*E43</f>
        <v>26764.71</v>
      </c>
      <c r="G43" s="118" t="s">
        <v>583</v>
      </c>
    </row>
    <row r="44" spans="1:7" ht="25.2" customHeight="1">
      <c r="A44" s="224"/>
      <c r="B44" s="226"/>
      <c r="C44" s="226"/>
      <c r="D44" s="226"/>
      <c r="E44" s="226"/>
      <c r="F44" s="235"/>
    </row>
    <row r="45" spans="1:7" ht="25.2" customHeight="1">
      <c r="A45" s="228" t="s">
        <v>21</v>
      </c>
      <c r="B45" s="231" t="s">
        <v>398</v>
      </c>
      <c r="C45" s="232">
        <f>TAKEOFF!$H$927</f>
        <v>0.26325000000000004</v>
      </c>
      <c r="D45" s="233" t="s">
        <v>327</v>
      </c>
      <c r="E45" s="234">
        <f>RATES!$D$25</f>
        <v>1925.0000000000002</v>
      </c>
      <c r="F45" s="236">
        <f>C45*E45</f>
        <v>506.75625000000014</v>
      </c>
      <c r="G45" s="118" t="s">
        <v>584</v>
      </c>
    </row>
    <row r="46" spans="1:7" ht="25.2" customHeight="1">
      <c r="A46" s="224"/>
      <c r="B46" s="226"/>
      <c r="C46" s="226"/>
      <c r="D46" s="226"/>
      <c r="E46" s="226"/>
      <c r="F46" s="235"/>
    </row>
    <row r="47" spans="1:7" ht="25.2" customHeight="1">
      <c r="A47" s="224"/>
      <c r="B47" s="230" t="s">
        <v>400</v>
      </c>
      <c r="C47" s="226"/>
      <c r="D47" s="226"/>
      <c r="E47" s="226"/>
      <c r="F47" s="235"/>
    </row>
    <row r="48" spans="1:7" ht="25.2" customHeight="1">
      <c r="A48" s="228" t="s">
        <v>23</v>
      </c>
      <c r="B48" s="231" t="s">
        <v>401</v>
      </c>
      <c r="C48" s="232">
        <f>TAKEOFF!$H$932</f>
        <v>1292.4000000000001</v>
      </c>
      <c r="D48" s="233" t="s">
        <v>322</v>
      </c>
      <c r="E48" s="234">
        <f>RATES!$D$38</f>
        <v>165</v>
      </c>
      <c r="F48" s="236">
        <f>C48*E48</f>
        <v>213246.00000000003</v>
      </c>
      <c r="G48" s="118" t="s">
        <v>585</v>
      </c>
    </row>
    <row r="49" spans="1:7" ht="25.2" customHeight="1">
      <c r="A49" s="224"/>
      <c r="B49" s="226"/>
      <c r="C49" s="226"/>
      <c r="D49" s="226"/>
      <c r="E49" s="226"/>
      <c r="F49" s="235"/>
    </row>
    <row r="50" spans="1:7" ht="25.2" customHeight="1">
      <c r="A50" s="228" t="s">
        <v>25</v>
      </c>
      <c r="B50" s="231" t="s">
        <v>403</v>
      </c>
      <c r="C50" s="232">
        <f>TAKEOFF!$H$936</f>
        <v>402.9</v>
      </c>
      <c r="D50" s="233" t="s">
        <v>369</v>
      </c>
      <c r="E50" s="234">
        <f>RATES!$D$40</f>
        <v>65</v>
      </c>
      <c r="F50" s="236">
        <f>C50*E50</f>
        <v>26188.5</v>
      </c>
      <c r="G50" s="118" t="s">
        <v>586</v>
      </c>
    </row>
    <row r="51" spans="1:7" ht="25.2" customHeight="1">
      <c r="A51" s="224"/>
      <c r="B51" s="226"/>
      <c r="C51" s="226"/>
      <c r="D51" s="226"/>
      <c r="E51" s="226"/>
      <c r="F51" s="235"/>
    </row>
    <row r="52" spans="1:7" ht="25.2" customHeight="1">
      <c r="A52" s="228" t="s">
        <v>27</v>
      </c>
      <c r="B52" s="231" t="s">
        <v>405</v>
      </c>
      <c r="C52" s="232">
        <f>TAKEOFF!$H$941</f>
        <v>182.89999999999998</v>
      </c>
      <c r="D52" s="233" t="s">
        <v>322</v>
      </c>
      <c r="E52" s="234">
        <f>RATES!$D$39</f>
        <v>165</v>
      </c>
      <c r="F52" s="236">
        <f>C52*E52</f>
        <v>30178.499999999996</v>
      </c>
      <c r="G52" s="118" t="s">
        <v>587</v>
      </c>
    </row>
    <row r="53" spans="1:7" ht="25.2" customHeight="1">
      <c r="A53" s="224"/>
      <c r="B53" s="226"/>
      <c r="C53" s="226"/>
      <c r="D53" s="226"/>
      <c r="E53" s="226"/>
      <c r="F53" s="235"/>
    </row>
    <row r="54" spans="1:7" ht="25.2" customHeight="1">
      <c r="A54" s="228" t="s">
        <v>29</v>
      </c>
      <c r="B54" s="231" t="s">
        <v>390</v>
      </c>
      <c r="C54" s="232">
        <f>TAKEOFF!$H$952</f>
        <v>350.45499999999998</v>
      </c>
      <c r="D54" s="233" t="s">
        <v>322</v>
      </c>
      <c r="E54" s="234">
        <f>RATES!$D$37</f>
        <v>165</v>
      </c>
      <c r="F54" s="236">
        <f>C54*E54</f>
        <v>57825.074999999997</v>
      </c>
      <c r="G54" s="118" t="s">
        <v>588</v>
      </c>
    </row>
    <row r="55" spans="1:7" ht="25.2" customHeight="1">
      <c r="A55" s="224"/>
      <c r="B55" s="226"/>
      <c r="C55" s="226"/>
      <c r="D55" s="226"/>
      <c r="E55" s="226"/>
      <c r="F55" s="235"/>
    </row>
    <row r="56" spans="1:7" ht="25.2" customHeight="1">
      <c r="A56" s="228" t="s">
        <v>31</v>
      </c>
      <c r="B56" s="231" t="s">
        <v>408</v>
      </c>
      <c r="C56" s="232">
        <f>TAKEOFF!$H$957</f>
        <v>474.08499999999992</v>
      </c>
      <c r="D56" s="233" t="s">
        <v>322</v>
      </c>
      <c r="E56" s="234">
        <f>RATES!$D$36</f>
        <v>165</v>
      </c>
      <c r="F56" s="236">
        <f>C56*E56</f>
        <v>78224.024999999994</v>
      </c>
      <c r="G56" s="118" t="s">
        <v>589</v>
      </c>
    </row>
    <row r="57" spans="1:7" ht="25.2" customHeight="1">
      <c r="A57" s="224"/>
      <c r="B57" s="226"/>
      <c r="C57" s="226"/>
      <c r="D57" s="226"/>
      <c r="E57" s="226"/>
      <c r="F57" s="235"/>
    </row>
    <row r="58" spans="1:7" ht="25.2" customHeight="1">
      <c r="A58" s="228" t="s">
        <v>33</v>
      </c>
      <c r="B58" s="231" t="s">
        <v>410</v>
      </c>
      <c r="C58" s="232">
        <f>TAKEOFF!$H$965</f>
        <v>66.532799999999995</v>
      </c>
      <c r="D58" s="233" t="s">
        <v>322</v>
      </c>
      <c r="E58" s="234">
        <f>RATES!$D$42</f>
        <v>165</v>
      </c>
      <c r="F58" s="236">
        <f>C58*E58</f>
        <v>10977.911999999998</v>
      </c>
      <c r="G58" s="118" t="s">
        <v>549</v>
      </c>
    </row>
    <row r="59" spans="1:7" ht="25.2" customHeight="1">
      <c r="A59" s="224"/>
      <c r="B59" s="226"/>
      <c r="C59" s="226"/>
      <c r="D59" s="226"/>
      <c r="E59" s="226"/>
      <c r="F59" s="235"/>
    </row>
    <row r="60" spans="1:7" ht="25.2" customHeight="1">
      <c r="A60" s="228" t="s">
        <v>35</v>
      </c>
      <c r="B60" s="231" t="s">
        <v>412</v>
      </c>
      <c r="C60" s="232">
        <f>TAKEOFF!$H$969</f>
        <v>4.6800000000000006</v>
      </c>
      <c r="D60" s="233" t="s">
        <v>322</v>
      </c>
      <c r="E60" s="234">
        <f>RATES!$D$43</f>
        <v>165</v>
      </c>
      <c r="F60" s="236">
        <f>C60*E60</f>
        <v>772.2</v>
      </c>
      <c r="G60" s="118" t="s">
        <v>590</v>
      </c>
    </row>
    <row r="61" spans="1:7" ht="25.2" customHeight="1">
      <c r="A61" s="224"/>
      <c r="B61" s="226"/>
      <c r="C61" s="226"/>
      <c r="D61" s="226"/>
      <c r="E61" s="226"/>
      <c r="F61" s="235"/>
    </row>
    <row r="62" spans="1:7" ht="25.2" customHeight="1">
      <c r="A62" s="224"/>
      <c r="B62" s="230" t="s">
        <v>413</v>
      </c>
      <c r="C62" s="226"/>
      <c r="D62" s="226"/>
      <c r="E62" s="226"/>
      <c r="F62" s="235"/>
    </row>
    <row r="63" spans="1:7" ht="25.2" customHeight="1">
      <c r="A63" s="228" t="s">
        <v>37</v>
      </c>
      <c r="B63" s="231" t="s">
        <v>414</v>
      </c>
      <c r="C63" s="232">
        <f>TAKEOFF!$H$974</f>
        <v>4.8949999999999996</v>
      </c>
      <c r="D63" s="233" t="s">
        <v>353</v>
      </c>
      <c r="E63" s="234">
        <f>RATES!$D$29</f>
        <v>14300.000000000002</v>
      </c>
      <c r="F63" s="236">
        <f>C63*E63</f>
        <v>69998.5</v>
      </c>
      <c r="G63" s="118" t="s">
        <v>591</v>
      </c>
    </row>
    <row r="64" spans="1:7" ht="25.2" customHeight="1">
      <c r="A64" s="224"/>
      <c r="B64" s="226"/>
      <c r="C64" s="226"/>
      <c r="D64" s="226"/>
      <c r="E64" s="226"/>
      <c r="F64" s="235"/>
    </row>
    <row r="65" spans="1:7" ht="25.2" customHeight="1">
      <c r="A65" s="228" t="s">
        <v>39</v>
      </c>
      <c r="B65" s="231" t="s">
        <v>416</v>
      </c>
      <c r="C65" s="232">
        <f>TAKEOFF!$H$978</f>
        <v>3.7879999999999998</v>
      </c>
      <c r="D65" s="233" t="s">
        <v>353</v>
      </c>
      <c r="E65" s="234">
        <f>RATES!$D$32</f>
        <v>14300.000000000002</v>
      </c>
      <c r="F65" s="236">
        <f>C65*E65</f>
        <v>54168.4</v>
      </c>
      <c r="G65" s="118" t="s">
        <v>592</v>
      </c>
    </row>
    <row r="66" spans="1:7" ht="25.2" customHeight="1">
      <c r="A66" s="224"/>
      <c r="B66" s="226"/>
      <c r="C66" s="226"/>
      <c r="D66" s="226"/>
      <c r="E66" s="226"/>
      <c r="F66" s="235"/>
    </row>
    <row r="67" spans="1:7" ht="25.2" customHeight="1">
      <c r="A67" s="228" t="s">
        <v>418</v>
      </c>
      <c r="B67" s="231" t="s">
        <v>419</v>
      </c>
      <c r="C67" s="232">
        <f>TAKEOFF!$H$981</f>
        <v>6.2380000000000004</v>
      </c>
      <c r="D67" s="233" t="s">
        <v>353</v>
      </c>
      <c r="E67" s="234">
        <f>RATES!$D$33</f>
        <v>14300.000000000002</v>
      </c>
      <c r="F67" s="236">
        <f>C67*E67</f>
        <v>89203.400000000023</v>
      </c>
      <c r="G67" s="118" t="s">
        <v>593</v>
      </c>
    </row>
    <row r="68" spans="1:7" ht="25.2" customHeight="1">
      <c r="A68" s="224"/>
      <c r="B68" s="226"/>
      <c r="C68" s="226"/>
      <c r="D68" s="226"/>
      <c r="E68" s="226"/>
      <c r="F68" s="235"/>
    </row>
    <row r="69" spans="1:7" ht="25.2" customHeight="1">
      <c r="A69" s="228" t="s">
        <v>421</v>
      </c>
      <c r="B69" s="231" t="s">
        <v>422</v>
      </c>
      <c r="C69" s="232">
        <f>TAKEOFF!$H$985</f>
        <v>1.4809999999999999</v>
      </c>
      <c r="D69" s="233" t="s">
        <v>353</v>
      </c>
      <c r="E69" s="234">
        <f>RATES!$D$29</f>
        <v>14300.000000000002</v>
      </c>
      <c r="F69" s="236">
        <f>C69*E69</f>
        <v>21178.3</v>
      </c>
      <c r="G69" s="118" t="s">
        <v>594</v>
      </c>
    </row>
    <row r="70" spans="1:7" ht="25.2" customHeight="1">
      <c r="A70" s="224"/>
      <c r="B70" s="226"/>
      <c r="C70" s="226"/>
      <c r="D70" s="226"/>
      <c r="E70" s="226"/>
      <c r="F70" s="235"/>
    </row>
    <row r="71" spans="1:7" ht="25.2" customHeight="1">
      <c r="A71" s="228" t="s">
        <v>424</v>
      </c>
      <c r="B71" s="231" t="s">
        <v>425</v>
      </c>
      <c r="C71" s="232">
        <f>TAKEOFF!$H$989</f>
        <v>1.1459999999999999</v>
      </c>
      <c r="D71" s="233" t="s">
        <v>353</v>
      </c>
      <c r="E71" s="234">
        <f>RATES!$D$31</f>
        <v>14300.000000000002</v>
      </c>
      <c r="F71" s="236">
        <f>C71*E71</f>
        <v>16387.8</v>
      </c>
      <c r="G71" s="118" t="s">
        <v>595</v>
      </c>
    </row>
    <row r="72" spans="1:7" ht="25.2" customHeight="1">
      <c r="A72" s="224"/>
      <c r="B72" s="226"/>
      <c r="C72" s="226"/>
      <c r="D72" s="226"/>
      <c r="E72" s="226"/>
      <c r="F72" s="235"/>
    </row>
    <row r="73" spans="1:7" ht="25.2" customHeight="1">
      <c r="A73" s="228" t="s">
        <v>427</v>
      </c>
      <c r="B73" s="231" t="s">
        <v>428</v>
      </c>
      <c r="C73" s="232">
        <f>TAKEOFF!$H$993</f>
        <v>1.968</v>
      </c>
      <c r="D73" s="233" t="s">
        <v>353</v>
      </c>
      <c r="E73" s="234">
        <f>RATES!$D$32</f>
        <v>14300.000000000002</v>
      </c>
      <c r="F73" s="236">
        <f>C73*E73</f>
        <v>28142.400000000001</v>
      </c>
      <c r="G73" s="118" t="s">
        <v>596</v>
      </c>
    </row>
    <row r="74" spans="1:7" ht="25.2" customHeight="1">
      <c r="A74" s="224"/>
      <c r="B74" s="226"/>
      <c r="C74" s="226"/>
      <c r="D74" s="226"/>
      <c r="E74" s="226"/>
      <c r="F74" s="235"/>
    </row>
    <row r="75" spans="1:7" ht="25.2" customHeight="1">
      <c r="A75" s="228" t="s">
        <v>430</v>
      </c>
      <c r="B75" s="231" t="s">
        <v>431</v>
      </c>
      <c r="C75" s="232">
        <f>TAKEOFF!$H$997</f>
        <v>3.3120000000000003</v>
      </c>
      <c r="D75" s="233" t="s">
        <v>353</v>
      </c>
      <c r="E75" s="234">
        <f>RATES!$D$33</f>
        <v>14300.000000000002</v>
      </c>
      <c r="F75" s="236">
        <f>C75*E75</f>
        <v>47361.600000000013</v>
      </c>
      <c r="G75" s="118" t="s">
        <v>597</v>
      </c>
    </row>
    <row r="76" spans="1:7" ht="25.2" customHeight="1">
      <c r="A76" s="224"/>
      <c r="B76" s="226"/>
      <c r="C76" s="226"/>
      <c r="D76" s="226"/>
      <c r="E76" s="226"/>
      <c r="F76" s="235"/>
    </row>
    <row r="77" spans="1:7" ht="25.2" customHeight="1">
      <c r="A77" s="228" t="s">
        <v>433</v>
      </c>
      <c r="B77" s="231" t="s">
        <v>434</v>
      </c>
      <c r="C77" s="232">
        <f>TAKEOFF!$H$1002</f>
        <v>2.2930000000000001</v>
      </c>
      <c r="D77" s="233" t="s">
        <v>353</v>
      </c>
      <c r="E77" s="234">
        <f>RATES!$D$29</f>
        <v>14300.000000000002</v>
      </c>
      <c r="F77" s="236">
        <f>C77*E77</f>
        <v>32789.900000000009</v>
      </c>
      <c r="G77" s="118" t="s">
        <v>598</v>
      </c>
    </row>
    <row r="78" spans="1:7" ht="25.2" customHeight="1">
      <c r="A78" s="224"/>
      <c r="B78" s="226"/>
      <c r="C78" s="226"/>
      <c r="D78" s="226"/>
      <c r="E78" s="226"/>
      <c r="F78" s="235"/>
    </row>
    <row r="79" spans="1:7" ht="25.2" customHeight="1">
      <c r="A79" s="228" t="s">
        <v>436</v>
      </c>
      <c r="B79" s="231" t="s">
        <v>437</v>
      </c>
      <c r="C79" s="232">
        <f>TAKEOFF!$H$1007</f>
        <v>3.1130000000000004</v>
      </c>
      <c r="D79" s="233" t="s">
        <v>353</v>
      </c>
      <c r="E79" s="234">
        <f>RATES!$D$30</f>
        <v>14300.000000000002</v>
      </c>
      <c r="F79" s="236">
        <f>C79*E79</f>
        <v>44515.900000000009</v>
      </c>
      <c r="G79" s="118" t="s">
        <v>599</v>
      </c>
    </row>
    <row r="80" spans="1:7" ht="25.2" customHeight="1">
      <c r="A80" s="224"/>
      <c r="B80" s="226"/>
      <c r="C80" s="226"/>
      <c r="D80" s="226"/>
      <c r="E80" s="226"/>
      <c r="F80" s="235"/>
    </row>
    <row r="81" spans="1:7" ht="25.2" customHeight="1">
      <c r="A81" s="228" t="s">
        <v>439</v>
      </c>
      <c r="B81" s="231" t="s">
        <v>440</v>
      </c>
      <c r="C81" s="232">
        <f>TAKEOFF!$H$1012</f>
        <v>18.202999999999999</v>
      </c>
      <c r="D81" s="233" t="s">
        <v>353</v>
      </c>
      <c r="E81" s="234">
        <f>RATES!$D$33</f>
        <v>14300.000000000002</v>
      </c>
      <c r="F81" s="236">
        <f>C81*E81</f>
        <v>260302.90000000002</v>
      </c>
      <c r="G81" s="118" t="s">
        <v>600</v>
      </c>
    </row>
    <row r="82" spans="1:7" ht="25.2" customHeight="1">
      <c r="A82" s="224"/>
      <c r="B82" s="226"/>
      <c r="C82" s="226"/>
      <c r="D82" s="226"/>
      <c r="E82" s="226"/>
      <c r="F82" s="235"/>
    </row>
    <row r="83" spans="1:7" ht="25.2" customHeight="1">
      <c r="A83" s="228" t="s">
        <v>9</v>
      </c>
      <c r="B83" s="231" t="s">
        <v>442</v>
      </c>
      <c r="C83" s="232">
        <f>TAKEOFF!$H$1016</f>
        <v>0.88</v>
      </c>
      <c r="D83" s="233" t="s">
        <v>353</v>
      </c>
      <c r="E83" s="234">
        <f>RATES!$D$30</f>
        <v>14300.000000000002</v>
      </c>
      <c r="F83" s="236">
        <f>C83*E83</f>
        <v>12584.000000000002</v>
      </c>
      <c r="G83" s="118" t="s">
        <v>561</v>
      </c>
    </row>
    <row r="84" spans="1:7" ht="25.2" customHeight="1">
      <c r="A84" s="224"/>
      <c r="B84" s="226"/>
      <c r="C84" s="226"/>
      <c r="D84" s="226"/>
      <c r="E84" s="226"/>
      <c r="F84" s="235"/>
    </row>
    <row r="85" spans="1:7" ht="25.2" customHeight="1">
      <c r="A85" s="228" t="s">
        <v>11</v>
      </c>
      <c r="B85" s="231" t="s">
        <v>444</v>
      </c>
      <c r="C85" s="232">
        <f>TAKEOFF!$H$1020</f>
        <v>1.4339999999999999</v>
      </c>
      <c r="D85" s="233" t="s">
        <v>353</v>
      </c>
      <c r="E85" s="234">
        <f>RATES!$D$31</f>
        <v>14300.000000000002</v>
      </c>
      <c r="F85" s="236">
        <f>C85*E85</f>
        <v>20506.2</v>
      </c>
      <c r="G85" s="118" t="s">
        <v>562</v>
      </c>
    </row>
    <row r="86" spans="1:7" ht="25.2" customHeight="1">
      <c r="A86" s="224"/>
      <c r="B86" s="226"/>
      <c r="C86" s="226"/>
      <c r="D86" s="226"/>
      <c r="E86" s="226"/>
      <c r="F86" s="235"/>
    </row>
    <row r="87" spans="1:7" ht="25.2" customHeight="1">
      <c r="A87" s="228" t="s">
        <v>13</v>
      </c>
      <c r="B87" s="231" t="s">
        <v>446</v>
      </c>
      <c r="C87" s="232">
        <f>TAKEOFF!$H$1024</f>
        <v>69.056000000000012</v>
      </c>
      <c r="D87" s="233" t="s">
        <v>353</v>
      </c>
      <c r="E87" s="234">
        <f>RATES!$D$30</f>
        <v>14300.000000000002</v>
      </c>
      <c r="F87" s="236">
        <f>C87*E87</f>
        <v>987500.80000000028</v>
      </c>
      <c r="G87" s="118" t="s">
        <v>601</v>
      </c>
    </row>
    <row r="88" spans="1:7" ht="25.2" customHeight="1">
      <c r="A88" s="224"/>
      <c r="B88" s="226"/>
      <c r="C88" s="226"/>
      <c r="D88" s="226"/>
      <c r="E88" s="226"/>
      <c r="F88" s="235"/>
    </row>
    <row r="89" spans="1:7" ht="25.2" customHeight="1">
      <c r="A89" s="228" t="s">
        <v>15</v>
      </c>
      <c r="B89" s="231" t="s">
        <v>448</v>
      </c>
      <c r="C89" s="232">
        <f>TAKEOFF!$H$1027</f>
        <v>2.8000000000000001E-2</v>
      </c>
      <c r="D89" s="233" t="s">
        <v>353</v>
      </c>
      <c r="E89" s="234">
        <f>RATES!$D$31</f>
        <v>14300.000000000002</v>
      </c>
      <c r="F89" s="236">
        <f>C89*E89</f>
        <v>400.40000000000003</v>
      </c>
      <c r="G89" s="118" t="s">
        <v>602</v>
      </c>
    </row>
    <row r="90" spans="1:7" ht="25.2" customHeight="1">
      <c r="A90" s="109"/>
      <c r="B90" s="136"/>
      <c r="C90" s="136"/>
      <c r="D90" s="136"/>
      <c r="E90" s="136"/>
      <c r="F90" s="117"/>
    </row>
    <row r="91" spans="1:7" ht="25.2" customHeight="1" thickBot="1">
      <c r="A91" s="141"/>
      <c r="B91" s="154" t="str">
        <f>B30</f>
        <v>ELEMENT NO. 1: IN SITU CONCRETE/LARGE PRECAST CONCRETE</v>
      </c>
      <c r="C91" s="142"/>
      <c r="D91" s="142"/>
      <c r="E91" s="143"/>
      <c r="F91" s="116">
        <f>SUM(F32:F90)</f>
        <v>3157591.307</v>
      </c>
    </row>
    <row r="92" spans="1:7" ht="25.2" customHeight="1" thickTop="1" thickBot="1">
      <c r="A92" s="150"/>
      <c r="B92" s="151" t="s">
        <v>339</v>
      </c>
      <c r="C92" s="152"/>
      <c r="D92" s="152"/>
      <c r="E92" s="152"/>
      <c r="F92" s="153"/>
    </row>
    <row r="93" spans="1:7" ht="15" customHeight="1" thickTop="1">
      <c r="A93" s="109"/>
      <c r="B93" s="136"/>
      <c r="C93" s="136"/>
      <c r="D93" s="136"/>
      <c r="E93" s="136"/>
      <c r="F93" s="117"/>
    </row>
    <row r="94" spans="1:7">
      <c r="A94" s="224"/>
      <c r="B94" s="226"/>
      <c r="C94" s="226"/>
      <c r="D94" s="226"/>
      <c r="E94" s="226"/>
      <c r="F94" s="235"/>
    </row>
    <row r="95" spans="1:7" ht="23.4">
      <c r="A95" s="224"/>
      <c r="B95" s="225" t="s">
        <v>380</v>
      </c>
      <c r="C95" s="226"/>
      <c r="D95" s="226"/>
      <c r="E95" s="226"/>
      <c r="F95" s="235"/>
    </row>
    <row r="96" spans="1:7">
      <c r="A96" s="224"/>
      <c r="B96" s="226"/>
      <c r="C96" s="226"/>
      <c r="D96" s="226"/>
      <c r="E96" s="226"/>
      <c r="F96" s="235"/>
    </row>
    <row r="97" spans="1:7" ht="24" customHeight="1">
      <c r="A97" s="224"/>
      <c r="B97" s="230" t="s">
        <v>450</v>
      </c>
      <c r="C97" s="226"/>
      <c r="D97" s="226"/>
      <c r="E97" s="226"/>
      <c r="F97" s="235"/>
    </row>
    <row r="98" spans="1:7" ht="24" customHeight="1">
      <c r="A98" s="228" t="s">
        <v>9</v>
      </c>
      <c r="B98" s="231" t="s">
        <v>451</v>
      </c>
      <c r="C98" s="232">
        <f>TAKEOFF!$H$1035</f>
        <v>670.72735</v>
      </c>
      <c r="D98" s="233" t="s">
        <v>322</v>
      </c>
      <c r="E98" s="234">
        <f>RATES!$D$46</f>
        <v>215</v>
      </c>
      <c r="F98" s="236">
        <f>C98*E98</f>
        <v>144206.38024999999</v>
      </c>
      <c r="G98" s="118" t="s">
        <v>603</v>
      </c>
    </row>
    <row r="99" spans="1:7">
      <c r="A99" s="224"/>
      <c r="B99" s="226"/>
      <c r="C99" s="226"/>
      <c r="D99" s="226"/>
      <c r="E99" s="226"/>
      <c r="F99" s="235"/>
    </row>
    <row r="100" spans="1:7" ht="24" customHeight="1">
      <c r="A100" s="228" t="s">
        <v>11</v>
      </c>
      <c r="B100" s="231" t="s">
        <v>453</v>
      </c>
      <c r="C100" s="232">
        <f>TAKEOFF!$H$1041</f>
        <v>119.10765000000002</v>
      </c>
      <c r="D100" s="233" t="s">
        <v>322</v>
      </c>
      <c r="E100" s="234">
        <f>RATES!$D$47</f>
        <v>265</v>
      </c>
      <c r="F100" s="236">
        <f>C100*E100</f>
        <v>31563.527250000006</v>
      </c>
      <c r="G100" s="118" t="s">
        <v>604</v>
      </c>
    </row>
    <row r="101" spans="1:7">
      <c r="A101" s="109"/>
      <c r="B101" s="136"/>
      <c r="C101" s="136"/>
      <c r="D101" s="136"/>
      <c r="E101" s="136"/>
      <c r="F101" s="117"/>
    </row>
    <row r="102" spans="1:7" ht="24" thickBot="1">
      <c r="A102" s="141"/>
      <c r="B102" s="154" t="str">
        <f>B95</f>
        <v>ELEMENT NO. 2: MASONRY</v>
      </c>
      <c r="C102" s="142"/>
      <c r="D102" s="142"/>
      <c r="E102" s="143"/>
      <c r="F102" s="116">
        <f>SUM(F97:F101)</f>
        <v>175769.9075</v>
      </c>
    </row>
    <row r="103" spans="1:7" ht="24.45" customHeight="1" thickTop="1" thickBot="1">
      <c r="A103" s="150"/>
      <c r="B103" s="151" t="s">
        <v>339</v>
      </c>
      <c r="C103" s="152"/>
      <c r="D103" s="152"/>
      <c r="E103" s="152"/>
      <c r="F103" s="153"/>
    </row>
    <row r="104" spans="1:7" ht="15" customHeight="1" thickTop="1">
      <c r="A104" s="109"/>
      <c r="B104" s="136"/>
      <c r="C104" s="136"/>
      <c r="D104" s="136"/>
      <c r="E104" s="136"/>
      <c r="F104" s="117"/>
    </row>
    <row r="105" spans="1:7">
      <c r="A105" s="224"/>
      <c r="B105" s="226"/>
      <c r="C105" s="226"/>
      <c r="D105" s="226"/>
      <c r="E105" s="226"/>
      <c r="F105" s="235"/>
    </row>
    <row r="106" spans="1:7" ht="23.4">
      <c r="A106" s="224"/>
      <c r="B106" s="225" t="s">
        <v>381</v>
      </c>
      <c r="C106" s="226"/>
      <c r="D106" s="226"/>
      <c r="E106" s="226"/>
      <c r="F106" s="235"/>
    </row>
    <row r="107" spans="1:7">
      <c r="A107" s="224"/>
      <c r="B107" s="226"/>
      <c r="C107" s="226"/>
      <c r="D107" s="226"/>
      <c r="E107" s="226"/>
      <c r="F107" s="235"/>
    </row>
    <row r="108" spans="1:7" ht="48" customHeight="1">
      <c r="A108" s="224"/>
      <c r="B108" s="230" t="s">
        <v>455</v>
      </c>
      <c r="C108" s="226"/>
      <c r="D108" s="226"/>
      <c r="E108" s="226"/>
      <c r="F108" s="235"/>
    </row>
    <row r="109" spans="1:7" ht="48" customHeight="1">
      <c r="A109" s="228" t="s">
        <v>9</v>
      </c>
      <c r="B109" s="231" t="s">
        <v>466</v>
      </c>
      <c r="C109" s="232">
        <f>TAKEOFF!$H$1047</f>
        <v>6</v>
      </c>
      <c r="D109" s="233" t="s">
        <v>457</v>
      </c>
      <c r="E109" s="234">
        <f>RATES!$D$82</f>
        <v>7200</v>
      </c>
      <c r="F109" s="236">
        <f>C109*E109</f>
        <v>43200</v>
      </c>
      <c r="G109" s="118" t="s">
        <v>605</v>
      </c>
    </row>
    <row r="110" spans="1:7">
      <c r="A110" s="109"/>
      <c r="B110" s="136"/>
      <c r="C110" s="136"/>
      <c r="D110" s="136"/>
      <c r="E110" s="136"/>
      <c r="F110" s="117"/>
    </row>
    <row r="111" spans="1:7" ht="24" thickBot="1">
      <c r="A111" s="141"/>
      <c r="B111" s="154" t="str">
        <f>B106</f>
        <v>ELEMENT NO. 4: WINDOWS/DOORS</v>
      </c>
      <c r="C111" s="142"/>
      <c r="D111" s="142"/>
      <c r="E111" s="143"/>
      <c r="F111" s="116">
        <f>SUM(F108:F110)</f>
        <v>43200</v>
      </c>
    </row>
    <row r="112" spans="1:7" ht="24.45" customHeight="1" thickTop="1" thickBot="1">
      <c r="A112" s="150"/>
      <c r="B112" s="151" t="s">
        <v>339</v>
      </c>
      <c r="C112" s="152"/>
      <c r="D112" s="152"/>
      <c r="E112" s="152"/>
      <c r="F112" s="153"/>
    </row>
    <row r="113" spans="1:7" ht="15" customHeight="1" thickTop="1">
      <c r="A113" s="109"/>
      <c r="B113" s="136"/>
      <c r="C113" s="136"/>
      <c r="D113" s="136"/>
      <c r="E113" s="136"/>
      <c r="F113" s="117"/>
    </row>
    <row r="114" spans="1:7">
      <c r="A114" s="224"/>
      <c r="B114" s="226"/>
      <c r="C114" s="226"/>
      <c r="D114" s="226"/>
      <c r="E114" s="226"/>
      <c r="F114" s="235"/>
    </row>
    <row r="115" spans="1:7" ht="23.4">
      <c r="A115" s="224"/>
      <c r="B115" s="225" t="s">
        <v>382</v>
      </c>
      <c r="C115" s="226"/>
      <c r="D115" s="226"/>
      <c r="E115" s="226"/>
      <c r="F115" s="235"/>
    </row>
    <row r="116" spans="1:7">
      <c r="A116" s="224"/>
      <c r="B116" s="226"/>
      <c r="C116" s="226"/>
      <c r="D116" s="226"/>
      <c r="E116" s="226"/>
      <c r="F116" s="235"/>
    </row>
    <row r="117" spans="1:7" ht="24" customHeight="1">
      <c r="A117" s="224"/>
      <c r="B117" s="230" t="s">
        <v>495</v>
      </c>
      <c r="C117" s="226"/>
      <c r="D117" s="226"/>
      <c r="E117" s="226"/>
      <c r="F117" s="235"/>
    </row>
    <row r="118" spans="1:7" ht="24" customHeight="1">
      <c r="A118" s="228" t="s">
        <v>9</v>
      </c>
      <c r="B118" s="231" t="s">
        <v>496</v>
      </c>
      <c r="C118" s="232">
        <f>TAKEOFF!$H$1053</f>
        <v>23.3</v>
      </c>
      <c r="D118" s="233" t="s">
        <v>322</v>
      </c>
      <c r="E118" s="234">
        <f>RATES!$D$50</f>
        <v>68</v>
      </c>
      <c r="F118" s="236">
        <f>C118*E118</f>
        <v>1584.4</v>
      </c>
      <c r="G118" s="118" t="s">
        <v>606</v>
      </c>
    </row>
    <row r="119" spans="1:7">
      <c r="A119" s="224"/>
      <c r="B119" s="226"/>
      <c r="C119" s="226"/>
      <c r="D119" s="226"/>
      <c r="E119" s="226"/>
      <c r="F119" s="235"/>
    </row>
    <row r="120" spans="1:7" ht="24" customHeight="1">
      <c r="A120" s="228" t="s">
        <v>11</v>
      </c>
      <c r="B120" s="231" t="s">
        <v>498</v>
      </c>
      <c r="C120" s="232">
        <f>TAKEOFF!$H$1065</f>
        <v>86.78</v>
      </c>
      <c r="D120" s="233" t="s">
        <v>322</v>
      </c>
      <c r="E120" s="234">
        <f>RATES!$D$51</f>
        <v>48</v>
      </c>
      <c r="F120" s="236">
        <f>C120*E120</f>
        <v>4165.4400000000005</v>
      </c>
      <c r="G120" s="118" t="s">
        <v>607</v>
      </c>
    </row>
    <row r="121" spans="1:7">
      <c r="A121" s="224"/>
      <c r="B121" s="226"/>
      <c r="C121" s="226"/>
      <c r="D121" s="226"/>
      <c r="E121" s="226"/>
      <c r="F121" s="235"/>
    </row>
    <row r="122" spans="1:7" ht="24" customHeight="1">
      <c r="A122" s="228" t="s">
        <v>13</v>
      </c>
      <c r="B122" s="231" t="s">
        <v>502</v>
      </c>
      <c r="C122" s="232">
        <f>TAKEOFF!$H$1075</f>
        <v>63.480000000000004</v>
      </c>
      <c r="D122" s="233" t="s">
        <v>322</v>
      </c>
      <c r="E122" s="234">
        <f>RATES!$D$54</f>
        <v>270</v>
      </c>
      <c r="F122" s="236">
        <f>C122*E122</f>
        <v>17139.600000000002</v>
      </c>
      <c r="G122" s="118" t="s">
        <v>569</v>
      </c>
    </row>
    <row r="123" spans="1:7">
      <c r="A123" s="224"/>
      <c r="B123" s="226"/>
      <c r="C123" s="226"/>
      <c r="D123" s="226"/>
      <c r="E123" s="226"/>
      <c r="F123" s="235"/>
    </row>
    <row r="124" spans="1:7" ht="24" customHeight="1">
      <c r="A124" s="228" t="s">
        <v>15</v>
      </c>
      <c r="B124" s="231" t="s">
        <v>504</v>
      </c>
      <c r="C124" s="232">
        <f>TAKEOFF!$H$1078</f>
        <v>3.3</v>
      </c>
      <c r="D124" s="233" t="s">
        <v>322</v>
      </c>
      <c r="E124" s="234">
        <f>RATES!$D$55</f>
        <v>265</v>
      </c>
      <c r="F124" s="236">
        <f>C124*E124</f>
        <v>874.5</v>
      </c>
      <c r="G124" s="118" t="s">
        <v>608</v>
      </c>
    </row>
    <row r="125" spans="1:7">
      <c r="A125" s="224"/>
      <c r="B125" s="226"/>
      <c r="C125" s="226"/>
      <c r="D125" s="226"/>
      <c r="E125" s="226"/>
      <c r="F125" s="235"/>
    </row>
    <row r="126" spans="1:7" ht="24" customHeight="1">
      <c r="A126" s="228" t="s">
        <v>17</v>
      </c>
      <c r="B126" s="231" t="s">
        <v>508</v>
      </c>
      <c r="C126" s="232">
        <f>TAKEOFF!$H$1081</f>
        <v>20</v>
      </c>
      <c r="D126" s="233" t="s">
        <v>322</v>
      </c>
      <c r="E126" s="234">
        <f>RATES!$D$57</f>
        <v>250</v>
      </c>
      <c r="F126" s="236">
        <f>C126*E126</f>
        <v>5000</v>
      </c>
      <c r="G126" s="118" t="s">
        <v>609</v>
      </c>
    </row>
    <row r="127" spans="1:7">
      <c r="A127" s="224"/>
      <c r="B127" s="226"/>
      <c r="C127" s="226"/>
      <c r="D127" s="226"/>
      <c r="E127" s="226"/>
      <c r="F127" s="235"/>
    </row>
    <row r="128" spans="1:7" ht="24" customHeight="1">
      <c r="A128" s="228" t="s">
        <v>19</v>
      </c>
      <c r="B128" s="231" t="s">
        <v>572</v>
      </c>
      <c r="C128" s="232">
        <f>TAKEOFF!$H$1085</f>
        <v>1176.9000000000001</v>
      </c>
      <c r="D128" s="233" t="s">
        <v>322</v>
      </c>
      <c r="E128" s="234">
        <f>RATES!$D$59</f>
        <v>290</v>
      </c>
      <c r="F128" s="236">
        <f>C128*E128</f>
        <v>341301</v>
      </c>
      <c r="G128" s="118" t="s">
        <v>610</v>
      </c>
    </row>
    <row r="129" spans="1:7">
      <c r="A129" s="109"/>
      <c r="B129" s="136"/>
      <c r="C129" s="136"/>
      <c r="D129" s="136"/>
      <c r="E129" s="136"/>
      <c r="F129" s="117"/>
    </row>
    <row r="130" spans="1:7" ht="24" thickBot="1">
      <c r="A130" s="141"/>
      <c r="B130" s="154" t="str">
        <f>B115</f>
        <v>ELEMENT NO. 5: FLOOR FINISHES</v>
      </c>
      <c r="C130" s="142"/>
      <c r="D130" s="142"/>
      <c r="E130" s="143"/>
      <c r="F130" s="116">
        <f>SUM(F117:F129)</f>
        <v>370064.94</v>
      </c>
    </row>
    <row r="131" spans="1:7" ht="24.45" customHeight="1" thickTop="1" thickBot="1">
      <c r="A131" s="150"/>
      <c r="B131" s="151" t="s">
        <v>339</v>
      </c>
      <c r="C131" s="152"/>
      <c r="D131" s="152"/>
      <c r="E131" s="152"/>
      <c r="F131" s="153"/>
    </row>
    <row r="132" spans="1:7" ht="15" customHeight="1" thickTop="1">
      <c r="A132" s="109"/>
      <c r="B132" s="136"/>
      <c r="C132" s="136"/>
      <c r="D132" s="136"/>
      <c r="E132" s="136"/>
      <c r="F132" s="117"/>
    </row>
    <row r="133" spans="1:7">
      <c r="A133" s="224"/>
      <c r="B133" s="226"/>
      <c r="C133" s="226"/>
      <c r="D133" s="226"/>
      <c r="E133" s="226"/>
      <c r="F133" s="235"/>
    </row>
    <row r="134" spans="1:7" ht="23.4">
      <c r="A134" s="224"/>
      <c r="B134" s="225" t="s">
        <v>383</v>
      </c>
      <c r="C134" s="226"/>
      <c r="D134" s="226"/>
      <c r="E134" s="226"/>
      <c r="F134" s="235"/>
    </row>
    <row r="135" spans="1:7">
      <c r="A135" s="224"/>
      <c r="B135" s="226"/>
      <c r="C135" s="226"/>
      <c r="D135" s="226"/>
      <c r="E135" s="226"/>
      <c r="F135" s="235"/>
    </row>
    <row r="136" spans="1:7" ht="48" customHeight="1">
      <c r="A136" s="224"/>
      <c r="B136" s="230" t="s">
        <v>512</v>
      </c>
      <c r="C136" s="226"/>
      <c r="D136" s="226"/>
      <c r="E136" s="226"/>
      <c r="F136" s="235"/>
    </row>
    <row r="137" spans="1:7" ht="24" customHeight="1">
      <c r="A137" s="228" t="s">
        <v>9</v>
      </c>
      <c r="B137" s="231" t="s">
        <v>513</v>
      </c>
      <c r="C137" s="232">
        <f>TAKEOFF!$H$1103</f>
        <v>1044.9849999999999</v>
      </c>
      <c r="D137" s="233" t="s">
        <v>322</v>
      </c>
      <c r="E137" s="234">
        <f>RATES!$D$48</f>
        <v>78</v>
      </c>
      <c r="F137" s="236">
        <f>C137*E137</f>
        <v>81508.829999999987</v>
      </c>
      <c r="G137" s="118" t="s">
        <v>611</v>
      </c>
    </row>
    <row r="138" spans="1:7">
      <c r="A138" s="224"/>
      <c r="B138" s="226"/>
      <c r="C138" s="226"/>
      <c r="D138" s="226"/>
      <c r="E138" s="226"/>
      <c r="F138" s="235"/>
    </row>
    <row r="139" spans="1:7" ht="24" customHeight="1">
      <c r="A139" s="228" t="s">
        <v>11</v>
      </c>
      <c r="B139" s="231" t="s">
        <v>517</v>
      </c>
      <c r="C139" s="232">
        <f>TAKEOFF!$H$1109</f>
        <v>878.85000000000014</v>
      </c>
      <c r="D139" s="233" t="s">
        <v>322</v>
      </c>
      <c r="E139" s="234">
        <f>RATES!$D$49</f>
        <v>88</v>
      </c>
      <c r="F139" s="236">
        <f>C139*E139</f>
        <v>77338.800000000017</v>
      </c>
      <c r="G139" s="118" t="s">
        <v>612</v>
      </c>
    </row>
    <row r="140" spans="1:7">
      <c r="A140" s="109"/>
      <c r="B140" s="136"/>
      <c r="C140" s="136"/>
      <c r="D140" s="136"/>
      <c r="E140" s="136"/>
      <c r="F140" s="117"/>
    </row>
    <row r="141" spans="1:7" ht="24" thickBot="1">
      <c r="A141" s="141"/>
      <c r="B141" s="154" t="str">
        <f>B134</f>
        <v>ELEMENT NO. 6: WALL FINISHES</v>
      </c>
      <c r="C141" s="142"/>
      <c r="D141" s="142"/>
      <c r="E141" s="143"/>
      <c r="F141" s="116">
        <f>SUM(F136:F140)</f>
        <v>158847.63</v>
      </c>
    </row>
    <row r="142" spans="1:7" ht="24.45" customHeight="1" thickTop="1" thickBot="1">
      <c r="A142" s="150"/>
      <c r="B142" s="151" t="s">
        <v>339</v>
      </c>
      <c r="C142" s="152"/>
      <c r="D142" s="152"/>
      <c r="E142" s="152"/>
      <c r="F142" s="153"/>
    </row>
    <row r="143" spans="1:7" ht="15" customHeight="1" thickTop="1">
      <c r="A143" s="109"/>
      <c r="B143" s="136"/>
      <c r="C143" s="136"/>
      <c r="D143" s="136"/>
      <c r="E143" s="136"/>
      <c r="F143" s="117"/>
    </row>
    <row r="144" spans="1:7">
      <c r="A144" s="224"/>
      <c r="B144" s="226"/>
      <c r="C144" s="226"/>
      <c r="D144" s="226"/>
      <c r="E144" s="226"/>
      <c r="F144" s="235"/>
    </row>
    <row r="145" spans="1:7" ht="23.4">
      <c r="A145" s="224"/>
      <c r="B145" s="225" t="s">
        <v>384</v>
      </c>
      <c r="C145" s="226"/>
      <c r="D145" s="226"/>
      <c r="E145" s="226"/>
      <c r="F145" s="235"/>
    </row>
    <row r="146" spans="1:7">
      <c r="A146" s="224"/>
      <c r="B146" s="226"/>
      <c r="C146" s="226"/>
      <c r="D146" s="226"/>
      <c r="E146" s="226"/>
      <c r="F146" s="235"/>
    </row>
    <row r="147" spans="1:7" ht="24" customHeight="1">
      <c r="A147" s="224"/>
      <c r="B147" s="230" t="s">
        <v>522</v>
      </c>
      <c r="C147" s="226"/>
      <c r="D147" s="226"/>
      <c r="E147" s="226"/>
      <c r="F147" s="235"/>
    </row>
    <row r="148" spans="1:7" ht="24" customHeight="1">
      <c r="A148" s="228" t="s">
        <v>9</v>
      </c>
      <c r="B148" s="231" t="s">
        <v>513</v>
      </c>
      <c r="C148" s="232">
        <f>TAKEOFF!$H$1127</f>
        <v>1044.9849999999999</v>
      </c>
      <c r="D148" s="233" t="s">
        <v>322</v>
      </c>
      <c r="E148" s="234">
        <f>RATES!$D$61</f>
        <v>45</v>
      </c>
      <c r="F148" s="236">
        <f>C148*E148</f>
        <v>47024.324999999997</v>
      </c>
      <c r="G148" s="118" t="s">
        <v>611</v>
      </c>
    </row>
    <row r="149" spans="1:7">
      <c r="A149" s="224"/>
      <c r="B149" s="226"/>
      <c r="C149" s="226"/>
      <c r="D149" s="226"/>
      <c r="E149" s="226"/>
      <c r="F149" s="235"/>
    </row>
    <row r="150" spans="1:7" ht="24" customHeight="1">
      <c r="A150" s="228" t="s">
        <v>11</v>
      </c>
      <c r="B150" s="231" t="s">
        <v>525</v>
      </c>
      <c r="C150" s="232">
        <f>TAKEOFF!$H$1133</f>
        <v>878.85000000000014</v>
      </c>
      <c r="D150" s="233" t="s">
        <v>322</v>
      </c>
      <c r="E150" s="234">
        <f>RATES!$D$62</f>
        <v>62</v>
      </c>
      <c r="F150" s="236">
        <f>C150*E150</f>
        <v>54488.700000000012</v>
      </c>
      <c r="G150" s="118" t="s">
        <v>612</v>
      </c>
    </row>
    <row r="151" spans="1:7">
      <c r="A151" s="224"/>
      <c r="B151" s="226"/>
      <c r="C151" s="226"/>
      <c r="D151" s="226"/>
      <c r="E151" s="226"/>
      <c r="F151" s="235"/>
    </row>
    <row r="152" spans="1:7" ht="24" customHeight="1">
      <c r="A152" s="228" t="s">
        <v>13</v>
      </c>
      <c r="B152" s="231" t="s">
        <v>526</v>
      </c>
      <c r="C152" s="232">
        <f>TAKEOFF!$H$1144</f>
        <v>350.45499999999998</v>
      </c>
      <c r="D152" s="233" t="s">
        <v>322</v>
      </c>
      <c r="E152" s="234">
        <f>RATES!$D$61</f>
        <v>45</v>
      </c>
      <c r="F152" s="236">
        <f>C152*E152</f>
        <v>15770.474999999999</v>
      </c>
      <c r="G152" s="118" t="s">
        <v>588</v>
      </c>
    </row>
    <row r="153" spans="1:7">
      <c r="A153" s="224"/>
      <c r="B153" s="226"/>
      <c r="C153" s="226"/>
      <c r="D153" s="226"/>
      <c r="E153" s="226"/>
      <c r="F153" s="235"/>
    </row>
    <row r="154" spans="1:7" ht="24" customHeight="1">
      <c r="A154" s="228" t="s">
        <v>15</v>
      </c>
      <c r="B154" s="231" t="s">
        <v>527</v>
      </c>
      <c r="C154" s="232">
        <f>TAKEOFF!$H$1147</f>
        <v>3.3</v>
      </c>
      <c r="D154" s="233" t="s">
        <v>322</v>
      </c>
      <c r="E154" s="234">
        <f>RATES!$D$63</f>
        <v>48</v>
      </c>
      <c r="F154" s="236">
        <f>C154*E154</f>
        <v>158.39999999999998</v>
      </c>
      <c r="G154" s="118" t="s">
        <v>608</v>
      </c>
    </row>
    <row r="155" spans="1:7">
      <c r="A155" s="109"/>
      <c r="B155" s="136"/>
      <c r="C155" s="136"/>
      <c r="D155" s="136"/>
      <c r="E155" s="136"/>
      <c r="F155" s="117"/>
    </row>
    <row r="156" spans="1:7" ht="24" thickBot="1">
      <c r="A156" s="141"/>
      <c r="B156" s="154" t="str">
        <f>B145</f>
        <v>ELEMENT NO. 7: PAINTING AND DECORATING</v>
      </c>
      <c r="C156" s="142"/>
      <c r="D156" s="142"/>
      <c r="E156" s="143"/>
      <c r="F156" s="116">
        <f>SUM(F147:F155)</f>
        <v>117441.9</v>
      </c>
    </row>
    <row r="157" spans="1:7" ht="24.45" customHeight="1" thickTop="1" thickBot="1">
      <c r="A157" s="141"/>
      <c r="B157" s="154" t="s">
        <v>339</v>
      </c>
      <c r="C157" s="142"/>
      <c r="D157" s="142"/>
      <c r="E157" s="143"/>
      <c r="F157" s="116"/>
    </row>
    <row r="158" spans="1:7" ht="15" customHeight="1" thickTop="1"/>
    <row r="160" spans="1:7" ht="31.2">
      <c r="B160" s="119" t="s">
        <v>534</v>
      </c>
    </row>
  </sheetData>
  <pageMargins left="0.75" right="0.75" top="1" bottom="1" header="0.5" footer="0.5"/>
  <pageSetup scale="38" fitToHeight="0" orientation="portrait" r:id="rId1"/>
  <rowBreaks count="2" manualBreakCount="2">
    <brk id="26" max="5" man="1"/>
    <brk id="92"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49"/>
  <sheetViews>
    <sheetView view="pageBreakPreview" topLeftCell="A247" zoomScale="60" zoomScaleNormal="100" workbookViewId="0">
      <selection activeCell="B234" sqref="B234"/>
    </sheetView>
  </sheetViews>
  <sheetFormatPr defaultRowHeight="14.4"/>
  <cols>
    <col min="1" max="1" width="16.109375" style="9" customWidth="1"/>
    <col min="2" max="2" width="145" style="9" customWidth="1"/>
    <col min="3" max="3" width="32.109375" style="9" customWidth="1"/>
    <col min="4" max="4" width="22.77734375" style="9" customWidth="1"/>
    <col min="5" max="5" width="24.77734375"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1" customHeight="1">
      <c r="A6" s="155"/>
      <c r="B6" s="156"/>
      <c r="C6" s="156"/>
      <c r="D6" s="156"/>
      <c r="E6" s="156"/>
      <c r="F6" s="157"/>
    </row>
    <row r="7" spans="1:7" ht="21" customHeight="1">
      <c r="A7" s="224"/>
      <c r="B7" s="225" t="s">
        <v>313</v>
      </c>
      <c r="C7" s="226"/>
      <c r="D7" s="226"/>
      <c r="E7" s="226"/>
      <c r="F7" s="235"/>
    </row>
    <row r="8" spans="1:7" ht="21" customHeight="1">
      <c r="A8" s="224"/>
      <c r="B8" s="226"/>
      <c r="C8" s="226"/>
      <c r="D8" s="226"/>
      <c r="E8" s="226"/>
      <c r="F8" s="235"/>
    </row>
    <row r="9" spans="1:7" ht="21" customHeight="1">
      <c r="A9" s="224"/>
      <c r="B9" s="225" t="s">
        <v>613</v>
      </c>
      <c r="C9" s="226"/>
      <c r="D9" s="226"/>
      <c r="E9" s="226"/>
      <c r="F9" s="235"/>
    </row>
    <row r="10" spans="1:7" ht="21" customHeight="1">
      <c r="A10" s="224"/>
      <c r="B10" s="226"/>
      <c r="C10" s="226"/>
      <c r="D10" s="226"/>
      <c r="E10" s="226"/>
      <c r="F10" s="235"/>
    </row>
    <row r="11" spans="1:7" ht="21" customHeight="1">
      <c r="A11" s="224"/>
      <c r="B11" s="227" t="s">
        <v>314</v>
      </c>
      <c r="C11" s="226"/>
      <c r="D11" s="226"/>
      <c r="E11" s="226"/>
      <c r="F11" s="235"/>
    </row>
    <row r="12" spans="1:7" ht="21" customHeight="1">
      <c r="A12" s="224"/>
      <c r="B12" s="226"/>
      <c r="C12" s="226"/>
      <c r="D12" s="226"/>
      <c r="E12" s="226"/>
      <c r="F12" s="235"/>
    </row>
    <row r="13" spans="1:7" ht="21" customHeight="1">
      <c r="A13" s="228" t="s">
        <v>9</v>
      </c>
      <c r="B13" s="229" t="s">
        <v>379</v>
      </c>
      <c r="C13" s="226"/>
      <c r="D13" s="226"/>
      <c r="E13" s="226"/>
      <c r="F13" s="236">
        <f>F90</f>
        <v>2839785.0357499998</v>
      </c>
    </row>
    <row r="14" spans="1:7" ht="21" customHeight="1">
      <c r="A14" s="224"/>
      <c r="B14" s="226"/>
      <c r="C14" s="226"/>
      <c r="D14" s="226"/>
      <c r="E14" s="226"/>
      <c r="F14" s="235"/>
    </row>
    <row r="15" spans="1:7" ht="21" customHeight="1">
      <c r="A15" s="228" t="s">
        <v>11</v>
      </c>
      <c r="B15" s="229" t="s">
        <v>380</v>
      </c>
      <c r="C15" s="226"/>
      <c r="D15" s="226"/>
      <c r="E15" s="226"/>
      <c r="F15" s="236">
        <f>F101</f>
        <v>420081.85</v>
      </c>
    </row>
    <row r="16" spans="1:7" ht="21" customHeight="1">
      <c r="A16" s="224"/>
      <c r="B16" s="226"/>
      <c r="C16" s="226"/>
      <c r="D16" s="226"/>
      <c r="E16" s="226"/>
      <c r="F16" s="235"/>
    </row>
    <row r="17" spans="1:6" ht="21" customHeight="1">
      <c r="A17" s="228" t="s">
        <v>13</v>
      </c>
      <c r="B17" s="229" t="s">
        <v>381</v>
      </c>
      <c r="C17" s="226"/>
      <c r="D17" s="226"/>
      <c r="E17" s="226"/>
      <c r="F17" s="236">
        <f>F190</f>
        <v>691235.75</v>
      </c>
    </row>
    <row r="18" spans="1:6" ht="21" customHeight="1">
      <c r="A18" s="224"/>
      <c r="B18" s="226"/>
      <c r="C18" s="226"/>
      <c r="D18" s="226"/>
      <c r="E18" s="226"/>
      <c r="F18" s="235"/>
    </row>
    <row r="19" spans="1:6" ht="21" customHeight="1">
      <c r="A19" s="228" t="s">
        <v>15</v>
      </c>
      <c r="B19" s="229" t="s">
        <v>382</v>
      </c>
      <c r="C19" s="226"/>
      <c r="D19" s="226"/>
      <c r="E19" s="226"/>
      <c r="F19" s="236">
        <f>F210</f>
        <v>385700.14</v>
      </c>
    </row>
    <row r="20" spans="1:6" ht="21" customHeight="1">
      <c r="A20" s="224"/>
      <c r="B20" s="226"/>
      <c r="C20" s="226"/>
      <c r="D20" s="226"/>
      <c r="E20" s="226"/>
      <c r="F20" s="235"/>
    </row>
    <row r="21" spans="1:6" ht="21" customHeight="1">
      <c r="A21" s="228" t="s">
        <v>17</v>
      </c>
      <c r="B21" s="229" t="s">
        <v>383</v>
      </c>
      <c r="C21" s="226"/>
      <c r="D21" s="226"/>
      <c r="E21" s="226"/>
      <c r="F21" s="236">
        <f>F226</f>
        <v>315809.63473684213</v>
      </c>
    </row>
    <row r="22" spans="1:6" ht="21" customHeight="1">
      <c r="A22" s="224"/>
      <c r="B22" s="226"/>
      <c r="C22" s="226"/>
      <c r="D22" s="226"/>
      <c r="E22" s="226"/>
      <c r="F22" s="235"/>
    </row>
    <row r="23" spans="1:6" ht="21" customHeight="1">
      <c r="A23" s="228" t="s">
        <v>19</v>
      </c>
      <c r="B23" s="229" t="s">
        <v>384</v>
      </c>
      <c r="C23" s="226"/>
      <c r="D23" s="226"/>
      <c r="E23" s="226"/>
      <c r="F23" s="236">
        <f>F245</f>
        <v>193492.31947368424</v>
      </c>
    </row>
    <row r="24" spans="1:6">
      <c r="A24" s="109"/>
      <c r="B24" s="136"/>
      <c r="C24" s="136"/>
      <c r="D24" s="136"/>
      <c r="E24" s="136"/>
      <c r="F24" s="117"/>
    </row>
    <row r="25" spans="1:6" ht="35.549999999999997" customHeight="1" thickBot="1">
      <c r="A25" s="141"/>
      <c r="B25" s="154" t="str">
        <f>B9</f>
        <v xml:space="preserve"> THIRD FLOOR</v>
      </c>
      <c r="C25" s="142"/>
      <c r="D25" s="142"/>
      <c r="E25" s="143" t="s">
        <v>8</v>
      </c>
      <c r="F25" s="116">
        <f>SUM(F13:F24)</f>
        <v>4846104.7299605263</v>
      </c>
    </row>
    <row r="26" spans="1:6" ht="24.45" customHeight="1" thickTop="1" thickBot="1">
      <c r="A26" s="150"/>
      <c r="B26" s="151" t="s">
        <v>318</v>
      </c>
      <c r="C26" s="152"/>
      <c r="D26" s="152"/>
      <c r="E26" s="152"/>
      <c r="F26" s="153"/>
    </row>
    <row r="27" spans="1:6" ht="29.4" customHeight="1" thickTop="1">
      <c r="A27" s="109"/>
      <c r="B27" s="136"/>
      <c r="C27" s="136"/>
      <c r="D27" s="136"/>
      <c r="E27" s="136"/>
      <c r="F27" s="117"/>
    </row>
    <row r="28" spans="1:6" ht="29.4" customHeight="1">
      <c r="A28" s="224"/>
      <c r="B28" s="226"/>
      <c r="C28" s="226"/>
      <c r="D28" s="226"/>
      <c r="E28" s="226"/>
      <c r="F28" s="235"/>
    </row>
    <row r="29" spans="1:6" ht="29.4" customHeight="1">
      <c r="A29" s="224"/>
      <c r="B29" s="225" t="s">
        <v>614</v>
      </c>
      <c r="C29" s="226"/>
      <c r="D29" s="226"/>
      <c r="E29" s="226"/>
      <c r="F29" s="235"/>
    </row>
    <row r="30" spans="1:6" ht="29.4" customHeight="1">
      <c r="A30" s="224"/>
      <c r="B30" s="226"/>
      <c r="C30" s="226"/>
      <c r="D30" s="226"/>
      <c r="E30" s="226"/>
      <c r="F30" s="235"/>
    </row>
    <row r="31" spans="1:6" ht="29.4" customHeight="1">
      <c r="A31" s="224"/>
      <c r="B31" s="225" t="s">
        <v>379</v>
      </c>
      <c r="C31" s="226"/>
      <c r="D31" s="226"/>
      <c r="E31" s="226"/>
      <c r="F31" s="235"/>
    </row>
    <row r="32" spans="1:6" ht="29.4" customHeight="1">
      <c r="A32" s="224"/>
      <c r="B32" s="226"/>
      <c r="C32" s="226"/>
      <c r="D32" s="226"/>
      <c r="E32" s="226"/>
      <c r="F32" s="235"/>
    </row>
    <row r="33" spans="1:7" ht="29.4" customHeight="1">
      <c r="A33" s="224"/>
      <c r="B33" s="230" t="s">
        <v>344</v>
      </c>
      <c r="C33" s="226"/>
      <c r="D33" s="226"/>
      <c r="E33" s="226"/>
      <c r="F33" s="235"/>
    </row>
    <row r="34" spans="1:7" ht="29.4" customHeight="1">
      <c r="A34" s="228" t="s">
        <v>9</v>
      </c>
      <c r="B34" s="231" t="s">
        <v>386</v>
      </c>
      <c r="C34" s="232">
        <f>TAKEOFF!$H$1155</f>
        <v>318.47500000000002</v>
      </c>
      <c r="D34" s="233" t="s">
        <v>327</v>
      </c>
      <c r="E34" s="234">
        <f>RATES!$D$22</f>
        <v>2310</v>
      </c>
      <c r="F34" s="236">
        <f>C34*E34</f>
        <v>735677.25</v>
      </c>
      <c r="G34" s="118" t="s">
        <v>615</v>
      </c>
    </row>
    <row r="35" spans="1:7" ht="29.4" customHeight="1">
      <c r="A35" s="224"/>
      <c r="B35" s="226"/>
      <c r="C35" s="226"/>
      <c r="D35" s="226"/>
      <c r="E35" s="226"/>
      <c r="F35" s="235"/>
    </row>
    <row r="36" spans="1:7" ht="29.4" customHeight="1">
      <c r="A36" s="228" t="s">
        <v>11</v>
      </c>
      <c r="B36" s="231" t="s">
        <v>388</v>
      </c>
      <c r="C36" s="232">
        <f>TAKEOFF!$H$1159</f>
        <v>12.543999999999999</v>
      </c>
      <c r="D36" s="233" t="s">
        <v>327</v>
      </c>
      <c r="E36" s="234">
        <f>RATES!$D$23</f>
        <v>2310</v>
      </c>
      <c r="F36" s="236">
        <f>C36*E36</f>
        <v>28976.639999999996</v>
      </c>
      <c r="G36" s="118" t="s">
        <v>616</v>
      </c>
    </row>
    <row r="37" spans="1:7" ht="29.4" customHeight="1">
      <c r="A37" s="224"/>
      <c r="B37" s="226"/>
      <c r="C37" s="226"/>
      <c r="D37" s="226"/>
      <c r="E37" s="226"/>
      <c r="F37" s="235"/>
    </row>
    <row r="38" spans="1:7" ht="29.4" customHeight="1">
      <c r="A38" s="228" t="s">
        <v>13</v>
      </c>
      <c r="B38" s="231" t="s">
        <v>390</v>
      </c>
      <c r="C38" s="232">
        <f>TAKEOFF!$H$1170</f>
        <v>40.545937499999994</v>
      </c>
      <c r="D38" s="233" t="s">
        <v>327</v>
      </c>
      <c r="E38" s="234">
        <f>RATES!$D$21</f>
        <v>2310</v>
      </c>
      <c r="F38" s="236">
        <f>C38*E38</f>
        <v>93661.115624999991</v>
      </c>
      <c r="G38" s="118" t="s">
        <v>617</v>
      </c>
    </row>
    <row r="39" spans="1:7" ht="29.4" customHeight="1">
      <c r="A39" s="224"/>
      <c r="B39" s="226"/>
      <c r="C39" s="226"/>
      <c r="D39" s="226"/>
      <c r="E39" s="226"/>
      <c r="F39" s="235"/>
    </row>
    <row r="40" spans="1:7" ht="29.4" customHeight="1">
      <c r="A40" s="228" t="s">
        <v>15</v>
      </c>
      <c r="B40" s="231" t="s">
        <v>392</v>
      </c>
      <c r="C40" s="232">
        <f>TAKEOFF!$H$1174</f>
        <v>36.310249999999996</v>
      </c>
      <c r="D40" s="233" t="s">
        <v>327</v>
      </c>
      <c r="E40" s="234">
        <f>RATES!$D$20</f>
        <v>2310</v>
      </c>
      <c r="F40" s="236">
        <f>C40*E40</f>
        <v>83876.677499999991</v>
      </c>
      <c r="G40" s="118" t="s">
        <v>618</v>
      </c>
    </row>
    <row r="41" spans="1:7" ht="29.4" customHeight="1">
      <c r="A41" s="224"/>
      <c r="B41" s="226"/>
      <c r="C41" s="226"/>
      <c r="D41" s="226"/>
      <c r="E41" s="226"/>
      <c r="F41" s="235"/>
    </row>
    <row r="42" spans="1:7" ht="29.4" customHeight="1">
      <c r="A42" s="228" t="s">
        <v>17</v>
      </c>
      <c r="B42" s="231" t="s">
        <v>394</v>
      </c>
      <c r="C42" s="232">
        <f>TAKEOFF!$H$1177</f>
        <v>16.641562499999999</v>
      </c>
      <c r="D42" s="233" t="s">
        <v>327</v>
      </c>
      <c r="E42" s="234">
        <f>RATES!$D$20</f>
        <v>2310</v>
      </c>
      <c r="F42" s="236">
        <f>C42*E42</f>
        <v>38442.009375000001</v>
      </c>
      <c r="G42" s="118" t="s">
        <v>619</v>
      </c>
    </row>
    <row r="43" spans="1:7" ht="29.4" customHeight="1">
      <c r="A43" s="224"/>
      <c r="B43" s="226"/>
      <c r="C43" s="226"/>
      <c r="D43" s="226"/>
      <c r="E43" s="226"/>
      <c r="F43" s="235"/>
    </row>
    <row r="44" spans="1:7" ht="29.4" customHeight="1">
      <c r="A44" s="228" t="s">
        <v>19</v>
      </c>
      <c r="B44" s="231" t="s">
        <v>396</v>
      </c>
      <c r="C44" s="232">
        <f>TAKEOFF!$H$1183</f>
        <v>11.182</v>
      </c>
      <c r="D44" s="233" t="s">
        <v>327</v>
      </c>
      <c r="E44" s="234">
        <f>RATES!$D$24</f>
        <v>2310</v>
      </c>
      <c r="F44" s="236">
        <f>C44*E44</f>
        <v>25830.420000000002</v>
      </c>
      <c r="G44" s="118" t="s">
        <v>620</v>
      </c>
    </row>
    <row r="45" spans="1:7" ht="29.4" customHeight="1">
      <c r="A45" s="224"/>
      <c r="B45" s="226"/>
      <c r="C45" s="226"/>
      <c r="D45" s="226"/>
      <c r="E45" s="226"/>
      <c r="F45" s="235"/>
    </row>
    <row r="46" spans="1:7" ht="29.4" customHeight="1">
      <c r="A46" s="228" t="s">
        <v>21</v>
      </c>
      <c r="B46" s="231" t="s">
        <v>398</v>
      </c>
      <c r="C46" s="232">
        <f>TAKEOFF!$H$1220</f>
        <v>7.9042499999999993</v>
      </c>
      <c r="D46" s="233" t="s">
        <v>327</v>
      </c>
      <c r="E46" s="234">
        <f>RATES!$D$25</f>
        <v>1925.0000000000002</v>
      </c>
      <c r="F46" s="236">
        <f>C46*E46</f>
        <v>15215.68125</v>
      </c>
      <c r="G46" s="118" t="s">
        <v>621</v>
      </c>
    </row>
    <row r="47" spans="1:7" ht="29.4" customHeight="1">
      <c r="A47" s="224"/>
      <c r="B47" s="226"/>
      <c r="C47" s="226"/>
      <c r="D47" s="226"/>
      <c r="E47" s="226"/>
      <c r="F47" s="235"/>
    </row>
    <row r="48" spans="1:7" ht="29.4" customHeight="1">
      <c r="A48" s="224"/>
      <c r="B48" s="230" t="s">
        <v>400</v>
      </c>
      <c r="C48" s="226"/>
      <c r="D48" s="226"/>
      <c r="E48" s="226"/>
      <c r="F48" s="235"/>
    </row>
    <row r="49" spans="1:7" ht="29.4" customHeight="1">
      <c r="A49" s="228" t="s">
        <v>23</v>
      </c>
      <c r="B49" s="231" t="s">
        <v>401</v>
      </c>
      <c r="C49" s="232">
        <f>TAKEOFF!$H$1224</f>
        <v>1273.9000000000001</v>
      </c>
      <c r="D49" s="233" t="s">
        <v>322</v>
      </c>
      <c r="E49" s="234">
        <f>RATES!$D$38</f>
        <v>165</v>
      </c>
      <c r="F49" s="236">
        <f>C49*E49</f>
        <v>210193.50000000003</v>
      </c>
      <c r="G49" s="118" t="s">
        <v>622</v>
      </c>
    </row>
    <row r="50" spans="1:7" ht="29.4" customHeight="1">
      <c r="A50" s="224"/>
      <c r="B50" s="226"/>
      <c r="C50" s="226"/>
      <c r="D50" s="226"/>
      <c r="E50" s="226"/>
      <c r="F50" s="235"/>
    </row>
    <row r="51" spans="1:7" ht="29.4" customHeight="1">
      <c r="A51" s="228" t="s">
        <v>25</v>
      </c>
      <c r="B51" s="231" t="s">
        <v>403</v>
      </c>
      <c r="C51" s="232">
        <f>TAKEOFF!$H$1227</f>
        <v>232.4</v>
      </c>
      <c r="D51" s="233" t="s">
        <v>369</v>
      </c>
      <c r="E51" s="234">
        <f>RATES!$D$40</f>
        <v>65</v>
      </c>
      <c r="F51" s="236">
        <f>C51*E51</f>
        <v>15106</v>
      </c>
      <c r="G51" s="118" t="s">
        <v>623</v>
      </c>
    </row>
    <row r="52" spans="1:7" ht="29.4" customHeight="1">
      <c r="A52" s="224"/>
      <c r="B52" s="226"/>
      <c r="C52" s="226"/>
      <c r="D52" s="226"/>
      <c r="E52" s="226"/>
      <c r="F52" s="235"/>
    </row>
    <row r="53" spans="1:7" ht="29.4" customHeight="1">
      <c r="A53" s="228" t="s">
        <v>27</v>
      </c>
      <c r="B53" s="231" t="s">
        <v>405</v>
      </c>
      <c r="C53" s="232">
        <f>TAKEOFF!$H$1231</f>
        <v>127.19</v>
      </c>
      <c r="D53" s="233" t="s">
        <v>322</v>
      </c>
      <c r="E53" s="234">
        <f>RATES!$D$39</f>
        <v>165</v>
      </c>
      <c r="F53" s="236">
        <f>C53*E53</f>
        <v>20986.35</v>
      </c>
      <c r="G53" s="118" t="s">
        <v>624</v>
      </c>
    </row>
    <row r="54" spans="1:7" ht="29.4" customHeight="1">
      <c r="A54" s="224"/>
      <c r="B54" s="226"/>
      <c r="C54" s="226"/>
      <c r="D54" s="226"/>
      <c r="E54" s="226"/>
      <c r="F54" s="235"/>
    </row>
    <row r="55" spans="1:7" ht="29.4" customHeight="1">
      <c r="A55" s="228" t="s">
        <v>29</v>
      </c>
      <c r="B55" s="231" t="s">
        <v>390</v>
      </c>
      <c r="C55" s="232">
        <f>TAKEOFF!$H$1242</f>
        <v>321.3175</v>
      </c>
      <c r="D55" s="233" t="s">
        <v>322</v>
      </c>
      <c r="E55" s="234">
        <f>RATES!$D$37</f>
        <v>165</v>
      </c>
      <c r="F55" s="236">
        <f>C55*E55</f>
        <v>53017.387499999997</v>
      </c>
      <c r="G55" s="118" t="s">
        <v>625</v>
      </c>
    </row>
    <row r="56" spans="1:7" ht="29.4" customHeight="1">
      <c r="A56" s="224"/>
      <c r="B56" s="226"/>
      <c r="C56" s="226"/>
      <c r="D56" s="226"/>
      <c r="E56" s="226"/>
      <c r="F56" s="235"/>
    </row>
    <row r="57" spans="1:7" ht="29.4" customHeight="1">
      <c r="A57" s="228" t="s">
        <v>31</v>
      </c>
      <c r="B57" s="231" t="s">
        <v>408</v>
      </c>
      <c r="C57" s="232">
        <f>TAKEOFF!$H$1247</f>
        <v>423.61450000000002</v>
      </c>
      <c r="D57" s="233" t="s">
        <v>322</v>
      </c>
      <c r="E57" s="234">
        <f>RATES!$D$36</f>
        <v>165</v>
      </c>
      <c r="F57" s="236">
        <f>C57*E57</f>
        <v>69896.392500000002</v>
      </c>
      <c r="G57" s="118" t="s">
        <v>626</v>
      </c>
    </row>
    <row r="58" spans="1:7" ht="29.4" customHeight="1">
      <c r="A58" s="224"/>
      <c r="B58" s="226"/>
      <c r="C58" s="226"/>
      <c r="D58" s="226"/>
      <c r="E58" s="226"/>
      <c r="F58" s="235"/>
    </row>
    <row r="59" spans="1:7" ht="29.4" customHeight="1">
      <c r="A59" s="228" t="s">
        <v>33</v>
      </c>
      <c r="B59" s="231" t="s">
        <v>410</v>
      </c>
      <c r="C59" s="232">
        <f>TAKEOFF!$H$1255</f>
        <v>66.532799999999995</v>
      </c>
      <c r="D59" s="233" t="s">
        <v>322</v>
      </c>
      <c r="E59" s="234">
        <f>RATES!$D$42</f>
        <v>165</v>
      </c>
      <c r="F59" s="236">
        <f>C59*E59</f>
        <v>10977.911999999998</v>
      </c>
      <c r="G59" s="118" t="s">
        <v>549</v>
      </c>
    </row>
    <row r="60" spans="1:7" ht="29.4" customHeight="1">
      <c r="A60" s="224"/>
      <c r="B60" s="226"/>
      <c r="C60" s="226"/>
      <c r="D60" s="226"/>
      <c r="E60" s="226"/>
      <c r="F60" s="235"/>
    </row>
    <row r="61" spans="1:7" ht="29.4" customHeight="1">
      <c r="A61" s="228" t="s">
        <v>35</v>
      </c>
      <c r="B61" s="231" t="s">
        <v>412</v>
      </c>
      <c r="C61" s="232">
        <f>TAKEOFF!$H$1292</f>
        <v>140.51999999999998</v>
      </c>
      <c r="D61" s="233" t="s">
        <v>322</v>
      </c>
      <c r="E61" s="234">
        <f>RATES!$D$43</f>
        <v>165</v>
      </c>
      <c r="F61" s="236">
        <f>C61*E61</f>
        <v>23185.799999999996</v>
      </c>
      <c r="G61" s="118" t="s">
        <v>621</v>
      </c>
    </row>
    <row r="62" spans="1:7" ht="29.4" customHeight="1">
      <c r="A62" s="224"/>
      <c r="B62" s="226"/>
      <c r="C62" s="226"/>
      <c r="D62" s="226"/>
      <c r="E62" s="226"/>
      <c r="F62" s="235"/>
    </row>
    <row r="63" spans="1:7" ht="29.4" customHeight="1">
      <c r="A63" s="224"/>
      <c r="B63" s="230" t="s">
        <v>413</v>
      </c>
      <c r="C63" s="226"/>
      <c r="D63" s="226"/>
      <c r="E63" s="226"/>
      <c r="F63" s="235"/>
    </row>
    <row r="64" spans="1:7" ht="29.4" customHeight="1">
      <c r="A64" s="228" t="s">
        <v>37</v>
      </c>
      <c r="B64" s="231" t="s">
        <v>414</v>
      </c>
      <c r="C64" s="232">
        <f>TAKEOFF!$H$1296</f>
        <v>4.5510000000000002</v>
      </c>
      <c r="D64" s="233" t="s">
        <v>353</v>
      </c>
      <c r="E64" s="234">
        <f>RATES!$D$29</f>
        <v>14300.000000000002</v>
      </c>
      <c r="F64" s="236">
        <f>C64*E64</f>
        <v>65079.30000000001</v>
      </c>
      <c r="G64" s="118" t="s">
        <v>627</v>
      </c>
    </row>
    <row r="65" spans="1:7" ht="29.4" customHeight="1">
      <c r="A65" s="224"/>
      <c r="B65" s="226"/>
      <c r="C65" s="226"/>
      <c r="D65" s="226"/>
      <c r="E65" s="226"/>
      <c r="F65" s="235"/>
    </row>
    <row r="66" spans="1:7" ht="29.4" customHeight="1">
      <c r="A66" s="228" t="s">
        <v>39</v>
      </c>
      <c r="B66" s="231" t="s">
        <v>416</v>
      </c>
      <c r="C66" s="232">
        <f>TAKEOFF!$H$1299</f>
        <v>7.133</v>
      </c>
      <c r="D66" s="233" t="s">
        <v>353</v>
      </c>
      <c r="E66" s="234">
        <f>RATES!$D$32</f>
        <v>14300.000000000002</v>
      </c>
      <c r="F66" s="236">
        <f>C66*E66</f>
        <v>102001.90000000001</v>
      </c>
      <c r="G66" s="118" t="s">
        <v>628</v>
      </c>
    </row>
    <row r="67" spans="1:7" ht="29.4" customHeight="1">
      <c r="A67" s="224"/>
      <c r="B67" s="226"/>
      <c r="C67" s="226"/>
      <c r="D67" s="226"/>
      <c r="E67" s="226"/>
      <c r="F67" s="235"/>
    </row>
    <row r="68" spans="1:7" ht="29.4" customHeight="1">
      <c r="A68" s="228" t="s">
        <v>418</v>
      </c>
      <c r="B68" s="231" t="s">
        <v>422</v>
      </c>
      <c r="C68" s="232">
        <f>TAKEOFF!$H$1302</f>
        <v>1.1639999999999999</v>
      </c>
      <c r="D68" s="233" t="s">
        <v>353</v>
      </c>
      <c r="E68" s="234">
        <f>RATES!$D$29</f>
        <v>14300.000000000002</v>
      </c>
      <c r="F68" s="236">
        <f>C68*E68</f>
        <v>16645.2</v>
      </c>
      <c r="G68" s="118" t="s">
        <v>629</v>
      </c>
    </row>
    <row r="69" spans="1:7" ht="29.4" customHeight="1">
      <c r="A69" s="224"/>
      <c r="B69" s="226"/>
      <c r="C69" s="226"/>
      <c r="D69" s="226"/>
      <c r="E69" s="226"/>
      <c r="F69" s="235"/>
    </row>
    <row r="70" spans="1:7" ht="29.4" customHeight="1">
      <c r="A70" s="228" t="s">
        <v>421</v>
      </c>
      <c r="B70" s="231" t="s">
        <v>425</v>
      </c>
      <c r="C70" s="232">
        <f>TAKEOFF!$H$1305</f>
        <v>1.0029999999999999</v>
      </c>
      <c r="D70" s="233" t="s">
        <v>353</v>
      </c>
      <c r="E70" s="234">
        <f>RATES!$D$31</f>
        <v>14300.000000000002</v>
      </c>
      <c r="F70" s="236">
        <f>C70*E70</f>
        <v>14342.9</v>
      </c>
      <c r="G70" s="118" t="s">
        <v>630</v>
      </c>
    </row>
    <row r="71" spans="1:7" ht="29.4" customHeight="1">
      <c r="A71" s="224"/>
      <c r="B71" s="226"/>
      <c r="C71" s="226"/>
      <c r="D71" s="226"/>
      <c r="E71" s="226"/>
      <c r="F71" s="235"/>
    </row>
    <row r="72" spans="1:7" ht="29.4" customHeight="1">
      <c r="A72" s="228" t="s">
        <v>424</v>
      </c>
      <c r="B72" s="231" t="s">
        <v>428</v>
      </c>
      <c r="C72" s="232">
        <f>TAKEOFF!$H$1308</f>
        <v>2.1619999999999999</v>
      </c>
      <c r="D72" s="233" t="s">
        <v>353</v>
      </c>
      <c r="E72" s="234">
        <f>RATES!$D$32</f>
        <v>14300.000000000002</v>
      </c>
      <c r="F72" s="236">
        <f>C72*E72</f>
        <v>30916.600000000002</v>
      </c>
      <c r="G72" s="118" t="s">
        <v>631</v>
      </c>
    </row>
    <row r="73" spans="1:7" ht="29.4" customHeight="1">
      <c r="A73" s="224"/>
      <c r="B73" s="226"/>
      <c r="C73" s="226"/>
      <c r="D73" s="226"/>
      <c r="E73" s="226"/>
      <c r="F73" s="235"/>
    </row>
    <row r="74" spans="1:7" ht="29.4" customHeight="1">
      <c r="A74" s="228" t="s">
        <v>427</v>
      </c>
      <c r="B74" s="231" t="s">
        <v>431</v>
      </c>
      <c r="C74" s="232">
        <f>TAKEOFF!$H$1311</f>
        <v>2.016</v>
      </c>
      <c r="D74" s="233" t="s">
        <v>353</v>
      </c>
      <c r="E74" s="234">
        <f>RATES!$D$33</f>
        <v>14300.000000000002</v>
      </c>
      <c r="F74" s="236">
        <f>C74*E74</f>
        <v>28828.800000000003</v>
      </c>
      <c r="G74" s="118" t="s">
        <v>632</v>
      </c>
    </row>
    <row r="75" spans="1:7" ht="29.4" customHeight="1">
      <c r="A75" s="224"/>
      <c r="B75" s="226"/>
      <c r="C75" s="226"/>
      <c r="D75" s="226"/>
      <c r="E75" s="226"/>
      <c r="F75" s="235"/>
    </row>
    <row r="76" spans="1:7" ht="29.4" customHeight="1">
      <c r="A76" s="228" t="s">
        <v>430</v>
      </c>
      <c r="B76" s="231" t="s">
        <v>434</v>
      </c>
      <c r="C76" s="232">
        <f>TAKEOFF!$H$1315</f>
        <v>2.0779999999999998</v>
      </c>
      <c r="D76" s="233" t="s">
        <v>353</v>
      </c>
      <c r="E76" s="234">
        <f>RATES!$D$29</f>
        <v>14300.000000000002</v>
      </c>
      <c r="F76" s="236">
        <f>C76*E76</f>
        <v>29715.4</v>
      </c>
      <c r="G76" s="118" t="s">
        <v>633</v>
      </c>
    </row>
    <row r="77" spans="1:7" ht="29.4" customHeight="1">
      <c r="A77" s="224"/>
      <c r="B77" s="226"/>
      <c r="C77" s="226"/>
      <c r="D77" s="226"/>
      <c r="E77" s="226"/>
      <c r="F77" s="235"/>
    </row>
    <row r="78" spans="1:7" ht="29.4" customHeight="1">
      <c r="A78" s="228" t="s">
        <v>433</v>
      </c>
      <c r="B78" s="231" t="s">
        <v>437</v>
      </c>
      <c r="C78" s="232">
        <f>TAKEOFF!$H$1319</f>
        <v>2.7829999999999999</v>
      </c>
      <c r="D78" s="233" t="s">
        <v>353</v>
      </c>
      <c r="E78" s="234">
        <f>RATES!$D$30</f>
        <v>14300.000000000002</v>
      </c>
      <c r="F78" s="236">
        <f>C78*E78</f>
        <v>39796.9</v>
      </c>
      <c r="G78" s="118" t="s">
        <v>634</v>
      </c>
    </row>
    <row r="79" spans="1:7" ht="29.4" customHeight="1">
      <c r="A79" s="224"/>
      <c r="B79" s="226"/>
      <c r="C79" s="226"/>
      <c r="D79" s="226"/>
      <c r="E79" s="226"/>
      <c r="F79" s="235"/>
    </row>
    <row r="80" spans="1:7" ht="29.4" customHeight="1">
      <c r="A80" s="228" t="s">
        <v>436</v>
      </c>
      <c r="B80" s="231" t="s">
        <v>440</v>
      </c>
      <c r="C80" s="232">
        <f>TAKEOFF!$H$1323</f>
        <v>16.754999999999999</v>
      </c>
      <c r="D80" s="233" t="s">
        <v>353</v>
      </c>
      <c r="E80" s="234">
        <f>RATES!$D$33</f>
        <v>14300.000000000002</v>
      </c>
      <c r="F80" s="236">
        <f>C80*E80</f>
        <v>239596.50000000003</v>
      </c>
      <c r="G80" s="118" t="s">
        <v>635</v>
      </c>
    </row>
    <row r="81" spans="1:7" ht="29.4" customHeight="1">
      <c r="A81" s="224"/>
      <c r="B81" s="226"/>
      <c r="C81" s="226"/>
      <c r="D81" s="226"/>
      <c r="E81" s="226"/>
      <c r="F81" s="235"/>
    </row>
    <row r="82" spans="1:7" ht="29.4" customHeight="1">
      <c r="A82" s="228" t="s">
        <v>439</v>
      </c>
      <c r="B82" s="231" t="s">
        <v>442</v>
      </c>
      <c r="C82" s="232">
        <f>TAKEOFF!$H$1326</f>
        <v>0.88</v>
      </c>
      <c r="D82" s="233" t="s">
        <v>353</v>
      </c>
      <c r="E82" s="234">
        <f>RATES!$D$30</f>
        <v>14300.000000000002</v>
      </c>
      <c r="F82" s="236">
        <f>C82*E82</f>
        <v>12584.000000000002</v>
      </c>
      <c r="G82" s="118" t="s">
        <v>636</v>
      </c>
    </row>
    <row r="83" spans="1:7" ht="29.4" customHeight="1">
      <c r="A83" s="224"/>
      <c r="B83" s="226"/>
      <c r="C83" s="226"/>
      <c r="D83" s="226"/>
      <c r="E83" s="226"/>
      <c r="F83" s="235"/>
    </row>
    <row r="84" spans="1:7" ht="29.4" customHeight="1">
      <c r="A84" s="228" t="s">
        <v>9</v>
      </c>
      <c r="B84" s="231" t="s">
        <v>444</v>
      </c>
      <c r="C84" s="232">
        <f>TAKEOFF!$H$1329</f>
        <v>1.4339999999999999</v>
      </c>
      <c r="D84" s="233" t="s">
        <v>353</v>
      </c>
      <c r="E84" s="234">
        <f>RATES!$D$31</f>
        <v>14300.000000000002</v>
      </c>
      <c r="F84" s="236">
        <f>C84*E84</f>
        <v>20506.2</v>
      </c>
      <c r="G84" s="118" t="s">
        <v>637</v>
      </c>
    </row>
    <row r="85" spans="1:7" ht="29.4" customHeight="1">
      <c r="A85" s="224"/>
      <c r="B85" s="226"/>
      <c r="C85" s="226"/>
      <c r="D85" s="226"/>
      <c r="E85" s="226"/>
      <c r="F85" s="235"/>
    </row>
    <row r="86" spans="1:7" ht="29.4" customHeight="1">
      <c r="A86" s="228" t="s">
        <v>11</v>
      </c>
      <c r="B86" s="231" t="s">
        <v>446</v>
      </c>
      <c r="C86" s="232">
        <f>TAKEOFF!$H$1332</f>
        <v>56.828000000000003</v>
      </c>
      <c r="D86" s="233" t="s">
        <v>353</v>
      </c>
      <c r="E86" s="234">
        <f>RATES!$D$30</f>
        <v>14300.000000000002</v>
      </c>
      <c r="F86" s="236">
        <f>C86*E86</f>
        <v>812640.40000000014</v>
      </c>
      <c r="G86" s="118" t="s">
        <v>638</v>
      </c>
    </row>
    <row r="87" spans="1:7" ht="29.4" customHeight="1">
      <c r="A87" s="224"/>
      <c r="B87" s="226"/>
      <c r="C87" s="226"/>
      <c r="D87" s="226"/>
      <c r="E87" s="226"/>
      <c r="F87" s="235"/>
    </row>
    <row r="88" spans="1:7" ht="29.4" customHeight="1">
      <c r="A88" s="228" t="s">
        <v>13</v>
      </c>
      <c r="B88" s="231" t="s">
        <v>448</v>
      </c>
      <c r="C88" s="232">
        <f>TAKEOFF!$H$1335</f>
        <v>0.14599999999999999</v>
      </c>
      <c r="D88" s="233" t="s">
        <v>353</v>
      </c>
      <c r="E88" s="234">
        <f>RATES!$D$31</f>
        <v>14300.000000000002</v>
      </c>
      <c r="F88" s="236">
        <f>C88*E88</f>
        <v>2087.8000000000002</v>
      </c>
      <c r="G88" s="118" t="s">
        <v>639</v>
      </c>
    </row>
    <row r="89" spans="1:7" ht="29.4" customHeight="1">
      <c r="A89" s="109"/>
      <c r="B89" s="136"/>
      <c r="C89" s="136"/>
      <c r="D89" s="136"/>
      <c r="E89" s="136"/>
      <c r="F89" s="117"/>
    </row>
    <row r="90" spans="1:7" ht="29.4" customHeight="1" thickBot="1">
      <c r="A90" s="141"/>
      <c r="B90" s="154" t="str">
        <f>B31</f>
        <v>ELEMENT NO. 1: IN SITU CONCRETE/LARGE PRECAST CONCRETE</v>
      </c>
      <c r="C90" s="142"/>
      <c r="D90" s="142"/>
      <c r="E90" s="143"/>
      <c r="F90" s="116">
        <f>SUM(F33:F89)</f>
        <v>2839785.0357499998</v>
      </c>
    </row>
    <row r="91" spans="1:7" ht="29.4" customHeight="1" thickTop="1" thickBot="1">
      <c r="A91" s="150"/>
      <c r="B91" s="151" t="s">
        <v>339</v>
      </c>
      <c r="C91" s="152"/>
      <c r="D91" s="152"/>
      <c r="E91" s="152"/>
      <c r="F91" s="153"/>
    </row>
    <row r="92" spans="1:7" ht="25.2" customHeight="1" thickTop="1">
      <c r="A92" s="109"/>
      <c r="B92" s="136"/>
      <c r="C92" s="136"/>
      <c r="D92" s="136"/>
      <c r="E92" s="136"/>
      <c r="F92" s="117"/>
    </row>
    <row r="93" spans="1:7" ht="25.2" customHeight="1">
      <c r="A93" s="224"/>
      <c r="B93" s="226"/>
      <c r="C93" s="226"/>
      <c r="D93" s="226"/>
      <c r="E93" s="226"/>
      <c r="F93" s="235"/>
    </row>
    <row r="94" spans="1:7" ht="25.2" customHeight="1">
      <c r="A94" s="224"/>
      <c r="B94" s="225" t="s">
        <v>380</v>
      </c>
      <c r="C94" s="226"/>
      <c r="D94" s="226"/>
      <c r="E94" s="226"/>
      <c r="F94" s="235"/>
    </row>
    <row r="95" spans="1:7" ht="25.2" customHeight="1">
      <c r="A95" s="224"/>
      <c r="B95" s="226"/>
      <c r="C95" s="226"/>
      <c r="D95" s="226"/>
      <c r="E95" s="226"/>
      <c r="F95" s="235"/>
    </row>
    <row r="96" spans="1:7" ht="25.2" customHeight="1">
      <c r="A96" s="224"/>
      <c r="B96" s="230" t="s">
        <v>450</v>
      </c>
      <c r="C96" s="226"/>
      <c r="D96" s="226"/>
      <c r="E96" s="226"/>
      <c r="F96" s="235"/>
    </row>
    <row r="97" spans="1:7" ht="25.2" customHeight="1">
      <c r="A97" s="228" t="s">
        <v>9</v>
      </c>
      <c r="B97" s="231" t="s">
        <v>451</v>
      </c>
      <c r="C97" s="232">
        <f>TAKEOFF!$H$1375</f>
        <v>1750.3009999999999</v>
      </c>
      <c r="D97" s="233" t="s">
        <v>322</v>
      </c>
      <c r="E97" s="234">
        <f>RATES!$D$46</f>
        <v>215</v>
      </c>
      <c r="F97" s="236">
        <f>C97*E97</f>
        <v>376314.71499999997</v>
      </c>
      <c r="G97" s="118" t="s">
        <v>640</v>
      </c>
    </row>
    <row r="98" spans="1:7" ht="25.2" customHeight="1">
      <c r="A98" s="224"/>
      <c r="B98" s="226"/>
      <c r="C98" s="226"/>
      <c r="D98" s="226"/>
      <c r="E98" s="226"/>
      <c r="F98" s="235"/>
    </row>
    <row r="99" spans="1:7" ht="25.2" customHeight="1">
      <c r="A99" s="228" t="s">
        <v>11</v>
      </c>
      <c r="B99" s="231" t="s">
        <v>453</v>
      </c>
      <c r="C99" s="232">
        <f>TAKEOFF!$H$1413</f>
        <v>165.15899999999999</v>
      </c>
      <c r="D99" s="233" t="s">
        <v>322</v>
      </c>
      <c r="E99" s="234">
        <f>RATES!$D$47</f>
        <v>265</v>
      </c>
      <c r="F99" s="236">
        <f>C99*E99</f>
        <v>43767.134999999995</v>
      </c>
      <c r="G99" s="118" t="s">
        <v>641</v>
      </c>
    </row>
    <row r="100" spans="1:7" ht="25.2" customHeight="1">
      <c r="A100" s="109"/>
      <c r="B100" s="136"/>
      <c r="C100" s="136"/>
      <c r="D100" s="136"/>
      <c r="E100" s="136"/>
      <c r="F100" s="117"/>
    </row>
    <row r="101" spans="1:7" ht="25.2" customHeight="1" thickBot="1">
      <c r="A101" s="141"/>
      <c r="B101" s="154" t="str">
        <f>B94</f>
        <v>ELEMENT NO. 2: MASONRY</v>
      </c>
      <c r="C101" s="142"/>
      <c r="D101" s="142"/>
      <c r="E101" s="143"/>
      <c r="F101" s="116">
        <f>SUM(F96:F100)</f>
        <v>420081.85</v>
      </c>
    </row>
    <row r="102" spans="1:7" ht="25.2" customHeight="1" thickTop="1" thickBot="1">
      <c r="A102" s="150"/>
      <c r="B102" s="151" t="s">
        <v>339</v>
      </c>
      <c r="C102" s="152"/>
      <c r="D102" s="152"/>
      <c r="E102" s="152"/>
      <c r="F102" s="153"/>
    </row>
    <row r="103" spans="1:7" ht="28.2" customHeight="1" thickTop="1">
      <c r="A103" s="109"/>
      <c r="B103" s="136"/>
      <c r="C103" s="136"/>
      <c r="D103" s="136"/>
      <c r="E103" s="136"/>
      <c r="F103" s="117"/>
    </row>
    <row r="104" spans="1:7" ht="28.2" customHeight="1">
      <c r="A104" s="224"/>
      <c r="B104" s="226"/>
      <c r="C104" s="226"/>
      <c r="D104" s="226"/>
      <c r="E104" s="226"/>
      <c r="F104" s="235"/>
    </row>
    <row r="105" spans="1:7" ht="28.2" customHeight="1">
      <c r="A105" s="224"/>
      <c r="B105" s="225" t="s">
        <v>381</v>
      </c>
      <c r="C105" s="226"/>
      <c r="D105" s="226"/>
      <c r="E105" s="226"/>
      <c r="F105" s="235"/>
    </row>
    <row r="106" spans="1:7" ht="28.2" customHeight="1">
      <c r="A106" s="224"/>
      <c r="B106" s="226"/>
      <c r="C106" s="226"/>
      <c r="D106" s="226"/>
      <c r="E106" s="226"/>
      <c r="F106" s="235"/>
    </row>
    <row r="107" spans="1:7" ht="28.2" customHeight="1">
      <c r="A107" s="224"/>
      <c r="B107" s="230" t="s">
        <v>455</v>
      </c>
      <c r="C107" s="226"/>
      <c r="D107" s="226"/>
      <c r="E107" s="226"/>
      <c r="F107" s="235"/>
    </row>
    <row r="108" spans="1:7" ht="28.2" customHeight="1">
      <c r="A108" s="228" t="s">
        <v>9</v>
      </c>
      <c r="B108" s="231" t="s">
        <v>642</v>
      </c>
      <c r="C108" s="232">
        <f>TAKEOFF!$H$1418</f>
        <v>10</v>
      </c>
      <c r="D108" s="233" t="s">
        <v>457</v>
      </c>
      <c r="E108" s="234">
        <f>RATES!$D$75</f>
        <v>7800</v>
      </c>
      <c r="F108" s="236">
        <f>C108*E108</f>
        <v>78000</v>
      </c>
      <c r="G108" s="118" t="s">
        <v>643</v>
      </c>
    </row>
    <row r="109" spans="1:7" ht="28.2" customHeight="1">
      <c r="A109" s="224"/>
      <c r="B109" s="226"/>
      <c r="C109" s="226"/>
      <c r="D109" s="226"/>
      <c r="E109" s="226"/>
      <c r="F109" s="235"/>
    </row>
    <row r="110" spans="1:7" ht="28.2" customHeight="1">
      <c r="A110" s="228" t="s">
        <v>11</v>
      </c>
      <c r="B110" s="231" t="s">
        <v>459</v>
      </c>
      <c r="C110" s="232">
        <f>TAKEOFF!$H$1421</f>
        <v>19</v>
      </c>
      <c r="D110" s="233" t="s">
        <v>457</v>
      </c>
      <c r="E110" s="234">
        <f>RATES!$D$76</f>
        <v>3400</v>
      </c>
      <c r="F110" s="236">
        <f>C110*E110</f>
        <v>64600</v>
      </c>
      <c r="G110" s="118" t="s">
        <v>644</v>
      </c>
    </row>
    <row r="111" spans="1:7" ht="28.2" customHeight="1">
      <c r="A111" s="224"/>
      <c r="B111" s="226"/>
      <c r="C111" s="226"/>
      <c r="D111" s="226"/>
      <c r="E111" s="226"/>
      <c r="F111" s="235"/>
    </row>
    <row r="112" spans="1:7" ht="28.2" customHeight="1">
      <c r="A112" s="228" t="s">
        <v>13</v>
      </c>
      <c r="B112" s="231" t="s">
        <v>463</v>
      </c>
      <c r="C112" s="232">
        <f>TAKEOFF!$H$1424</f>
        <v>21</v>
      </c>
      <c r="D112" s="233" t="s">
        <v>457</v>
      </c>
      <c r="E112" s="234">
        <f>RATES!$D$79</f>
        <v>1900</v>
      </c>
      <c r="F112" s="236">
        <f>C112*E112</f>
        <v>39900</v>
      </c>
      <c r="G112" s="118" t="s">
        <v>645</v>
      </c>
    </row>
    <row r="113" spans="1:7" ht="28.2" customHeight="1">
      <c r="A113" s="224"/>
      <c r="B113" s="226"/>
      <c r="C113" s="226"/>
      <c r="D113" s="226"/>
      <c r="E113" s="226"/>
      <c r="F113" s="235"/>
    </row>
    <row r="114" spans="1:7" ht="28.2" customHeight="1">
      <c r="A114" s="228" t="s">
        <v>15</v>
      </c>
      <c r="B114" s="231" t="s">
        <v>464</v>
      </c>
      <c r="C114" s="232">
        <f>TAKEOFF!$H$1427</f>
        <v>2</v>
      </c>
      <c r="D114" s="233" t="s">
        <v>457</v>
      </c>
      <c r="E114" s="234">
        <f>RATES!$D$80</f>
        <v>6800</v>
      </c>
      <c r="F114" s="236">
        <f>C114*E114</f>
        <v>13600</v>
      </c>
      <c r="G114" s="118" t="s">
        <v>465</v>
      </c>
    </row>
    <row r="115" spans="1:7" ht="28.2" customHeight="1">
      <c r="A115" s="224"/>
      <c r="B115" s="226"/>
      <c r="C115" s="226"/>
      <c r="D115" s="226"/>
      <c r="E115" s="226"/>
      <c r="F115" s="235"/>
    </row>
    <row r="116" spans="1:7" ht="28.2" customHeight="1">
      <c r="A116" s="228" t="s">
        <v>17</v>
      </c>
      <c r="B116" s="231" t="s">
        <v>646</v>
      </c>
      <c r="C116" s="232">
        <f>TAKEOFF!$H$1430</f>
        <v>3</v>
      </c>
      <c r="D116" s="233" t="s">
        <v>457</v>
      </c>
      <c r="E116" s="234">
        <f>RATES!$D$81</f>
        <v>9800</v>
      </c>
      <c r="F116" s="236">
        <f>C116*E116</f>
        <v>29400</v>
      </c>
      <c r="G116" s="118" t="s">
        <v>467</v>
      </c>
    </row>
    <row r="117" spans="1:7" ht="28.2" customHeight="1">
      <c r="A117" s="224"/>
      <c r="B117" s="226"/>
      <c r="C117" s="226"/>
      <c r="D117" s="226"/>
      <c r="E117" s="226"/>
      <c r="F117" s="235"/>
    </row>
    <row r="118" spans="1:7" ht="28.2" customHeight="1">
      <c r="A118" s="228" t="s">
        <v>19</v>
      </c>
      <c r="B118" s="231" t="s">
        <v>466</v>
      </c>
      <c r="C118" s="232">
        <f>TAKEOFF!$H$1433</f>
        <v>3</v>
      </c>
      <c r="D118" s="233" t="s">
        <v>457</v>
      </c>
      <c r="E118" s="234">
        <f>RATES!$D$82</f>
        <v>7200</v>
      </c>
      <c r="F118" s="236">
        <f>C118*E118</f>
        <v>21600</v>
      </c>
      <c r="G118" s="118" t="s">
        <v>467</v>
      </c>
    </row>
    <row r="119" spans="1:7" ht="28.2" customHeight="1">
      <c r="A119" s="224"/>
      <c r="B119" s="226"/>
      <c r="C119" s="226"/>
      <c r="D119" s="226"/>
      <c r="E119" s="226"/>
      <c r="F119" s="235"/>
    </row>
    <row r="120" spans="1:7" ht="28.2" customHeight="1">
      <c r="A120" s="228" t="s">
        <v>21</v>
      </c>
      <c r="B120" s="231" t="s">
        <v>647</v>
      </c>
      <c r="C120" s="232">
        <f>TAKEOFF!$H$1436</f>
        <v>3</v>
      </c>
      <c r="D120" s="233" t="s">
        <v>457</v>
      </c>
      <c r="E120" s="234">
        <f>RATES!$D$83</f>
        <v>8100</v>
      </c>
      <c r="F120" s="236">
        <f>C120*E120</f>
        <v>24300</v>
      </c>
      <c r="G120" s="118" t="s">
        <v>467</v>
      </c>
    </row>
    <row r="121" spans="1:7" ht="28.2" customHeight="1">
      <c r="A121" s="224"/>
      <c r="B121" s="226"/>
      <c r="C121" s="226"/>
      <c r="D121" s="226"/>
      <c r="E121" s="226"/>
      <c r="F121" s="235"/>
    </row>
    <row r="122" spans="1:7" ht="28.2" customHeight="1">
      <c r="A122" s="228" t="s">
        <v>23</v>
      </c>
      <c r="B122" s="231" t="s">
        <v>468</v>
      </c>
      <c r="C122" s="232">
        <f>TAKEOFF!$H$1439</f>
        <v>2</v>
      </c>
      <c r="D122" s="233" t="s">
        <v>457</v>
      </c>
      <c r="E122" s="234">
        <f>RATES!$D$84</f>
        <v>6900</v>
      </c>
      <c r="F122" s="236">
        <f>C122*E122</f>
        <v>13800</v>
      </c>
      <c r="G122" s="118" t="s">
        <v>465</v>
      </c>
    </row>
    <row r="123" spans="1:7" ht="28.2" customHeight="1">
      <c r="A123" s="224"/>
      <c r="B123" s="226"/>
      <c r="C123" s="226"/>
      <c r="D123" s="226"/>
      <c r="E123" s="226"/>
      <c r="F123" s="235"/>
    </row>
    <row r="124" spans="1:7" ht="28.2" customHeight="1">
      <c r="A124" s="228" t="s">
        <v>25</v>
      </c>
      <c r="B124" s="231" t="s">
        <v>648</v>
      </c>
      <c r="C124" s="232">
        <f>TAKEOFF!$H$1442</f>
        <v>1</v>
      </c>
      <c r="D124" s="233" t="s">
        <v>457</v>
      </c>
      <c r="E124" s="234">
        <f>RATES!$D$86</f>
        <v>4600</v>
      </c>
      <c r="F124" s="236">
        <f>C124*E124</f>
        <v>4600</v>
      </c>
      <c r="G124" s="118" t="s">
        <v>458</v>
      </c>
    </row>
    <row r="125" spans="1:7" ht="28.2" customHeight="1">
      <c r="A125" s="224"/>
      <c r="B125" s="226"/>
      <c r="C125" s="226"/>
      <c r="D125" s="226"/>
      <c r="E125" s="226"/>
      <c r="F125" s="235"/>
    </row>
    <row r="126" spans="1:7" ht="28.2" customHeight="1">
      <c r="A126" s="228" t="s">
        <v>27</v>
      </c>
      <c r="B126" s="231" t="s">
        <v>649</v>
      </c>
      <c r="C126" s="232">
        <f>TAKEOFF!$H$1445</f>
        <v>3</v>
      </c>
      <c r="D126" s="233" t="s">
        <v>457</v>
      </c>
      <c r="E126" s="234">
        <f>RATES!$D$87</f>
        <v>2900</v>
      </c>
      <c r="F126" s="236">
        <f>C126*E126</f>
        <v>8700</v>
      </c>
      <c r="G126" s="118" t="s">
        <v>467</v>
      </c>
    </row>
    <row r="127" spans="1:7" ht="28.2" customHeight="1">
      <c r="A127" s="224"/>
      <c r="B127" s="226"/>
      <c r="C127" s="226"/>
      <c r="D127" s="226"/>
      <c r="E127" s="226"/>
      <c r="F127" s="235"/>
    </row>
    <row r="128" spans="1:7" ht="28.2" customHeight="1">
      <c r="A128" s="228" t="s">
        <v>29</v>
      </c>
      <c r="B128" s="231" t="s">
        <v>650</v>
      </c>
      <c r="C128" s="232">
        <f>TAKEOFF!$H$1448</f>
        <v>5</v>
      </c>
      <c r="D128" s="233" t="s">
        <v>457</v>
      </c>
      <c r="E128" s="234">
        <f>RATES!$D$88</f>
        <v>2600</v>
      </c>
      <c r="F128" s="236">
        <f>C128*E128</f>
        <v>13000</v>
      </c>
      <c r="G128" s="118" t="s">
        <v>651</v>
      </c>
    </row>
    <row r="129" spans="1:7" ht="28.2" customHeight="1">
      <c r="A129" s="224"/>
      <c r="B129" s="226"/>
      <c r="C129" s="226"/>
      <c r="D129" s="226"/>
      <c r="E129" s="226"/>
      <c r="F129" s="235"/>
    </row>
    <row r="130" spans="1:7" ht="28.2" customHeight="1">
      <c r="A130" s="228" t="s">
        <v>31</v>
      </c>
      <c r="B130" s="231" t="s">
        <v>652</v>
      </c>
      <c r="C130" s="232">
        <f>TAKEOFF!$H$1451</f>
        <v>1</v>
      </c>
      <c r="D130" s="233" t="s">
        <v>457</v>
      </c>
      <c r="E130" s="234">
        <f>RATES!$D$89</f>
        <v>1900</v>
      </c>
      <c r="F130" s="236">
        <f>C130*E130</f>
        <v>1900</v>
      </c>
      <c r="G130" s="118" t="s">
        <v>458</v>
      </c>
    </row>
    <row r="131" spans="1:7" ht="28.2" customHeight="1">
      <c r="A131" s="224"/>
      <c r="B131" s="226"/>
      <c r="C131" s="226"/>
      <c r="D131" s="226"/>
      <c r="E131" s="226"/>
      <c r="F131" s="235"/>
    </row>
    <row r="132" spans="1:7" ht="28.2" customHeight="1">
      <c r="A132" s="228" t="s">
        <v>33</v>
      </c>
      <c r="B132" s="231" t="s">
        <v>653</v>
      </c>
      <c r="C132" s="232">
        <f>TAKEOFF!$H$1454</f>
        <v>3</v>
      </c>
      <c r="D132" s="233" t="s">
        <v>457</v>
      </c>
      <c r="E132" s="234">
        <f>RATES!$D$90</f>
        <v>2200</v>
      </c>
      <c r="F132" s="236">
        <f>C132*E132</f>
        <v>6600</v>
      </c>
      <c r="G132" s="118" t="s">
        <v>467</v>
      </c>
    </row>
    <row r="133" spans="1:7" ht="28.2" customHeight="1">
      <c r="A133" s="224"/>
      <c r="B133" s="226"/>
      <c r="C133" s="226"/>
      <c r="D133" s="226"/>
      <c r="E133" s="226"/>
      <c r="F133" s="235"/>
    </row>
    <row r="134" spans="1:7" ht="28.2" customHeight="1">
      <c r="A134" s="228" t="s">
        <v>35</v>
      </c>
      <c r="B134" s="231" t="s">
        <v>654</v>
      </c>
      <c r="C134" s="232">
        <f>TAKEOFF!$H$1457</f>
        <v>1</v>
      </c>
      <c r="D134" s="233" t="s">
        <v>457</v>
      </c>
      <c r="E134" s="234">
        <f>RATES!$D$94</f>
        <v>14500</v>
      </c>
      <c r="F134" s="236">
        <f>C134*E134</f>
        <v>14500</v>
      </c>
      <c r="G134" s="118" t="s">
        <v>458</v>
      </c>
    </row>
    <row r="135" spans="1:7" ht="28.2" customHeight="1">
      <c r="A135" s="224"/>
      <c r="B135" s="226"/>
      <c r="C135" s="226"/>
      <c r="D135" s="226"/>
      <c r="E135" s="226"/>
      <c r="F135" s="235"/>
    </row>
    <row r="136" spans="1:7" ht="28.2" customHeight="1">
      <c r="A136" s="228" t="s">
        <v>37</v>
      </c>
      <c r="B136" s="231" t="s">
        <v>655</v>
      </c>
      <c r="C136" s="232">
        <f>TAKEOFF!$H$1460</f>
        <v>4</v>
      </c>
      <c r="D136" s="233" t="s">
        <v>457</v>
      </c>
      <c r="E136" s="234">
        <f>RATES!$D$95</f>
        <v>8800</v>
      </c>
      <c r="F136" s="236">
        <f>C136*E136</f>
        <v>35200</v>
      </c>
      <c r="G136" s="118" t="s">
        <v>493</v>
      </c>
    </row>
    <row r="137" spans="1:7" ht="28.2" customHeight="1">
      <c r="A137" s="224"/>
      <c r="B137" s="226"/>
      <c r="C137" s="226"/>
      <c r="D137" s="226"/>
      <c r="E137" s="226"/>
      <c r="F137" s="235"/>
    </row>
    <row r="138" spans="1:7" ht="28.2" customHeight="1">
      <c r="A138" s="228" t="s">
        <v>39</v>
      </c>
      <c r="B138" s="231" t="s">
        <v>656</v>
      </c>
      <c r="C138" s="232">
        <f>TAKEOFF!$H$1463</f>
        <v>3</v>
      </c>
      <c r="D138" s="233" t="s">
        <v>457</v>
      </c>
      <c r="E138" s="234">
        <f>RATES!$D$96</f>
        <v>7600</v>
      </c>
      <c r="F138" s="236">
        <f>C138*E138</f>
        <v>22800</v>
      </c>
      <c r="G138" s="118" t="s">
        <v>467</v>
      </c>
    </row>
    <row r="139" spans="1:7" ht="28.2" customHeight="1">
      <c r="A139" s="224"/>
      <c r="B139" s="226"/>
      <c r="C139" s="226"/>
      <c r="D139" s="226"/>
      <c r="E139" s="226"/>
      <c r="F139" s="235"/>
    </row>
    <row r="140" spans="1:7" ht="28.2" customHeight="1">
      <c r="A140" s="228" t="s">
        <v>418</v>
      </c>
      <c r="B140" s="231" t="s">
        <v>657</v>
      </c>
      <c r="C140" s="232">
        <f>TAKEOFF!$H$1466</f>
        <v>5</v>
      </c>
      <c r="D140" s="233" t="s">
        <v>457</v>
      </c>
      <c r="E140" s="234">
        <f>RATES!$D$97</f>
        <v>9300</v>
      </c>
      <c r="F140" s="236">
        <f>C140*E140</f>
        <v>46500</v>
      </c>
      <c r="G140" s="118" t="s">
        <v>651</v>
      </c>
    </row>
    <row r="141" spans="1:7" ht="28.2" customHeight="1">
      <c r="A141" s="224"/>
      <c r="B141" s="226"/>
      <c r="C141" s="226"/>
      <c r="D141" s="226"/>
      <c r="E141" s="226"/>
      <c r="F141" s="235"/>
    </row>
    <row r="142" spans="1:7" ht="28.2" customHeight="1">
      <c r="A142" s="228" t="s">
        <v>421</v>
      </c>
      <c r="B142" s="231" t="s">
        <v>658</v>
      </c>
      <c r="C142" s="232">
        <f>TAKEOFF!$H$1469</f>
        <v>1</v>
      </c>
      <c r="D142" s="233" t="s">
        <v>457</v>
      </c>
      <c r="E142" s="234">
        <f>RATES!$D$98</f>
        <v>7200</v>
      </c>
      <c r="F142" s="236">
        <f>C142*E142</f>
        <v>7200</v>
      </c>
      <c r="G142" s="118" t="s">
        <v>458</v>
      </c>
    </row>
    <row r="143" spans="1:7" ht="28.2" customHeight="1">
      <c r="A143" s="224"/>
      <c r="B143" s="226"/>
      <c r="C143" s="226"/>
      <c r="D143" s="226"/>
      <c r="E143" s="226"/>
      <c r="F143" s="235"/>
    </row>
    <row r="144" spans="1:7" ht="28.2" customHeight="1">
      <c r="A144" s="228" t="s">
        <v>424</v>
      </c>
      <c r="B144" s="231" t="s">
        <v>474</v>
      </c>
      <c r="C144" s="232">
        <f>TAKEOFF!$H$1474</f>
        <v>214.75000000000003</v>
      </c>
      <c r="D144" s="233" t="s">
        <v>369</v>
      </c>
      <c r="E144" s="234">
        <f>RATES!$D$100</f>
        <v>125</v>
      </c>
      <c r="F144" s="236">
        <f>C144*E144</f>
        <v>26843.750000000004</v>
      </c>
      <c r="G144" s="118" t="s">
        <v>659</v>
      </c>
    </row>
    <row r="145" spans="1:7" ht="28.2" customHeight="1">
      <c r="A145" s="224"/>
      <c r="B145" s="226"/>
      <c r="C145" s="226"/>
      <c r="D145" s="226"/>
      <c r="E145" s="226"/>
      <c r="F145" s="235"/>
    </row>
    <row r="146" spans="1:7" ht="28.2" customHeight="1">
      <c r="A146" s="228" t="s">
        <v>427</v>
      </c>
      <c r="B146" s="231" t="s">
        <v>476</v>
      </c>
      <c r="C146" s="232">
        <f>TAKEOFF!$H$1479</f>
        <v>214.75000000000003</v>
      </c>
      <c r="D146" s="233" t="s">
        <v>369</v>
      </c>
      <c r="E146" s="234">
        <f>RATES!$D$101</f>
        <v>28</v>
      </c>
      <c r="F146" s="236">
        <f>C146*E146</f>
        <v>6013.0000000000009</v>
      </c>
      <c r="G146" s="118" t="s">
        <v>659</v>
      </c>
    </row>
    <row r="147" spans="1:7" ht="28.2" customHeight="1">
      <c r="A147" s="224"/>
      <c r="B147" s="226"/>
      <c r="C147" s="226"/>
      <c r="D147" s="226"/>
      <c r="E147" s="226"/>
      <c r="F147" s="235"/>
    </row>
    <row r="148" spans="1:7" ht="28.2" customHeight="1">
      <c r="A148" s="224"/>
      <c r="B148" s="230" t="s">
        <v>477</v>
      </c>
      <c r="C148" s="226"/>
      <c r="D148" s="226"/>
      <c r="E148" s="226"/>
      <c r="F148" s="235"/>
    </row>
    <row r="149" spans="1:7" ht="28.2" customHeight="1">
      <c r="A149" s="228" t="s">
        <v>430</v>
      </c>
      <c r="B149" s="231" t="s">
        <v>478</v>
      </c>
      <c r="C149" s="232">
        <f>TAKEOFF!$H$1483</f>
        <v>60</v>
      </c>
      <c r="D149" s="233" t="s">
        <v>479</v>
      </c>
      <c r="E149" s="234">
        <f>RATES!$D$102</f>
        <v>125</v>
      </c>
      <c r="F149" s="236">
        <f>C149*E149</f>
        <v>7500</v>
      </c>
      <c r="G149" s="118" t="s">
        <v>660</v>
      </c>
    </row>
    <row r="150" spans="1:7" ht="28.2" customHeight="1">
      <c r="A150" s="224"/>
      <c r="B150" s="226"/>
      <c r="C150" s="226"/>
      <c r="D150" s="226"/>
      <c r="E150" s="226"/>
      <c r="F150" s="235"/>
    </row>
    <row r="151" spans="1:7" ht="28.2" customHeight="1">
      <c r="A151" s="228" t="s">
        <v>433</v>
      </c>
      <c r="B151" s="231" t="s">
        <v>481</v>
      </c>
      <c r="C151" s="232">
        <f>TAKEOFF!$H$1486</f>
        <v>19</v>
      </c>
      <c r="D151" s="233" t="s">
        <v>457</v>
      </c>
      <c r="E151" s="234">
        <f>RATES!$D$103</f>
        <v>480</v>
      </c>
      <c r="F151" s="236">
        <f>C151*E151</f>
        <v>9120</v>
      </c>
      <c r="G151" s="118" t="s">
        <v>644</v>
      </c>
    </row>
    <row r="152" spans="1:7" ht="28.2" customHeight="1">
      <c r="A152" s="224"/>
      <c r="B152" s="226"/>
      <c r="C152" s="226"/>
      <c r="D152" s="226"/>
      <c r="E152" s="226"/>
      <c r="F152" s="235"/>
    </row>
    <row r="153" spans="1:7" ht="28.2" customHeight="1">
      <c r="A153" s="228" t="s">
        <v>436</v>
      </c>
      <c r="B153" s="231" t="s">
        <v>483</v>
      </c>
      <c r="C153" s="232">
        <f>TAKEOFF!$H$1489</f>
        <v>21</v>
      </c>
      <c r="D153" s="233" t="s">
        <v>457</v>
      </c>
      <c r="E153" s="234">
        <f>RATES!$D$104</f>
        <v>560</v>
      </c>
      <c r="F153" s="236">
        <f>C153*E153</f>
        <v>11760</v>
      </c>
      <c r="G153" s="118" t="s">
        <v>645</v>
      </c>
    </row>
    <row r="154" spans="1:7" ht="28.2" customHeight="1">
      <c r="A154" s="224"/>
      <c r="B154" s="226"/>
      <c r="C154" s="226"/>
      <c r="D154" s="226"/>
      <c r="E154" s="226"/>
      <c r="F154" s="235"/>
    </row>
    <row r="155" spans="1:7" ht="28.2" customHeight="1">
      <c r="A155" s="224"/>
      <c r="B155" s="230" t="s">
        <v>484</v>
      </c>
      <c r="C155" s="226"/>
      <c r="D155" s="226"/>
      <c r="E155" s="226"/>
      <c r="F155" s="235"/>
    </row>
    <row r="156" spans="1:7" ht="28.2" customHeight="1">
      <c r="A156" s="228" t="s">
        <v>439</v>
      </c>
      <c r="B156" s="231" t="s">
        <v>661</v>
      </c>
      <c r="C156" s="232">
        <f>TAKEOFF!$H$1493</f>
        <v>7</v>
      </c>
      <c r="D156" s="233" t="s">
        <v>457</v>
      </c>
      <c r="E156" s="234">
        <f>RATES!$D$109</f>
        <v>3603.6000000000008</v>
      </c>
      <c r="F156" s="236">
        <f>C156*E156</f>
        <v>25225.200000000004</v>
      </c>
      <c r="G156" s="118" t="s">
        <v>482</v>
      </c>
    </row>
    <row r="157" spans="1:7" ht="28.2" customHeight="1">
      <c r="A157" s="224"/>
      <c r="B157" s="226"/>
      <c r="C157" s="226"/>
      <c r="D157" s="226"/>
      <c r="E157" s="226"/>
      <c r="F157" s="235"/>
    </row>
    <row r="158" spans="1:7" ht="28.2" customHeight="1">
      <c r="A158" s="228" t="s">
        <v>9</v>
      </c>
      <c r="B158" s="231" t="s">
        <v>662</v>
      </c>
      <c r="C158" s="232">
        <f>TAKEOFF!$H$1496</f>
        <v>13</v>
      </c>
      <c r="D158" s="233" t="s">
        <v>457</v>
      </c>
      <c r="E158" s="234">
        <f>RATES!$D$111</f>
        <v>1801.8000000000004</v>
      </c>
      <c r="F158" s="236">
        <f>C158*E158</f>
        <v>23423.400000000005</v>
      </c>
      <c r="G158" s="118" t="s">
        <v>663</v>
      </c>
    </row>
    <row r="159" spans="1:7" ht="28.2" customHeight="1">
      <c r="A159" s="224"/>
      <c r="B159" s="226"/>
      <c r="C159" s="226"/>
      <c r="D159" s="226"/>
      <c r="E159" s="226"/>
      <c r="F159" s="235"/>
    </row>
    <row r="160" spans="1:7" ht="28.2" customHeight="1">
      <c r="A160" s="228" t="s">
        <v>11</v>
      </c>
      <c r="B160" s="231" t="s">
        <v>664</v>
      </c>
      <c r="C160" s="232">
        <f>TAKEOFF!$H$1499</f>
        <v>2</v>
      </c>
      <c r="D160" s="233" t="s">
        <v>457</v>
      </c>
      <c r="E160" s="234">
        <f>RATES!$D$114</f>
        <v>4435.2000000000007</v>
      </c>
      <c r="F160" s="236">
        <f>C160*E160</f>
        <v>8870.4000000000015</v>
      </c>
      <c r="G160" s="118" t="s">
        <v>465</v>
      </c>
    </row>
    <row r="161" spans="1:7" ht="28.2" customHeight="1">
      <c r="A161" s="224"/>
      <c r="B161" s="226"/>
      <c r="C161" s="226"/>
      <c r="D161" s="226"/>
      <c r="E161" s="226"/>
      <c r="F161" s="235"/>
    </row>
    <row r="162" spans="1:7" ht="28.2" customHeight="1">
      <c r="A162" s="228" t="s">
        <v>13</v>
      </c>
      <c r="B162" s="231" t="s">
        <v>665</v>
      </c>
      <c r="C162" s="232">
        <f>TAKEOFF!$H$1502</f>
        <v>4</v>
      </c>
      <c r="D162" s="233" t="s">
        <v>457</v>
      </c>
      <c r="E162" s="234">
        <f>RATES!$D$115</f>
        <v>3511.2000000000003</v>
      </c>
      <c r="F162" s="236">
        <f>C162*E162</f>
        <v>14044.800000000001</v>
      </c>
      <c r="G162" s="118" t="s">
        <v>493</v>
      </c>
    </row>
    <row r="163" spans="1:7" ht="28.2" customHeight="1">
      <c r="A163" s="224"/>
      <c r="B163" s="226"/>
      <c r="C163" s="226"/>
      <c r="D163" s="226"/>
      <c r="E163" s="226"/>
      <c r="F163" s="235"/>
    </row>
    <row r="164" spans="1:7" ht="28.2" customHeight="1">
      <c r="A164" s="228" t="s">
        <v>15</v>
      </c>
      <c r="B164" s="231" t="s">
        <v>666</v>
      </c>
      <c r="C164" s="232">
        <f>TAKEOFF!$H$1505</f>
        <v>10</v>
      </c>
      <c r="D164" s="233" t="s">
        <v>457</v>
      </c>
      <c r="E164" s="234">
        <f>RATES!$D$116</f>
        <v>2125.2000000000003</v>
      </c>
      <c r="F164" s="236">
        <f>C164*E164</f>
        <v>21252.000000000004</v>
      </c>
      <c r="G164" s="118" t="s">
        <v>643</v>
      </c>
    </row>
    <row r="165" spans="1:7" ht="28.2" customHeight="1">
      <c r="A165" s="224"/>
      <c r="B165" s="226"/>
      <c r="C165" s="226"/>
      <c r="D165" s="226"/>
      <c r="E165" s="226"/>
      <c r="F165" s="235"/>
    </row>
    <row r="166" spans="1:7" ht="28.2" customHeight="1">
      <c r="A166" s="228" t="s">
        <v>17</v>
      </c>
      <c r="B166" s="231" t="s">
        <v>667</v>
      </c>
      <c r="C166" s="232">
        <f>TAKEOFF!$H$1508</f>
        <v>1</v>
      </c>
      <c r="D166" s="233" t="s">
        <v>457</v>
      </c>
      <c r="E166" s="234">
        <f>RATES!$D$117</f>
        <v>2217.6000000000004</v>
      </c>
      <c r="F166" s="236">
        <f>C166*E166</f>
        <v>2217.6000000000004</v>
      </c>
      <c r="G166" s="118" t="s">
        <v>458</v>
      </c>
    </row>
    <row r="167" spans="1:7" ht="28.2" customHeight="1">
      <c r="A167" s="224"/>
      <c r="B167" s="226"/>
      <c r="C167" s="226"/>
      <c r="D167" s="226"/>
      <c r="E167" s="226"/>
      <c r="F167" s="235"/>
    </row>
    <row r="168" spans="1:7" ht="28.2" customHeight="1">
      <c r="A168" s="228" t="s">
        <v>19</v>
      </c>
      <c r="B168" s="231" t="s">
        <v>668</v>
      </c>
      <c r="C168" s="232">
        <f>TAKEOFF!$H$1511</f>
        <v>8</v>
      </c>
      <c r="D168" s="233" t="s">
        <v>457</v>
      </c>
      <c r="E168" s="234">
        <f>RATES!$D$118</f>
        <v>3003.0000000000009</v>
      </c>
      <c r="F168" s="236">
        <f>C168*E168</f>
        <v>24024.000000000007</v>
      </c>
      <c r="G168" s="118" t="s">
        <v>669</v>
      </c>
    </row>
    <row r="169" spans="1:7" ht="28.2" customHeight="1">
      <c r="A169" s="224"/>
      <c r="B169" s="226"/>
      <c r="C169" s="226"/>
      <c r="D169" s="226"/>
      <c r="E169" s="226"/>
      <c r="F169" s="235"/>
    </row>
    <row r="170" spans="1:7" ht="28.2" customHeight="1">
      <c r="A170" s="228" t="s">
        <v>21</v>
      </c>
      <c r="B170" s="231" t="s">
        <v>670</v>
      </c>
      <c r="C170" s="232">
        <f>TAKEOFF!$H$1514</f>
        <v>4</v>
      </c>
      <c r="D170" s="233" t="s">
        <v>457</v>
      </c>
      <c r="E170" s="234">
        <f>RATES!$D$119</f>
        <v>2656.5</v>
      </c>
      <c r="F170" s="236">
        <f>C170*E170</f>
        <v>10626</v>
      </c>
      <c r="G170" s="118" t="s">
        <v>493</v>
      </c>
    </row>
    <row r="171" spans="1:7" ht="28.2" customHeight="1">
      <c r="A171" s="224"/>
      <c r="B171" s="226"/>
      <c r="C171" s="226"/>
      <c r="D171" s="226"/>
      <c r="E171" s="226"/>
      <c r="F171" s="235"/>
    </row>
    <row r="172" spans="1:7" ht="28.2" customHeight="1">
      <c r="A172" s="228" t="s">
        <v>23</v>
      </c>
      <c r="B172" s="231" t="s">
        <v>671</v>
      </c>
      <c r="C172" s="232">
        <f>TAKEOFF!$H$1517</f>
        <v>1</v>
      </c>
      <c r="D172" s="233" t="s">
        <v>457</v>
      </c>
      <c r="E172" s="234">
        <f>RATES!$D$120</f>
        <v>4804.8000000000011</v>
      </c>
      <c r="F172" s="236">
        <f>C172*E172</f>
        <v>4804.8000000000011</v>
      </c>
      <c r="G172" s="118" t="s">
        <v>458</v>
      </c>
    </row>
    <row r="173" spans="1:7" ht="28.2" customHeight="1">
      <c r="A173" s="224"/>
      <c r="B173" s="226"/>
      <c r="C173" s="226"/>
      <c r="D173" s="226"/>
      <c r="E173" s="226"/>
      <c r="F173" s="235"/>
    </row>
    <row r="174" spans="1:7" ht="28.2" customHeight="1">
      <c r="A174" s="228" t="s">
        <v>25</v>
      </c>
      <c r="B174" s="231" t="s">
        <v>672</v>
      </c>
      <c r="C174" s="232">
        <f>TAKEOFF!$H$1520</f>
        <v>1</v>
      </c>
      <c r="D174" s="233" t="s">
        <v>457</v>
      </c>
      <c r="E174" s="234">
        <f>RATES!$D$122</f>
        <v>7392.0000000000018</v>
      </c>
      <c r="F174" s="236">
        <f>C174*E174</f>
        <v>7392.0000000000018</v>
      </c>
      <c r="G174" s="118" t="s">
        <v>458</v>
      </c>
    </row>
    <row r="175" spans="1:7" ht="28.2" customHeight="1">
      <c r="A175" s="224"/>
      <c r="B175" s="226"/>
      <c r="C175" s="226"/>
      <c r="D175" s="226"/>
      <c r="E175" s="226"/>
      <c r="F175" s="235"/>
    </row>
    <row r="176" spans="1:7" ht="28.2" customHeight="1">
      <c r="A176" s="228" t="s">
        <v>27</v>
      </c>
      <c r="B176" s="231" t="s">
        <v>673</v>
      </c>
      <c r="C176" s="232">
        <f>TAKEOFF!$H$1523</f>
        <v>4</v>
      </c>
      <c r="D176" s="233" t="s">
        <v>457</v>
      </c>
      <c r="E176" s="234">
        <f>RATES!$D$124</f>
        <v>5266.8000000000011</v>
      </c>
      <c r="F176" s="236">
        <f>C176*E176</f>
        <v>21067.200000000004</v>
      </c>
      <c r="G176" s="118" t="s">
        <v>493</v>
      </c>
    </row>
    <row r="177" spans="1:7" ht="28.2" customHeight="1">
      <c r="A177" s="224"/>
      <c r="B177" s="226"/>
      <c r="C177" s="226"/>
      <c r="D177" s="226"/>
      <c r="E177" s="226"/>
      <c r="F177" s="235"/>
    </row>
    <row r="178" spans="1:7" ht="28.2" customHeight="1">
      <c r="A178" s="228" t="s">
        <v>29</v>
      </c>
      <c r="B178" s="231" t="s">
        <v>674</v>
      </c>
      <c r="C178" s="232">
        <f>TAKEOFF!$H$1526</f>
        <v>1</v>
      </c>
      <c r="D178" s="233" t="s">
        <v>457</v>
      </c>
      <c r="E178" s="234">
        <f>RATES!$D$125</f>
        <v>1501.5000000000005</v>
      </c>
      <c r="F178" s="236">
        <f>C178*E178</f>
        <v>1501.5000000000005</v>
      </c>
      <c r="G178" s="118" t="s">
        <v>458</v>
      </c>
    </row>
    <row r="179" spans="1:7" ht="28.2" customHeight="1">
      <c r="A179" s="224"/>
      <c r="B179" s="226"/>
      <c r="C179" s="226"/>
      <c r="D179" s="226"/>
      <c r="E179" s="226"/>
      <c r="F179" s="235"/>
    </row>
    <row r="180" spans="1:7" ht="28.2" customHeight="1">
      <c r="A180" s="228" t="s">
        <v>31</v>
      </c>
      <c r="B180" s="231" t="s">
        <v>675</v>
      </c>
      <c r="C180" s="232">
        <f>TAKEOFF!$H$1529</f>
        <v>1</v>
      </c>
      <c r="D180" s="233" t="s">
        <v>457</v>
      </c>
      <c r="E180" s="234">
        <f>RATES!$D$127</f>
        <v>4242.7000000000007</v>
      </c>
      <c r="F180" s="236">
        <f>C180*E180</f>
        <v>4242.7000000000007</v>
      </c>
      <c r="G180" s="118" t="s">
        <v>458</v>
      </c>
    </row>
    <row r="181" spans="1:7" ht="28.2" customHeight="1">
      <c r="A181" s="224"/>
      <c r="B181" s="226"/>
      <c r="C181" s="226"/>
      <c r="D181" s="226"/>
      <c r="E181" s="226"/>
      <c r="F181" s="235"/>
    </row>
    <row r="182" spans="1:7" ht="28.2" customHeight="1">
      <c r="A182" s="228" t="s">
        <v>33</v>
      </c>
      <c r="B182" s="231" t="s">
        <v>492</v>
      </c>
      <c r="C182" s="232">
        <f>TAKEOFF!$H$1532</f>
        <v>12</v>
      </c>
      <c r="D182" s="233" t="s">
        <v>457</v>
      </c>
      <c r="E182" s="234">
        <f>RATES!$D$128</f>
        <v>831.60000000000014</v>
      </c>
      <c r="F182" s="236">
        <f>C182*E182</f>
        <v>9979.2000000000007</v>
      </c>
      <c r="G182" s="118" t="s">
        <v>676</v>
      </c>
    </row>
    <row r="183" spans="1:7" ht="28.2" customHeight="1">
      <c r="A183" s="224"/>
      <c r="B183" s="226"/>
      <c r="C183" s="226"/>
      <c r="D183" s="226"/>
      <c r="E183" s="226"/>
      <c r="F183" s="235"/>
    </row>
    <row r="184" spans="1:7" ht="28.2" customHeight="1">
      <c r="A184" s="228" t="s">
        <v>35</v>
      </c>
      <c r="B184" s="231" t="s">
        <v>494</v>
      </c>
      <c r="C184" s="232">
        <f>TAKEOFF!$H$1535</f>
        <v>5</v>
      </c>
      <c r="D184" s="233" t="s">
        <v>457</v>
      </c>
      <c r="E184" s="234">
        <f>RATES!$D$129</f>
        <v>693</v>
      </c>
      <c r="F184" s="236">
        <f>C184*E184</f>
        <v>3465</v>
      </c>
      <c r="G184" s="118" t="s">
        <v>651</v>
      </c>
    </row>
    <row r="185" spans="1:7" ht="28.2" customHeight="1">
      <c r="A185" s="224"/>
      <c r="B185" s="226"/>
      <c r="C185" s="226"/>
      <c r="D185" s="226"/>
      <c r="E185" s="226"/>
      <c r="F185" s="235"/>
    </row>
    <row r="186" spans="1:7" ht="28.2" customHeight="1">
      <c r="A186" s="228" t="s">
        <v>37</v>
      </c>
      <c r="B186" s="231" t="s">
        <v>677</v>
      </c>
      <c r="C186" s="232">
        <f>TAKEOFF!$H$1538</f>
        <v>1</v>
      </c>
      <c r="D186" s="233" t="s">
        <v>457</v>
      </c>
      <c r="E186" s="234">
        <f>RATES!$D$130</f>
        <v>554.40000000000009</v>
      </c>
      <c r="F186" s="236">
        <f>C186*E186</f>
        <v>554.40000000000009</v>
      </c>
      <c r="G186" s="118" t="s">
        <v>458</v>
      </c>
    </row>
    <row r="187" spans="1:7" ht="28.2" customHeight="1">
      <c r="A187" s="224"/>
      <c r="B187" s="226"/>
      <c r="C187" s="226"/>
      <c r="D187" s="226"/>
      <c r="E187" s="226"/>
      <c r="F187" s="235"/>
    </row>
    <row r="188" spans="1:7" ht="28.2" customHeight="1">
      <c r="A188" s="228" t="s">
        <v>39</v>
      </c>
      <c r="B188" s="231" t="s">
        <v>678</v>
      </c>
      <c r="C188" s="232">
        <f>TAKEOFF!$H$1541</f>
        <v>1</v>
      </c>
      <c r="D188" s="233" t="s">
        <v>457</v>
      </c>
      <c r="E188" s="234">
        <f>RATES!$D$131</f>
        <v>1108.8000000000002</v>
      </c>
      <c r="F188" s="236">
        <f>C188*E188</f>
        <v>1108.8000000000002</v>
      </c>
      <c r="G188" s="118" t="s">
        <v>458</v>
      </c>
    </row>
    <row r="189" spans="1:7" ht="28.2" customHeight="1">
      <c r="A189" s="109"/>
      <c r="B189" s="136"/>
      <c r="C189" s="136"/>
      <c r="D189" s="136"/>
      <c r="E189" s="136"/>
      <c r="F189" s="117"/>
    </row>
    <row r="190" spans="1:7" ht="28.2" customHeight="1" thickBot="1">
      <c r="A190" s="141"/>
      <c r="B190" s="154" t="str">
        <f>B105</f>
        <v>ELEMENT NO. 4: WINDOWS/DOORS</v>
      </c>
      <c r="C190" s="142"/>
      <c r="D190" s="142"/>
      <c r="E190" s="143"/>
      <c r="F190" s="116">
        <f>SUM(F107:F189)</f>
        <v>691235.75</v>
      </c>
    </row>
    <row r="191" spans="1:7" ht="28.2" customHeight="1" thickTop="1" thickBot="1">
      <c r="A191" s="150"/>
      <c r="B191" s="151" t="s">
        <v>339</v>
      </c>
      <c r="C191" s="152"/>
      <c r="D191" s="152"/>
      <c r="E191" s="152"/>
      <c r="F191" s="153"/>
    </row>
    <row r="192" spans="1:7" ht="29.4" customHeight="1" thickTop="1">
      <c r="A192" s="109"/>
      <c r="B192" s="136"/>
      <c r="C192" s="136"/>
      <c r="D192" s="136"/>
      <c r="E192" s="136"/>
      <c r="F192" s="117"/>
    </row>
    <row r="193" spans="1:7" ht="29.4" customHeight="1">
      <c r="A193" s="224"/>
      <c r="B193" s="225" t="s">
        <v>382</v>
      </c>
      <c r="C193" s="226"/>
      <c r="D193" s="226"/>
      <c r="E193" s="226"/>
      <c r="F193" s="235"/>
    </row>
    <row r="194" spans="1:7" ht="29.4" customHeight="1">
      <c r="A194" s="224"/>
      <c r="B194" s="226"/>
      <c r="C194" s="226"/>
      <c r="D194" s="226"/>
      <c r="E194" s="226"/>
      <c r="F194" s="235"/>
    </row>
    <row r="195" spans="1:7" ht="29.4" customHeight="1">
      <c r="A195" s="224"/>
      <c r="B195" s="230" t="s">
        <v>495</v>
      </c>
      <c r="C195" s="226"/>
      <c r="D195" s="226"/>
      <c r="E195" s="226"/>
      <c r="F195" s="235"/>
    </row>
    <row r="196" spans="1:7" ht="29.4" customHeight="1">
      <c r="A196" s="228" t="s">
        <v>9</v>
      </c>
      <c r="B196" s="231" t="s">
        <v>496</v>
      </c>
      <c r="C196" s="232">
        <f>TAKEOFF!$H$1546</f>
        <v>968</v>
      </c>
      <c r="D196" s="233" t="s">
        <v>322</v>
      </c>
      <c r="E196" s="234">
        <f>RATES!$D$50</f>
        <v>68</v>
      </c>
      <c r="F196" s="236">
        <f>C196*E196</f>
        <v>65824</v>
      </c>
      <c r="G196" s="118" t="s">
        <v>679</v>
      </c>
    </row>
    <row r="197" spans="1:7" ht="29.4" customHeight="1">
      <c r="A197" s="224"/>
      <c r="B197" s="226"/>
      <c r="C197" s="226"/>
      <c r="D197" s="226"/>
      <c r="E197" s="226"/>
      <c r="F197" s="235"/>
    </row>
    <row r="198" spans="1:7" ht="29.4" customHeight="1">
      <c r="A198" s="228" t="s">
        <v>11</v>
      </c>
      <c r="B198" s="231" t="s">
        <v>498</v>
      </c>
      <c r="C198" s="232">
        <f>TAKEOFF!$H$1557</f>
        <v>1031.48</v>
      </c>
      <c r="D198" s="233" t="s">
        <v>322</v>
      </c>
      <c r="E198" s="234">
        <f>RATES!$D$51</f>
        <v>48</v>
      </c>
      <c r="F198" s="236">
        <f>C198*E198</f>
        <v>49511.040000000001</v>
      </c>
      <c r="G198" s="118" t="s">
        <v>680</v>
      </c>
    </row>
    <row r="199" spans="1:7" ht="29.4" customHeight="1">
      <c r="A199" s="224"/>
      <c r="B199" s="226"/>
      <c r="C199" s="226"/>
      <c r="D199" s="226"/>
      <c r="E199" s="226"/>
      <c r="F199" s="235"/>
    </row>
    <row r="200" spans="1:7" ht="29.4" customHeight="1">
      <c r="A200" s="228" t="s">
        <v>13</v>
      </c>
      <c r="B200" s="231" t="s">
        <v>500</v>
      </c>
      <c r="C200" s="232">
        <f>TAKEOFF!$H$1560</f>
        <v>59.2</v>
      </c>
      <c r="D200" s="233" t="s">
        <v>322</v>
      </c>
      <c r="E200" s="234">
        <f>RATES!$D$53</f>
        <v>230</v>
      </c>
      <c r="F200" s="236">
        <f>C200*E200</f>
        <v>13616</v>
      </c>
      <c r="G200" s="118" t="s">
        <v>681</v>
      </c>
    </row>
    <row r="201" spans="1:7" ht="29.4" customHeight="1">
      <c r="A201" s="224"/>
      <c r="B201" s="226"/>
      <c r="C201" s="226"/>
      <c r="D201" s="226"/>
      <c r="E201" s="226"/>
      <c r="F201" s="235"/>
    </row>
    <row r="202" spans="1:7" ht="29.4" customHeight="1">
      <c r="A202" s="228" t="s">
        <v>15</v>
      </c>
      <c r="B202" s="231" t="s">
        <v>502</v>
      </c>
      <c r="C202" s="232">
        <f>TAKEOFF!$H$1570</f>
        <v>63.480000000000004</v>
      </c>
      <c r="D202" s="233" t="s">
        <v>322</v>
      </c>
      <c r="E202" s="234">
        <f>RATES!$D$54</f>
        <v>270</v>
      </c>
      <c r="F202" s="236">
        <f>C202*E202</f>
        <v>17139.600000000002</v>
      </c>
      <c r="G202" s="118" t="s">
        <v>569</v>
      </c>
    </row>
    <row r="203" spans="1:7" ht="29.4" customHeight="1">
      <c r="A203" s="224"/>
      <c r="B203" s="226"/>
      <c r="C203" s="226"/>
      <c r="D203" s="226"/>
      <c r="E203" s="226"/>
      <c r="F203" s="235"/>
    </row>
    <row r="204" spans="1:7" ht="29.4" customHeight="1">
      <c r="A204" s="228" t="s">
        <v>17</v>
      </c>
      <c r="B204" s="231" t="s">
        <v>504</v>
      </c>
      <c r="C204" s="232">
        <f>TAKEOFF!$H$1573</f>
        <v>681.7</v>
      </c>
      <c r="D204" s="233" t="s">
        <v>322</v>
      </c>
      <c r="E204" s="234">
        <f>RATES!$D$55</f>
        <v>265</v>
      </c>
      <c r="F204" s="236">
        <f>C204*E204</f>
        <v>180650.5</v>
      </c>
      <c r="G204" s="118" t="s">
        <v>682</v>
      </c>
    </row>
    <row r="205" spans="1:7" ht="29.4" customHeight="1">
      <c r="A205" s="224"/>
      <c r="B205" s="226"/>
      <c r="C205" s="226"/>
      <c r="D205" s="226"/>
      <c r="E205" s="226"/>
      <c r="F205" s="235"/>
    </row>
    <row r="206" spans="1:7" ht="29.4" customHeight="1">
      <c r="A206" s="228" t="s">
        <v>19</v>
      </c>
      <c r="B206" s="231" t="s">
        <v>506</v>
      </c>
      <c r="C206" s="232">
        <f>TAKEOFF!$H$1576</f>
        <v>27.3</v>
      </c>
      <c r="D206" s="233" t="s">
        <v>322</v>
      </c>
      <c r="E206" s="234">
        <f>RATES!$D$56</f>
        <v>330</v>
      </c>
      <c r="F206" s="236">
        <f>C206*E206</f>
        <v>9009</v>
      </c>
      <c r="G206" s="118" t="s">
        <v>683</v>
      </c>
    </row>
    <row r="207" spans="1:7" ht="29.4" customHeight="1">
      <c r="A207" s="224"/>
      <c r="B207" s="226"/>
      <c r="C207" s="226"/>
      <c r="D207" s="226"/>
      <c r="E207" s="226"/>
      <c r="F207" s="235"/>
    </row>
    <row r="208" spans="1:7" ht="29.4" customHeight="1">
      <c r="A208" s="228" t="s">
        <v>21</v>
      </c>
      <c r="B208" s="231" t="s">
        <v>508</v>
      </c>
      <c r="C208" s="232">
        <f>TAKEOFF!$H$1579</f>
        <v>199.8</v>
      </c>
      <c r="D208" s="233" t="s">
        <v>322</v>
      </c>
      <c r="E208" s="234">
        <f>RATES!$D$57</f>
        <v>250</v>
      </c>
      <c r="F208" s="236">
        <f>C208*E208</f>
        <v>49950</v>
      </c>
      <c r="G208" s="118" t="s">
        <v>684</v>
      </c>
    </row>
    <row r="209" spans="1:7" ht="29.4" customHeight="1">
      <c r="A209" s="109"/>
      <c r="B209" s="136"/>
      <c r="C209" s="136"/>
      <c r="D209" s="136"/>
      <c r="E209" s="136"/>
      <c r="F209" s="117"/>
    </row>
    <row r="210" spans="1:7" ht="29.4" customHeight="1" thickBot="1">
      <c r="A210" s="141"/>
      <c r="B210" s="154" t="str">
        <f>B193</f>
        <v>ELEMENT NO. 5: FLOOR FINISHES</v>
      </c>
      <c r="C210" s="142"/>
      <c r="D210" s="142"/>
      <c r="E210" s="143"/>
      <c r="F210" s="116">
        <f>SUM(F195:F209)</f>
        <v>385700.14</v>
      </c>
    </row>
    <row r="211" spans="1:7" ht="29.4" customHeight="1" thickTop="1" thickBot="1">
      <c r="A211" s="150"/>
      <c r="B211" s="151" t="s">
        <v>339</v>
      </c>
      <c r="C211" s="152"/>
      <c r="D211" s="152"/>
      <c r="E211" s="152"/>
      <c r="F211" s="153"/>
    </row>
    <row r="212" spans="1:7" ht="22.2" customHeight="1" thickTop="1">
      <c r="A212" s="109"/>
      <c r="B212" s="136"/>
      <c r="C212" s="136"/>
      <c r="D212" s="136"/>
      <c r="E212" s="136"/>
      <c r="F212" s="117"/>
    </row>
    <row r="213" spans="1:7" ht="22.2" customHeight="1">
      <c r="A213" s="224"/>
      <c r="B213" s="225" t="s">
        <v>383</v>
      </c>
      <c r="C213" s="226"/>
      <c r="D213" s="226"/>
      <c r="E213" s="226"/>
      <c r="F213" s="235"/>
    </row>
    <row r="214" spans="1:7" ht="22.2" customHeight="1">
      <c r="A214" s="224"/>
      <c r="B214" s="226"/>
      <c r="C214" s="226"/>
      <c r="D214" s="226"/>
      <c r="E214" s="226"/>
      <c r="F214" s="235"/>
    </row>
    <row r="215" spans="1:7" ht="22.2" customHeight="1">
      <c r="A215" s="224"/>
      <c r="B215" s="230" t="s">
        <v>512</v>
      </c>
      <c r="C215" s="226"/>
      <c r="D215" s="226"/>
      <c r="E215" s="226"/>
      <c r="F215" s="235"/>
    </row>
    <row r="216" spans="1:7" ht="22.2" customHeight="1">
      <c r="A216" s="228" t="s">
        <v>9</v>
      </c>
      <c r="B216" s="231" t="s">
        <v>513</v>
      </c>
      <c r="C216" s="232">
        <f>TAKEOFF!$H$1623</f>
        <v>2244.0036842105264</v>
      </c>
      <c r="D216" s="233" t="s">
        <v>322</v>
      </c>
      <c r="E216" s="234">
        <f>RATES!$D$48</f>
        <v>78</v>
      </c>
      <c r="F216" s="236">
        <f>C216*E216</f>
        <v>175032.28736842106</v>
      </c>
      <c r="G216" s="118" t="s">
        <v>685</v>
      </c>
    </row>
    <row r="217" spans="1:7" ht="22.2" customHeight="1">
      <c r="A217" s="224"/>
      <c r="B217" s="226"/>
      <c r="C217" s="226"/>
      <c r="D217" s="226"/>
      <c r="E217" s="226"/>
      <c r="F217" s="235"/>
    </row>
    <row r="218" spans="1:7" ht="22.2" customHeight="1">
      <c r="A218" s="228" t="s">
        <v>11</v>
      </c>
      <c r="B218" s="231" t="s">
        <v>515</v>
      </c>
      <c r="C218" s="232">
        <f>TAKEOFF!$H$1627</f>
        <v>354.42105263157896</v>
      </c>
      <c r="D218" s="233" t="s">
        <v>322</v>
      </c>
      <c r="E218" s="234">
        <f>RATES!$D$48</f>
        <v>78</v>
      </c>
      <c r="F218" s="236">
        <f>C218*E218</f>
        <v>27644.84210526316</v>
      </c>
      <c r="G218" s="118" t="s">
        <v>686</v>
      </c>
    </row>
    <row r="219" spans="1:7" ht="22.2" customHeight="1">
      <c r="A219" s="224"/>
      <c r="B219" s="226"/>
      <c r="C219" s="226"/>
      <c r="D219" s="226"/>
      <c r="E219" s="226"/>
      <c r="F219" s="235"/>
    </row>
    <row r="220" spans="1:7" ht="22.2" customHeight="1">
      <c r="A220" s="228" t="s">
        <v>13</v>
      </c>
      <c r="B220" s="231" t="s">
        <v>517</v>
      </c>
      <c r="C220" s="232">
        <f>TAKEOFF!$H$1647</f>
        <v>369.04999999999995</v>
      </c>
      <c r="D220" s="233" t="s">
        <v>322</v>
      </c>
      <c r="E220" s="234">
        <f>RATES!$D$49</f>
        <v>88</v>
      </c>
      <c r="F220" s="236">
        <f>C220*E220</f>
        <v>32476.399999999994</v>
      </c>
      <c r="G220" s="118" t="s">
        <v>687</v>
      </c>
    </row>
    <row r="221" spans="1:7" ht="22.2" customHeight="1">
      <c r="A221" s="224"/>
      <c r="B221" s="226"/>
      <c r="C221" s="226"/>
      <c r="D221" s="226"/>
      <c r="E221" s="226"/>
      <c r="F221" s="235"/>
    </row>
    <row r="222" spans="1:7" ht="22.2" customHeight="1">
      <c r="A222" s="228" t="s">
        <v>15</v>
      </c>
      <c r="B222" s="231" t="s">
        <v>519</v>
      </c>
      <c r="C222" s="232">
        <f>TAKEOFF!$H$1651</f>
        <v>273.41052631578947</v>
      </c>
      <c r="D222" s="233" t="s">
        <v>322</v>
      </c>
      <c r="E222" s="234">
        <f>RATES!$D$52</f>
        <v>55</v>
      </c>
      <c r="F222" s="236">
        <f>C222*E222</f>
        <v>15037.57894736842</v>
      </c>
      <c r="G222" s="118" t="s">
        <v>688</v>
      </c>
    </row>
    <row r="223" spans="1:7" ht="22.2" customHeight="1">
      <c r="A223" s="224"/>
      <c r="B223" s="226"/>
      <c r="C223" s="226"/>
      <c r="D223" s="226"/>
      <c r="E223" s="226"/>
      <c r="F223" s="235"/>
    </row>
    <row r="224" spans="1:7" ht="22.2" customHeight="1">
      <c r="A224" s="228" t="s">
        <v>17</v>
      </c>
      <c r="B224" s="231" t="s">
        <v>521</v>
      </c>
      <c r="C224" s="232">
        <f>TAKEOFF!$H$1655</f>
        <v>273.41052631578947</v>
      </c>
      <c r="D224" s="233" t="s">
        <v>322</v>
      </c>
      <c r="E224" s="234">
        <f>RATES!$D$60</f>
        <v>240</v>
      </c>
      <c r="F224" s="236">
        <f>C224*E224</f>
        <v>65618.526315789466</v>
      </c>
      <c r="G224" s="118" t="s">
        <v>688</v>
      </c>
    </row>
    <row r="225" spans="1:7" ht="22.2" customHeight="1">
      <c r="A225" s="109"/>
      <c r="B225" s="136"/>
      <c r="C225" s="136"/>
      <c r="D225" s="136"/>
      <c r="E225" s="136"/>
      <c r="F225" s="117"/>
    </row>
    <row r="226" spans="1:7" ht="22.2" customHeight="1" thickBot="1">
      <c r="A226" s="141"/>
      <c r="B226" s="154" t="str">
        <f>B213</f>
        <v>ELEMENT NO. 6: WALL FINISHES</v>
      </c>
      <c r="C226" s="142"/>
      <c r="D226" s="142"/>
      <c r="E226" s="143"/>
      <c r="F226" s="116">
        <f>SUM(F215:F225)</f>
        <v>315809.63473684213</v>
      </c>
    </row>
    <row r="227" spans="1:7" ht="22.2" customHeight="1" thickTop="1" thickBot="1">
      <c r="A227" s="150"/>
      <c r="B227" s="151" t="s">
        <v>339</v>
      </c>
      <c r="C227" s="152"/>
      <c r="D227" s="152"/>
      <c r="E227" s="152"/>
      <c r="F227" s="153"/>
    </row>
    <row r="228" spans="1:7" ht="36" customHeight="1" thickTop="1">
      <c r="A228" s="109"/>
      <c r="B228" s="136"/>
      <c r="C228" s="136"/>
      <c r="D228" s="136"/>
      <c r="E228" s="136"/>
      <c r="F228" s="117"/>
    </row>
    <row r="229" spans="1:7" ht="36" customHeight="1">
      <c r="A229" s="224"/>
      <c r="B229" s="225" t="s">
        <v>384</v>
      </c>
      <c r="C229" s="226"/>
      <c r="D229" s="226"/>
      <c r="E229" s="226"/>
      <c r="F229" s="235"/>
    </row>
    <row r="230" spans="1:7" ht="36" customHeight="1">
      <c r="A230" s="224"/>
      <c r="B230" s="230" t="s">
        <v>522</v>
      </c>
      <c r="C230" s="226"/>
      <c r="D230" s="226"/>
      <c r="E230" s="226"/>
      <c r="F230" s="235"/>
    </row>
    <row r="231" spans="1:7" ht="36" customHeight="1">
      <c r="A231" s="228" t="s">
        <v>9</v>
      </c>
      <c r="B231" s="231" t="s">
        <v>513</v>
      </c>
      <c r="C231" s="232">
        <f>TAKEOFF!$H$1699</f>
        <v>2244.0036842105264</v>
      </c>
      <c r="D231" s="233" t="s">
        <v>322</v>
      </c>
      <c r="E231" s="234">
        <f>RATES!$D$61</f>
        <v>45</v>
      </c>
      <c r="F231" s="236">
        <f>C231*E231</f>
        <v>100980.16578947369</v>
      </c>
      <c r="G231" s="118" t="s">
        <v>685</v>
      </c>
    </row>
    <row r="232" spans="1:7" ht="36" customHeight="1">
      <c r="A232" s="224"/>
      <c r="B232" s="226"/>
      <c r="C232" s="226"/>
      <c r="D232" s="226"/>
      <c r="E232" s="226"/>
      <c r="F232" s="235"/>
    </row>
    <row r="233" spans="1:7" ht="36" customHeight="1">
      <c r="A233" s="228" t="s">
        <v>11</v>
      </c>
      <c r="B233" s="231" t="s">
        <v>523</v>
      </c>
      <c r="C233" s="232">
        <f>TAKEOFF!$H$1705</f>
        <v>81.010526315789491</v>
      </c>
      <c r="D233" s="233" t="s">
        <v>322</v>
      </c>
      <c r="E233" s="234">
        <f>RATES!$D$61</f>
        <v>45</v>
      </c>
      <c r="F233" s="236">
        <f>C233*E233</f>
        <v>3645.4736842105272</v>
      </c>
      <c r="G233" s="118" t="s">
        <v>689</v>
      </c>
    </row>
    <row r="234" spans="1:7" ht="36" customHeight="1">
      <c r="A234" s="224"/>
      <c r="B234" s="226"/>
      <c r="C234" s="226"/>
      <c r="D234" s="226"/>
      <c r="E234" s="226"/>
      <c r="F234" s="235"/>
    </row>
    <row r="235" spans="1:7" ht="36" customHeight="1">
      <c r="A235" s="228" t="s">
        <v>13</v>
      </c>
      <c r="B235" s="231" t="s">
        <v>525</v>
      </c>
      <c r="C235" s="232">
        <f>TAKEOFF!$H$1725</f>
        <v>369.04999999999995</v>
      </c>
      <c r="D235" s="233" t="s">
        <v>322</v>
      </c>
      <c r="E235" s="234">
        <f>RATES!$D$62</f>
        <v>62</v>
      </c>
      <c r="F235" s="236">
        <f>C235*E235</f>
        <v>22881.1</v>
      </c>
      <c r="G235" s="118" t="s">
        <v>687</v>
      </c>
    </row>
    <row r="236" spans="1:7" ht="36" customHeight="1">
      <c r="A236" s="224"/>
      <c r="B236" s="226"/>
      <c r="C236" s="226"/>
      <c r="D236" s="226"/>
      <c r="E236" s="226"/>
      <c r="F236" s="235"/>
    </row>
    <row r="237" spans="1:7" ht="36" customHeight="1">
      <c r="A237" s="228" t="s">
        <v>15</v>
      </c>
      <c r="B237" s="231" t="s">
        <v>527</v>
      </c>
      <c r="C237" s="232">
        <f>TAKEOFF!$H$1728</f>
        <v>908.8</v>
      </c>
      <c r="D237" s="233" t="s">
        <v>322</v>
      </c>
      <c r="E237" s="234">
        <f>RATES!$D$63</f>
        <v>48</v>
      </c>
      <c r="F237" s="236">
        <f>C237*E237</f>
        <v>43622.399999999994</v>
      </c>
      <c r="G237" s="118" t="s">
        <v>690</v>
      </c>
    </row>
    <row r="238" spans="1:7" ht="36" customHeight="1">
      <c r="A238" s="224"/>
      <c r="B238" s="226"/>
      <c r="C238" s="226"/>
      <c r="D238" s="226"/>
      <c r="E238" s="226"/>
      <c r="F238" s="235"/>
    </row>
    <row r="239" spans="1:7" ht="36" customHeight="1">
      <c r="A239" s="228" t="s">
        <v>17</v>
      </c>
      <c r="B239" s="231" t="s">
        <v>529</v>
      </c>
      <c r="C239" s="232">
        <f>TAKEOFF!$H$1731</f>
        <v>59.2</v>
      </c>
      <c r="D239" s="233" t="s">
        <v>322</v>
      </c>
      <c r="E239" s="234">
        <f>RATES!$D$63</f>
        <v>48</v>
      </c>
      <c r="F239" s="236">
        <f>C239*E239</f>
        <v>2841.6000000000004</v>
      </c>
      <c r="G239" s="118" t="s">
        <v>681</v>
      </c>
    </row>
    <row r="240" spans="1:7" ht="36" customHeight="1">
      <c r="A240" s="224"/>
      <c r="B240" s="226"/>
      <c r="C240" s="226"/>
      <c r="D240" s="226"/>
      <c r="E240" s="226"/>
      <c r="F240" s="235"/>
    </row>
    <row r="241" spans="1:7" ht="46.8">
      <c r="A241" s="228" t="s">
        <v>19</v>
      </c>
      <c r="B241" s="231" t="s">
        <v>530</v>
      </c>
      <c r="C241" s="232">
        <f>TAKEOFF!$H$1739</f>
        <v>204.82750000000001</v>
      </c>
      <c r="D241" s="233" t="s">
        <v>322</v>
      </c>
      <c r="E241" s="234">
        <f>RATES!$D$64</f>
        <v>72</v>
      </c>
      <c r="F241" s="236">
        <f>C241*E241</f>
        <v>14747.580000000002</v>
      </c>
      <c r="G241" s="118" t="s">
        <v>691</v>
      </c>
    </row>
    <row r="242" spans="1:7" ht="36" customHeight="1">
      <c r="A242" s="224"/>
      <c r="B242" s="226"/>
      <c r="C242" s="226"/>
      <c r="D242" s="226"/>
      <c r="E242" s="226"/>
      <c r="F242" s="235"/>
    </row>
    <row r="243" spans="1:7" ht="46.8">
      <c r="A243" s="228" t="s">
        <v>21</v>
      </c>
      <c r="B243" s="231" t="s">
        <v>532</v>
      </c>
      <c r="C243" s="232">
        <f>TAKEOFF!$H$1758</f>
        <v>119.35</v>
      </c>
      <c r="D243" s="233" t="s">
        <v>322</v>
      </c>
      <c r="E243" s="234">
        <f>RATES!$D$65</f>
        <v>40</v>
      </c>
      <c r="F243" s="236">
        <f>C243*E243</f>
        <v>4774</v>
      </c>
      <c r="G243" s="118" t="s">
        <v>692</v>
      </c>
    </row>
    <row r="244" spans="1:7" ht="36" customHeight="1">
      <c r="A244" s="109"/>
      <c r="B244" s="136"/>
      <c r="C244" s="136"/>
      <c r="D244" s="136"/>
      <c r="E244" s="136"/>
      <c r="F244" s="117"/>
    </row>
    <row r="245" spans="1:7" ht="36" customHeight="1" thickBot="1">
      <c r="A245" s="141"/>
      <c r="B245" s="154" t="str">
        <f>B229</f>
        <v>ELEMENT NO. 7: PAINTING AND DECORATING</v>
      </c>
      <c r="C245" s="142"/>
      <c r="D245" s="142"/>
      <c r="E245" s="143"/>
      <c r="F245" s="116">
        <f>SUM(F230:F244)</f>
        <v>193492.31947368424</v>
      </c>
    </row>
    <row r="246" spans="1:7" ht="36" customHeight="1" thickTop="1" thickBot="1">
      <c r="A246" s="141"/>
      <c r="B246" s="154" t="s">
        <v>339</v>
      </c>
      <c r="C246" s="142"/>
      <c r="D246" s="142"/>
      <c r="E246" s="143"/>
      <c r="F246" s="116"/>
    </row>
    <row r="247" spans="1:7" ht="15" customHeight="1" thickTop="1"/>
    <row r="249" spans="1:7" ht="31.2">
      <c r="B249" s="119" t="s">
        <v>534</v>
      </c>
    </row>
  </sheetData>
  <pageMargins left="0.75" right="0.75" top="1" bottom="1" header="0.5" footer="0.5"/>
  <pageSetup scale="33" fitToHeight="0" orientation="portrait" r:id="rId1"/>
  <rowBreaks count="4" manualBreakCount="4">
    <brk id="26" max="5" man="1"/>
    <brk id="91" max="5" man="1"/>
    <brk id="153" max="5" man="1"/>
    <brk id="211"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53"/>
  <sheetViews>
    <sheetView view="pageBreakPreview" topLeftCell="A153" zoomScale="60" zoomScaleNormal="100" workbookViewId="0">
      <selection activeCell="B157" sqref="B157"/>
    </sheetView>
  </sheetViews>
  <sheetFormatPr defaultRowHeight="14.4"/>
  <cols>
    <col min="1" max="1" width="13.33203125" style="9" customWidth="1"/>
    <col min="2" max="2" width="120" style="9" customWidth="1"/>
    <col min="3" max="3" width="23.109375" style="9" customWidth="1"/>
    <col min="4" max="4" width="20.3320312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7" customHeight="1">
      <c r="A6" s="155"/>
      <c r="B6" s="156"/>
      <c r="C6" s="156"/>
      <c r="D6" s="156"/>
      <c r="E6" s="156"/>
      <c r="F6" s="157"/>
    </row>
    <row r="7" spans="1:7" ht="27" customHeight="1">
      <c r="A7" s="224"/>
      <c r="B7" s="225" t="s">
        <v>313</v>
      </c>
      <c r="C7" s="226"/>
      <c r="D7" s="226"/>
      <c r="E7" s="226"/>
      <c r="F7" s="235"/>
    </row>
    <row r="8" spans="1:7" s="9" customFormat="1" ht="27" customHeight="1">
      <c r="A8" s="224"/>
      <c r="B8" s="225"/>
      <c r="C8" s="226"/>
      <c r="D8" s="226"/>
      <c r="E8" s="226"/>
      <c r="F8" s="235"/>
    </row>
    <row r="9" spans="1:7" ht="27" customHeight="1">
      <c r="A9" s="224"/>
      <c r="B9" s="225" t="s">
        <v>693</v>
      </c>
      <c r="C9" s="226"/>
      <c r="D9" s="226"/>
      <c r="E9" s="226"/>
      <c r="F9" s="235"/>
    </row>
    <row r="10" spans="1:7" ht="27" customHeight="1">
      <c r="A10" s="224"/>
      <c r="B10" s="226"/>
      <c r="C10" s="226"/>
      <c r="D10" s="226"/>
      <c r="E10" s="226"/>
      <c r="F10" s="235"/>
    </row>
    <row r="11" spans="1:7" ht="27" customHeight="1">
      <c r="A11" s="224"/>
      <c r="B11" s="227" t="s">
        <v>314</v>
      </c>
      <c r="C11" s="226"/>
      <c r="D11" s="226"/>
      <c r="E11" s="226"/>
      <c r="F11" s="235"/>
    </row>
    <row r="12" spans="1:7" ht="27" customHeight="1">
      <c r="A12" s="224"/>
      <c r="B12" s="226"/>
      <c r="C12" s="226"/>
      <c r="D12" s="226"/>
      <c r="E12" s="226"/>
      <c r="F12" s="235"/>
    </row>
    <row r="13" spans="1:7" ht="27" customHeight="1">
      <c r="A13" s="228" t="s">
        <v>9</v>
      </c>
      <c r="B13" s="229" t="s">
        <v>379</v>
      </c>
      <c r="C13" s="226"/>
      <c r="D13" s="226"/>
      <c r="E13" s="226"/>
      <c r="F13" s="236">
        <f>F92</f>
        <v>2663932.8291874998</v>
      </c>
    </row>
    <row r="14" spans="1:7" ht="27" customHeight="1">
      <c r="A14" s="224"/>
      <c r="B14" s="226"/>
      <c r="C14" s="226"/>
      <c r="D14" s="226"/>
      <c r="E14" s="226"/>
      <c r="F14" s="235"/>
    </row>
    <row r="15" spans="1:7" ht="27" customHeight="1">
      <c r="A15" s="228" t="s">
        <v>11</v>
      </c>
      <c r="B15" s="229" t="s">
        <v>380</v>
      </c>
      <c r="C15" s="226"/>
      <c r="D15" s="226"/>
      <c r="E15" s="226"/>
      <c r="F15" s="236">
        <f>F103</f>
        <v>385904.18887499993</v>
      </c>
    </row>
    <row r="16" spans="1:7" ht="27" customHeight="1">
      <c r="A16" s="224"/>
      <c r="B16" s="226"/>
      <c r="C16" s="226"/>
      <c r="D16" s="226"/>
      <c r="E16" s="226"/>
      <c r="F16" s="235"/>
    </row>
    <row r="17" spans="1:6" ht="27" customHeight="1">
      <c r="A17" s="228" t="s">
        <v>13</v>
      </c>
      <c r="B17" s="229" t="s">
        <v>381</v>
      </c>
      <c r="C17" s="226"/>
      <c r="D17" s="226"/>
      <c r="E17" s="226"/>
      <c r="F17" s="236">
        <f>F193</f>
        <v>613374.5</v>
      </c>
    </row>
    <row r="18" spans="1:6" ht="27" customHeight="1">
      <c r="A18" s="224"/>
      <c r="B18" s="226"/>
      <c r="C18" s="226"/>
      <c r="D18" s="226"/>
      <c r="E18" s="226"/>
      <c r="F18" s="235"/>
    </row>
    <row r="19" spans="1:6" ht="27" customHeight="1">
      <c r="A19" s="228" t="s">
        <v>15</v>
      </c>
      <c r="B19" s="229" t="s">
        <v>382</v>
      </c>
      <c r="C19" s="226"/>
      <c r="D19" s="226"/>
      <c r="E19" s="226"/>
      <c r="F19" s="236">
        <f>F213</f>
        <v>344765.54000000004</v>
      </c>
    </row>
    <row r="20" spans="1:6" ht="27" customHeight="1">
      <c r="A20" s="224"/>
      <c r="B20" s="226"/>
      <c r="C20" s="226"/>
      <c r="D20" s="226"/>
      <c r="E20" s="226"/>
      <c r="F20" s="235"/>
    </row>
    <row r="21" spans="1:6" ht="27" customHeight="1">
      <c r="A21" s="228" t="s">
        <v>17</v>
      </c>
      <c r="B21" s="229" t="s">
        <v>383</v>
      </c>
      <c r="C21" s="226"/>
      <c r="D21" s="226"/>
      <c r="E21" s="226"/>
      <c r="F21" s="236">
        <f>F229</f>
        <v>304843.67552631575</v>
      </c>
    </row>
    <row r="22" spans="1:6" ht="27" customHeight="1">
      <c r="A22" s="224"/>
      <c r="B22" s="226"/>
      <c r="C22" s="226"/>
      <c r="D22" s="226"/>
      <c r="E22" s="226"/>
      <c r="F22" s="235"/>
    </row>
    <row r="23" spans="1:6" ht="27" customHeight="1">
      <c r="A23" s="228" t="s">
        <v>19</v>
      </c>
      <c r="B23" s="229" t="s">
        <v>384</v>
      </c>
      <c r="C23" s="226"/>
      <c r="D23" s="226"/>
      <c r="E23" s="226"/>
      <c r="F23" s="236">
        <f>F249</f>
        <v>180310.77105263155</v>
      </c>
    </row>
    <row r="24" spans="1:6" ht="27" customHeight="1">
      <c r="A24" s="109"/>
      <c r="B24" s="136"/>
      <c r="C24" s="136"/>
      <c r="D24" s="136"/>
      <c r="E24" s="136"/>
      <c r="F24" s="117"/>
    </row>
    <row r="25" spans="1:6" ht="27" customHeight="1" thickBot="1">
      <c r="A25" s="141"/>
      <c r="B25" s="154" t="str">
        <f>B9</f>
        <v xml:space="preserve"> FOURTH FLOOR</v>
      </c>
      <c r="C25" s="142"/>
      <c r="D25" s="142"/>
      <c r="E25" s="143" t="s">
        <v>8</v>
      </c>
      <c r="F25" s="116">
        <f>SUM(F13:F24)</f>
        <v>4493131.5046414472</v>
      </c>
    </row>
    <row r="26" spans="1:6" ht="27" customHeight="1" thickTop="1" thickBot="1">
      <c r="A26" s="150"/>
      <c r="B26" s="151" t="s">
        <v>318</v>
      </c>
      <c r="C26" s="152"/>
      <c r="D26" s="152"/>
      <c r="E26" s="152"/>
      <c r="F26" s="153"/>
    </row>
    <row r="27" spans="1:6" ht="15" customHeight="1" thickTop="1">
      <c r="A27" s="109"/>
      <c r="B27" s="136"/>
      <c r="C27" s="136"/>
      <c r="D27" s="136"/>
      <c r="E27" s="136"/>
      <c r="F27" s="117"/>
    </row>
    <row r="28" spans="1:6" ht="31.8" customHeight="1">
      <c r="A28" s="224"/>
      <c r="B28" s="226"/>
      <c r="C28" s="226"/>
      <c r="D28" s="226"/>
      <c r="E28" s="226"/>
      <c r="F28" s="235"/>
    </row>
    <row r="29" spans="1:6" ht="31.8" customHeight="1">
      <c r="A29" s="224"/>
      <c r="B29" s="225" t="s">
        <v>694</v>
      </c>
      <c r="C29" s="226"/>
      <c r="D29" s="226"/>
      <c r="E29" s="226"/>
      <c r="F29" s="235"/>
    </row>
    <row r="30" spans="1:6" ht="31.8" customHeight="1">
      <c r="A30" s="224"/>
      <c r="B30" s="226"/>
      <c r="C30" s="226"/>
      <c r="D30" s="226"/>
      <c r="E30" s="226"/>
      <c r="F30" s="235"/>
    </row>
    <row r="31" spans="1:6" ht="31.8" customHeight="1">
      <c r="A31" s="224"/>
      <c r="B31" s="225" t="s">
        <v>379</v>
      </c>
      <c r="C31" s="226"/>
      <c r="D31" s="226"/>
      <c r="E31" s="226"/>
      <c r="F31" s="235"/>
    </row>
    <row r="32" spans="1:6" ht="31.8" customHeight="1">
      <c r="A32" s="224"/>
      <c r="B32" s="226"/>
      <c r="C32" s="226"/>
      <c r="D32" s="226"/>
      <c r="E32" s="226"/>
      <c r="F32" s="235"/>
    </row>
    <row r="33" spans="1:7" ht="31.8" customHeight="1">
      <c r="A33" s="224"/>
      <c r="B33" s="230" t="s">
        <v>344</v>
      </c>
      <c r="C33" s="226"/>
      <c r="D33" s="226"/>
      <c r="E33" s="226"/>
      <c r="F33" s="235"/>
    </row>
    <row r="34" spans="1:7" ht="31.8" customHeight="1">
      <c r="A34" s="228" t="s">
        <v>9</v>
      </c>
      <c r="B34" s="231" t="s">
        <v>386</v>
      </c>
      <c r="C34" s="232">
        <f>TAKEOFF!$H$1766</f>
        <v>283.64999999999998</v>
      </c>
      <c r="D34" s="233" t="s">
        <v>327</v>
      </c>
      <c r="E34" s="234">
        <f>RATES!$D$22</f>
        <v>2310</v>
      </c>
      <c r="F34" s="236">
        <f>C34*E34</f>
        <v>655231.5</v>
      </c>
      <c r="G34" s="118" t="s">
        <v>695</v>
      </c>
    </row>
    <row r="35" spans="1:7" ht="31.8" customHeight="1">
      <c r="A35" s="224"/>
      <c r="B35" s="226"/>
      <c r="C35" s="226"/>
      <c r="D35" s="226"/>
      <c r="E35" s="226"/>
      <c r="F35" s="235"/>
    </row>
    <row r="36" spans="1:7" ht="31.8" customHeight="1">
      <c r="A36" s="228" t="s">
        <v>11</v>
      </c>
      <c r="B36" s="231" t="s">
        <v>388</v>
      </c>
      <c r="C36" s="232">
        <f>TAKEOFF!$H$1770</f>
        <v>19.831</v>
      </c>
      <c r="D36" s="233" t="s">
        <v>327</v>
      </c>
      <c r="E36" s="234">
        <f>RATES!$D$23</f>
        <v>2310</v>
      </c>
      <c r="F36" s="236">
        <f>C36*E36</f>
        <v>45809.61</v>
      </c>
      <c r="G36" s="118" t="s">
        <v>696</v>
      </c>
    </row>
    <row r="37" spans="1:7" ht="31.8" customHeight="1">
      <c r="A37" s="224"/>
      <c r="B37" s="226"/>
      <c r="C37" s="226"/>
      <c r="D37" s="226"/>
      <c r="E37" s="226"/>
      <c r="F37" s="235"/>
    </row>
    <row r="38" spans="1:7" ht="31.8" customHeight="1">
      <c r="A38" s="228" t="s">
        <v>13</v>
      </c>
      <c r="B38" s="231" t="s">
        <v>390</v>
      </c>
      <c r="C38" s="232">
        <f>TAKEOFF!$H$1781</f>
        <v>40.545937499999994</v>
      </c>
      <c r="D38" s="233" t="s">
        <v>327</v>
      </c>
      <c r="E38" s="234">
        <f>RATES!$D$21</f>
        <v>2310</v>
      </c>
      <c r="F38" s="236">
        <f>C38*E38</f>
        <v>93661.115624999991</v>
      </c>
      <c r="G38" s="118" t="s">
        <v>617</v>
      </c>
    </row>
    <row r="39" spans="1:7" ht="31.8" customHeight="1">
      <c r="A39" s="224"/>
      <c r="B39" s="226"/>
      <c r="C39" s="226"/>
      <c r="D39" s="226"/>
      <c r="E39" s="226"/>
      <c r="F39" s="235"/>
    </row>
    <row r="40" spans="1:7" ht="31.8" customHeight="1">
      <c r="A40" s="228" t="s">
        <v>15</v>
      </c>
      <c r="B40" s="231" t="s">
        <v>392</v>
      </c>
      <c r="C40" s="232">
        <f>TAKEOFF!$H$1785</f>
        <v>36.310249999999996</v>
      </c>
      <c r="D40" s="233" t="s">
        <v>327</v>
      </c>
      <c r="E40" s="234">
        <f>RATES!$D$20</f>
        <v>2310</v>
      </c>
      <c r="F40" s="236">
        <f>C40*E40</f>
        <v>83876.677499999991</v>
      </c>
      <c r="G40" s="118" t="s">
        <v>618</v>
      </c>
    </row>
    <row r="41" spans="1:7" ht="31.8" customHeight="1">
      <c r="A41" s="224"/>
      <c r="B41" s="226"/>
      <c r="C41" s="226"/>
      <c r="D41" s="226"/>
      <c r="E41" s="226"/>
      <c r="F41" s="235"/>
    </row>
    <row r="42" spans="1:7" ht="31.8" customHeight="1">
      <c r="A42" s="228" t="s">
        <v>17</v>
      </c>
      <c r="B42" s="231" t="s">
        <v>394</v>
      </c>
      <c r="C42" s="232">
        <f>TAKEOFF!$H$1788</f>
        <v>16.641562499999999</v>
      </c>
      <c r="D42" s="233" t="s">
        <v>327</v>
      </c>
      <c r="E42" s="234">
        <f>RATES!$D$20</f>
        <v>2310</v>
      </c>
      <c r="F42" s="236">
        <f>C42*E42</f>
        <v>38442.009375000001</v>
      </c>
      <c r="G42" s="118" t="s">
        <v>619</v>
      </c>
    </row>
    <row r="43" spans="1:7" ht="31.8" customHeight="1">
      <c r="A43" s="224"/>
      <c r="B43" s="226"/>
      <c r="C43" s="226"/>
      <c r="D43" s="226"/>
      <c r="E43" s="226"/>
      <c r="F43" s="235"/>
    </row>
    <row r="44" spans="1:7" ht="31.8" customHeight="1">
      <c r="A44" s="228" t="s">
        <v>19</v>
      </c>
      <c r="B44" s="231" t="s">
        <v>396</v>
      </c>
      <c r="C44" s="232">
        <f>TAKEOFF!$H$1794</f>
        <v>11.182</v>
      </c>
      <c r="D44" s="233" t="s">
        <v>327</v>
      </c>
      <c r="E44" s="234">
        <f>RATES!$D$24</f>
        <v>2310</v>
      </c>
      <c r="F44" s="236">
        <f>C44*E44</f>
        <v>25830.420000000002</v>
      </c>
      <c r="G44" s="118" t="s">
        <v>620</v>
      </c>
    </row>
    <row r="45" spans="1:7" ht="31.8" customHeight="1">
      <c r="A45" s="224"/>
      <c r="B45" s="226"/>
      <c r="C45" s="226"/>
      <c r="D45" s="226"/>
      <c r="E45" s="226"/>
      <c r="F45" s="235"/>
    </row>
    <row r="46" spans="1:7" ht="31.8" customHeight="1">
      <c r="A46" s="228" t="s">
        <v>21</v>
      </c>
      <c r="B46" s="231" t="s">
        <v>398</v>
      </c>
      <c r="C46" s="232">
        <f>TAKEOFF!$H$1831</f>
        <v>7.1769375000000002</v>
      </c>
      <c r="D46" s="233" t="s">
        <v>327</v>
      </c>
      <c r="E46" s="234">
        <f>RATES!$D$25</f>
        <v>1925.0000000000002</v>
      </c>
      <c r="F46" s="236">
        <f>C46*E46</f>
        <v>13815.604687500003</v>
      </c>
      <c r="G46" s="118" t="s">
        <v>697</v>
      </c>
    </row>
    <row r="47" spans="1:7" ht="31.8" customHeight="1">
      <c r="A47" s="224"/>
      <c r="B47" s="226"/>
      <c r="C47" s="226"/>
      <c r="D47" s="226"/>
      <c r="E47" s="226"/>
      <c r="F47" s="235"/>
    </row>
    <row r="48" spans="1:7" ht="31.8" customHeight="1">
      <c r="A48" s="224"/>
      <c r="B48" s="230" t="s">
        <v>400</v>
      </c>
      <c r="C48" s="226"/>
      <c r="D48" s="226"/>
      <c r="E48" s="226"/>
      <c r="F48" s="235"/>
    </row>
    <row r="49" spans="1:7" ht="31.8" customHeight="1">
      <c r="A49" s="228" t="s">
        <v>23</v>
      </c>
      <c r="B49" s="231" t="s">
        <v>401</v>
      </c>
      <c r="C49" s="232">
        <f>TAKEOFF!$H$1835</f>
        <v>1134.5999999999999</v>
      </c>
      <c r="D49" s="233" t="s">
        <v>322</v>
      </c>
      <c r="E49" s="234">
        <f>RATES!$D$38</f>
        <v>165</v>
      </c>
      <c r="F49" s="236">
        <f>C49*E49</f>
        <v>187208.99999999997</v>
      </c>
      <c r="G49" s="118" t="s">
        <v>698</v>
      </c>
    </row>
    <row r="50" spans="1:7" ht="31.8" customHeight="1">
      <c r="A50" s="224"/>
      <c r="B50" s="226"/>
      <c r="C50" s="226"/>
      <c r="D50" s="226"/>
      <c r="E50" s="226"/>
      <c r="F50" s="235"/>
    </row>
    <row r="51" spans="1:7" ht="31.8" customHeight="1">
      <c r="A51" s="228" t="s">
        <v>25</v>
      </c>
      <c r="B51" s="231" t="s">
        <v>403</v>
      </c>
      <c r="C51" s="232">
        <f>TAKEOFF!$H$1838</f>
        <v>294.60000000000002</v>
      </c>
      <c r="D51" s="233" t="s">
        <v>369</v>
      </c>
      <c r="E51" s="234">
        <f>RATES!$D$40</f>
        <v>65</v>
      </c>
      <c r="F51" s="236">
        <f>C51*E51</f>
        <v>19149</v>
      </c>
      <c r="G51" s="118" t="s">
        <v>699</v>
      </c>
    </row>
    <row r="52" spans="1:7" ht="31.8" customHeight="1">
      <c r="A52" s="224"/>
      <c r="B52" s="226"/>
      <c r="C52" s="226"/>
      <c r="D52" s="226"/>
      <c r="E52" s="226"/>
      <c r="F52" s="235"/>
    </row>
    <row r="53" spans="1:7" ht="31.8" customHeight="1">
      <c r="A53" s="228" t="s">
        <v>27</v>
      </c>
      <c r="B53" s="231" t="s">
        <v>405</v>
      </c>
      <c r="C53" s="232">
        <f>TAKEOFF!$H$1842</f>
        <v>196.59</v>
      </c>
      <c r="D53" s="233" t="s">
        <v>322</v>
      </c>
      <c r="E53" s="234">
        <f>RATES!$D$39</f>
        <v>165</v>
      </c>
      <c r="F53" s="236">
        <f>C53*E53</f>
        <v>32437.350000000002</v>
      </c>
      <c r="G53" s="118" t="s">
        <v>700</v>
      </c>
    </row>
    <row r="54" spans="1:7" ht="31.8" customHeight="1">
      <c r="A54" s="224"/>
      <c r="B54" s="226"/>
      <c r="C54" s="226"/>
      <c r="D54" s="226"/>
      <c r="E54" s="226"/>
      <c r="F54" s="235"/>
    </row>
    <row r="55" spans="1:7" ht="31.8" customHeight="1">
      <c r="A55" s="228" t="s">
        <v>29</v>
      </c>
      <c r="B55" s="231" t="s">
        <v>390</v>
      </c>
      <c r="C55" s="232">
        <f>TAKEOFF!$H$1853</f>
        <v>321.3175</v>
      </c>
      <c r="D55" s="233" t="s">
        <v>322</v>
      </c>
      <c r="E55" s="234">
        <f>RATES!$D$37</f>
        <v>165</v>
      </c>
      <c r="F55" s="236">
        <f>C55*E55</f>
        <v>53017.387499999997</v>
      </c>
      <c r="G55" s="118" t="s">
        <v>625</v>
      </c>
    </row>
    <row r="56" spans="1:7" ht="31.8" customHeight="1">
      <c r="A56" s="224"/>
      <c r="B56" s="226"/>
      <c r="C56" s="226"/>
      <c r="D56" s="226"/>
      <c r="E56" s="226"/>
      <c r="F56" s="235"/>
    </row>
    <row r="57" spans="1:7" ht="31.8" customHeight="1">
      <c r="A57" s="228" t="s">
        <v>31</v>
      </c>
      <c r="B57" s="231" t="s">
        <v>408</v>
      </c>
      <c r="C57" s="232">
        <f>TAKEOFF!$H$1858</f>
        <v>423.61450000000002</v>
      </c>
      <c r="D57" s="233" t="s">
        <v>322</v>
      </c>
      <c r="E57" s="234">
        <f>RATES!$D$36</f>
        <v>165</v>
      </c>
      <c r="F57" s="236">
        <f>C57*E57</f>
        <v>69896.392500000002</v>
      </c>
      <c r="G57" s="118" t="s">
        <v>626</v>
      </c>
    </row>
    <row r="58" spans="1:7" ht="31.8" customHeight="1">
      <c r="A58" s="224"/>
      <c r="B58" s="226"/>
      <c r="C58" s="226"/>
      <c r="D58" s="226"/>
      <c r="E58" s="226"/>
      <c r="F58" s="235"/>
    </row>
    <row r="59" spans="1:7" ht="31.8" customHeight="1">
      <c r="A59" s="228" t="s">
        <v>33</v>
      </c>
      <c r="B59" s="231" t="s">
        <v>410</v>
      </c>
      <c r="C59" s="232">
        <f>TAKEOFF!$H$1866</f>
        <v>66.532799999999995</v>
      </c>
      <c r="D59" s="233" t="s">
        <v>322</v>
      </c>
      <c r="E59" s="234">
        <f>RATES!$D$42</f>
        <v>165</v>
      </c>
      <c r="F59" s="236">
        <f>C59*E59</f>
        <v>10977.911999999998</v>
      </c>
      <c r="G59" s="118" t="s">
        <v>549</v>
      </c>
    </row>
    <row r="60" spans="1:7" ht="31.8" customHeight="1">
      <c r="A60" s="224"/>
      <c r="B60" s="226"/>
      <c r="C60" s="226"/>
      <c r="D60" s="226"/>
      <c r="E60" s="226"/>
      <c r="F60" s="235"/>
    </row>
    <row r="61" spans="1:7" ht="31.8" customHeight="1">
      <c r="A61" s="228" t="s">
        <v>35</v>
      </c>
      <c r="B61" s="231" t="s">
        <v>412</v>
      </c>
      <c r="C61" s="232">
        <f>TAKEOFF!$H$1903</f>
        <v>127.59</v>
      </c>
      <c r="D61" s="233" t="s">
        <v>322</v>
      </c>
      <c r="E61" s="234">
        <f>RATES!$D$43</f>
        <v>165</v>
      </c>
      <c r="F61" s="236">
        <f>C61*E61</f>
        <v>21052.350000000002</v>
      </c>
      <c r="G61" s="118" t="s">
        <v>697</v>
      </c>
    </row>
    <row r="62" spans="1:7" ht="31.8" customHeight="1">
      <c r="A62" s="224"/>
      <c r="B62" s="226"/>
      <c r="C62" s="226"/>
      <c r="D62" s="226"/>
      <c r="E62" s="226"/>
      <c r="F62" s="235"/>
    </row>
    <row r="63" spans="1:7" ht="31.8" customHeight="1">
      <c r="A63" s="224"/>
      <c r="B63" s="230" t="s">
        <v>413</v>
      </c>
      <c r="C63" s="226"/>
      <c r="D63" s="226"/>
      <c r="E63" s="226"/>
      <c r="F63" s="235"/>
    </row>
    <row r="64" spans="1:7" ht="31.8" customHeight="1">
      <c r="A64" s="228" t="s">
        <v>37</v>
      </c>
      <c r="B64" s="231" t="s">
        <v>414</v>
      </c>
      <c r="C64" s="232">
        <f>TAKEOFF!$H$1907</f>
        <v>4.5510000000000002</v>
      </c>
      <c r="D64" s="233" t="s">
        <v>353</v>
      </c>
      <c r="E64" s="234">
        <f>RATES!$D$29</f>
        <v>14300.000000000002</v>
      </c>
      <c r="F64" s="236">
        <f>C64*E64</f>
        <v>65079.30000000001</v>
      </c>
      <c r="G64" s="118" t="s">
        <v>627</v>
      </c>
    </row>
    <row r="65" spans="1:7" ht="31.8" customHeight="1">
      <c r="A65" s="224"/>
      <c r="B65" s="226"/>
      <c r="C65" s="226"/>
      <c r="D65" s="226"/>
      <c r="E65" s="226"/>
      <c r="F65" s="235"/>
    </row>
    <row r="66" spans="1:7" ht="31.8" customHeight="1">
      <c r="A66" s="228" t="s">
        <v>39</v>
      </c>
      <c r="B66" s="231" t="s">
        <v>416</v>
      </c>
      <c r="C66" s="232">
        <f>TAKEOFF!$H$1910</f>
        <v>7.133</v>
      </c>
      <c r="D66" s="233" t="s">
        <v>353</v>
      </c>
      <c r="E66" s="234">
        <f>RATES!$D$32</f>
        <v>14300.000000000002</v>
      </c>
      <c r="F66" s="236">
        <f>C66*E66</f>
        <v>102001.90000000001</v>
      </c>
      <c r="G66" s="118" t="s">
        <v>628</v>
      </c>
    </row>
    <row r="67" spans="1:7" ht="31.8" customHeight="1">
      <c r="A67" s="224"/>
      <c r="B67" s="226"/>
      <c r="C67" s="226"/>
      <c r="D67" s="226"/>
      <c r="E67" s="226"/>
      <c r="F67" s="235"/>
    </row>
    <row r="68" spans="1:7" ht="31.8" customHeight="1">
      <c r="A68" s="228" t="s">
        <v>418</v>
      </c>
      <c r="B68" s="231" t="s">
        <v>422</v>
      </c>
      <c r="C68" s="232">
        <f>TAKEOFF!$H$1913</f>
        <v>1.806</v>
      </c>
      <c r="D68" s="233" t="s">
        <v>353</v>
      </c>
      <c r="E68" s="234">
        <f>RATES!$D$29</f>
        <v>14300.000000000002</v>
      </c>
      <c r="F68" s="236">
        <f>C68*E68</f>
        <v>25825.800000000003</v>
      </c>
      <c r="G68" s="118" t="s">
        <v>701</v>
      </c>
    </row>
    <row r="69" spans="1:7" ht="31.8" customHeight="1">
      <c r="A69" s="224"/>
      <c r="B69" s="226"/>
      <c r="C69" s="226"/>
      <c r="D69" s="226"/>
      <c r="E69" s="226"/>
      <c r="F69" s="235"/>
    </row>
    <row r="70" spans="1:7" ht="31.8" customHeight="1">
      <c r="A70" s="228" t="s">
        <v>421</v>
      </c>
      <c r="B70" s="231" t="s">
        <v>425</v>
      </c>
      <c r="C70" s="232">
        <f>TAKEOFF!$H$1916</f>
        <v>1.248</v>
      </c>
      <c r="D70" s="233" t="s">
        <v>353</v>
      </c>
      <c r="E70" s="234">
        <f>RATES!$D$31</f>
        <v>14300.000000000002</v>
      </c>
      <c r="F70" s="236">
        <f>C70*E70</f>
        <v>17846.400000000001</v>
      </c>
      <c r="G70" s="118" t="s">
        <v>702</v>
      </c>
    </row>
    <row r="71" spans="1:7" ht="31.8" customHeight="1">
      <c r="A71" s="224"/>
      <c r="B71" s="226"/>
      <c r="C71" s="226"/>
      <c r="D71" s="226"/>
      <c r="E71" s="226"/>
      <c r="F71" s="235"/>
    </row>
    <row r="72" spans="1:7" ht="31.8" customHeight="1">
      <c r="A72" s="228" t="s">
        <v>424</v>
      </c>
      <c r="B72" s="231" t="s">
        <v>428</v>
      </c>
      <c r="C72" s="232">
        <f>TAKEOFF!$H$1919</f>
        <v>2.1349999999999998</v>
      </c>
      <c r="D72" s="233" t="s">
        <v>353</v>
      </c>
      <c r="E72" s="234">
        <f>RATES!$D$32</f>
        <v>14300.000000000002</v>
      </c>
      <c r="F72" s="236">
        <f>C72*E72</f>
        <v>30530.5</v>
      </c>
      <c r="G72" s="118" t="s">
        <v>703</v>
      </c>
    </row>
    <row r="73" spans="1:7" ht="31.8" customHeight="1">
      <c r="A73" s="224"/>
      <c r="B73" s="226"/>
      <c r="C73" s="226"/>
      <c r="D73" s="226"/>
      <c r="E73" s="226"/>
      <c r="F73" s="235"/>
    </row>
    <row r="74" spans="1:7" ht="31.8" customHeight="1">
      <c r="A74" s="228" t="s">
        <v>427</v>
      </c>
      <c r="B74" s="231" t="s">
        <v>431</v>
      </c>
      <c r="C74" s="232">
        <f>TAKEOFF!$H$1922</f>
        <v>5.5069999999999997</v>
      </c>
      <c r="D74" s="233" t="s">
        <v>353</v>
      </c>
      <c r="E74" s="234">
        <f>RATES!$D$33</f>
        <v>14300.000000000002</v>
      </c>
      <c r="F74" s="236">
        <f>C74*E74</f>
        <v>78750.100000000006</v>
      </c>
      <c r="G74" s="118" t="s">
        <v>704</v>
      </c>
    </row>
    <row r="75" spans="1:7" ht="31.8" customHeight="1">
      <c r="A75" s="224"/>
      <c r="B75" s="226"/>
      <c r="C75" s="226"/>
      <c r="D75" s="226"/>
      <c r="E75" s="226"/>
      <c r="F75" s="235"/>
    </row>
    <row r="76" spans="1:7" ht="31.8" customHeight="1">
      <c r="A76" s="228" t="s">
        <v>430</v>
      </c>
      <c r="B76" s="231" t="s">
        <v>434</v>
      </c>
      <c r="C76" s="232">
        <f>TAKEOFF!$H$1926</f>
        <v>2.0779999999999998</v>
      </c>
      <c r="D76" s="233" t="s">
        <v>353</v>
      </c>
      <c r="E76" s="234">
        <f>RATES!$D$29</f>
        <v>14300.000000000002</v>
      </c>
      <c r="F76" s="236">
        <f>C76*E76</f>
        <v>29715.4</v>
      </c>
      <c r="G76" s="118" t="s">
        <v>633</v>
      </c>
    </row>
    <row r="77" spans="1:7" ht="31.8" customHeight="1">
      <c r="A77" s="224"/>
      <c r="B77" s="226"/>
      <c r="C77" s="226"/>
      <c r="D77" s="226"/>
      <c r="E77" s="226"/>
      <c r="F77" s="235"/>
    </row>
    <row r="78" spans="1:7" ht="31.8" customHeight="1">
      <c r="A78" s="228" t="s">
        <v>433</v>
      </c>
      <c r="B78" s="231" t="s">
        <v>437</v>
      </c>
      <c r="C78" s="232">
        <f>TAKEOFF!$H$1930</f>
        <v>2.7829999999999999</v>
      </c>
      <c r="D78" s="233" t="s">
        <v>353</v>
      </c>
      <c r="E78" s="234">
        <f>RATES!$D$30</f>
        <v>14300.000000000002</v>
      </c>
      <c r="F78" s="236">
        <f>C78*E78</f>
        <v>39796.9</v>
      </c>
      <c r="G78" s="118" t="s">
        <v>634</v>
      </c>
    </row>
    <row r="79" spans="1:7" ht="31.8" customHeight="1">
      <c r="A79" s="224"/>
      <c r="B79" s="226"/>
      <c r="C79" s="226"/>
      <c r="D79" s="226"/>
      <c r="E79" s="226"/>
      <c r="F79" s="235"/>
    </row>
    <row r="80" spans="1:7" ht="31.8" customHeight="1">
      <c r="A80" s="228" t="s">
        <v>436</v>
      </c>
      <c r="B80" s="231" t="s">
        <v>705</v>
      </c>
      <c r="C80" s="232">
        <f>TAKEOFF!$H$1933</f>
        <v>6.9039999999999999</v>
      </c>
      <c r="D80" s="233" t="s">
        <v>353</v>
      </c>
      <c r="E80" s="234">
        <f>RATES!$D$32</f>
        <v>14300.000000000002</v>
      </c>
      <c r="F80" s="236">
        <f>C80*E80</f>
        <v>98727.200000000012</v>
      </c>
      <c r="G80" s="118" t="s">
        <v>706</v>
      </c>
    </row>
    <row r="81" spans="1:7" ht="31.8" customHeight="1">
      <c r="A81" s="224"/>
      <c r="B81" s="226"/>
      <c r="C81" s="226"/>
      <c r="D81" s="226"/>
      <c r="E81" s="226"/>
      <c r="F81" s="235"/>
    </row>
    <row r="82" spans="1:7" ht="31.8" customHeight="1">
      <c r="A82" s="228" t="s">
        <v>439</v>
      </c>
      <c r="B82" s="231" t="s">
        <v>440</v>
      </c>
      <c r="C82" s="232">
        <f>TAKEOFF!$H$1936</f>
        <v>5.4409999999999998</v>
      </c>
      <c r="D82" s="233" t="s">
        <v>353</v>
      </c>
      <c r="E82" s="234">
        <f>RATES!$D$33</f>
        <v>14300.000000000002</v>
      </c>
      <c r="F82" s="236">
        <f>C82*E82</f>
        <v>77806.3</v>
      </c>
      <c r="G82" s="118" t="s">
        <v>707</v>
      </c>
    </row>
    <row r="83" spans="1:7" ht="31.8" customHeight="1">
      <c r="A83" s="224"/>
      <c r="B83" s="226"/>
      <c r="C83" s="226"/>
      <c r="D83" s="226"/>
      <c r="E83" s="226"/>
      <c r="F83" s="235"/>
    </row>
    <row r="84" spans="1:7" ht="31.8" customHeight="1">
      <c r="A84" s="228" t="s">
        <v>9</v>
      </c>
      <c r="B84" s="231" t="s">
        <v>442</v>
      </c>
      <c r="C84" s="232">
        <f>TAKEOFF!$H$1939</f>
        <v>0.88</v>
      </c>
      <c r="D84" s="233" t="s">
        <v>353</v>
      </c>
      <c r="E84" s="234">
        <f>RATES!$D$30</f>
        <v>14300.000000000002</v>
      </c>
      <c r="F84" s="236">
        <f>C84*E84</f>
        <v>12584.000000000002</v>
      </c>
      <c r="G84" s="118" t="s">
        <v>636</v>
      </c>
    </row>
    <row r="85" spans="1:7" ht="31.8" customHeight="1">
      <c r="A85" s="224"/>
      <c r="B85" s="226"/>
      <c r="C85" s="226"/>
      <c r="D85" s="226"/>
      <c r="E85" s="226"/>
      <c r="F85" s="235"/>
    </row>
    <row r="86" spans="1:7" ht="31.8" customHeight="1">
      <c r="A86" s="228" t="s">
        <v>11</v>
      </c>
      <c r="B86" s="231" t="s">
        <v>444</v>
      </c>
      <c r="C86" s="232">
        <f>TAKEOFF!$H$1942</f>
        <v>1.4339999999999999</v>
      </c>
      <c r="D86" s="233" t="s">
        <v>353</v>
      </c>
      <c r="E86" s="234">
        <f>RATES!$D$31</f>
        <v>14300.000000000002</v>
      </c>
      <c r="F86" s="236">
        <f>C86*E86</f>
        <v>20506.2</v>
      </c>
      <c r="G86" s="118" t="s">
        <v>637</v>
      </c>
    </row>
    <row r="87" spans="1:7" ht="31.8" customHeight="1">
      <c r="A87" s="224"/>
      <c r="B87" s="226"/>
      <c r="C87" s="226"/>
      <c r="D87" s="226"/>
      <c r="E87" s="226"/>
      <c r="F87" s="235"/>
    </row>
    <row r="88" spans="1:7" ht="31.8" customHeight="1">
      <c r="A88" s="228" t="s">
        <v>13</v>
      </c>
      <c r="B88" s="231" t="s">
        <v>446</v>
      </c>
      <c r="C88" s="232">
        <f>TAKEOFF!$H$1945</f>
        <v>49.804000000000002</v>
      </c>
      <c r="D88" s="233" t="s">
        <v>353</v>
      </c>
      <c r="E88" s="234">
        <f>RATES!$D$30</f>
        <v>14300.000000000002</v>
      </c>
      <c r="F88" s="236">
        <f>C88*E88</f>
        <v>712197.20000000007</v>
      </c>
      <c r="G88" s="118" t="s">
        <v>708</v>
      </c>
    </row>
    <row r="89" spans="1:7" ht="31.8" customHeight="1">
      <c r="A89" s="224"/>
      <c r="B89" s="226"/>
      <c r="C89" s="226"/>
      <c r="D89" s="226"/>
      <c r="E89" s="226"/>
      <c r="F89" s="235"/>
    </row>
    <row r="90" spans="1:7" ht="31.8" customHeight="1">
      <c r="A90" s="228" t="s">
        <v>15</v>
      </c>
      <c r="B90" s="231" t="s">
        <v>448</v>
      </c>
      <c r="C90" s="232">
        <f>TAKEOFF!$H$1948</f>
        <v>0.151</v>
      </c>
      <c r="D90" s="233" t="s">
        <v>353</v>
      </c>
      <c r="E90" s="234">
        <f>RATES!$D$31</f>
        <v>14300.000000000002</v>
      </c>
      <c r="F90" s="236">
        <f>C90*E90</f>
        <v>2159.3000000000002</v>
      </c>
      <c r="G90" s="118" t="s">
        <v>709</v>
      </c>
    </row>
    <row r="91" spans="1:7" ht="31.8" customHeight="1">
      <c r="A91" s="109"/>
      <c r="B91" s="136"/>
      <c r="C91" s="136"/>
      <c r="D91" s="136"/>
      <c r="E91" s="136"/>
      <c r="F91" s="117"/>
    </row>
    <row r="92" spans="1:7" ht="31.8" customHeight="1" thickBot="1">
      <c r="A92" s="141"/>
      <c r="B92" s="154" t="str">
        <f>B31</f>
        <v>ELEMENT NO. 1: IN SITU CONCRETE/LARGE PRECAST CONCRETE</v>
      </c>
      <c r="C92" s="142"/>
      <c r="D92" s="142"/>
      <c r="E92" s="143"/>
      <c r="F92" s="116">
        <f>SUM(F33:F91)</f>
        <v>2663932.8291874998</v>
      </c>
    </row>
    <row r="93" spans="1:7" ht="31.8" customHeight="1" thickTop="1" thickBot="1">
      <c r="A93" s="150"/>
      <c r="B93" s="151" t="s">
        <v>339</v>
      </c>
      <c r="C93" s="152"/>
      <c r="D93" s="152"/>
      <c r="E93" s="152"/>
      <c r="F93" s="153"/>
    </row>
    <row r="94" spans="1:7" ht="15" customHeight="1" thickTop="1">
      <c r="A94" s="109"/>
      <c r="B94" s="136"/>
      <c r="C94" s="136"/>
      <c r="D94" s="136"/>
      <c r="E94" s="136"/>
      <c r="F94" s="117"/>
    </row>
    <row r="95" spans="1:7">
      <c r="A95" s="224"/>
      <c r="B95" s="226"/>
      <c r="C95" s="226"/>
      <c r="D95" s="226"/>
      <c r="E95" s="226"/>
      <c r="F95" s="235"/>
    </row>
    <row r="96" spans="1:7" ht="23.4">
      <c r="A96" s="224"/>
      <c r="B96" s="225" t="s">
        <v>380</v>
      </c>
      <c r="C96" s="226"/>
      <c r="D96" s="226"/>
      <c r="E96" s="226"/>
      <c r="F96" s="235"/>
    </row>
    <row r="97" spans="1:7">
      <c r="A97" s="224"/>
      <c r="B97" s="226"/>
      <c r="C97" s="226"/>
      <c r="D97" s="226"/>
      <c r="E97" s="226"/>
      <c r="F97" s="235"/>
    </row>
    <row r="98" spans="1:7" ht="24" customHeight="1">
      <c r="A98" s="224"/>
      <c r="B98" s="230" t="s">
        <v>450</v>
      </c>
      <c r="C98" s="226"/>
      <c r="D98" s="226"/>
      <c r="E98" s="226"/>
      <c r="F98" s="235"/>
    </row>
    <row r="99" spans="1:7" ht="24" customHeight="1">
      <c r="A99" s="228" t="s">
        <v>9</v>
      </c>
      <c r="B99" s="231" t="s">
        <v>451</v>
      </c>
      <c r="C99" s="232">
        <f>TAKEOFF!$H$1988</f>
        <v>1555.9224724999997</v>
      </c>
      <c r="D99" s="233" t="s">
        <v>322</v>
      </c>
      <c r="E99" s="234">
        <f>RATES!$D$46</f>
        <v>215</v>
      </c>
      <c r="F99" s="236">
        <f>C99*E99</f>
        <v>334523.33158749994</v>
      </c>
      <c r="G99" s="118" t="s">
        <v>710</v>
      </c>
    </row>
    <row r="100" spans="1:7">
      <c r="A100" s="224"/>
      <c r="B100" s="226"/>
      <c r="C100" s="226"/>
      <c r="D100" s="226"/>
      <c r="E100" s="226"/>
      <c r="F100" s="235"/>
    </row>
    <row r="101" spans="1:7" ht="24" customHeight="1">
      <c r="A101" s="228" t="s">
        <v>11</v>
      </c>
      <c r="B101" s="231" t="s">
        <v>453</v>
      </c>
      <c r="C101" s="232">
        <f>TAKEOFF!$H$2026</f>
        <v>193.89002749999997</v>
      </c>
      <c r="D101" s="233" t="s">
        <v>322</v>
      </c>
      <c r="E101" s="234">
        <f>RATES!$D$47</f>
        <v>265</v>
      </c>
      <c r="F101" s="236">
        <f>C101*E101</f>
        <v>51380.857287499995</v>
      </c>
      <c r="G101" s="118" t="s">
        <v>711</v>
      </c>
    </row>
    <row r="102" spans="1:7">
      <c r="A102" s="109"/>
      <c r="B102" s="136"/>
      <c r="C102" s="136"/>
      <c r="D102" s="136"/>
      <c r="E102" s="136"/>
      <c r="F102" s="117"/>
    </row>
    <row r="103" spans="1:7" ht="24" thickBot="1">
      <c r="A103" s="141"/>
      <c r="B103" s="154" t="str">
        <f>B96</f>
        <v>ELEMENT NO. 2: MASONRY</v>
      </c>
      <c r="C103" s="142"/>
      <c r="D103" s="142"/>
      <c r="E103" s="143"/>
      <c r="F103" s="116">
        <f>SUM(F98:F102)</f>
        <v>385904.18887499993</v>
      </c>
    </row>
    <row r="104" spans="1:7" ht="24.45" customHeight="1" thickTop="1" thickBot="1">
      <c r="A104" s="150"/>
      <c r="B104" s="151" t="s">
        <v>339</v>
      </c>
      <c r="C104" s="152"/>
      <c r="D104" s="152"/>
      <c r="E104" s="152"/>
      <c r="F104" s="153"/>
    </row>
    <row r="105" spans="1:7" ht="15" customHeight="1" thickTop="1">
      <c r="A105" s="109"/>
      <c r="B105" s="136"/>
      <c r="C105" s="136"/>
      <c r="D105" s="136"/>
      <c r="E105" s="136"/>
      <c r="F105" s="117"/>
    </row>
    <row r="106" spans="1:7">
      <c r="A106" s="224"/>
      <c r="B106" s="226"/>
      <c r="C106" s="226"/>
      <c r="D106" s="226"/>
      <c r="E106" s="226"/>
      <c r="F106" s="235"/>
    </row>
    <row r="107" spans="1:7" ht="23.4">
      <c r="A107" s="224"/>
      <c r="B107" s="225" t="s">
        <v>381</v>
      </c>
      <c r="C107" s="226"/>
      <c r="D107" s="226"/>
      <c r="E107" s="226"/>
      <c r="F107" s="235"/>
    </row>
    <row r="108" spans="1:7">
      <c r="A108" s="224"/>
      <c r="B108" s="226"/>
      <c r="C108" s="226"/>
      <c r="D108" s="226"/>
      <c r="E108" s="226"/>
      <c r="F108" s="235"/>
    </row>
    <row r="109" spans="1:7" ht="28.2" customHeight="1">
      <c r="A109" s="224"/>
      <c r="B109" s="230" t="s">
        <v>455</v>
      </c>
      <c r="C109" s="226"/>
      <c r="D109" s="226"/>
      <c r="E109" s="226"/>
      <c r="F109" s="235"/>
    </row>
    <row r="110" spans="1:7" ht="28.2" customHeight="1">
      <c r="A110" s="228" t="s">
        <v>9</v>
      </c>
      <c r="B110" s="231" t="s">
        <v>642</v>
      </c>
      <c r="C110" s="232">
        <f>TAKEOFF!$H$2031</f>
        <v>8</v>
      </c>
      <c r="D110" s="233" t="s">
        <v>457</v>
      </c>
      <c r="E110" s="234">
        <f>RATES!$D$75</f>
        <v>7800</v>
      </c>
      <c r="F110" s="236">
        <f>C110*E110</f>
        <v>62400</v>
      </c>
      <c r="G110" s="118" t="s">
        <v>669</v>
      </c>
    </row>
    <row r="111" spans="1:7" ht="28.2" customHeight="1">
      <c r="A111" s="224"/>
      <c r="B111" s="226"/>
      <c r="C111" s="226"/>
      <c r="D111" s="226"/>
      <c r="E111" s="226"/>
      <c r="F111" s="235"/>
    </row>
    <row r="112" spans="1:7" ht="28.2" customHeight="1">
      <c r="A112" s="228" t="s">
        <v>11</v>
      </c>
      <c r="B112" s="231" t="s">
        <v>459</v>
      </c>
      <c r="C112" s="232">
        <f>TAKEOFF!$H$2034</f>
        <v>15</v>
      </c>
      <c r="D112" s="233" t="s">
        <v>457</v>
      </c>
      <c r="E112" s="234">
        <f>RATES!$D$76</f>
        <v>3400</v>
      </c>
      <c r="F112" s="236">
        <f>C112*E112</f>
        <v>51000</v>
      </c>
      <c r="G112" s="118" t="s">
        <v>712</v>
      </c>
    </row>
    <row r="113" spans="1:7" ht="28.2" customHeight="1">
      <c r="A113" s="224"/>
      <c r="B113" s="226"/>
      <c r="C113" s="226"/>
      <c r="D113" s="226"/>
      <c r="E113" s="226"/>
      <c r="F113" s="235"/>
    </row>
    <row r="114" spans="1:7" ht="28.2" customHeight="1">
      <c r="A114" s="228" t="s">
        <v>13</v>
      </c>
      <c r="B114" s="231" t="s">
        <v>463</v>
      </c>
      <c r="C114" s="232">
        <f>TAKEOFF!$H$2037</f>
        <v>22</v>
      </c>
      <c r="D114" s="233" t="s">
        <v>457</v>
      </c>
      <c r="E114" s="234">
        <f>RATES!$D$79</f>
        <v>1900</v>
      </c>
      <c r="F114" s="236">
        <f>C114*E114</f>
        <v>41800</v>
      </c>
      <c r="G114" s="118" t="s">
        <v>713</v>
      </c>
    </row>
    <row r="115" spans="1:7" ht="28.2" customHeight="1">
      <c r="A115" s="224"/>
      <c r="B115" s="226"/>
      <c r="C115" s="226"/>
      <c r="D115" s="226"/>
      <c r="E115" s="226"/>
      <c r="F115" s="235"/>
    </row>
    <row r="116" spans="1:7" ht="28.2" customHeight="1">
      <c r="A116" s="228" t="s">
        <v>15</v>
      </c>
      <c r="B116" s="231" t="s">
        <v>464</v>
      </c>
      <c r="C116" s="232">
        <f>TAKEOFF!$H$2040</f>
        <v>1</v>
      </c>
      <c r="D116" s="233" t="s">
        <v>457</v>
      </c>
      <c r="E116" s="234">
        <f>RATES!$D$80</f>
        <v>6800</v>
      </c>
      <c r="F116" s="236">
        <f>C116*E116</f>
        <v>6800</v>
      </c>
      <c r="G116" s="118" t="s">
        <v>458</v>
      </c>
    </row>
    <row r="117" spans="1:7" ht="28.2" customHeight="1">
      <c r="A117" s="224"/>
      <c r="B117" s="226"/>
      <c r="C117" s="226"/>
      <c r="D117" s="226"/>
      <c r="E117" s="226"/>
      <c r="F117" s="235"/>
    </row>
    <row r="118" spans="1:7" ht="28.2" customHeight="1">
      <c r="A118" s="228" t="s">
        <v>17</v>
      </c>
      <c r="B118" s="231" t="s">
        <v>646</v>
      </c>
      <c r="C118" s="232">
        <f>TAKEOFF!$H$2043</f>
        <v>3</v>
      </c>
      <c r="D118" s="233" t="s">
        <v>457</v>
      </c>
      <c r="E118" s="234">
        <f>RATES!$D$81</f>
        <v>9800</v>
      </c>
      <c r="F118" s="236">
        <f>C118*E118</f>
        <v>29400</v>
      </c>
      <c r="G118" s="118" t="s">
        <v>467</v>
      </c>
    </row>
    <row r="119" spans="1:7" ht="28.2" customHeight="1">
      <c r="A119" s="224"/>
      <c r="B119" s="226"/>
      <c r="C119" s="226"/>
      <c r="D119" s="226"/>
      <c r="E119" s="226"/>
      <c r="F119" s="235"/>
    </row>
    <row r="120" spans="1:7" ht="28.2" customHeight="1">
      <c r="A120" s="228" t="s">
        <v>19</v>
      </c>
      <c r="B120" s="231" t="s">
        <v>466</v>
      </c>
      <c r="C120" s="232">
        <f>TAKEOFF!$H$2046</f>
        <v>3</v>
      </c>
      <c r="D120" s="233" t="s">
        <v>457</v>
      </c>
      <c r="E120" s="234">
        <f>RATES!$D$82</f>
        <v>7200</v>
      </c>
      <c r="F120" s="236">
        <f>C120*E120</f>
        <v>21600</v>
      </c>
      <c r="G120" s="118" t="s">
        <v>467</v>
      </c>
    </row>
    <row r="121" spans="1:7" ht="28.2" customHeight="1">
      <c r="A121" s="224"/>
      <c r="B121" s="226"/>
      <c r="C121" s="226"/>
      <c r="D121" s="226"/>
      <c r="E121" s="226"/>
      <c r="F121" s="235"/>
    </row>
    <row r="122" spans="1:7" ht="28.2" customHeight="1">
      <c r="A122" s="228" t="s">
        <v>21</v>
      </c>
      <c r="B122" s="231" t="s">
        <v>647</v>
      </c>
      <c r="C122" s="232">
        <f>TAKEOFF!$H$2049</f>
        <v>3</v>
      </c>
      <c r="D122" s="233" t="s">
        <v>457</v>
      </c>
      <c r="E122" s="234">
        <f>RATES!$D$83</f>
        <v>8100</v>
      </c>
      <c r="F122" s="236">
        <f>C122*E122</f>
        <v>24300</v>
      </c>
      <c r="G122" s="118" t="s">
        <v>467</v>
      </c>
    </row>
    <row r="123" spans="1:7" ht="28.2" customHeight="1">
      <c r="A123" s="224"/>
      <c r="B123" s="226"/>
      <c r="C123" s="226"/>
      <c r="D123" s="226"/>
      <c r="E123" s="226"/>
      <c r="F123" s="235"/>
    </row>
    <row r="124" spans="1:7" ht="28.2" customHeight="1">
      <c r="A124" s="228" t="s">
        <v>23</v>
      </c>
      <c r="B124" s="231" t="s">
        <v>468</v>
      </c>
      <c r="C124" s="232">
        <f>TAKEOFF!$H$2052</f>
        <v>2</v>
      </c>
      <c r="D124" s="233" t="s">
        <v>457</v>
      </c>
      <c r="E124" s="234">
        <f>RATES!$D$84</f>
        <v>6900</v>
      </c>
      <c r="F124" s="236">
        <f>C124*E124</f>
        <v>13800</v>
      </c>
      <c r="G124" s="118" t="s">
        <v>465</v>
      </c>
    </row>
    <row r="125" spans="1:7" ht="28.2" customHeight="1">
      <c r="A125" s="224"/>
      <c r="B125" s="226"/>
      <c r="C125" s="226"/>
      <c r="D125" s="226"/>
      <c r="E125" s="226"/>
      <c r="F125" s="235"/>
    </row>
    <row r="126" spans="1:7" ht="28.2" customHeight="1">
      <c r="A126" s="228" t="s">
        <v>25</v>
      </c>
      <c r="B126" s="231" t="s">
        <v>648</v>
      </c>
      <c r="C126" s="232">
        <f>TAKEOFF!$H$2055</f>
        <v>1</v>
      </c>
      <c r="D126" s="233" t="s">
        <v>457</v>
      </c>
      <c r="E126" s="234">
        <f>RATES!$D$86</f>
        <v>4600</v>
      </c>
      <c r="F126" s="236">
        <f>C126*E126</f>
        <v>4600</v>
      </c>
      <c r="G126" s="118" t="s">
        <v>458</v>
      </c>
    </row>
    <row r="127" spans="1:7" ht="28.2" customHeight="1">
      <c r="A127" s="224"/>
      <c r="B127" s="226"/>
      <c r="C127" s="226"/>
      <c r="D127" s="226"/>
      <c r="E127" s="226"/>
      <c r="F127" s="235"/>
    </row>
    <row r="128" spans="1:7" ht="28.2" customHeight="1">
      <c r="A128" s="228" t="s">
        <v>27</v>
      </c>
      <c r="B128" s="231" t="s">
        <v>649</v>
      </c>
      <c r="C128" s="232">
        <f>TAKEOFF!$H$2058</f>
        <v>3</v>
      </c>
      <c r="D128" s="233" t="s">
        <v>457</v>
      </c>
      <c r="E128" s="234">
        <f>RATES!$D$87</f>
        <v>2900</v>
      </c>
      <c r="F128" s="236">
        <f>C128*E128</f>
        <v>8700</v>
      </c>
      <c r="G128" s="118" t="s">
        <v>467</v>
      </c>
    </row>
    <row r="129" spans="1:7" ht="28.2" customHeight="1">
      <c r="A129" s="224"/>
      <c r="B129" s="226"/>
      <c r="C129" s="226"/>
      <c r="D129" s="226"/>
      <c r="E129" s="226"/>
      <c r="F129" s="235"/>
    </row>
    <row r="130" spans="1:7" ht="28.2" customHeight="1">
      <c r="A130" s="228" t="s">
        <v>29</v>
      </c>
      <c r="B130" s="231" t="s">
        <v>650</v>
      </c>
      <c r="C130" s="232">
        <f>TAKEOFF!$H$2061</f>
        <v>5</v>
      </c>
      <c r="D130" s="233" t="s">
        <v>457</v>
      </c>
      <c r="E130" s="234">
        <f>RATES!$D$88</f>
        <v>2600</v>
      </c>
      <c r="F130" s="236">
        <f>C130*E130</f>
        <v>13000</v>
      </c>
      <c r="G130" s="118" t="s">
        <v>651</v>
      </c>
    </row>
    <row r="131" spans="1:7" ht="28.2" customHeight="1">
      <c r="A131" s="224"/>
      <c r="B131" s="226"/>
      <c r="C131" s="226"/>
      <c r="D131" s="226"/>
      <c r="E131" s="226"/>
      <c r="F131" s="235"/>
    </row>
    <row r="132" spans="1:7" ht="28.2" customHeight="1">
      <c r="A132" s="228" t="s">
        <v>31</v>
      </c>
      <c r="B132" s="231" t="s">
        <v>652</v>
      </c>
      <c r="C132" s="232">
        <f>TAKEOFF!$H$2064</f>
        <v>1</v>
      </c>
      <c r="D132" s="233" t="s">
        <v>457</v>
      </c>
      <c r="E132" s="234">
        <f>RATES!$D$89</f>
        <v>1900</v>
      </c>
      <c r="F132" s="236">
        <f>C132*E132</f>
        <v>1900</v>
      </c>
      <c r="G132" s="118" t="s">
        <v>458</v>
      </c>
    </row>
    <row r="133" spans="1:7" ht="28.2" customHeight="1">
      <c r="A133" s="224"/>
      <c r="B133" s="226"/>
      <c r="C133" s="226"/>
      <c r="D133" s="226"/>
      <c r="E133" s="226"/>
      <c r="F133" s="235"/>
    </row>
    <row r="134" spans="1:7" ht="28.2" customHeight="1">
      <c r="A134" s="228" t="s">
        <v>33</v>
      </c>
      <c r="B134" s="231" t="s">
        <v>653</v>
      </c>
      <c r="C134" s="232">
        <f>TAKEOFF!$H$2067</f>
        <v>3</v>
      </c>
      <c r="D134" s="233" t="s">
        <v>457</v>
      </c>
      <c r="E134" s="234">
        <f>RATES!$D$90</f>
        <v>2200</v>
      </c>
      <c r="F134" s="236">
        <f>C134*E134</f>
        <v>6600</v>
      </c>
      <c r="G134" s="118" t="s">
        <v>467</v>
      </c>
    </row>
    <row r="135" spans="1:7" ht="28.2" customHeight="1">
      <c r="A135" s="224"/>
      <c r="B135" s="226"/>
      <c r="C135" s="226"/>
      <c r="D135" s="226"/>
      <c r="E135" s="226"/>
      <c r="F135" s="235"/>
    </row>
    <row r="136" spans="1:7" ht="28.2" customHeight="1">
      <c r="A136" s="228" t="s">
        <v>35</v>
      </c>
      <c r="B136" s="231" t="s">
        <v>654</v>
      </c>
      <c r="C136" s="232">
        <f>TAKEOFF!$H$2070</f>
        <v>1</v>
      </c>
      <c r="D136" s="233" t="s">
        <v>457</v>
      </c>
      <c r="E136" s="234">
        <f>RATES!$D$94</f>
        <v>14500</v>
      </c>
      <c r="F136" s="236">
        <f>C136*E136</f>
        <v>14500</v>
      </c>
      <c r="G136" s="118" t="s">
        <v>458</v>
      </c>
    </row>
    <row r="137" spans="1:7" ht="28.2" customHeight="1">
      <c r="A137" s="224"/>
      <c r="B137" s="226"/>
      <c r="C137" s="226"/>
      <c r="D137" s="226"/>
      <c r="E137" s="226"/>
      <c r="F137" s="235"/>
    </row>
    <row r="138" spans="1:7" ht="28.2" customHeight="1">
      <c r="A138" s="228" t="s">
        <v>37</v>
      </c>
      <c r="B138" s="231" t="s">
        <v>655</v>
      </c>
      <c r="C138" s="232">
        <f>TAKEOFF!$H$2073</f>
        <v>4</v>
      </c>
      <c r="D138" s="233" t="s">
        <v>457</v>
      </c>
      <c r="E138" s="234">
        <f>RATES!$D$95</f>
        <v>8800</v>
      </c>
      <c r="F138" s="236">
        <f>C138*E138</f>
        <v>35200</v>
      </c>
      <c r="G138" s="118" t="s">
        <v>493</v>
      </c>
    </row>
    <row r="139" spans="1:7" ht="28.2" customHeight="1">
      <c r="A139" s="224"/>
      <c r="B139" s="226"/>
      <c r="C139" s="226"/>
      <c r="D139" s="226"/>
      <c r="E139" s="226"/>
      <c r="F139" s="235"/>
    </row>
    <row r="140" spans="1:7" ht="28.2" customHeight="1">
      <c r="A140" s="228" t="s">
        <v>39</v>
      </c>
      <c r="B140" s="231" t="s">
        <v>656</v>
      </c>
      <c r="C140" s="232">
        <f>TAKEOFF!$H$2076</f>
        <v>2</v>
      </c>
      <c r="D140" s="233" t="s">
        <v>457</v>
      </c>
      <c r="E140" s="234">
        <f>RATES!$D$96</f>
        <v>7600</v>
      </c>
      <c r="F140" s="236">
        <f>C140*E140</f>
        <v>15200</v>
      </c>
      <c r="G140" s="118" t="s">
        <v>465</v>
      </c>
    </row>
    <row r="141" spans="1:7" ht="28.2" customHeight="1">
      <c r="A141" s="224"/>
      <c r="B141" s="226"/>
      <c r="C141" s="226"/>
      <c r="D141" s="226"/>
      <c r="E141" s="226"/>
      <c r="F141" s="235"/>
    </row>
    <row r="142" spans="1:7" ht="28.2" customHeight="1">
      <c r="A142" s="228" t="s">
        <v>418</v>
      </c>
      <c r="B142" s="231" t="s">
        <v>657</v>
      </c>
      <c r="C142" s="232">
        <f>TAKEOFF!$H$2079</f>
        <v>4</v>
      </c>
      <c r="D142" s="233" t="s">
        <v>457</v>
      </c>
      <c r="E142" s="234">
        <f>RATES!$D$97</f>
        <v>9300</v>
      </c>
      <c r="F142" s="236">
        <f>C142*E142</f>
        <v>37200</v>
      </c>
      <c r="G142" s="118" t="s">
        <v>493</v>
      </c>
    </row>
    <row r="143" spans="1:7" ht="28.2" customHeight="1">
      <c r="A143" s="224"/>
      <c r="B143" s="226"/>
      <c r="C143" s="226"/>
      <c r="D143" s="226"/>
      <c r="E143" s="226"/>
      <c r="F143" s="235"/>
    </row>
    <row r="144" spans="1:7" ht="28.2" customHeight="1">
      <c r="A144" s="228" t="s">
        <v>421</v>
      </c>
      <c r="B144" s="231" t="s">
        <v>658</v>
      </c>
      <c r="C144" s="232">
        <f>TAKEOFF!$H$2082</f>
        <v>1</v>
      </c>
      <c r="D144" s="233" t="s">
        <v>457</v>
      </c>
      <c r="E144" s="234">
        <f>RATES!$D$98</f>
        <v>7200</v>
      </c>
      <c r="F144" s="236">
        <f>C144*E144</f>
        <v>7200</v>
      </c>
      <c r="G144" s="118" t="s">
        <v>458</v>
      </c>
    </row>
    <row r="145" spans="1:7" ht="28.2" customHeight="1">
      <c r="A145" s="224"/>
      <c r="B145" s="226"/>
      <c r="C145" s="226"/>
      <c r="D145" s="226"/>
      <c r="E145" s="226"/>
      <c r="F145" s="235"/>
    </row>
    <row r="146" spans="1:7" ht="28.2" customHeight="1">
      <c r="A146" s="228" t="s">
        <v>424</v>
      </c>
      <c r="B146" s="231" t="s">
        <v>474</v>
      </c>
      <c r="C146" s="232">
        <f>TAKEOFF!$H$2087</f>
        <v>198.70000000000002</v>
      </c>
      <c r="D146" s="233" t="s">
        <v>369</v>
      </c>
      <c r="E146" s="234">
        <f>RATES!$D$100</f>
        <v>125</v>
      </c>
      <c r="F146" s="236">
        <f>C146*E146</f>
        <v>24837.500000000004</v>
      </c>
      <c r="G146" s="118" t="s">
        <v>714</v>
      </c>
    </row>
    <row r="147" spans="1:7" ht="28.2" customHeight="1">
      <c r="A147" s="224"/>
      <c r="B147" s="226"/>
      <c r="C147" s="226"/>
      <c r="D147" s="226"/>
      <c r="E147" s="226"/>
      <c r="F147" s="235"/>
    </row>
    <row r="148" spans="1:7" ht="28.2" customHeight="1">
      <c r="A148" s="228" t="s">
        <v>427</v>
      </c>
      <c r="B148" s="231" t="s">
        <v>476</v>
      </c>
      <c r="C148" s="232">
        <f>TAKEOFF!$H$2092</f>
        <v>198.70000000000002</v>
      </c>
      <c r="D148" s="233" t="s">
        <v>369</v>
      </c>
      <c r="E148" s="234">
        <f>RATES!$D$101</f>
        <v>28</v>
      </c>
      <c r="F148" s="236">
        <f>C148*E148</f>
        <v>5563.6</v>
      </c>
      <c r="G148" s="118" t="s">
        <v>714</v>
      </c>
    </row>
    <row r="149" spans="1:7" ht="28.2" customHeight="1">
      <c r="A149" s="224"/>
      <c r="B149" s="226"/>
      <c r="C149" s="226"/>
      <c r="D149" s="226"/>
      <c r="E149" s="226"/>
      <c r="F149" s="235"/>
    </row>
    <row r="150" spans="1:7" s="9" customFormat="1" ht="28.2" customHeight="1">
      <c r="A150" s="224"/>
      <c r="B150" s="226"/>
      <c r="C150" s="226"/>
      <c r="D150" s="226"/>
      <c r="E150" s="226"/>
      <c r="F150" s="235"/>
    </row>
    <row r="151" spans="1:7" ht="28.2" customHeight="1">
      <c r="A151" s="224"/>
      <c r="B151" s="230" t="s">
        <v>477</v>
      </c>
      <c r="C151" s="226"/>
      <c r="D151" s="226"/>
      <c r="E151" s="226"/>
      <c r="F151" s="235"/>
    </row>
    <row r="152" spans="1:7" ht="28.2" customHeight="1">
      <c r="A152" s="228" t="s">
        <v>430</v>
      </c>
      <c r="B152" s="231" t="s">
        <v>478</v>
      </c>
      <c r="C152" s="232">
        <f>TAKEOFF!$H$2096</f>
        <v>56</v>
      </c>
      <c r="D152" s="233" t="s">
        <v>479</v>
      </c>
      <c r="E152" s="234">
        <f>RATES!$D$102</f>
        <v>125</v>
      </c>
      <c r="F152" s="236">
        <f>C152*E152</f>
        <v>7000</v>
      </c>
      <c r="G152" s="118" t="s">
        <v>715</v>
      </c>
    </row>
    <row r="153" spans="1:7" ht="28.2" customHeight="1">
      <c r="A153" s="224"/>
      <c r="B153" s="226"/>
      <c r="C153" s="226"/>
      <c r="D153" s="226"/>
      <c r="E153" s="226"/>
      <c r="F153" s="235"/>
    </row>
    <row r="154" spans="1:7" ht="28.2" customHeight="1">
      <c r="A154" s="228" t="s">
        <v>433</v>
      </c>
      <c r="B154" s="231" t="s">
        <v>481</v>
      </c>
      <c r="C154" s="232">
        <f>TAKEOFF!$H$2099</f>
        <v>15</v>
      </c>
      <c r="D154" s="233" t="s">
        <v>457</v>
      </c>
      <c r="E154" s="234">
        <f>RATES!$D$103</f>
        <v>480</v>
      </c>
      <c r="F154" s="236">
        <f>C154*E154</f>
        <v>7200</v>
      </c>
      <c r="G154" s="118" t="s">
        <v>712</v>
      </c>
    </row>
    <row r="155" spans="1:7" ht="28.2" customHeight="1">
      <c r="A155" s="224"/>
      <c r="B155" s="226"/>
      <c r="C155" s="226"/>
      <c r="D155" s="226"/>
      <c r="E155" s="226"/>
      <c r="F155" s="235"/>
    </row>
    <row r="156" spans="1:7" ht="28.2" customHeight="1">
      <c r="A156" s="228" t="s">
        <v>436</v>
      </c>
      <c r="B156" s="231" t="s">
        <v>483</v>
      </c>
      <c r="C156" s="232">
        <f>TAKEOFF!$H$2102</f>
        <v>22</v>
      </c>
      <c r="D156" s="233" t="s">
        <v>457</v>
      </c>
      <c r="E156" s="234">
        <f>RATES!$D$104</f>
        <v>560</v>
      </c>
      <c r="F156" s="236">
        <f>C156*E156</f>
        <v>12320</v>
      </c>
      <c r="G156" s="118" t="s">
        <v>713</v>
      </c>
    </row>
    <row r="157" spans="1:7" ht="28.2" customHeight="1">
      <c r="A157" s="224"/>
      <c r="B157" s="226"/>
      <c r="C157" s="226"/>
      <c r="D157" s="226"/>
      <c r="E157" s="226"/>
      <c r="F157" s="235"/>
    </row>
    <row r="158" spans="1:7" ht="28.2" customHeight="1">
      <c r="A158" s="224"/>
      <c r="B158" s="230" t="s">
        <v>484</v>
      </c>
      <c r="C158" s="226"/>
      <c r="D158" s="226"/>
      <c r="E158" s="226"/>
      <c r="F158" s="235"/>
    </row>
    <row r="159" spans="1:7" ht="28.2" customHeight="1">
      <c r="A159" s="228" t="s">
        <v>439</v>
      </c>
      <c r="B159" s="231" t="s">
        <v>661</v>
      </c>
      <c r="C159" s="232">
        <f>TAKEOFF!$H$2106</f>
        <v>6</v>
      </c>
      <c r="D159" s="233" t="s">
        <v>457</v>
      </c>
      <c r="E159" s="234">
        <f>RATES!$D$109</f>
        <v>3603.6000000000008</v>
      </c>
      <c r="F159" s="236">
        <f>C159*E159</f>
        <v>21621.600000000006</v>
      </c>
      <c r="G159" s="118" t="s">
        <v>460</v>
      </c>
    </row>
    <row r="160" spans="1:7" ht="28.2" customHeight="1">
      <c r="A160" s="224"/>
      <c r="B160" s="226"/>
      <c r="C160" s="226"/>
      <c r="D160" s="226"/>
      <c r="E160" s="226"/>
      <c r="F160" s="235"/>
    </row>
    <row r="161" spans="1:7" ht="28.2" customHeight="1">
      <c r="A161" s="228" t="s">
        <v>9</v>
      </c>
      <c r="B161" s="231" t="s">
        <v>662</v>
      </c>
      <c r="C161" s="232">
        <f>TAKEOFF!$H$2109</f>
        <v>10</v>
      </c>
      <c r="D161" s="233" t="s">
        <v>457</v>
      </c>
      <c r="E161" s="234">
        <f>RATES!$D$111</f>
        <v>1801.8000000000004</v>
      </c>
      <c r="F161" s="236">
        <f>C161*E161</f>
        <v>18018.000000000004</v>
      </c>
      <c r="G161" s="118" t="s">
        <v>643</v>
      </c>
    </row>
    <row r="162" spans="1:7" ht="28.2" customHeight="1">
      <c r="A162" s="224"/>
      <c r="B162" s="226"/>
      <c r="C162" s="226"/>
      <c r="D162" s="226"/>
      <c r="E162" s="226"/>
      <c r="F162" s="235"/>
    </row>
    <row r="163" spans="1:7" ht="28.2" customHeight="1">
      <c r="A163" s="228" t="s">
        <v>11</v>
      </c>
      <c r="B163" s="231" t="s">
        <v>664</v>
      </c>
      <c r="C163" s="232">
        <f>TAKEOFF!$H$2112</f>
        <v>2</v>
      </c>
      <c r="D163" s="233" t="s">
        <v>457</v>
      </c>
      <c r="E163" s="234">
        <f>RATES!$D$114</f>
        <v>4435.2000000000007</v>
      </c>
      <c r="F163" s="236">
        <f>C163*E163</f>
        <v>8870.4000000000015</v>
      </c>
      <c r="G163" s="118" t="s">
        <v>465</v>
      </c>
    </row>
    <row r="164" spans="1:7" ht="28.2" customHeight="1">
      <c r="A164" s="224"/>
      <c r="B164" s="226"/>
      <c r="C164" s="226"/>
      <c r="D164" s="226"/>
      <c r="E164" s="226"/>
      <c r="F164" s="235"/>
    </row>
    <row r="165" spans="1:7" ht="28.2" customHeight="1">
      <c r="A165" s="228" t="s">
        <v>13</v>
      </c>
      <c r="B165" s="231" t="s">
        <v>665</v>
      </c>
      <c r="C165" s="232">
        <f>TAKEOFF!$H$2115</f>
        <v>3</v>
      </c>
      <c r="D165" s="233" t="s">
        <v>457</v>
      </c>
      <c r="E165" s="234">
        <f>RATES!$D$115</f>
        <v>3511.2000000000003</v>
      </c>
      <c r="F165" s="236">
        <f>C165*E165</f>
        <v>10533.6</v>
      </c>
      <c r="G165" s="118" t="s">
        <v>467</v>
      </c>
    </row>
    <row r="166" spans="1:7" ht="28.2" customHeight="1">
      <c r="A166" s="224"/>
      <c r="B166" s="226"/>
      <c r="C166" s="226"/>
      <c r="D166" s="226"/>
      <c r="E166" s="226"/>
      <c r="F166" s="235"/>
    </row>
    <row r="167" spans="1:7" ht="28.2" customHeight="1">
      <c r="A167" s="228" t="s">
        <v>15</v>
      </c>
      <c r="B167" s="231" t="s">
        <v>666</v>
      </c>
      <c r="C167" s="232">
        <f>TAKEOFF!$H$2118</f>
        <v>8</v>
      </c>
      <c r="D167" s="233" t="s">
        <v>457</v>
      </c>
      <c r="E167" s="234">
        <f>RATES!$D$116</f>
        <v>2125.2000000000003</v>
      </c>
      <c r="F167" s="236">
        <f>C167*E167</f>
        <v>17001.600000000002</v>
      </c>
      <c r="G167" s="118" t="s">
        <v>669</v>
      </c>
    </row>
    <row r="168" spans="1:7" ht="28.2" customHeight="1">
      <c r="A168" s="224"/>
      <c r="B168" s="226"/>
      <c r="C168" s="226"/>
      <c r="D168" s="226"/>
      <c r="E168" s="226"/>
      <c r="F168" s="235"/>
    </row>
    <row r="169" spans="1:7" ht="28.2" customHeight="1">
      <c r="A169" s="228" t="s">
        <v>17</v>
      </c>
      <c r="B169" s="231" t="s">
        <v>667</v>
      </c>
      <c r="C169" s="232">
        <f>TAKEOFF!$H$2121</f>
        <v>1</v>
      </c>
      <c r="D169" s="233" t="s">
        <v>457</v>
      </c>
      <c r="E169" s="234">
        <f>RATES!$D$117</f>
        <v>2217.6000000000004</v>
      </c>
      <c r="F169" s="236">
        <f>C169*E169</f>
        <v>2217.6000000000004</v>
      </c>
      <c r="G169" s="118" t="s">
        <v>458</v>
      </c>
    </row>
    <row r="170" spans="1:7" ht="28.2" customHeight="1">
      <c r="A170" s="224"/>
      <c r="B170" s="226"/>
      <c r="C170" s="226"/>
      <c r="D170" s="226"/>
      <c r="E170" s="226"/>
      <c r="F170" s="235"/>
    </row>
    <row r="171" spans="1:7" ht="28.2" customHeight="1">
      <c r="A171" s="228" t="s">
        <v>19</v>
      </c>
      <c r="B171" s="231" t="s">
        <v>668</v>
      </c>
      <c r="C171" s="232">
        <f>TAKEOFF!$H$2124</f>
        <v>7</v>
      </c>
      <c r="D171" s="233" t="s">
        <v>457</v>
      </c>
      <c r="E171" s="234">
        <f>RATES!$D$118</f>
        <v>3003.0000000000009</v>
      </c>
      <c r="F171" s="236">
        <f>C171*E171</f>
        <v>21021.000000000007</v>
      </c>
      <c r="G171" s="118" t="s">
        <v>482</v>
      </c>
    </row>
    <row r="172" spans="1:7" ht="28.2" customHeight="1">
      <c r="A172" s="224"/>
      <c r="B172" s="226"/>
      <c r="C172" s="226"/>
      <c r="D172" s="226"/>
      <c r="E172" s="226"/>
      <c r="F172" s="235"/>
    </row>
    <row r="173" spans="1:7" ht="28.2" customHeight="1">
      <c r="A173" s="228" t="s">
        <v>21</v>
      </c>
      <c r="B173" s="231" t="s">
        <v>670</v>
      </c>
      <c r="C173" s="232">
        <f>TAKEOFF!$H$2127</f>
        <v>4</v>
      </c>
      <c r="D173" s="233" t="s">
        <v>457</v>
      </c>
      <c r="E173" s="234">
        <f>RATES!$D$119</f>
        <v>2656.5</v>
      </c>
      <c r="F173" s="236">
        <f>C173*E173</f>
        <v>10626</v>
      </c>
      <c r="G173" s="118" t="s">
        <v>493</v>
      </c>
    </row>
    <row r="174" spans="1:7" ht="28.2" customHeight="1">
      <c r="A174" s="224"/>
      <c r="B174" s="226"/>
      <c r="C174" s="226"/>
      <c r="D174" s="226"/>
      <c r="E174" s="226"/>
      <c r="F174" s="235"/>
    </row>
    <row r="175" spans="1:7" ht="28.2" customHeight="1">
      <c r="A175" s="228" t="s">
        <v>23</v>
      </c>
      <c r="B175" s="231" t="s">
        <v>671</v>
      </c>
      <c r="C175" s="232">
        <f>TAKEOFF!$H$2130</f>
        <v>1</v>
      </c>
      <c r="D175" s="233" t="s">
        <v>457</v>
      </c>
      <c r="E175" s="234">
        <f>RATES!$D$120</f>
        <v>4804.8000000000011</v>
      </c>
      <c r="F175" s="236">
        <f>C175*E175</f>
        <v>4804.8000000000011</v>
      </c>
      <c r="G175" s="118" t="s">
        <v>458</v>
      </c>
    </row>
    <row r="176" spans="1:7" ht="28.2" customHeight="1">
      <c r="A176" s="224"/>
      <c r="B176" s="226"/>
      <c r="C176" s="226"/>
      <c r="D176" s="226"/>
      <c r="E176" s="226"/>
      <c r="F176" s="235"/>
    </row>
    <row r="177" spans="1:7" ht="28.2" customHeight="1">
      <c r="A177" s="228" t="s">
        <v>25</v>
      </c>
      <c r="B177" s="231" t="s">
        <v>672</v>
      </c>
      <c r="C177" s="232">
        <f>TAKEOFF!$H$2133</f>
        <v>1</v>
      </c>
      <c r="D177" s="233" t="s">
        <v>457</v>
      </c>
      <c r="E177" s="234">
        <f>RATES!$D$122</f>
        <v>7392.0000000000018</v>
      </c>
      <c r="F177" s="236">
        <f>C177*E177</f>
        <v>7392.0000000000018</v>
      </c>
      <c r="G177" s="118" t="s">
        <v>458</v>
      </c>
    </row>
    <row r="178" spans="1:7" ht="28.2" customHeight="1">
      <c r="A178" s="224"/>
      <c r="B178" s="226"/>
      <c r="C178" s="226"/>
      <c r="D178" s="226"/>
      <c r="E178" s="226"/>
      <c r="F178" s="235"/>
    </row>
    <row r="179" spans="1:7" ht="28.2" customHeight="1">
      <c r="A179" s="228" t="s">
        <v>27</v>
      </c>
      <c r="B179" s="231" t="s">
        <v>673</v>
      </c>
      <c r="C179" s="232">
        <f>TAKEOFF!$H$2136</f>
        <v>3</v>
      </c>
      <c r="D179" s="233" t="s">
        <v>457</v>
      </c>
      <c r="E179" s="234">
        <f>RATES!$D$124</f>
        <v>5266.8000000000011</v>
      </c>
      <c r="F179" s="236">
        <f>C179*E179</f>
        <v>15800.400000000003</v>
      </c>
      <c r="G179" s="118" t="s">
        <v>467</v>
      </c>
    </row>
    <row r="180" spans="1:7" ht="28.2" customHeight="1">
      <c r="A180" s="224"/>
      <c r="B180" s="226"/>
      <c r="C180" s="226"/>
      <c r="D180" s="226"/>
      <c r="E180" s="226"/>
      <c r="F180" s="235"/>
    </row>
    <row r="181" spans="1:7" ht="28.2" customHeight="1">
      <c r="A181" s="228" t="s">
        <v>29</v>
      </c>
      <c r="B181" s="231" t="s">
        <v>674</v>
      </c>
      <c r="C181" s="232">
        <f>TAKEOFF!$H$2139</f>
        <v>1</v>
      </c>
      <c r="D181" s="233" t="s">
        <v>457</v>
      </c>
      <c r="E181" s="234">
        <f>RATES!$D$125</f>
        <v>1501.5000000000005</v>
      </c>
      <c r="F181" s="236">
        <f>C181*E181</f>
        <v>1501.5000000000005</v>
      </c>
      <c r="G181" s="118" t="s">
        <v>458</v>
      </c>
    </row>
    <row r="182" spans="1:7" ht="28.2" customHeight="1">
      <c r="A182" s="224"/>
      <c r="B182" s="226"/>
      <c r="C182" s="226"/>
      <c r="D182" s="226"/>
      <c r="E182" s="226"/>
      <c r="F182" s="235"/>
    </row>
    <row r="183" spans="1:7" ht="28.2" customHeight="1">
      <c r="A183" s="228" t="s">
        <v>31</v>
      </c>
      <c r="B183" s="231" t="s">
        <v>675</v>
      </c>
      <c r="C183" s="232">
        <f>TAKEOFF!$H$2142</f>
        <v>1</v>
      </c>
      <c r="D183" s="233" t="s">
        <v>457</v>
      </c>
      <c r="E183" s="234">
        <f>RATES!$D$127</f>
        <v>4242.7000000000007</v>
      </c>
      <c r="F183" s="236">
        <f>C183*E183</f>
        <v>4242.7000000000007</v>
      </c>
      <c r="G183" s="118" t="s">
        <v>458</v>
      </c>
    </row>
    <row r="184" spans="1:7" ht="28.2" customHeight="1">
      <c r="A184" s="224"/>
      <c r="B184" s="226"/>
      <c r="C184" s="226"/>
      <c r="D184" s="226"/>
      <c r="E184" s="226"/>
      <c r="F184" s="235"/>
    </row>
    <row r="185" spans="1:7" ht="28.2" customHeight="1">
      <c r="A185" s="228" t="s">
        <v>33</v>
      </c>
      <c r="B185" s="231" t="s">
        <v>492</v>
      </c>
      <c r="C185" s="232">
        <f>TAKEOFF!$H$2145</f>
        <v>13</v>
      </c>
      <c r="D185" s="233" t="s">
        <v>457</v>
      </c>
      <c r="E185" s="234">
        <f>RATES!$D$128</f>
        <v>831.60000000000014</v>
      </c>
      <c r="F185" s="236">
        <f>C185*E185</f>
        <v>10810.800000000001</v>
      </c>
      <c r="G185" s="118" t="s">
        <v>663</v>
      </c>
    </row>
    <row r="186" spans="1:7" ht="28.2" customHeight="1">
      <c r="A186" s="224"/>
      <c r="B186" s="226"/>
      <c r="C186" s="226"/>
      <c r="D186" s="226"/>
      <c r="E186" s="226"/>
      <c r="F186" s="235"/>
    </row>
    <row r="187" spans="1:7" ht="28.2" customHeight="1">
      <c r="A187" s="228" t="s">
        <v>35</v>
      </c>
      <c r="B187" s="231" t="s">
        <v>494</v>
      </c>
      <c r="C187" s="232">
        <f>TAKEOFF!$H$2148</f>
        <v>5</v>
      </c>
      <c r="D187" s="233" t="s">
        <v>457</v>
      </c>
      <c r="E187" s="234">
        <f>RATES!$D$129</f>
        <v>693</v>
      </c>
      <c r="F187" s="236">
        <f>C187*E187</f>
        <v>3465</v>
      </c>
      <c r="G187" s="118" t="s">
        <v>651</v>
      </c>
    </row>
    <row r="188" spans="1:7" ht="28.2" customHeight="1">
      <c r="A188" s="224"/>
      <c r="B188" s="226"/>
      <c r="C188" s="226"/>
      <c r="D188" s="226"/>
      <c r="E188" s="226"/>
      <c r="F188" s="235"/>
    </row>
    <row r="189" spans="1:7" ht="28.2" customHeight="1">
      <c r="A189" s="228" t="s">
        <v>37</v>
      </c>
      <c r="B189" s="231" t="s">
        <v>677</v>
      </c>
      <c r="C189" s="232">
        <f>TAKEOFF!$H$2151</f>
        <v>2</v>
      </c>
      <c r="D189" s="233" t="s">
        <v>457</v>
      </c>
      <c r="E189" s="234">
        <f>RATES!$D$130</f>
        <v>554.40000000000009</v>
      </c>
      <c r="F189" s="236">
        <f>C189*E189</f>
        <v>1108.8000000000002</v>
      </c>
      <c r="G189" s="118" t="s">
        <v>465</v>
      </c>
    </row>
    <row r="190" spans="1:7" ht="28.2" customHeight="1">
      <c r="A190" s="224"/>
      <c r="B190" s="226"/>
      <c r="C190" s="226"/>
      <c r="D190" s="226"/>
      <c r="E190" s="226"/>
      <c r="F190" s="235"/>
    </row>
    <row r="191" spans="1:7" ht="28.2" customHeight="1">
      <c r="A191" s="228" t="s">
        <v>39</v>
      </c>
      <c r="B191" s="231" t="s">
        <v>678</v>
      </c>
      <c r="C191" s="232">
        <f>TAKEOFF!$H$2154</f>
        <v>2</v>
      </c>
      <c r="D191" s="233" t="s">
        <v>457</v>
      </c>
      <c r="E191" s="234">
        <f>RATES!$D$131</f>
        <v>1108.8000000000002</v>
      </c>
      <c r="F191" s="236">
        <f>C191*E191</f>
        <v>2217.6000000000004</v>
      </c>
      <c r="G191" s="118" t="s">
        <v>465</v>
      </c>
    </row>
    <row r="192" spans="1:7" ht="28.2" customHeight="1">
      <c r="A192" s="109"/>
      <c r="B192" s="136"/>
      <c r="C192" s="136"/>
      <c r="D192" s="136"/>
      <c r="E192" s="136"/>
      <c r="F192" s="117"/>
    </row>
    <row r="193" spans="1:7" ht="28.2" customHeight="1" thickBot="1">
      <c r="A193" s="141"/>
      <c r="B193" s="154" t="str">
        <f>B107</f>
        <v>ELEMENT NO. 4: WINDOWS/DOORS</v>
      </c>
      <c r="C193" s="142"/>
      <c r="D193" s="142"/>
      <c r="E193" s="143"/>
      <c r="F193" s="116">
        <f>SUM(F109:F192)</f>
        <v>613374.5</v>
      </c>
    </row>
    <row r="194" spans="1:7" ht="28.2" customHeight="1" thickTop="1" thickBot="1">
      <c r="A194" s="150"/>
      <c r="B194" s="151" t="s">
        <v>339</v>
      </c>
      <c r="C194" s="152"/>
      <c r="D194" s="152"/>
      <c r="E194" s="152"/>
      <c r="F194" s="153"/>
    </row>
    <row r="195" spans="1:7" ht="31.2" customHeight="1" thickTop="1">
      <c r="A195" s="109"/>
      <c r="B195" s="136"/>
      <c r="C195" s="136"/>
      <c r="D195" s="136"/>
      <c r="E195" s="136"/>
      <c r="F195" s="117"/>
    </row>
    <row r="196" spans="1:7" ht="31.2" customHeight="1">
      <c r="A196" s="224"/>
      <c r="B196" s="225" t="s">
        <v>382</v>
      </c>
      <c r="C196" s="226"/>
      <c r="D196" s="226"/>
      <c r="E196" s="226"/>
      <c r="F196" s="235"/>
    </row>
    <row r="197" spans="1:7" ht="31.2" customHeight="1">
      <c r="A197" s="224"/>
      <c r="B197" s="226"/>
      <c r="C197" s="226"/>
      <c r="D197" s="226"/>
      <c r="E197" s="226"/>
      <c r="F197" s="235"/>
    </row>
    <row r="198" spans="1:7" ht="31.2" customHeight="1">
      <c r="A198" s="224"/>
      <c r="B198" s="230" t="s">
        <v>495</v>
      </c>
      <c r="C198" s="226"/>
      <c r="D198" s="226"/>
      <c r="E198" s="226"/>
      <c r="F198" s="235"/>
    </row>
    <row r="199" spans="1:7" ht="31.2" customHeight="1">
      <c r="A199" s="228" t="s">
        <v>9</v>
      </c>
      <c r="B199" s="231" t="s">
        <v>496</v>
      </c>
      <c r="C199" s="232">
        <f>TAKEOFF!$H$2159</f>
        <v>859.9</v>
      </c>
      <c r="D199" s="233" t="s">
        <v>322</v>
      </c>
      <c r="E199" s="234">
        <f>RATES!$D$50</f>
        <v>68</v>
      </c>
      <c r="F199" s="236">
        <f>C199*E199</f>
        <v>58473.2</v>
      </c>
      <c r="G199" s="118" t="s">
        <v>716</v>
      </c>
    </row>
    <row r="200" spans="1:7" ht="31.2" customHeight="1">
      <c r="A200" s="224"/>
      <c r="B200" s="226"/>
      <c r="C200" s="226"/>
      <c r="D200" s="226"/>
      <c r="E200" s="226"/>
      <c r="F200" s="235"/>
    </row>
    <row r="201" spans="1:7" ht="31.2" customHeight="1">
      <c r="A201" s="228" t="s">
        <v>11</v>
      </c>
      <c r="B201" s="231" t="s">
        <v>498</v>
      </c>
      <c r="C201" s="232">
        <f>TAKEOFF!$H$2170</f>
        <v>923.38</v>
      </c>
      <c r="D201" s="233" t="s">
        <v>322</v>
      </c>
      <c r="E201" s="234">
        <f>RATES!$D$51</f>
        <v>48</v>
      </c>
      <c r="F201" s="236">
        <f>C201*E201</f>
        <v>44322.239999999998</v>
      </c>
      <c r="G201" s="118" t="s">
        <v>717</v>
      </c>
    </row>
    <row r="202" spans="1:7" ht="31.2" customHeight="1">
      <c r="A202" s="224"/>
      <c r="B202" s="226"/>
      <c r="C202" s="226"/>
      <c r="D202" s="226"/>
      <c r="E202" s="226"/>
      <c r="F202" s="235"/>
    </row>
    <row r="203" spans="1:7" ht="31.2" customHeight="1">
      <c r="A203" s="228" t="s">
        <v>13</v>
      </c>
      <c r="B203" s="231" t="s">
        <v>500</v>
      </c>
      <c r="C203" s="232">
        <f>TAKEOFF!$H$2173</f>
        <v>62.1</v>
      </c>
      <c r="D203" s="233" t="s">
        <v>322</v>
      </c>
      <c r="E203" s="234">
        <f>RATES!$D$53</f>
        <v>230</v>
      </c>
      <c r="F203" s="236">
        <f>C203*E203</f>
        <v>14283</v>
      </c>
      <c r="G203" s="118" t="s">
        <v>718</v>
      </c>
    </row>
    <row r="204" spans="1:7" ht="31.2" customHeight="1">
      <c r="A204" s="224"/>
      <c r="B204" s="226"/>
      <c r="C204" s="226"/>
      <c r="D204" s="226"/>
      <c r="E204" s="226"/>
      <c r="F204" s="235"/>
    </row>
    <row r="205" spans="1:7" ht="31.2" customHeight="1">
      <c r="A205" s="228" t="s">
        <v>15</v>
      </c>
      <c r="B205" s="231" t="s">
        <v>502</v>
      </c>
      <c r="C205" s="232">
        <f>TAKEOFF!$H$2183</f>
        <v>63.480000000000004</v>
      </c>
      <c r="D205" s="233" t="s">
        <v>322</v>
      </c>
      <c r="E205" s="234">
        <f>RATES!$D$54</f>
        <v>270</v>
      </c>
      <c r="F205" s="236">
        <f>C205*E205</f>
        <v>17139.600000000002</v>
      </c>
      <c r="G205" s="118" t="s">
        <v>569</v>
      </c>
    </row>
    <row r="206" spans="1:7" ht="31.2" customHeight="1">
      <c r="A206" s="224"/>
      <c r="B206" s="226"/>
      <c r="C206" s="226"/>
      <c r="D206" s="226"/>
      <c r="E206" s="226"/>
      <c r="F206" s="235"/>
    </row>
    <row r="207" spans="1:7" ht="31.2" customHeight="1">
      <c r="A207" s="228" t="s">
        <v>17</v>
      </c>
      <c r="B207" s="231" t="s">
        <v>504</v>
      </c>
      <c r="C207" s="232">
        <f>TAKEOFF!$H$2186</f>
        <v>560.1</v>
      </c>
      <c r="D207" s="233" t="s">
        <v>322</v>
      </c>
      <c r="E207" s="234">
        <f>RATES!$D$55</f>
        <v>265</v>
      </c>
      <c r="F207" s="236">
        <f>C207*E207</f>
        <v>148426.5</v>
      </c>
      <c r="G207" s="118" t="s">
        <v>719</v>
      </c>
    </row>
    <row r="208" spans="1:7" ht="31.2" customHeight="1">
      <c r="A208" s="224"/>
      <c r="B208" s="226"/>
      <c r="C208" s="226"/>
      <c r="D208" s="226"/>
      <c r="E208" s="226"/>
      <c r="F208" s="235"/>
    </row>
    <row r="209" spans="1:7" ht="31.2" customHeight="1">
      <c r="A209" s="228" t="s">
        <v>19</v>
      </c>
      <c r="B209" s="231" t="s">
        <v>506</v>
      </c>
      <c r="C209" s="232">
        <f>TAKEOFF!$H$2189</f>
        <v>33.700000000000003</v>
      </c>
      <c r="D209" s="233" t="s">
        <v>322</v>
      </c>
      <c r="E209" s="234">
        <f>RATES!$D$56</f>
        <v>330</v>
      </c>
      <c r="F209" s="236">
        <f>C209*E209</f>
        <v>11121.000000000002</v>
      </c>
      <c r="G209" s="118" t="s">
        <v>720</v>
      </c>
    </row>
    <row r="210" spans="1:7" ht="31.2" customHeight="1">
      <c r="A210" s="224"/>
      <c r="B210" s="226"/>
      <c r="C210" s="226"/>
      <c r="D210" s="226"/>
      <c r="E210" s="226"/>
      <c r="F210" s="235"/>
    </row>
    <row r="211" spans="1:7" ht="31.2" customHeight="1">
      <c r="A211" s="228" t="s">
        <v>21</v>
      </c>
      <c r="B211" s="231" t="s">
        <v>508</v>
      </c>
      <c r="C211" s="232">
        <f>TAKEOFF!$H$2192</f>
        <v>204</v>
      </c>
      <c r="D211" s="233" t="s">
        <v>322</v>
      </c>
      <c r="E211" s="234">
        <f>RATES!$D$57</f>
        <v>250</v>
      </c>
      <c r="F211" s="236">
        <f>C211*E211</f>
        <v>51000</v>
      </c>
      <c r="G211" s="118" t="s">
        <v>721</v>
      </c>
    </row>
    <row r="212" spans="1:7" ht="31.2" customHeight="1">
      <c r="A212" s="109"/>
      <c r="B212" s="136"/>
      <c r="C212" s="136"/>
      <c r="D212" s="136"/>
      <c r="E212" s="136"/>
      <c r="F212" s="117"/>
    </row>
    <row r="213" spans="1:7" ht="31.2" customHeight="1" thickBot="1">
      <c r="A213" s="141"/>
      <c r="B213" s="154" t="str">
        <f>B196</f>
        <v>ELEMENT NO. 5: FLOOR FINISHES</v>
      </c>
      <c r="C213" s="142"/>
      <c r="D213" s="142"/>
      <c r="E213" s="143"/>
      <c r="F213" s="116">
        <f>SUM(F198:F212)</f>
        <v>344765.54000000004</v>
      </c>
    </row>
    <row r="214" spans="1:7" ht="31.2" customHeight="1" thickTop="1" thickBot="1">
      <c r="A214" s="150"/>
      <c r="B214" s="151" t="s">
        <v>339</v>
      </c>
      <c r="C214" s="152"/>
      <c r="D214" s="152"/>
      <c r="E214" s="152"/>
      <c r="F214" s="153"/>
    </row>
    <row r="215" spans="1:7" ht="26.4" customHeight="1" thickTop="1">
      <c r="A215" s="109"/>
      <c r="B215" s="136"/>
      <c r="C215" s="136"/>
      <c r="D215" s="136"/>
      <c r="E215" s="136"/>
      <c r="F215" s="117"/>
    </row>
    <row r="216" spans="1:7" ht="26.4" customHeight="1">
      <c r="A216" s="224"/>
      <c r="B216" s="225" t="s">
        <v>383</v>
      </c>
      <c r="C216" s="226"/>
      <c r="D216" s="226"/>
      <c r="E216" s="226"/>
      <c r="F216" s="235"/>
    </row>
    <row r="217" spans="1:7" ht="26.4" customHeight="1">
      <c r="A217" s="224"/>
      <c r="B217" s="226"/>
      <c r="C217" s="226"/>
      <c r="D217" s="226"/>
      <c r="E217" s="226"/>
      <c r="F217" s="235"/>
    </row>
    <row r="218" spans="1:7" ht="26.4" customHeight="1">
      <c r="A218" s="224"/>
      <c r="B218" s="230" t="s">
        <v>512</v>
      </c>
      <c r="C218" s="226"/>
      <c r="D218" s="226"/>
      <c r="E218" s="226"/>
      <c r="F218" s="235"/>
    </row>
    <row r="219" spans="1:7" ht="26.4" customHeight="1">
      <c r="A219" s="228" t="s">
        <v>9</v>
      </c>
      <c r="B219" s="231" t="s">
        <v>513</v>
      </c>
      <c r="C219" s="232">
        <f>TAKEOFF!$H$2236</f>
        <v>1735.1826315789476</v>
      </c>
      <c r="D219" s="233" t="s">
        <v>322</v>
      </c>
      <c r="E219" s="234">
        <f>RATES!$D$48</f>
        <v>78</v>
      </c>
      <c r="F219" s="236">
        <f>C219*E219</f>
        <v>135344.24526315791</v>
      </c>
      <c r="G219" s="118" t="s">
        <v>722</v>
      </c>
    </row>
    <row r="220" spans="1:7" ht="26.4" customHeight="1">
      <c r="A220" s="224"/>
      <c r="B220" s="226"/>
      <c r="C220" s="226"/>
      <c r="D220" s="226"/>
      <c r="E220" s="226"/>
      <c r="F220" s="235"/>
    </row>
    <row r="221" spans="1:7" ht="26.4" customHeight="1">
      <c r="A221" s="228" t="s">
        <v>11</v>
      </c>
      <c r="B221" s="231" t="s">
        <v>515</v>
      </c>
      <c r="C221" s="232">
        <f>TAKEOFF!$H$2240</f>
        <v>371.78289473684214</v>
      </c>
      <c r="D221" s="233" t="s">
        <v>322</v>
      </c>
      <c r="E221" s="234">
        <f>RATES!$D$48</f>
        <v>78</v>
      </c>
      <c r="F221" s="236">
        <f>C221*E221</f>
        <v>28999.065789473687</v>
      </c>
      <c r="G221" s="118" t="s">
        <v>723</v>
      </c>
    </row>
    <row r="222" spans="1:7" ht="26.4" customHeight="1">
      <c r="A222" s="224"/>
      <c r="B222" s="226"/>
      <c r="C222" s="226"/>
      <c r="D222" s="226"/>
      <c r="E222" s="226"/>
      <c r="F222" s="235"/>
    </row>
    <row r="223" spans="1:7" ht="26.4" customHeight="1">
      <c r="A223" s="228" t="s">
        <v>13</v>
      </c>
      <c r="B223" s="231" t="s">
        <v>517</v>
      </c>
      <c r="C223" s="232">
        <f>TAKEOFF!$H$2260</f>
        <v>635.14999999999986</v>
      </c>
      <c r="D223" s="233" t="s">
        <v>322</v>
      </c>
      <c r="E223" s="234">
        <f>RATES!$D$49</f>
        <v>88</v>
      </c>
      <c r="F223" s="236">
        <f>C223*E223</f>
        <v>55893.19999999999</v>
      </c>
      <c r="G223" s="118" t="s">
        <v>724</v>
      </c>
    </row>
    <row r="224" spans="1:7" ht="26.4" customHeight="1">
      <c r="A224" s="224"/>
      <c r="B224" s="226"/>
      <c r="C224" s="226"/>
      <c r="D224" s="226"/>
      <c r="E224" s="226"/>
      <c r="F224" s="235"/>
    </row>
    <row r="225" spans="1:7" ht="26.4" customHeight="1">
      <c r="A225" s="228" t="s">
        <v>15</v>
      </c>
      <c r="B225" s="231" t="s">
        <v>519</v>
      </c>
      <c r="C225" s="232">
        <f>TAKEOFF!$H$2264</f>
        <v>286.80394736842106</v>
      </c>
      <c r="D225" s="233" t="s">
        <v>322</v>
      </c>
      <c r="E225" s="234">
        <f>RATES!$D$52</f>
        <v>55</v>
      </c>
      <c r="F225" s="236">
        <f>C225*E225</f>
        <v>15774.217105263158</v>
      </c>
      <c r="G225" s="118" t="s">
        <v>725</v>
      </c>
    </row>
    <row r="226" spans="1:7" ht="26.4" customHeight="1">
      <c r="A226" s="224"/>
      <c r="B226" s="226"/>
      <c r="C226" s="226"/>
      <c r="D226" s="226"/>
      <c r="E226" s="226"/>
      <c r="F226" s="235"/>
    </row>
    <row r="227" spans="1:7" ht="26.4" customHeight="1">
      <c r="A227" s="228" t="s">
        <v>17</v>
      </c>
      <c r="B227" s="231" t="s">
        <v>521</v>
      </c>
      <c r="C227" s="232">
        <f>TAKEOFF!$H$2268</f>
        <v>286.80394736842106</v>
      </c>
      <c r="D227" s="233" t="s">
        <v>322</v>
      </c>
      <c r="E227" s="234">
        <f>RATES!$D$60</f>
        <v>240</v>
      </c>
      <c r="F227" s="236">
        <f>C227*E227</f>
        <v>68832.947368421053</v>
      </c>
      <c r="G227" s="118" t="s">
        <v>725</v>
      </c>
    </row>
    <row r="228" spans="1:7" ht="26.4" customHeight="1">
      <c r="A228" s="109"/>
      <c r="B228" s="136"/>
      <c r="C228" s="136"/>
      <c r="D228" s="136"/>
      <c r="E228" s="136"/>
      <c r="F228" s="117"/>
    </row>
    <row r="229" spans="1:7" ht="26.4" customHeight="1" thickBot="1">
      <c r="A229" s="141"/>
      <c r="B229" s="154" t="str">
        <f>B216</f>
        <v>ELEMENT NO. 6: WALL FINISHES</v>
      </c>
      <c r="C229" s="142"/>
      <c r="D229" s="142"/>
      <c r="E229" s="143"/>
      <c r="F229" s="116">
        <f>SUM(F218:F228)</f>
        <v>304843.67552631575</v>
      </c>
    </row>
    <row r="230" spans="1:7" ht="26.4" customHeight="1" thickTop="1" thickBot="1">
      <c r="A230" s="150"/>
      <c r="B230" s="151" t="s">
        <v>339</v>
      </c>
      <c r="C230" s="152"/>
      <c r="D230" s="152"/>
      <c r="E230" s="152"/>
      <c r="F230" s="153"/>
    </row>
    <row r="231" spans="1:7" ht="27.6" customHeight="1" thickTop="1">
      <c r="A231" s="109"/>
      <c r="B231" s="136"/>
      <c r="C231" s="136"/>
      <c r="D231" s="136"/>
      <c r="E231" s="136"/>
      <c r="F231" s="117"/>
    </row>
    <row r="232" spans="1:7" ht="27.6" customHeight="1">
      <c r="A232" s="224"/>
      <c r="B232" s="225" t="s">
        <v>384</v>
      </c>
      <c r="C232" s="226"/>
      <c r="D232" s="226"/>
      <c r="E232" s="226"/>
      <c r="F232" s="235"/>
    </row>
    <row r="233" spans="1:7" ht="27.6" customHeight="1">
      <c r="A233" s="224"/>
      <c r="B233" s="226"/>
      <c r="C233" s="226"/>
      <c r="D233" s="226"/>
      <c r="E233" s="226"/>
      <c r="F233" s="235"/>
    </row>
    <row r="234" spans="1:7" ht="27.6" customHeight="1">
      <c r="A234" s="224"/>
      <c r="B234" s="230" t="s">
        <v>522</v>
      </c>
      <c r="C234" s="226"/>
      <c r="D234" s="226"/>
      <c r="E234" s="226"/>
      <c r="F234" s="235"/>
    </row>
    <row r="235" spans="1:7" ht="27.6" customHeight="1">
      <c r="A235" s="228" t="s">
        <v>9</v>
      </c>
      <c r="B235" s="231" t="s">
        <v>513</v>
      </c>
      <c r="C235" s="232">
        <f>TAKEOFF!$H$2312</f>
        <v>1735.1826315789476</v>
      </c>
      <c r="D235" s="233" t="s">
        <v>322</v>
      </c>
      <c r="E235" s="234">
        <f>RATES!$D$61</f>
        <v>45</v>
      </c>
      <c r="F235" s="236">
        <f>C235*E235</f>
        <v>78083.218421052647</v>
      </c>
      <c r="G235" s="118" t="s">
        <v>722</v>
      </c>
    </row>
    <row r="236" spans="1:7" ht="27.6" customHeight="1">
      <c r="A236" s="224"/>
      <c r="B236" s="226"/>
      <c r="C236" s="226"/>
      <c r="D236" s="226"/>
      <c r="E236" s="226"/>
      <c r="F236" s="235"/>
    </row>
    <row r="237" spans="1:7" ht="27.6" customHeight="1">
      <c r="A237" s="228" t="s">
        <v>11</v>
      </c>
      <c r="B237" s="231" t="s">
        <v>523</v>
      </c>
      <c r="C237" s="232">
        <f>TAKEOFF!$H$2318</f>
        <v>84.978947368421075</v>
      </c>
      <c r="D237" s="233" t="s">
        <v>322</v>
      </c>
      <c r="E237" s="234">
        <f>RATES!$D$61</f>
        <v>45</v>
      </c>
      <c r="F237" s="236">
        <f>C237*E237</f>
        <v>3824.0526315789484</v>
      </c>
      <c r="G237" s="118" t="s">
        <v>726</v>
      </c>
    </row>
    <row r="238" spans="1:7" ht="27.6" customHeight="1">
      <c r="A238" s="224"/>
      <c r="B238" s="226"/>
      <c r="C238" s="226"/>
      <c r="D238" s="226"/>
      <c r="E238" s="226"/>
      <c r="F238" s="235"/>
    </row>
    <row r="239" spans="1:7" ht="27.6" customHeight="1">
      <c r="A239" s="228" t="s">
        <v>13</v>
      </c>
      <c r="B239" s="231" t="s">
        <v>525</v>
      </c>
      <c r="C239" s="232">
        <f>TAKEOFF!$H$2338</f>
        <v>635.14999999999986</v>
      </c>
      <c r="D239" s="233" t="s">
        <v>322</v>
      </c>
      <c r="E239" s="234">
        <f>RATES!$D$62</f>
        <v>62</v>
      </c>
      <c r="F239" s="236">
        <f>C239*E239</f>
        <v>39379.299999999988</v>
      </c>
      <c r="G239" s="118" t="s">
        <v>724</v>
      </c>
    </row>
    <row r="240" spans="1:7" ht="27.6" customHeight="1">
      <c r="A240" s="224"/>
      <c r="B240" s="226"/>
      <c r="C240" s="226"/>
      <c r="D240" s="226"/>
      <c r="E240" s="226"/>
      <c r="F240" s="235"/>
    </row>
    <row r="241" spans="1:7" ht="27.6" customHeight="1">
      <c r="A241" s="228" t="s">
        <v>15</v>
      </c>
      <c r="B241" s="231" t="s">
        <v>527</v>
      </c>
      <c r="C241" s="232">
        <f>TAKEOFF!$H$2341</f>
        <v>797.9</v>
      </c>
      <c r="D241" s="233" t="s">
        <v>322</v>
      </c>
      <c r="E241" s="234">
        <f>RATES!$D$63</f>
        <v>48</v>
      </c>
      <c r="F241" s="236">
        <f>C241*E241</f>
        <v>38299.199999999997</v>
      </c>
      <c r="G241" s="118" t="s">
        <v>727</v>
      </c>
    </row>
    <row r="242" spans="1:7" ht="27.6" customHeight="1">
      <c r="A242" s="224"/>
      <c r="B242" s="226"/>
      <c r="C242" s="226"/>
      <c r="D242" s="226"/>
      <c r="E242" s="226"/>
      <c r="F242" s="235"/>
    </row>
    <row r="243" spans="1:7" ht="27.6" customHeight="1">
      <c r="A243" s="228" t="s">
        <v>17</v>
      </c>
      <c r="B243" s="231" t="s">
        <v>529</v>
      </c>
      <c r="C243" s="232">
        <f>TAKEOFF!$H$2344</f>
        <v>62.1</v>
      </c>
      <c r="D243" s="233" t="s">
        <v>322</v>
      </c>
      <c r="E243" s="234">
        <f>RATES!$D$63</f>
        <v>48</v>
      </c>
      <c r="F243" s="236">
        <f>C243*E243</f>
        <v>2980.8</v>
      </c>
      <c r="G243" s="118" t="s">
        <v>718</v>
      </c>
    </row>
    <row r="244" spans="1:7" ht="27.6" customHeight="1">
      <c r="A244" s="224"/>
      <c r="B244" s="226"/>
      <c r="C244" s="226"/>
      <c r="D244" s="226"/>
      <c r="E244" s="226"/>
      <c r="F244" s="235"/>
    </row>
    <row r="245" spans="1:7" ht="27.6" customHeight="1">
      <c r="A245" s="228" t="s">
        <v>19</v>
      </c>
      <c r="B245" s="231" t="s">
        <v>530</v>
      </c>
      <c r="C245" s="232">
        <f>TAKEOFF!$H$2352</f>
        <v>188.27500000000001</v>
      </c>
      <c r="D245" s="233" t="s">
        <v>322</v>
      </c>
      <c r="E245" s="234">
        <f>RATES!$D$64</f>
        <v>72</v>
      </c>
      <c r="F245" s="236">
        <f>C245*E245</f>
        <v>13555.800000000001</v>
      </c>
      <c r="G245" s="118" t="s">
        <v>728</v>
      </c>
    </row>
    <row r="246" spans="1:7" ht="27.6" customHeight="1">
      <c r="A246" s="224"/>
      <c r="B246" s="226"/>
      <c r="C246" s="226"/>
      <c r="D246" s="226"/>
      <c r="E246" s="226"/>
      <c r="F246" s="235"/>
    </row>
    <row r="247" spans="1:7" ht="27.6" customHeight="1">
      <c r="A247" s="228" t="s">
        <v>21</v>
      </c>
      <c r="B247" s="231" t="s">
        <v>532</v>
      </c>
      <c r="C247" s="232">
        <f>TAKEOFF!$H$2371</f>
        <v>104.71</v>
      </c>
      <c r="D247" s="233" t="s">
        <v>322</v>
      </c>
      <c r="E247" s="234">
        <f>RATES!$D$65</f>
        <v>40</v>
      </c>
      <c r="F247" s="236">
        <f>C247*E247</f>
        <v>4188.3999999999996</v>
      </c>
      <c r="G247" s="118" t="s">
        <v>729</v>
      </c>
    </row>
    <row r="248" spans="1:7" ht="27.6" customHeight="1">
      <c r="A248" s="109"/>
      <c r="B248" s="136"/>
      <c r="C248" s="136"/>
      <c r="D248" s="136"/>
      <c r="E248" s="136"/>
      <c r="F248" s="117"/>
    </row>
    <row r="249" spans="1:7" ht="27.6" customHeight="1" thickBot="1">
      <c r="A249" s="141"/>
      <c r="B249" s="154" t="str">
        <f>B232</f>
        <v>ELEMENT NO. 7: PAINTING AND DECORATING</v>
      </c>
      <c r="C249" s="142"/>
      <c r="D249" s="142"/>
      <c r="E249" s="143"/>
      <c r="F249" s="116">
        <f>SUM(F234:F248)</f>
        <v>180310.77105263155</v>
      </c>
    </row>
    <row r="250" spans="1:7" ht="27.6" customHeight="1" thickTop="1" thickBot="1">
      <c r="A250" s="141"/>
      <c r="B250" s="154" t="s">
        <v>339</v>
      </c>
      <c r="C250" s="142"/>
      <c r="D250" s="142"/>
      <c r="E250" s="143"/>
      <c r="F250" s="116"/>
    </row>
    <row r="251" spans="1:7" ht="15" customHeight="1" thickTop="1"/>
    <row r="253" spans="1:7" ht="31.2">
      <c r="B253" s="119" t="s">
        <v>534</v>
      </c>
    </row>
  </sheetData>
  <pageMargins left="0.75" right="0.75" top="1" bottom="1" header="0.5" footer="0.5"/>
  <pageSetup scale="40" fitToHeight="0" orientation="portrait" r:id="rId1"/>
  <rowBreaks count="4" manualBreakCount="4">
    <brk id="26" max="5" man="1"/>
    <brk id="104" max="5" man="1"/>
    <brk id="149" max="5" man="1"/>
    <brk id="194"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255"/>
  <sheetViews>
    <sheetView view="pageBreakPreview" topLeftCell="A163" zoomScale="60" zoomScaleNormal="100" workbookViewId="0">
      <selection activeCell="B251" sqref="B251"/>
    </sheetView>
  </sheetViews>
  <sheetFormatPr defaultRowHeight="14.4"/>
  <cols>
    <col min="1" max="1" width="13.33203125" style="9" customWidth="1"/>
    <col min="2" max="2" width="134.6640625" style="9" customWidth="1"/>
    <col min="3" max="3" width="24.44140625" style="9" customWidth="1"/>
    <col min="4" max="4" width="23" style="9" customWidth="1"/>
    <col min="5" max="5" width="22"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5.2" customHeight="1">
      <c r="A6" s="155"/>
      <c r="B6" s="156"/>
      <c r="C6" s="156"/>
      <c r="D6" s="156"/>
      <c r="E6" s="156"/>
      <c r="F6" s="157"/>
    </row>
    <row r="7" spans="1:7" ht="25.2" customHeight="1">
      <c r="A7" s="224"/>
      <c r="B7" s="225" t="s">
        <v>313</v>
      </c>
      <c r="C7" s="226"/>
      <c r="D7" s="226"/>
      <c r="E7" s="226"/>
      <c r="F7" s="235"/>
    </row>
    <row r="8" spans="1:7" ht="25.2" customHeight="1">
      <c r="A8" s="224"/>
      <c r="B8" s="226"/>
      <c r="C8" s="226"/>
      <c r="D8" s="226"/>
      <c r="E8" s="226"/>
      <c r="F8" s="235"/>
    </row>
    <row r="9" spans="1:7" ht="25.2" customHeight="1">
      <c r="A9" s="224"/>
      <c r="B9" s="225" t="s">
        <v>730</v>
      </c>
      <c r="C9" s="226"/>
      <c r="D9" s="226"/>
      <c r="E9" s="226"/>
      <c r="F9" s="235"/>
    </row>
    <row r="10" spans="1:7" ht="25.2" customHeight="1">
      <c r="A10" s="224"/>
      <c r="B10" s="226"/>
      <c r="C10" s="226"/>
      <c r="D10" s="226"/>
      <c r="E10" s="226"/>
      <c r="F10" s="235"/>
    </row>
    <row r="11" spans="1:7" ht="25.2" customHeight="1">
      <c r="A11" s="224"/>
      <c r="B11" s="227" t="s">
        <v>314</v>
      </c>
      <c r="C11" s="226"/>
      <c r="D11" s="226"/>
      <c r="E11" s="226"/>
      <c r="F11" s="235"/>
    </row>
    <row r="12" spans="1:7" ht="25.2" customHeight="1">
      <c r="A12" s="224"/>
      <c r="B12" s="226"/>
      <c r="C12" s="226"/>
      <c r="D12" s="226"/>
      <c r="E12" s="226"/>
      <c r="F12" s="235"/>
    </row>
    <row r="13" spans="1:7" ht="25.2" customHeight="1">
      <c r="A13" s="228" t="s">
        <v>9</v>
      </c>
      <c r="B13" s="229" t="s">
        <v>379</v>
      </c>
      <c r="C13" s="226"/>
      <c r="D13" s="226"/>
      <c r="E13" s="226"/>
      <c r="F13" s="236">
        <f>F90</f>
        <v>2630642.8932499997</v>
      </c>
    </row>
    <row r="14" spans="1:7" ht="25.2" customHeight="1">
      <c r="A14" s="224"/>
      <c r="B14" s="226"/>
      <c r="C14" s="226"/>
      <c r="D14" s="226"/>
      <c r="E14" s="226"/>
      <c r="F14" s="235"/>
    </row>
    <row r="15" spans="1:7" ht="25.2" customHeight="1">
      <c r="A15" s="228" t="s">
        <v>11</v>
      </c>
      <c r="B15" s="229" t="s">
        <v>380</v>
      </c>
      <c r="C15" s="226"/>
      <c r="D15" s="226"/>
      <c r="E15" s="226"/>
      <c r="F15" s="236">
        <f>F101</f>
        <v>378588.88999999996</v>
      </c>
    </row>
    <row r="16" spans="1:7" ht="25.2" customHeight="1">
      <c r="A16" s="224"/>
      <c r="B16" s="226"/>
      <c r="C16" s="226"/>
      <c r="D16" s="226"/>
      <c r="E16" s="226"/>
      <c r="F16" s="235"/>
    </row>
    <row r="17" spans="1:6" ht="25.2" customHeight="1">
      <c r="A17" s="228" t="s">
        <v>13</v>
      </c>
      <c r="B17" s="229" t="s">
        <v>381</v>
      </c>
      <c r="C17" s="226"/>
      <c r="D17" s="226"/>
      <c r="E17" s="226"/>
      <c r="F17" s="236">
        <f>F193</f>
        <v>566821.1</v>
      </c>
    </row>
    <row r="18" spans="1:6" ht="25.2" customHeight="1">
      <c r="A18" s="224"/>
      <c r="B18" s="226"/>
      <c r="C18" s="226"/>
      <c r="D18" s="226"/>
      <c r="E18" s="226"/>
      <c r="F18" s="235"/>
    </row>
    <row r="19" spans="1:6" ht="25.2" customHeight="1">
      <c r="A19" s="228" t="s">
        <v>15</v>
      </c>
      <c r="B19" s="229" t="s">
        <v>382</v>
      </c>
      <c r="C19" s="226"/>
      <c r="D19" s="226"/>
      <c r="E19" s="226"/>
      <c r="F19" s="236">
        <f>F213</f>
        <v>341125.33999999997</v>
      </c>
    </row>
    <row r="20" spans="1:6" ht="25.2" customHeight="1">
      <c r="A20" s="224"/>
      <c r="B20" s="226"/>
      <c r="C20" s="226"/>
      <c r="D20" s="226"/>
      <c r="E20" s="226"/>
      <c r="F20" s="235"/>
    </row>
    <row r="21" spans="1:6" ht="25.2" customHeight="1">
      <c r="A21" s="228" t="s">
        <v>17</v>
      </c>
      <c r="B21" s="229" t="s">
        <v>383</v>
      </c>
      <c r="C21" s="226"/>
      <c r="D21" s="226"/>
      <c r="E21" s="226"/>
      <c r="F21" s="236">
        <f>F230</f>
        <v>309236.25421052624</v>
      </c>
    </row>
    <row r="22" spans="1:6" ht="25.2" customHeight="1">
      <c r="A22" s="224"/>
      <c r="B22" s="226"/>
      <c r="C22" s="226"/>
      <c r="D22" s="226"/>
      <c r="E22" s="226"/>
      <c r="F22" s="235"/>
    </row>
    <row r="23" spans="1:6" ht="25.2" customHeight="1">
      <c r="A23" s="228" t="s">
        <v>19</v>
      </c>
      <c r="B23" s="229" t="s">
        <v>384</v>
      </c>
      <c r="C23" s="226"/>
      <c r="D23" s="226"/>
      <c r="E23" s="226"/>
      <c r="F23" s="236">
        <f>F251</f>
        <v>187552.2934210526</v>
      </c>
    </row>
    <row r="24" spans="1:6" ht="25.2" customHeight="1">
      <c r="A24" s="109"/>
      <c r="B24" s="136"/>
      <c r="C24" s="136"/>
      <c r="D24" s="136"/>
      <c r="E24" s="136"/>
      <c r="F24" s="117"/>
    </row>
    <row r="25" spans="1:6" ht="25.2" customHeight="1" thickBot="1">
      <c r="A25" s="141"/>
      <c r="B25" s="154" t="str">
        <f>B9</f>
        <v xml:space="preserve"> FIFTH FLOOR</v>
      </c>
      <c r="C25" s="142"/>
      <c r="D25" s="142"/>
      <c r="E25" s="143" t="s">
        <v>8</v>
      </c>
      <c r="F25" s="116">
        <f>SUM(F13:F24)</f>
        <v>4413966.7708815783</v>
      </c>
    </row>
    <row r="26" spans="1:6" ht="25.2" customHeight="1" thickTop="1" thickBot="1">
      <c r="A26" s="150"/>
      <c r="B26" s="151" t="s">
        <v>318</v>
      </c>
      <c r="C26" s="152"/>
      <c r="D26" s="152"/>
      <c r="E26" s="152"/>
      <c r="F26" s="153"/>
    </row>
    <row r="27" spans="1:6" ht="23.4" customHeight="1" thickTop="1">
      <c r="A27" s="109"/>
      <c r="B27" s="136"/>
      <c r="C27" s="136"/>
      <c r="D27" s="136"/>
      <c r="E27" s="136"/>
      <c r="F27" s="117"/>
    </row>
    <row r="28" spans="1:6" ht="23.4" customHeight="1">
      <c r="A28" s="224"/>
      <c r="B28" s="226"/>
      <c r="C28" s="226"/>
      <c r="D28" s="226"/>
      <c r="E28" s="226"/>
      <c r="F28" s="235"/>
    </row>
    <row r="29" spans="1:6" ht="23.4" customHeight="1">
      <c r="A29" s="224"/>
      <c r="B29" s="225" t="s">
        <v>731</v>
      </c>
      <c r="C29" s="226"/>
      <c r="D29" s="226"/>
      <c r="E29" s="226"/>
      <c r="F29" s="235"/>
    </row>
    <row r="30" spans="1:6" ht="23.4" customHeight="1">
      <c r="A30" s="224"/>
      <c r="B30" s="226"/>
      <c r="C30" s="226"/>
      <c r="D30" s="226"/>
      <c r="E30" s="226"/>
      <c r="F30" s="235"/>
    </row>
    <row r="31" spans="1:6" ht="23.4" customHeight="1">
      <c r="A31" s="224"/>
      <c r="B31" s="225" t="s">
        <v>379</v>
      </c>
      <c r="C31" s="226"/>
      <c r="D31" s="226"/>
      <c r="E31" s="226"/>
      <c r="F31" s="235"/>
    </row>
    <row r="32" spans="1:6" ht="23.4" customHeight="1">
      <c r="A32" s="224"/>
      <c r="B32" s="226"/>
      <c r="C32" s="226"/>
      <c r="D32" s="226"/>
      <c r="E32" s="226"/>
      <c r="F32" s="235"/>
    </row>
    <row r="33" spans="1:7" ht="23.4" customHeight="1">
      <c r="A33" s="224"/>
      <c r="B33" s="230" t="s">
        <v>344</v>
      </c>
      <c r="C33" s="226"/>
      <c r="D33" s="226"/>
      <c r="E33" s="226"/>
      <c r="F33" s="235"/>
    </row>
    <row r="34" spans="1:7" ht="23.4" customHeight="1">
      <c r="A34" s="228" t="s">
        <v>9</v>
      </c>
      <c r="B34" s="231" t="s">
        <v>386</v>
      </c>
      <c r="C34" s="232">
        <f>TAKEOFF!$H$2379</f>
        <v>283.64999999999998</v>
      </c>
      <c r="D34" s="233" t="s">
        <v>327</v>
      </c>
      <c r="E34" s="234">
        <f>RATES!$D$22</f>
        <v>2310</v>
      </c>
      <c r="F34" s="236">
        <f>C34*E34</f>
        <v>655231.5</v>
      </c>
      <c r="G34" s="118" t="s">
        <v>695</v>
      </c>
    </row>
    <row r="35" spans="1:7" ht="23.4" customHeight="1">
      <c r="A35" s="224"/>
      <c r="B35" s="226"/>
      <c r="C35" s="226"/>
      <c r="D35" s="226"/>
      <c r="E35" s="226"/>
      <c r="F35" s="235"/>
    </row>
    <row r="36" spans="1:7" ht="23.4" customHeight="1">
      <c r="A36" s="228" t="s">
        <v>11</v>
      </c>
      <c r="B36" s="231" t="s">
        <v>388</v>
      </c>
      <c r="C36" s="232">
        <f>TAKEOFF!$H$2383</f>
        <v>19.831</v>
      </c>
      <c r="D36" s="233" t="s">
        <v>327</v>
      </c>
      <c r="E36" s="234">
        <f>RATES!$D$23</f>
        <v>2310</v>
      </c>
      <c r="F36" s="236">
        <f>C36*E36</f>
        <v>45809.61</v>
      </c>
      <c r="G36" s="118" t="s">
        <v>696</v>
      </c>
    </row>
    <row r="37" spans="1:7" ht="23.4" customHeight="1">
      <c r="A37" s="224"/>
      <c r="B37" s="226"/>
      <c r="C37" s="226"/>
      <c r="D37" s="226"/>
      <c r="E37" s="226"/>
      <c r="F37" s="235"/>
    </row>
    <row r="38" spans="1:7" ht="23.4" customHeight="1">
      <c r="A38" s="228" t="s">
        <v>13</v>
      </c>
      <c r="B38" s="231" t="s">
        <v>390</v>
      </c>
      <c r="C38" s="232">
        <f>TAKEOFF!$H$2394</f>
        <v>40.545937499999994</v>
      </c>
      <c r="D38" s="233" t="s">
        <v>327</v>
      </c>
      <c r="E38" s="234">
        <f>RATES!$D$21</f>
        <v>2310</v>
      </c>
      <c r="F38" s="236">
        <f>C38*E38</f>
        <v>93661.115624999991</v>
      </c>
      <c r="G38" s="118" t="s">
        <v>617</v>
      </c>
    </row>
    <row r="39" spans="1:7" ht="23.4" customHeight="1">
      <c r="A39" s="224"/>
      <c r="B39" s="226"/>
      <c r="C39" s="226"/>
      <c r="D39" s="226"/>
      <c r="E39" s="226"/>
      <c r="F39" s="235"/>
    </row>
    <row r="40" spans="1:7" ht="23.4" customHeight="1">
      <c r="A40" s="228" t="s">
        <v>15</v>
      </c>
      <c r="B40" s="231" t="s">
        <v>392</v>
      </c>
      <c r="C40" s="232">
        <f>TAKEOFF!$H$2398</f>
        <v>36.310249999999996</v>
      </c>
      <c r="D40" s="233" t="s">
        <v>327</v>
      </c>
      <c r="E40" s="234">
        <f>RATES!$D$20</f>
        <v>2310</v>
      </c>
      <c r="F40" s="236">
        <f>C40*E40</f>
        <v>83876.677499999991</v>
      </c>
      <c r="G40" s="118" t="s">
        <v>618</v>
      </c>
    </row>
    <row r="41" spans="1:7" ht="23.4" customHeight="1">
      <c r="A41" s="224"/>
      <c r="B41" s="226"/>
      <c r="C41" s="226"/>
      <c r="D41" s="226"/>
      <c r="E41" s="226"/>
      <c r="F41" s="235"/>
    </row>
    <row r="42" spans="1:7" ht="23.4" customHeight="1">
      <c r="A42" s="228" t="s">
        <v>17</v>
      </c>
      <c r="B42" s="231" t="s">
        <v>394</v>
      </c>
      <c r="C42" s="232">
        <f>TAKEOFF!$H$2401</f>
        <v>16.641562499999999</v>
      </c>
      <c r="D42" s="233" t="s">
        <v>327</v>
      </c>
      <c r="E42" s="234">
        <f>RATES!$D$20</f>
        <v>2310</v>
      </c>
      <c r="F42" s="236">
        <f>C42*E42</f>
        <v>38442.009375000001</v>
      </c>
      <c r="G42" s="118" t="s">
        <v>619</v>
      </c>
    </row>
    <row r="43" spans="1:7" ht="23.4" customHeight="1">
      <c r="A43" s="224"/>
      <c r="B43" s="226"/>
      <c r="C43" s="226"/>
      <c r="D43" s="226"/>
      <c r="E43" s="226"/>
      <c r="F43" s="235"/>
    </row>
    <row r="44" spans="1:7" ht="23.4" customHeight="1">
      <c r="A44" s="228" t="s">
        <v>19</v>
      </c>
      <c r="B44" s="231" t="s">
        <v>396</v>
      </c>
      <c r="C44" s="232">
        <f>TAKEOFF!$H$2407</f>
        <v>11.182</v>
      </c>
      <c r="D44" s="233" t="s">
        <v>327</v>
      </c>
      <c r="E44" s="234">
        <f>RATES!$D$24</f>
        <v>2310</v>
      </c>
      <c r="F44" s="236">
        <f>C44*E44</f>
        <v>25830.420000000002</v>
      </c>
      <c r="G44" s="118" t="s">
        <v>620</v>
      </c>
    </row>
    <row r="45" spans="1:7" ht="23.4" customHeight="1">
      <c r="A45" s="224"/>
      <c r="B45" s="226"/>
      <c r="C45" s="226"/>
      <c r="D45" s="226"/>
      <c r="E45" s="226"/>
      <c r="F45" s="235"/>
    </row>
    <row r="46" spans="1:7" ht="23.4" customHeight="1">
      <c r="A46" s="228" t="s">
        <v>21</v>
      </c>
      <c r="B46" s="231" t="s">
        <v>398</v>
      </c>
      <c r="C46" s="232">
        <f>TAKEOFF!$H$2444</f>
        <v>6.5677500000000011</v>
      </c>
      <c r="D46" s="233" t="s">
        <v>327</v>
      </c>
      <c r="E46" s="234">
        <f>RATES!$D$25</f>
        <v>1925.0000000000002</v>
      </c>
      <c r="F46" s="236">
        <f>C46*E46</f>
        <v>12642.918750000004</v>
      </c>
      <c r="G46" s="118" t="s">
        <v>732</v>
      </c>
    </row>
    <row r="47" spans="1:7" ht="23.4" customHeight="1">
      <c r="A47" s="224"/>
      <c r="B47" s="226"/>
      <c r="C47" s="226"/>
      <c r="D47" s="226"/>
      <c r="E47" s="226"/>
      <c r="F47" s="235"/>
    </row>
    <row r="48" spans="1:7" ht="23.4" customHeight="1">
      <c r="A48" s="224"/>
      <c r="B48" s="230" t="s">
        <v>400</v>
      </c>
      <c r="C48" s="226"/>
      <c r="D48" s="226"/>
      <c r="E48" s="226"/>
      <c r="F48" s="235"/>
    </row>
    <row r="49" spans="1:7" ht="23.4" customHeight="1">
      <c r="A49" s="228" t="s">
        <v>23</v>
      </c>
      <c r="B49" s="231" t="s">
        <v>401</v>
      </c>
      <c r="C49" s="232">
        <f>TAKEOFF!$H$2448</f>
        <v>1134.5999999999999</v>
      </c>
      <c r="D49" s="233" t="s">
        <v>322</v>
      </c>
      <c r="E49" s="234">
        <f>RATES!$D$38</f>
        <v>165</v>
      </c>
      <c r="F49" s="236">
        <f>C49*E49</f>
        <v>187208.99999999997</v>
      </c>
      <c r="G49" s="118" t="s">
        <v>698</v>
      </c>
    </row>
    <row r="50" spans="1:7" ht="23.4" customHeight="1">
      <c r="A50" s="224"/>
      <c r="B50" s="226"/>
      <c r="C50" s="226"/>
      <c r="D50" s="226"/>
      <c r="E50" s="226"/>
      <c r="F50" s="235"/>
    </row>
    <row r="51" spans="1:7" ht="23.4" customHeight="1">
      <c r="A51" s="228" t="s">
        <v>25</v>
      </c>
      <c r="B51" s="231" t="s">
        <v>403</v>
      </c>
      <c r="C51" s="232">
        <f>TAKEOFF!$H$2451</f>
        <v>294.60000000000002</v>
      </c>
      <c r="D51" s="233" t="s">
        <v>369</v>
      </c>
      <c r="E51" s="234">
        <f>RATES!$D$40</f>
        <v>65</v>
      </c>
      <c r="F51" s="236">
        <f>C51*E51</f>
        <v>19149</v>
      </c>
      <c r="G51" s="118" t="s">
        <v>699</v>
      </c>
    </row>
    <row r="52" spans="1:7" ht="23.4" customHeight="1">
      <c r="A52" s="224"/>
      <c r="B52" s="226"/>
      <c r="C52" s="226"/>
      <c r="D52" s="226"/>
      <c r="E52" s="226"/>
      <c r="F52" s="235"/>
    </row>
    <row r="53" spans="1:7" ht="23.4" customHeight="1">
      <c r="A53" s="228" t="s">
        <v>27</v>
      </c>
      <c r="B53" s="231" t="s">
        <v>405</v>
      </c>
      <c r="C53" s="232">
        <f>TAKEOFF!$H$2455</f>
        <v>196.59</v>
      </c>
      <c r="D53" s="233" t="s">
        <v>322</v>
      </c>
      <c r="E53" s="234">
        <f>RATES!$D$39</f>
        <v>165</v>
      </c>
      <c r="F53" s="236">
        <f>C53*E53</f>
        <v>32437.350000000002</v>
      </c>
      <c r="G53" s="118" t="s">
        <v>700</v>
      </c>
    </row>
    <row r="54" spans="1:7" ht="23.4" customHeight="1">
      <c r="A54" s="224"/>
      <c r="B54" s="226"/>
      <c r="C54" s="226"/>
      <c r="D54" s="226"/>
      <c r="E54" s="226"/>
      <c r="F54" s="235"/>
    </row>
    <row r="55" spans="1:7" ht="23.4" customHeight="1">
      <c r="A55" s="228" t="s">
        <v>29</v>
      </c>
      <c r="B55" s="231" t="s">
        <v>390</v>
      </c>
      <c r="C55" s="232">
        <f>TAKEOFF!$H$2466</f>
        <v>321.3175</v>
      </c>
      <c r="D55" s="233" t="s">
        <v>322</v>
      </c>
      <c r="E55" s="234">
        <f>RATES!$D$37</f>
        <v>165</v>
      </c>
      <c r="F55" s="236">
        <f>C55*E55</f>
        <v>53017.387499999997</v>
      </c>
      <c r="G55" s="118" t="s">
        <v>625</v>
      </c>
    </row>
    <row r="56" spans="1:7" ht="23.4" customHeight="1">
      <c r="A56" s="224"/>
      <c r="B56" s="226"/>
      <c r="C56" s="226"/>
      <c r="D56" s="226"/>
      <c r="E56" s="226"/>
      <c r="F56" s="235"/>
    </row>
    <row r="57" spans="1:7" ht="23.4" customHeight="1">
      <c r="A57" s="228" t="s">
        <v>31</v>
      </c>
      <c r="B57" s="231" t="s">
        <v>408</v>
      </c>
      <c r="C57" s="232">
        <f>TAKEOFF!$H$2471</f>
        <v>423.61450000000002</v>
      </c>
      <c r="D57" s="233" t="s">
        <v>322</v>
      </c>
      <c r="E57" s="234">
        <f>RATES!$D$36</f>
        <v>165</v>
      </c>
      <c r="F57" s="236">
        <f>C57*E57</f>
        <v>69896.392500000002</v>
      </c>
      <c r="G57" s="118" t="s">
        <v>626</v>
      </c>
    </row>
    <row r="58" spans="1:7" ht="23.4" customHeight="1">
      <c r="A58" s="224"/>
      <c r="B58" s="226"/>
      <c r="C58" s="226"/>
      <c r="D58" s="226"/>
      <c r="E58" s="226"/>
      <c r="F58" s="235"/>
    </row>
    <row r="59" spans="1:7" ht="23.4" customHeight="1">
      <c r="A59" s="228" t="s">
        <v>33</v>
      </c>
      <c r="B59" s="231" t="s">
        <v>410</v>
      </c>
      <c r="C59" s="232">
        <f>TAKEOFF!$H$2479</f>
        <v>66.532799999999995</v>
      </c>
      <c r="D59" s="233" t="s">
        <v>322</v>
      </c>
      <c r="E59" s="234">
        <f>RATES!$D$42</f>
        <v>165</v>
      </c>
      <c r="F59" s="236">
        <f>C59*E59</f>
        <v>10977.911999999998</v>
      </c>
      <c r="G59" s="118" t="s">
        <v>549</v>
      </c>
    </row>
    <row r="60" spans="1:7" ht="23.4" customHeight="1">
      <c r="A60" s="224"/>
      <c r="B60" s="226"/>
      <c r="C60" s="226"/>
      <c r="D60" s="226"/>
      <c r="E60" s="226"/>
      <c r="F60" s="235"/>
    </row>
    <row r="61" spans="1:7" ht="23.4" customHeight="1">
      <c r="A61" s="228" t="s">
        <v>35</v>
      </c>
      <c r="B61" s="231" t="s">
        <v>412</v>
      </c>
      <c r="C61" s="232">
        <f>TAKEOFF!$H$2516</f>
        <v>116.76000000000002</v>
      </c>
      <c r="D61" s="233" t="s">
        <v>322</v>
      </c>
      <c r="E61" s="234">
        <f>RATES!$D$43</f>
        <v>165</v>
      </c>
      <c r="F61" s="236">
        <f>C61*E61</f>
        <v>19265.400000000001</v>
      </c>
      <c r="G61" s="118" t="s">
        <v>732</v>
      </c>
    </row>
    <row r="62" spans="1:7" ht="23.4" customHeight="1">
      <c r="A62" s="224"/>
      <c r="B62" s="226"/>
      <c r="C62" s="226"/>
      <c r="D62" s="226"/>
      <c r="E62" s="226"/>
      <c r="F62" s="235"/>
    </row>
    <row r="63" spans="1:7" ht="23.4" customHeight="1">
      <c r="A63" s="224"/>
      <c r="B63" s="230" t="s">
        <v>413</v>
      </c>
      <c r="C63" s="226"/>
      <c r="D63" s="226"/>
      <c r="E63" s="226"/>
      <c r="F63" s="235"/>
    </row>
    <row r="64" spans="1:7" ht="23.4" customHeight="1">
      <c r="A64" s="228" t="s">
        <v>37</v>
      </c>
      <c r="B64" s="231" t="s">
        <v>414</v>
      </c>
      <c r="C64" s="232">
        <f>TAKEOFF!$H$2520</f>
        <v>4.5510000000000002</v>
      </c>
      <c r="D64" s="233" t="s">
        <v>353</v>
      </c>
      <c r="E64" s="234">
        <f>RATES!$D$29</f>
        <v>14300.000000000002</v>
      </c>
      <c r="F64" s="236">
        <f>C64*E64</f>
        <v>65079.30000000001</v>
      </c>
      <c r="G64" s="118" t="s">
        <v>627</v>
      </c>
    </row>
    <row r="65" spans="1:7" ht="23.4" customHeight="1">
      <c r="A65" s="224"/>
      <c r="B65" s="226"/>
      <c r="C65" s="226"/>
      <c r="D65" s="226"/>
      <c r="E65" s="226"/>
      <c r="F65" s="235"/>
    </row>
    <row r="66" spans="1:7" ht="23.4" customHeight="1">
      <c r="A66" s="228" t="s">
        <v>39</v>
      </c>
      <c r="B66" s="231" t="s">
        <v>416</v>
      </c>
      <c r="C66" s="232">
        <f>TAKEOFF!$H$2523</f>
        <v>7.133</v>
      </c>
      <c r="D66" s="233" t="s">
        <v>353</v>
      </c>
      <c r="E66" s="234">
        <f>RATES!$D$32</f>
        <v>14300.000000000002</v>
      </c>
      <c r="F66" s="236">
        <f>C66*E66</f>
        <v>102001.90000000001</v>
      </c>
      <c r="G66" s="118" t="s">
        <v>628</v>
      </c>
    </row>
    <row r="67" spans="1:7" ht="23.4" customHeight="1">
      <c r="A67" s="224"/>
      <c r="B67" s="226"/>
      <c r="C67" s="226"/>
      <c r="D67" s="226"/>
      <c r="E67" s="226"/>
      <c r="F67" s="235"/>
    </row>
    <row r="68" spans="1:7" ht="23.4" customHeight="1">
      <c r="A68" s="228" t="s">
        <v>418</v>
      </c>
      <c r="B68" s="231" t="s">
        <v>422</v>
      </c>
      <c r="C68" s="232">
        <f>TAKEOFF!$H$2526</f>
        <v>1.806</v>
      </c>
      <c r="D68" s="233" t="s">
        <v>353</v>
      </c>
      <c r="E68" s="234">
        <f>RATES!$D$29</f>
        <v>14300.000000000002</v>
      </c>
      <c r="F68" s="236">
        <f>C68*E68</f>
        <v>25825.800000000003</v>
      </c>
      <c r="G68" s="118" t="s">
        <v>701</v>
      </c>
    </row>
    <row r="69" spans="1:7" ht="23.4" customHeight="1">
      <c r="A69" s="224"/>
      <c r="B69" s="226"/>
      <c r="C69" s="226"/>
      <c r="D69" s="226"/>
      <c r="E69" s="226"/>
      <c r="F69" s="235"/>
    </row>
    <row r="70" spans="1:7" ht="23.4" customHeight="1">
      <c r="A70" s="228" t="s">
        <v>421</v>
      </c>
      <c r="B70" s="231" t="s">
        <v>425</v>
      </c>
      <c r="C70" s="232">
        <f>TAKEOFF!$H$2529</f>
        <v>1.248</v>
      </c>
      <c r="D70" s="233" t="s">
        <v>353</v>
      </c>
      <c r="E70" s="234">
        <f>RATES!$D$31</f>
        <v>14300.000000000002</v>
      </c>
      <c r="F70" s="236">
        <f>C70*E70</f>
        <v>17846.400000000001</v>
      </c>
      <c r="G70" s="118" t="s">
        <v>702</v>
      </c>
    </row>
    <row r="71" spans="1:7" ht="23.4" customHeight="1">
      <c r="A71" s="224"/>
      <c r="B71" s="226"/>
      <c r="C71" s="226"/>
      <c r="D71" s="226"/>
      <c r="E71" s="226"/>
      <c r="F71" s="235"/>
    </row>
    <row r="72" spans="1:7" ht="23.4" customHeight="1">
      <c r="A72" s="228" t="s">
        <v>424</v>
      </c>
      <c r="B72" s="231" t="s">
        <v>428</v>
      </c>
      <c r="C72" s="232">
        <f>TAKEOFF!$H$2532</f>
        <v>2.1349999999999998</v>
      </c>
      <c r="D72" s="233" t="s">
        <v>353</v>
      </c>
      <c r="E72" s="234">
        <f>RATES!$D$32</f>
        <v>14300.000000000002</v>
      </c>
      <c r="F72" s="236">
        <f>C72*E72</f>
        <v>30530.5</v>
      </c>
      <c r="G72" s="118" t="s">
        <v>703</v>
      </c>
    </row>
    <row r="73" spans="1:7" ht="23.4" customHeight="1">
      <c r="A73" s="224"/>
      <c r="B73" s="226"/>
      <c r="C73" s="226"/>
      <c r="D73" s="226"/>
      <c r="E73" s="226"/>
      <c r="F73" s="235"/>
    </row>
    <row r="74" spans="1:7" ht="23.4" customHeight="1">
      <c r="A74" s="228" t="s">
        <v>427</v>
      </c>
      <c r="B74" s="231" t="s">
        <v>431</v>
      </c>
      <c r="C74" s="232">
        <f>TAKEOFF!$H$2535</f>
        <v>5.5069999999999997</v>
      </c>
      <c r="D74" s="233" t="s">
        <v>353</v>
      </c>
      <c r="E74" s="234">
        <f>RATES!$D$33</f>
        <v>14300.000000000002</v>
      </c>
      <c r="F74" s="236">
        <f>C74*E74</f>
        <v>78750.100000000006</v>
      </c>
      <c r="G74" s="118" t="s">
        <v>704</v>
      </c>
    </row>
    <row r="75" spans="1:7" ht="23.4" customHeight="1">
      <c r="A75" s="224"/>
      <c r="B75" s="226"/>
      <c r="C75" s="226"/>
      <c r="D75" s="226"/>
      <c r="E75" s="226"/>
      <c r="F75" s="235"/>
    </row>
    <row r="76" spans="1:7" ht="23.4" customHeight="1">
      <c r="A76" s="228" t="s">
        <v>430</v>
      </c>
      <c r="B76" s="231" t="s">
        <v>434</v>
      </c>
      <c r="C76" s="232">
        <f>TAKEOFF!$H$2539</f>
        <v>2.0779999999999998</v>
      </c>
      <c r="D76" s="233" t="s">
        <v>353</v>
      </c>
      <c r="E76" s="234">
        <f>RATES!$D$29</f>
        <v>14300.000000000002</v>
      </c>
      <c r="F76" s="236">
        <f>C76*E76</f>
        <v>29715.4</v>
      </c>
      <c r="G76" s="118" t="s">
        <v>633</v>
      </c>
    </row>
    <row r="77" spans="1:7" ht="23.4" customHeight="1">
      <c r="A77" s="224"/>
      <c r="B77" s="226"/>
      <c r="C77" s="226"/>
      <c r="D77" s="226"/>
      <c r="E77" s="226"/>
      <c r="F77" s="235"/>
    </row>
    <row r="78" spans="1:7" ht="23.4" customHeight="1">
      <c r="A78" s="228" t="s">
        <v>433</v>
      </c>
      <c r="B78" s="231" t="s">
        <v>437</v>
      </c>
      <c r="C78" s="232">
        <f>TAKEOFF!$H$2543</f>
        <v>2.7829999999999999</v>
      </c>
      <c r="D78" s="233" t="s">
        <v>353</v>
      </c>
      <c r="E78" s="234">
        <f>RATES!$D$30</f>
        <v>14300.000000000002</v>
      </c>
      <c r="F78" s="236">
        <f>C78*E78</f>
        <v>39796.9</v>
      </c>
      <c r="G78" s="118" t="s">
        <v>634</v>
      </c>
    </row>
    <row r="79" spans="1:7" ht="23.4" customHeight="1">
      <c r="A79" s="224"/>
      <c r="B79" s="226"/>
      <c r="C79" s="226"/>
      <c r="D79" s="226"/>
      <c r="E79" s="226"/>
      <c r="F79" s="235"/>
    </row>
    <row r="80" spans="1:7" ht="23.4" customHeight="1">
      <c r="A80" s="228" t="s">
        <v>436</v>
      </c>
      <c r="B80" s="231" t="s">
        <v>705</v>
      </c>
      <c r="C80" s="232">
        <f>TAKEOFF!$H$2547</f>
        <v>10.224</v>
      </c>
      <c r="D80" s="233" t="s">
        <v>353</v>
      </c>
      <c r="E80" s="234">
        <f>RATES!$D$32</f>
        <v>14300.000000000002</v>
      </c>
      <c r="F80" s="236">
        <f>C80*E80</f>
        <v>146203.20000000001</v>
      </c>
      <c r="G80" s="118" t="s">
        <v>733</v>
      </c>
    </row>
    <row r="81" spans="1:7" ht="23.4" customHeight="1">
      <c r="A81" s="224"/>
      <c r="B81" s="226"/>
      <c r="C81" s="226"/>
      <c r="D81" s="226"/>
      <c r="E81" s="226"/>
      <c r="F81" s="235"/>
    </row>
    <row r="82" spans="1:7" ht="23.4" customHeight="1">
      <c r="A82" s="228" t="s">
        <v>439</v>
      </c>
      <c r="B82" s="231" t="s">
        <v>442</v>
      </c>
      <c r="C82" s="232">
        <f>TAKEOFF!$H$2550</f>
        <v>0.88</v>
      </c>
      <c r="D82" s="233" t="s">
        <v>353</v>
      </c>
      <c r="E82" s="234">
        <f>RATES!$D$30</f>
        <v>14300.000000000002</v>
      </c>
      <c r="F82" s="236">
        <f>C82*E82</f>
        <v>12584.000000000002</v>
      </c>
      <c r="G82" s="118" t="s">
        <v>636</v>
      </c>
    </row>
    <row r="83" spans="1:7" ht="23.4" customHeight="1">
      <c r="A83" s="224"/>
      <c r="B83" s="226"/>
      <c r="C83" s="226"/>
      <c r="D83" s="226"/>
      <c r="E83" s="226"/>
      <c r="F83" s="235"/>
    </row>
    <row r="84" spans="1:7" ht="23.4" customHeight="1">
      <c r="A84" s="228" t="s">
        <v>9</v>
      </c>
      <c r="B84" s="231" t="s">
        <v>444</v>
      </c>
      <c r="C84" s="232">
        <f>TAKEOFF!$H$2553</f>
        <v>1.4339999999999999</v>
      </c>
      <c r="D84" s="233" t="s">
        <v>353</v>
      </c>
      <c r="E84" s="234">
        <f>RATES!$D$31</f>
        <v>14300.000000000002</v>
      </c>
      <c r="F84" s="236">
        <f>C84*E84</f>
        <v>20506.2</v>
      </c>
      <c r="G84" s="118" t="s">
        <v>637</v>
      </c>
    </row>
    <row r="85" spans="1:7" ht="23.4" customHeight="1">
      <c r="A85" s="224"/>
      <c r="B85" s="226"/>
      <c r="C85" s="226"/>
      <c r="D85" s="226"/>
      <c r="E85" s="226"/>
      <c r="F85" s="235"/>
    </row>
    <row r="86" spans="1:7" ht="23.4" customHeight="1">
      <c r="A86" s="228" t="s">
        <v>11</v>
      </c>
      <c r="B86" s="231" t="s">
        <v>446</v>
      </c>
      <c r="C86" s="232">
        <f>TAKEOFF!$H$2556</f>
        <v>49.804000000000002</v>
      </c>
      <c r="D86" s="233" t="s">
        <v>353</v>
      </c>
      <c r="E86" s="234">
        <f>RATES!$D$30</f>
        <v>14300.000000000002</v>
      </c>
      <c r="F86" s="236">
        <f>C86*E86</f>
        <v>712197.20000000007</v>
      </c>
      <c r="G86" s="118" t="s">
        <v>708</v>
      </c>
    </row>
    <row r="87" spans="1:7" ht="23.4" customHeight="1">
      <c r="A87" s="224"/>
      <c r="B87" s="226"/>
      <c r="C87" s="226"/>
      <c r="D87" s="226"/>
      <c r="E87" s="226"/>
      <c r="F87" s="235"/>
    </row>
    <row r="88" spans="1:7" ht="23.4" customHeight="1">
      <c r="A88" s="228" t="s">
        <v>13</v>
      </c>
      <c r="B88" s="231" t="s">
        <v>448</v>
      </c>
      <c r="C88" s="232">
        <f>TAKEOFF!$H$2559</f>
        <v>0.151</v>
      </c>
      <c r="D88" s="233" t="s">
        <v>353</v>
      </c>
      <c r="E88" s="234">
        <f>RATES!$D$31</f>
        <v>14300.000000000002</v>
      </c>
      <c r="F88" s="236">
        <f>C88*E88</f>
        <v>2159.3000000000002</v>
      </c>
      <c r="G88" s="118" t="s">
        <v>709</v>
      </c>
    </row>
    <row r="89" spans="1:7" ht="23.4" customHeight="1">
      <c r="A89" s="109"/>
      <c r="B89" s="136"/>
      <c r="C89" s="136"/>
      <c r="D89" s="136"/>
      <c r="E89" s="136"/>
      <c r="F89" s="117"/>
    </row>
    <row r="90" spans="1:7" ht="23.4" customHeight="1" thickBot="1">
      <c r="A90" s="141"/>
      <c r="B90" s="154" t="str">
        <f>B31</f>
        <v>ELEMENT NO. 1: IN SITU CONCRETE/LARGE PRECAST CONCRETE</v>
      </c>
      <c r="C90" s="142"/>
      <c r="D90" s="142"/>
      <c r="E90" s="143"/>
      <c r="F90" s="116">
        <f>SUM(F33:F89)</f>
        <v>2630642.8932499997</v>
      </c>
    </row>
    <row r="91" spans="1:7" ht="23.4" customHeight="1" thickTop="1" thickBot="1">
      <c r="A91" s="150"/>
      <c r="B91" s="151" t="s">
        <v>339</v>
      </c>
      <c r="C91" s="152"/>
      <c r="D91" s="152"/>
      <c r="E91" s="152"/>
      <c r="F91" s="153"/>
    </row>
    <row r="92" spans="1:7" ht="23.4" customHeight="1" thickTop="1">
      <c r="A92" s="109"/>
      <c r="B92" s="136"/>
      <c r="C92" s="136"/>
      <c r="D92" s="136"/>
      <c r="E92" s="136"/>
      <c r="F92" s="117"/>
    </row>
    <row r="93" spans="1:7" ht="23.4" customHeight="1">
      <c r="A93" s="224"/>
      <c r="B93" s="226"/>
      <c r="C93" s="226"/>
      <c r="D93" s="226"/>
      <c r="E93" s="226"/>
      <c r="F93" s="235"/>
    </row>
    <row r="94" spans="1:7" ht="23.4" customHeight="1">
      <c r="A94" s="224"/>
      <c r="B94" s="225" t="s">
        <v>380</v>
      </c>
      <c r="C94" s="226"/>
      <c r="D94" s="226"/>
      <c r="E94" s="226"/>
      <c r="F94" s="235"/>
    </row>
    <row r="95" spans="1:7" ht="23.4" customHeight="1">
      <c r="A95" s="224"/>
      <c r="B95" s="226"/>
      <c r="C95" s="226"/>
      <c r="D95" s="226"/>
      <c r="E95" s="226"/>
      <c r="F95" s="235"/>
    </row>
    <row r="96" spans="1:7" ht="23.4" customHeight="1">
      <c r="A96" s="224"/>
      <c r="B96" s="230" t="s">
        <v>450</v>
      </c>
      <c r="C96" s="226"/>
      <c r="D96" s="226"/>
      <c r="E96" s="226"/>
      <c r="F96" s="235"/>
    </row>
    <row r="97" spans="1:7" ht="23.4" customHeight="1">
      <c r="A97" s="228" t="s">
        <v>9</v>
      </c>
      <c r="B97" s="231" t="s">
        <v>451</v>
      </c>
      <c r="C97" s="232">
        <f>TAKEOFF!$H$2599</f>
        <v>1550.8206999999998</v>
      </c>
      <c r="D97" s="233" t="s">
        <v>322</v>
      </c>
      <c r="E97" s="234">
        <f>RATES!$D$46</f>
        <v>215</v>
      </c>
      <c r="F97" s="236">
        <f>C97*E97</f>
        <v>333426.45049999998</v>
      </c>
      <c r="G97" s="118" t="s">
        <v>734</v>
      </c>
    </row>
    <row r="98" spans="1:7" ht="23.4" customHeight="1">
      <c r="A98" s="224"/>
      <c r="B98" s="226"/>
      <c r="C98" s="226"/>
      <c r="D98" s="226"/>
      <c r="E98" s="226"/>
      <c r="F98" s="235"/>
    </row>
    <row r="99" spans="1:7" ht="23.4" customHeight="1">
      <c r="A99" s="228" t="s">
        <v>11</v>
      </c>
      <c r="B99" s="231" t="s">
        <v>453</v>
      </c>
      <c r="C99" s="232">
        <f>TAKEOFF!$H$2637</f>
        <v>170.42429999999999</v>
      </c>
      <c r="D99" s="233" t="s">
        <v>322</v>
      </c>
      <c r="E99" s="234">
        <f>RATES!$D$47</f>
        <v>265</v>
      </c>
      <c r="F99" s="236">
        <f>C99*E99</f>
        <v>45162.4395</v>
      </c>
      <c r="G99" s="118" t="s">
        <v>735</v>
      </c>
    </row>
    <row r="100" spans="1:7" ht="23.4" customHeight="1">
      <c r="A100" s="109"/>
      <c r="B100" s="136"/>
      <c r="C100" s="136"/>
      <c r="D100" s="136"/>
      <c r="E100" s="136"/>
      <c r="F100" s="117"/>
    </row>
    <row r="101" spans="1:7" ht="23.4" customHeight="1" thickBot="1">
      <c r="A101" s="141"/>
      <c r="B101" s="154" t="str">
        <f>B94</f>
        <v>ELEMENT NO. 2: MASONRY</v>
      </c>
      <c r="C101" s="142"/>
      <c r="D101" s="142"/>
      <c r="E101" s="143"/>
      <c r="F101" s="116">
        <f>SUM(F96:F100)</f>
        <v>378588.88999999996</v>
      </c>
    </row>
    <row r="102" spans="1:7" ht="23.4" customHeight="1" thickTop="1" thickBot="1">
      <c r="A102" s="150"/>
      <c r="B102" s="151" t="s">
        <v>339</v>
      </c>
      <c r="C102" s="152"/>
      <c r="D102" s="152"/>
      <c r="E102" s="152"/>
      <c r="F102" s="153"/>
    </row>
    <row r="103" spans="1:7" ht="37.200000000000003" customHeight="1" thickTop="1">
      <c r="A103" s="109"/>
      <c r="B103" s="136"/>
      <c r="C103" s="136"/>
      <c r="D103" s="136"/>
      <c r="E103" s="136"/>
      <c r="F103" s="117"/>
    </row>
    <row r="104" spans="1:7" ht="37.200000000000003" customHeight="1">
      <c r="A104" s="224"/>
      <c r="B104" s="225" t="s">
        <v>381</v>
      </c>
      <c r="C104" s="226"/>
      <c r="D104" s="226"/>
      <c r="E104" s="226"/>
      <c r="F104" s="235"/>
    </row>
    <row r="105" spans="1:7" ht="37.200000000000003" customHeight="1">
      <c r="A105" s="224"/>
      <c r="B105" s="226"/>
      <c r="C105" s="226"/>
      <c r="D105" s="226"/>
      <c r="E105" s="226"/>
      <c r="F105" s="235"/>
    </row>
    <row r="106" spans="1:7" ht="46.8">
      <c r="A106" s="224"/>
      <c r="B106" s="230" t="s">
        <v>455</v>
      </c>
      <c r="C106" s="226"/>
      <c r="D106" s="226"/>
      <c r="E106" s="226"/>
      <c r="F106" s="235"/>
    </row>
    <row r="107" spans="1:7" ht="37.200000000000003" customHeight="1">
      <c r="A107" s="228" t="s">
        <v>9</v>
      </c>
      <c r="B107" s="231" t="s">
        <v>642</v>
      </c>
      <c r="C107" s="232">
        <f>TAKEOFF!$H$2642</f>
        <v>7</v>
      </c>
      <c r="D107" s="233" t="s">
        <v>457</v>
      </c>
      <c r="E107" s="234">
        <f>RATES!$D$75</f>
        <v>7800</v>
      </c>
      <c r="F107" s="236">
        <f>C107*E107</f>
        <v>54600</v>
      </c>
      <c r="G107" s="118" t="s">
        <v>482</v>
      </c>
    </row>
    <row r="108" spans="1:7" ht="37.200000000000003" customHeight="1">
      <c r="A108" s="224"/>
      <c r="B108" s="226"/>
      <c r="C108" s="226"/>
      <c r="D108" s="226"/>
      <c r="E108" s="226"/>
      <c r="F108" s="235"/>
    </row>
    <row r="109" spans="1:7" ht="37.200000000000003" customHeight="1">
      <c r="A109" s="228" t="s">
        <v>11</v>
      </c>
      <c r="B109" s="231" t="s">
        <v>459</v>
      </c>
      <c r="C109" s="232">
        <f>TAKEOFF!$H$2645</f>
        <v>15</v>
      </c>
      <c r="D109" s="233" t="s">
        <v>457</v>
      </c>
      <c r="E109" s="234">
        <f>RATES!$D$76</f>
        <v>3400</v>
      </c>
      <c r="F109" s="236">
        <f>C109*E109</f>
        <v>51000</v>
      </c>
      <c r="G109" s="118" t="s">
        <v>712</v>
      </c>
    </row>
    <row r="110" spans="1:7" ht="37.200000000000003" customHeight="1">
      <c r="A110" s="224"/>
      <c r="B110" s="226"/>
      <c r="C110" s="226"/>
      <c r="D110" s="226"/>
      <c r="E110" s="226"/>
      <c r="F110" s="235"/>
    </row>
    <row r="111" spans="1:7" ht="37.200000000000003" customHeight="1">
      <c r="A111" s="228" t="s">
        <v>13</v>
      </c>
      <c r="B111" s="231" t="s">
        <v>463</v>
      </c>
      <c r="C111" s="232">
        <f>TAKEOFF!$H$2648</f>
        <v>20</v>
      </c>
      <c r="D111" s="233" t="s">
        <v>457</v>
      </c>
      <c r="E111" s="234">
        <f>RATES!$D$79</f>
        <v>1900</v>
      </c>
      <c r="F111" s="236">
        <f>C111*E111</f>
        <v>38000</v>
      </c>
      <c r="G111" s="118" t="s">
        <v>480</v>
      </c>
    </row>
    <row r="112" spans="1:7" ht="37.200000000000003" customHeight="1">
      <c r="A112" s="224"/>
      <c r="B112" s="226"/>
      <c r="C112" s="226"/>
      <c r="D112" s="226"/>
      <c r="E112" s="226"/>
      <c r="F112" s="235"/>
    </row>
    <row r="113" spans="1:7" ht="37.200000000000003" customHeight="1">
      <c r="A113" s="228" t="s">
        <v>15</v>
      </c>
      <c r="B113" s="231" t="s">
        <v>464</v>
      </c>
      <c r="C113" s="232">
        <f>TAKEOFF!$H$2651</f>
        <v>1</v>
      </c>
      <c r="D113" s="233" t="s">
        <v>457</v>
      </c>
      <c r="E113" s="234">
        <f>RATES!$D$80</f>
        <v>6800</v>
      </c>
      <c r="F113" s="236">
        <f>C113*E113</f>
        <v>6800</v>
      </c>
      <c r="G113" s="118" t="s">
        <v>458</v>
      </c>
    </row>
    <row r="114" spans="1:7" ht="37.200000000000003" customHeight="1">
      <c r="A114" s="224"/>
      <c r="B114" s="226"/>
      <c r="C114" s="226"/>
      <c r="D114" s="226"/>
      <c r="E114" s="226"/>
      <c r="F114" s="235"/>
    </row>
    <row r="115" spans="1:7" ht="37.200000000000003" customHeight="1">
      <c r="A115" s="228" t="s">
        <v>17</v>
      </c>
      <c r="B115" s="231" t="s">
        <v>646</v>
      </c>
      <c r="C115" s="232">
        <f>TAKEOFF!$H$2654</f>
        <v>3</v>
      </c>
      <c r="D115" s="233" t="s">
        <v>457</v>
      </c>
      <c r="E115" s="234">
        <f>RATES!$D$81</f>
        <v>9800</v>
      </c>
      <c r="F115" s="236">
        <f>C115*E115</f>
        <v>29400</v>
      </c>
      <c r="G115" s="118" t="s">
        <v>467</v>
      </c>
    </row>
    <row r="116" spans="1:7" ht="37.200000000000003" customHeight="1">
      <c r="A116" s="224"/>
      <c r="B116" s="226"/>
      <c r="C116" s="226"/>
      <c r="D116" s="226"/>
      <c r="E116" s="226"/>
      <c r="F116" s="235"/>
    </row>
    <row r="117" spans="1:7" ht="37.200000000000003" customHeight="1">
      <c r="A117" s="228" t="s">
        <v>19</v>
      </c>
      <c r="B117" s="231" t="s">
        <v>466</v>
      </c>
      <c r="C117" s="232">
        <f>TAKEOFF!$H$2657</f>
        <v>3</v>
      </c>
      <c r="D117" s="233" t="s">
        <v>457</v>
      </c>
      <c r="E117" s="234">
        <f>RATES!$D$82</f>
        <v>7200</v>
      </c>
      <c r="F117" s="236">
        <f>C117*E117</f>
        <v>21600</v>
      </c>
      <c r="G117" s="118" t="s">
        <v>467</v>
      </c>
    </row>
    <row r="118" spans="1:7" ht="37.200000000000003" customHeight="1">
      <c r="A118" s="224"/>
      <c r="B118" s="226"/>
      <c r="C118" s="226"/>
      <c r="D118" s="226"/>
      <c r="E118" s="226"/>
      <c r="F118" s="235"/>
    </row>
    <row r="119" spans="1:7" ht="37.200000000000003" customHeight="1">
      <c r="A119" s="228" t="s">
        <v>21</v>
      </c>
      <c r="B119" s="231" t="s">
        <v>647</v>
      </c>
      <c r="C119" s="232">
        <f>TAKEOFF!$H$2660</f>
        <v>3</v>
      </c>
      <c r="D119" s="233" t="s">
        <v>457</v>
      </c>
      <c r="E119" s="234">
        <f>RATES!$D$83</f>
        <v>8100</v>
      </c>
      <c r="F119" s="236">
        <f>C119*E119</f>
        <v>24300</v>
      </c>
      <c r="G119" s="118" t="s">
        <v>467</v>
      </c>
    </row>
    <row r="120" spans="1:7" ht="37.200000000000003" customHeight="1">
      <c r="A120" s="224"/>
      <c r="B120" s="226"/>
      <c r="C120" s="226"/>
      <c r="D120" s="226"/>
      <c r="E120" s="226"/>
      <c r="F120" s="235"/>
    </row>
    <row r="121" spans="1:7" ht="37.200000000000003" customHeight="1">
      <c r="A121" s="228" t="s">
        <v>23</v>
      </c>
      <c r="B121" s="231" t="s">
        <v>468</v>
      </c>
      <c r="C121" s="232">
        <f>TAKEOFF!$H$2663</f>
        <v>1</v>
      </c>
      <c r="D121" s="233" t="s">
        <v>457</v>
      </c>
      <c r="E121" s="234">
        <f>RATES!$D$84</f>
        <v>6900</v>
      </c>
      <c r="F121" s="236">
        <f>C121*E121</f>
        <v>6900</v>
      </c>
      <c r="G121" s="118" t="s">
        <v>458</v>
      </c>
    </row>
    <row r="122" spans="1:7" ht="37.200000000000003" customHeight="1">
      <c r="A122" s="224"/>
      <c r="B122" s="226"/>
      <c r="C122" s="226"/>
      <c r="D122" s="226"/>
      <c r="E122" s="226"/>
      <c r="F122" s="235"/>
    </row>
    <row r="123" spans="1:7" ht="37.200000000000003" customHeight="1">
      <c r="A123" s="228" t="s">
        <v>25</v>
      </c>
      <c r="B123" s="231" t="s">
        <v>648</v>
      </c>
      <c r="C123" s="232">
        <f>TAKEOFF!$H$2666</f>
        <v>1</v>
      </c>
      <c r="D123" s="233" t="s">
        <v>457</v>
      </c>
      <c r="E123" s="234">
        <f>RATES!$D$86</f>
        <v>4600</v>
      </c>
      <c r="F123" s="236">
        <f>C123*E123</f>
        <v>4600</v>
      </c>
      <c r="G123" s="118" t="s">
        <v>458</v>
      </c>
    </row>
    <row r="124" spans="1:7" ht="37.200000000000003" customHeight="1">
      <c r="A124" s="224"/>
      <c r="B124" s="226"/>
      <c r="C124" s="226"/>
      <c r="D124" s="226"/>
      <c r="E124" s="226"/>
      <c r="F124" s="235"/>
    </row>
    <row r="125" spans="1:7" ht="37.200000000000003" customHeight="1">
      <c r="A125" s="228" t="s">
        <v>27</v>
      </c>
      <c r="B125" s="231" t="s">
        <v>649</v>
      </c>
      <c r="C125" s="232">
        <f>TAKEOFF!$H$2669</f>
        <v>2</v>
      </c>
      <c r="D125" s="233" t="s">
        <v>457</v>
      </c>
      <c r="E125" s="234">
        <f>RATES!$D$87</f>
        <v>2900</v>
      </c>
      <c r="F125" s="236">
        <f>C125*E125</f>
        <v>5800</v>
      </c>
      <c r="G125" s="118" t="s">
        <v>465</v>
      </c>
    </row>
    <row r="126" spans="1:7" ht="37.200000000000003" customHeight="1">
      <c r="A126" s="224"/>
      <c r="B126" s="226"/>
      <c r="C126" s="226"/>
      <c r="D126" s="226"/>
      <c r="E126" s="226"/>
      <c r="F126" s="235"/>
    </row>
    <row r="127" spans="1:7" ht="37.200000000000003" customHeight="1">
      <c r="A127" s="228" t="s">
        <v>29</v>
      </c>
      <c r="B127" s="231" t="s">
        <v>650</v>
      </c>
      <c r="C127" s="232">
        <f>TAKEOFF!$H$2672</f>
        <v>5</v>
      </c>
      <c r="D127" s="233" t="s">
        <v>457</v>
      </c>
      <c r="E127" s="234">
        <f>RATES!$D$88</f>
        <v>2600</v>
      </c>
      <c r="F127" s="236">
        <f>C127*E127</f>
        <v>13000</v>
      </c>
      <c r="G127" s="118" t="s">
        <v>651</v>
      </c>
    </row>
    <row r="128" spans="1:7" ht="37.200000000000003" customHeight="1">
      <c r="A128" s="224"/>
      <c r="B128" s="226"/>
      <c r="C128" s="226"/>
      <c r="D128" s="226"/>
      <c r="E128" s="226"/>
      <c r="F128" s="235"/>
    </row>
    <row r="129" spans="1:7" ht="37.200000000000003" customHeight="1">
      <c r="A129" s="228" t="s">
        <v>31</v>
      </c>
      <c r="B129" s="231" t="s">
        <v>652</v>
      </c>
      <c r="C129" s="232">
        <f>TAKEOFF!$H$2675</f>
        <v>1</v>
      </c>
      <c r="D129" s="233" t="s">
        <v>457</v>
      </c>
      <c r="E129" s="234">
        <f>RATES!$D$89</f>
        <v>1900</v>
      </c>
      <c r="F129" s="236">
        <f>C129*E129</f>
        <v>1900</v>
      </c>
      <c r="G129" s="118" t="s">
        <v>458</v>
      </c>
    </row>
    <row r="130" spans="1:7" ht="37.200000000000003" customHeight="1">
      <c r="A130" s="224"/>
      <c r="B130" s="226"/>
      <c r="C130" s="226"/>
      <c r="D130" s="226"/>
      <c r="E130" s="226"/>
      <c r="F130" s="235"/>
    </row>
    <row r="131" spans="1:7" ht="37.200000000000003" customHeight="1">
      <c r="A131" s="228" t="s">
        <v>33</v>
      </c>
      <c r="B131" s="231" t="s">
        <v>653</v>
      </c>
      <c r="C131" s="232">
        <f>TAKEOFF!$H$2678</f>
        <v>3</v>
      </c>
      <c r="D131" s="233" t="s">
        <v>457</v>
      </c>
      <c r="E131" s="234">
        <f>RATES!$D$90</f>
        <v>2200</v>
      </c>
      <c r="F131" s="236">
        <f>C131*E131</f>
        <v>6600</v>
      </c>
      <c r="G131" s="118" t="s">
        <v>467</v>
      </c>
    </row>
    <row r="132" spans="1:7" ht="37.200000000000003" customHeight="1">
      <c r="A132" s="224"/>
      <c r="B132" s="226"/>
      <c r="C132" s="226"/>
      <c r="D132" s="226"/>
      <c r="E132" s="226"/>
      <c r="F132" s="235"/>
    </row>
    <row r="133" spans="1:7" ht="37.200000000000003" customHeight="1">
      <c r="A133" s="228" t="s">
        <v>35</v>
      </c>
      <c r="B133" s="231" t="s">
        <v>654</v>
      </c>
      <c r="C133" s="232">
        <f>TAKEOFF!$H$2681</f>
        <v>1</v>
      </c>
      <c r="D133" s="233" t="s">
        <v>457</v>
      </c>
      <c r="E133" s="234">
        <f>RATES!$D$94</f>
        <v>14500</v>
      </c>
      <c r="F133" s="236">
        <f>C133*E133</f>
        <v>14500</v>
      </c>
      <c r="G133" s="118" t="s">
        <v>458</v>
      </c>
    </row>
    <row r="134" spans="1:7" ht="37.200000000000003" customHeight="1">
      <c r="A134" s="224"/>
      <c r="B134" s="226"/>
      <c r="C134" s="226"/>
      <c r="D134" s="226"/>
      <c r="E134" s="226"/>
      <c r="F134" s="235"/>
    </row>
    <row r="135" spans="1:7" ht="37.200000000000003" customHeight="1">
      <c r="A135" s="228" t="s">
        <v>37</v>
      </c>
      <c r="B135" s="231" t="s">
        <v>655</v>
      </c>
      <c r="C135" s="232">
        <f>TAKEOFF!$H$2684</f>
        <v>3</v>
      </c>
      <c r="D135" s="233" t="s">
        <v>457</v>
      </c>
      <c r="E135" s="234">
        <f>RATES!$D$95</f>
        <v>8800</v>
      </c>
      <c r="F135" s="236">
        <f>C135*E135</f>
        <v>26400</v>
      </c>
      <c r="G135" s="118" t="s">
        <v>467</v>
      </c>
    </row>
    <row r="136" spans="1:7" ht="37.200000000000003" customHeight="1">
      <c r="A136" s="224"/>
      <c r="B136" s="226"/>
      <c r="C136" s="226"/>
      <c r="D136" s="226"/>
      <c r="E136" s="226"/>
      <c r="F136" s="235"/>
    </row>
    <row r="137" spans="1:7" ht="37.200000000000003" customHeight="1">
      <c r="A137" s="228" t="s">
        <v>39</v>
      </c>
      <c r="B137" s="231" t="s">
        <v>656</v>
      </c>
      <c r="C137" s="232">
        <f>TAKEOFF!$H$2687</f>
        <v>2</v>
      </c>
      <c r="D137" s="233" t="s">
        <v>457</v>
      </c>
      <c r="E137" s="234">
        <f>RATES!$D$96</f>
        <v>7600</v>
      </c>
      <c r="F137" s="236">
        <f>C137*E137</f>
        <v>15200</v>
      </c>
      <c r="G137" s="118" t="s">
        <v>465</v>
      </c>
    </row>
    <row r="138" spans="1:7" ht="37.200000000000003" customHeight="1">
      <c r="A138" s="224"/>
      <c r="B138" s="226"/>
      <c r="C138" s="226"/>
      <c r="D138" s="226"/>
      <c r="E138" s="226"/>
      <c r="F138" s="235"/>
    </row>
    <row r="139" spans="1:7" s="9" customFormat="1" ht="37.200000000000003" customHeight="1">
      <c r="A139" s="224"/>
      <c r="B139" s="226"/>
      <c r="C139" s="226"/>
      <c r="D139" s="226"/>
      <c r="E139" s="226"/>
      <c r="F139" s="235"/>
    </row>
    <row r="140" spans="1:7" s="9" customFormat="1" ht="37.200000000000003" customHeight="1">
      <c r="A140" s="224"/>
      <c r="B140" s="226"/>
      <c r="C140" s="226"/>
      <c r="D140" s="226"/>
      <c r="E140" s="226"/>
      <c r="F140" s="235"/>
    </row>
    <row r="141" spans="1:7" ht="37.200000000000003" customHeight="1">
      <c r="A141" s="228" t="s">
        <v>418</v>
      </c>
      <c r="B141" s="231" t="s">
        <v>657</v>
      </c>
      <c r="C141" s="232">
        <f>TAKEOFF!$H$2690</f>
        <v>4</v>
      </c>
      <c r="D141" s="233" t="s">
        <v>457</v>
      </c>
      <c r="E141" s="234">
        <f>RATES!$D$97</f>
        <v>9300</v>
      </c>
      <c r="F141" s="236">
        <f>C141*E141</f>
        <v>37200</v>
      </c>
      <c r="G141" s="118" t="s">
        <v>493</v>
      </c>
    </row>
    <row r="142" spans="1:7" ht="37.200000000000003" customHeight="1">
      <c r="A142" s="224"/>
      <c r="B142" s="226"/>
      <c r="C142" s="226"/>
      <c r="D142" s="226"/>
      <c r="E142" s="226"/>
      <c r="F142" s="235"/>
    </row>
    <row r="143" spans="1:7" ht="37.200000000000003" customHeight="1">
      <c r="A143" s="228" t="s">
        <v>421</v>
      </c>
      <c r="B143" s="231" t="s">
        <v>658</v>
      </c>
      <c r="C143" s="232">
        <f>TAKEOFF!$H$2693</f>
        <v>1</v>
      </c>
      <c r="D143" s="233" t="s">
        <v>457</v>
      </c>
      <c r="E143" s="234">
        <f>RATES!$D$98</f>
        <v>7200</v>
      </c>
      <c r="F143" s="236">
        <f>C143*E143</f>
        <v>7200</v>
      </c>
      <c r="G143" s="118" t="s">
        <v>458</v>
      </c>
    </row>
    <row r="144" spans="1:7" ht="37.200000000000003" customHeight="1">
      <c r="A144" s="224"/>
      <c r="B144" s="226"/>
      <c r="C144" s="226"/>
      <c r="D144" s="226"/>
      <c r="E144" s="226"/>
      <c r="F144" s="235"/>
    </row>
    <row r="145" spans="1:7" ht="37.200000000000003" customHeight="1">
      <c r="A145" s="228" t="s">
        <v>424</v>
      </c>
      <c r="B145" s="231" t="s">
        <v>474</v>
      </c>
      <c r="C145" s="232">
        <f>TAKEOFF!$H$2698</f>
        <v>188.4</v>
      </c>
      <c r="D145" s="233" t="s">
        <v>369</v>
      </c>
      <c r="E145" s="234">
        <f>RATES!$D$100</f>
        <v>125</v>
      </c>
      <c r="F145" s="236">
        <f>C145*E145</f>
        <v>23550</v>
      </c>
      <c r="G145" s="118" t="s">
        <v>736</v>
      </c>
    </row>
    <row r="146" spans="1:7" ht="37.200000000000003" customHeight="1">
      <c r="A146" s="224"/>
      <c r="B146" s="226"/>
      <c r="C146" s="226"/>
      <c r="D146" s="226"/>
      <c r="E146" s="226"/>
      <c r="F146" s="235"/>
    </row>
    <row r="147" spans="1:7" ht="37.200000000000003" customHeight="1">
      <c r="A147" s="228" t="s">
        <v>427</v>
      </c>
      <c r="B147" s="231" t="s">
        <v>476</v>
      </c>
      <c r="C147" s="232">
        <f>TAKEOFF!$H$2703</f>
        <v>188.4</v>
      </c>
      <c r="D147" s="233" t="s">
        <v>369</v>
      </c>
      <c r="E147" s="234">
        <f>RATES!$D$101</f>
        <v>28</v>
      </c>
      <c r="F147" s="236">
        <f>C147*E147</f>
        <v>5275.2</v>
      </c>
      <c r="G147" s="118" t="s">
        <v>736</v>
      </c>
    </row>
    <row r="148" spans="1:7" ht="37.200000000000003" customHeight="1">
      <c r="A148" s="224"/>
      <c r="B148" s="226"/>
      <c r="C148" s="226"/>
      <c r="D148" s="226"/>
      <c r="E148" s="226"/>
      <c r="F148" s="235"/>
    </row>
    <row r="149" spans="1:7" ht="46.8">
      <c r="A149" s="224"/>
      <c r="B149" s="230" t="s">
        <v>477</v>
      </c>
      <c r="C149" s="226"/>
      <c r="D149" s="226"/>
      <c r="E149" s="226"/>
      <c r="F149" s="235"/>
    </row>
    <row r="150" spans="1:7" ht="37.200000000000003" customHeight="1">
      <c r="A150" s="228" t="s">
        <v>430</v>
      </c>
      <c r="B150" s="231" t="s">
        <v>478</v>
      </c>
      <c r="C150" s="232">
        <f>TAKEOFF!$H$2707</f>
        <v>53</v>
      </c>
      <c r="D150" s="233" t="s">
        <v>479</v>
      </c>
      <c r="E150" s="234">
        <f>RATES!$D$102</f>
        <v>125</v>
      </c>
      <c r="F150" s="236">
        <f>C150*E150</f>
        <v>6625</v>
      </c>
      <c r="G150" s="118" t="s">
        <v>737</v>
      </c>
    </row>
    <row r="151" spans="1:7" ht="37.200000000000003" customHeight="1">
      <c r="A151" s="224"/>
      <c r="B151" s="226"/>
      <c r="C151" s="226"/>
      <c r="D151" s="226"/>
      <c r="E151" s="226"/>
      <c r="F151" s="235"/>
    </row>
    <row r="152" spans="1:7" ht="37.200000000000003" customHeight="1">
      <c r="A152" s="228" t="s">
        <v>433</v>
      </c>
      <c r="B152" s="231" t="s">
        <v>481</v>
      </c>
      <c r="C152" s="232">
        <f>TAKEOFF!$H$2710</f>
        <v>15</v>
      </c>
      <c r="D152" s="233" t="s">
        <v>457</v>
      </c>
      <c r="E152" s="234">
        <f>RATES!$D$103</f>
        <v>480</v>
      </c>
      <c r="F152" s="236">
        <f>C152*E152</f>
        <v>7200</v>
      </c>
      <c r="G152" s="118" t="s">
        <v>712</v>
      </c>
    </row>
    <row r="153" spans="1:7" ht="37.200000000000003" customHeight="1">
      <c r="A153" s="224"/>
      <c r="B153" s="226"/>
      <c r="C153" s="226"/>
      <c r="D153" s="226"/>
      <c r="E153" s="226"/>
      <c r="F153" s="235"/>
    </row>
    <row r="154" spans="1:7" ht="37.200000000000003" customHeight="1">
      <c r="A154" s="228" t="s">
        <v>436</v>
      </c>
      <c r="B154" s="231" t="s">
        <v>483</v>
      </c>
      <c r="C154" s="232">
        <f>TAKEOFF!$H$2713</f>
        <v>20</v>
      </c>
      <c r="D154" s="233" t="s">
        <v>457</v>
      </c>
      <c r="E154" s="234">
        <f>RATES!$D$104</f>
        <v>560</v>
      </c>
      <c r="F154" s="236">
        <f>C154*E154</f>
        <v>11200</v>
      </c>
      <c r="G154" s="118" t="s">
        <v>480</v>
      </c>
    </row>
    <row r="155" spans="1:7" ht="37.200000000000003" customHeight="1">
      <c r="A155" s="224"/>
      <c r="B155" s="226"/>
      <c r="C155" s="226"/>
      <c r="D155" s="226"/>
      <c r="E155" s="226"/>
      <c r="F155" s="235"/>
    </row>
    <row r="156" spans="1:7" ht="93.6">
      <c r="A156" s="224"/>
      <c r="B156" s="230" t="s">
        <v>484</v>
      </c>
      <c r="C156" s="226"/>
      <c r="D156" s="226"/>
      <c r="E156" s="226"/>
      <c r="F156" s="235"/>
    </row>
    <row r="157" spans="1:7" ht="37.200000000000003" customHeight="1">
      <c r="A157" s="228" t="s">
        <v>439</v>
      </c>
      <c r="B157" s="231" t="s">
        <v>661</v>
      </c>
      <c r="C157" s="232">
        <f>TAKEOFF!$H$2717</f>
        <v>6</v>
      </c>
      <c r="D157" s="233" t="s">
        <v>457</v>
      </c>
      <c r="E157" s="234">
        <f>RATES!$D$109</f>
        <v>3603.6000000000008</v>
      </c>
      <c r="F157" s="236">
        <f>C157*E157</f>
        <v>21621.600000000006</v>
      </c>
      <c r="G157" s="118" t="s">
        <v>460</v>
      </c>
    </row>
    <row r="158" spans="1:7" ht="37.200000000000003" customHeight="1">
      <c r="A158" s="224"/>
      <c r="B158" s="226"/>
      <c r="C158" s="226"/>
      <c r="D158" s="226"/>
      <c r="E158" s="226"/>
      <c r="F158" s="235"/>
    </row>
    <row r="159" spans="1:7" ht="37.200000000000003" customHeight="1">
      <c r="A159" s="228" t="s">
        <v>9</v>
      </c>
      <c r="B159" s="231" t="s">
        <v>662</v>
      </c>
      <c r="C159" s="232">
        <f>TAKEOFF!$H$2720</f>
        <v>10</v>
      </c>
      <c r="D159" s="233" t="s">
        <v>457</v>
      </c>
      <c r="E159" s="234">
        <f>RATES!$D$111</f>
        <v>1801.8000000000004</v>
      </c>
      <c r="F159" s="236">
        <f>C159*E159</f>
        <v>18018.000000000004</v>
      </c>
      <c r="G159" s="118" t="s">
        <v>643</v>
      </c>
    </row>
    <row r="160" spans="1:7" ht="37.200000000000003" customHeight="1">
      <c r="A160" s="224"/>
      <c r="B160" s="226"/>
      <c r="C160" s="226"/>
      <c r="D160" s="226"/>
      <c r="E160" s="226"/>
      <c r="F160" s="235"/>
    </row>
    <row r="161" spans="1:7" ht="37.200000000000003" customHeight="1">
      <c r="A161" s="228" t="s">
        <v>11</v>
      </c>
      <c r="B161" s="231" t="s">
        <v>664</v>
      </c>
      <c r="C161" s="232">
        <f>TAKEOFF!$H$2723</f>
        <v>1</v>
      </c>
      <c r="D161" s="233" t="s">
        <v>457</v>
      </c>
      <c r="E161" s="234">
        <f>RATES!$D$114</f>
        <v>4435.2000000000007</v>
      </c>
      <c r="F161" s="236">
        <f>C161*E161</f>
        <v>4435.2000000000007</v>
      </c>
      <c r="G161" s="118" t="s">
        <v>458</v>
      </c>
    </row>
    <row r="162" spans="1:7" ht="37.200000000000003" customHeight="1">
      <c r="A162" s="224"/>
      <c r="B162" s="226"/>
      <c r="C162" s="226"/>
      <c r="D162" s="226"/>
      <c r="E162" s="226"/>
      <c r="F162" s="235"/>
    </row>
    <row r="163" spans="1:7" ht="37.200000000000003" customHeight="1">
      <c r="A163" s="228" t="s">
        <v>13</v>
      </c>
      <c r="B163" s="231" t="s">
        <v>665</v>
      </c>
      <c r="C163" s="232">
        <f>TAKEOFF!$H$2726</f>
        <v>3</v>
      </c>
      <c r="D163" s="233" t="s">
        <v>457</v>
      </c>
      <c r="E163" s="234">
        <f>RATES!$D$115</f>
        <v>3511.2000000000003</v>
      </c>
      <c r="F163" s="236">
        <f>C163*E163</f>
        <v>10533.6</v>
      </c>
      <c r="G163" s="118" t="s">
        <v>467</v>
      </c>
    </row>
    <row r="164" spans="1:7" ht="37.200000000000003" customHeight="1">
      <c r="A164" s="224"/>
      <c r="B164" s="226"/>
      <c r="C164" s="226"/>
      <c r="D164" s="226"/>
      <c r="E164" s="226"/>
      <c r="F164" s="235"/>
    </row>
    <row r="165" spans="1:7" ht="37.200000000000003" customHeight="1">
      <c r="A165" s="228" t="s">
        <v>15</v>
      </c>
      <c r="B165" s="231" t="s">
        <v>666</v>
      </c>
      <c r="C165" s="232">
        <f>TAKEOFF!$H$2729</f>
        <v>8</v>
      </c>
      <c r="D165" s="233" t="s">
        <v>457</v>
      </c>
      <c r="E165" s="234">
        <f>RATES!$D$116</f>
        <v>2125.2000000000003</v>
      </c>
      <c r="F165" s="236">
        <f>C165*E165</f>
        <v>17001.600000000002</v>
      </c>
      <c r="G165" s="118" t="s">
        <v>669</v>
      </c>
    </row>
    <row r="166" spans="1:7" ht="37.200000000000003" customHeight="1">
      <c r="A166" s="224"/>
      <c r="B166" s="226"/>
      <c r="C166" s="226"/>
      <c r="D166" s="226"/>
      <c r="E166" s="226"/>
      <c r="F166" s="235"/>
    </row>
    <row r="167" spans="1:7" ht="37.200000000000003" customHeight="1">
      <c r="A167" s="228" t="s">
        <v>17</v>
      </c>
      <c r="B167" s="231" t="s">
        <v>667</v>
      </c>
      <c r="C167" s="232">
        <f>TAKEOFF!$H$2732</f>
        <v>1</v>
      </c>
      <c r="D167" s="233" t="s">
        <v>457</v>
      </c>
      <c r="E167" s="234">
        <f>RATES!$D$117</f>
        <v>2217.6000000000004</v>
      </c>
      <c r="F167" s="236">
        <f>C167*E167</f>
        <v>2217.6000000000004</v>
      </c>
      <c r="G167" s="118" t="s">
        <v>458</v>
      </c>
    </row>
    <row r="168" spans="1:7" ht="37.200000000000003" customHeight="1">
      <c r="A168" s="224"/>
      <c r="B168" s="226"/>
      <c r="C168" s="226"/>
      <c r="D168" s="226"/>
      <c r="E168" s="226"/>
      <c r="F168" s="235"/>
    </row>
    <row r="169" spans="1:7" ht="37.200000000000003" customHeight="1">
      <c r="A169" s="228" t="s">
        <v>19</v>
      </c>
      <c r="B169" s="231" t="s">
        <v>668</v>
      </c>
      <c r="C169" s="232">
        <f>TAKEOFF!$H$2735</f>
        <v>6</v>
      </c>
      <c r="D169" s="233" t="s">
        <v>457</v>
      </c>
      <c r="E169" s="234">
        <f>RATES!$D$118</f>
        <v>3003.0000000000009</v>
      </c>
      <c r="F169" s="236">
        <f>C169*E169</f>
        <v>18018.000000000007</v>
      </c>
      <c r="G169" s="118" t="s">
        <v>460</v>
      </c>
    </row>
    <row r="170" spans="1:7" ht="37.200000000000003" customHeight="1">
      <c r="A170" s="224"/>
      <c r="B170" s="226"/>
      <c r="C170" s="226"/>
      <c r="D170" s="226"/>
      <c r="E170" s="226"/>
      <c r="F170" s="235"/>
    </row>
    <row r="171" spans="1:7" ht="37.200000000000003" customHeight="1">
      <c r="A171" s="228" t="s">
        <v>21</v>
      </c>
      <c r="B171" s="231" t="s">
        <v>670</v>
      </c>
      <c r="C171" s="232">
        <f>TAKEOFF!$H$2738</f>
        <v>3</v>
      </c>
      <c r="D171" s="233" t="s">
        <v>457</v>
      </c>
      <c r="E171" s="234">
        <f>RATES!$D$119</f>
        <v>2656.5</v>
      </c>
      <c r="F171" s="236">
        <f>C171*E171</f>
        <v>7969.5</v>
      </c>
      <c r="G171" s="118" t="s">
        <v>467</v>
      </c>
    </row>
    <row r="172" spans="1:7" ht="37.200000000000003" customHeight="1">
      <c r="A172" s="224"/>
      <c r="B172" s="226"/>
      <c r="C172" s="226"/>
      <c r="D172" s="226"/>
      <c r="E172" s="226"/>
      <c r="F172" s="235"/>
    </row>
    <row r="173" spans="1:7" ht="37.200000000000003" customHeight="1">
      <c r="A173" s="228" t="s">
        <v>23</v>
      </c>
      <c r="B173" s="231" t="s">
        <v>671</v>
      </c>
      <c r="C173" s="232">
        <f>TAKEOFF!$H$2741</f>
        <v>1</v>
      </c>
      <c r="D173" s="233" t="s">
        <v>457</v>
      </c>
      <c r="E173" s="234">
        <f>RATES!$D$120</f>
        <v>4804.8000000000011</v>
      </c>
      <c r="F173" s="236">
        <f>C173*E173</f>
        <v>4804.8000000000011</v>
      </c>
      <c r="G173" s="118" t="s">
        <v>458</v>
      </c>
    </row>
    <row r="174" spans="1:7" ht="37.200000000000003" customHeight="1">
      <c r="A174" s="224"/>
      <c r="B174" s="226"/>
      <c r="C174" s="226"/>
      <c r="D174" s="226"/>
      <c r="E174" s="226"/>
      <c r="F174" s="235"/>
    </row>
    <row r="175" spans="1:7" s="9" customFormat="1" ht="37.200000000000003" customHeight="1">
      <c r="A175" s="224"/>
      <c r="B175" s="226"/>
      <c r="C175" s="226"/>
      <c r="D175" s="226"/>
      <c r="E175" s="226"/>
      <c r="F175" s="235"/>
    </row>
    <row r="176" spans="1:7" s="9" customFormat="1" ht="37.200000000000003" customHeight="1">
      <c r="A176" s="224"/>
      <c r="B176" s="226"/>
      <c r="C176" s="226"/>
      <c r="D176" s="226"/>
      <c r="E176" s="226"/>
      <c r="F176" s="235"/>
    </row>
    <row r="177" spans="1:7" ht="37.200000000000003" customHeight="1">
      <c r="A177" s="228" t="s">
        <v>25</v>
      </c>
      <c r="B177" s="231" t="s">
        <v>672</v>
      </c>
      <c r="C177" s="232">
        <f>TAKEOFF!$H$2744</f>
        <v>1</v>
      </c>
      <c r="D177" s="233" t="s">
        <v>457</v>
      </c>
      <c r="E177" s="234">
        <f>RATES!$D$122</f>
        <v>7392.0000000000018</v>
      </c>
      <c r="F177" s="236">
        <f>C177*E177</f>
        <v>7392.0000000000018</v>
      </c>
      <c r="G177" s="118" t="s">
        <v>458</v>
      </c>
    </row>
    <row r="178" spans="1:7" ht="37.200000000000003" customHeight="1">
      <c r="A178" s="224"/>
      <c r="B178" s="226"/>
      <c r="C178" s="226"/>
      <c r="D178" s="226"/>
      <c r="E178" s="226"/>
      <c r="F178" s="235"/>
    </row>
    <row r="179" spans="1:7" ht="37.200000000000003" customHeight="1">
      <c r="A179" s="228" t="s">
        <v>27</v>
      </c>
      <c r="B179" s="231" t="s">
        <v>673</v>
      </c>
      <c r="C179" s="232">
        <f>TAKEOFF!$H$2747</f>
        <v>3</v>
      </c>
      <c r="D179" s="233" t="s">
        <v>457</v>
      </c>
      <c r="E179" s="234">
        <f>RATES!$D$124</f>
        <v>5266.8000000000011</v>
      </c>
      <c r="F179" s="236">
        <f>C179*E179</f>
        <v>15800.400000000003</v>
      </c>
      <c r="G179" s="118" t="s">
        <v>467</v>
      </c>
    </row>
    <row r="180" spans="1:7" ht="37.200000000000003" customHeight="1">
      <c r="A180" s="224"/>
      <c r="B180" s="226"/>
      <c r="C180" s="226"/>
      <c r="D180" s="226"/>
      <c r="E180" s="226"/>
      <c r="F180" s="235"/>
    </row>
    <row r="181" spans="1:7" ht="37.200000000000003" customHeight="1">
      <c r="A181" s="228" t="s">
        <v>29</v>
      </c>
      <c r="B181" s="231" t="s">
        <v>674</v>
      </c>
      <c r="C181" s="232">
        <f>TAKEOFF!$H$2750</f>
        <v>1</v>
      </c>
      <c r="D181" s="233" t="s">
        <v>457</v>
      </c>
      <c r="E181" s="234">
        <f>RATES!$D$125</f>
        <v>1501.5000000000005</v>
      </c>
      <c r="F181" s="236">
        <f>C181*E181</f>
        <v>1501.5000000000005</v>
      </c>
      <c r="G181" s="118" t="s">
        <v>458</v>
      </c>
    </row>
    <row r="182" spans="1:7" ht="37.200000000000003" customHeight="1">
      <c r="A182" s="224"/>
      <c r="B182" s="226"/>
      <c r="C182" s="226"/>
      <c r="D182" s="226"/>
      <c r="E182" s="226"/>
      <c r="F182" s="235"/>
    </row>
    <row r="183" spans="1:7" ht="37.200000000000003" customHeight="1">
      <c r="A183" s="228" t="s">
        <v>31</v>
      </c>
      <c r="B183" s="231" t="s">
        <v>675</v>
      </c>
      <c r="C183" s="232">
        <f>TAKEOFF!$H$2753</f>
        <v>1</v>
      </c>
      <c r="D183" s="233" t="s">
        <v>457</v>
      </c>
      <c r="E183" s="234">
        <f>RATES!$D$127</f>
        <v>4242.7000000000007</v>
      </c>
      <c r="F183" s="236">
        <f>C183*E183</f>
        <v>4242.7000000000007</v>
      </c>
      <c r="G183" s="118" t="s">
        <v>458</v>
      </c>
    </row>
    <row r="184" spans="1:7" ht="37.200000000000003" customHeight="1">
      <c r="A184" s="224"/>
      <c r="B184" s="226"/>
      <c r="C184" s="226"/>
      <c r="D184" s="226"/>
      <c r="E184" s="226"/>
      <c r="F184" s="235"/>
    </row>
    <row r="185" spans="1:7" ht="37.200000000000003" customHeight="1">
      <c r="A185" s="228" t="s">
        <v>33</v>
      </c>
      <c r="B185" s="231" t="s">
        <v>492</v>
      </c>
      <c r="C185" s="232">
        <f>TAKEOFF!$H$2756</f>
        <v>12</v>
      </c>
      <c r="D185" s="233" t="s">
        <v>457</v>
      </c>
      <c r="E185" s="234">
        <f>RATES!$D$128</f>
        <v>831.60000000000014</v>
      </c>
      <c r="F185" s="236">
        <f>C185*E185</f>
        <v>9979.2000000000007</v>
      </c>
      <c r="G185" s="118" t="s">
        <v>676</v>
      </c>
    </row>
    <row r="186" spans="1:7" ht="37.200000000000003" customHeight="1">
      <c r="A186" s="224"/>
      <c r="B186" s="226"/>
      <c r="C186" s="226"/>
      <c r="D186" s="226"/>
      <c r="E186" s="226"/>
      <c r="F186" s="235"/>
    </row>
    <row r="187" spans="1:7" ht="37.200000000000003" customHeight="1">
      <c r="A187" s="228" t="s">
        <v>35</v>
      </c>
      <c r="B187" s="231" t="s">
        <v>494</v>
      </c>
      <c r="C187" s="232">
        <f>TAKEOFF!$H$2759</f>
        <v>4</v>
      </c>
      <c r="D187" s="233" t="s">
        <v>457</v>
      </c>
      <c r="E187" s="234">
        <f>RATES!$D$129</f>
        <v>693</v>
      </c>
      <c r="F187" s="236">
        <f>C187*E187</f>
        <v>2772</v>
      </c>
      <c r="G187" s="118" t="s">
        <v>493</v>
      </c>
    </row>
    <row r="188" spans="1:7" ht="37.200000000000003" customHeight="1">
      <c r="A188" s="224"/>
      <c r="B188" s="226"/>
      <c r="C188" s="226"/>
      <c r="D188" s="226"/>
      <c r="E188" s="226"/>
      <c r="F188" s="235"/>
    </row>
    <row r="189" spans="1:7" ht="37.200000000000003" customHeight="1">
      <c r="A189" s="228" t="s">
        <v>37</v>
      </c>
      <c r="B189" s="231" t="s">
        <v>677</v>
      </c>
      <c r="C189" s="232">
        <f>TAKEOFF!$H$2762</f>
        <v>1</v>
      </c>
      <c r="D189" s="233" t="s">
        <v>457</v>
      </c>
      <c r="E189" s="234">
        <f>RATES!$D$130</f>
        <v>554.40000000000009</v>
      </c>
      <c r="F189" s="236">
        <f>C189*E189</f>
        <v>554.40000000000009</v>
      </c>
      <c r="G189" s="118" t="s">
        <v>458</v>
      </c>
    </row>
    <row r="190" spans="1:7" ht="37.200000000000003" customHeight="1">
      <c r="A190" s="224"/>
      <c r="B190" s="226"/>
      <c r="C190" s="226"/>
      <c r="D190" s="226"/>
      <c r="E190" s="226"/>
      <c r="F190" s="235"/>
    </row>
    <row r="191" spans="1:7" ht="37.200000000000003" customHeight="1">
      <c r="A191" s="228" t="s">
        <v>39</v>
      </c>
      <c r="B191" s="231" t="s">
        <v>678</v>
      </c>
      <c r="C191" s="232">
        <f>TAKEOFF!$H$2765</f>
        <v>1</v>
      </c>
      <c r="D191" s="233" t="s">
        <v>457</v>
      </c>
      <c r="E191" s="234">
        <f>RATES!$D$131</f>
        <v>1108.8000000000002</v>
      </c>
      <c r="F191" s="236">
        <f>C191*E191</f>
        <v>1108.8000000000002</v>
      </c>
      <c r="G191" s="118" t="s">
        <v>458</v>
      </c>
    </row>
    <row r="192" spans="1:7" ht="37.200000000000003" customHeight="1">
      <c r="A192" s="109"/>
      <c r="B192" s="136"/>
      <c r="C192" s="136"/>
      <c r="D192" s="136"/>
      <c r="E192" s="136"/>
      <c r="F192" s="117"/>
    </row>
    <row r="193" spans="1:7" ht="37.200000000000003" customHeight="1" thickBot="1">
      <c r="A193" s="141"/>
      <c r="B193" s="154" t="str">
        <f>B104</f>
        <v>ELEMENT NO. 4: WINDOWS/DOORS</v>
      </c>
      <c r="C193" s="142"/>
      <c r="D193" s="142"/>
      <c r="E193" s="143"/>
      <c r="F193" s="116">
        <f>SUM(F106:F192)</f>
        <v>566821.1</v>
      </c>
    </row>
    <row r="194" spans="1:7" ht="37.200000000000003" customHeight="1" thickTop="1" thickBot="1">
      <c r="A194" s="150"/>
      <c r="B194" s="151" t="s">
        <v>339</v>
      </c>
      <c r="C194" s="152"/>
      <c r="D194" s="152"/>
      <c r="E194" s="152"/>
      <c r="F194" s="153"/>
    </row>
    <row r="195" spans="1:7" ht="39.6" customHeight="1" thickTop="1">
      <c r="A195" s="109"/>
      <c r="B195" s="136"/>
      <c r="C195" s="136"/>
      <c r="D195" s="136"/>
      <c r="E195" s="136"/>
      <c r="F195" s="117"/>
    </row>
    <row r="196" spans="1:7" ht="39.6" customHeight="1">
      <c r="A196" s="224"/>
      <c r="B196" s="225" t="s">
        <v>382</v>
      </c>
      <c r="C196" s="226"/>
      <c r="D196" s="226"/>
      <c r="E196" s="226"/>
      <c r="F196" s="235"/>
    </row>
    <row r="197" spans="1:7" ht="39.6" customHeight="1">
      <c r="A197" s="224"/>
      <c r="B197" s="226"/>
      <c r="C197" s="226"/>
      <c r="D197" s="226"/>
      <c r="E197" s="226"/>
      <c r="F197" s="235"/>
    </row>
    <row r="198" spans="1:7" ht="39.6" customHeight="1">
      <c r="A198" s="224"/>
      <c r="B198" s="230" t="s">
        <v>495</v>
      </c>
      <c r="C198" s="226"/>
      <c r="D198" s="226"/>
      <c r="E198" s="226"/>
      <c r="F198" s="235"/>
    </row>
    <row r="199" spans="1:7" ht="39.6" customHeight="1">
      <c r="A199" s="228" t="s">
        <v>9</v>
      </c>
      <c r="B199" s="231" t="s">
        <v>496</v>
      </c>
      <c r="C199" s="232">
        <f>TAKEOFF!$H$2770</f>
        <v>850.7</v>
      </c>
      <c r="D199" s="233" t="s">
        <v>322</v>
      </c>
      <c r="E199" s="234">
        <f>RATES!$D$50</f>
        <v>68</v>
      </c>
      <c r="F199" s="236">
        <f>C199*E199</f>
        <v>57847.600000000006</v>
      </c>
      <c r="G199" s="118" t="s">
        <v>738</v>
      </c>
    </row>
    <row r="200" spans="1:7" ht="39.6" customHeight="1">
      <c r="A200" s="224"/>
      <c r="B200" s="226"/>
      <c r="C200" s="226"/>
      <c r="D200" s="226"/>
      <c r="E200" s="226"/>
      <c r="F200" s="235"/>
    </row>
    <row r="201" spans="1:7" ht="39.6" customHeight="1">
      <c r="A201" s="228" t="s">
        <v>11</v>
      </c>
      <c r="B201" s="231" t="s">
        <v>498</v>
      </c>
      <c r="C201" s="232">
        <f>TAKEOFF!$H$2781</f>
        <v>914.18000000000006</v>
      </c>
      <c r="D201" s="233" t="s">
        <v>322</v>
      </c>
      <c r="E201" s="234">
        <f>RATES!$D$51</f>
        <v>48</v>
      </c>
      <c r="F201" s="236">
        <f>C201*E201</f>
        <v>43880.639999999999</v>
      </c>
      <c r="G201" s="118" t="s">
        <v>739</v>
      </c>
    </row>
    <row r="202" spans="1:7" ht="39.6" customHeight="1">
      <c r="A202" s="224"/>
      <c r="B202" s="226"/>
      <c r="C202" s="226"/>
      <c r="D202" s="226"/>
      <c r="E202" s="226"/>
      <c r="F202" s="235"/>
    </row>
    <row r="203" spans="1:7" ht="39.6" customHeight="1">
      <c r="A203" s="228" t="s">
        <v>13</v>
      </c>
      <c r="B203" s="231" t="s">
        <v>500</v>
      </c>
      <c r="C203" s="232">
        <f>TAKEOFF!$H$2784</f>
        <v>56</v>
      </c>
      <c r="D203" s="233" t="s">
        <v>322</v>
      </c>
      <c r="E203" s="234">
        <f>RATES!$D$53</f>
        <v>230</v>
      </c>
      <c r="F203" s="236">
        <f>C203*E203</f>
        <v>12880</v>
      </c>
      <c r="G203" s="118" t="s">
        <v>740</v>
      </c>
    </row>
    <row r="204" spans="1:7" ht="39.6" customHeight="1">
      <c r="A204" s="224"/>
      <c r="B204" s="226"/>
      <c r="C204" s="226"/>
      <c r="D204" s="226"/>
      <c r="E204" s="226"/>
      <c r="F204" s="235"/>
    </row>
    <row r="205" spans="1:7" ht="39.6" customHeight="1">
      <c r="A205" s="228" t="s">
        <v>15</v>
      </c>
      <c r="B205" s="231" t="s">
        <v>502</v>
      </c>
      <c r="C205" s="232">
        <f>TAKEOFF!$H$2794</f>
        <v>63.480000000000004</v>
      </c>
      <c r="D205" s="233" t="s">
        <v>322</v>
      </c>
      <c r="E205" s="234">
        <f>RATES!$D$54</f>
        <v>270</v>
      </c>
      <c r="F205" s="236">
        <f>C205*E205</f>
        <v>17139.600000000002</v>
      </c>
      <c r="G205" s="118" t="s">
        <v>569</v>
      </c>
    </row>
    <row r="206" spans="1:7" ht="39.6" customHeight="1">
      <c r="A206" s="224"/>
      <c r="B206" s="226"/>
      <c r="C206" s="226"/>
      <c r="D206" s="226"/>
      <c r="E206" s="226"/>
      <c r="F206" s="235"/>
    </row>
    <row r="207" spans="1:7" ht="39.6" customHeight="1">
      <c r="A207" s="228" t="s">
        <v>17</v>
      </c>
      <c r="B207" s="231" t="s">
        <v>504</v>
      </c>
      <c r="C207" s="232">
        <f>TAKEOFF!$H$2797</f>
        <v>534.9</v>
      </c>
      <c r="D207" s="233" t="s">
        <v>322</v>
      </c>
      <c r="E207" s="234">
        <f>RATES!$D$55</f>
        <v>265</v>
      </c>
      <c r="F207" s="236">
        <f>C207*E207</f>
        <v>141748.5</v>
      </c>
      <c r="G207" s="118" t="s">
        <v>741</v>
      </c>
    </row>
    <row r="208" spans="1:7" ht="39.6" customHeight="1">
      <c r="A208" s="224"/>
      <c r="B208" s="226"/>
      <c r="C208" s="226"/>
      <c r="D208" s="226"/>
      <c r="E208" s="226"/>
      <c r="F208" s="235"/>
    </row>
    <row r="209" spans="1:7" ht="39.6" customHeight="1">
      <c r="A209" s="228" t="s">
        <v>19</v>
      </c>
      <c r="B209" s="231" t="s">
        <v>506</v>
      </c>
      <c r="C209" s="232">
        <f>TAKEOFF!$H$2800</f>
        <v>33.799999999999997</v>
      </c>
      <c r="D209" s="233" t="s">
        <v>322</v>
      </c>
      <c r="E209" s="234">
        <f>RATES!$D$56</f>
        <v>330</v>
      </c>
      <c r="F209" s="236">
        <f>C209*E209</f>
        <v>11153.999999999998</v>
      </c>
      <c r="G209" s="118" t="s">
        <v>742</v>
      </c>
    </row>
    <row r="210" spans="1:7" ht="39.6" customHeight="1">
      <c r="A210" s="224"/>
      <c r="B210" s="226"/>
      <c r="C210" s="226"/>
      <c r="D210" s="226"/>
      <c r="E210" s="226"/>
      <c r="F210" s="235"/>
    </row>
    <row r="211" spans="1:7" ht="39.6" customHeight="1">
      <c r="A211" s="228" t="s">
        <v>21</v>
      </c>
      <c r="B211" s="231" t="s">
        <v>508</v>
      </c>
      <c r="C211" s="232">
        <f>TAKEOFF!$H$2803</f>
        <v>225.9</v>
      </c>
      <c r="D211" s="233" t="s">
        <v>322</v>
      </c>
      <c r="E211" s="234">
        <f>RATES!$D$57</f>
        <v>250</v>
      </c>
      <c r="F211" s="236">
        <f>C211*E211</f>
        <v>56475</v>
      </c>
      <c r="G211" s="118" t="s">
        <v>743</v>
      </c>
    </row>
    <row r="212" spans="1:7" ht="39.6" customHeight="1">
      <c r="A212" s="109"/>
      <c r="B212" s="136"/>
      <c r="C212" s="136"/>
      <c r="D212" s="136"/>
      <c r="E212" s="136"/>
      <c r="F212" s="117"/>
    </row>
    <row r="213" spans="1:7" ht="39.6" customHeight="1" thickBot="1">
      <c r="A213" s="141"/>
      <c r="B213" s="154" t="str">
        <f>B196</f>
        <v>ELEMENT NO. 5: FLOOR FINISHES</v>
      </c>
      <c r="C213" s="142"/>
      <c r="D213" s="142"/>
      <c r="E213" s="143"/>
      <c r="F213" s="116">
        <f>SUM(F198:F212)</f>
        <v>341125.33999999997</v>
      </c>
    </row>
    <row r="214" spans="1:7" ht="24.6" thickTop="1" thickBot="1">
      <c r="A214" s="150"/>
      <c r="B214" s="151" t="s">
        <v>339</v>
      </c>
      <c r="C214" s="152"/>
      <c r="D214" s="152"/>
      <c r="E214" s="152"/>
      <c r="F214" s="153"/>
    </row>
    <row r="215" spans="1:7" ht="33.6" customHeight="1" thickTop="1">
      <c r="A215" s="109"/>
      <c r="B215" s="136"/>
      <c r="C215" s="136"/>
      <c r="D215" s="136"/>
      <c r="E215" s="136"/>
      <c r="F215" s="117"/>
    </row>
    <row r="216" spans="1:7" ht="33.6" customHeight="1">
      <c r="A216" s="224"/>
      <c r="B216" s="226"/>
      <c r="C216" s="226"/>
      <c r="D216" s="226"/>
      <c r="E216" s="226"/>
      <c r="F216" s="235"/>
    </row>
    <row r="217" spans="1:7" ht="33.6" customHeight="1">
      <c r="A217" s="224"/>
      <c r="B217" s="225" t="s">
        <v>383</v>
      </c>
      <c r="C217" s="226"/>
      <c r="D217" s="226"/>
      <c r="E217" s="226"/>
      <c r="F217" s="235"/>
    </row>
    <row r="218" spans="1:7" ht="33.6" customHeight="1">
      <c r="A218" s="224"/>
      <c r="B218" s="226"/>
      <c r="C218" s="226"/>
      <c r="D218" s="226"/>
      <c r="E218" s="226"/>
      <c r="F218" s="235"/>
    </row>
    <row r="219" spans="1:7" ht="33.6" customHeight="1">
      <c r="A219" s="224"/>
      <c r="B219" s="230" t="s">
        <v>512</v>
      </c>
      <c r="C219" s="226"/>
      <c r="D219" s="226"/>
      <c r="E219" s="226"/>
      <c r="F219" s="235"/>
    </row>
    <row r="220" spans="1:7" ht="33.6" customHeight="1">
      <c r="A220" s="228" t="s">
        <v>9</v>
      </c>
      <c r="B220" s="231" t="s">
        <v>513</v>
      </c>
      <c r="C220" s="232">
        <f>TAKEOFF!$H$2847</f>
        <v>1924.8360526315782</v>
      </c>
      <c r="D220" s="233" t="s">
        <v>322</v>
      </c>
      <c r="E220" s="234">
        <f>RATES!$D$48</f>
        <v>78</v>
      </c>
      <c r="F220" s="236">
        <f>C220*E220</f>
        <v>150137.21210526311</v>
      </c>
      <c r="G220" s="118" t="s">
        <v>744</v>
      </c>
    </row>
    <row r="221" spans="1:7" ht="33.6" customHeight="1">
      <c r="A221" s="224"/>
      <c r="B221" s="226"/>
      <c r="C221" s="226"/>
      <c r="D221" s="226"/>
      <c r="E221" s="226"/>
      <c r="F221" s="235"/>
    </row>
    <row r="222" spans="1:7" ht="33.6" customHeight="1">
      <c r="A222" s="228" t="s">
        <v>11</v>
      </c>
      <c r="B222" s="231" t="s">
        <v>515</v>
      </c>
      <c r="C222" s="232">
        <f>TAKEOFF!$H$2851</f>
        <v>335.26315789473682</v>
      </c>
      <c r="D222" s="233" t="s">
        <v>322</v>
      </c>
      <c r="E222" s="234">
        <f>RATES!$D$48</f>
        <v>78</v>
      </c>
      <c r="F222" s="236">
        <f>C222*E222</f>
        <v>26150.526315789473</v>
      </c>
      <c r="G222" s="118" t="s">
        <v>745</v>
      </c>
    </row>
    <row r="223" spans="1:7" ht="33.6" customHeight="1">
      <c r="A223" s="224"/>
      <c r="B223" s="226"/>
      <c r="C223" s="226"/>
      <c r="D223" s="226"/>
      <c r="E223" s="226"/>
      <c r="F223" s="235"/>
    </row>
    <row r="224" spans="1:7" ht="33.6" customHeight="1">
      <c r="A224" s="228" t="s">
        <v>13</v>
      </c>
      <c r="B224" s="231" t="s">
        <v>517</v>
      </c>
      <c r="C224" s="232">
        <f>TAKEOFF!$H$2871</f>
        <v>643.77499999999986</v>
      </c>
      <c r="D224" s="233" t="s">
        <v>322</v>
      </c>
      <c r="E224" s="234">
        <f>RATES!$D$49</f>
        <v>88</v>
      </c>
      <c r="F224" s="236">
        <f>C224*E224</f>
        <v>56652.19999999999</v>
      </c>
      <c r="G224" s="118" t="s">
        <v>746</v>
      </c>
    </row>
    <row r="225" spans="1:7" ht="33.6" customHeight="1">
      <c r="A225" s="224"/>
      <c r="B225" s="226"/>
      <c r="C225" s="226"/>
      <c r="D225" s="226"/>
      <c r="E225" s="226"/>
      <c r="F225" s="235"/>
    </row>
    <row r="226" spans="1:7" ht="33.6" customHeight="1">
      <c r="A226" s="228" t="s">
        <v>15</v>
      </c>
      <c r="B226" s="231" t="s">
        <v>519</v>
      </c>
      <c r="C226" s="232">
        <f>TAKEOFF!$H$2875</f>
        <v>258.63157894736844</v>
      </c>
      <c r="D226" s="233" t="s">
        <v>322</v>
      </c>
      <c r="E226" s="234">
        <f>RATES!$D$52</f>
        <v>55</v>
      </c>
      <c r="F226" s="236">
        <f>C226*E226</f>
        <v>14224.736842105263</v>
      </c>
      <c r="G226" s="118" t="s">
        <v>747</v>
      </c>
    </row>
    <row r="227" spans="1:7" ht="33.6" customHeight="1">
      <c r="A227" s="224"/>
      <c r="B227" s="226"/>
      <c r="C227" s="226"/>
      <c r="D227" s="226"/>
      <c r="E227" s="226"/>
      <c r="F227" s="235"/>
    </row>
    <row r="228" spans="1:7" ht="33.6" customHeight="1">
      <c r="A228" s="228" t="s">
        <v>17</v>
      </c>
      <c r="B228" s="231" t="s">
        <v>521</v>
      </c>
      <c r="C228" s="232">
        <f>TAKEOFF!$H$2879</f>
        <v>258.63157894736844</v>
      </c>
      <c r="D228" s="233" t="s">
        <v>322</v>
      </c>
      <c r="E228" s="234">
        <f>RATES!$D$60</f>
        <v>240</v>
      </c>
      <c r="F228" s="236">
        <f>C228*E228</f>
        <v>62071.578947368427</v>
      </c>
      <c r="G228" s="118" t="s">
        <v>747</v>
      </c>
    </row>
    <row r="229" spans="1:7" ht="33.6" customHeight="1">
      <c r="A229" s="109"/>
      <c r="B229" s="136"/>
      <c r="C229" s="136"/>
      <c r="D229" s="136"/>
      <c r="E229" s="136"/>
      <c r="F229" s="117"/>
    </row>
    <row r="230" spans="1:7" ht="33.6" customHeight="1" thickBot="1">
      <c r="A230" s="141"/>
      <c r="B230" s="154" t="str">
        <f>B217</f>
        <v>ELEMENT NO. 6: WALL FINISHES</v>
      </c>
      <c r="C230" s="142"/>
      <c r="D230" s="142"/>
      <c r="E230" s="143"/>
      <c r="F230" s="116">
        <f>SUM(F219:F229)</f>
        <v>309236.25421052624</v>
      </c>
    </row>
    <row r="231" spans="1:7" ht="33.6" customHeight="1" thickTop="1" thickBot="1">
      <c r="A231" s="150"/>
      <c r="B231" s="151" t="s">
        <v>339</v>
      </c>
      <c r="C231" s="152"/>
      <c r="D231" s="152"/>
      <c r="E231" s="152"/>
      <c r="F231" s="153"/>
    </row>
    <row r="232" spans="1:7" ht="33.6" customHeight="1" thickTop="1">
      <c r="A232" s="109"/>
      <c r="B232" s="136"/>
      <c r="C232" s="136"/>
      <c r="D232" s="136"/>
      <c r="E232" s="136"/>
      <c r="F232" s="117"/>
    </row>
    <row r="233" spans="1:7" ht="33.6" customHeight="1">
      <c r="A233" s="224"/>
      <c r="B233" s="226"/>
      <c r="C233" s="226"/>
      <c r="D233" s="226"/>
      <c r="E233" s="226"/>
      <c r="F233" s="235"/>
    </row>
    <row r="234" spans="1:7" ht="33.6" customHeight="1">
      <c r="A234" s="224"/>
      <c r="B234" s="225" t="s">
        <v>384</v>
      </c>
      <c r="C234" s="226"/>
      <c r="D234" s="226"/>
      <c r="E234" s="226"/>
      <c r="F234" s="235"/>
    </row>
    <row r="235" spans="1:7" ht="33.6" customHeight="1">
      <c r="A235" s="224"/>
      <c r="B235" s="226"/>
      <c r="C235" s="226"/>
      <c r="D235" s="226"/>
      <c r="E235" s="226"/>
      <c r="F235" s="235"/>
    </row>
    <row r="236" spans="1:7" ht="33.6" customHeight="1">
      <c r="A236" s="224"/>
      <c r="B236" s="230" t="s">
        <v>522</v>
      </c>
      <c r="C236" s="226"/>
      <c r="D236" s="226"/>
      <c r="E236" s="226"/>
      <c r="F236" s="235"/>
    </row>
    <row r="237" spans="1:7" ht="33.6" customHeight="1">
      <c r="A237" s="228" t="s">
        <v>9</v>
      </c>
      <c r="B237" s="231" t="s">
        <v>513</v>
      </c>
      <c r="C237" s="232">
        <f>TAKEOFF!$H$2923</f>
        <v>1924.8360526315782</v>
      </c>
      <c r="D237" s="233" t="s">
        <v>322</v>
      </c>
      <c r="E237" s="234">
        <f>RATES!$D$61</f>
        <v>45</v>
      </c>
      <c r="F237" s="236">
        <f>C237*E237</f>
        <v>86617.622368421027</v>
      </c>
      <c r="G237" s="118" t="s">
        <v>744</v>
      </c>
    </row>
    <row r="238" spans="1:7" ht="33.6" customHeight="1">
      <c r="A238" s="224"/>
      <c r="B238" s="226"/>
      <c r="C238" s="226"/>
      <c r="D238" s="226"/>
      <c r="E238" s="226"/>
      <c r="F238" s="235"/>
    </row>
    <row r="239" spans="1:7" ht="33.6" customHeight="1">
      <c r="A239" s="228" t="s">
        <v>11</v>
      </c>
      <c r="B239" s="231" t="s">
        <v>523</v>
      </c>
      <c r="C239" s="232">
        <f>TAKEOFF!$H$2929</f>
        <v>76.631578947368382</v>
      </c>
      <c r="D239" s="233" t="s">
        <v>322</v>
      </c>
      <c r="E239" s="234">
        <f>RATES!$D$61</f>
        <v>45</v>
      </c>
      <c r="F239" s="236">
        <f>C239*E239</f>
        <v>3448.4210526315774</v>
      </c>
      <c r="G239" s="118" t="s">
        <v>748</v>
      </c>
    </row>
    <row r="240" spans="1:7" ht="33.6" customHeight="1">
      <c r="A240" s="224"/>
      <c r="B240" s="226"/>
      <c r="C240" s="226"/>
      <c r="D240" s="226"/>
      <c r="E240" s="226"/>
      <c r="F240" s="235"/>
    </row>
    <row r="241" spans="1:7" ht="33.6" customHeight="1">
      <c r="A241" s="228" t="s">
        <v>13</v>
      </c>
      <c r="B241" s="231" t="s">
        <v>525</v>
      </c>
      <c r="C241" s="232">
        <f>TAKEOFF!$H$2949</f>
        <v>643.77499999999986</v>
      </c>
      <c r="D241" s="233" t="s">
        <v>322</v>
      </c>
      <c r="E241" s="234">
        <f>RATES!$D$62</f>
        <v>62</v>
      </c>
      <c r="F241" s="236">
        <f>C241*E241</f>
        <v>39914.049999999988</v>
      </c>
      <c r="G241" s="118" t="s">
        <v>746</v>
      </c>
    </row>
    <row r="242" spans="1:7" ht="33.6" customHeight="1">
      <c r="A242" s="224"/>
      <c r="B242" s="226"/>
      <c r="C242" s="226"/>
      <c r="D242" s="226"/>
      <c r="E242" s="226"/>
      <c r="F242" s="235"/>
    </row>
    <row r="243" spans="1:7" ht="33.6" customHeight="1">
      <c r="A243" s="228" t="s">
        <v>15</v>
      </c>
      <c r="B243" s="231" t="s">
        <v>527</v>
      </c>
      <c r="C243" s="232">
        <f>TAKEOFF!$H$2952</f>
        <v>794.7</v>
      </c>
      <c r="D243" s="233" t="s">
        <v>322</v>
      </c>
      <c r="E243" s="234">
        <f>RATES!$D$63</f>
        <v>48</v>
      </c>
      <c r="F243" s="236">
        <f>C243*E243</f>
        <v>38145.600000000006</v>
      </c>
      <c r="G243" s="118" t="s">
        <v>749</v>
      </c>
    </row>
    <row r="244" spans="1:7" ht="33.6" customHeight="1">
      <c r="A244" s="224"/>
      <c r="B244" s="226"/>
      <c r="C244" s="226"/>
      <c r="D244" s="226"/>
      <c r="E244" s="226"/>
      <c r="F244" s="235"/>
    </row>
    <row r="245" spans="1:7" ht="33.6" customHeight="1">
      <c r="A245" s="228" t="s">
        <v>17</v>
      </c>
      <c r="B245" s="231" t="s">
        <v>529</v>
      </c>
      <c r="C245" s="232">
        <f>TAKEOFF!$H$2955</f>
        <v>56</v>
      </c>
      <c r="D245" s="233" t="s">
        <v>322</v>
      </c>
      <c r="E245" s="234">
        <f>RATES!$D$63</f>
        <v>48</v>
      </c>
      <c r="F245" s="236">
        <f>C245*E245</f>
        <v>2688</v>
      </c>
      <c r="G245" s="118" t="s">
        <v>740</v>
      </c>
    </row>
    <row r="246" spans="1:7" ht="33.6" customHeight="1">
      <c r="A246" s="224"/>
      <c r="B246" s="226"/>
      <c r="C246" s="226"/>
      <c r="D246" s="226"/>
      <c r="E246" s="226"/>
      <c r="F246" s="235"/>
    </row>
    <row r="247" spans="1:7" ht="46.8">
      <c r="A247" s="228" t="s">
        <v>19</v>
      </c>
      <c r="B247" s="231" t="s">
        <v>530</v>
      </c>
      <c r="C247" s="232">
        <f>TAKEOFF!$H$2963</f>
        <v>179.1</v>
      </c>
      <c r="D247" s="233" t="s">
        <v>322</v>
      </c>
      <c r="E247" s="234">
        <f>RATES!$D$64</f>
        <v>72</v>
      </c>
      <c r="F247" s="236">
        <f>C247*E247</f>
        <v>12895.199999999999</v>
      </c>
      <c r="G247" s="118" t="s">
        <v>750</v>
      </c>
    </row>
    <row r="248" spans="1:7" ht="33.6" customHeight="1">
      <c r="A248" s="224"/>
      <c r="B248" s="226"/>
      <c r="C248" s="226"/>
      <c r="D248" s="226"/>
      <c r="E248" s="226"/>
      <c r="F248" s="235"/>
    </row>
    <row r="249" spans="1:7" ht="46.8">
      <c r="A249" s="228" t="s">
        <v>21</v>
      </c>
      <c r="B249" s="231" t="s">
        <v>532</v>
      </c>
      <c r="C249" s="232">
        <f>TAKEOFF!$H$2982</f>
        <v>96.084999999999994</v>
      </c>
      <c r="D249" s="233" t="s">
        <v>322</v>
      </c>
      <c r="E249" s="234">
        <f>RATES!$D$65</f>
        <v>40</v>
      </c>
      <c r="F249" s="236">
        <f>C249*E249</f>
        <v>3843.3999999999996</v>
      </c>
      <c r="G249" s="118" t="s">
        <v>751</v>
      </c>
    </row>
    <row r="250" spans="1:7" ht="33.6" customHeight="1">
      <c r="A250" s="109"/>
      <c r="B250" s="136"/>
      <c r="C250" s="136"/>
      <c r="D250" s="136"/>
      <c r="E250" s="136"/>
      <c r="F250" s="117"/>
    </row>
    <row r="251" spans="1:7" ht="33.6" customHeight="1" thickBot="1">
      <c r="A251" s="141"/>
      <c r="B251" s="154" t="str">
        <f>B234</f>
        <v>ELEMENT NO. 7: PAINTING AND DECORATING</v>
      </c>
      <c r="C251" s="142"/>
      <c r="D251" s="142"/>
      <c r="E251" s="143"/>
      <c r="F251" s="116">
        <f>SUM(F236:F250)</f>
        <v>187552.2934210526</v>
      </c>
    </row>
    <row r="252" spans="1:7" ht="33.6" customHeight="1" thickTop="1" thickBot="1">
      <c r="A252" s="141"/>
      <c r="B252" s="154" t="s">
        <v>339</v>
      </c>
      <c r="C252" s="142"/>
      <c r="D252" s="142"/>
      <c r="E252" s="143"/>
      <c r="F252" s="116"/>
    </row>
    <row r="253" spans="1:7" ht="15" customHeight="1" thickTop="1"/>
    <row r="255" spans="1:7" ht="31.2">
      <c r="B255" s="119" t="s">
        <v>534</v>
      </c>
    </row>
  </sheetData>
  <pageMargins left="0.75" right="0.75" top="1" bottom="1" header="0.5" footer="0.5"/>
  <pageSetup scale="36" fitToHeight="0" orientation="portrait" r:id="rId1"/>
  <rowBreaks count="5" manualBreakCount="5">
    <brk id="26" max="5" man="1"/>
    <brk id="91" max="5" man="1"/>
    <brk id="138" max="5" man="1"/>
    <brk id="174" max="5" man="1"/>
    <brk id="214"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251"/>
  <sheetViews>
    <sheetView view="pageBreakPreview" topLeftCell="A238" zoomScale="60" zoomScaleNormal="100" workbookViewId="0">
      <selection activeCell="B250" sqref="B250"/>
    </sheetView>
  </sheetViews>
  <sheetFormatPr defaultRowHeight="14.4"/>
  <cols>
    <col min="1" max="1" width="13.33203125" style="9" customWidth="1"/>
    <col min="2" max="2" width="123.33203125" style="9" customWidth="1"/>
    <col min="3" max="3" width="22.77734375" style="9" customWidth="1"/>
    <col min="4" max="4" width="19.77734375" style="9" customWidth="1"/>
    <col min="5" max="5" width="21.44140625"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5.2" customHeight="1">
      <c r="A6" s="155"/>
      <c r="B6" s="156"/>
      <c r="C6" s="156"/>
      <c r="D6" s="156"/>
      <c r="E6" s="156"/>
      <c r="F6" s="157"/>
    </row>
    <row r="7" spans="1:7" ht="25.2" customHeight="1">
      <c r="A7" s="224"/>
      <c r="B7" s="225" t="s">
        <v>313</v>
      </c>
      <c r="C7" s="226"/>
      <c r="D7" s="226"/>
      <c r="E7" s="226"/>
      <c r="F7" s="235"/>
    </row>
    <row r="8" spans="1:7" ht="25.2" customHeight="1">
      <c r="A8" s="224"/>
      <c r="B8" s="226"/>
      <c r="C8" s="226"/>
      <c r="D8" s="226"/>
      <c r="E8" s="226"/>
      <c r="F8" s="235"/>
    </row>
    <row r="9" spans="1:7" ht="25.2" customHeight="1">
      <c r="A9" s="224"/>
      <c r="B9" s="225" t="s">
        <v>752</v>
      </c>
      <c r="C9" s="226"/>
      <c r="D9" s="226"/>
      <c r="E9" s="226"/>
      <c r="F9" s="235"/>
    </row>
    <row r="10" spans="1:7" ht="25.2" customHeight="1">
      <c r="A10" s="224"/>
      <c r="B10" s="226"/>
      <c r="C10" s="226"/>
      <c r="D10" s="226"/>
      <c r="E10" s="226"/>
      <c r="F10" s="235"/>
    </row>
    <row r="11" spans="1:7" ht="25.2" customHeight="1">
      <c r="A11" s="224"/>
      <c r="B11" s="227" t="s">
        <v>314</v>
      </c>
      <c r="C11" s="226"/>
      <c r="D11" s="226"/>
      <c r="E11" s="226"/>
      <c r="F11" s="235"/>
    </row>
    <row r="12" spans="1:7" ht="25.2" customHeight="1">
      <c r="A12" s="224"/>
      <c r="B12" s="226"/>
      <c r="C12" s="226"/>
      <c r="D12" s="226"/>
      <c r="E12" s="226"/>
      <c r="F12" s="235"/>
    </row>
    <row r="13" spans="1:7" ht="25.2" customHeight="1">
      <c r="A13" s="228" t="s">
        <v>9</v>
      </c>
      <c r="B13" s="229" t="s">
        <v>379</v>
      </c>
      <c r="C13" s="226"/>
      <c r="D13" s="226"/>
      <c r="E13" s="226"/>
      <c r="F13" s="236">
        <f>F90</f>
        <v>2632741.69325</v>
      </c>
    </row>
    <row r="14" spans="1:7" ht="25.2" customHeight="1">
      <c r="A14" s="224"/>
      <c r="B14" s="226"/>
      <c r="C14" s="226"/>
      <c r="D14" s="226"/>
      <c r="E14" s="226"/>
      <c r="F14" s="235"/>
    </row>
    <row r="15" spans="1:7" ht="25.2" customHeight="1">
      <c r="A15" s="228" t="s">
        <v>11</v>
      </c>
      <c r="B15" s="229" t="s">
        <v>380</v>
      </c>
      <c r="C15" s="226"/>
      <c r="D15" s="226"/>
      <c r="E15" s="226"/>
      <c r="F15" s="236">
        <f>F101</f>
        <v>394834.25599999994</v>
      </c>
    </row>
    <row r="16" spans="1:7" ht="25.2" customHeight="1">
      <c r="A16" s="224"/>
      <c r="B16" s="226"/>
      <c r="C16" s="226"/>
      <c r="D16" s="226"/>
      <c r="E16" s="226"/>
      <c r="F16" s="235"/>
    </row>
    <row r="17" spans="1:6" ht="25.2" customHeight="1">
      <c r="A17" s="228" t="s">
        <v>13</v>
      </c>
      <c r="B17" s="229" t="s">
        <v>381</v>
      </c>
      <c r="C17" s="226"/>
      <c r="D17" s="226"/>
      <c r="E17" s="226"/>
      <c r="F17" s="236">
        <f>F191</f>
        <v>597073.55000000005</v>
      </c>
    </row>
    <row r="18" spans="1:6" ht="25.2" customHeight="1">
      <c r="A18" s="224"/>
      <c r="B18" s="226"/>
      <c r="C18" s="226"/>
      <c r="D18" s="226"/>
      <c r="E18" s="226"/>
      <c r="F18" s="235"/>
    </row>
    <row r="19" spans="1:6" ht="25.2" customHeight="1">
      <c r="A19" s="228" t="s">
        <v>15</v>
      </c>
      <c r="B19" s="229" t="s">
        <v>382</v>
      </c>
      <c r="C19" s="226"/>
      <c r="D19" s="226"/>
      <c r="E19" s="226"/>
      <c r="F19" s="236">
        <f>F211</f>
        <v>349083.24</v>
      </c>
    </row>
    <row r="20" spans="1:6" ht="25.2" customHeight="1">
      <c r="A20" s="224"/>
      <c r="B20" s="226"/>
      <c r="C20" s="226"/>
      <c r="D20" s="226"/>
      <c r="E20" s="226"/>
      <c r="F20" s="235"/>
    </row>
    <row r="21" spans="1:6" ht="25.2" customHeight="1">
      <c r="A21" s="228" t="s">
        <v>17</v>
      </c>
      <c r="B21" s="229" t="s">
        <v>383</v>
      </c>
      <c r="C21" s="226"/>
      <c r="D21" s="226"/>
      <c r="E21" s="226"/>
      <c r="F21" s="236">
        <f>F227</f>
        <v>321670.37947368418</v>
      </c>
    </row>
    <row r="22" spans="1:6" ht="25.2" customHeight="1">
      <c r="A22" s="224"/>
      <c r="B22" s="226"/>
      <c r="C22" s="226"/>
      <c r="D22" s="226"/>
      <c r="E22" s="226"/>
      <c r="F22" s="235"/>
    </row>
    <row r="23" spans="1:6" ht="25.2" customHeight="1">
      <c r="A23" s="228" t="s">
        <v>19</v>
      </c>
      <c r="B23" s="229" t="s">
        <v>384</v>
      </c>
      <c r="C23" s="226"/>
      <c r="D23" s="226"/>
      <c r="E23" s="226"/>
      <c r="F23" s="236">
        <f>F247</f>
        <v>190908.57894736843</v>
      </c>
    </row>
    <row r="24" spans="1:6" ht="25.2" customHeight="1">
      <c r="A24" s="109"/>
      <c r="B24" s="136"/>
      <c r="C24" s="136"/>
      <c r="D24" s="136"/>
      <c r="E24" s="136"/>
      <c r="F24" s="117"/>
    </row>
    <row r="25" spans="1:6" ht="25.2" customHeight="1" thickBot="1">
      <c r="A25" s="141"/>
      <c r="B25" s="154" t="str">
        <f>B9</f>
        <v xml:space="preserve"> SIXTH FLOOR</v>
      </c>
      <c r="C25" s="142"/>
      <c r="D25" s="142"/>
      <c r="E25" s="143" t="s">
        <v>8</v>
      </c>
      <c r="F25" s="116">
        <f>SUM(F13:F24)</f>
        <v>4486311.697671053</v>
      </c>
    </row>
    <row r="26" spans="1:6" ht="25.2" customHeight="1" thickTop="1" thickBot="1">
      <c r="A26" s="150"/>
      <c r="B26" s="151" t="s">
        <v>318</v>
      </c>
      <c r="C26" s="152"/>
      <c r="D26" s="152"/>
      <c r="E26" s="152"/>
      <c r="F26" s="153"/>
    </row>
    <row r="27" spans="1:6" ht="33" customHeight="1" thickTop="1">
      <c r="A27" s="109"/>
      <c r="B27" s="136"/>
      <c r="C27" s="136"/>
      <c r="D27" s="136"/>
      <c r="E27" s="136"/>
      <c r="F27" s="117"/>
    </row>
    <row r="28" spans="1:6" ht="33" customHeight="1">
      <c r="A28" s="224"/>
      <c r="B28" s="226"/>
      <c r="C28" s="226"/>
      <c r="D28" s="226"/>
      <c r="E28" s="226"/>
      <c r="F28" s="235"/>
    </row>
    <row r="29" spans="1:6" ht="33" customHeight="1">
      <c r="A29" s="224"/>
      <c r="B29" s="225" t="s">
        <v>753</v>
      </c>
      <c r="C29" s="226"/>
      <c r="D29" s="226"/>
      <c r="E29" s="226"/>
      <c r="F29" s="235"/>
    </row>
    <row r="30" spans="1:6" ht="33" customHeight="1">
      <c r="A30" s="224"/>
      <c r="B30" s="226"/>
      <c r="C30" s="226"/>
      <c r="D30" s="226"/>
      <c r="E30" s="226"/>
      <c r="F30" s="235"/>
    </row>
    <row r="31" spans="1:6" ht="33" customHeight="1">
      <c r="A31" s="224"/>
      <c r="B31" s="225" t="s">
        <v>379</v>
      </c>
      <c r="C31" s="226"/>
      <c r="D31" s="226"/>
      <c r="E31" s="226"/>
      <c r="F31" s="235"/>
    </row>
    <row r="32" spans="1:6" ht="33" customHeight="1">
      <c r="A32" s="224"/>
      <c r="B32" s="226"/>
      <c r="C32" s="226"/>
      <c r="D32" s="226"/>
      <c r="E32" s="226"/>
      <c r="F32" s="235"/>
    </row>
    <row r="33" spans="1:7" ht="33" customHeight="1">
      <c r="A33" s="224"/>
      <c r="B33" s="230" t="s">
        <v>344</v>
      </c>
      <c r="C33" s="226"/>
      <c r="D33" s="226"/>
      <c r="E33" s="226"/>
      <c r="F33" s="235"/>
    </row>
    <row r="34" spans="1:7" ht="33" customHeight="1">
      <c r="A34" s="228" t="s">
        <v>9</v>
      </c>
      <c r="B34" s="231" t="s">
        <v>386</v>
      </c>
      <c r="C34" s="232">
        <f>TAKEOFF!$H$2990</f>
        <v>283.64999999999998</v>
      </c>
      <c r="D34" s="233" t="s">
        <v>327</v>
      </c>
      <c r="E34" s="234">
        <f>RATES!$D$22</f>
        <v>2310</v>
      </c>
      <c r="F34" s="236">
        <f>C34*E34</f>
        <v>655231.5</v>
      </c>
      <c r="G34" s="118" t="s">
        <v>695</v>
      </c>
    </row>
    <row r="35" spans="1:7" ht="33" customHeight="1">
      <c r="A35" s="224"/>
      <c r="B35" s="226"/>
      <c r="C35" s="226"/>
      <c r="D35" s="226"/>
      <c r="E35" s="226"/>
      <c r="F35" s="235"/>
    </row>
    <row r="36" spans="1:7" ht="33" customHeight="1">
      <c r="A36" s="228" t="s">
        <v>11</v>
      </c>
      <c r="B36" s="231" t="s">
        <v>388</v>
      </c>
      <c r="C36" s="232">
        <f>TAKEOFF!$H$2994</f>
        <v>19.831</v>
      </c>
      <c r="D36" s="233" t="s">
        <v>327</v>
      </c>
      <c r="E36" s="234">
        <f>RATES!$D$23</f>
        <v>2310</v>
      </c>
      <c r="F36" s="236">
        <f>C36*E36</f>
        <v>45809.61</v>
      </c>
      <c r="G36" s="118" t="s">
        <v>696</v>
      </c>
    </row>
    <row r="37" spans="1:7" ht="33" customHeight="1">
      <c r="A37" s="224"/>
      <c r="B37" s="226"/>
      <c r="C37" s="226"/>
      <c r="D37" s="226"/>
      <c r="E37" s="226"/>
      <c r="F37" s="235"/>
    </row>
    <row r="38" spans="1:7" ht="33" customHeight="1">
      <c r="A38" s="228" t="s">
        <v>13</v>
      </c>
      <c r="B38" s="231" t="s">
        <v>390</v>
      </c>
      <c r="C38" s="232">
        <f>TAKEOFF!$H$3005</f>
        <v>40.545937499999994</v>
      </c>
      <c r="D38" s="233" t="s">
        <v>327</v>
      </c>
      <c r="E38" s="234">
        <f>RATES!$D$21</f>
        <v>2310</v>
      </c>
      <c r="F38" s="236">
        <f>C38*E38</f>
        <v>93661.115624999991</v>
      </c>
      <c r="G38" s="118" t="s">
        <v>617</v>
      </c>
    </row>
    <row r="39" spans="1:7" ht="33" customHeight="1">
      <c r="A39" s="224"/>
      <c r="B39" s="226"/>
      <c r="C39" s="226"/>
      <c r="D39" s="226"/>
      <c r="E39" s="226"/>
      <c r="F39" s="235"/>
    </row>
    <row r="40" spans="1:7" ht="33" customHeight="1">
      <c r="A40" s="228" t="s">
        <v>15</v>
      </c>
      <c r="B40" s="231" t="s">
        <v>392</v>
      </c>
      <c r="C40" s="232">
        <f>TAKEOFF!$H$3009</f>
        <v>36.310249999999996</v>
      </c>
      <c r="D40" s="233" t="s">
        <v>327</v>
      </c>
      <c r="E40" s="234">
        <f>RATES!$D$20</f>
        <v>2310</v>
      </c>
      <c r="F40" s="236">
        <f>C40*E40</f>
        <v>83876.677499999991</v>
      </c>
      <c r="G40" s="118" t="s">
        <v>618</v>
      </c>
    </row>
    <row r="41" spans="1:7" ht="33" customHeight="1">
      <c r="A41" s="224"/>
      <c r="B41" s="226"/>
      <c r="C41" s="226"/>
      <c r="D41" s="226"/>
      <c r="E41" s="226"/>
      <c r="F41" s="235"/>
    </row>
    <row r="42" spans="1:7" ht="33" customHeight="1">
      <c r="A42" s="228" t="s">
        <v>17</v>
      </c>
      <c r="B42" s="231" t="s">
        <v>394</v>
      </c>
      <c r="C42" s="232">
        <f>TAKEOFF!$H$3012</f>
        <v>16.641562499999999</v>
      </c>
      <c r="D42" s="233" t="s">
        <v>327</v>
      </c>
      <c r="E42" s="234">
        <f>RATES!$D$20</f>
        <v>2310</v>
      </c>
      <c r="F42" s="236">
        <f>C42*E42</f>
        <v>38442.009375000001</v>
      </c>
      <c r="G42" s="118" t="s">
        <v>619</v>
      </c>
    </row>
    <row r="43" spans="1:7" ht="33" customHeight="1">
      <c r="A43" s="224"/>
      <c r="B43" s="226"/>
      <c r="C43" s="226"/>
      <c r="D43" s="226"/>
      <c r="E43" s="226"/>
      <c r="F43" s="235"/>
    </row>
    <row r="44" spans="1:7" ht="33" customHeight="1">
      <c r="A44" s="228" t="s">
        <v>19</v>
      </c>
      <c r="B44" s="231" t="s">
        <v>396</v>
      </c>
      <c r="C44" s="232">
        <f>TAKEOFF!$H$3018</f>
        <v>11.182</v>
      </c>
      <c r="D44" s="233" t="s">
        <v>327</v>
      </c>
      <c r="E44" s="234">
        <f>RATES!$D$24</f>
        <v>2310</v>
      </c>
      <c r="F44" s="236">
        <f>C44*E44</f>
        <v>25830.420000000002</v>
      </c>
      <c r="G44" s="118" t="s">
        <v>620</v>
      </c>
    </row>
    <row r="45" spans="1:7" ht="33" customHeight="1">
      <c r="A45" s="224"/>
      <c r="B45" s="226"/>
      <c r="C45" s="226"/>
      <c r="D45" s="226"/>
      <c r="E45" s="226"/>
      <c r="F45" s="235"/>
    </row>
    <row r="46" spans="1:7" ht="33" customHeight="1">
      <c r="A46" s="228" t="s">
        <v>21</v>
      </c>
      <c r="B46" s="231" t="s">
        <v>398</v>
      </c>
      <c r="C46" s="232">
        <f>TAKEOFF!$H$3055</f>
        <v>6.9997500000000006</v>
      </c>
      <c r="D46" s="233" t="s">
        <v>327</v>
      </c>
      <c r="E46" s="234">
        <f>RATES!$D$25</f>
        <v>1925.0000000000002</v>
      </c>
      <c r="F46" s="236">
        <f>C46*E46</f>
        <v>13474.518750000003</v>
      </c>
      <c r="G46" s="118" t="s">
        <v>754</v>
      </c>
    </row>
    <row r="47" spans="1:7" ht="33" customHeight="1">
      <c r="A47" s="224"/>
      <c r="B47" s="226"/>
      <c r="C47" s="226"/>
      <c r="D47" s="226"/>
      <c r="E47" s="226"/>
      <c r="F47" s="235"/>
    </row>
    <row r="48" spans="1:7" ht="33" customHeight="1">
      <c r="A48" s="224"/>
      <c r="B48" s="230" t="s">
        <v>400</v>
      </c>
      <c r="C48" s="226"/>
      <c r="D48" s="226"/>
      <c r="E48" s="226"/>
      <c r="F48" s="235"/>
    </row>
    <row r="49" spans="1:7" ht="33" customHeight="1">
      <c r="A49" s="228" t="s">
        <v>23</v>
      </c>
      <c r="B49" s="231" t="s">
        <v>401</v>
      </c>
      <c r="C49" s="232">
        <f>TAKEOFF!$H$3059</f>
        <v>1134.5999999999999</v>
      </c>
      <c r="D49" s="233" t="s">
        <v>322</v>
      </c>
      <c r="E49" s="234">
        <f>RATES!$D$38</f>
        <v>165</v>
      </c>
      <c r="F49" s="236">
        <f>C49*E49</f>
        <v>187208.99999999997</v>
      </c>
      <c r="G49" s="118" t="s">
        <v>698</v>
      </c>
    </row>
    <row r="50" spans="1:7" ht="33" customHeight="1">
      <c r="A50" s="224"/>
      <c r="B50" s="226"/>
      <c r="C50" s="226"/>
      <c r="D50" s="226"/>
      <c r="E50" s="226"/>
      <c r="F50" s="235"/>
    </row>
    <row r="51" spans="1:7" ht="33" customHeight="1">
      <c r="A51" s="228" t="s">
        <v>25</v>
      </c>
      <c r="B51" s="231" t="s">
        <v>403</v>
      </c>
      <c r="C51" s="232">
        <f>TAKEOFF!$H$3062</f>
        <v>294.60000000000002</v>
      </c>
      <c r="D51" s="233" t="s">
        <v>369</v>
      </c>
      <c r="E51" s="234">
        <f>RATES!$D$40</f>
        <v>65</v>
      </c>
      <c r="F51" s="236">
        <f>C51*E51</f>
        <v>19149</v>
      </c>
      <c r="G51" s="118" t="s">
        <v>699</v>
      </c>
    </row>
    <row r="52" spans="1:7" ht="33" customHeight="1">
      <c r="A52" s="224"/>
      <c r="B52" s="226"/>
      <c r="C52" s="226"/>
      <c r="D52" s="226"/>
      <c r="E52" s="226"/>
      <c r="F52" s="235"/>
    </row>
    <row r="53" spans="1:7" ht="33" customHeight="1">
      <c r="A53" s="228" t="s">
        <v>27</v>
      </c>
      <c r="B53" s="231" t="s">
        <v>405</v>
      </c>
      <c r="C53" s="232">
        <f>TAKEOFF!$H$3066</f>
        <v>196.59</v>
      </c>
      <c r="D53" s="233" t="s">
        <v>322</v>
      </c>
      <c r="E53" s="234">
        <f>RATES!$D$39</f>
        <v>165</v>
      </c>
      <c r="F53" s="236">
        <f>C53*E53</f>
        <v>32437.350000000002</v>
      </c>
      <c r="G53" s="118" t="s">
        <v>700</v>
      </c>
    </row>
    <row r="54" spans="1:7" ht="33" customHeight="1">
      <c r="A54" s="224"/>
      <c r="B54" s="226"/>
      <c r="C54" s="226"/>
      <c r="D54" s="226"/>
      <c r="E54" s="226"/>
      <c r="F54" s="235"/>
    </row>
    <row r="55" spans="1:7" ht="33" customHeight="1">
      <c r="A55" s="228" t="s">
        <v>29</v>
      </c>
      <c r="B55" s="231" t="s">
        <v>390</v>
      </c>
      <c r="C55" s="232">
        <f>TAKEOFF!$H$3077</f>
        <v>321.3175</v>
      </c>
      <c r="D55" s="233" t="s">
        <v>322</v>
      </c>
      <c r="E55" s="234">
        <f>RATES!$D$37</f>
        <v>165</v>
      </c>
      <c r="F55" s="236">
        <f>C55*E55</f>
        <v>53017.387499999997</v>
      </c>
      <c r="G55" s="118" t="s">
        <v>625</v>
      </c>
    </row>
    <row r="56" spans="1:7" ht="33" customHeight="1">
      <c r="A56" s="224"/>
      <c r="B56" s="226"/>
      <c r="C56" s="226"/>
      <c r="D56" s="226"/>
      <c r="E56" s="226"/>
      <c r="F56" s="235"/>
    </row>
    <row r="57" spans="1:7" ht="33" customHeight="1">
      <c r="A57" s="228" t="s">
        <v>31</v>
      </c>
      <c r="B57" s="231" t="s">
        <v>408</v>
      </c>
      <c r="C57" s="232">
        <f>TAKEOFF!$H$3082</f>
        <v>423.61450000000002</v>
      </c>
      <c r="D57" s="233" t="s">
        <v>322</v>
      </c>
      <c r="E57" s="234">
        <f>RATES!$D$36</f>
        <v>165</v>
      </c>
      <c r="F57" s="236">
        <f>C57*E57</f>
        <v>69896.392500000002</v>
      </c>
      <c r="G57" s="118" t="s">
        <v>626</v>
      </c>
    </row>
    <row r="58" spans="1:7" ht="33" customHeight="1">
      <c r="A58" s="224"/>
      <c r="B58" s="226"/>
      <c r="C58" s="226"/>
      <c r="D58" s="226"/>
      <c r="E58" s="226"/>
      <c r="F58" s="235"/>
    </row>
    <row r="59" spans="1:7" ht="33" customHeight="1">
      <c r="A59" s="228" t="s">
        <v>33</v>
      </c>
      <c r="B59" s="231" t="s">
        <v>410</v>
      </c>
      <c r="C59" s="232">
        <f>TAKEOFF!$H$3090</f>
        <v>66.532799999999995</v>
      </c>
      <c r="D59" s="233" t="s">
        <v>322</v>
      </c>
      <c r="E59" s="234">
        <f>RATES!$D$42</f>
        <v>165</v>
      </c>
      <c r="F59" s="236">
        <f>C59*E59</f>
        <v>10977.911999999998</v>
      </c>
      <c r="G59" s="118" t="s">
        <v>549</v>
      </c>
    </row>
    <row r="60" spans="1:7" ht="33" customHeight="1">
      <c r="A60" s="224"/>
      <c r="B60" s="226"/>
      <c r="C60" s="226"/>
      <c r="D60" s="226"/>
      <c r="E60" s="226"/>
      <c r="F60" s="235"/>
    </row>
    <row r="61" spans="1:7" ht="33" customHeight="1">
      <c r="A61" s="228" t="s">
        <v>35</v>
      </c>
      <c r="B61" s="231" t="s">
        <v>412</v>
      </c>
      <c r="C61" s="232">
        <f>TAKEOFF!$H$3127</f>
        <v>124.44000000000001</v>
      </c>
      <c r="D61" s="233" t="s">
        <v>322</v>
      </c>
      <c r="E61" s="234">
        <f>RATES!$D$43</f>
        <v>165</v>
      </c>
      <c r="F61" s="236">
        <f>C61*E61</f>
        <v>20532.600000000002</v>
      </c>
      <c r="G61" s="118" t="s">
        <v>754</v>
      </c>
    </row>
    <row r="62" spans="1:7" ht="33" customHeight="1">
      <c r="A62" s="224"/>
      <c r="B62" s="226"/>
      <c r="C62" s="226"/>
      <c r="D62" s="226"/>
      <c r="E62" s="226"/>
      <c r="F62" s="235"/>
    </row>
    <row r="63" spans="1:7" ht="33" customHeight="1">
      <c r="A63" s="224"/>
      <c r="B63" s="230" t="s">
        <v>413</v>
      </c>
      <c r="C63" s="226"/>
      <c r="D63" s="226"/>
      <c r="E63" s="226"/>
      <c r="F63" s="235"/>
    </row>
    <row r="64" spans="1:7" ht="33" customHeight="1">
      <c r="A64" s="228" t="s">
        <v>37</v>
      </c>
      <c r="B64" s="231" t="s">
        <v>414</v>
      </c>
      <c r="C64" s="232">
        <f>TAKEOFF!$H$3131</f>
        <v>4.5510000000000002</v>
      </c>
      <c r="D64" s="233" t="s">
        <v>353</v>
      </c>
      <c r="E64" s="234">
        <f>RATES!$D$29</f>
        <v>14300.000000000002</v>
      </c>
      <c r="F64" s="236">
        <f>C64*E64</f>
        <v>65079.30000000001</v>
      </c>
      <c r="G64" s="118" t="s">
        <v>627</v>
      </c>
    </row>
    <row r="65" spans="1:7" ht="33" customHeight="1">
      <c r="A65" s="224"/>
      <c r="B65" s="226"/>
      <c r="C65" s="226"/>
      <c r="D65" s="226"/>
      <c r="E65" s="226"/>
      <c r="F65" s="235"/>
    </row>
    <row r="66" spans="1:7" ht="33" customHeight="1">
      <c r="A66" s="228" t="s">
        <v>39</v>
      </c>
      <c r="B66" s="231" t="s">
        <v>416</v>
      </c>
      <c r="C66" s="232">
        <f>TAKEOFF!$H$3134</f>
        <v>7.133</v>
      </c>
      <c r="D66" s="233" t="s">
        <v>353</v>
      </c>
      <c r="E66" s="234">
        <f>RATES!$D$32</f>
        <v>14300.000000000002</v>
      </c>
      <c r="F66" s="236">
        <f>C66*E66</f>
        <v>102001.90000000001</v>
      </c>
      <c r="G66" s="118" t="s">
        <v>628</v>
      </c>
    </row>
    <row r="67" spans="1:7" ht="33" customHeight="1">
      <c r="A67" s="224"/>
      <c r="B67" s="226"/>
      <c r="C67" s="226"/>
      <c r="D67" s="226"/>
      <c r="E67" s="226"/>
      <c r="F67" s="235"/>
    </row>
    <row r="68" spans="1:7" ht="33" customHeight="1">
      <c r="A68" s="228" t="s">
        <v>418</v>
      </c>
      <c r="B68" s="231" t="s">
        <v>422</v>
      </c>
      <c r="C68" s="232">
        <f>TAKEOFF!$H$3137</f>
        <v>1.806</v>
      </c>
      <c r="D68" s="233" t="s">
        <v>353</v>
      </c>
      <c r="E68" s="234">
        <f>RATES!$D$29</f>
        <v>14300.000000000002</v>
      </c>
      <c r="F68" s="236">
        <f>C68*E68</f>
        <v>25825.800000000003</v>
      </c>
      <c r="G68" s="118" t="s">
        <v>701</v>
      </c>
    </row>
    <row r="69" spans="1:7" ht="33" customHeight="1">
      <c r="A69" s="224"/>
      <c r="B69" s="226"/>
      <c r="C69" s="226"/>
      <c r="D69" s="226"/>
      <c r="E69" s="226"/>
      <c r="F69" s="235"/>
    </row>
    <row r="70" spans="1:7" ht="33" customHeight="1">
      <c r="A70" s="228" t="s">
        <v>421</v>
      </c>
      <c r="B70" s="231" t="s">
        <v>425</v>
      </c>
      <c r="C70" s="232">
        <f>TAKEOFF!$H$3140</f>
        <v>1.248</v>
      </c>
      <c r="D70" s="233" t="s">
        <v>353</v>
      </c>
      <c r="E70" s="234">
        <f>RATES!$D$31</f>
        <v>14300.000000000002</v>
      </c>
      <c r="F70" s="236">
        <f>C70*E70</f>
        <v>17846.400000000001</v>
      </c>
      <c r="G70" s="118" t="s">
        <v>702</v>
      </c>
    </row>
    <row r="71" spans="1:7" ht="33" customHeight="1">
      <c r="A71" s="224"/>
      <c r="B71" s="226"/>
      <c r="C71" s="226"/>
      <c r="D71" s="226"/>
      <c r="E71" s="226"/>
      <c r="F71" s="235"/>
    </row>
    <row r="72" spans="1:7" ht="33" customHeight="1">
      <c r="A72" s="228" t="s">
        <v>424</v>
      </c>
      <c r="B72" s="231" t="s">
        <v>428</v>
      </c>
      <c r="C72" s="232">
        <f>TAKEOFF!$H$3143</f>
        <v>2.1349999999999998</v>
      </c>
      <c r="D72" s="233" t="s">
        <v>353</v>
      </c>
      <c r="E72" s="234">
        <f>RATES!$D$32</f>
        <v>14300.000000000002</v>
      </c>
      <c r="F72" s="236">
        <f>C72*E72</f>
        <v>30530.5</v>
      </c>
      <c r="G72" s="118" t="s">
        <v>703</v>
      </c>
    </row>
    <row r="73" spans="1:7" ht="33" customHeight="1">
      <c r="A73" s="224"/>
      <c r="B73" s="226"/>
      <c r="C73" s="226"/>
      <c r="D73" s="226"/>
      <c r="E73" s="226"/>
      <c r="F73" s="235"/>
    </row>
    <row r="74" spans="1:7" ht="33" customHeight="1">
      <c r="A74" s="228" t="s">
        <v>427</v>
      </c>
      <c r="B74" s="231" t="s">
        <v>431</v>
      </c>
      <c r="C74" s="232">
        <f>TAKEOFF!$H$3146</f>
        <v>5.5069999999999997</v>
      </c>
      <c r="D74" s="233" t="s">
        <v>353</v>
      </c>
      <c r="E74" s="234">
        <f>RATES!$D$33</f>
        <v>14300.000000000002</v>
      </c>
      <c r="F74" s="236">
        <f>C74*E74</f>
        <v>78750.100000000006</v>
      </c>
      <c r="G74" s="118" t="s">
        <v>704</v>
      </c>
    </row>
    <row r="75" spans="1:7" ht="33" customHeight="1">
      <c r="A75" s="224"/>
      <c r="B75" s="226"/>
      <c r="C75" s="226"/>
      <c r="D75" s="226"/>
      <c r="E75" s="226"/>
      <c r="F75" s="235"/>
    </row>
    <row r="76" spans="1:7" ht="33" customHeight="1">
      <c r="A76" s="228" t="s">
        <v>430</v>
      </c>
      <c r="B76" s="231" t="s">
        <v>434</v>
      </c>
      <c r="C76" s="232">
        <f>TAKEOFF!$H$3150</f>
        <v>2.0779999999999998</v>
      </c>
      <c r="D76" s="233" t="s">
        <v>353</v>
      </c>
      <c r="E76" s="234">
        <f>RATES!$D$29</f>
        <v>14300.000000000002</v>
      </c>
      <c r="F76" s="236">
        <f>C76*E76</f>
        <v>29715.4</v>
      </c>
      <c r="G76" s="118" t="s">
        <v>633</v>
      </c>
    </row>
    <row r="77" spans="1:7" ht="33" customHeight="1">
      <c r="A77" s="224"/>
      <c r="B77" s="226"/>
      <c r="C77" s="226"/>
      <c r="D77" s="226"/>
      <c r="E77" s="226"/>
      <c r="F77" s="235"/>
    </row>
    <row r="78" spans="1:7" ht="33" customHeight="1">
      <c r="A78" s="228" t="s">
        <v>433</v>
      </c>
      <c r="B78" s="231" t="s">
        <v>437</v>
      </c>
      <c r="C78" s="232">
        <f>TAKEOFF!$H$3154</f>
        <v>2.7829999999999999</v>
      </c>
      <c r="D78" s="233" t="s">
        <v>353</v>
      </c>
      <c r="E78" s="234">
        <f>RATES!$D$30</f>
        <v>14300.000000000002</v>
      </c>
      <c r="F78" s="236">
        <f>C78*E78</f>
        <v>39796.9</v>
      </c>
      <c r="G78" s="118" t="s">
        <v>634</v>
      </c>
    </row>
    <row r="79" spans="1:7" ht="33" customHeight="1">
      <c r="A79" s="224"/>
      <c r="B79" s="226"/>
      <c r="C79" s="226"/>
      <c r="D79" s="226"/>
      <c r="E79" s="226"/>
      <c r="F79" s="235"/>
    </row>
    <row r="80" spans="1:7" ht="33" customHeight="1">
      <c r="A80" s="228" t="s">
        <v>436</v>
      </c>
      <c r="B80" s="231" t="s">
        <v>705</v>
      </c>
      <c r="C80" s="232">
        <f>TAKEOFF!$H$3158</f>
        <v>10.224</v>
      </c>
      <c r="D80" s="233" t="s">
        <v>353</v>
      </c>
      <c r="E80" s="234">
        <f>RATES!$D$32</f>
        <v>14300.000000000002</v>
      </c>
      <c r="F80" s="236">
        <f>C80*E80</f>
        <v>146203.20000000001</v>
      </c>
      <c r="G80" s="118" t="s">
        <v>733</v>
      </c>
    </row>
    <row r="81" spans="1:7" ht="33" customHeight="1">
      <c r="A81" s="224"/>
      <c r="B81" s="226"/>
      <c r="C81" s="226"/>
      <c r="D81" s="226"/>
      <c r="E81" s="226"/>
      <c r="F81" s="235"/>
    </row>
    <row r="82" spans="1:7" ht="33" customHeight="1">
      <c r="A82" s="228" t="s">
        <v>439</v>
      </c>
      <c r="B82" s="231" t="s">
        <v>442</v>
      </c>
      <c r="C82" s="232">
        <f>TAKEOFF!$H$3161</f>
        <v>0.88</v>
      </c>
      <c r="D82" s="233" t="s">
        <v>353</v>
      </c>
      <c r="E82" s="234">
        <f>RATES!$D$30</f>
        <v>14300.000000000002</v>
      </c>
      <c r="F82" s="236">
        <f>C82*E82</f>
        <v>12584.000000000002</v>
      </c>
      <c r="G82" s="118" t="s">
        <v>636</v>
      </c>
    </row>
    <row r="83" spans="1:7" ht="33" customHeight="1">
      <c r="A83" s="224"/>
      <c r="B83" s="226"/>
      <c r="C83" s="226"/>
      <c r="D83" s="226"/>
      <c r="E83" s="226"/>
      <c r="F83" s="235"/>
    </row>
    <row r="84" spans="1:7" ht="33" customHeight="1">
      <c r="A84" s="228" t="s">
        <v>9</v>
      </c>
      <c r="B84" s="231" t="s">
        <v>444</v>
      </c>
      <c r="C84" s="232">
        <f>TAKEOFF!$H$3164</f>
        <v>1.4339999999999999</v>
      </c>
      <c r="D84" s="233" t="s">
        <v>353</v>
      </c>
      <c r="E84" s="234">
        <f>RATES!$D$31</f>
        <v>14300.000000000002</v>
      </c>
      <c r="F84" s="236">
        <f>C84*E84</f>
        <v>20506.2</v>
      </c>
      <c r="G84" s="118" t="s">
        <v>637</v>
      </c>
    </row>
    <row r="85" spans="1:7" ht="33" customHeight="1">
      <c r="A85" s="224"/>
      <c r="B85" s="226"/>
      <c r="C85" s="226"/>
      <c r="D85" s="226"/>
      <c r="E85" s="226"/>
      <c r="F85" s="235"/>
    </row>
    <row r="86" spans="1:7" ht="33" customHeight="1">
      <c r="A86" s="228" t="s">
        <v>11</v>
      </c>
      <c r="B86" s="231" t="s">
        <v>446</v>
      </c>
      <c r="C86" s="232">
        <f>TAKEOFF!$H$3167</f>
        <v>49.804000000000002</v>
      </c>
      <c r="D86" s="233" t="s">
        <v>353</v>
      </c>
      <c r="E86" s="234">
        <f>RATES!$D$30</f>
        <v>14300.000000000002</v>
      </c>
      <c r="F86" s="236">
        <f>C86*E86</f>
        <v>712197.20000000007</v>
      </c>
      <c r="G86" s="118" t="s">
        <v>708</v>
      </c>
    </row>
    <row r="87" spans="1:7" ht="33" customHeight="1">
      <c r="A87" s="224"/>
      <c r="B87" s="226"/>
      <c r="C87" s="226"/>
      <c r="D87" s="226"/>
      <c r="E87" s="226"/>
      <c r="F87" s="235"/>
    </row>
    <row r="88" spans="1:7" ht="33" customHeight="1">
      <c r="A88" s="228" t="s">
        <v>13</v>
      </c>
      <c r="B88" s="231" t="s">
        <v>448</v>
      </c>
      <c r="C88" s="232">
        <f>TAKEOFF!$H$3170</f>
        <v>0.151</v>
      </c>
      <c r="D88" s="233" t="s">
        <v>353</v>
      </c>
      <c r="E88" s="234">
        <f>RATES!$D$31</f>
        <v>14300.000000000002</v>
      </c>
      <c r="F88" s="236">
        <f>C88*E88</f>
        <v>2159.3000000000002</v>
      </c>
      <c r="G88" s="118" t="s">
        <v>709</v>
      </c>
    </row>
    <row r="89" spans="1:7" ht="33" customHeight="1">
      <c r="A89" s="109"/>
      <c r="B89" s="136"/>
      <c r="C89" s="136"/>
      <c r="D89" s="136"/>
      <c r="E89" s="136"/>
      <c r="F89" s="117"/>
    </row>
    <row r="90" spans="1:7" ht="33" customHeight="1" thickBot="1">
      <c r="A90" s="141"/>
      <c r="B90" s="154" t="str">
        <f>B31</f>
        <v>ELEMENT NO. 1: IN SITU CONCRETE/LARGE PRECAST CONCRETE</v>
      </c>
      <c r="C90" s="142"/>
      <c r="D90" s="142"/>
      <c r="E90" s="143"/>
      <c r="F90" s="116">
        <f>SUM(F33:F89)</f>
        <v>2632741.69325</v>
      </c>
    </row>
    <row r="91" spans="1:7" ht="37.799999999999997" customHeight="1" thickTop="1" thickBot="1">
      <c r="A91" s="150"/>
      <c r="B91" s="151" t="s">
        <v>339</v>
      </c>
      <c r="C91" s="152"/>
      <c r="D91" s="152"/>
      <c r="E91" s="152"/>
      <c r="F91" s="153"/>
    </row>
    <row r="92" spans="1:7" ht="25.8" customHeight="1" thickTop="1">
      <c r="A92" s="109"/>
      <c r="B92" s="136"/>
      <c r="C92" s="136"/>
      <c r="D92" s="136"/>
      <c r="E92" s="136"/>
      <c r="F92" s="117"/>
    </row>
    <row r="93" spans="1:7" ht="25.8" customHeight="1">
      <c r="A93" s="224"/>
      <c r="B93" s="226"/>
      <c r="C93" s="226"/>
      <c r="D93" s="226"/>
      <c r="E93" s="226"/>
      <c r="F93" s="235"/>
    </row>
    <row r="94" spans="1:7" ht="25.8" customHeight="1">
      <c r="A94" s="224"/>
      <c r="B94" s="225" t="s">
        <v>380</v>
      </c>
      <c r="C94" s="226"/>
      <c r="D94" s="226"/>
      <c r="E94" s="226"/>
      <c r="F94" s="235"/>
    </row>
    <row r="95" spans="1:7" ht="25.8" customHeight="1">
      <c r="A95" s="224"/>
      <c r="B95" s="226"/>
      <c r="C95" s="226"/>
      <c r="D95" s="226"/>
      <c r="E95" s="226"/>
      <c r="F95" s="235"/>
    </row>
    <row r="96" spans="1:7" ht="25.8" customHeight="1">
      <c r="A96" s="224"/>
      <c r="B96" s="230" t="s">
        <v>450</v>
      </c>
      <c r="C96" s="226"/>
      <c r="D96" s="226"/>
      <c r="E96" s="226"/>
      <c r="F96" s="235"/>
    </row>
    <row r="97" spans="1:7" ht="25.8" customHeight="1">
      <c r="A97" s="228" t="s">
        <v>9</v>
      </c>
      <c r="B97" s="231" t="s">
        <v>451</v>
      </c>
      <c r="C97" s="232">
        <f>TAKEOFF!$H$3210</f>
        <v>1621.8763799999997</v>
      </c>
      <c r="D97" s="233" t="s">
        <v>322</v>
      </c>
      <c r="E97" s="234">
        <f>RATES!$D$46</f>
        <v>215</v>
      </c>
      <c r="F97" s="236">
        <f>C97*E97</f>
        <v>348703.42169999995</v>
      </c>
      <c r="G97" s="118" t="s">
        <v>755</v>
      </c>
    </row>
    <row r="98" spans="1:7" ht="25.8" customHeight="1">
      <c r="A98" s="224"/>
      <c r="B98" s="226"/>
      <c r="C98" s="226"/>
      <c r="D98" s="226"/>
      <c r="E98" s="226"/>
      <c r="F98" s="235"/>
    </row>
    <row r="99" spans="1:7" ht="25.8" customHeight="1">
      <c r="A99" s="228" t="s">
        <v>11</v>
      </c>
      <c r="B99" s="231" t="s">
        <v>453</v>
      </c>
      <c r="C99" s="232">
        <f>TAKEOFF!$H$3248</f>
        <v>174.07862</v>
      </c>
      <c r="D99" s="233" t="s">
        <v>322</v>
      </c>
      <c r="E99" s="234">
        <f>RATES!$D$47</f>
        <v>265</v>
      </c>
      <c r="F99" s="236">
        <f>C99*E99</f>
        <v>46130.834300000002</v>
      </c>
      <c r="G99" s="118" t="s">
        <v>756</v>
      </c>
    </row>
    <row r="100" spans="1:7" ht="25.8" customHeight="1">
      <c r="A100" s="109"/>
      <c r="B100" s="136"/>
      <c r="C100" s="136"/>
      <c r="D100" s="136"/>
      <c r="E100" s="136"/>
      <c r="F100" s="117"/>
    </row>
    <row r="101" spans="1:7" ht="25.8" customHeight="1" thickBot="1">
      <c r="A101" s="141"/>
      <c r="B101" s="154" t="str">
        <f>B94</f>
        <v>ELEMENT NO. 2: MASONRY</v>
      </c>
      <c r="C101" s="142"/>
      <c r="D101" s="142"/>
      <c r="E101" s="143"/>
      <c r="F101" s="116">
        <f>SUM(F96:F100)</f>
        <v>394834.25599999994</v>
      </c>
    </row>
    <row r="102" spans="1:7" ht="25.8" customHeight="1" thickTop="1" thickBot="1">
      <c r="A102" s="150"/>
      <c r="B102" s="151" t="s">
        <v>339</v>
      </c>
      <c r="C102" s="152"/>
      <c r="D102" s="152"/>
      <c r="E102" s="152"/>
      <c r="F102" s="153"/>
    </row>
    <row r="103" spans="1:7" ht="25.8" customHeight="1" thickTop="1">
      <c r="A103" s="109"/>
      <c r="B103" s="136"/>
      <c r="C103" s="136"/>
      <c r="D103" s="136"/>
      <c r="E103" s="136"/>
      <c r="F103" s="117"/>
    </row>
    <row r="104" spans="1:7" ht="25.8" customHeight="1">
      <c r="A104" s="224"/>
      <c r="B104" s="226"/>
      <c r="C104" s="226"/>
      <c r="D104" s="226"/>
      <c r="E104" s="226"/>
      <c r="F104" s="235"/>
    </row>
    <row r="105" spans="1:7" ht="25.8" customHeight="1">
      <c r="A105" s="224"/>
      <c r="B105" s="225" t="s">
        <v>381</v>
      </c>
      <c r="C105" s="226"/>
      <c r="D105" s="226"/>
      <c r="E105" s="226"/>
      <c r="F105" s="235"/>
    </row>
    <row r="106" spans="1:7" ht="25.8" customHeight="1">
      <c r="A106" s="224"/>
      <c r="B106" s="226"/>
      <c r="C106" s="226"/>
      <c r="D106" s="226"/>
      <c r="E106" s="226"/>
      <c r="F106" s="235"/>
    </row>
    <row r="107" spans="1:7" ht="25.8" customHeight="1">
      <c r="A107" s="224"/>
      <c r="B107" s="230" t="s">
        <v>455</v>
      </c>
      <c r="C107" s="226"/>
      <c r="D107" s="226"/>
      <c r="E107" s="226"/>
      <c r="F107" s="235"/>
    </row>
    <row r="108" spans="1:7" ht="25.8" customHeight="1">
      <c r="A108" s="228" t="s">
        <v>9</v>
      </c>
      <c r="B108" s="231" t="s">
        <v>642</v>
      </c>
      <c r="C108" s="232">
        <f>TAKEOFF!$H$3253</f>
        <v>8</v>
      </c>
      <c r="D108" s="233" t="s">
        <v>457</v>
      </c>
      <c r="E108" s="234">
        <f>RATES!$D$75</f>
        <v>7800</v>
      </c>
      <c r="F108" s="236">
        <f>C108*E108</f>
        <v>62400</v>
      </c>
      <c r="G108" s="118" t="s">
        <v>669</v>
      </c>
    </row>
    <row r="109" spans="1:7" ht="25.8" customHeight="1">
      <c r="A109" s="224"/>
      <c r="B109" s="226"/>
      <c r="C109" s="226"/>
      <c r="D109" s="226"/>
      <c r="E109" s="226"/>
      <c r="F109" s="235"/>
    </row>
    <row r="110" spans="1:7" ht="25.8" customHeight="1">
      <c r="A110" s="228" t="s">
        <v>11</v>
      </c>
      <c r="B110" s="231" t="s">
        <v>459</v>
      </c>
      <c r="C110" s="232">
        <f>TAKEOFF!$H$3256</f>
        <v>15</v>
      </c>
      <c r="D110" s="233" t="s">
        <v>457</v>
      </c>
      <c r="E110" s="234">
        <f>RATES!$D$76</f>
        <v>3400</v>
      </c>
      <c r="F110" s="236">
        <f>C110*E110</f>
        <v>51000</v>
      </c>
      <c r="G110" s="118" t="s">
        <v>712</v>
      </c>
    </row>
    <row r="111" spans="1:7" ht="25.8" customHeight="1">
      <c r="A111" s="224"/>
      <c r="B111" s="226"/>
      <c r="C111" s="226"/>
      <c r="D111" s="226"/>
      <c r="E111" s="226"/>
      <c r="F111" s="235"/>
    </row>
    <row r="112" spans="1:7" ht="25.8" customHeight="1">
      <c r="A112" s="228" t="s">
        <v>13</v>
      </c>
      <c r="B112" s="231" t="s">
        <v>463</v>
      </c>
      <c r="C112" s="232">
        <f>TAKEOFF!$H$3259</f>
        <v>21</v>
      </c>
      <c r="D112" s="233" t="s">
        <v>457</v>
      </c>
      <c r="E112" s="234">
        <f>RATES!$D$79</f>
        <v>1900</v>
      </c>
      <c r="F112" s="236">
        <f>C112*E112</f>
        <v>39900</v>
      </c>
      <c r="G112" s="118" t="s">
        <v>645</v>
      </c>
    </row>
    <row r="113" spans="1:7" ht="25.8" customHeight="1">
      <c r="A113" s="224"/>
      <c r="B113" s="226"/>
      <c r="C113" s="226"/>
      <c r="D113" s="226"/>
      <c r="E113" s="226"/>
      <c r="F113" s="235"/>
    </row>
    <row r="114" spans="1:7" ht="25.8" customHeight="1">
      <c r="A114" s="228" t="s">
        <v>15</v>
      </c>
      <c r="B114" s="231" t="s">
        <v>464</v>
      </c>
      <c r="C114" s="232">
        <f>TAKEOFF!$H$3262</f>
        <v>1</v>
      </c>
      <c r="D114" s="233" t="s">
        <v>457</v>
      </c>
      <c r="E114" s="234">
        <f>RATES!$D$80</f>
        <v>6800</v>
      </c>
      <c r="F114" s="236">
        <f>C114*E114</f>
        <v>6800</v>
      </c>
      <c r="G114" s="118" t="s">
        <v>458</v>
      </c>
    </row>
    <row r="115" spans="1:7" ht="25.8" customHeight="1">
      <c r="A115" s="224"/>
      <c r="B115" s="226"/>
      <c r="C115" s="226"/>
      <c r="D115" s="226"/>
      <c r="E115" s="226"/>
      <c r="F115" s="235"/>
    </row>
    <row r="116" spans="1:7" ht="25.8" customHeight="1">
      <c r="A116" s="228" t="s">
        <v>17</v>
      </c>
      <c r="B116" s="231" t="s">
        <v>646</v>
      </c>
      <c r="C116" s="232">
        <f>TAKEOFF!$H$3265</f>
        <v>3</v>
      </c>
      <c r="D116" s="233" t="s">
        <v>457</v>
      </c>
      <c r="E116" s="234">
        <f>RATES!$D$81</f>
        <v>9800</v>
      </c>
      <c r="F116" s="236">
        <f>C116*E116</f>
        <v>29400</v>
      </c>
      <c r="G116" s="118" t="s">
        <v>467</v>
      </c>
    </row>
    <row r="117" spans="1:7" ht="25.8" customHeight="1">
      <c r="A117" s="224"/>
      <c r="B117" s="226"/>
      <c r="C117" s="226"/>
      <c r="D117" s="226"/>
      <c r="E117" s="226"/>
      <c r="F117" s="235"/>
    </row>
    <row r="118" spans="1:7" ht="25.8" customHeight="1">
      <c r="A118" s="228" t="s">
        <v>19</v>
      </c>
      <c r="B118" s="231" t="s">
        <v>466</v>
      </c>
      <c r="C118" s="232">
        <f>TAKEOFF!$H$3268</f>
        <v>3</v>
      </c>
      <c r="D118" s="233" t="s">
        <v>457</v>
      </c>
      <c r="E118" s="234">
        <f>RATES!$D$82</f>
        <v>7200</v>
      </c>
      <c r="F118" s="236">
        <f>C118*E118</f>
        <v>21600</v>
      </c>
      <c r="G118" s="118" t="s">
        <v>467</v>
      </c>
    </row>
    <row r="119" spans="1:7" ht="25.8" customHeight="1">
      <c r="A119" s="224"/>
      <c r="B119" s="226"/>
      <c r="C119" s="226"/>
      <c r="D119" s="226"/>
      <c r="E119" s="226"/>
      <c r="F119" s="235"/>
    </row>
    <row r="120" spans="1:7" ht="25.8" customHeight="1">
      <c r="A120" s="228" t="s">
        <v>21</v>
      </c>
      <c r="B120" s="231" t="s">
        <v>647</v>
      </c>
      <c r="C120" s="232">
        <f>TAKEOFF!$H$3271</f>
        <v>3</v>
      </c>
      <c r="D120" s="233" t="s">
        <v>457</v>
      </c>
      <c r="E120" s="234">
        <f>RATES!$D$83</f>
        <v>8100</v>
      </c>
      <c r="F120" s="236">
        <f>C120*E120</f>
        <v>24300</v>
      </c>
      <c r="G120" s="118" t="s">
        <v>467</v>
      </c>
    </row>
    <row r="121" spans="1:7" ht="25.8" customHeight="1">
      <c r="A121" s="224"/>
      <c r="B121" s="226"/>
      <c r="C121" s="226"/>
      <c r="D121" s="226"/>
      <c r="E121" s="226"/>
      <c r="F121" s="235"/>
    </row>
    <row r="122" spans="1:7" ht="25.8" customHeight="1">
      <c r="A122" s="228" t="s">
        <v>23</v>
      </c>
      <c r="B122" s="231" t="s">
        <v>468</v>
      </c>
      <c r="C122" s="232">
        <f>TAKEOFF!$H$3274</f>
        <v>1</v>
      </c>
      <c r="D122" s="233" t="s">
        <v>457</v>
      </c>
      <c r="E122" s="234">
        <f>RATES!$D$84</f>
        <v>6900</v>
      </c>
      <c r="F122" s="236">
        <f>C122*E122</f>
        <v>6900</v>
      </c>
      <c r="G122" s="118" t="s">
        <v>458</v>
      </c>
    </row>
    <row r="123" spans="1:7" ht="25.8" customHeight="1">
      <c r="A123" s="224"/>
      <c r="B123" s="226"/>
      <c r="C123" s="226"/>
      <c r="D123" s="226"/>
      <c r="E123" s="226"/>
      <c r="F123" s="235"/>
    </row>
    <row r="124" spans="1:7" ht="25.8" customHeight="1">
      <c r="A124" s="228" t="s">
        <v>25</v>
      </c>
      <c r="B124" s="231" t="s">
        <v>648</v>
      </c>
      <c r="C124" s="232">
        <f>TAKEOFF!$H$3277</f>
        <v>1</v>
      </c>
      <c r="D124" s="233" t="s">
        <v>457</v>
      </c>
      <c r="E124" s="234">
        <f>RATES!$D$86</f>
        <v>4600</v>
      </c>
      <c r="F124" s="236">
        <f>C124*E124</f>
        <v>4600</v>
      </c>
      <c r="G124" s="118" t="s">
        <v>458</v>
      </c>
    </row>
    <row r="125" spans="1:7" ht="25.8" customHeight="1">
      <c r="A125" s="224"/>
      <c r="B125" s="226"/>
      <c r="C125" s="226"/>
      <c r="D125" s="226"/>
      <c r="E125" s="226"/>
      <c r="F125" s="235"/>
    </row>
    <row r="126" spans="1:7" ht="25.8" customHeight="1">
      <c r="A126" s="228" t="s">
        <v>27</v>
      </c>
      <c r="B126" s="231" t="s">
        <v>649</v>
      </c>
      <c r="C126" s="232">
        <f>TAKEOFF!$H$3280</f>
        <v>2</v>
      </c>
      <c r="D126" s="233" t="s">
        <v>457</v>
      </c>
      <c r="E126" s="234">
        <f>RATES!$D$87</f>
        <v>2900</v>
      </c>
      <c r="F126" s="236">
        <f>C126*E126</f>
        <v>5800</v>
      </c>
      <c r="G126" s="118" t="s">
        <v>465</v>
      </c>
    </row>
    <row r="127" spans="1:7" ht="25.8" customHeight="1">
      <c r="A127" s="224"/>
      <c r="B127" s="226"/>
      <c r="C127" s="226"/>
      <c r="D127" s="226"/>
      <c r="E127" s="226"/>
      <c r="F127" s="235"/>
    </row>
    <row r="128" spans="1:7" ht="25.8" customHeight="1">
      <c r="A128" s="228" t="s">
        <v>29</v>
      </c>
      <c r="B128" s="231" t="s">
        <v>650</v>
      </c>
      <c r="C128" s="232">
        <f>TAKEOFF!$H$3283</f>
        <v>5</v>
      </c>
      <c r="D128" s="233" t="s">
        <v>457</v>
      </c>
      <c r="E128" s="234">
        <f>RATES!$D$88</f>
        <v>2600</v>
      </c>
      <c r="F128" s="236">
        <f>C128*E128</f>
        <v>13000</v>
      </c>
      <c r="G128" s="118" t="s">
        <v>651</v>
      </c>
    </row>
    <row r="129" spans="1:7" ht="25.8" customHeight="1">
      <c r="A129" s="224"/>
      <c r="B129" s="226"/>
      <c r="C129" s="226"/>
      <c r="D129" s="226"/>
      <c r="E129" s="226"/>
      <c r="F129" s="235"/>
    </row>
    <row r="130" spans="1:7" ht="25.8" customHeight="1">
      <c r="A130" s="228" t="s">
        <v>31</v>
      </c>
      <c r="B130" s="231" t="s">
        <v>652</v>
      </c>
      <c r="C130" s="232">
        <f>TAKEOFF!$H$3286</f>
        <v>1</v>
      </c>
      <c r="D130" s="233" t="s">
        <v>457</v>
      </c>
      <c r="E130" s="234">
        <f>RATES!$D$89</f>
        <v>1900</v>
      </c>
      <c r="F130" s="236">
        <f>C130*E130</f>
        <v>1900</v>
      </c>
      <c r="G130" s="118" t="s">
        <v>458</v>
      </c>
    </row>
    <row r="131" spans="1:7" ht="25.8" customHeight="1">
      <c r="A131" s="224"/>
      <c r="B131" s="226"/>
      <c r="C131" s="226"/>
      <c r="D131" s="226"/>
      <c r="E131" s="226"/>
      <c r="F131" s="235"/>
    </row>
    <row r="132" spans="1:7" ht="25.8" customHeight="1">
      <c r="A132" s="228" t="s">
        <v>33</v>
      </c>
      <c r="B132" s="231" t="s">
        <v>653</v>
      </c>
      <c r="C132" s="232">
        <f>TAKEOFF!$H$3289</f>
        <v>3</v>
      </c>
      <c r="D132" s="233" t="s">
        <v>457</v>
      </c>
      <c r="E132" s="234">
        <f>RATES!$D$90</f>
        <v>2200</v>
      </c>
      <c r="F132" s="236">
        <f>C132*E132</f>
        <v>6600</v>
      </c>
      <c r="G132" s="118" t="s">
        <v>467</v>
      </c>
    </row>
    <row r="133" spans="1:7" ht="25.8" customHeight="1">
      <c r="A133" s="224"/>
      <c r="B133" s="226"/>
      <c r="C133" s="226"/>
      <c r="D133" s="226"/>
      <c r="E133" s="226"/>
      <c r="F133" s="235"/>
    </row>
    <row r="134" spans="1:7" ht="25.8" customHeight="1">
      <c r="A134" s="228" t="s">
        <v>35</v>
      </c>
      <c r="B134" s="231" t="s">
        <v>654</v>
      </c>
      <c r="C134" s="232">
        <f>TAKEOFF!$H$3292</f>
        <v>1</v>
      </c>
      <c r="D134" s="233" t="s">
        <v>457</v>
      </c>
      <c r="E134" s="234">
        <f>RATES!$D$94</f>
        <v>14500</v>
      </c>
      <c r="F134" s="236">
        <f>C134*E134</f>
        <v>14500</v>
      </c>
      <c r="G134" s="118" t="s">
        <v>458</v>
      </c>
    </row>
    <row r="135" spans="1:7" ht="25.8" customHeight="1">
      <c r="A135" s="224"/>
      <c r="B135" s="226"/>
      <c r="C135" s="226"/>
      <c r="D135" s="226"/>
      <c r="E135" s="226"/>
      <c r="F135" s="235"/>
    </row>
    <row r="136" spans="1:7" ht="25.8" customHeight="1">
      <c r="A136" s="228" t="s">
        <v>37</v>
      </c>
      <c r="B136" s="231" t="s">
        <v>655</v>
      </c>
      <c r="C136" s="232">
        <f>TAKEOFF!$H$3295</f>
        <v>4</v>
      </c>
      <c r="D136" s="233" t="s">
        <v>457</v>
      </c>
      <c r="E136" s="234">
        <f>RATES!$D$95</f>
        <v>8800</v>
      </c>
      <c r="F136" s="236">
        <f>C136*E136</f>
        <v>35200</v>
      </c>
      <c r="G136" s="118" t="s">
        <v>493</v>
      </c>
    </row>
    <row r="137" spans="1:7" ht="25.8" customHeight="1">
      <c r="A137" s="224"/>
      <c r="B137" s="226"/>
      <c r="C137" s="226"/>
      <c r="D137" s="226"/>
      <c r="E137" s="226"/>
      <c r="F137" s="235"/>
    </row>
    <row r="138" spans="1:7" ht="25.8" customHeight="1">
      <c r="A138" s="228" t="s">
        <v>39</v>
      </c>
      <c r="B138" s="231" t="s">
        <v>656</v>
      </c>
      <c r="C138" s="232">
        <f>TAKEOFF!$H$3298</f>
        <v>2</v>
      </c>
      <c r="D138" s="233" t="s">
        <v>457</v>
      </c>
      <c r="E138" s="234">
        <f>RATES!$D$96</f>
        <v>7600</v>
      </c>
      <c r="F138" s="236">
        <f>C138*E138</f>
        <v>15200</v>
      </c>
      <c r="G138" s="118" t="s">
        <v>465</v>
      </c>
    </row>
    <row r="139" spans="1:7" ht="25.8" customHeight="1">
      <c r="A139" s="224"/>
      <c r="B139" s="226"/>
      <c r="C139" s="226"/>
      <c r="D139" s="226"/>
      <c r="E139" s="226"/>
      <c r="F139" s="235"/>
    </row>
    <row r="140" spans="1:7" ht="25.8" customHeight="1">
      <c r="A140" s="228" t="s">
        <v>418</v>
      </c>
      <c r="B140" s="231" t="s">
        <v>657</v>
      </c>
      <c r="C140" s="232">
        <f>TAKEOFF!$H$3301</f>
        <v>4</v>
      </c>
      <c r="D140" s="233" t="s">
        <v>457</v>
      </c>
      <c r="E140" s="234">
        <f>RATES!$D$97</f>
        <v>9300</v>
      </c>
      <c r="F140" s="236">
        <f>C140*E140</f>
        <v>37200</v>
      </c>
      <c r="G140" s="118" t="s">
        <v>493</v>
      </c>
    </row>
    <row r="141" spans="1:7" ht="25.8" customHeight="1">
      <c r="A141" s="224"/>
      <c r="B141" s="226"/>
      <c r="C141" s="226"/>
      <c r="D141" s="226"/>
      <c r="E141" s="226"/>
      <c r="F141" s="235"/>
    </row>
    <row r="142" spans="1:7" ht="25.8" customHeight="1">
      <c r="A142" s="228" t="s">
        <v>421</v>
      </c>
      <c r="B142" s="231" t="s">
        <v>658</v>
      </c>
      <c r="C142" s="232">
        <f>TAKEOFF!$H$3304</f>
        <v>1</v>
      </c>
      <c r="D142" s="233" t="s">
        <v>457</v>
      </c>
      <c r="E142" s="234">
        <f>RATES!$D$98</f>
        <v>7200</v>
      </c>
      <c r="F142" s="236">
        <f>C142*E142</f>
        <v>7200</v>
      </c>
      <c r="G142" s="118" t="s">
        <v>458</v>
      </c>
    </row>
    <row r="143" spans="1:7" ht="25.8" customHeight="1">
      <c r="A143" s="224"/>
      <c r="B143" s="226"/>
      <c r="C143" s="226"/>
      <c r="D143" s="226"/>
      <c r="E143" s="226"/>
      <c r="F143" s="235"/>
    </row>
    <row r="144" spans="1:7" ht="25.8" customHeight="1">
      <c r="A144" s="228" t="s">
        <v>424</v>
      </c>
      <c r="B144" s="231" t="s">
        <v>474</v>
      </c>
      <c r="C144" s="232">
        <f>TAKEOFF!$H$3309</f>
        <v>193.55000000000004</v>
      </c>
      <c r="D144" s="233" t="s">
        <v>369</v>
      </c>
      <c r="E144" s="234">
        <f>RATES!$D$100</f>
        <v>125</v>
      </c>
      <c r="F144" s="236">
        <f>C144*E144</f>
        <v>24193.750000000004</v>
      </c>
      <c r="G144" s="118" t="s">
        <v>757</v>
      </c>
    </row>
    <row r="145" spans="1:7" ht="25.8" customHeight="1">
      <c r="A145" s="224"/>
      <c r="B145" s="226"/>
      <c r="C145" s="226"/>
      <c r="D145" s="226"/>
      <c r="E145" s="226"/>
      <c r="F145" s="235"/>
    </row>
    <row r="146" spans="1:7" ht="25.8" customHeight="1">
      <c r="A146" s="228" t="s">
        <v>427</v>
      </c>
      <c r="B146" s="231" t="s">
        <v>476</v>
      </c>
      <c r="C146" s="232">
        <f>TAKEOFF!$H$3314</f>
        <v>193.55000000000004</v>
      </c>
      <c r="D146" s="233" t="s">
        <v>369</v>
      </c>
      <c r="E146" s="234">
        <f>RATES!$D$101</f>
        <v>28</v>
      </c>
      <c r="F146" s="236">
        <f>C146*E146</f>
        <v>5419.4000000000015</v>
      </c>
      <c r="G146" s="118" t="s">
        <v>757</v>
      </c>
    </row>
    <row r="147" spans="1:7" ht="25.8" customHeight="1">
      <c r="A147" s="224"/>
      <c r="B147" s="226"/>
      <c r="C147" s="226"/>
      <c r="D147" s="226"/>
      <c r="E147" s="226"/>
      <c r="F147" s="235"/>
    </row>
    <row r="148" spans="1:7" s="9" customFormat="1" ht="25.8" customHeight="1">
      <c r="A148" s="224"/>
      <c r="B148" s="226"/>
      <c r="C148" s="226"/>
      <c r="D148" s="226"/>
      <c r="E148" s="226"/>
      <c r="F148" s="235"/>
    </row>
    <row r="149" spans="1:7" ht="25.8" customHeight="1">
      <c r="A149" s="224"/>
      <c r="B149" s="230" t="s">
        <v>477</v>
      </c>
      <c r="C149" s="226"/>
      <c r="D149" s="226"/>
      <c r="E149" s="226"/>
      <c r="F149" s="235"/>
    </row>
    <row r="150" spans="1:7" ht="25.8" customHeight="1">
      <c r="A150" s="228" t="s">
        <v>430</v>
      </c>
      <c r="B150" s="231" t="s">
        <v>478</v>
      </c>
      <c r="C150" s="232">
        <f>TAKEOFF!$H$3318</f>
        <v>54</v>
      </c>
      <c r="D150" s="233" t="s">
        <v>479</v>
      </c>
      <c r="E150" s="234">
        <f>RATES!$D$102</f>
        <v>125</v>
      </c>
      <c r="F150" s="236">
        <f>C150*E150</f>
        <v>6750</v>
      </c>
      <c r="G150" s="118" t="s">
        <v>758</v>
      </c>
    </row>
    <row r="151" spans="1:7" ht="25.8" customHeight="1">
      <c r="A151" s="224"/>
      <c r="B151" s="226"/>
      <c r="C151" s="226"/>
      <c r="D151" s="226"/>
      <c r="E151" s="226"/>
      <c r="F151" s="235"/>
    </row>
    <row r="152" spans="1:7" ht="25.8" customHeight="1">
      <c r="A152" s="228" t="s">
        <v>433</v>
      </c>
      <c r="B152" s="231" t="s">
        <v>481</v>
      </c>
      <c r="C152" s="232">
        <f>TAKEOFF!$H$3321</f>
        <v>15</v>
      </c>
      <c r="D152" s="233" t="s">
        <v>457</v>
      </c>
      <c r="E152" s="234">
        <f>RATES!$D$103</f>
        <v>480</v>
      </c>
      <c r="F152" s="236">
        <f>C152*E152</f>
        <v>7200</v>
      </c>
      <c r="G152" s="118" t="s">
        <v>712</v>
      </c>
    </row>
    <row r="153" spans="1:7" ht="25.8" customHeight="1">
      <c r="A153" s="224"/>
      <c r="B153" s="226"/>
      <c r="C153" s="226"/>
      <c r="D153" s="226"/>
      <c r="E153" s="226"/>
      <c r="F153" s="235"/>
    </row>
    <row r="154" spans="1:7" ht="25.8" customHeight="1">
      <c r="A154" s="228" t="s">
        <v>436</v>
      </c>
      <c r="B154" s="231" t="s">
        <v>483</v>
      </c>
      <c r="C154" s="232">
        <f>TAKEOFF!$H$3324</f>
        <v>21</v>
      </c>
      <c r="D154" s="233" t="s">
        <v>457</v>
      </c>
      <c r="E154" s="234">
        <f>RATES!$D$104</f>
        <v>560</v>
      </c>
      <c r="F154" s="236">
        <f>C154*E154</f>
        <v>11760</v>
      </c>
      <c r="G154" s="118" t="s">
        <v>645</v>
      </c>
    </row>
    <row r="155" spans="1:7" ht="25.8" customHeight="1">
      <c r="A155" s="224"/>
      <c r="B155" s="226"/>
      <c r="C155" s="226"/>
      <c r="D155" s="226"/>
      <c r="E155" s="226"/>
      <c r="F155" s="235"/>
    </row>
    <row r="156" spans="1:7" ht="25.8" customHeight="1">
      <c r="A156" s="224"/>
      <c r="B156" s="230" t="s">
        <v>484</v>
      </c>
      <c r="C156" s="226"/>
      <c r="D156" s="226"/>
      <c r="E156" s="226"/>
      <c r="F156" s="235"/>
    </row>
    <row r="157" spans="1:7" ht="25.8" customHeight="1">
      <c r="A157" s="228" t="s">
        <v>439</v>
      </c>
      <c r="B157" s="231" t="s">
        <v>661</v>
      </c>
      <c r="C157" s="232">
        <f>TAKEOFF!$H$3328</f>
        <v>6</v>
      </c>
      <c r="D157" s="233" t="s">
        <v>457</v>
      </c>
      <c r="E157" s="234">
        <f>RATES!$D$109</f>
        <v>3603.6000000000008</v>
      </c>
      <c r="F157" s="236">
        <f>C157*E157</f>
        <v>21621.600000000006</v>
      </c>
      <c r="G157" s="118" t="s">
        <v>460</v>
      </c>
    </row>
    <row r="158" spans="1:7" ht="25.8" customHeight="1">
      <c r="A158" s="224"/>
      <c r="B158" s="226"/>
      <c r="C158" s="226"/>
      <c r="D158" s="226"/>
      <c r="E158" s="226"/>
      <c r="F158" s="235"/>
    </row>
    <row r="159" spans="1:7" ht="25.8" customHeight="1">
      <c r="A159" s="228" t="s">
        <v>9</v>
      </c>
      <c r="B159" s="231" t="s">
        <v>662</v>
      </c>
      <c r="C159" s="232">
        <f>TAKEOFF!$H$3331</f>
        <v>10</v>
      </c>
      <c r="D159" s="233" t="s">
        <v>457</v>
      </c>
      <c r="E159" s="234">
        <f>RATES!$D$111</f>
        <v>1801.8000000000004</v>
      </c>
      <c r="F159" s="236">
        <f>C159*E159</f>
        <v>18018.000000000004</v>
      </c>
      <c r="G159" s="118" t="s">
        <v>643</v>
      </c>
    </row>
    <row r="160" spans="1:7" ht="25.8" customHeight="1">
      <c r="A160" s="224"/>
      <c r="B160" s="226"/>
      <c r="C160" s="226"/>
      <c r="D160" s="226"/>
      <c r="E160" s="226"/>
      <c r="F160" s="235"/>
    </row>
    <row r="161" spans="1:7" ht="25.8" customHeight="1">
      <c r="A161" s="228" t="s">
        <v>11</v>
      </c>
      <c r="B161" s="231" t="s">
        <v>664</v>
      </c>
      <c r="C161" s="232">
        <f>TAKEOFF!$H$3334</f>
        <v>2</v>
      </c>
      <c r="D161" s="233" t="s">
        <v>457</v>
      </c>
      <c r="E161" s="234">
        <f>RATES!$D$114</f>
        <v>4435.2000000000007</v>
      </c>
      <c r="F161" s="236">
        <f>C161*E161</f>
        <v>8870.4000000000015</v>
      </c>
      <c r="G161" s="118" t="s">
        <v>465</v>
      </c>
    </row>
    <row r="162" spans="1:7" ht="25.8" customHeight="1">
      <c r="A162" s="224"/>
      <c r="B162" s="226"/>
      <c r="C162" s="226"/>
      <c r="D162" s="226"/>
      <c r="E162" s="226"/>
      <c r="F162" s="235"/>
    </row>
    <row r="163" spans="1:7" ht="25.8" customHeight="1">
      <c r="A163" s="228" t="s">
        <v>13</v>
      </c>
      <c r="B163" s="231" t="s">
        <v>665</v>
      </c>
      <c r="C163" s="232">
        <f>TAKEOFF!$H$3337</f>
        <v>3</v>
      </c>
      <c r="D163" s="233" t="s">
        <v>457</v>
      </c>
      <c r="E163" s="234">
        <f>RATES!$D$115</f>
        <v>3511.2000000000003</v>
      </c>
      <c r="F163" s="236">
        <f>C163*E163</f>
        <v>10533.6</v>
      </c>
      <c r="G163" s="118" t="s">
        <v>467</v>
      </c>
    </row>
    <row r="164" spans="1:7" ht="25.8" customHeight="1">
      <c r="A164" s="224"/>
      <c r="B164" s="226"/>
      <c r="C164" s="226"/>
      <c r="D164" s="226"/>
      <c r="E164" s="226"/>
      <c r="F164" s="235"/>
    </row>
    <row r="165" spans="1:7" ht="25.8" customHeight="1">
      <c r="A165" s="228" t="s">
        <v>15</v>
      </c>
      <c r="B165" s="231" t="s">
        <v>666</v>
      </c>
      <c r="C165" s="232">
        <f>TAKEOFF!$H$3340</f>
        <v>8</v>
      </c>
      <c r="D165" s="233" t="s">
        <v>457</v>
      </c>
      <c r="E165" s="234">
        <f>RATES!$D$116</f>
        <v>2125.2000000000003</v>
      </c>
      <c r="F165" s="236">
        <f>C165*E165</f>
        <v>17001.600000000002</v>
      </c>
      <c r="G165" s="118" t="s">
        <v>669</v>
      </c>
    </row>
    <row r="166" spans="1:7" ht="25.8" customHeight="1">
      <c r="A166" s="224"/>
      <c r="B166" s="226"/>
      <c r="C166" s="226"/>
      <c r="D166" s="226"/>
      <c r="E166" s="226"/>
      <c r="F166" s="235"/>
    </row>
    <row r="167" spans="1:7" ht="25.8" customHeight="1">
      <c r="A167" s="228" t="s">
        <v>17</v>
      </c>
      <c r="B167" s="231" t="s">
        <v>667</v>
      </c>
      <c r="C167" s="232">
        <f>TAKEOFF!$H$3343</f>
        <v>1</v>
      </c>
      <c r="D167" s="233" t="s">
        <v>457</v>
      </c>
      <c r="E167" s="234">
        <f>RATES!$D$117</f>
        <v>2217.6000000000004</v>
      </c>
      <c r="F167" s="236">
        <f>C167*E167</f>
        <v>2217.6000000000004</v>
      </c>
      <c r="G167" s="118" t="s">
        <v>458</v>
      </c>
    </row>
    <row r="168" spans="1:7" ht="25.8" customHeight="1">
      <c r="A168" s="224"/>
      <c r="B168" s="226"/>
      <c r="C168" s="226"/>
      <c r="D168" s="226"/>
      <c r="E168" s="226"/>
      <c r="F168" s="235"/>
    </row>
    <row r="169" spans="1:7" ht="25.8" customHeight="1">
      <c r="A169" s="228" t="s">
        <v>19</v>
      </c>
      <c r="B169" s="231" t="s">
        <v>668</v>
      </c>
      <c r="C169" s="232">
        <f>TAKEOFF!$H$3346</f>
        <v>6</v>
      </c>
      <c r="D169" s="233" t="s">
        <v>457</v>
      </c>
      <c r="E169" s="234">
        <f>RATES!$D$118</f>
        <v>3003.0000000000009</v>
      </c>
      <c r="F169" s="236">
        <f>C169*E169</f>
        <v>18018.000000000007</v>
      </c>
      <c r="G169" s="118" t="s">
        <v>460</v>
      </c>
    </row>
    <row r="170" spans="1:7" ht="25.8" customHeight="1">
      <c r="A170" s="224"/>
      <c r="B170" s="226"/>
      <c r="C170" s="226"/>
      <c r="D170" s="226"/>
      <c r="E170" s="226"/>
      <c r="F170" s="235"/>
    </row>
    <row r="171" spans="1:7" ht="25.8" customHeight="1">
      <c r="A171" s="228" t="s">
        <v>21</v>
      </c>
      <c r="B171" s="231" t="s">
        <v>670</v>
      </c>
      <c r="C171" s="232">
        <f>TAKEOFF!$H$3349</f>
        <v>4</v>
      </c>
      <c r="D171" s="233" t="s">
        <v>457</v>
      </c>
      <c r="E171" s="234">
        <f>RATES!$D$119</f>
        <v>2656.5</v>
      </c>
      <c r="F171" s="236">
        <f>C171*E171</f>
        <v>10626</v>
      </c>
      <c r="G171" s="118" t="s">
        <v>493</v>
      </c>
    </row>
    <row r="172" spans="1:7" ht="25.8" customHeight="1">
      <c r="A172" s="224"/>
      <c r="B172" s="226"/>
      <c r="C172" s="226"/>
      <c r="D172" s="226"/>
      <c r="E172" s="226"/>
      <c r="F172" s="235"/>
    </row>
    <row r="173" spans="1:7" ht="25.8" customHeight="1">
      <c r="A173" s="228" t="s">
        <v>23</v>
      </c>
      <c r="B173" s="231" t="s">
        <v>671</v>
      </c>
      <c r="C173" s="232">
        <f>TAKEOFF!$H$3352</f>
        <v>1</v>
      </c>
      <c r="D173" s="233" t="s">
        <v>457</v>
      </c>
      <c r="E173" s="234">
        <f>RATES!$D$120</f>
        <v>4804.8000000000011</v>
      </c>
      <c r="F173" s="236">
        <f>C173*E173</f>
        <v>4804.8000000000011</v>
      </c>
      <c r="G173" s="118" t="s">
        <v>458</v>
      </c>
    </row>
    <row r="174" spans="1:7" ht="25.8" customHeight="1">
      <c r="A174" s="224"/>
      <c r="B174" s="226"/>
      <c r="C174" s="226"/>
      <c r="D174" s="226"/>
      <c r="E174" s="226"/>
      <c r="F174" s="235"/>
    </row>
    <row r="175" spans="1:7" ht="25.8" customHeight="1">
      <c r="A175" s="228" t="s">
        <v>25</v>
      </c>
      <c r="B175" s="231" t="s">
        <v>672</v>
      </c>
      <c r="C175" s="232">
        <f>TAKEOFF!$H$3355</f>
        <v>1</v>
      </c>
      <c r="D175" s="233" t="s">
        <v>457</v>
      </c>
      <c r="E175" s="234">
        <f>RATES!$D$122</f>
        <v>7392.0000000000018</v>
      </c>
      <c r="F175" s="236">
        <f>C175*E175</f>
        <v>7392.0000000000018</v>
      </c>
      <c r="G175" s="118" t="s">
        <v>458</v>
      </c>
    </row>
    <row r="176" spans="1:7" ht="25.8" customHeight="1">
      <c r="A176" s="224"/>
      <c r="B176" s="226"/>
      <c r="C176" s="226"/>
      <c r="D176" s="226"/>
      <c r="E176" s="226"/>
      <c r="F176" s="235"/>
    </row>
    <row r="177" spans="1:7" ht="25.8" customHeight="1">
      <c r="A177" s="228" t="s">
        <v>27</v>
      </c>
      <c r="B177" s="231" t="s">
        <v>673</v>
      </c>
      <c r="C177" s="232">
        <f>TAKEOFF!$H$3358</f>
        <v>3</v>
      </c>
      <c r="D177" s="233" t="s">
        <v>457</v>
      </c>
      <c r="E177" s="234">
        <f>RATES!$D$124</f>
        <v>5266.8000000000011</v>
      </c>
      <c r="F177" s="236">
        <f>C177*E177</f>
        <v>15800.400000000003</v>
      </c>
      <c r="G177" s="118" t="s">
        <v>467</v>
      </c>
    </row>
    <row r="178" spans="1:7" ht="25.8" customHeight="1">
      <c r="A178" s="224"/>
      <c r="B178" s="226"/>
      <c r="C178" s="226"/>
      <c r="D178" s="226"/>
      <c r="E178" s="226"/>
      <c r="F178" s="235"/>
    </row>
    <row r="179" spans="1:7" ht="25.8" customHeight="1">
      <c r="A179" s="228" t="s">
        <v>29</v>
      </c>
      <c r="B179" s="231" t="s">
        <v>674</v>
      </c>
      <c r="C179" s="232">
        <f>TAKEOFF!$H$3361</f>
        <v>1</v>
      </c>
      <c r="D179" s="233" t="s">
        <v>457</v>
      </c>
      <c r="E179" s="234">
        <f>RATES!$D$125</f>
        <v>1501.5000000000005</v>
      </c>
      <c r="F179" s="236">
        <f>C179*E179</f>
        <v>1501.5000000000005</v>
      </c>
      <c r="G179" s="118" t="s">
        <v>458</v>
      </c>
    </row>
    <row r="180" spans="1:7" ht="25.8" customHeight="1">
      <c r="A180" s="224"/>
      <c r="B180" s="226"/>
      <c r="C180" s="226"/>
      <c r="D180" s="226"/>
      <c r="E180" s="226"/>
      <c r="F180" s="235"/>
    </row>
    <row r="181" spans="1:7" ht="25.8" customHeight="1">
      <c r="A181" s="228" t="s">
        <v>31</v>
      </c>
      <c r="B181" s="231" t="s">
        <v>675</v>
      </c>
      <c r="C181" s="232">
        <f>TAKEOFF!$H$3364</f>
        <v>1</v>
      </c>
      <c r="D181" s="233" t="s">
        <v>457</v>
      </c>
      <c r="E181" s="234">
        <f>RATES!$D$127</f>
        <v>4242.7000000000007</v>
      </c>
      <c r="F181" s="236">
        <f>C181*E181</f>
        <v>4242.7000000000007</v>
      </c>
      <c r="G181" s="118" t="s">
        <v>458</v>
      </c>
    </row>
    <row r="182" spans="1:7" ht="25.8" customHeight="1">
      <c r="A182" s="224"/>
      <c r="B182" s="226"/>
      <c r="C182" s="226"/>
      <c r="D182" s="226"/>
      <c r="E182" s="226"/>
      <c r="F182" s="235"/>
    </row>
    <row r="183" spans="1:7" ht="25.8" customHeight="1">
      <c r="A183" s="228" t="s">
        <v>33</v>
      </c>
      <c r="B183" s="231" t="s">
        <v>492</v>
      </c>
      <c r="C183" s="232">
        <f>TAKEOFF!$H$3367</f>
        <v>13</v>
      </c>
      <c r="D183" s="233" t="s">
        <v>457</v>
      </c>
      <c r="E183" s="234">
        <f>RATES!$D$128</f>
        <v>831.60000000000014</v>
      </c>
      <c r="F183" s="236">
        <f>C183*E183</f>
        <v>10810.800000000001</v>
      </c>
      <c r="G183" s="118" t="s">
        <v>663</v>
      </c>
    </row>
    <row r="184" spans="1:7" ht="25.8" customHeight="1">
      <c r="A184" s="224"/>
      <c r="B184" s="226"/>
      <c r="C184" s="226"/>
      <c r="D184" s="226"/>
      <c r="E184" s="226"/>
      <c r="F184" s="235"/>
    </row>
    <row r="185" spans="1:7" ht="25.8" customHeight="1">
      <c r="A185" s="228" t="s">
        <v>35</v>
      </c>
      <c r="B185" s="231" t="s">
        <v>494</v>
      </c>
      <c r="C185" s="232">
        <f>TAKEOFF!$H$3370</f>
        <v>5</v>
      </c>
      <c r="D185" s="233" t="s">
        <v>457</v>
      </c>
      <c r="E185" s="234">
        <f>RATES!$D$129</f>
        <v>693</v>
      </c>
      <c r="F185" s="236">
        <f>C185*E185</f>
        <v>3465</v>
      </c>
      <c r="G185" s="118" t="s">
        <v>651</v>
      </c>
    </row>
    <row r="186" spans="1:7" ht="25.8" customHeight="1">
      <c r="A186" s="224"/>
      <c r="B186" s="226"/>
      <c r="C186" s="226"/>
      <c r="D186" s="226"/>
      <c r="E186" s="226"/>
      <c r="F186" s="235"/>
    </row>
    <row r="187" spans="1:7" ht="25.8" customHeight="1">
      <c r="A187" s="228" t="s">
        <v>37</v>
      </c>
      <c r="B187" s="231" t="s">
        <v>677</v>
      </c>
      <c r="C187" s="232">
        <f>TAKEOFF!$H$3373</f>
        <v>2</v>
      </c>
      <c r="D187" s="233" t="s">
        <v>457</v>
      </c>
      <c r="E187" s="234">
        <f>RATES!$D$130</f>
        <v>554.40000000000009</v>
      </c>
      <c r="F187" s="236">
        <f>C187*E187</f>
        <v>1108.8000000000002</v>
      </c>
      <c r="G187" s="118" t="s">
        <v>465</v>
      </c>
    </row>
    <row r="188" spans="1:7" ht="25.8" customHeight="1">
      <c r="A188" s="224"/>
      <c r="B188" s="226"/>
      <c r="C188" s="226"/>
      <c r="D188" s="226"/>
      <c r="E188" s="226"/>
      <c r="F188" s="235"/>
    </row>
    <row r="189" spans="1:7" ht="25.8" customHeight="1">
      <c r="A189" s="228" t="s">
        <v>39</v>
      </c>
      <c r="B189" s="231" t="s">
        <v>678</v>
      </c>
      <c r="C189" s="232">
        <f>TAKEOFF!$H$3376</f>
        <v>2</v>
      </c>
      <c r="D189" s="233" t="s">
        <v>457</v>
      </c>
      <c r="E189" s="234">
        <f>RATES!$D$131</f>
        <v>1108.8000000000002</v>
      </c>
      <c r="F189" s="236">
        <f>C189*E189</f>
        <v>2217.6000000000004</v>
      </c>
      <c r="G189" s="118" t="s">
        <v>465</v>
      </c>
    </row>
    <row r="190" spans="1:7" ht="25.8" customHeight="1">
      <c r="A190" s="109"/>
      <c r="B190" s="136"/>
      <c r="C190" s="136"/>
      <c r="D190" s="136"/>
      <c r="E190" s="136"/>
      <c r="F190" s="117"/>
    </row>
    <row r="191" spans="1:7" ht="25.8" customHeight="1" thickBot="1">
      <c r="A191" s="141"/>
      <c r="B191" s="154" t="str">
        <f>B105</f>
        <v>ELEMENT NO. 4: WINDOWS/DOORS</v>
      </c>
      <c r="C191" s="142"/>
      <c r="D191" s="142"/>
      <c r="E191" s="143"/>
      <c r="F191" s="116">
        <f>SUM(F107:F190)</f>
        <v>597073.55000000005</v>
      </c>
    </row>
    <row r="192" spans="1:7" ht="25.8" customHeight="1" thickTop="1" thickBot="1">
      <c r="A192" s="150"/>
      <c r="B192" s="151" t="s">
        <v>339</v>
      </c>
      <c r="C192" s="152"/>
      <c r="D192" s="152"/>
      <c r="E192" s="152"/>
      <c r="F192" s="153"/>
    </row>
    <row r="193" spans="1:7" ht="28.8" customHeight="1" thickTop="1">
      <c r="A193" s="109"/>
      <c r="B193" s="136"/>
      <c r="C193" s="136"/>
      <c r="D193" s="136"/>
      <c r="E193" s="136"/>
      <c r="F193" s="117"/>
    </row>
    <row r="194" spans="1:7" ht="28.8" customHeight="1">
      <c r="A194" s="224"/>
      <c r="B194" s="225" t="s">
        <v>382</v>
      </c>
      <c r="C194" s="226"/>
      <c r="D194" s="226"/>
      <c r="E194" s="226"/>
      <c r="F194" s="235"/>
    </row>
    <row r="195" spans="1:7" ht="28.8" customHeight="1">
      <c r="A195" s="224"/>
      <c r="B195" s="226"/>
      <c r="C195" s="226"/>
      <c r="D195" s="226"/>
      <c r="E195" s="226"/>
      <c r="F195" s="235"/>
    </row>
    <row r="196" spans="1:7" ht="28.8" customHeight="1">
      <c r="A196" s="224"/>
      <c r="B196" s="230" t="s">
        <v>495</v>
      </c>
      <c r="C196" s="226"/>
      <c r="D196" s="226"/>
      <c r="E196" s="226"/>
      <c r="F196" s="235"/>
    </row>
    <row r="197" spans="1:7" ht="28.8" customHeight="1">
      <c r="A197" s="228" t="s">
        <v>9</v>
      </c>
      <c r="B197" s="231" t="s">
        <v>496</v>
      </c>
      <c r="C197" s="232">
        <f>TAKEOFF!$H$3381</f>
        <v>872.1</v>
      </c>
      <c r="D197" s="233" t="s">
        <v>322</v>
      </c>
      <c r="E197" s="234">
        <f>RATES!$D$50</f>
        <v>68</v>
      </c>
      <c r="F197" s="236">
        <f>C197*E197</f>
        <v>59302.8</v>
      </c>
      <c r="G197" s="118" t="s">
        <v>759</v>
      </c>
    </row>
    <row r="198" spans="1:7" ht="28.8" customHeight="1">
      <c r="A198" s="224"/>
      <c r="B198" s="226"/>
      <c r="C198" s="226"/>
      <c r="D198" s="226"/>
      <c r="E198" s="226"/>
      <c r="F198" s="235"/>
    </row>
    <row r="199" spans="1:7" ht="28.8" customHeight="1">
      <c r="A199" s="228" t="s">
        <v>11</v>
      </c>
      <c r="B199" s="231" t="s">
        <v>498</v>
      </c>
      <c r="C199" s="232">
        <f>TAKEOFF!$H$3392</f>
        <v>935.58</v>
      </c>
      <c r="D199" s="233" t="s">
        <v>322</v>
      </c>
      <c r="E199" s="234">
        <f>RATES!$D$51</f>
        <v>48</v>
      </c>
      <c r="F199" s="236">
        <f>C199*E199</f>
        <v>44907.840000000004</v>
      </c>
      <c r="G199" s="118" t="s">
        <v>760</v>
      </c>
    </row>
    <row r="200" spans="1:7" ht="28.8" customHeight="1">
      <c r="A200" s="224"/>
      <c r="B200" s="226"/>
      <c r="C200" s="226"/>
      <c r="D200" s="226"/>
      <c r="E200" s="226"/>
      <c r="F200" s="235"/>
    </row>
    <row r="201" spans="1:7" ht="28.8" customHeight="1">
      <c r="A201" s="228" t="s">
        <v>13</v>
      </c>
      <c r="B201" s="231" t="s">
        <v>500</v>
      </c>
      <c r="C201" s="232">
        <f>TAKEOFF!$H$3395</f>
        <v>61.4</v>
      </c>
      <c r="D201" s="233" t="s">
        <v>322</v>
      </c>
      <c r="E201" s="234">
        <f>RATES!$D$53</f>
        <v>230</v>
      </c>
      <c r="F201" s="236">
        <f>C201*E201</f>
        <v>14122</v>
      </c>
      <c r="G201" s="118" t="s">
        <v>761</v>
      </c>
    </row>
    <row r="202" spans="1:7" ht="28.8" customHeight="1">
      <c r="A202" s="224"/>
      <c r="B202" s="226"/>
      <c r="C202" s="226"/>
      <c r="D202" s="226"/>
      <c r="E202" s="226"/>
      <c r="F202" s="235"/>
    </row>
    <row r="203" spans="1:7" ht="28.8" customHeight="1">
      <c r="A203" s="228" t="s">
        <v>15</v>
      </c>
      <c r="B203" s="231" t="s">
        <v>502</v>
      </c>
      <c r="C203" s="232">
        <f>TAKEOFF!$H$3405</f>
        <v>63.480000000000004</v>
      </c>
      <c r="D203" s="233" t="s">
        <v>322</v>
      </c>
      <c r="E203" s="234">
        <f>RATES!$D$54</f>
        <v>270</v>
      </c>
      <c r="F203" s="236">
        <f>C203*E203</f>
        <v>17139.600000000002</v>
      </c>
      <c r="G203" s="118" t="s">
        <v>569</v>
      </c>
    </row>
    <row r="204" spans="1:7" ht="28.8" customHeight="1">
      <c r="A204" s="224"/>
      <c r="B204" s="226"/>
      <c r="C204" s="226"/>
      <c r="D204" s="226"/>
      <c r="E204" s="226"/>
      <c r="F204" s="235"/>
    </row>
    <row r="205" spans="1:7" ht="28.8" customHeight="1">
      <c r="A205" s="228" t="s">
        <v>17</v>
      </c>
      <c r="B205" s="231" t="s">
        <v>504</v>
      </c>
      <c r="C205" s="232">
        <f>TAKEOFF!$H$3408</f>
        <v>546.6</v>
      </c>
      <c r="D205" s="233" t="s">
        <v>322</v>
      </c>
      <c r="E205" s="234">
        <f>RATES!$D$55</f>
        <v>265</v>
      </c>
      <c r="F205" s="236">
        <f>C205*E205</f>
        <v>144849</v>
      </c>
      <c r="G205" s="118" t="s">
        <v>762</v>
      </c>
    </row>
    <row r="206" spans="1:7" ht="28.8" customHeight="1">
      <c r="A206" s="224"/>
      <c r="B206" s="226"/>
      <c r="C206" s="226"/>
      <c r="D206" s="226"/>
      <c r="E206" s="226"/>
      <c r="F206" s="235"/>
    </row>
    <row r="207" spans="1:7" ht="28.8" customHeight="1">
      <c r="A207" s="228" t="s">
        <v>19</v>
      </c>
      <c r="B207" s="231" t="s">
        <v>506</v>
      </c>
      <c r="C207" s="232">
        <f>TAKEOFF!$H$3411</f>
        <v>33.9</v>
      </c>
      <c r="D207" s="233" t="s">
        <v>322</v>
      </c>
      <c r="E207" s="234">
        <f>RATES!$D$56</f>
        <v>330</v>
      </c>
      <c r="F207" s="236">
        <f>C207*E207</f>
        <v>11187</v>
      </c>
      <c r="G207" s="118" t="s">
        <v>763</v>
      </c>
    </row>
    <row r="208" spans="1:7" ht="28.8" customHeight="1">
      <c r="A208" s="224"/>
      <c r="B208" s="226"/>
      <c r="C208" s="226"/>
      <c r="D208" s="226"/>
      <c r="E208" s="226"/>
      <c r="F208" s="235"/>
    </row>
    <row r="209" spans="1:7" ht="28.8" customHeight="1">
      <c r="A209" s="228" t="s">
        <v>21</v>
      </c>
      <c r="B209" s="231" t="s">
        <v>508</v>
      </c>
      <c r="C209" s="232">
        <f>TAKEOFF!$H$3414</f>
        <v>230.3</v>
      </c>
      <c r="D209" s="233" t="s">
        <v>322</v>
      </c>
      <c r="E209" s="234">
        <f>RATES!$D$57</f>
        <v>250</v>
      </c>
      <c r="F209" s="236">
        <f>C209*E209</f>
        <v>57575</v>
      </c>
      <c r="G209" s="118" t="s">
        <v>764</v>
      </c>
    </row>
    <row r="210" spans="1:7" ht="28.8" customHeight="1">
      <c r="A210" s="109"/>
      <c r="B210" s="136"/>
      <c r="C210" s="136"/>
      <c r="D210" s="136"/>
      <c r="E210" s="136"/>
      <c r="F210" s="117"/>
    </row>
    <row r="211" spans="1:7" ht="28.8" customHeight="1" thickBot="1">
      <c r="A211" s="141"/>
      <c r="B211" s="154" t="str">
        <f>B194</f>
        <v>ELEMENT NO. 5: FLOOR FINISHES</v>
      </c>
      <c r="C211" s="142"/>
      <c r="D211" s="142"/>
      <c r="E211" s="143"/>
      <c r="F211" s="116">
        <f>SUM(F196:F210)</f>
        <v>349083.24</v>
      </c>
    </row>
    <row r="212" spans="1:7" ht="28.8" customHeight="1" thickTop="1" thickBot="1">
      <c r="A212" s="150"/>
      <c r="B212" s="151" t="s">
        <v>339</v>
      </c>
      <c r="C212" s="152"/>
      <c r="D212" s="152"/>
      <c r="E212" s="152"/>
      <c r="F212" s="153"/>
    </row>
    <row r="213" spans="1:7" ht="28.8" customHeight="1" thickTop="1">
      <c r="A213" s="109"/>
      <c r="B213" s="136"/>
      <c r="C213" s="136"/>
      <c r="D213" s="136"/>
      <c r="E213" s="136"/>
      <c r="F213" s="117"/>
    </row>
    <row r="214" spans="1:7" ht="28.8" customHeight="1">
      <c r="A214" s="224"/>
      <c r="B214" s="225" t="s">
        <v>383</v>
      </c>
      <c r="C214" s="226"/>
      <c r="D214" s="226"/>
      <c r="E214" s="226"/>
      <c r="F214" s="235"/>
    </row>
    <row r="215" spans="1:7" ht="28.8" customHeight="1">
      <c r="A215" s="224"/>
      <c r="B215" s="226"/>
      <c r="C215" s="226"/>
      <c r="D215" s="226"/>
      <c r="E215" s="226"/>
      <c r="F215" s="235"/>
    </row>
    <row r="216" spans="1:7" ht="28.8" customHeight="1">
      <c r="A216" s="224"/>
      <c r="B216" s="230" t="s">
        <v>512</v>
      </c>
      <c r="C216" s="226"/>
      <c r="D216" s="226"/>
      <c r="E216" s="226"/>
      <c r="F216" s="235"/>
    </row>
    <row r="217" spans="1:7" ht="28.8" customHeight="1">
      <c r="A217" s="228" t="s">
        <v>9</v>
      </c>
      <c r="B217" s="231" t="s">
        <v>513</v>
      </c>
      <c r="C217" s="232">
        <f>TAKEOFF!$H$3458</f>
        <v>1965.1273684210526</v>
      </c>
      <c r="D217" s="233" t="s">
        <v>322</v>
      </c>
      <c r="E217" s="234">
        <f>RATES!$D$48</f>
        <v>78</v>
      </c>
      <c r="F217" s="236">
        <f>C217*E217</f>
        <v>153279.93473684209</v>
      </c>
      <c r="G217" s="118" t="s">
        <v>765</v>
      </c>
    </row>
    <row r="218" spans="1:7" ht="28.8" customHeight="1">
      <c r="A218" s="224"/>
      <c r="B218" s="226"/>
      <c r="C218" s="226"/>
      <c r="D218" s="226"/>
      <c r="E218" s="226"/>
      <c r="F218" s="235"/>
    </row>
    <row r="219" spans="1:7" ht="28.8" customHeight="1">
      <c r="A219" s="228" t="s">
        <v>11</v>
      </c>
      <c r="B219" s="231" t="s">
        <v>515</v>
      </c>
      <c r="C219" s="232">
        <f>TAKEOFF!$H$3462</f>
        <v>367.59210526315792</v>
      </c>
      <c r="D219" s="233" t="s">
        <v>322</v>
      </c>
      <c r="E219" s="234">
        <f>RATES!$D$48</f>
        <v>78</v>
      </c>
      <c r="F219" s="236">
        <f>C219*E219</f>
        <v>28672.184210526317</v>
      </c>
      <c r="G219" s="118" t="s">
        <v>766</v>
      </c>
    </row>
    <row r="220" spans="1:7" ht="28.8" customHeight="1">
      <c r="A220" s="224"/>
      <c r="B220" s="226"/>
      <c r="C220" s="226"/>
      <c r="D220" s="226"/>
      <c r="E220" s="226"/>
      <c r="F220" s="235"/>
    </row>
    <row r="221" spans="1:7" ht="28.8" customHeight="1">
      <c r="A221" s="228" t="s">
        <v>13</v>
      </c>
      <c r="B221" s="231" t="s">
        <v>517</v>
      </c>
      <c r="C221" s="232">
        <f>TAKEOFF!$H$3482</f>
        <v>637.09999999999991</v>
      </c>
      <c r="D221" s="233" t="s">
        <v>322</v>
      </c>
      <c r="E221" s="234">
        <f>RATES!$D$49</f>
        <v>88</v>
      </c>
      <c r="F221" s="236">
        <f>C221*E221</f>
        <v>56064.799999999988</v>
      </c>
      <c r="G221" s="118" t="s">
        <v>767</v>
      </c>
    </row>
    <row r="222" spans="1:7" ht="28.8" customHeight="1">
      <c r="A222" s="224"/>
      <c r="B222" s="226"/>
      <c r="C222" s="226"/>
      <c r="D222" s="226"/>
      <c r="E222" s="226"/>
      <c r="F222" s="235"/>
    </row>
    <row r="223" spans="1:7" ht="28.8" customHeight="1">
      <c r="A223" s="228" t="s">
        <v>15</v>
      </c>
      <c r="B223" s="231" t="s">
        <v>519</v>
      </c>
      <c r="C223" s="232">
        <f>TAKEOFF!$H$3486</f>
        <v>283.57105263157894</v>
      </c>
      <c r="D223" s="233" t="s">
        <v>322</v>
      </c>
      <c r="E223" s="234">
        <f>RATES!$D$52</f>
        <v>55</v>
      </c>
      <c r="F223" s="236">
        <f>C223*E223</f>
        <v>15596.407894736842</v>
      </c>
      <c r="G223" s="118" t="s">
        <v>768</v>
      </c>
    </row>
    <row r="224" spans="1:7" ht="28.8" customHeight="1">
      <c r="A224" s="224"/>
      <c r="B224" s="226"/>
      <c r="C224" s="226"/>
      <c r="D224" s="226"/>
      <c r="E224" s="226"/>
      <c r="F224" s="235"/>
    </row>
    <row r="225" spans="1:7" ht="28.8" customHeight="1">
      <c r="A225" s="228" t="s">
        <v>17</v>
      </c>
      <c r="B225" s="231" t="s">
        <v>521</v>
      </c>
      <c r="C225" s="232">
        <f>TAKEOFF!$H$3490</f>
        <v>283.57105263157894</v>
      </c>
      <c r="D225" s="233" t="s">
        <v>322</v>
      </c>
      <c r="E225" s="234">
        <f>RATES!$D$60</f>
        <v>240</v>
      </c>
      <c r="F225" s="236">
        <f>C225*E225</f>
        <v>68057.052631578947</v>
      </c>
      <c r="G225" s="118" t="s">
        <v>768</v>
      </c>
    </row>
    <row r="226" spans="1:7" ht="28.8" customHeight="1">
      <c r="A226" s="109"/>
      <c r="B226" s="136"/>
      <c r="C226" s="136"/>
      <c r="D226" s="136"/>
      <c r="E226" s="136"/>
      <c r="F226" s="117"/>
    </row>
    <row r="227" spans="1:7" ht="28.8" customHeight="1" thickBot="1">
      <c r="A227" s="141"/>
      <c r="B227" s="154" t="str">
        <f>B214</f>
        <v>ELEMENT NO. 6: WALL FINISHES</v>
      </c>
      <c r="C227" s="142"/>
      <c r="D227" s="142"/>
      <c r="E227" s="143"/>
      <c r="F227" s="116">
        <f>SUM(F216:F226)</f>
        <v>321670.37947368418</v>
      </c>
    </row>
    <row r="228" spans="1:7" ht="28.8" customHeight="1" thickTop="1" thickBot="1">
      <c r="A228" s="150"/>
      <c r="B228" s="151" t="s">
        <v>339</v>
      </c>
      <c r="C228" s="152"/>
      <c r="D228" s="152"/>
      <c r="E228" s="152"/>
      <c r="F228" s="153"/>
    </row>
    <row r="229" spans="1:7" ht="28.8" customHeight="1" thickTop="1">
      <c r="A229" s="109"/>
      <c r="B229" s="136"/>
      <c r="C229" s="136"/>
      <c r="D229" s="136"/>
      <c r="E229" s="136"/>
      <c r="F229" s="117"/>
    </row>
    <row r="230" spans="1:7" ht="28.8" customHeight="1">
      <c r="A230" s="224"/>
      <c r="B230" s="225" t="s">
        <v>384</v>
      </c>
      <c r="C230" s="226"/>
      <c r="D230" s="226"/>
      <c r="E230" s="226"/>
      <c r="F230" s="235"/>
    </row>
    <row r="231" spans="1:7" ht="28.8" customHeight="1">
      <c r="A231" s="224"/>
      <c r="B231" s="226"/>
      <c r="C231" s="226"/>
      <c r="D231" s="226"/>
      <c r="E231" s="226"/>
      <c r="F231" s="235"/>
    </row>
    <row r="232" spans="1:7" ht="28.8" customHeight="1">
      <c r="A232" s="224"/>
      <c r="B232" s="230" t="s">
        <v>522</v>
      </c>
      <c r="C232" s="226"/>
      <c r="D232" s="226"/>
      <c r="E232" s="226"/>
      <c r="F232" s="235"/>
    </row>
    <row r="233" spans="1:7" ht="28.8" customHeight="1">
      <c r="A233" s="228" t="s">
        <v>9</v>
      </c>
      <c r="B233" s="231" t="s">
        <v>513</v>
      </c>
      <c r="C233" s="232">
        <f>TAKEOFF!$H$3534</f>
        <v>1965.1273684210526</v>
      </c>
      <c r="D233" s="233" t="s">
        <v>322</v>
      </c>
      <c r="E233" s="234">
        <f>RATES!$D$61</f>
        <v>45</v>
      </c>
      <c r="F233" s="236">
        <f>C233*E233</f>
        <v>88430.731578947365</v>
      </c>
      <c r="G233" s="118" t="s">
        <v>765</v>
      </c>
    </row>
    <row r="234" spans="1:7" ht="28.8" customHeight="1">
      <c r="A234" s="224"/>
      <c r="B234" s="226"/>
      <c r="C234" s="226"/>
      <c r="D234" s="226"/>
      <c r="E234" s="226"/>
      <c r="F234" s="235"/>
    </row>
    <row r="235" spans="1:7" ht="28.8" customHeight="1">
      <c r="A235" s="228" t="s">
        <v>11</v>
      </c>
      <c r="B235" s="231" t="s">
        <v>523</v>
      </c>
      <c r="C235" s="232">
        <f>TAKEOFF!$H$3540</f>
        <v>84.021052631578982</v>
      </c>
      <c r="D235" s="233" t="s">
        <v>322</v>
      </c>
      <c r="E235" s="234">
        <f>RATES!$D$61</f>
        <v>45</v>
      </c>
      <c r="F235" s="236">
        <f>C235*E235</f>
        <v>3780.9473684210543</v>
      </c>
      <c r="G235" s="118" t="s">
        <v>769</v>
      </c>
    </row>
    <row r="236" spans="1:7" ht="28.8" customHeight="1">
      <c r="A236" s="224"/>
      <c r="B236" s="226"/>
      <c r="C236" s="226"/>
      <c r="D236" s="226"/>
      <c r="E236" s="226"/>
      <c r="F236" s="235"/>
    </row>
    <row r="237" spans="1:7" ht="28.8" customHeight="1">
      <c r="A237" s="228" t="s">
        <v>13</v>
      </c>
      <c r="B237" s="231" t="s">
        <v>525</v>
      </c>
      <c r="C237" s="232">
        <f>TAKEOFF!$H$3560</f>
        <v>637.09999999999991</v>
      </c>
      <c r="D237" s="233" t="s">
        <v>322</v>
      </c>
      <c r="E237" s="234">
        <f>RATES!$D$62</f>
        <v>62</v>
      </c>
      <c r="F237" s="236">
        <f>C237*E237</f>
        <v>39500.199999999997</v>
      </c>
      <c r="G237" s="118" t="s">
        <v>767</v>
      </c>
    </row>
    <row r="238" spans="1:7" ht="28.8" customHeight="1">
      <c r="A238" s="224"/>
      <c r="B238" s="226"/>
      <c r="C238" s="226"/>
      <c r="D238" s="226"/>
      <c r="E238" s="226"/>
      <c r="F238" s="235"/>
    </row>
    <row r="239" spans="1:7" ht="28.8" customHeight="1">
      <c r="A239" s="228" t="s">
        <v>15</v>
      </c>
      <c r="B239" s="231" t="s">
        <v>527</v>
      </c>
      <c r="C239" s="232">
        <f>TAKEOFF!$H$3563</f>
        <v>810.7</v>
      </c>
      <c r="D239" s="233" t="s">
        <v>322</v>
      </c>
      <c r="E239" s="234">
        <f>RATES!$D$63</f>
        <v>48</v>
      </c>
      <c r="F239" s="236">
        <f>C239*E239</f>
        <v>38913.600000000006</v>
      </c>
      <c r="G239" s="118" t="s">
        <v>770</v>
      </c>
    </row>
    <row r="240" spans="1:7" ht="28.8" customHeight="1">
      <c r="A240" s="224"/>
      <c r="B240" s="226"/>
      <c r="C240" s="226"/>
      <c r="D240" s="226"/>
      <c r="E240" s="226"/>
      <c r="F240" s="235"/>
    </row>
    <row r="241" spans="1:7" ht="28.8" customHeight="1">
      <c r="A241" s="228" t="s">
        <v>17</v>
      </c>
      <c r="B241" s="231" t="s">
        <v>529</v>
      </c>
      <c r="C241" s="232">
        <f>TAKEOFF!$H$3566</f>
        <v>61.4</v>
      </c>
      <c r="D241" s="233" t="s">
        <v>322</v>
      </c>
      <c r="E241" s="234">
        <f>RATES!$D$63</f>
        <v>48</v>
      </c>
      <c r="F241" s="236">
        <f>C241*E241</f>
        <v>2947.2</v>
      </c>
      <c r="G241" s="118" t="s">
        <v>761</v>
      </c>
    </row>
    <row r="242" spans="1:7" ht="28.8" customHeight="1">
      <c r="A242" s="224"/>
      <c r="B242" s="226"/>
      <c r="C242" s="226"/>
      <c r="D242" s="226"/>
      <c r="E242" s="226"/>
      <c r="F242" s="235"/>
    </row>
    <row r="243" spans="1:7" ht="28.8" customHeight="1">
      <c r="A243" s="228" t="s">
        <v>19</v>
      </c>
      <c r="B243" s="231" t="s">
        <v>530</v>
      </c>
      <c r="C243" s="232">
        <f>TAKEOFF!$H$3574</f>
        <v>183.68750000000003</v>
      </c>
      <c r="D243" s="233" t="s">
        <v>322</v>
      </c>
      <c r="E243" s="234">
        <f>RATES!$D$64</f>
        <v>72</v>
      </c>
      <c r="F243" s="236">
        <f>C243*E243</f>
        <v>13225.500000000002</v>
      </c>
      <c r="G243" s="118" t="s">
        <v>771</v>
      </c>
    </row>
    <row r="244" spans="1:7" ht="28.8" customHeight="1">
      <c r="A244" s="224"/>
      <c r="B244" s="226"/>
      <c r="C244" s="226"/>
      <c r="D244" s="226"/>
      <c r="E244" s="226"/>
      <c r="F244" s="235"/>
    </row>
    <row r="245" spans="1:7" ht="28.8" customHeight="1">
      <c r="A245" s="228" t="s">
        <v>21</v>
      </c>
      <c r="B245" s="231" t="s">
        <v>532</v>
      </c>
      <c r="C245" s="232">
        <f>TAKEOFF!$H$3593</f>
        <v>102.75999999999999</v>
      </c>
      <c r="D245" s="233" t="s">
        <v>322</v>
      </c>
      <c r="E245" s="234">
        <f>RATES!$D$65</f>
        <v>40</v>
      </c>
      <c r="F245" s="236">
        <f>C245*E245</f>
        <v>4110.3999999999996</v>
      </c>
      <c r="G245" s="118" t="s">
        <v>772</v>
      </c>
    </row>
    <row r="246" spans="1:7" ht="28.8" customHeight="1">
      <c r="A246" s="109"/>
      <c r="B246" s="136"/>
      <c r="C246" s="136"/>
      <c r="D246" s="136"/>
      <c r="E246" s="136"/>
      <c r="F246" s="117"/>
    </row>
    <row r="247" spans="1:7" ht="28.8" customHeight="1" thickBot="1">
      <c r="A247" s="141"/>
      <c r="B247" s="154" t="str">
        <f>B230</f>
        <v>ELEMENT NO. 7: PAINTING AND DECORATING</v>
      </c>
      <c r="C247" s="142"/>
      <c r="D247" s="142"/>
      <c r="E247" s="143"/>
      <c r="F247" s="116">
        <f>SUM(F232:F246)</f>
        <v>190908.57894736843</v>
      </c>
    </row>
    <row r="248" spans="1:7" ht="28.8" customHeight="1" thickTop="1" thickBot="1">
      <c r="A248" s="141"/>
      <c r="B248" s="154" t="s">
        <v>339</v>
      </c>
      <c r="C248" s="142"/>
      <c r="D248" s="142"/>
      <c r="E248" s="143"/>
      <c r="F248" s="116"/>
    </row>
    <row r="249" spans="1:7" ht="15" customHeight="1" thickTop="1"/>
    <row r="251" spans="1:7" ht="31.2">
      <c r="B251" s="119" t="s">
        <v>534</v>
      </c>
    </row>
  </sheetData>
  <pageMargins left="0.75" right="0.75" top="1" bottom="1" header="0.5" footer="0.5"/>
  <pageSetup scale="39" fitToHeight="0" orientation="portrait" r:id="rId1"/>
  <rowBreaks count="4" manualBreakCount="4">
    <brk id="47" max="5" man="1"/>
    <brk id="91" max="5" man="1"/>
    <brk id="147" max="5" man="1"/>
    <brk id="192"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252"/>
  <sheetViews>
    <sheetView view="pageBreakPreview" zoomScale="60" zoomScaleNormal="100" workbookViewId="0">
      <selection activeCell="B225" sqref="B225"/>
    </sheetView>
  </sheetViews>
  <sheetFormatPr defaultRowHeight="14.4"/>
  <cols>
    <col min="1" max="1" width="13.33203125" style="9" customWidth="1"/>
    <col min="2" max="2" width="120" style="9" customWidth="1"/>
    <col min="3" max="3" width="20.88671875" style="9" customWidth="1"/>
    <col min="4" max="4" width="21.77734375" style="9" customWidth="1"/>
    <col min="5" max="5" width="23.6640625"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5.2" customHeight="1">
      <c r="A6" s="155"/>
      <c r="B6" s="156"/>
      <c r="C6" s="156"/>
      <c r="D6" s="156"/>
      <c r="E6" s="156"/>
      <c r="F6" s="157"/>
    </row>
    <row r="7" spans="1:7" ht="25.2" customHeight="1">
      <c r="A7" s="224"/>
      <c r="B7" s="225" t="s">
        <v>313</v>
      </c>
      <c r="C7" s="226"/>
      <c r="D7" s="226"/>
      <c r="E7" s="226"/>
      <c r="F7" s="235"/>
    </row>
    <row r="8" spans="1:7" ht="25.2" customHeight="1">
      <c r="A8" s="224"/>
      <c r="B8" s="226"/>
      <c r="C8" s="226"/>
      <c r="D8" s="226"/>
      <c r="E8" s="226"/>
      <c r="F8" s="235"/>
    </row>
    <row r="9" spans="1:7" ht="25.2" customHeight="1">
      <c r="A9" s="224"/>
      <c r="B9" s="225" t="s">
        <v>773</v>
      </c>
      <c r="C9" s="226"/>
      <c r="D9" s="226"/>
      <c r="E9" s="226"/>
      <c r="F9" s="235"/>
    </row>
    <row r="10" spans="1:7" ht="25.2" customHeight="1">
      <c r="A10" s="224"/>
      <c r="B10" s="226"/>
      <c r="C10" s="226"/>
      <c r="D10" s="226"/>
      <c r="E10" s="226"/>
      <c r="F10" s="235"/>
    </row>
    <row r="11" spans="1:7" ht="25.2" customHeight="1">
      <c r="A11" s="224"/>
      <c r="B11" s="227" t="s">
        <v>314</v>
      </c>
      <c r="C11" s="226"/>
      <c r="D11" s="226"/>
      <c r="E11" s="226"/>
      <c r="F11" s="235"/>
    </row>
    <row r="12" spans="1:7" ht="25.2" customHeight="1">
      <c r="A12" s="224"/>
      <c r="B12" s="226"/>
      <c r="C12" s="226"/>
      <c r="D12" s="226"/>
      <c r="E12" s="226"/>
      <c r="F12" s="235"/>
    </row>
    <row r="13" spans="1:7" ht="25.2" customHeight="1">
      <c r="A13" s="228" t="s">
        <v>9</v>
      </c>
      <c r="B13" s="229" t="s">
        <v>379</v>
      </c>
      <c r="C13" s="226"/>
      <c r="D13" s="226"/>
      <c r="E13" s="226"/>
      <c r="F13" s="236">
        <f>F90</f>
        <v>2630954.4338749996</v>
      </c>
    </row>
    <row r="14" spans="1:7" ht="25.2" customHeight="1">
      <c r="A14" s="224"/>
      <c r="B14" s="226"/>
      <c r="C14" s="226"/>
      <c r="D14" s="226"/>
      <c r="E14" s="226"/>
      <c r="F14" s="235"/>
    </row>
    <row r="15" spans="1:7" ht="25.2" customHeight="1">
      <c r="A15" s="228" t="s">
        <v>11</v>
      </c>
      <c r="B15" s="229" t="s">
        <v>380</v>
      </c>
      <c r="C15" s="226"/>
      <c r="D15" s="226"/>
      <c r="E15" s="226"/>
      <c r="F15" s="236">
        <f>F101</f>
        <v>381266.875</v>
      </c>
    </row>
    <row r="16" spans="1:7" ht="25.2" customHeight="1">
      <c r="A16" s="224"/>
      <c r="B16" s="226"/>
      <c r="C16" s="226"/>
      <c r="D16" s="226"/>
      <c r="E16" s="226"/>
      <c r="F16" s="235"/>
    </row>
    <row r="17" spans="1:6" ht="25.2" customHeight="1">
      <c r="A17" s="228" t="s">
        <v>13</v>
      </c>
      <c r="B17" s="229" t="s">
        <v>381</v>
      </c>
      <c r="C17" s="226"/>
      <c r="D17" s="226"/>
      <c r="E17" s="226"/>
      <c r="F17" s="236">
        <f>F191</f>
        <v>573414.10000000009</v>
      </c>
    </row>
    <row r="18" spans="1:6" ht="25.2" customHeight="1">
      <c r="A18" s="224"/>
      <c r="B18" s="226"/>
      <c r="C18" s="226"/>
      <c r="D18" s="226"/>
      <c r="E18" s="226"/>
      <c r="F18" s="235"/>
    </row>
    <row r="19" spans="1:6" ht="25.2" customHeight="1">
      <c r="A19" s="228" t="s">
        <v>15</v>
      </c>
      <c r="B19" s="229" t="s">
        <v>382</v>
      </c>
      <c r="C19" s="226"/>
      <c r="D19" s="226"/>
      <c r="E19" s="226"/>
      <c r="F19" s="236">
        <f>F211</f>
        <v>345672.24</v>
      </c>
    </row>
    <row r="20" spans="1:6" ht="25.2" customHeight="1">
      <c r="A20" s="224"/>
      <c r="B20" s="226"/>
      <c r="C20" s="226"/>
      <c r="D20" s="226"/>
      <c r="E20" s="226"/>
      <c r="F20" s="235"/>
    </row>
    <row r="21" spans="1:6" ht="25.2" customHeight="1">
      <c r="A21" s="228" t="s">
        <v>17</v>
      </c>
      <c r="B21" s="229" t="s">
        <v>383</v>
      </c>
      <c r="C21" s="226"/>
      <c r="D21" s="226"/>
      <c r="E21" s="226"/>
      <c r="F21" s="236">
        <f>F227</f>
        <v>312099.76289473684</v>
      </c>
    </row>
    <row r="22" spans="1:6" ht="25.2" customHeight="1">
      <c r="A22" s="224"/>
      <c r="B22" s="226"/>
      <c r="C22" s="226"/>
      <c r="D22" s="226"/>
      <c r="E22" s="226"/>
      <c r="F22" s="235"/>
    </row>
    <row r="23" spans="1:6" ht="25.2" customHeight="1">
      <c r="A23" s="228" t="s">
        <v>19</v>
      </c>
      <c r="B23" s="229" t="s">
        <v>384</v>
      </c>
      <c r="C23" s="226"/>
      <c r="D23" s="226"/>
      <c r="E23" s="226"/>
      <c r="F23" s="236">
        <f>F248</f>
        <v>188326.4907894737</v>
      </c>
    </row>
    <row r="24" spans="1:6" ht="25.2" customHeight="1">
      <c r="A24" s="109"/>
      <c r="B24" s="136"/>
      <c r="C24" s="136"/>
      <c r="D24" s="136"/>
      <c r="E24" s="136"/>
      <c r="F24" s="117"/>
    </row>
    <row r="25" spans="1:6" ht="25.2" customHeight="1" thickBot="1">
      <c r="A25" s="141"/>
      <c r="B25" s="154" t="str">
        <f>B9</f>
        <v xml:space="preserve"> SEVENTH FLOOR</v>
      </c>
      <c r="C25" s="142"/>
      <c r="D25" s="142"/>
      <c r="E25" s="143" t="s">
        <v>8</v>
      </c>
      <c r="F25" s="116">
        <f>SUM(F13:F24)</f>
        <v>4431733.9025592105</v>
      </c>
    </row>
    <row r="26" spans="1:6" ht="25.2" customHeight="1" thickTop="1" thickBot="1">
      <c r="A26" s="150"/>
      <c r="B26" s="151" t="s">
        <v>318</v>
      </c>
      <c r="C26" s="152"/>
      <c r="D26" s="152"/>
      <c r="E26" s="152"/>
      <c r="F26" s="153"/>
    </row>
    <row r="27" spans="1:6" ht="28.2" customHeight="1" thickTop="1">
      <c r="A27" s="109"/>
      <c r="B27" s="136"/>
      <c r="C27" s="136"/>
      <c r="D27" s="136"/>
      <c r="E27" s="136"/>
      <c r="F27" s="117"/>
    </row>
    <row r="28" spans="1:6" ht="28.2" customHeight="1">
      <c r="A28" s="224"/>
      <c r="B28" s="226"/>
      <c r="C28" s="226"/>
      <c r="D28" s="226"/>
      <c r="E28" s="226"/>
      <c r="F28" s="235"/>
    </row>
    <row r="29" spans="1:6" ht="28.2" customHeight="1">
      <c r="A29" s="224"/>
      <c r="B29" s="225" t="s">
        <v>774</v>
      </c>
      <c r="C29" s="226"/>
      <c r="D29" s="226"/>
      <c r="E29" s="226"/>
      <c r="F29" s="235"/>
    </row>
    <row r="30" spans="1:6" ht="28.2" customHeight="1">
      <c r="A30" s="224"/>
      <c r="B30" s="226"/>
      <c r="C30" s="226"/>
      <c r="D30" s="226"/>
      <c r="E30" s="226"/>
      <c r="F30" s="235"/>
    </row>
    <row r="31" spans="1:6" ht="28.2" customHeight="1">
      <c r="A31" s="224"/>
      <c r="B31" s="225" t="s">
        <v>379</v>
      </c>
      <c r="C31" s="226"/>
      <c r="D31" s="226"/>
      <c r="E31" s="226"/>
      <c r="F31" s="235"/>
    </row>
    <row r="32" spans="1:6" ht="28.2" customHeight="1">
      <c r="A32" s="224"/>
      <c r="B32" s="226"/>
      <c r="C32" s="226"/>
      <c r="D32" s="226"/>
      <c r="E32" s="226"/>
      <c r="F32" s="235"/>
    </row>
    <row r="33" spans="1:7" ht="28.2" customHeight="1">
      <c r="A33" s="224"/>
      <c r="B33" s="230" t="s">
        <v>344</v>
      </c>
      <c r="C33" s="226"/>
      <c r="D33" s="226"/>
      <c r="E33" s="226"/>
      <c r="F33" s="235"/>
    </row>
    <row r="34" spans="1:7" ht="28.2" customHeight="1">
      <c r="A34" s="228" t="s">
        <v>9</v>
      </c>
      <c r="B34" s="231" t="s">
        <v>386</v>
      </c>
      <c r="C34" s="232">
        <f>TAKEOFF!$H$3601</f>
        <v>283.64999999999998</v>
      </c>
      <c r="D34" s="233" t="s">
        <v>327</v>
      </c>
      <c r="E34" s="234">
        <f>RATES!$D$22</f>
        <v>2310</v>
      </c>
      <c r="F34" s="236">
        <f>C34*E34</f>
        <v>655231.5</v>
      </c>
      <c r="G34" s="118" t="s">
        <v>695</v>
      </c>
    </row>
    <row r="35" spans="1:7" ht="28.2" customHeight="1">
      <c r="A35" s="224"/>
      <c r="B35" s="226"/>
      <c r="C35" s="226"/>
      <c r="D35" s="226"/>
      <c r="E35" s="226"/>
      <c r="F35" s="235"/>
    </row>
    <row r="36" spans="1:7" ht="28.2" customHeight="1">
      <c r="A36" s="228" t="s">
        <v>11</v>
      </c>
      <c r="B36" s="231" t="s">
        <v>388</v>
      </c>
      <c r="C36" s="232">
        <f>TAKEOFF!$H$3605</f>
        <v>19.831</v>
      </c>
      <c r="D36" s="233" t="s">
        <v>327</v>
      </c>
      <c r="E36" s="234">
        <f>RATES!$D$23</f>
        <v>2310</v>
      </c>
      <c r="F36" s="236">
        <f>C36*E36</f>
        <v>45809.61</v>
      </c>
      <c r="G36" s="118" t="s">
        <v>696</v>
      </c>
    </row>
    <row r="37" spans="1:7" ht="28.2" customHeight="1">
      <c r="A37" s="224"/>
      <c r="B37" s="226"/>
      <c r="C37" s="226"/>
      <c r="D37" s="226"/>
      <c r="E37" s="226"/>
      <c r="F37" s="235"/>
    </row>
    <row r="38" spans="1:7" ht="28.2" customHeight="1">
      <c r="A38" s="228" t="s">
        <v>13</v>
      </c>
      <c r="B38" s="231" t="s">
        <v>390</v>
      </c>
      <c r="C38" s="232">
        <f>TAKEOFF!$H$3616</f>
        <v>40.545937499999994</v>
      </c>
      <c r="D38" s="233" t="s">
        <v>327</v>
      </c>
      <c r="E38" s="234">
        <f>RATES!$D$21</f>
        <v>2310</v>
      </c>
      <c r="F38" s="236">
        <f>C38*E38</f>
        <v>93661.115624999991</v>
      </c>
      <c r="G38" s="118" t="s">
        <v>617</v>
      </c>
    </row>
    <row r="39" spans="1:7" ht="28.2" customHeight="1">
      <c r="A39" s="224"/>
      <c r="B39" s="226"/>
      <c r="C39" s="226"/>
      <c r="D39" s="226"/>
      <c r="E39" s="226"/>
      <c r="F39" s="235"/>
    </row>
    <row r="40" spans="1:7" ht="28.2" customHeight="1">
      <c r="A40" s="228" t="s">
        <v>15</v>
      </c>
      <c r="B40" s="231" t="s">
        <v>392</v>
      </c>
      <c r="C40" s="232">
        <f>TAKEOFF!$H$3620</f>
        <v>36.310249999999996</v>
      </c>
      <c r="D40" s="233" t="s">
        <v>327</v>
      </c>
      <c r="E40" s="234">
        <f>RATES!$D$20</f>
        <v>2310</v>
      </c>
      <c r="F40" s="236">
        <f>C40*E40</f>
        <v>83876.677499999991</v>
      </c>
      <c r="G40" s="118" t="s">
        <v>618</v>
      </c>
    </row>
    <row r="41" spans="1:7" ht="28.2" customHeight="1">
      <c r="A41" s="224"/>
      <c r="B41" s="226"/>
      <c r="C41" s="226"/>
      <c r="D41" s="226"/>
      <c r="E41" s="226"/>
      <c r="F41" s="235"/>
    </row>
    <row r="42" spans="1:7" ht="28.2" customHeight="1">
      <c r="A42" s="228" t="s">
        <v>17</v>
      </c>
      <c r="B42" s="231" t="s">
        <v>394</v>
      </c>
      <c r="C42" s="232">
        <f>TAKEOFF!$H$3623</f>
        <v>16.641562499999999</v>
      </c>
      <c r="D42" s="233" t="s">
        <v>327</v>
      </c>
      <c r="E42" s="234">
        <f>RATES!$D$20</f>
        <v>2310</v>
      </c>
      <c r="F42" s="236">
        <f>C42*E42</f>
        <v>38442.009375000001</v>
      </c>
      <c r="G42" s="118" t="s">
        <v>619</v>
      </c>
    </row>
    <row r="43" spans="1:7" ht="28.2" customHeight="1">
      <c r="A43" s="224"/>
      <c r="B43" s="226"/>
      <c r="C43" s="226"/>
      <c r="D43" s="226"/>
      <c r="E43" s="226"/>
      <c r="F43" s="235"/>
    </row>
    <row r="44" spans="1:7" ht="28.2" customHeight="1">
      <c r="A44" s="228" t="s">
        <v>19</v>
      </c>
      <c r="B44" s="231" t="s">
        <v>396</v>
      </c>
      <c r="C44" s="232">
        <f>TAKEOFF!$H$3629</f>
        <v>11.182</v>
      </c>
      <c r="D44" s="233" t="s">
        <v>327</v>
      </c>
      <c r="E44" s="234">
        <f>RATES!$D$24</f>
        <v>2310</v>
      </c>
      <c r="F44" s="236">
        <f>C44*E44</f>
        <v>25830.420000000002</v>
      </c>
      <c r="G44" s="118" t="s">
        <v>620</v>
      </c>
    </row>
    <row r="45" spans="1:7" ht="28.2" customHeight="1">
      <c r="A45" s="224"/>
      <c r="B45" s="226"/>
      <c r="C45" s="226"/>
      <c r="D45" s="226"/>
      <c r="E45" s="226"/>
      <c r="F45" s="235"/>
    </row>
    <row r="46" spans="1:7" ht="28.2" customHeight="1">
      <c r="A46" s="228" t="s">
        <v>21</v>
      </c>
      <c r="B46" s="231" t="s">
        <v>398</v>
      </c>
      <c r="C46" s="232">
        <f>TAKEOFF!$H$3666</f>
        <v>6.6318750000000017</v>
      </c>
      <c r="D46" s="233" t="s">
        <v>327</v>
      </c>
      <c r="E46" s="234">
        <f>RATES!$D$25</f>
        <v>1925.0000000000002</v>
      </c>
      <c r="F46" s="236">
        <f>C46*E46</f>
        <v>12766.359375000005</v>
      </c>
      <c r="G46" s="118" t="s">
        <v>775</v>
      </c>
    </row>
    <row r="47" spans="1:7" ht="28.2" customHeight="1">
      <c r="A47" s="224"/>
      <c r="B47" s="226"/>
      <c r="C47" s="226"/>
      <c r="D47" s="226"/>
      <c r="E47" s="226"/>
      <c r="F47" s="235"/>
    </row>
    <row r="48" spans="1:7" ht="28.2" customHeight="1">
      <c r="A48" s="224"/>
      <c r="B48" s="230" t="s">
        <v>400</v>
      </c>
      <c r="C48" s="226"/>
      <c r="D48" s="226"/>
      <c r="E48" s="226"/>
      <c r="F48" s="235"/>
    </row>
    <row r="49" spans="1:7" ht="28.2" customHeight="1">
      <c r="A49" s="228" t="s">
        <v>23</v>
      </c>
      <c r="B49" s="231" t="s">
        <v>401</v>
      </c>
      <c r="C49" s="232">
        <f>TAKEOFF!$H$3670</f>
        <v>1134.5999999999999</v>
      </c>
      <c r="D49" s="233" t="s">
        <v>322</v>
      </c>
      <c r="E49" s="234">
        <f>RATES!$D$38</f>
        <v>165</v>
      </c>
      <c r="F49" s="236">
        <f>C49*E49</f>
        <v>187208.99999999997</v>
      </c>
      <c r="G49" s="118" t="s">
        <v>698</v>
      </c>
    </row>
    <row r="50" spans="1:7" ht="28.2" customHeight="1">
      <c r="A50" s="224"/>
      <c r="B50" s="226"/>
      <c r="C50" s="226"/>
      <c r="D50" s="226"/>
      <c r="E50" s="226"/>
      <c r="F50" s="235"/>
    </row>
    <row r="51" spans="1:7" ht="28.2" customHeight="1">
      <c r="A51" s="228" t="s">
        <v>25</v>
      </c>
      <c r="B51" s="231" t="s">
        <v>403</v>
      </c>
      <c r="C51" s="232">
        <f>TAKEOFF!$H$3673</f>
        <v>294.60000000000002</v>
      </c>
      <c r="D51" s="233" t="s">
        <v>369</v>
      </c>
      <c r="E51" s="234">
        <f>RATES!$D$40</f>
        <v>65</v>
      </c>
      <c r="F51" s="236">
        <f>C51*E51</f>
        <v>19149</v>
      </c>
      <c r="G51" s="118" t="s">
        <v>699</v>
      </c>
    </row>
    <row r="52" spans="1:7" ht="28.2" customHeight="1">
      <c r="A52" s="224"/>
      <c r="B52" s="226"/>
      <c r="C52" s="226"/>
      <c r="D52" s="226"/>
      <c r="E52" s="226"/>
      <c r="F52" s="235"/>
    </row>
    <row r="53" spans="1:7" ht="28.2" customHeight="1">
      <c r="A53" s="228" t="s">
        <v>27</v>
      </c>
      <c r="B53" s="231" t="s">
        <v>405</v>
      </c>
      <c r="C53" s="232">
        <f>TAKEOFF!$H$3677</f>
        <v>196.59</v>
      </c>
      <c r="D53" s="233" t="s">
        <v>322</v>
      </c>
      <c r="E53" s="234">
        <f>RATES!$D$39</f>
        <v>165</v>
      </c>
      <c r="F53" s="236">
        <f>C53*E53</f>
        <v>32437.350000000002</v>
      </c>
      <c r="G53" s="118" t="s">
        <v>700</v>
      </c>
    </row>
    <row r="54" spans="1:7" ht="28.2" customHeight="1">
      <c r="A54" s="224"/>
      <c r="B54" s="226"/>
      <c r="C54" s="226"/>
      <c r="D54" s="226"/>
      <c r="E54" s="226"/>
      <c r="F54" s="235"/>
    </row>
    <row r="55" spans="1:7" ht="28.2" customHeight="1">
      <c r="A55" s="228" t="s">
        <v>29</v>
      </c>
      <c r="B55" s="231" t="s">
        <v>390</v>
      </c>
      <c r="C55" s="232">
        <f>TAKEOFF!$H$3688</f>
        <v>321.3175</v>
      </c>
      <c r="D55" s="233" t="s">
        <v>322</v>
      </c>
      <c r="E55" s="234">
        <f>RATES!$D$37</f>
        <v>165</v>
      </c>
      <c r="F55" s="236">
        <f>C55*E55</f>
        <v>53017.387499999997</v>
      </c>
      <c r="G55" s="118" t="s">
        <v>625</v>
      </c>
    </row>
    <row r="56" spans="1:7" ht="28.2" customHeight="1">
      <c r="A56" s="224"/>
      <c r="B56" s="226"/>
      <c r="C56" s="226"/>
      <c r="D56" s="226"/>
      <c r="E56" s="226"/>
      <c r="F56" s="235"/>
    </row>
    <row r="57" spans="1:7" ht="28.2" customHeight="1">
      <c r="A57" s="228" t="s">
        <v>31</v>
      </c>
      <c r="B57" s="231" t="s">
        <v>408</v>
      </c>
      <c r="C57" s="232">
        <f>TAKEOFF!$H$3693</f>
        <v>423.61450000000002</v>
      </c>
      <c r="D57" s="233" t="s">
        <v>322</v>
      </c>
      <c r="E57" s="234">
        <f>RATES!$D$36</f>
        <v>165</v>
      </c>
      <c r="F57" s="236">
        <f>C57*E57</f>
        <v>69896.392500000002</v>
      </c>
      <c r="G57" s="118" t="s">
        <v>626</v>
      </c>
    </row>
    <row r="58" spans="1:7" ht="28.2" customHeight="1">
      <c r="A58" s="224"/>
      <c r="B58" s="226"/>
      <c r="C58" s="226"/>
      <c r="D58" s="226"/>
      <c r="E58" s="226"/>
      <c r="F58" s="235"/>
    </row>
    <row r="59" spans="1:7" ht="28.2" customHeight="1">
      <c r="A59" s="228" t="s">
        <v>33</v>
      </c>
      <c r="B59" s="231" t="s">
        <v>410</v>
      </c>
      <c r="C59" s="232">
        <f>TAKEOFF!$H$3701</f>
        <v>66.532799999999995</v>
      </c>
      <c r="D59" s="233" t="s">
        <v>322</v>
      </c>
      <c r="E59" s="234">
        <f>RATES!$D$42</f>
        <v>165</v>
      </c>
      <c r="F59" s="236">
        <f>C59*E59</f>
        <v>10977.911999999998</v>
      </c>
      <c r="G59" s="118" t="s">
        <v>549</v>
      </c>
    </row>
    <row r="60" spans="1:7" ht="28.2" customHeight="1">
      <c r="A60" s="224"/>
      <c r="B60" s="226"/>
      <c r="C60" s="226"/>
      <c r="D60" s="226"/>
      <c r="E60" s="226"/>
      <c r="F60" s="235"/>
    </row>
    <row r="61" spans="1:7" ht="28.2" customHeight="1">
      <c r="A61" s="228" t="s">
        <v>35</v>
      </c>
      <c r="B61" s="231" t="s">
        <v>412</v>
      </c>
      <c r="C61" s="232">
        <f>TAKEOFF!$H$3738</f>
        <v>117.90000000000003</v>
      </c>
      <c r="D61" s="233" t="s">
        <v>322</v>
      </c>
      <c r="E61" s="234">
        <f>RATES!$D$43</f>
        <v>165</v>
      </c>
      <c r="F61" s="236">
        <f>C61*E61</f>
        <v>19453.500000000007</v>
      </c>
      <c r="G61" s="118" t="s">
        <v>775</v>
      </c>
    </row>
    <row r="62" spans="1:7" ht="28.2" customHeight="1">
      <c r="A62" s="224"/>
      <c r="B62" s="226"/>
      <c r="C62" s="226"/>
      <c r="D62" s="226"/>
      <c r="E62" s="226"/>
      <c r="F62" s="235"/>
    </row>
    <row r="63" spans="1:7" ht="28.2" customHeight="1">
      <c r="A63" s="224"/>
      <c r="B63" s="230" t="s">
        <v>413</v>
      </c>
      <c r="C63" s="226"/>
      <c r="D63" s="226"/>
      <c r="E63" s="226"/>
      <c r="F63" s="235"/>
    </row>
    <row r="64" spans="1:7" ht="28.2" customHeight="1">
      <c r="A64" s="228" t="s">
        <v>37</v>
      </c>
      <c r="B64" s="231" t="s">
        <v>414</v>
      </c>
      <c r="C64" s="232">
        <f>TAKEOFF!$H$3742</f>
        <v>4.5510000000000002</v>
      </c>
      <c r="D64" s="233" t="s">
        <v>353</v>
      </c>
      <c r="E64" s="234">
        <f>RATES!$D$29</f>
        <v>14300.000000000002</v>
      </c>
      <c r="F64" s="236">
        <f>C64*E64</f>
        <v>65079.30000000001</v>
      </c>
      <c r="G64" s="118" t="s">
        <v>627</v>
      </c>
    </row>
    <row r="65" spans="1:7" ht="28.2" customHeight="1">
      <c r="A65" s="224"/>
      <c r="B65" s="226"/>
      <c r="C65" s="226"/>
      <c r="D65" s="226"/>
      <c r="E65" s="226"/>
      <c r="F65" s="235"/>
    </row>
    <row r="66" spans="1:7" ht="28.2" customHeight="1">
      <c r="A66" s="228" t="s">
        <v>39</v>
      </c>
      <c r="B66" s="231" t="s">
        <v>416</v>
      </c>
      <c r="C66" s="232">
        <f>TAKEOFF!$H$3745</f>
        <v>7.133</v>
      </c>
      <c r="D66" s="233" t="s">
        <v>353</v>
      </c>
      <c r="E66" s="234">
        <f>RATES!$D$32</f>
        <v>14300.000000000002</v>
      </c>
      <c r="F66" s="236">
        <f>C66*E66</f>
        <v>102001.90000000001</v>
      </c>
      <c r="G66" s="118" t="s">
        <v>628</v>
      </c>
    </row>
    <row r="67" spans="1:7" ht="28.2" customHeight="1">
      <c r="A67" s="224"/>
      <c r="B67" s="226"/>
      <c r="C67" s="226"/>
      <c r="D67" s="226"/>
      <c r="E67" s="226"/>
      <c r="F67" s="235"/>
    </row>
    <row r="68" spans="1:7" ht="28.2" customHeight="1">
      <c r="A68" s="228" t="s">
        <v>418</v>
      </c>
      <c r="B68" s="231" t="s">
        <v>422</v>
      </c>
      <c r="C68" s="232">
        <f>TAKEOFF!$H$3748</f>
        <v>1.806</v>
      </c>
      <c r="D68" s="233" t="s">
        <v>353</v>
      </c>
      <c r="E68" s="234">
        <f>RATES!$D$29</f>
        <v>14300.000000000002</v>
      </c>
      <c r="F68" s="236">
        <f>C68*E68</f>
        <v>25825.800000000003</v>
      </c>
      <c r="G68" s="118" t="s">
        <v>701</v>
      </c>
    </row>
    <row r="69" spans="1:7" ht="28.2" customHeight="1">
      <c r="A69" s="224"/>
      <c r="B69" s="226"/>
      <c r="C69" s="226"/>
      <c r="D69" s="226"/>
      <c r="E69" s="226"/>
      <c r="F69" s="235"/>
    </row>
    <row r="70" spans="1:7" ht="28.2" customHeight="1">
      <c r="A70" s="228" t="s">
        <v>421</v>
      </c>
      <c r="B70" s="231" t="s">
        <v>425</v>
      </c>
      <c r="C70" s="232">
        <f>TAKEOFF!$H$3751</f>
        <v>1.248</v>
      </c>
      <c r="D70" s="233" t="s">
        <v>353</v>
      </c>
      <c r="E70" s="234">
        <f>RATES!$D$31</f>
        <v>14300.000000000002</v>
      </c>
      <c r="F70" s="236">
        <f>C70*E70</f>
        <v>17846.400000000001</v>
      </c>
      <c r="G70" s="118" t="s">
        <v>702</v>
      </c>
    </row>
    <row r="71" spans="1:7" ht="28.2" customHeight="1">
      <c r="A71" s="224"/>
      <c r="B71" s="226"/>
      <c r="C71" s="226"/>
      <c r="D71" s="226"/>
      <c r="E71" s="226"/>
      <c r="F71" s="235"/>
    </row>
    <row r="72" spans="1:7" ht="28.2" customHeight="1">
      <c r="A72" s="228" t="s">
        <v>424</v>
      </c>
      <c r="B72" s="231" t="s">
        <v>428</v>
      </c>
      <c r="C72" s="232">
        <f>TAKEOFF!$H$3754</f>
        <v>2.1349999999999998</v>
      </c>
      <c r="D72" s="233" t="s">
        <v>353</v>
      </c>
      <c r="E72" s="234">
        <f>RATES!$D$32</f>
        <v>14300.000000000002</v>
      </c>
      <c r="F72" s="236">
        <f>C72*E72</f>
        <v>30530.5</v>
      </c>
      <c r="G72" s="118" t="s">
        <v>703</v>
      </c>
    </row>
    <row r="73" spans="1:7" ht="28.2" customHeight="1">
      <c r="A73" s="224"/>
      <c r="B73" s="226"/>
      <c r="C73" s="226"/>
      <c r="D73" s="226"/>
      <c r="E73" s="226"/>
      <c r="F73" s="235"/>
    </row>
    <row r="74" spans="1:7" ht="28.2" customHeight="1">
      <c r="A74" s="228" t="s">
        <v>427</v>
      </c>
      <c r="B74" s="231" t="s">
        <v>431</v>
      </c>
      <c r="C74" s="232">
        <f>TAKEOFF!$H$3757</f>
        <v>5.5069999999999997</v>
      </c>
      <c r="D74" s="233" t="s">
        <v>353</v>
      </c>
      <c r="E74" s="234">
        <f>RATES!$D$33</f>
        <v>14300.000000000002</v>
      </c>
      <c r="F74" s="236">
        <f>C74*E74</f>
        <v>78750.100000000006</v>
      </c>
      <c r="G74" s="118" t="s">
        <v>704</v>
      </c>
    </row>
    <row r="75" spans="1:7" ht="28.2" customHeight="1">
      <c r="A75" s="224"/>
      <c r="B75" s="226"/>
      <c r="C75" s="226"/>
      <c r="D75" s="226"/>
      <c r="E75" s="226"/>
      <c r="F75" s="235"/>
    </row>
    <row r="76" spans="1:7" ht="28.2" customHeight="1">
      <c r="A76" s="228" t="s">
        <v>430</v>
      </c>
      <c r="B76" s="231" t="s">
        <v>434</v>
      </c>
      <c r="C76" s="232">
        <f>TAKEOFF!$H$3761</f>
        <v>2.0779999999999998</v>
      </c>
      <c r="D76" s="233" t="s">
        <v>353</v>
      </c>
      <c r="E76" s="234">
        <f>RATES!$D$29</f>
        <v>14300.000000000002</v>
      </c>
      <c r="F76" s="236">
        <f>C76*E76</f>
        <v>29715.4</v>
      </c>
      <c r="G76" s="118" t="s">
        <v>633</v>
      </c>
    </row>
    <row r="77" spans="1:7" ht="28.2" customHeight="1">
      <c r="A77" s="224"/>
      <c r="B77" s="226"/>
      <c r="C77" s="226"/>
      <c r="D77" s="226"/>
      <c r="E77" s="226"/>
      <c r="F77" s="235"/>
    </row>
    <row r="78" spans="1:7" ht="28.2" customHeight="1">
      <c r="A78" s="228" t="s">
        <v>433</v>
      </c>
      <c r="B78" s="231" t="s">
        <v>437</v>
      </c>
      <c r="C78" s="232">
        <f>TAKEOFF!$H$3765</f>
        <v>2.7829999999999999</v>
      </c>
      <c r="D78" s="233" t="s">
        <v>353</v>
      </c>
      <c r="E78" s="234">
        <f>RATES!$D$30</f>
        <v>14300.000000000002</v>
      </c>
      <c r="F78" s="236">
        <f>C78*E78</f>
        <v>39796.9</v>
      </c>
      <c r="G78" s="118" t="s">
        <v>634</v>
      </c>
    </row>
    <row r="79" spans="1:7" ht="28.2" customHeight="1">
      <c r="A79" s="224"/>
      <c r="B79" s="226"/>
      <c r="C79" s="226"/>
      <c r="D79" s="226"/>
      <c r="E79" s="226"/>
      <c r="F79" s="235"/>
    </row>
    <row r="80" spans="1:7" ht="28.2" customHeight="1">
      <c r="A80" s="228" t="s">
        <v>436</v>
      </c>
      <c r="B80" s="231" t="s">
        <v>705</v>
      </c>
      <c r="C80" s="232">
        <f>TAKEOFF!$H$3769</f>
        <v>10.224</v>
      </c>
      <c r="D80" s="233" t="s">
        <v>353</v>
      </c>
      <c r="E80" s="234">
        <f>RATES!$D$32</f>
        <v>14300.000000000002</v>
      </c>
      <c r="F80" s="236">
        <f>C80*E80</f>
        <v>146203.20000000001</v>
      </c>
      <c r="G80" s="118" t="s">
        <v>733</v>
      </c>
    </row>
    <row r="81" spans="1:7" ht="28.2" customHeight="1">
      <c r="A81" s="224"/>
      <c r="B81" s="226"/>
      <c r="C81" s="226"/>
      <c r="D81" s="226"/>
      <c r="E81" s="226"/>
      <c r="F81" s="235"/>
    </row>
    <row r="82" spans="1:7" ht="28.2" customHeight="1">
      <c r="A82" s="228" t="s">
        <v>439</v>
      </c>
      <c r="B82" s="231" t="s">
        <v>442</v>
      </c>
      <c r="C82" s="232">
        <f>TAKEOFF!$H$3772</f>
        <v>0.88</v>
      </c>
      <c r="D82" s="233" t="s">
        <v>353</v>
      </c>
      <c r="E82" s="234">
        <f>RATES!$D$30</f>
        <v>14300.000000000002</v>
      </c>
      <c r="F82" s="236">
        <f>C82*E82</f>
        <v>12584.000000000002</v>
      </c>
      <c r="G82" s="118" t="s">
        <v>636</v>
      </c>
    </row>
    <row r="83" spans="1:7" ht="28.2" customHeight="1">
      <c r="A83" s="224"/>
      <c r="B83" s="226"/>
      <c r="C83" s="226"/>
      <c r="D83" s="226"/>
      <c r="E83" s="226"/>
      <c r="F83" s="235"/>
    </row>
    <row r="84" spans="1:7" ht="28.2" customHeight="1">
      <c r="A84" s="228" t="s">
        <v>9</v>
      </c>
      <c r="B84" s="231" t="s">
        <v>444</v>
      </c>
      <c r="C84" s="232">
        <f>TAKEOFF!$H$3775</f>
        <v>1.4339999999999999</v>
      </c>
      <c r="D84" s="233" t="s">
        <v>353</v>
      </c>
      <c r="E84" s="234">
        <f>RATES!$D$31</f>
        <v>14300.000000000002</v>
      </c>
      <c r="F84" s="236">
        <f>C84*E84</f>
        <v>20506.2</v>
      </c>
      <c r="G84" s="118" t="s">
        <v>637</v>
      </c>
    </row>
    <row r="85" spans="1:7" ht="28.2" customHeight="1">
      <c r="A85" s="224"/>
      <c r="B85" s="226"/>
      <c r="C85" s="226"/>
      <c r="D85" s="226"/>
      <c r="E85" s="226"/>
      <c r="F85" s="235"/>
    </row>
    <row r="86" spans="1:7" ht="28.2" customHeight="1">
      <c r="A86" s="228" t="s">
        <v>11</v>
      </c>
      <c r="B86" s="231" t="s">
        <v>446</v>
      </c>
      <c r="C86" s="232">
        <f>TAKEOFF!$H$3778</f>
        <v>49.804000000000002</v>
      </c>
      <c r="D86" s="233" t="s">
        <v>353</v>
      </c>
      <c r="E86" s="234">
        <f>RATES!$D$30</f>
        <v>14300.000000000002</v>
      </c>
      <c r="F86" s="236">
        <f>C86*E86</f>
        <v>712197.20000000007</v>
      </c>
      <c r="G86" s="118" t="s">
        <v>708</v>
      </c>
    </row>
    <row r="87" spans="1:7" ht="28.2" customHeight="1">
      <c r="A87" s="224"/>
      <c r="B87" s="226"/>
      <c r="C87" s="226"/>
      <c r="D87" s="226"/>
      <c r="E87" s="226"/>
      <c r="F87" s="235"/>
    </row>
    <row r="88" spans="1:7" ht="28.2" customHeight="1">
      <c r="A88" s="228" t="s">
        <v>13</v>
      </c>
      <c r="B88" s="231" t="s">
        <v>448</v>
      </c>
      <c r="C88" s="232">
        <f>TAKEOFF!$H$3781</f>
        <v>0.151</v>
      </c>
      <c r="D88" s="233" t="s">
        <v>353</v>
      </c>
      <c r="E88" s="234">
        <f>RATES!$D$31</f>
        <v>14300.000000000002</v>
      </c>
      <c r="F88" s="236">
        <f>C88*E88</f>
        <v>2159.3000000000002</v>
      </c>
      <c r="G88" s="118" t="s">
        <v>709</v>
      </c>
    </row>
    <row r="89" spans="1:7" ht="28.2" customHeight="1">
      <c r="A89" s="109"/>
      <c r="B89" s="136"/>
      <c r="C89" s="136"/>
      <c r="D89" s="136"/>
      <c r="E89" s="136"/>
      <c r="F89" s="117"/>
    </row>
    <row r="90" spans="1:7" ht="28.2" customHeight="1" thickBot="1">
      <c r="A90" s="141"/>
      <c r="B90" s="154" t="str">
        <f>B31</f>
        <v>ELEMENT NO. 1: IN SITU CONCRETE/LARGE PRECAST CONCRETE</v>
      </c>
      <c r="C90" s="142"/>
      <c r="D90" s="142"/>
      <c r="E90" s="143"/>
      <c r="F90" s="116">
        <f>SUM(F33:F89)</f>
        <v>2630954.4338749996</v>
      </c>
    </row>
    <row r="91" spans="1:7" ht="28.2" customHeight="1" thickTop="1" thickBot="1">
      <c r="A91" s="150"/>
      <c r="B91" s="151" t="s">
        <v>339</v>
      </c>
      <c r="C91" s="152"/>
      <c r="D91" s="152"/>
      <c r="E91" s="152"/>
      <c r="F91" s="153"/>
    </row>
    <row r="92" spans="1:7" ht="28.2" customHeight="1" thickTop="1">
      <c r="A92" s="109"/>
      <c r="B92" s="136"/>
      <c r="C92" s="136"/>
      <c r="D92" s="136"/>
      <c r="E92" s="136"/>
      <c r="F92" s="117"/>
    </row>
    <row r="93" spans="1:7" ht="28.2" customHeight="1">
      <c r="A93" s="224"/>
      <c r="B93" s="226"/>
      <c r="C93" s="226"/>
      <c r="D93" s="226"/>
      <c r="E93" s="226"/>
      <c r="F93" s="235"/>
    </row>
    <row r="94" spans="1:7" ht="28.2" customHeight="1">
      <c r="A94" s="224"/>
      <c r="B94" s="225" t="s">
        <v>380</v>
      </c>
      <c r="C94" s="226"/>
      <c r="D94" s="226"/>
      <c r="E94" s="226"/>
      <c r="F94" s="235"/>
    </row>
    <row r="95" spans="1:7" ht="28.2" customHeight="1">
      <c r="A95" s="224"/>
      <c r="B95" s="226"/>
      <c r="C95" s="226"/>
      <c r="D95" s="226"/>
      <c r="E95" s="226"/>
      <c r="F95" s="235"/>
    </row>
    <row r="96" spans="1:7" ht="28.2" customHeight="1">
      <c r="A96" s="224"/>
      <c r="B96" s="230" t="s">
        <v>450</v>
      </c>
      <c r="C96" s="226"/>
      <c r="D96" s="226"/>
      <c r="E96" s="226"/>
      <c r="F96" s="235"/>
    </row>
    <row r="97" spans="1:7" ht="28.2" customHeight="1">
      <c r="A97" s="228" t="s">
        <v>9</v>
      </c>
      <c r="B97" s="231" t="s">
        <v>451</v>
      </c>
      <c r="C97" s="232">
        <f>TAKEOFF!$H$3821</f>
        <v>1559.3239999999998</v>
      </c>
      <c r="D97" s="233" t="s">
        <v>322</v>
      </c>
      <c r="E97" s="234">
        <f>RATES!$D$46</f>
        <v>215</v>
      </c>
      <c r="F97" s="236">
        <f>C97*E97</f>
        <v>335254.65999999997</v>
      </c>
      <c r="G97" s="118" t="s">
        <v>776</v>
      </c>
    </row>
    <row r="98" spans="1:7" ht="28.2" customHeight="1">
      <c r="A98" s="224"/>
      <c r="B98" s="226"/>
      <c r="C98" s="226"/>
      <c r="D98" s="226"/>
      <c r="E98" s="226"/>
      <c r="F98" s="235"/>
    </row>
    <row r="99" spans="1:7" ht="28.2" customHeight="1">
      <c r="A99" s="228" t="s">
        <v>11</v>
      </c>
      <c r="B99" s="231" t="s">
        <v>453</v>
      </c>
      <c r="C99" s="232">
        <f>TAKEOFF!$H$3859</f>
        <v>173.631</v>
      </c>
      <c r="D99" s="233" t="s">
        <v>322</v>
      </c>
      <c r="E99" s="234">
        <f>RATES!$D$47</f>
        <v>265</v>
      </c>
      <c r="F99" s="236">
        <f>C99*E99</f>
        <v>46012.214999999997</v>
      </c>
      <c r="G99" s="118" t="s">
        <v>777</v>
      </c>
    </row>
    <row r="100" spans="1:7" ht="28.2" customHeight="1">
      <c r="A100" s="109"/>
      <c r="B100" s="136"/>
      <c r="C100" s="136"/>
      <c r="D100" s="136"/>
      <c r="E100" s="136"/>
      <c r="F100" s="117"/>
    </row>
    <row r="101" spans="1:7" ht="28.2" customHeight="1" thickBot="1">
      <c r="A101" s="141"/>
      <c r="B101" s="154" t="str">
        <f>B94</f>
        <v>ELEMENT NO. 2: MASONRY</v>
      </c>
      <c r="C101" s="142"/>
      <c r="D101" s="142"/>
      <c r="E101" s="143"/>
      <c r="F101" s="116">
        <f>SUM(F96:F100)</f>
        <v>381266.875</v>
      </c>
    </row>
    <row r="102" spans="1:7" ht="28.2" customHeight="1" thickTop="1" thickBot="1">
      <c r="A102" s="150"/>
      <c r="B102" s="151" t="s">
        <v>339</v>
      </c>
      <c r="C102" s="152"/>
      <c r="D102" s="152"/>
      <c r="E102" s="152"/>
      <c r="F102" s="153"/>
    </row>
    <row r="103" spans="1:7" ht="28.2" customHeight="1" thickTop="1">
      <c r="A103" s="109"/>
      <c r="B103" s="136"/>
      <c r="C103" s="136"/>
      <c r="D103" s="136"/>
      <c r="E103" s="136"/>
      <c r="F103" s="117"/>
    </row>
    <row r="104" spans="1:7" ht="28.2" customHeight="1">
      <c r="A104" s="224"/>
      <c r="B104" s="226"/>
      <c r="C104" s="226"/>
      <c r="D104" s="226"/>
      <c r="E104" s="226"/>
      <c r="F104" s="235"/>
    </row>
    <row r="105" spans="1:7" ht="28.2" customHeight="1">
      <c r="A105" s="224"/>
      <c r="B105" s="225" t="s">
        <v>381</v>
      </c>
      <c r="C105" s="226"/>
      <c r="D105" s="226"/>
      <c r="E105" s="226"/>
      <c r="F105" s="235"/>
    </row>
    <row r="106" spans="1:7" ht="28.2" customHeight="1">
      <c r="A106" s="224"/>
      <c r="B106" s="226"/>
      <c r="C106" s="226"/>
      <c r="D106" s="226"/>
      <c r="E106" s="226"/>
      <c r="F106" s="235"/>
    </row>
    <row r="107" spans="1:7" ht="28.2" customHeight="1">
      <c r="A107" s="224"/>
      <c r="B107" s="230" t="s">
        <v>455</v>
      </c>
      <c r="C107" s="226"/>
      <c r="D107" s="226"/>
      <c r="E107" s="226"/>
      <c r="F107" s="235"/>
    </row>
    <row r="108" spans="1:7" ht="28.2" customHeight="1">
      <c r="A108" s="228" t="s">
        <v>9</v>
      </c>
      <c r="B108" s="231" t="s">
        <v>642</v>
      </c>
      <c r="C108" s="232">
        <f>TAKEOFF!$H$3864</f>
        <v>8</v>
      </c>
      <c r="D108" s="233" t="s">
        <v>457</v>
      </c>
      <c r="E108" s="234">
        <f>RATES!$D$75</f>
        <v>7800</v>
      </c>
      <c r="F108" s="236">
        <f>C108*E108</f>
        <v>62400</v>
      </c>
      <c r="G108" s="118" t="s">
        <v>669</v>
      </c>
    </row>
    <row r="109" spans="1:7" ht="28.2" customHeight="1">
      <c r="A109" s="224"/>
      <c r="B109" s="226"/>
      <c r="C109" s="226"/>
      <c r="D109" s="226"/>
      <c r="E109" s="226"/>
      <c r="F109" s="235"/>
    </row>
    <row r="110" spans="1:7" ht="28.2" customHeight="1">
      <c r="A110" s="228" t="s">
        <v>11</v>
      </c>
      <c r="B110" s="231" t="s">
        <v>459</v>
      </c>
      <c r="C110" s="232">
        <f>TAKEOFF!$H$3867</f>
        <v>15</v>
      </c>
      <c r="D110" s="233" t="s">
        <v>457</v>
      </c>
      <c r="E110" s="234">
        <f>RATES!$D$76</f>
        <v>3400</v>
      </c>
      <c r="F110" s="236">
        <f>C110*E110</f>
        <v>51000</v>
      </c>
      <c r="G110" s="118" t="s">
        <v>712</v>
      </c>
    </row>
    <row r="111" spans="1:7" ht="28.2" customHeight="1">
      <c r="A111" s="224"/>
      <c r="B111" s="226"/>
      <c r="C111" s="226"/>
      <c r="D111" s="226"/>
      <c r="E111" s="226"/>
      <c r="F111" s="235"/>
    </row>
    <row r="112" spans="1:7" ht="28.2" customHeight="1">
      <c r="A112" s="228" t="s">
        <v>13</v>
      </c>
      <c r="B112" s="231" t="s">
        <v>463</v>
      </c>
      <c r="C112" s="232">
        <f>TAKEOFF!$H$3870</f>
        <v>20</v>
      </c>
      <c r="D112" s="233" t="s">
        <v>457</v>
      </c>
      <c r="E112" s="234">
        <f>RATES!$D$79</f>
        <v>1900</v>
      </c>
      <c r="F112" s="236">
        <f>C112*E112</f>
        <v>38000</v>
      </c>
      <c r="G112" s="118" t="s">
        <v>480</v>
      </c>
    </row>
    <row r="113" spans="1:7" ht="28.2" customHeight="1">
      <c r="A113" s="224"/>
      <c r="B113" s="226"/>
      <c r="C113" s="226"/>
      <c r="D113" s="226"/>
      <c r="E113" s="226"/>
      <c r="F113" s="235"/>
    </row>
    <row r="114" spans="1:7" ht="28.2" customHeight="1">
      <c r="A114" s="228" t="s">
        <v>15</v>
      </c>
      <c r="B114" s="231" t="s">
        <v>464</v>
      </c>
      <c r="C114" s="232">
        <f>TAKEOFF!$H$3873</f>
        <v>1</v>
      </c>
      <c r="D114" s="233" t="s">
        <v>457</v>
      </c>
      <c r="E114" s="234">
        <f>RATES!$D$80</f>
        <v>6800</v>
      </c>
      <c r="F114" s="236">
        <f>C114*E114</f>
        <v>6800</v>
      </c>
      <c r="G114" s="118" t="s">
        <v>458</v>
      </c>
    </row>
    <row r="115" spans="1:7" ht="28.2" customHeight="1">
      <c r="A115" s="224"/>
      <c r="B115" s="226"/>
      <c r="C115" s="226"/>
      <c r="D115" s="226"/>
      <c r="E115" s="226"/>
      <c r="F115" s="235"/>
    </row>
    <row r="116" spans="1:7" ht="28.2" customHeight="1">
      <c r="A116" s="228" t="s">
        <v>17</v>
      </c>
      <c r="B116" s="231" t="s">
        <v>646</v>
      </c>
      <c r="C116" s="232">
        <f>TAKEOFF!$H$3876</f>
        <v>3</v>
      </c>
      <c r="D116" s="233" t="s">
        <v>457</v>
      </c>
      <c r="E116" s="234">
        <f>RATES!$D$81</f>
        <v>9800</v>
      </c>
      <c r="F116" s="236">
        <f>C116*E116</f>
        <v>29400</v>
      </c>
      <c r="G116" s="118" t="s">
        <v>467</v>
      </c>
    </row>
    <row r="117" spans="1:7" ht="28.2" customHeight="1">
      <c r="A117" s="224"/>
      <c r="B117" s="226"/>
      <c r="C117" s="226"/>
      <c r="D117" s="226"/>
      <c r="E117" s="226"/>
      <c r="F117" s="235"/>
    </row>
    <row r="118" spans="1:7" ht="28.2" customHeight="1">
      <c r="A118" s="228" t="s">
        <v>19</v>
      </c>
      <c r="B118" s="231" t="s">
        <v>466</v>
      </c>
      <c r="C118" s="232">
        <f>TAKEOFF!$H$3879</f>
        <v>3</v>
      </c>
      <c r="D118" s="233" t="s">
        <v>457</v>
      </c>
      <c r="E118" s="234">
        <f>RATES!$D$82</f>
        <v>7200</v>
      </c>
      <c r="F118" s="236">
        <f>C118*E118</f>
        <v>21600</v>
      </c>
      <c r="G118" s="118" t="s">
        <v>467</v>
      </c>
    </row>
    <row r="119" spans="1:7" ht="28.2" customHeight="1">
      <c r="A119" s="224"/>
      <c r="B119" s="226"/>
      <c r="C119" s="226"/>
      <c r="D119" s="226"/>
      <c r="E119" s="226"/>
      <c r="F119" s="235"/>
    </row>
    <row r="120" spans="1:7" ht="28.2" customHeight="1">
      <c r="A120" s="228" t="s">
        <v>21</v>
      </c>
      <c r="B120" s="231" t="s">
        <v>647</v>
      </c>
      <c r="C120" s="232">
        <f>TAKEOFF!$H$3882</f>
        <v>2</v>
      </c>
      <c r="D120" s="233" t="s">
        <v>457</v>
      </c>
      <c r="E120" s="234">
        <f>RATES!$D$83</f>
        <v>8100</v>
      </c>
      <c r="F120" s="236">
        <f>C120*E120</f>
        <v>16200</v>
      </c>
      <c r="G120" s="118" t="s">
        <v>465</v>
      </c>
    </row>
    <row r="121" spans="1:7" ht="28.2" customHeight="1">
      <c r="A121" s="224"/>
      <c r="B121" s="226"/>
      <c r="C121" s="226"/>
      <c r="D121" s="226"/>
      <c r="E121" s="226"/>
      <c r="F121" s="235"/>
    </row>
    <row r="122" spans="1:7" ht="28.2" customHeight="1">
      <c r="A122" s="228" t="s">
        <v>23</v>
      </c>
      <c r="B122" s="231" t="s">
        <v>468</v>
      </c>
      <c r="C122" s="232">
        <f>TAKEOFF!$H$3885</f>
        <v>1</v>
      </c>
      <c r="D122" s="233" t="s">
        <v>457</v>
      </c>
      <c r="E122" s="234">
        <f>RATES!$D$84</f>
        <v>6900</v>
      </c>
      <c r="F122" s="236">
        <f>C122*E122</f>
        <v>6900</v>
      </c>
      <c r="G122" s="118" t="s">
        <v>458</v>
      </c>
    </row>
    <row r="123" spans="1:7" ht="28.2" customHeight="1">
      <c r="A123" s="224"/>
      <c r="B123" s="226"/>
      <c r="C123" s="226"/>
      <c r="D123" s="226"/>
      <c r="E123" s="226"/>
      <c r="F123" s="235"/>
    </row>
    <row r="124" spans="1:7" ht="28.2" customHeight="1">
      <c r="A124" s="228" t="s">
        <v>25</v>
      </c>
      <c r="B124" s="231" t="s">
        <v>648</v>
      </c>
      <c r="C124" s="232">
        <f>TAKEOFF!$H$3888</f>
        <v>1</v>
      </c>
      <c r="D124" s="233" t="s">
        <v>457</v>
      </c>
      <c r="E124" s="234">
        <f>RATES!$D$86</f>
        <v>4600</v>
      </c>
      <c r="F124" s="236">
        <f>C124*E124</f>
        <v>4600</v>
      </c>
      <c r="G124" s="118" t="s">
        <v>458</v>
      </c>
    </row>
    <row r="125" spans="1:7" ht="28.2" customHeight="1">
      <c r="A125" s="224"/>
      <c r="B125" s="226"/>
      <c r="C125" s="226"/>
      <c r="D125" s="226"/>
      <c r="E125" s="226"/>
      <c r="F125" s="235"/>
    </row>
    <row r="126" spans="1:7" ht="28.2" customHeight="1">
      <c r="A126" s="228" t="s">
        <v>27</v>
      </c>
      <c r="B126" s="231" t="s">
        <v>649</v>
      </c>
      <c r="C126" s="232">
        <f>TAKEOFF!$H$3891</f>
        <v>2</v>
      </c>
      <c r="D126" s="233" t="s">
        <v>457</v>
      </c>
      <c r="E126" s="234">
        <f>RATES!$D$87</f>
        <v>2900</v>
      </c>
      <c r="F126" s="236">
        <f>C126*E126</f>
        <v>5800</v>
      </c>
      <c r="G126" s="118" t="s">
        <v>465</v>
      </c>
    </row>
    <row r="127" spans="1:7" ht="28.2" customHeight="1">
      <c r="A127" s="224"/>
      <c r="B127" s="226"/>
      <c r="C127" s="226"/>
      <c r="D127" s="226"/>
      <c r="E127" s="226"/>
      <c r="F127" s="235"/>
    </row>
    <row r="128" spans="1:7" ht="28.2" customHeight="1">
      <c r="A128" s="228" t="s">
        <v>29</v>
      </c>
      <c r="B128" s="231" t="s">
        <v>650</v>
      </c>
      <c r="C128" s="232">
        <f>TAKEOFF!$H$3894</f>
        <v>4</v>
      </c>
      <c r="D128" s="233" t="s">
        <v>457</v>
      </c>
      <c r="E128" s="234">
        <f>RATES!$D$88</f>
        <v>2600</v>
      </c>
      <c r="F128" s="236">
        <f>C128*E128</f>
        <v>10400</v>
      </c>
      <c r="G128" s="118" t="s">
        <v>493</v>
      </c>
    </row>
    <row r="129" spans="1:7" ht="28.2" customHeight="1">
      <c r="A129" s="224"/>
      <c r="B129" s="226"/>
      <c r="C129" s="226"/>
      <c r="D129" s="226"/>
      <c r="E129" s="226"/>
      <c r="F129" s="235"/>
    </row>
    <row r="130" spans="1:7" ht="28.2" customHeight="1">
      <c r="A130" s="228" t="s">
        <v>31</v>
      </c>
      <c r="B130" s="231" t="s">
        <v>652</v>
      </c>
      <c r="C130" s="232">
        <f>TAKEOFF!$H$3897</f>
        <v>1</v>
      </c>
      <c r="D130" s="233" t="s">
        <v>457</v>
      </c>
      <c r="E130" s="234">
        <f>RATES!$D$89</f>
        <v>1900</v>
      </c>
      <c r="F130" s="236">
        <f>C130*E130</f>
        <v>1900</v>
      </c>
      <c r="G130" s="118" t="s">
        <v>458</v>
      </c>
    </row>
    <row r="131" spans="1:7" ht="28.2" customHeight="1">
      <c r="A131" s="224"/>
      <c r="B131" s="226"/>
      <c r="C131" s="226"/>
      <c r="D131" s="226"/>
      <c r="E131" s="226"/>
      <c r="F131" s="235"/>
    </row>
    <row r="132" spans="1:7" ht="28.2" customHeight="1">
      <c r="A132" s="228" t="s">
        <v>33</v>
      </c>
      <c r="B132" s="231" t="s">
        <v>653</v>
      </c>
      <c r="C132" s="232">
        <f>TAKEOFF!$H$3900</f>
        <v>3</v>
      </c>
      <c r="D132" s="233" t="s">
        <v>457</v>
      </c>
      <c r="E132" s="234">
        <f>RATES!$D$90</f>
        <v>2200</v>
      </c>
      <c r="F132" s="236">
        <f>C132*E132</f>
        <v>6600</v>
      </c>
      <c r="G132" s="118" t="s">
        <v>467</v>
      </c>
    </row>
    <row r="133" spans="1:7" ht="28.2" customHeight="1">
      <c r="A133" s="224"/>
      <c r="B133" s="226"/>
      <c r="C133" s="226"/>
      <c r="D133" s="226"/>
      <c r="E133" s="226"/>
      <c r="F133" s="235"/>
    </row>
    <row r="134" spans="1:7" ht="28.2" customHeight="1">
      <c r="A134" s="228" t="s">
        <v>35</v>
      </c>
      <c r="B134" s="231" t="s">
        <v>654</v>
      </c>
      <c r="C134" s="232">
        <f>TAKEOFF!$H$3903</f>
        <v>1</v>
      </c>
      <c r="D134" s="233" t="s">
        <v>457</v>
      </c>
      <c r="E134" s="234">
        <f>RATES!$D$94</f>
        <v>14500</v>
      </c>
      <c r="F134" s="236">
        <f>C134*E134</f>
        <v>14500</v>
      </c>
      <c r="G134" s="118" t="s">
        <v>458</v>
      </c>
    </row>
    <row r="135" spans="1:7" ht="28.2" customHeight="1">
      <c r="A135" s="224"/>
      <c r="B135" s="226"/>
      <c r="C135" s="226"/>
      <c r="D135" s="226"/>
      <c r="E135" s="226"/>
      <c r="F135" s="235"/>
    </row>
    <row r="136" spans="1:7" ht="28.2" customHeight="1">
      <c r="A136" s="228" t="s">
        <v>37</v>
      </c>
      <c r="B136" s="231" t="s">
        <v>655</v>
      </c>
      <c r="C136" s="232">
        <f>TAKEOFF!$H$3906</f>
        <v>4</v>
      </c>
      <c r="D136" s="233" t="s">
        <v>457</v>
      </c>
      <c r="E136" s="234">
        <f>RATES!$D$95</f>
        <v>8800</v>
      </c>
      <c r="F136" s="236">
        <f>C136*E136</f>
        <v>35200</v>
      </c>
      <c r="G136" s="118" t="s">
        <v>493</v>
      </c>
    </row>
    <row r="137" spans="1:7" ht="28.2" customHeight="1">
      <c r="A137" s="224"/>
      <c r="B137" s="226"/>
      <c r="C137" s="226"/>
      <c r="D137" s="226"/>
      <c r="E137" s="226"/>
      <c r="F137" s="235"/>
    </row>
    <row r="138" spans="1:7" ht="28.2" customHeight="1">
      <c r="A138" s="228" t="s">
        <v>39</v>
      </c>
      <c r="B138" s="231" t="s">
        <v>656</v>
      </c>
      <c r="C138" s="232">
        <f>TAKEOFF!$H$3909</f>
        <v>2</v>
      </c>
      <c r="D138" s="233" t="s">
        <v>457</v>
      </c>
      <c r="E138" s="234">
        <f>RATES!$D$96</f>
        <v>7600</v>
      </c>
      <c r="F138" s="236">
        <f>C138*E138</f>
        <v>15200</v>
      </c>
      <c r="G138" s="118" t="s">
        <v>465</v>
      </c>
    </row>
    <row r="139" spans="1:7" ht="28.2" customHeight="1">
      <c r="A139" s="224"/>
      <c r="B139" s="226"/>
      <c r="C139" s="226"/>
      <c r="D139" s="226"/>
      <c r="E139" s="226"/>
      <c r="F139" s="235"/>
    </row>
    <row r="140" spans="1:7" ht="28.2" customHeight="1">
      <c r="A140" s="228" t="s">
        <v>418</v>
      </c>
      <c r="B140" s="231" t="s">
        <v>657</v>
      </c>
      <c r="C140" s="232">
        <f>TAKEOFF!$H$3912</f>
        <v>4</v>
      </c>
      <c r="D140" s="233" t="s">
        <v>457</v>
      </c>
      <c r="E140" s="234">
        <f>RATES!$D$97</f>
        <v>9300</v>
      </c>
      <c r="F140" s="236">
        <f>C140*E140</f>
        <v>37200</v>
      </c>
      <c r="G140" s="118" t="s">
        <v>493</v>
      </c>
    </row>
    <row r="141" spans="1:7" ht="28.2" customHeight="1">
      <c r="A141" s="224"/>
      <c r="B141" s="226"/>
      <c r="C141" s="226"/>
      <c r="D141" s="226"/>
      <c r="E141" s="226"/>
      <c r="F141" s="235"/>
    </row>
    <row r="142" spans="1:7" ht="28.2" customHeight="1">
      <c r="A142" s="228" t="s">
        <v>421</v>
      </c>
      <c r="B142" s="231" t="s">
        <v>658</v>
      </c>
      <c r="C142" s="232">
        <f>TAKEOFF!$H$3915</f>
        <v>1</v>
      </c>
      <c r="D142" s="233" t="s">
        <v>457</v>
      </c>
      <c r="E142" s="234">
        <f>RATES!$D$98</f>
        <v>7200</v>
      </c>
      <c r="F142" s="236">
        <f>C142*E142</f>
        <v>7200</v>
      </c>
      <c r="G142" s="118" t="s">
        <v>458</v>
      </c>
    </row>
    <row r="143" spans="1:7" ht="28.2" customHeight="1">
      <c r="A143" s="224"/>
      <c r="B143" s="226"/>
      <c r="C143" s="226"/>
      <c r="D143" s="226"/>
      <c r="E143" s="226"/>
      <c r="F143" s="235"/>
    </row>
    <row r="144" spans="1:7" ht="28.2" customHeight="1">
      <c r="A144" s="228" t="s">
        <v>424</v>
      </c>
      <c r="B144" s="231" t="s">
        <v>474</v>
      </c>
      <c r="C144" s="232">
        <f>TAKEOFF!$H$3920</f>
        <v>188.4</v>
      </c>
      <c r="D144" s="233" t="s">
        <v>369</v>
      </c>
      <c r="E144" s="234">
        <f>RATES!$D$100</f>
        <v>125</v>
      </c>
      <c r="F144" s="236">
        <f>C144*E144</f>
        <v>23550</v>
      </c>
      <c r="G144" s="118" t="s">
        <v>736</v>
      </c>
    </row>
    <row r="145" spans="1:7" ht="28.2" customHeight="1">
      <c r="A145" s="224"/>
      <c r="B145" s="226"/>
      <c r="C145" s="226"/>
      <c r="D145" s="226"/>
      <c r="E145" s="226"/>
      <c r="F145" s="235"/>
    </row>
    <row r="146" spans="1:7" ht="28.2" customHeight="1">
      <c r="A146" s="228" t="s">
        <v>427</v>
      </c>
      <c r="B146" s="231" t="s">
        <v>476</v>
      </c>
      <c r="C146" s="232">
        <f>TAKEOFF!$H$3925</f>
        <v>188.4</v>
      </c>
      <c r="D146" s="233" t="s">
        <v>369</v>
      </c>
      <c r="E146" s="234">
        <f>RATES!$D$101</f>
        <v>28</v>
      </c>
      <c r="F146" s="236">
        <f>C146*E146</f>
        <v>5275.2</v>
      </c>
      <c r="G146" s="118" t="s">
        <v>736</v>
      </c>
    </row>
    <row r="147" spans="1:7" ht="28.2" customHeight="1">
      <c r="A147" s="224"/>
      <c r="B147" s="226"/>
      <c r="C147" s="226"/>
      <c r="D147" s="226"/>
      <c r="E147" s="226"/>
      <c r="F147" s="235"/>
    </row>
    <row r="148" spans="1:7" ht="28.2" customHeight="1">
      <c r="A148" s="224"/>
      <c r="B148" s="230" t="s">
        <v>477</v>
      </c>
      <c r="C148" s="226"/>
      <c r="D148" s="226"/>
      <c r="E148" s="226"/>
      <c r="F148" s="235"/>
    </row>
    <row r="149" spans="1:7" ht="28.2" customHeight="1">
      <c r="A149" s="228" t="s">
        <v>430</v>
      </c>
      <c r="B149" s="231" t="s">
        <v>478</v>
      </c>
      <c r="C149" s="232">
        <f>TAKEOFF!$H$3929</f>
        <v>53</v>
      </c>
      <c r="D149" s="233" t="s">
        <v>479</v>
      </c>
      <c r="E149" s="234">
        <f>RATES!$D$102</f>
        <v>125</v>
      </c>
      <c r="F149" s="236">
        <f>C149*E149</f>
        <v>6625</v>
      </c>
      <c r="G149" s="118" t="s">
        <v>737</v>
      </c>
    </row>
    <row r="150" spans="1:7" ht="28.2" customHeight="1">
      <c r="A150" s="224"/>
      <c r="B150" s="226"/>
      <c r="C150" s="226"/>
      <c r="D150" s="226"/>
      <c r="E150" s="226"/>
      <c r="F150" s="235"/>
    </row>
    <row r="151" spans="1:7" ht="28.2" customHeight="1">
      <c r="A151" s="228" t="s">
        <v>433</v>
      </c>
      <c r="B151" s="231" t="s">
        <v>481</v>
      </c>
      <c r="C151" s="232">
        <f>TAKEOFF!$H$3932</f>
        <v>15</v>
      </c>
      <c r="D151" s="233" t="s">
        <v>457</v>
      </c>
      <c r="E151" s="234">
        <f>RATES!$D$103</f>
        <v>480</v>
      </c>
      <c r="F151" s="236">
        <f>C151*E151</f>
        <v>7200</v>
      </c>
      <c r="G151" s="118" t="s">
        <v>712</v>
      </c>
    </row>
    <row r="152" spans="1:7" ht="28.2" customHeight="1">
      <c r="A152" s="224"/>
      <c r="B152" s="226"/>
      <c r="C152" s="226"/>
      <c r="D152" s="226"/>
      <c r="E152" s="226"/>
      <c r="F152" s="235"/>
    </row>
    <row r="153" spans="1:7" ht="28.2" customHeight="1">
      <c r="A153" s="228" t="s">
        <v>436</v>
      </c>
      <c r="B153" s="231" t="s">
        <v>483</v>
      </c>
      <c r="C153" s="232">
        <f>TAKEOFF!$H$3935</f>
        <v>20</v>
      </c>
      <c r="D153" s="233" t="s">
        <v>457</v>
      </c>
      <c r="E153" s="234">
        <f>RATES!$D$104</f>
        <v>560</v>
      </c>
      <c r="F153" s="236">
        <f>C153*E153</f>
        <v>11200</v>
      </c>
      <c r="G153" s="118" t="s">
        <v>480</v>
      </c>
    </row>
    <row r="154" spans="1:7" ht="28.2" customHeight="1">
      <c r="A154" s="224"/>
      <c r="B154" s="226"/>
      <c r="C154" s="226"/>
      <c r="D154" s="226"/>
      <c r="E154" s="226"/>
      <c r="F154" s="235"/>
    </row>
    <row r="155" spans="1:7" s="9" customFormat="1" ht="28.2" customHeight="1">
      <c r="A155" s="224"/>
      <c r="B155" s="226"/>
      <c r="C155" s="226"/>
      <c r="D155" s="226"/>
      <c r="E155" s="226"/>
      <c r="F155" s="235"/>
    </row>
    <row r="156" spans="1:7" ht="28.2" customHeight="1">
      <c r="A156" s="224"/>
      <c r="B156" s="230" t="s">
        <v>484</v>
      </c>
      <c r="C156" s="226"/>
      <c r="D156" s="226"/>
      <c r="E156" s="226"/>
      <c r="F156" s="235"/>
    </row>
    <row r="157" spans="1:7" ht="28.2" customHeight="1">
      <c r="A157" s="228" t="s">
        <v>439</v>
      </c>
      <c r="B157" s="231" t="s">
        <v>661</v>
      </c>
      <c r="C157" s="232">
        <f>TAKEOFF!$H$3939</f>
        <v>6</v>
      </c>
      <c r="D157" s="233" t="s">
        <v>457</v>
      </c>
      <c r="E157" s="234">
        <f>RATES!$D$109</f>
        <v>3603.6000000000008</v>
      </c>
      <c r="F157" s="236">
        <f>C157*E157</f>
        <v>21621.600000000006</v>
      </c>
      <c r="G157" s="118" t="s">
        <v>460</v>
      </c>
    </row>
    <row r="158" spans="1:7" ht="28.2" customHeight="1">
      <c r="A158" s="224"/>
      <c r="B158" s="226"/>
      <c r="C158" s="226"/>
      <c r="D158" s="226"/>
      <c r="E158" s="226"/>
      <c r="F158" s="235"/>
    </row>
    <row r="159" spans="1:7" ht="28.2" customHeight="1">
      <c r="A159" s="228" t="s">
        <v>9</v>
      </c>
      <c r="B159" s="231" t="s">
        <v>662</v>
      </c>
      <c r="C159" s="232">
        <f>TAKEOFF!$H$3942</f>
        <v>10</v>
      </c>
      <c r="D159" s="233" t="s">
        <v>457</v>
      </c>
      <c r="E159" s="234">
        <f>RATES!$D$111</f>
        <v>1801.8000000000004</v>
      </c>
      <c r="F159" s="236">
        <f>C159*E159</f>
        <v>18018.000000000004</v>
      </c>
      <c r="G159" s="118" t="s">
        <v>643</v>
      </c>
    </row>
    <row r="160" spans="1:7" ht="28.2" customHeight="1">
      <c r="A160" s="224"/>
      <c r="B160" s="226"/>
      <c r="C160" s="226"/>
      <c r="D160" s="226"/>
      <c r="E160" s="226"/>
      <c r="F160" s="235"/>
    </row>
    <row r="161" spans="1:7" ht="28.2" customHeight="1">
      <c r="A161" s="228" t="s">
        <v>11</v>
      </c>
      <c r="B161" s="231" t="s">
        <v>664</v>
      </c>
      <c r="C161" s="232">
        <f>TAKEOFF!$H$3945</f>
        <v>1</v>
      </c>
      <c r="D161" s="233" t="s">
        <v>457</v>
      </c>
      <c r="E161" s="234">
        <f>RATES!$D$114</f>
        <v>4435.2000000000007</v>
      </c>
      <c r="F161" s="236">
        <f>C161*E161</f>
        <v>4435.2000000000007</v>
      </c>
      <c r="G161" s="118" t="s">
        <v>458</v>
      </c>
    </row>
    <row r="162" spans="1:7" ht="28.2" customHeight="1">
      <c r="A162" s="224"/>
      <c r="B162" s="226"/>
      <c r="C162" s="226"/>
      <c r="D162" s="226"/>
      <c r="E162" s="226"/>
      <c r="F162" s="235"/>
    </row>
    <row r="163" spans="1:7" ht="28.2" customHeight="1">
      <c r="A163" s="228" t="s">
        <v>13</v>
      </c>
      <c r="B163" s="231" t="s">
        <v>665</v>
      </c>
      <c r="C163" s="232">
        <f>TAKEOFF!$H$3948</f>
        <v>3</v>
      </c>
      <c r="D163" s="233" t="s">
        <v>457</v>
      </c>
      <c r="E163" s="234">
        <f>RATES!$D$115</f>
        <v>3511.2000000000003</v>
      </c>
      <c r="F163" s="236">
        <f>C163*E163</f>
        <v>10533.6</v>
      </c>
      <c r="G163" s="118" t="s">
        <v>467</v>
      </c>
    </row>
    <row r="164" spans="1:7" ht="28.2" customHeight="1">
      <c r="A164" s="224"/>
      <c r="B164" s="226"/>
      <c r="C164" s="226"/>
      <c r="D164" s="226"/>
      <c r="E164" s="226"/>
      <c r="F164" s="235"/>
    </row>
    <row r="165" spans="1:7" ht="28.2" customHeight="1">
      <c r="A165" s="228" t="s">
        <v>15</v>
      </c>
      <c r="B165" s="231" t="s">
        <v>666</v>
      </c>
      <c r="C165" s="232">
        <f>TAKEOFF!$H$3951</f>
        <v>8</v>
      </c>
      <c r="D165" s="233" t="s">
        <v>457</v>
      </c>
      <c r="E165" s="234">
        <f>RATES!$D$116</f>
        <v>2125.2000000000003</v>
      </c>
      <c r="F165" s="236">
        <f>C165*E165</f>
        <v>17001.600000000002</v>
      </c>
      <c r="G165" s="118" t="s">
        <v>669</v>
      </c>
    </row>
    <row r="166" spans="1:7" ht="28.2" customHeight="1">
      <c r="A166" s="224"/>
      <c r="B166" s="226"/>
      <c r="C166" s="226"/>
      <c r="D166" s="226"/>
      <c r="E166" s="226"/>
      <c r="F166" s="235"/>
    </row>
    <row r="167" spans="1:7" ht="28.2" customHeight="1">
      <c r="A167" s="228" t="s">
        <v>17</v>
      </c>
      <c r="B167" s="231" t="s">
        <v>667</v>
      </c>
      <c r="C167" s="232">
        <f>TAKEOFF!$H$3954</f>
        <v>1</v>
      </c>
      <c r="D167" s="233" t="s">
        <v>457</v>
      </c>
      <c r="E167" s="234">
        <f>RATES!$D$117</f>
        <v>2217.6000000000004</v>
      </c>
      <c r="F167" s="236">
        <f>C167*E167</f>
        <v>2217.6000000000004</v>
      </c>
      <c r="G167" s="118" t="s">
        <v>458</v>
      </c>
    </row>
    <row r="168" spans="1:7" ht="28.2" customHeight="1">
      <c r="A168" s="224"/>
      <c r="B168" s="226"/>
      <c r="C168" s="226"/>
      <c r="D168" s="226"/>
      <c r="E168" s="226"/>
      <c r="F168" s="235"/>
    </row>
    <row r="169" spans="1:7" ht="28.2" customHeight="1">
      <c r="A169" s="228" t="s">
        <v>19</v>
      </c>
      <c r="B169" s="231" t="s">
        <v>668</v>
      </c>
      <c r="C169" s="232">
        <f>TAKEOFF!$H$3957</f>
        <v>6</v>
      </c>
      <c r="D169" s="233" t="s">
        <v>457</v>
      </c>
      <c r="E169" s="234">
        <f>RATES!$D$118</f>
        <v>3003.0000000000009</v>
      </c>
      <c r="F169" s="236">
        <f>C169*E169</f>
        <v>18018.000000000007</v>
      </c>
      <c r="G169" s="118" t="s">
        <v>460</v>
      </c>
    </row>
    <row r="170" spans="1:7" ht="28.2" customHeight="1">
      <c r="A170" s="224"/>
      <c r="B170" s="226"/>
      <c r="C170" s="226"/>
      <c r="D170" s="226"/>
      <c r="E170" s="226"/>
      <c r="F170" s="235"/>
    </row>
    <row r="171" spans="1:7" ht="28.2" customHeight="1">
      <c r="A171" s="228" t="s">
        <v>21</v>
      </c>
      <c r="B171" s="231" t="s">
        <v>670</v>
      </c>
      <c r="C171" s="232">
        <f>TAKEOFF!$H$3960</f>
        <v>3</v>
      </c>
      <c r="D171" s="233" t="s">
        <v>457</v>
      </c>
      <c r="E171" s="234">
        <f>RATES!$D$119</f>
        <v>2656.5</v>
      </c>
      <c r="F171" s="236">
        <f>C171*E171</f>
        <v>7969.5</v>
      </c>
      <c r="G171" s="118" t="s">
        <v>467</v>
      </c>
    </row>
    <row r="172" spans="1:7" ht="28.2" customHeight="1">
      <c r="A172" s="224"/>
      <c r="B172" s="226"/>
      <c r="C172" s="226"/>
      <c r="D172" s="226"/>
      <c r="E172" s="226"/>
      <c r="F172" s="235"/>
    </row>
    <row r="173" spans="1:7" ht="28.2" customHeight="1">
      <c r="A173" s="228" t="s">
        <v>23</v>
      </c>
      <c r="B173" s="231" t="s">
        <v>671</v>
      </c>
      <c r="C173" s="232">
        <f>TAKEOFF!$H$3963</f>
        <v>1</v>
      </c>
      <c r="D173" s="233" t="s">
        <v>457</v>
      </c>
      <c r="E173" s="234">
        <f>RATES!$D$120</f>
        <v>4804.8000000000011</v>
      </c>
      <c r="F173" s="236">
        <f>C173*E173</f>
        <v>4804.8000000000011</v>
      </c>
      <c r="G173" s="118" t="s">
        <v>458</v>
      </c>
    </row>
    <row r="174" spans="1:7" ht="28.2" customHeight="1">
      <c r="A174" s="224"/>
      <c r="B174" s="226"/>
      <c r="C174" s="226"/>
      <c r="D174" s="226"/>
      <c r="E174" s="226"/>
      <c r="F174" s="235"/>
    </row>
    <row r="175" spans="1:7" ht="28.2" customHeight="1">
      <c r="A175" s="228" t="s">
        <v>25</v>
      </c>
      <c r="B175" s="231" t="s">
        <v>672</v>
      </c>
      <c r="C175" s="232">
        <f>TAKEOFF!$H$3966</f>
        <v>1</v>
      </c>
      <c r="D175" s="233" t="s">
        <v>457</v>
      </c>
      <c r="E175" s="234">
        <f>RATES!$D$122</f>
        <v>7392.0000000000018</v>
      </c>
      <c r="F175" s="236">
        <f>C175*E175</f>
        <v>7392.0000000000018</v>
      </c>
      <c r="G175" s="118" t="s">
        <v>458</v>
      </c>
    </row>
    <row r="176" spans="1:7" ht="28.2" customHeight="1">
      <c r="A176" s="224"/>
      <c r="B176" s="226"/>
      <c r="C176" s="226"/>
      <c r="D176" s="226"/>
      <c r="E176" s="226"/>
      <c r="F176" s="235"/>
    </row>
    <row r="177" spans="1:7" ht="28.2" customHeight="1">
      <c r="A177" s="228" t="s">
        <v>27</v>
      </c>
      <c r="B177" s="231" t="s">
        <v>673</v>
      </c>
      <c r="C177" s="232">
        <f>TAKEOFF!$H$3969</f>
        <v>3</v>
      </c>
      <c r="D177" s="233" t="s">
        <v>457</v>
      </c>
      <c r="E177" s="234">
        <f>RATES!$D$124</f>
        <v>5266.8000000000011</v>
      </c>
      <c r="F177" s="236">
        <f>C177*E177</f>
        <v>15800.400000000003</v>
      </c>
      <c r="G177" s="118" t="s">
        <v>467</v>
      </c>
    </row>
    <row r="178" spans="1:7" ht="28.2" customHeight="1">
      <c r="A178" s="224"/>
      <c r="B178" s="226"/>
      <c r="C178" s="226"/>
      <c r="D178" s="226"/>
      <c r="E178" s="226"/>
      <c r="F178" s="235"/>
    </row>
    <row r="179" spans="1:7" ht="28.2" customHeight="1">
      <c r="A179" s="228" t="s">
        <v>29</v>
      </c>
      <c r="B179" s="231" t="s">
        <v>674</v>
      </c>
      <c r="C179" s="232">
        <f>TAKEOFF!$H$3972</f>
        <v>1</v>
      </c>
      <c r="D179" s="233" t="s">
        <v>457</v>
      </c>
      <c r="E179" s="234">
        <f>RATES!$D$125</f>
        <v>1501.5000000000005</v>
      </c>
      <c r="F179" s="236">
        <f>C179*E179</f>
        <v>1501.5000000000005</v>
      </c>
      <c r="G179" s="118" t="s">
        <v>458</v>
      </c>
    </row>
    <row r="180" spans="1:7" ht="28.2" customHeight="1">
      <c r="A180" s="224"/>
      <c r="B180" s="226"/>
      <c r="C180" s="226"/>
      <c r="D180" s="226"/>
      <c r="E180" s="226"/>
      <c r="F180" s="235"/>
    </row>
    <row r="181" spans="1:7" ht="28.2" customHeight="1">
      <c r="A181" s="228" t="s">
        <v>31</v>
      </c>
      <c r="B181" s="231" t="s">
        <v>675</v>
      </c>
      <c r="C181" s="232">
        <f>TAKEOFF!$H$3975</f>
        <v>1</v>
      </c>
      <c r="D181" s="233" t="s">
        <v>457</v>
      </c>
      <c r="E181" s="234">
        <f>RATES!$D$127</f>
        <v>4242.7000000000007</v>
      </c>
      <c r="F181" s="236">
        <f>C181*E181</f>
        <v>4242.7000000000007</v>
      </c>
      <c r="G181" s="118" t="s">
        <v>458</v>
      </c>
    </row>
    <row r="182" spans="1:7" ht="28.2" customHeight="1">
      <c r="A182" s="224"/>
      <c r="B182" s="226"/>
      <c r="C182" s="226"/>
      <c r="D182" s="226"/>
      <c r="E182" s="226"/>
      <c r="F182" s="235"/>
    </row>
    <row r="183" spans="1:7" ht="28.2" customHeight="1">
      <c r="A183" s="228" t="s">
        <v>33</v>
      </c>
      <c r="B183" s="231" t="s">
        <v>492</v>
      </c>
      <c r="C183" s="232">
        <f>TAKEOFF!$H$3978</f>
        <v>12</v>
      </c>
      <c r="D183" s="233" t="s">
        <v>457</v>
      </c>
      <c r="E183" s="234">
        <f>RATES!$D$128</f>
        <v>831.60000000000014</v>
      </c>
      <c r="F183" s="236">
        <f>C183*E183</f>
        <v>9979.2000000000007</v>
      </c>
      <c r="G183" s="118" t="s">
        <v>676</v>
      </c>
    </row>
    <row r="184" spans="1:7" ht="28.2" customHeight="1">
      <c r="A184" s="224"/>
      <c r="B184" s="226"/>
      <c r="C184" s="226"/>
      <c r="D184" s="226"/>
      <c r="E184" s="226"/>
      <c r="F184" s="235"/>
    </row>
    <row r="185" spans="1:7" ht="28.2" customHeight="1">
      <c r="A185" s="228" t="s">
        <v>35</v>
      </c>
      <c r="B185" s="231" t="s">
        <v>494</v>
      </c>
      <c r="C185" s="232">
        <f>TAKEOFF!$H$3981</f>
        <v>5</v>
      </c>
      <c r="D185" s="233" t="s">
        <v>457</v>
      </c>
      <c r="E185" s="234">
        <f>RATES!$D$129</f>
        <v>693</v>
      </c>
      <c r="F185" s="236">
        <f>C185*E185</f>
        <v>3465</v>
      </c>
      <c r="G185" s="118" t="s">
        <v>651</v>
      </c>
    </row>
    <row r="186" spans="1:7" ht="28.2" customHeight="1">
      <c r="A186" s="224"/>
      <c r="B186" s="226"/>
      <c r="C186" s="226"/>
      <c r="D186" s="226"/>
      <c r="E186" s="226"/>
      <c r="F186" s="235"/>
    </row>
    <row r="187" spans="1:7" ht="28.2" customHeight="1">
      <c r="A187" s="228" t="s">
        <v>37</v>
      </c>
      <c r="B187" s="231" t="s">
        <v>677</v>
      </c>
      <c r="C187" s="232">
        <f>TAKEOFF!$H$3984</f>
        <v>1</v>
      </c>
      <c r="D187" s="233" t="s">
        <v>457</v>
      </c>
      <c r="E187" s="234">
        <f>RATES!$D$130</f>
        <v>554.40000000000009</v>
      </c>
      <c r="F187" s="236">
        <f>C187*E187</f>
        <v>554.40000000000009</v>
      </c>
      <c r="G187" s="118" t="s">
        <v>458</v>
      </c>
    </row>
    <row r="188" spans="1:7" ht="28.2" customHeight="1">
      <c r="A188" s="224"/>
      <c r="B188" s="226"/>
      <c r="C188" s="226"/>
      <c r="D188" s="226"/>
      <c r="E188" s="226"/>
      <c r="F188" s="235"/>
    </row>
    <row r="189" spans="1:7" ht="28.2" customHeight="1">
      <c r="A189" s="228" t="s">
        <v>39</v>
      </c>
      <c r="B189" s="231" t="s">
        <v>678</v>
      </c>
      <c r="C189" s="232">
        <f>TAKEOFF!$H$3987</f>
        <v>1</v>
      </c>
      <c r="D189" s="233" t="s">
        <v>457</v>
      </c>
      <c r="E189" s="234">
        <f>RATES!$D$131</f>
        <v>1108.8000000000002</v>
      </c>
      <c r="F189" s="236">
        <f>C189*E189</f>
        <v>1108.8000000000002</v>
      </c>
      <c r="G189" s="118" t="s">
        <v>458</v>
      </c>
    </row>
    <row r="190" spans="1:7" ht="28.2" customHeight="1">
      <c r="A190" s="109"/>
      <c r="B190" s="136"/>
      <c r="C190" s="136"/>
      <c r="D190" s="136"/>
      <c r="E190" s="136"/>
      <c r="F190" s="117"/>
    </row>
    <row r="191" spans="1:7" ht="28.2" customHeight="1" thickBot="1">
      <c r="A191" s="141"/>
      <c r="B191" s="154" t="str">
        <f>B105</f>
        <v>ELEMENT NO. 4: WINDOWS/DOORS</v>
      </c>
      <c r="C191" s="142"/>
      <c r="D191" s="142"/>
      <c r="E191" s="143"/>
      <c r="F191" s="116">
        <f>SUM(F107:F190)</f>
        <v>573414.10000000009</v>
      </c>
    </row>
    <row r="192" spans="1:7" ht="28.2" customHeight="1" thickTop="1" thickBot="1">
      <c r="A192" s="150"/>
      <c r="B192" s="151" t="s">
        <v>339</v>
      </c>
      <c r="C192" s="152"/>
      <c r="D192" s="152"/>
      <c r="E192" s="152"/>
      <c r="F192" s="153"/>
    </row>
    <row r="193" spans="1:7" ht="28.2" customHeight="1" thickTop="1">
      <c r="A193" s="109"/>
      <c r="B193" s="136"/>
      <c r="C193" s="136"/>
      <c r="D193" s="136"/>
      <c r="E193" s="136"/>
      <c r="F193" s="117"/>
    </row>
    <row r="194" spans="1:7" ht="28.2" customHeight="1">
      <c r="A194" s="224"/>
      <c r="B194" s="225" t="s">
        <v>382</v>
      </c>
      <c r="C194" s="226"/>
      <c r="D194" s="226"/>
      <c r="E194" s="226"/>
      <c r="F194" s="235"/>
    </row>
    <row r="195" spans="1:7" ht="28.2" customHeight="1">
      <c r="A195" s="224"/>
      <c r="B195" s="226"/>
      <c r="C195" s="226"/>
      <c r="D195" s="226"/>
      <c r="E195" s="226"/>
      <c r="F195" s="235"/>
    </row>
    <row r="196" spans="1:7" ht="28.2" customHeight="1">
      <c r="A196" s="224"/>
      <c r="B196" s="230" t="s">
        <v>495</v>
      </c>
      <c r="C196" s="226"/>
      <c r="D196" s="226"/>
      <c r="E196" s="226"/>
      <c r="F196" s="235"/>
    </row>
    <row r="197" spans="1:7" ht="28.2" customHeight="1">
      <c r="A197" s="228" t="s">
        <v>9</v>
      </c>
      <c r="B197" s="231" t="s">
        <v>496</v>
      </c>
      <c r="C197" s="232">
        <f>TAKEOFF!$H$3992</f>
        <v>863.1</v>
      </c>
      <c r="D197" s="233" t="s">
        <v>322</v>
      </c>
      <c r="E197" s="234">
        <f>RATES!$D$50</f>
        <v>68</v>
      </c>
      <c r="F197" s="236">
        <f>C197*E197</f>
        <v>58690.8</v>
      </c>
      <c r="G197" s="118" t="s">
        <v>778</v>
      </c>
    </row>
    <row r="198" spans="1:7" ht="28.2" customHeight="1">
      <c r="A198" s="224"/>
      <c r="B198" s="226"/>
      <c r="C198" s="226"/>
      <c r="D198" s="226"/>
      <c r="E198" s="226"/>
      <c r="F198" s="235"/>
    </row>
    <row r="199" spans="1:7" ht="28.2" customHeight="1">
      <c r="A199" s="228" t="s">
        <v>11</v>
      </c>
      <c r="B199" s="231" t="s">
        <v>498</v>
      </c>
      <c r="C199" s="232">
        <f>TAKEOFF!$H$4003</f>
        <v>926.58</v>
      </c>
      <c r="D199" s="233" t="s">
        <v>322</v>
      </c>
      <c r="E199" s="234">
        <f>RATES!$D$51</f>
        <v>48</v>
      </c>
      <c r="F199" s="236">
        <f>C199*E199</f>
        <v>44475.840000000004</v>
      </c>
      <c r="G199" s="118" t="s">
        <v>779</v>
      </c>
    </row>
    <row r="200" spans="1:7" ht="28.2" customHeight="1">
      <c r="A200" s="224"/>
      <c r="B200" s="226"/>
      <c r="C200" s="226"/>
      <c r="D200" s="226"/>
      <c r="E200" s="226"/>
      <c r="F200" s="235"/>
    </row>
    <row r="201" spans="1:7" ht="28.2" customHeight="1">
      <c r="A201" s="228" t="s">
        <v>13</v>
      </c>
      <c r="B201" s="231" t="s">
        <v>500</v>
      </c>
      <c r="C201" s="232">
        <f>TAKEOFF!$H$4006</f>
        <v>57.5</v>
      </c>
      <c r="D201" s="233" t="s">
        <v>322</v>
      </c>
      <c r="E201" s="234">
        <f>RATES!$D$53</f>
        <v>230</v>
      </c>
      <c r="F201" s="236">
        <f>C201*E201</f>
        <v>13225</v>
      </c>
      <c r="G201" s="118" t="s">
        <v>780</v>
      </c>
    </row>
    <row r="202" spans="1:7" ht="28.2" customHeight="1">
      <c r="A202" s="224"/>
      <c r="B202" s="226"/>
      <c r="C202" s="226"/>
      <c r="D202" s="226"/>
      <c r="E202" s="226"/>
      <c r="F202" s="235"/>
    </row>
    <row r="203" spans="1:7" ht="28.2" customHeight="1">
      <c r="A203" s="228" t="s">
        <v>15</v>
      </c>
      <c r="B203" s="231" t="s">
        <v>502</v>
      </c>
      <c r="C203" s="232">
        <f>TAKEOFF!$H$4016</f>
        <v>63.480000000000004</v>
      </c>
      <c r="D203" s="233" t="s">
        <v>322</v>
      </c>
      <c r="E203" s="234">
        <f>RATES!$D$54</f>
        <v>270</v>
      </c>
      <c r="F203" s="236">
        <f>C203*E203</f>
        <v>17139.600000000002</v>
      </c>
      <c r="G203" s="118" t="s">
        <v>569</v>
      </c>
    </row>
    <row r="204" spans="1:7" ht="28.2" customHeight="1">
      <c r="A204" s="224"/>
      <c r="B204" s="226"/>
      <c r="C204" s="226"/>
      <c r="D204" s="226"/>
      <c r="E204" s="226"/>
      <c r="F204" s="235"/>
    </row>
    <row r="205" spans="1:7" ht="28.2" customHeight="1">
      <c r="A205" s="228" t="s">
        <v>17</v>
      </c>
      <c r="B205" s="231" t="s">
        <v>504</v>
      </c>
      <c r="C205" s="232">
        <f>TAKEOFF!$H$4019</f>
        <v>535.79999999999995</v>
      </c>
      <c r="D205" s="233" t="s">
        <v>322</v>
      </c>
      <c r="E205" s="234">
        <f>RATES!$D$55</f>
        <v>265</v>
      </c>
      <c r="F205" s="236">
        <f>C205*E205</f>
        <v>141987</v>
      </c>
      <c r="G205" s="118" t="s">
        <v>781</v>
      </c>
    </row>
    <row r="206" spans="1:7" ht="28.2" customHeight="1">
      <c r="A206" s="224"/>
      <c r="B206" s="226"/>
      <c r="C206" s="226"/>
      <c r="D206" s="226"/>
      <c r="E206" s="226"/>
      <c r="F206" s="235"/>
    </row>
    <row r="207" spans="1:7" ht="28.2" customHeight="1">
      <c r="A207" s="228" t="s">
        <v>19</v>
      </c>
      <c r="B207" s="231" t="s">
        <v>506</v>
      </c>
      <c r="C207" s="232">
        <f>TAKEOFF!$H$4022</f>
        <v>33.799999999999997</v>
      </c>
      <c r="D207" s="233" t="s">
        <v>322</v>
      </c>
      <c r="E207" s="234">
        <f>RATES!$D$56</f>
        <v>330</v>
      </c>
      <c r="F207" s="236">
        <f>C207*E207</f>
        <v>11153.999999999998</v>
      </c>
      <c r="G207" s="118" t="s">
        <v>742</v>
      </c>
    </row>
    <row r="208" spans="1:7" ht="28.2" customHeight="1">
      <c r="A208" s="224"/>
      <c r="B208" s="226"/>
      <c r="C208" s="226"/>
      <c r="D208" s="226"/>
      <c r="E208" s="226"/>
      <c r="F208" s="235"/>
    </row>
    <row r="209" spans="1:7" ht="28.2" customHeight="1">
      <c r="A209" s="228" t="s">
        <v>21</v>
      </c>
      <c r="B209" s="231" t="s">
        <v>508</v>
      </c>
      <c r="C209" s="232">
        <f>TAKEOFF!$H$4025</f>
        <v>236</v>
      </c>
      <c r="D209" s="233" t="s">
        <v>322</v>
      </c>
      <c r="E209" s="234">
        <f>RATES!$D$57</f>
        <v>250</v>
      </c>
      <c r="F209" s="236">
        <f>C209*E209</f>
        <v>59000</v>
      </c>
      <c r="G209" s="118" t="s">
        <v>782</v>
      </c>
    </row>
    <row r="210" spans="1:7" ht="28.2" customHeight="1">
      <c r="A210" s="109"/>
      <c r="B210" s="136"/>
      <c r="C210" s="136"/>
      <c r="D210" s="136"/>
      <c r="E210" s="136"/>
      <c r="F210" s="117"/>
    </row>
    <row r="211" spans="1:7" ht="28.2" customHeight="1" thickBot="1">
      <c r="A211" s="141"/>
      <c r="B211" s="154" t="str">
        <f>B194</f>
        <v>ELEMENT NO. 5: FLOOR FINISHES</v>
      </c>
      <c r="C211" s="142"/>
      <c r="D211" s="142"/>
      <c r="E211" s="143"/>
      <c r="F211" s="116">
        <f>SUM(F196:F210)</f>
        <v>345672.24</v>
      </c>
    </row>
    <row r="212" spans="1:7" ht="28.2" customHeight="1" thickTop="1" thickBot="1">
      <c r="A212" s="150"/>
      <c r="B212" s="151" t="s">
        <v>339</v>
      </c>
      <c r="C212" s="152"/>
      <c r="D212" s="152"/>
      <c r="E212" s="152"/>
      <c r="F212" s="153"/>
    </row>
    <row r="213" spans="1:7" ht="28.2" customHeight="1" thickTop="1">
      <c r="A213" s="109"/>
      <c r="B213" s="136"/>
      <c r="C213" s="136"/>
      <c r="D213" s="136"/>
      <c r="E213" s="136"/>
      <c r="F213" s="117"/>
    </row>
    <row r="214" spans="1:7" ht="28.2" customHeight="1">
      <c r="A214" s="224"/>
      <c r="B214" s="225" t="s">
        <v>383</v>
      </c>
      <c r="C214" s="226"/>
      <c r="D214" s="226"/>
      <c r="E214" s="226"/>
      <c r="F214" s="235"/>
    </row>
    <row r="215" spans="1:7" ht="28.2" customHeight="1">
      <c r="A215" s="224"/>
      <c r="B215" s="226"/>
      <c r="C215" s="226"/>
      <c r="D215" s="226"/>
      <c r="E215" s="226"/>
      <c r="F215" s="235"/>
    </row>
    <row r="216" spans="1:7" ht="28.2" customHeight="1">
      <c r="A216" s="224"/>
      <c r="B216" s="230" t="s">
        <v>512</v>
      </c>
      <c r="C216" s="226"/>
      <c r="D216" s="226"/>
      <c r="E216" s="226"/>
      <c r="F216" s="235"/>
    </row>
    <row r="217" spans="1:7" ht="28.2" customHeight="1">
      <c r="A217" s="228" t="s">
        <v>9</v>
      </c>
      <c r="B217" s="231" t="s">
        <v>513</v>
      </c>
      <c r="C217" s="232">
        <f>TAKEOFF!$H$4069</f>
        <v>1926.8744736842107</v>
      </c>
      <c r="D217" s="233" t="s">
        <v>322</v>
      </c>
      <c r="E217" s="234">
        <f>RATES!$D$48</f>
        <v>78</v>
      </c>
      <c r="F217" s="236">
        <f>C217*E217</f>
        <v>150296.20894736843</v>
      </c>
      <c r="G217" s="118" t="s">
        <v>783</v>
      </c>
    </row>
    <row r="218" spans="1:7" ht="28.2" customHeight="1">
      <c r="A218" s="224"/>
      <c r="B218" s="226"/>
      <c r="C218" s="226"/>
      <c r="D218" s="226"/>
      <c r="E218" s="226"/>
      <c r="F218" s="235"/>
    </row>
    <row r="219" spans="1:7" ht="28.2" customHeight="1">
      <c r="A219" s="228" t="s">
        <v>11</v>
      </c>
      <c r="B219" s="231" t="s">
        <v>515</v>
      </c>
      <c r="C219" s="232">
        <f>TAKEOFF!$H$4073</f>
        <v>344.24342105263156</v>
      </c>
      <c r="D219" s="233" t="s">
        <v>322</v>
      </c>
      <c r="E219" s="234">
        <f>RATES!$D$48</f>
        <v>78</v>
      </c>
      <c r="F219" s="236">
        <f>C219*E219</f>
        <v>26850.986842105263</v>
      </c>
      <c r="G219" s="118" t="s">
        <v>784</v>
      </c>
    </row>
    <row r="220" spans="1:7" ht="28.2" customHeight="1">
      <c r="A220" s="224"/>
      <c r="B220" s="226"/>
      <c r="C220" s="226"/>
      <c r="D220" s="226"/>
      <c r="E220" s="226"/>
      <c r="F220" s="235"/>
    </row>
    <row r="221" spans="1:7" ht="28.2" customHeight="1">
      <c r="A221" s="228" t="s">
        <v>13</v>
      </c>
      <c r="B221" s="231" t="s">
        <v>517</v>
      </c>
      <c r="C221" s="232">
        <f>TAKEOFF!$H$4093</f>
        <v>643.32499999999993</v>
      </c>
      <c r="D221" s="233" t="s">
        <v>322</v>
      </c>
      <c r="E221" s="234">
        <f>RATES!$D$49</f>
        <v>88</v>
      </c>
      <c r="F221" s="236">
        <f>C221*E221</f>
        <v>56612.599999999991</v>
      </c>
      <c r="G221" s="118" t="s">
        <v>785</v>
      </c>
    </row>
    <row r="222" spans="1:7" ht="28.2" customHeight="1">
      <c r="A222" s="224"/>
      <c r="B222" s="226"/>
      <c r="C222" s="226"/>
      <c r="D222" s="226"/>
      <c r="E222" s="226"/>
      <c r="F222" s="235"/>
    </row>
    <row r="223" spans="1:7" ht="28.2" customHeight="1">
      <c r="A223" s="228" t="s">
        <v>15</v>
      </c>
      <c r="B223" s="231" t="s">
        <v>519</v>
      </c>
      <c r="C223" s="232">
        <f>TAKEOFF!$H$4097</f>
        <v>265.55921052631578</v>
      </c>
      <c r="D223" s="233" t="s">
        <v>322</v>
      </c>
      <c r="E223" s="234">
        <f>RATES!$D$52</f>
        <v>55</v>
      </c>
      <c r="F223" s="236">
        <f>C223*E223</f>
        <v>14605.756578947368</v>
      </c>
      <c r="G223" s="118" t="s">
        <v>786</v>
      </c>
    </row>
    <row r="224" spans="1:7" ht="28.2" customHeight="1">
      <c r="A224" s="224"/>
      <c r="B224" s="226"/>
      <c r="C224" s="226"/>
      <c r="D224" s="226"/>
      <c r="E224" s="226"/>
      <c r="F224" s="235"/>
    </row>
    <row r="225" spans="1:7" ht="28.2" customHeight="1">
      <c r="A225" s="228" t="s">
        <v>17</v>
      </c>
      <c r="B225" s="231" t="s">
        <v>521</v>
      </c>
      <c r="C225" s="232">
        <f>TAKEOFF!$H$4101</f>
        <v>265.55921052631578</v>
      </c>
      <c r="D225" s="233" t="s">
        <v>322</v>
      </c>
      <c r="E225" s="234">
        <f>RATES!$D$60</f>
        <v>240</v>
      </c>
      <c r="F225" s="236">
        <f>C225*E225</f>
        <v>63734.210526315786</v>
      </c>
      <c r="G225" s="118" t="s">
        <v>786</v>
      </c>
    </row>
    <row r="226" spans="1:7" ht="28.2" customHeight="1">
      <c r="A226" s="109"/>
      <c r="B226" s="136"/>
      <c r="C226" s="136"/>
      <c r="D226" s="136"/>
      <c r="E226" s="136"/>
      <c r="F226" s="117"/>
    </row>
    <row r="227" spans="1:7" ht="28.2" customHeight="1" thickBot="1">
      <c r="A227" s="141"/>
      <c r="B227" s="154" t="str">
        <f>B214</f>
        <v>ELEMENT NO. 6: WALL FINISHES</v>
      </c>
      <c r="C227" s="142"/>
      <c r="D227" s="142"/>
      <c r="E227" s="143"/>
      <c r="F227" s="116">
        <f>SUM(F216:F226)</f>
        <v>312099.76289473684</v>
      </c>
    </row>
    <row r="228" spans="1:7" ht="28.2" customHeight="1" thickTop="1" thickBot="1">
      <c r="A228" s="150"/>
      <c r="B228" s="151" t="s">
        <v>339</v>
      </c>
      <c r="C228" s="152"/>
      <c r="D228" s="152"/>
      <c r="E228" s="152"/>
      <c r="F228" s="153"/>
    </row>
    <row r="229" spans="1:7" ht="28.2" customHeight="1" thickTop="1">
      <c r="A229" s="109"/>
      <c r="B229" s="136"/>
      <c r="C229" s="136"/>
      <c r="D229" s="136"/>
      <c r="E229" s="136"/>
      <c r="F229" s="117"/>
    </row>
    <row r="230" spans="1:7" ht="28.2" customHeight="1">
      <c r="A230" s="224"/>
      <c r="B230" s="226"/>
      <c r="C230" s="226"/>
      <c r="D230" s="226"/>
      <c r="E230" s="226"/>
      <c r="F230" s="235"/>
    </row>
    <row r="231" spans="1:7" ht="28.2" customHeight="1">
      <c r="A231" s="224"/>
      <c r="B231" s="225" t="s">
        <v>384</v>
      </c>
      <c r="C231" s="226"/>
      <c r="D231" s="226"/>
      <c r="E231" s="226"/>
      <c r="F231" s="235"/>
    </row>
    <row r="232" spans="1:7" ht="28.2" customHeight="1">
      <c r="A232" s="224"/>
      <c r="B232" s="226"/>
      <c r="C232" s="226"/>
      <c r="D232" s="226"/>
      <c r="E232" s="226"/>
      <c r="F232" s="235"/>
    </row>
    <row r="233" spans="1:7" ht="28.2" customHeight="1">
      <c r="A233" s="224"/>
      <c r="B233" s="230" t="s">
        <v>522</v>
      </c>
      <c r="C233" s="226"/>
      <c r="D233" s="226"/>
      <c r="E233" s="226"/>
      <c r="F233" s="235"/>
    </row>
    <row r="234" spans="1:7" ht="28.2" customHeight="1">
      <c r="A234" s="228" t="s">
        <v>9</v>
      </c>
      <c r="B234" s="231" t="s">
        <v>513</v>
      </c>
      <c r="C234" s="232">
        <f>TAKEOFF!$H$4145</f>
        <v>1926.8744736842107</v>
      </c>
      <c r="D234" s="233" t="s">
        <v>322</v>
      </c>
      <c r="E234" s="234">
        <f>RATES!$D$61</f>
        <v>45</v>
      </c>
      <c r="F234" s="236">
        <f>C234*E234</f>
        <v>86709.351315789478</v>
      </c>
      <c r="G234" s="118" t="s">
        <v>783</v>
      </c>
    </row>
    <row r="235" spans="1:7" ht="28.2" customHeight="1">
      <c r="A235" s="224"/>
      <c r="B235" s="226"/>
      <c r="C235" s="226"/>
      <c r="D235" s="226"/>
      <c r="E235" s="226"/>
      <c r="F235" s="235"/>
    </row>
    <row r="236" spans="1:7" ht="28.2" customHeight="1">
      <c r="A236" s="228" t="s">
        <v>11</v>
      </c>
      <c r="B236" s="231" t="s">
        <v>523</v>
      </c>
      <c r="C236" s="232">
        <f>TAKEOFF!$H$4151</f>
        <v>78.68421052631578</v>
      </c>
      <c r="D236" s="233" t="s">
        <v>322</v>
      </c>
      <c r="E236" s="234">
        <f>RATES!$D$61</f>
        <v>45</v>
      </c>
      <c r="F236" s="236">
        <f>C236*E236</f>
        <v>3540.78947368421</v>
      </c>
      <c r="G236" s="118" t="s">
        <v>787</v>
      </c>
    </row>
    <row r="237" spans="1:7" ht="28.2" customHeight="1">
      <c r="A237" s="224"/>
      <c r="B237" s="226"/>
      <c r="C237" s="226"/>
      <c r="D237" s="226"/>
      <c r="E237" s="226"/>
      <c r="F237" s="235"/>
    </row>
    <row r="238" spans="1:7" ht="28.2" customHeight="1">
      <c r="A238" s="228" t="s">
        <v>13</v>
      </c>
      <c r="B238" s="231" t="s">
        <v>525</v>
      </c>
      <c r="C238" s="232">
        <f>TAKEOFF!$H$4171</f>
        <v>643.32499999999993</v>
      </c>
      <c r="D238" s="233" t="s">
        <v>322</v>
      </c>
      <c r="E238" s="234">
        <f>RATES!$D$62</f>
        <v>62</v>
      </c>
      <c r="F238" s="236">
        <f>C238*E238</f>
        <v>39886.149999999994</v>
      </c>
      <c r="G238" s="118" t="s">
        <v>785</v>
      </c>
    </row>
    <row r="239" spans="1:7" ht="28.2" customHeight="1">
      <c r="A239" s="224"/>
      <c r="B239" s="226"/>
      <c r="C239" s="226"/>
      <c r="D239" s="226"/>
      <c r="E239" s="226"/>
      <c r="F239" s="235"/>
    </row>
    <row r="240" spans="1:7" ht="28.2" customHeight="1">
      <c r="A240" s="228" t="s">
        <v>15</v>
      </c>
      <c r="B240" s="231" t="s">
        <v>527</v>
      </c>
      <c r="C240" s="232">
        <f>TAKEOFF!$H$4174</f>
        <v>805.7</v>
      </c>
      <c r="D240" s="233" t="s">
        <v>322</v>
      </c>
      <c r="E240" s="234">
        <f>RATES!$D$63</f>
        <v>48</v>
      </c>
      <c r="F240" s="236">
        <f>C240*E240</f>
        <v>38673.600000000006</v>
      </c>
      <c r="G240" s="118" t="s">
        <v>788</v>
      </c>
    </row>
    <row r="241" spans="1:7" ht="28.2" customHeight="1">
      <c r="A241" s="224"/>
      <c r="B241" s="226"/>
      <c r="C241" s="226"/>
      <c r="D241" s="226"/>
      <c r="E241" s="226"/>
      <c r="F241" s="235"/>
    </row>
    <row r="242" spans="1:7" ht="28.2" customHeight="1">
      <c r="A242" s="228" t="s">
        <v>17</v>
      </c>
      <c r="B242" s="231" t="s">
        <v>529</v>
      </c>
      <c r="C242" s="232">
        <f>TAKEOFF!$H$4177</f>
        <v>57.5</v>
      </c>
      <c r="D242" s="233" t="s">
        <v>322</v>
      </c>
      <c r="E242" s="234">
        <f>RATES!$D$63</f>
        <v>48</v>
      </c>
      <c r="F242" s="236">
        <f>C242*E242</f>
        <v>2760</v>
      </c>
      <c r="G242" s="118" t="s">
        <v>780</v>
      </c>
    </row>
    <row r="243" spans="1:7" ht="28.2" customHeight="1">
      <c r="A243" s="224"/>
      <c r="B243" s="226"/>
      <c r="C243" s="226"/>
      <c r="D243" s="226"/>
      <c r="E243" s="226"/>
      <c r="F243" s="235"/>
    </row>
    <row r="244" spans="1:7" ht="28.2" customHeight="1">
      <c r="A244" s="228" t="s">
        <v>19</v>
      </c>
      <c r="B244" s="231" t="s">
        <v>530</v>
      </c>
      <c r="C244" s="232">
        <f>TAKEOFF!$H$4185</f>
        <v>179.1</v>
      </c>
      <c r="D244" s="233" t="s">
        <v>322</v>
      </c>
      <c r="E244" s="234">
        <f>RATES!$D$64</f>
        <v>72</v>
      </c>
      <c r="F244" s="236">
        <f>C244*E244</f>
        <v>12895.199999999999</v>
      </c>
      <c r="G244" s="118" t="s">
        <v>750</v>
      </c>
    </row>
    <row r="245" spans="1:7" ht="28.2" customHeight="1">
      <c r="A245" s="224"/>
      <c r="B245" s="226"/>
      <c r="C245" s="226"/>
      <c r="D245" s="226"/>
      <c r="E245" s="226"/>
      <c r="F245" s="235"/>
    </row>
    <row r="246" spans="1:7" ht="28.2" customHeight="1">
      <c r="A246" s="228" t="s">
        <v>21</v>
      </c>
      <c r="B246" s="231" t="s">
        <v>532</v>
      </c>
      <c r="C246" s="232">
        <f>TAKEOFF!$H$4204</f>
        <v>96.534999999999997</v>
      </c>
      <c r="D246" s="233" t="s">
        <v>322</v>
      </c>
      <c r="E246" s="234">
        <f>RATES!$D$65</f>
        <v>40</v>
      </c>
      <c r="F246" s="236">
        <f>C246*E246</f>
        <v>3861.3999999999996</v>
      </c>
      <c r="G246" s="118" t="s">
        <v>789</v>
      </c>
    </row>
    <row r="247" spans="1:7" ht="28.2" customHeight="1">
      <c r="A247" s="109"/>
      <c r="B247" s="136"/>
      <c r="C247" s="136"/>
      <c r="D247" s="136"/>
      <c r="E247" s="136"/>
      <c r="F247" s="117"/>
    </row>
    <row r="248" spans="1:7" ht="28.2" customHeight="1" thickBot="1">
      <c r="A248" s="141"/>
      <c r="B248" s="154" t="str">
        <f>B231</f>
        <v>ELEMENT NO. 7: PAINTING AND DECORATING</v>
      </c>
      <c r="C248" s="142"/>
      <c r="D248" s="142"/>
      <c r="E248" s="143"/>
      <c r="F248" s="116">
        <f>SUM(F233:F247)</f>
        <v>188326.4907894737</v>
      </c>
    </row>
    <row r="249" spans="1:7" ht="28.2" customHeight="1" thickTop="1" thickBot="1">
      <c r="A249" s="141"/>
      <c r="B249" s="154" t="s">
        <v>339</v>
      </c>
      <c r="C249" s="142"/>
      <c r="D249" s="142"/>
      <c r="E249" s="143"/>
      <c r="F249" s="116"/>
    </row>
    <row r="250" spans="1:7" ht="15" customHeight="1" thickTop="1"/>
    <row r="252" spans="1:7" ht="31.2">
      <c r="B252" s="119" t="s">
        <v>534</v>
      </c>
    </row>
  </sheetData>
  <pageMargins left="0.75" right="0.75" top="1" bottom="1" header="0.5" footer="0.5"/>
  <pageSetup scale="39" fitToHeight="0" orientation="portrait" r:id="rId1"/>
  <rowBreaks count="5" manualBreakCount="5">
    <brk id="26" max="5" man="1"/>
    <brk id="62" max="5" man="1"/>
    <brk id="102" max="5" man="1"/>
    <brk id="154" max="5" man="1"/>
    <brk id="212" max="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255"/>
  <sheetViews>
    <sheetView view="pageBreakPreview" topLeftCell="A253" zoomScale="60" zoomScaleNormal="100" workbookViewId="0">
      <selection activeCell="B66" sqref="B66"/>
    </sheetView>
  </sheetViews>
  <sheetFormatPr defaultRowHeight="14.4"/>
  <cols>
    <col min="1" max="1" width="13.33203125" style="9" customWidth="1"/>
    <col min="2" max="2" width="120" style="9" customWidth="1"/>
    <col min="3" max="3" width="20.21875" style="9" customWidth="1"/>
    <col min="4" max="4" width="19"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2.8" customHeight="1">
      <c r="A6" s="155"/>
      <c r="B6" s="156"/>
      <c r="C6" s="156"/>
      <c r="D6" s="156"/>
      <c r="E6" s="156"/>
      <c r="F6" s="157"/>
    </row>
    <row r="7" spans="1:7" ht="22.8" customHeight="1">
      <c r="A7" s="224"/>
      <c r="B7" s="225" t="s">
        <v>313</v>
      </c>
      <c r="C7" s="226"/>
      <c r="D7" s="226"/>
      <c r="E7" s="226"/>
      <c r="F7" s="235"/>
    </row>
    <row r="8" spans="1:7" ht="22.8" customHeight="1">
      <c r="A8" s="224"/>
      <c r="B8" s="226"/>
      <c r="C8" s="226"/>
      <c r="D8" s="226"/>
      <c r="E8" s="226"/>
      <c r="F8" s="235"/>
    </row>
    <row r="9" spans="1:7" ht="22.8" customHeight="1">
      <c r="A9" s="224"/>
      <c r="B9" s="225" t="s">
        <v>790</v>
      </c>
      <c r="C9" s="226"/>
      <c r="D9" s="226"/>
      <c r="E9" s="226"/>
      <c r="F9" s="235"/>
    </row>
    <row r="10" spans="1:7" ht="22.8" customHeight="1">
      <c r="A10" s="224"/>
      <c r="B10" s="226"/>
      <c r="C10" s="226"/>
      <c r="D10" s="226"/>
      <c r="E10" s="226"/>
      <c r="F10" s="235"/>
    </row>
    <row r="11" spans="1:7" ht="22.8" customHeight="1">
      <c r="A11" s="224"/>
      <c r="B11" s="227" t="s">
        <v>314</v>
      </c>
      <c r="C11" s="226"/>
      <c r="D11" s="226"/>
      <c r="E11" s="226"/>
      <c r="F11" s="235"/>
    </row>
    <row r="12" spans="1:7" ht="22.8" customHeight="1">
      <c r="A12" s="224"/>
      <c r="B12" s="226"/>
      <c r="C12" s="226"/>
      <c r="D12" s="226"/>
      <c r="E12" s="226"/>
      <c r="F12" s="235"/>
    </row>
    <row r="13" spans="1:7" ht="22.8" customHeight="1">
      <c r="A13" s="228" t="s">
        <v>9</v>
      </c>
      <c r="B13" s="229" t="s">
        <v>379</v>
      </c>
      <c r="C13" s="226"/>
      <c r="D13" s="226"/>
      <c r="E13" s="226"/>
      <c r="F13" s="236">
        <f>F94</f>
        <v>2628506.8135624994</v>
      </c>
    </row>
    <row r="14" spans="1:7" ht="22.8" customHeight="1">
      <c r="A14" s="224"/>
      <c r="B14" s="226"/>
      <c r="C14" s="226"/>
      <c r="D14" s="226"/>
      <c r="E14" s="226"/>
      <c r="F14" s="235"/>
    </row>
    <row r="15" spans="1:7" ht="22.8" customHeight="1">
      <c r="A15" s="228" t="s">
        <v>11</v>
      </c>
      <c r="B15" s="229" t="s">
        <v>380</v>
      </c>
      <c r="C15" s="226"/>
      <c r="D15" s="226"/>
      <c r="E15" s="226"/>
      <c r="F15" s="236">
        <f>F105</f>
        <v>379547.96312500001</v>
      </c>
    </row>
    <row r="16" spans="1:7" ht="22.8" customHeight="1">
      <c r="A16" s="224"/>
      <c r="B16" s="226"/>
      <c r="C16" s="226"/>
      <c r="D16" s="226"/>
      <c r="E16" s="226"/>
      <c r="F16" s="235"/>
    </row>
    <row r="17" spans="1:6" ht="22.8" customHeight="1">
      <c r="A17" s="228" t="s">
        <v>13</v>
      </c>
      <c r="B17" s="229" t="s">
        <v>381</v>
      </c>
      <c r="C17" s="226"/>
      <c r="D17" s="226"/>
      <c r="E17" s="226"/>
      <c r="F17" s="236">
        <f>F195</f>
        <v>576573.55000000005</v>
      </c>
    </row>
    <row r="18" spans="1:6" ht="22.8" customHeight="1">
      <c r="A18" s="224"/>
      <c r="B18" s="226"/>
      <c r="C18" s="226"/>
      <c r="D18" s="226"/>
      <c r="E18" s="226"/>
      <c r="F18" s="235"/>
    </row>
    <row r="19" spans="1:6" ht="22.8" customHeight="1">
      <c r="A19" s="228" t="s">
        <v>15</v>
      </c>
      <c r="B19" s="229" t="s">
        <v>382</v>
      </c>
      <c r="C19" s="226"/>
      <c r="D19" s="226"/>
      <c r="E19" s="226"/>
      <c r="F19" s="236">
        <f>F215</f>
        <v>345862.54000000004</v>
      </c>
    </row>
    <row r="20" spans="1:6" ht="22.8" customHeight="1">
      <c r="A20" s="224"/>
      <c r="B20" s="226"/>
      <c r="C20" s="226"/>
      <c r="D20" s="226"/>
      <c r="E20" s="226"/>
      <c r="F20" s="235"/>
    </row>
    <row r="21" spans="1:6" ht="22.8" customHeight="1">
      <c r="A21" s="228" t="s">
        <v>17</v>
      </c>
      <c r="B21" s="229" t="s">
        <v>383</v>
      </c>
      <c r="C21" s="226"/>
      <c r="D21" s="226"/>
      <c r="E21" s="226"/>
      <c r="F21" s="236">
        <f>F231</f>
        <v>311695.51368421048</v>
      </c>
    </row>
    <row r="22" spans="1:6" ht="22.8" customHeight="1">
      <c r="A22" s="224"/>
      <c r="B22" s="226"/>
      <c r="C22" s="226"/>
      <c r="D22" s="226"/>
      <c r="E22" s="226"/>
      <c r="F22" s="235"/>
    </row>
    <row r="23" spans="1:6" ht="22.8" customHeight="1">
      <c r="A23" s="228" t="s">
        <v>19</v>
      </c>
      <c r="B23" s="229" t="s">
        <v>384</v>
      </c>
      <c r="C23" s="226"/>
      <c r="D23" s="226"/>
      <c r="E23" s="226"/>
      <c r="F23" s="236">
        <f>F251</f>
        <v>185701.29736842102</v>
      </c>
    </row>
    <row r="24" spans="1:6" ht="22.8" customHeight="1">
      <c r="A24" s="109"/>
      <c r="B24" s="136"/>
      <c r="C24" s="136"/>
      <c r="D24" s="136"/>
      <c r="E24" s="136"/>
      <c r="F24" s="117"/>
    </row>
    <row r="25" spans="1:6" ht="22.8" customHeight="1" thickBot="1">
      <c r="A25" s="141"/>
      <c r="B25" s="154" t="str">
        <f>B9</f>
        <v xml:space="preserve"> EIGHTH FLOOR</v>
      </c>
      <c r="C25" s="142"/>
      <c r="D25" s="142"/>
      <c r="E25" s="143" t="s">
        <v>8</v>
      </c>
      <c r="F25" s="116">
        <f>SUM(F13:F24)</f>
        <v>4427887.6777401306</v>
      </c>
    </row>
    <row r="26" spans="1:6" ht="22.8" customHeight="1" thickTop="1" thickBot="1">
      <c r="A26" s="150"/>
      <c r="B26" s="151" t="s">
        <v>318</v>
      </c>
      <c r="C26" s="152"/>
      <c r="D26" s="152"/>
      <c r="E26" s="152"/>
      <c r="F26" s="153"/>
    </row>
    <row r="27" spans="1:6" ht="24.6" customHeight="1" thickTop="1">
      <c r="A27" s="109"/>
      <c r="B27" s="136"/>
      <c r="C27" s="136"/>
      <c r="D27" s="136"/>
      <c r="E27" s="136"/>
      <c r="F27" s="117"/>
    </row>
    <row r="28" spans="1:6" ht="24.6" customHeight="1">
      <c r="A28" s="224"/>
      <c r="B28" s="226"/>
      <c r="C28" s="226"/>
      <c r="D28" s="226"/>
      <c r="E28" s="226"/>
      <c r="F28" s="235"/>
    </row>
    <row r="29" spans="1:6" ht="24.6" customHeight="1">
      <c r="A29" s="224"/>
      <c r="B29" s="225" t="s">
        <v>791</v>
      </c>
      <c r="C29" s="226"/>
      <c r="D29" s="226"/>
      <c r="E29" s="226"/>
      <c r="F29" s="235"/>
    </row>
    <row r="30" spans="1:6" ht="24.6" customHeight="1">
      <c r="A30" s="224"/>
      <c r="B30" s="226"/>
      <c r="C30" s="226"/>
      <c r="D30" s="226"/>
      <c r="E30" s="226"/>
      <c r="F30" s="235"/>
    </row>
    <row r="31" spans="1:6" ht="24.6" customHeight="1">
      <c r="A31" s="224"/>
      <c r="B31" s="225" t="s">
        <v>379</v>
      </c>
      <c r="C31" s="226"/>
      <c r="D31" s="226"/>
      <c r="E31" s="226"/>
      <c r="F31" s="235"/>
    </row>
    <row r="32" spans="1:6" ht="24.6" customHeight="1">
      <c r="A32" s="224"/>
      <c r="B32" s="226"/>
      <c r="C32" s="226"/>
      <c r="D32" s="226"/>
      <c r="E32" s="226"/>
      <c r="F32" s="235"/>
    </row>
    <row r="33" spans="1:7" ht="24.6" customHeight="1">
      <c r="A33" s="224"/>
      <c r="B33" s="230" t="s">
        <v>344</v>
      </c>
      <c r="C33" s="226"/>
      <c r="D33" s="226"/>
      <c r="E33" s="226"/>
      <c r="F33" s="235"/>
    </row>
    <row r="34" spans="1:7" ht="24.6" customHeight="1">
      <c r="A34" s="228" t="s">
        <v>9</v>
      </c>
      <c r="B34" s="231" t="s">
        <v>386</v>
      </c>
      <c r="C34" s="232">
        <f>TAKEOFF!$H$4212</f>
        <v>283.64999999999998</v>
      </c>
      <c r="D34" s="233" t="s">
        <v>327</v>
      </c>
      <c r="E34" s="234">
        <f>RATES!$D$22</f>
        <v>2310</v>
      </c>
      <c r="F34" s="236">
        <f>C34*E34</f>
        <v>655231.5</v>
      </c>
      <c r="G34" s="118" t="s">
        <v>695</v>
      </c>
    </row>
    <row r="35" spans="1:7" ht="24.6" customHeight="1">
      <c r="A35" s="224"/>
      <c r="B35" s="226"/>
      <c r="C35" s="226"/>
      <c r="D35" s="226"/>
      <c r="E35" s="226"/>
      <c r="F35" s="235"/>
    </row>
    <row r="36" spans="1:7" ht="24.6" customHeight="1">
      <c r="A36" s="228" t="s">
        <v>11</v>
      </c>
      <c r="B36" s="231" t="s">
        <v>388</v>
      </c>
      <c r="C36" s="232">
        <f>TAKEOFF!$H$4216</f>
        <v>19.831</v>
      </c>
      <c r="D36" s="233" t="s">
        <v>327</v>
      </c>
      <c r="E36" s="234">
        <f>RATES!$D$23</f>
        <v>2310</v>
      </c>
      <c r="F36" s="236">
        <f>C36*E36</f>
        <v>45809.61</v>
      </c>
      <c r="G36" s="118" t="s">
        <v>696</v>
      </c>
    </row>
    <row r="37" spans="1:7" ht="24.6" customHeight="1">
      <c r="A37" s="224"/>
      <c r="B37" s="226"/>
      <c r="C37" s="226"/>
      <c r="D37" s="226"/>
      <c r="E37" s="226"/>
      <c r="F37" s="235"/>
    </row>
    <row r="38" spans="1:7" ht="24.6" customHeight="1">
      <c r="A38" s="228" t="s">
        <v>13</v>
      </c>
      <c r="B38" s="231" t="s">
        <v>390</v>
      </c>
      <c r="C38" s="232">
        <f>TAKEOFF!$H$4227</f>
        <v>40.545937499999994</v>
      </c>
      <c r="D38" s="233" t="s">
        <v>327</v>
      </c>
      <c r="E38" s="234">
        <f>RATES!$D$21</f>
        <v>2310</v>
      </c>
      <c r="F38" s="236">
        <f>C38*E38</f>
        <v>93661.115624999991</v>
      </c>
      <c r="G38" s="118" t="s">
        <v>617</v>
      </c>
    </row>
    <row r="39" spans="1:7" ht="24.6" customHeight="1">
      <c r="A39" s="224"/>
      <c r="B39" s="226"/>
      <c r="C39" s="226"/>
      <c r="D39" s="226"/>
      <c r="E39" s="226"/>
      <c r="F39" s="235"/>
    </row>
    <row r="40" spans="1:7" ht="24.6" customHeight="1">
      <c r="A40" s="228" t="s">
        <v>15</v>
      </c>
      <c r="B40" s="231" t="s">
        <v>392</v>
      </c>
      <c r="C40" s="232">
        <f>TAKEOFF!$H$4231</f>
        <v>36.310249999999996</v>
      </c>
      <c r="D40" s="233" t="s">
        <v>327</v>
      </c>
      <c r="E40" s="234">
        <f>RATES!$D$20</f>
        <v>2310</v>
      </c>
      <c r="F40" s="236">
        <f>C40*E40</f>
        <v>83876.677499999991</v>
      </c>
      <c r="G40" s="118" t="s">
        <v>618</v>
      </c>
    </row>
    <row r="41" spans="1:7" ht="24.6" customHeight="1">
      <c r="A41" s="224"/>
      <c r="B41" s="226"/>
      <c r="C41" s="226"/>
      <c r="D41" s="226"/>
      <c r="E41" s="226"/>
      <c r="F41" s="235"/>
    </row>
    <row r="42" spans="1:7" ht="24.6" customHeight="1">
      <c r="A42" s="228" t="s">
        <v>17</v>
      </c>
      <c r="B42" s="231" t="s">
        <v>394</v>
      </c>
      <c r="C42" s="232">
        <f>TAKEOFF!$H$4234</f>
        <v>16.641562499999999</v>
      </c>
      <c r="D42" s="233" t="s">
        <v>327</v>
      </c>
      <c r="E42" s="234">
        <f>RATES!$D$20</f>
        <v>2310</v>
      </c>
      <c r="F42" s="236">
        <f>C42*E42</f>
        <v>38442.009375000001</v>
      </c>
      <c r="G42" s="118" t="s">
        <v>619</v>
      </c>
    </row>
    <row r="43" spans="1:7" ht="24.6" customHeight="1">
      <c r="A43" s="224"/>
      <c r="B43" s="226"/>
      <c r="C43" s="226"/>
      <c r="D43" s="226"/>
      <c r="E43" s="226"/>
      <c r="F43" s="235"/>
    </row>
    <row r="44" spans="1:7" ht="24.6" customHeight="1">
      <c r="A44" s="228" t="s">
        <v>19</v>
      </c>
      <c r="B44" s="231" t="s">
        <v>396</v>
      </c>
      <c r="C44" s="232">
        <f>TAKEOFF!$H$4240</f>
        <v>11.182</v>
      </c>
      <c r="D44" s="233" t="s">
        <v>327</v>
      </c>
      <c r="E44" s="234">
        <f>RATES!$D$24</f>
        <v>2310</v>
      </c>
      <c r="F44" s="236">
        <f>C44*E44</f>
        <v>25830.420000000002</v>
      </c>
      <c r="G44" s="118" t="s">
        <v>620</v>
      </c>
    </row>
    <row r="45" spans="1:7" ht="24.6" customHeight="1">
      <c r="A45" s="224"/>
      <c r="B45" s="226"/>
      <c r="C45" s="226"/>
      <c r="D45" s="226"/>
      <c r="E45" s="226"/>
      <c r="F45" s="235"/>
    </row>
    <row r="46" spans="1:7" ht="24.6" customHeight="1">
      <c r="A46" s="228" t="s">
        <v>21</v>
      </c>
      <c r="B46" s="231" t="s">
        <v>398</v>
      </c>
      <c r="C46" s="232">
        <f>TAKEOFF!$H$4277</f>
        <v>6.8698125000000019</v>
      </c>
      <c r="D46" s="233" t="s">
        <v>327</v>
      </c>
      <c r="E46" s="234">
        <f>RATES!$D$25</f>
        <v>1925.0000000000002</v>
      </c>
      <c r="F46" s="236">
        <f>C46*E46</f>
        <v>13224.389062500006</v>
      </c>
      <c r="G46" s="118" t="s">
        <v>792</v>
      </c>
    </row>
    <row r="47" spans="1:7" ht="24.6" customHeight="1">
      <c r="A47" s="224"/>
      <c r="B47" s="226"/>
      <c r="C47" s="226"/>
      <c r="D47" s="226"/>
      <c r="E47" s="226"/>
      <c r="F47" s="235"/>
    </row>
    <row r="48" spans="1:7" ht="24.6" customHeight="1">
      <c r="A48" s="224"/>
      <c r="B48" s="230" t="s">
        <v>400</v>
      </c>
      <c r="C48" s="226"/>
      <c r="D48" s="226"/>
      <c r="E48" s="226"/>
      <c r="F48" s="235"/>
    </row>
    <row r="49" spans="1:7" ht="24.6" customHeight="1">
      <c r="A49" s="228" t="s">
        <v>23</v>
      </c>
      <c r="B49" s="231" t="s">
        <v>401</v>
      </c>
      <c r="C49" s="232">
        <f>TAKEOFF!$H$4281</f>
        <v>1134.5999999999999</v>
      </c>
      <c r="D49" s="233" t="s">
        <v>322</v>
      </c>
      <c r="E49" s="234">
        <f>RATES!$D$38</f>
        <v>165</v>
      </c>
      <c r="F49" s="236">
        <f>C49*E49</f>
        <v>187208.99999999997</v>
      </c>
      <c r="G49" s="118" t="s">
        <v>698</v>
      </c>
    </row>
    <row r="50" spans="1:7" ht="24.6" customHeight="1">
      <c r="A50" s="224"/>
      <c r="B50" s="226"/>
      <c r="C50" s="226"/>
      <c r="D50" s="226"/>
      <c r="E50" s="226"/>
      <c r="F50" s="235"/>
    </row>
    <row r="51" spans="1:7" ht="24.6" customHeight="1">
      <c r="A51" s="228" t="s">
        <v>25</v>
      </c>
      <c r="B51" s="231" t="s">
        <v>403</v>
      </c>
      <c r="C51" s="232">
        <f>TAKEOFF!$H$4284</f>
        <v>294.60000000000002</v>
      </c>
      <c r="D51" s="233" t="s">
        <v>369</v>
      </c>
      <c r="E51" s="234">
        <f>RATES!$D$40</f>
        <v>65</v>
      </c>
      <c r="F51" s="236">
        <f>C51*E51</f>
        <v>19149</v>
      </c>
      <c r="G51" s="118" t="s">
        <v>699</v>
      </c>
    </row>
    <row r="52" spans="1:7" ht="24.6" customHeight="1">
      <c r="A52" s="224"/>
      <c r="B52" s="226"/>
      <c r="C52" s="226"/>
      <c r="D52" s="226"/>
      <c r="E52" s="226"/>
      <c r="F52" s="235"/>
    </row>
    <row r="53" spans="1:7" ht="24.6" customHeight="1">
      <c r="A53" s="228" t="s">
        <v>27</v>
      </c>
      <c r="B53" s="231" t="s">
        <v>405</v>
      </c>
      <c r="C53" s="232">
        <f>TAKEOFF!$H$4288</f>
        <v>196.59</v>
      </c>
      <c r="D53" s="233" t="s">
        <v>322</v>
      </c>
      <c r="E53" s="234">
        <f>RATES!$D$39</f>
        <v>165</v>
      </c>
      <c r="F53" s="236">
        <f>C53*E53</f>
        <v>32437.350000000002</v>
      </c>
      <c r="G53" s="118" t="s">
        <v>700</v>
      </c>
    </row>
    <row r="54" spans="1:7" ht="24.6" customHeight="1">
      <c r="A54" s="224"/>
      <c r="B54" s="226"/>
      <c r="C54" s="226"/>
      <c r="D54" s="226"/>
      <c r="E54" s="226"/>
      <c r="F54" s="235"/>
    </row>
    <row r="55" spans="1:7" ht="24.6" customHeight="1">
      <c r="A55" s="228" t="s">
        <v>29</v>
      </c>
      <c r="B55" s="231" t="s">
        <v>390</v>
      </c>
      <c r="C55" s="232">
        <f>TAKEOFF!$H$4299</f>
        <v>321.3175</v>
      </c>
      <c r="D55" s="233" t="s">
        <v>322</v>
      </c>
      <c r="E55" s="234">
        <f>RATES!$D$37</f>
        <v>165</v>
      </c>
      <c r="F55" s="236">
        <f>C55*E55</f>
        <v>53017.387499999997</v>
      </c>
      <c r="G55" s="118" t="s">
        <v>625</v>
      </c>
    </row>
    <row r="56" spans="1:7" ht="24.6" customHeight="1">
      <c r="A56" s="224"/>
      <c r="B56" s="226"/>
      <c r="C56" s="226"/>
      <c r="D56" s="226"/>
      <c r="E56" s="226"/>
      <c r="F56" s="235"/>
    </row>
    <row r="57" spans="1:7" ht="24.6" customHeight="1">
      <c r="A57" s="228" t="s">
        <v>31</v>
      </c>
      <c r="B57" s="231" t="s">
        <v>408</v>
      </c>
      <c r="C57" s="232">
        <f>TAKEOFF!$H$4304</f>
        <v>423.61450000000002</v>
      </c>
      <c r="D57" s="233" t="s">
        <v>322</v>
      </c>
      <c r="E57" s="234">
        <f>RATES!$D$36</f>
        <v>165</v>
      </c>
      <c r="F57" s="236">
        <f>C57*E57</f>
        <v>69896.392500000002</v>
      </c>
      <c r="G57" s="118" t="s">
        <v>626</v>
      </c>
    </row>
    <row r="58" spans="1:7" ht="24.6" customHeight="1">
      <c r="A58" s="224"/>
      <c r="B58" s="226"/>
      <c r="C58" s="226"/>
      <c r="D58" s="226"/>
      <c r="E58" s="226"/>
      <c r="F58" s="235"/>
    </row>
    <row r="59" spans="1:7" ht="24.6" customHeight="1">
      <c r="A59" s="228" t="s">
        <v>33</v>
      </c>
      <c r="B59" s="231" t="s">
        <v>410</v>
      </c>
      <c r="C59" s="232">
        <f>TAKEOFF!$H$4312</f>
        <v>66.532799999999995</v>
      </c>
      <c r="D59" s="233" t="s">
        <v>322</v>
      </c>
      <c r="E59" s="234">
        <f>RATES!$D$42</f>
        <v>165</v>
      </c>
      <c r="F59" s="236">
        <f>C59*E59</f>
        <v>10977.911999999998</v>
      </c>
      <c r="G59" s="118" t="s">
        <v>549</v>
      </c>
    </row>
    <row r="60" spans="1:7" ht="24.6" customHeight="1">
      <c r="A60" s="224"/>
      <c r="B60" s="226"/>
      <c r="C60" s="226"/>
      <c r="D60" s="226"/>
      <c r="E60" s="226"/>
      <c r="F60" s="235"/>
    </row>
    <row r="61" spans="1:7" ht="24.6" customHeight="1">
      <c r="A61" s="228" t="s">
        <v>35</v>
      </c>
      <c r="B61" s="231" t="s">
        <v>412</v>
      </c>
      <c r="C61" s="232">
        <f>TAKEOFF!$H$4349</f>
        <v>122.13000000000002</v>
      </c>
      <c r="D61" s="233" t="s">
        <v>322</v>
      </c>
      <c r="E61" s="234">
        <f>RATES!$D$43</f>
        <v>165</v>
      </c>
      <c r="F61" s="236">
        <f>C61*E61</f>
        <v>20151.450000000004</v>
      </c>
      <c r="G61" s="118" t="s">
        <v>792</v>
      </c>
    </row>
    <row r="62" spans="1:7" ht="24.6" customHeight="1">
      <c r="A62" s="224"/>
      <c r="B62" s="226"/>
      <c r="C62" s="226"/>
      <c r="D62" s="226"/>
      <c r="E62" s="226"/>
      <c r="F62" s="235"/>
    </row>
    <row r="63" spans="1:7" s="9" customFormat="1" ht="24.6" customHeight="1">
      <c r="A63" s="224"/>
      <c r="B63" s="226"/>
      <c r="C63" s="226"/>
      <c r="D63" s="226"/>
      <c r="E63" s="226"/>
      <c r="F63" s="235"/>
    </row>
    <row r="64" spans="1:7" s="9" customFormat="1" ht="24.6" customHeight="1">
      <c r="A64" s="224"/>
      <c r="B64" s="226"/>
      <c r="C64" s="226"/>
      <c r="D64" s="226"/>
      <c r="E64" s="226"/>
      <c r="F64" s="235"/>
    </row>
    <row r="65" spans="1:7" ht="24.6" customHeight="1">
      <c r="A65" s="224"/>
      <c r="B65" s="230" t="s">
        <v>413</v>
      </c>
      <c r="C65" s="226"/>
      <c r="D65" s="226"/>
      <c r="E65" s="226"/>
      <c r="F65" s="235"/>
    </row>
    <row r="66" spans="1:7" ht="24.6" customHeight="1">
      <c r="A66" s="228" t="s">
        <v>37</v>
      </c>
      <c r="B66" s="231" t="s">
        <v>414</v>
      </c>
      <c r="C66" s="232">
        <f>TAKEOFF!$H$4353</f>
        <v>4.5090000000000003</v>
      </c>
      <c r="D66" s="233" t="s">
        <v>353</v>
      </c>
      <c r="E66" s="234">
        <f>RATES!$D$29</f>
        <v>14300.000000000002</v>
      </c>
      <c r="F66" s="236">
        <f>C66*E66</f>
        <v>64478.700000000012</v>
      </c>
      <c r="G66" s="118" t="s">
        <v>793</v>
      </c>
    </row>
    <row r="67" spans="1:7" ht="24.6" customHeight="1">
      <c r="A67" s="224"/>
      <c r="B67" s="226"/>
      <c r="C67" s="226"/>
      <c r="D67" s="226"/>
      <c r="E67" s="226"/>
      <c r="F67" s="235"/>
    </row>
    <row r="68" spans="1:7" ht="24.6" customHeight="1">
      <c r="A68" s="228" t="s">
        <v>39</v>
      </c>
      <c r="B68" s="231" t="s">
        <v>416</v>
      </c>
      <c r="C68" s="232">
        <f>TAKEOFF!$H$4356</f>
        <v>6.2990000000000004</v>
      </c>
      <c r="D68" s="233" t="s">
        <v>353</v>
      </c>
      <c r="E68" s="234">
        <f>RATES!$D$32</f>
        <v>14300.000000000002</v>
      </c>
      <c r="F68" s="236">
        <f>C68*E68</f>
        <v>90075.700000000012</v>
      </c>
      <c r="G68" s="118" t="s">
        <v>794</v>
      </c>
    </row>
    <row r="69" spans="1:7" ht="24.6" customHeight="1">
      <c r="A69" s="224"/>
      <c r="B69" s="226"/>
      <c r="C69" s="226"/>
      <c r="D69" s="226"/>
      <c r="E69" s="226"/>
      <c r="F69" s="235"/>
    </row>
    <row r="70" spans="1:7" ht="24.6" customHeight="1">
      <c r="A70" s="228" t="s">
        <v>418</v>
      </c>
      <c r="B70" s="231" t="s">
        <v>419</v>
      </c>
      <c r="C70" s="232">
        <f>TAKEOFF!$H$4359</f>
        <v>0.624</v>
      </c>
      <c r="D70" s="233" t="s">
        <v>353</v>
      </c>
      <c r="E70" s="234">
        <f>RATES!$D$33</f>
        <v>14300.000000000002</v>
      </c>
      <c r="F70" s="236">
        <f>C70*E70</f>
        <v>8923.2000000000007</v>
      </c>
      <c r="G70" s="118" t="s">
        <v>795</v>
      </c>
    </row>
    <row r="71" spans="1:7" ht="24.6" customHeight="1">
      <c r="A71" s="224"/>
      <c r="B71" s="226"/>
      <c r="C71" s="226"/>
      <c r="D71" s="226"/>
      <c r="E71" s="226"/>
      <c r="F71" s="235"/>
    </row>
    <row r="72" spans="1:7" ht="24.6" customHeight="1">
      <c r="A72" s="228" t="s">
        <v>421</v>
      </c>
      <c r="B72" s="231" t="s">
        <v>422</v>
      </c>
      <c r="C72" s="232">
        <f>TAKEOFF!$H$4362</f>
        <v>1.806</v>
      </c>
      <c r="D72" s="233" t="s">
        <v>353</v>
      </c>
      <c r="E72" s="234">
        <f>RATES!$D$29</f>
        <v>14300.000000000002</v>
      </c>
      <c r="F72" s="236">
        <f>C72*E72</f>
        <v>25825.800000000003</v>
      </c>
      <c r="G72" s="118" t="s">
        <v>701</v>
      </c>
    </row>
    <row r="73" spans="1:7" ht="24.6" customHeight="1">
      <c r="A73" s="224"/>
      <c r="B73" s="226"/>
      <c r="C73" s="226"/>
      <c r="D73" s="226"/>
      <c r="E73" s="226"/>
      <c r="F73" s="235"/>
    </row>
    <row r="74" spans="1:7" ht="24.6" customHeight="1">
      <c r="A74" s="228" t="s">
        <v>424</v>
      </c>
      <c r="B74" s="231" t="s">
        <v>425</v>
      </c>
      <c r="C74" s="232">
        <f>TAKEOFF!$H$4365</f>
        <v>1.248</v>
      </c>
      <c r="D74" s="233" t="s">
        <v>353</v>
      </c>
      <c r="E74" s="234">
        <f>RATES!$D$31</f>
        <v>14300.000000000002</v>
      </c>
      <c r="F74" s="236">
        <f>C74*E74</f>
        <v>17846.400000000001</v>
      </c>
      <c r="G74" s="118" t="s">
        <v>702</v>
      </c>
    </row>
    <row r="75" spans="1:7" ht="24.6" customHeight="1">
      <c r="A75" s="224"/>
      <c r="B75" s="226"/>
      <c r="C75" s="226"/>
      <c r="D75" s="226"/>
      <c r="E75" s="226"/>
      <c r="F75" s="235"/>
    </row>
    <row r="76" spans="1:7" ht="24.6" customHeight="1">
      <c r="A76" s="228" t="s">
        <v>427</v>
      </c>
      <c r="B76" s="231" t="s">
        <v>428</v>
      </c>
      <c r="C76" s="232">
        <f>TAKEOFF!$H$4368</f>
        <v>2.1349999999999998</v>
      </c>
      <c r="D76" s="233" t="s">
        <v>353</v>
      </c>
      <c r="E76" s="234">
        <f>RATES!$D$32</f>
        <v>14300.000000000002</v>
      </c>
      <c r="F76" s="236">
        <f>C76*E76</f>
        <v>30530.5</v>
      </c>
      <c r="G76" s="118" t="s">
        <v>703</v>
      </c>
    </row>
    <row r="77" spans="1:7" ht="24.6" customHeight="1">
      <c r="A77" s="224"/>
      <c r="B77" s="226"/>
      <c r="C77" s="226"/>
      <c r="D77" s="226"/>
      <c r="E77" s="226"/>
      <c r="F77" s="235"/>
    </row>
    <row r="78" spans="1:7" ht="24.6" customHeight="1">
      <c r="A78" s="228" t="s">
        <v>430</v>
      </c>
      <c r="B78" s="231" t="s">
        <v>431</v>
      </c>
      <c r="C78" s="232">
        <f>TAKEOFF!$H$4371</f>
        <v>5.5069999999999997</v>
      </c>
      <c r="D78" s="233" t="s">
        <v>353</v>
      </c>
      <c r="E78" s="234">
        <f>RATES!$D$33</f>
        <v>14300.000000000002</v>
      </c>
      <c r="F78" s="236">
        <f>C78*E78</f>
        <v>78750.100000000006</v>
      </c>
      <c r="G78" s="118" t="s">
        <v>704</v>
      </c>
    </row>
    <row r="79" spans="1:7" ht="24.6" customHeight="1">
      <c r="A79" s="224"/>
      <c r="B79" s="226"/>
      <c r="C79" s="226"/>
      <c r="D79" s="226"/>
      <c r="E79" s="226"/>
      <c r="F79" s="235"/>
    </row>
    <row r="80" spans="1:7" ht="24.6" customHeight="1">
      <c r="A80" s="228" t="s">
        <v>433</v>
      </c>
      <c r="B80" s="231" t="s">
        <v>434</v>
      </c>
      <c r="C80" s="232">
        <f>TAKEOFF!$H$4375</f>
        <v>2.0779999999999998</v>
      </c>
      <c r="D80" s="233" t="s">
        <v>353</v>
      </c>
      <c r="E80" s="234">
        <f>RATES!$D$29</f>
        <v>14300.000000000002</v>
      </c>
      <c r="F80" s="236">
        <f>C80*E80</f>
        <v>29715.4</v>
      </c>
      <c r="G80" s="118" t="s">
        <v>633</v>
      </c>
    </row>
    <row r="81" spans="1:7" ht="24.6" customHeight="1">
      <c r="A81" s="224"/>
      <c r="B81" s="226"/>
      <c r="C81" s="226"/>
      <c r="D81" s="226"/>
      <c r="E81" s="226"/>
      <c r="F81" s="235"/>
    </row>
    <row r="82" spans="1:7" ht="24.6" customHeight="1">
      <c r="A82" s="228" t="s">
        <v>436</v>
      </c>
      <c r="B82" s="231" t="s">
        <v>437</v>
      </c>
      <c r="C82" s="232">
        <f>TAKEOFF!$H$4379</f>
        <v>2.7829999999999999</v>
      </c>
      <c r="D82" s="233" t="s">
        <v>353</v>
      </c>
      <c r="E82" s="234">
        <f>RATES!$D$30</f>
        <v>14300.000000000002</v>
      </c>
      <c r="F82" s="236">
        <f>C82*E82</f>
        <v>39796.9</v>
      </c>
      <c r="G82" s="118" t="s">
        <v>634</v>
      </c>
    </row>
    <row r="83" spans="1:7" ht="24.6" customHeight="1">
      <c r="A83" s="224"/>
      <c r="B83" s="226"/>
      <c r="C83" s="226"/>
      <c r="D83" s="226"/>
      <c r="E83" s="226"/>
      <c r="F83" s="235"/>
    </row>
    <row r="84" spans="1:7" ht="24.6" customHeight="1">
      <c r="A84" s="228" t="s">
        <v>439</v>
      </c>
      <c r="B84" s="231" t="s">
        <v>705</v>
      </c>
      <c r="C84" s="232">
        <f>TAKEOFF!$H$4383</f>
        <v>10.224</v>
      </c>
      <c r="D84" s="233" t="s">
        <v>353</v>
      </c>
      <c r="E84" s="234">
        <f>RATES!$D$32</f>
        <v>14300.000000000002</v>
      </c>
      <c r="F84" s="236">
        <f>C84*E84</f>
        <v>146203.20000000001</v>
      </c>
      <c r="G84" s="118" t="s">
        <v>733</v>
      </c>
    </row>
    <row r="85" spans="1:7" ht="24.6" customHeight="1">
      <c r="A85" s="224"/>
      <c r="B85" s="226"/>
      <c r="C85" s="226"/>
      <c r="D85" s="226"/>
      <c r="E85" s="226"/>
      <c r="F85" s="235"/>
    </row>
    <row r="86" spans="1:7" ht="24.6" customHeight="1">
      <c r="A86" s="228" t="s">
        <v>9</v>
      </c>
      <c r="B86" s="231" t="s">
        <v>442</v>
      </c>
      <c r="C86" s="232">
        <f>TAKEOFF!$H$4386</f>
        <v>0.88</v>
      </c>
      <c r="D86" s="233" t="s">
        <v>353</v>
      </c>
      <c r="E86" s="234">
        <f>RATES!$D$30</f>
        <v>14300.000000000002</v>
      </c>
      <c r="F86" s="236">
        <f>C86*E86</f>
        <v>12584.000000000002</v>
      </c>
      <c r="G86" s="118" t="s">
        <v>636</v>
      </c>
    </row>
    <row r="87" spans="1:7" ht="24.6" customHeight="1">
      <c r="A87" s="224"/>
      <c r="B87" s="226"/>
      <c r="C87" s="226"/>
      <c r="D87" s="226"/>
      <c r="E87" s="226"/>
      <c r="F87" s="235"/>
    </row>
    <row r="88" spans="1:7" ht="24.6" customHeight="1">
      <c r="A88" s="228" t="s">
        <v>11</v>
      </c>
      <c r="B88" s="231" t="s">
        <v>444</v>
      </c>
      <c r="C88" s="232">
        <f>TAKEOFF!$H$4389</f>
        <v>1.4339999999999999</v>
      </c>
      <c r="D88" s="233" t="s">
        <v>353</v>
      </c>
      <c r="E88" s="234">
        <f>RATES!$D$31</f>
        <v>14300.000000000002</v>
      </c>
      <c r="F88" s="236">
        <f>C88*E88</f>
        <v>20506.2</v>
      </c>
      <c r="G88" s="118" t="s">
        <v>637</v>
      </c>
    </row>
    <row r="89" spans="1:7" ht="24.6" customHeight="1">
      <c r="A89" s="224"/>
      <c r="B89" s="226"/>
      <c r="C89" s="226"/>
      <c r="D89" s="226"/>
      <c r="E89" s="226"/>
      <c r="F89" s="235"/>
    </row>
    <row r="90" spans="1:7" ht="24.6" customHeight="1">
      <c r="A90" s="228" t="s">
        <v>13</v>
      </c>
      <c r="B90" s="231" t="s">
        <v>446</v>
      </c>
      <c r="C90" s="232">
        <f>TAKEOFF!$H$4392</f>
        <v>49.804000000000002</v>
      </c>
      <c r="D90" s="233" t="s">
        <v>353</v>
      </c>
      <c r="E90" s="234">
        <f>RATES!$D$30</f>
        <v>14300.000000000002</v>
      </c>
      <c r="F90" s="236">
        <f>C90*E90</f>
        <v>712197.20000000007</v>
      </c>
      <c r="G90" s="118" t="s">
        <v>708</v>
      </c>
    </row>
    <row r="91" spans="1:7" ht="24.6" customHeight="1">
      <c r="A91" s="224"/>
      <c r="B91" s="226"/>
      <c r="C91" s="226"/>
      <c r="D91" s="226"/>
      <c r="E91" s="226"/>
      <c r="F91" s="235"/>
    </row>
    <row r="92" spans="1:7" ht="24.6" customHeight="1">
      <c r="A92" s="228" t="s">
        <v>15</v>
      </c>
      <c r="B92" s="231" t="s">
        <v>448</v>
      </c>
      <c r="C92" s="232">
        <f>TAKEOFF!$H$4395</f>
        <v>0.151</v>
      </c>
      <c r="D92" s="233" t="s">
        <v>353</v>
      </c>
      <c r="E92" s="234">
        <f>RATES!$D$31</f>
        <v>14300.000000000002</v>
      </c>
      <c r="F92" s="236">
        <f>C92*E92</f>
        <v>2159.3000000000002</v>
      </c>
      <c r="G92" s="118" t="s">
        <v>709</v>
      </c>
    </row>
    <row r="93" spans="1:7" ht="24.6" customHeight="1">
      <c r="A93" s="109"/>
      <c r="B93" s="136"/>
      <c r="C93" s="136"/>
      <c r="D93" s="136"/>
      <c r="E93" s="136"/>
      <c r="F93" s="117"/>
    </row>
    <row r="94" spans="1:7" ht="24.6" customHeight="1" thickBot="1">
      <c r="A94" s="141"/>
      <c r="B94" s="154" t="str">
        <f>B31</f>
        <v>ELEMENT NO. 1: IN SITU CONCRETE/LARGE PRECAST CONCRETE</v>
      </c>
      <c r="C94" s="142"/>
      <c r="D94" s="142"/>
      <c r="E94" s="143"/>
      <c r="F94" s="116">
        <f>SUM(F33:F93)</f>
        <v>2628506.8135624994</v>
      </c>
    </row>
    <row r="95" spans="1:7" ht="24.6" customHeight="1" thickTop="1" thickBot="1">
      <c r="A95" s="150"/>
      <c r="B95" s="151" t="s">
        <v>339</v>
      </c>
      <c r="C95" s="152"/>
      <c r="D95" s="152"/>
      <c r="E95" s="152"/>
      <c r="F95" s="153"/>
    </row>
    <row r="96" spans="1:7" ht="24.6" customHeight="1" thickTop="1">
      <c r="A96" s="109"/>
      <c r="B96" s="136"/>
      <c r="C96" s="136"/>
      <c r="D96" s="136"/>
      <c r="E96" s="136"/>
      <c r="F96" s="117"/>
    </row>
    <row r="97" spans="1:7" ht="24.6" customHeight="1">
      <c r="A97" s="224"/>
      <c r="B97" s="226"/>
      <c r="C97" s="226"/>
      <c r="D97" s="226"/>
      <c r="E97" s="226"/>
      <c r="F97" s="235"/>
    </row>
    <row r="98" spans="1:7" ht="24.6" customHeight="1">
      <c r="A98" s="224"/>
      <c r="B98" s="225" t="s">
        <v>380</v>
      </c>
      <c r="C98" s="226"/>
      <c r="D98" s="226"/>
      <c r="E98" s="226"/>
      <c r="F98" s="235"/>
    </row>
    <row r="99" spans="1:7" ht="24.6" customHeight="1">
      <c r="A99" s="224"/>
      <c r="B99" s="226"/>
      <c r="C99" s="226"/>
      <c r="D99" s="226"/>
      <c r="E99" s="226"/>
      <c r="F99" s="235"/>
    </row>
    <row r="100" spans="1:7" ht="24.6" customHeight="1">
      <c r="A100" s="224"/>
      <c r="B100" s="230" t="s">
        <v>450</v>
      </c>
      <c r="C100" s="226"/>
      <c r="D100" s="226"/>
      <c r="E100" s="226"/>
      <c r="F100" s="235"/>
    </row>
    <row r="101" spans="1:7" ht="24.6" customHeight="1">
      <c r="A101" s="228" t="s">
        <v>9</v>
      </c>
      <c r="B101" s="231" t="s">
        <v>451</v>
      </c>
      <c r="C101" s="232">
        <f>TAKEOFF!$H$4435</f>
        <v>1542.5174874999998</v>
      </c>
      <c r="D101" s="233" t="s">
        <v>322</v>
      </c>
      <c r="E101" s="234">
        <f>RATES!$D$46</f>
        <v>215</v>
      </c>
      <c r="F101" s="236">
        <f>C101*E101</f>
        <v>331641.25981249998</v>
      </c>
      <c r="G101" s="118" t="s">
        <v>796</v>
      </c>
    </row>
    <row r="102" spans="1:7" ht="24.6" customHeight="1">
      <c r="A102" s="224"/>
      <c r="B102" s="226"/>
      <c r="C102" s="226"/>
      <c r="D102" s="226"/>
      <c r="E102" s="226"/>
      <c r="F102" s="235"/>
    </row>
    <row r="103" spans="1:7" ht="24.6" customHeight="1">
      <c r="A103" s="228" t="s">
        <v>11</v>
      </c>
      <c r="B103" s="231" t="s">
        <v>453</v>
      </c>
      <c r="C103" s="232">
        <f>TAKEOFF!$H$4473</f>
        <v>180.7800125</v>
      </c>
      <c r="D103" s="233" t="s">
        <v>322</v>
      </c>
      <c r="E103" s="234">
        <f>RATES!$D$47</f>
        <v>265</v>
      </c>
      <c r="F103" s="236">
        <f>C103*E103</f>
        <v>47906.703312500002</v>
      </c>
      <c r="G103" s="118" t="s">
        <v>797</v>
      </c>
    </row>
    <row r="104" spans="1:7" ht="24.6" customHeight="1">
      <c r="A104" s="109"/>
      <c r="B104" s="136"/>
      <c r="C104" s="136"/>
      <c r="D104" s="136"/>
      <c r="E104" s="136"/>
      <c r="F104" s="117"/>
    </row>
    <row r="105" spans="1:7" ht="24.6" customHeight="1" thickBot="1">
      <c r="A105" s="141"/>
      <c r="B105" s="154" t="str">
        <f>B98</f>
        <v>ELEMENT NO. 2: MASONRY</v>
      </c>
      <c r="C105" s="142"/>
      <c r="D105" s="142"/>
      <c r="E105" s="143"/>
      <c r="F105" s="116">
        <f>SUM(F100:F104)</f>
        <v>379547.96312500001</v>
      </c>
    </row>
    <row r="106" spans="1:7" ht="24.6" customHeight="1" thickTop="1" thickBot="1">
      <c r="A106" s="150"/>
      <c r="B106" s="151" t="s">
        <v>339</v>
      </c>
      <c r="C106" s="152"/>
      <c r="D106" s="152"/>
      <c r="E106" s="152"/>
      <c r="F106" s="153"/>
    </row>
    <row r="107" spans="1:7" ht="24.6" customHeight="1" thickTop="1">
      <c r="A107" s="109"/>
      <c r="B107" s="136"/>
      <c r="C107" s="136"/>
      <c r="D107" s="136"/>
      <c r="E107" s="136"/>
      <c r="F107" s="117"/>
    </row>
    <row r="108" spans="1:7" ht="24.6" customHeight="1">
      <c r="A108" s="224"/>
      <c r="B108" s="225" t="s">
        <v>381</v>
      </c>
      <c r="C108" s="226"/>
      <c r="D108" s="226"/>
      <c r="E108" s="226"/>
      <c r="F108" s="235"/>
    </row>
    <row r="109" spans="1:7" ht="24.6" customHeight="1">
      <c r="A109" s="224"/>
      <c r="B109" s="226"/>
      <c r="C109" s="226"/>
      <c r="D109" s="226"/>
      <c r="E109" s="226"/>
      <c r="F109" s="235"/>
    </row>
    <row r="110" spans="1:7" ht="24.6" customHeight="1">
      <c r="A110" s="224"/>
      <c r="B110" s="230" t="s">
        <v>455</v>
      </c>
      <c r="C110" s="226"/>
      <c r="D110" s="226"/>
      <c r="E110" s="226"/>
      <c r="F110" s="235"/>
    </row>
    <row r="111" spans="1:7" ht="24.6" customHeight="1">
      <c r="A111" s="228" t="s">
        <v>9</v>
      </c>
      <c r="B111" s="231" t="s">
        <v>642</v>
      </c>
      <c r="C111" s="232">
        <f>TAKEOFF!$H$4478</f>
        <v>8</v>
      </c>
      <c r="D111" s="233" t="s">
        <v>457</v>
      </c>
      <c r="E111" s="234">
        <f>RATES!$D$75</f>
        <v>7800</v>
      </c>
      <c r="F111" s="236">
        <f>C111*E111</f>
        <v>62400</v>
      </c>
      <c r="G111" s="118" t="s">
        <v>669</v>
      </c>
    </row>
    <row r="112" spans="1:7" ht="24.6" customHeight="1">
      <c r="A112" s="224"/>
      <c r="B112" s="226"/>
      <c r="C112" s="226"/>
      <c r="D112" s="226"/>
      <c r="E112" s="226"/>
      <c r="F112" s="235"/>
    </row>
    <row r="113" spans="1:7" ht="24.6" customHeight="1">
      <c r="A113" s="228" t="s">
        <v>11</v>
      </c>
      <c r="B113" s="231" t="s">
        <v>459</v>
      </c>
      <c r="C113" s="232">
        <f>TAKEOFF!$H$4481</f>
        <v>15</v>
      </c>
      <c r="D113" s="233" t="s">
        <v>457</v>
      </c>
      <c r="E113" s="234">
        <f>RATES!$D$76</f>
        <v>3400</v>
      </c>
      <c r="F113" s="236">
        <f>C113*E113</f>
        <v>51000</v>
      </c>
      <c r="G113" s="118" t="s">
        <v>712</v>
      </c>
    </row>
    <row r="114" spans="1:7" ht="24.6" customHeight="1">
      <c r="A114" s="224"/>
      <c r="B114" s="226"/>
      <c r="C114" s="226"/>
      <c r="D114" s="226"/>
      <c r="E114" s="226"/>
      <c r="F114" s="235"/>
    </row>
    <row r="115" spans="1:7" ht="24.6" customHeight="1">
      <c r="A115" s="228" t="s">
        <v>13</v>
      </c>
      <c r="B115" s="231" t="s">
        <v>463</v>
      </c>
      <c r="C115" s="232">
        <f>TAKEOFF!$H$4484</f>
        <v>21</v>
      </c>
      <c r="D115" s="233" t="s">
        <v>457</v>
      </c>
      <c r="E115" s="234">
        <f>RATES!$D$79</f>
        <v>1900</v>
      </c>
      <c r="F115" s="236">
        <f>C115*E115</f>
        <v>39900</v>
      </c>
      <c r="G115" s="118" t="s">
        <v>645</v>
      </c>
    </row>
    <row r="116" spans="1:7" ht="24.6" customHeight="1">
      <c r="A116" s="224"/>
      <c r="B116" s="226"/>
      <c r="C116" s="226"/>
      <c r="D116" s="226"/>
      <c r="E116" s="226"/>
      <c r="F116" s="235"/>
    </row>
    <row r="117" spans="1:7" ht="24.6" customHeight="1">
      <c r="A117" s="228" t="s">
        <v>15</v>
      </c>
      <c r="B117" s="231" t="s">
        <v>464</v>
      </c>
      <c r="C117" s="232">
        <f>TAKEOFF!$H$4487</f>
        <v>1</v>
      </c>
      <c r="D117" s="233" t="s">
        <v>457</v>
      </c>
      <c r="E117" s="234">
        <f>RATES!$D$80</f>
        <v>6800</v>
      </c>
      <c r="F117" s="236">
        <f>C117*E117</f>
        <v>6800</v>
      </c>
      <c r="G117" s="118" t="s">
        <v>458</v>
      </c>
    </row>
    <row r="118" spans="1:7" ht="24.6" customHeight="1">
      <c r="A118" s="224"/>
      <c r="B118" s="226"/>
      <c r="C118" s="226"/>
      <c r="D118" s="226"/>
      <c r="E118" s="226"/>
      <c r="F118" s="235"/>
    </row>
    <row r="119" spans="1:7" ht="24.6" customHeight="1">
      <c r="A119" s="228" t="s">
        <v>17</v>
      </c>
      <c r="B119" s="231" t="s">
        <v>646</v>
      </c>
      <c r="C119" s="232">
        <f>TAKEOFF!$H$4490</f>
        <v>2</v>
      </c>
      <c r="D119" s="233" t="s">
        <v>457</v>
      </c>
      <c r="E119" s="234">
        <f>RATES!$D$81</f>
        <v>9800</v>
      </c>
      <c r="F119" s="236">
        <f>C119*E119</f>
        <v>19600</v>
      </c>
      <c r="G119" s="118" t="s">
        <v>465</v>
      </c>
    </row>
    <row r="120" spans="1:7" ht="24.6" customHeight="1">
      <c r="A120" s="224"/>
      <c r="B120" s="226"/>
      <c r="C120" s="226"/>
      <c r="D120" s="226"/>
      <c r="E120" s="226"/>
      <c r="F120" s="235"/>
    </row>
    <row r="121" spans="1:7" ht="24.6" customHeight="1">
      <c r="A121" s="228" t="s">
        <v>19</v>
      </c>
      <c r="B121" s="231" t="s">
        <v>466</v>
      </c>
      <c r="C121" s="232">
        <f>TAKEOFF!$H$4493</f>
        <v>3</v>
      </c>
      <c r="D121" s="233" t="s">
        <v>457</v>
      </c>
      <c r="E121" s="234">
        <f>RATES!$D$82</f>
        <v>7200</v>
      </c>
      <c r="F121" s="236">
        <f>C121*E121</f>
        <v>21600</v>
      </c>
      <c r="G121" s="118" t="s">
        <v>467</v>
      </c>
    </row>
    <row r="122" spans="1:7" ht="24.6" customHeight="1">
      <c r="A122" s="224"/>
      <c r="B122" s="226"/>
      <c r="C122" s="226"/>
      <c r="D122" s="226"/>
      <c r="E122" s="226"/>
      <c r="F122" s="235"/>
    </row>
    <row r="123" spans="1:7" ht="24.6" customHeight="1">
      <c r="A123" s="228" t="s">
        <v>21</v>
      </c>
      <c r="B123" s="231" t="s">
        <v>647</v>
      </c>
      <c r="C123" s="232">
        <f>TAKEOFF!$H$4496</f>
        <v>2</v>
      </c>
      <c r="D123" s="233" t="s">
        <v>457</v>
      </c>
      <c r="E123" s="234">
        <f>RATES!$D$83</f>
        <v>8100</v>
      </c>
      <c r="F123" s="236">
        <f>C123*E123</f>
        <v>16200</v>
      </c>
      <c r="G123" s="118" t="s">
        <v>465</v>
      </c>
    </row>
    <row r="124" spans="1:7" ht="24.6" customHeight="1">
      <c r="A124" s="224"/>
      <c r="B124" s="226"/>
      <c r="C124" s="226"/>
      <c r="D124" s="226"/>
      <c r="E124" s="226"/>
      <c r="F124" s="235"/>
    </row>
    <row r="125" spans="1:7" ht="24.6" customHeight="1">
      <c r="A125" s="228" t="s">
        <v>23</v>
      </c>
      <c r="B125" s="231" t="s">
        <v>468</v>
      </c>
      <c r="C125" s="232">
        <f>TAKEOFF!$H$4499</f>
        <v>1</v>
      </c>
      <c r="D125" s="233" t="s">
        <v>457</v>
      </c>
      <c r="E125" s="234">
        <f>RATES!$D$84</f>
        <v>6900</v>
      </c>
      <c r="F125" s="236">
        <f>C125*E125</f>
        <v>6900</v>
      </c>
      <c r="G125" s="118" t="s">
        <v>458</v>
      </c>
    </row>
    <row r="126" spans="1:7" ht="24.6" customHeight="1">
      <c r="A126" s="224"/>
      <c r="B126" s="226"/>
      <c r="C126" s="226"/>
      <c r="D126" s="226"/>
      <c r="E126" s="226"/>
      <c r="F126" s="235"/>
    </row>
    <row r="127" spans="1:7" ht="24.6" customHeight="1">
      <c r="A127" s="228" t="s">
        <v>25</v>
      </c>
      <c r="B127" s="231" t="s">
        <v>648</v>
      </c>
      <c r="C127" s="232">
        <f>TAKEOFF!$H$4502</f>
        <v>1</v>
      </c>
      <c r="D127" s="233" t="s">
        <v>457</v>
      </c>
      <c r="E127" s="234">
        <f>RATES!$D$86</f>
        <v>4600</v>
      </c>
      <c r="F127" s="236">
        <f>C127*E127</f>
        <v>4600</v>
      </c>
      <c r="G127" s="118" t="s">
        <v>458</v>
      </c>
    </row>
    <row r="128" spans="1:7" ht="24.6" customHeight="1">
      <c r="A128" s="224"/>
      <c r="B128" s="226"/>
      <c r="C128" s="226"/>
      <c r="D128" s="226"/>
      <c r="E128" s="226"/>
      <c r="F128" s="235"/>
    </row>
    <row r="129" spans="1:7" ht="24.6" customHeight="1">
      <c r="A129" s="228" t="s">
        <v>27</v>
      </c>
      <c r="B129" s="231" t="s">
        <v>649</v>
      </c>
      <c r="C129" s="232">
        <f>TAKEOFF!$H$4505</f>
        <v>2</v>
      </c>
      <c r="D129" s="233" t="s">
        <v>457</v>
      </c>
      <c r="E129" s="234">
        <f>RATES!$D$87</f>
        <v>2900</v>
      </c>
      <c r="F129" s="236">
        <f>C129*E129</f>
        <v>5800</v>
      </c>
      <c r="G129" s="118" t="s">
        <v>465</v>
      </c>
    </row>
    <row r="130" spans="1:7" ht="24.6" customHeight="1">
      <c r="A130" s="224"/>
      <c r="B130" s="226"/>
      <c r="C130" s="226"/>
      <c r="D130" s="226"/>
      <c r="E130" s="226"/>
      <c r="F130" s="235"/>
    </row>
    <row r="131" spans="1:7" ht="24.6" customHeight="1">
      <c r="A131" s="228" t="s">
        <v>29</v>
      </c>
      <c r="B131" s="231" t="s">
        <v>650</v>
      </c>
      <c r="C131" s="232">
        <f>TAKEOFF!$H$4508</f>
        <v>4</v>
      </c>
      <c r="D131" s="233" t="s">
        <v>457</v>
      </c>
      <c r="E131" s="234">
        <f>RATES!$D$88</f>
        <v>2600</v>
      </c>
      <c r="F131" s="236">
        <f>C131*E131</f>
        <v>10400</v>
      </c>
      <c r="G131" s="118" t="s">
        <v>493</v>
      </c>
    </row>
    <row r="132" spans="1:7" ht="24.6" customHeight="1">
      <c r="A132" s="224"/>
      <c r="B132" s="226"/>
      <c r="C132" s="226"/>
      <c r="D132" s="226"/>
      <c r="E132" s="226"/>
      <c r="F132" s="235"/>
    </row>
    <row r="133" spans="1:7" ht="24.6" customHeight="1">
      <c r="A133" s="228" t="s">
        <v>31</v>
      </c>
      <c r="B133" s="231" t="s">
        <v>652</v>
      </c>
      <c r="C133" s="232">
        <f>TAKEOFF!$H$4511</f>
        <v>1</v>
      </c>
      <c r="D133" s="233" t="s">
        <v>457</v>
      </c>
      <c r="E133" s="234">
        <f>RATES!$D$89</f>
        <v>1900</v>
      </c>
      <c r="F133" s="236">
        <f>C133*E133</f>
        <v>1900</v>
      </c>
      <c r="G133" s="118" t="s">
        <v>458</v>
      </c>
    </row>
    <row r="134" spans="1:7" ht="24.6" customHeight="1">
      <c r="A134" s="224"/>
      <c r="B134" s="226"/>
      <c r="C134" s="226"/>
      <c r="D134" s="226"/>
      <c r="E134" s="226"/>
      <c r="F134" s="235"/>
    </row>
    <row r="135" spans="1:7" ht="24.6" customHeight="1">
      <c r="A135" s="228" t="s">
        <v>33</v>
      </c>
      <c r="B135" s="231" t="s">
        <v>653</v>
      </c>
      <c r="C135" s="232">
        <f>TAKEOFF!$H$4514</f>
        <v>3</v>
      </c>
      <c r="D135" s="233" t="s">
        <v>457</v>
      </c>
      <c r="E135" s="234">
        <f>RATES!$D$90</f>
        <v>2200</v>
      </c>
      <c r="F135" s="236">
        <f>C135*E135</f>
        <v>6600</v>
      </c>
      <c r="G135" s="118" t="s">
        <v>467</v>
      </c>
    </row>
    <row r="136" spans="1:7" ht="24.6" customHeight="1">
      <c r="A136" s="224"/>
      <c r="B136" s="226"/>
      <c r="C136" s="226"/>
      <c r="D136" s="226"/>
      <c r="E136" s="226"/>
      <c r="F136" s="235"/>
    </row>
    <row r="137" spans="1:7" ht="24.6" customHeight="1">
      <c r="A137" s="228" t="s">
        <v>35</v>
      </c>
      <c r="B137" s="231" t="s">
        <v>654</v>
      </c>
      <c r="C137" s="232">
        <f>TAKEOFF!$H$4517</f>
        <v>1</v>
      </c>
      <c r="D137" s="233" t="s">
        <v>457</v>
      </c>
      <c r="E137" s="234">
        <f>RATES!$D$94</f>
        <v>14500</v>
      </c>
      <c r="F137" s="236">
        <f>C137*E137</f>
        <v>14500</v>
      </c>
      <c r="G137" s="118" t="s">
        <v>458</v>
      </c>
    </row>
    <row r="138" spans="1:7" ht="24.6" customHeight="1">
      <c r="A138" s="224"/>
      <c r="B138" s="226"/>
      <c r="C138" s="226"/>
      <c r="D138" s="226"/>
      <c r="E138" s="226"/>
      <c r="F138" s="235"/>
    </row>
    <row r="139" spans="1:7" ht="24.6" customHeight="1">
      <c r="A139" s="228" t="s">
        <v>37</v>
      </c>
      <c r="B139" s="231" t="s">
        <v>655</v>
      </c>
      <c r="C139" s="232">
        <f>TAKEOFF!$H$4520</f>
        <v>4</v>
      </c>
      <c r="D139" s="233" t="s">
        <v>457</v>
      </c>
      <c r="E139" s="234">
        <f>RATES!$D$95</f>
        <v>8800</v>
      </c>
      <c r="F139" s="236">
        <f>C139*E139</f>
        <v>35200</v>
      </c>
      <c r="G139" s="118" t="s">
        <v>493</v>
      </c>
    </row>
    <row r="140" spans="1:7" ht="24.6" customHeight="1">
      <c r="A140" s="224"/>
      <c r="B140" s="226"/>
      <c r="C140" s="226"/>
      <c r="D140" s="226"/>
      <c r="E140" s="226"/>
      <c r="F140" s="235"/>
    </row>
    <row r="141" spans="1:7" ht="24.6" customHeight="1">
      <c r="A141" s="228" t="s">
        <v>39</v>
      </c>
      <c r="B141" s="231" t="s">
        <v>656</v>
      </c>
      <c r="C141" s="232">
        <f>TAKEOFF!$H$4523</f>
        <v>2</v>
      </c>
      <c r="D141" s="233" t="s">
        <v>457</v>
      </c>
      <c r="E141" s="234">
        <f>RATES!$D$96</f>
        <v>7600</v>
      </c>
      <c r="F141" s="236">
        <f>C141*E141</f>
        <v>15200</v>
      </c>
      <c r="G141" s="118" t="s">
        <v>465</v>
      </c>
    </row>
    <row r="142" spans="1:7" ht="24.6" customHeight="1">
      <c r="A142" s="224"/>
      <c r="B142" s="226"/>
      <c r="C142" s="226"/>
      <c r="D142" s="226"/>
      <c r="E142" s="226"/>
      <c r="F142" s="235"/>
    </row>
    <row r="143" spans="1:7" ht="24.6" customHeight="1">
      <c r="A143" s="228" t="s">
        <v>418</v>
      </c>
      <c r="B143" s="231" t="s">
        <v>657</v>
      </c>
      <c r="C143" s="232">
        <f>TAKEOFF!$H$4526</f>
        <v>4</v>
      </c>
      <c r="D143" s="233" t="s">
        <v>457</v>
      </c>
      <c r="E143" s="234">
        <f>RATES!$D$97</f>
        <v>9300</v>
      </c>
      <c r="F143" s="236">
        <f>C143*E143</f>
        <v>37200</v>
      </c>
      <c r="G143" s="118" t="s">
        <v>493</v>
      </c>
    </row>
    <row r="144" spans="1:7" ht="24.6" customHeight="1">
      <c r="A144" s="224"/>
      <c r="B144" s="226"/>
      <c r="C144" s="226"/>
      <c r="D144" s="226"/>
      <c r="E144" s="226"/>
      <c r="F144" s="235"/>
    </row>
    <row r="145" spans="1:7" ht="24.6" customHeight="1">
      <c r="A145" s="228" t="s">
        <v>421</v>
      </c>
      <c r="B145" s="231" t="s">
        <v>658</v>
      </c>
      <c r="C145" s="232">
        <f>TAKEOFF!$H$4529</f>
        <v>1</v>
      </c>
      <c r="D145" s="233" t="s">
        <v>457</v>
      </c>
      <c r="E145" s="234">
        <f>RATES!$D$98</f>
        <v>7200</v>
      </c>
      <c r="F145" s="236">
        <f>C145*E145</f>
        <v>7200</v>
      </c>
      <c r="G145" s="118" t="s">
        <v>458</v>
      </c>
    </row>
    <row r="146" spans="1:7" ht="24.6" customHeight="1">
      <c r="A146" s="224"/>
      <c r="B146" s="226"/>
      <c r="C146" s="226"/>
      <c r="D146" s="226"/>
      <c r="E146" s="226"/>
      <c r="F146" s="235"/>
    </row>
    <row r="147" spans="1:7" ht="24.6" customHeight="1">
      <c r="A147" s="228" t="s">
        <v>424</v>
      </c>
      <c r="B147" s="231" t="s">
        <v>474</v>
      </c>
      <c r="C147" s="232">
        <f>TAKEOFF!$H$4534</f>
        <v>193.55000000000004</v>
      </c>
      <c r="D147" s="233" t="s">
        <v>369</v>
      </c>
      <c r="E147" s="234">
        <f>RATES!$D$100</f>
        <v>125</v>
      </c>
      <c r="F147" s="236">
        <f>C147*E147</f>
        <v>24193.750000000004</v>
      </c>
      <c r="G147" s="118" t="s">
        <v>757</v>
      </c>
    </row>
    <row r="148" spans="1:7" ht="24.6" customHeight="1">
      <c r="A148" s="224"/>
      <c r="B148" s="226"/>
      <c r="C148" s="226"/>
      <c r="D148" s="226"/>
      <c r="E148" s="226"/>
      <c r="F148" s="235"/>
    </row>
    <row r="149" spans="1:7" ht="24.6" customHeight="1">
      <c r="A149" s="228" t="s">
        <v>427</v>
      </c>
      <c r="B149" s="231" t="s">
        <v>476</v>
      </c>
      <c r="C149" s="232">
        <f>TAKEOFF!$H$4539</f>
        <v>193.55000000000004</v>
      </c>
      <c r="D149" s="233" t="s">
        <v>369</v>
      </c>
      <c r="E149" s="234">
        <f>RATES!$D$101</f>
        <v>28</v>
      </c>
      <c r="F149" s="236">
        <f>C149*E149</f>
        <v>5419.4000000000015</v>
      </c>
      <c r="G149" s="118" t="s">
        <v>757</v>
      </c>
    </row>
    <row r="150" spans="1:7" ht="24.6" customHeight="1">
      <c r="A150" s="224"/>
      <c r="B150" s="226"/>
      <c r="C150" s="226"/>
      <c r="D150" s="226"/>
      <c r="E150" s="226"/>
      <c r="F150" s="235"/>
    </row>
    <row r="151" spans="1:7" ht="24.6" customHeight="1">
      <c r="A151" s="224"/>
      <c r="B151" s="230" t="s">
        <v>477</v>
      </c>
      <c r="C151" s="226"/>
      <c r="D151" s="226"/>
      <c r="E151" s="226"/>
      <c r="F151" s="235"/>
    </row>
    <row r="152" spans="1:7" ht="24.6" customHeight="1">
      <c r="A152" s="228" t="s">
        <v>430</v>
      </c>
      <c r="B152" s="231" t="s">
        <v>478</v>
      </c>
      <c r="C152" s="232">
        <f>TAKEOFF!$H$4543</f>
        <v>54</v>
      </c>
      <c r="D152" s="233" t="s">
        <v>479</v>
      </c>
      <c r="E152" s="234">
        <f>RATES!$D$102</f>
        <v>125</v>
      </c>
      <c r="F152" s="236">
        <f>C152*E152</f>
        <v>6750</v>
      </c>
      <c r="G152" s="118" t="s">
        <v>758</v>
      </c>
    </row>
    <row r="153" spans="1:7" ht="24.6" customHeight="1">
      <c r="A153" s="224"/>
      <c r="B153" s="226"/>
      <c r="C153" s="226"/>
      <c r="D153" s="226"/>
      <c r="E153" s="226"/>
      <c r="F153" s="235"/>
    </row>
    <row r="154" spans="1:7" ht="24.6" customHeight="1">
      <c r="A154" s="228" t="s">
        <v>433</v>
      </c>
      <c r="B154" s="231" t="s">
        <v>481</v>
      </c>
      <c r="C154" s="232">
        <f>TAKEOFF!$H$4546</f>
        <v>15</v>
      </c>
      <c r="D154" s="233" t="s">
        <v>457</v>
      </c>
      <c r="E154" s="234">
        <f>RATES!$D$103</f>
        <v>480</v>
      </c>
      <c r="F154" s="236">
        <f>C154*E154</f>
        <v>7200</v>
      </c>
      <c r="G154" s="118" t="s">
        <v>712</v>
      </c>
    </row>
    <row r="155" spans="1:7" ht="24.6" customHeight="1">
      <c r="A155" s="224"/>
      <c r="B155" s="226"/>
      <c r="C155" s="226"/>
      <c r="D155" s="226"/>
      <c r="E155" s="226"/>
      <c r="F155" s="235"/>
    </row>
    <row r="156" spans="1:7" ht="24.6" customHeight="1">
      <c r="A156" s="228" t="s">
        <v>436</v>
      </c>
      <c r="B156" s="231" t="s">
        <v>483</v>
      </c>
      <c r="C156" s="232">
        <f>TAKEOFF!$H$4549</f>
        <v>21</v>
      </c>
      <c r="D156" s="233" t="s">
        <v>457</v>
      </c>
      <c r="E156" s="234">
        <f>RATES!$D$104</f>
        <v>560</v>
      </c>
      <c r="F156" s="236">
        <f>C156*E156</f>
        <v>11760</v>
      </c>
      <c r="G156" s="118" t="s">
        <v>645</v>
      </c>
    </row>
    <row r="157" spans="1:7" ht="24.6" customHeight="1">
      <c r="A157" s="224"/>
      <c r="B157" s="226"/>
      <c r="C157" s="226"/>
      <c r="D157" s="226"/>
      <c r="E157" s="226"/>
      <c r="F157" s="235"/>
    </row>
    <row r="158" spans="1:7" s="9" customFormat="1" ht="24.6" customHeight="1">
      <c r="A158" s="224"/>
      <c r="B158" s="226"/>
      <c r="C158" s="226"/>
      <c r="D158" s="226"/>
      <c r="E158" s="226"/>
      <c r="F158" s="235"/>
    </row>
    <row r="159" spans="1:7" s="9" customFormat="1" ht="24.6" customHeight="1">
      <c r="A159" s="224"/>
      <c r="B159" s="226"/>
      <c r="C159" s="226"/>
      <c r="D159" s="226"/>
      <c r="E159" s="226"/>
      <c r="F159" s="235"/>
    </row>
    <row r="160" spans="1:7" ht="24.6" customHeight="1">
      <c r="A160" s="224"/>
      <c r="B160" s="230" t="s">
        <v>484</v>
      </c>
      <c r="C160" s="226"/>
      <c r="D160" s="226"/>
      <c r="E160" s="226"/>
      <c r="F160" s="235"/>
    </row>
    <row r="161" spans="1:7" ht="24.6" customHeight="1">
      <c r="A161" s="228" t="s">
        <v>439</v>
      </c>
      <c r="B161" s="231" t="s">
        <v>661</v>
      </c>
      <c r="C161" s="232">
        <f>TAKEOFF!$H$4553</f>
        <v>6</v>
      </c>
      <c r="D161" s="233" t="s">
        <v>457</v>
      </c>
      <c r="E161" s="234">
        <f>RATES!$D$109</f>
        <v>3603.6000000000008</v>
      </c>
      <c r="F161" s="236">
        <f>C161*E161</f>
        <v>21621.600000000006</v>
      </c>
      <c r="G161" s="118" t="s">
        <v>460</v>
      </c>
    </row>
    <row r="162" spans="1:7" ht="24.6" customHeight="1">
      <c r="A162" s="224"/>
      <c r="B162" s="226"/>
      <c r="C162" s="226"/>
      <c r="D162" s="226"/>
      <c r="E162" s="226"/>
      <c r="F162" s="235"/>
    </row>
    <row r="163" spans="1:7" ht="24.6" customHeight="1">
      <c r="A163" s="228" t="s">
        <v>9</v>
      </c>
      <c r="B163" s="231" t="s">
        <v>662</v>
      </c>
      <c r="C163" s="232">
        <f>TAKEOFF!$H$4556</f>
        <v>10</v>
      </c>
      <c r="D163" s="233" t="s">
        <v>457</v>
      </c>
      <c r="E163" s="234">
        <f>RATES!$D$111</f>
        <v>1801.8000000000004</v>
      </c>
      <c r="F163" s="236">
        <f>C163*E163</f>
        <v>18018.000000000004</v>
      </c>
      <c r="G163" s="118" t="s">
        <v>643</v>
      </c>
    </row>
    <row r="164" spans="1:7" ht="24.6" customHeight="1">
      <c r="A164" s="224"/>
      <c r="B164" s="226"/>
      <c r="C164" s="226"/>
      <c r="D164" s="226"/>
      <c r="E164" s="226"/>
      <c r="F164" s="235"/>
    </row>
    <row r="165" spans="1:7" ht="24.6" customHeight="1">
      <c r="A165" s="228" t="s">
        <v>11</v>
      </c>
      <c r="B165" s="231" t="s">
        <v>664</v>
      </c>
      <c r="C165" s="232">
        <f>TAKEOFF!$H$4559</f>
        <v>2</v>
      </c>
      <c r="D165" s="233" t="s">
        <v>457</v>
      </c>
      <c r="E165" s="234">
        <f>RATES!$D$114</f>
        <v>4435.2000000000007</v>
      </c>
      <c r="F165" s="236">
        <f>C165*E165</f>
        <v>8870.4000000000015</v>
      </c>
      <c r="G165" s="118" t="s">
        <v>465</v>
      </c>
    </row>
    <row r="166" spans="1:7" ht="24.6" customHeight="1">
      <c r="A166" s="224"/>
      <c r="B166" s="226"/>
      <c r="C166" s="226"/>
      <c r="D166" s="226"/>
      <c r="E166" s="226"/>
      <c r="F166" s="235"/>
    </row>
    <row r="167" spans="1:7" ht="24.6" customHeight="1">
      <c r="A167" s="228" t="s">
        <v>13</v>
      </c>
      <c r="B167" s="231" t="s">
        <v>665</v>
      </c>
      <c r="C167" s="232">
        <f>TAKEOFF!$H$4562</f>
        <v>3</v>
      </c>
      <c r="D167" s="233" t="s">
        <v>457</v>
      </c>
      <c r="E167" s="234">
        <f>RATES!$D$115</f>
        <v>3511.2000000000003</v>
      </c>
      <c r="F167" s="236">
        <f>C167*E167</f>
        <v>10533.6</v>
      </c>
      <c r="G167" s="118" t="s">
        <v>467</v>
      </c>
    </row>
    <row r="168" spans="1:7" ht="24.6" customHeight="1">
      <c r="A168" s="224"/>
      <c r="B168" s="226"/>
      <c r="C168" s="226"/>
      <c r="D168" s="226"/>
      <c r="E168" s="226"/>
      <c r="F168" s="235"/>
    </row>
    <row r="169" spans="1:7" ht="24.6" customHeight="1">
      <c r="A169" s="228" t="s">
        <v>15</v>
      </c>
      <c r="B169" s="231" t="s">
        <v>666</v>
      </c>
      <c r="C169" s="232">
        <f>TAKEOFF!$H$4565</f>
        <v>8</v>
      </c>
      <c r="D169" s="233" t="s">
        <v>457</v>
      </c>
      <c r="E169" s="234">
        <f>RATES!$D$116</f>
        <v>2125.2000000000003</v>
      </c>
      <c r="F169" s="236">
        <f>C169*E169</f>
        <v>17001.600000000002</v>
      </c>
      <c r="G169" s="118" t="s">
        <v>669</v>
      </c>
    </row>
    <row r="170" spans="1:7" ht="24.6" customHeight="1">
      <c r="A170" s="224"/>
      <c r="B170" s="226"/>
      <c r="C170" s="226"/>
      <c r="D170" s="226"/>
      <c r="E170" s="226"/>
      <c r="F170" s="235"/>
    </row>
    <row r="171" spans="1:7" ht="24.6" customHeight="1">
      <c r="A171" s="228" t="s">
        <v>17</v>
      </c>
      <c r="B171" s="231" t="s">
        <v>667</v>
      </c>
      <c r="C171" s="232">
        <f>TAKEOFF!$H$4568</f>
        <v>1</v>
      </c>
      <c r="D171" s="233" t="s">
        <v>457</v>
      </c>
      <c r="E171" s="234">
        <f>RATES!$D$117</f>
        <v>2217.6000000000004</v>
      </c>
      <c r="F171" s="236">
        <f>C171*E171</f>
        <v>2217.6000000000004</v>
      </c>
      <c r="G171" s="118" t="s">
        <v>458</v>
      </c>
    </row>
    <row r="172" spans="1:7" ht="24.6" customHeight="1">
      <c r="A172" s="224"/>
      <c r="B172" s="226"/>
      <c r="C172" s="226"/>
      <c r="D172" s="226"/>
      <c r="E172" s="226"/>
      <c r="F172" s="235"/>
    </row>
    <row r="173" spans="1:7" ht="24.6" customHeight="1">
      <c r="A173" s="228" t="s">
        <v>19</v>
      </c>
      <c r="B173" s="231" t="s">
        <v>668</v>
      </c>
      <c r="C173" s="232">
        <f>TAKEOFF!$H$4571</f>
        <v>6</v>
      </c>
      <c r="D173" s="233" t="s">
        <v>457</v>
      </c>
      <c r="E173" s="234">
        <f>RATES!$D$118</f>
        <v>3003.0000000000009</v>
      </c>
      <c r="F173" s="236">
        <f>C173*E173</f>
        <v>18018.000000000007</v>
      </c>
      <c r="G173" s="118" t="s">
        <v>460</v>
      </c>
    </row>
    <row r="174" spans="1:7" ht="24.6" customHeight="1">
      <c r="A174" s="224"/>
      <c r="B174" s="226"/>
      <c r="C174" s="226"/>
      <c r="D174" s="226"/>
      <c r="E174" s="226"/>
      <c r="F174" s="235"/>
    </row>
    <row r="175" spans="1:7" ht="24.6" customHeight="1">
      <c r="A175" s="228" t="s">
        <v>21</v>
      </c>
      <c r="B175" s="231" t="s">
        <v>670</v>
      </c>
      <c r="C175" s="232">
        <f>TAKEOFF!$H$4574</f>
        <v>4</v>
      </c>
      <c r="D175" s="233" t="s">
        <v>457</v>
      </c>
      <c r="E175" s="234">
        <f>RATES!$D$119</f>
        <v>2656.5</v>
      </c>
      <c r="F175" s="236">
        <f>C175*E175</f>
        <v>10626</v>
      </c>
      <c r="G175" s="118" t="s">
        <v>493</v>
      </c>
    </row>
    <row r="176" spans="1:7" ht="24.6" customHeight="1">
      <c r="A176" s="224"/>
      <c r="B176" s="226"/>
      <c r="C176" s="226"/>
      <c r="D176" s="226"/>
      <c r="E176" s="226"/>
      <c r="F176" s="235"/>
    </row>
    <row r="177" spans="1:7" ht="24.6" customHeight="1">
      <c r="A177" s="228" t="s">
        <v>23</v>
      </c>
      <c r="B177" s="231" t="s">
        <v>671</v>
      </c>
      <c r="C177" s="232">
        <f>TAKEOFF!$H$4577</f>
        <v>1</v>
      </c>
      <c r="D177" s="233" t="s">
        <v>457</v>
      </c>
      <c r="E177" s="234">
        <f>RATES!$D$120</f>
        <v>4804.8000000000011</v>
      </c>
      <c r="F177" s="236">
        <f>C177*E177</f>
        <v>4804.8000000000011</v>
      </c>
      <c r="G177" s="118" t="s">
        <v>458</v>
      </c>
    </row>
    <row r="178" spans="1:7" ht="24.6" customHeight="1">
      <c r="A178" s="224"/>
      <c r="B178" s="226"/>
      <c r="C178" s="226"/>
      <c r="D178" s="226"/>
      <c r="E178" s="226"/>
      <c r="F178" s="235"/>
    </row>
    <row r="179" spans="1:7" ht="24.6" customHeight="1">
      <c r="A179" s="228" t="s">
        <v>25</v>
      </c>
      <c r="B179" s="231" t="s">
        <v>672</v>
      </c>
      <c r="C179" s="232">
        <f>TAKEOFF!$H$4580</f>
        <v>1</v>
      </c>
      <c r="D179" s="233" t="s">
        <v>457</v>
      </c>
      <c r="E179" s="234">
        <f>RATES!$D$122</f>
        <v>7392.0000000000018</v>
      </c>
      <c r="F179" s="236">
        <f>C179*E179</f>
        <v>7392.0000000000018</v>
      </c>
      <c r="G179" s="118" t="s">
        <v>458</v>
      </c>
    </row>
    <row r="180" spans="1:7" ht="24.6" customHeight="1">
      <c r="A180" s="224"/>
      <c r="B180" s="226"/>
      <c r="C180" s="226"/>
      <c r="D180" s="226"/>
      <c r="E180" s="226"/>
      <c r="F180" s="235"/>
    </row>
    <row r="181" spans="1:7" ht="24.6" customHeight="1">
      <c r="A181" s="228" t="s">
        <v>27</v>
      </c>
      <c r="B181" s="231" t="s">
        <v>673</v>
      </c>
      <c r="C181" s="232">
        <f>TAKEOFF!$H$4583</f>
        <v>3</v>
      </c>
      <c r="D181" s="233" t="s">
        <v>457</v>
      </c>
      <c r="E181" s="234">
        <f>RATES!$D$124</f>
        <v>5266.8000000000011</v>
      </c>
      <c r="F181" s="236">
        <f>C181*E181</f>
        <v>15800.400000000003</v>
      </c>
      <c r="G181" s="118" t="s">
        <v>467</v>
      </c>
    </row>
    <row r="182" spans="1:7" ht="24.6" customHeight="1">
      <c r="A182" s="224"/>
      <c r="B182" s="226"/>
      <c r="C182" s="226"/>
      <c r="D182" s="226"/>
      <c r="E182" s="226"/>
      <c r="F182" s="235"/>
    </row>
    <row r="183" spans="1:7" ht="24.6" customHeight="1">
      <c r="A183" s="228" t="s">
        <v>29</v>
      </c>
      <c r="B183" s="231" t="s">
        <v>674</v>
      </c>
      <c r="C183" s="232">
        <f>TAKEOFF!$H$4586</f>
        <v>1</v>
      </c>
      <c r="D183" s="233" t="s">
        <v>457</v>
      </c>
      <c r="E183" s="234">
        <f>RATES!$D$125</f>
        <v>1501.5000000000005</v>
      </c>
      <c r="F183" s="236">
        <f>C183*E183</f>
        <v>1501.5000000000005</v>
      </c>
      <c r="G183" s="118" t="s">
        <v>458</v>
      </c>
    </row>
    <row r="184" spans="1:7" ht="24.6" customHeight="1">
      <c r="A184" s="224"/>
      <c r="B184" s="226"/>
      <c r="C184" s="226"/>
      <c r="D184" s="226"/>
      <c r="E184" s="226"/>
      <c r="F184" s="235"/>
    </row>
    <row r="185" spans="1:7" ht="24.6" customHeight="1">
      <c r="A185" s="228" t="s">
        <v>31</v>
      </c>
      <c r="B185" s="231" t="s">
        <v>675</v>
      </c>
      <c r="C185" s="232">
        <f>TAKEOFF!$H$4589</f>
        <v>1</v>
      </c>
      <c r="D185" s="233" t="s">
        <v>457</v>
      </c>
      <c r="E185" s="234">
        <f>RATES!$D$127</f>
        <v>4242.7000000000007</v>
      </c>
      <c r="F185" s="236">
        <f>C185*E185</f>
        <v>4242.7000000000007</v>
      </c>
      <c r="G185" s="118" t="s">
        <v>458</v>
      </c>
    </row>
    <row r="186" spans="1:7" ht="24.6" customHeight="1">
      <c r="A186" s="224"/>
      <c r="B186" s="226"/>
      <c r="C186" s="226"/>
      <c r="D186" s="226"/>
      <c r="E186" s="226"/>
      <c r="F186" s="235"/>
    </row>
    <row r="187" spans="1:7" ht="24.6" customHeight="1">
      <c r="A187" s="228" t="s">
        <v>33</v>
      </c>
      <c r="B187" s="231" t="s">
        <v>492</v>
      </c>
      <c r="C187" s="232">
        <f>TAKEOFF!$H$4592</f>
        <v>13</v>
      </c>
      <c r="D187" s="233" t="s">
        <v>457</v>
      </c>
      <c r="E187" s="234">
        <f>RATES!$D$128</f>
        <v>831.60000000000014</v>
      </c>
      <c r="F187" s="236">
        <f>C187*E187</f>
        <v>10810.800000000001</v>
      </c>
      <c r="G187" s="118" t="s">
        <v>663</v>
      </c>
    </row>
    <row r="188" spans="1:7" ht="24.6" customHeight="1">
      <c r="A188" s="224"/>
      <c r="B188" s="226"/>
      <c r="C188" s="226"/>
      <c r="D188" s="226"/>
      <c r="E188" s="226"/>
      <c r="F188" s="235"/>
    </row>
    <row r="189" spans="1:7" ht="24.6" customHeight="1">
      <c r="A189" s="228" t="s">
        <v>35</v>
      </c>
      <c r="B189" s="231" t="s">
        <v>494</v>
      </c>
      <c r="C189" s="232">
        <f>TAKEOFF!$H$4595</f>
        <v>5</v>
      </c>
      <c r="D189" s="233" t="s">
        <v>457</v>
      </c>
      <c r="E189" s="234">
        <f>RATES!$D$129</f>
        <v>693</v>
      </c>
      <c r="F189" s="236">
        <f>C189*E189</f>
        <v>3465</v>
      </c>
      <c r="G189" s="118" t="s">
        <v>651</v>
      </c>
    </row>
    <row r="190" spans="1:7" ht="24.6" customHeight="1">
      <c r="A190" s="224"/>
      <c r="B190" s="226"/>
      <c r="C190" s="226"/>
      <c r="D190" s="226"/>
      <c r="E190" s="226"/>
      <c r="F190" s="235"/>
    </row>
    <row r="191" spans="1:7" ht="24.6" customHeight="1">
      <c r="A191" s="228" t="s">
        <v>37</v>
      </c>
      <c r="B191" s="231" t="s">
        <v>677</v>
      </c>
      <c r="C191" s="232">
        <f>TAKEOFF!$H$4598</f>
        <v>2</v>
      </c>
      <c r="D191" s="233" t="s">
        <v>457</v>
      </c>
      <c r="E191" s="234">
        <f>RATES!$D$130</f>
        <v>554.40000000000009</v>
      </c>
      <c r="F191" s="236">
        <f>C191*E191</f>
        <v>1108.8000000000002</v>
      </c>
      <c r="G191" s="118" t="s">
        <v>465</v>
      </c>
    </row>
    <row r="192" spans="1:7" ht="24.6" customHeight="1">
      <c r="A192" s="224"/>
      <c r="B192" s="226"/>
      <c r="C192" s="226"/>
      <c r="D192" s="226"/>
      <c r="E192" s="226"/>
      <c r="F192" s="235"/>
    </row>
    <row r="193" spans="1:7" ht="24.6" customHeight="1">
      <c r="A193" s="228" t="s">
        <v>39</v>
      </c>
      <c r="B193" s="231" t="s">
        <v>678</v>
      </c>
      <c r="C193" s="232">
        <f>TAKEOFF!$H$4601</f>
        <v>2</v>
      </c>
      <c r="D193" s="233" t="s">
        <v>457</v>
      </c>
      <c r="E193" s="234">
        <f>RATES!$D$131</f>
        <v>1108.8000000000002</v>
      </c>
      <c r="F193" s="236">
        <f>C193*E193</f>
        <v>2217.6000000000004</v>
      </c>
      <c r="G193" s="118" t="s">
        <v>465</v>
      </c>
    </row>
    <row r="194" spans="1:7" ht="24.6" customHeight="1">
      <c r="A194" s="109"/>
      <c r="B194" s="136"/>
      <c r="C194" s="136"/>
      <c r="D194" s="136"/>
      <c r="E194" s="136"/>
      <c r="F194" s="117"/>
    </row>
    <row r="195" spans="1:7" ht="24.6" customHeight="1" thickBot="1">
      <c r="A195" s="141"/>
      <c r="B195" s="154" t="str">
        <f>B108</f>
        <v>ELEMENT NO. 4: WINDOWS/DOORS</v>
      </c>
      <c r="C195" s="142"/>
      <c r="D195" s="142"/>
      <c r="E195" s="143"/>
      <c r="F195" s="116">
        <f>SUM(F110:F194)</f>
        <v>576573.55000000005</v>
      </c>
    </row>
    <row r="196" spans="1:7" ht="24.6" customHeight="1" thickTop="1" thickBot="1">
      <c r="A196" s="150"/>
      <c r="B196" s="151" t="s">
        <v>339</v>
      </c>
      <c r="C196" s="152"/>
      <c r="D196" s="152"/>
      <c r="E196" s="152"/>
      <c r="F196" s="153"/>
    </row>
    <row r="197" spans="1:7" ht="24.6" customHeight="1" thickTop="1">
      <c r="A197" s="109"/>
      <c r="B197" s="136"/>
      <c r="C197" s="136"/>
      <c r="D197" s="136"/>
      <c r="E197" s="136"/>
      <c r="F197" s="117"/>
    </row>
    <row r="198" spans="1:7" ht="24.6" customHeight="1">
      <c r="A198" s="224"/>
      <c r="B198" s="225" t="s">
        <v>382</v>
      </c>
      <c r="C198" s="226"/>
      <c r="D198" s="226"/>
      <c r="E198" s="226"/>
      <c r="F198" s="235"/>
    </row>
    <row r="199" spans="1:7" ht="24.6" customHeight="1">
      <c r="A199" s="224"/>
      <c r="B199" s="226"/>
      <c r="C199" s="226"/>
      <c r="D199" s="226"/>
      <c r="E199" s="226"/>
      <c r="F199" s="235"/>
    </row>
    <row r="200" spans="1:7" ht="24.6" customHeight="1">
      <c r="A200" s="224"/>
      <c r="B200" s="230" t="s">
        <v>495</v>
      </c>
      <c r="C200" s="226"/>
      <c r="D200" s="226"/>
      <c r="E200" s="226"/>
      <c r="F200" s="235"/>
    </row>
    <row r="201" spans="1:7" ht="24.6" customHeight="1">
      <c r="A201" s="228" t="s">
        <v>9</v>
      </c>
      <c r="B201" s="231" t="s">
        <v>496</v>
      </c>
      <c r="C201" s="232">
        <f>TAKEOFF!$H$4606</f>
        <v>862.9</v>
      </c>
      <c r="D201" s="233" t="s">
        <v>322</v>
      </c>
      <c r="E201" s="234">
        <f>RATES!$D$50</f>
        <v>68</v>
      </c>
      <c r="F201" s="236">
        <f>C201*E201</f>
        <v>58677.2</v>
      </c>
      <c r="G201" s="118" t="s">
        <v>798</v>
      </c>
    </row>
    <row r="202" spans="1:7" ht="24.6" customHeight="1">
      <c r="A202" s="224"/>
      <c r="B202" s="226"/>
      <c r="C202" s="226"/>
      <c r="D202" s="226"/>
      <c r="E202" s="226"/>
      <c r="F202" s="235"/>
    </row>
    <row r="203" spans="1:7" ht="24.6" customHeight="1">
      <c r="A203" s="228" t="s">
        <v>11</v>
      </c>
      <c r="B203" s="231" t="s">
        <v>498</v>
      </c>
      <c r="C203" s="232">
        <f>TAKEOFF!$H$4617</f>
        <v>926.38</v>
      </c>
      <c r="D203" s="233" t="s">
        <v>322</v>
      </c>
      <c r="E203" s="234">
        <f>RATES!$D$51</f>
        <v>48</v>
      </c>
      <c r="F203" s="236">
        <f>C203*E203</f>
        <v>44466.239999999998</v>
      </c>
      <c r="G203" s="118" t="s">
        <v>799</v>
      </c>
    </row>
    <row r="204" spans="1:7" ht="24.6" customHeight="1">
      <c r="A204" s="224"/>
      <c r="B204" s="226"/>
      <c r="C204" s="226"/>
      <c r="D204" s="226"/>
      <c r="E204" s="226"/>
      <c r="F204" s="235"/>
    </row>
    <row r="205" spans="1:7" ht="24.6" customHeight="1">
      <c r="A205" s="228" t="s">
        <v>13</v>
      </c>
      <c r="B205" s="231" t="s">
        <v>500</v>
      </c>
      <c r="C205" s="232">
        <f>TAKEOFF!$H$4620</f>
        <v>60.4</v>
      </c>
      <c r="D205" s="233" t="s">
        <v>322</v>
      </c>
      <c r="E205" s="234">
        <f>RATES!$D$53</f>
        <v>230</v>
      </c>
      <c r="F205" s="236">
        <f>C205*E205</f>
        <v>13892</v>
      </c>
      <c r="G205" s="118" t="s">
        <v>800</v>
      </c>
    </row>
    <row r="206" spans="1:7" ht="24.6" customHeight="1">
      <c r="A206" s="224"/>
      <c r="B206" s="226"/>
      <c r="C206" s="226"/>
      <c r="D206" s="226"/>
      <c r="E206" s="226"/>
      <c r="F206" s="235"/>
    </row>
    <row r="207" spans="1:7" ht="24.6" customHeight="1">
      <c r="A207" s="228" t="s">
        <v>15</v>
      </c>
      <c r="B207" s="231" t="s">
        <v>502</v>
      </c>
      <c r="C207" s="232">
        <f>TAKEOFF!$H$4630</f>
        <v>63.480000000000004</v>
      </c>
      <c r="D207" s="233" t="s">
        <v>322</v>
      </c>
      <c r="E207" s="234">
        <f>RATES!$D$54</f>
        <v>270</v>
      </c>
      <c r="F207" s="236">
        <f>C207*E207</f>
        <v>17139.600000000002</v>
      </c>
      <c r="G207" s="118" t="s">
        <v>569</v>
      </c>
    </row>
    <row r="208" spans="1:7" ht="24.6" customHeight="1">
      <c r="A208" s="224"/>
      <c r="B208" s="226"/>
      <c r="C208" s="226"/>
      <c r="D208" s="226"/>
      <c r="E208" s="226"/>
      <c r="F208" s="235"/>
    </row>
    <row r="209" spans="1:7" ht="24.6" customHeight="1">
      <c r="A209" s="228" t="s">
        <v>17</v>
      </c>
      <c r="B209" s="231" t="s">
        <v>504</v>
      </c>
      <c r="C209" s="232">
        <f>TAKEOFF!$H$4633</f>
        <v>558.9</v>
      </c>
      <c r="D209" s="233" t="s">
        <v>322</v>
      </c>
      <c r="E209" s="234">
        <f>RATES!$D$55</f>
        <v>265</v>
      </c>
      <c r="F209" s="236">
        <f>C209*E209</f>
        <v>148108.5</v>
      </c>
      <c r="G209" s="118" t="s">
        <v>801</v>
      </c>
    </row>
    <row r="210" spans="1:7" ht="24.6" customHeight="1">
      <c r="A210" s="224"/>
      <c r="B210" s="226"/>
      <c r="C210" s="226"/>
      <c r="D210" s="226"/>
      <c r="E210" s="226"/>
      <c r="F210" s="235"/>
    </row>
    <row r="211" spans="1:7" ht="24.6" customHeight="1">
      <c r="A211" s="228" t="s">
        <v>19</v>
      </c>
      <c r="B211" s="231" t="s">
        <v>506</v>
      </c>
      <c r="C211" s="232">
        <f>TAKEOFF!$H$4636</f>
        <v>33.799999999999997</v>
      </c>
      <c r="D211" s="233" t="s">
        <v>322</v>
      </c>
      <c r="E211" s="234">
        <f>RATES!$D$56</f>
        <v>330</v>
      </c>
      <c r="F211" s="236">
        <f>C211*E211</f>
        <v>11153.999999999998</v>
      </c>
      <c r="G211" s="118" t="s">
        <v>742</v>
      </c>
    </row>
    <row r="212" spans="1:7" ht="24.6" customHeight="1">
      <c r="A212" s="224"/>
      <c r="B212" s="226"/>
      <c r="C212" s="226"/>
      <c r="D212" s="226"/>
      <c r="E212" s="226"/>
      <c r="F212" s="235"/>
    </row>
    <row r="213" spans="1:7" ht="24.6" customHeight="1">
      <c r="A213" s="228" t="s">
        <v>21</v>
      </c>
      <c r="B213" s="231" t="s">
        <v>508</v>
      </c>
      <c r="C213" s="232">
        <f>TAKEOFF!$H$4639</f>
        <v>209.7</v>
      </c>
      <c r="D213" s="233" t="s">
        <v>322</v>
      </c>
      <c r="E213" s="234">
        <f>RATES!$D$57</f>
        <v>250</v>
      </c>
      <c r="F213" s="236">
        <f>C213*E213</f>
        <v>52425</v>
      </c>
      <c r="G213" s="118" t="s">
        <v>802</v>
      </c>
    </row>
    <row r="214" spans="1:7" ht="24.6" customHeight="1">
      <c r="A214" s="109"/>
      <c r="B214" s="136"/>
      <c r="C214" s="136"/>
      <c r="D214" s="136"/>
      <c r="E214" s="136"/>
      <c r="F214" s="117"/>
    </row>
    <row r="215" spans="1:7" ht="24.6" customHeight="1" thickBot="1">
      <c r="A215" s="141"/>
      <c r="B215" s="154" t="str">
        <f>B198</f>
        <v>ELEMENT NO. 5: FLOOR FINISHES</v>
      </c>
      <c r="C215" s="142"/>
      <c r="D215" s="142"/>
      <c r="E215" s="143"/>
      <c r="F215" s="116">
        <f>SUM(F200:F214)</f>
        <v>345862.54000000004</v>
      </c>
    </row>
    <row r="216" spans="1:7" ht="24.6" customHeight="1" thickTop="1" thickBot="1">
      <c r="A216" s="150"/>
      <c r="B216" s="151" t="s">
        <v>339</v>
      </c>
      <c r="C216" s="152"/>
      <c r="D216" s="152"/>
      <c r="E216" s="152"/>
      <c r="F216" s="153"/>
    </row>
    <row r="217" spans="1:7" ht="24.6" customHeight="1" thickTop="1">
      <c r="A217" s="109"/>
      <c r="B217" s="136"/>
      <c r="C217" s="136"/>
      <c r="D217" s="136"/>
      <c r="E217" s="136"/>
      <c r="F217" s="117"/>
    </row>
    <row r="218" spans="1:7" ht="24.6" customHeight="1">
      <c r="A218" s="224"/>
      <c r="B218" s="225" t="s">
        <v>383</v>
      </c>
      <c r="C218" s="226"/>
      <c r="D218" s="226"/>
      <c r="E218" s="226"/>
      <c r="F218" s="235"/>
    </row>
    <row r="219" spans="1:7" ht="24.6" customHeight="1">
      <c r="A219" s="224"/>
      <c r="B219" s="226"/>
      <c r="C219" s="226"/>
      <c r="D219" s="226"/>
      <c r="E219" s="226"/>
      <c r="F219" s="235"/>
    </row>
    <row r="220" spans="1:7" ht="24.6" customHeight="1">
      <c r="A220" s="224"/>
      <c r="B220" s="230" t="s">
        <v>512</v>
      </c>
      <c r="C220" s="226"/>
      <c r="D220" s="226"/>
      <c r="E220" s="226"/>
      <c r="F220" s="235"/>
    </row>
    <row r="221" spans="1:7" ht="24.6" customHeight="1">
      <c r="A221" s="228" t="s">
        <v>9</v>
      </c>
      <c r="B221" s="231" t="s">
        <v>513</v>
      </c>
      <c r="C221" s="232">
        <f>TAKEOFF!$H$4683</f>
        <v>1860.6984210526309</v>
      </c>
      <c r="D221" s="233" t="s">
        <v>322</v>
      </c>
      <c r="E221" s="234">
        <f>RATES!$D$48</f>
        <v>78</v>
      </c>
      <c r="F221" s="236">
        <f>C221*E221</f>
        <v>145134.47684210521</v>
      </c>
      <c r="G221" s="118" t="s">
        <v>803</v>
      </c>
    </row>
    <row r="222" spans="1:7" ht="24.6" customHeight="1">
      <c r="A222" s="224"/>
      <c r="B222" s="226"/>
      <c r="C222" s="226"/>
      <c r="D222" s="226"/>
      <c r="E222" s="226"/>
      <c r="F222" s="235"/>
    </row>
    <row r="223" spans="1:7" ht="24.6" customHeight="1">
      <c r="A223" s="228" t="s">
        <v>11</v>
      </c>
      <c r="B223" s="231" t="s">
        <v>515</v>
      </c>
      <c r="C223" s="232">
        <f>TAKEOFF!$H$4687</f>
        <v>361.60526315789474</v>
      </c>
      <c r="D223" s="233" t="s">
        <v>322</v>
      </c>
      <c r="E223" s="234">
        <f>RATES!$D$48</f>
        <v>78</v>
      </c>
      <c r="F223" s="236">
        <f>C223*E223</f>
        <v>28205.21052631579</v>
      </c>
      <c r="G223" s="118" t="s">
        <v>804</v>
      </c>
    </row>
    <row r="224" spans="1:7" ht="24.6" customHeight="1">
      <c r="A224" s="224"/>
      <c r="B224" s="226"/>
      <c r="C224" s="226"/>
      <c r="D224" s="226"/>
      <c r="E224" s="226"/>
      <c r="F224" s="235"/>
    </row>
    <row r="225" spans="1:7" ht="24.6" customHeight="1">
      <c r="A225" s="228" t="s">
        <v>13</v>
      </c>
      <c r="B225" s="231" t="s">
        <v>517</v>
      </c>
      <c r="C225" s="232">
        <f>TAKEOFF!$H$4707</f>
        <v>637.09999999999991</v>
      </c>
      <c r="D225" s="233" t="s">
        <v>322</v>
      </c>
      <c r="E225" s="234">
        <f>RATES!$D$49</f>
        <v>88</v>
      </c>
      <c r="F225" s="236">
        <f>C225*E225</f>
        <v>56064.799999999988</v>
      </c>
      <c r="G225" s="118" t="s">
        <v>767</v>
      </c>
    </row>
    <row r="226" spans="1:7" ht="24.6" customHeight="1">
      <c r="A226" s="224"/>
      <c r="B226" s="226"/>
      <c r="C226" s="226"/>
      <c r="D226" s="226"/>
      <c r="E226" s="226"/>
      <c r="F226" s="235"/>
    </row>
    <row r="227" spans="1:7" ht="24.6" customHeight="1">
      <c r="A227" s="228" t="s">
        <v>15</v>
      </c>
      <c r="B227" s="231" t="s">
        <v>519</v>
      </c>
      <c r="C227" s="232">
        <f>TAKEOFF!$H$4711</f>
        <v>278.95263157894738</v>
      </c>
      <c r="D227" s="233" t="s">
        <v>322</v>
      </c>
      <c r="E227" s="234">
        <f>RATES!$D$52</f>
        <v>55</v>
      </c>
      <c r="F227" s="236">
        <f>C227*E227</f>
        <v>15342.394736842105</v>
      </c>
      <c r="G227" s="118" t="s">
        <v>805</v>
      </c>
    </row>
    <row r="228" spans="1:7" ht="24.6" customHeight="1">
      <c r="A228" s="224"/>
      <c r="B228" s="226"/>
      <c r="C228" s="226"/>
      <c r="D228" s="226"/>
      <c r="E228" s="226"/>
      <c r="F228" s="235"/>
    </row>
    <row r="229" spans="1:7" ht="24.6" customHeight="1">
      <c r="A229" s="228" t="s">
        <v>17</v>
      </c>
      <c r="B229" s="231" t="s">
        <v>521</v>
      </c>
      <c r="C229" s="232">
        <f>TAKEOFF!$H$4715</f>
        <v>278.95263157894738</v>
      </c>
      <c r="D229" s="233" t="s">
        <v>322</v>
      </c>
      <c r="E229" s="234">
        <f>RATES!$D$60</f>
        <v>240</v>
      </c>
      <c r="F229" s="236">
        <f>C229*E229</f>
        <v>66948.631578947374</v>
      </c>
      <c r="G229" s="118" t="s">
        <v>805</v>
      </c>
    </row>
    <row r="230" spans="1:7" ht="24.6" customHeight="1">
      <c r="A230" s="109"/>
      <c r="B230" s="136"/>
      <c r="C230" s="136"/>
      <c r="D230" s="136"/>
      <c r="E230" s="136"/>
      <c r="F230" s="117"/>
    </row>
    <row r="231" spans="1:7" ht="24.6" customHeight="1" thickBot="1">
      <c r="A231" s="141"/>
      <c r="B231" s="154" t="str">
        <f>B218</f>
        <v>ELEMENT NO. 6: WALL FINISHES</v>
      </c>
      <c r="C231" s="142"/>
      <c r="D231" s="142"/>
      <c r="E231" s="143"/>
      <c r="F231" s="116">
        <f>SUM(F220:F230)</f>
        <v>311695.51368421048</v>
      </c>
    </row>
    <row r="232" spans="1:7" ht="24.6" customHeight="1" thickTop="1" thickBot="1">
      <c r="A232" s="150"/>
      <c r="B232" s="151" t="s">
        <v>339</v>
      </c>
      <c r="C232" s="152"/>
      <c r="D232" s="152"/>
      <c r="E232" s="152"/>
      <c r="F232" s="153"/>
    </row>
    <row r="233" spans="1:7" ht="24.6" customHeight="1" thickTop="1">
      <c r="A233" s="109"/>
      <c r="B233" s="136"/>
      <c r="C233" s="136"/>
      <c r="D233" s="136"/>
      <c r="E233" s="136"/>
      <c r="F233" s="117"/>
    </row>
    <row r="234" spans="1:7" ht="24.6" customHeight="1">
      <c r="A234" s="224"/>
      <c r="B234" s="225" t="s">
        <v>384</v>
      </c>
      <c r="C234" s="226"/>
      <c r="D234" s="226"/>
      <c r="E234" s="226"/>
      <c r="F234" s="235"/>
    </row>
    <row r="235" spans="1:7" ht="24.6" customHeight="1">
      <c r="A235" s="224"/>
      <c r="B235" s="226"/>
      <c r="C235" s="226"/>
      <c r="D235" s="226"/>
      <c r="E235" s="226"/>
      <c r="F235" s="235"/>
    </row>
    <row r="236" spans="1:7" ht="24.6" customHeight="1">
      <c r="A236" s="224"/>
      <c r="B236" s="230" t="s">
        <v>522</v>
      </c>
      <c r="C236" s="226"/>
      <c r="D236" s="226"/>
      <c r="E236" s="226"/>
      <c r="F236" s="235"/>
    </row>
    <row r="237" spans="1:7" ht="24.6" customHeight="1">
      <c r="A237" s="228" t="s">
        <v>9</v>
      </c>
      <c r="B237" s="231" t="s">
        <v>513</v>
      </c>
      <c r="C237" s="232">
        <f>TAKEOFF!$H$4759</f>
        <v>1860.6984210526309</v>
      </c>
      <c r="D237" s="233" t="s">
        <v>322</v>
      </c>
      <c r="E237" s="234">
        <f>RATES!$D$61</f>
        <v>45</v>
      </c>
      <c r="F237" s="236">
        <f>C237*E237</f>
        <v>83731.428947368389</v>
      </c>
      <c r="G237" s="118" t="s">
        <v>803</v>
      </c>
    </row>
    <row r="238" spans="1:7" ht="24.6" customHeight="1">
      <c r="A238" s="224"/>
      <c r="B238" s="226"/>
      <c r="C238" s="226"/>
      <c r="D238" s="226"/>
      <c r="E238" s="226"/>
      <c r="F238" s="235"/>
    </row>
    <row r="239" spans="1:7" ht="24.6" customHeight="1">
      <c r="A239" s="228" t="s">
        <v>11</v>
      </c>
      <c r="B239" s="231" t="s">
        <v>523</v>
      </c>
      <c r="C239" s="232">
        <f>TAKEOFF!$H$4765</f>
        <v>82.652631578947364</v>
      </c>
      <c r="D239" s="233" t="s">
        <v>322</v>
      </c>
      <c r="E239" s="234">
        <f>RATES!$D$61</f>
        <v>45</v>
      </c>
      <c r="F239" s="236">
        <f>C239*E239</f>
        <v>3719.3684210526312</v>
      </c>
      <c r="G239" s="118" t="s">
        <v>806</v>
      </c>
    </row>
    <row r="240" spans="1:7" ht="24.6" customHeight="1">
      <c r="A240" s="224"/>
      <c r="B240" s="226"/>
      <c r="C240" s="226"/>
      <c r="D240" s="226"/>
      <c r="E240" s="226"/>
      <c r="F240" s="235"/>
    </row>
    <row r="241" spans="1:7" ht="24.6" customHeight="1">
      <c r="A241" s="228" t="s">
        <v>13</v>
      </c>
      <c r="B241" s="231" t="s">
        <v>525</v>
      </c>
      <c r="C241" s="232">
        <f>TAKEOFF!$H$4785</f>
        <v>637.09999999999991</v>
      </c>
      <c r="D241" s="233" t="s">
        <v>322</v>
      </c>
      <c r="E241" s="234">
        <f>RATES!$D$62</f>
        <v>62</v>
      </c>
      <c r="F241" s="236">
        <f>C241*E241</f>
        <v>39500.199999999997</v>
      </c>
      <c r="G241" s="118" t="s">
        <v>767</v>
      </c>
    </row>
    <row r="242" spans="1:7" ht="24.6" customHeight="1">
      <c r="A242" s="224"/>
      <c r="B242" s="226"/>
      <c r="C242" s="226"/>
      <c r="D242" s="226"/>
      <c r="E242" s="226"/>
      <c r="F242" s="235"/>
    </row>
    <row r="243" spans="1:7" ht="24.6" customHeight="1">
      <c r="A243" s="228" t="s">
        <v>15</v>
      </c>
      <c r="B243" s="231" t="s">
        <v>527</v>
      </c>
      <c r="C243" s="232">
        <f>TAKEOFF!$H$4788</f>
        <v>802.4</v>
      </c>
      <c r="D243" s="233" t="s">
        <v>322</v>
      </c>
      <c r="E243" s="234">
        <f>RATES!$D$63</f>
        <v>48</v>
      </c>
      <c r="F243" s="236">
        <f>C243*E243</f>
        <v>38515.199999999997</v>
      </c>
      <c r="G243" s="118" t="s">
        <v>807</v>
      </c>
    </row>
    <row r="244" spans="1:7" ht="24.6" customHeight="1">
      <c r="A244" s="224"/>
      <c r="B244" s="226"/>
      <c r="C244" s="226"/>
      <c r="D244" s="226"/>
      <c r="E244" s="226"/>
      <c r="F244" s="235"/>
    </row>
    <row r="245" spans="1:7" ht="24.6" customHeight="1">
      <c r="A245" s="228" t="s">
        <v>17</v>
      </c>
      <c r="B245" s="231" t="s">
        <v>529</v>
      </c>
      <c r="C245" s="232">
        <f>TAKEOFF!$H$4791</f>
        <v>60.4</v>
      </c>
      <c r="D245" s="233" t="s">
        <v>322</v>
      </c>
      <c r="E245" s="234">
        <f>RATES!$D$63</f>
        <v>48</v>
      </c>
      <c r="F245" s="236">
        <f>C245*E245</f>
        <v>2899.2</v>
      </c>
      <c r="G245" s="118" t="s">
        <v>800</v>
      </c>
    </row>
    <row r="246" spans="1:7" ht="24.6" customHeight="1">
      <c r="A246" s="224"/>
      <c r="B246" s="226"/>
      <c r="C246" s="226"/>
      <c r="D246" s="226"/>
      <c r="E246" s="226"/>
      <c r="F246" s="235"/>
    </row>
    <row r="247" spans="1:7" ht="24.6" customHeight="1">
      <c r="A247" s="228" t="s">
        <v>19</v>
      </c>
      <c r="B247" s="231" t="s">
        <v>530</v>
      </c>
      <c r="C247" s="232">
        <f>TAKEOFF!$H$4799</f>
        <v>183.68750000000003</v>
      </c>
      <c r="D247" s="233" t="s">
        <v>322</v>
      </c>
      <c r="E247" s="234">
        <f>RATES!$D$64</f>
        <v>72</v>
      </c>
      <c r="F247" s="236">
        <f>C247*E247</f>
        <v>13225.500000000002</v>
      </c>
      <c r="G247" s="118" t="s">
        <v>771</v>
      </c>
    </row>
    <row r="248" spans="1:7" ht="24.6" customHeight="1">
      <c r="A248" s="224"/>
      <c r="B248" s="226"/>
      <c r="C248" s="226"/>
      <c r="D248" s="226"/>
      <c r="E248" s="226"/>
      <c r="F248" s="235"/>
    </row>
    <row r="249" spans="1:7" ht="24.6" customHeight="1">
      <c r="A249" s="228" t="s">
        <v>21</v>
      </c>
      <c r="B249" s="231" t="s">
        <v>532</v>
      </c>
      <c r="C249" s="232">
        <f>TAKEOFF!$H$4818</f>
        <v>102.75999999999999</v>
      </c>
      <c r="D249" s="233" t="s">
        <v>322</v>
      </c>
      <c r="E249" s="234">
        <f>RATES!$D$65</f>
        <v>40</v>
      </c>
      <c r="F249" s="236">
        <f>C249*E249</f>
        <v>4110.3999999999996</v>
      </c>
      <c r="G249" s="118" t="s">
        <v>772</v>
      </c>
    </row>
    <row r="250" spans="1:7" ht="24.6" customHeight="1">
      <c r="A250" s="109"/>
      <c r="B250" s="136"/>
      <c r="C250" s="136"/>
      <c r="D250" s="136"/>
      <c r="E250" s="136"/>
      <c r="F250" s="117"/>
    </row>
    <row r="251" spans="1:7" ht="24.6" customHeight="1" thickBot="1">
      <c r="A251" s="141"/>
      <c r="B251" s="154" t="str">
        <f>B234</f>
        <v>ELEMENT NO. 7: PAINTING AND DECORATING</v>
      </c>
      <c r="C251" s="142"/>
      <c r="D251" s="142"/>
      <c r="E251" s="143"/>
      <c r="F251" s="116">
        <f>SUM(F236:F250)</f>
        <v>185701.29736842102</v>
      </c>
    </row>
    <row r="252" spans="1:7" ht="24.6" customHeight="1" thickTop="1" thickBot="1">
      <c r="A252" s="141"/>
      <c r="B252" s="154" t="s">
        <v>339</v>
      </c>
      <c r="C252" s="142"/>
      <c r="D252" s="142"/>
      <c r="E252" s="143"/>
      <c r="F252" s="116"/>
    </row>
    <row r="253" spans="1:7" ht="15" customHeight="1" thickTop="1"/>
    <row r="255" spans="1:7" ht="31.2">
      <c r="B255" s="119" t="s">
        <v>534</v>
      </c>
    </row>
  </sheetData>
  <pageMargins left="0.75" right="0.75" top="1" bottom="1" header="0.5" footer="0.5"/>
  <pageSetup scale="40" fitToHeight="0" orientation="portrait" r:id="rId1"/>
  <rowBreaks count="4" manualBreakCount="4">
    <brk id="63" max="5" man="1"/>
    <brk id="106" max="5" man="1"/>
    <brk id="157" max="5" man="1"/>
    <brk id="216"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258"/>
  <sheetViews>
    <sheetView view="pageBreakPreview" topLeftCell="A259" zoomScale="60" zoomScaleNormal="100" workbookViewId="0">
      <selection activeCell="B159" sqref="B159"/>
    </sheetView>
  </sheetViews>
  <sheetFormatPr defaultRowHeight="14.4"/>
  <cols>
    <col min="1" max="1" width="10.6640625" style="9" customWidth="1"/>
    <col min="2" max="2" width="123.88671875" style="9" customWidth="1"/>
    <col min="3" max="3" width="24.109375" style="9" customWidth="1"/>
    <col min="4" max="4" width="20.554687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4.6" customHeight="1">
      <c r="A6" s="155"/>
      <c r="B6" s="156"/>
      <c r="C6" s="156"/>
      <c r="D6" s="156"/>
      <c r="E6" s="156"/>
      <c r="F6" s="157"/>
    </row>
    <row r="7" spans="1:7" ht="24.6" customHeight="1">
      <c r="A7" s="224"/>
      <c r="B7" s="225" t="s">
        <v>313</v>
      </c>
      <c r="C7" s="226"/>
      <c r="D7" s="226"/>
      <c r="E7" s="226"/>
      <c r="F7" s="235"/>
    </row>
    <row r="8" spans="1:7" ht="24.6" customHeight="1">
      <c r="A8" s="224"/>
      <c r="B8" s="226"/>
      <c r="C8" s="226"/>
      <c r="D8" s="226"/>
      <c r="E8" s="226"/>
      <c r="F8" s="235"/>
    </row>
    <row r="9" spans="1:7" ht="24.6" customHeight="1">
      <c r="A9" s="224"/>
      <c r="B9" s="225" t="s">
        <v>808</v>
      </c>
      <c r="C9" s="226"/>
      <c r="D9" s="226"/>
      <c r="E9" s="226"/>
      <c r="F9" s="235"/>
    </row>
    <row r="10" spans="1:7" ht="24.6" customHeight="1">
      <c r="A10" s="224"/>
      <c r="B10" s="226"/>
      <c r="C10" s="226"/>
      <c r="D10" s="226"/>
      <c r="E10" s="226"/>
      <c r="F10" s="235"/>
    </row>
    <row r="11" spans="1:7" ht="24.6" customHeight="1">
      <c r="A11" s="224"/>
      <c r="B11" s="227" t="s">
        <v>314</v>
      </c>
      <c r="C11" s="226"/>
      <c r="D11" s="226"/>
      <c r="E11" s="226"/>
      <c r="F11" s="235"/>
    </row>
    <row r="12" spans="1:7" ht="24.6" customHeight="1">
      <c r="A12" s="224"/>
      <c r="B12" s="226"/>
      <c r="C12" s="226"/>
      <c r="D12" s="226"/>
      <c r="E12" s="226"/>
      <c r="F12" s="235"/>
    </row>
    <row r="13" spans="1:7" ht="24.6" customHeight="1">
      <c r="A13" s="228" t="s">
        <v>9</v>
      </c>
      <c r="B13" s="229" t="s">
        <v>379</v>
      </c>
      <c r="C13" s="226"/>
      <c r="D13" s="226"/>
      <c r="E13" s="226"/>
      <c r="F13" s="236">
        <f>F92</f>
        <v>2564952.1069999998</v>
      </c>
    </row>
    <row r="14" spans="1:7" ht="24.6" customHeight="1">
      <c r="A14" s="224"/>
      <c r="B14" s="226"/>
      <c r="C14" s="226"/>
      <c r="D14" s="226"/>
      <c r="E14" s="226"/>
      <c r="F14" s="235"/>
    </row>
    <row r="15" spans="1:7" ht="24.6" customHeight="1">
      <c r="A15" s="228" t="s">
        <v>11</v>
      </c>
      <c r="B15" s="229" t="s">
        <v>380</v>
      </c>
      <c r="C15" s="226"/>
      <c r="D15" s="226"/>
      <c r="E15" s="226"/>
      <c r="F15" s="236">
        <f>F102</f>
        <v>310127.29999999993</v>
      </c>
    </row>
    <row r="16" spans="1:7" ht="24.6" customHeight="1">
      <c r="A16" s="224"/>
      <c r="B16" s="226"/>
      <c r="C16" s="226"/>
      <c r="D16" s="226"/>
      <c r="E16" s="226"/>
      <c r="F16" s="235"/>
    </row>
    <row r="17" spans="1:6" ht="24.6" customHeight="1">
      <c r="A17" s="228" t="s">
        <v>13</v>
      </c>
      <c r="B17" s="229" t="s">
        <v>809</v>
      </c>
      <c r="C17" s="226"/>
      <c r="D17" s="226"/>
      <c r="E17" s="226"/>
      <c r="F17" s="236">
        <f>F112</f>
        <v>79963.799999999988</v>
      </c>
    </row>
    <row r="18" spans="1:6" ht="24.6" customHeight="1">
      <c r="A18" s="224"/>
      <c r="B18" s="226"/>
      <c r="C18" s="226"/>
      <c r="D18" s="226"/>
      <c r="E18" s="226"/>
      <c r="F18" s="235"/>
    </row>
    <row r="19" spans="1:6" ht="24.6" customHeight="1">
      <c r="A19" s="228" t="s">
        <v>15</v>
      </c>
      <c r="B19" s="229" t="s">
        <v>381</v>
      </c>
      <c r="C19" s="226"/>
      <c r="D19" s="226"/>
      <c r="E19" s="226"/>
      <c r="F19" s="236">
        <f>F193</f>
        <v>357735.94999999995</v>
      </c>
    </row>
    <row r="20" spans="1:6" ht="24.6" customHeight="1">
      <c r="A20" s="224"/>
      <c r="B20" s="226"/>
      <c r="C20" s="226"/>
      <c r="D20" s="226"/>
      <c r="E20" s="226"/>
      <c r="F20" s="235"/>
    </row>
    <row r="21" spans="1:6" ht="24.6" customHeight="1">
      <c r="A21" s="228" t="s">
        <v>17</v>
      </c>
      <c r="B21" s="229" t="s">
        <v>382</v>
      </c>
      <c r="C21" s="226"/>
      <c r="D21" s="226"/>
      <c r="E21" s="226"/>
      <c r="F21" s="236">
        <f>F216</f>
        <v>357394.34</v>
      </c>
    </row>
    <row r="22" spans="1:6" ht="24.6" customHeight="1">
      <c r="A22" s="224"/>
      <c r="B22" s="226"/>
      <c r="C22" s="226"/>
      <c r="D22" s="226"/>
      <c r="E22" s="226"/>
      <c r="F22" s="235"/>
    </row>
    <row r="23" spans="1:6" ht="24.6" customHeight="1">
      <c r="A23" s="228" t="s">
        <v>19</v>
      </c>
      <c r="B23" s="229" t="s">
        <v>383</v>
      </c>
      <c r="C23" s="226"/>
      <c r="D23" s="226"/>
      <c r="E23" s="226"/>
      <c r="F23" s="236">
        <f>F233</f>
        <v>272188.02394736843</v>
      </c>
    </row>
    <row r="24" spans="1:6" ht="24.6" customHeight="1">
      <c r="A24" s="224"/>
      <c r="B24" s="226"/>
      <c r="C24" s="226"/>
      <c r="D24" s="226"/>
      <c r="E24" s="226"/>
      <c r="F24" s="235"/>
    </row>
    <row r="25" spans="1:6" ht="24.6" customHeight="1">
      <c r="A25" s="228" t="s">
        <v>21</v>
      </c>
      <c r="B25" s="229" t="s">
        <v>384</v>
      </c>
      <c r="C25" s="226"/>
      <c r="D25" s="226"/>
      <c r="E25" s="226"/>
      <c r="F25" s="236">
        <f>F254</f>
        <v>154620.02289473685</v>
      </c>
    </row>
    <row r="26" spans="1:6" ht="24.6" customHeight="1">
      <c r="A26" s="109"/>
      <c r="B26" s="136"/>
      <c r="C26" s="136"/>
      <c r="D26" s="136"/>
      <c r="E26" s="136"/>
      <c r="F26" s="117"/>
    </row>
    <row r="27" spans="1:6" ht="24.6" customHeight="1" thickBot="1">
      <c r="A27" s="141"/>
      <c r="B27" s="154" t="str">
        <f>B9</f>
        <v xml:space="preserve"> NINTH FLOOR</v>
      </c>
      <c r="C27" s="142"/>
      <c r="D27" s="142"/>
      <c r="E27" s="143" t="s">
        <v>8</v>
      </c>
      <c r="F27" s="116">
        <f>SUM(F13:F26)</f>
        <v>4096981.5438421047</v>
      </c>
    </row>
    <row r="28" spans="1:6" ht="24.6" customHeight="1" thickTop="1" thickBot="1">
      <c r="A28" s="150"/>
      <c r="B28" s="151" t="s">
        <v>318</v>
      </c>
      <c r="C28" s="152"/>
      <c r="D28" s="152"/>
      <c r="E28" s="152"/>
      <c r="F28" s="153"/>
    </row>
    <row r="29" spans="1:6" ht="24.6" customHeight="1" thickTop="1">
      <c r="A29" s="109"/>
      <c r="B29" s="136"/>
      <c r="C29" s="136"/>
      <c r="D29" s="136"/>
      <c r="E29" s="136"/>
      <c r="F29" s="117"/>
    </row>
    <row r="30" spans="1:6" ht="24.6" customHeight="1">
      <c r="A30" s="224"/>
      <c r="B30" s="226"/>
      <c r="C30" s="226"/>
      <c r="D30" s="226"/>
      <c r="E30" s="226"/>
      <c r="F30" s="235"/>
    </row>
    <row r="31" spans="1:6" ht="24.6" customHeight="1">
      <c r="A31" s="224"/>
      <c r="B31" s="225" t="s">
        <v>810</v>
      </c>
      <c r="C31" s="226"/>
      <c r="D31" s="226"/>
      <c r="E31" s="226"/>
      <c r="F31" s="235"/>
    </row>
    <row r="32" spans="1:6" ht="24.6" customHeight="1">
      <c r="A32" s="224"/>
      <c r="B32" s="226"/>
      <c r="C32" s="226"/>
      <c r="D32" s="226"/>
      <c r="E32" s="226"/>
      <c r="F32" s="235"/>
    </row>
    <row r="33" spans="1:7" ht="24.6" customHeight="1">
      <c r="A33" s="224"/>
      <c r="B33" s="225" t="s">
        <v>379</v>
      </c>
      <c r="C33" s="226"/>
      <c r="D33" s="226"/>
      <c r="E33" s="226"/>
      <c r="F33" s="235"/>
    </row>
    <row r="34" spans="1:7" ht="24.6" customHeight="1">
      <c r="A34" s="224"/>
      <c r="B34" s="226"/>
      <c r="C34" s="226"/>
      <c r="D34" s="226"/>
      <c r="E34" s="226"/>
      <c r="F34" s="235"/>
    </row>
    <row r="35" spans="1:7" ht="24.6" customHeight="1">
      <c r="A35" s="224"/>
      <c r="B35" s="230" t="s">
        <v>344</v>
      </c>
      <c r="C35" s="226"/>
      <c r="D35" s="226"/>
      <c r="E35" s="226"/>
      <c r="F35" s="235"/>
    </row>
    <row r="36" spans="1:7" ht="24.6" customHeight="1">
      <c r="A36" s="228" t="s">
        <v>9</v>
      </c>
      <c r="B36" s="231" t="s">
        <v>386</v>
      </c>
      <c r="C36" s="232">
        <f>TAKEOFF!$H$4826</f>
        <v>283.60000000000002</v>
      </c>
      <c r="D36" s="233" t="s">
        <v>327</v>
      </c>
      <c r="E36" s="234">
        <f>RATES!$D$22</f>
        <v>2310</v>
      </c>
      <c r="F36" s="236">
        <f>C36*E36</f>
        <v>655116</v>
      </c>
      <c r="G36" s="118" t="s">
        <v>811</v>
      </c>
    </row>
    <row r="37" spans="1:7" ht="24.6" customHeight="1">
      <c r="A37" s="224"/>
      <c r="B37" s="226"/>
      <c r="C37" s="226"/>
      <c r="D37" s="226"/>
      <c r="E37" s="226"/>
      <c r="F37" s="235"/>
    </row>
    <row r="38" spans="1:7" ht="24.6" customHeight="1">
      <c r="A38" s="228" t="s">
        <v>11</v>
      </c>
      <c r="B38" s="231" t="s">
        <v>388</v>
      </c>
      <c r="C38" s="232">
        <f>TAKEOFF!$H$4830</f>
        <v>21.899499999999996</v>
      </c>
      <c r="D38" s="233" t="s">
        <v>327</v>
      </c>
      <c r="E38" s="234">
        <f>RATES!$D$23</f>
        <v>2310</v>
      </c>
      <c r="F38" s="236">
        <f>C38*E38</f>
        <v>50587.844999999994</v>
      </c>
      <c r="G38" s="118" t="s">
        <v>812</v>
      </c>
    </row>
    <row r="39" spans="1:7" ht="24.6" customHeight="1">
      <c r="A39" s="224"/>
      <c r="B39" s="226"/>
      <c r="C39" s="226"/>
      <c r="D39" s="226"/>
      <c r="E39" s="226"/>
      <c r="F39" s="235"/>
    </row>
    <row r="40" spans="1:7" ht="24.6" customHeight="1">
      <c r="A40" s="228" t="s">
        <v>13</v>
      </c>
      <c r="B40" s="231" t="s">
        <v>390</v>
      </c>
      <c r="C40" s="232">
        <f>TAKEOFF!$H$4838</f>
        <v>28.730999999999995</v>
      </c>
      <c r="D40" s="233" t="s">
        <v>327</v>
      </c>
      <c r="E40" s="234">
        <f>RATES!$D$21</f>
        <v>2310</v>
      </c>
      <c r="F40" s="236">
        <f>C40*E40</f>
        <v>66368.609999999986</v>
      </c>
      <c r="G40" s="118" t="s">
        <v>813</v>
      </c>
    </row>
    <row r="41" spans="1:7" ht="24.6" customHeight="1">
      <c r="A41" s="224"/>
      <c r="B41" s="226"/>
      <c r="C41" s="226"/>
      <c r="D41" s="226"/>
      <c r="E41" s="226"/>
      <c r="F41" s="235"/>
    </row>
    <row r="42" spans="1:7" ht="24.6" customHeight="1">
      <c r="A42" s="228" t="s">
        <v>15</v>
      </c>
      <c r="B42" s="231" t="s">
        <v>392</v>
      </c>
      <c r="C42" s="232">
        <f>TAKEOFF!$H$4842</f>
        <v>36.310249999999996</v>
      </c>
      <c r="D42" s="233" t="s">
        <v>327</v>
      </c>
      <c r="E42" s="234">
        <f>RATES!$D$20</f>
        <v>2310</v>
      </c>
      <c r="F42" s="236">
        <f>C42*E42</f>
        <v>83876.677499999991</v>
      </c>
      <c r="G42" s="118" t="s">
        <v>618</v>
      </c>
    </row>
    <row r="43" spans="1:7" ht="24.6" customHeight="1">
      <c r="A43" s="224"/>
      <c r="B43" s="226"/>
      <c r="C43" s="226"/>
      <c r="D43" s="226"/>
      <c r="E43" s="226"/>
      <c r="F43" s="235"/>
    </row>
    <row r="44" spans="1:7" ht="24.6" customHeight="1">
      <c r="A44" s="228" t="s">
        <v>17</v>
      </c>
      <c r="B44" s="231" t="s">
        <v>394</v>
      </c>
      <c r="C44" s="232">
        <f>TAKEOFF!$H$4845</f>
        <v>16.641562499999999</v>
      </c>
      <c r="D44" s="233" t="s">
        <v>327</v>
      </c>
      <c r="E44" s="234">
        <f>RATES!$D$20</f>
        <v>2310</v>
      </c>
      <c r="F44" s="236">
        <f>C44*E44</f>
        <v>38442.009375000001</v>
      </c>
      <c r="G44" s="118" t="s">
        <v>619</v>
      </c>
    </row>
    <row r="45" spans="1:7" ht="24.6" customHeight="1">
      <c r="A45" s="224"/>
      <c r="B45" s="226"/>
      <c r="C45" s="226"/>
      <c r="D45" s="226"/>
      <c r="E45" s="226"/>
      <c r="F45" s="235"/>
    </row>
    <row r="46" spans="1:7" ht="24.6" customHeight="1">
      <c r="A46" s="228" t="s">
        <v>19</v>
      </c>
      <c r="B46" s="231" t="s">
        <v>396</v>
      </c>
      <c r="C46" s="232">
        <f>TAKEOFF!$H$4851</f>
        <v>11.182</v>
      </c>
      <c r="D46" s="233" t="s">
        <v>327</v>
      </c>
      <c r="E46" s="234">
        <f>RATES!$D$24</f>
        <v>2310</v>
      </c>
      <c r="F46" s="236">
        <f>C46*E46</f>
        <v>25830.420000000002</v>
      </c>
      <c r="G46" s="118" t="s">
        <v>620</v>
      </c>
    </row>
    <row r="47" spans="1:7" ht="24.6" customHeight="1">
      <c r="A47" s="224"/>
      <c r="B47" s="226"/>
      <c r="C47" s="226"/>
      <c r="D47" s="226"/>
      <c r="E47" s="226"/>
      <c r="F47" s="235"/>
    </row>
    <row r="48" spans="1:7" ht="24.6" customHeight="1">
      <c r="A48" s="228" t="s">
        <v>21</v>
      </c>
      <c r="B48" s="231" t="s">
        <v>398</v>
      </c>
      <c r="C48" s="232">
        <f>TAKEOFF!$H$4883</f>
        <v>4.2221250000000001</v>
      </c>
      <c r="D48" s="233" t="s">
        <v>327</v>
      </c>
      <c r="E48" s="234">
        <f>RATES!$D$25</f>
        <v>1925.0000000000002</v>
      </c>
      <c r="F48" s="236">
        <f>C48*E48</f>
        <v>8127.5906250000016</v>
      </c>
      <c r="G48" s="118" t="s">
        <v>814</v>
      </c>
    </row>
    <row r="49" spans="1:7" ht="24.6" customHeight="1">
      <c r="A49" s="224"/>
      <c r="B49" s="226"/>
      <c r="C49" s="226"/>
      <c r="D49" s="226"/>
      <c r="E49" s="226"/>
      <c r="F49" s="235"/>
    </row>
    <row r="50" spans="1:7" ht="24.6" customHeight="1">
      <c r="A50" s="224"/>
      <c r="B50" s="230" t="s">
        <v>400</v>
      </c>
      <c r="C50" s="226"/>
      <c r="D50" s="226"/>
      <c r="E50" s="226"/>
      <c r="F50" s="235"/>
    </row>
    <row r="51" spans="1:7" ht="24.6" customHeight="1">
      <c r="A51" s="228" t="s">
        <v>23</v>
      </c>
      <c r="B51" s="231" t="s">
        <v>401</v>
      </c>
      <c r="C51" s="232">
        <f>TAKEOFF!$H$4887</f>
        <v>1134.4000000000001</v>
      </c>
      <c r="D51" s="233" t="s">
        <v>322</v>
      </c>
      <c r="E51" s="234">
        <f>RATES!$D$38</f>
        <v>165</v>
      </c>
      <c r="F51" s="236">
        <f>C51*E51</f>
        <v>187176.00000000003</v>
      </c>
      <c r="G51" s="118" t="s">
        <v>815</v>
      </c>
    </row>
    <row r="52" spans="1:7" ht="24.6" customHeight="1">
      <c r="A52" s="224"/>
      <c r="B52" s="226"/>
      <c r="C52" s="226"/>
      <c r="D52" s="226"/>
      <c r="E52" s="226"/>
      <c r="F52" s="235"/>
    </row>
    <row r="53" spans="1:7" ht="24.6" customHeight="1">
      <c r="A53" s="228" t="s">
        <v>25</v>
      </c>
      <c r="B53" s="231" t="s">
        <v>403</v>
      </c>
      <c r="C53" s="232">
        <f>TAKEOFF!$H$4890</f>
        <v>294.5</v>
      </c>
      <c r="D53" s="233" t="s">
        <v>369</v>
      </c>
      <c r="E53" s="234">
        <f>RATES!$D$40</f>
        <v>65</v>
      </c>
      <c r="F53" s="236">
        <f>C53*E53</f>
        <v>19142.5</v>
      </c>
      <c r="G53" s="118" t="s">
        <v>816</v>
      </c>
    </row>
    <row r="54" spans="1:7" ht="24.6" customHeight="1">
      <c r="A54" s="224"/>
      <c r="B54" s="226"/>
      <c r="C54" s="226"/>
      <c r="D54" s="226"/>
      <c r="E54" s="226"/>
      <c r="F54" s="235"/>
    </row>
    <row r="55" spans="1:7" ht="24.6" customHeight="1">
      <c r="A55" s="228" t="s">
        <v>27</v>
      </c>
      <c r="B55" s="231" t="s">
        <v>405</v>
      </c>
      <c r="C55" s="232">
        <f>TAKEOFF!$H$4894</f>
        <v>216.29</v>
      </c>
      <c r="D55" s="233" t="s">
        <v>322</v>
      </c>
      <c r="E55" s="234">
        <f>RATES!$D$39</f>
        <v>165</v>
      </c>
      <c r="F55" s="236">
        <f>C55*E55</f>
        <v>35687.85</v>
      </c>
      <c r="G55" s="118" t="s">
        <v>817</v>
      </c>
    </row>
    <row r="56" spans="1:7" ht="24.6" customHeight="1">
      <c r="A56" s="224"/>
      <c r="B56" s="226"/>
      <c r="C56" s="226"/>
      <c r="D56" s="226"/>
      <c r="E56" s="226"/>
      <c r="F56" s="235"/>
    </row>
    <row r="57" spans="1:7" ht="24.6" customHeight="1">
      <c r="A57" s="228" t="s">
        <v>29</v>
      </c>
      <c r="B57" s="231" t="s">
        <v>390</v>
      </c>
      <c r="C57" s="232">
        <f>TAKEOFF!$H$4902</f>
        <v>231.8</v>
      </c>
      <c r="D57" s="233" t="s">
        <v>322</v>
      </c>
      <c r="E57" s="234">
        <f>RATES!$D$37</f>
        <v>165</v>
      </c>
      <c r="F57" s="236">
        <f>C57*E57</f>
        <v>38247</v>
      </c>
      <c r="G57" s="118" t="s">
        <v>818</v>
      </c>
    </row>
    <row r="58" spans="1:7" ht="24.6" customHeight="1">
      <c r="A58" s="224"/>
      <c r="B58" s="226"/>
      <c r="C58" s="226"/>
      <c r="D58" s="226"/>
      <c r="E58" s="226"/>
      <c r="F58" s="235"/>
    </row>
    <row r="59" spans="1:7" ht="24.6" customHeight="1">
      <c r="A59" s="228" t="s">
        <v>31</v>
      </c>
      <c r="B59" s="231" t="s">
        <v>408</v>
      </c>
      <c r="C59" s="232">
        <f>TAKEOFF!$H$4907</f>
        <v>423.61450000000002</v>
      </c>
      <c r="D59" s="233" t="s">
        <v>322</v>
      </c>
      <c r="E59" s="234">
        <f>RATES!$D$36</f>
        <v>165</v>
      </c>
      <c r="F59" s="236">
        <f>C59*E59</f>
        <v>69896.392500000002</v>
      </c>
      <c r="G59" s="118" t="s">
        <v>626</v>
      </c>
    </row>
    <row r="60" spans="1:7" ht="24.6" customHeight="1">
      <c r="A60" s="224"/>
      <c r="B60" s="226"/>
      <c r="C60" s="226"/>
      <c r="D60" s="226"/>
      <c r="E60" s="226"/>
      <c r="F60" s="235"/>
    </row>
    <row r="61" spans="1:7" ht="24.6" customHeight="1">
      <c r="A61" s="228" t="s">
        <v>33</v>
      </c>
      <c r="B61" s="231" t="s">
        <v>410</v>
      </c>
      <c r="C61" s="232">
        <f>TAKEOFF!$H$4915</f>
        <v>66.532799999999995</v>
      </c>
      <c r="D61" s="233" t="s">
        <v>322</v>
      </c>
      <c r="E61" s="234">
        <f>RATES!$D$42</f>
        <v>165</v>
      </c>
      <c r="F61" s="236">
        <f>C61*E61</f>
        <v>10977.911999999998</v>
      </c>
      <c r="G61" s="118" t="s">
        <v>549</v>
      </c>
    </row>
    <row r="62" spans="1:7" ht="24.6" customHeight="1">
      <c r="A62" s="224"/>
      <c r="B62" s="226"/>
      <c r="C62" s="226"/>
      <c r="D62" s="226"/>
      <c r="E62" s="226"/>
      <c r="F62" s="235"/>
    </row>
    <row r="63" spans="1:7" ht="24.6" customHeight="1">
      <c r="A63" s="228" t="s">
        <v>35</v>
      </c>
      <c r="B63" s="231" t="s">
        <v>412</v>
      </c>
      <c r="C63" s="232">
        <f>TAKEOFF!$H$4947</f>
        <v>75.06</v>
      </c>
      <c r="D63" s="233" t="s">
        <v>322</v>
      </c>
      <c r="E63" s="234">
        <f>RATES!$D$43</f>
        <v>165</v>
      </c>
      <c r="F63" s="236">
        <f>C63*E63</f>
        <v>12384.9</v>
      </c>
      <c r="G63" s="118" t="s">
        <v>814</v>
      </c>
    </row>
    <row r="64" spans="1:7" ht="24.6" customHeight="1">
      <c r="A64" s="224"/>
      <c r="B64" s="226"/>
      <c r="C64" s="226"/>
      <c r="D64" s="226"/>
      <c r="E64" s="226"/>
      <c r="F64" s="235"/>
    </row>
    <row r="65" spans="1:7" ht="24.6" customHeight="1">
      <c r="A65" s="224"/>
      <c r="B65" s="230" t="s">
        <v>413</v>
      </c>
      <c r="C65" s="226"/>
      <c r="D65" s="226"/>
      <c r="E65" s="226"/>
      <c r="F65" s="235"/>
    </row>
    <row r="66" spans="1:7" ht="24.6" customHeight="1">
      <c r="A66" s="228" t="s">
        <v>37</v>
      </c>
      <c r="B66" s="231" t="s">
        <v>414</v>
      </c>
      <c r="C66" s="232">
        <f>TAKEOFF!$H$4951</f>
        <v>3.2349999999999999</v>
      </c>
      <c r="D66" s="233" t="s">
        <v>353</v>
      </c>
      <c r="E66" s="234">
        <f>RATES!$D$29</f>
        <v>14300.000000000002</v>
      </c>
      <c r="F66" s="236">
        <f>C66*E66</f>
        <v>46260.500000000007</v>
      </c>
      <c r="G66" s="118" t="s">
        <v>819</v>
      </c>
    </row>
    <row r="67" spans="1:7" ht="24.6" customHeight="1">
      <c r="A67" s="224"/>
      <c r="B67" s="226"/>
      <c r="C67" s="226"/>
      <c r="D67" s="226"/>
      <c r="E67" s="226"/>
      <c r="F67" s="235"/>
    </row>
    <row r="68" spans="1:7" ht="24.6" customHeight="1">
      <c r="A68" s="228" t="s">
        <v>39</v>
      </c>
      <c r="B68" s="231" t="s">
        <v>416</v>
      </c>
      <c r="C68" s="232">
        <f>TAKEOFF!$H$4954</f>
        <v>5.1109999999999998</v>
      </c>
      <c r="D68" s="233" t="s">
        <v>353</v>
      </c>
      <c r="E68" s="234">
        <f>RATES!$D$32</f>
        <v>14300.000000000002</v>
      </c>
      <c r="F68" s="236">
        <f>C68*E68</f>
        <v>73087.3</v>
      </c>
      <c r="G68" s="118" t="s">
        <v>820</v>
      </c>
    </row>
    <row r="69" spans="1:7" ht="24.6" customHeight="1">
      <c r="A69" s="224"/>
      <c r="B69" s="226"/>
      <c r="C69" s="226"/>
      <c r="D69" s="226"/>
      <c r="E69" s="226"/>
      <c r="F69" s="235"/>
    </row>
    <row r="70" spans="1:7" ht="24.6" customHeight="1">
      <c r="A70" s="228" t="s">
        <v>418</v>
      </c>
      <c r="B70" s="231" t="s">
        <v>422</v>
      </c>
      <c r="C70" s="232">
        <f>TAKEOFF!$H$4957</f>
        <v>2.032</v>
      </c>
      <c r="D70" s="233" t="s">
        <v>353</v>
      </c>
      <c r="E70" s="234">
        <f>RATES!$D$29</f>
        <v>14300.000000000002</v>
      </c>
      <c r="F70" s="236">
        <f>C70*E70</f>
        <v>29057.600000000006</v>
      </c>
      <c r="G70" s="118" t="s">
        <v>821</v>
      </c>
    </row>
    <row r="71" spans="1:7" ht="24.6" customHeight="1">
      <c r="A71" s="224"/>
      <c r="B71" s="226"/>
      <c r="C71" s="226"/>
      <c r="D71" s="226"/>
      <c r="E71" s="226"/>
      <c r="F71" s="235"/>
    </row>
    <row r="72" spans="1:7" ht="24.6" customHeight="1">
      <c r="A72" s="228" t="s">
        <v>421</v>
      </c>
      <c r="B72" s="231" t="s">
        <v>425</v>
      </c>
      <c r="C72" s="232">
        <f>TAKEOFF!$H$4960</f>
        <v>1.163</v>
      </c>
      <c r="D72" s="233" t="s">
        <v>353</v>
      </c>
      <c r="E72" s="234">
        <f>RATES!$D$31</f>
        <v>14300.000000000002</v>
      </c>
      <c r="F72" s="236">
        <f>C72*E72</f>
        <v>16630.900000000001</v>
      </c>
      <c r="G72" s="118" t="s">
        <v>822</v>
      </c>
    </row>
    <row r="73" spans="1:7" ht="24.6" customHeight="1">
      <c r="A73" s="224"/>
      <c r="B73" s="226"/>
      <c r="C73" s="226"/>
      <c r="D73" s="226"/>
      <c r="E73" s="226"/>
      <c r="F73" s="235"/>
    </row>
    <row r="74" spans="1:7" ht="24.6" customHeight="1">
      <c r="A74" s="228" t="s">
        <v>424</v>
      </c>
      <c r="B74" s="231" t="s">
        <v>428</v>
      </c>
      <c r="C74" s="232">
        <f>TAKEOFF!$H$4963</f>
        <v>2.4609999999999999</v>
      </c>
      <c r="D74" s="233" t="s">
        <v>353</v>
      </c>
      <c r="E74" s="234">
        <f>RATES!$D$32</f>
        <v>14300.000000000002</v>
      </c>
      <c r="F74" s="236">
        <f>C74*E74</f>
        <v>35192.300000000003</v>
      </c>
      <c r="G74" s="118" t="s">
        <v>823</v>
      </c>
    </row>
    <row r="75" spans="1:7" ht="24.6" customHeight="1">
      <c r="A75" s="224"/>
      <c r="B75" s="226"/>
      <c r="C75" s="226"/>
      <c r="D75" s="226"/>
      <c r="E75" s="226"/>
      <c r="F75" s="235"/>
    </row>
    <row r="76" spans="1:7" ht="24.6" customHeight="1">
      <c r="A76" s="228" t="s">
        <v>427</v>
      </c>
      <c r="B76" s="231" t="s">
        <v>431</v>
      </c>
      <c r="C76" s="232">
        <f>TAKEOFF!$H$4966</f>
        <v>6.4909999999999997</v>
      </c>
      <c r="D76" s="233" t="s">
        <v>353</v>
      </c>
      <c r="E76" s="234">
        <f>RATES!$D$33</f>
        <v>14300.000000000002</v>
      </c>
      <c r="F76" s="236">
        <f>C76*E76</f>
        <v>92821.3</v>
      </c>
      <c r="G76" s="118" t="s">
        <v>824</v>
      </c>
    </row>
    <row r="77" spans="1:7" ht="24.6" customHeight="1">
      <c r="A77" s="224"/>
      <c r="B77" s="226"/>
      <c r="C77" s="226"/>
      <c r="D77" s="226"/>
      <c r="E77" s="226"/>
      <c r="F77" s="235"/>
    </row>
    <row r="78" spans="1:7" ht="24.6" customHeight="1">
      <c r="A78" s="228" t="s">
        <v>430</v>
      </c>
      <c r="B78" s="231" t="s">
        <v>434</v>
      </c>
      <c r="C78" s="232">
        <f>TAKEOFF!$H$4970</f>
        <v>2.0779999999999998</v>
      </c>
      <c r="D78" s="233" t="s">
        <v>353</v>
      </c>
      <c r="E78" s="234">
        <f>RATES!$D$29</f>
        <v>14300.000000000002</v>
      </c>
      <c r="F78" s="236">
        <f>C78*E78</f>
        <v>29715.4</v>
      </c>
      <c r="G78" s="118" t="s">
        <v>633</v>
      </c>
    </row>
    <row r="79" spans="1:7" ht="24.6" customHeight="1">
      <c r="A79" s="224"/>
      <c r="B79" s="226"/>
      <c r="C79" s="226"/>
      <c r="D79" s="226"/>
      <c r="E79" s="226"/>
      <c r="F79" s="235"/>
    </row>
    <row r="80" spans="1:7" ht="24.6" customHeight="1">
      <c r="A80" s="228" t="s">
        <v>433</v>
      </c>
      <c r="B80" s="231" t="s">
        <v>437</v>
      </c>
      <c r="C80" s="232">
        <f>TAKEOFF!$H$4974</f>
        <v>3.0609999999999999</v>
      </c>
      <c r="D80" s="233" t="s">
        <v>353</v>
      </c>
      <c r="E80" s="234">
        <f>RATES!$D$30</f>
        <v>14300.000000000002</v>
      </c>
      <c r="F80" s="236">
        <f>C80*E80</f>
        <v>43772.3</v>
      </c>
      <c r="G80" s="118" t="s">
        <v>825</v>
      </c>
    </row>
    <row r="81" spans="1:7" ht="24.6" customHeight="1">
      <c r="A81" s="224"/>
      <c r="B81" s="226"/>
      <c r="C81" s="226"/>
      <c r="D81" s="226"/>
      <c r="E81" s="226"/>
      <c r="F81" s="235"/>
    </row>
    <row r="82" spans="1:7" ht="24.6" customHeight="1">
      <c r="A82" s="228" t="s">
        <v>436</v>
      </c>
      <c r="B82" s="231" t="s">
        <v>705</v>
      </c>
      <c r="C82" s="232">
        <f>TAKEOFF!$H$4978</f>
        <v>10.224</v>
      </c>
      <c r="D82" s="233" t="s">
        <v>353</v>
      </c>
      <c r="E82" s="234">
        <f>RATES!$D$32</f>
        <v>14300.000000000002</v>
      </c>
      <c r="F82" s="236">
        <f>C82*E82</f>
        <v>146203.20000000001</v>
      </c>
      <c r="G82" s="118" t="s">
        <v>733</v>
      </c>
    </row>
    <row r="83" spans="1:7" ht="24.6" customHeight="1">
      <c r="A83" s="224"/>
      <c r="B83" s="226"/>
      <c r="C83" s="226"/>
      <c r="D83" s="226"/>
      <c r="E83" s="226"/>
      <c r="F83" s="235"/>
    </row>
    <row r="84" spans="1:7" ht="24.6" customHeight="1">
      <c r="A84" s="228" t="s">
        <v>439</v>
      </c>
      <c r="B84" s="231" t="s">
        <v>442</v>
      </c>
      <c r="C84" s="232">
        <f>TAKEOFF!$H$4981</f>
        <v>0.88</v>
      </c>
      <c r="D84" s="233" t="s">
        <v>353</v>
      </c>
      <c r="E84" s="234">
        <f>RATES!$D$30</f>
        <v>14300.000000000002</v>
      </c>
      <c r="F84" s="236">
        <f>C84*E84</f>
        <v>12584.000000000002</v>
      </c>
      <c r="G84" s="118" t="s">
        <v>636</v>
      </c>
    </row>
    <row r="85" spans="1:7" ht="24.6" customHeight="1">
      <c r="A85" s="224"/>
      <c r="B85" s="226"/>
      <c r="C85" s="226"/>
      <c r="D85" s="226"/>
      <c r="E85" s="226"/>
      <c r="F85" s="235"/>
    </row>
    <row r="86" spans="1:7" ht="24.6" customHeight="1">
      <c r="A86" s="228" t="s">
        <v>9</v>
      </c>
      <c r="B86" s="231" t="s">
        <v>444</v>
      </c>
      <c r="C86" s="232">
        <f>TAKEOFF!$H$4984</f>
        <v>1.4339999999999999</v>
      </c>
      <c r="D86" s="233" t="s">
        <v>353</v>
      </c>
      <c r="E86" s="234">
        <f>RATES!$D$31</f>
        <v>14300.000000000002</v>
      </c>
      <c r="F86" s="236">
        <f>C86*E86</f>
        <v>20506.2</v>
      </c>
      <c r="G86" s="118" t="s">
        <v>637</v>
      </c>
    </row>
    <row r="87" spans="1:7" ht="24.6" customHeight="1">
      <c r="A87" s="224"/>
      <c r="B87" s="226"/>
      <c r="C87" s="226"/>
      <c r="D87" s="226"/>
      <c r="E87" s="226"/>
      <c r="F87" s="235"/>
    </row>
    <row r="88" spans="1:7" ht="24.6" customHeight="1">
      <c r="A88" s="228" t="s">
        <v>11</v>
      </c>
      <c r="B88" s="231" t="s">
        <v>446</v>
      </c>
      <c r="C88" s="232">
        <f>TAKEOFF!$H$4987</f>
        <v>50.006999999999998</v>
      </c>
      <c r="D88" s="233" t="s">
        <v>353</v>
      </c>
      <c r="E88" s="234">
        <f>RATES!$D$30</f>
        <v>14300.000000000002</v>
      </c>
      <c r="F88" s="236">
        <f>C88*E88</f>
        <v>715100.10000000009</v>
      </c>
      <c r="G88" s="118" t="s">
        <v>826</v>
      </c>
    </row>
    <row r="89" spans="1:7" ht="24.6" customHeight="1">
      <c r="A89" s="224"/>
      <c r="B89" s="226"/>
      <c r="C89" s="226"/>
      <c r="D89" s="226"/>
      <c r="E89" s="226"/>
      <c r="F89" s="235"/>
    </row>
    <row r="90" spans="1:7" ht="24.6" customHeight="1">
      <c r="A90" s="228" t="s">
        <v>13</v>
      </c>
      <c r="B90" s="231" t="s">
        <v>448</v>
      </c>
      <c r="C90" s="232">
        <f>TAKEOFF!$H$4990</f>
        <v>0.151</v>
      </c>
      <c r="D90" s="233" t="s">
        <v>353</v>
      </c>
      <c r="E90" s="234">
        <f>RATES!$D$31</f>
        <v>14300.000000000002</v>
      </c>
      <c r="F90" s="236">
        <f>C90*E90</f>
        <v>2159.3000000000002</v>
      </c>
      <c r="G90" s="118" t="s">
        <v>709</v>
      </c>
    </row>
    <row r="91" spans="1:7" ht="24.6" customHeight="1">
      <c r="A91" s="109"/>
      <c r="B91" s="136"/>
      <c r="C91" s="136"/>
      <c r="D91" s="136"/>
      <c r="E91" s="136"/>
      <c r="F91" s="117"/>
    </row>
    <row r="92" spans="1:7" ht="24.6" customHeight="1" thickBot="1">
      <c r="A92" s="141"/>
      <c r="B92" s="154" t="str">
        <f>B33</f>
        <v>ELEMENT NO. 1: IN SITU CONCRETE/LARGE PRECAST CONCRETE</v>
      </c>
      <c r="C92" s="142"/>
      <c r="D92" s="142"/>
      <c r="E92" s="143"/>
      <c r="F92" s="116">
        <f>SUM(F35:F91)</f>
        <v>2564952.1069999998</v>
      </c>
    </row>
    <row r="93" spans="1:7" ht="24.6" customHeight="1" thickTop="1" thickBot="1">
      <c r="A93" s="150"/>
      <c r="B93" s="151" t="s">
        <v>339</v>
      </c>
      <c r="C93" s="152"/>
      <c r="D93" s="152"/>
      <c r="E93" s="152"/>
      <c r="F93" s="153"/>
    </row>
    <row r="94" spans="1:7" ht="24.6" customHeight="1" thickTop="1">
      <c r="A94" s="109"/>
      <c r="B94" s="136"/>
      <c r="C94" s="136"/>
      <c r="D94" s="136"/>
      <c r="E94" s="136"/>
      <c r="F94" s="117"/>
    </row>
    <row r="95" spans="1:7" ht="24.6" customHeight="1">
      <c r="A95" s="224"/>
      <c r="B95" s="225" t="s">
        <v>380</v>
      </c>
      <c r="C95" s="226"/>
      <c r="D95" s="226"/>
      <c r="E95" s="226"/>
      <c r="F95" s="235"/>
    </row>
    <row r="96" spans="1:7" ht="24.6" customHeight="1">
      <c r="A96" s="224"/>
      <c r="B96" s="226"/>
      <c r="C96" s="226"/>
      <c r="D96" s="226"/>
      <c r="E96" s="226"/>
      <c r="F96" s="235"/>
    </row>
    <row r="97" spans="1:7" ht="24.6" customHeight="1">
      <c r="A97" s="224"/>
      <c r="B97" s="230" t="s">
        <v>450</v>
      </c>
      <c r="C97" s="226"/>
      <c r="D97" s="226"/>
      <c r="E97" s="226"/>
      <c r="F97" s="235"/>
    </row>
    <row r="98" spans="1:7" ht="24.6" customHeight="1">
      <c r="A98" s="228" t="s">
        <v>9</v>
      </c>
      <c r="B98" s="231" t="s">
        <v>451</v>
      </c>
      <c r="C98" s="232">
        <f>TAKEOFF!$H$5025</f>
        <v>1336.3859999999997</v>
      </c>
      <c r="D98" s="233" t="s">
        <v>322</v>
      </c>
      <c r="E98" s="234">
        <f>RATES!$D$46</f>
        <v>215</v>
      </c>
      <c r="F98" s="236">
        <f>C98*E98</f>
        <v>287322.98999999993</v>
      </c>
      <c r="G98" s="118" t="s">
        <v>827</v>
      </c>
    </row>
    <row r="99" spans="1:7" ht="24.6" customHeight="1">
      <c r="A99" s="224"/>
      <c r="B99" s="226"/>
      <c r="C99" s="226"/>
      <c r="D99" s="226"/>
      <c r="E99" s="226"/>
      <c r="F99" s="235"/>
    </row>
    <row r="100" spans="1:7" ht="24.6" customHeight="1">
      <c r="A100" s="228" t="s">
        <v>11</v>
      </c>
      <c r="B100" s="231" t="s">
        <v>453</v>
      </c>
      <c r="C100" s="232">
        <f>TAKEOFF!$H$5058</f>
        <v>86.054000000000002</v>
      </c>
      <c r="D100" s="233" t="s">
        <v>322</v>
      </c>
      <c r="E100" s="234">
        <f>RATES!$D$47</f>
        <v>265</v>
      </c>
      <c r="F100" s="236">
        <f>C100*E100</f>
        <v>22804.31</v>
      </c>
      <c r="G100" s="118" t="s">
        <v>828</v>
      </c>
    </row>
    <row r="101" spans="1:7" ht="24.6" customHeight="1">
      <c r="A101" s="109"/>
      <c r="B101" s="136"/>
      <c r="C101" s="136"/>
      <c r="D101" s="136"/>
      <c r="E101" s="136"/>
      <c r="F101" s="117"/>
    </row>
    <row r="102" spans="1:7" ht="24.6" customHeight="1" thickBot="1">
      <c r="A102" s="141"/>
      <c r="B102" s="154" t="str">
        <f>B95</f>
        <v>ELEMENT NO. 2: MASONRY</v>
      </c>
      <c r="C102" s="142"/>
      <c r="D102" s="142"/>
      <c r="E102" s="143"/>
      <c r="F102" s="116">
        <f>SUM(F97:F101)</f>
        <v>310127.29999999993</v>
      </c>
    </row>
    <row r="103" spans="1:7" ht="24.6" customHeight="1" thickTop="1" thickBot="1">
      <c r="A103" s="150"/>
      <c r="B103" s="151" t="s">
        <v>339</v>
      </c>
      <c r="C103" s="152"/>
      <c r="D103" s="152"/>
      <c r="E103" s="152"/>
      <c r="F103" s="153"/>
    </row>
    <row r="104" spans="1:7" ht="24.6" customHeight="1" thickTop="1">
      <c r="A104" s="109"/>
      <c r="B104" s="136"/>
      <c r="C104" s="136"/>
      <c r="D104" s="136"/>
      <c r="E104" s="136"/>
      <c r="F104" s="117"/>
    </row>
    <row r="105" spans="1:7" ht="24.6" customHeight="1">
      <c r="A105" s="224"/>
      <c r="B105" s="225" t="s">
        <v>809</v>
      </c>
      <c r="C105" s="226"/>
      <c r="D105" s="226"/>
      <c r="E105" s="226"/>
      <c r="F105" s="235"/>
    </row>
    <row r="106" spans="1:7" ht="24.6" customHeight="1">
      <c r="A106" s="224"/>
      <c r="B106" s="226"/>
      <c r="C106" s="226"/>
      <c r="D106" s="226"/>
      <c r="E106" s="226"/>
      <c r="F106" s="235"/>
    </row>
    <row r="107" spans="1:7" ht="24.6" customHeight="1">
      <c r="A107" s="224"/>
      <c r="B107" s="230" t="s">
        <v>829</v>
      </c>
      <c r="C107" s="226"/>
      <c r="D107" s="226"/>
      <c r="E107" s="226"/>
      <c r="F107" s="235"/>
    </row>
    <row r="108" spans="1:7" ht="24.6" customHeight="1">
      <c r="A108" s="228" t="s">
        <v>9</v>
      </c>
      <c r="B108" s="231" t="s">
        <v>830</v>
      </c>
      <c r="C108" s="232">
        <f>TAKEOFF!$H$5063</f>
        <v>337.4</v>
      </c>
      <c r="D108" s="233" t="s">
        <v>322</v>
      </c>
      <c r="E108" s="234">
        <f>RATES!$D$68</f>
        <v>165</v>
      </c>
      <c r="F108" s="236">
        <f>C108*E108</f>
        <v>55670.999999999993</v>
      </c>
      <c r="G108" s="118" t="s">
        <v>831</v>
      </c>
    </row>
    <row r="109" spans="1:7" ht="24.6" customHeight="1">
      <c r="A109" s="224"/>
      <c r="B109" s="226"/>
      <c r="C109" s="226"/>
      <c r="D109" s="226"/>
      <c r="E109" s="226"/>
      <c r="F109" s="235"/>
    </row>
    <row r="110" spans="1:7" ht="24.6" customHeight="1">
      <c r="A110" s="228" t="s">
        <v>11</v>
      </c>
      <c r="B110" s="231" t="s">
        <v>832</v>
      </c>
      <c r="C110" s="232">
        <f>TAKEOFF!$H$5066</f>
        <v>337.4</v>
      </c>
      <c r="D110" s="233" t="s">
        <v>322</v>
      </c>
      <c r="E110" s="234">
        <f>RATES!$D$69</f>
        <v>72</v>
      </c>
      <c r="F110" s="236">
        <f>C110*E110</f>
        <v>24292.799999999999</v>
      </c>
      <c r="G110" s="118" t="s">
        <v>831</v>
      </c>
    </row>
    <row r="111" spans="1:7" ht="24.6" customHeight="1">
      <c r="A111" s="109"/>
      <c r="B111" s="136"/>
      <c r="C111" s="136"/>
      <c r="D111" s="136"/>
      <c r="E111" s="136"/>
      <c r="F111" s="117"/>
    </row>
    <row r="112" spans="1:7" ht="24.6" customHeight="1" thickBot="1">
      <c r="A112" s="141"/>
      <c r="B112" s="154" t="str">
        <f>B105</f>
        <v>ELEMENT NO. 3: WATERPROOFING</v>
      </c>
      <c r="C112" s="142"/>
      <c r="D112" s="142"/>
      <c r="E112" s="143"/>
      <c r="F112" s="116">
        <f>SUM(F107:F111)</f>
        <v>79963.799999999988</v>
      </c>
    </row>
    <row r="113" spans="1:7" ht="24.6" customHeight="1" thickTop="1" thickBot="1">
      <c r="A113" s="150"/>
      <c r="B113" s="151" t="s">
        <v>339</v>
      </c>
      <c r="C113" s="152"/>
      <c r="D113" s="152"/>
      <c r="E113" s="152"/>
      <c r="F113" s="153"/>
    </row>
    <row r="114" spans="1:7" ht="24.6" customHeight="1" thickTop="1">
      <c r="A114" s="109"/>
      <c r="B114" s="136"/>
      <c r="C114" s="136"/>
      <c r="D114" s="136"/>
      <c r="E114" s="136"/>
      <c r="F114" s="117"/>
    </row>
    <row r="115" spans="1:7" ht="24.6" customHeight="1">
      <c r="A115" s="224"/>
      <c r="B115" s="226"/>
      <c r="C115" s="226"/>
      <c r="D115" s="226"/>
      <c r="E115" s="226"/>
      <c r="F115" s="235"/>
    </row>
    <row r="116" spans="1:7" ht="24.6" customHeight="1">
      <c r="A116" s="224"/>
      <c r="B116" s="225" t="s">
        <v>381</v>
      </c>
      <c r="C116" s="226"/>
      <c r="D116" s="226"/>
      <c r="E116" s="226"/>
      <c r="F116" s="235"/>
    </row>
    <row r="117" spans="1:7" ht="24.6" customHeight="1">
      <c r="A117" s="224"/>
      <c r="B117" s="226"/>
      <c r="C117" s="226"/>
      <c r="D117" s="226"/>
      <c r="E117" s="226"/>
      <c r="F117" s="235"/>
    </row>
    <row r="118" spans="1:7" ht="24.6" customHeight="1">
      <c r="A118" s="224"/>
      <c r="B118" s="230" t="s">
        <v>455</v>
      </c>
      <c r="C118" s="226"/>
      <c r="D118" s="226"/>
      <c r="E118" s="226"/>
      <c r="F118" s="235"/>
    </row>
    <row r="119" spans="1:7" ht="24.6" customHeight="1">
      <c r="A119" s="228" t="s">
        <v>9</v>
      </c>
      <c r="B119" s="231" t="s">
        <v>642</v>
      </c>
      <c r="C119" s="232">
        <f>TAKEOFF!$H$5071</f>
        <v>4</v>
      </c>
      <c r="D119" s="233" t="s">
        <v>457</v>
      </c>
      <c r="E119" s="234">
        <f>RATES!$D$75</f>
        <v>7800</v>
      </c>
      <c r="F119" s="236">
        <f>C119*E119</f>
        <v>31200</v>
      </c>
      <c r="G119" s="118" t="s">
        <v>493</v>
      </c>
    </row>
    <row r="120" spans="1:7" ht="24.6" customHeight="1">
      <c r="A120" s="224"/>
      <c r="B120" s="226"/>
      <c r="C120" s="226"/>
      <c r="D120" s="226"/>
      <c r="E120" s="226"/>
      <c r="F120" s="235"/>
    </row>
    <row r="121" spans="1:7" ht="24.6" customHeight="1">
      <c r="A121" s="228" t="s">
        <v>11</v>
      </c>
      <c r="B121" s="231" t="s">
        <v>459</v>
      </c>
      <c r="C121" s="232">
        <f>TAKEOFF!$H$5074</f>
        <v>8</v>
      </c>
      <c r="D121" s="233" t="s">
        <v>457</v>
      </c>
      <c r="E121" s="234">
        <f>RATES!$D$76</f>
        <v>3400</v>
      </c>
      <c r="F121" s="236">
        <f>C121*E121</f>
        <v>27200</v>
      </c>
      <c r="G121" s="118" t="s">
        <v>669</v>
      </c>
    </row>
    <row r="122" spans="1:7" ht="24.6" customHeight="1">
      <c r="A122" s="224"/>
      <c r="B122" s="226"/>
      <c r="C122" s="226"/>
      <c r="D122" s="226"/>
      <c r="E122" s="226"/>
      <c r="F122" s="235"/>
    </row>
    <row r="123" spans="1:7" ht="24.6" customHeight="1">
      <c r="A123" s="228" t="s">
        <v>13</v>
      </c>
      <c r="B123" s="231" t="s">
        <v>463</v>
      </c>
      <c r="C123" s="232">
        <f>TAKEOFF!$H$5077</f>
        <v>17</v>
      </c>
      <c r="D123" s="233" t="s">
        <v>457</v>
      </c>
      <c r="E123" s="234">
        <f>RATES!$D$79</f>
        <v>1900</v>
      </c>
      <c r="F123" s="236">
        <f>C123*E123</f>
        <v>32300</v>
      </c>
      <c r="G123" s="118" t="s">
        <v>833</v>
      </c>
    </row>
    <row r="124" spans="1:7" ht="24.6" customHeight="1">
      <c r="A124" s="224"/>
      <c r="B124" s="226"/>
      <c r="C124" s="226"/>
      <c r="D124" s="226"/>
      <c r="E124" s="226"/>
      <c r="F124" s="235"/>
    </row>
    <row r="125" spans="1:7" ht="24.6" customHeight="1">
      <c r="A125" s="228" t="s">
        <v>15</v>
      </c>
      <c r="B125" s="231" t="s">
        <v>464</v>
      </c>
      <c r="C125" s="232">
        <f>TAKEOFF!$H$5080</f>
        <v>1</v>
      </c>
      <c r="D125" s="233" t="s">
        <v>457</v>
      </c>
      <c r="E125" s="234">
        <f>RATES!$D$80</f>
        <v>6800</v>
      </c>
      <c r="F125" s="236">
        <f>C125*E125</f>
        <v>6800</v>
      </c>
      <c r="G125" s="118" t="s">
        <v>458</v>
      </c>
    </row>
    <row r="126" spans="1:7" ht="24.6" customHeight="1">
      <c r="A126" s="224"/>
      <c r="B126" s="226"/>
      <c r="C126" s="226"/>
      <c r="D126" s="226"/>
      <c r="E126" s="226"/>
      <c r="F126" s="235"/>
    </row>
    <row r="127" spans="1:7" ht="24.6" customHeight="1">
      <c r="A127" s="228" t="s">
        <v>17</v>
      </c>
      <c r="B127" s="231" t="s">
        <v>646</v>
      </c>
      <c r="C127" s="232">
        <f>TAKEOFF!$H$5083</f>
        <v>2</v>
      </c>
      <c r="D127" s="233" t="s">
        <v>457</v>
      </c>
      <c r="E127" s="234">
        <f>RATES!$D$81</f>
        <v>9800</v>
      </c>
      <c r="F127" s="236">
        <f>C127*E127</f>
        <v>19600</v>
      </c>
      <c r="G127" s="118" t="s">
        <v>465</v>
      </c>
    </row>
    <row r="128" spans="1:7" ht="24.6" customHeight="1">
      <c r="A128" s="224"/>
      <c r="B128" s="226"/>
      <c r="C128" s="226"/>
      <c r="D128" s="226"/>
      <c r="E128" s="226"/>
      <c r="F128" s="235"/>
    </row>
    <row r="129" spans="1:7" ht="24.6" customHeight="1">
      <c r="A129" s="228" t="s">
        <v>19</v>
      </c>
      <c r="B129" s="231" t="s">
        <v>466</v>
      </c>
      <c r="C129" s="232">
        <f>TAKEOFF!$H$5086</f>
        <v>2</v>
      </c>
      <c r="D129" s="233" t="s">
        <v>457</v>
      </c>
      <c r="E129" s="234">
        <f>RATES!$D$82</f>
        <v>7200</v>
      </c>
      <c r="F129" s="236">
        <f>C129*E129</f>
        <v>14400</v>
      </c>
      <c r="G129" s="118" t="s">
        <v>465</v>
      </c>
    </row>
    <row r="130" spans="1:7" ht="24.6" customHeight="1">
      <c r="A130" s="224"/>
      <c r="B130" s="226"/>
      <c r="C130" s="226"/>
      <c r="D130" s="226"/>
      <c r="E130" s="226"/>
      <c r="F130" s="235"/>
    </row>
    <row r="131" spans="1:7" ht="24.6" customHeight="1">
      <c r="A131" s="228" t="s">
        <v>21</v>
      </c>
      <c r="B131" s="231" t="s">
        <v>647</v>
      </c>
      <c r="C131" s="232">
        <f>TAKEOFF!$H$5089</f>
        <v>2</v>
      </c>
      <c r="D131" s="233" t="s">
        <v>457</v>
      </c>
      <c r="E131" s="234">
        <f>RATES!$D$83</f>
        <v>8100</v>
      </c>
      <c r="F131" s="236">
        <f>C131*E131</f>
        <v>16200</v>
      </c>
      <c r="G131" s="118" t="s">
        <v>465</v>
      </c>
    </row>
    <row r="132" spans="1:7" ht="24.6" customHeight="1">
      <c r="A132" s="224"/>
      <c r="B132" s="226"/>
      <c r="C132" s="226"/>
      <c r="D132" s="226"/>
      <c r="E132" s="226"/>
      <c r="F132" s="235"/>
    </row>
    <row r="133" spans="1:7" ht="24.6" customHeight="1">
      <c r="A133" s="228" t="s">
        <v>23</v>
      </c>
      <c r="B133" s="231" t="s">
        <v>468</v>
      </c>
      <c r="C133" s="232">
        <f>TAKEOFF!$H$5092</f>
        <v>1</v>
      </c>
      <c r="D133" s="233" t="s">
        <v>457</v>
      </c>
      <c r="E133" s="234">
        <f>RATES!$D$84</f>
        <v>6900</v>
      </c>
      <c r="F133" s="236">
        <f>C133*E133</f>
        <v>6900</v>
      </c>
      <c r="G133" s="118" t="s">
        <v>458</v>
      </c>
    </row>
    <row r="134" spans="1:7" ht="24.6" customHeight="1">
      <c r="A134" s="224"/>
      <c r="B134" s="226"/>
      <c r="C134" s="226"/>
      <c r="D134" s="226"/>
      <c r="E134" s="226"/>
      <c r="F134" s="235"/>
    </row>
    <row r="135" spans="1:7" ht="24.6" customHeight="1">
      <c r="A135" s="228" t="s">
        <v>25</v>
      </c>
      <c r="B135" s="231" t="s">
        <v>649</v>
      </c>
      <c r="C135" s="232">
        <f>TAKEOFF!$H$5095</f>
        <v>2</v>
      </c>
      <c r="D135" s="233" t="s">
        <v>457</v>
      </c>
      <c r="E135" s="234">
        <f>RATES!$D$87</f>
        <v>2900</v>
      </c>
      <c r="F135" s="236">
        <f>C135*E135</f>
        <v>5800</v>
      </c>
      <c r="G135" s="118" t="s">
        <v>465</v>
      </c>
    </row>
    <row r="136" spans="1:7" ht="24.6" customHeight="1">
      <c r="A136" s="224"/>
      <c r="B136" s="226"/>
      <c r="C136" s="226"/>
      <c r="D136" s="226"/>
      <c r="E136" s="226"/>
      <c r="F136" s="235"/>
    </row>
    <row r="137" spans="1:7" ht="24.6" customHeight="1">
      <c r="A137" s="228" t="s">
        <v>27</v>
      </c>
      <c r="B137" s="231" t="s">
        <v>650</v>
      </c>
      <c r="C137" s="232">
        <f>TAKEOFF!$H$5098</f>
        <v>4</v>
      </c>
      <c r="D137" s="233" t="s">
        <v>457</v>
      </c>
      <c r="E137" s="234">
        <f>RATES!$D$88</f>
        <v>2600</v>
      </c>
      <c r="F137" s="236">
        <f>C137*E137</f>
        <v>10400</v>
      </c>
      <c r="G137" s="118" t="s">
        <v>493</v>
      </c>
    </row>
    <row r="138" spans="1:7" ht="24.6" customHeight="1">
      <c r="A138" s="224"/>
      <c r="B138" s="226"/>
      <c r="C138" s="226"/>
      <c r="D138" s="226"/>
      <c r="E138" s="226"/>
      <c r="F138" s="235"/>
    </row>
    <row r="139" spans="1:7" ht="24.6" customHeight="1">
      <c r="A139" s="228" t="s">
        <v>29</v>
      </c>
      <c r="B139" s="231" t="s">
        <v>652</v>
      </c>
      <c r="C139" s="232">
        <f>TAKEOFF!$H$5101</f>
        <v>1</v>
      </c>
      <c r="D139" s="233" t="s">
        <v>457</v>
      </c>
      <c r="E139" s="234">
        <f>RATES!$D$89</f>
        <v>1900</v>
      </c>
      <c r="F139" s="236">
        <f>C139*E139</f>
        <v>1900</v>
      </c>
      <c r="G139" s="118" t="s">
        <v>458</v>
      </c>
    </row>
    <row r="140" spans="1:7" ht="24.6" customHeight="1">
      <c r="A140" s="224"/>
      <c r="B140" s="226"/>
      <c r="C140" s="226"/>
      <c r="D140" s="226"/>
      <c r="E140" s="226"/>
      <c r="F140" s="235"/>
    </row>
    <row r="141" spans="1:7" ht="24.6" customHeight="1">
      <c r="A141" s="228" t="s">
        <v>31</v>
      </c>
      <c r="B141" s="231" t="s">
        <v>653</v>
      </c>
      <c r="C141" s="232">
        <f>TAKEOFF!$H$5104</f>
        <v>3</v>
      </c>
      <c r="D141" s="233" t="s">
        <v>457</v>
      </c>
      <c r="E141" s="234">
        <f>RATES!$D$90</f>
        <v>2200</v>
      </c>
      <c r="F141" s="236">
        <f>C141*E141</f>
        <v>6600</v>
      </c>
      <c r="G141" s="118" t="s">
        <v>467</v>
      </c>
    </row>
    <row r="142" spans="1:7" ht="24.6" customHeight="1">
      <c r="A142" s="224"/>
      <c r="B142" s="226"/>
      <c r="C142" s="226"/>
      <c r="D142" s="226"/>
      <c r="E142" s="226"/>
      <c r="F142" s="235"/>
    </row>
    <row r="143" spans="1:7" ht="24.6" customHeight="1">
      <c r="A143" s="228" t="s">
        <v>33</v>
      </c>
      <c r="B143" s="231" t="s">
        <v>654</v>
      </c>
      <c r="C143" s="232">
        <f>TAKEOFF!$H$5107</f>
        <v>1</v>
      </c>
      <c r="D143" s="233" t="s">
        <v>457</v>
      </c>
      <c r="E143" s="234">
        <f>RATES!$D$94</f>
        <v>14500</v>
      </c>
      <c r="F143" s="236">
        <f>C143*E143</f>
        <v>14500</v>
      </c>
      <c r="G143" s="118" t="s">
        <v>458</v>
      </c>
    </row>
    <row r="144" spans="1:7" ht="24.6" customHeight="1">
      <c r="A144" s="224"/>
      <c r="B144" s="226"/>
      <c r="C144" s="226"/>
      <c r="D144" s="226"/>
      <c r="E144" s="226"/>
      <c r="F144" s="235"/>
    </row>
    <row r="145" spans="1:7" ht="24.6" customHeight="1">
      <c r="A145" s="228" t="s">
        <v>35</v>
      </c>
      <c r="B145" s="231" t="s">
        <v>655</v>
      </c>
      <c r="C145" s="232">
        <f>TAKEOFF!$H$5110</f>
        <v>2</v>
      </c>
      <c r="D145" s="233" t="s">
        <v>457</v>
      </c>
      <c r="E145" s="234">
        <f>RATES!$D$95</f>
        <v>8800</v>
      </c>
      <c r="F145" s="236">
        <f>C145*E145</f>
        <v>17600</v>
      </c>
      <c r="G145" s="118" t="s">
        <v>465</v>
      </c>
    </row>
    <row r="146" spans="1:7" ht="24.6" customHeight="1">
      <c r="A146" s="224"/>
      <c r="B146" s="226"/>
      <c r="C146" s="226"/>
      <c r="D146" s="226"/>
      <c r="E146" s="226"/>
      <c r="F146" s="235"/>
    </row>
    <row r="147" spans="1:7" ht="24.6" customHeight="1">
      <c r="A147" s="228" t="s">
        <v>37</v>
      </c>
      <c r="B147" s="231" t="s">
        <v>656</v>
      </c>
      <c r="C147" s="232">
        <f>TAKEOFF!$H$5113</f>
        <v>1</v>
      </c>
      <c r="D147" s="233" t="s">
        <v>457</v>
      </c>
      <c r="E147" s="234">
        <f>RATES!$D$96</f>
        <v>7600</v>
      </c>
      <c r="F147" s="236">
        <f>C147*E147</f>
        <v>7600</v>
      </c>
      <c r="G147" s="118" t="s">
        <v>458</v>
      </c>
    </row>
    <row r="148" spans="1:7" ht="24.6" customHeight="1">
      <c r="A148" s="224"/>
      <c r="B148" s="226"/>
      <c r="C148" s="226"/>
      <c r="D148" s="226"/>
      <c r="E148" s="226"/>
      <c r="F148" s="235"/>
    </row>
    <row r="149" spans="1:7" ht="24.6" customHeight="1">
      <c r="A149" s="228" t="s">
        <v>39</v>
      </c>
      <c r="B149" s="231" t="s">
        <v>657</v>
      </c>
      <c r="C149" s="232">
        <f>TAKEOFF!$H$5116</f>
        <v>2</v>
      </c>
      <c r="D149" s="233" t="s">
        <v>457</v>
      </c>
      <c r="E149" s="234">
        <f>RATES!$D$97</f>
        <v>9300</v>
      </c>
      <c r="F149" s="236">
        <f>C149*E149</f>
        <v>18600</v>
      </c>
      <c r="G149" s="118" t="s">
        <v>465</v>
      </c>
    </row>
    <row r="150" spans="1:7" ht="24.6" customHeight="1">
      <c r="A150" s="224"/>
      <c r="B150" s="226"/>
      <c r="C150" s="226"/>
      <c r="D150" s="226"/>
      <c r="E150" s="226"/>
      <c r="F150" s="235"/>
    </row>
    <row r="151" spans="1:7" ht="24.6" customHeight="1">
      <c r="A151" s="228" t="s">
        <v>418</v>
      </c>
      <c r="B151" s="231" t="s">
        <v>474</v>
      </c>
      <c r="C151" s="232">
        <f>TAKEOFF!$H$5120</f>
        <v>129.95000000000002</v>
      </c>
      <c r="D151" s="233" t="s">
        <v>369</v>
      </c>
      <c r="E151" s="234">
        <f>RATES!$D$100</f>
        <v>125</v>
      </c>
      <c r="F151" s="236">
        <f>C151*E151</f>
        <v>16243.750000000002</v>
      </c>
      <c r="G151" s="118" t="s">
        <v>834</v>
      </c>
    </row>
    <row r="152" spans="1:7" ht="24.6" customHeight="1">
      <c r="A152" s="224"/>
      <c r="B152" s="226"/>
      <c r="C152" s="226"/>
      <c r="D152" s="226"/>
      <c r="E152" s="226"/>
      <c r="F152" s="235"/>
    </row>
    <row r="153" spans="1:7" ht="24.6" customHeight="1">
      <c r="A153" s="228" t="s">
        <v>421</v>
      </c>
      <c r="B153" s="231" t="s">
        <v>476</v>
      </c>
      <c r="C153" s="232">
        <f>TAKEOFF!$H$5124</f>
        <v>129.95000000000002</v>
      </c>
      <c r="D153" s="233" t="s">
        <v>369</v>
      </c>
      <c r="E153" s="234">
        <f>RATES!$D$101</f>
        <v>28</v>
      </c>
      <c r="F153" s="236">
        <f>C153*E153</f>
        <v>3638.6000000000004</v>
      </c>
      <c r="G153" s="118" t="s">
        <v>834</v>
      </c>
    </row>
    <row r="154" spans="1:7" ht="24.6" customHeight="1">
      <c r="A154" s="224"/>
      <c r="B154" s="226"/>
      <c r="C154" s="226"/>
      <c r="D154" s="226"/>
      <c r="E154" s="226"/>
      <c r="F154" s="235"/>
    </row>
    <row r="155" spans="1:7" s="9" customFormat="1" ht="24.6" customHeight="1">
      <c r="A155" s="224"/>
      <c r="B155" s="226"/>
      <c r="C155" s="226"/>
      <c r="D155" s="226"/>
      <c r="E155" s="226"/>
      <c r="F155" s="235"/>
    </row>
    <row r="156" spans="1:7" s="9" customFormat="1" ht="24.6" customHeight="1">
      <c r="A156" s="224"/>
      <c r="B156" s="226"/>
      <c r="C156" s="226"/>
      <c r="D156" s="226"/>
      <c r="E156" s="226"/>
      <c r="F156" s="235"/>
    </row>
    <row r="157" spans="1:7" ht="24.6" customHeight="1">
      <c r="A157" s="224"/>
      <c r="B157" s="230" t="s">
        <v>477</v>
      </c>
      <c r="C157" s="226"/>
      <c r="D157" s="226"/>
      <c r="E157" s="226"/>
      <c r="F157" s="235"/>
    </row>
    <row r="158" spans="1:7" ht="24.6" customHeight="1">
      <c r="A158" s="228" t="s">
        <v>424</v>
      </c>
      <c r="B158" s="231" t="s">
        <v>478</v>
      </c>
      <c r="C158" s="232">
        <f>TAKEOFF!$H$5128</f>
        <v>38</v>
      </c>
      <c r="D158" s="233" t="s">
        <v>479</v>
      </c>
      <c r="E158" s="234">
        <f>RATES!$D$102</f>
        <v>125</v>
      </c>
      <c r="F158" s="236">
        <f>C158*E158</f>
        <v>4750</v>
      </c>
      <c r="G158" s="118" t="s">
        <v>835</v>
      </c>
    </row>
    <row r="159" spans="1:7" ht="24.6" customHeight="1">
      <c r="A159" s="224"/>
      <c r="B159" s="226"/>
      <c r="C159" s="226"/>
      <c r="D159" s="226"/>
      <c r="E159" s="226"/>
      <c r="F159" s="235"/>
    </row>
    <row r="160" spans="1:7" ht="24.6" customHeight="1">
      <c r="A160" s="228" t="s">
        <v>427</v>
      </c>
      <c r="B160" s="231" t="s">
        <v>481</v>
      </c>
      <c r="C160" s="232">
        <f>TAKEOFF!$H$5131</f>
        <v>8</v>
      </c>
      <c r="D160" s="233" t="s">
        <v>457</v>
      </c>
      <c r="E160" s="234">
        <f>RATES!$D$103</f>
        <v>480</v>
      </c>
      <c r="F160" s="236">
        <f>C160*E160</f>
        <v>3840</v>
      </c>
      <c r="G160" s="118" t="s">
        <v>669</v>
      </c>
    </row>
    <row r="161" spans="1:7" ht="24.6" customHeight="1">
      <c r="A161" s="224"/>
      <c r="B161" s="226"/>
      <c r="C161" s="226"/>
      <c r="D161" s="226"/>
      <c r="E161" s="226"/>
      <c r="F161" s="235"/>
    </row>
    <row r="162" spans="1:7" ht="24.6" customHeight="1">
      <c r="A162" s="228" t="s">
        <v>430</v>
      </c>
      <c r="B162" s="231" t="s">
        <v>483</v>
      </c>
      <c r="C162" s="232">
        <f>TAKEOFF!$H$5134</f>
        <v>17</v>
      </c>
      <c r="D162" s="233" t="s">
        <v>457</v>
      </c>
      <c r="E162" s="234">
        <f>RATES!$D$104</f>
        <v>560</v>
      </c>
      <c r="F162" s="236">
        <f>C162*E162</f>
        <v>9520</v>
      </c>
      <c r="G162" s="118" t="s">
        <v>833</v>
      </c>
    </row>
    <row r="163" spans="1:7" ht="24.6" customHeight="1">
      <c r="A163" s="224"/>
      <c r="B163" s="226"/>
      <c r="C163" s="226"/>
      <c r="D163" s="226"/>
      <c r="E163" s="226"/>
      <c r="F163" s="235"/>
    </row>
    <row r="164" spans="1:7" ht="24.6" customHeight="1">
      <c r="A164" s="224"/>
      <c r="B164" s="230" t="s">
        <v>484</v>
      </c>
      <c r="C164" s="226"/>
      <c r="D164" s="226"/>
      <c r="E164" s="226"/>
      <c r="F164" s="235"/>
    </row>
    <row r="165" spans="1:7" ht="24.6" customHeight="1">
      <c r="A165" s="228" t="s">
        <v>433</v>
      </c>
      <c r="B165" s="231" t="s">
        <v>661</v>
      </c>
      <c r="C165" s="232">
        <f>TAKEOFF!$H$5138</f>
        <v>3</v>
      </c>
      <c r="D165" s="233" t="s">
        <v>457</v>
      </c>
      <c r="E165" s="234">
        <f>RATES!$D$109</f>
        <v>3603.6000000000008</v>
      </c>
      <c r="F165" s="236">
        <f>C165*E165</f>
        <v>10810.800000000003</v>
      </c>
      <c r="G165" s="118" t="s">
        <v>467</v>
      </c>
    </row>
    <row r="166" spans="1:7" ht="24.6" customHeight="1">
      <c r="A166" s="224"/>
      <c r="B166" s="226"/>
      <c r="C166" s="226"/>
      <c r="D166" s="226"/>
      <c r="E166" s="226"/>
      <c r="F166" s="235"/>
    </row>
    <row r="167" spans="1:7" ht="24.6" customHeight="1">
      <c r="A167" s="228" t="s">
        <v>436</v>
      </c>
      <c r="B167" s="231" t="s">
        <v>662</v>
      </c>
      <c r="C167" s="232">
        <f>TAKEOFF!$H$5141</f>
        <v>6</v>
      </c>
      <c r="D167" s="233" t="s">
        <v>457</v>
      </c>
      <c r="E167" s="234">
        <f>RATES!$D$111</f>
        <v>1801.8000000000004</v>
      </c>
      <c r="F167" s="236">
        <f>C167*E167</f>
        <v>10810.800000000003</v>
      </c>
      <c r="G167" s="118" t="s">
        <v>460</v>
      </c>
    </row>
    <row r="168" spans="1:7" ht="24.6" customHeight="1">
      <c r="A168" s="224"/>
      <c r="B168" s="226"/>
      <c r="C168" s="226"/>
      <c r="D168" s="226"/>
      <c r="E168" s="226"/>
      <c r="F168" s="235"/>
    </row>
    <row r="169" spans="1:7" ht="24.6" customHeight="1">
      <c r="A169" s="228" t="s">
        <v>439</v>
      </c>
      <c r="B169" s="231" t="s">
        <v>664</v>
      </c>
      <c r="C169" s="232">
        <f>TAKEOFF!$H$5144</f>
        <v>1</v>
      </c>
      <c r="D169" s="233" t="s">
        <v>457</v>
      </c>
      <c r="E169" s="234">
        <f>RATES!$D$114</f>
        <v>4435.2000000000007</v>
      </c>
      <c r="F169" s="236">
        <f>C169*E169</f>
        <v>4435.2000000000007</v>
      </c>
      <c r="G169" s="118" t="s">
        <v>458</v>
      </c>
    </row>
    <row r="170" spans="1:7" ht="24.6" customHeight="1">
      <c r="A170" s="224"/>
      <c r="B170" s="226"/>
      <c r="C170" s="226"/>
      <c r="D170" s="226"/>
      <c r="E170" s="226"/>
      <c r="F170" s="235"/>
    </row>
    <row r="171" spans="1:7" ht="24.6" customHeight="1">
      <c r="A171" s="228" t="s">
        <v>9</v>
      </c>
      <c r="B171" s="231" t="s">
        <v>665</v>
      </c>
      <c r="C171" s="232">
        <f>TAKEOFF!$H$5147</f>
        <v>1</v>
      </c>
      <c r="D171" s="233" t="s">
        <v>457</v>
      </c>
      <c r="E171" s="234">
        <f>RATES!$D$115</f>
        <v>3511.2000000000003</v>
      </c>
      <c r="F171" s="236">
        <f>C171*E171</f>
        <v>3511.2000000000003</v>
      </c>
      <c r="G171" s="118" t="s">
        <v>458</v>
      </c>
    </row>
    <row r="172" spans="1:7" ht="24.6" customHeight="1">
      <c r="A172" s="224"/>
      <c r="B172" s="226"/>
      <c r="C172" s="226"/>
      <c r="D172" s="226"/>
      <c r="E172" s="226"/>
      <c r="F172" s="235"/>
    </row>
    <row r="173" spans="1:7" ht="24.6" customHeight="1">
      <c r="A173" s="228" t="s">
        <v>11</v>
      </c>
      <c r="B173" s="231" t="s">
        <v>666</v>
      </c>
      <c r="C173" s="232">
        <f>TAKEOFF!$H$5150</f>
        <v>5</v>
      </c>
      <c r="D173" s="233" t="s">
        <v>457</v>
      </c>
      <c r="E173" s="234">
        <f>RATES!$D$116</f>
        <v>2125.2000000000003</v>
      </c>
      <c r="F173" s="236">
        <f>C173*E173</f>
        <v>10626.000000000002</v>
      </c>
      <c r="G173" s="118" t="s">
        <v>651</v>
      </c>
    </row>
    <row r="174" spans="1:7" ht="24.6" customHeight="1">
      <c r="A174" s="224"/>
      <c r="B174" s="226"/>
      <c r="C174" s="226"/>
      <c r="D174" s="226"/>
      <c r="E174" s="226"/>
      <c r="F174" s="235"/>
    </row>
    <row r="175" spans="1:7" ht="24.6" customHeight="1">
      <c r="A175" s="228" t="s">
        <v>13</v>
      </c>
      <c r="B175" s="231" t="s">
        <v>667</v>
      </c>
      <c r="C175" s="232">
        <f>TAKEOFF!$H$5153</f>
        <v>1</v>
      </c>
      <c r="D175" s="233" t="s">
        <v>457</v>
      </c>
      <c r="E175" s="234">
        <f>RATES!$D$117</f>
        <v>2217.6000000000004</v>
      </c>
      <c r="F175" s="236">
        <f>C175*E175</f>
        <v>2217.6000000000004</v>
      </c>
      <c r="G175" s="118" t="s">
        <v>458</v>
      </c>
    </row>
    <row r="176" spans="1:7" ht="24.6" customHeight="1">
      <c r="A176" s="224"/>
      <c r="B176" s="226"/>
      <c r="C176" s="226"/>
      <c r="D176" s="226"/>
      <c r="E176" s="226"/>
      <c r="F176" s="235"/>
    </row>
    <row r="177" spans="1:7" ht="24.6" customHeight="1">
      <c r="A177" s="228" t="s">
        <v>15</v>
      </c>
      <c r="B177" s="231" t="s">
        <v>668</v>
      </c>
      <c r="C177" s="232">
        <f>TAKEOFF!$H$5156</f>
        <v>3</v>
      </c>
      <c r="D177" s="233" t="s">
        <v>457</v>
      </c>
      <c r="E177" s="234">
        <f>RATES!$D$118</f>
        <v>3003.0000000000009</v>
      </c>
      <c r="F177" s="236">
        <f>C177*E177</f>
        <v>9009.0000000000036</v>
      </c>
      <c r="G177" s="118" t="s">
        <v>467</v>
      </c>
    </row>
    <row r="178" spans="1:7" ht="24.6" customHeight="1">
      <c r="A178" s="224"/>
      <c r="B178" s="226"/>
      <c r="C178" s="226"/>
      <c r="D178" s="226"/>
      <c r="E178" s="226"/>
      <c r="F178" s="235"/>
    </row>
    <row r="179" spans="1:7" ht="24.6" customHeight="1">
      <c r="A179" s="228" t="s">
        <v>17</v>
      </c>
      <c r="B179" s="231" t="s">
        <v>670</v>
      </c>
      <c r="C179" s="232">
        <f>TAKEOFF!$H$5159</f>
        <v>2</v>
      </c>
      <c r="D179" s="233" t="s">
        <v>457</v>
      </c>
      <c r="E179" s="234">
        <f>RATES!$D$119</f>
        <v>2656.5</v>
      </c>
      <c r="F179" s="236">
        <f>C179*E179</f>
        <v>5313</v>
      </c>
      <c r="G179" s="118" t="s">
        <v>465</v>
      </c>
    </row>
    <row r="180" spans="1:7" ht="24.6" customHeight="1">
      <c r="A180" s="224"/>
      <c r="B180" s="226"/>
      <c r="C180" s="226"/>
      <c r="D180" s="226"/>
      <c r="E180" s="226"/>
      <c r="F180" s="235"/>
    </row>
    <row r="181" spans="1:7" ht="24.6" customHeight="1">
      <c r="A181" s="228" t="s">
        <v>19</v>
      </c>
      <c r="B181" s="231" t="s">
        <v>672</v>
      </c>
      <c r="C181" s="232">
        <f>TAKEOFF!$H$5162</f>
        <v>1</v>
      </c>
      <c r="D181" s="233" t="s">
        <v>457</v>
      </c>
      <c r="E181" s="234">
        <f>RATES!$D$122</f>
        <v>7392.0000000000018</v>
      </c>
      <c r="F181" s="236">
        <f>C181*E181</f>
        <v>7392.0000000000018</v>
      </c>
      <c r="G181" s="118" t="s">
        <v>458</v>
      </c>
    </row>
    <row r="182" spans="1:7" ht="24.6" customHeight="1">
      <c r="A182" s="224"/>
      <c r="B182" s="226"/>
      <c r="C182" s="226"/>
      <c r="D182" s="226"/>
      <c r="E182" s="226"/>
      <c r="F182" s="235"/>
    </row>
    <row r="183" spans="1:7" ht="24.6" customHeight="1">
      <c r="A183" s="228" t="s">
        <v>21</v>
      </c>
      <c r="B183" s="231" t="s">
        <v>673</v>
      </c>
      <c r="C183" s="232">
        <f>TAKEOFF!$H$5165</f>
        <v>1</v>
      </c>
      <c r="D183" s="233" t="s">
        <v>457</v>
      </c>
      <c r="E183" s="234">
        <f>RATES!$D$124</f>
        <v>5266.8000000000011</v>
      </c>
      <c r="F183" s="236">
        <f>C183*E183</f>
        <v>5266.8000000000011</v>
      </c>
      <c r="G183" s="118" t="s">
        <v>458</v>
      </c>
    </row>
    <row r="184" spans="1:7" ht="24.6" customHeight="1">
      <c r="A184" s="224"/>
      <c r="B184" s="226"/>
      <c r="C184" s="226"/>
      <c r="D184" s="226"/>
      <c r="E184" s="226"/>
      <c r="F184" s="235"/>
    </row>
    <row r="185" spans="1:7" ht="24.6" customHeight="1">
      <c r="A185" s="228" t="s">
        <v>23</v>
      </c>
      <c r="B185" s="231" t="s">
        <v>492</v>
      </c>
      <c r="C185" s="232">
        <f>TAKEOFF!$H$5168</f>
        <v>10</v>
      </c>
      <c r="D185" s="233" t="s">
        <v>457</v>
      </c>
      <c r="E185" s="234">
        <f>RATES!$D$128</f>
        <v>831.60000000000014</v>
      </c>
      <c r="F185" s="236">
        <f>C185*E185</f>
        <v>8316.0000000000018</v>
      </c>
      <c r="G185" s="118" t="s">
        <v>643</v>
      </c>
    </row>
    <row r="186" spans="1:7" ht="24.6" customHeight="1">
      <c r="A186" s="224"/>
      <c r="B186" s="226"/>
      <c r="C186" s="226"/>
      <c r="D186" s="226"/>
      <c r="E186" s="226"/>
      <c r="F186" s="235"/>
    </row>
    <row r="187" spans="1:7" ht="24.6" customHeight="1">
      <c r="A187" s="228" t="s">
        <v>25</v>
      </c>
      <c r="B187" s="231" t="s">
        <v>494</v>
      </c>
      <c r="C187" s="232">
        <f>TAKEOFF!$H$5171</f>
        <v>4</v>
      </c>
      <c r="D187" s="233" t="s">
        <v>457</v>
      </c>
      <c r="E187" s="234">
        <f>RATES!$D$129</f>
        <v>693</v>
      </c>
      <c r="F187" s="236">
        <f>C187*E187</f>
        <v>2772</v>
      </c>
      <c r="G187" s="118" t="s">
        <v>493</v>
      </c>
    </row>
    <row r="188" spans="1:7" ht="24.6" customHeight="1">
      <c r="A188" s="224"/>
      <c r="B188" s="226"/>
      <c r="C188" s="226"/>
      <c r="D188" s="226"/>
      <c r="E188" s="226"/>
      <c r="F188" s="235"/>
    </row>
    <row r="189" spans="1:7" ht="24.6" customHeight="1">
      <c r="A189" s="228" t="s">
        <v>27</v>
      </c>
      <c r="B189" s="231" t="s">
        <v>677</v>
      </c>
      <c r="C189" s="232">
        <f>TAKEOFF!$H$5174</f>
        <v>1</v>
      </c>
      <c r="D189" s="233" t="s">
        <v>457</v>
      </c>
      <c r="E189" s="234">
        <f>RATES!$D$130</f>
        <v>554.40000000000009</v>
      </c>
      <c r="F189" s="236">
        <f>C189*E189</f>
        <v>554.40000000000009</v>
      </c>
      <c r="G189" s="118" t="s">
        <v>458</v>
      </c>
    </row>
    <row r="190" spans="1:7" ht="24.6" customHeight="1">
      <c r="A190" s="224"/>
      <c r="B190" s="226"/>
      <c r="C190" s="226"/>
      <c r="D190" s="226"/>
      <c r="E190" s="226"/>
      <c r="F190" s="235"/>
    </row>
    <row r="191" spans="1:7" ht="24.6" customHeight="1">
      <c r="A191" s="228" t="s">
        <v>29</v>
      </c>
      <c r="B191" s="231" t="s">
        <v>678</v>
      </c>
      <c r="C191" s="232">
        <f>TAKEOFF!$H$5177</f>
        <v>1</v>
      </c>
      <c r="D191" s="233" t="s">
        <v>457</v>
      </c>
      <c r="E191" s="234">
        <f>RATES!$D$131</f>
        <v>1108.8000000000002</v>
      </c>
      <c r="F191" s="236">
        <f>C191*E191</f>
        <v>1108.8000000000002</v>
      </c>
      <c r="G191" s="118" t="s">
        <v>458</v>
      </c>
    </row>
    <row r="192" spans="1:7" ht="24.6" customHeight="1">
      <c r="A192" s="109"/>
      <c r="B192" s="136"/>
      <c r="C192" s="136"/>
      <c r="D192" s="136"/>
      <c r="E192" s="136"/>
      <c r="F192" s="117"/>
    </row>
    <row r="193" spans="1:7" ht="24.6" customHeight="1" thickBot="1">
      <c r="A193" s="141"/>
      <c r="B193" s="154" t="str">
        <f>B116</f>
        <v>ELEMENT NO. 4: WINDOWS/DOORS</v>
      </c>
      <c r="C193" s="142"/>
      <c r="D193" s="142"/>
      <c r="E193" s="143"/>
      <c r="F193" s="116">
        <f>SUM(F118:F192)</f>
        <v>357735.94999999995</v>
      </c>
    </row>
    <row r="194" spans="1:7" ht="24.6" customHeight="1" thickTop="1" thickBot="1">
      <c r="A194" s="150"/>
      <c r="B194" s="151" t="s">
        <v>339</v>
      </c>
      <c r="C194" s="152"/>
      <c r="D194" s="152"/>
      <c r="E194" s="152"/>
      <c r="F194" s="153"/>
    </row>
    <row r="195" spans="1:7" ht="24.6" customHeight="1" thickTop="1">
      <c r="A195" s="109"/>
      <c r="B195" s="136"/>
      <c r="C195" s="136"/>
      <c r="D195" s="136"/>
      <c r="E195" s="136"/>
      <c r="F195" s="117"/>
    </row>
    <row r="196" spans="1:7" ht="24.6" customHeight="1">
      <c r="A196" s="224"/>
      <c r="B196" s="226"/>
      <c r="C196" s="226"/>
      <c r="D196" s="226"/>
      <c r="E196" s="226"/>
      <c r="F196" s="235"/>
    </row>
    <row r="197" spans="1:7" ht="24.6" customHeight="1">
      <c r="A197" s="224"/>
      <c r="B197" s="225" t="s">
        <v>382</v>
      </c>
      <c r="C197" s="226"/>
      <c r="D197" s="226"/>
      <c r="E197" s="226"/>
      <c r="F197" s="235"/>
    </row>
    <row r="198" spans="1:7" ht="24.6" customHeight="1">
      <c r="A198" s="224"/>
      <c r="B198" s="226"/>
      <c r="C198" s="226"/>
      <c r="D198" s="226"/>
      <c r="E198" s="226"/>
      <c r="F198" s="235"/>
    </row>
    <row r="199" spans="1:7" ht="24.6" customHeight="1">
      <c r="A199" s="224"/>
      <c r="B199" s="230" t="s">
        <v>495</v>
      </c>
      <c r="C199" s="226"/>
      <c r="D199" s="226"/>
      <c r="E199" s="226"/>
      <c r="F199" s="235"/>
    </row>
    <row r="200" spans="1:7" ht="24.6" customHeight="1">
      <c r="A200" s="228" t="s">
        <v>9</v>
      </c>
      <c r="B200" s="231" t="s">
        <v>496</v>
      </c>
      <c r="C200" s="232">
        <f>TAKEOFF!$H$5182</f>
        <v>572.70000000000005</v>
      </c>
      <c r="D200" s="233" t="s">
        <v>322</v>
      </c>
      <c r="E200" s="234">
        <f>RATES!$D$50</f>
        <v>68</v>
      </c>
      <c r="F200" s="236">
        <f>C200*E200</f>
        <v>38943.600000000006</v>
      </c>
      <c r="G200" s="118" t="s">
        <v>836</v>
      </c>
    </row>
    <row r="201" spans="1:7" ht="24.6" customHeight="1">
      <c r="A201" s="224"/>
      <c r="B201" s="226"/>
      <c r="C201" s="226"/>
      <c r="D201" s="226"/>
      <c r="E201" s="226"/>
      <c r="F201" s="235"/>
    </row>
    <row r="202" spans="1:7" ht="24.6" customHeight="1">
      <c r="A202" s="228" t="s">
        <v>11</v>
      </c>
      <c r="B202" s="231" t="s">
        <v>498</v>
      </c>
      <c r="C202" s="232">
        <f>TAKEOFF!$H$5193</f>
        <v>636.18000000000006</v>
      </c>
      <c r="D202" s="233" t="s">
        <v>322</v>
      </c>
      <c r="E202" s="234">
        <f>RATES!$D$51</f>
        <v>48</v>
      </c>
      <c r="F202" s="236">
        <f>C202*E202</f>
        <v>30536.640000000003</v>
      </c>
      <c r="G202" s="118" t="s">
        <v>837</v>
      </c>
    </row>
    <row r="203" spans="1:7" ht="24.6" customHeight="1">
      <c r="A203" s="224"/>
      <c r="B203" s="226"/>
      <c r="C203" s="226"/>
      <c r="D203" s="226"/>
      <c r="E203" s="226"/>
      <c r="F203" s="235"/>
    </row>
    <row r="204" spans="1:7" ht="24.6" customHeight="1">
      <c r="A204" s="228" t="s">
        <v>13</v>
      </c>
      <c r="B204" s="231" t="s">
        <v>500</v>
      </c>
      <c r="C204" s="232">
        <f>TAKEOFF!$H$5196</f>
        <v>48.7</v>
      </c>
      <c r="D204" s="233" t="s">
        <v>322</v>
      </c>
      <c r="E204" s="234">
        <f>RATES!$D$53</f>
        <v>230</v>
      </c>
      <c r="F204" s="236">
        <f>C204*E204</f>
        <v>11201</v>
      </c>
      <c r="G204" s="118" t="s">
        <v>838</v>
      </c>
    </row>
    <row r="205" spans="1:7" ht="24.6" customHeight="1">
      <c r="A205" s="224"/>
      <c r="B205" s="226"/>
      <c r="C205" s="226"/>
      <c r="D205" s="226"/>
      <c r="E205" s="226"/>
      <c r="F205" s="235"/>
    </row>
    <row r="206" spans="1:7" ht="24.6" customHeight="1">
      <c r="A206" s="228" t="s">
        <v>15</v>
      </c>
      <c r="B206" s="231" t="s">
        <v>502</v>
      </c>
      <c r="C206" s="232">
        <f>TAKEOFF!$H$5206</f>
        <v>63.480000000000004</v>
      </c>
      <c r="D206" s="233" t="s">
        <v>322</v>
      </c>
      <c r="E206" s="234">
        <f>RATES!$D$54</f>
        <v>270</v>
      </c>
      <c r="F206" s="236">
        <f>C206*E206</f>
        <v>17139.600000000002</v>
      </c>
      <c r="G206" s="118" t="s">
        <v>569</v>
      </c>
    </row>
    <row r="207" spans="1:7" ht="24.6" customHeight="1">
      <c r="A207" s="224"/>
      <c r="B207" s="226"/>
      <c r="C207" s="226"/>
      <c r="D207" s="226"/>
      <c r="E207" s="226"/>
      <c r="F207" s="235"/>
    </row>
    <row r="208" spans="1:7" ht="24.6" customHeight="1">
      <c r="A208" s="228" t="s">
        <v>17</v>
      </c>
      <c r="B208" s="231" t="s">
        <v>504</v>
      </c>
      <c r="C208" s="232">
        <f>TAKEOFF!$H$5209</f>
        <v>293.7</v>
      </c>
      <c r="D208" s="233" t="s">
        <v>322</v>
      </c>
      <c r="E208" s="234">
        <f>RATES!$D$55</f>
        <v>265</v>
      </c>
      <c r="F208" s="236">
        <f>C208*E208</f>
        <v>77830.5</v>
      </c>
      <c r="G208" s="118" t="s">
        <v>839</v>
      </c>
    </row>
    <row r="209" spans="1:7" ht="24.6" customHeight="1">
      <c r="A209" s="224"/>
      <c r="B209" s="226"/>
      <c r="C209" s="226"/>
      <c r="D209" s="226"/>
      <c r="E209" s="226"/>
      <c r="F209" s="235"/>
    </row>
    <row r="210" spans="1:7" ht="24.6" customHeight="1">
      <c r="A210" s="228" t="s">
        <v>19</v>
      </c>
      <c r="B210" s="231" t="s">
        <v>506</v>
      </c>
      <c r="C210" s="232">
        <f>TAKEOFF!$H$5212</f>
        <v>33.799999999999997</v>
      </c>
      <c r="D210" s="233" t="s">
        <v>322</v>
      </c>
      <c r="E210" s="234">
        <f>RATES!$D$56</f>
        <v>330</v>
      </c>
      <c r="F210" s="236">
        <f>C210*E210</f>
        <v>11153.999999999998</v>
      </c>
      <c r="G210" s="118" t="s">
        <v>742</v>
      </c>
    </row>
    <row r="211" spans="1:7" ht="24.6" customHeight="1">
      <c r="A211" s="224"/>
      <c r="B211" s="226"/>
      <c r="C211" s="226"/>
      <c r="D211" s="226"/>
      <c r="E211" s="226"/>
      <c r="F211" s="235"/>
    </row>
    <row r="212" spans="1:7" ht="24.6" customHeight="1">
      <c r="A212" s="228" t="s">
        <v>21</v>
      </c>
      <c r="B212" s="231" t="s">
        <v>508</v>
      </c>
      <c r="C212" s="232">
        <f>TAKEOFF!$H$5215</f>
        <v>196.5</v>
      </c>
      <c r="D212" s="233" t="s">
        <v>322</v>
      </c>
      <c r="E212" s="234">
        <f>RATES!$D$57</f>
        <v>250</v>
      </c>
      <c r="F212" s="236">
        <f>C212*E212</f>
        <v>49125</v>
      </c>
      <c r="G212" s="118" t="s">
        <v>840</v>
      </c>
    </row>
    <row r="213" spans="1:7" ht="24.6" customHeight="1">
      <c r="A213" s="224"/>
      <c r="B213" s="226"/>
      <c r="C213" s="226"/>
      <c r="D213" s="226"/>
      <c r="E213" s="226"/>
      <c r="F213" s="235"/>
    </row>
    <row r="214" spans="1:7" ht="24.6" customHeight="1">
      <c r="A214" s="228" t="s">
        <v>23</v>
      </c>
      <c r="B214" s="231" t="s">
        <v>510</v>
      </c>
      <c r="C214" s="232">
        <f>TAKEOFF!$H$5218</f>
        <v>337.4</v>
      </c>
      <c r="D214" s="233" t="s">
        <v>322</v>
      </c>
      <c r="E214" s="234">
        <f>RATES!$D$58</f>
        <v>360</v>
      </c>
      <c r="F214" s="236">
        <f>C214*E214</f>
        <v>121463.99999999999</v>
      </c>
      <c r="G214" s="118" t="s">
        <v>831</v>
      </c>
    </row>
    <row r="215" spans="1:7" ht="24.6" customHeight="1">
      <c r="A215" s="109"/>
      <c r="B215" s="136"/>
      <c r="C215" s="136"/>
      <c r="D215" s="136"/>
      <c r="E215" s="136"/>
      <c r="F215" s="117"/>
    </row>
    <row r="216" spans="1:7" ht="24.6" customHeight="1" thickBot="1">
      <c r="A216" s="141"/>
      <c r="B216" s="154" t="str">
        <f>B197</f>
        <v>ELEMENT NO. 5: FLOOR FINISHES</v>
      </c>
      <c r="C216" s="142"/>
      <c r="D216" s="142"/>
      <c r="E216" s="143"/>
      <c r="F216" s="116">
        <f>SUM(F199:F215)</f>
        <v>357394.34</v>
      </c>
    </row>
    <row r="217" spans="1:7" ht="24.6" customHeight="1" thickTop="1" thickBot="1">
      <c r="A217" s="150"/>
      <c r="B217" s="151" t="s">
        <v>339</v>
      </c>
      <c r="C217" s="152"/>
      <c r="D217" s="152"/>
      <c r="E217" s="152"/>
      <c r="F217" s="153"/>
    </row>
    <row r="218" spans="1:7" ht="24.6" customHeight="1" thickTop="1">
      <c r="A218" s="109"/>
      <c r="B218" s="136"/>
      <c r="C218" s="136"/>
      <c r="D218" s="136"/>
      <c r="E218" s="136"/>
      <c r="F218" s="117"/>
    </row>
    <row r="219" spans="1:7" ht="24.6" customHeight="1">
      <c r="A219" s="224"/>
      <c r="B219" s="226"/>
      <c r="C219" s="226"/>
      <c r="D219" s="226"/>
      <c r="E219" s="226"/>
      <c r="F219" s="235"/>
    </row>
    <row r="220" spans="1:7" ht="24.6" customHeight="1">
      <c r="A220" s="224"/>
      <c r="B220" s="225" t="s">
        <v>383</v>
      </c>
      <c r="C220" s="226"/>
      <c r="D220" s="226"/>
      <c r="E220" s="226"/>
      <c r="F220" s="235"/>
    </row>
    <row r="221" spans="1:7" ht="24.6" customHeight="1">
      <c r="A221" s="224"/>
      <c r="B221" s="226"/>
      <c r="C221" s="226"/>
      <c r="D221" s="226"/>
      <c r="E221" s="226"/>
      <c r="F221" s="235"/>
    </row>
    <row r="222" spans="1:7" ht="24.6" customHeight="1">
      <c r="A222" s="224"/>
      <c r="B222" s="230" t="s">
        <v>512</v>
      </c>
      <c r="C222" s="226"/>
      <c r="D222" s="226"/>
      <c r="E222" s="226"/>
      <c r="F222" s="235"/>
    </row>
    <row r="223" spans="1:7" ht="24.6" customHeight="1">
      <c r="A223" s="228" t="s">
        <v>9</v>
      </c>
      <c r="B223" s="231" t="s">
        <v>513</v>
      </c>
      <c r="C223" s="232">
        <f>TAKEOFF!$H$5257</f>
        <v>1573.2197368421052</v>
      </c>
      <c r="D223" s="233" t="s">
        <v>322</v>
      </c>
      <c r="E223" s="234">
        <f>RATES!$D$48</f>
        <v>78</v>
      </c>
      <c r="F223" s="236">
        <f>C223*E223</f>
        <v>122711.1394736842</v>
      </c>
      <c r="G223" s="118" t="s">
        <v>841</v>
      </c>
    </row>
    <row r="224" spans="1:7" ht="24.6" customHeight="1">
      <c r="A224" s="224"/>
      <c r="B224" s="226"/>
      <c r="C224" s="226"/>
      <c r="D224" s="226"/>
      <c r="E224" s="226"/>
      <c r="F224" s="235"/>
    </row>
    <row r="225" spans="1:7" ht="24.6" customHeight="1">
      <c r="A225" s="228" t="s">
        <v>11</v>
      </c>
      <c r="B225" s="231" t="s">
        <v>515</v>
      </c>
      <c r="C225" s="232">
        <f>TAKEOFF!$H$5261</f>
        <v>291.55921052631584</v>
      </c>
      <c r="D225" s="233" t="s">
        <v>322</v>
      </c>
      <c r="E225" s="234">
        <f>RATES!$D$48</f>
        <v>78</v>
      </c>
      <c r="F225" s="236">
        <f>C225*E225</f>
        <v>22741.618421052633</v>
      </c>
      <c r="G225" s="118" t="s">
        <v>842</v>
      </c>
    </row>
    <row r="226" spans="1:7" ht="24.6" customHeight="1">
      <c r="A226" s="224"/>
      <c r="B226" s="226"/>
      <c r="C226" s="226"/>
      <c r="D226" s="226"/>
      <c r="E226" s="226"/>
      <c r="F226" s="235"/>
    </row>
    <row r="227" spans="1:7" ht="24.6" customHeight="1">
      <c r="A227" s="228" t="s">
        <v>13</v>
      </c>
      <c r="B227" s="231" t="s">
        <v>517</v>
      </c>
      <c r="C227" s="232">
        <f>TAKEOFF!$H$5278</f>
        <v>686.18999999999994</v>
      </c>
      <c r="D227" s="233" t="s">
        <v>322</v>
      </c>
      <c r="E227" s="234">
        <f>RATES!$D$49</f>
        <v>88</v>
      </c>
      <c r="F227" s="236">
        <f>C227*E227</f>
        <v>60384.719999999994</v>
      </c>
      <c r="G227" s="118" t="s">
        <v>843</v>
      </c>
    </row>
    <row r="228" spans="1:7" ht="24.6" customHeight="1">
      <c r="A228" s="224"/>
      <c r="B228" s="226"/>
      <c r="C228" s="226"/>
      <c r="D228" s="226"/>
      <c r="E228" s="226"/>
      <c r="F228" s="235"/>
    </row>
    <row r="229" spans="1:7" ht="24.6" customHeight="1">
      <c r="A229" s="228" t="s">
        <v>15</v>
      </c>
      <c r="B229" s="231" t="s">
        <v>519</v>
      </c>
      <c r="C229" s="232">
        <f>TAKEOFF!$H$5282</f>
        <v>224.91710526315791</v>
      </c>
      <c r="D229" s="233" t="s">
        <v>322</v>
      </c>
      <c r="E229" s="234">
        <f>RATES!$D$52</f>
        <v>55</v>
      </c>
      <c r="F229" s="236">
        <f>C229*E229</f>
        <v>12370.440789473685</v>
      </c>
      <c r="G229" s="118" t="s">
        <v>844</v>
      </c>
    </row>
    <row r="230" spans="1:7" ht="24.6" customHeight="1">
      <c r="A230" s="224"/>
      <c r="B230" s="226"/>
      <c r="C230" s="226"/>
      <c r="D230" s="226"/>
      <c r="E230" s="226"/>
      <c r="F230" s="235"/>
    </row>
    <row r="231" spans="1:7" ht="24.6" customHeight="1">
      <c r="A231" s="228" t="s">
        <v>17</v>
      </c>
      <c r="B231" s="231" t="s">
        <v>521</v>
      </c>
      <c r="C231" s="232">
        <f>TAKEOFF!$H$5286</f>
        <v>224.91710526315791</v>
      </c>
      <c r="D231" s="233" t="s">
        <v>322</v>
      </c>
      <c r="E231" s="234">
        <f>RATES!$D$60</f>
        <v>240</v>
      </c>
      <c r="F231" s="236">
        <f>C231*E231</f>
        <v>53980.1052631579</v>
      </c>
      <c r="G231" s="118" t="s">
        <v>844</v>
      </c>
    </row>
    <row r="232" spans="1:7" ht="24.6" customHeight="1">
      <c r="A232" s="109"/>
      <c r="B232" s="136"/>
      <c r="C232" s="136"/>
      <c r="D232" s="136"/>
      <c r="E232" s="136"/>
      <c r="F232" s="117"/>
    </row>
    <row r="233" spans="1:7" ht="24.6" customHeight="1" thickBot="1">
      <c r="A233" s="141"/>
      <c r="B233" s="154" t="str">
        <f>B220</f>
        <v>ELEMENT NO. 6: WALL FINISHES</v>
      </c>
      <c r="C233" s="142"/>
      <c r="D233" s="142"/>
      <c r="E233" s="143"/>
      <c r="F233" s="116">
        <f>SUM(F222:F232)</f>
        <v>272188.02394736843</v>
      </c>
    </row>
    <row r="234" spans="1:7" ht="24.6" customHeight="1" thickTop="1" thickBot="1">
      <c r="A234" s="150"/>
      <c r="B234" s="151" t="s">
        <v>339</v>
      </c>
      <c r="C234" s="152"/>
      <c r="D234" s="152"/>
      <c r="E234" s="152"/>
      <c r="F234" s="153"/>
    </row>
    <row r="235" spans="1:7" ht="24.6" customHeight="1" thickTop="1">
      <c r="A235" s="109"/>
      <c r="B235" s="136"/>
      <c r="C235" s="136"/>
      <c r="D235" s="136"/>
      <c r="E235" s="136"/>
      <c r="F235" s="117"/>
    </row>
    <row r="236" spans="1:7" ht="24.6" customHeight="1">
      <c r="A236" s="224"/>
      <c r="B236" s="226"/>
      <c r="C236" s="226"/>
      <c r="D236" s="226"/>
      <c r="E236" s="226"/>
      <c r="F236" s="235"/>
    </row>
    <row r="237" spans="1:7" ht="24.6" customHeight="1">
      <c r="A237" s="224"/>
      <c r="B237" s="225" t="s">
        <v>384</v>
      </c>
      <c r="C237" s="226"/>
      <c r="D237" s="226"/>
      <c r="E237" s="226"/>
      <c r="F237" s="235"/>
    </row>
    <row r="238" spans="1:7" ht="24.6" customHeight="1">
      <c r="A238" s="224"/>
      <c r="B238" s="226"/>
      <c r="C238" s="226"/>
      <c r="D238" s="226"/>
      <c r="E238" s="226"/>
      <c r="F238" s="235"/>
    </row>
    <row r="239" spans="1:7" ht="24.6" customHeight="1">
      <c r="A239" s="224"/>
      <c r="B239" s="230" t="s">
        <v>522</v>
      </c>
      <c r="C239" s="226"/>
      <c r="D239" s="226"/>
      <c r="E239" s="226"/>
      <c r="F239" s="235"/>
    </row>
    <row r="240" spans="1:7" ht="24.6" customHeight="1">
      <c r="A240" s="228" t="s">
        <v>9</v>
      </c>
      <c r="B240" s="231" t="s">
        <v>513</v>
      </c>
      <c r="C240" s="232">
        <f>TAKEOFF!$H$5325</f>
        <v>1573.2197368421052</v>
      </c>
      <c r="D240" s="233" t="s">
        <v>322</v>
      </c>
      <c r="E240" s="234">
        <f>RATES!$D$61</f>
        <v>45</v>
      </c>
      <c r="F240" s="236">
        <f>C240*E240</f>
        <v>70794.888157894733</v>
      </c>
      <c r="G240" s="118" t="s">
        <v>841</v>
      </c>
    </row>
    <row r="241" spans="1:7" ht="24.6" customHeight="1">
      <c r="A241" s="224"/>
      <c r="B241" s="226"/>
      <c r="C241" s="226"/>
      <c r="D241" s="226"/>
      <c r="E241" s="226"/>
      <c r="F241" s="235"/>
    </row>
    <row r="242" spans="1:7" ht="24.6" customHeight="1">
      <c r="A242" s="228" t="s">
        <v>11</v>
      </c>
      <c r="B242" s="231" t="s">
        <v>523</v>
      </c>
      <c r="C242" s="232">
        <f>TAKEOFF!$H$5331</f>
        <v>66.64210526315793</v>
      </c>
      <c r="D242" s="233" t="s">
        <v>322</v>
      </c>
      <c r="E242" s="234">
        <f>RATES!$D$61</f>
        <v>45</v>
      </c>
      <c r="F242" s="236">
        <f>C242*E242</f>
        <v>2998.8947368421068</v>
      </c>
      <c r="G242" s="118" t="s">
        <v>845</v>
      </c>
    </row>
    <row r="243" spans="1:7" ht="24.6" customHeight="1">
      <c r="A243" s="224"/>
      <c r="B243" s="226"/>
      <c r="C243" s="226"/>
      <c r="D243" s="226"/>
      <c r="E243" s="226"/>
      <c r="F243" s="235"/>
    </row>
    <row r="244" spans="1:7" ht="24.6" customHeight="1">
      <c r="A244" s="228" t="s">
        <v>13</v>
      </c>
      <c r="B244" s="231" t="s">
        <v>525</v>
      </c>
      <c r="C244" s="232">
        <f>TAKEOFF!$H$5348</f>
        <v>686.18999999999994</v>
      </c>
      <c r="D244" s="233" t="s">
        <v>322</v>
      </c>
      <c r="E244" s="234">
        <f>RATES!$D$62</f>
        <v>62</v>
      </c>
      <c r="F244" s="236">
        <f>C244*E244</f>
        <v>42543.78</v>
      </c>
      <c r="G244" s="118" t="s">
        <v>843</v>
      </c>
    </row>
    <row r="245" spans="1:7" ht="24.6" customHeight="1">
      <c r="A245" s="224"/>
      <c r="B245" s="226"/>
      <c r="C245" s="226"/>
      <c r="D245" s="226"/>
      <c r="E245" s="226"/>
      <c r="F245" s="235"/>
    </row>
    <row r="246" spans="1:7" ht="24.6" customHeight="1">
      <c r="A246" s="228" t="s">
        <v>15</v>
      </c>
      <c r="B246" s="231" t="s">
        <v>527</v>
      </c>
      <c r="C246" s="232">
        <f>TAKEOFF!$H$5351</f>
        <v>524</v>
      </c>
      <c r="D246" s="233" t="s">
        <v>322</v>
      </c>
      <c r="E246" s="234">
        <f>RATES!$D$63</f>
        <v>48</v>
      </c>
      <c r="F246" s="236">
        <f>C246*E246</f>
        <v>25152</v>
      </c>
      <c r="G246" s="118" t="s">
        <v>846</v>
      </c>
    </row>
    <row r="247" spans="1:7" ht="24.6" customHeight="1">
      <c r="A247" s="224"/>
      <c r="B247" s="226"/>
      <c r="C247" s="226"/>
      <c r="D247" s="226"/>
      <c r="E247" s="226"/>
      <c r="F247" s="235"/>
    </row>
    <row r="248" spans="1:7" ht="24.6" customHeight="1">
      <c r="A248" s="228" t="s">
        <v>17</v>
      </c>
      <c r="B248" s="231" t="s">
        <v>529</v>
      </c>
      <c r="C248" s="232">
        <f>TAKEOFF!$H$5354</f>
        <v>48.7</v>
      </c>
      <c r="D248" s="233" t="s">
        <v>322</v>
      </c>
      <c r="E248" s="234">
        <f>RATES!$D$63</f>
        <v>48</v>
      </c>
      <c r="F248" s="236">
        <f>C248*E248</f>
        <v>2337.6000000000004</v>
      </c>
      <c r="G248" s="118" t="s">
        <v>838</v>
      </c>
    </row>
    <row r="249" spans="1:7" ht="24.6" customHeight="1">
      <c r="A249" s="224"/>
      <c r="B249" s="226"/>
      <c r="C249" s="226"/>
      <c r="D249" s="226"/>
      <c r="E249" s="226"/>
      <c r="F249" s="235"/>
    </row>
    <row r="250" spans="1:7" ht="24.6" customHeight="1">
      <c r="A250" s="228" t="s">
        <v>19</v>
      </c>
      <c r="B250" s="231" t="s">
        <v>530</v>
      </c>
      <c r="C250" s="232">
        <f>TAKEOFF!$H$5360</f>
        <v>120.26750000000001</v>
      </c>
      <c r="D250" s="233" t="s">
        <v>322</v>
      </c>
      <c r="E250" s="234">
        <f>RATES!$D$64</f>
        <v>72</v>
      </c>
      <c r="F250" s="236">
        <f>C250*E250</f>
        <v>8659.26</v>
      </c>
      <c r="G250" s="118" t="s">
        <v>847</v>
      </c>
    </row>
    <row r="251" spans="1:7" ht="24.6" customHeight="1">
      <c r="A251" s="224"/>
      <c r="B251" s="226"/>
      <c r="C251" s="226"/>
      <c r="D251" s="226"/>
      <c r="E251" s="226"/>
      <c r="F251" s="235"/>
    </row>
    <row r="252" spans="1:7" ht="24.6" customHeight="1">
      <c r="A252" s="228" t="s">
        <v>21</v>
      </c>
      <c r="B252" s="231" t="s">
        <v>532</v>
      </c>
      <c r="C252" s="232">
        <f>TAKEOFF!$H$5376</f>
        <v>53.339999999999996</v>
      </c>
      <c r="D252" s="233" t="s">
        <v>322</v>
      </c>
      <c r="E252" s="234">
        <f>RATES!$D$65</f>
        <v>40</v>
      </c>
      <c r="F252" s="236">
        <f>C252*E252</f>
        <v>2133.6</v>
      </c>
      <c r="G252" s="118" t="s">
        <v>848</v>
      </c>
    </row>
    <row r="253" spans="1:7" ht="24.6" customHeight="1">
      <c r="A253" s="109"/>
      <c r="B253" s="136"/>
      <c r="C253" s="136"/>
      <c r="D253" s="136"/>
      <c r="E253" s="136"/>
      <c r="F253" s="117"/>
    </row>
    <row r="254" spans="1:7" ht="24.6" customHeight="1" thickBot="1">
      <c r="A254" s="141"/>
      <c r="B254" s="154" t="str">
        <f>B237</f>
        <v>ELEMENT NO. 7: PAINTING AND DECORATING</v>
      </c>
      <c r="C254" s="142"/>
      <c r="D254" s="142"/>
      <c r="E254" s="143"/>
      <c r="F254" s="116">
        <f>SUM(F239:F253)</f>
        <v>154620.02289473685</v>
      </c>
    </row>
    <row r="255" spans="1:7" ht="24.6" customHeight="1" thickTop="1" thickBot="1">
      <c r="A255" s="141"/>
      <c r="B255" s="154" t="s">
        <v>339</v>
      </c>
      <c r="C255" s="142"/>
      <c r="D255" s="142"/>
      <c r="E255" s="143"/>
      <c r="F255" s="116"/>
    </row>
    <row r="256" spans="1:7" ht="15" customHeight="1" thickTop="1"/>
    <row r="258" spans="2:2" ht="31.2">
      <c r="B258" s="119" t="s">
        <v>534</v>
      </c>
    </row>
  </sheetData>
  <pageMargins left="0.75" right="0.75" top="1" bottom="1" header="0.5" footer="0.5"/>
  <pageSetup scale="39" fitToHeight="0" orientation="portrait" r:id="rId1"/>
  <rowBreaks count="5" manualBreakCount="5">
    <brk id="28" max="5" man="1"/>
    <brk id="93" max="5" man="1"/>
    <brk id="154" max="5" man="1"/>
    <brk id="194" max="5" man="1"/>
    <brk id="234"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250"/>
  <sheetViews>
    <sheetView view="pageBreakPreview" zoomScale="60" zoomScaleNormal="100" workbookViewId="0">
      <selection activeCell="B251" sqref="B251"/>
    </sheetView>
  </sheetViews>
  <sheetFormatPr defaultRowHeight="14.4"/>
  <cols>
    <col min="1" max="1" width="13.33203125" style="9" customWidth="1"/>
    <col min="2" max="2" width="124.5546875" style="9" customWidth="1"/>
    <col min="3" max="3" width="26.44140625" style="9" customWidth="1"/>
    <col min="4" max="4" width="21.10937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5.2" customHeight="1">
      <c r="A6" s="155"/>
      <c r="B6" s="156"/>
      <c r="C6" s="156"/>
      <c r="D6" s="156"/>
      <c r="E6" s="156"/>
      <c r="F6" s="157"/>
    </row>
    <row r="7" spans="1:7" ht="25.2" customHeight="1">
      <c r="A7" s="224"/>
      <c r="B7" s="225" t="s">
        <v>313</v>
      </c>
      <c r="C7" s="226"/>
      <c r="D7" s="226"/>
      <c r="E7" s="226"/>
      <c r="F7" s="235"/>
    </row>
    <row r="8" spans="1:7" ht="25.2" customHeight="1">
      <c r="A8" s="224"/>
      <c r="B8" s="226"/>
      <c r="C8" s="226"/>
      <c r="D8" s="226"/>
      <c r="E8" s="226"/>
      <c r="F8" s="235"/>
    </row>
    <row r="9" spans="1:7" ht="25.2" customHeight="1">
      <c r="A9" s="224"/>
      <c r="B9" s="225" t="s">
        <v>849</v>
      </c>
      <c r="C9" s="226"/>
      <c r="D9" s="226"/>
      <c r="E9" s="226"/>
      <c r="F9" s="235"/>
    </row>
    <row r="10" spans="1:7" ht="25.2" customHeight="1">
      <c r="A10" s="224"/>
      <c r="B10" s="226"/>
      <c r="C10" s="226"/>
      <c r="D10" s="226"/>
      <c r="E10" s="226"/>
      <c r="F10" s="235"/>
    </row>
    <row r="11" spans="1:7" ht="25.2" customHeight="1">
      <c r="A11" s="224"/>
      <c r="B11" s="227" t="s">
        <v>314</v>
      </c>
      <c r="C11" s="226"/>
      <c r="D11" s="226"/>
      <c r="E11" s="226"/>
      <c r="F11" s="235"/>
    </row>
    <row r="12" spans="1:7" ht="25.2" customHeight="1">
      <c r="A12" s="224"/>
      <c r="B12" s="226"/>
      <c r="C12" s="226"/>
      <c r="D12" s="226"/>
      <c r="E12" s="226"/>
      <c r="F12" s="235"/>
    </row>
    <row r="13" spans="1:7" ht="25.2" customHeight="1">
      <c r="A13" s="228" t="s">
        <v>9</v>
      </c>
      <c r="B13" s="229" t="s">
        <v>379</v>
      </c>
      <c r="C13" s="226"/>
      <c r="D13" s="226"/>
      <c r="E13" s="226"/>
      <c r="F13" s="236">
        <f>F89</f>
        <v>2042424.5213749995</v>
      </c>
    </row>
    <row r="14" spans="1:7" ht="25.2" customHeight="1">
      <c r="A14" s="224"/>
      <c r="B14" s="226"/>
      <c r="C14" s="226"/>
      <c r="D14" s="226"/>
      <c r="E14" s="226"/>
      <c r="F14" s="235"/>
    </row>
    <row r="15" spans="1:7" ht="25.2" customHeight="1">
      <c r="A15" s="228" t="s">
        <v>11</v>
      </c>
      <c r="B15" s="229" t="s">
        <v>380</v>
      </c>
      <c r="C15" s="226"/>
      <c r="D15" s="226"/>
      <c r="E15" s="226"/>
      <c r="F15" s="236">
        <f>F100</f>
        <v>293194.0845</v>
      </c>
    </row>
    <row r="16" spans="1:7" ht="25.2" customHeight="1">
      <c r="A16" s="224"/>
      <c r="B16" s="226"/>
      <c r="C16" s="226"/>
      <c r="D16" s="226"/>
      <c r="E16" s="226"/>
      <c r="F16" s="235"/>
    </row>
    <row r="17" spans="1:6" ht="25.2" customHeight="1">
      <c r="A17" s="228" t="s">
        <v>13</v>
      </c>
      <c r="B17" s="229" t="s">
        <v>381</v>
      </c>
      <c r="C17" s="226"/>
      <c r="D17" s="226"/>
      <c r="E17" s="226"/>
      <c r="F17" s="236">
        <f>F187</f>
        <v>451212.80000000005</v>
      </c>
    </row>
    <row r="18" spans="1:6" ht="25.2" customHeight="1">
      <c r="A18" s="224"/>
      <c r="B18" s="226"/>
      <c r="C18" s="226"/>
      <c r="D18" s="226"/>
      <c r="E18" s="226"/>
      <c r="F18" s="235"/>
    </row>
    <row r="19" spans="1:6" ht="25.2" customHeight="1">
      <c r="A19" s="228" t="s">
        <v>15</v>
      </c>
      <c r="B19" s="229" t="s">
        <v>382</v>
      </c>
      <c r="C19" s="226"/>
      <c r="D19" s="226"/>
      <c r="E19" s="226"/>
      <c r="F19" s="236">
        <f>F208</f>
        <v>264471.94</v>
      </c>
    </row>
    <row r="20" spans="1:6" ht="25.2" customHeight="1">
      <c r="A20" s="224"/>
      <c r="B20" s="226"/>
      <c r="C20" s="226"/>
      <c r="D20" s="226"/>
      <c r="E20" s="226"/>
      <c r="F20" s="235"/>
    </row>
    <row r="21" spans="1:6" ht="25.2" customHeight="1">
      <c r="A21" s="228" t="s">
        <v>17</v>
      </c>
      <c r="B21" s="229" t="s">
        <v>383</v>
      </c>
      <c r="C21" s="226"/>
      <c r="D21" s="226"/>
      <c r="E21" s="226"/>
      <c r="F21" s="236">
        <f>F225</f>
        <v>235040.24684210526</v>
      </c>
    </row>
    <row r="22" spans="1:6" ht="25.2" customHeight="1">
      <c r="A22" s="224"/>
      <c r="B22" s="226"/>
      <c r="C22" s="226"/>
      <c r="D22" s="226"/>
      <c r="E22" s="226"/>
      <c r="F22" s="235"/>
    </row>
    <row r="23" spans="1:6" ht="25.2" customHeight="1">
      <c r="A23" s="228" t="s">
        <v>19</v>
      </c>
      <c r="B23" s="229" t="s">
        <v>384</v>
      </c>
      <c r="C23" s="226"/>
      <c r="D23" s="226"/>
      <c r="E23" s="226"/>
      <c r="F23" s="236">
        <f>F246</f>
        <v>140426.27368421052</v>
      </c>
    </row>
    <row r="24" spans="1:6" ht="25.2" customHeight="1">
      <c r="A24" s="109"/>
      <c r="B24" s="136"/>
      <c r="C24" s="136"/>
      <c r="D24" s="136"/>
      <c r="E24" s="136"/>
      <c r="F24" s="117"/>
    </row>
    <row r="25" spans="1:6" ht="25.2" customHeight="1" thickBot="1">
      <c r="A25" s="141"/>
      <c r="B25" s="154" t="str">
        <f>B9</f>
        <v xml:space="preserve"> TENTH FLOOR</v>
      </c>
      <c r="C25" s="142"/>
      <c r="D25" s="142"/>
      <c r="E25" s="143" t="s">
        <v>8</v>
      </c>
      <c r="F25" s="116">
        <f>SUM(F13:F24)</f>
        <v>3426769.8664013152</v>
      </c>
    </row>
    <row r="26" spans="1:6" ht="25.2" customHeight="1" thickTop="1" thickBot="1">
      <c r="A26" s="150"/>
      <c r="B26" s="151" t="s">
        <v>318</v>
      </c>
      <c r="C26" s="152"/>
      <c r="D26" s="152"/>
      <c r="E26" s="152"/>
      <c r="F26" s="153"/>
    </row>
    <row r="27" spans="1:6" ht="25.2" customHeight="1" thickTop="1">
      <c r="A27" s="109"/>
      <c r="B27" s="136"/>
      <c r="C27" s="136"/>
      <c r="D27" s="136"/>
      <c r="E27" s="136"/>
      <c r="F27" s="117"/>
    </row>
    <row r="28" spans="1:6" ht="25.2" customHeight="1">
      <c r="A28" s="224"/>
      <c r="B28" s="225" t="s">
        <v>850</v>
      </c>
      <c r="C28" s="226"/>
      <c r="D28" s="226"/>
      <c r="E28" s="226"/>
      <c r="F28" s="235"/>
    </row>
    <row r="29" spans="1:6" ht="25.2" customHeight="1">
      <c r="A29" s="224"/>
      <c r="B29" s="226"/>
      <c r="C29" s="226"/>
      <c r="D29" s="226"/>
      <c r="E29" s="226"/>
      <c r="F29" s="235"/>
    </row>
    <row r="30" spans="1:6" ht="25.2" customHeight="1">
      <c r="A30" s="224"/>
      <c r="B30" s="225" t="s">
        <v>379</v>
      </c>
      <c r="C30" s="226"/>
      <c r="D30" s="226"/>
      <c r="E30" s="226"/>
      <c r="F30" s="235"/>
    </row>
    <row r="31" spans="1:6" ht="25.2" customHeight="1">
      <c r="A31" s="224"/>
      <c r="B31" s="226"/>
      <c r="C31" s="226"/>
      <c r="D31" s="226"/>
      <c r="E31" s="226"/>
      <c r="F31" s="235"/>
    </row>
    <row r="32" spans="1:6" ht="25.2" customHeight="1">
      <c r="A32" s="224"/>
      <c r="B32" s="230" t="s">
        <v>344</v>
      </c>
      <c r="C32" s="226"/>
      <c r="D32" s="226"/>
      <c r="E32" s="226"/>
      <c r="F32" s="235"/>
    </row>
    <row r="33" spans="1:7" ht="25.2" customHeight="1">
      <c r="A33" s="228" t="s">
        <v>9</v>
      </c>
      <c r="B33" s="231" t="s">
        <v>386</v>
      </c>
      <c r="C33" s="232">
        <f>TAKEOFF!$H$5384</f>
        <v>217.1</v>
      </c>
      <c r="D33" s="233" t="s">
        <v>327</v>
      </c>
      <c r="E33" s="234">
        <f>RATES!$D$22</f>
        <v>2310</v>
      </c>
      <c r="F33" s="236">
        <f>C33*E33</f>
        <v>501501</v>
      </c>
      <c r="G33" s="118" t="s">
        <v>851</v>
      </c>
    </row>
    <row r="34" spans="1:7" ht="25.2" customHeight="1">
      <c r="A34" s="224"/>
      <c r="B34" s="226"/>
      <c r="C34" s="226"/>
      <c r="D34" s="226"/>
      <c r="E34" s="226"/>
      <c r="F34" s="235"/>
    </row>
    <row r="35" spans="1:7" ht="25.2" customHeight="1">
      <c r="A35" s="228" t="s">
        <v>11</v>
      </c>
      <c r="B35" s="231" t="s">
        <v>388</v>
      </c>
      <c r="C35" s="232">
        <f>TAKEOFF!$H$5388</f>
        <v>13.824999999999998</v>
      </c>
      <c r="D35" s="233" t="s">
        <v>327</v>
      </c>
      <c r="E35" s="234">
        <f>RATES!$D$23</f>
        <v>2310</v>
      </c>
      <c r="F35" s="236">
        <f>C35*E35</f>
        <v>31935.749999999993</v>
      </c>
      <c r="G35" s="118" t="s">
        <v>852</v>
      </c>
    </row>
    <row r="36" spans="1:7" ht="25.2" customHeight="1">
      <c r="A36" s="224"/>
      <c r="B36" s="226"/>
      <c r="C36" s="226"/>
      <c r="D36" s="226"/>
      <c r="E36" s="226"/>
      <c r="F36" s="235"/>
    </row>
    <row r="37" spans="1:7" ht="25.2" customHeight="1">
      <c r="A37" s="228" t="s">
        <v>13</v>
      </c>
      <c r="B37" s="231" t="s">
        <v>390</v>
      </c>
      <c r="C37" s="232">
        <f>TAKEOFF!$H$5396</f>
        <v>28.730999999999995</v>
      </c>
      <c r="D37" s="233" t="s">
        <v>327</v>
      </c>
      <c r="E37" s="234">
        <f>RATES!$D$21</f>
        <v>2310</v>
      </c>
      <c r="F37" s="236">
        <f>C37*E37</f>
        <v>66368.609999999986</v>
      </c>
      <c r="G37" s="118" t="s">
        <v>813</v>
      </c>
    </row>
    <row r="38" spans="1:7" ht="25.2" customHeight="1">
      <c r="A38" s="224"/>
      <c r="B38" s="226"/>
      <c r="C38" s="226"/>
      <c r="D38" s="226"/>
      <c r="E38" s="226"/>
      <c r="F38" s="235"/>
    </row>
    <row r="39" spans="1:7" ht="25.2" customHeight="1">
      <c r="A39" s="228" t="s">
        <v>15</v>
      </c>
      <c r="B39" s="231" t="s">
        <v>392</v>
      </c>
      <c r="C39" s="232">
        <f>TAKEOFF!$H$5400</f>
        <v>36.310249999999996</v>
      </c>
      <c r="D39" s="233" t="s">
        <v>327</v>
      </c>
      <c r="E39" s="234">
        <f>RATES!$D$20</f>
        <v>2310</v>
      </c>
      <c r="F39" s="236">
        <f>C39*E39</f>
        <v>83876.677499999991</v>
      </c>
      <c r="G39" s="118" t="s">
        <v>618</v>
      </c>
    </row>
    <row r="40" spans="1:7" ht="25.2" customHeight="1">
      <c r="A40" s="224"/>
      <c r="B40" s="226"/>
      <c r="C40" s="226"/>
      <c r="D40" s="226"/>
      <c r="E40" s="226"/>
      <c r="F40" s="235"/>
    </row>
    <row r="41" spans="1:7" ht="25.2" customHeight="1">
      <c r="A41" s="228" t="s">
        <v>17</v>
      </c>
      <c r="B41" s="231" t="s">
        <v>394</v>
      </c>
      <c r="C41" s="232">
        <f>TAKEOFF!$H$5403</f>
        <v>16.641562499999999</v>
      </c>
      <c r="D41" s="233" t="s">
        <v>327</v>
      </c>
      <c r="E41" s="234">
        <f>RATES!$D$20</f>
        <v>2310</v>
      </c>
      <c r="F41" s="236">
        <f>C41*E41</f>
        <v>38442.009375000001</v>
      </c>
      <c r="G41" s="118" t="s">
        <v>619</v>
      </c>
    </row>
    <row r="42" spans="1:7" ht="25.2" customHeight="1">
      <c r="A42" s="224"/>
      <c r="B42" s="226"/>
      <c r="C42" s="226"/>
      <c r="D42" s="226"/>
      <c r="E42" s="226"/>
      <c r="F42" s="235"/>
    </row>
    <row r="43" spans="1:7" ht="25.2" customHeight="1">
      <c r="A43" s="228" t="s">
        <v>19</v>
      </c>
      <c r="B43" s="231" t="s">
        <v>396</v>
      </c>
      <c r="C43" s="232">
        <f>TAKEOFF!$H$5409</f>
        <v>11.182</v>
      </c>
      <c r="D43" s="233" t="s">
        <v>327</v>
      </c>
      <c r="E43" s="234">
        <f>RATES!$D$24</f>
        <v>2310</v>
      </c>
      <c r="F43" s="236">
        <f>C43*E43</f>
        <v>25830.420000000002</v>
      </c>
      <c r="G43" s="118" t="s">
        <v>620</v>
      </c>
    </row>
    <row r="44" spans="1:7" ht="25.2" customHeight="1">
      <c r="A44" s="224"/>
      <c r="B44" s="226"/>
      <c r="C44" s="226"/>
      <c r="D44" s="226"/>
      <c r="E44" s="226"/>
      <c r="F44" s="235"/>
    </row>
    <row r="45" spans="1:7" ht="25.2" customHeight="1">
      <c r="A45" s="228" t="s">
        <v>21</v>
      </c>
      <c r="B45" s="231" t="s">
        <v>398</v>
      </c>
      <c r="C45" s="232">
        <f>TAKEOFF!$H$5444</f>
        <v>5.2379999999999995</v>
      </c>
      <c r="D45" s="233" t="s">
        <v>327</v>
      </c>
      <c r="E45" s="234">
        <f>RATES!$D$25</f>
        <v>1925.0000000000002</v>
      </c>
      <c r="F45" s="236">
        <f>C45*E45</f>
        <v>10083.15</v>
      </c>
      <c r="G45" s="118" t="s">
        <v>853</v>
      </c>
    </row>
    <row r="46" spans="1:7" ht="25.2" customHeight="1">
      <c r="A46" s="224"/>
      <c r="B46" s="226"/>
      <c r="C46" s="226"/>
      <c r="D46" s="226"/>
      <c r="E46" s="226"/>
      <c r="F46" s="235"/>
    </row>
    <row r="47" spans="1:7" ht="25.2" customHeight="1">
      <c r="A47" s="224"/>
      <c r="B47" s="230" t="s">
        <v>400</v>
      </c>
      <c r="C47" s="226"/>
      <c r="D47" s="226"/>
      <c r="E47" s="226"/>
      <c r="F47" s="235"/>
    </row>
    <row r="48" spans="1:7" ht="25.2" customHeight="1">
      <c r="A48" s="228" t="s">
        <v>23</v>
      </c>
      <c r="B48" s="231" t="s">
        <v>401</v>
      </c>
      <c r="C48" s="232">
        <f>TAKEOFF!$H$5448</f>
        <v>868.4</v>
      </c>
      <c r="D48" s="233" t="s">
        <v>322</v>
      </c>
      <c r="E48" s="234">
        <f>RATES!$D$38</f>
        <v>165</v>
      </c>
      <c r="F48" s="236">
        <f>C48*E48</f>
        <v>143286</v>
      </c>
      <c r="G48" s="118" t="s">
        <v>854</v>
      </c>
    </row>
    <row r="49" spans="1:7" ht="25.2" customHeight="1">
      <c r="A49" s="224"/>
      <c r="B49" s="226"/>
      <c r="C49" s="226"/>
      <c r="D49" s="226"/>
      <c r="E49" s="226"/>
      <c r="F49" s="235"/>
    </row>
    <row r="50" spans="1:7" ht="25.2" customHeight="1">
      <c r="A50" s="228" t="s">
        <v>25</v>
      </c>
      <c r="B50" s="231" t="s">
        <v>403</v>
      </c>
      <c r="C50" s="232">
        <f>TAKEOFF!$H$5451</f>
        <v>252.6</v>
      </c>
      <c r="D50" s="233" t="s">
        <v>369</v>
      </c>
      <c r="E50" s="234">
        <f>RATES!$D$40</f>
        <v>65</v>
      </c>
      <c r="F50" s="236">
        <f>C50*E50</f>
        <v>16419</v>
      </c>
      <c r="G50" s="118" t="s">
        <v>855</v>
      </c>
    </row>
    <row r="51" spans="1:7" ht="25.2" customHeight="1">
      <c r="A51" s="224"/>
      <c r="B51" s="226"/>
      <c r="C51" s="226"/>
      <c r="D51" s="226"/>
      <c r="E51" s="226"/>
      <c r="F51" s="235"/>
    </row>
    <row r="52" spans="1:7" ht="25.2" customHeight="1">
      <c r="A52" s="228" t="s">
        <v>27</v>
      </c>
      <c r="B52" s="231" t="s">
        <v>405</v>
      </c>
      <c r="C52" s="232">
        <f>TAKEOFF!$H$5455</f>
        <v>134.97999999999999</v>
      </c>
      <c r="D52" s="233" t="s">
        <v>322</v>
      </c>
      <c r="E52" s="234">
        <f>RATES!$D$39</f>
        <v>165</v>
      </c>
      <c r="F52" s="236">
        <f>C52*E52</f>
        <v>22271.699999999997</v>
      </c>
      <c r="G52" s="118" t="s">
        <v>856</v>
      </c>
    </row>
    <row r="53" spans="1:7" ht="25.2" customHeight="1">
      <c r="A53" s="224"/>
      <c r="B53" s="226"/>
      <c r="C53" s="226"/>
      <c r="D53" s="226"/>
      <c r="E53" s="226"/>
      <c r="F53" s="235"/>
    </row>
    <row r="54" spans="1:7" ht="25.2" customHeight="1">
      <c r="A54" s="228" t="s">
        <v>29</v>
      </c>
      <c r="B54" s="231" t="s">
        <v>390</v>
      </c>
      <c r="C54" s="232">
        <f>TAKEOFF!$H$5463</f>
        <v>231.8</v>
      </c>
      <c r="D54" s="233" t="s">
        <v>322</v>
      </c>
      <c r="E54" s="234">
        <f>RATES!$D$37</f>
        <v>165</v>
      </c>
      <c r="F54" s="236">
        <f>C54*E54</f>
        <v>38247</v>
      </c>
      <c r="G54" s="118" t="s">
        <v>818</v>
      </c>
    </row>
    <row r="55" spans="1:7" ht="25.2" customHeight="1">
      <c r="A55" s="224"/>
      <c r="B55" s="226"/>
      <c r="C55" s="226"/>
      <c r="D55" s="226"/>
      <c r="E55" s="226"/>
      <c r="F55" s="235"/>
    </row>
    <row r="56" spans="1:7" ht="25.2" customHeight="1">
      <c r="A56" s="228" t="s">
        <v>31</v>
      </c>
      <c r="B56" s="231" t="s">
        <v>408</v>
      </c>
      <c r="C56" s="232">
        <f>TAKEOFF!$H$5468</f>
        <v>423.61450000000002</v>
      </c>
      <c r="D56" s="233" t="s">
        <v>322</v>
      </c>
      <c r="E56" s="234">
        <f>RATES!$D$36</f>
        <v>165</v>
      </c>
      <c r="F56" s="236">
        <f>C56*E56</f>
        <v>69896.392500000002</v>
      </c>
      <c r="G56" s="118" t="s">
        <v>626</v>
      </c>
    </row>
    <row r="57" spans="1:7" ht="25.2" customHeight="1">
      <c r="A57" s="224"/>
      <c r="B57" s="226"/>
      <c r="C57" s="226"/>
      <c r="D57" s="226"/>
      <c r="E57" s="226"/>
      <c r="F57" s="235"/>
    </row>
    <row r="58" spans="1:7" ht="25.2" customHeight="1">
      <c r="A58" s="228" t="s">
        <v>33</v>
      </c>
      <c r="B58" s="231" t="s">
        <v>410</v>
      </c>
      <c r="C58" s="232">
        <f>TAKEOFF!$H$5476</f>
        <v>66.532799999999995</v>
      </c>
      <c r="D58" s="233" t="s">
        <v>322</v>
      </c>
      <c r="E58" s="234">
        <f>RATES!$D$42</f>
        <v>165</v>
      </c>
      <c r="F58" s="236">
        <f>C58*E58</f>
        <v>10977.911999999998</v>
      </c>
      <c r="G58" s="118" t="s">
        <v>549</v>
      </c>
    </row>
    <row r="59" spans="1:7" ht="25.2" customHeight="1">
      <c r="A59" s="224"/>
      <c r="B59" s="226"/>
      <c r="C59" s="226"/>
      <c r="D59" s="226"/>
      <c r="E59" s="226"/>
      <c r="F59" s="235"/>
    </row>
    <row r="60" spans="1:7" ht="25.2" customHeight="1">
      <c r="A60" s="228" t="s">
        <v>35</v>
      </c>
      <c r="B60" s="231" t="s">
        <v>412</v>
      </c>
      <c r="C60" s="232">
        <f>TAKEOFF!$H$5511</f>
        <v>93.11999999999999</v>
      </c>
      <c r="D60" s="233" t="s">
        <v>322</v>
      </c>
      <c r="E60" s="234">
        <f>RATES!$D$43</f>
        <v>165</v>
      </c>
      <c r="F60" s="236">
        <f>C60*E60</f>
        <v>15364.8</v>
      </c>
      <c r="G60" s="118" t="s">
        <v>853</v>
      </c>
    </row>
    <row r="61" spans="1:7" ht="25.2" customHeight="1">
      <c r="A61" s="224"/>
      <c r="B61" s="226"/>
      <c r="C61" s="226"/>
      <c r="D61" s="226"/>
      <c r="E61" s="226"/>
      <c r="F61" s="235"/>
    </row>
    <row r="62" spans="1:7" ht="25.2" customHeight="1">
      <c r="A62" s="224"/>
      <c r="B62" s="230" t="s">
        <v>413</v>
      </c>
      <c r="C62" s="226"/>
      <c r="D62" s="226"/>
      <c r="E62" s="226"/>
      <c r="F62" s="235"/>
    </row>
    <row r="63" spans="1:7" ht="25.2" customHeight="1">
      <c r="A63" s="228" t="s">
        <v>37</v>
      </c>
      <c r="B63" s="231" t="s">
        <v>414</v>
      </c>
      <c r="C63" s="232">
        <f>TAKEOFF!$H$5515</f>
        <v>2.468</v>
      </c>
      <c r="D63" s="233" t="s">
        <v>353</v>
      </c>
      <c r="E63" s="234">
        <f>RATES!$D$29</f>
        <v>14300.000000000002</v>
      </c>
      <c r="F63" s="236">
        <f>C63*E63</f>
        <v>35292.400000000001</v>
      </c>
      <c r="G63" s="118" t="s">
        <v>857</v>
      </c>
    </row>
    <row r="64" spans="1:7" ht="25.2" customHeight="1">
      <c r="A64" s="224"/>
      <c r="B64" s="226"/>
      <c r="C64" s="226"/>
      <c r="D64" s="226"/>
      <c r="E64" s="226"/>
      <c r="F64" s="235"/>
    </row>
    <row r="65" spans="1:7" ht="25.2" customHeight="1">
      <c r="A65" s="228" t="s">
        <v>39</v>
      </c>
      <c r="B65" s="231" t="s">
        <v>416</v>
      </c>
      <c r="C65" s="232">
        <f>TAKEOFF!$H$5518</f>
        <v>4.0839999999999996</v>
      </c>
      <c r="D65" s="233" t="s">
        <v>353</v>
      </c>
      <c r="E65" s="234">
        <f>RATES!$D$32</f>
        <v>14300.000000000002</v>
      </c>
      <c r="F65" s="236">
        <f>C65*E65</f>
        <v>58401.200000000004</v>
      </c>
      <c r="G65" s="118" t="s">
        <v>858</v>
      </c>
    </row>
    <row r="66" spans="1:7" ht="25.2" customHeight="1">
      <c r="A66" s="224"/>
      <c r="B66" s="226"/>
      <c r="C66" s="226"/>
      <c r="D66" s="226"/>
      <c r="E66" s="226"/>
      <c r="F66" s="235"/>
    </row>
    <row r="67" spans="1:7" ht="25.2" customHeight="1">
      <c r="A67" s="228" t="s">
        <v>418</v>
      </c>
      <c r="B67" s="231" t="s">
        <v>422</v>
      </c>
      <c r="C67" s="232">
        <f>TAKEOFF!$H$5521</f>
        <v>1.226</v>
      </c>
      <c r="D67" s="233" t="s">
        <v>353</v>
      </c>
      <c r="E67" s="234">
        <f>RATES!$D$29</f>
        <v>14300.000000000002</v>
      </c>
      <c r="F67" s="236">
        <f>C67*E67</f>
        <v>17531.800000000003</v>
      </c>
      <c r="G67" s="118" t="s">
        <v>859</v>
      </c>
    </row>
    <row r="68" spans="1:7" ht="25.2" customHeight="1">
      <c r="A68" s="224"/>
      <c r="B68" s="226"/>
      <c r="C68" s="226"/>
      <c r="D68" s="226"/>
      <c r="E68" s="226"/>
      <c r="F68" s="235"/>
    </row>
    <row r="69" spans="1:7" ht="25.2" customHeight="1">
      <c r="A69" s="228" t="s">
        <v>421</v>
      </c>
      <c r="B69" s="231" t="s">
        <v>425</v>
      </c>
      <c r="C69" s="232">
        <f>TAKEOFF!$H$5524</f>
        <v>1.2190000000000001</v>
      </c>
      <c r="D69" s="233" t="s">
        <v>353</v>
      </c>
      <c r="E69" s="234">
        <f>RATES!$D$31</f>
        <v>14300.000000000002</v>
      </c>
      <c r="F69" s="236">
        <f>C69*E69</f>
        <v>17431.700000000004</v>
      </c>
      <c r="G69" s="118" t="s">
        <v>860</v>
      </c>
    </row>
    <row r="70" spans="1:7" ht="25.2" customHeight="1">
      <c r="A70" s="224"/>
      <c r="B70" s="226"/>
      <c r="C70" s="226"/>
      <c r="D70" s="226"/>
      <c r="E70" s="226"/>
      <c r="F70" s="235"/>
    </row>
    <row r="71" spans="1:7" ht="25.2" customHeight="1">
      <c r="A71" s="228" t="s">
        <v>424</v>
      </c>
      <c r="B71" s="231" t="s">
        <v>428</v>
      </c>
      <c r="C71" s="232">
        <f>TAKEOFF!$H$5527</f>
        <v>0.81</v>
      </c>
      <c r="D71" s="233" t="s">
        <v>353</v>
      </c>
      <c r="E71" s="234">
        <f>RATES!$D$32</f>
        <v>14300.000000000002</v>
      </c>
      <c r="F71" s="236">
        <f>C71*E71</f>
        <v>11583.000000000002</v>
      </c>
      <c r="G71" s="118" t="s">
        <v>861</v>
      </c>
    </row>
    <row r="72" spans="1:7" ht="25.2" customHeight="1">
      <c r="A72" s="224"/>
      <c r="B72" s="226"/>
      <c r="C72" s="226"/>
      <c r="D72" s="226"/>
      <c r="E72" s="226"/>
      <c r="F72" s="235"/>
    </row>
    <row r="73" spans="1:7" ht="25.2" customHeight="1">
      <c r="A73" s="228" t="s">
        <v>427</v>
      </c>
      <c r="B73" s="231" t="s">
        <v>431</v>
      </c>
      <c r="C73" s="232">
        <f>TAKEOFF!$H$5530</f>
        <v>4.0570000000000004</v>
      </c>
      <c r="D73" s="233" t="s">
        <v>353</v>
      </c>
      <c r="E73" s="234">
        <f>RATES!$D$33</f>
        <v>14300.000000000002</v>
      </c>
      <c r="F73" s="236">
        <f>C73*E73</f>
        <v>58015.100000000013</v>
      </c>
      <c r="G73" s="118" t="s">
        <v>862</v>
      </c>
    </row>
    <row r="74" spans="1:7" ht="25.2" customHeight="1">
      <c r="A74" s="224"/>
      <c r="B74" s="226"/>
      <c r="C74" s="226"/>
      <c r="D74" s="226"/>
      <c r="E74" s="226"/>
      <c r="F74" s="235"/>
    </row>
    <row r="75" spans="1:7" ht="25.2" customHeight="1">
      <c r="A75" s="228" t="s">
        <v>430</v>
      </c>
      <c r="B75" s="231" t="s">
        <v>434</v>
      </c>
      <c r="C75" s="232">
        <f>TAKEOFF!$H$5534</f>
        <v>2.0779999999999998</v>
      </c>
      <c r="D75" s="233" t="s">
        <v>353</v>
      </c>
      <c r="E75" s="234">
        <f>RATES!$D$29</f>
        <v>14300.000000000002</v>
      </c>
      <c r="F75" s="236">
        <f>C75*E75</f>
        <v>29715.4</v>
      </c>
      <c r="G75" s="118" t="s">
        <v>633</v>
      </c>
    </row>
    <row r="76" spans="1:7" ht="25.2" customHeight="1">
      <c r="A76" s="224"/>
      <c r="B76" s="226"/>
      <c r="C76" s="226"/>
      <c r="D76" s="226"/>
      <c r="E76" s="226"/>
      <c r="F76" s="235"/>
    </row>
    <row r="77" spans="1:7" ht="25.2" customHeight="1">
      <c r="A77" s="228" t="s">
        <v>433</v>
      </c>
      <c r="B77" s="231" t="s">
        <v>437</v>
      </c>
      <c r="C77" s="232">
        <f>TAKEOFF!$H$5538</f>
        <v>2.7829999999999999</v>
      </c>
      <c r="D77" s="233" t="s">
        <v>353</v>
      </c>
      <c r="E77" s="234">
        <f>RATES!$D$30</f>
        <v>14300.000000000002</v>
      </c>
      <c r="F77" s="236">
        <f>C77*E77</f>
        <v>39796.9</v>
      </c>
      <c r="G77" s="118" t="s">
        <v>634</v>
      </c>
    </row>
    <row r="78" spans="1:7" ht="25.2" customHeight="1">
      <c r="A78" s="224"/>
      <c r="B78" s="226"/>
      <c r="C78" s="226"/>
      <c r="D78" s="226"/>
      <c r="E78" s="226"/>
      <c r="F78" s="235"/>
    </row>
    <row r="79" spans="1:7" ht="25.2" customHeight="1">
      <c r="A79" s="228" t="s">
        <v>436</v>
      </c>
      <c r="B79" s="231" t="s">
        <v>705</v>
      </c>
      <c r="C79" s="232">
        <f>TAKEOFF!$H$5542</f>
        <v>10.224</v>
      </c>
      <c r="D79" s="233" t="s">
        <v>353</v>
      </c>
      <c r="E79" s="234">
        <f>RATES!$D$32</f>
        <v>14300.000000000002</v>
      </c>
      <c r="F79" s="236">
        <f>C79*E79</f>
        <v>146203.20000000001</v>
      </c>
      <c r="G79" s="118" t="s">
        <v>733</v>
      </c>
    </row>
    <row r="80" spans="1:7" ht="25.2" customHeight="1">
      <c r="A80" s="224"/>
      <c r="B80" s="226"/>
      <c r="C80" s="226"/>
      <c r="D80" s="226"/>
      <c r="E80" s="226"/>
      <c r="F80" s="235"/>
    </row>
    <row r="81" spans="1:7" ht="25.2" customHeight="1">
      <c r="A81" s="228" t="s">
        <v>439</v>
      </c>
      <c r="B81" s="231" t="s">
        <v>442</v>
      </c>
      <c r="C81" s="232">
        <f>TAKEOFF!$H$5545</f>
        <v>0.88</v>
      </c>
      <c r="D81" s="233" t="s">
        <v>353</v>
      </c>
      <c r="E81" s="234">
        <f>RATES!$D$30</f>
        <v>14300.000000000002</v>
      </c>
      <c r="F81" s="236">
        <f>C81*E81</f>
        <v>12584.000000000002</v>
      </c>
      <c r="G81" s="118" t="s">
        <v>636</v>
      </c>
    </row>
    <row r="82" spans="1:7" ht="25.2" customHeight="1">
      <c r="A82" s="224"/>
      <c r="B82" s="226"/>
      <c r="C82" s="226"/>
      <c r="D82" s="226"/>
      <c r="E82" s="226"/>
      <c r="F82" s="235"/>
    </row>
    <row r="83" spans="1:7" ht="25.2" customHeight="1">
      <c r="A83" s="228" t="s">
        <v>9</v>
      </c>
      <c r="B83" s="231" t="s">
        <v>444</v>
      </c>
      <c r="C83" s="232">
        <f>TAKEOFF!$H$5548</f>
        <v>1.4339999999999999</v>
      </c>
      <c r="D83" s="233" t="s">
        <v>353</v>
      </c>
      <c r="E83" s="234">
        <f>RATES!$D$31</f>
        <v>14300.000000000002</v>
      </c>
      <c r="F83" s="236">
        <f>C83*E83</f>
        <v>20506.2</v>
      </c>
      <c r="G83" s="118" t="s">
        <v>637</v>
      </c>
    </row>
    <row r="84" spans="1:7" ht="25.2" customHeight="1">
      <c r="A84" s="224"/>
      <c r="B84" s="226"/>
      <c r="C84" s="226"/>
      <c r="D84" s="226"/>
      <c r="E84" s="226"/>
      <c r="F84" s="235"/>
    </row>
    <row r="85" spans="1:7" ht="25.2" customHeight="1">
      <c r="A85" s="228" t="s">
        <v>11</v>
      </c>
      <c r="B85" s="231" t="s">
        <v>446</v>
      </c>
      <c r="C85" s="232">
        <f>TAKEOFF!$H$5551</f>
        <v>36.276000000000003</v>
      </c>
      <c r="D85" s="233" t="s">
        <v>353</v>
      </c>
      <c r="E85" s="234">
        <f>RATES!$D$30</f>
        <v>14300.000000000002</v>
      </c>
      <c r="F85" s="236">
        <f>C85*E85</f>
        <v>518746.8000000001</v>
      </c>
      <c r="G85" s="118" t="s">
        <v>863</v>
      </c>
    </row>
    <row r="86" spans="1:7" ht="25.2" customHeight="1">
      <c r="A86" s="224"/>
      <c r="B86" s="226"/>
      <c r="C86" s="226"/>
      <c r="D86" s="226"/>
      <c r="E86" s="226"/>
      <c r="F86" s="235"/>
    </row>
    <row r="87" spans="1:7" ht="25.2" customHeight="1">
      <c r="A87" s="228" t="s">
        <v>13</v>
      </c>
      <c r="B87" s="231" t="s">
        <v>448</v>
      </c>
      <c r="C87" s="232">
        <f>TAKEOFF!$H$5554</f>
        <v>0.14799999999999999</v>
      </c>
      <c r="D87" s="233" t="s">
        <v>353</v>
      </c>
      <c r="E87" s="234">
        <f>RATES!$D$31</f>
        <v>14300.000000000002</v>
      </c>
      <c r="F87" s="236">
        <f>C87*E87</f>
        <v>2116.4</v>
      </c>
      <c r="G87" s="118" t="s">
        <v>864</v>
      </c>
    </row>
    <row r="88" spans="1:7" ht="25.2" customHeight="1">
      <c r="A88" s="109"/>
      <c r="B88" s="136"/>
      <c r="C88" s="136"/>
      <c r="D88" s="136"/>
      <c r="E88" s="136"/>
      <c r="F88" s="117"/>
    </row>
    <row r="89" spans="1:7" ht="25.2" customHeight="1" thickBot="1">
      <c r="A89" s="141"/>
      <c r="B89" s="154" t="str">
        <f>B30</f>
        <v>ELEMENT NO. 1: IN SITU CONCRETE/LARGE PRECAST CONCRETE</v>
      </c>
      <c r="C89" s="142"/>
      <c r="D89" s="142"/>
      <c r="E89" s="143"/>
      <c r="F89" s="116">
        <f>SUM(F32:F88)</f>
        <v>2042424.5213749995</v>
      </c>
    </row>
    <row r="90" spans="1:7" ht="25.2" customHeight="1" thickTop="1" thickBot="1">
      <c r="A90" s="150"/>
      <c r="B90" s="151" t="s">
        <v>339</v>
      </c>
      <c r="C90" s="152"/>
      <c r="D90" s="152"/>
      <c r="E90" s="152"/>
      <c r="F90" s="153"/>
    </row>
    <row r="91" spans="1:7" ht="25.2" customHeight="1" thickTop="1">
      <c r="A91" s="109"/>
      <c r="B91" s="136"/>
      <c r="C91" s="136"/>
      <c r="D91" s="136"/>
      <c r="E91" s="136"/>
      <c r="F91" s="117"/>
    </row>
    <row r="92" spans="1:7" ht="25.2" customHeight="1">
      <c r="A92" s="224"/>
      <c r="B92" s="226"/>
      <c r="C92" s="226"/>
      <c r="D92" s="226"/>
      <c r="E92" s="226"/>
      <c r="F92" s="235"/>
    </row>
    <row r="93" spans="1:7" ht="25.2" customHeight="1">
      <c r="A93" s="224"/>
      <c r="B93" s="225" t="s">
        <v>380</v>
      </c>
      <c r="C93" s="226"/>
      <c r="D93" s="226"/>
      <c r="E93" s="226"/>
      <c r="F93" s="235"/>
    </row>
    <row r="94" spans="1:7" ht="25.2" customHeight="1">
      <c r="A94" s="224"/>
      <c r="B94" s="226"/>
      <c r="C94" s="226"/>
      <c r="D94" s="226"/>
      <c r="E94" s="226"/>
      <c r="F94" s="235"/>
    </row>
    <row r="95" spans="1:7" ht="25.2" customHeight="1">
      <c r="A95" s="224"/>
      <c r="B95" s="230" t="s">
        <v>450</v>
      </c>
      <c r="C95" s="226"/>
      <c r="D95" s="226"/>
      <c r="E95" s="226"/>
      <c r="F95" s="235"/>
    </row>
    <row r="96" spans="1:7" ht="25.2" customHeight="1">
      <c r="A96" s="228" t="s">
        <v>9</v>
      </c>
      <c r="B96" s="231" t="s">
        <v>451</v>
      </c>
      <c r="C96" s="232">
        <f>TAKEOFF!$H$5592</f>
        <v>1230.40681</v>
      </c>
      <c r="D96" s="233" t="s">
        <v>322</v>
      </c>
      <c r="E96" s="234">
        <f>RATES!$D$46</f>
        <v>215</v>
      </c>
      <c r="F96" s="236">
        <f>C96*E96</f>
        <v>264537.46415000001</v>
      </c>
      <c r="G96" s="118" t="s">
        <v>865</v>
      </c>
    </row>
    <row r="97" spans="1:7" ht="25.2" customHeight="1">
      <c r="A97" s="224"/>
      <c r="B97" s="226"/>
      <c r="C97" s="226"/>
      <c r="D97" s="226"/>
      <c r="E97" s="226"/>
      <c r="F97" s="235"/>
    </row>
    <row r="98" spans="1:7" ht="25.2" customHeight="1">
      <c r="A98" s="228" t="s">
        <v>11</v>
      </c>
      <c r="B98" s="231" t="s">
        <v>453</v>
      </c>
      <c r="C98" s="232">
        <f>TAKEOFF!$H$5628</f>
        <v>108.13818999999999</v>
      </c>
      <c r="D98" s="233" t="s">
        <v>322</v>
      </c>
      <c r="E98" s="234">
        <f>RATES!$D$47</f>
        <v>265</v>
      </c>
      <c r="F98" s="236">
        <f>C98*E98</f>
        <v>28656.620349999997</v>
      </c>
      <c r="G98" s="118" t="s">
        <v>866</v>
      </c>
    </row>
    <row r="99" spans="1:7" ht="25.2" customHeight="1">
      <c r="A99" s="109"/>
      <c r="B99" s="136"/>
      <c r="C99" s="136"/>
      <c r="D99" s="136"/>
      <c r="E99" s="136"/>
      <c r="F99" s="117"/>
    </row>
    <row r="100" spans="1:7" ht="25.2" customHeight="1" thickBot="1">
      <c r="A100" s="141"/>
      <c r="B100" s="154" t="str">
        <f>B93</f>
        <v>ELEMENT NO. 2: MASONRY</v>
      </c>
      <c r="C100" s="142"/>
      <c r="D100" s="142"/>
      <c r="E100" s="143"/>
      <c r="F100" s="116">
        <f>SUM(F95:F99)</f>
        <v>293194.0845</v>
      </c>
    </row>
    <row r="101" spans="1:7" ht="25.2" customHeight="1" thickTop="1" thickBot="1">
      <c r="A101" s="150"/>
      <c r="B101" s="151" t="s">
        <v>339</v>
      </c>
      <c r="C101" s="152"/>
      <c r="D101" s="152"/>
      <c r="E101" s="152"/>
      <c r="F101" s="153"/>
    </row>
    <row r="102" spans="1:7" ht="25.2" customHeight="1" thickTop="1">
      <c r="A102" s="109"/>
      <c r="B102" s="136"/>
      <c r="C102" s="136"/>
      <c r="D102" s="136"/>
      <c r="E102" s="136"/>
      <c r="F102" s="117"/>
    </row>
    <row r="103" spans="1:7" ht="25.2" customHeight="1">
      <c r="A103" s="224"/>
      <c r="B103" s="226"/>
      <c r="C103" s="226"/>
      <c r="D103" s="226"/>
      <c r="E103" s="226"/>
      <c r="F103" s="235"/>
    </row>
    <row r="104" spans="1:7" ht="25.2" customHeight="1">
      <c r="A104" s="224"/>
      <c r="B104" s="225" t="s">
        <v>381</v>
      </c>
      <c r="C104" s="226"/>
      <c r="D104" s="226"/>
      <c r="E104" s="226"/>
      <c r="F104" s="235"/>
    </row>
    <row r="105" spans="1:7" ht="25.2" customHeight="1">
      <c r="A105" s="224"/>
      <c r="B105" s="226"/>
      <c r="C105" s="226"/>
      <c r="D105" s="226"/>
      <c r="E105" s="226"/>
      <c r="F105" s="235"/>
    </row>
    <row r="106" spans="1:7" ht="25.2" customHeight="1">
      <c r="A106" s="224"/>
      <c r="B106" s="230" t="s">
        <v>455</v>
      </c>
      <c r="C106" s="226"/>
      <c r="D106" s="226"/>
      <c r="E106" s="226"/>
      <c r="F106" s="235"/>
    </row>
    <row r="107" spans="1:7" ht="25.2" customHeight="1">
      <c r="A107" s="228" t="s">
        <v>9</v>
      </c>
      <c r="B107" s="231" t="s">
        <v>642</v>
      </c>
      <c r="C107" s="232">
        <f>TAKEOFF!$H$5633</f>
        <v>6</v>
      </c>
      <c r="D107" s="233" t="s">
        <v>457</v>
      </c>
      <c r="E107" s="234">
        <f>RATES!$D$75</f>
        <v>7800</v>
      </c>
      <c r="F107" s="236">
        <f>C107*E107</f>
        <v>46800</v>
      </c>
      <c r="G107" s="118" t="s">
        <v>460</v>
      </c>
    </row>
    <row r="108" spans="1:7" ht="25.2" customHeight="1">
      <c r="A108" s="224"/>
      <c r="B108" s="226"/>
      <c r="C108" s="226"/>
      <c r="D108" s="226"/>
      <c r="E108" s="226"/>
      <c r="F108" s="235"/>
    </row>
    <row r="109" spans="1:7" ht="25.2" customHeight="1">
      <c r="A109" s="228" t="s">
        <v>11</v>
      </c>
      <c r="B109" s="231" t="s">
        <v>459</v>
      </c>
      <c r="C109" s="232">
        <f>TAKEOFF!$H$5636</f>
        <v>11</v>
      </c>
      <c r="D109" s="233" t="s">
        <v>457</v>
      </c>
      <c r="E109" s="234">
        <f>RATES!$D$76</f>
        <v>3400</v>
      </c>
      <c r="F109" s="236">
        <f>C109*E109</f>
        <v>37400</v>
      </c>
      <c r="G109" s="118" t="s">
        <v>867</v>
      </c>
    </row>
    <row r="110" spans="1:7" ht="25.2" customHeight="1">
      <c r="A110" s="224"/>
      <c r="B110" s="226"/>
      <c r="C110" s="226"/>
      <c r="D110" s="226"/>
      <c r="E110" s="226"/>
      <c r="F110" s="235"/>
    </row>
    <row r="111" spans="1:7" ht="25.2" customHeight="1">
      <c r="A111" s="228" t="s">
        <v>13</v>
      </c>
      <c r="B111" s="231" t="s">
        <v>463</v>
      </c>
      <c r="C111" s="232">
        <f>TAKEOFF!$H$5639</f>
        <v>16</v>
      </c>
      <c r="D111" s="233" t="s">
        <v>457</v>
      </c>
      <c r="E111" s="234">
        <f>RATES!$D$79</f>
        <v>1900</v>
      </c>
      <c r="F111" s="236">
        <f>C111*E111</f>
        <v>30400</v>
      </c>
      <c r="G111" s="118" t="s">
        <v>868</v>
      </c>
    </row>
    <row r="112" spans="1:7" ht="25.2" customHeight="1">
      <c r="A112" s="224"/>
      <c r="B112" s="226"/>
      <c r="C112" s="226"/>
      <c r="D112" s="226"/>
      <c r="E112" s="226"/>
      <c r="F112" s="235"/>
    </row>
    <row r="113" spans="1:7" ht="25.2" customHeight="1">
      <c r="A113" s="228" t="s">
        <v>15</v>
      </c>
      <c r="B113" s="231" t="s">
        <v>464</v>
      </c>
      <c r="C113" s="232">
        <f>TAKEOFF!$H$5642</f>
        <v>1</v>
      </c>
      <c r="D113" s="233" t="s">
        <v>457</v>
      </c>
      <c r="E113" s="234">
        <f>RATES!$D$80</f>
        <v>6800</v>
      </c>
      <c r="F113" s="236">
        <f>C113*E113</f>
        <v>6800</v>
      </c>
      <c r="G113" s="118" t="s">
        <v>458</v>
      </c>
    </row>
    <row r="114" spans="1:7" ht="25.2" customHeight="1">
      <c r="A114" s="224"/>
      <c r="B114" s="226"/>
      <c r="C114" s="226"/>
      <c r="D114" s="226"/>
      <c r="E114" s="226"/>
      <c r="F114" s="235"/>
    </row>
    <row r="115" spans="1:7" ht="25.2" customHeight="1">
      <c r="A115" s="228" t="s">
        <v>17</v>
      </c>
      <c r="B115" s="231" t="s">
        <v>646</v>
      </c>
      <c r="C115" s="232">
        <f>TAKEOFF!$H$5645</f>
        <v>2</v>
      </c>
      <c r="D115" s="233" t="s">
        <v>457</v>
      </c>
      <c r="E115" s="234">
        <f>RATES!$D$81</f>
        <v>9800</v>
      </c>
      <c r="F115" s="236">
        <f>C115*E115</f>
        <v>19600</v>
      </c>
      <c r="G115" s="118" t="s">
        <v>465</v>
      </c>
    </row>
    <row r="116" spans="1:7" ht="25.2" customHeight="1">
      <c r="A116" s="224"/>
      <c r="B116" s="226"/>
      <c r="C116" s="226"/>
      <c r="D116" s="226"/>
      <c r="E116" s="226"/>
      <c r="F116" s="235"/>
    </row>
    <row r="117" spans="1:7" ht="25.2" customHeight="1">
      <c r="A117" s="228" t="s">
        <v>19</v>
      </c>
      <c r="B117" s="231" t="s">
        <v>466</v>
      </c>
      <c r="C117" s="232">
        <f>TAKEOFF!$H$5648</f>
        <v>2</v>
      </c>
      <c r="D117" s="233" t="s">
        <v>457</v>
      </c>
      <c r="E117" s="234">
        <f>RATES!$D$82</f>
        <v>7200</v>
      </c>
      <c r="F117" s="236">
        <f>C117*E117</f>
        <v>14400</v>
      </c>
      <c r="G117" s="118" t="s">
        <v>465</v>
      </c>
    </row>
    <row r="118" spans="1:7" ht="25.2" customHeight="1">
      <c r="A118" s="224"/>
      <c r="B118" s="226"/>
      <c r="C118" s="226"/>
      <c r="D118" s="226"/>
      <c r="E118" s="226"/>
      <c r="F118" s="235"/>
    </row>
    <row r="119" spans="1:7" ht="25.2" customHeight="1">
      <c r="A119" s="228" t="s">
        <v>21</v>
      </c>
      <c r="B119" s="231" t="s">
        <v>647</v>
      </c>
      <c r="C119" s="232">
        <f>TAKEOFF!$H$5651</f>
        <v>2</v>
      </c>
      <c r="D119" s="233" t="s">
        <v>457</v>
      </c>
      <c r="E119" s="234">
        <f>RATES!$D$83</f>
        <v>8100</v>
      </c>
      <c r="F119" s="236">
        <f>C119*E119</f>
        <v>16200</v>
      </c>
      <c r="G119" s="118" t="s">
        <v>465</v>
      </c>
    </row>
    <row r="120" spans="1:7" ht="25.2" customHeight="1">
      <c r="A120" s="224"/>
      <c r="B120" s="226"/>
      <c r="C120" s="226"/>
      <c r="D120" s="226"/>
      <c r="E120" s="226"/>
      <c r="F120" s="235"/>
    </row>
    <row r="121" spans="1:7" ht="25.2" customHeight="1">
      <c r="A121" s="228" t="s">
        <v>23</v>
      </c>
      <c r="B121" s="231" t="s">
        <v>468</v>
      </c>
      <c r="C121" s="232">
        <f>TAKEOFF!$H$5654</f>
        <v>1</v>
      </c>
      <c r="D121" s="233" t="s">
        <v>457</v>
      </c>
      <c r="E121" s="234">
        <f>RATES!$D$84</f>
        <v>6900</v>
      </c>
      <c r="F121" s="236">
        <f>C121*E121</f>
        <v>6900</v>
      </c>
      <c r="G121" s="118" t="s">
        <v>458</v>
      </c>
    </row>
    <row r="122" spans="1:7" ht="25.2" customHeight="1">
      <c r="A122" s="224"/>
      <c r="B122" s="226"/>
      <c r="C122" s="226"/>
      <c r="D122" s="226"/>
      <c r="E122" s="226"/>
      <c r="F122" s="235"/>
    </row>
    <row r="123" spans="1:7" ht="25.2" customHeight="1">
      <c r="A123" s="228" t="s">
        <v>25</v>
      </c>
      <c r="B123" s="231" t="s">
        <v>648</v>
      </c>
      <c r="C123" s="232">
        <f>TAKEOFF!$H$5657</f>
        <v>1</v>
      </c>
      <c r="D123" s="233" t="s">
        <v>457</v>
      </c>
      <c r="E123" s="234">
        <f>RATES!$D$86</f>
        <v>4600</v>
      </c>
      <c r="F123" s="236">
        <f>C123*E123</f>
        <v>4600</v>
      </c>
      <c r="G123" s="118" t="s">
        <v>458</v>
      </c>
    </row>
    <row r="124" spans="1:7" ht="25.2" customHeight="1">
      <c r="A124" s="224"/>
      <c r="B124" s="226"/>
      <c r="C124" s="226"/>
      <c r="D124" s="226"/>
      <c r="E124" s="226"/>
      <c r="F124" s="235"/>
    </row>
    <row r="125" spans="1:7" ht="25.2" customHeight="1">
      <c r="A125" s="228" t="s">
        <v>27</v>
      </c>
      <c r="B125" s="231" t="s">
        <v>649</v>
      </c>
      <c r="C125" s="232">
        <f>TAKEOFF!$H$5660</f>
        <v>2</v>
      </c>
      <c r="D125" s="233" t="s">
        <v>457</v>
      </c>
      <c r="E125" s="234">
        <f>RATES!$D$87</f>
        <v>2900</v>
      </c>
      <c r="F125" s="236">
        <f>C125*E125</f>
        <v>5800</v>
      </c>
      <c r="G125" s="118" t="s">
        <v>465</v>
      </c>
    </row>
    <row r="126" spans="1:7" ht="25.2" customHeight="1">
      <c r="A126" s="224"/>
      <c r="B126" s="226"/>
      <c r="C126" s="226"/>
      <c r="D126" s="226"/>
      <c r="E126" s="226"/>
      <c r="F126" s="235"/>
    </row>
    <row r="127" spans="1:7" ht="25.2" customHeight="1">
      <c r="A127" s="228" t="s">
        <v>29</v>
      </c>
      <c r="B127" s="231" t="s">
        <v>650</v>
      </c>
      <c r="C127" s="232">
        <f>TAKEOFF!$H$5663</f>
        <v>4</v>
      </c>
      <c r="D127" s="233" t="s">
        <v>457</v>
      </c>
      <c r="E127" s="234">
        <f>RATES!$D$88</f>
        <v>2600</v>
      </c>
      <c r="F127" s="236">
        <f>C127*E127</f>
        <v>10400</v>
      </c>
      <c r="G127" s="118" t="s">
        <v>493</v>
      </c>
    </row>
    <row r="128" spans="1:7" ht="25.2" customHeight="1">
      <c r="A128" s="224"/>
      <c r="B128" s="226"/>
      <c r="C128" s="226"/>
      <c r="D128" s="226"/>
      <c r="E128" s="226"/>
      <c r="F128" s="235"/>
    </row>
    <row r="129" spans="1:7" ht="25.2" customHeight="1">
      <c r="A129" s="228" t="s">
        <v>31</v>
      </c>
      <c r="B129" s="231" t="s">
        <v>652</v>
      </c>
      <c r="C129" s="232">
        <f>TAKEOFF!$H$5666</f>
        <v>1</v>
      </c>
      <c r="D129" s="233" t="s">
        <v>457</v>
      </c>
      <c r="E129" s="234">
        <f>RATES!$D$89</f>
        <v>1900</v>
      </c>
      <c r="F129" s="236">
        <f>C129*E129</f>
        <v>1900</v>
      </c>
      <c r="G129" s="118" t="s">
        <v>458</v>
      </c>
    </row>
    <row r="130" spans="1:7" ht="25.2" customHeight="1">
      <c r="A130" s="224"/>
      <c r="B130" s="226"/>
      <c r="C130" s="226"/>
      <c r="D130" s="226"/>
      <c r="E130" s="226"/>
      <c r="F130" s="235"/>
    </row>
    <row r="131" spans="1:7" ht="25.2" customHeight="1">
      <c r="A131" s="228" t="s">
        <v>33</v>
      </c>
      <c r="B131" s="231" t="s">
        <v>653</v>
      </c>
      <c r="C131" s="232">
        <f>TAKEOFF!$H$5669</f>
        <v>3</v>
      </c>
      <c r="D131" s="233" t="s">
        <v>457</v>
      </c>
      <c r="E131" s="234">
        <f>RATES!$D$90</f>
        <v>2200</v>
      </c>
      <c r="F131" s="236">
        <f>C131*E131</f>
        <v>6600</v>
      </c>
      <c r="G131" s="118" t="s">
        <v>467</v>
      </c>
    </row>
    <row r="132" spans="1:7" ht="25.2" customHeight="1">
      <c r="A132" s="224"/>
      <c r="B132" s="226"/>
      <c r="C132" s="226"/>
      <c r="D132" s="226"/>
      <c r="E132" s="226"/>
      <c r="F132" s="235"/>
    </row>
    <row r="133" spans="1:7" ht="25.2" customHeight="1">
      <c r="A133" s="228" t="s">
        <v>35</v>
      </c>
      <c r="B133" s="231" t="s">
        <v>654</v>
      </c>
      <c r="C133" s="232">
        <f>TAKEOFF!$H$5672</f>
        <v>1</v>
      </c>
      <c r="D133" s="233" t="s">
        <v>457</v>
      </c>
      <c r="E133" s="234">
        <f>RATES!$D$94</f>
        <v>14500</v>
      </c>
      <c r="F133" s="236">
        <f>C133*E133</f>
        <v>14500</v>
      </c>
      <c r="G133" s="118" t="s">
        <v>458</v>
      </c>
    </row>
    <row r="134" spans="1:7" ht="25.2" customHeight="1">
      <c r="A134" s="224"/>
      <c r="B134" s="226"/>
      <c r="C134" s="226"/>
      <c r="D134" s="226"/>
      <c r="E134" s="226"/>
      <c r="F134" s="235"/>
    </row>
    <row r="135" spans="1:7" ht="25.2" customHeight="1">
      <c r="A135" s="228" t="s">
        <v>37</v>
      </c>
      <c r="B135" s="231" t="s">
        <v>655</v>
      </c>
      <c r="C135" s="232">
        <f>TAKEOFF!$H$5675</f>
        <v>3</v>
      </c>
      <c r="D135" s="233" t="s">
        <v>457</v>
      </c>
      <c r="E135" s="234">
        <f>RATES!$D$95</f>
        <v>8800</v>
      </c>
      <c r="F135" s="236">
        <f>C135*E135</f>
        <v>26400</v>
      </c>
      <c r="G135" s="118" t="s">
        <v>467</v>
      </c>
    </row>
    <row r="136" spans="1:7" ht="25.2" customHeight="1">
      <c r="A136" s="224"/>
      <c r="B136" s="226"/>
      <c r="C136" s="226"/>
      <c r="D136" s="226"/>
      <c r="E136" s="226"/>
      <c r="F136" s="235"/>
    </row>
    <row r="137" spans="1:7" ht="25.2" customHeight="1">
      <c r="A137" s="228" t="s">
        <v>39</v>
      </c>
      <c r="B137" s="231" t="s">
        <v>656</v>
      </c>
      <c r="C137" s="232">
        <f>TAKEOFF!$H$5678</f>
        <v>2</v>
      </c>
      <c r="D137" s="233" t="s">
        <v>457</v>
      </c>
      <c r="E137" s="234">
        <f>RATES!$D$96</f>
        <v>7600</v>
      </c>
      <c r="F137" s="236">
        <f>C137*E137</f>
        <v>15200</v>
      </c>
      <c r="G137" s="118" t="s">
        <v>465</v>
      </c>
    </row>
    <row r="138" spans="1:7" ht="25.2" customHeight="1">
      <c r="A138" s="224"/>
      <c r="B138" s="226"/>
      <c r="C138" s="226"/>
      <c r="D138" s="226"/>
      <c r="E138" s="226"/>
      <c r="F138" s="235"/>
    </row>
    <row r="139" spans="1:7" ht="25.2" customHeight="1">
      <c r="A139" s="228" t="s">
        <v>418</v>
      </c>
      <c r="B139" s="231" t="s">
        <v>657</v>
      </c>
      <c r="C139" s="232">
        <f>TAKEOFF!$H$5681</f>
        <v>3</v>
      </c>
      <c r="D139" s="233" t="s">
        <v>457</v>
      </c>
      <c r="E139" s="234">
        <f>RATES!$D$97</f>
        <v>9300</v>
      </c>
      <c r="F139" s="236">
        <f>C139*E139</f>
        <v>27900</v>
      </c>
      <c r="G139" s="118" t="s">
        <v>467</v>
      </c>
    </row>
    <row r="140" spans="1:7" ht="25.2" customHeight="1">
      <c r="A140" s="224"/>
      <c r="B140" s="226"/>
      <c r="C140" s="226"/>
      <c r="D140" s="226"/>
      <c r="E140" s="226"/>
      <c r="F140" s="235"/>
    </row>
    <row r="141" spans="1:7" ht="25.2" customHeight="1">
      <c r="A141" s="228" t="s">
        <v>421</v>
      </c>
      <c r="B141" s="231" t="s">
        <v>658</v>
      </c>
      <c r="C141" s="232">
        <f>TAKEOFF!$H$5684</f>
        <v>1</v>
      </c>
      <c r="D141" s="233" t="s">
        <v>457</v>
      </c>
      <c r="E141" s="234">
        <f>RATES!$D$98</f>
        <v>7200</v>
      </c>
      <c r="F141" s="236">
        <f>C141*E141</f>
        <v>7200</v>
      </c>
      <c r="G141" s="118" t="s">
        <v>458</v>
      </c>
    </row>
    <row r="142" spans="1:7" ht="25.2" customHeight="1">
      <c r="A142" s="224"/>
      <c r="B142" s="226"/>
      <c r="C142" s="226"/>
      <c r="D142" s="226"/>
      <c r="E142" s="226"/>
      <c r="F142" s="235"/>
    </row>
    <row r="143" spans="1:7" ht="25.2" customHeight="1">
      <c r="A143" s="228" t="s">
        <v>424</v>
      </c>
      <c r="B143" s="231" t="s">
        <v>474</v>
      </c>
      <c r="C143" s="232">
        <f>TAKEOFF!$H$5689</f>
        <v>146.60000000000002</v>
      </c>
      <c r="D143" s="233" t="s">
        <v>369</v>
      </c>
      <c r="E143" s="234">
        <f>RATES!$D$100</f>
        <v>125</v>
      </c>
      <c r="F143" s="236">
        <f>C143*E143</f>
        <v>18325.000000000004</v>
      </c>
      <c r="G143" s="118" t="s">
        <v>869</v>
      </c>
    </row>
    <row r="144" spans="1:7" ht="25.2" customHeight="1">
      <c r="A144" s="224"/>
      <c r="B144" s="226"/>
      <c r="C144" s="226"/>
      <c r="D144" s="226"/>
      <c r="E144" s="226"/>
      <c r="F144" s="235"/>
    </row>
    <row r="145" spans="1:7" ht="25.2" customHeight="1">
      <c r="A145" s="228" t="s">
        <v>427</v>
      </c>
      <c r="B145" s="231" t="s">
        <v>476</v>
      </c>
      <c r="C145" s="232">
        <f>TAKEOFF!$H$5694</f>
        <v>146.60000000000002</v>
      </c>
      <c r="D145" s="233" t="s">
        <v>369</v>
      </c>
      <c r="E145" s="234">
        <f>RATES!$D$101</f>
        <v>28</v>
      </c>
      <c r="F145" s="236">
        <f>C145*E145</f>
        <v>4104.8000000000011</v>
      </c>
      <c r="G145" s="118" t="s">
        <v>869</v>
      </c>
    </row>
    <row r="146" spans="1:7" ht="25.2" customHeight="1">
      <c r="A146" s="224"/>
      <c r="B146" s="226"/>
      <c r="C146" s="226"/>
      <c r="D146" s="226"/>
      <c r="E146" s="226"/>
      <c r="F146" s="235"/>
    </row>
    <row r="147" spans="1:7" s="9" customFormat="1" ht="25.2" customHeight="1">
      <c r="A147" s="224"/>
      <c r="B147" s="226"/>
      <c r="C147" s="226"/>
      <c r="D147" s="226"/>
      <c r="E147" s="226"/>
      <c r="F147" s="235"/>
    </row>
    <row r="148" spans="1:7" s="9" customFormat="1" ht="25.2" customHeight="1">
      <c r="A148" s="224"/>
      <c r="B148" s="226"/>
      <c r="C148" s="226"/>
      <c r="D148" s="226"/>
      <c r="E148" s="226"/>
      <c r="F148" s="235"/>
    </row>
    <row r="149" spans="1:7" ht="25.2" customHeight="1">
      <c r="A149" s="224"/>
      <c r="B149" s="230" t="s">
        <v>477</v>
      </c>
      <c r="C149" s="226"/>
      <c r="D149" s="226"/>
      <c r="E149" s="226"/>
      <c r="F149" s="235"/>
    </row>
    <row r="150" spans="1:7" ht="25.2" customHeight="1">
      <c r="A150" s="228" t="s">
        <v>430</v>
      </c>
      <c r="B150" s="231" t="s">
        <v>478</v>
      </c>
      <c r="C150" s="232">
        <f>TAKEOFF!$H$5698</f>
        <v>41</v>
      </c>
      <c r="D150" s="233" t="s">
        <v>479</v>
      </c>
      <c r="E150" s="234">
        <f>RATES!$D$102</f>
        <v>125</v>
      </c>
      <c r="F150" s="236">
        <f>C150*E150</f>
        <v>5125</v>
      </c>
      <c r="G150" s="118" t="s">
        <v>870</v>
      </c>
    </row>
    <row r="151" spans="1:7" ht="25.2" customHeight="1">
      <c r="A151" s="224"/>
      <c r="B151" s="226"/>
      <c r="C151" s="226"/>
      <c r="D151" s="226"/>
      <c r="E151" s="226"/>
      <c r="F151" s="235"/>
    </row>
    <row r="152" spans="1:7" ht="25.2" customHeight="1">
      <c r="A152" s="228" t="s">
        <v>433</v>
      </c>
      <c r="B152" s="231" t="s">
        <v>481</v>
      </c>
      <c r="C152" s="232">
        <f>TAKEOFF!$H$5701</f>
        <v>11</v>
      </c>
      <c r="D152" s="233" t="s">
        <v>457</v>
      </c>
      <c r="E152" s="234">
        <f>RATES!$D$103</f>
        <v>480</v>
      </c>
      <c r="F152" s="236">
        <f>C152*E152</f>
        <v>5280</v>
      </c>
      <c r="G152" s="118" t="s">
        <v>867</v>
      </c>
    </row>
    <row r="153" spans="1:7" ht="25.2" customHeight="1">
      <c r="A153" s="224"/>
      <c r="B153" s="226"/>
      <c r="C153" s="226"/>
      <c r="D153" s="226"/>
      <c r="E153" s="226"/>
      <c r="F153" s="235"/>
    </row>
    <row r="154" spans="1:7" ht="25.2" customHeight="1">
      <c r="A154" s="228" t="s">
        <v>436</v>
      </c>
      <c r="B154" s="231" t="s">
        <v>483</v>
      </c>
      <c r="C154" s="232">
        <f>TAKEOFF!$H$5704</f>
        <v>16</v>
      </c>
      <c r="D154" s="233" t="s">
        <v>457</v>
      </c>
      <c r="E154" s="234">
        <f>RATES!$D$104</f>
        <v>560</v>
      </c>
      <c r="F154" s="236">
        <f>C154*E154</f>
        <v>8960</v>
      </c>
      <c r="G154" s="118" t="s">
        <v>868</v>
      </c>
    </row>
    <row r="155" spans="1:7" ht="25.2" customHeight="1">
      <c r="A155" s="224"/>
      <c r="B155" s="226"/>
      <c r="C155" s="226"/>
      <c r="D155" s="226"/>
      <c r="E155" s="226"/>
      <c r="F155" s="235"/>
    </row>
    <row r="156" spans="1:7" ht="25.2" customHeight="1">
      <c r="A156" s="224"/>
      <c r="B156" s="230" t="s">
        <v>484</v>
      </c>
      <c r="C156" s="226"/>
      <c r="D156" s="226"/>
      <c r="E156" s="226"/>
      <c r="F156" s="235"/>
    </row>
    <row r="157" spans="1:7" ht="25.2" customHeight="1">
      <c r="A157" s="228" t="s">
        <v>439</v>
      </c>
      <c r="B157" s="231" t="s">
        <v>661</v>
      </c>
      <c r="C157" s="232">
        <f>TAKEOFF!$H$5708</f>
        <v>4</v>
      </c>
      <c r="D157" s="233" t="s">
        <v>457</v>
      </c>
      <c r="E157" s="234">
        <f>RATES!$D$109</f>
        <v>3603.6000000000008</v>
      </c>
      <c r="F157" s="236">
        <f>C157*E157</f>
        <v>14414.400000000003</v>
      </c>
      <c r="G157" s="118" t="s">
        <v>493</v>
      </c>
    </row>
    <row r="158" spans="1:7" ht="25.2" customHeight="1">
      <c r="A158" s="224"/>
      <c r="B158" s="226"/>
      <c r="C158" s="226"/>
      <c r="D158" s="226"/>
      <c r="E158" s="226"/>
      <c r="F158" s="235"/>
    </row>
    <row r="159" spans="1:7" ht="25.2" customHeight="1">
      <c r="A159" s="228" t="s">
        <v>9</v>
      </c>
      <c r="B159" s="231" t="s">
        <v>662</v>
      </c>
      <c r="C159" s="232">
        <f>TAKEOFF!$H$5711</f>
        <v>8</v>
      </c>
      <c r="D159" s="233" t="s">
        <v>457</v>
      </c>
      <c r="E159" s="234">
        <f>RATES!$D$111</f>
        <v>1801.8000000000004</v>
      </c>
      <c r="F159" s="236">
        <f>C159*E159</f>
        <v>14414.400000000003</v>
      </c>
      <c r="G159" s="118" t="s">
        <v>669</v>
      </c>
    </row>
    <row r="160" spans="1:7" ht="25.2" customHeight="1">
      <c r="A160" s="224"/>
      <c r="B160" s="226"/>
      <c r="C160" s="226"/>
      <c r="D160" s="226"/>
      <c r="E160" s="226"/>
      <c r="F160" s="235"/>
    </row>
    <row r="161" spans="1:7" ht="25.2" customHeight="1">
      <c r="A161" s="228" t="s">
        <v>11</v>
      </c>
      <c r="B161" s="231" t="s">
        <v>664</v>
      </c>
      <c r="C161" s="232">
        <f>TAKEOFF!$H$5714</f>
        <v>1</v>
      </c>
      <c r="D161" s="233" t="s">
        <v>457</v>
      </c>
      <c r="E161" s="234">
        <f>RATES!$D$114</f>
        <v>4435.2000000000007</v>
      </c>
      <c r="F161" s="236">
        <f>C161*E161</f>
        <v>4435.2000000000007</v>
      </c>
      <c r="G161" s="118" t="s">
        <v>458</v>
      </c>
    </row>
    <row r="162" spans="1:7" ht="25.2" customHeight="1">
      <c r="A162" s="224"/>
      <c r="B162" s="226"/>
      <c r="C162" s="226"/>
      <c r="D162" s="226"/>
      <c r="E162" s="226"/>
      <c r="F162" s="235"/>
    </row>
    <row r="163" spans="1:7" ht="25.2" customHeight="1">
      <c r="A163" s="228" t="s">
        <v>13</v>
      </c>
      <c r="B163" s="231" t="s">
        <v>665</v>
      </c>
      <c r="C163" s="232">
        <f>TAKEOFF!$H$5717</f>
        <v>2</v>
      </c>
      <c r="D163" s="233" t="s">
        <v>457</v>
      </c>
      <c r="E163" s="234">
        <f>RATES!$D$115</f>
        <v>3511.2000000000003</v>
      </c>
      <c r="F163" s="236">
        <f>C163*E163</f>
        <v>7022.4000000000005</v>
      </c>
      <c r="G163" s="118" t="s">
        <v>465</v>
      </c>
    </row>
    <row r="164" spans="1:7" ht="25.2" customHeight="1">
      <c r="A164" s="224"/>
      <c r="B164" s="226"/>
      <c r="C164" s="226"/>
      <c r="D164" s="226"/>
      <c r="E164" s="226"/>
      <c r="F164" s="235"/>
    </row>
    <row r="165" spans="1:7" ht="25.2" customHeight="1">
      <c r="A165" s="228" t="s">
        <v>15</v>
      </c>
      <c r="B165" s="231" t="s">
        <v>666</v>
      </c>
      <c r="C165" s="232">
        <f>TAKEOFF!$H$5720</f>
        <v>6</v>
      </c>
      <c r="D165" s="233" t="s">
        <v>457</v>
      </c>
      <c r="E165" s="234">
        <f>RATES!$D$116</f>
        <v>2125.2000000000003</v>
      </c>
      <c r="F165" s="236">
        <f>C165*E165</f>
        <v>12751.2</v>
      </c>
      <c r="G165" s="118" t="s">
        <v>460</v>
      </c>
    </row>
    <row r="166" spans="1:7" ht="25.2" customHeight="1">
      <c r="A166" s="224"/>
      <c r="B166" s="226"/>
      <c r="C166" s="226"/>
      <c r="D166" s="226"/>
      <c r="E166" s="226"/>
      <c r="F166" s="235"/>
    </row>
    <row r="167" spans="1:7" ht="25.2" customHeight="1">
      <c r="A167" s="228" t="s">
        <v>17</v>
      </c>
      <c r="B167" s="231" t="s">
        <v>667</v>
      </c>
      <c r="C167" s="232">
        <f>TAKEOFF!$H$5723</f>
        <v>1</v>
      </c>
      <c r="D167" s="233" t="s">
        <v>457</v>
      </c>
      <c r="E167" s="234">
        <f>RATES!$D$117</f>
        <v>2217.6000000000004</v>
      </c>
      <c r="F167" s="236">
        <f>C167*E167</f>
        <v>2217.6000000000004</v>
      </c>
      <c r="G167" s="118" t="s">
        <v>458</v>
      </c>
    </row>
    <row r="168" spans="1:7" ht="25.2" customHeight="1">
      <c r="A168" s="224"/>
      <c r="B168" s="226"/>
      <c r="C168" s="226"/>
      <c r="D168" s="226"/>
      <c r="E168" s="226"/>
      <c r="F168" s="235"/>
    </row>
    <row r="169" spans="1:7" ht="25.2" customHeight="1">
      <c r="A169" s="228" t="s">
        <v>19</v>
      </c>
      <c r="B169" s="231" t="s">
        <v>668</v>
      </c>
      <c r="C169" s="232">
        <f>TAKEOFF!$H$5726</f>
        <v>5</v>
      </c>
      <c r="D169" s="233" t="s">
        <v>457</v>
      </c>
      <c r="E169" s="234">
        <f>RATES!$D$118</f>
        <v>3003.0000000000009</v>
      </c>
      <c r="F169" s="236">
        <f>C169*E169</f>
        <v>15015.000000000004</v>
      </c>
      <c r="G169" s="118" t="s">
        <v>651</v>
      </c>
    </row>
    <row r="170" spans="1:7" ht="25.2" customHeight="1">
      <c r="A170" s="224"/>
      <c r="B170" s="226"/>
      <c r="C170" s="226"/>
      <c r="D170" s="226"/>
      <c r="E170" s="226"/>
      <c r="F170" s="235"/>
    </row>
    <row r="171" spans="1:7" ht="25.2" customHeight="1">
      <c r="A171" s="228" t="s">
        <v>21</v>
      </c>
      <c r="B171" s="231" t="s">
        <v>670</v>
      </c>
      <c r="C171" s="232">
        <f>TAKEOFF!$H$5729</f>
        <v>3</v>
      </c>
      <c r="D171" s="233" t="s">
        <v>457</v>
      </c>
      <c r="E171" s="234">
        <f>RATES!$D$119</f>
        <v>2656.5</v>
      </c>
      <c r="F171" s="236">
        <f>C171*E171</f>
        <v>7969.5</v>
      </c>
      <c r="G171" s="118" t="s">
        <v>467</v>
      </c>
    </row>
    <row r="172" spans="1:7" ht="25.2" customHeight="1">
      <c r="A172" s="224"/>
      <c r="B172" s="226"/>
      <c r="C172" s="226"/>
      <c r="D172" s="226"/>
      <c r="E172" s="226"/>
      <c r="F172" s="235"/>
    </row>
    <row r="173" spans="1:7" ht="25.2" customHeight="1">
      <c r="A173" s="228" t="s">
        <v>23</v>
      </c>
      <c r="B173" s="231" t="s">
        <v>672</v>
      </c>
      <c r="C173" s="232">
        <f>TAKEOFF!$H$5732</f>
        <v>1</v>
      </c>
      <c r="D173" s="233" t="s">
        <v>457</v>
      </c>
      <c r="E173" s="234">
        <f>RATES!$D$122</f>
        <v>7392.0000000000018</v>
      </c>
      <c r="F173" s="236">
        <f>C173*E173</f>
        <v>7392.0000000000018</v>
      </c>
      <c r="G173" s="118" t="s">
        <v>458</v>
      </c>
    </row>
    <row r="174" spans="1:7" ht="25.2" customHeight="1">
      <c r="A174" s="224"/>
      <c r="B174" s="226"/>
      <c r="C174" s="226"/>
      <c r="D174" s="226"/>
      <c r="E174" s="226"/>
      <c r="F174" s="235"/>
    </row>
    <row r="175" spans="1:7" ht="25.2" customHeight="1">
      <c r="A175" s="228" t="s">
        <v>25</v>
      </c>
      <c r="B175" s="231" t="s">
        <v>673</v>
      </c>
      <c r="C175" s="232">
        <f>TAKEOFF!$H$5735</f>
        <v>2</v>
      </c>
      <c r="D175" s="233" t="s">
        <v>457</v>
      </c>
      <c r="E175" s="234">
        <f>RATES!$D$124</f>
        <v>5266.8000000000011</v>
      </c>
      <c r="F175" s="236">
        <f>C175*E175</f>
        <v>10533.600000000002</v>
      </c>
      <c r="G175" s="118" t="s">
        <v>465</v>
      </c>
    </row>
    <row r="176" spans="1:7" ht="25.2" customHeight="1">
      <c r="A176" s="224"/>
      <c r="B176" s="226"/>
      <c r="C176" s="226"/>
      <c r="D176" s="226"/>
      <c r="E176" s="226"/>
      <c r="F176" s="235"/>
    </row>
    <row r="177" spans="1:7" ht="25.2" customHeight="1">
      <c r="A177" s="228" t="s">
        <v>27</v>
      </c>
      <c r="B177" s="231" t="s">
        <v>674</v>
      </c>
      <c r="C177" s="232">
        <f>TAKEOFF!$H$5738</f>
        <v>1</v>
      </c>
      <c r="D177" s="233" t="s">
        <v>457</v>
      </c>
      <c r="E177" s="234">
        <f>RATES!$D$125</f>
        <v>1501.5000000000005</v>
      </c>
      <c r="F177" s="236">
        <f>C177*E177</f>
        <v>1501.5000000000005</v>
      </c>
      <c r="G177" s="118" t="s">
        <v>458</v>
      </c>
    </row>
    <row r="178" spans="1:7" ht="25.2" customHeight="1">
      <c r="A178" s="224"/>
      <c r="B178" s="226"/>
      <c r="C178" s="226"/>
      <c r="D178" s="226"/>
      <c r="E178" s="226"/>
      <c r="F178" s="235"/>
    </row>
    <row r="179" spans="1:7" ht="25.2" customHeight="1">
      <c r="A179" s="228" t="s">
        <v>29</v>
      </c>
      <c r="B179" s="231" t="s">
        <v>492</v>
      </c>
      <c r="C179" s="232">
        <f>TAKEOFF!$H$5741</f>
        <v>10</v>
      </c>
      <c r="D179" s="233" t="s">
        <v>457</v>
      </c>
      <c r="E179" s="234">
        <f>RATES!$D$128</f>
        <v>831.60000000000014</v>
      </c>
      <c r="F179" s="236">
        <f>C179*E179</f>
        <v>8316.0000000000018</v>
      </c>
      <c r="G179" s="118" t="s">
        <v>643</v>
      </c>
    </row>
    <row r="180" spans="1:7" ht="25.2" customHeight="1">
      <c r="A180" s="224"/>
      <c r="B180" s="226"/>
      <c r="C180" s="226"/>
      <c r="D180" s="226"/>
      <c r="E180" s="226"/>
      <c r="F180" s="235"/>
    </row>
    <row r="181" spans="1:7" ht="25.2" customHeight="1">
      <c r="A181" s="228" t="s">
        <v>31</v>
      </c>
      <c r="B181" s="231" t="s">
        <v>494</v>
      </c>
      <c r="C181" s="232">
        <f>TAKEOFF!$H$5744</f>
        <v>4</v>
      </c>
      <c r="D181" s="233" t="s">
        <v>457</v>
      </c>
      <c r="E181" s="234">
        <f>RATES!$D$129</f>
        <v>693</v>
      </c>
      <c r="F181" s="236">
        <f>C181*E181</f>
        <v>2772</v>
      </c>
      <c r="G181" s="118" t="s">
        <v>493</v>
      </c>
    </row>
    <row r="182" spans="1:7" ht="25.2" customHeight="1">
      <c r="A182" s="224"/>
      <c r="B182" s="226"/>
      <c r="C182" s="226"/>
      <c r="D182" s="226"/>
      <c r="E182" s="226"/>
      <c r="F182" s="235"/>
    </row>
    <row r="183" spans="1:7" ht="25.2" customHeight="1">
      <c r="A183" s="228" t="s">
        <v>33</v>
      </c>
      <c r="B183" s="231" t="s">
        <v>677</v>
      </c>
      <c r="C183" s="232">
        <f>TAKEOFF!$H$5747</f>
        <v>1</v>
      </c>
      <c r="D183" s="233" t="s">
        <v>457</v>
      </c>
      <c r="E183" s="234">
        <f>RATES!$D$130</f>
        <v>554.40000000000009</v>
      </c>
      <c r="F183" s="236">
        <f>C183*E183</f>
        <v>554.40000000000009</v>
      </c>
      <c r="G183" s="118" t="s">
        <v>458</v>
      </c>
    </row>
    <row r="184" spans="1:7" ht="25.2" customHeight="1">
      <c r="A184" s="224"/>
      <c r="B184" s="226"/>
      <c r="C184" s="226"/>
      <c r="D184" s="226"/>
      <c r="E184" s="226"/>
      <c r="F184" s="235"/>
    </row>
    <row r="185" spans="1:7" ht="25.2" customHeight="1">
      <c r="A185" s="228" t="s">
        <v>35</v>
      </c>
      <c r="B185" s="231" t="s">
        <v>678</v>
      </c>
      <c r="C185" s="232">
        <f>TAKEOFF!$H$5750</f>
        <v>1</v>
      </c>
      <c r="D185" s="233" t="s">
        <v>457</v>
      </c>
      <c r="E185" s="234">
        <f>RATES!$D$131</f>
        <v>1108.8000000000002</v>
      </c>
      <c r="F185" s="236">
        <f>C185*E185</f>
        <v>1108.8000000000002</v>
      </c>
      <c r="G185" s="118" t="s">
        <v>458</v>
      </c>
    </row>
    <row r="186" spans="1:7" ht="25.2" customHeight="1">
      <c r="A186" s="109"/>
      <c r="B186" s="136"/>
      <c r="C186" s="136"/>
      <c r="D186" s="136"/>
      <c r="E186" s="136"/>
      <c r="F186" s="117"/>
    </row>
    <row r="187" spans="1:7" ht="25.2" customHeight="1" thickBot="1">
      <c r="A187" s="141"/>
      <c r="B187" s="154" t="str">
        <f>B104</f>
        <v>ELEMENT NO. 4: WINDOWS/DOORS</v>
      </c>
      <c r="C187" s="142"/>
      <c r="D187" s="142"/>
      <c r="E187" s="143"/>
      <c r="F187" s="116">
        <f>SUM(F106:F186)</f>
        <v>451212.80000000005</v>
      </c>
    </row>
    <row r="188" spans="1:7" ht="25.2" customHeight="1" thickTop="1" thickBot="1">
      <c r="A188" s="150"/>
      <c r="B188" s="151" t="s">
        <v>339</v>
      </c>
      <c r="C188" s="152"/>
      <c r="D188" s="152"/>
      <c r="E188" s="152"/>
      <c r="F188" s="153"/>
    </row>
    <row r="189" spans="1:7" ht="25.2" customHeight="1" thickTop="1">
      <c r="A189" s="109"/>
      <c r="B189" s="136"/>
      <c r="C189" s="136"/>
      <c r="D189" s="136"/>
      <c r="E189" s="136"/>
      <c r="F189" s="117"/>
    </row>
    <row r="190" spans="1:7" ht="25.2" customHeight="1">
      <c r="A190" s="224"/>
      <c r="B190" s="226"/>
      <c r="C190" s="226"/>
      <c r="D190" s="226"/>
      <c r="E190" s="226"/>
      <c r="F190" s="235"/>
    </row>
    <row r="191" spans="1:7" ht="25.2" customHeight="1">
      <c r="A191" s="224"/>
      <c r="B191" s="225" t="s">
        <v>382</v>
      </c>
      <c r="C191" s="226"/>
      <c r="D191" s="226"/>
      <c r="E191" s="226"/>
      <c r="F191" s="235"/>
    </row>
    <row r="192" spans="1:7" ht="25.2" customHeight="1">
      <c r="A192" s="224"/>
      <c r="B192" s="226"/>
      <c r="C192" s="226"/>
      <c r="D192" s="226"/>
      <c r="E192" s="226"/>
      <c r="F192" s="235"/>
    </row>
    <row r="193" spans="1:7" ht="25.2" customHeight="1">
      <c r="A193" s="224"/>
      <c r="B193" s="230" t="s">
        <v>495</v>
      </c>
      <c r="C193" s="226"/>
      <c r="D193" s="226"/>
      <c r="E193" s="226"/>
      <c r="F193" s="235"/>
    </row>
    <row r="194" spans="1:7" ht="25.2" customHeight="1">
      <c r="A194" s="228" t="s">
        <v>9</v>
      </c>
      <c r="B194" s="231" t="s">
        <v>496</v>
      </c>
      <c r="C194" s="232">
        <f>TAKEOFF!$H$5755</f>
        <v>647.79999999999995</v>
      </c>
      <c r="D194" s="233" t="s">
        <v>322</v>
      </c>
      <c r="E194" s="234">
        <f>RATES!$D$50</f>
        <v>68</v>
      </c>
      <c r="F194" s="236">
        <f>C194*E194</f>
        <v>44050.399999999994</v>
      </c>
      <c r="G194" s="118" t="s">
        <v>871</v>
      </c>
    </row>
    <row r="195" spans="1:7" ht="25.2" customHeight="1">
      <c r="A195" s="224"/>
      <c r="B195" s="226"/>
      <c r="C195" s="226"/>
      <c r="D195" s="226"/>
      <c r="E195" s="226"/>
      <c r="F195" s="235"/>
    </row>
    <row r="196" spans="1:7" ht="25.2" customHeight="1">
      <c r="A196" s="228" t="s">
        <v>11</v>
      </c>
      <c r="B196" s="231" t="s">
        <v>498</v>
      </c>
      <c r="C196" s="232">
        <f>TAKEOFF!$H$5766</f>
        <v>711.28</v>
      </c>
      <c r="D196" s="233" t="s">
        <v>322</v>
      </c>
      <c r="E196" s="234">
        <f>RATES!$D$51</f>
        <v>48</v>
      </c>
      <c r="F196" s="236">
        <f>C196*E196</f>
        <v>34141.440000000002</v>
      </c>
      <c r="G196" s="118" t="s">
        <v>872</v>
      </c>
    </row>
    <row r="197" spans="1:7" ht="25.2" customHeight="1">
      <c r="A197" s="224"/>
      <c r="B197" s="226"/>
      <c r="C197" s="226"/>
      <c r="D197" s="226"/>
      <c r="E197" s="226"/>
      <c r="F197" s="235"/>
    </row>
    <row r="198" spans="1:7" ht="25.2" customHeight="1">
      <c r="A198" s="228" t="s">
        <v>13</v>
      </c>
      <c r="B198" s="231" t="s">
        <v>500</v>
      </c>
      <c r="C198" s="232">
        <f>TAKEOFF!$H$5769</f>
        <v>45.4</v>
      </c>
      <c r="D198" s="233" t="s">
        <v>322</v>
      </c>
      <c r="E198" s="234">
        <f>RATES!$D$53</f>
        <v>230</v>
      </c>
      <c r="F198" s="236">
        <f>C198*E198</f>
        <v>10442</v>
      </c>
      <c r="G198" s="118" t="s">
        <v>873</v>
      </c>
    </row>
    <row r="199" spans="1:7" ht="25.2" customHeight="1">
      <c r="A199" s="224"/>
      <c r="B199" s="226"/>
      <c r="C199" s="226"/>
      <c r="D199" s="226"/>
      <c r="E199" s="226"/>
      <c r="F199" s="235"/>
    </row>
    <row r="200" spans="1:7" ht="25.2" customHeight="1">
      <c r="A200" s="228" t="s">
        <v>15</v>
      </c>
      <c r="B200" s="231" t="s">
        <v>502</v>
      </c>
      <c r="C200" s="232">
        <f>TAKEOFF!$H$5779</f>
        <v>63.480000000000004</v>
      </c>
      <c r="D200" s="233" t="s">
        <v>322</v>
      </c>
      <c r="E200" s="234">
        <f>RATES!$D$54</f>
        <v>270</v>
      </c>
      <c r="F200" s="236">
        <f>C200*E200</f>
        <v>17139.600000000002</v>
      </c>
      <c r="G200" s="118" t="s">
        <v>569</v>
      </c>
    </row>
    <row r="201" spans="1:7" ht="25.2" customHeight="1">
      <c r="A201" s="224"/>
      <c r="B201" s="226"/>
      <c r="C201" s="226"/>
      <c r="D201" s="226"/>
      <c r="E201" s="226"/>
      <c r="F201" s="235"/>
    </row>
    <row r="202" spans="1:7" ht="25.2" customHeight="1">
      <c r="A202" s="228" t="s">
        <v>17</v>
      </c>
      <c r="B202" s="231" t="s">
        <v>504</v>
      </c>
      <c r="C202" s="232">
        <f>TAKEOFF!$H$5782</f>
        <v>414.5</v>
      </c>
      <c r="D202" s="233" t="s">
        <v>322</v>
      </c>
      <c r="E202" s="234">
        <f>RATES!$D$55</f>
        <v>265</v>
      </c>
      <c r="F202" s="236">
        <f>C202*E202</f>
        <v>109842.5</v>
      </c>
      <c r="G202" s="118" t="s">
        <v>874</v>
      </c>
    </row>
    <row r="203" spans="1:7" ht="25.2" customHeight="1">
      <c r="A203" s="224"/>
      <c r="B203" s="226"/>
      <c r="C203" s="226"/>
      <c r="D203" s="226"/>
      <c r="E203" s="226"/>
      <c r="F203" s="235"/>
    </row>
    <row r="204" spans="1:7" ht="25.2" customHeight="1">
      <c r="A204" s="228" t="s">
        <v>19</v>
      </c>
      <c r="B204" s="231" t="s">
        <v>506</v>
      </c>
      <c r="C204" s="232">
        <f>TAKEOFF!$H$5785</f>
        <v>23.2</v>
      </c>
      <c r="D204" s="233" t="s">
        <v>322</v>
      </c>
      <c r="E204" s="234">
        <f>RATES!$D$56</f>
        <v>330</v>
      </c>
      <c r="F204" s="236">
        <f>C204*E204</f>
        <v>7656</v>
      </c>
      <c r="G204" s="118" t="s">
        <v>875</v>
      </c>
    </row>
    <row r="205" spans="1:7" ht="25.2" customHeight="1">
      <c r="A205" s="224"/>
      <c r="B205" s="226"/>
      <c r="C205" s="226"/>
      <c r="D205" s="226"/>
      <c r="E205" s="226"/>
      <c r="F205" s="235"/>
    </row>
    <row r="206" spans="1:7" ht="25.2" customHeight="1">
      <c r="A206" s="228" t="s">
        <v>21</v>
      </c>
      <c r="B206" s="231" t="s">
        <v>508</v>
      </c>
      <c r="C206" s="232">
        <f>TAKEOFF!$H$5788</f>
        <v>164.8</v>
      </c>
      <c r="D206" s="233" t="s">
        <v>322</v>
      </c>
      <c r="E206" s="234">
        <f>RATES!$D$57</f>
        <v>250</v>
      </c>
      <c r="F206" s="236">
        <f>C206*E206</f>
        <v>41200</v>
      </c>
      <c r="G206" s="118" t="s">
        <v>876</v>
      </c>
    </row>
    <row r="207" spans="1:7" ht="25.2" customHeight="1">
      <c r="A207" s="109"/>
      <c r="B207" s="136"/>
      <c r="C207" s="136"/>
      <c r="D207" s="136"/>
      <c r="E207" s="136"/>
      <c r="F207" s="117"/>
    </row>
    <row r="208" spans="1:7" ht="25.2" customHeight="1" thickBot="1">
      <c r="A208" s="141"/>
      <c r="B208" s="154" t="str">
        <f>B191</f>
        <v>ELEMENT NO. 5: FLOOR FINISHES</v>
      </c>
      <c r="C208" s="142"/>
      <c r="D208" s="142"/>
      <c r="E208" s="143"/>
      <c r="F208" s="116">
        <f>SUM(F193:F207)</f>
        <v>264471.94</v>
      </c>
    </row>
    <row r="209" spans="1:7" ht="25.2" customHeight="1" thickTop="1" thickBot="1">
      <c r="A209" s="150"/>
      <c r="B209" s="151" t="s">
        <v>339</v>
      </c>
      <c r="C209" s="152"/>
      <c r="D209" s="152"/>
      <c r="E209" s="152"/>
      <c r="F209" s="153"/>
    </row>
    <row r="210" spans="1:7" ht="25.2" customHeight="1" thickTop="1">
      <c r="A210" s="109"/>
      <c r="B210" s="136"/>
      <c r="C210" s="136"/>
      <c r="D210" s="136"/>
      <c r="E210" s="136"/>
      <c r="F210" s="117"/>
    </row>
    <row r="211" spans="1:7" ht="25.2" customHeight="1">
      <c r="A211" s="224"/>
      <c r="B211" s="226"/>
      <c r="C211" s="226"/>
      <c r="D211" s="226"/>
      <c r="E211" s="226"/>
      <c r="F211" s="235"/>
    </row>
    <row r="212" spans="1:7" ht="25.2" customHeight="1">
      <c r="A212" s="224"/>
      <c r="B212" s="225" t="s">
        <v>383</v>
      </c>
      <c r="C212" s="226"/>
      <c r="D212" s="226"/>
      <c r="E212" s="226"/>
      <c r="F212" s="235"/>
    </row>
    <row r="213" spans="1:7" ht="25.2" customHeight="1">
      <c r="A213" s="224"/>
      <c r="B213" s="226"/>
      <c r="C213" s="226"/>
      <c r="D213" s="226"/>
      <c r="E213" s="226"/>
      <c r="F213" s="235"/>
    </row>
    <row r="214" spans="1:7" ht="25.2" customHeight="1">
      <c r="A214" s="224"/>
      <c r="B214" s="230" t="s">
        <v>512</v>
      </c>
      <c r="C214" s="226"/>
      <c r="D214" s="226"/>
      <c r="E214" s="226"/>
      <c r="F214" s="235"/>
    </row>
    <row r="215" spans="1:7" ht="25.2" customHeight="1">
      <c r="A215" s="228" t="s">
        <v>9</v>
      </c>
      <c r="B215" s="231" t="s">
        <v>513</v>
      </c>
      <c r="C215" s="232">
        <f>TAKEOFF!$H$5830</f>
        <v>1352.5642105263159</v>
      </c>
      <c r="D215" s="233" t="s">
        <v>322</v>
      </c>
      <c r="E215" s="234">
        <f>RATES!$D$48</f>
        <v>78</v>
      </c>
      <c r="F215" s="236">
        <f>C215*E215</f>
        <v>105500.00842105264</v>
      </c>
      <c r="G215" s="118" t="s">
        <v>877</v>
      </c>
    </row>
    <row r="216" spans="1:7" ht="25.2" customHeight="1">
      <c r="A216" s="224"/>
      <c r="B216" s="226"/>
      <c r="C216" s="226"/>
      <c r="D216" s="226"/>
      <c r="E216" s="226"/>
      <c r="F216" s="235"/>
    </row>
    <row r="217" spans="1:7" ht="25.2" customHeight="1">
      <c r="A217" s="228" t="s">
        <v>11</v>
      </c>
      <c r="B217" s="231" t="s">
        <v>515</v>
      </c>
      <c r="C217" s="232">
        <f>TAKEOFF!$H$5834</f>
        <v>271.80263157894734</v>
      </c>
      <c r="D217" s="233" t="s">
        <v>322</v>
      </c>
      <c r="E217" s="234">
        <f>RATES!$D$48</f>
        <v>78</v>
      </c>
      <c r="F217" s="236">
        <f>C217*E217</f>
        <v>21200.605263157893</v>
      </c>
      <c r="G217" s="118" t="s">
        <v>878</v>
      </c>
    </row>
    <row r="218" spans="1:7" ht="25.2" customHeight="1">
      <c r="A218" s="224"/>
      <c r="B218" s="226"/>
      <c r="C218" s="226"/>
      <c r="D218" s="226"/>
      <c r="E218" s="226"/>
      <c r="F218" s="235"/>
    </row>
    <row r="219" spans="1:7" ht="25.2" customHeight="1">
      <c r="A219" s="228" t="s">
        <v>13</v>
      </c>
      <c r="B219" s="231" t="s">
        <v>517</v>
      </c>
      <c r="C219" s="232">
        <f>TAKEOFF!$H$5852</f>
        <v>528.24</v>
      </c>
      <c r="D219" s="233" t="s">
        <v>322</v>
      </c>
      <c r="E219" s="234">
        <f>RATES!$D$49</f>
        <v>88</v>
      </c>
      <c r="F219" s="236">
        <f>C219*E219</f>
        <v>46485.120000000003</v>
      </c>
      <c r="G219" s="118" t="s">
        <v>879</v>
      </c>
    </row>
    <row r="220" spans="1:7" ht="25.2" customHeight="1">
      <c r="A220" s="224"/>
      <c r="B220" s="226"/>
      <c r="C220" s="226"/>
      <c r="D220" s="226"/>
      <c r="E220" s="226"/>
      <c r="F220" s="235"/>
    </row>
    <row r="221" spans="1:7" ht="25.2" customHeight="1">
      <c r="A221" s="228" t="s">
        <v>15</v>
      </c>
      <c r="B221" s="231" t="s">
        <v>519</v>
      </c>
      <c r="C221" s="232">
        <f>TAKEOFF!$H$5856</f>
        <v>209.67631578947368</v>
      </c>
      <c r="D221" s="233" t="s">
        <v>322</v>
      </c>
      <c r="E221" s="234">
        <f>RATES!$D$52</f>
        <v>55</v>
      </c>
      <c r="F221" s="236">
        <f>C221*E221</f>
        <v>11532.197368421052</v>
      </c>
      <c r="G221" s="118" t="s">
        <v>880</v>
      </c>
    </row>
    <row r="222" spans="1:7" ht="25.2" customHeight="1">
      <c r="A222" s="224"/>
      <c r="B222" s="226"/>
      <c r="C222" s="226"/>
      <c r="D222" s="226"/>
      <c r="E222" s="226"/>
      <c r="F222" s="235"/>
    </row>
    <row r="223" spans="1:7" ht="25.2" customHeight="1">
      <c r="A223" s="228" t="s">
        <v>17</v>
      </c>
      <c r="B223" s="231" t="s">
        <v>521</v>
      </c>
      <c r="C223" s="232">
        <f>TAKEOFF!$H$5860</f>
        <v>209.67631578947368</v>
      </c>
      <c r="D223" s="233" t="s">
        <v>322</v>
      </c>
      <c r="E223" s="234">
        <f>RATES!$D$60</f>
        <v>240</v>
      </c>
      <c r="F223" s="236">
        <f>C223*E223</f>
        <v>50322.31578947368</v>
      </c>
      <c r="G223" s="118" t="s">
        <v>880</v>
      </c>
    </row>
    <row r="224" spans="1:7" ht="25.2" customHeight="1">
      <c r="A224" s="109"/>
      <c r="B224" s="136"/>
      <c r="C224" s="136"/>
      <c r="D224" s="136"/>
      <c r="E224" s="136"/>
      <c r="F224" s="117"/>
    </row>
    <row r="225" spans="1:7" ht="25.2" customHeight="1" thickBot="1">
      <c r="A225" s="141"/>
      <c r="B225" s="154" t="str">
        <f>B212</f>
        <v>ELEMENT NO. 6: WALL FINISHES</v>
      </c>
      <c r="C225" s="142"/>
      <c r="D225" s="142"/>
      <c r="E225" s="143"/>
      <c r="F225" s="116">
        <f>SUM(F214:F224)</f>
        <v>235040.24684210526</v>
      </c>
    </row>
    <row r="226" spans="1:7" ht="25.2" customHeight="1" thickTop="1" thickBot="1">
      <c r="A226" s="150"/>
      <c r="B226" s="151" t="s">
        <v>339</v>
      </c>
      <c r="C226" s="152"/>
      <c r="D226" s="152"/>
      <c r="E226" s="152"/>
      <c r="F226" s="153"/>
    </row>
    <row r="227" spans="1:7" ht="25.2" customHeight="1" thickTop="1">
      <c r="A227" s="109"/>
      <c r="B227" s="136"/>
      <c r="C227" s="136"/>
      <c r="D227" s="136"/>
      <c r="E227" s="136"/>
      <c r="F227" s="117"/>
    </row>
    <row r="228" spans="1:7" ht="25.2" customHeight="1">
      <c r="A228" s="224"/>
      <c r="B228" s="226"/>
      <c r="C228" s="226"/>
      <c r="D228" s="226"/>
      <c r="E228" s="226"/>
      <c r="F228" s="235"/>
    </row>
    <row r="229" spans="1:7" ht="25.2" customHeight="1">
      <c r="A229" s="224"/>
      <c r="B229" s="225" t="s">
        <v>384</v>
      </c>
      <c r="C229" s="226"/>
      <c r="D229" s="226"/>
      <c r="E229" s="226"/>
      <c r="F229" s="235"/>
    </row>
    <row r="230" spans="1:7" ht="25.2" customHeight="1">
      <c r="A230" s="224"/>
      <c r="B230" s="226"/>
      <c r="C230" s="226"/>
      <c r="D230" s="226"/>
      <c r="E230" s="226"/>
      <c r="F230" s="235"/>
    </row>
    <row r="231" spans="1:7" ht="25.2" customHeight="1">
      <c r="A231" s="224"/>
      <c r="B231" s="230" t="s">
        <v>522</v>
      </c>
      <c r="C231" s="226"/>
      <c r="D231" s="226"/>
      <c r="E231" s="226"/>
      <c r="F231" s="235"/>
    </row>
    <row r="232" spans="1:7" ht="25.2" customHeight="1">
      <c r="A232" s="228" t="s">
        <v>9</v>
      </c>
      <c r="B232" s="231" t="s">
        <v>513</v>
      </c>
      <c r="C232" s="232">
        <f>TAKEOFF!$H$5902</f>
        <v>1352.5642105263159</v>
      </c>
      <c r="D232" s="233" t="s">
        <v>322</v>
      </c>
      <c r="E232" s="234">
        <f>RATES!$D$61</f>
        <v>45</v>
      </c>
      <c r="F232" s="236">
        <f>C232*E232</f>
        <v>60865.389473684219</v>
      </c>
      <c r="G232" s="118" t="s">
        <v>877</v>
      </c>
    </row>
    <row r="233" spans="1:7" ht="25.2" customHeight="1">
      <c r="A233" s="224"/>
      <c r="B233" s="226"/>
      <c r="C233" s="226"/>
      <c r="D233" s="226"/>
      <c r="E233" s="226"/>
      <c r="F233" s="235"/>
    </row>
    <row r="234" spans="1:7" ht="25.2" customHeight="1">
      <c r="A234" s="228" t="s">
        <v>11</v>
      </c>
      <c r="B234" s="231" t="s">
        <v>523</v>
      </c>
      <c r="C234" s="232">
        <f>TAKEOFF!$H$5908</f>
        <v>62.126315789473665</v>
      </c>
      <c r="D234" s="233" t="s">
        <v>322</v>
      </c>
      <c r="E234" s="234">
        <f>RATES!$D$61</f>
        <v>45</v>
      </c>
      <c r="F234" s="236">
        <f>C234*E234</f>
        <v>2795.6842105263149</v>
      </c>
      <c r="G234" s="118" t="s">
        <v>881</v>
      </c>
    </row>
    <row r="235" spans="1:7" ht="25.2" customHeight="1">
      <c r="A235" s="224"/>
      <c r="B235" s="226"/>
      <c r="C235" s="226"/>
      <c r="D235" s="226"/>
      <c r="E235" s="226"/>
      <c r="F235" s="235"/>
    </row>
    <row r="236" spans="1:7" ht="25.2" customHeight="1">
      <c r="A236" s="228" t="s">
        <v>13</v>
      </c>
      <c r="B236" s="231" t="s">
        <v>525</v>
      </c>
      <c r="C236" s="232">
        <f>TAKEOFF!$H$5926</f>
        <v>528.24</v>
      </c>
      <c r="D236" s="233" t="s">
        <v>322</v>
      </c>
      <c r="E236" s="234">
        <f>RATES!$D$62</f>
        <v>62</v>
      </c>
      <c r="F236" s="236">
        <f>C236*E236</f>
        <v>32750.880000000001</v>
      </c>
      <c r="G236" s="118" t="s">
        <v>879</v>
      </c>
    </row>
    <row r="237" spans="1:7" ht="25.2" customHeight="1">
      <c r="A237" s="224"/>
      <c r="B237" s="226"/>
      <c r="C237" s="226"/>
      <c r="D237" s="226"/>
      <c r="E237" s="226"/>
      <c r="F237" s="235"/>
    </row>
    <row r="238" spans="1:7" ht="25.2" customHeight="1">
      <c r="A238" s="228" t="s">
        <v>15</v>
      </c>
      <c r="B238" s="231" t="s">
        <v>527</v>
      </c>
      <c r="C238" s="232">
        <f>TAKEOFF!$H$5929</f>
        <v>602.4</v>
      </c>
      <c r="D238" s="233" t="s">
        <v>322</v>
      </c>
      <c r="E238" s="234">
        <f>RATES!$D$63</f>
        <v>48</v>
      </c>
      <c r="F238" s="236">
        <f>C238*E238</f>
        <v>28915.199999999997</v>
      </c>
      <c r="G238" s="118" t="s">
        <v>882</v>
      </c>
    </row>
    <row r="239" spans="1:7" ht="25.2" customHeight="1">
      <c r="A239" s="224"/>
      <c r="B239" s="226"/>
      <c r="C239" s="226"/>
      <c r="D239" s="226"/>
      <c r="E239" s="226"/>
      <c r="F239" s="235"/>
    </row>
    <row r="240" spans="1:7" ht="25.2" customHeight="1">
      <c r="A240" s="228" t="s">
        <v>17</v>
      </c>
      <c r="B240" s="231" t="s">
        <v>529</v>
      </c>
      <c r="C240" s="232">
        <f>TAKEOFF!$H$5932</f>
        <v>45.4</v>
      </c>
      <c r="D240" s="233" t="s">
        <v>322</v>
      </c>
      <c r="E240" s="234">
        <f>RATES!$D$63</f>
        <v>48</v>
      </c>
      <c r="F240" s="236">
        <f>C240*E240</f>
        <v>2179.1999999999998</v>
      </c>
      <c r="G240" s="118" t="s">
        <v>873</v>
      </c>
    </row>
    <row r="241" spans="1:7" ht="25.2" customHeight="1">
      <c r="A241" s="224"/>
      <c r="B241" s="226"/>
      <c r="C241" s="226"/>
      <c r="D241" s="226"/>
      <c r="E241" s="226"/>
      <c r="F241" s="235"/>
    </row>
    <row r="242" spans="1:7" ht="25.2" customHeight="1">
      <c r="A242" s="228" t="s">
        <v>19</v>
      </c>
      <c r="B242" s="231" t="s">
        <v>530</v>
      </c>
      <c r="C242" s="232">
        <f>TAKEOFF!$H$5940</f>
        <v>139.61000000000001</v>
      </c>
      <c r="D242" s="233" t="s">
        <v>322</v>
      </c>
      <c r="E242" s="234">
        <f>RATES!$D$64</f>
        <v>72</v>
      </c>
      <c r="F242" s="236">
        <f>C242*E242</f>
        <v>10051.920000000002</v>
      </c>
      <c r="G242" s="118" t="s">
        <v>883</v>
      </c>
    </row>
    <row r="243" spans="1:7" ht="25.2" customHeight="1">
      <c r="A243" s="224"/>
      <c r="B243" s="226"/>
      <c r="C243" s="226"/>
      <c r="D243" s="226"/>
      <c r="E243" s="226"/>
      <c r="F243" s="235"/>
    </row>
    <row r="244" spans="1:7" ht="25.2" customHeight="1">
      <c r="A244" s="228" t="s">
        <v>21</v>
      </c>
      <c r="B244" s="231" t="s">
        <v>532</v>
      </c>
      <c r="C244" s="232">
        <f>TAKEOFF!$H$5957</f>
        <v>71.699999999999989</v>
      </c>
      <c r="D244" s="233" t="s">
        <v>322</v>
      </c>
      <c r="E244" s="234">
        <f>RATES!$D$65</f>
        <v>40</v>
      </c>
      <c r="F244" s="236">
        <f>C244*E244</f>
        <v>2867.9999999999995</v>
      </c>
      <c r="G244" s="118" t="s">
        <v>884</v>
      </c>
    </row>
    <row r="245" spans="1:7" ht="25.2" customHeight="1">
      <c r="A245" s="109"/>
      <c r="B245" s="136"/>
      <c r="C245" s="136"/>
      <c r="D245" s="136"/>
      <c r="E245" s="136"/>
      <c r="F245" s="117"/>
    </row>
    <row r="246" spans="1:7" ht="25.2" customHeight="1" thickBot="1">
      <c r="A246" s="141"/>
      <c r="B246" s="154" t="str">
        <f>B229</f>
        <v>ELEMENT NO. 7: PAINTING AND DECORATING</v>
      </c>
      <c r="C246" s="142"/>
      <c r="D246" s="142"/>
      <c r="E246" s="143"/>
      <c r="F246" s="116">
        <f>SUM(F231:F245)</f>
        <v>140426.27368421052</v>
      </c>
    </row>
    <row r="247" spans="1:7" ht="25.2" customHeight="1" thickTop="1" thickBot="1">
      <c r="A247" s="141"/>
      <c r="B247" s="154" t="s">
        <v>339</v>
      </c>
      <c r="C247" s="142"/>
      <c r="D247" s="142"/>
      <c r="E247" s="143"/>
      <c r="F247" s="116"/>
    </row>
    <row r="248" spans="1:7" ht="15" customHeight="1" thickTop="1"/>
    <row r="250" spans="1:7" ht="31.2">
      <c r="B250" s="119" t="s">
        <v>534</v>
      </c>
    </row>
  </sheetData>
  <pageMargins left="0.75" right="0.75" top="1" bottom="1" header="0.5" footer="0.5"/>
  <pageSetup scale="38" fitToHeight="0" orientation="portrait" r:id="rId1"/>
  <rowBreaks count="4" manualBreakCount="4">
    <brk id="26" max="5" man="1"/>
    <brk id="90" max="5" man="1"/>
    <brk id="147" max="5" man="1"/>
    <brk id="209"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207"/>
  <sheetViews>
    <sheetView view="pageBreakPreview" topLeftCell="A197" zoomScale="60" zoomScaleNormal="100" workbookViewId="0">
      <selection activeCell="B161" sqref="B161"/>
    </sheetView>
  </sheetViews>
  <sheetFormatPr defaultRowHeight="14.4"/>
  <cols>
    <col min="1" max="1" width="13.33203125" style="9" customWidth="1"/>
    <col min="2" max="2" width="140.5546875" style="9" customWidth="1"/>
    <col min="3" max="3" width="29.33203125" style="9" customWidth="1"/>
    <col min="4" max="4" width="28.44140625"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32.4" customHeight="1">
      <c r="A6" s="155"/>
      <c r="B6" s="156"/>
      <c r="C6" s="156"/>
      <c r="D6" s="156"/>
      <c r="E6" s="156"/>
      <c r="F6" s="157"/>
    </row>
    <row r="7" spans="1:7" ht="32.4" customHeight="1">
      <c r="A7" s="224"/>
      <c r="B7" s="225" t="s">
        <v>313</v>
      </c>
      <c r="C7" s="226"/>
      <c r="D7" s="226"/>
      <c r="E7" s="226"/>
      <c r="F7" s="235"/>
    </row>
    <row r="8" spans="1:7" ht="32.4" customHeight="1">
      <c r="A8" s="224"/>
      <c r="B8" s="226"/>
      <c r="C8" s="226"/>
      <c r="D8" s="226"/>
      <c r="E8" s="226"/>
      <c r="F8" s="235"/>
    </row>
    <row r="9" spans="1:7" ht="32.4" customHeight="1">
      <c r="A9" s="224"/>
      <c r="B9" s="225" t="s">
        <v>885</v>
      </c>
      <c r="C9" s="226"/>
      <c r="D9" s="226"/>
      <c r="E9" s="226"/>
      <c r="F9" s="235"/>
    </row>
    <row r="10" spans="1:7" ht="32.4" customHeight="1">
      <c r="A10" s="224"/>
      <c r="B10" s="226"/>
      <c r="C10" s="226"/>
      <c r="D10" s="226"/>
      <c r="E10" s="226"/>
      <c r="F10" s="235"/>
    </row>
    <row r="11" spans="1:7" ht="32.4" customHeight="1">
      <c r="A11" s="224"/>
      <c r="B11" s="227" t="s">
        <v>314</v>
      </c>
      <c r="C11" s="226"/>
      <c r="D11" s="226"/>
      <c r="E11" s="226"/>
      <c r="F11" s="235"/>
    </row>
    <row r="12" spans="1:7" ht="32.4" customHeight="1">
      <c r="A12" s="224"/>
      <c r="B12" s="226"/>
      <c r="C12" s="226"/>
      <c r="D12" s="226"/>
      <c r="E12" s="226"/>
      <c r="F12" s="235"/>
    </row>
    <row r="13" spans="1:7" ht="32.4" customHeight="1">
      <c r="A13" s="228" t="s">
        <v>9</v>
      </c>
      <c r="B13" s="229" t="s">
        <v>379</v>
      </c>
      <c r="C13" s="226"/>
      <c r="D13" s="226"/>
      <c r="E13" s="226"/>
      <c r="F13" s="236">
        <f>F85</f>
        <v>1875874.203125</v>
      </c>
    </row>
    <row r="14" spans="1:7" ht="32.4" customHeight="1">
      <c r="A14" s="224"/>
      <c r="B14" s="226"/>
      <c r="C14" s="226"/>
      <c r="D14" s="226"/>
      <c r="E14" s="226"/>
      <c r="F14" s="235"/>
    </row>
    <row r="15" spans="1:7" ht="32.4" customHeight="1">
      <c r="A15" s="228" t="s">
        <v>11</v>
      </c>
      <c r="B15" s="229" t="s">
        <v>380</v>
      </c>
      <c r="C15" s="226"/>
      <c r="D15" s="226"/>
      <c r="E15" s="226"/>
      <c r="F15" s="236">
        <f>F95</f>
        <v>66159.512499999983</v>
      </c>
    </row>
    <row r="16" spans="1:7" ht="32.4" customHeight="1">
      <c r="A16" s="224"/>
      <c r="B16" s="226"/>
      <c r="C16" s="226"/>
      <c r="D16" s="226"/>
      <c r="E16" s="226"/>
      <c r="F16" s="235"/>
    </row>
    <row r="17" spans="1:6" ht="32.4" customHeight="1">
      <c r="A17" s="228" t="s">
        <v>13</v>
      </c>
      <c r="B17" s="229" t="s">
        <v>809</v>
      </c>
      <c r="C17" s="226"/>
      <c r="D17" s="226"/>
      <c r="E17" s="226"/>
      <c r="F17" s="236">
        <f>F109</f>
        <v>165192.70000000001</v>
      </c>
    </row>
    <row r="18" spans="1:6" ht="32.4" customHeight="1">
      <c r="A18" s="224"/>
      <c r="B18" s="226"/>
      <c r="C18" s="226"/>
      <c r="D18" s="226"/>
      <c r="E18" s="226"/>
      <c r="F18" s="235"/>
    </row>
    <row r="19" spans="1:6" ht="32.4" customHeight="1">
      <c r="A19" s="228" t="s">
        <v>15</v>
      </c>
      <c r="B19" s="229" t="s">
        <v>381</v>
      </c>
      <c r="C19" s="226"/>
      <c r="D19" s="226"/>
      <c r="E19" s="226"/>
      <c r="F19" s="236">
        <f>F146</f>
        <v>97002.099999999991</v>
      </c>
    </row>
    <row r="20" spans="1:6" ht="32.4" customHeight="1">
      <c r="A20" s="224"/>
      <c r="B20" s="226"/>
      <c r="C20" s="226"/>
      <c r="D20" s="226"/>
      <c r="E20" s="226"/>
      <c r="F20" s="235"/>
    </row>
    <row r="21" spans="1:6" ht="32.4" customHeight="1">
      <c r="A21" s="228" t="s">
        <v>17</v>
      </c>
      <c r="B21" s="229" t="s">
        <v>382</v>
      </c>
      <c r="C21" s="226"/>
      <c r="D21" s="226"/>
      <c r="E21" s="226"/>
      <c r="F21" s="236">
        <f>F167</f>
        <v>269854.90000000002</v>
      </c>
    </row>
    <row r="22" spans="1:6" ht="32.4" customHeight="1">
      <c r="A22" s="224"/>
      <c r="B22" s="226"/>
      <c r="C22" s="226"/>
      <c r="D22" s="226"/>
      <c r="E22" s="226"/>
      <c r="F22" s="235"/>
    </row>
    <row r="23" spans="1:6" ht="32.4" customHeight="1">
      <c r="A23" s="228" t="s">
        <v>19</v>
      </c>
      <c r="B23" s="229" t="s">
        <v>383</v>
      </c>
      <c r="C23" s="226"/>
      <c r="D23" s="226"/>
      <c r="E23" s="226"/>
      <c r="F23" s="236">
        <f>F183</f>
        <v>92272.672105263162</v>
      </c>
    </row>
    <row r="24" spans="1:6" ht="32.4" customHeight="1">
      <c r="A24" s="224"/>
      <c r="B24" s="226"/>
      <c r="C24" s="226"/>
      <c r="D24" s="226"/>
      <c r="E24" s="226"/>
      <c r="F24" s="235"/>
    </row>
    <row r="25" spans="1:6" ht="32.4" customHeight="1">
      <c r="A25" s="228" t="s">
        <v>21</v>
      </c>
      <c r="B25" s="229" t="s">
        <v>384</v>
      </c>
      <c r="C25" s="226"/>
      <c r="D25" s="226"/>
      <c r="E25" s="226"/>
      <c r="F25" s="236">
        <f>F203</f>
        <v>56411.264210526315</v>
      </c>
    </row>
    <row r="26" spans="1:6" ht="32.4" customHeight="1">
      <c r="A26" s="109"/>
      <c r="B26" s="136"/>
      <c r="C26" s="136"/>
      <c r="D26" s="136"/>
      <c r="E26" s="136"/>
      <c r="F26" s="117"/>
    </row>
    <row r="27" spans="1:6" ht="32.4" customHeight="1" thickBot="1">
      <c r="A27" s="141"/>
      <c r="B27" s="154" t="str">
        <f>B9</f>
        <v xml:space="preserve"> ELEVENTH LEVEL - ROOF TOP TERRACE</v>
      </c>
      <c r="C27" s="142"/>
      <c r="D27" s="142"/>
      <c r="E27" s="143" t="s">
        <v>8</v>
      </c>
      <c r="F27" s="116">
        <f>SUM(F13:F26)</f>
        <v>2622767.3519407893</v>
      </c>
    </row>
    <row r="28" spans="1:6" ht="32.4" customHeight="1" thickTop="1" thickBot="1">
      <c r="A28" s="150"/>
      <c r="B28" s="151" t="s">
        <v>318</v>
      </c>
      <c r="C28" s="152"/>
      <c r="D28" s="152"/>
      <c r="E28" s="152"/>
      <c r="F28" s="153"/>
    </row>
    <row r="29" spans="1:6" ht="32.4" customHeight="1" thickTop="1">
      <c r="A29" s="109"/>
      <c r="B29" s="136"/>
      <c r="C29" s="136"/>
      <c r="D29" s="136"/>
      <c r="E29" s="136"/>
      <c r="F29" s="117"/>
    </row>
    <row r="30" spans="1:6" ht="32.4" customHeight="1">
      <c r="A30" s="224"/>
      <c r="B30" s="225" t="s">
        <v>886</v>
      </c>
      <c r="C30" s="226"/>
      <c r="D30" s="226"/>
      <c r="E30" s="226"/>
      <c r="F30" s="235"/>
    </row>
    <row r="31" spans="1:6" ht="22.2" customHeight="1">
      <c r="A31" s="224"/>
      <c r="B31" s="226"/>
      <c r="C31" s="226"/>
      <c r="D31" s="226"/>
      <c r="E31" s="226"/>
      <c r="F31" s="235"/>
    </row>
    <row r="32" spans="1:6" ht="32.4" customHeight="1">
      <c r="A32" s="224"/>
      <c r="B32" s="225" t="s">
        <v>379</v>
      </c>
      <c r="C32" s="226"/>
      <c r="D32" s="226"/>
      <c r="E32" s="226"/>
      <c r="F32" s="235"/>
    </row>
    <row r="33" spans="1:7" ht="32.4" customHeight="1">
      <c r="A33" s="224"/>
      <c r="B33" s="226"/>
      <c r="C33" s="226"/>
      <c r="D33" s="226"/>
      <c r="E33" s="226"/>
      <c r="F33" s="235"/>
    </row>
    <row r="34" spans="1:7" ht="32.4" customHeight="1">
      <c r="A34" s="224"/>
      <c r="B34" s="230" t="s">
        <v>344</v>
      </c>
      <c r="C34" s="226"/>
      <c r="D34" s="226"/>
      <c r="E34" s="226"/>
      <c r="F34" s="235"/>
    </row>
    <row r="35" spans="1:7" ht="32.4" customHeight="1">
      <c r="A35" s="228" t="s">
        <v>9</v>
      </c>
      <c r="B35" s="231" t="s">
        <v>386</v>
      </c>
      <c r="C35" s="232">
        <f>TAKEOFF!$H$5965</f>
        <v>217.02500000000001</v>
      </c>
      <c r="D35" s="233" t="s">
        <v>327</v>
      </c>
      <c r="E35" s="234">
        <f>RATES!$D$22</f>
        <v>2310</v>
      </c>
      <c r="F35" s="236">
        <f>C35*E35</f>
        <v>501327.75</v>
      </c>
      <c r="G35" s="118" t="s">
        <v>887</v>
      </c>
    </row>
    <row r="36" spans="1:7" ht="32.4" customHeight="1">
      <c r="A36" s="224"/>
      <c r="B36" s="226"/>
      <c r="C36" s="226"/>
      <c r="D36" s="226"/>
      <c r="E36" s="226"/>
      <c r="F36" s="235"/>
    </row>
    <row r="37" spans="1:7" ht="32.4" customHeight="1">
      <c r="A37" s="228" t="s">
        <v>11</v>
      </c>
      <c r="B37" s="231" t="s">
        <v>388</v>
      </c>
      <c r="C37" s="232">
        <f>TAKEOFF!$H$5969</f>
        <v>14.192499999999999</v>
      </c>
      <c r="D37" s="233" t="s">
        <v>327</v>
      </c>
      <c r="E37" s="234">
        <f>RATES!$D$23</f>
        <v>2310</v>
      </c>
      <c r="F37" s="236">
        <f>C37*E37</f>
        <v>32784.674999999996</v>
      </c>
      <c r="G37" s="118" t="s">
        <v>888</v>
      </c>
    </row>
    <row r="38" spans="1:7" ht="32.4" customHeight="1">
      <c r="A38" s="224"/>
      <c r="B38" s="226"/>
      <c r="C38" s="226"/>
      <c r="D38" s="226"/>
      <c r="E38" s="226"/>
      <c r="F38" s="235"/>
    </row>
    <row r="39" spans="1:7" ht="32.4" customHeight="1">
      <c r="A39" s="228" t="s">
        <v>13</v>
      </c>
      <c r="B39" s="231" t="s">
        <v>390</v>
      </c>
      <c r="C39" s="232">
        <f>TAKEOFF!$H$5973</f>
        <v>3.2189999999999999</v>
      </c>
      <c r="D39" s="233" t="s">
        <v>327</v>
      </c>
      <c r="E39" s="234">
        <f>RATES!$D$21</f>
        <v>2310</v>
      </c>
      <c r="F39" s="236">
        <f>C39*E39</f>
        <v>7435.8899999999994</v>
      </c>
      <c r="G39" s="118" t="s">
        <v>889</v>
      </c>
    </row>
    <row r="40" spans="1:7" ht="32.4" customHeight="1">
      <c r="A40" s="224"/>
      <c r="B40" s="226"/>
      <c r="C40" s="226"/>
      <c r="D40" s="226"/>
      <c r="E40" s="226"/>
      <c r="F40" s="235"/>
    </row>
    <row r="41" spans="1:7" ht="32.4" customHeight="1">
      <c r="A41" s="228" t="s">
        <v>15</v>
      </c>
      <c r="B41" s="231" t="s">
        <v>392</v>
      </c>
      <c r="C41" s="232">
        <f>TAKEOFF!$H$5977</f>
        <v>34.524499999999996</v>
      </c>
      <c r="D41" s="233" t="s">
        <v>327</v>
      </c>
      <c r="E41" s="234">
        <f>RATES!$D$20</f>
        <v>2310</v>
      </c>
      <c r="F41" s="236">
        <f>C41*E41</f>
        <v>79751.594999999987</v>
      </c>
      <c r="G41" s="118" t="s">
        <v>890</v>
      </c>
    </row>
    <row r="42" spans="1:7" ht="32.4" customHeight="1">
      <c r="A42" s="224"/>
      <c r="B42" s="226"/>
      <c r="C42" s="226"/>
      <c r="D42" s="226"/>
      <c r="E42" s="226"/>
      <c r="F42" s="235"/>
    </row>
    <row r="43" spans="1:7" ht="32.4" customHeight="1">
      <c r="A43" s="228" t="s">
        <v>17</v>
      </c>
      <c r="B43" s="231" t="s">
        <v>394</v>
      </c>
      <c r="C43" s="232">
        <f>TAKEOFF!$H$5980</f>
        <v>15.823124999999999</v>
      </c>
      <c r="D43" s="233" t="s">
        <v>327</v>
      </c>
      <c r="E43" s="234">
        <f>RATES!$D$20</f>
        <v>2310</v>
      </c>
      <c r="F43" s="236">
        <f>C43*E43</f>
        <v>36551.418749999997</v>
      </c>
      <c r="G43" s="118" t="s">
        <v>891</v>
      </c>
    </row>
    <row r="44" spans="1:7" ht="32.4" customHeight="1">
      <c r="A44" s="224"/>
      <c r="B44" s="226"/>
      <c r="C44" s="226"/>
      <c r="D44" s="226"/>
      <c r="E44" s="226"/>
      <c r="F44" s="235"/>
    </row>
    <row r="45" spans="1:7" ht="32.4" customHeight="1">
      <c r="A45" s="228" t="s">
        <v>19</v>
      </c>
      <c r="B45" s="231" t="s">
        <v>398</v>
      </c>
      <c r="C45" s="232">
        <f>TAKEOFF!$H$5991</f>
        <v>1.0833750000000002</v>
      </c>
      <c r="D45" s="233" t="s">
        <v>327</v>
      </c>
      <c r="E45" s="234">
        <f>RATES!$D$25</f>
        <v>1925.0000000000002</v>
      </c>
      <c r="F45" s="236">
        <f>C45*E45</f>
        <v>2085.4968750000007</v>
      </c>
      <c r="G45" s="118" t="s">
        <v>892</v>
      </c>
    </row>
    <row r="46" spans="1:7" ht="32.4" customHeight="1">
      <c r="A46" s="224"/>
      <c r="B46" s="226"/>
      <c r="C46" s="226"/>
      <c r="D46" s="226"/>
      <c r="E46" s="226"/>
      <c r="F46" s="235"/>
    </row>
    <row r="47" spans="1:7" ht="32.4" customHeight="1">
      <c r="A47" s="228" t="s">
        <v>21</v>
      </c>
      <c r="B47" s="231" t="s">
        <v>893</v>
      </c>
      <c r="C47" s="232">
        <f>TAKEOFF!$H$5994</f>
        <v>8.2125000000000004</v>
      </c>
      <c r="D47" s="233" t="s">
        <v>327</v>
      </c>
      <c r="E47" s="234">
        <f>RATES!$D$26</f>
        <v>1925.0000000000002</v>
      </c>
      <c r="F47" s="236">
        <f>C47*E47</f>
        <v>15809.062500000002</v>
      </c>
      <c r="G47" s="118" t="s">
        <v>894</v>
      </c>
    </row>
    <row r="48" spans="1:7" ht="32.4" customHeight="1">
      <c r="A48" s="224"/>
      <c r="B48" s="226"/>
      <c r="C48" s="226"/>
      <c r="D48" s="226"/>
      <c r="E48" s="226"/>
      <c r="F48" s="235"/>
    </row>
    <row r="49" spans="1:7" ht="32.4" customHeight="1">
      <c r="A49" s="224"/>
      <c r="B49" s="230" t="s">
        <v>400</v>
      </c>
      <c r="C49" s="226"/>
      <c r="D49" s="226"/>
      <c r="E49" s="226"/>
      <c r="F49" s="235"/>
    </row>
    <row r="50" spans="1:7" ht="32.4" customHeight="1">
      <c r="A50" s="228" t="s">
        <v>23</v>
      </c>
      <c r="B50" s="231" t="s">
        <v>401</v>
      </c>
      <c r="C50" s="232">
        <f>TAKEOFF!$H$5998</f>
        <v>868.1</v>
      </c>
      <c r="D50" s="233" t="s">
        <v>322</v>
      </c>
      <c r="E50" s="234">
        <f>RATES!$D$38</f>
        <v>165</v>
      </c>
      <c r="F50" s="236">
        <f>C50*E50</f>
        <v>143236.5</v>
      </c>
      <c r="G50" s="118" t="s">
        <v>895</v>
      </c>
    </row>
    <row r="51" spans="1:7" ht="32.4" customHeight="1">
      <c r="A51" s="224"/>
      <c r="B51" s="226"/>
      <c r="C51" s="226"/>
      <c r="D51" s="226"/>
      <c r="E51" s="226"/>
      <c r="F51" s="235"/>
    </row>
    <row r="52" spans="1:7" ht="32.4" customHeight="1">
      <c r="A52" s="228" t="s">
        <v>25</v>
      </c>
      <c r="B52" s="231" t="s">
        <v>403</v>
      </c>
      <c r="C52" s="232">
        <f>TAKEOFF!$H$6001</f>
        <v>252.9</v>
      </c>
      <c r="D52" s="233" t="s">
        <v>369</v>
      </c>
      <c r="E52" s="234">
        <f>RATES!$D$40</f>
        <v>65</v>
      </c>
      <c r="F52" s="236">
        <f>C52*E52</f>
        <v>16438.5</v>
      </c>
      <c r="G52" s="118" t="s">
        <v>896</v>
      </c>
    </row>
    <row r="53" spans="1:7" ht="32.4" customHeight="1">
      <c r="A53" s="224"/>
      <c r="B53" s="226"/>
      <c r="C53" s="226"/>
      <c r="D53" s="226"/>
      <c r="E53" s="226"/>
      <c r="F53" s="235"/>
    </row>
    <row r="54" spans="1:7" ht="32.4" customHeight="1">
      <c r="A54" s="228" t="s">
        <v>27</v>
      </c>
      <c r="B54" s="231" t="s">
        <v>405</v>
      </c>
      <c r="C54" s="232">
        <f>TAKEOFF!$H$6005</f>
        <v>138.47999999999999</v>
      </c>
      <c r="D54" s="233" t="s">
        <v>322</v>
      </c>
      <c r="E54" s="234">
        <f>RATES!$D$39</f>
        <v>165</v>
      </c>
      <c r="F54" s="236">
        <f>C54*E54</f>
        <v>22849.199999999997</v>
      </c>
      <c r="G54" s="118" t="s">
        <v>897</v>
      </c>
    </row>
    <row r="55" spans="1:7" ht="32.4" customHeight="1">
      <c r="A55" s="224"/>
      <c r="B55" s="226"/>
      <c r="C55" s="226"/>
      <c r="D55" s="226"/>
      <c r="E55" s="226"/>
      <c r="F55" s="235"/>
    </row>
    <row r="56" spans="1:7" ht="32.4" customHeight="1">
      <c r="A56" s="228" t="s">
        <v>29</v>
      </c>
      <c r="B56" s="231" t="s">
        <v>390</v>
      </c>
      <c r="C56" s="232">
        <f>TAKEOFF!$H$6009</f>
        <v>23.2</v>
      </c>
      <c r="D56" s="233" t="s">
        <v>322</v>
      </c>
      <c r="E56" s="234">
        <f>RATES!$D$37</f>
        <v>165</v>
      </c>
      <c r="F56" s="236">
        <f>C56*E56</f>
        <v>3828</v>
      </c>
      <c r="G56" s="118" t="s">
        <v>898</v>
      </c>
    </row>
    <row r="57" spans="1:7" ht="32.4" customHeight="1">
      <c r="A57" s="224"/>
      <c r="B57" s="226"/>
      <c r="C57" s="226"/>
      <c r="D57" s="226"/>
      <c r="E57" s="226"/>
      <c r="F57" s="235"/>
    </row>
    <row r="58" spans="1:7" ht="32.4" customHeight="1">
      <c r="A58" s="228" t="s">
        <v>31</v>
      </c>
      <c r="B58" s="231" t="s">
        <v>408</v>
      </c>
      <c r="C58" s="232">
        <f>TAKEOFF!$H$6014</f>
        <v>402.78099999999995</v>
      </c>
      <c r="D58" s="233" t="s">
        <v>322</v>
      </c>
      <c r="E58" s="234">
        <f>RATES!$D$36</f>
        <v>165</v>
      </c>
      <c r="F58" s="236">
        <f>C58*E58</f>
        <v>66458.864999999991</v>
      </c>
      <c r="G58" s="118" t="s">
        <v>899</v>
      </c>
    </row>
    <row r="59" spans="1:7" ht="32.4" customHeight="1">
      <c r="A59" s="224"/>
      <c r="B59" s="226"/>
      <c r="C59" s="226"/>
      <c r="D59" s="226"/>
      <c r="E59" s="226"/>
      <c r="F59" s="235"/>
    </row>
    <row r="60" spans="1:7" ht="32.4" customHeight="1">
      <c r="A60" s="228" t="s">
        <v>33</v>
      </c>
      <c r="B60" s="231" t="s">
        <v>412</v>
      </c>
      <c r="C60" s="232">
        <f>TAKEOFF!$H$6026</f>
        <v>74.010000000000005</v>
      </c>
      <c r="D60" s="233" t="s">
        <v>322</v>
      </c>
      <c r="E60" s="234">
        <f>RATES!$D$43</f>
        <v>165</v>
      </c>
      <c r="F60" s="236">
        <f>C60*E60</f>
        <v>12211.650000000001</v>
      </c>
      <c r="G60" s="118" t="s">
        <v>900</v>
      </c>
    </row>
    <row r="61" spans="1:7" ht="32.4" customHeight="1">
      <c r="A61" s="224"/>
      <c r="B61" s="226"/>
      <c r="C61" s="226"/>
      <c r="D61" s="226"/>
      <c r="E61" s="226"/>
      <c r="F61" s="235"/>
    </row>
    <row r="62" spans="1:7" ht="46.8">
      <c r="A62" s="224"/>
      <c r="B62" s="230" t="s">
        <v>413</v>
      </c>
      <c r="C62" s="226"/>
      <c r="D62" s="226"/>
      <c r="E62" s="226"/>
      <c r="F62" s="235"/>
    </row>
    <row r="63" spans="1:7" ht="32.4" customHeight="1">
      <c r="A63" s="228" t="s">
        <v>35</v>
      </c>
      <c r="B63" s="231" t="s">
        <v>414</v>
      </c>
      <c r="C63" s="232">
        <f>TAKEOFF!$H$6030</f>
        <v>0.21</v>
      </c>
      <c r="D63" s="233" t="s">
        <v>353</v>
      </c>
      <c r="E63" s="234">
        <f>RATES!$D$29</f>
        <v>14300.000000000002</v>
      </c>
      <c r="F63" s="236">
        <f>C63*E63</f>
        <v>3003.0000000000005</v>
      </c>
      <c r="G63" s="118" t="s">
        <v>901</v>
      </c>
    </row>
    <row r="64" spans="1:7" ht="32.4" customHeight="1">
      <c r="A64" s="224"/>
      <c r="B64" s="226"/>
      <c r="C64" s="226"/>
      <c r="D64" s="226"/>
      <c r="E64" s="226"/>
      <c r="F64" s="235"/>
    </row>
    <row r="65" spans="1:7" ht="32.4" customHeight="1">
      <c r="A65" s="228" t="s">
        <v>37</v>
      </c>
      <c r="B65" s="231" t="s">
        <v>416</v>
      </c>
      <c r="C65" s="232">
        <f>TAKEOFF!$H$6033</f>
        <v>0.42599999999999999</v>
      </c>
      <c r="D65" s="233" t="s">
        <v>353</v>
      </c>
      <c r="E65" s="234">
        <f>RATES!$D$32</f>
        <v>14300.000000000002</v>
      </c>
      <c r="F65" s="236">
        <f>C65*E65</f>
        <v>6091.8</v>
      </c>
      <c r="G65" s="118" t="s">
        <v>902</v>
      </c>
    </row>
    <row r="66" spans="1:7" ht="32.4" customHeight="1">
      <c r="A66" s="224"/>
      <c r="B66" s="226"/>
      <c r="C66" s="226"/>
      <c r="D66" s="226"/>
      <c r="E66" s="226"/>
      <c r="F66" s="235"/>
    </row>
    <row r="67" spans="1:7" ht="32.4" customHeight="1">
      <c r="A67" s="228" t="s">
        <v>39</v>
      </c>
      <c r="B67" s="231" t="s">
        <v>422</v>
      </c>
      <c r="C67" s="232">
        <f>TAKEOFF!$H$6036</f>
        <v>1.3109999999999999</v>
      </c>
      <c r="D67" s="233" t="s">
        <v>353</v>
      </c>
      <c r="E67" s="234">
        <f>RATES!$D$29</f>
        <v>14300.000000000002</v>
      </c>
      <c r="F67" s="236">
        <f>C67*E67</f>
        <v>18747.300000000003</v>
      </c>
      <c r="G67" s="118" t="s">
        <v>903</v>
      </c>
    </row>
    <row r="68" spans="1:7" ht="32.4" customHeight="1">
      <c r="A68" s="224"/>
      <c r="B68" s="226"/>
      <c r="C68" s="226"/>
      <c r="D68" s="226"/>
      <c r="E68" s="226"/>
      <c r="F68" s="235"/>
    </row>
    <row r="69" spans="1:7" ht="32.4" customHeight="1">
      <c r="A69" s="228" t="s">
        <v>418</v>
      </c>
      <c r="B69" s="231" t="s">
        <v>425</v>
      </c>
      <c r="C69" s="232">
        <f>TAKEOFF!$H$6039</f>
        <v>1.256</v>
      </c>
      <c r="D69" s="233" t="s">
        <v>353</v>
      </c>
      <c r="E69" s="234">
        <f>RATES!$D$31</f>
        <v>14300.000000000002</v>
      </c>
      <c r="F69" s="236">
        <f>C69*E69</f>
        <v>17960.800000000003</v>
      </c>
      <c r="G69" s="118" t="s">
        <v>904</v>
      </c>
    </row>
    <row r="70" spans="1:7" ht="32.4" customHeight="1">
      <c r="A70" s="224"/>
      <c r="B70" s="226"/>
      <c r="C70" s="226"/>
      <c r="D70" s="226"/>
      <c r="E70" s="226"/>
      <c r="F70" s="235"/>
    </row>
    <row r="71" spans="1:7" ht="32.4" customHeight="1">
      <c r="A71" s="228" t="s">
        <v>421</v>
      </c>
      <c r="B71" s="231" t="s">
        <v>428</v>
      </c>
      <c r="C71" s="232">
        <f>TAKEOFF!$H$6042</f>
        <v>1.0640000000000001</v>
      </c>
      <c r="D71" s="233" t="s">
        <v>353</v>
      </c>
      <c r="E71" s="234">
        <f>RATES!$D$32</f>
        <v>14300.000000000002</v>
      </c>
      <c r="F71" s="236">
        <f>C71*E71</f>
        <v>15215.200000000003</v>
      </c>
      <c r="G71" s="118" t="s">
        <v>905</v>
      </c>
    </row>
    <row r="72" spans="1:7" ht="32.4" customHeight="1">
      <c r="A72" s="224"/>
      <c r="B72" s="226"/>
      <c r="C72" s="226"/>
      <c r="D72" s="226"/>
      <c r="E72" s="226"/>
      <c r="F72" s="235"/>
    </row>
    <row r="73" spans="1:7" ht="32.4" customHeight="1">
      <c r="A73" s="228" t="s">
        <v>424</v>
      </c>
      <c r="B73" s="231" t="s">
        <v>431</v>
      </c>
      <c r="C73" s="232">
        <f>TAKEOFF!$H$6045</f>
        <v>3.6219999999999999</v>
      </c>
      <c r="D73" s="233" t="s">
        <v>353</v>
      </c>
      <c r="E73" s="234">
        <f>RATES!$D$33</f>
        <v>14300.000000000002</v>
      </c>
      <c r="F73" s="236">
        <f>C73*E73</f>
        <v>51794.600000000006</v>
      </c>
      <c r="G73" s="118" t="s">
        <v>906</v>
      </c>
    </row>
    <row r="74" spans="1:7" ht="32.4" customHeight="1">
      <c r="A74" s="224"/>
      <c r="B74" s="226"/>
      <c r="C74" s="226"/>
      <c r="D74" s="226"/>
      <c r="E74" s="226"/>
      <c r="F74" s="235"/>
    </row>
    <row r="75" spans="1:7" ht="32.4" customHeight="1">
      <c r="A75" s="228" t="s">
        <v>427</v>
      </c>
      <c r="B75" s="231" t="s">
        <v>434</v>
      </c>
      <c r="C75" s="232">
        <f>TAKEOFF!$H$6049</f>
        <v>1.984</v>
      </c>
      <c r="D75" s="233" t="s">
        <v>353</v>
      </c>
      <c r="E75" s="234">
        <f>RATES!$D$29</f>
        <v>14300.000000000002</v>
      </c>
      <c r="F75" s="236">
        <f>C75*E75</f>
        <v>28371.200000000004</v>
      </c>
      <c r="G75" s="118" t="s">
        <v>907</v>
      </c>
    </row>
    <row r="76" spans="1:7" ht="32.4" customHeight="1">
      <c r="A76" s="224"/>
      <c r="B76" s="226"/>
      <c r="C76" s="226"/>
      <c r="D76" s="226"/>
      <c r="E76" s="226"/>
      <c r="F76" s="235"/>
    </row>
    <row r="77" spans="1:7" ht="32.4" customHeight="1">
      <c r="A77" s="228" t="s">
        <v>430</v>
      </c>
      <c r="B77" s="231" t="s">
        <v>437</v>
      </c>
      <c r="C77" s="232">
        <f>TAKEOFF!$H$6053</f>
        <v>2.6429999999999998</v>
      </c>
      <c r="D77" s="233" t="s">
        <v>353</v>
      </c>
      <c r="E77" s="234">
        <f>RATES!$D$30</f>
        <v>14300.000000000002</v>
      </c>
      <c r="F77" s="236">
        <f>C77*E77</f>
        <v>37794.9</v>
      </c>
      <c r="G77" s="118" t="s">
        <v>908</v>
      </c>
    </row>
    <row r="78" spans="1:7" ht="32.4" customHeight="1">
      <c r="A78" s="224"/>
      <c r="B78" s="226"/>
      <c r="C78" s="226"/>
      <c r="D78" s="226"/>
      <c r="E78" s="226"/>
      <c r="F78" s="235"/>
    </row>
    <row r="79" spans="1:7" ht="32.4" customHeight="1">
      <c r="A79" s="228" t="s">
        <v>433</v>
      </c>
      <c r="B79" s="231" t="s">
        <v>705</v>
      </c>
      <c r="C79" s="232">
        <f>TAKEOFF!$H$6057</f>
        <v>9.8509999999999991</v>
      </c>
      <c r="D79" s="233" t="s">
        <v>353</v>
      </c>
      <c r="E79" s="234">
        <f>RATES!$D$32</f>
        <v>14300.000000000002</v>
      </c>
      <c r="F79" s="236">
        <f>C79*E79</f>
        <v>140869.30000000002</v>
      </c>
      <c r="G79" s="118" t="s">
        <v>909</v>
      </c>
    </row>
    <row r="80" spans="1:7" ht="32.4" customHeight="1">
      <c r="A80" s="224"/>
      <c r="B80" s="226"/>
      <c r="C80" s="226"/>
      <c r="D80" s="226"/>
      <c r="E80" s="226"/>
      <c r="F80" s="235"/>
    </row>
    <row r="81" spans="1:7" ht="32.4" customHeight="1">
      <c r="A81" s="228" t="s">
        <v>436</v>
      </c>
      <c r="B81" s="231" t="s">
        <v>446</v>
      </c>
      <c r="C81" s="232">
        <f>TAKEOFF!$H$6060</f>
        <v>42.841000000000001</v>
      </c>
      <c r="D81" s="233" t="s">
        <v>353</v>
      </c>
      <c r="E81" s="234">
        <f>RATES!$D$30</f>
        <v>14300.000000000002</v>
      </c>
      <c r="F81" s="236">
        <f>C81*E81</f>
        <v>612626.30000000005</v>
      </c>
      <c r="G81" s="118" t="s">
        <v>910</v>
      </c>
    </row>
    <row r="82" spans="1:7" ht="32.4" customHeight="1">
      <c r="A82" s="224"/>
      <c r="B82" s="226"/>
      <c r="C82" s="226"/>
      <c r="D82" s="226"/>
      <c r="E82" s="226"/>
      <c r="F82" s="235"/>
    </row>
    <row r="83" spans="1:7" ht="32.4" customHeight="1">
      <c r="A83" s="228" t="s">
        <v>439</v>
      </c>
      <c r="B83" s="231" t="s">
        <v>448</v>
      </c>
      <c r="C83" s="232">
        <f>TAKEOFF!$H$6063</f>
        <v>0.184</v>
      </c>
      <c r="D83" s="233" t="s">
        <v>353</v>
      </c>
      <c r="E83" s="234">
        <f>RATES!$D$31</f>
        <v>14300.000000000002</v>
      </c>
      <c r="F83" s="236">
        <f>C83*E83</f>
        <v>2631.2000000000003</v>
      </c>
      <c r="G83" s="118" t="s">
        <v>911</v>
      </c>
    </row>
    <row r="84" spans="1:7" ht="32.4" customHeight="1">
      <c r="A84" s="109"/>
      <c r="B84" s="136"/>
      <c r="C84" s="136"/>
      <c r="D84" s="136"/>
      <c r="E84" s="136"/>
      <c r="F84" s="117"/>
    </row>
    <row r="85" spans="1:7" ht="32.4" customHeight="1" thickBot="1">
      <c r="A85" s="141"/>
      <c r="B85" s="154" t="str">
        <f>B32</f>
        <v>ELEMENT NO. 1: IN SITU CONCRETE/LARGE PRECAST CONCRETE</v>
      </c>
      <c r="C85" s="142"/>
      <c r="D85" s="142"/>
      <c r="E85" s="143"/>
      <c r="F85" s="116">
        <f>SUM(F34:F84)</f>
        <v>1875874.203125</v>
      </c>
    </row>
    <row r="86" spans="1:7" ht="32.4" customHeight="1" thickTop="1" thickBot="1">
      <c r="A86" s="150"/>
      <c r="B86" s="151" t="s">
        <v>339</v>
      </c>
      <c r="C86" s="152"/>
      <c r="D86" s="152"/>
      <c r="E86" s="152"/>
      <c r="F86" s="153"/>
    </row>
    <row r="87" spans="1:7" ht="32.4" customHeight="1" thickTop="1">
      <c r="A87" s="109"/>
      <c r="B87" s="136"/>
      <c r="C87" s="136"/>
      <c r="D87" s="136"/>
      <c r="E87" s="136"/>
      <c r="F87" s="117"/>
    </row>
    <row r="88" spans="1:7" ht="32.4" customHeight="1">
      <c r="A88" s="224"/>
      <c r="B88" s="225" t="s">
        <v>380</v>
      </c>
      <c r="C88" s="226"/>
      <c r="D88" s="226"/>
      <c r="E88" s="226"/>
      <c r="F88" s="235"/>
    </row>
    <row r="89" spans="1:7" ht="32.4" customHeight="1">
      <c r="A89" s="224"/>
      <c r="B89" s="226"/>
      <c r="C89" s="226"/>
      <c r="D89" s="226"/>
      <c r="E89" s="226"/>
      <c r="F89" s="235"/>
    </row>
    <row r="90" spans="1:7" ht="51.6" customHeight="1">
      <c r="A90" s="224"/>
      <c r="B90" s="230" t="s">
        <v>450</v>
      </c>
      <c r="C90" s="226"/>
      <c r="D90" s="226"/>
      <c r="E90" s="226"/>
      <c r="F90" s="235"/>
    </row>
    <row r="91" spans="1:7" ht="40.799999999999997" customHeight="1">
      <c r="A91" s="228" t="s">
        <v>9</v>
      </c>
      <c r="B91" s="231" t="s">
        <v>451</v>
      </c>
      <c r="C91" s="232">
        <f>TAKEOFF!$H$6077</f>
        <v>266.83624999999995</v>
      </c>
      <c r="D91" s="233" t="s">
        <v>322</v>
      </c>
      <c r="E91" s="234">
        <f>RATES!$D$46</f>
        <v>215</v>
      </c>
      <c r="F91" s="236">
        <f>C91*E91</f>
        <v>57369.79374999999</v>
      </c>
      <c r="G91" s="118" t="s">
        <v>912</v>
      </c>
    </row>
    <row r="92" spans="1:7" ht="51.6" customHeight="1">
      <c r="A92" s="224"/>
      <c r="B92" s="226"/>
      <c r="C92" s="226"/>
      <c r="D92" s="226"/>
      <c r="E92" s="226"/>
      <c r="F92" s="235"/>
    </row>
    <row r="93" spans="1:7" ht="37.799999999999997" customHeight="1">
      <c r="A93" s="228" t="s">
        <v>11</v>
      </c>
      <c r="B93" s="231" t="s">
        <v>453</v>
      </c>
      <c r="C93" s="232">
        <f>TAKEOFF!$H$6089</f>
        <v>33.168749999999996</v>
      </c>
      <c r="D93" s="233" t="s">
        <v>322</v>
      </c>
      <c r="E93" s="234">
        <f>RATES!$D$47</f>
        <v>265</v>
      </c>
      <c r="F93" s="236">
        <f>C93*E93</f>
        <v>8789.7187499999982</v>
      </c>
      <c r="G93" s="118" t="s">
        <v>913</v>
      </c>
    </row>
    <row r="94" spans="1:7" ht="31.8" customHeight="1">
      <c r="A94" s="109"/>
      <c r="B94" s="136"/>
      <c r="C94" s="136"/>
      <c r="D94" s="136"/>
      <c r="E94" s="136"/>
      <c r="F94" s="117"/>
    </row>
    <row r="95" spans="1:7" ht="32.4" customHeight="1" thickBot="1">
      <c r="A95" s="141"/>
      <c r="B95" s="154" t="str">
        <f>B88</f>
        <v>ELEMENT NO. 2: MASONRY</v>
      </c>
      <c r="C95" s="142"/>
      <c r="D95" s="142"/>
      <c r="E95" s="143"/>
      <c r="F95" s="116">
        <f>SUM(F90:F94)</f>
        <v>66159.512499999983</v>
      </c>
    </row>
    <row r="96" spans="1:7" ht="32.4" customHeight="1" thickTop="1" thickBot="1">
      <c r="A96" s="150"/>
      <c r="B96" s="151" t="s">
        <v>339</v>
      </c>
      <c r="C96" s="152"/>
      <c r="D96" s="152"/>
      <c r="E96" s="152"/>
      <c r="F96" s="153"/>
    </row>
    <row r="97" spans="1:7" ht="32.4" customHeight="1" thickTop="1">
      <c r="A97" s="109"/>
      <c r="B97" s="136"/>
      <c r="C97" s="136"/>
      <c r="D97" s="136"/>
      <c r="E97" s="136"/>
      <c r="F97" s="117"/>
    </row>
    <row r="98" spans="1:7" ht="32.4" customHeight="1">
      <c r="A98" s="224"/>
      <c r="B98" s="225" t="s">
        <v>809</v>
      </c>
      <c r="C98" s="226"/>
      <c r="D98" s="226"/>
      <c r="E98" s="226"/>
      <c r="F98" s="235"/>
    </row>
    <row r="99" spans="1:7" ht="32.4" customHeight="1">
      <c r="A99" s="224"/>
      <c r="B99" s="226"/>
      <c r="C99" s="226"/>
      <c r="D99" s="226"/>
      <c r="E99" s="226"/>
      <c r="F99" s="235"/>
    </row>
    <row r="100" spans="1:7" ht="32.4" customHeight="1">
      <c r="A100" s="224"/>
      <c r="B100" s="230" t="s">
        <v>829</v>
      </c>
      <c r="C100" s="226"/>
      <c r="D100" s="226"/>
      <c r="E100" s="226"/>
      <c r="F100" s="235"/>
    </row>
    <row r="101" spans="1:7" ht="32.4" customHeight="1">
      <c r="A101" s="228" t="s">
        <v>9</v>
      </c>
      <c r="B101" s="231" t="s">
        <v>830</v>
      </c>
      <c r="C101" s="232">
        <f>TAKEOFF!$H$6094</f>
        <v>412.1</v>
      </c>
      <c r="D101" s="233" t="s">
        <v>322</v>
      </c>
      <c r="E101" s="234">
        <f>RATES!$D$68</f>
        <v>165</v>
      </c>
      <c r="F101" s="236">
        <f>C101*E101</f>
        <v>67996.5</v>
      </c>
      <c r="G101" s="118" t="s">
        <v>914</v>
      </c>
    </row>
    <row r="102" spans="1:7" ht="32.4" customHeight="1">
      <c r="A102" s="224"/>
      <c r="B102" s="226"/>
      <c r="C102" s="226"/>
      <c r="D102" s="226"/>
      <c r="E102" s="226"/>
      <c r="F102" s="235"/>
    </row>
    <row r="103" spans="1:7" ht="32.4" customHeight="1">
      <c r="A103" s="228" t="s">
        <v>11</v>
      </c>
      <c r="B103" s="231" t="s">
        <v>832</v>
      </c>
      <c r="C103" s="232">
        <f>TAKEOFF!$H$6097</f>
        <v>412.1</v>
      </c>
      <c r="D103" s="233" t="s">
        <v>322</v>
      </c>
      <c r="E103" s="234">
        <f>RATES!$D$69</f>
        <v>72</v>
      </c>
      <c r="F103" s="236">
        <f>C103*E103</f>
        <v>29671.200000000001</v>
      </c>
      <c r="G103" s="118" t="s">
        <v>914</v>
      </c>
    </row>
    <row r="104" spans="1:7" ht="32.4" customHeight="1">
      <c r="A104" s="224"/>
      <c r="B104" s="226"/>
      <c r="C104" s="226"/>
      <c r="D104" s="226"/>
      <c r="E104" s="226"/>
      <c r="F104" s="235"/>
    </row>
    <row r="105" spans="1:7" ht="32.4" customHeight="1">
      <c r="A105" s="228" t="s">
        <v>13</v>
      </c>
      <c r="B105" s="231" t="s">
        <v>915</v>
      </c>
      <c r="C105" s="232">
        <f>TAKEOFF!$H$6100</f>
        <v>182.5</v>
      </c>
      <c r="D105" s="233" t="s">
        <v>369</v>
      </c>
      <c r="E105" s="234">
        <f>RATES!$D$70</f>
        <v>185</v>
      </c>
      <c r="F105" s="236">
        <f>C105*E105</f>
        <v>33762.5</v>
      </c>
      <c r="G105" s="118" t="s">
        <v>916</v>
      </c>
    </row>
    <row r="106" spans="1:7" ht="32.4" customHeight="1">
      <c r="A106" s="224"/>
      <c r="B106" s="226"/>
      <c r="C106" s="226"/>
      <c r="D106" s="226"/>
      <c r="E106" s="226"/>
      <c r="F106" s="235"/>
    </row>
    <row r="107" spans="1:7" ht="32.4" customHeight="1">
      <c r="A107" s="228" t="s">
        <v>15</v>
      </c>
      <c r="B107" s="231" t="s">
        <v>917</v>
      </c>
      <c r="C107" s="232">
        <f>TAKEOFF!$H$6103</f>
        <v>182.5</v>
      </c>
      <c r="D107" s="233" t="s">
        <v>369</v>
      </c>
      <c r="E107" s="234">
        <f>RATES!$D$71</f>
        <v>185</v>
      </c>
      <c r="F107" s="236">
        <f>C107*E107</f>
        <v>33762.5</v>
      </c>
      <c r="G107" s="118" t="s">
        <v>916</v>
      </c>
    </row>
    <row r="108" spans="1:7" ht="32.4" customHeight="1">
      <c r="A108" s="109"/>
      <c r="B108" s="136"/>
      <c r="C108" s="136"/>
      <c r="D108" s="136"/>
      <c r="E108" s="136"/>
      <c r="F108" s="117"/>
    </row>
    <row r="109" spans="1:7" ht="32.4" customHeight="1" thickBot="1">
      <c r="A109" s="141"/>
      <c r="B109" s="154" t="str">
        <f>B98</f>
        <v>ELEMENT NO. 3: WATERPROOFING</v>
      </c>
      <c r="C109" s="142"/>
      <c r="D109" s="142"/>
      <c r="E109" s="143"/>
      <c r="F109" s="116">
        <f>SUM(F100:F108)</f>
        <v>165192.70000000001</v>
      </c>
    </row>
    <row r="110" spans="1:7" ht="32.4" customHeight="1" thickTop="1" thickBot="1">
      <c r="A110" s="150"/>
      <c r="B110" s="151" t="s">
        <v>339</v>
      </c>
      <c r="C110" s="152"/>
      <c r="D110" s="152"/>
      <c r="E110" s="152"/>
      <c r="F110" s="153"/>
    </row>
    <row r="111" spans="1:7" ht="32.4" customHeight="1" thickTop="1">
      <c r="A111" s="109"/>
      <c r="B111" s="136"/>
      <c r="C111" s="136"/>
      <c r="D111" s="136"/>
      <c r="E111" s="136"/>
      <c r="F111" s="117"/>
    </row>
    <row r="112" spans="1:7" ht="32.4" customHeight="1">
      <c r="A112" s="224"/>
      <c r="B112" s="226"/>
      <c r="C112" s="226"/>
      <c r="D112" s="226"/>
      <c r="E112" s="226"/>
      <c r="F112" s="235"/>
    </row>
    <row r="113" spans="1:7" ht="32.4" customHeight="1">
      <c r="A113" s="224"/>
      <c r="B113" s="225" t="s">
        <v>381</v>
      </c>
      <c r="C113" s="226"/>
      <c r="D113" s="226"/>
      <c r="E113" s="226"/>
      <c r="F113" s="235"/>
    </row>
    <row r="114" spans="1:7" ht="32.4" customHeight="1">
      <c r="A114" s="224"/>
      <c r="B114" s="226"/>
      <c r="C114" s="226"/>
      <c r="D114" s="226"/>
      <c r="E114" s="226"/>
      <c r="F114" s="235"/>
    </row>
    <row r="115" spans="1:7" ht="32.4" customHeight="1">
      <c r="A115" s="224"/>
      <c r="B115" s="230" t="s">
        <v>455</v>
      </c>
      <c r="C115" s="226"/>
      <c r="D115" s="226"/>
      <c r="E115" s="226"/>
      <c r="F115" s="235"/>
    </row>
    <row r="116" spans="1:7" ht="32.4" customHeight="1">
      <c r="A116" s="228" t="s">
        <v>9</v>
      </c>
      <c r="B116" s="231" t="s">
        <v>459</v>
      </c>
      <c r="C116" s="232">
        <f>TAKEOFF!$H$6108</f>
        <v>7</v>
      </c>
      <c r="D116" s="233" t="s">
        <v>457</v>
      </c>
      <c r="E116" s="234">
        <f>RATES!$D$76</f>
        <v>3400</v>
      </c>
      <c r="F116" s="236">
        <f>C116*E116</f>
        <v>23800</v>
      </c>
      <c r="G116" s="118" t="s">
        <v>482</v>
      </c>
    </row>
    <row r="117" spans="1:7" ht="32.4" customHeight="1">
      <c r="A117" s="224"/>
      <c r="B117" s="226"/>
      <c r="C117" s="226"/>
      <c r="D117" s="226"/>
      <c r="E117" s="226"/>
      <c r="F117" s="235"/>
    </row>
    <row r="118" spans="1:7" ht="32.4" customHeight="1">
      <c r="A118" s="228" t="s">
        <v>11</v>
      </c>
      <c r="B118" s="231" t="s">
        <v>463</v>
      </c>
      <c r="C118" s="232">
        <f>TAKEOFF!$H$6111</f>
        <v>8</v>
      </c>
      <c r="D118" s="233" t="s">
        <v>457</v>
      </c>
      <c r="E118" s="234">
        <f>RATES!$D$79</f>
        <v>1900</v>
      </c>
      <c r="F118" s="236">
        <f>C118*E118</f>
        <v>15200</v>
      </c>
      <c r="G118" s="118" t="s">
        <v>669</v>
      </c>
    </row>
    <row r="119" spans="1:7" ht="32.4" customHeight="1">
      <c r="A119" s="224"/>
      <c r="B119" s="226"/>
      <c r="C119" s="226"/>
      <c r="D119" s="226"/>
      <c r="E119" s="226"/>
      <c r="F119" s="235"/>
    </row>
    <row r="120" spans="1:7" ht="32.4" customHeight="1">
      <c r="A120" s="228" t="s">
        <v>13</v>
      </c>
      <c r="B120" s="231" t="s">
        <v>464</v>
      </c>
      <c r="C120" s="232">
        <f>TAKEOFF!$H$6114</f>
        <v>1</v>
      </c>
      <c r="D120" s="233" t="s">
        <v>457</v>
      </c>
      <c r="E120" s="234">
        <f>RATES!$D$80</f>
        <v>6800</v>
      </c>
      <c r="F120" s="236">
        <f>C120*E120</f>
        <v>6800</v>
      </c>
      <c r="G120" s="118" t="s">
        <v>458</v>
      </c>
    </row>
    <row r="121" spans="1:7" ht="32.4" customHeight="1">
      <c r="A121" s="224"/>
      <c r="B121" s="226"/>
      <c r="C121" s="226"/>
      <c r="D121" s="226"/>
      <c r="E121" s="226"/>
      <c r="F121" s="235"/>
    </row>
    <row r="122" spans="1:7" ht="32.4" customHeight="1">
      <c r="A122" s="228" t="s">
        <v>15</v>
      </c>
      <c r="B122" s="231" t="s">
        <v>466</v>
      </c>
      <c r="C122" s="232">
        <f>TAKEOFF!$H$6117</f>
        <v>2</v>
      </c>
      <c r="D122" s="233" t="s">
        <v>457</v>
      </c>
      <c r="E122" s="234">
        <f>RATES!$D$82</f>
        <v>7200</v>
      </c>
      <c r="F122" s="236">
        <f>C122*E122</f>
        <v>14400</v>
      </c>
      <c r="G122" s="118" t="s">
        <v>465</v>
      </c>
    </row>
    <row r="123" spans="1:7" ht="32.4" customHeight="1">
      <c r="A123" s="224"/>
      <c r="B123" s="226"/>
      <c r="C123" s="226"/>
      <c r="D123" s="226"/>
      <c r="E123" s="226"/>
      <c r="F123" s="235"/>
    </row>
    <row r="124" spans="1:7" ht="32.4" customHeight="1">
      <c r="A124" s="228" t="s">
        <v>17</v>
      </c>
      <c r="B124" s="231" t="s">
        <v>468</v>
      </c>
      <c r="C124" s="232">
        <f>TAKEOFF!$H$6120</f>
        <v>1</v>
      </c>
      <c r="D124" s="233" t="s">
        <v>457</v>
      </c>
      <c r="E124" s="234">
        <f>RATES!$D$84</f>
        <v>6900</v>
      </c>
      <c r="F124" s="236">
        <f>C124*E124</f>
        <v>6900</v>
      </c>
      <c r="G124" s="118" t="s">
        <v>458</v>
      </c>
    </row>
    <row r="125" spans="1:7" ht="32.4" customHeight="1">
      <c r="A125" s="224"/>
      <c r="B125" s="226"/>
      <c r="C125" s="226"/>
      <c r="D125" s="226"/>
      <c r="E125" s="226"/>
      <c r="F125" s="235"/>
    </row>
    <row r="126" spans="1:7" ht="32.4" customHeight="1">
      <c r="A126" s="228" t="s">
        <v>19</v>
      </c>
      <c r="B126" s="231" t="s">
        <v>474</v>
      </c>
      <c r="C126" s="232">
        <f>TAKEOFF!$H$6124</f>
        <v>78.300000000000011</v>
      </c>
      <c r="D126" s="233" t="s">
        <v>369</v>
      </c>
      <c r="E126" s="234">
        <f>RATES!$D$100</f>
        <v>125</v>
      </c>
      <c r="F126" s="236">
        <f>C126*E126</f>
        <v>9787.5000000000018</v>
      </c>
      <c r="G126" s="118" t="s">
        <v>918</v>
      </c>
    </row>
    <row r="127" spans="1:7" ht="32.4" customHeight="1">
      <c r="A127" s="224"/>
      <c r="B127" s="226"/>
      <c r="C127" s="226"/>
      <c r="D127" s="226"/>
      <c r="E127" s="226"/>
      <c r="F127" s="235"/>
    </row>
    <row r="128" spans="1:7" ht="32.4" customHeight="1">
      <c r="A128" s="228" t="s">
        <v>21</v>
      </c>
      <c r="B128" s="231" t="s">
        <v>476</v>
      </c>
      <c r="C128" s="232">
        <f>TAKEOFF!$H$6128</f>
        <v>78.300000000000011</v>
      </c>
      <c r="D128" s="233" t="s">
        <v>369</v>
      </c>
      <c r="E128" s="234">
        <f>RATES!$D$101</f>
        <v>28</v>
      </c>
      <c r="F128" s="236">
        <f>C128*E128</f>
        <v>2192.4000000000005</v>
      </c>
      <c r="G128" s="118" t="s">
        <v>918</v>
      </c>
    </row>
    <row r="129" spans="1:7" ht="32.4" customHeight="1">
      <c r="A129" s="224"/>
      <c r="B129" s="226"/>
      <c r="C129" s="226"/>
      <c r="D129" s="226"/>
      <c r="E129" s="226"/>
      <c r="F129" s="235"/>
    </row>
    <row r="130" spans="1:7" ht="32.4" customHeight="1">
      <c r="A130" s="224"/>
      <c r="B130" s="230" t="s">
        <v>477</v>
      </c>
      <c r="C130" s="226"/>
      <c r="D130" s="226"/>
      <c r="E130" s="226"/>
      <c r="F130" s="235"/>
    </row>
    <row r="131" spans="1:7" ht="32.4" customHeight="1">
      <c r="A131" s="228" t="s">
        <v>23</v>
      </c>
      <c r="B131" s="231" t="s">
        <v>478</v>
      </c>
      <c r="C131" s="232">
        <f>TAKEOFF!$H$6132</f>
        <v>23</v>
      </c>
      <c r="D131" s="233" t="s">
        <v>479</v>
      </c>
      <c r="E131" s="234">
        <f>RATES!$D$102</f>
        <v>125</v>
      </c>
      <c r="F131" s="236">
        <f>C131*E131</f>
        <v>2875</v>
      </c>
      <c r="G131" s="118" t="s">
        <v>919</v>
      </c>
    </row>
    <row r="132" spans="1:7" ht="32.4" customHeight="1">
      <c r="A132" s="224"/>
      <c r="B132" s="226"/>
      <c r="C132" s="226"/>
      <c r="D132" s="226"/>
      <c r="E132" s="226"/>
      <c r="F132" s="235"/>
    </row>
    <row r="133" spans="1:7" ht="32.4" customHeight="1">
      <c r="A133" s="228" t="s">
        <v>25</v>
      </c>
      <c r="B133" s="231" t="s">
        <v>481</v>
      </c>
      <c r="C133" s="232">
        <f>TAKEOFF!$H$6135</f>
        <v>7</v>
      </c>
      <c r="D133" s="233" t="s">
        <v>457</v>
      </c>
      <c r="E133" s="234">
        <f>RATES!$D$103</f>
        <v>480</v>
      </c>
      <c r="F133" s="236">
        <f>C133*E133</f>
        <v>3360</v>
      </c>
      <c r="G133" s="118" t="s">
        <v>482</v>
      </c>
    </row>
    <row r="134" spans="1:7" ht="32.4" customHeight="1">
      <c r="A134" s="224"/>
      <c r="B134" s="226"/>
      <c r="C134" s="226"/>
      <c r="D134" s="226"/>
      <c r="E134" s="226"/>
      <c r="F134" s="235"/>
    </row>
    <row r="135" spans="1:7" ht="32.4" customHeight="1">
      <c r="A135" s="228" t="s">
        <v>27</v>
      </c>
      <c r="B135" s="231" t="s">
        <v>483</v>
      </c>
      <c r="C135" s="232">
        <f>TAKEOFF!$H$6138</f>
        <v>8</v>
      </c>
      <c r="D135" s="233" t="s">
        <v>457</v>
      </c>
      <c r="E135" s="234">
        <f>RATES!$D$104</f>
        <v>560</v>
      </c>
      <c r="F135" s="236">
        <f>C135*E135</f>
        <v>4480</v>
      </c>
      <c r="G135" s="118" t="s">
        <v>669</v>
      </c>
    </row>
    <row r="136" spans="1:7" ht="32.4" customHeight="1">
      <c r="A136" s="224"/>
      <c r="B136" s="226"/>
      <c r="C136" s="226"/>
      <c r="D136" s="226"/>
      <c r="E136" s="226"/>
      <c r="F136" s="235"/>
    </row>
    <row r="137" spans="1:7" ht="93.6">
      <c r="A137" s="224"/>
      <c r="B137" s="230" t="s">
        <v>484</v>
      </c>
      <c r="C137" s="226"/>
      <c r="D137" s="226"/>
      <c r="E137" s="226"/>
      <c r="F137" s="235"/>
    </row>
    <row r="138" spans="1:7" ht="32.4" customHeight="1">
      <c r="A138" s="228" t="s">
        <v>29</v>
      </c>
      <c r="B138" s="231" t="s">
        <v>492</v>
      </c>
      <c r="C138" s="232">
        <f>TAKEOFF!$H$6142</f>
        <v>5</v>
      </c>
      <c r="D138" s="233" t="s">
        <v>457</v>
      </c>
      <c r="E138" s="234">
        <f>RATES!$D$128</f>
        <v>831.60000000000014</v>
      </c>
      <c r="F138" s="236">
        <f>C138*E138</f>
        <v>4158.0000000000009</v>
      </c>
      <c r="G138" s="118" t="s">
        <v>651</v>
      </c>
    </row>
    <row r="139" spans="1:7" ht="32.4" customHeight="1">
      <c r="A139" s="224"/>
      <c r="B139" s="226"/>
      <c r="C139" s="226"/>
      <c r="D139" s="226"/>
      <c r="E139" s="226"/>
      <c r="F139" s="235"/>
    </row>
    <row r="140" spans="1:7" ht="32.4" customHeight="1">
      <c r="A140" s="228" t="s">
        <v>31</v>
      </c>
      <c r="B140" s="231" t="s">
        <v>494</v>
      </c>
      <c r="C140" s="232">
        <f>TAKEOFF!$H$6145</f>
        <v>2</v>
      </c>
      <c r="D140" s="233" t="s">
        <v>457</v>
      </c>
      <c r="E140" s="234">
        <f>RATES!$D$129</f>
        <v>693</v>
      </c>
      <c r="F140" s="236">
        <f>C140*E140</f>
        <v>1386</v>
      </c>
      <c r="G140" s="118" t="s">
        <v>465</v>
      </c>
    </row>
    <row r="141" spans="1:7" ht="32.4" customHeight="1">
      <c r="A141" s="224"/>
      <c r="B141" s="226"/>
      <c r="C141" s="226"/>
      <c r="D141" s="226"/>
      <c r="E141" s="226"/>
      <c r="F141" s="235"/>
    </row>
    <row r="142" spans="1:7" ht="32.4" customHeight="1">
      <c r="A142" s="228" t="s">
        <v>33</v>
      </c>
      <c r="B142" s="231" t="s">
        <v>677</v>
      </c>
      <c r="C142" s="232">
        <f>TAKEOFF!$H$6148</f>
        <v>1</v>
      </c>
      <c r="D142" s="233" t="s">
        <v>457</v>
      </c>
      <c r="E142" s="234">
        <f>RATES!$D$130</f>
        <v>554.40000000000009</v>
      </c>
      <c r="F142" s="236">
        <f>C142*E142</f>
        <v>554.40000000000009</v>
      </c>
      <c r="G142" s="118" t="s">
        <v>458</v>
      </c>
    </row>
    <row r="143" spans="1:7" ht="32.4" customHeight="1">
      <c r="A143" s="224"/>
      <c r="B143" s="226"/>
      <c r="C143" s="226"/>
      <c r="D143" s="226"/>
      <c r="E143" s="226"/>
      <c r="F143" s="235"/>
    </row>
    <row r="144" spans="1:7" ht="32.4" customHeight="1">
      <c r="A144" s="228" t="s">
        <v>35</v>
      </c>
      <c r="B144" s="231" t="s">
        <v>678</v>
      </c>
      <c r="C144" s="232">
        <f>TAKEOFF!$H$6151</f>
        <v>1</v>
      </c>
      <c r="D144" s="233" t="s">
        <v>457</v>
      </c>
      <c r="E144" s="234">
        <f>RATES!$D$131</f>
        <v>1108.8000000000002</v>
      </c>
      <c r="F144" s="236">
        <f>C144*E144</f>
        <v>1108.8000000000002</v>
      </c>
      <c r="G144" s="118" t="s">
        <v>458</v>
      </c>
    </row>
    <row r="145" spans="1:7" ht="32.4" customHeight="1">
      <c r="A145" s="109"/>
      <c r="B145" s="136"/>
      <c r="C145" s="136"/>
      <c r="D145" s="136"/>
      <c r="E145" s="136"/>
      <c r="F145" s="117"/>
    </row>
    <row r="146" spans="1:7" ht="32.4" customHeight="1" thickBot="1">
      <c r="A146" s="141"/>
      <c r="B146" s="154" t="str">
        <f>B113</f>
        <v>ELEMENT NO. 4: WINDOWS/DOORS</v>
      </c>
      <c r="C146" s="142"/>
      <c r="D146" s="142"/>
      <c r="E146" s="143"/>
      <c r="F146" s="116">
        <f>SUM(F115:F145)</f>
        <v>97002.099999999991</v>
      </c>
    </row>
    <row r="147" spans="1:7" ht="32.4" customHeight="1" thickTop="1" thickBot="1">
      <c r="A147" s="150"/>
      <c r="B147" s="151" t="s">
        <v>339</v>
      </c>
      <c r="C147" s="152"/>
      <c r="D147" s="152"/>
      <c r="E147" s="152"/>
      <c r="F147" s="153"/>
    </row>
    <row r="148" spans="1:7" ht="32.4" customHeight="1" thickTop="1">
      <c r="A148" s="109"/>
      <c r="B148" s="136"/>
      <c r="C148" s="136"/>
      <c r="D148" s="136"/>
      <c r="E148" s="136"/>
      <c r="F148" s="117"/>
    </row>
    <row r="149" spans="1:7" ht="32.4" customHeight="1">
      <c r="A149" s="224"/>
      <c r="B149" s="226"/>
      <c r="C149" s="226"/>
      <c r="D149" s="226"/>
      <c r="E149" s="226"/>
      <c r="F149" s="235"/>
    </row>
    <row r="150" spans="1:7" ht="32.4" customHeight="1">
      <c r="A150" s="224"/>
      <c r="B150" s="225" t="s">
        <v>382</v>
      </c>
      <c r="C150" s="226"/>
      <c r="D150" s="226"/>
      <c r="E150" s="226"/>
      <c r="F150" s="235"/>
    </row>
    <row r="151" spans="1:7" ht="32.4" customHeight="1">
      <c r="A151" s="224"/>
      <c r="B151" s="226"/>
      <c r="C151" s="226"/>
      <c r="D151" s="226"/>
      <c r="E151" s="226"/>
      <c r="F151" s="235"/>
    </row>
    <row r="152" spans="1:7" ht="32.4" customHeight="1">
      <c r="A152" s="224"/>
      <c r="B152" s="230" t="s">
        <v>495</v>
      </c>
      <c r="C152" s="226"/>
      <c r="D152" s="226"/>
      <c r="E152" s="226"/>
      <c r="F152" s="235"/>
    </row>
    <row r="153" spans="1:7" ht="32.4" customHeight="1">
      <c r="A153" s="228" t="s">
        <v>9</v>
      </c>
      <c r="B153" s="231" t="s">
        <v>496</v>
      </c>
      <c r="C153" s="232">
        <f>TAKEOFF!$H$6156</f>
        <v>319.39999999999998</v>
      </c>
      <c r="D153" s="233" t="s">
        <v>322</v>
      </c>
      <c r="E153" s="234">
        <f>RATES!$D$50</f>
        <v>68</v>
      </c>
      <c r="F153" s="236">
        <f>C153*E153</f>
        <v>21719.199999999997</v>
      </c>
      <c r="G153" s="118" t="s">
        <v>920</v>
      </c>
    </row>
    <row r="154" spans="1:7" ht="32.4" customHeight="1">
      <c r="A154" s="224"/>
      <c r="B154" s="226"/>
      <c r="C154" s="226"/>
      <c r="D154" s="226"/>
      <c r="E154" s="226"/>
      <c r="F154" s="235"/>
    </row>
    <row r="155" spans="1:7" ht="32.4" customHeight="1">
      <c r="A155" s="228" t="s">
        <v>11</v>
      </c>
      <c r="B155" s="231" t="s">
        <v>498</v>
      </c>
      <c r="C155" s="232">
        <f>TAKEOFF!$H$6159</f>
        <v>319.39999999999998</v>
      </c>
      <c r="D155" s="233" t="s">
        <v>322</v>
      </c>
      <c r="E155" s="234">
        <f>RATES!$D$51</f>
        <v>48</v>
      </c>
      <c r="F155" s="236">
        <f>C155*E155</f>
        <v>15331.199999999999</v>
      </c>
      <c r="G155" s="118" t="s">
        <v>920</v>
      </c>
    </row>
    <row r="156" spans="1:7" ht="32.4" customHeight="1">
      <c r="A156" s="224"/>
      <c r="B156" s="226"/>
      <c r="C156" s="226"/>
      <c r="D156" s="226"/>
      <c r="E156" s="226"/>
      <c r="F156" s="235"/>
    </row>
    <row r="157" spans="1:7" ht="32.4" customHeight="1">
      <c r="A157" s="228" t="s">
        <v>13</v>
      </c>
      <c r="B157" s="231" t="s">
        <v>500</v>
      </c>
      <c r="C157" s="232">
        <f>TAKEOFF!$H$6162</f>
        <v>24.2</v>
      </c>
      <c r="D157" s="233" t="s">
        <v>322</v>
      </c>
      <c r="E157" s="234">
        <f>RATES!$D$53</f>
        <v>230</v>
      </c>
      <c r="F157" s="236">
        <f>C157*E157</f>
        <v>5566</v>
      </c>
      <c r="G157" s="118" t="s">
        <v>921</v>
      </c>
    </row>
    <row r="158" spans="1:7" ht="32.4" customHeight="1">
      <c r="A158" s="224"/>
      <c r="B158" s="226"/>
      <c r="C158" s="226"/>
      <c r="D158" s="226"/>
      <c r="E158" s="226"/>
      <c r="F158" s="235"/>
    </row>
    <row r="159" spans="1:7" ht="32.4" customHeight="1">
      <c r="A159" s="228" t="s">
        <v>15</v>
      </c>
      <c r="B159" s="231" t="s">
        <v>504</v>
      </c>
      <c r="C159" s="232">
        <f>TAKEOFF!$H$6165</f>
        <v>235.9</v>
      </c>
      <c r="D159" s="233" t="s">
        <v>322</v>
      </c>
      <c r="E159" s="234">
        <f>RATES!$D$55</f>
        <v>265</v>
      </c>
      <c r="F159" s="236">
        <f>C159*E159</f>
        <v>62513.5</v>
      </c>
      <c r="G159" s="118" t="s">
        <v>922</v>
      </c>
    </row>
    <row r="160" spans="1:7" ht="32.4" customHeight="1">
      <c r="A160" s="224"/>
      <c r="B160" s="226"/>
      <c r="C160" s="226"/>
      <c r="D160" s="226"/>
      <c r="E160" s="226"/>
      <c r="F160" s="235"/>
    </row>
    <row r="161" spans="1:7" ht="32.4" customHeight="1">
      <c r="A161" s="228" t="s">
        <v>17</v>
      </c>
      <c r="B161" s="231" t="s">
        <v>506</v>
      </c>
      <c r="C161" s="232">
        <f>TAKEOFF!$H$6168</f>
        <v>19.3</v>
      </c>
      <c r="D161" s="233" t="s">
        <v>322</v>
      </c>
      <c r="E161" s="234">
        <f>RATES!$D$56</f>
        <v>330</v>
      </c>
      <c r="F161" s="236">
        <f>C161*E161</f>
        <v>6369</v>
      </c>
      <c r="G161" s="118" t="s">
        <v>923</v>
      </c>
    </row>
    <row r="162" spans="1:7" ht="32.4" customHeight="1">
      <c r="A162" s="224"/>
      <c r="B162" s="226"/>
      <c r="C162" s="226"/>
      <c r="D162" s="226"/>
      <c r="E162" s="226"/>
      <c r="F162" s="235"/>
    </row>
    <row r="163" spans="1:7" ht="32.4" customHeight="1">
      <c r="A163" s="228" t="s">
        <v>19</v>
      </c>
      <c r="B163" s="231" t="s">
        <v>508</v>
      </c>
      <c r="C163" s="232">
        <f>TAKEOFF!$H$6171</f>
        <v>40</v>
      </c>
      <c r="D163" s="233" t="s">
        <v>322</v>
      </c>
      <c r="E163" s="234">
        <f>RATES!$D$57</f>
        <v>250</v>
      </c>
      <c r="F163" s="236">
        <f>C163*E163</f>
        <v>10000</v>
      </c>
      <c r="G163" s="118" t="s">
        <v>924</v>
      </c>
    </row>
    <row r="164" spans="1:7" ht="32.4" customHeight="1">
      <c r="A164" s="224"/>
      <c r="B164" s="226"/>
      <c r="C164" s="226"/>
      <c r="D164" s="226"/>
      <c r="E164" s="226"/>
      <c r="F164" s="235"/>
    </row>
    <row r="165" spans="1:7" ht="32.4" customHeight="1">
      <c r="A165" s="228" t="s">
        <v>21</v>
      </c>
      <c r="B165" s="231" t="s">
        <v>510</v>
      </c>
      <c r="C165" s="232">
        <f>TAKEOFF!$H$6174</f>
        <v>412.1</v>
      </c>
      <c r="D165" s="233" t="s">
        <v>322</v>
      </c>
      <c r="E165" s="234">
        <f>RATES!$D$58</f>
        <v>360</v>
      </c>
      <c r="F165" s="236">
        <f>C165*E165</f>
        <v>148356</v>
      </c>
      <c r="G165" s="118" t="s">
        <v>914</v>
      </c>
    </row>
    <row r="166" spans="1:7" ht="32.4" customHeight="1">
      <c r="A166" s="109"/>
      <c r="B166" s="136"/>
      <c r="C166" s="136"/>
      <c r="D166" s="136"/>
      <c r="E166" s="136"/>
      <c r="F166" s="117"/>
    </row>
    <row r="167" spans="1:7" ht="32.4" customHeight="1" thickBot="1">
      <c r="A167" s="141"/>
      <c r="B167" s="154" t="str">
        <f>B150</f>
        <v>ELEMENT NO. 5: FLOOR FINISHES</v>
      </c>
      <c r="C167" s="142"/>
      <c r="D167" s="142"/>
      <c r="E167" s="143"/>
      <c r="F167" s="116">
        <f>SUM(F152:F166)</f>
        <v>269854.90000000002</v>
      </c>
    </row>
    <row r="168" spans="1:7" ht="32.4" customHeight="1" thickTop="1" thickBot="1">
      <c r="A168" s="150"/>
      <c r="B168" s="151" t="s">
        <v>339</v>
      </c>
      <c r="C168" s="152"/>
      <c r="D168" s="152"/>
      <c r="E168" s="152"/>
      <c r="F168" s="153"/>
    </row>
    <row r="169" spans="1:7" ht="32.4" customHeight="1" thickTop="1">
      <c r="A169" s="109"/>
      <c r="B169" s="136"/>
      <c r="C169" s="136"/>
      <c r="D169" s="136"/>
      <c r="E169" s="136"/>
      <c r="F169" s="117"/>
    </row>
    <row r="170" spans="1:7" ht="32.4" customHeight="1">
      <c r="A170" s="224"/>
      <c r="B170" s="225" t="s">
        <v>383</v>
      </c>
      <c r="C170" s="226"/>
      <c r="D170" s="226"/>
      <c r="E170" s="226"/>
      <c r="F170" s="235"/>
    </row>
    <row r="171" spans="1:7" ht="32.4" customHeight="1">
      <c r="A171" s="224"/>
      <c r="B171" s="226"/>
      <c r="C171" s="226"/>
      <c r="D171" s="226"/>
      <c r="E171" s="226"/>
      <c r="F171" s="235"/>
    </row>
    <row r="172" spans="1:7" ht="32.4" customHeight="1">
      <c r="A172" s="224"/>
      <c r="B172" s="230" t="s">
        <v>512</v>
      </c>
      <c r="C172" s="226"/>
      <c r="D172" s="226"/>
      <c r="E172" s="226"/>
      <c r="F172" s="235"/>
    </row>
    <row r="173" spans="1:7" ht="32.4" customHeight="1">
      <c r="A173" s="228" t="s">
        <v>9</v>
      </c>
      <c r="B173" s="231" t="s">
        <v>513</v>
      </c>
      <c r="C173" s="232">
        <f>TAKEOFF!$H$6192</f>
        <v>-20.257368421052639</v>
      </c>
      <c r="D173" s="233" t="s">
        <v>322</v>
      </c>
      <c r="E173" s="234">
        <f>RATES!$D$48</f>
        <v>78</v>
      </c>
      <c r="F173" s="236">
        <f>C173*E173</f>
        <v>-1580.0747368421059</v>
      </c>
      <c r="G173" s="118" t="s">
        <v>925</v>
      </c>
    </row>
    <row r="174" spans="1:7" ht="32.4" customHeight="1">
      <c r="A174" s="224"/>
      <c r="B174" s="226"/>
      <c r="C174" s="226"/>
      <c r="D174" s="226"/>
      <c r="E174" s="226"/>
      <c r="F174" s="235"/>
    </row>
    <row r="175" spans="1:7" ht="32.4" customHeight="1">
      <c r="A175" s="228" t="s">
        <v>11</v>
      </c>
      <c r="B175" s="231" t="s">
        <v>515</v>
      </c>
      <c r="C175" s="232">
        <f>TAKEOFF!$H$6196</f>
        <v>137.23947368421051</v>
      </c>
      <c r="D175" s="233" t="s">
        <v>322</v>
      </c>
      <c r="E175" s="234">
        <f>RATES!$D$48</f>
        <v>78</v>
      </c>
      <c r="F175" s="236">
        <f>C175*E175</f>
        <v>10704.67894736842</v>
      </c>
      <c r="G175" s="118" t="s">
        <v>926</v>
      </c>
    </row>
    <row r="176" spans="1:7" ht="32.4" customHeight="1">
      <c r="A176" s="224"/>
      <c r="B176" s="226"/>
      <c r="C176" s="226"/>
      <c r="D176" s="226"/>
      <c r="E176" s="226"/>
      <c r="F176" s="235"/>
    </row>
    <row r="177" spans="1:7" ht="32.4" customHeight="1">
      <c r="A177" s="228" t="s">
        <v>13</v>
      </c>
      <c r="B177" s="231" t="s">
        <v>517</v>
      </c>
      <c r="C177" s="232">
        <f>TAKEOFF!$H$6203</f>
        <v>570.19500000000005</v>
      </c>
      <c r="D177" s="233" t="s">
        <v>322</v>
      </c>
      <c r="E177" s="234">
        <f>RATES!$D$49</f>
        <v>88</v>
      </c>
      <c r="F177" s="236">
        <f>C177*E177</f>
        <v>50177.16</v>
      </c>
      <c r="G177" s="118" t="s">
        <v>927</v>
      </c>
    </row>
    <row r="178" spans="1:7" ht="32.4" customHeight="1">
      <c r="A178" s="224"/>
      <c r="B178" s="226"/>
      <c r="C178" s="226"/>
      <c r="D178" s="226"/>
      <c r="E178" s="226"/>
      <c r="F178" s="235"/>
    </row>
    <row r="179" spans="1:7" ht="32.4" customHeight="1">
      <c r="A179" s="228" t="s">
        <v>15</v>
      </c>
      <c r="B179" s="231" t="s">
        <v>519</v>
      </c>
      <c r="C179" s="232">
        <f>TAKEOFF!$H$6207</f>
        <v>111.76578947368421</v>
      </c>
      <c r="D179" s="233" t="s">
        <v>322</v>
      </c>
      <c r="E179" s="234">
        <f>RATES!$D$52</f>
        <v>55</v>
      </c>
      <c r="F179" s="236">
        <f>C179*E179</f>
        <v>6147.1184210526317</v>
      </c>
      <c r="G179" s="118" t="s">
        <v>928</v>
      </c>
    </row>
    <row r="180" spans="1:7" ht="32.4" customHeight="1">
      <c r="A180" s="224"/>
      <c r="B180" s="226"/>
      <c r="C180" s="226"/>
      <c r="D180" s="226"/>
      <c r="E180" s="226"/>
      <c r="F180" s="235"/>
    </row>
    <row r="181" spans="1:7" ht="32.4" customHeight="1">
      <c r="A181" s="228" t="s">
        <v>17</v>
      </c>
      <c r="B181" s="231" t="s">
        <v>521</v>
      </c>
      <c r="C181" s="232">
        <f>TAKEOFF!$H$6211</f>
        <v>111.76578947368421</v>
      </c>
      <c r="D181" s="233" t="s">
        <v>322</v>
      </c>
      <c r="E181" s="234">
        <f>RATES!$D$60</f>
        <v>240</v>
      </c>
      <c r="F181" s="236">
        <f>C181*E181</f>
        <v>26823.78947368421</v>
      </c>
      <c r="G181" s="118" t="s">
        <v>928</v>
      </c>
    </row>
    <row r="182" spans="1:7" ht="32.4" customHeight="1">
      <c r="A182" s="109"/>
      <c r="B182" s="136"/>
      <c r="C182" s="136"/>
      <c r="D182" s="136"/>
      <c r="E182" s="136"/>
      <c r="F182" s="117"/>
    </row>
    <row r="183" spans="1:7" ht="32.4" customHeight="1" thickBot="1">
      <c r="A183" s="141"/>
      <c r="B183" s="154" t="str">
        <f>B170</f>
        <v>ELEMENT NO. 6: WALL FINISHES</v>
      </c>
      <c r="C183" s="142"/>
      <c r="D183" s="142"/>
      <c r="E183" s="143"/>
      <c r="F183" s="116">
        <f>SUM(F172:F182)</f>
        <v>92272.672105263162</v>
      </c>
    </row>
    <row r="184" spans="1:7" ht="32.4" customHeight="1" thickTop="1" thickBot="1">
      <c r="A184" s="150"/>
      <c r="B184" s="151" t="s">
        <v>339</v>
      </c>
      <c r="C184" s="152"/>
      <c r="D184" s="152"/>
      <c r="E184" s="152"/>
      <c r="F184" s="153"/>
    </row>
    <row r="185" spans="1:7" ht="32.4" customHeight="1" thickTop="1">
      <c r="A185" s="109"/>
      <c r="B185" s="136"/>
      <c r="C185" s="136"/>
      <c r="D185" s="136"/>
      <c r="E185" s="136"/>
      <c r="F185" s="117"/>
    </row>
    <row r="186" spans="1:7" ht="32.4" customHeight="1">
      <c r="A186" s="224"/>
      <c r="B186" s="225" t="s">
        <v>384</v>
      </c>
      <c r="C186" s="226"/>
      <c r="D186" s="226"/>
      <c r="E186" s="226"/>
      <c r="F186" s="235"/>
    </row>
    <row r="187" spans="1:7" ht="32.4" customHeight="1">
      <c r="A187" s="224"/>
      <c r="B187" s="226"/>
      <c r="C187" s="226"/>
      <c r="D187" s="226"/>
      <c r="E187" s="226"/>
      <c r="F187" s="235"/>
    </row>
    <row r="188" spans="1:7" ht="32.4" customHeight="1">
      <c r="A188" s="224"/>
      <c r="B188" s="230" t="s">
        <v>522</v>
      </c>
      <c r="C188" s="226"/>
      <c r="D188" s="226"/>
      <c r="E188" s="226"/>
      <c r="F188" s="235"/>
    </row>
    <row r="189" spans="1:7" ht="32.4" customHeight="1">
      <c r="A189" s="228" t="s">
        <v>9</v>
      </c>
      <c r="B189" s="231" t="s">
        <v>513</v>
      </c>
      <c r="C189" s="232">
        <f>TAKEOFF!$H$6229</f>
        <v>-20.257368421052639</v>
      </c>
      <c r="D189" s="233" t="s">
        <v>322</v>
      </c>
      <c r="E189" s="234">
        <f>RATES!$D$61</f>
        <v>45</v>
      </c>
      <c r="F189" s="236">
        <f>C189*E189</f>
        <v>-911.58157894736883</v>
      </c>
      <c r="G189" s="118" t="s">
        <v>925</v>
      </c>
    </row>
    <row r="190" spans="1:7" ht="32.4" customHeight="1">
      <c r="A190" s="224"/>
      <c r="B190" s="226"/>
      <c r="C190" s="226"/>
      <c r="D190" s="226"/>
      <c r="E190" s="226"/>
      <c r="F190" s="235"/>
    </row>
    <row r="191" spans="1:7" ht="32.4" customHeight="1">
      <c r="A191" s="228" t="s">
        <v>11</v>
      </c>
      <c r="B191" s="231" t="s">
        <v>523</v>
      </c>
      <c r="C191" s="232">
        <f>TAKEOFF!$H$6235</f>
        <v>25.473684210526301</v>
      </c>
      <c r="D191" s="233" t="s">
        <v>322</v>
      </c>
      <c r="E191" s="234">
        <f>RATES!$D$61</f>
        <v>45</v>
      </c>
      <c r="F191" s="236">
        <f>C191*E191</f>
        <v>1146.3157894736835</v>
      </c>
      <c r="G191" s="118" t="s">
        <v>929</v>
      </c>
    </row>
    <row r="192" spans="1:7" ht="32.4" customHeight="1">
      <c r="A192" s="224"/>
      <c r="B192" s="226"/>
      <c r="C192" s="226"/>
      <c r="D192" s="226"/>
      <c r="E192" s="226"/>
      <c r="F192" s="235"/>
    </row>
    <row r="193" spans="1:7" ht="32.4" customHeight="1">
      <c r="A193" s="228" t="s">
        <v>13</v>
      </c>
      <c r="B193" s="231" t="s">
        <v>525</v>
      </c>
      <c r="C193" s="232">
        <f>TAKEOFF!$H$6242</f>
        <v>570.19500000000005</v>
      </c>
      <c r="D193" s="233" t="s">
        <v>322</v>
      </c>
      <c r="E193" s="234">
        <f>RATES!$D$62</f>
        <v>62</v>
      </c>
      <c r="F193" s="236">
        <f>C193*E193</f>
        <v>35352.090000000004</v>
      </c>
      <c r="G193" s="118" t="s">
        <v>927</v>
      </c>
    </row>
    <row r="194" spans="1:7" ht="32.4" customHeight="1">
      <c r="A194" s="224"/>
      <c r="B194" s="226"/>
      <c r="C194" s="226"/>
      <c r="D194" s="226"/>
      <c r="E194" s="226"/>
      <c r="F194" s="235"/>
    </row>
    <row r="195" spans="1:7" ht="32.4" customHeight="1">
      <c r="A195" s="228" t="s">
        <v>15</v>
      </c>
      <c r="B195" s="231" t="s">
        <v>527</v>
      </c>
      <c r="C195" s="232">
        <f>TAKEOFF!$H$6245</f>
        <v>295.2</v>
      </c>
      <c r="D195" s="233" t="s">
        <v>322</v>
      </c>
      <c r="E195" s="234">
        <f>RATES!$D$63</f>
        <v>48</v>
      </c>
      <c r="F195" s="236">
        <f>C195*E195</f>
        <v>14169.599999999999</v>
      </c>
      <c r="G195" s="118" t="s">
        <v>930</v>
      </c>
    </row>
    <row r="196" spans="1:7" ht="32.4" customHeight="1">
      <c r="A196" s="224"/>
      <c r="B196" s="226"/>
      <c r="C196" s="226"/>
      <c r="D196" s="226"/>
      <c r="E196" s="226"/>
      <c r="F196" s="235"/>
    </row>
    <row r="197" spans="1:7" ht="32.4" customHeight="1">
      <c r="A197" s="228" t="s">
        <v>17</v>
      </c>
      <c r="B197" s="231" t="s">
        <v>529</v>
      </c>
      <c r="C197" s="232">
        <f>TAKEOFF!$H$6248</f>
        <v>24.2</v>
      </c>
      <c r="D197" s="233" t="s">
        <v>322</v>
      </c>
      <c r="E197" s="234">
        <f>RATES!$D$63</f>
        <v>48</v>
      </c>
      <c r="F197" s="236">
        <f>C197*E197</f>
        <v>1161.5999999999999</v>
      </c>
      <c r="G197" s="118" t="s">
        <v>921</v>
      </c>
    </row>
    <row r="198" spans="1:7" ht="32.4" customHeight="1">
      <c r="A198" s="224"/>
      <c r="B198" s="226"/>
      <c r="C198" s="226"/>
      <c r="D198" s="226"/>
      <c r="E198" s="226"/>
      <c r="F198" s="235"/>
    </row>
    <row r="199" spans="1:7" ht="32.4" customHeight="1">
      <c r="A199" s="228" t="s">
        <v>19</v>
      </c>
      <c r="B199" s="231" t="s">
        <v>530</v>
      </c>
      <c r="C199" s="232">
        <f>TAKEOFF!$H$6254</f>
        <v>73.695000000000007</v>
      </c>
      <c r="D199" s="233" t="s">
        <v>322</v>
      </c>
      <c r="E199" s="234">
        <f>RATES!$D$64</f>
        <v>72</v>
      </c>
      <c r="F199" s="236">
        <f>C199*E199</f>
        <v>5306.0400000000009</v>
      </c>
      <c r="G199" s="118" t="s">
        <v>931</v>
      </c>
    </row>
    <row r="200" spans="1:7" ht="32.4" customHeight="1">
      <c r="A200" s="224"/>
      <c r="B200" s="226"/>
      <c r="C200" s="226"/>
      <c r="D200" s="226"/>
      <c r="E200" s="226"/>
      <c r="F200" s="235"/>
    </row>
    <row r="201" spans="1:7" ht="32.4" customHeight="1">
      <c r="A201" s="228" t="s">
        <v>21</v>
      </c>
      <c r="B201" s="231" t="s">
        <v>532</v>
      </c>
      <c r="C201" s="232">
        <f>TAKEOFF!$H$6260</f>
        <v>4.68</v>
      </c>
      <c r="D201" s="233" t="s">
        <v>322</v>
      </c>
      <c r="E201" s="234">
        <f>RATES!$D$65</f>
        <v>40</v>
      </c>
      <c r="F201" s="236">
        <f>C201*E201</f>
        <v>187.2</v>
      </c>
      <c r="G201" s="118" t="s">
        <v>932</v>
      </c>
    </row>
    <row r="202" spans="1:7" ht="32.4" customHeight="1">
      <c r="A202" s="109"/>
      <c r="B202" s="136"/>
      <c r="C202" s="136"/>
      <c r="D202" s="136"/>
      <c r="E202" s="136"/>
      <c r="F202" s="117"/>
    </row>
    <row r="203" spans="1:7" ht="32.4" customHeight="1" thickBot="1">
      <c r="A203" s="141"/>
      <c r="B203" s="154" t="str">
        <f>B186</f>
        <v>ELEMENT NO. 7: PAINTING AND DECORATING</v>
      </c>
      <c r="C203" s="142"/>
      <c r="D203" s="142"/>
      <c r="E203" s="143"/>
      <c r="F203" s="116">
        <f>SUM(F188:F202)</f>
        <v>56411.264210526315</v>
      </c>
    </row>
    <row r="204" spans="1:7" ht="32.4" customHeight="1" thickTop="1" thickBot="1">
      <c r="A204" s="141"/>
      <c r="B204" s="154" t="s">
        <v>339</v>
      </c>
      <c r="C204" s="142"/>
      <c r="D204" s="142"/>
      <c r="E204" s="143"/>
      <c r="F204" s="116"/>
    </row>
    <row r="205" spans="1:7" ht="15" customHeight="1" thickTop="1"/>
    <row r="207" spans="1:7" ht="31.2">
      <c r="B207" s="119" t="s">
        <v>534</v>
      </c>
    </row>
  </sheetData>
  <pageMargins left="0.75" right="0.75" top="1" bottom="1" header="0.5" footer="0.5"/>
  <pageSetup scale="34" fitToHeight="0" orientation="portrait" r:id="rId1"/>
  <rowBreaks count="4" manualBreakCount="4">
    <brk id="28" max="5" man="1"/>
    <brk id="60" max="5" man="1"/>
    <brk id="96" max="5" man="1"/>
    <brk id="147" max="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G94"/>
  <sheetViews>
    <sheetView view="pageBreakPreview" topLeftCell="A77" zoomScale="60" zoomScaleNormal="100" workbookViewId="0">
      <selection activeCell="C75" sqref="C75"/>
    </sheetView>
  </sheetViews>
  <sheetFormatPr defaultRowHeight="14.4"/>
  <cols>
    <col min="1" max="1" width="13.33203125" style="9" customWidth="1"/>
    <col min="2" max="2" width="123" style="9" customWidth="1"/>
    <col min="3" max="3" width="18" style="9" customWidth="1"/>
    <col min="4" max="4" width="12" style="9" customWidth="1"/>
    <col min="5" max="5" width="20"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6.4" customHeight="1">
      <c r="A6" s="155"/>
      <c r="B6" s="156"/>
      <c r="C6" s="156"/>
      <c r="D6" s="156"/>
      <c r="E6" s="156"/>
      <c r="F6" s="157"/>
    </row>
    <row r="7" spans="1:7" ht="26.4" customHeight="1">
      <c r="A7" s="224"/>
      <c r="B7" s="225" t="s">
        <v>313</v>
      </c>
      <c r="C7" s="226"/>
      <c r="D7" s="226"/>
      <c r="E7" s="226"/>
      <c r="F7" s="235"/>
    </row>
    <row r="8" spans="1:7" ht="26.4" customHeight="1">
      <c r="A8" s="224"/>
      <c r="B8" s="226"/>
      <c r="C8" s="226"/>
      <c r="D8" s="226"/>
      <c r="E8" s="226"/>
      <c r="F8" s="235"/>
    </row>
    <row r="9" spans="1:7" ht="26.4" customHeight="1">
      <c r="A9" s="224"/>
      <c r="B9" s="225" t="s">
        <v>933</v>
      </c>
      <c r="C9" s="226"/>
      <c r="D9" s="226"/>
      <c r="E9" s="226"/>
      <c r="F9" s="235"/>
    </row>
    <row r="10" spans="1:7" ht="26.4" customHeight="1">
      <c r="A10" s="224"/>
      <c r="B10" s="226"/>
      <c r="C10" s="226"/>
      <c r="D10" s="226"/>
      <c r="E10" s="226"/>
      <c r="F10" s="235"/>
    </row>
    <row r="11" spans="1:7" ht="26.4" customHeight="1">
      <c r="A11" s="224"/>
      <c r="B11" s="227" t="s">
        <v>314</v>
      </c>
      <c r="C11" s="226"/>
      <c r="D11" s="226"/>
      <c r="E11" s="226"/>
      <c r="F11" s="235"/>
    </row>
    <row r="12" spans="1:7" ht="26.4" customHeight="1">
      <c r="A12" s="224"/>
      <c r="B12" s="226"/>
      <c r="C12" s="226"/>
      <c r="D12" s="226"/>
      <c r="E12" s="226"/>
      <c r="F12" s="235"/>
    </row>
    <row r="13" spans="1:7" ht="26.4" customHeight="1">
      <c r="A13" s="228" t="s">
        <v>9</v>
      </c>
      <c r="B13" s="229" t="s">
        <v>379</v>
      </c>
      <c r="C13" s="226"/>
      <c r="D13" s="226"/>
      <c r="E13" s="226"/>
      <c r="F13" s="236">
        <f>F64</f>
        <v>418563.87187500007</v>
      </c>
    </row>
    <row r="14" spans="1:7" ht="26.4" customHeight="1">
      <c r="A14" s="224"/>
      <c r="B14" s="226"/>
      <c r="C14" s="226"/>
      <c r="D14" s="226"/>
      <c r="E14" s="226"/>
      <c r="F14" s="235"/>
    </row>
    <row r="15" spans="1:7" ht="26.4" customHeight="1">
      <c r="A15" s="228" t="s">
        <v>11</v>
      </c>
      <c r="B15" s="229" t="s">
        <v>380</v>
      </c>
      <c r="C15" s="226"/>
      <c r="D15" s="226"/>
      <c r="E15" s="226"/>
      <c r="F15" s="236">
        <f>F75</f>
        <v>22569.600000000002</v>
      </c>
    </row>
    <row r="16" spans="1:7" ht="26.4" customHeight="1">
      <c r="A16" s="224"/>
      <c r="B16" s="226"/>
      <c r="C16" s="226"/>
      <c r="D16" s="226"/>
      <c r="E16" s="226"/>
      <c r="F16" s="235"/>
    </row>
    <row r="17" spans="1:7" ht="26.4" customHeight="1">
      <c r="A17" s="228" t="s">
        <v>13</v>
      </c>
      <c r="B17" s="229" t="s">
        <v>809</v>
      </c>
      <c r="C17" s="226"/>
      <c r="D17" s="226"/>
      <c r="E17" s="226"/>
      <c r="F17" s="236">
        <f>F90</f>
        <v>90897.200000000012</v>
      </c>
    </row>
    <row r="18" spans="1:7" ht="26.4" customHeight="1">
      <c r="A18" s="109"/>
      <c r="B18" s="136"/>
      <c r="C18" s="136"/>
      <c r="D18" s="136"/>
      <c r="E18" s="136"/>
      <c r="F18" s="117"/>
    </row>
    <row r="19" spans="1:7" ht="26.4" customHeight="1" thickBot="1">
      <c r="A19" s="141"/>
      <c r="B19" s="154" t="str">
        <f>B9</f>
        <v xml:space="preserve"> TWELFTH LEVEL - ROOF LEVEL &amp; TOP OF LIFT CORE</v>
      </c>
      <c r="C19" s="142"/>
      <c r="D19" s="142"/>
      <c r="E19" s="143" t="s">
        <v>8</v>
      </c>
      <c r="F19" s="116">
        <f>SUM(F13:F18)</f>
        <v>532030.671875</v>
      </c>
    </row>
    <row r="20" spans="1:7" ht="26.4" customHeight="1" thickTop="1" thickBot="1">
      <c r="A20" s="150"/>
      <c r="B20" s="151" t="s">
        <v>318</v>
      </c>
      <c r="C20" s="152"/>
      <c r="D20" s="152"/>
      <c r="E20" s="152"/>
      <c r="F20" s="153"/>
    </row>
    <row r="21" spans="1:7" ht="26.4" customHeight="1" thickTop="1">
      <c r="A21" s="109"/>
      <c r="B21" s="136"/>
      <c r="C21" s="136"/>
      <c r="D21" s="136"/>
      <c r="E21" s="136"/>
      <c r="F21" s="117"/>
    </row>
    <row r="22" spans="1:7" ht="26.4" customHeight="1">
      <c r="A22" s="224"/>
      <c r="B22" s="226"/>
      <c r="C22" s="226"/>
      <c r="D22" s="226"/>
      <c r="E22" s="226"/>
      <c r="F22" s="235"/>
    </row>
    <row r="23" spans="1:7" ht="26.4" customHeight="1">
      <c r="A23" s="224"/>
      <c r="B23" s="225" t="s">
        <v>934</v>
      </c>
      <c r="C23" s="226"/>
      <c r="D23" s="226"/>
      <c r="E23" s="226"/>
      <c r="F23" s="235"/>
    </row>
    <row r="24" spans="1:7" ht="26.4" customHeight="1">
      <c r="A24" s="224"/>
      <c r="B24" s="226"/>
      <c r="C24" s="226"/>
      <c r="D24" s="226"/>
      <c r="E24" s="226"/>
      <c r="F24" s="235"/>
    </row>
    <row r="25" spans="1:7" ht="26.4" customHeight="1">
      <c r="A25" s="224"/>
      <c r="B25" s="225" t="s">
        <v>379</v>
      </c>
      <c r="C25" s="226"/>
      <c r="D25" s="226"/>
      <c r="E25" s="226"/>
      <c r="F25" s="235"/>
    </row>
    <row r="26" spans="1:7" ht="26.4" customHeight="1">
      <c r="A26" s="224"/>
      <c r="B26" s="226"/>
      <c r="C26" s="226"/>
      <c r="D26" s="226"/>
      <c r="E26" s="226"/>
      <c r="F26" s="235"/>
    </row>
    <row r="27" spans="1:7" ht="26.4" customHeight="1">
      <c r="A27" s="224"/>
      <c r="B27" s="230" t="s">
        <v>344</v>
      </c>
      <c r="C27" s="226"/>
      <c r="D27" s="226"/>
      <c r="E27" s="226"/>
      <c r="F27" s="235"/>
    </row>
    <row r="28" spans="1:7" ht="26.4" customHeight="1">
      <c r="A28" s="228" t="s">
        <v>9</v>
      </c>
      <c r="B28" s="231" t="s">
        <v>935</v>
      </c>
      <c r="C28" s="232">
        <f>TAKEOFF!$H$6269</f>
        <v>28.89</v>
      </c>
      <c r="D28" s="233" t="s">
        <v>327</v>
      </c>
      <c r="E28" s="234">
        <f>RATES!$D$22</f>
        <v>2310</v>
      </c>
      <c r="F28" s="236">
        <f>C28*E28</f>
        <v>66735.899999999994</v>
      </c>
      <c r="G28" s="118" t="s">
        <v>936</v>
      </c>
    </row>
    <row r="29" spans="1:7" ht="26.4" customHeight="1">
      <c r="A29" s="224"/>
      <c r="B29" s="226"/>
      <c r="C29" s="226"/>
      <c r="D29" s="226"/>
      <c r="E29" s="226"/>
      <c r="F29" s="235"/>
    </row>
    <row r="30" spans="1:7" ht="26.4" customHeight="1">
      <c r="A30" s="228" t="s">
        <v>11</v>
      </c>
      <c r="B30" s="231" t="s">
        <v>388</v>
      </c>
      <c r="C30" s="232">
        <f>TAKEOFF!$H$6273</f>
        <v>5.5724999999999998</v>
      </c>
      <c r="D30" s="233" t="s">
        <v>327</v>
      </c>
      <c r="E30" s="234">
        <f>RATES!$D$23</f>
        <v>2310</v>
      </c>
      <c r="F30" s="236">
        <f>C30*E30</f>
        <v>12872.475</v>
      </c>
      <c r="G30" s="118" t="s">
        <v>937</v>
      </c>
    </row>
    <row r="31" spans="1:7" ht="26.4" customHeight="1">
      <c r="A31" s="224"/>
      <c r="B31" s="226"/>
      <c r="C31" s="226"/>
      <c r="D31" s="226"/>
      <c r="E31" s="226"/>
      <c r="F31" s="235"/>
    </row>
    <row r="32" spans="1:7" ht="26.4" customHeight="1">
      <c r="A32" s="228" t="s">
        <v>13</v>
      </c>
      <c r="B32" s="231" t="s">
        <v>394</v>
      </c>
      <c r="C32" s="232">
        <f>TAKEOFF!$H$6276</f>
        <v>22.0978125</v>
      </c>
      <c r="D32" s="233" t="s">
        <v>327</v>
      </c>
      <c r="E32" s="234">
        <f>RATES!$D$20</f>
        <v>2310</v>
      </c>
      <c r="F32" s="236">
        <f>C32*E32</f>
        <v>51045.946875000001</v>
      </c>
      <c r="G32" s="118" t="s">
        <v>938</v>
      </c>
    </row>
    <row r="33" spans="1:7" ht="26.4" customHeight="1">
      <c r="A33" s="224"/>
      <c r="B33" s="226"/>
      <c r="C33" s="226"/>
      <c r="D33" s="226"/>
      <c r="E33" s="226"/>
      <c r="F33" s="235"/>
    </row>
    <row r="34" spans="1:7" ht="26.4" customHeight="1">
      <c r="A34" s="228" t="s">
        <v>15</v>
      </c>
      <c r="B34" s="231" t="s">
        <v>893</v>
      </c>
      <c r="C34" s="232">
        <f>TAKEOFF!$H$6279</f>
        <v>5.5034999999999998</v>
      </c>
      <c r="D34" s="233" t="s">
        <v>327</v>
      </c>
      <c r="E34" s="234">
        <f>RATES!$D$26</f>
        <v>1925.0000000000002</v>
      </c>
      <c r="F34" s="236">
        <f>C34*E34</f>
        <v>10594.237500000001</v>
      </c>
      <c r="G34" s="118" t="s">
        <v>939</v>
      </c>
    </row>
    <row r="35" spans="1:7" ht="26.4" customHeight="1">
      <c r="A35" s="224"/>
      <c r="B35" s="226"/>
      <c r="C35" s="226"/>
      <c r="D35" s="226"/>
      <c r="E35" s="226"/>
      <c r="F35" s="235"/>
    </row>
    <row r="36" spans="1:7" ht="26.4" customHeight="1">
      <c r="A36" s="224"/>
      <c r="B36" s="230" t="s">
        <v>400</v>
      </c>
      <c r="C36" s="226"/>
      <c r="D36" s="226"/>
      <c r="E36" s="226"/>
      <c r="F36" s="235"/>
    </row>
    <row r="37" spans="1:7" ht="26.4" customHeight="1">
      <c r="A37" s="228" t="s">
        <v>17</v>
      </c>
      <c r="B37" s="231" t="s">
        <v>401</v>
      </c>
      <c r="C37" s="232">
        <f>TAKEOFF!$H$6284</f>
        <v>192.60000000000002</v>
      </c>
      <c r="D37" s="233" t="s">
        <v>322</v>
      </c>
      <c r="E37" s="234">
        <f>RATES!$D$38</f>
        <v>165</v>
      </c>
      <c r="F37" s="236">
        <f>C37*E37</f>
        <v>31779.000000000004</v>
      </c>
      <c r="G37" s="118" t="s">
        <v>940</v>
      </c>
    </row>
    <row r="38" spans="1:7" ht="26.4" customHeight="1">
      <c r="A38" s="224"/>
      <c r="B38" s="226"/>
      <c r="C38" s="226"/>
      <c r="D38" s="226"/>
      <c r="E38" s="226"/>
      <c r="F38" s="235"/>
    </row>
    <row r="39" spans="1:7" ht="26.4" customHeight="1">
      <c r="A39" s="228" t="s">
        <v>19</v>
      </c>
      <c r="B39" s="231" t="s">
        <v>403</v>
      </c>
      <c r="C39" s="232">
        <f>TAKEOFF!$H$6288</f>
        <v>176.60000000000002</v>
      </c>
      <c r="D39" s="233" t="s">
        <v>369</v>
      </c>
      <c r="E39" s="234">
        <f>RATES!$D$40</f>
        <v>65</v>
      </c>
      <c r="F39" s="236">
        <f>C39*E39</f>
        <v>11479.000000000002</v>
      </c>
      <c r="G39" s="118" t="s">
        <v>941</v>
      </c>
    </row>
    <row r="40" spans="1:7" ht="26.4" customHeight="1">
      <c r="A40" s="224"/>
      <c r="B40" s="226"/>
      <c r="C40" s="226"/>
      <c r="D40" s="226"/>
      <c r="E40" s="226"/>
      <c r="F40" s="235"/>
    </row>
    <row r="41" spans="1:7" ht="26.4" customHeight="1">
      <c r="A41" s="228" t="s">
        <v>21</v>
      </c>
      <c r="B41" s="231" t="s">
        <v>405</v>
      </c>
      <c r="C41" s="232">
        <f>TAKEOFF!$H$6292</f>
        <v>63.309999999999995</v>
      </c>
      <c r="D41" s="233" t="s">
        <v>322</v>
      </c>
      <c r="E41" s="234">
        <f>RATES!$D$39</f>
        <v>165</v>
      </c>
      <c r="F41" s="236">
        <f>C41*E41</f>
        <v>10446.15</v>
      </c>
      <c r="G41" s="118" t="s">
        <v>942</v>
      </c>
    </row>
    <row r="42" spans="1:7" ht="26.4" customHeight="1">
      <c r="A42" s="224"/>
      <c r="B42" s="226"/>
      <c r="C42" s="226"/>
      <c r="D42" s="226"/>
      <c r="E42" s="226"/>
      <c r="F42" s="235"/>
    </row>
    <row r="43" spans="1:7" ht="26.4" customHeight="1">
      <c r="A43" s="228" t="s">
        <v>23</v>
      </c>
      <c r="B43" s="231" t="s">
        <v>408</v>
      </c>
      <c r="C43" s="232">
        <f>TAKEOFF!$H$6295</f>
        <v>176.7825</v>
      </c>
      <c r="D43" s="233" t="s">
        <v>322</v>
      </c>
      <c r="E43" s="234">
        <f>RATES!$D$36</f>
        <v>165</v>
      </c>
      <c r="F43" s="236">
        <f>C43*E43</f>
        <v>29169.112499999999</v>
      </c>
      <c r="G43" s="118" t="s">
        <v>943</v>
      </c>
    </row>
    <row r="44" spans="1:7" ht="26.4" customHeight="1">
      <c r="A44" s="224"/>
      <c r="B44" s="226"/>
      <c r="C44" s="226"/>
      <c r="D44" s="226"/>
      <c r="E44" s="226"/>
      <c r="F44" s="235"/>
    </row>
    <row r="45" spans="1:7" ht="26.4" customHeight="1">
      <c r="A45" s="228" t="s">
        <v>25</v>
      </c>
      <c r="B45" s="231" t="s">
        <v>412</v>
      </c>
      <c r="C45" s="232">
        <f>TAKEOFF!$H$6298</f>
        <v>36.69</v>
      </c>
      <c r="D45" s="233" t="s">
        <v>322</v>
      </c>
      <c r="E45" s="234">
        <f>RATES!$D$43</f>
        <v>165</v>
      </c>
      <c r="F45" s="236">
        <f>C45*E45</f>
        <v>6053.8499999999995</v>
      </c>
      <c r="G45" s="118" t="s">
        <v>944</v>
      </c>
    </row>
    <row r="46" spans="1:7" ht="26.4" customHeight="1">
      <c r="A46" s="224"/>
      <c r="B46" s="226"/>
      <c r="C46" s="226"/>
      <c r="D46" s="226"/>
      <c r="E46" s="226"/>
      <c r="F46" s="235"/>
    </row>
    <row r="47" spans="1:7" ht="26.4" customHeight="1">
      <c r="A47" s="224"/>
      <c r="B47" s="230" t="s">
        <v>413</v>
      </c>
      <c r="C47" s="226"/>
      <c r="D47" s="226"/>
      <c r="E47" s="226"/>
      <c r="F47" s="235"/>
    </row>
    <row r="48" spans="1:7" ht="26.4" customHeight="1">
      <c r="A48" s="228" t="s">
        <v>27</v>
      </c>
      <c r="B48" s="231" t="s">
        <v>422</v>
      </c>
      <c r="C48" s="232">
        <f>TAKEOFF!$H$6302</f>
        <v>0.69399999999999995</v>
      </c>
      <c r="D48" s="233" t="s">
        <v>353</v>
      </c>
      <c r="E48" s="234">
        <f>RATES!$D$29</f>
        <v>14300.000000000002</v>
      </c>
      <c r="F48" s="236">
        <f>C48*E48</f>
        <v>9924.2000000000007</v>
      </c>
      <c r="G48" s="118" t="s">
        <v>945</v>
      </c>
    </row>
    <row r="49" spans="1:7" ht="26.4" customHeight="1">
      <c r="A49" s="224"/>
      <c r="B49" s="226"/>
      <c r="C49" s="226"/>
      <c r="D49" s="226"/>
      <c r="E49" s="226"/>
      <c r="F49" s="235"/>
    </row>
    <row r="50" spans="1:7" ht="26.4" customHeight="1">
      <c r="A50" s="228" t="s">
        <v>29</v>
      </c>
      <c r="B50" s="231" t="s">
        <v>425</v>
      </c>
      <c r="C50" s="232">
        <f>TAKEOFF!$H$6305</f>
        <v>0.96</v>
      </c>
      <c r="D50" s="233" t="s">
        <v>353</v>
      </c>
      <c r="E50" s="234">
        <f>RATES!$D$31</f>
        <v>14300.000000000002</v>
      </c>
      <c r="F50" s="236">
        <f>C50*E50</f>
        <v>13728.000000000002</v>
      </c>
      <c r="G50" s="118" t="s">
        <v>946</v>
      </c>
    </row>
    <row r="51" spans="1:7" ht="26.4" customHeight="1">
      <c r="A51" s="224"/>
      <c r="B51" s="226"/>
      <c r="C51" s="226"/>
      <c r="D51" s="226"/>
      <c r="E51" s="226"/>
      <c r="F51" s="235"/>
    </row>
    <row r="52" spans="1:7" ht="26.4" customHeight="1">
      <c r="A52" s="228" t="s">
        <v>31</v>
      </c>
      <c r="B52" s="231" t="s">
        <v>428</v>
      </c>
      <c r="C52" s="232">
        <f>TAKEOFF!$H$6308</f>
        <v>1.01</v>
      </c>
      <c r="D52" s="233" t="s">
        <v>353</v>
      </c>
      <c r="E52" s="234">
        <f>RATES!$D$32</f>
        <v>14300.000000000002</v>
      </c>
      <c r="F52" s="236">
        <f>C52*E52</f>
        <v>14443.000000000002</v>
      </c>
      <c r="G52" s="118" t="s">
        <v>947</v>
      </c>
    </row>
    <row r="53" spans="1:7" ht="26.4" customHeight="1">
      <c r="A53" s="224"/>
      <c r="B53" s="226"/>
      <c r="C53" s="226"/>
      <c r="D53" s="226"/>
      <c r="E53" s="226"/>
      <c r="F53" s="235"/>
    </row>
    <row r="54" spans="1:7" ht="26.4" customHeight="1">
      <c r="A54" s="228" t="s">
        <v>33</v>
      </c>
      <c r="B54" s="231" t="s">
        <v>431</v>
      </c>
      <c r="C54" s="232">
        <f>TAKEOFF!$H$6311</f>
        <v>0.32300000000000001</v>
      </c>
      <c r="D54" s="233" t="s">
        <v>353</v>
      </c>
      <c r="E54" s="234">
        <f>RATES!$D$33</f>
        <v>14300.000000000002</v>
      </c>
      <c r="F54" s="236">
        <f>C54*E54</f>
        <v>4618.9000000000005</v>
      </c>
      <c r="G54" s="118" t="s">
        <v>948</v>
      </c>
    </row>
    <row r="55" spans="1:7" ht="26.4" customHeight="1">
      <c r="A55" s="224"/>
      <c r="B55" s="226"/>
      <c r="C55" s="226"/>
      <c r="D55" s="226"/>
      <c r="E55" s="226"/>
      <c r="F55" s="235"/>
    </row>
    <row r="56" spans="1:7" ht="26.4" customHeight="1">
      <c r="A56" s="228" t="s">
        <v>35</v>
      </c>
      <c r="B56" s="231" t="s">
        <v>434</v>
      </c>
      <c r="C56" s="232">
        <f>TAKEOFF!$H$6314</f>
        <v>0.80900000000000005</v>
      </c>
      <c r="D56" s="233" t="s">
        <v>353</v>
      </c>
      <c r="E56" s="234">
        <f>RATES!$D$29</f>
        <v>14300.000000000002</v>
      </c>
      <c r="F56" s="236">
        <f>C56*E56</f>
        <v>11568.700000000003</v>
      </c>
      <c r="G56" s="118" t="s">
        <v>949</v>
      </c>
    </row>
    <row r="57" spans="1:7" ht="26.4" customHeight="1">
      <c r="A57" s="224"/>
      <c r="B57" s="226"/>
      <c r="C57" s="226"/>
      <c r="D57" s="226"/>
      <c r="E57" s="226"/>
      <c r="F57" s="235"/>
    </row>
    <row r="58" spans="1:7" ht="26.4" customHeight="1">
      <c r="A58" s="228" t="s">
        <v>37</v>
      </c>
      <c r="B58" s="231" t="s">
        <v>437</v>
      </c>
      <c r="C58" s="232">
        <f>TAKEOFF!$H$6317</f>
        <v>0.39</v>
      </c>
      <c r="D58" s="233" t="s">
        <v>353</v>
      </c>
      <c r="E58" s="234">
        <f>RATES!$D$30</f>
        <v>14300.000000000002</v>
      </c>
      <c r="F58" s="236">
        <f>C58*E58</f>
        <v>5577.0000000000009</v>
      </c>
      <c r="G58" s="118" t="s">
        <v>950</v>
      </c>
    </row>
    <row r="59" spans="1:7" ht="26.4" customHeight="1">
      <c r="A59" s="224"/>
      <c r="B59" s="226"/>
      <c r="C59" s="226"/>
      <c r="D59" s="226"/>
      <c r="E59" s="226"/>
      <c r="F59" s="235"/>
    </row>
    <row r="60" spans="1:7" ht="26.4" customHeight="1">
      <c r="A60" s="228" t="s">
        <v>39</v>
      </c>
      <c r="B60" s="231" t="s">
        <v>705</v>
      </c>
      <c r="C60" s="232">
        <f>TAKEOFF!$H$6320</f>
        <v>4.0490000000000004</v>
      </c>
      <c r="D60" s="233" t="s">
        <v>353</v>
      </c>
      <c r="E60" s="234">
        <f>RATES!$D$32</f>
        <v>14300.000000000002</v>
      </c>
      <c r="F60" s="236">
        <f>C60*E60</f>
        <v>57900.700000000012</v>
      </c>
      <c r="G60" s="118" t="s">
        <v>951</v>
      </c>
    </row>
    <row r="61" spans="1:7" ht="26.4" customHeight="1">
      <c r="A61" s="224"/>
      <c r="B61" s="226"/>
      <c r="C61" s="226"/>
      <c r="D61" s="226"/>
      <c r="E61" s="226"/>
      <c r="F61" s="235"/>
    </row>
    <row r="62" spans="1:7" ht="26.4" customHeight="1">
      <c r="A62" s="228" t="s">
        <v>418</v>
      </c>
      <c r="B62" s="231" t="s">
        <v>446</v>
      </c>
      <c r="C62" s="232">
        <f>TAKEOFF!$H$6324</f>
        <v>4.9390000000000001</v>
      </c>
      <c r="D62" s="233" t="s">
        <v>353</v>
      </c>
      <c r="E62" s="234">
        <f>RATES!$D$30</f>
        <v>14300.000000000002</v>
      </c>
      <c r="F62" s="236">
        <f>C62*E62</f>
        <v>70627.700000000012</v>
      </c>
      <c r="G62" s="118" t="s">
        <v>952</v>
      </c>
    </row>
    <row r="63" spans="1:7" ht="26.4" customHeight="1">
      <c r="A63" s="109"/>
      <c r="B63" s="136"/>
      <c r="C63" s="136"/>
      <c r="D63" s="136"/>
      <c r="E63" s="136"/>
      <c r="F63" s="117"/>
    </row>
    <row r="64" spans="1:7" ht="26.4" customHeight="1" thickBot="1">
      <c r="A64" s="141"/>
      <c r="B64" s="154" t="str">
        <f>B25</f>
        <v>ELEMENT NO. 1: IN SITU CONCRETE/LARGE PRECAST CONCRETE</v>
      </c>
      <c r="C64" s="142"/>
      <c r="D64" s="142"/>
      <c r="E64" s="143"/>
      <c r="F64" s="116">
        <f>SUM(F27:F63)</f>
        <v>418563.87187500007</v>
      </c>
    </row>
    <row r="65" spans="1:7" ht="26.4" customHeight="1" thickTop="1" thickBot="1">
      <c r="A65" s="150"/>
      <c r="B65" s="151" t="s">
        <v>339</v>
      </c>
      <c r="C65" s="152"/>
      <c r="D65" s="152"/>
      <c r="E65" s="152"/>
      <c r="F65" s="153"/>
    </row>
    <row r="66" spans="1:7" ht="26.4" customHeight="1" thickTop="1">
      <c r="A66" s="109"/>
      <c r="B66" s="136"/>
      <c r="C66" s="136"/>
      <c r="D66" s="136"/>
      <c r="E66" s="136"/>
      <c r="F66" s="117"/>
    </row>
    <row r="67" spans="1:7" ht="26.4" customHeight="1">
      <c r="A67" s="224"/>
      <c r="B67" s="226"/>
      <c r="C67" s="226"/>
      <c r="D67" s="226"/>
      <c r="E67" s="226"/>
      <c r="F67" s="235"/>
    </row>
    <row r="68" spans="1:7" ht="26.4" customHeight="1">
      <c r="A68" s="224"/>
      <c r="B68" s="225" t="s">
        <v>380</v>
      </c>
      <c r="C68" s="226"/>
      <c r="D68" s="226"/>
      <c r="E68" s="226"/>
      <c r="F68" s="235"/>
    </row>
    <row r="69" spans="1:7" ht="26.4" customHeight="1">
      <c r="A69" s="224"/>
      <c r="B69" s="226"/>
      <c r="C69" s="226"/>
      <c r="D69" s="226"/>
      <c r="E69" s="226"/>
      <c r="F69" s="235"/>
    </row>
    <row r="70" spans="1:7" ht="26.4" customHeight="1">
      <c r="A70" s="224"/>
      <c r="B70" s="230" t="s">
        <v>450</v>
      </c>
      <c r="C70" s="226"/>
      <c r="D70" s="226"/>
      <c r="E70" s="226"/>
      <c r="F70" s="235"/>
    </row>
    <row r="71" spans="1:7" ht="26.4" customHeight="1">
      <c r="A71" s="228" t="s">
        <v>9</v>
      </c>
      <c r="B71" s="231" t="s">
        <v>451</v>
      </c>
      <c r="C71" s="232">
        <f>TAKEOFF!$H$6329</f>
        <v>7.8</v>
      </c>
      <c r="D71" s="233" t="s">
        <v>322</v>
      </c>
      <c r="E71" s="234">
        <f>RATES!$D$46</f>
        <v>215</v>
      </c>
      <c r="F71" s="236">
        <f>C71*E71</f>
        <v>1677</v>
      </c>
      <c r="G71" s="118" t="s">
        <v>953</v>
      </c>
    </row>
    <row r="72" spans="1:7" ht="26.4" customHeight="1">
      <c r="A72" s="224"/>
      <c r="B72" s="226"/>
      <c r="C72" s="226"/>
      <c r="D72" s="226"/>
      <c r="E72" s="226"/>
      <c r="F72" s="235"/>
    </row>
    <row r="73" spans="1:7" ht="26.4" customHeight="1">
      <c r="A73" s="228" t="s">
        <v>11</v>
      </c>
      <c r="B73" s="231" t="s">
        <v>453</v>
      </c>
      <c r="C73" s="232">
        <f>TAKEOFF!$H$6332</f>
        <v>78.84</v>
      </c>
      <c r="D73" s="233" t="s">
        <v>322</v>
      </c>
      <c r="E73" s="234">
        <f>RATES!$D$47</f>
        <v>265</v>
      </c>
      <c r="F73" s="236">
        <f>C73*E73</f>
        <v>20892.600000000002</v>
      </c>
      <c r="G73" s="118" t="s">
        <v>954</v>
      </c>
    </row>
    <row r="74" spans="1:7" ht="26.4" customHeight="1">
      <c r="A74" s="109"/>
      <c r="B74" s="136"/>
      <c r="C74" s="136"/>
      <c r="D74" s="136"/>
      <c r="E74" s="136"/>
      <c r="F74" s="117"/>
    </row>
    <row r="75" spans="1:7" ht="26.4" customHeight="1" thickBot="1">
      <c r="A75" s="141"/>
      <c r="B75" s="154" t="str">
        <f>B68</f>
        <v>ELEMENT NO. 2: MASONRY</v>
      </c>
      <c r="C75" s="142"/>
      <c r="D75" s="142"/>
      <c r="E75" s="143"/>
      <c r="F75" s="116">
        <f>SUM(F70:F74)</f>
        <v>22569.600000000002</v>
      </c>
    </row>
    <row r="76" spans="1:7" ht="26.4" customHeight="1" thickTop="1" thickBot="1">
      <c r="A76" s="150"/>
      <c r="B76" s="151" t="s">
        <v>339</v>
      </c>
      <c r="C76" s="152"/>
      <c r="D76" s="152"/>
      <c r="E76" s="152"/>
      <c r="F76" s="153"/>
    </row>
    <row r="77" spans="1:7" ht="26.4" customHeight="1" thickTop="1">
      <c r="A77" s="109"/>
      <c r="B77" s="136"/>
      <c r="C77" s="136"/>
      <c r="D77" s="136"/>
      <c r="E77" s="136"/>
      <c r="F77" s="117"/>
    </row>
    <row r="78" spans="1:7" ht="26.4" customHeight="1">
      <c r="A78" s="224"/>
      <c r="B78" s="226"/>
      <c r="C78" s="226"/>
      <c r="D78" s="226"/>
      <c r="E78" s="226"/>
      <c r="F78" s="235"/>
    </row>
    <row r="79" spans="1:7" ht="26.4" customHeight="1">
      <c r="A79" s="224"/>
      <c r="B79" s="225" t="s">
        <v>809</v>
      </c>
      <c r="C79" s="226"/>
      <c r="D79" s="226"/>
      <c r="E79" s="226"/>
      <c r="F79" s="235"/>
    </row>
    <row r="80" spans="1:7" ht="26.4" customHeight="1">
      <c r="A80" s="224"/>
      <c r="B80" s="226"/>
      <c r="C80" s="226"/>
      <c r="D80" s="226"/>
      <c r="E80" s="226"/>
      <c r="F80" s="235"/>
    </row>
    <row r="81" spans="1:7" ht="26.4" customHeight="1">
      <c r="A81" s="224"/>
      <c r="B81" s="230" t="s">
        <v>829</v>
      </c>
      <c r="C81" s="226"/>
      <c r="D81" s="226"/>
      <c r="E81" s="226"/>
      <c r="F81" s="235"/>
    </row>
    <row r="82" spans="1:7" ht="26.4" customHeight="1">
      <c r="A82" s="228" t="s">
        <v>9</v>
      </c>
      <c r="B82" s="231" t="s">
        <v>830</v>
      </c>
      <c r="C82" s="232">
        <f>TAKEOFF!$H$6338</f>
        <v>192.60000000000002</v>
      </c>
      <c r="D82" s="233" t="s">
        <v>322</v>
      </c>
      <c r="E82" s="234">
        <f>RATES!$D$68</f>
        <v>165</v>
      </c>
      <c r="F82" s="236">
        <f>C82*E82</f>
        <v>31779.000000000004</v>
      </c>
      <c r="G82" s="118" t="s">
        <v>940</v>
      </c>
    </row>
    <row r="83" spans="1:7" ht="26.4" customHeight="1">
      <c r="A83" s="224"/>
      <c r="B83" s="226"/>
      <c r="C83" s="226"/>
      <c r="D83" s="226"/>
      <c r="E83" s="226"/>
      <c r="F83" s="235"/>
    </row>
    <row r="84" spans="1:7" ht="26.4" customHeight="1">
      <c r="A84" s="228" t="s">
        <v>11</v>
      </c>
      <c r="B84" s="231" t="s">
        <v>832</v>
      </c>
      <c r="C84" s="232">
        <f>TAKEOFF!$H$6342</f>
        <v>192.60000000000002</v>
      </c>
      <c r="D84" s="233" t="s">
        <v>322</v>
      </c>
      <c r="E84" s="234">
        <f>RATES!$D$69</f>
        <v>72</v>
      </c>
      <c r="F84" s="236">
        <f>C84*E84</f>
        <v>13867.2</v>
      </c>
      <c r="G84" s="118" t="s">
        <v>940</v>
      </c>
    </row>
    <row r="85" spans="1:7" ht="26.4" customHeight="1">
      <c r="A85" s="224"/>
      <c r="B85" s="226"/>
      <c r="C85" s="226"/>
      <c r="D85" s="226"/>
      <c r="E85" s="226"/>
      <c r="F85" s="235"/>
    </row>
    <row r="86" spans="1:7" ht="26.4" customHeight="1">
      <c r="A86" s="228" t="s">
        <v>13</v>
      </c>
      <c r="B86" s="231" t="s">
        <v>915</v>
      </c>
      <c r="C86" s="232">
        <f>TAKEOFF!$H$6346</f>
        <v>122.3</v>
      </c>
      <c r="D86" s="233" t="s">
        <v>369</v>
      </c>
      <c r="E86" s="234">
        <f>RATES!$D$70</f>
        <v>185</v>
      </c>
      <c r="F86" s="236">
        <f>C86*E86</f>
        <v>22625.5</v>
      </c>
      <c r="G86" s="118" t="s">
        <v>955</v>
      </c>
    </row>
    <row r="87" spans="1:7" ht="26.4" customHeight="1">
      <c r="A87" s="224"/>
      <c r="B87" s="226"/>
      <c r="C87" s="226"/>
      <c r="D87" s="226"/>
      <c r="E87" s="226"/>
      <c r="F87" s="235"/>
    </row>
    <row r="88" spans="1:7" ht="26.4" customHeight="1">
      <c r="A88" s="228" t="s">
        <v>15</v>
      </c>
      <c r="B88" s="231" t="s">
        <v>917</v>
      </c>
      <c r="C88" s="232">
        <f>TAKEOFF!$H$6350</f>
        <v>122.3</v>
      </c>
      <c r="D88" s="233" t="s">
        <v>369</v>
      </c>
      <c r="E88" s="234">
        <f>RATES!$D$71</f>
        <v>185</v>
      </c>
      <c r="F88" s="236">
        <f>C88*E88</f>
        <v>22625.5</v>
      </c>
      <c r="G88" s="118" t="s">
        <v>955</v>
      </c>
    </row>
    <row r="89" spans="1:7" ht="26.4" customHeight="1">
      <c r="A89" s="109"/>
      <c r="B89" s="136"/>
      <c r="C89" s="136"/>
      <c r="D89" s="136"/>
      <c r="E89" s="136"/>
      <c r="F89" s="117"/>
    </row>
    <row r="90" spans="1:7" ht="26.4" customHeight="1" thickBot="1">
      <c r="A90" s="141"/>
      <c r="B90" s="154" t="str">
        <f>B79</f>
        <v>ELEMENT NO. 3: WATERPROOFING</v>
      </c>
      <c r="C90" s="142"/>
      <c r="D90" s="142"/>
      <c r="E90" s="143"/>
      <c r="F90" s="116">
        <f>SUM(F81:F89)</f>
        <v>90897.200000000012</v>
      </c>
    </row>
    <row r="91" spans="1:7" ht="26.4" customHeight="1" thickTop="1" thickBot="1">
      <c r="A91" s="141"/>
      <c r="B91" s="154" t="s">
        <v>339</v>
      </c>
      <c r="C91" s="142"/>
      <c r="D91" s="142"/>
      <c r="E91" s="143"/>
      <c r="F91" s="116"/>
    </row>
    <row r="92" spans="1:7" ht="15" customHeight="1" thickTop="1"/>
    <row r="94" spans="1:7" ht="31.2">
      <c r="B94" s="119" t="s">
        <v>534</v>
      </c>
    </row>
  </sheetData>
  <pageMargins left="0.75" right="0.75" top="1" bottom="1" header="0.5" footer="0.5"/>
  <pageSetup scale="42" fitToHeight="0" orientation="portrait" r:id="rId1"/>
  <rowBreaks count="2" manualBreakCount="2">
    <brk id="20" max="5" man="1"/>
    <brk id="76" max="5"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49"/>
  <sheetViews>
    <sheetView view="pageBreakPreview" topLeftCell="A29" zoomScale="60" zoomScaleNormal="100" workbookViewId="0">
      <selection activeCell="G41" sqref="G41"/>
    </sheetView>
  </sheetViews>
  <sheetFormatPr defaultRowHeight="14.4"/>
  <cols>
    <col min="1" max="1" width="13.33203125" style="9" customWidth="1"/>
    <col min="2" max="2" width="120" style="9" customWidth="1"/>
    <col min="3" max="3" width="18" style="9" customWidth="1"/>
    <col min="4" max="4" width="12" style="9" customWidth="1"/>
    <col min="5" max="5" width="21.88671875" style="9" customWidth="1"/>
    <col min="6" max="6" width="26" style="9" customWidth="1"/>
    <col min="7" max="7" width="70" style="9" customWidth="1"/>
  </cols>
  <sheetData>
    <row r="1" spans="1:7" ht="23.4">
      <c r="A1" s="113" t="str">
        <f>'PRELIMS &amp; GEN. ITEMS'!A1</f>
        <v>PROJECT: BLOCK N REDEVELOPMENT</v>
      </c>
    </row>
    <row r="2" spans="1:7" ht="23.4">
      <c r="A2" s="113" t="str">
        <f>'PRELIMS &amp; GEN. ITEMS'!A2</f>
        <v>LOCATION: KANESHIE</v>
      </c>
    </row>
    <row r="3" spans="1:7" ht="23.4">
      <c r="A3" s="113" t="str">
        <f>'PRELIMS &amp; GEN. ITEMS'!A3</f>
        <v>CLIENT: STATE HOUSING LIMITED</v>
      </c>
    </row>
    <row r="4" spans="1:7" ht="24" thickBot="1">
      <c r="A4" s="113" t="str">
        <f>'PRELIMS &amp; GEN. ITEMS'!A4</f>
        <v>DATE:9/30/2026</v>
      </c>
    </row>
    <row r="5" spans="1:7" ht="28.8" customHeight="1" thickBot="1">
      <c r="A5" s="133" t="s">
        <v>6</v>
      </c>
      <c r="B5" s="134" t="s">
        <v>45</v>
      </c>
      <c r="C5" s="134" t="s">
        <v>46</v>
      </c>
      <c r="D5" s="134" t="s">
        <v>47</v>
      </c>
      <c r="E5" s="134" t="s">
        <v>310</v>
      </c>
      <c r="F5" s="135" t="s">
        <v>311</v>
      </c>
      <c r="G5" s="114" t="s">
        <v>312</v>
      </c>
    </row>
    <row r="6" spans="1:7" ht="28.2" customHeight="1">
      <c r="A6" s="155"/>
      <c r="B6" s="156"/>
      <c r="C6" s="156"/>
      <c r="D6" s="156"/>
      <c r="E6" s="156"/>
      <c r="F6" s="157"/>
    </row>
    <row r="7" spans="1:7" ht="28.2" customHeight="1">
      <c r="A7" s="224"/>
      <c r="B7" s="225" t="s">
        <v>313</v>
      </c>
      <c r="C7" s="226"/>
      <c r="D7" s="226"/>
      <c r="E7" s="226"/>
      <c r="F7" s="235"/>
    </row>
    <row r="8" spans="1:7" ht="28.2" customHeight="1">
      <c r="A8" s="224"/>
      <c r="B8" s="226"/>
      <c r="C8" s="226"/>
      <c r="D8" s="226"/>
      <c r="E8" s="226"/>
      <c r="F8" s="235"/>
    </row>
    <row r="9" spans="1:7" ht="28.2" customHeight="1">
      <c r="A9" s="224"/>
      <c r="B9" s="225" t="s">
        <v>956</v>
      </c>
      <c r="C9" s="226"/>
      <c r="D9" s="226"/>
      <c r="E9" s="226"/>
      <c r="F9" s="235"/>
    </row>
    <row r="10" spans="1:7" ht="28.2" customHeight="1">
      <c r="A10" s="224"/>
      <c r="B10" s="226"/>
      <c r="C10" s="226"/>
      <c r="D10" s="226"/>
      <c r="E10" s="226"/>
      <c r="F10" s="235"/>
    </row>
    <row r="11" spans="1:7" ht="28.2" customHeight="1">
      <c r="A11" s="224"/>
      <c r="B11" s="227" t="s">
        <v>314</v>
      </c>
      <c r="C11" s="226"/>
      <c r="D11" s="226"/>
      <c r="E11" s="226"/>
      <c r="F11" s="235"/>
    </row>
    <row r="12" spans="1:7" ht="28.2" customHeight="1">
      <c r="A12" s="224"/>
      <c r="B12" s="226"/>
      <c r="C12" s="226"/>
      <c r="D12" s="226"/>
      <c r="E12" s="226"/>
      <c r="F12" s="235"/>
    </row>
    <row r="13" spans="1:7" ht="28.2" customHeight="1">
      <c r="A13" s="228" t="s">
        <v>9</v>
      </c>
      <c r="B13" s="229" t="s">
        <v>957</v>
      </c>
      <c r="C13" s="226"/>
      <c r="D13" s="226"/>
      <c r="E13" s="226"/>
      <c r="F13" s="236">
        <f>F28</f>
        <v>2024000.0000000002</v>
      </c>
    </row>
    <row r="14" spans="1:7" ht="28.2" customHeight="1">
      <c r="A14" s="224"/>
      <c r="B14" s="226"/>
      <c r="C14" s="226"/>
      <c r="D14" s="226"/>
      <c r="E14" s="226"/>
      <c r="F14" s="235"/>
    </row>
    <row r="15" spans="1:7" ht="28.2" customHeight="1">
      <c r="A15" s="228" t="s">
        <v>11</v>
      </c>
      <c r="B15" s="229" t="s">
        <v>958</v>
      </c>
      <c r="C15" s="226"/>
      <c r="D15" s="226"/>
      <c r="E15" s="226"/>
      <c r="F15" s="236">
        <f>F45</f>
        <v>2330000</v>
      </c>
    </row>
    <row r="16" spans="1:7" ht="28.2" customHeight="1">
      <c r="A16" s="109"/>
      <c r="B16" s="136"/>
      <c r="C16" s="136"/>
      <c r="D16" s="136"/>
      <c r="E16" s="136"/>
      <c r="F16" s="117"/>
    </row>
    <row r="17" spans="1:7" ht="28.2" customHeight="1" thickBot="1">
      <c r="A17" s="141"/>
      <c r="B17" s="154" t="str">
        <f>B9</f>
        <v xml:space="preserve"> LIFTS AND PROVISIONAL SUMS</v>
      </c>
      <c r="C17" s="142"/>
      <c r="D17" s="142"/>
      <c r="E17" s="143" t="s">
        <v>8</v>
      </c>
      <c r="F17" s="116">
        <f>SUM(F13:F16)</f>
        <v>4354000</v>
      </c>
    </row>
    <row r="18" spans="1:7" ht="28.2" customHeight="1" thickTop="1" thickBot="1">
      <c r="A18" s="150"/>
      <c r="B18" s="151" t="s">
        <v>318</v>
      </c>
      <c r="C18" s="152"/>
      <c r="D18" s="152"/>
      <c r="E18" s="152"/>
      <c r="F18" s="153"/>
    </row>
    <row r="19" spans="1:7" ht="28.2" customHeight="1" thickTop="1">
      <c r="A19" s="109"/>
      <c r="B19" s="136"/>
      <c r="C19" s="136"/>
      <c r="D19" s="136"/>
      <c r="E19" s="136"/>
      <c r="F19" s="117"/>
    </row>
    <row r="20" spans="1:7" ht="28.2" customHeight="1">
      <c r="A20" s="224"/>
      <c r="B20" s="226"/>
      <c r="C20" s="226"/>
      <c r="D20" s="226"/>
      <c r="E20" s="226"/>
      <c r="F20" s="235"/>
    </row>
    <row r="21" spans="1:7" ht="28.2" customHeight="1">
      <c r="A21" s="224"/>
      <c r="B21" s="225" t="s">
        <v>959</v>
      </c>
      <c r="C21" s="226"/>
      <c r="D21" s="226"/>
      <c r="E21" s="226"/>
      <c r="F21" s="235"/>
    </row>
    <row r="22" spans="1:7" ht="28.2" customHeight="1">
      <c r="A22" s="224"/>
      <c r="B22" s="226"/>
      <c r="C22" s="226"/>
      <c r="D22" s="226"/>
      <c r="E22" s="226"/>
      <c r="F22" s="235"/>
    </row>
    <row r="23" spans="1:7" ht="28.2" customHeight="1">
      <c r="A23" s="224"/>
      <c r="B23" s="225" t="s">
        <v>957</v>
      </c>
      <c r="C23" s="226"/>
      <c r="D23" s="226"/>
      <c r="E23" s="226"/>
      <c r="F23" s="235"/>
    </row>
    <row r="24" spans="1:7" ht="28.2" customHeight="1">
      <c r="A24" s="224"/>
      <c r="B24" s="226"/>
      <c r="C24" s="226"/>
      <c r="D24" s="226"/>
      <c r="E24" s="226"/>
      <c r="F24" s="235"/>
    </row>
    <row r="25" spans="1:7" ht="28.2" customHeight="1">
      <c r="A25" s="224"/>
      <c r="B25" s="230" t="s">
        <v>960</v>
      </c>
      <c r="C25" s="226"/>
      <c r="D25" s="226"/>
      <c r="E25" s="226"/>
      <c r="F25" s="235"/>
    </row>
    <row r="26" spans="1:7" ht="28.2" customHeight="1">
      <c r="A26" s="228" t="s">
        <v>9</v>
      </c>
      <c r="B26" s="231" t="s">
        <v>961</v>
      </c>
      <c r="C26" s="232">
        <f>TAKEOFF!$H$6358</f>
        <v>2</v>
      </c>
      <c r="D26" s="233" t="s">
        <v>457</v>
      </c>
      <c r="E26" s="234">
        <f>RATES!$D$134</f>
        <v>1012000.0000000001</v>
      </c>
      <c r="F26" s="236">
        <f>C26*E26</f>
        <v>2024000.0000000002</v>
      </c>
      <c r="G26" s="118" t="s">
        <v>465</v>
      </c>
    </row>
    <row r="27" spans="1:7" ht="28.2" customHeight="1">
      <c r="A27" s="109"/>
      <c r="B27" s="136"/>
      <c r="C27" s="136"/>
      <c r="D27" s="136"/>
      <c r="E27" s="136"/>
      <c r="F27" s="117"/>
    </row>
    <row r="28" spans="1:7" ht="28.2" customHeight="1" thickBot="1">
      <c r="A28" s="141"/>
      <c r="B28" s="154" t="str">
        <f>B23</f>
        <v>LIFTS</v>
      </c>
      <c r="C28" s="142"/>
      <c r="D28" s="142"/>
      <c r="E28" s="143"/>
      <c r="F28" s="116">
        <f>SUM(F25:F27)</f>
        <v>2024000.0000000002</v>
      </c>
    </row>
    <row r="29" spans="1:7" ht="28.2" customHeight="1" thickTop="1" thickBot="1">
      <c r="A29" s="150"/>
      <c r="B29" s="151" t="s">
        <v>339</v>
      </c>
      <c r="C29" s="152"/>
      <c r="D29" s="152"/>
      <c r="E29" s="152"/>
      <c r="F29" s="153"/>
    </row>
    <row r="30" spans="1:7" ht="28.2" customHeight="1" thickTop="1">
      <c r="A30" s="109"/>
      <c r="B30" s="136"/>
      <c r="C30" s="136"/>
      <c r="D30" s="136"/>
      <c r="E30" s="136"/>
      <c r="F30" s="117"/>
    </row>
    <row r="31" spans="1:7" ht="28.2" customHeight="1">
      <c r="A31" s="224"/>
      <c r="B31" s="226"/>
      <c r="C31" s="226"/>
      <c r="D31" s="226"/>
      <c r="E31" s="226"/>
      <c r="F31" s="235"/>
    </row>
    <row r="32" spans="1:7" ht="28.2" customHeight="1">
      <c r="A32" s="224"/>
      <c r="B32" s="225" t="s">
        <v>958</v>
      </c>
      <c r="C32" s="226"/>
      <c r="D32" s="226"/>
      <c r="E32" s="226"/>
      <c r="F32" s="235"/>
    </row>
    <row r="33" spans="1:7" ht="28.2" customHeight="1">
      <c r="A33" s="224"/>
      <c r="B33" s="226"/>
      <c r="C33" s="226"/>
      <c r="D33" s="226"/>
      <c r="E33" s="226"/>
      <c r="F33" s="235"/>
    </row>
    <row r="34" spans="1:7" ht="28.2" customHeight="1">
      <c r="A34" s="224"/>
      <c r="B34" s="230" t="s">
        <v>962</v>
      </c>
      <c r="C34" s="226"/>
      <c r="D34" s="226"/>
      <c r="E34" s="226"/>
      <c r="F34" s="235"/>
    </row>
    <row r="35" spans="1:7" ht="28.2" customHeight="1">
      <c r="A35" s="228" t="s">
        <v>9</v>
      </c>
      <c r="B35" s="231" t="s">
        <v>963</v>
      </c>
      <c r="C35" s="232">
        <f>TAKEOFF!$H$6363</f>
        <v>1</v>
      </c>
      <c r="D35" s="233" t="s">
        <v>964</v>
      </c>
      <c r="E35" s="234">
        <f>RATES!$D$135</f>
        <v>500000</v>
      </c>
      <c r="F35" s="236">
        <f>C35*E35</f>
        <v>500000</v>
      </c>
      <c r="G35" s="118" t="s">
        <v>458</v>
      </c>
    </row>
    <row r="36" spans="1:7" ht="28.2" customHeight="1">
      <c r="A36" s="224"/>
      <c r="B36" s="226"/>
      <c r="C36" s="226"/>
      <c r="D36" s="226"/>
      <c r="E36" s="226"/>
      <c r="F36" s="235"/>
    </row>
    <row r="37" spans="1:7" ht="28.2" customHeight="1">
      <c r="A37" s="228" t="s">
        <v>11</v>
      </c>
      <c r="B37" s="231" t="s">
        <v>965</v>
      </c>
      <c r="C37" s="232">
        <f>TAKEOFF!$H$6366</f>
        <v>1</v>
      </c>
      <c r="D37" s="233" t="s">
        <v>964</v>
      </c>
      <c r="E37" s="234">
        <f>RATES!$D$136</f>
        <v>700000</v>
      </c>
      <c r="F37" s="236">
        <f>C37*E37</f>
        <v>700000</v>
      </c>
      <c r="G37" s="118" t="s">
        <v>458</v>
      </c>
    </row>
    <row r="38" spans="1:7" ht="28.2" customHeight="1">
      <c r="A38" s="224"/>
      <c r="B38" s="226"/>
      <c r="C38" s="226"/>
      <c r="D38" s="226"/>
      <c r="E38" s="226"/>
      <c r="F38" s="235"/>
    </row>
    <row r="39" spans="1:7" ht="28.2" customHeight="1">
      <c r="A39" s="228" t="s">
        <v>13</v>
      </c>
      <c r="B39" s="231" t="s">
        <v>966</v>
      </c>
      <c r="C39" s="232">
        <f>TAKEOFF!$H$6369</f>
        <v>1</v>
      </c>
      <c r="D39" s="233" t="s">
        <v>964</v>
      </c>
      <c r="E39" s="234">
        <f>RATES!$D$137</f>
        <v>800000</v>
      </c>
      <c r="F39" s="236">
        <f>C39*E39</f>
        <v>800000</v>
      </c>
      <c r="G39" s="118" t="s">
        <v>458</v>
      </c>
    </row>
    <row r="40" spans="1:7" ht="28.2" customHeight="1">
      <c r="A40" s="224"/>
      <c r="B40" s="226"/>
      <c r="C40" s="226"/>
      <c r="D40" s="226"/>
      <c r="E40" s="226"/>
      <c r="F40" s="235"/>
    </row>
    <row r="41" spans="1:7" ht="28.2" customHeight="1">
      <c r="A41" s="228" t="s">
        <v>15</v>
      </c>
      <c r="B41" s="231" t="s">
        <v>967</v>
      </c>
      <c r="C41" s="232">
        <f>TAKEOFF!$H$6372</f>
        <v>1</v>
      </c>
      <c r="D41" s="233" t="s">
        <v>964</v>
      </c>
      <c r="E41" s="234">
        <f>RATES!$D$138</f>
        <v>250000</v>
      </c>
      <c r="F41" s="236">
        <f>C41*E41</f>
        <v>250000</v>
      </c>
      <c r="G41" s="118" t="s">
        <v>458</v>
      </c>
    </row>
    <row r="42" spans="1:7" ht="28.2" customHeight="1">
      <c r="A42" s="224"/>
      <c r="B42" s="226"/>
      <c r="C42" s="226"/>
      <c r="D42" s="226"/>
      <c r="E42" s="226"/>
      <c r="F42" s="235"/>
    </row>
    <row r="43" spans="1:7" ht="28.2" customHeight="1">
      <c r="A43" s="228" t="s">
        <v>17</v>
      </c>
      <c r="B43" s="231" t="s">
        <v>968</v>
      </c>
      <c r="C43" s="232">
        <f>TAKEOFF!$H$6375</f>
        <v>1</v>
      </c>
      <c r="D43" s="233" t="s">
        <v>964</v>
      </c>
      <c r="E43" s="234">
        <f>RATES!$D$139</f>
        <v>80000</v>
      </c>
      <c r="F43" s="236">
        <f>C43*E43</f>
        <v>80000</v>
      </c>
      <c r="G43" s="118" t="s">
        <v>458</v>
      </c>
    </row>
    <row r="44" spans="1:7" ht="28.2" customHeight="1">
      <c r="A44" s="109"/>
      <c r="B44" s="136"/>
      <c r="C44" s="136"/>
      <c r="D44" s="136"/>
      <c r="E44" s="136"/>
      <c r="F44" s="117"/>
    </row>
    <row r="45" spans="1:7" ht="28.2" customHeight="1" thickBot="1">
      <c r="A45" s="141"/>
      <c r="B45" s="154" t="str">
        <f>B32</f>
        <v>PROVISIONAL SUMS</v>
      </c>
      <c r="C45" s="142"/>
      <c r="D45" s="142"/>
      <c r="E45" s="143"/>
      <c r="F45" s="116">
        <f>SUM(F34:F44)</f>
        <v>2330000</v>
      </c>
    </row>
    <row r="46" spans="1:7" ht="28.2" customHeight="1" thickTop="1" thickBot="1">
      <c r="A46" s="141"/>
      <c r="B46" s="154" t="s">
        <v>339</v>
      </c>
      <c r="C46" s="142"/>
      <c r="D46" s="142"/>
      <c r="E46" s="143"/>
      <c r="F46" s="116"/>
    </row>
    <row r="47" spans="1:7" ht="15" customHeight="1" thickTop="1"/>
    <row r="49" spans="2:2" ht="15.6">
      <c r="B49" s="119" t="s">
        <v>969</v>
      </c>
    </row>
  </sheetData>
  <pageMargins left="0.75" right="0.75" top="1" bottom="1" header="0.5" footer="0.5"/>
  <pageSetup scale="42"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68"/>
  <sheetViews>
    <sheetView workbookViewId="0">
      <pane ySplit="4" topLeftCell="A163" activePane="bottomLeft" state="frozen"/>
      <selection pane="bottomLeft" activeCell="D150" sqref="D150"/>
    </sheetView>
  </sheetViews>
  <sheetFormatPr defaultRowHeight="14.4"/>
  <cols>
    <col min="1" max="1" width="12" style="9" customWidth="1"/>
    <col min="2" max="2" width="62" style="9" customWidth="1"/>
    <col min="3" max="3" width="8" style="9" customWidth="1"/>
    <col min="4" max="4" width="18" style="9" customWidth="1"/>
    <col min="5" max="5" width="40" style="9" customWidth="1"/>
  </cols>
  <sheetData>
    <row r="1" spans="1:6" ht="21">
      <c r="A1" s="120" t="s">
        <v>970</v>
      </c>
    </row>
    <row r="2" spans="1:6" ht="45" customHeight="1">
      <c r="A2" s="130" t="s">
        <v>971</v>
      </c>
      <c r="B2" s="128"/>
      <c r="C2" s="128"/>
      <c r="D2" s="128"/>
      <c r="E2" s="128"/>
    </row>
    <row r="4" spans="1:6" ht="15.6">
      <c r="A4" s="121" t="s">
        <v>972</v>
      </c>
      <c r="B4" s="121" t="s">
        <v>45</v>
      </c>
      <c r="C4" s="121" t="s">
        <v>47</v>
      </c>
      <c r="D4" s="121" t="s">
        <v>973</v>
      </c>
      <c r="E4" s="121" t="s">
        <v>974</v>
      </c>
    </row>
    <row r="5" spans="1:6">
      <c r="F5">
        <v>1.1000000000000001</v>
      </c>
    </row>
    <row r="6" spans="1:6" ht="15.6">
      <c r="B6" s="122" t="s">
        <v>975</v>
      </c>
    </row>
    <row r="7" spans="1:6">
      <c r="A7" s="123" t="s">
        <v>976</v>
      </c>
      <c r="B7" s="123" t="s">
        <v>977</v>
      </c>
      <c r="C7" s="123" t="s">
        <v>322</v>
      </c>
      <c r="D7" s="124">
        <v>15</v>
      </c>
      <c r="E7" s="125" t="s">
        <v>978</v>
      </c>
    </row>
    <row r="8" spans="1:6">
      <c r="A8" s="123" t="s">
        <v>979</v>
      </c>
      <c r="B8" s="123" t="s">
        <v>980</v>
      </c>
      <c r="C8" s="123" t="s">
        <v>322</v>
      </c>
      <c r="D8" s="124">
        <v>28</v>
      </c>
      <c r="E8" s="125"/>
    </row>
    <row r="9" spans="1:6">
      <c r="A9" s="123" t="s">
        <v>981</v>
      </c>
      <c r="B9" s="123" t="s">
        <v>982</v>
      </c>
      <c r="C9" s="123" t="s">
        <v>327</v>
      </c>
      <c r="D9" s="124">
        <v>85</v>
      </c>
      <c r="E9" s="125"/>
    </row>
    <row r="10" spans="1:6">
      <c r="A10" s="123" t="s">
        <v>983</v>
      </c>
      <c r="B10" s="123" t="s">
        <v>984</v>
      </c>
      <c r="C10" s="123" t="s">
        <v>327</v>
      </c>
      <c r="D10" s="124">
        <v>220</v>
      </c>
      <c r="E10" s="125"/>
    </row>
    <row r="11" spans="1:6">
      <c r="A11" s="123" t="s">
        <v>985</v>
      </c>
      <c r="B11" s="123" t="s">
        <v>986</v>
      </c>
      <c r="C11" s="123" t="s">
        <v>327</v>
      </c>
      <c r="D11" s="124">
        <v>480</v>
      </c>
      <c r="E11" s="125"/>
    </row>
    <row r="12" spans="1:6">
      <c r="A12" s="123" t="s">
        <v>987</v>
      </c>
      <c r="B12" s="123" t="s">
        <v>988</v>
      </c>
      <c r="C12" s="123" t="s">
        <v>327</v>
      </c>
      <c r="D12" s="124">
        <v>60</v>
      </c>
      <c r="E12" s="125"/>
    </row>
    <row r="13" spans="1:6">
      <c r="A13" s="123" t="s">
        <v>989</v>
      </c>
      <c r="B13" s="123" t="s">
        <v>990</v>
      </c>
      <c r="C13" s="123" t="s">
        <v>327</v>
      </c>
      <c r="D13" s="124">
        <v>75</v>
      </c>
      <c r="E13" s="125"/>
    </row>
    <row r="14" spans="1:6">
      <c r="A14" s="123" t="s">
        <v>991</v>
      </c>
      <c r="B14" s="123" t="s">
        <v>992</v>
      </c>
      <c r="C14" s="123" t="s">
        <v>327</v>
      </c>
      <c r="D14" s="124">
        <f>230*F5</f>
        <v>253.00000000000003</v>
      </c>
      <c r="E14" s="125"/>
    </row>
    <row r="15" spans="1:6">
      <c r="A15" s="123" t="s">
        <v>993</v>
      </c>
      <c r="B15" s="123" t="s">
        <v>994</v>
      </c>
      <c r="C15" s="123" t="s">
        <v>327</v>
      </c>
      <c r="D15" s="124">
        <f>1500*F5</f>
        <v>1650.0000000000002</v>
      </c>
      <c r="E15" s="125"/>
    </row>
    <row r="16" spans="1:6">
      <c r="A16" s="123" t="s">
        <v>995</v>
      </c>
      <c r="B16" s="123" t="s">
        <v>996</v>
      </c>
      <c r="C16" s="123" t="s">
        <v>327</v>
      </c>
      <c r="D16" s="124">
        <f>1750*F5</f>
        <v>1925.0000000000002</v>
      </c>
      <c r="E16" s="125"/>
    </row>
    <row r="18" spans="1:5" ht="15.6">
      <c r="B18" s="122" t="s">
        <v>997</v>
      </c>
    </row>
    <row r="19" spans="1:5">
      <c r="A19" s="123" t="s">
        <v>998</v>
      </c>
      <c r="B19" s="123" t="s">
        <v>999</v>
      </c>
      <c r="C19" s="123" t="s">
        <v>327</v>
      </c>
      <c r="D19" s="124">
        <f>2100*F5</f>
        <v>2310</v>
      </c>
      <c r="E19" s="125"/>
    </row>
    <row r="20" spans="1:5">
      <c r="A20" s="123" t="s">
        <v>1000</v>
      </c>
      <c r="B20" s="123" t="s">
        <v>1001</v>
      </c>
      <c r="C20" s="123" t="s">
        <v>327</v>
      </c>
      <c r="D20" s="124">
        <f>D19</f>
        <v>2310</v>
      </c>
      <c r="E20" s="125"/>
    </row>
    <row r="21" spans="1:5">
      <c r="A21" s="123" t="s">
        <v>1002</v>
      </c>
      <c r="B21" s="123" t="s">
        <v>1003</v>
      </c>
      <c r="C21" s="123" t="s">
        <v>327</v>
      </c>
      <c r="D21" s="124">
        <f>D20</f>
        <v>2310</v>
      </c>
      <c r="E21" s="125"/>
    </row>
    <row r="22" spans="1:5">
      <c r="A22" s="123" t="s">
        <v>1004</v>
      </c>
      <c r="B22" s="123" t="s">
        <v>1005</v>
      </c>
      <c r="C22" s="123" t="s">
        <v>327</v>
      </c>
      <c r="D22" s="124">
        <f t="shared" ref="D22:D24" si="0">D21</f>
        <v>2310</v>
      </c>
      <c r="E22" s="125"/>
    </row>
    <row r="23" spans="1:5">
      <c r="A23" s="123" t="s">
        <v>1006</v>
      </c>
      <c r="B23" s="123" t="s">
        <v>1007</v>
      </c>
      <c r="C23" s="123" t="s">
        <v>327</v>
      </c>
      <c r="D23" s="124">
        <f t="shared" si="0"/>
        <v>2310</v>
      </c>
      <c r="E23" s="125"/>
    </row>
    <row r="24" spans="1:5">
      <c r="A24" s="123" t="s">
        <v>1008</v>
      </c>
      <c r="B24" s="123" t="s">
        <v>1009</v>
      </c>
      <c r="C24" s="123" t="s">
        <v>327</v>
      </c>
      <c r="D24" s="124">
        <f t="shared" si="0"/>
        <v>2310</v>
      </c>
      <c r="E24" s="125"/>
    </row>
    <row r="25" spans="1:5">
      <c r="A25" s="123" t="s">
        <v>1010</v>
      </c>
      <c r="B25" s="123" t="s">
        <v>1011</v>
      </c>
      <c r="C25" s="123" t="s">
        <v>327</v>
      </c>
      <c r="D25" s="124">
        <f>D16</f>
        <v>1925.0000000000002</v>
      </c>
      <c r="E25" s="125"/>
    </row>
    <row r="26" spans="1:5">
      <c r="A26" s="123" t="s">
        <v>1012</v>
      </c>
      <c r="B26" s="123" t="s">
        <v>1013</v>
      </c>
      <c r="C26" s="123" t="s">
        <v>327</v>
      </c>
      <c r="D26" s="124">
        <f>D16</f>
        <v>1925.0000000000002</v>
      </c>
      <c r="E26" s="125"/>
    </row>
    <row r="28" spans="1:5" ht="15.6">
      <c r="B28" s="122" t="s">
        <v>1014</v>
      </c>
    </row>
    <row r="29" spans="1:5">
      <c r="A29" s="123" t="s">
        <v>1015</v>
      </c>
      <c r="B29" s="123" t="s">
        <v>1016</v>
      </c>
      <c r="C29" s="123" t="s">
        <v>353</v>
      </c>
      <c r="D29" s="124">
        <f>(11500+1500)*F5</f>
        <v>14300.000000000002</v>
      </c>
      <c r="E29" s="125" t="s">
        <v>1017</v>
      </c>
    </row>
    <row r="30" spans="1:5">
      <c r="A30" s="123" t="s">
        <v>1018</v>
      </c>
      <c r="B30" s="123" t="s">
        <v>1019</v>
      </c>
      <c r="C30" s="123" t="s">
        <v>353</v>
      </c>
      <c r="D30" s="124">
        <f>D29</f>
        <v>14300.000000000002</v>
      </c>
      <c r="E30" s="125"/>
    </row>
    <row r="31" spans="1:5">
      <c r="A31" s="123" t="s">
        <v>1020</v>
      </c>
      <c r="B31" s="123" t="s">
        <v>1021</v>
      </c>
      <c r="C31" s="123" t="s">
        <v>353</v>
      </c>
      <c r="D31" s="124">
        <f>D30</f>
        <v>14300.000000000002</v>
      </c>
      <c r="E31" s="125"/>
    </row>
    <row r="32" spans="1:5">
      <c r="A32" s="123" t="s">
        <v>1022</v>
      </c>
      <c r="B32" s="123" t="s">
        <v>1023</v>
      </c>
      <c r="C32" s="123" t="s">
        <v>353</v>
      </c>
      <c r="D32" s="124">
        <f>D31</f>
        <v>14300.000000000002</v>
      </c>
      <c r="E32" s="125"/>
    </row>
    <row r="33" spans="1:5">
      <c r="A33" s="123" t="s">
        <v>1024</v>
      </c>
      <c r="B33" s="123" t="s">
        <v>1025</v>
      </c>
      <c r="C33" s="123" t="s">
        <v>353</v>
      </c>
      <c r="D33" s="124">
        <f>D32</f>
        <v>14300.000000000002</v>
      </c>
      <c r="E33" s="125"/>
    </row>
    <row r="35" spans="1:5" ht="15.6">
      <c r="B35" s="122" t="s">
        <v>1026</v>
      </c>
    </row>
    <row r="36" spans="1:5">
      <c r="A36" s="123" t="s">
        <v>1027</v>
      </c>
      <c r="B36" s="123" t="s">
        <v>1028</v>
      </c>
      <c r="C36" s="123" t="s">
        <v>322</v>
      </c>
      <c r="D36" s="124">
        <f>150*F5</f>
        <v>165</v>
      </c>
      <c r="E36" s="125"/>
    </row>
    <row r="37" spans="1:5">
      <c r="A37" s="123" t="s">
        <v>1029</v>
      </c>
      <c r="B37" s="123" t="s">
        <v>1030</v>
      </c>
      <c r="C37" s="123" t="s">
        <v>322</v>
      </c>
      <c r="D37" s="124">
        <f>D36</f>
        <v>165</v>
      </c>
      <c r="E37" s="125"/>
    </row>
    <row r="38" spans="1:5">
      <c r="A38" s="123" t="s">
        <v>1031</v>
      </c>
      <c r="B38" s="123" t="s">
        <v>1032</v>
      </c>
      <c r="C38" s="123" t="s">
        <v>322</v>
      </c>
      <c r="D38" s="124">
        <f>D37</f>
        <v>165</v>
      </c>
      <c r="E38" s="125"/>
    </row>
    <row r="39" spans="1:5">
      <c r="A39" s="123" t="s">
        <v>1033</v>
      </c>
      <c r="B39" s="123" t="s">
        <v>1034</v>
      </c>
      <c r="C39" s="123" t="s">
        <v>322</v>
      </c>
      <c r="D39" s="124">
        <f>D38</f>
        <v>165</v>
      </c>
      <c r="E39" s="125"/>
    </row>
    <row r="40" spans="1:5">
      <c r="A40" s="123" t="s">
        <v>1035</v>
      </c>
      <c r="B40" s="123" t="s">
        <v>1036</v>
      </c>
      <c r="C40" s="123" t="s">
        <v>369</v>
      </c>
      <c r="D40" s="124">
        <v>65</v>
      </c>
      <c r="E40" s="125"/>
    </row>
    <row r="41" spans="1:5">
      <c r="A41" s="123" t="s">
        <v>1037</v>
      </c>
      <c r="B41" s="123" t="s">
        <v>1038</v>
      </c>
      <c r="C41" s="123" t="s">
        <v>322</v>
      </c>
      <c r="D41" s="124">
        <f>D39</f>
        <v>165</v>
      </c>
      <c r="E41" s="125"/>
    </row>
    <row r="42" spans="1:5">
      <c r="A42" s="123" t="s">
        <v>1039</v>
      </c>
      <c r="B42" s="123" t="s">
        <v>1040</v>
      </c>
      <c r="C42" s="123" t="s">
        <v>322</v>
      </c>
      <c r="D42" s="124">
        <f>D39</f>
        <v>165</v>
      </c>
      <c r="E42" s="125"/>
    </row>
    <row r="43" spans="1:5">
      <c r="A43" s="123" t="s">
        <v>1041</v>
      </c>
      <c r="B43" s="123" t="s">
        <v>1042</v>
      </c>
      <c r="C43" s="123" t="s">
        <v>322</v>
      </c>
      <c r="D43" s="124">
        <f>D42</f>
        <v>165</v>
      </c>
      <c r="E43" s="125"/>
    </row>
    <row r="45" spans="1:5" ht="15.6">
      <c r="B45" s="122" t="s">
        <v>1043</v>
      </c>
    </row>
    <row r="46" spans="1:5">
      <c r="A46" s="123" t="s">
        <v>1044</v>
      </c>
      <c r="B46" s="123" t="s">
        <v>1045</v>
      </c>
      <c r="C46" s="123" t="s">
        <v>322</v>
      </c>
      <c r="D46" s="124">
        <v>215</v>
      </c>
      <c r="E46" s="125"/>
    </row>
    <row r="47" spans="1:5">
      <c r="A47" s="123" t="s">
        <v>1046</v>
      </c>
      <c r="B47" s="123" t="s">
        <v>1047</v>
      </c>
      <c r="C47" s="123" t="s">
        <v>322</v>
      </c>
      <c r="D47" s="124">
        <v>265</v>
      </c>
      <c r="E47" s="125"/>
    </row>
    <row r="48" spans="1:5">
      <c r="A48" s="123" t="s">
        <v>1048</v>
      </c>
      <c r="B48" s="123" t="s">
        <v>1049</v>
      </c>
      <c r="C48" s="123" t="s">
        <v>322</v>
      </c>
      <c r="D48" s="124">
        <v>78</v>
      </c>
      <c r="E48" s="125"/>
    </row>
    <row r="49" spans="1:5">
      <c r="A49" s="123" t="s">
        <v>1050</v>
      </c>
      <c r="B49" s="123" t="s">
        <v>1051</v>
      </c>
      <c r="C49" s="123" t="s">
        <v>322</v>
      </c>
      <c r="D49" s="124">
        <v>88</v>
      </c>
      <c r="E49" s="125"/>
    </row>
    <row r="50" spans="1:5">
      <c r="A50" s="123" t="s">
        <v>1052</v>
      </c>
      <c r="B50" s="123" t="s">
        <v>1053</v>
      </c>
      <c r="C50" s="123" t="s">
        <v>322</v>
      </c>
      <c r="D50" s="124">
        <v>68</v>
      </c>
      <c r="E50" s="125"/>
    </row>
    <row r="51" spans="1:5">
      <c r="A51" s="123" t="s">
        <v>1054</v>
      </c>
      <c r="B51" s="123" t="s">
        <v>1055</v>
      </c>
      <c r="C51" s="123" t="s">
        <v>322</v>
      </c>
      <c r="D51" s="124">
        <v>48</v>
      </c>
      <c r="E51" s="125"/>
    </row>
    <row r="52" spans="1:5">
      <c r="A52" s="123" t="s">
        <v>1056</v>
      </c>
      <c r="B52" s="123" t="s">
        <v>1057</v>
      </c>
      <c r="C52" s="123" t="s">
        <v>322</v>
      </c>
      <c r="D52" s="124">
        <v>55</v>
      </c>
      <c r="E52" s="125"/>
    </row>
    <row r="53" spans="1:5">
      <c r="A53" s="123" t="s">
        <v>1058</v>
      </c>
      <c r="B53" s="123" t="s">
        <v>1059</v>
      </c>
      <c r="C53" s="123" t="s">
        <v>322</v>
      </c>
      <c r="D53" s="124">
        <v>230</v>
      </c>
      <c r="E53" s="125" t="s">
        <v>1060</v>
      </c>
    </row>
    <row r="54" spans="1:5">
      <c r="A54" s="123" t="s">
        <v>1061</v>
      </c>
      <c r="B54" s="123" t="s">
        <v>1062</v>
      </c>
      <c r="C54" s="123" t="s">
        <v>322</v>
      </c>
      <c r="D54" s="124">
        <v>270</v>
      </c>
      <c r="E54" s="125"/>
    </row>
    <row r="55" spans="1:5">
      <c r="A55" s="123" t="s">
        <v>1063</v>
      </c>
      <c r="B55" s="123" t="s">
        <v>1064</v>
      </c>
      <c r="C55" s="123" t="s">
        <v>322</v>
      </c>
      <c r="D55" s="124">
        <v>265</v>
      </c>
      <c r="E55" s="125"/>
    </row>
    <row r="56" spans="1:5">
      <c r="A56" s="123" t="s">
        <v>1065</v>
      </c>
      <c r="B56" s="123" t="s">
        <v>1066</v>
      </c>
      <c r="C56" s="123" t="s">
        <v>322</v>
      </c>
      <c r="D56" s="124">
        <v>330</v>
      </c>
      <c r="E56" s="125"/>
    </row>
    <row r="57" spans="1:5">
      <c r="A57" s="123" t="s">
        <v>1067</v>
      </c>
      <c r="B57" s="123" t="s">
        <v>1068</v>
      </c>
      <c r="C57" s="123" t="s">
        <v>322</v>
      </c>
      <c r="D57" s="124">
        <v>250</v>
      </c>
      <c r="E57" s="125"/>
    </row>
    <row r="58" spans="1:5">
      <c r="A58" s="123" t="s">
        <v>1069</v>
      </c>
      <c r="B58" s="123" t="s">
        <v>1070</v>
      </c>
      <c r="C58" s="123" t="s">
        <v>322</v>
      </c>
      <c r="D58" s="124">
        <v>360</v>
      </c>
      <c r="E58" s="125"/>
    </row>
    <row r="59" spans="1:5">
      <c r="A59" s="123" t="s">
        <v>1071</v>
      </c>
      <c r="B59" s="123" t="s">
        <v>1072</v>
      </c>
      <c r="C59" s="123" t="s">
        <v>322</v>
      </c>
      <c r="D59" s="124">
        <v>290</v>
      </c>
      <c r="E59" s="125"/>
    </row>
    <row r="60" spans="1:5">
      <c r="A60" s="123" t="s">
        <v>1073</v>
      </c>
      <c r="B60" s="123" t="s">
        <v>1074</v>
      </c>
      <c r="C60" s="123" t="s">
        <v>322</v>
      </c>
      <c r="D60" s="124">
        <v>240</v>
      </c>
      <c r="E60" s="125"/>
    </row>
    <row r="61" spans="1:5">
      <c r="A61" s="123" t="s">
        <v>1075</v>
      </c>
      <c r="B61" s="123" t="s">
        <v>1076</v>
      </c>
      <c r="C61" s="123" t="s">
        <v>322</v>
      </c>
      <c r="D61" s="124">
        <v>45</v>
      </c>
      <c r="E61" s="125"/>
    </row>
    <row r="62" spans="1:5">
      <c r="A62" s="123" t="s">
        <v>1077</v>
      </c>
      <c r="B62" s="123" t="s">
        <v>1078</v>
      </c>
      <c r="C62" s="123" t="s">
        <v>322</v>
      </c>
      <c r="D62" s="124">
        <v>62</v>
      </c>
      <c r="E62" s="125"/>
    </row>
    <row r="63" spans="1:5">
      <c r="A63" s="123" t="s">
        <v>1079</v>
      </c>
      <c r="B63" s="123" t="s">
        <v>1080</v>
      </c>
      <c r="C63" s="123" t="s">
        <v>322</v>
      </c>
      <c r="D63" s="124">
        <v>48</v>
      </c>
      <c r="E63" s="125"/>
    </row>
    <row r="64" spans="1:5">
      <c r="A64" s="123" t="s">
        <v>1081</v>
      </c>
      <c r="B64" s="123" t="s">
        <v>1082</v>
      </c>
      <c r="C64" s="123" t="s">
        <v>322</v>
      </c>
      <c r="D64" s="124">
        <v>72</v>
      </c>
      <c r="E64" s="125"/>
    </row>
    <row r="65" spans="1:5">
      <c r="A65" s="123" t="s">
        <v>1083</v>
      </c>
      <c r="B65" s="123" t="s">
        <v>1084</v>
      </c>
      <c r="C65" s="123" t="s">
        <v>322</v>
      </c>
      <c r="D65" s="124">
        <v>40</v>
      </c>
      <c r="E65" s="125"/>
    </row>
    <row r="67" spans="1:5" ht="15.6">
      <c r="B67" s="122" t="s">
        <v>829</v>
      </c>
    </row>
    <row r="68" spans="1:5">
      <c r="A68" s="123" t="s">
        <v>1085</v>
      </c>
      <c r="B68" s="123" t="s">
        <v>1086</v>
      </c>
      <c r="C68" s="123" t="s">
        <v>322</v>
      </c>
      <c r="D68" s="124">
        <v>165</v>
      </c>
      <c r="E68" s="125"/>
    </row>
    <row r="69" spans="1:5">
      <c r="A69" s="123" t="s">
        <v>1087</v>
      </c>
      <c r="B69" s="123" t="s">
        <v>1088</v>
      </c>
      <c r="C69" s="123" t="s">
        <v>322</v>
      </c>
      <c r="D69" s="124">
        <v>72</v>
      </c>
      <c r="E69" s="125"/>
    </row>
    <row r="70" spans="1:5">
      <c r="A70" s="123" t="s">
        <v>1089</v>
      </c>
      <c r="B70" s="123" t="s">
        <v>1090</v>
      </c>
      <c r="C70" s="123" t="s">
        <v>369</v>
      </c>
      <c r="D70" s="124">
        <v>185</v>
      </c>
      <c r="E70" s="125"/>
    </row>
    <row r="71" spans="1:5">
      <c r="A71" s="123" t="s">
        <v>1091</v>
      </c>
      <c r="B71" s="123" t="s">
        <v>1092</v>
      </c>
      <c r="C71" s="123" t="s">
        <v>369</v>
      </c>
      <c r="D71" s="124">
        <f>D70</f>
        <v>185</v>
      </c>
      <c r="E71" s="125"/>
    </row>
    <row r="73" spans="1:5" ht="15.6">
      <c r="B73" s="122" t="s">
        <v>1093</v>
      </c>
    </row>
    <row r="74" spans="1:5">
      <c r="A74" s="123" t="s">
        <v>1094</v>
      </c>
      <c r="B74" s="123" t="s">
        <v>1095</v>
      </c>
      <c r="C74" s="123" t="s">
        <v>457</v>
      </c>
      <c r="D74" s="124">
        <v>18500</v>
      </c>
      <c r="E74" s="125"/>
    </row>
    <row r="75" spans="1:5">
      <c r="A75" s="123" t="s">
        <v>1096</v>
      </c>
      <c r="B75" s="123" t="s">
        <v>1097</v>
      </c>
      <c r="C75" s="123" t="s">
        <v>457</v>
      </c>
      <c r="D75" s="124">
        <v>7800</v>
      </c>
      <c r="E75" s="125"/>
    </row>
    <row r="76" spans="1:5">
      <c r="A76" s="123" t="s">
        <v>1098</v>
      </c>
      <c r="B76" s="123" t="s">
        <v>1099</v>
      </c>
      <c r="C76" s="123" t="s">
        <v>457</v>
      </c>
      <c r="D76" s="124">
        <v>3400</v>
      </c>
      <c r="E76" s="125"/>
    </row>
    <row r="77" spans="1:5">
      <c r="A77" s="123" t="s">
        <v>1100</v>
      </c>
      <c r="B77" s="123" t="s">
        <v>1101</v>
      </c>
      <c r="C77" s="123" t="s">
        <v>457</v>
      </c>
      <c r="D77" s="124">
        <v>3900</v>
      </c>
      <c r="E77" s="125"/>
    </row>
    <row r="78" spans="1:5">
      <c r="A78" s="123" t="s">
        <v>1102</v>
      </c>
      <c r="B78" s="123" t="s">
        <v>1103</v>
      </c>
      <c r="C78" s="123" t="s">
        <v>457</v>
      </c>
      <c r="D78" s="124">
        <v>16500</v>
      </c>
      <c r="E78" s="125"/>
    </row>
    <row r="79" spans="1:5">
      <c r="A79" s="123" t="s">
        <v>1104</v>
      </c>
      <c r="B79" s="123" t="s">
        <v>1105</v>
      </c>
      <c r="C79" s="123" t="s">
        <v>457</v>
      </c>
      <c r="D79" s="124">
        <v>1900</v>
      </c>
      <c r="E79" s="125"/>
    </row>
    <row r="80" spans="1:5">
      <c r="A80" s="123" t="s">
        <v>1106</v>
      </c>
      <c r="B80" s="123" t="s">
        <v>1107</v>
      </c>
      <c r="C80" s="123" t="s">
        <v>457</v>
      </c>
      <c r="D80" s="124">
        <v>6800</v>
      </c>
      <c r="E80" s="125"/>
    </row>
    <row r="81" spans="1:5">
      <c r="A81" s="123" t="s">
        <v>1108</v>
      </c>
      <c r="B81" s="123" t="s">
        <v>1109</v>
      </c>
      <c r="C81" s="123" t="s">
        <v>457</v>
      </c>
      <c r="D81" s="124">
        <v>9800</v>
      </c>
      <c r="E81" s="125"/>
    </row>
    <row r="82" spans="1:5">
      <c r="A82" s="123" t="s">
        <v>1110</v>
      </c>
      <c r="B82" s="123" t="s">
        <v>1111</v>
      </c>
      <c r="C82" s="123" t="s">
        <v>457</v>
      </c>
      <c r="D82" s="124">
        <v>7200</v>
      </c>
      <c r="E82" s="125"/>
    </row>
    <row r="83" spans="1:5">
      <c r="A83" s="123" t="s">
        <v>1112</v>
      </c>
      <c r="B83" s="123" t="s">
        <v>1113</v>
      </c>
      <c r="C83" s="123" t="s">
        <v>457</v>
      </c>
      <c r="D83" s="124">
        <v>8100</v>
      </c>
      <c r="E83" s="125"/>
    </row>
    <row r="84" spans="1:5">
      <c r="A84" s="123" t="s">
        <v>1114</v>
      </c>
      <c r="B84" s="123" t="s">
        <v>1115</v>
      </c>
      <c r="C84" s="123" t="s">
        <v>457</v>
      </c>
      <c r="D84" s="124">
        <v>6900</v>
      </c>
      <c r="E84" s="125"/>
    </row>
    <row r="85" spans="1:5">
      <c r="A85" s="123" t="s">
        <v>1116</v>
      </c>
      <c r="B85" s="123" t="s">
        <v>1117</v>
      </c>
      <c r="C85" s="123" t="s">
        <v>457</v>
      </c>
      <c r="D85" s="124">
        <v>14500</v>
      </c>
      <c r="E85" s="125"/>
    </row>
    <row r="86" spans="1:5">
      <c r="A86" s="123" t="s">
        <v>1118</v>
      </c>
      <c r="B86" s="123" t="s">
        <v>1119</v>
      </c>
      <c r="C86" s="123" t="s">
        <v>457</v>
      </c>
      <c r="D86" s="124">
        <v>4600</v>
      </c>
      <c r="E86" s="125"/>
    </row>
    <row r="87" spans="1:5">
      <c r="A87" s="123" t="s">
        <v>1120</v>
      </c>
      <c r="B87" s="123" t="s">
        <v>1121</v>
      </c>
      <c r="C87" s="123" t="s">
        <v>457</v>
      </c>
      <c r="D87" s="124">
        <v>2900</v>
      </c>
      <c r="E87" s="125"/>
    </row>
    <row r="88" spans="1:5">
      <c r="A88" s="123" t="s">
        <v>1122</v>
      </c>
      <c r="B88" s="123" t="s">
        <v>1123</v>
      </c>
      <c r="C88" s="123" t="s">
        <v>457</v>
      </c>
      <c r="D88" s="124">
        <v>2600</v>
      </c>
      <c r="E88" s="125"/>
    </row>
    <row r="89" spans="1:5">
      <c r="A89" s="123" t="s">
        <v>1124</v>
      </c>
      <c r="B89" s="123" t="s">
        <v>1125</v>
      </c>
      <c r="C89" s="123" t="s">
        <v>457</v>
      </c>
      <c r="D89" s="124">
        <v>1900</v>
      </c>
      <c r="E89" s="125"/>
    </row>
    <row r="90" spans="1:5">
      <c r="A90" s="123" t="s">
        <v>1126</v>
      </c>
      <c r="B90" s="123" t="s">
        <v>1127</v>
      </c>
      <c r="C90" s="123" t="s">
        <v>457</v>
      </c>
      <c r="D90" s="124">
        <v>2200</v>
      </c>
      <c r="E90" s="125"/>
    </row>
    <row r="91" spans="1:5">
      <c r="A91" s="123" t="s">
        <v>1128</v>
      </c>
      <c r="B91" s="123" t="s">
        <v>1129</v>
      </c>
      <c r="C91" s="123" t="s">
        <v>457</v>
      </c>
      <c r="D91" s="124">
        <v>12500</v>
      </c>
      <c r="E91" s="125"/>
    </row>
    <row r="92" spans="1:5">
      <c r="A92" s="123" t="s">
        <v>1130</v>
      </c>
      <c r="B92" s="123" t="s">
        <v>1131</v>
      </c>
      <c r="C92" s="123" t="s">
        <v>457</v>
      </c>
      <c r="D92" s="124">
        <v>15500</v>
      </c>
      <c r="E92" s="125"/>
    </row>
    <row r="93" spans="1:5">
      <c r="A93" s="123" t="s">
        <v>1132</v>
      </c>
      <c r="B93" s="123" t="s">
        <v>1133</v>
      </c>
      <c r="C93" s="123" t="s">
        <v>457</v>
      </c>
      <c r="D93" s="124">
        <v>33000</v>
      </c>
      <c r="E93" s="125"/>
    </row>
    <row r="94" spans="1:5">
      <c r="A94" s="123" t="s">
        <v>1134</v>
      </c>
      <c r="B94" s="123" t="s">
        <v>1135</v>
      </c>
      <c r="C94" s="123" t="s">
        <v>457</v>
      </c>
      <c r="D94" s="124">
        <v>14500</v>
      </c>
      <c r="E94" s="125"/>
    </row>
    <row r="95" spans="1:5">
      <c r="A95" s="123" t="s">
        <v>1136</v>
      </c>
      <c r="B95" s="123" t="s">
        <v>1137</v>
      </c>
      <c r="C95" s="123" t="s">
        <v>457</v>
      </c>
      <c r="D95" s="124">
        <v>8800</v>
      </c>
      <c r="E95" s="125"/>
    </row>
    <row r="96" spans="1:5">
      <c r="A96" s="123" t="s">
        <v>1138</v>
      </c>
      <c r="B96" s="123" t="s">
        <v>1139</v>
      </c>
      <c r="C96" s="123" t="s">
        <v>457</v>
      </c>
      <c r="D96" s="124">
        <v>7600</v>
      </c>
      <c r="E96" s="125"/>
    </row>
    <row r="97" spans="1:5">
      <c r="A97" s="123" t="s">
        <v>1140</v>
      </c>
      <c r="B97" s="123" t="s">
        <v>1141</v>
      </c>
      <c r="C97" s="123" t="s">
        <v>457</v>
      </c>
      <c r="D97" s="124">
        <v>9300</v>
      </c>
      <c r="E97" s="125"/>
    </row>
    <row r="98" spans="1:5">
      <c r="A98" s="123" t="s">
        <v>1142</v>
      </c>
      <c r="B98" s="123" t="s">
        <v>1143</v>
      </c>
      <c r="C98" s="123" t="s">
        <v>457</v>
      </c>
      <c r="D98" s="124">
        <v>7200</v>
      </c>
      <c r="E98" s="125"/>
    </row>
    <row r="99" spans="1:5">
      <c r="A99" s="123" t="s">
        <v>1144</v>
      </c>
      <c r="B99" s="123" t="s">
        <v>1145</v>
      </c>
      <c r="C99" s="123" t="s">
        <v>457</v>
      </c>
      <c r="D99" s="124">
        <v>23000</v>
      </c>
      <c r="E99" s="125"/>
    </row>
    <row r="100" spans="1:5">
      <c r="A100" s="123" t="s">
        <v>1146</v>
      </c>
      <c r="B100" s="123" t="s">
        <v>1147</v>
      </c>
      <c r="C100" s="123" t="s">
        <v>369</v>
      </c>
      <c r="D100" s="124">
        <v>125</v>
      </c>
      <c r="E100" s="125"/>
    </row>
    <row r="101" spans="1:5">
      <c r="A101" s="123" t="s">
        <v>1148</v>
      </c>
      <c r="B101" s="123" t="s">
        <v>1149</v>
      </c>
      <c r="C101" s="123" t="s">
        <v>369</v>
      </c>
      <c r="D101" s="124">
        <v>28</v>
      </c>
      <c r="E101" s="125"/>
    </row>
    <row r="102" spans="1:5">
      <c r="A102" s="123" t="s">
        <v>1150</v>
      </c>
      <c r="B102" s="123" t="s">
        <v>478</v>
      </c>
      <c r="C102" s="123" t="s">
        <v>479</v>
      </c>
      <c r="D102" s="124">
        <v>125</v>
      </c>
      <c r="E102" s="125"/>
    </row>
    <row r="103" spans="1:5">
      <c r="A103" s="123" t="s">
        <v>1151</v>
      </c>
      <c r="B103" s="123" t="s">
        <v>1152</v>
      </c>
      <c r="C103" s="123" t="s">
        <v>457</v>
      </c>
      <c r="D103" s="124">
        <v>480</v>
      </c>
      <c r="E103" s="125"/>
    </row>
    <row r="104" spans="1:5">
      <c r="A104" s="123" t="s">
        <v>1153</v>
      </c>
      <c r="B104" s="123" t="s">
        <v>1154</v>
      </c>
      <c r="C104" s="123" t="s">
        <v>457</v>
      </c>
      <c r="D104" s="124">
        <v>560</v>
      </c>
      <c r="E104" s="125"/>
    </row>
    <row r="106" spans="1:5" ht="15.6">
      <c r="B106" s="122" t="s">
        <v>1155</v>
      </c>
    </row>
    <row r="107" spans="1:5">
      <c r="A107" s="123" t="s">
        <v>1156</v>
      </c>
      <c r="B107" s="123" t="s">
        <v>1157</v>
      </c>
      <c r="C107" s="123" t="s">
        <v>322</v>
      </c>
      <c r="D107" s="124">
        <f>F5*1400</f>
        <v>1540.0000000000002</v>
      </c>
      <c r="E107" s="125" t="s">
        <v>1158</v>
      </c>
    </row>
    <row r="108" spans="1:5">
      <c r="A108" s="123" t="s">
        <v>1159</v>
      </c>
      <c r="B108" s="123" t="s">
        <v>1160</v>
      </c>
      <c r="C108" s="123" t="s">
        <v>457</v>
      </c>
      <c r="D108" s="126">
        <f>3.6*1.9*D107</f>
        <v>10533.600000000002</v>
      </c>
      <c r="E108" s="125" t="s">
        <v>1161</v>
      </c>
    </row>
    <row r="109" spans="1:5">
      <c r="A109" s="123" t="s">
        <v>1162</v>
      </c>
      <c r="B109" s="123" t="s">
        <v>1163</v>
      </c>
      <c r="C109" s="123" t="s">
        <v>457</v>
      </c>
      <c r="D109" s="126">
        <f>1.8*1.3*D107</f>
        <v>3603.6000000000008</v>
      </c>
      <c r="E109" s="125" t="s">
        <v>1161</v>
      </c>
    </row>
    <row r="110" spans="1:5">
      <c r="A110" s="123" t="s">
        <v>1164</v>
      </c>
      <c r="B110" s="123" t="s">
        <v>1165</v>
      </c>
      <c r="C110" s="123" t="s">
        <v>457</v>
      </c>
      <c r="D110" s="126">
        <f>1.8*1.5*D107</f>
        <v>4158.0000000000009</v>
      </c>
      <c r="E110" s="125" t="s">
        <v>1161</v>
      </c>
    </row>
    <row r="111" spans="1:5">
      <c r="A111" s="123" t="s">
        <v>1166</v>
      </c>
      <c r="B111" s="123" t="s">
        <v>1167</v>
      </c>
      <c r="C111" s="123" t="s">
        <v>457</v>
      </c>
      <c r="D111" s="126">
        <f>0.9*1.3*D107</f>
        <v>1801.8000000000004</v>
      </c>
      <c r="E111" s="125" t="s">
        <v>1161</v>
      </c>
    </row>
    <row r="112" spans="1:5">
      <c r="A112" s="123" t="s">
        <v>1168</v>
      </c>
      <c r="B112" s="123" t="s">
        <v>1169</v>
      </c>
      <c r="C112" s="123" t="s">
        <v>457</v>
      </c>
      <c r="D112" s="126">
        <f>1.8*1.9*D107</f>
        <v>5266.8000000000011</v>
      </c>
      <c r="E112" s="125" t="s">
        <v>1161</v>
      </c>
    </row>
    <row r="113" spans="1:5">
      <c r="A113" s="123" t="s">
        <v>1170</v>
      </c>
      <c r="B113" s="123" t="s">
        <v>1171</v>
      </c>
      <c r="C113" s="123" t="s">
        <v>457</v>
      </c>
      <c r="D113" s="126">
        <f>3.5*1.5*D107</f>
        <v>8085.0000000000009</v>
      </c>
      <c r="E113" s="125" t="s">
        <v>1161</v>
      </c>
    </row>
    <row r="114" spans="1:5">
      <c r="A114" s="123" t="s">
        <v>1172</v>
      </c>
      <c r="B114" s="123" t="s">
        <v>1173</v>
      </c>
      <c r="C114" s="123" t="s">
        <v>457</v>
      </c>
      <c r="D114" s="126">
        <f>1.8*1.6*D107</f>
        <v>4435.2000000000007</v>
      </c>
      <c r="E114" s="125" t="s">
        <v>1161</v>
      </c>
    </row>
    <row r="115" spans="1:5">
      <c r="A115" s="123" t="s">
        <v>1174</v>
      </c>
      <c r="B115" s="123" t="s">
        <v>1175</v>
      </c>
      <c r="C115" s="123" t="s">
        <v>457</v>
      </c>
      <c r="D115" s="126">
        <f>1.2*1.9*D107</f>
        <v>3511.2000000000003</v>
      </c>
      <c r="E115" s="125" t="s">
        <v>1161</v>
      </c>
    </row>
    <row r="116" spans="1:5">
      <c r="A116" s="123" t="s">
        <v>1176</v>
      </c>
      <c r="B116" s="123" t="s">
        <v>1177</v>
      </c>
      <c r="C116" s="123" t="s">
        <v>457</v>
      </c>
      <c r="D116" s="126">
        <f>1.2*1.15*D107</f>
        <v>2125.2000000000003</v>
      </c>
      <c r="E116" s="125" t="s">
        <v>1161</v>
      </c>
    </row>
    <row r="117" spans="1:5">
      <c r="A117" s="123" t="s">
        <v>1178</v>
      </c>
      <c r="B117" s="123" t="s">
        <v>1179</v>
      </c>
      <c r="C117" s="123" t="s">
        <v>457</v>
      </c>
      <c r="D117" s="126">
        <f>1.2*1.2*D107</f>
        <v>2217.6000000000004</v>
      </c>
      <c r="E117" s="125" t="s">
        <v>1161</v>
      </c>
    </row>
    <row r="118" spans="1:5">
      <c r="A118" s="123" t="s">
        <v>1180</v>
      </c>
      <c r="B118" s="123" t="s">
        <v>1181</v>
      </c>
      <c r="C118" s="123" t="s">
        <v>457</v>
      </c>
      <c r="D118" s="126">
        <f>1.5*1.3*D107</f>
        <v>3003.0000000000009</v>
      </c>
      <c r="E118" s="125" t="s">
        <v>1161</v>
      </c>
    </row>
    <row r="119" spans="1:5">
      <c r="A119" s="123" t="s">
        <v>1182</v>
      </c>
      <c r="B119" s="123" t="s">
        <v>1183</v>
      </c>
      <c r="C119" s="123" t="s">
        <v>457</v>
      </c>
      <c r="D119" s="126">
        <f>1.5*1.15*D107</f>
        <v>2656.5</v>
      </c>
      <c r="E119" s="125" t="s">
        <v>1161</v>
      </c>
    </row>
    <row r="120" spans="1:5">
      <c r="A120" s="123" t="s">
        <v>1184</v>
      </c>
      <c r="B120" s="123" t="s">
        <v>1185</v>
      </c>
      <c r="C120" s="123" t="s">
        <v>457</v>
      </c>
      <c r="D120" s="126">
        <f>2.4*1.3*D107</f>
        <v>4804.8000000000011</v>
      </c>
      <c r="E120" s="125" t="s">
        <v>1161</v>
      </c>
    </row>
    <row r="121" spans="1:5">
      <c r="A121" s="123" t="s">
        <v>1186</v>
      </c>
      <c r="B121" s="123" t="s">
        <v>1187</v>
      </c>
      <c r="C121" s="123" t="s">
        <v>457</v>
      </c>
      <c r="D121" s="126">
        <f>3.6*2.2*D107</f>
        <v>12196.800000000003</v>
      </c>
      <c r="E121" s="125" t="s">
        <v>1161</v>
      </c>
    </row>
    <row r="122" spans="1:5">
      <c r="A122" s="123" t="s">
        <v>1188</v>
      </c>
      <c r="B122" s="123" t="s">
        <v>1189</v>
      </c>
      <c r="C122" s="123" t="s">
        <v>457</v>
      </c>
      <c r="D122" s="126">
        <f>3*1.6*D107</f>
        <v>7392.0000000000018</v>
      </c>
      <c r="E122" s="125" t="s">
        <v>1161</v>
      </c>
    </row>
    <row r="123" spans="1:5">
      <c r="A123" s="123" t="s">
        <v>1190</v>
      </c>
      <c r="B123" s="123" t="s">
        <v>1191</v>
      </c>
      <c r="C123" s="123" t="s">
        <v>457</v>
      </c>
      <c r="D123" s="126">
        <f>2.4*1.9*D107</f>
        <v>7022.4000000000005</v>
      </c>
      <c r="E123" s="125" t="s">
        <v>1161</v>
      </c>
    </row>
    <row r="124" spans="1:5">
      <c r="A124" s="123" t="s">
        <v>1192</v>
      </c>
      <c r="B124" s="123" t="s">
        <v>1193</v>
      </c>
      <c r="C124" s="123" t="s">
        <v>457</v>
      </c>
      <c r="D124" s="126">
        <f>1.8*1.9*D107</f>
        <v>5266.8000000000011</v>
      </c>
      <c r="E124" s="125" t="s">
        <v>1161</v>
      </c>
    </row>
    <row r="125" spans="1:5">
      <c r="A125" s="123" t="s">
        <v>1194</v>
      </c>
      <c r="B125" s="123" t="s">
        <v>1195</v>
      </c>
      <c r="C125" s="123" t="s">
        <v>457</v>
      </c>
      <c r="D125" s="126">
        <f>0.75*1.3*D107</f>
        <v>1501.5000000000005</v>
      </c>
      <c r="E125" s="125" t="s">
        <v>1161</v>
      </c>
    </row>
    <row r="126" spans="1:5">
      <c r="A126" s="123" t="s">
        <v>1196</v>
      </c>
      <c r="B126" s="123" t="s">
        <v>1197</v>
      </c>
      <c r="C126" s="123" t="s">
        <v>457</v>
      </c>
      <c r="D126" s="126">
        <f>2.1*0.9*D107</f>
        <v>2910.6000000000008</v>
      </c>
      <c r="E126" s="125" t="s">
        <v>1161</v>
      </c>
    </row>
    <row r="127" spans="1:5">
      <c r="A127" s="123" t="s">
        <v>1198</v>
      </c>
      <c r="B127" s="123" t="s">
        <v>1199</v>
      </c>
      <c r="C127" s="123" t="s">
        <v>457</v>
      </c>
      <c r="D127" s="126">
        <f>1.45*1.9*D107</f>
        <v>4242.7000000000007</v>
      </c>
      <c r="E127" s="125" t="s">
        <v>1161</v>
      </c>
    </row>
    <row r="128" spans="1:5">
      <c r="A128" s="123" t="s">
        <v>1200</v>
      </c>
      <c r="B128" s="123" t="s">
        <v>1201</v>
      </c>
      <c r="C128" s="123" t="s">
        <v>457</v>
      </c>
      <c r="D128" s="126">
        <f>0.9*0.6*D107</f>
        <v>831.60000000000014</v>
      </c>
      <c r="E128" s="125" t="s">
        <v>1161</v>
      </c>
    </row>
    <row r="129" spans="1:5">
      <c r="A129" s="123" t="s">
        <v>1202</v>
      </c>
      <c r="B129" s="123" t="s">
        <v>1203</v>
      </c>
      <c r="C129" s="123" t="s">
        <v>457</v>
      </c>
      <c r="D129" s="126">
        <f>0.75*0.6*D107</f>
        <v>693</v>
      </c>
      <c r="E129" s="125" t="s">
        <v>1161</v>
      </c>
    </row>
    <row r="130" spans="1:5">
      <c r="A130" s="123" t="s">
        <v>1204</v>
      </c>
      <c r="B130" s="123" t="s">
        <v>1205</v>
      </c>
      <c r="C130" s="123" t="s">
        <v>457</v>
      </c>
      <c r="D130" s="126">
        <f>0.6*0.6*D107</f>
        <v>554.40000000000009</v>
      </c>
      <c r="E130" s="125" t="s">
        <v>1161</v>
      </c>
    </row>
    <row r="131" spans="1:5">
      <c r="A131" s="123" t="s">
        <v>1206</v>
      </c>
      <c r="B131" s="123" t="s">
        <v>1207</v>
      </c>
      <c r="C131" s="123" t="s">
        <v>457</v>
      </c>
      <c r="D131" s="126">
        <f>1.2*0.6*D107</f>
        <v>1108.8000000000002</v>
      </c>
      <c r="E131" s="125" t="s">
        <v>1161</v>
      </c>
    </row>
    <row r="133" spans="1:5" ht="15.6">
      <c r="B133" s="122" t="s">
        <v>1208</v>
      </c>
    </row>
    <row r="134" spans="1:5">
      <c r="A134" s="123" t="s">
        <v>1209</v>
      </c>
      <c r="B134" s="123" t="s">
        <v>1210</v>
      </c>
      <c r="C134" s="123" t="s">
        <v>457</v>
      </c>
      <c r="D134" s="124">
        <f>(40000*2*11.5)*F5</f>
        <v>1012000.0000000001</v>
      </c>
      <c r="E134" s="125"/>
    </row>
    <row r="135" spans="1:5">
      <c r="A135" s="123" t="s">
        <v>1211</v>
      </c>
      <c r="B135" s="123" t="s">
        <v>1212</v>
      </c>
      <c r="C135" s="123" t="s">
        <v>964</v>
      </c>
      <c r="D135" s="124">
        <v>500000</v>
      </c>
      <c r="E135" s="125" t="s">
        <v>1213</v>
      </c>
    </row>
    <row r="136" spans="1:5">
      <c r="A136" s="123" t="s">
        <v>1214</v>
      </c>
      <c r="B136" s="123" t="s">
        <v>1215</v>
      </c>
      <c r="C136" s="123" t="s">
        <v>964</v>
      </c>
      <c r="D136" s="124">
        <v>700000</v>
      </c>
      <c r="E136" s="125"/>
    </row>
    <row r="137" spans="1:5">
      <c r="A137" s="123" t="s">
        <v>1216</v>
      </c>
      <c r="B137" s="123" t="s">
        <v>1217</v>
      </c>
      <c r="C137" s="123" t="s">
        <v>964</v>
      </c>
      <c r="D137" s="124">
        <v>800000</v>
      </c>
      <c r="E137" s="125"/>
    </row>
    <row r="138" spans="1:5">
      <c r="A138" s="123" t="s">
        <v>1218</v>
      </c>
      <c r="B138" s="123" t="s">
        <v>1219</v>
      </c>
      <c r="C138" s="123" t="s">
        <v>964</v>
      </c>
      <c r="D138" s="124">
        <v>250000</v>
      </c>
      <c r="E138" s="125"/>
    </row>
    <row r="139" spans="1:5">
      <c r="A139" s="123" t="s">
        <v>1220</v>
      </c>
      <c r="B139" s="123" t="s">
        <v>1221</v>
      </c>
      <c r="C139" s="123" t="s">
        <v>964</v>
      </c>
      <c r="D139" s="124">
        <v>80000</v>
      </c>
      <c r="E139" s="125"/>
    </row>
    <row r="141" spans="1:5" ht="15.6">
      <c r="B141" s="122" t="s">
        <v>1222</v>
      </c>
    </row>
    <row r="142" spans="1:5">
      <c r="A142" s="123" t="s">
        <v>1223</v>
      </c>
      <c r="B142" s="123" t="s">
        <v>1224</v>
      </c>
      <c r="C142" s="123" t="s">
        <v>964</v>
      </c>
      <c r="D142" s="124">
        <v>250000</v>
      </c>
      <c r="E142" s="125" t="s">
        <v>1225</v>
      </c>
    </row>
    <row r="143" spans="1:5">
      <c r="A143" s="123" t="s">
        <v>1226</v>
      </c>
      <c r="B143" s="123" t="s">
        <v>1227</v>
      </c>
      <c r="C143" s="123" t="s">
        <v>964</v>
      </c>
      <c r="D143" s="124">
        <v>150000</v>
      </c>
      <c r="E143" s="125" t="s">
        <v>1225</v>
      </c>
    </row>
    <row r="144" spans="1:5">
      <c r="A144" s="123" t="s">
        <v>1228</v>
      </c>
      <c r="B144" s="123" t="s">
        <v>1229</v>
      </c>
      <c r="C144" s="123" t="s">
        <v>964</v>
      </c>
      <c r="D144" s="124">
        <v>450000</v>
      </c>
      <c r="E144" s="125" t="s">
        <v>1225</v>
      </c>
    </row>
    <row r="145" spans="1:5">
      <c r="A145" s="123" t="s">
        <v>1230</v>
      </c>
      <c r="B145" s="123" t="s">
        <v>1231</v>
      </c>
      <c r="C145" s="123" t="s">
        <v>964</v>
      </c>
      <c r="D145" s="124">
        <v>60000</v>
      </c>
      <c r="E145" s="125" t="s">
        <v>1225</v>
      </c>
    </row>
    <row r="146" spans="1:5">
      <c r="A146" s="123" t="s">
        <v>1232</v>
      </c>
      <c r="B146" s="123" t="s">
        <v>1233</v>
      </c>
      <c r="C146" s="123" t="s">
        <v>964</v>
      </c>
      <c r="D146" s="124">
        <v>25000</v>
      </c>
      <c r="E146" s="125" t="s">
        <v>1225</v>
      </c>
    </row>
    <row r="147" spans="1:5">
      <c r="A147" s="123" t="s">
        <v>1234</v>
      </c>
      <c r="B147" s="123" t="s">
        <v>1235</v>
      </c>
      <c r="C147" s="123" t="s">
        <v>964</v>
      </c>
      <c r="D147" s="124">
        <v>180000</v>
      </c>
      <c r="E147" s="125" t="s">
        <v>1225</v>
      </c>
    </row>
    <row r="148" spans="1:5">
      <c r="A148" s="123" t="s">
        <v>1236</v>
      </c>
      <c r="B148" s="123" t="s">
        <v>1237</v>
      </c>
      <c r="C148" s="123" t="s">
        <v>964</v>
      </c>
      <c r="D148" s="124">
        <v>40000</v>
      </c>
      <c r="E148" s="125" t="s">
        <v>1225</v>
      </c>
    </row>
    <row r="149" spans="1:5">
      <c r="A149" s="123" t="s">
        <v>1238</v>
      </c>
      <c r="B149" s="123" t="s">
        <v>1239</v>
      </c>
      <c r="C149" s="123" t="s">
        <v>964</v>
      </c>
      <c r="D149" s="124">
        <v>1800000</v>
      </c>
      <c r="E149" s="125" t="s">
        <v>1225</v>
      </c>
    </row>
    <row r="150" spans="1:5">
      <c r="A150" s="123" t="s">
        <v>1240</v>
      </c>
      <c r="B150" s="123" t="s">
        <v>1241</v>
      </c>
      <c r="C150" s="123" t="s">
        <v>964</v>
      </c>
      <c r="D150" s="124">
        <v>1200000</v>
      </c>
      <c r="E150" s="125" t="s">
        <v>1225</v>
      </c>
    </row>
    <row r="151" spans="1:5">
      <c r="A151" s="123" t="s">
        <v>1242</v>
      </c>
      <c r="B151" s="123" t="s">
        <v>1243</v>
      </c>
      <c r="C151" s="123" t="s">
        <v>964</v>
      </c>
      <c r="D151" s="124">
        <v>150000</v>
      </c>
      <c r="E151" s="125" t="s">
        <v>1225</v>
      </c>
    </row>
    <row r="152" spans="1:5">
      <c r="A152" s="123" t="s">
        <v>1244</v>
      </c>
      <c r="B152" s="123" t="s">
        <v>1245</v>
      </c>
      <c r="C152" s="123" t="s">
        <v>964</v>
      </c>
      <c r="D152" s="124">
        <v>220000</v>
      </c>
      <c r="E152" s="125" t="s">
        <v>1225</v>
      </c>
    </row>
    <row r="153" spans="1:5">
      <c r="A153" s="123" t="s">
        <v>1246</v>
      </c>
      <c r="B153" s="123" t="s">
        <v>1247</v>
      </c>
      <c r="C153" s="123" t="s">
        <v>964</v>
      </c>
      <c r="D153" s="124">
        <v>80000</v>
      </c>
      <c r="E153" s="125" t="s">
        <v>1225</v>
      </c>
    </row>
    <row r="154" spans="1:5">
      <c r="A154" s="123" t="s">
        <v>1248</v>
      </c>
      <c r="B154" s="123" t="s">
        <v>1249</v>
      </c>
      <c r="C154" s="123" t="s">
        <v>964</v>
      </c>
      <c r="D154" s="124">
        <v>60000</v>
      </c>
      <c r="E154" s="125" t="s">
        <v>1225</v>
      </c>
    </row>
    <row r="155" spans="1:5">
      <c r="A155" s="123" t="s">
        <v>1250</v>
      </c>
      <c r="B155" s="123" t="s">
        <v>1251</v>
      </c>
      <c r="C155" s="123" t="s">
        <v>964</v>
      </c>
      <c r="D155" s="124">
        <v>36000</v>
      </c>
      <c r="E155" s="125" t="s">
        <v>1225</v>
      </c>
    </row>
    <row r="156" spans="1:5">
      <c r="A156" s="123" t="s">
        <v>1252</v>
      </c>
      <c r="B156" s="123" t="s">
        <v>1253</v>
      </c>
      <c r="C156" s="123" t="s">
        <v>964</v>
      </c>
      <c r="D156" s="124">
        <v>15000</v>
      </c>
      <c r="E156" s="125" t="s">
        <v>1225</v>
      </c>
    </row>
    <row r="157" spans="1:5">
      <c r="A157" s="123" t="s">
        <v>1254</v>
      </c>
      <c r="B157" s="123" t="s">
        <v>1255</v>
      </c>
      <c r="C157" s="123" t="s">
        <v>964</v>
      </c>
      <c r="D157" s="124">
        <v>240000</v>
      </c>
      <c r="E157" s="125" t="s">
        <v>1225</v>
      </c>
    </row>
    <row r="158" spans="1:5">
      <c r="A158" s="123" t="s">
        <v>1256</v>
      </c>
      <c r="B158" s="123" t="s">
        <v>1257</v>
      </c>
      <c r="C158" s="123" t="s">
        <v>964</v>
      </c>
      <c r="D158" s="124">
        <v>80000</v>
      </c>
      <c r="E158" s="125" t="s">
        <v>1225</v>
      </c>
    </row>
    <row r="159" spans="1:5">
      <c r="A159" s="123" t="s">
        <v>1258</v>
      </c>
      <c r="B159" s="123" t="s">
        <v>1259</v>
      </c>
      <c r="C159" s="123" t="s">
        <v>964</v>
      </c>
      <c r="D159" s="124">
        <v>150000</v>
      </c>
      <c r="E159" s="125" t="s">
        <v>1225</v>
      </c>
    </row>
    <row r="160" spans="1:5">
      <c r="A160" s="123" t="s">
        <v>1260</v>
      </c>
      <c r="B160" s="123" t="s">
        <v>1261</v>
      </c>
      <c r="C160" s="123" t="s">
        <v>964</v>
      </c>
      <c r="D160" s="124">
        <v>300000</v>
      </c>
      <c r="E160" s="125" t="s">
        <v>1225</v>
      </c>
    </row>
    <row r="161" spans="1:5">
      <c r="A161" s="123" t="s">
        <v>1262</v>
      </c>
      <c r="B161" s="123" t="s">
        <v>1263</v>
      </c>
      <c r="C161" s="123" t="s">
        <v>964</v>
      </c>
      <c r="D161" s="124">
        <v>120000</v>
      </c>
      <c r="E161" s="125" t="s">
        <v>1225</v>
      </c>
    </row>
    <row r="162" spans="1:5">
      <c r="A162" s="123" t="s">
        <v>1264</v>
      </c>
      <c r="B162" s="123" t="s">
        <v>1265</v>
      </c>
      <c r="C162" s="123" t="s">
        <v>964</v>
      </c>
      <c r="D162" s="124">
        <v>60000</v>
      </c>
      <c r="E162" s="125" t="s">
        <v>1225</v>
      </c>
    </row>
    <row r="163" spans="1:5">
      <c r="A163" s="123" t="s">
        <v>1266</v>
      </c>
      <c r="B163" s="123" t="s">
        <v>1267</v>
      </c>
      <c r="C163" s="123" t="s">
        <v>964</v>
      </c>
      <c r="D163" s="124">
        <v>150000</v>
      </c>
      <c r="E163" s="125" t="s">
        <v>1225</v>
      </c>
    </row>
    <row r="164" spans="1:5">
      <c r="A164" s="123" t="s">
        <v>1268</v>
      </c>
      <c r="B164" s="123" t="s">
        <v>1269</v>
      </c>
      <c r="C164" s="123" t="s">
        <v>964</v>
      </c>
      <c r="D164" s="124">
        <v>120000</v>
      </c>
      <c r="E164" s="125" t="s">
        <v>1225</v>
      </c>
    </row>
    <row r="165" spans="1:5">
      <c r="A165" s="123" t="s">
        <v>1270</v>
      </c>
      <c r="B165" s="123" t="s">
        <v>1271</v>
      </c>
      <c r="C165" s="123" t="s">
        <v>964</v>
      </c>
      <c r="D165" s="124">
        <v>12000</v>
      </c>
      <c r="E165" s="125" t="s">
        <v>1225</v>
      </c>
    </row>
    <row r="166" spans="1:5">
      <c r="A166" s="123" t="s">
        <v>1272</v>
      </c>
      <c r="B166" s="123" t="s">
        <v>1273</v>
      </c>
      <c r="C166" s="123" t="s">
        <v>964</v>
      </c>
      <c r="D166" s="124">
        <v>90000</v>
      </c>
      <c r="E166" s="125" t="s">
        <v>1225</v>
      </c>
    </row>
    <row r="167" spans="1:5">
      <c r="A167" s="123" t="s">
        <v>1274</v>
      </c>
      <c r="B167" s="123" t="s">
        <v>1275</v>
      </c>
      <c r="C167" s="123" t="s">
        <v>964</v>
      </c>
      <c r="D167" s="124">
        <v>25000</v>
      </c>
      <c r="E167" s="125" t="s">
        <v>1225</v>
      </c>
    </row>
    <row r="168" spans="1:5">
      <c r="A168" s="123" t="s">
        <v>1276</v>
      </c>
      <c r="B168" s="123" t="s">
        <v>1277</v>
      </c>
      <c r="C168" s="123" t="s">
        <v>964</v>
      </c>
      <c r="D168" s="124">
        <v>60000</v>
      </c>
      <c r="E168" s="125" t="s">
        <v>1225</v>
      </c>
    </row>
  </sheetData>
  <mergeCells count="1">
    <mergeCell ref="A2:E2"/>
  </mergeCells>
  <pageMargins left="0.75" right="0.75" top="1" bottom="1" header="0.5" footer="0.5"/>
</worksheet>
</file>

<file path=xl/worksheets/sheet20.xml><?xml version="1.0" encoding="utf-8"?>
<worksheet xmlns="http://schemas.openxmlformats.org/spreadsheetml/2006/main" xmlns:r="http://schemas.openxmlformats.org/officeDocument/2006/relationships">
  <sheetPr>
    <tabColor rgb="FF1F3864"/>
    <pageSetUpPr fitToPage="1"/>
  </sheetPr>
  <dimension ref="A1:K6377"/>
  <sheetViews>
    <sheetView workbookViewId="0" zoomScale="85" zoomScaleNormal="85">
      <pane ySplit="5" topLeftCell="A6" activePane="bottomLeft" state="frozen"/>
      <selection pane="bottomLeft" activeCell="A6" sqref="A6"/>
    </sheetView>
  </sheetViews>
  <sheetFormatPr defaultRowHeight="15"/>
  <cols>
    <col min="1" max="1" width="13" customWidth="1"/>
    <col min="2" max="2" width="6" customWidth="1"/>
    <col min="3" max="3" width="78" customWidth="1"/>
    <col min="4" max="4" width="10" customWidth="1"/>
    <col min="5" max="5" width="12" customWidth="1"/>
    <col min="6" max="6" width="12" customWidth="1"/>
    <col min="7" max="7" width="13" customWidth="1"/>
    <col min="8" max="8" width="15" customWidth="1"/>
    <col min="9" max="9" width="7" customWidth="1"/>
    <col min="10" max="10" width="48" customWidth="1"/>
    <col min="11" max="11" width="24" customWidth="1"/>
  </cols>
  <sheetData>
    <row r="1">
      <c r="A1" s="238" t="str">
        <f>'GEN SUMMARY'!A1</f>
        <v>PROJECT: BLOCK N REDEVELOPMENT</v>
      </c>
    </row>
    <row r="2">
      <c r="A2" s="238" t="str">
        <f>'GEN SUMMARY'!A2</f>
        <v>LOCATION: KANESHIE</v>
      </c>
    </row>
    <row r="3" ht="22" customHeight="1">
      <c r="A3" s="237" t="inlineStr">
        <is>
          <t xml:space="preserve">QUANTITY TAKE-OFF  -  DIMENSION SHEETS (FLOOR BY FLOOR, SUBSTRUCTURE TO 12TH FLOOR)</t>
        </is>
      </c>
    </row>
    <row r="4">
      <c r="A4" s="239" t="inlineStr">
        <is>
          <t xml:space="preserve">Yellow cells are dimensions - edit them here and the QTY column of each bill (and all amounts / summaries) updates. Qty = Times x Dim1 x Dim2 x Dim3 (blank cells count as 1); Ddt lines are negative. Dimensions in metres, reinforcement in tonnes from the reinforcement take-off (BBS).</t>
        </is>
      </c>
    </row>
    <row r="5" ht="32" customHeight="1">
      <c r="A5" s="240" t="inlineStr">
        <is>
          <t xml:space="preserve">BILL / FLOOR</t>
        </is>
      </c>
      <c r="B5" s="240" t="inlineStr">
        <is>
          <t xml:space="preserve">ITEM</t>
        </is>
      </c>
      <c r="C5" s="240" t="inlineStr">
        <is>
          <t xml:space="preserve">DESCRIPTION / LOCATION OF DIMENSION</t>
        </is>
      </c>
      <c r="D5" s="240" t="inlineStr">
        <is>
          <t xml:space="preserve">TIMES / NR</t>
        </is>
      </c>
      <c r="E5" s="240" t="inlineStr">
        <is>
          <t xml:space="preserve">LENGTH / DIM 1</t>
        </is>
      </c>
      <c r="F5" s="240" t="inlineStr">
        <is>
          <t xml:space="preserve">WIDTH / DIM 2</t>
        </is>
      </c>
      <c r="G5" s="240" t="inlineStr">
        <is>
          <t xml:space="preserve">HEIGHT / DEPTH / DIM 3</t>
        </is>
      </c>
      <c r="H5" s="240" t="inlineStr">
        <is>
          <t xml:space="preserve">QUANTITY</t>
        </is>
      </c>
      <c r="I5" s="240" t="inlineStr">
        <is>
          <t xml:space="preserve">UNIT</t>
        </is>
      </c>
      <c r="J5" s="240" t="inlineStr">
        <is>
          <t xml:space="preserve">ORIGINAL CALCULATION (FOR REFERENCE)</t>
        </is>
      </c>
      <c r="K5" s="240" t="inlineStr">
        <is>
          <t xml:space="preserve">LINK TO BOQ QTY CELL</t>
        </is>
      </c>
    </row>
    <row r="6">
      <c r="A6" s="244" t="inlineStr">
        <is>
          <t xml:space="preserve">BILL INDEX (click to jump)</t>
        </is>
      </c>
    </row>
    <row r="7">
      <c r="A7" s="254" t="inlineStr">
        <is>
          <t xml:space="preserve">   BILL NR. 2 - SUBSTRUCTURE</t>
        </is>
      </c>
      <c r="K7" s="254" t="inlineStr">
        <is>
          <t xml:space="preserve">Open bill: 'SUBSTRUCTURE'</t>
        </is>
      </c>
    </row>
    <row r="8">
      <c r="A8" s="254" t="inlineStr">
        <is>
          <t xml:space="preserve">   BILL NR. 3 - GROUND FLOOR</t>
        </is>
      </c>
      <c r="K8" s="254" t="inlineStr">
        <is>
          <t xml:space="preserve">Open bill: 'GROUND FLR'</t>
        </is>
      </c>
    </row>
    <row r="9">
      <c r="A9" s="254" t="inlineStr">
        <is>
          <t xml:space="preserve">   BILL NR. 4 - FIRST FLOOR</t>
        </is>
      </c>
      <c r="K9" s="254" t="inlineStr">
        <is>
          <t xml:space="preserve">Open bill: '1ST FLR'</t>
        </is>
      </c>
    </row>
    <row r="10">
      <c r="A10" s="254" t="inlineStr">
        <is>
          <t xml:space="preserve">   BILL NR. 5 - SECOND FLOOR</t>
        </is>
      </c>
      <c r="K10" s="254" t="inlineStr">
        <is>
          <t xml:space="preserve">Open bill: '2ND FLR'</t>
        </is>
      </c>
    </row>
    <row r="11">
      <c r="A11" s="254" t="inlineStr">
        <is>
          <t xml:space="preserve">   BILL NR. 6 - THIRD FLOOR</t>
        </is>
      </c>
      <c r="K11" s="254" t="inlineStr">
        <is>
          <t xml:space="preserve">Open bill: '3RD FLR'</t>
        </is>
      </c>
    </row>
    <row r="12">
      <c r="A12" s="254" t="inlineStr">
        <is>
          <t xml:space="preserve">   BILL NR. 7 - FOURTH FLOOR</t>
        </is>
      </c>
      <c r="K12" s="254" t="inlineStr">
        <is>
          <t xml:space="preserve">Open bill: '4TH FLR'</t>
        </is>
      </c>
    </row>
    <row r="13">
      <c r="A13" s="254" t="inlineStr">
        <is>
          <t xml:space="preserve">   BILL NR. 8 - FIFTH FLOOR</t>
        </is>
      </c>
      <c r="K13" s="254" t="inlineStr">
        <is>
          <t xml:space="preserve">Open bill: '5TH FLR'</t>
        </is>
      </c>
    </row>
    <row r="14">
      <c r="A14" s="254" t="inlineStr">
        <is>
          <t xml:space="preserve">   BILL NR. 9 - SIXTH FLOOR</t>
        </is>
      </c>
      <c r="K14" s="254" t="inlineStr">
        <is>
          <t xml:space="preserve">Open bill: '6TH FLR'</t>
        </is>
      </c>
    </row>
    <row r="15">
      <c r="A15" s="254" t="inlineStr">
        <is>
          <t xml:space="preserve">   BILL NR. 10 - SEVENTH FLOOR</t>
        </is>
      </c>
      <c r="K15" s="254" t="inlineStr">
        <is>
          <t xml:space="preserve">Open bill: '7TH FLR'</t>
        </is>
      </c>
    </row>
    <row r="16">
      <c r="A16" s="254" t="inlineStr">
        <is>
          <t xml:space="preserve">   BILL NR. 11 - EIGHTH FLOOR</t>
        </is>
      </c>
      <c r="K16" s="254" t="inlineStr">
        <is>
          <t xml:space="preserve">Open bill: '8TH FLR'</t>
        </is>
      </c>
    </row>
    <row r="17">
      <c r="A17" s="254" t="inlineStr">
        <is>
          <t xml:space="preserve">   BILL NR. 12 - NINTH FLOOR</t>
        </is>
      </c>
      <c r="K17" s="254" t="inlineStr">
        <is>
          <t xml:space="preserve">Open bill: '9TH FLR'</t>
        </is>
      </c>
    </row>
    <row r="18">
      <c r="A18" s="254" t="inlineStr">
        <is>
          <t xml:space="preserve">   BILL NR. 13 - TENTH FLOOR</t>
        </is>
      </c>
      <c r="K18" s="254" t="inlineStr">
        <is>
          <t xml:space="preserve">Open bill: '10TH FLR'</t>
        </is>
      </c>
    </row>
    <row r="19">
      <c r="A19" s="254" t="inlineStr">
        <is>
          <t xml:space="preserve">   BILL NR. 14 - ROOF TOP TERRACE</t>
        </is>
      </c>
      <c r="K19" s="254" t="inlineStr">
        <is>
          <t xml:space="preserve">Open bill: '11TH FLR'</t>
        </is>
      </c>
    </row>
    <row r="20">
      <c r="A20" s="254" t="inlineStr">
        <is>
          <t xml:space="preserve">   BILL NR. 15 - ROOF LEVEL</t>
        </is>
      </c>
      <c r="K20" s="254" t="inlineStr">
        <is>
          <t xml:space="preserve">Open bill: '12TH FLR'</t>
        </is>
      </c>
    </row>
    <row r="21">
      <c r="A21" s="254" t="inlineStr">
        <is>
          <t xml:space="preserve">   BILL NR. 16 - LIFTS AND PROVISIONAL SUMS</t>
        </is>
      </c>
      <c r="K21" s="254" t="inlineStr">
        <is>
          <t xml:space="preserve">Open bill: 'LIFTS &amp; PS'</t>
        </is>
      </c>
    </row>
    <row r="23" ht="21" customHeight="1">
      <c r="A23" s="241" t="inlineStr">
        <is>
          <t xml:space="preserve">BILL NR. 2 - SUBSTRUCTURE  -  SUBSTRUCTURE (ALL PROVISIONAL)</t>
        </is>
      </c>
      <c r="B23" s="241" t="inlineStr">
        <is>
          <t xml:space="preserve"/>
        </is>
      </c>
      <c r="C23" s="241" t="inlineStr">
        <is>
          <t xml:space="preserve"/>
        </is>
      </c>
      <c r="D23" s="241" t="inlineStr">
        <is>
          <t xml:space="preserve"/>
        </is>
      </c>
      <c r="E23" s="241" t="inlineStr">
        <is>
          <t xml:space="preserve"/>
        </is>
      </c>
      <c r="F23" s="241" t="inlineStr">
        <is>
          <t xml:space="preserve"/>
        </is>
      </c>
      <c r="G23" s="241" t="inlineStr">
        <is>
          <t xml:space="preserve"/>
        </is>
      </c>
      <c r="H23" s="241" t="inlineStr">
        <is>
          <t xml:space="preserve"/>
        </is>
      </c>
      <c r="I23" s="241" t="inlineStr">
        <is>
          <t xml:space="preserve"/>
        </is>
      </c>
      <c r="J23" s="241" t="inlineStr">
        <is>
          <t xml:space="preserve"/>
        </is>
      </c>
      <c r="K23" s="241" t="inlineStr">
        <is>
          <t xml:space="preserve"/>
        </is>
      </c>
    </row>
    <row r="24">
      <c r="C24" s="242" t="inlineStr">
        <is>
          <t xml:space="preserve">D GROUNDWORK (D20 EXCAVATION AND FILLING)</t>
        </is>
      </c>
    </row>
    <row r="25">
      <c r="C25" s="242" t="inlineStr">
        <is>
          <t xml:space="preserve">Site Preparation</t>
        </is>
      </c>
    </row>
    <row r="26" ht="32.2" customHeight="1">
      <c r="A26" s="243" t="inlineStr">
        <is>
          <t xml:space="preserve">SUBSTRUCTURE</t>
        </is>
      </c>
      <c r="B26" s="243" t="inlineStr">
        <is>
          <t xml:space="preserve">A</t>
        </is>
      </c>
      <c r="C26" s="244" t="inlineStr">
        <is>
          <t xml:space="preserve">Clear site of all vegetation, grub up their roots and dispose-off (Block N plot and Parking-22 forecourt)</t>
        </is>
      </c>
      <c r="I26" s="245" t="inlineStr">
        <is>
          <t xml:space="preserve">m2</t>
        </is>
      </c>
      <c r="K26" s="256" t="inlineStr">
        <is>
          <t xml:space="preserve">'SUBSTRUCTURE'!C27</t>
        </is>
      </c>
    </row>
    <row r="27">
      <c r="C27" s="246" t="inlineStr">
        <is>
          <t xml:space="preserve">Block N plot</t>
        </is>
      </c>
      <c r="E27" s="247">
        <v>40.85</v>
      </c>
      <c r="F27" s="247">
        <v>38.27</v>
      </c>
      <c r="H27" s="249">
        <f>PRODUCT(D27:G27)</f>
        <v>1563.3295000000003</v>
      </c>
      <c r="J27" s="253" t="inlineStr">
        <is>
          <t xml:space="preserve">40.85*38.27</t>
        </is>
      </c>
    </row>
    <row r="28">
      <c r="C28" s="246" t="inlineStr">
        <is>
          <t xml:space="preserve">Parking-22 forecourt</t>
        </is>
      </c>
      <c r="E28" s="247">
        <v>35.2</v>
      </c>
      <c r="F28" s="247">
        <v>20.9</v>
      </c>
      <c r="H28" s="249">
        <f>PRODUCT(D28:G28)</f>
        <v>735.6800000000001</v>
      </c>
      <c r="J28" s="253" t="inlineStr">
        <is>
          <t xml:space="preserve">35.2*20.9</t>
        </is>
      </c>
    </row>
    <row r="29">
      <c r="C29" s="250" t="inlineStr">
        <is>
          <t xml:space="preserve">Total carried to BOQ  SUBSTRUCTURE item A</t>
        </is>
      </c>
      <c r="D29" s="250" t="inlineStr">
        <is>
          <t xml:space="preserve"/>
        </is>
      </c>
      <c r="E29" s="250" t="inlineStr">
        <is>
          <t xml:space="preserve"/>
        </is>
      </c>
      <c r="F29" s="250" t="inlineStr">
        <is>
          <t xml:space="preserve"/>
        </is>
      </c>
      <c r="G29" s="250" t="inlineStr">
        <is>
          <t xml:space="preserve"/>
        </is>
      </c>
      <c r="H29" s="251">
        <f>SUM(H27:H28)</f>
        <v>2299.0095</v>
      </c>
      <c r="I29" s="252" t="inlineStr">
        <is>
          <t xml:space="preserve">m2</t>
        </is>
      </c>
    </row>
    <row r="30" ht="32.2" customHeight="1">
      <c r="A30" s="243" t="inlineStr">
        <is>
          <t xml:space="preserve">SUBSTRUCTURE</t>
        </is>
      </c>
      <c r="B30" s="243" t="inlineStr">
        <is>
          <t xml:space="preserve">B</t>
        </is>
      </c>
      <c r="C30" s="244" t="inlineStr">
        <is>
          <t xml:space="preserve">Excavate oversite to remove vegetable soil average 150mm deep and deposit on site for re-use average 50m from excavation</t>
        </is>
      </c>
      <c r="I30" s="245" t="inlineStr">
        <is>
          <t xml:space="preserve">m2</t>
        </is>
      </c>
      <c r="K30" s="256" t="inlineStr">
        <is>
          <t xml:space="preserve">'SUBSTRUCTURE'!C29</t>
        </is>
      </c>
    </row>
    <row r="31">
      <c r="C31" s="246" t="inlineStr">
        <is>
          <t xml:space="preserve">Raft 41.0 x 36.0 plus 2.0 m working space all round: L x W</t>
        </is>
      </c>
      <c r="E31" s="247">
        <f>41.0+2*2</f>
        <v>45.0</v>
      </c>
      <c r="F31" s="247">
        <f>36.0+2*2</f>
        <v>40.0</v>
      </c>
      <c r="H31" s="249">
        <f>PRODUCT(D31:G31)</f>
        <v>1800.0</v>
      </c>
      <c r="J31" s="253" t="inlineStr">
        <is>
          <t xml:space="preserve">(41.0+2*2)*(36.0+2*2)</t>
        </is>
      </c>
    </row>
    <row r="32">
      <c r="C32" s="250" t="inlineStr">
        <is>
          <t xml:space="preserve">Total carried to BOQ  SUBSTRUCTURE item B</t>
        </is>
      </c>
      <c r="D32" s="250" t="inlineStr">
        <is>
          <t xml:space="preserve"/>
        </is>
      </c>
      <c r="E32" s="250" t="inlineStr">
        <is>
          <t xml:space="preserve"/>
        </is>
      </c>
      <c r="F32" s="250" t="inlineStr">
        <is>
          <t xml:space="preserve"/>
        </is>
      </c>
      <c r="G32" s="250" t="inlineStr">
        <is>
          <t xml:space="preserve"/>
        </is>
      </c>
      <c r="H32" s="251">
        <f>SUM(H31:H31)</f>
        <v>1800.0</v>
      </c>
      <c r="I32" s="252" t="inlineStr">
        <is>
          <t xml:space="preserve">m2</t>
        </is>
      </c>
    </row>
    <row r="33">
      <c r="A33" s="243" t="inlineStr">
        <is>
          <t xml:space="preserve">SUBSTRUCTURE</t>
        </is>
      </c>
      <c r="B33" s="243" t="inlineStr">
        <is>
          <t xml:space="preserve">C</t>
        </is>
      </c>
      <c r="C33" s="244" t="inlineStr">
        <is>
          <t xml:space="preserve">Excavate raft foundation to reduce levels maximum depth 4.00m</t>
        </is>
      </c>
      <c r="I33" s="245" t="inlineStr">
        <is>
          <t xml:space="preserve">m3</t>
        </is>
      </c>
      <c r="K33" s="256" t="inlineStr">
        <is>
          <t xml:space="preserve">'SUBSTRUCTURE'!C31</t>
        </is>
      </c>
    </row>
    <row r="34">
      <c r="C34" s="246" t="inlineStr">
        <is>
          <t xml:space="preserve">Excavation footprint 45 x 40 (raft + working space) x 4.00 deep (formation -4.000)</t>
        </is>
      </c>
      <c r="E34" s="247">
        <v>45.0</v>
      </c>
      <c r="F34" s="247">
        <v>40.0</v>
      </c>
      <c r="G34" s="247">
        <v>4.0</v>
      </c>
      <c r="H34" s="249">
        <f>PRODUCT(D34:G34)</f>
        <v>7200.0</v>
      </c>
      <c r="J34" s="253" t="inlineStr">
        <is>
          <t xml:space="preserve">45.0*40.0*4.0</t>
        </is>
      </c>
    </row>
    <row r="35">
      <c r="C35" s="250" t="inlineStr">
        <is>
          <t xml:space="preserve">Total carried to BOQ  SUBSTRUCTURE item C</t>
        </is>
      </c>
      <c r="D35" s="250" t="inlineStr">
        <is>
          <t xml:space="preserve"/>
        </is>
      </c>
      <c r="E35" s="250" t="inlineStr">
        <is>
          <t xml:space="preserve"/>
        </is>
      </c>
      <c r="F35" s="250" t="inlineStr">
        <is>
          <t xml:space="preserve"/>
        </is>
      </c>
      <c r="G35" s="250" t="inlineStr">
        <is>
          <t xml:space="preserve"/>
        </is>
      </c>
      <c r="H35" s="251">
        <f>SUM(H34:H34)</f>
        <v>7200.0</v>
      </c>
      <c r="I35" s="252" t="inlineStr">
        <is>
          <t xml:space="preserve">m3</t>
        </is>
      </c>
    </row>
    <row r="36" ht="32.2" customHeight="1">
      <c r="A36" s="243" t="inlineStr">
        <is>
          <t xml:space="preserve">SUBSTRUCTURE</t>
        </is>
      </c>
      <c r="B36" s="243" t="inlineStr">
        <is>
          <t xml:space="preserve">D</t>
        </is>
      </c>
      <c r="C36" s="244" t="inlineStr">
        <is>
          <t xml:space="preserve">Fill to make up levels over raft average 1000mm thick with waterproof external membrane and high strength biaxial geogrid; compacted</t>
        </is>
      </c>
      <c r="I36" s="245" t="inlineStr">
        <is>
          <t xml:space="preserve">m3</t>
        </is>
      </c>
      <c r="K36" s="256" t="inlineStr">
        <is>
          <t xml:space="preserve">'SUBSTRUCTURE'!C33</t>
        </is>
      </c>
    </row>
    <row r="37">
      <c r="C37" s="246" t="inlineStr">
        <is>
          <t xml:space="preserve">Fill over raft: raft area x 1.00 average</t>
        </is>
      </c>
      <c r="E37" s="247">
        <v>41.0</v>
      </c>
      <c r="F37" s="247">
        <v>36.0</v>
      </c>
      <c r="G37" s="247">
        <v>1.0</v>
      </c>
      <c r="H37" s="249">
        <f>PRODUCT(D37:G37)</f>
        <v>1476.0</v>
      </c>
      <c r="J37" s="253" t="inlineStr">
        <is>
          <t xml:space="preserve">41.0*36.0*1.0</t>
        </is>
      </c>
    </row>
    <row r="38">
      <c r="C38" s="246" t="inlineStr">
        <is>
          <t xml:space="preserve">Ddt RC walls: run 69.445 x 0.25 x 1.00</t>
        </is>
      </c>
      <c r="E38" s="247">
        <v>69.445</v>
      </c>
      <c r="F38" s="247">
        <v>0.25</v>
      </c>
      <c r="G38" s="247">
        <v>1.0</v>
      </c>
      <c r="H38" s="249">
        <f>-PRODUCT(D38:G38)</f>
        <v>-17.36125</v>
      </c>
      <c r="J38" s="253" t="inlineStr">
        <is>
          <t xml:space="preserve">-69.445*0.25*1.0</t>
        </is>
      </c>
    </row>
    <row r="39">
      <c r="C39" s="246" t="inlineStr">
        <is>
          <t xml:space="preserve">Ddt columns: plan area 13.294 m2 x 1.00</t>
        </is>
      </c>
      <c r="E39" s="247">
        <v>13.294</v>
      </c>
      <c r="F39" s="247">
        <v>1.0</v>
      </c>
      <c r="H39" s="249">
        <f>-PRODUCT(D39:G39)</f>
        <v>-13.294</v>
      </c>
      <c r="J39" s="253" t="inlineStr">
        <is>
          <t xml:space="preserve">-13.294*1.0</t>
        </is>
      </c>
    </row>
    <row r="40">
      <c r="C40" s="250" t="inlineStr">
        <is>
          <t xml:space="preserve">Total carried to BOQ  SUBSTRUCTURE item D</t>
        </is>
      </c>
      <c r="D40" s="250" t="inlineStr">
        <is>
          <t xml:space="preserve"/>
        </is>
      </c>
      <c r="E40" s="250" t="inlineStr">
        <is>
          <t xml:space="preserve"/>
        </is>
      </c>
      <c r="F40" s="250" t="inlineStr">
        <is>
          <t xml:space="preserve"/>
        </is>
      </c>
      <c r="G40" s="250" t="inlineStr">
        <is>
          <t xml:space="preserve"/>
        </is>
      </c>
      <c r="H40" s="251">
        <f>SUM(H37:H39)</f>
        <v>1445.34475</v>
      </c>
      <c r="I40" s="252" t="inlineStr">
        <is>
          <t xml:space="preserve">m3</t>
        </is>
      </c>
    </row>
    <row r="41" ht="32.2" customHeight="1">
      <c r="A41" s="243" t="inlineStr">
        <is>
          <t xml:space="preserve">SUBSTRUCTURE</t>
        </is>
      </c>
      <c r="B41" s="243" t="inlineStr">
        <is>
          <t xml:space="preserve">E</t>
        </is>
      </c>
      <c r="C41" s="244" t="inlineStr">
        <is>
          <t xml:space="preserve">Fill to make up levels below raft 1700mm thick with 300mm thick compacted crushed rock layers between geogrid layers until formation level is reached</t>
        </is>
      </c>
      <c r="I41" s="245" t="inlineStr">
        <is>
          <t xml:space="preserve">m3</t>
        </is>
      </c>
      <c r="K41" s="256" t="inlineStr">
        <is>
          <t xml:space="preserve">'SUBSTRUCTURE'!C35</t>
        </is>
      </c>
    </row>
    <row r="42">
      <c r="C42" s="246" t="inlineStr">
        <is>
          <t xml:space="preserve">Fill below raft: 45 x 40 x 1.70 (STR-001; RFI - 2700 v 1700)</t>
        </is>
      </c>
      <c r="E42" s="247">
        <v>45.0</v>
      </c>
      <c r="F42" s="247">
        <v>40.0</v>
      </c>
      <c r="G42" s="247">
        <v>1.7</v>
      </c>
      <c r="H42" s="249">
        <f>PRODUCT(D42:G42)</f>
        <v>3060.0</v>
      </c>
      <c r="J42" s="253" t="inlineStr">
        <is>
          <t xml:space="preserve">45.0*40.0*1.7</t>
        </is>
      </c>
    </row>
    <row r="43">
      <c r="C43" s="250" t="inlineStr">
        <is>
          <t xml:space="preserve">Total carried to BOQ  SUBSTRUCTURE item E</t>
        </is>
      </c>
      <c r="D43" s="250" t="inlineStr">
        <is>
          <t xml:space="preserve"/>
        </is>
      </c>
      <c r="E43" s="250" t="inlineStr">
        <is>
          <t xml:space="preserve"/>
        </is>
      </c>
      <c r="F43" s="250" t="inlineStr">
        <is>
          <t xml:space="preserve"/>
        </is>
      </c>
      <c r="G43" s="250" t="inlineStr">
        <is>
          <t xml:space="preserve"/>
        </is>
      </c>
      <c r="H43" s="251">
        <f>SUM(H42:H42)</f>
        <v>3060.0</v>
      </c>
      <c r="I43" s="252" t="inlineStr">
        <is>
          <t xml:space="preserve">m3</t>
        </is>
      </c>
    </row>
    <row r="44">
      <c r="A44" s="243" t="inlineStr">
        <is>
          <t xml:space="preserve">SUBSTRUCTURE</t>
        </is>
      </c>
      <c r="B44" s="243" t="inlineStr">
        <is>
          <t xml:space="preserve">F</t>
        </is>
      </c>
      <c r="C44" s="244" t="inlineStr">
        <is>
          <t xml:space="preserve">Backfill and compact selected excavated material around foundations</t>
        </is>
      </c>
      <c r="I44" s="245" t="inlineStr">
        <is>
          <t xml:space="preserve">m3</t>
        </is>
      </c>
      <c r="K44" s="256" t="inlineStr">
        <is>
          <t xml:space="preserve">'SUBSTRUCTURE'!C37</t>
        </is>
      </c>
    </row>
    <row r="45">
      <c r="C45" s="246" t="inlineStr">
        <is>
          <t xml:space="preserve">Excavation footprint x (4.00 - 1.70)</t>
        </is>
      </c>
      <c r="E45" s="247">
        <v>45.0</v>
      </c>
      <c r="F45" s="247">
        <v>40.0</v>
      </c>
      <c r="G45" s="247">
        <f>4.0-1.7</f>
        <v>2.3</v>
      </c>
      <c r="H45" s="249">
        <f>PRODUCT(D45:G45)</f>
        <v>4140.0</v>
      </c>
      <c r="J45" s="253" t="inlineStr">
        <is>
          <t xml:space="preserve">45.0*40.0*(4.0-1.7)</t>
        </is>
      </c>
    </row>
    <row r="46">
      <c r="C46" s="246" t="inlineStr">
        <is>
          <t xml:space="preserve">Ddt raft footprint x (4.00 - 1.70)</t>
        </is>
      </c>
      <c r="E46" s="247">
        <v>41.0</v>
      </c>
      <c r="F46" s="247">
        <v>36.0</v>
      </c>
      <c r="G46" s="247">
        <f>4.0-1.7</f>
        <v>2.3</v>
      </c>
      <c r="H46" s="249">
        <f>-PRODUCT(D46:G46)</f>
        <v>-3394.7999999999997</v>
      </c>
      <c r="J46" s="253" t="inlineStr">
        <is>
          <t xml:space="preserve">-41.0*36.0*(4.0-1.7)</t>
        </is>
      </c>
    </row>
    <row r="47">
      <c r="C47" s="250" t="inlineStr">
        <is>
          <t xml:space="preserve">Total carried to BOQ  SUBSTRUCTURE item F</t>
        </is>
      </c>
      <c r="D47" s="250" t="inlineStr">
        <is>
          <t xml:space="preserve"/>
        </is>
      </c>
      <c r="E47" s="250" t="inlineStr">
        <is>
          <t xml:space="preserve"/>
        </is>
      </c>
      <c r="F47" s="250" t="inlineStr">
        <is>
          <t xml:space="preserve"/>
        </is>
      </c>
      <c r="G47" s="250" t="inlineStr">
        <is>
          <t xml:space="preserve"/>
        </is>
      </c>
      <c r="H47" s="251">
        <f>SUM(H45:H46)</f>
        <v>745.2000000000003</v>
      </c>
      <c r="I47" s="252" t="inlineStr">
        <is>
          <t xml:space="preserve">m3</t>
        </is>
      </c>
    </row>
    <row r="48">
      <c r="A48" s="243" t="inlineStr">
        <is>
          <t xml:space="preserve">SUBSTRUCTURE</t>
        </is>
      </c>
      <c r="B48" s="243" t="inlineStr">
        <is>
          <t xml:space="preserve">G</t>
        </is>
      </c>
      <c r="C48" s="244" t="inlineStr">
        <is>
          <t xml:space="preserve">Load up surplus excavated material and remove from site</t>
        </is>
      </c>
      <c r="I48" s="245" t="inlineStr">
        <is>
          <t xml:space="preserve">m3</t>
        </is>
      </c>
      <c r="K48" s="256" t="inlineStr">
        <is>
          <t xml:space="preserve">'SUBSTRUCTURE'!C39</t>
        </is>
      </c>
    </row>
    <row r="49">
      <c r="C49" s="246" t="inlineStr">
        <is>
          <t xml:space="preserve">Total excavation</t>
        </is>
      </c>
      <c r="E49" s="247">
        <v>45.0</v>
      </c>
      <c r="F49" s="247">
        <v>40.0</v>
      </c>
      <c r="G49" s="247">
        <v>4.0</v>
      </c>
      <c r="H49" s="249">
        <f>PRODUCT(D49:G49)</f>
        <v>7200.0</v>
      </c>
      <c r="J49" s="253" t="inlineStr">
        <is>
          <t xml:space="preserve">45.0*40.0*4.0</t>
        </is>
      </c>
    </row>
    <row r="50">
      <c r="C50" s="246" t="inlineStr">
        <is>
          <t xml:space="preserve">Ddt backfill: excavation footprint x (4.00 - 1.70)</t>
        </is>
      </c>
      <c r="E50" s="247">
        <v>45.0</v>
      </c>
      <c r="F50" s="247">
        <v>40.0</v>
      </c>
      <c r="G50" s="247">
        <f>4.0-1.7</f>
        <v>2.3</v>
      </c>
      <c r="H50" s="249">
        <f>-PRODUCT(D50:G50)</f>
        <v>-4140.0</v>
      </c>
      <c r="J50" s="253" t="inlineStr">
        <is>
          <t xml:space="preserve">-45.0*40.0*(4.0-1.7)</t>
        </is>
      </c>
    </row>
    <row r="51">
      <c r="C51" s="246" t="inlineStr">
        <is>
          <t xml:space="preserve">Add back raft footprint (backfill is footprint less raft)</t>
        </is>
      </c>
      <c r="E51" s="247">
        <v>41.0</v>
      </c>
      <c r="F51" s="247">
        <v>36.0</v>
      </c>
      <c r="G51" s="247">
        <f>4.0-1.7</f>
        <v>2.3</v>
      </c>
      <c r="H51" s="249">
        <f>PRODUCT(D51:G51)</f>
        <v>3394.7999999999997</v>
      </c>
      <c r="J51" s="253" t="inlineStr">
        <is>
          <t xml:space="preserve">41.0*36.0*(4.0-1.7)</t>
        </is>
      </c>
    </row>
    <row r="52">
      <c r="C52" s="250" t="inlineStr">
        <is>
          <t xml:space="preserve">Total carried to BOQ  SUBSTRUCTURE item G</t>
        </is>
      </c>
      <c r="D52" s="250" t="inlineStr">
        <is>
          <t xml:space="preserve"/>
        </is>
      </c>
      <c r="E52" s="250" t="inlineStr">
        <is>
          <t xml:space="preserve"/>
        </is>
      </c>
      <c r="F52" s="250" t="inlineStr">
        <is>
          <t xml:space="preserve"/>
        </is>
      </c>
      <c r="G52" s="250" t="inlineStr">
        <is>
          <t xml:space="preserve"/>
        </is>
      </c>
      <c r="H52" s="251">
        <f>SUM(H49:H51)</f>
        <v>6454.799999999999</v>
      </c>
      <c r="I52" s="252" t="inlineStr">
        <is>
          <t xml:space="preserve">m3</t>
        </is>
      </c>
    </row>
    <row r="53" ht="32.2" customHeight="1">
      <c r="A53" s="243" t="inlineStr">
        <is>
          <t xml:space="preserve">SUBSTRUCTURE</t>
        </is>
      </c>
      <c r="B53" s="243" t="inlineStr">
        <is>
          <t xml:space="preserve">H</t>
        </is>
      </c>
      <c r="C53" s="244" t="inlineStr">
        <is>
          <t xml:space="preserve">Approved imported granular material hardcore filling to make up levels: depositing and compacting in layers 150mm maximum thickness</t>
        </is>
      </c>
      <c r="I53" s="245" t="inlineStr">
        <is>
          <t xml:space="preserve">m3</t>
        </is>
      </c>
      <c r="K53" s="256" t="inlineStr">
        <is>
          <t xml:space="preserve">'SUBSTRUCTURE'!C41</t>
        </is>
      </c>
    </row>
    <row r="54">
      <c r="C54" s="246" t="inlineStr">
        <is>
          <t xml:space="preserve">Hardcore under raft: 41.0 x 36.0 x 0.15</t>
        </is>
      </c>
      <c r="E54" s="247">
        <v>41.0</v>
      </c>
      <c r="F54" s="247">
        <v>36.0</v>
      </c>
      <c r="G54" s="247">
        <v>0.15</v>
      </c>
      <c r="H54" s="249">
        <f>PRODUCT(D54:G54)</f>
        <v>221.4</v>
      </c>
      <c r="J54" s="253" t="inlineStr">
        <is>
          <t xml:space="preserve">41.0*36.0*0.15</t>
        </is>
      </c>
    </row>
    <row r="55">
      <c r="C55" s="250" t="inlineStr">
        <is>
          <t xml:space="preserve">Total carried to BOQ  SUBSTRUCTURE item H</t>
        </is>
      </c>
      <c r="D55" s="250" t="inlineStr">
        <is>
          <t xml:space="preserve"/>
        </is>
      </c>
      <c r="E55" s="250" t="inlineStr">
        <is>
          <t xml:space="preserve"/>
        </is>
      </c>
      <c r="F55" s="250" t="inlineStr">
        <is>
          <t xml:space="preserve"/>
        </is>
      </c>
      <c r="G55" s="250" t="inlineStr">
        <is>
          <t xml:space="preserve"/>
        </is>
      </c>
      <c r="H55" s="251">
        <f>SUM(H54:H54)</f>
        <v>221.4</v>
      </c>
      <c r="I55" s="252" t="inlineStr">
        <is>
          <t xml:space="preserve">m3</t>
        </is>
      </c>
    </row>
    <row r="56">
      <c r="C56" s="242" t="inlineStr">
        <is>
          <t xml:space="preserve">E IN SITU CONCRETE</t>
        </is>
      </c>
    </row>
    <row r="57">
      <c r="C57" s="242" t="inlineStr">
        <is>
          <t xml:space="preserve">E10 Plain in-situ concrete (1:4:8 - 38mm aggregate) as described in:</t>
        </is>
      </c>
    </row>
    <row r="58">
      <c r="A58" s="243" t="inlineStr">
        <is>
          <t xml:space="preserve">SUBSTRUCTURE</t>
        </is>
      </c>
      <c r="B58" s="243" t="inlineStr">
        <is>
          <t xml:space="preserve">A</t>
        </is>
      </c>
      <c r="C58" s="244" t="inlineStr">
        <is>
          <t xml:space="preserve">Blinding 100mm thick under raft</t>
        </is>
      </c>
      <c r="I58" s="245" t="inlineStr">
        <is>
          <t xml:space="preserve">m3</t>
        </is>
      </c>
      <c r="K58" s="256" t="inlineStr">
        <is>
          <t xml:space="preserve">'SUBSTRUCTURE'!C50</t>
        </is>
      </c>
    </row>
    <row r="59">
      <c r="C59" s="246" t="inlineStr">
        <is>
          <t xml:space="preserve">Blinding under raft: 41.0 x 36.0 x 0.10</t>
        </is>
      </c>
      <c r="E59" s="247">
        <v>41.0</v>
      </c>
      <c r="F59" s="247">
        <v>36.0</v>
      </c>
      <c r="G59" s="247">
        <v>0.1</v>
      </c>
      <c r="H59" s="249">
        <f>PRODUCT(D59:G59)</f>
        <v>147.6</v>
      </c>
      <c r="J59" s="253" t="inlineStr">
        <is>
          <t xml:space="preserve">41.0*36.0*0.1</t>
        </is>
      </c>
    </row>
    <row r="60">
      <c r="C60" s="250" t="inlineStr">
        <is>
          <t xml:space="preserve">Total carried to BOQ  SUBSTRUCTURE item A</t>
        </is>
      </c>
      <c r="D60" s="250" t="inlineStr">
        <is>
          <t xml:space="preserve"/>
        </is>
      </c>
      <c r="E60" s="250" t="inlineStr">
        <is>
          <t xml:space="preserve"/>
        </is>
      </c>
      <c r="F60" s="250" t="inlineStr">
        <is>
          <t xml:space="preserve"/>
        </is>
      </c>
      <c r="G60" s="250" t="inlineStr">
        <is>
          <t xml:space="preserve"/>
        </is>
      </c>
      <c r="H60" s="251">
        <f>SUM(H59:H59)</f>
        <v>147.6</v>
      </c>
      <c r="I60" s="252" t="inlineStr">
        <is>
          <t xml:space="preserve">m3</t>
        </is>
      </c>
    </row>
    <row r="61">
      <c r="A61" s="243" t="inlineStr">
        <is>
          <t xml:space="preserve">SUBSTRUCTURE</t>
        </is>
      </c>
      <c r="B61" s="243" t="inlineStr">
        <is>
          <t xml:space="preserve">B</t>
        </is>
      </c>
      <c r="C61" s="244" t="inlineStr">
        <is>
          <t xml:space="preserve">150mm thick bed</t>
        </is>
      </c>
      <c r="I61" s="245" t="inlineStr">
        <is>
          <t xml:space="preserve">m3</t>
        </is>
      </c>
      <c r="K61" s="256" t="inlineStr">
        <is>
          <t xml:space="preserve">'SUBSTRUCTURE'!C52</t>
        </is>
      </c>
    </row>
    <row r="62">
      <c r="C62" s="246" t="inlineStr">
        <is>
          <t xml:space="preserve">Bed: 41.0 x 36.0 x 0.15</t>
        </is>
      </c>
      <c r="E62" s="247">
        <v>41.0</v>
      </c>
      <c r="F62" s="247">
        <v>36.0</v>
      </c>
      <c r="G62" s="247">
        <v>0.15</v>
      </c>
      <c r="H62" s="249">
        <f>PRODUCT(D62:G62)</f>
        <v>221.4</v>
      </c>
      <c r="J62" s="253" t="inlineStr">
        <is>
          <t xml:space="preserve">41.0*36.0*0.15</t>
        </is>
      </c>
    </row>
    <row r="63">
      <c r="C63" s="250" t="inlineStr">
        <is>
          <t xml:space="preserve">Total carried to BOQ  SUBSTRUCTURE item B</t>
        </is>
      </c>
      <c r="D63" s="250" t="inlineStr">
        <is>
          <t xml:space="preserve"/>
        </is>
      </c>
      <c r="E63" s="250" t="inlineStr">
        <is>
          <t xml:space="preserve"/>
        </is>
      </c>
      <c r="F63" s="250" t="inlineStr">
        <is>
          <t xml:space="preserve"/>
        </is>
      </c>
      <c r="G63" s="250" t="inlineStr">
        <is>
          <t xml:space="preserve"/>
        </is>
      </c>
      <c r="H63" s="251">
        <f>SUM(H62:H62)</f>
        <v>221.4</v>
      </c>
      <c r="I63" s="252" t="inlineStr">
        <is>
          <t xml:space="preserve">m3</t>
        </is>
      </c>
    </row>
    <row r="64">
      <c r="C64" s="242" t="inlineStr">
        <is>
          <t xml:space="preserve">Vibrated in-situ concrete C40 as described in:</t>
        </is>
      </c>
    </row>
    <row r="65">
      <c r="A65" s="243" t="inlineStr">
        <is>
          <t xml:space="preserve">SUBSTRUCTURE</t>
        </is>
      </c>
      <c r="B65" s="243" t="inlineStr">
        <is>
          <t xml:space="preserve">C</t>
        </is>
      </c>
      <c r="C65" s="244" t="inlineStr">
        <is>
          <t xml:space="preserve">Concrete walls (raft to ground floor)</t>
        </is>
      </c>
      <c r="I65" s="245" t="inlineStr">
        <is>
          <t xml:space="preserve">m3</t>
        </is>
      </c>
      <c r="K65" s="256" t="inlineStr">
        <is>
          <t xml:space="preserve">'SUBSTRUCTURE'!C55</t>
        </is>
      </c>
    </row>
    <row r="66">
      <c r="C66" s="246" t="inlineStr">
        <is>
          <t xml:space="preserve">Main stair core walls: run x 250 thk x 1.30 (raft to GF)</t>
        </is>
      </c>
      <c r="E66" s="247">
        <v>22.05</v>
      </c>
      <c r="F66" s="247">
        <v>0.25</v>
      </c>
      <c r="G66" s="247">
        <v>1.3</v>
      </c>
      <c r="H66" s="249">
        <f>PRODUCT(D66:G66)</f>
        <v>7.166250000000001</v>
      </c>
      <c r="J66" s="253" t="inlineStr">
        <is>
          <t xml:space="preserve">22.05*0.25*1.3</t>
        </is>
      </c>
    </row>
    <row r="67">
      <c r="C67" s="246" t="inlineStr">
        <is>
          <t xml:space="preserve">Lift core walls: run x 250 thk x 1.30</t>
        </is>
      </c>
      <c r="E67" s="247">
        <v>21.825</v>
      </c>
      <c r="F67" s="247">
        <v>0.25</v>
      </c>
      <c r="G67" s="247">
        <v>1.3</v>
      </c>
      <c r="H67" s="249">
        <f>PRODUCT(D67:G67)</f>
        <v>7.093125</v>
      </c>
      <c r="J67" s="253" t="inlineStr">
        <is>
          <t xml:space="preserve">21.825*0.25*1.3</t>
        </is>
      </c>
    </row>
    <row r="68">
      <c r="C68" s="246" t="inlineStr">
        <is>
          <t xml:space="preserve">Emergency stair core walls: run x 250 thk x 1.30</t>
        </is>
      </c>
      <c r="E68" s="247">
        <v>25.57</v>
      </c>
      <c r="F68" s="247">
        <v>0.25</v>
      </c>
      <c r="G68" s="247">
        <v>1.3</v>
      </c>
      <c r="H68" s="249">
        <f>PRODUCT(D68:G68)</f>
        <v>8.31025</v>
      </c>
      <c r="J68" s="253" t="inlineStr">
        <is>
          <t xml:space="preserve">25.57*0.25*1.3</t>
        </is>
      </c>
    </row>
    <row r="69">
      <c r="C69" s="250" t="inlineStr">
        <is>
          <t xml:space="preserve">Total carried to BOQ  SUBSTRUCTURE item C</t>
        </is>
      </c>
      <c r="D69" s="250" t="inlineStr">
        <is>
          <t xml:space="preserve"/>
        </is>
      </c>
      <c r="E69" s="250" t="inlineStr">
        <is>
          <t xml:space="preserve"/>
        </is>
      </c>
      <c r="F69" s="250" t="inlineStr">
        <is>
          <t xml:space="preserve"/>
        </is>
      </c>
      <c r="G69" s="250" t="inlineStr">
        <is>
          <t xml:space="preserve"/>
        </is>
      </c>
      <c r="H69" s="251">
        <f>SUM(H66:H68)</f>
        <v>22.569625000000002</v>
      </c>
      <c r="I69" s="252" t="inlineStr">
        <is>
          <t xml:space="preserve">m3</t>
        </is>
      </c>
    </row>
    <row r="70">
      <c r="A70" s="243" t="inlineStr">
        <is>
          <t xml:space="preserve">SUBSTRUCTURE</t>
        </is>
      </c>
      <c r="B70" s="243" t="inlineStr">
        <is>
          <t xml:space="preserve">D</t>
        </is>
      </c>
      <c r="C70" s="244" t="inlineStr">
        <is>
          <t xml:space="preserve">Concrete in raft 1300mm thick</t>
        </is>
      </c>
      <c r="I70" s="245" t="inlineStr">
        <is>
          <t xml:space="preserve">m3</t>
        </is>
      </c>
      <c r="K70" s="256" t="inlineStr">
        <is>
          <t xml:space="preserve">'SUBSTRUCTURE'!C57</t>
        </is>
      </c>
    </row>
    <row r="71">
      <c r="C71" s="246" t="inlineStr">
        <is>
          <t xml:space="preserve">Raft: 41.0 x 36.0 x 1.30 (STR-001/002)</t>
        </is>
      </c>
      <c r="E71" s="247">
        <v>41.0</v>
      </c>
      <c r="F71" s="247">
        <v>36.0</v>
      </c>
      <c r="G71" s="247">
        <v>1.3</v>
      </c>
      <c r="H71" s="249">
        <f>PRODUCT(D71:G71)</f>
        <v>1918.8</v>
      </c>
      <c r="J71" s="253" t="inlineStr">
        <is>
          <t xml:space="preserve">41.0*36.0*1.3</t>
        </is>
      </c>
    </row>
    <row r="72">
      <c r="C72" s="250" t="inlineStr">
        <is>
          <t xml:space="preserve">Total carried to BOQ  SUBSTRUCTURE item D</t>
        </is>
      </c>
      <c r="D72" s="250" t="inlineStr">
        <is>
          <t xml:space="preserve"/>
        </is>
      </c>
      <c r="E72" s="250" t="inlineStr">
        <is>
          <t xml:space="preserve"/>
        </is>
      </c>
      <c r="F72" s="250" t="inlineStr">
        <is>
          <t xml:space="preserve"/>
        </is>
      </c>
      <c r="G72" s="250" t="inlineStr">
        <is>
          <t xml:space="preserve"/>
        </is>
      </c>
      <c r="H72" s="251">
        <f>SUM(H71:H71)</f>
        <v>1918.8</v>
      </c>
      <c r="I72" s="252" t="inlineStr">
        <is>
          <t xml:space="preserve">m3</t>
        </is>
      </c>
    </row>
    <row r="73">
      <c r="A73" s="243" t="inlineStr">
        <is>
          <t xml:space="preserve">SUBSTRUCTURE</t>
        </is>
      </c>
      <c r="B73" s="243" t="inlineStr">
        <is>
          <t xml:space="preserve">E</t>
        </is>
      </c>
      <c r="C73" s="244" t="inlineStr">
        <is>
          <t xml:space="preserve">Concrete in columns (raft to ground floor)</t>
        </is>
      </c>
      <c r="I73" s="245" t="inlineStr">
        <is>
          <t xml:space="preserve">m3</t>
        </is>
      </c>
      <c r="K73" s="256" t="inlineStr">
        <is>
          <t xml:space="preserve">'SUBSTRUCTURE'!C59</t>
        </is>
      </c>
    </row>
    <row r="74">
      <c r="C74" s="246" t="inlineStr">
        <is>
          <t xml:space="preserve">COL-01A x5 - column (raft to GF), ht 1.3</t>
        </is>
      </c>
      <c r="D74" s="248">
        <v>5</v>
      </c>
      <c r="E74" s="247">
        <v>0.75</v>
      </c>
      <c r="F74" s="247">
        <v>0.5</v>
      </c>
      <c r="G74" s="247">
        <v>1.3</v>
      </c>
      <c r="H74" s="249">
        <f>PRODUCT(D74:G74)</f>
        <v>2.4375</v>
      </c>
      <c r="J74" s="253" t="inlineStr">
        <is>
          <t xml:space="preserve">5*0.75*0.5*1.3</t>
        </is>
      </c>
    </row>
    <row r="75">
      <c r="C75" s="246" t="inlineStr">
        <is>
          <t xml:space="preserve">COL-01B x1 - column (raft to GF), ht 1.3</t>
        </is>
      </c>
      <c r="D75" s="248">
        <v>1</v>
      </c>
      <c r="E75" s="247">
        <v>0.75</v>
      </c>
      <c r="F75" s="247">
        <v>0.5</v>
      </c>
      <c r="G75" s="247">
        <v>1.3</v>
      </c>
      <c r="H75" s="249">
        <f>PRODUCT(D75:G75)</f>
        <v>0.48750000000000004</v>
      </c>
      <c r="J75" s="253" t="inlineStr">
        <is>
          <t xml:space="preserve">1*0.75*0.5*1.3</t>
        </is>
      </c>
    </row>
    <row r="76">
      <c r="C76" s="246" t="inlineStr">
        <is>
          <t xml:space="preserve">COL-01C x2 - column (raft to GF), ht 1.3</t>
        </is>
      </c>
      <c r="D76" s="248">
        <v>2</v>
      </c>
      <c r="E76" s="247">
        <v>0.75</v>
      </c>
      <c r="F76" s="247">
        <v>0.5</v>
      </c>
      <c r="G76" s="247">
        <v>1.3</v>
      </c>
      <c r="H76" s="249">
        <f>PRODUCT(D76:G76)</f>
        <v>0.9750000000000001</v>
      </c>
      <c r="J76" s="253" t="inlineStr">
        <is>
          <t xml:space="preserve">2*0.75*0.5*1.3</t>
        </is>
      </c>
    </row>
    <row r="77">
      <c r="C77" s="246" t="inlineStr">
        <is>
          <t xml:space="preserve">COL-01D x1 - column (raft to GF), ht 1.3</t>
        </is>
      </c>
      <c r="D77" s="248">
        <v>1</v>
      </c>
      <c r="E77" s="247">
        <v>0.75</v>
      </c>
      <c r="F77" s="247">
        <v>0.5</v>
      </c>
      <c r="G77" s="247">
        <v>1.3</v>
      </c>
      <c r="H77" s="249">
        <f>PRODUCT(D77:G77)</f>
        <v>0.48750000000000004</v>
      </c>
      <c r="J77" s="253" t="inlineStr">
        <is>
          <t xml:space="preserve">1*0.75*0.5*1.3</t>
        </is>
      </c>
    </row>
    <row r="78">
      <c r="C78" s="246" t="inlineStr">
        <is>
          <t xml:space="preserve">COL-02A x3 - column (raft to GF), ht 1.3</t>
        </is>
      </c>
      <c r="D78" s="248">
        <v>3</v>
      </c>
      <c r="E78" s="247">
        <v>1.2</v>
      </c>
      <c r="F78" s="247">
        <v>0.3</v>
      </c>
      <c r="G78" s="247">
        <v>1.3</v>
      </c>
      <c r="H78" s="249">
        <f>PRODUCT(D78:G78)</f>
        <v>1.404</v>
      </c>
      <c r="J78" s="253" t="inlineStr">
        <is>
          <t xml:space="preserve">3*1.2*0.3*1.3</t>
        </is>
      </c>
    </row>
    <row r="79">
      <c r="C79" s="246" t="inlineStr">
        <is>
          <t xml:space="preserve">COL-02B x6 - column (raft to GF), ht 1.3</t>
        </is>
      </c>
      <c r="D79" s="248">
        <v>6</v>
      </c>
      <c r="E79" s="247">
        <v>1.2</v>
      </c>
      <c r="F79" s="247">
        <v>0.3</v>
      </c>
      <c r="G79" s="247">
        <v>1.3</v>
      </c>
      <c r="H79" s="249">
        <f>PRODUCT(D79:G79)</f>
        <v>2.808</v>
      </c>
      <c r="J79" s="253" t="inlineStr">
        <is>
          <t xml:space="preserve">6*1.2*0.3*1.3</t>
        </is>
      </c>
    </row>
    <row r="80">
      <c r="C80" s="246" t="inlineStr">
        <is>
          <t xml:space="preserve">COL-02C x1 - column (raft to GF), ht 1.3</t>
        </is>
      </c>
      <c r="D80" s="248">
        <v>1</v>
      </c>
      <c r="E80" s="247">
        <v>1.2</v>
      </c>
      <c r="F80" s="247">
        <v>0.3</v>
      </c>
      <c r="G80" s="247">
        <v>1.3</v>
      </c>
      <c r="H80" s="249">
        <f>PRODUCT(D80:G80)</f>
        <v>0.46799999999999997</v>
      </c>
      <c r="J80" s="253" t="inlineStr">
        <is>
          <t xml:space="preserve">1*1.2*0.3*1.3</t>
        </is>
      </c>
    </row>
    <row r="81">
      <c r="C81" s="246" t="inlineStr">
        <is>
          <t xml:space="preserve">COL-02D x15 - column (raft to GF), ht 1.3</t>
        </is>
      </c>
      <c r="D81" s="248">
        <v>15</v>
      </c>
      <c r="E81" s="247">
        <v>1.2</v>
      </c>
      <c r="F81" s="247">
        <v>0.3</v>
      </c>
      <c r="G81" s="247">
        <v>1.3</v>
      </c>
      <c r="H81" s="249">
        <f>PRODUCT(D81:G81)</f>
        <v>7.02</v>
      </c>
      <c r="J81" s="253" t="inlineStr">
        <is>
          <t xml:space="preserve">15*1.2*0.3*1.3</t>
        </is>
      </c>
    </row>
    <row r="82">
      <c r="C82" s="246" t="inlineStr">
        <is>
          <t xml:space="preserve">SWC-01A x1 - column (raft to GF), ht 1.3</t>
        </is>
      </c>
      <c r="D82" s="248">
        <v>1</v>
      </c>
      <c r="E82" s="247">
        <f>2.85*0.25+0.825*0.25</f>
        <v>0.91875</v>
      </c>
      <c r="F82" s="247">
        <v>1.3</v>
      </c>
      <c r="H82" s="249">
        <f>PRODUCT(D82:G82)</f>
        <v>1.194375</v>
      </c>
      <c r="J82" s="253" t="inlineStr">
        <is>
          <t xml:space="preserve">1*(2.85*0.25+0.825*0.25)*1.3</t>
        </is>
      </c>
    </row>
    <row r="83">
      <c r="C83" s="250" t="inlineStr">
        <is>
          <t xml:space="preserve">Total carried to BOQ  SUBSTRUCTURE item E</t>
        </is>
      </c>
      <c r="D83" s="250" t="inlineStr">
        <is>
          <t xml:space="preserve"/>
        </is>
      </c>
      <c r="E83" s="250" t="inlineStr">
        <is>
          <t xml:space="preserve"/>
        </is>
      </c>
      <c r="F83" s="250" t="inlineStr">
        <is>
          <t xml:space="preserve"/>
        </is>
      </c>
      <c r="G83" s="250" t="inlineStr">
        <is>
          <t xml:space="preserve"/>
        </is>
      </c>
      <c r="H83" s="251">
        <f>SUM(H74:H82)</f>
        <v>17.281875</v>
      </c>
      <c r="I83" s="252" t="inlineStr">
        <is>
          <t xml:space="preserve">m3</t>
        </is>
      </c>
    </row>
    <row r="84">
      <c r="C84" s="242" t="inlineStr">
        <is>
          <t xml:space="preserve">E30 REINFORCEMENT - High tensile yield round bar reinforcement (standard):</t>
        </is>
      </c>
    </row>
    <row r="85">
      <c r="A85" s="243" t="inlineStr">
        <is>
          <t xml:space="preserve">SUBSTRUCTURE</t>
        </is>
      </c>
      <c r="B85" s="243" t="inlineStr">
        <is>
          <t xml:space="preserve">F</t>
        </is>
      </c>
      <c r="C85" s="244" t="inlineStr">
        <is>
          <t xml:space="preserve">20mm diameter in raft</t>
        </is>
      </c>
      <c r="I85" s="245" t="inlineStr">
        <is>
          <t xml:space="preserve">t</t>
        </is>
      </c>
      <c r="K85" s="256" t="inlineStr">
        <is>
          <t xml:space="preserve">'SUBSTRUCTURE'!C62</t>
        </is>
      </c>
    </row>
    <row r="86">
      <c r="C86" s="246" t="inlineStr">
        <is>
          <t xml:space="preserve">Substructure (raft to GF) - Raft Foundation, Y20 (from reinforcement take-off / BBS)</t>
        </is>
      </c>
      <c r="H86" s="247">
        <v>2.466</v>
      </c>
      <c r="J86" s="253" t="inlineStr">
        <is>
          <t xml:space="preserve">2.466</t>
        </is>
      </c>
    </row>
    <row r="87">
      <c r="C87" s="250" t="inlineStr">
        <is>
          <t xml:space="preserve">Total carried to BOQ  SUBSTRUCTURE item F</t>
        </is>
      </c>
      <c r="D87" s="250" t="inlineStr">
        <is>
          <t xml:space="preserve"/>
        </is>
      </c>
      <c r="E87" s="250" t="inlineStr">
        <is>
          <t xml:space="preserve"/>
        </is>
      </c>
      <c r="F87" s="250" t="inlineStr">
        <is>
          <t xml:space="preserve"/>
        </is>
      </c>
      <c r="G87" s="250" t="inlineStr">
        <is>
          <t xml:space="preserve"/>
        </is>
      </c>
      <c r="H87" s="251">
        <f>SUM(H86:H86)</f>
        <v>2.466</v>
      </c>
      <c r="I87" s="252" t="inlineStr">
        <is>
          <t xml:space="preserve">t</t>
        </is>
      </c>
    </row>
    <row r="88">
      <c r="A88" s="243" t="inlineStr">
        <is>
          <t xml:space="preserve">SUBSTRUCTURE</t>
        </is>
      </c>
      <c r="B88" s="243" t="inlineStr">
        <is>
          <t xml:space="preserve">G</t>
        </is>
      </c>
      <c r="C88" s="244" t="inlineStr">
        <is>
          <t xml:space="preserve">25mm diameter in raft</t>
        </is>
      </c>
      <c r="I88" s="245" t="inlineStr">
        <is>
          <t xml:space="preserve">t</t>
        </is>
      </c>
      <c r="K88" s="256" t="inlineStr">
        <is>
          <t xml:space="preserve">'SUBSTRUCTURE'!C64</t>
        </is>
      </c>
    </row>
    <row r="89">
      <c r="C89" s="246" t="inlineStr">
        <is>
          <t xml:space="preserve">Substructure (raft to GF) - Raft Foundation, Y25 (from reinforcement take-off / BBS)</t>
        </is>
      </c>
      <c r="H89" s="247">
        <v>184.672</v>
      </c>
      <c r="J89" s="253" t="inlineStr">
        <is>
          <t xml:space="preserve">184.672</t>
        </is>
      </c>
    </row>
    <row r="90">
      <c r="C90" s="250" t="inlineStr">
        <is>
          <t xml:space="preserve">Total carried to BOQ  SUBSTRUCTURE item G</t>
        </is>
      </c>
      <c r="D90" s="250" t="inlineStr">
        <is>
          <t xml:space="preserve"/>
        </is>
      </c>
      <c r="E90" s="250" t="inlineStr">
        <is>
          <t xml:space="preserve"/>
        </is>
      </c>
      <c r="F90" s="250" t="inlineStr">
        <is>
          <t xml:space="preserve"/>
        </is>
      </c>
      <c r="G90" s="250" t="inlineStr">
        <is>
          <t xml:space="preserve"/>
        </is>
      </c>
      <c r="H90" s="251">
        <f>SUM(H89:H89)</f>
        <v>184.672</v>
      </c>
      <c r="I90" s="252" t="inlineStr">
        <is>
          <t xml:space="preserve">t</t>
        </is>
      </c>
    </row>
    <row r="91">
      <c r="A91" s="243" t="inlineStr">
        <is>
          <t xml:space="preserve">SUBSTRUCTURE</t>
        </is>
      </c>
      <c r="B91" s="243" t="inlineStr">
        <is>
          <t xml:space="preserve">H</t>
        </is>
      </c>
      <c r="C91" s="244" t="inlineStr">
        <is>
          <t xml:space="preserve">10mm diameter links to columns &amp; walls (raft to ground floor)</t>
        </is>
      </c>
      <c r="I91" s="245" t="inlineStr">
        <is>
          <t xml:space="preserve">t</t>
        </is>
      </c>
      <c r="K91" s="256" t="inlineStr">
        <is>
          <t xml:space="preserve">'SUBSTRUCTURE'!C66</t>
        </is>
      </c>
    </row>
    <row r="92">
      <c r="C92" s="246" t="inlineStr">
        <is>
          <t xml:space="preserve">Substructure (raft to GF) - Columns, Y10 (from reinforcement take-off / BBS)</t>
        </is>
      </c>
      <c r="H92" s="247">
        <v>3.252</v>
      </c>
      <c r="J92" s="253" t="inlineStr">
        <is>
          <t xml:space="preserve">3.252</t>
        </is>
      </c>
    </row>
    <row r="93">
      <c r="C93" s="246" t="inlineStr">
        <is>
          <t xml:space="preserve">Substructure (raft to GF) - Shear Walls, Y10 (from reinforcement take-off / BBS)</t>
        </is>
      </c>
      <c r="H93" s="247">
        <v>0.517</v>
      </c>
      <c r="J93" s="253" t="inlineStr">
        <is>
          <t xml:space="preserve">0.517</t>
        </is>
      </c>
    </row>
    <row r="94">
      <c r="C94" s="246" t="inlineStr">
        <is>
          <t xml:space="preserve">Substructure (raft to GF) - Lift Walls, Y10 (from reinforcement take-off / BBS)</t>
        </is>
      </c>
      <c r="H94" s="247">
        <v>0.26</v>
      </c>
      <c r="J94" s="253" t="inlineStr">
        <is>
          <t xml:space="preserve">0.26</t>
        </is>
      </c>
    </row>
    <row r="95">
      <c r="C95" s="250" t="inlineStr">
        <is>
          <t xml:space="preserve">Total carried to BOQ  SUBSTRUCTURE item H</t>
        </is>
      </c>
      <c r="D95" s="250" t="inlineStr">
        <is>
          <t xml:space="preserve"/>
        </is>
      </c>
      <c r="E95" s="250" t="inlineStr">
        <is>
          <t xml:space="preserve"/>
        </is>
      </c>
      <c r="F95" s="250" t="inlineStr">
        <is>
          <t xml:space="preserve"/>
        </is>
      </c>
      <c r="G95" s="250" t="inlineStr">
        <is>
          <t xml:space="preserve"/>
        </is>
      </c>
      <c r="H95" s="251">
        <f>SUM(H92:H94)</f>
        <v>4.029</v>
      </c>
      <c r="I95" s="252" t="inlineStr">
        <is>
          <t xml:space="preserve">t</t>
        </is>
      </c>
    </row>
    <row r="96">
      <c r="A96" s="243" t="inlineStr">
        <is>
          <t xml:space="preserve">SUBSTRUCTURE</t>
        </is>
      </c>
      <c r="B96" s="243" t="inlineStr">
        <is>
          <t xml:space="preserve">J</t>
        </is>
      </c>
      <c r="C96" s="244" t="inlineStr">
        <is>
          <t xml:space="preserve">12mm diameter to walls (raft to ground floor)</t>
        </is>
      </c>
      <c r="I96" s="245" t="inlineStr">
        <is>
          <t xml:space="preserve">t</t>
        </is>
      </c>
      <c r="K96" s="256" t="inlineStr">
        <is>
          <t xml:space="preserve">'SUBSTRUCTURE'!C68</t>
        </is>
      </c>
    </row>
    <row r="97">
      <c r="C97" s="246" t="inlineStr">
        <is>
          <t xml:space="preserve">Substructure (raft to GF) - Shear Walls, Y12 (from reinforcement take-off / BBS)</t>
        </is>
      </c>
      <c r="H97" s="247">
        <v>0.863</v>
      </c>
      <c r="J97" s="253" t="inlineStr">
        <is>
          <t xml:space="preserve">0.863</t>
        </is>
      </c>
    </row>
    <row r="98">
      <c r="C98" s="246" t="inlineStr">
        <is>
          <t xml:space="preserve">Substructure (raft to GF) - Lift Walls, Y12 (from reinforcement take-off / BBS)</t>
        </is>
      </c>
      <c r="H98" s="247">
        <v>0.39</v>
      </c>
      <c r="J98" s="253" t="inlineStr">
        <is>
          <t xml:space="preserve">0.390</t>
        </is>
      </c>
    </row>
    <row r="99">
      <c r="C99" s="250" t="inlineStr">
        <is>
          <t xml:space="preserve">Total carried to BOQ  SUBSTRUCTURE item J</t>
        </is>
      </c>
      <c r="D99" s="250" t="inlineStr">
        <is>
          <t xml:space="preserve"/>
        </is>
      </c>
      <c r="E99" s="250" t="inlineStr">
        <is>
          <t xml:space="preserve"/>
        </is>
      </c>
      <c r="F99" s="250" t="inlineStr">
        <is>
          <t xml:space="preserve"/>
        </is>
      </c>
      <c r="G99" s="250" t="inlineStr">
        <is>
          <t xml:space="preserve"/>
        </is>
      </c>
      <c r="H99" s="251">
        <f>SUM(H97:H98)</f>
        <v>1.2530000000000001</v>
      </c>
      <c r="I99" s="252" t="inlineStr">
        <is>
          <t xml:space="preserve">t</t>
        </is>
      </c>
    </row>
    <row r="100">
      <c r="A100" s="243" t="inlineStr">
        <is>
          <t xml:space="preserve">SUBSTRUCTURE</t>
        </is>
      </c>
      <c r="B100" s="243" t="inlineStr">
        <is>
          <t xml:space="preserve">K</t>
        </is>
      </c>
      <c r="C100" s="244" t="inlineStr">
        <is>
          <t xml:space="preserve">25mm diameter to columns &amp; walls (raft to ground floor)</t>
        </is>
      </c>
      <c r="I100" s="245" t="inlineStr">
        <is>
          <t xml:space="preserve">t</t>
        </is>
      </c>
      <c r="K100" s="256" t="inlineStr">
        <is>
          <t xml:space="preserve">'SUBSTRUCTURE'!C70</t>
        </is>
      </c>
    </row>
    <row r="101">
      <c r="C101" s="246" t="inlineStr">
        <is>
          <t xml:space="preserve">Substructure (raft to GF) - Columns, Y25 (from reinforcement take-off / BBS)</t>
        </is>
      </c>
      <c r="H101" s="247">
        <v>6.531</v>
      </c>
      <c r="J101" s="253" t="inlineStr">
        <is>
          <t xml:space="preserve">6.531</t>
        </is>
      </c>
    </row>
    <row r="102">
      <c r="C102" s="246" t="inlineStr">
        <is>
          <t xml:space="preserve">Substructure (raft to GF) - Shear Walls, Y25 (from reinforcement take-off / BBS)</t>
        </is>
      </c>
      <c r="H102" s="247">
        <v>9.84</v>
      </c>
      <c r="J102" s="253" t="inlineStr">
        <is>
          <t xml:space="preserve">9.84</t>
        </is>
      </c>
    </row>
    <row r="103">
      <c r="C103" s="246" t="inlineStr">
        <is>
          <t xml:space="preserve">Substructure (raft to GF) - Lift Walls, Y25 (from reinforcement take-off / BBS)</t>
        </is>
      </c>
      <c r="H103" s="247">
        <v>4.935</v>
      </c>
      <c r="J103" s="253" t="inlineStr">
        <is>
          <t xml:space="preserve">4.935</t>
        </is>
      </c>
    </row>
    <row r="104">
      <c r="C104" s="250" t="inlineStr">
        <is>
          <t xml:space="preserve">Total carried to BOQ  SUBSTRUCTURE item K</t>
        </is>
      </c>
      <c r="D104" s="250" t="inlineStr">
        <is>
          <t xml:space="preserve"/>
        </is>
      </c>
      <c r="E104" s="250" t="inlineStr">
        <is>
          <t xml:space="preserve"/>
        </is>
      </c>
      <c r="F104" s="250" t="inlineStr">
        <is>
          <t xml:space="preserve"/>
        </is>
      </c>
      <c r="G104" s="250" t="inlineStr">
        <is>
          <t xml:space="preserve"/>
        </is>
      </c>
      <c r="H104" s="251">
        <f>SUM(H101:H103)</f>
        <v>21.305999999999997</v>
      </c>
      <c r="I104" s="252" t="inlineStr">
        <is>
          <t xml:space="preserve">t</t>
        </is>
      </c>
    </row>
    <row r="105">
      <c r="A105" s="243" t="inlineStr">
        <is>
          <t xml:space="preserve">SUBSTRUCTURE</t>
        </is>
      </c>
      <c r="B105" s="243" t="inlineStr">
        <is>
          <t xml:space="preserve">L</t>
        </is>
      </c>
      <c r="C105" s="244" t="inlineStr">
        <is>
          <t xml:space="preserve">20mm diameter in columns (raft to ground floor)</t>
        </is>
      </c>
      <c r="I105" s="245" t="inlineStr">
        <is>
          <t xml:space="preserve">t</t>
        </is>
      </c>
      <c r="K105" s="256" t="inlineStr">
        <is>
          <t xml:space="preserve">'SUBSTRUCTURE'!C72</t>
        </is>
      </c>
    </row>
    <row r="106">
      <c r="C106" s="246" t="inlineStr">
        <is>
          <t xml:space="preserve">Substructure (raft to GF) - Columns, Y20 (from reinforcement take-off / BBS)</t>
        </is>
      </c>
      <c r="H106" s="247">
        <v>0.338</v>
      </c>
      <c r="J106" s="253" t="inlineStr">
        <is>
          <t xml:space="preserve">0.338</t>
        </is>
      </c>
    </row>
    <row r="107">
      <c r="C107" s="250" t="inlineStr">
        <is>
          <t xml:space="preserve">Total carried to BOQ  SUBSTRUCTURE item L</t>
        </is>
      </c>
      <c r="D107" s="250" t="inlineStr">
        <is>
          <t xml:space="preserve"/>
        </is>
      </c>
      <c r="E107" s="250" t="inlineStr">
        <is>
          <t xml:space="preserve"/>
        </is>
      </c>
      <c r="F107" s="250" t="inlineStr">
        <is>
          <t xml:space="preserve"/>
        </is>
      </c>
      <c r="G107" s="250" t="inlineStr">
        <is>
          <t xml:space="preserve"/>
        </is>
      </c>
      <c r="H107" s="251">
        <f>SUM(H106:H106)</f>
        <v>0.338</v>
      </c>
      <c r="I107" s="252" t="inlineStr">
        <is>
          <t xml:space="preserve">t</t>
        </is>
      </c>
    </row>
    <row r="108">
      <c r="C108" s="242" t="inlineStr">
        <is>
          <t xml:space="preserve">E20 FORMWORK</t>
        </is>
      </c>
    </row>
    <row r="109">
      <c r="A109" s="243" t="inlineStr">
        <is>
          <t xml:space="preserve">SUBSTRUCTURE</t>
        </is>
      </c>
      <c r="B109" s="243" t="inlineStr">
        <is>
          <t xml:space="preserve">M</t>
        </is>
      </c>
      <c r="C109" s="244" t="inlineStr">
        <is>
          <t xml:space="preserve">Concrete walls (both faces)</t>
        </is>
      </c>
      <c r="I109" s="245" t="inlineStr">
        <is>
          <t xml:space="preserve">m2</t>
        </is>
      </c>
      <c r="K109" s="256" t="inlineStr">
        <is>
          <t xml:space="preserve">'SUBSTRUCTURE'!C75</t>
        </is>
      </c>
    </row>
    <row r="110">
      <c r="C110" s="246" t="inlineStr">
        <is>
          <t xml:space="preserve">Main stair core walls: 2 faces x run x 1.30</t>
        </is>
      </c>
      <c r="D110" s="248">
        <v>2</v>
      </c>
      <c r="E110" s="247">
        <v>22.05</v>
      </c>
      <c r="F110" s="247">
        <v>1.3</v>
      </c>
      <c r="H110" s="249">
        <f>PRODUCT(D110:G110)</f>
        <v>57.330000000000005</v>
      </c>
      <c r="J110" s="253" t="inlineStr">
        <is>
          <t xml:space="preserve">2*22.05*1.3</t>
        </is>
      </c>
    </row>
    <row r="111">
      <c r="C111" s="246" t="inlineStr">
        <is>
          <t xml:space="preserve">Lift core walls: 2 faces x run x 1.30</t>
        </is>
      </c>
      <c r="D111" s="248">
        <v>2</v>
      </c>
      <c r="E111" s="247">
        <v>21.825</v>
      </c>
      <c r="F111" s="247">
        <v>1.3</v>
      </c>
      <c r="H111" s="249">
        <f>PRODUCT(D111:G111)</f>
        <v>56.745</v>
      </c>
      <c r="J111" s="253" t="inlineStr">
        <is>
          <t xml:space="preserve">2*21.825*1.3</t>
        </is>
      </c>
    </row>
    <row r="112">
      <c r="C112" s="246" t="inlineStr">
        <is>
          <t xml:space="preserve">Emergency stair core walls: 2 faces x run x 1.30</t>
        </is>
      </c>
      <c r="D112" s="248">
        <v>2</v>
      </c>
      <c r="E112" s="247">
        <v>25.57</v>
      </c>
      <c r="F112" s="247">
        <v>1.3</v>
      </c>
      <c r="H112" s="249">
        <f>PRODUCT(D112:G112)</f>
        <v>66.482</v>
      </c>
      <c r="J112" s="253" t="inlineStr">
        <is>
          <t xml:space="preserve">2*25.57*1.3</t>
        </is>
      </c>
    </row>
    <row r="113">
      <c r="C113" s="250" t="inlineStr">
        <is>
          <t xml:space="preserve">Total carried to BOQ  SUBSTRUCTURE item M</t>
        </is>
      </c>
      <c r="D113" s="250" t="inlineStr">
        <is>
          <t xml:space="preserve"/>
        </is>
      </c>
      <c r="E113" s="250" t="inlineStr">
        <is>
          <t xml:space="preserve"/>
        </is>
      </c>
      <c r="F113" s="250" t="inlineStr">
        <is>
          <t xml:space="preserve"/>
        </is>
      </c>
      <c r="G113" s="250" t="inlineStr">
        <is>
          <t xml:space="preserve"/>
        </is>
      </c>
      <c r="H113" s="251">
        <f>SUM(H110:H112)</f>
        <v>180.55700000000002</v>
      </c>
      <c r="I113" s="252" t="inlineStr">
        <is>
          <t xml:space="preserve">m2</t>
        </is>
      </c>
    </row>
    <row r="114">
      <c r="A114" s="243" t="inlineStr">
        <is>
          <t xml:space="preserve">SUBSTRUCTURE</t>
        </is>
      </c>
      <c r="B114" s="243" t="inlineStr">
        <is>
          <t xml:space="preserve">N</t>
        </is>
      </c>
      <c r="C114" s="244" t="inlineStr">
        <is>
          <t xml:space="preserve">Edges of bed 150mm high</t>
        </is>
      </c>
      <c r="I114" s="245" t="inlineStr">
        <is>
          <t xml:space="preserve">m</t>
        </is>
      </c>
      <c r="K114" s="256" t="inlineStr">
        <is>
          <t xml:space="preserve">'SUBSTRUCTURE'!C77</t>
        </is>
      </c>
    </row>
    <row r="115">
      <c r="C115" s="246" t="inlineStr">
        <is>
          <t xml:space="preserve">Bed perimeter: 2 x (41.0 + 36.0)</t>
        </is>
      </c>
      <c r="D115" s="248">
        <v>2</v>
      </c>
      <c r="E115" s="247">
        <f>41.0+36.0</f>
        <v>77.0</v>
      </c>
      <c r="H115" s="249">
        <f>PRODUCT(D115:G115)</f>
        <v>154.0</v>
      </c>
      <c r="J115" s="253" t="inlineStr">
        <is>
          <t xml:space="preserve">2*(41.0+36.0)</t>
        </is>
      </c>
    </row>
    <row r="116">
      <c r="C116" s="250" t="inlineStr">
        <is>
          <t xml:space="preserve">Total carried to BOQ  SUBSTRUCTURE item N</t>
        </is>
      </c>
      <c r="D116" s="250" t="inlineStr">
        <is>
          <t xml:space="preserve"/>
        </is>
      </c>
      <c r="E116" s="250" t="inlineStr">
        <is>
          <t xml:space="preserve"/>
        </is>
      </c>
      <c r="F116" s="250" t="inlineStr">
        <is>
          <t xml:space="preserve"/>
        </is>
      </c>
      <c r="G116" s="250" t="inlineStr">
        <is>
          <t xml:space="preserve"/>
        </is>
      </c>
      <c r="H116" s="251">
        <f>SUM(H115:H115)</f>
        <v>154.0</v>
      </c>
      <c r="I116" s="252" t="inlineStr">
        <is>
          <t xml:space="preserve">m</t>
        </is>
      </c>
    </row>
    <row r="117">
      <c r="A117" s="243" t="inlineStr">
        <is>
          <t xml:space="preserve">SUBSTRUCTURE</t>
        </is>
      </c>
      <c r="B117" s="243" t="inlineStr">
        <is>
          <t xml:space="preserve">P</t>
        </is>
      </c>
      <c r="C117" s="244" t="inlineStr">
        <is>
          <t xml:space="preserve">Edges of raft 1300mm high</t>
        </is>
      </c>
      <c r="I117" s="245" t="inlineStr">
        <is>
          <t xml:space="preserve">m2</t>
        </is>
      </c>
      <c r="K117" s="256" t="inlineStr">
        <is>
          <t xml:space="preserve">'SUBSTRUCTURE'!C79</t>
        </is>
      </c>
    </row>
    <row r="118">
      <c r="C118" s="246" t="inlineStr">
        <is>
          <t xml:space="preserve">Raft perimeter: 2 x (41.0 + 36.0) x 1.30</t>
        </is>
      </c>
      <c r="D118" s="248">
        <v>2</v>
      </c>
      <c r="E118" s="247">
        <f>41.0+36.0</f>
        <v>77.0</v>
      </c>
      <c r="F118" s="247">
        <v>1.3</v>
      </c>
      <c r="H118" s="249">
        <f>PRODUCT(D118:G118)</f>
        <v>200.20000000000002</v>
      </c>
      <c r="J118" s="253" t="inlineStr">
        <is>
          <t xml:space="preserve">2*(41.0+36.0)*1.3</t>
        </is>
      </c>
    </row>
    <row r="119">
      <c r="C119" s="250" t="inlineStr">
        <is>
          <t xml:space="preserve">Total carried to BOQ  SUBSTRUCTURE item P</t>
        </is>
      </c>
      <c r="D119" s="250" t="inlineStr">
        <is>
          <t xml:space="preserve"/>
        </is>
      </c>
      <c r="E119" s="250" t="inlineStr">
        <is>
          <t xml:space="preserve"/>
        </is>
      </c>
      <c r="F119" s="250" t="inlineStr">
        <is>
          <t xml:space="preserve"/>
        </is>
      </c>
      <c r="G119" s="250" t="inlineStr">
        <is>
          <t xml:space="preserve"/>
        </is>
      </c>
      <c r="H119" s="251">
        <f>SUM(H118:H118)</f>
        <v>200.20000000000002</v>
      </c>
      <c r="I119" s="252" t="inlineStr">
        <is>
          <t xml:space="preserve">m2</t>
        </is>
      </c>
    </row>
    <row r="120">
      <c r="A120" s="243" t="inlineStr">
        <is>
          <t xml:space="preserve">SUBSTRUCTURE</t>
        </is>
      </c>
      <c r="B120" s="243" t="inlineStr">
        <is>
          <t xml:space="preserve">Q</t>
        </is>
      </c>
      <c r="C120" s="244" t="inlineStr">
        <is>
          <t xml:space="preserve">Sides of columns (raft to ground floor)</t>
        </is>
      </c>
      <c r="I120" s="245" t="inlineStr">
        <is>
          <t xml:space="preserve">m2</t>
        </is>
      </c>
      <c r="K120" s="256" t="inlineStr">
        <is>
          <t xml:space="preserve">'SUBSTRUCTURE'!C81</t>
        </is>
      </c>
    </row>
    <row r="121">
      <c r="C121" s="246" t="inlineStr">
        <is>
          <t xml:space="preserve">COL-01A x5 - column sides (raft to GF), ht 1.3</t>
        </is>
      </c>
      <c r="D121" s="248">
        <v>5</v>
      </c>
      <c r="E121" s="247">
        <f>2*(0.75+0.5)</f>
        <v>2.5</v>
      </c>
      <c r="F121" s="247">
        <v>1.3</v>
      </c>
      <c r="H121" s="249">
        <f>PRODUCT(D121:G121)</f>
        <v>16.25</v>
      </c>
      <c r="J121" s="253" t="inlineStr">
        <is>
          <t xml:space="preserve">5*2*(0.75+0.5)*1.3</t>
        </is>
      </c>
    </row>
    <row r="122">
      <c r="C122" s="246" t="inlineStr">
        <is>
          <t xml:space="preserve">COL-01B x1 - column sides (raft to GF), ht 1.3</t>
        </is>
      </c>
      <c r="D122" s="248">
        <v>1</v>
      </c>
      <c r="E122" s="247">
        <f>2*(0.75+0.5)</f>
        <v>2.5</v>
      </c>
      <c r="F122" s="247">
        <v>1.3</v>
      </c>
      <c r="H122" s="249">
        <f>PRODUCT(D122:G122)</f>
        <v>3.25</v>
      </c>
      <c r="J122" s="253" t="inlineStr">
        <is>
          <t xml:space="preserve">1*2*(0.75+0.5)*1.3</t>
        </is>
      </c>
    </row>
    <row r="123">
      <c r="C123" s="246" t="inlineStr">
        <is>
          <t xml:space="preserve">COL-01C x2 - column sides (raft to GF), ht 1.3</t>
        </is>
      </c>
      <c r="D123" s="248">
        <v>2</v>
      </c>
      <c r="E123" s="247">
        <f>2*(0.75+0.5)</f>
        <v>2.5</v>
      </c>
      <c r="F123" s="247">
        <v>1.3</v>
      </c>
      <c r="H123" s="249">
        <f>PRODUCT(D123:G123)</f>
        <v>6.5</v>
      </c>
      <c r="J123" s="253" t="inlineStr">
        <is>
          <t xml:space="preserve">2*2*(0.75+0.5)*1.3</t>
        </is>
      </c>
    </row>
    <row r="124">
      <c r="C124" s="246" t="inlineStr">
        <is>
          <t xml:space="preserve">COL-01D x1 - column sides (raft to GF), ht 1.3</t>
        </is>
      </c>
      <c r="D124" s="248">
        <v>1</v>
      </c>
      <c r="E124" s="247">
        <f>2*(0.75+0.5)</f>
        <v>2.5</v>
      </c>
      <c r="F124" s="247">
        <v>1.3</v>
      </c>
      <c r="H124" s="249">
        <f>PRODUCT(D124:G124)</f>
        <v>3.25</v>
      </c>
      <c r="J124" s="253" t="inlineStr">
        <is>
          <t xml:space="preserve">1*2*(0.75+0.5)*1.3</t>
        </is>
      </c>
    </row>
    <row r="125">
      <c r="C125" s="246" t="inlineStr">
        <is>
          <t xml:space="preserve">COL-02A x3 - column sides (raft to GF), ht 1.3</t>
        </is>
      </c>
      <c r="D125" s="248">
        <v>3</v>
      </c>
      <c r="E125" s="247">
        <f>2*(1.2+0.3)</f>
        <v>3.0</v>
      </c>
      <c r="F125" s="247">
        <v>1.3</v>
      </c>
      <c r="H125" s="249">
        <f>PRODUCT(D125:G125)</f>
        <v>11.700000000000001</v>
      </c>
      <c r="J125" s="253" t="inlineStr">
        <is>
          <t xml:space="preserve">3*2*(1.2+0.3)*1.3</t>
        </is>
      </c>
    </row>
    <row r="126">
      <c r="C126" s="246" t="inlineStr">
        <is>
          <t xml:space="preserve">COL-02B x6 - column sides (raft to GF), ht 1.3</t>
        </is>
      </c>
      <c r="D126" s="248">
        <v>6</v>
      </c>
      <c r="E126" s="247">
        <f>2*(1.2+0.3)</f>
        <v>3.0</v>
      </c>
      <c r="F126" s="247">
        <v>1.3</v>
      </c>
      <c r="H126" s="249">
        <f>PRODUCT(D126:G126)</f>
        <v>23.400000000000002</v>
      </c>
      <c r="J126" s="253" t="inlineStr">
        <is>
          <t xml:space="preserve">6*2*(1.2+0.3)*1.3</t>
        </is>
      </c>
    </row>
    <row r="127">
      <c r="C127" s="246" t="inlineStr">
        <is>
          <t xml:space="preserve">COL-02C x1 - column sides (raft to GF), ht 1.3</t>
        </is>
      </c>
      <c r="D127" s="248">
        <v>1</v>
      </c>
      <c r="E127" s="247">
        <f>2*(1.2+0.3)</f>
        <v>3.0</v>
      </c>
      <c r="F127" s="247">
        <v>1.3</v>
      </c>
      <c r="H127" s="249">
        <f>PRODUCT(D127:G127)</f>
        <v>3.9000000000000004</v>
      </c>
      <c r="J127" s="253" t="inlineStr">
        <is>
          <t xml:space="preserve">1*2*(1.2+0.3)*1.3</t>
        </is>
      </c>
    </row>
    <row r="128">
      <c r="C128" s="246" t="inlineStr">
        <is>
          <t xml:space="preserve">COL-02D x15 - column sides (raft to GF), ht 1.3</t>
        </is>
      </c>
      <c r="D128" s="248">
        <v>15</v>
      </c>
      <c r="E128" s="247">
        <f>2*(1.2+0.3)</f>
        <v>3.0</v>
      </c>
      <c r="F128" s="247">
        <v>1.3</v>
      </c>
      <c r="H128" s="249">
        <f>PRODUCT(D128:G128)</f>
        <v>58.5</v>
      </c>
      <c r="J128" s="253" t="inlineStr">
        <is>
          <t xml:space="preserve">15*2*(1.2+0.3)*1.3</t>
        </is>
      </c>
    </row>
    <row r="129">
      <c r="C129" s="246" t="inlineStr">
        <is>
          <t xml:space="preserve">SWC-01A x1 - column sides (raft to GF), ht 1.3</t>
        </is>
      </c>
      <c r="D129" s="248">
        <v>1</v>
      </c>
      <c r="E129" s="247">
        <f>2*(2.85+1.075)</f>
        <v>7.85</v>
      </c>
      <c r="F129" s="247">
        <v>1.3</v>
      </c>
      <c r="H129" s="249">
        <f>PRODUCT(D129:G129)</f>
        <v>10.205</v>
      </c>
      <c r="J129" s="253" t="inlineStr">
        <is>
          <t xml:space="preserve">1*2*(2.85+1.075)*1.3</t>
        </is>
      </c>
    </row>
    <row r="130">
      <c r="C130" s="250" t="inlineStr">
        <is>
          <t xml:space="preserve">Total carried to BOQ  SUBSTRUCTURE item Q</t>
        </is>
      </c>
      <c r="D130" s="250" t="inlineStr">
        <is>
          <t xml:space="preserve"/>
        </is>
      </c>
      <c r="E130" s="250" t="inlineStr">
        <is>
          <t xml:space="preserve"/>
        </is>
      </c>
      <c r="F130" s="250" t="inlineStr">
        <is>
          <t xml:space="preserve"/>
        </is>
      </c>
      <c r="G130" s="250" t="inlineStr">
        <is>
          <t xml:space="preserve"/>
        </is>
      </c>
      <c r="H130" s="251">
        <f>SUM(H121:H129)</f>
        <v>136.955</v>
      </c>
      <c r="I130" s="252" t="inlineStr">
        <is>
          <t xml:space="preserve">m2</t>
        </is>
      </c>
    </row>
    <row r="131">
      <c r="C131" s="242" t="inlineStr">
        <is>
          <t xml:space="preserve">BLOCK WORK</t>
        </is>
      </c>
    </row>
    <row r="132">
      <c r="C132" s="242" t="inlineStr">
        <is>
          <t xml:space="preserve">Solid sandcrete blockwork in cement and sand (1:4) mortar:</t>
        </is>
      </c>
    </row>
    <row r="133">
      <c r="A133" s="243" t="inlineStr">
        <is>
          <t xml:space="preserve">SUBSTRUCTURE</t>
        </is>
      </c>
      <c r="B133" s="243" t="inlineStr">
        <is>
          <t xml:space="preserve">A</t>
        </is>
      </c>
      <c r="C133" s="244" t="inlineStr">
        <is>
          <t xml:space="preserve">150mm walls to plinth</t>
        </is>
      </c>
      <c r="I133" s="245" t="inlineStr">
        <is>
          <t xml:space="preserve">m2</t>
        </is>
      </c>
      <c r="K133" s="256" t="inlineStr">
        <is>
          <t xml:space="preserve">'SUBSTRUCTURE'!C90</t>
        </is>
      </c>
    </row>
    <row r="134">
      <c r="C134" s="246" t="inlineStr">
        <is>
          <t xml:space="preserve">Plinth wall perimeter: 2 x (41.0 + 36.0) x 1.30 high</t>
        </is>
      </c>
      <c r="D134" s="248">
        <v>2</v>
      </c>
      <c r="E134" s="247">
        <f>41.0+36.0</f>
        <v>77.0</v>
      </c>
      <c r="F134" s="247">
        <v>1.3</v>
      </c>
      <c r="H134" s="249">
        <f>PRODUCT(D134:G134)</f>
        <v>200.20000000000002</v>
      </c>
      <c r="J134" s="253" t="inlineStr">
        <is>
          <t xml:space="preserve">2*(41.0+36.0)*1.3</t>
        </is>
      </c>
    </row>
    <row r="135">
      <c r="C135" s="250" t="inlineStr">
        <is>
          <t xml:space="preserve">Total carried to BOQ  SUBSTRUCTURE item A</t>
        </is>
      </c>
      <c r="D135" s="250" t="inlineStr">
        <is>
          <t xml:space="preserve"/>
        </is>
      </c>
      <c r="E135" s="250" t="inlineStr">
        <is>
          <t xml:space="preserve"/>
        </is>
      </c>
      <c r="F135" s="250" t="inlineStr">
        <is>
          <t xml:space="preserve"/>
        </is>
      </c>
      <c r="G135" s="250" t="inlineStr">
        <is>
          <t xml:space="preserve"/>
        </is>
      </c>
      <c r="H135" s="251">
        <f>SUM(H134:H134)</f>
        <v>200.20000000000002</v>
      </c>
      <c r="I135" s="252" t="inlineStr">
        <is>
          <t xml:space="preserve">m2</t>
        </is>
      </c>
    </row>
    <row r="136">
      <c r="C136" s="242" t="inlineStr">
        <is>
          <t xml:space="preserve">Raft top SSL -1.000; formation -4.000 (STR-001). Raft 41.0 x 36.0m measured on STR-001/STR-002.</t>
        </is>
      </c>
    </row>
    <row r="137"/>
    <row r="138" ht="21" customHeight="1">
      <c r="A138" s="241" t="inlineStr">
        <is>
          <t xml:space="preserve">BILL NR. 3 - GROUND FLOOR  -  GROUND FLOOR (INCL. M1 PARKING LEVEL 1B)</t>
        </is>
      </c>
      <c r="B138" s="241" t="inlineStr">
        <is>
          <t xml:space="preserve"/>
        </is>
      </c>
      <c r="C138" s="241" t="inlineStr">
        <is>
          <t xml:space="preserve"/>
        </is>
      </c>
      <c r="D138" s="241" t="inlineStr">
        <is>
          <t xml:space="preserve"/>
        </is>
      </c>
      <c r="E138" s="241" t="inlineStr">
        <is>
          <t xml:space="preserve"/>
        </is>
      </c>
      <c r="F138" s="241" t="inlineStr">
        <is>
          <t xml:space="preserve"/>
        </is>
      </c>
      <c r="G138" s="241" t="inlineStr">
        <is>
          <t xml:space="preserve"/>
        </is>
      </c>
      <c r="H138" s="241" t="inlineStr">
        <is>
          <t xml:space="preserve"/>
        </is>
      </c>
      <c r="I138" s="241" t="inlineStr">
        <is>
          <t xml:space="preserve"/>
        </is>
      </c>
      <c r="J138" s="241" t="inlineStr">
        <is>
          <t xml:space="preserve"/>
        </is>
      </c>
      <c r="K138" s="241" t="inlineStr">
        <is>
          <t xml:space="preserve"/>
        </is>
      </c>
    </row>
    <row r="139">
      <c r="C139" s="242" t="inlineStr">
        <is>
          <t xml:space="preserve">ELEMENT NO. 1: IN SITU CONCRETE/LARGE PRECAST CONCRETE</t>
        </is>
      </c>
    </row>
    <row r="140">
      <c r="C140" s="242" t="inlineStr">
        <is>
          <t xml:space="preserve">Vibrated in-situ concrete C40 as described in:</t>
        </is>
      </c>
    </row>
    <row r="141">
      <c r="A141" s="243" t="inlineStr">
        <is>
          <t xml:space="preserve">GROUND FLR</t>
        </is>
      </c>
      <c r="B141" s="243" t="inlineStr">
        <is>
          <t xml:space="preserve">A</t>
        </is>
      </c>
      <c r="C141" s="244" t="inlineStr">
        <is>
          <t xml:space="preserve">Suspended slab 250mm thick</t>
        </is>
      </c>
      <c r="I141" s="245" t="inlineStr">
        <is>
          <t xml:space="preserve">m3</t>
        </is>
      </c>
      <c r="K141" s="256" t="inlineStr">
        <is>
          <t xml:space="preserve">'GROUND FLR '!C34</t>
        </is>
      </c>
    </row>
    <row r="142">
      <c r="C142" s="246" t="inlineStr">
        <is>
          <t xml:space="preserve">M1 level 1B (+2500) - Suspended slab: measured area x 250 thk</t>
        </is>
      </c>
      <c r="E142" s="247">
        <v>689.1</v>
      </c>
      <c r="F142" s="247">
        <v>0.25</v>
      </c>
      <c r="H142" s="249">
        <f>PRODUCT(D142:G142)</f>
        <v>172.275</v>
      </c>
      <c r="J142" s="253" t="inlineStr">
        <is>
          <t xml:space="preserve">689.1*0.25</t>
        </is>
      </c>
    </row>
    <row r="143">
      <c r="C143" s="250" t="inlineStr">
        <is>
          <t xml:space="preserve">Total carried to BOQ  GROUND FLR item A</t>
        </is>
      </c>
      <c r="D143" s="250" t="inlineStr">
        <is>
          <t xml:space="preserve"/>
        </is>
      </c>
      <c r="E143" s="250" t="inlineStr">
        <is>
          <t xml:space="preserve"/>
        </is>
      </c>
      <c r="F143" s="250" t="inlineStr">
        <is>
          <t xml:space="preserve"/>
        </is>
      </c>
      <c r="G143" s="250" t="inlineStr">
        <is>
          <t xml:space="preserve"/>
        </is>
      </c>
      <c r="H143" s="251">
        <f>SUM(H142:H142)</f>
        <v>172.275</v>
      </c>
      <c r="I143" s="252" t="inlineStr">
        <is>
          <t xml:space="preserve">m3</t>
        </is>
      </c>
    </row>
    <row r="144">
      <c r="A144" s="243" t="inlineStr">
        <is>
          <t xml:space="preserve">GROUND FLR</t>
        </is>
      </c>
      <c r="B144" s="243" t="inlineStr">
        <is>
          <t xml:space="preserve">B</t>
        </is>
      </c>
      <c r="C144" s="244" t="inlineStr">
        <is>
          <t xml:space="preserve">Beams (downstands below slab)</t>
        </is>
      </c>
      <c r="I144" s="245" t="inlineStr">
        <is>
          <t xml:space="preserve">m3</t>
        </is>
      </c>
      <c r="K144" s="256" t="inlineStr">
        <is>
          <t xml:space="preserve">'GROUND FLR '!C36</t>
        </is>
      </c>
    </row>
    <row r="145">
      <c r="C145" s="246" t="inlineStr">
        <is>
          <t xml:space="preserve">M1 level 1B (+2500) - 300 wide beams: length x width x depth</t>
        </is>
      </c>
      <c r="E145" s="247">
        <v>67.8</v>
      </c>
      <c r="F145" s="247">
        <v>0.3</v>
      </c>
      <c r="G145" s="247">
        <v>0.35</v>
      </c>
      <c r="H145" s="249">
        <f>PRODUCT(D145:G145)</f>
        <v>7.119</v>
      </c>
      <c r="J145" s="253" t="inlineStr">
        <is>
          <t xml:space="preserve">67.8*0.3*0.35</t>
        </is>
      </c>
    </row>
    <row r="146">
      <c r="C146" s="250" t="inlineStr">
        <is>
          <t xml:space="preserve">Total carried to BOQ  GROUND FLR item B</t>
        </is>
      </c>
      <c r="D146" s="250" t="inlineStr">
        <is>
          <t xml:space="preserve"/>
        </is>
      </c>
      <c r="E146" s="250" t="inlineStr">
        <is>
          <t xml:space="preserve"/>
        </is>
      </c>
      <c r="F146" s="250" t="inlineStr">
        <is>
          <t xml:space="preserve"/>
        </is>
      </c>
      <c r="G146" s="250" t="inlineStr">
        <is>
          <t xml:space="preserve"/>
        </is>
      </c>
      <c r="H146" s="251">
        <f>SUM(H145:H145)</f>
        <v>7.119</v>
      </c>
      <c r="I146" s="252" t="inlineStr">
        <is>
          <t xml:space="preserve">m3</t>
        </is>
      </c>
    </row>
    <row r="147">
      <c r="A147" s="243" t="inlineStr">
        <is>
          <t xml:space="preserve">GROUND FLR</t>
        </is>
      </c>
      <c r="B147" s="243" t="inlineStr">
        <is>
          <t xml:space="preserve">C</t>
        </is>
      </c>
      <c r="C147" s="244" t="inlineStr">
        <is>
          <t xml:space="preserve">Columns</t>
        </is>
      </c>
      <c r="I147" s="245" t="inlineStr">
        <is>
          <t xml:space="preserve">m3</t>
        </is>
      </c>
      <c r="K147" s="256" t="inlineStr">
        <is>
          <t xml:space="preserve">'GROUND FLR '!C38</t>
        </is>
      </c>
    </row>
    <row r="148">
      <c r="C148" s="246" t="inlineStr">
        <is>
          <t xml:space="preserve">COL-01A x5 - column (GF to M1), ht 3.6</t>
        </is>
      </c>
      <c r="D148" s="248">
        <v>5</v>
      </c>
      <c r="E148" s="247">
        <v>0.75</v>
      </c>
      <c r="F148" s="247">
        <v>0.5</v>
      </c>
      <c r="G148" s="247">
        <v>3.6</v>
      </c>
      <c r="H148" s="249">
        <f>PRODUCT(D148:G148)</f>
        <v>6.75</v>
      </c>
      <c r="J148" s="253" t="inlineStr">
        <is>
          <t xml:space="preserve">5*0.75*0.5*3.6</t>
        </is>
      </c>
    </row>
    <row r="149">
      <c r="C149" s="246" t="inlineStr">
        <is>
          <t xml:space="preserve">COL-01B x1 - column (GF to M1), ht 3.6</t>
        </is>
      </c>
      <c r="D149" s="248">
        <v>1</v>
      </c>
      <c r="E149" s="247">
        <v>0.75</v>
      </c>
      <c r="F149" s="247">
        <v>0.5</v>
      </c>
      <c r="G149" s="247">
        <v>3.6</v>
      </c>
      <c r="H149" s="249">
        <f>PRODUCT(D149:G149)</f>
        <v>1.35</v>
      </c>
      <c r="J149" s="253" t="inlineStr">
        <is>
          <t xml:space="preserve">1*0.75*0.5*3.6</t>
        </is>
      </c>
    </row>
    <row r="150">
      <c r="C150" s="246" t="inlineStr">
        <is>
          <t xml:space="preserve">COL-01C x2 - column (GF to M1), ht 3.6</t>
        </is>
      </c>
      <c r="D150" s="248">
        <v>2</v>
      </c>
      <c r="E150" s="247">
        <v>0.75</v>
      </c>
      <c r="F150" s="247">
        <v>0.5</v>
      </c>
      <c r="G150" s="247">
        <v>3.6</v>
      </c>
      <c r="H150" s="249">
        <f>PRODUCT(D150:G150)</f>
        <v>2.7</v>
      </c>
      <c r="J150" s="253" t="inlineStr">
        <is>
          <t xml:space="preserve">2*0.75*0.5*3.6</t>
        </is>
      </c>
    </row>
    <row r="151">
      <c r="C151" s="246" t="inlineStr">
        <is>
          <t xml:space="preserve">COL-01D x1 - column (GF to M1), ht 1.95</t>
        </is>
      </c>
      <c r="D151" s="248">
        <v>1</v>
      </c>
      <c r="E151" s="247">
        <v>0.75</v>
      </c>
      <c r="F151" s="247">
        <v>0.5</v>
      </c>
      <c r="G151" s="247">
        <v>1.95</v>
      </c>
      <c r="H151" s="249">
        <f>PRODUCT(D151:G151)</f>
        <v>0.73125</v>
      </c>
      <c r="J151" s="253" t="inlineStr">
        <is>
          <t xml:space="preserve">1*0.75*0.5*1.95</t>
        </is>
      </c>
    </row>
    <row r="152">
      <c r="C152" s="246" t="inlineStr">
        <is>
          <t xml:space="preserve">COL-01D x1 - column (M1 to 1st), ht 2.45</t>
        </is>
      </c>
      <c r="D152" s="248">
        <v>1</v>
      </c>
      <c r="E152" s="247">
        <v>0.75</v>
      </c>
      <c r="F152" s="247">
        <v>0.5</v>
      </c>
      <c r="G152" s="247">
        <v>2.45</v>
      </c>
      <c r="H152" s="249">
        <f>PRODUCT(D152:G152)</f>
        <v>0.9187500000000001</v>
      </c>
      <c r="J152" s="253" t="inlineStr">
        <is>
          <t xml:space="preserve">1*0.75*0.5*2.45</t>
        </is>
      </c>
    </row>
    <row r="153">
      <c r="C153" s="246" t="inlineStr">
        <is>
          <t xml:space="preserve">COL-02A x3 - column (GF to M1), ht 3.6</t>
        </is>
      </c>
      <c r="D153" s="248">
        <v>3</v>
      </c>
      <c r="E153" s="247">
        <v>1.2</v>
      </c>
      <c r="F153" s="247">
        <v>0.3</v>
      </c>
      <c r="G153" s="247">
        <v>3.6</v>
      </c>
      <c r="H153" s="249">
        <f>PRODUCT(D153:G153)</f>
        <v>3.8879999999999995</v>
      </c>
      <c r="J153" s="253" t="inlineStr">
        <is>
          <t xml:space="preserve">3*1.2*0.3*3.6</t>
        </is>
      </c>
    </row>
    <row r="154">
      <c r="C154" s="246" t="inlineStr">
        <is>
          <t xml:space="preserve">COL-02B x6 - column (GF to M1), ht 3.6</t>
        </is>
      </c>
      <c r="D154" s="248">
        <v>6</v>
      </c>
      <c r="E154" s="247">
        <v>1.2</v>
      </c>
      <c r="F154" s="247">
        <v>0.3</v>
      </c>
      <c r="G154" s="247">
        <v>3.6</v>
      </c>
      <c r="H154" s="249">
        <f>PRODUCT(D154:G154)</f>
        <v>7.775999999999999</v>
      </c>
      <c r="J154" s="253" t="inlineStr">
        <is>
          <t xml:space="preserve">6*1.2*0.3*3.6</t>
        </is>
      </c>
    </row>
    <row r="155">
      <c r="C155" s="246" t="inlineStr">
        <is>
          <t xml:space="preserve">COL-02C x1 - column (GF to M1), ht 3.6</t>
        </is>
      </c>
      <c r="D155" s="248">
        <v>1</v>
      </c>
      <c r="E155" s="247">
        <v>1.2</v>
      </c>
      <c r="F155" s="247">
        <v>0.3</v>
      </c>
      <c r="G155" s="247">
        <v>3.6</v>
      </c>
      <c r="H155" s="249">
        <f>PRODUCT(D155:G155)</f>
        <v>1.296</v>
      </c>
      <c r="J155" s="253" t="inlineStr">
        <is>
          <t xml:space="preserve">1*1.2*0.3*3.6</t>
        </is>
      </c>
    </row>
    <row r="156">
      <c r="C156" s="246" t="inlineStr">
        <is>
          <t xml:space="preserve">COL-02D x15 - column (GF to M1), ht 1.95</t>
        </is>
      </c>
      <c r="D156" s="248">
        <v>15</v>
      </c>
      <c r="E156" s="247">
        <v>1.2</v>
      </c>
      <c r="F156" s="247">
        <v>0.3</v>
      </c>
      <c r="G156" s="247">
        <v>1.95</v>
      </c>
      <c r="H156" s="249">
        <f>PRODUCT(D156:G156)</f>
        <v>10.53</v>
      </c>
      <c r="J156" s="253" t="inlineStr">
        <is>
          <t xml:space="preserve">15*1.2*0.3*1.95</t>
        </is>
      </c>
    </row>
    <row r="157">
      <c r="C157" s="246" t="inlineStr">
        <is>
          <t xml:space="preserve">COL-02D x15 - column (M1 to 1st), ht 2.45</t>
        </is>
      </c>
      <c r="D157" s="248">
        <v>15</v>
      </c>
      <c r="E157" s="247">
        <v>1.2</v>
      </c>
      <c r="F157" s="247">
        <v>0.3</v>
      </c>
      <c r="G157" s="247">
        <v>2.45</v>
      </c>
      <c r="H157" s="249">
        <f>PRODUCT(D157:G157)</f>
        <v>13.23</v>
      </c>
      <c r="J157" s="253" t="inlineStr">
        <is>
          <t xml:space="preserve">15*1.2*0.3*2.45</t>
        </is>
      </c>
    </row>
    <row r="158">
      <c r="C158" s="246" t="inlineStr">
        <is>
          <t xml:space="preserve">SWC-01A x1 - column (GF to M1), ht 3.6</t>
        </is>
      </c>
      <c r="D158" s="248">
        <v>1</v>
      </c>
      <c r="E158" s="247">
        <f>2.85*0.25+0.825*0.25</f>
        <v>0.91875</v>
      </c>
      <c r="F158" s="247">
        <v>3.6</v>
      </c>
      <c r="H158" s="249">
        <f>PRODUCT(D158:G158)</f>
        <v>3.3075</v>
      </c>
      <c r="J158" s="253" t="inlineStr">
        <is>
          <t xml:space="preserve">1*(2.85*0.25+0.825*0.25)*3.6</t>
        </is>
      </c>
    </row>
    <row r="159">
      <c r="C159" s="250" t="inlineStr">
        <is>
          <t xml:space="preserve">Total carried to BOQ  GROUND FLR item C</t>
        </is>
      </c>
      <c r="D159" s="250" t="inlineStr">
        <is>
          <t xml:space="preserve"/>
        </is>
      </c>
      <c r="E159" s="250" t="inlineStr">
        <is>
          <t xml:space="preserve"/>
        </is>
      </c>
      <c r="F159" s="250" t="inlineStr">
        <is>
          <t xml:space="preserve"/>
        </is>
      </c>
      <c r="G159" s="250" t="inlineStr">
        <is>
          <t xml:space="preserve"/>
        </is>
      </c>
      <c r="H159" s="251">
        <f>SUM(H148:H158)</f>
        <v>52.4775</v>
      </c>
      <c r="I159" s="252" t="inlineStr">
        <is>
          <t xml:space="preserve">m3</t>
        </is>
      </c>
    </row>
    <row r="160">
      <c r="A160" s="243" t="inlineStr">
        <is>
          <t xml:space="preserve">GROUND FLR</t>
        </is>
      </c>
      <c r="B160" s="243" t="inlineStr">
        <is>
          <t xml:space="preserve">D</t>
        </is>
      </c>
      <c r="C160" s="244" t="inlineStr">
        <is>
          <t xml:space="preserve">Concrete wall - shear walls to main &amp; emergency stair cores, 250mm thick</t>
        </is>
      </c>
      <c r="I160" s="245" t="inlineStr">
        <is>
          <t xml:space="preserve">m3</t>
        </is>
      </c>
      <c r="K160" s="256" t="inlineStr">
        <is>
          <t xml:space="preserve">'GROUND FLR '!C40</t>
        </is>
      </c>
    </row>
    <row r="161">
      <c r="C161" s="246" t="inlineStr">
        <is>
          <t xml:space="preserve">Ground floor (+300) - main stair core walls (22.05 m run): run x ht x 250 thk</t>
        </is>
      </c>
      <c r="E161" s="247">
        <v>22.05</v>
      </c>
      <c r="F161" s="247">
        <v>3.6</v>
      </c>
      <c r="G161" s="247">
        <v>0.25</v>
      </c>
      <c r="H161" s="249">
        <f>PRODUCT(D161:G161)</f>
        <v>19.845000000000002</v>
      </c>
      <c r="J161" s="253" t="inlineStr">
        <is>
          <t xml:space="preserve">22.05*3.6*0.25</t>
        </is>
      </c>
    </row>
    <row r="162">
      <c r="C162" s="246" t="inlineStr">
        <is>
          <t xml:space="preserve">Ground floor (+300) - emergency stair core walls (25.57 m run): run x ht x 250 thk</t>
        </is>
      </c>
      <c r="E162" s="247">
        <v>25.57</v>
      </c>
      <c r="F162" s="247">
        <v>2.25</v>
      </c>
      <c r="G162" s="247">
        <v>0.25</v>
      </c>
      <c r="H162" s="249">
        <f>PRODUCT(D162:G162)</f>
        <v>14.383125</v>
      </c>
      <c r="J162" s="253" t="inlineStr">
        <is>
          <t xml:space="preserve">25.57*2.25*0.25</t>
        </is>
      </c>
    </row>
    <row r="163">
      <c r="C163" s="246" t="inlineStr">
        <is>
          <t xml:space="preserve">M1 level 1B (+2500) - emergency stair core walls (25.57 m run): run x ht x 250 thk</t>
        </is>
      </c>
      <c r="E163" s="247">
        <v>25.57</v>
      </c>
      <c r="F163" s="247">
        <v>2.45</v>
      </c>
      <c r="G163" s="247">
        <v>0.25</v>
      </c>
      <c r="H163" s="249">
        <f>PRODUCT(D163:G163)</f>
        <v>15.661625</v>
      </c>
      <c r="J163" s="253" t="inlineStr">
        <is>
          <t xml:space="preserve">25.57*2.45*0.25</t>
        </is>
      </c>
    </row>
    <row r="164">
      <c r="C164" s="250" t="inlineStr">
        <is>
          <t xml:space="preserve">Total carried to BOQ  GROUND FLR item D</t>
        </is>
      </c>
      <c r="D164" s="250" t="inlineStr">
        <is>
          <t xml:space="preserve"/>
        </is>
      </c>
      <c r="E164" s="250" t="inlineStr">
        <is>
          <t xml:space="preserve"/>
        </is>
      </c>
      <c r="F164" s="250" t="inlineStr">
        <is>
          <t xml:space="preserve"/>
        </is>
      </c>
      <c r="G164" s="250" t="inlineStr">
        <is>
          <t xml:space="preserve"/>
        </is>
      </c>
      <c r="H164" s="251">
        <f>SUM(H161:H163)</f>
        <v>49.88975000000001</v>
      </c>
      <c r="I164" s="252" t="inlineStr">
        <is>
          <t xml:space="preserve">m3</t>
        </is>
      </c>
    </row>
    <row r="165">
      <c r="A165" s="243" t="inlineStr">
        <is>
          <t xml:space="preserve">GROUND FLR</t>
        </is>
      </c>
      <c r="B165" s="243" t="inlineStr">
        <is>
          <t xml:space="preserve">E</t>
        </is>
      </c>
      <c r="C165" s="244" t="inlineStr">
        <is>
          <t xml:space="preserve">Concrete wall - lift walls, 250mm thick</t>
        </is>
      </c>
      <c r="I165" s="245" t="inlineStr">
        <is>
          <t xml:space="preserve">m3</t>
        </is>
      </c>
      <c r="K165" s="256" t="inlineStr">
        <is>
          <t xml:space="preserve">'GROUND FLR '!C42</t>
        </is>
      </c>
    </row>
    <row r="166">
      <c r="C166" s="246" t="inlineStr">
        <is>
          <t xml:space="preserve">Ground floor (+300) - lift core walls (21.825 m run): run x ht x 250 thk</t>
        </is>
      </c>
      <c r="E166" s="247">
        <v>21.825</v>
      </c>
      <c r="F166" s="247">
        <v>3.6</v>
      </c>
      <c r="G166" s="247">
        <v>0.25</v>
      </c>
      <c r="H166" s="249">
        <f>PRODUCT(D166:G166)</f>
        <v>19.6425</v>
      </c>
      <c r="J166" s="253" t="inlineStr">
        <is>
          <t xml:space="preserve">21.825*3.6*0.25</t>
        </is>
      </c>
    </row>
    <row r="167">
      <c r="C167" s="250" t="inlineStr">
        <is>
          <t xml:space="preserve">Total carried to BOQ  GROUND FLR item E</t>
        </is>
      </c>
      <c r="D167" s="250" t="inlineStr">
        <is>
          <t xml:space="preserve"/>
        </is>
      </c>
      <c r="E167" s="250" t="inlineStr">
        <is>
          <t xml:space="preserve"/>
        </is>
      </c>
      <c r="F167" s="250" t="inlineStr">
        <is>
          <t xml:space="preserve"/>
        </is>
      </c>
      <c r="G167" s="250" t="inlineStr">
        <is>
          <t xml:space="preserve"/>
        </is>
      </c>
      <c r="H167" s="251">
        <f>SUM(H166:H166)</f>
        <v>19.6425</v>
      </c>
      <c r="I167" s="252" t="inlineStr">
        <is>
          <t xml:space="preserve">m3</t>
        </is>
      </c>
    </row>
    <row r="168">
      <c r="A168" s="243" t="inlineStr">
        <is>
          <t xml:space="preserve">GROUND FLR</t>
        </is>
      </c>
      <c r="B168" s="243" t="inlineStr">
        <is>
          <t xml:space="preserve">F</t>
        </is>
      </c>
      <c r="C168" s="244" t="inlineStr">
        <is>
          <t xml:space="preserve">Stairs</t>
        </is>
      </c>
      <c r="I168" s="245" t="inlineStr">
        <is>
          <t xml:space="preserve">m3</t>
        </is>
      </c>
      <c r="K168" s="256" t="inlineStr">
        <is>
          <t xml:space="preserve">'GROUND FLR '!C44</t>
        </is>
      </c>
    </row>
    <row r="169">
      <c r="C169" s="246" t="inlineStr">
        <is>
          <t xml:space="preserve">Ground floor (+300) - Main stair flight (storey ht 3.85) - flights: 2.966 m3 per 3.3 m storey x (storey ht / 3.3)</t>
        </is>
      </c>
      <c r="E169" s="247">
        <v>2.966</v>
      </c>
      <c r="F169" s="247">
        <f>3.85/3.3</f>
        <v>1.1666666666666667</v>
      </c>
      <c r="H169" s="249">
        <f>PRODUCT(D169:G169)</f>
        <v>3.4603333333333337</v>
      </c>
      <c r="J169" s="253" t="inlineStr">
        <is>
          <t xml:space="preserve">2.966*3.85/3.3</t>
        </is>
      </c>
    </row>
    <row r="170">
      <c r="C170" s="246" t="inlineStr">
        <is>
          <t xml:space="preserve">Ground floor (+300) - Main stair flight (storey ht 3.85) - landings</t>
        </is>
      </c>
      <c r="H170" s="247">
        <v>2.625</v>
      </c>
      <c r="J170" s="253" t="inlineStr">
        <is>
          <t xml:space="preserve">2.625</t>
        </is>
      </c>
    </row>
    <row r="171">
      <c r="C171" s="246" t="inlineStr">
        <is>
          <t xml:space="preserve">Ground floor (+300) - Emergency stair flight (storey ht 2.5) - flights: 2.966 m3 per 3.3 m storey x (storey ht / 3.3)</t>
        </is>
      </c>
      <c r="E171" s="247">
        <v>2.966</v>
      </c>
      <c r="F171" s="247">
        <f>2.5/3.3</f>
        <v>0.7575757575757576</v>
      </c>
      <c r="H171" s="249">
        <f>PRODUCT(D171:G171)</f>
        <v>2.246969696969697</v>
      </c>
      <c r="J171" s="253" t="inlineStr">
        <is>
          <t xml:space="preserve">2.966*2.5/3.3</t>
        </is>
      </c>
    </row>
    <row r="172">
      <c r="C172" s="246" t="inlineStr">
        <is>
          <t xml:space="preserve">Ground floor (+300) - Emergency stair flight (storey ht 2.5) - landings</t>
        </is>
      </c>
      <c r="H172" s="247">
        <v>2.625</v>
      </c>
      <c r="J172" s="253" t="inlineStr">
        <is>
          <t xml:space="preserve">2.625</t>
        </is>
      </c>
    </row>
    <row r="173">
      <c r="C173" s="246" t="inlineStr">
        <is>
          <t xml:space="preserve">M1 level 1B (+2500) - Emergency stair flight (storey ht 2.7) - flights: 2.966 m3 per 3.3 m storey x (storey ht / 3.3)</t>
        </is>
      </c>
      <c r="E173" s="247">
        <v>2.966</v>
      </c>
      <c r="F173" s="247">
        <f>2.7/3.3</f>
        <v>0.8181818181818182</v>
      </c>
      <c r="H173" s="249">
        <f>PRODUCT(D173:G173)</f>
        <v>2.426727272727273</v>
      </c>
      <c r="J173" s="253" t="inlineStr">
        <is>
          <t xml:space="preserve">2.966*2.7/3.3</t>
        </is>
      </c>
    </row>
    <row r="174">
      <c r="C174" s="246" t="inlineStr">
        <is>
          <t xml:space="preserve">M1 level 1B (+2500) - Emergency stair flight (storey ht 2.7) - landings</t>
        </is>
      </c>
      <c r="H174" s="247">
        <v>2.625</v>
      </c>
      <c r="J174" s="253" t="inlineStr">
        <is>
          <t xml:space="preserve">2.625</t>
        </is>
      </c>
    </row>
    <row r="175">
      <c r="C175" s="250" t="inlineStr">
        <is>
          <t xml:space="preserve">Total carried to BOQ  GROUND FLR item F</t>
        </is>
      </c>
      <c r="D175" s="250" t="inlineStr">
        <is>
          <t xml:space="preserve"/>
        </is>
      </c>
      <c r="E175" s="250" t="inlineStr">
        <is>
          <t xml:space="preserve"/>
        </is>
      </c>
      <c r="F175" s="250" t="inlineStr">
        <is>
          <t xml:space="preserve"/>
        </is>
      </c>
      <c r="G175" s="250" t="inlineStr">
        <is>
          <t xml:space="preserve"/>
        </is>
      </c>
      <c r="H175" s="251">
        <f>SUM(H169:H174)</f>
        <v>16.009030303030304</v>
      </c>
      <c r="I175" s="252" t="inlineStr">
        <is>
          <t xml:space="preserve">m3</t>
        </is>
      </c>
    </row>
    <row r="176">
      <c r="A176" s="243" t="inlineStr">
        <is>
          <t xml:space="preserve">GROUND FLR</t>
        </is>
      </c>
      <c r="B176" s="243" t="inlineStr">
        <is>
          <t xml:space="preserve">G</t>
        </is>
      </c>
      <c r="C176" s="244" t="inlineStr">
        <is>
          <t xml:space="preserve">Lintels 150 x 225mm over door and window openings</t>
        </is>
      </c>
      <c r="I176" s="245" t="inlineStr">
        <is>
          <t xml:space="preserve">m3</t>
        </is>
      </c>
      <c r="K176" s="256" t="inlineStr">
        <is>
          <t xml:space="preserve">'GROUND FLR '!C46</t>
        </is>
      </c>
    </row>
    <row r="177">
      <c r="C177" s="246" t="inlineStr">
        <is>
          <t xml:space="preserve">Lintel over D1 (1 nr, 1.8x2.4): nr x (width + 2 x 150 bearing) x 150 x 225</t>
        </is>
      </c>
      <c r="D177" s="248">
        <v>1</v>
      </c>
      <c r="E177" s="247">
        <f>1.8+0.3</f>
        <v>2.1</v>
      </c>
      <c r="F177" s="247">
        <v>0.15</v>
      </c>
      <c r="G177" s="247">
        <v>0.225</v>
      </c>
      <c r="H177" s="249">
        <f>PRODUCT(D177:G177)</f>
        <v>0.07087500000000001</v>
      </c>
      <c r="J177" s="253" t="inlineStr">
        <is>
          <t xml:space="preserve">1*(1.8+0.3)*0.15*0.225</t>
        </is>
      </c>
    </row>
    <row r="178">
      <c r="C178" s="246" t="inlineStr">
        <is>
          <t xml:space="preserve">Lintel over D3 (6 nr, 0.9x2.2): nr x (width + 2 x 150 bearing) x 150 x 225</t>
        </is>
      </c>
      <c r="D178" s="248">
        <v>6</v>
      </c>
      <c r="E178" s="247">
        <f>0.9+0.3</f>
        <v>1.2</v>
      </c>
      <c r="F178" s="247">
        <v>0.15</v>
      </c>
      <c r="G178" s="247">
        <v>0.225</v>
      </c>
      <c r="H178" s="249">
        <f>PRODUCT(D178:G178)</f>
        <v>0.24299999999999997</v>
      </c>
      <c r="J178" s="253" t="inlineStr">
        <is>
          <t xml:space="preserve">6*(0.9+0.3)*0.15*0.225</t>
        </is>
      </c>
    </row>
    <row r="179">
      <c r="C179" s="246" t="inlineStr">
        <is>
          <t xml:space="preserve">Lintel over D4 (1 nr, 0.9x2.35): nr x (width + 2 x 150 bearing) x 150 x 225</t>
        </is>
      </c>
      <c r="D179" s="248">
        <v>1</v>
      </c>
      <c r="E179" s="247">
        <f>0.9+0.3</f>
        <v>1.2</v>
      </c>
      <c r="F179" s="247">
        <v>0.15</v>
      </c>
      <c r="G179" s="247">
        <v>0.225</v>
      </c>
      <c r="H179" s="249">
        <f>PRODUCT(D179:G179)</f>
        <v>0.0405</v>
      </c>
      <c r="J179" s="253" t="inlineStr">
        <is>
          <t xml:space="preserve">1*(0.9+0.3)*0.15*0.225</t>
        </is>
      </c>
    </row>
    <row r="180">
      <c r="C180" s="246" t="inlineStr">
        <is>
          <t xml:space="preserve">Lintel over D5 (1 nr, 3.2x2.2): nr x (width + 2 x 150 bearing) x 150 x 225</t>
        </is>
      </c>
      <c r="D180" s="248">
        <v>1</v>
      </c>
      <c r="E180" s="247">
        <f>3.2+0.3</f>
        <v>3.5</v>
      </c>
      <c r="F180" s="247">
        <v>0.15</v>
      </c>
      <c r="G180" s="247">
        <v>0.225</v>
      </c>
      <c r="H180" s="249">
        <f>PRODUCT(D180:G180)</f>
        <v>0.11812500000000001</v>
      </c>
      <c r="J180" s="253" t="inlineStr">
        <is>
          <t xml:space="preserve">1*(3.2+0.3)*0.15*0.225</t>
        </is>
      </c>
    </row>
    <row r="181">
      <c r="C181" s="246" t="inlineStr">
        <is>
          <t xml:space="preserve">Lintel over D6 (6 nr, 0.75x2.2): nr x (width + 2 x 150 bearing) x 150 x 225</t>
        </is>
      </c>
      <c r="D181" s="248">
        <v>6</v>
      </c>
      <c r="E181" s="247">
        <f>0.75+0.3</f>
        <v>1.05</v>
      </c>
      <c r="F181" s="247">
        <v>0.15</v>
      </c>
      <c r="G181" s="247">
        <v>0.225</v>
      </c>
      <c r="H181" s="249">
        <f>PRODUCT(D181:G181)</f>
        <v>0.212625</v>
      </c>
      <c r="J181" s="253" t="inlineStr">
        <is>
          <t xml:space="preserve">6*(0.75+0.3)*0.15*0.225</t>
        </is>
      </c>
    </row>
    <row r="182">
      <c r="C182" s="246" t="inlineStr">
        <is>
          <t xml:space="preserve">Lintel over D7 (2 nr, 0.7x2.2): nr x (width + 2 x 150 bearing) x 150 x 225</t>
        </is>
      </c>
      <c r="D182" s="248">
        <v>2</v>
      </c>
      <c r="E182" s="247">
        <f>0.7+0.3</f>
        <v>1.0</v>
      </c>
      <c r="F182" s="247">
        <v>0.15</v>
      </c>
      <c r="G182" s="247">
        <v>0.225</v>
      </c>
      <c r="H182" s="249">
        <f>PRODUCT(D182:G182)</f>
        <v>0.0675</v>
      </c>
      <c r="J182" s="253" t="inlineStr">
        <is>
          <t xml:space="preserve">2*(0.7+0.3)*0.15*0.225</t>
        </is>
      </c>
    </row>
    <row r="183">
      <c r="C183" s="246" t="inlineStr">
        <is>
          <t xml:space="preserve">Lintel over ED1 (3 nr, 1x2.2): nr x (width + 2 x 150 bearing) x 150 x 225</t>
        </is>
      </c>
      <c r="D183" s="248">
        <v>3</v>
      </c>
      <c r="E183" s="247">
        <f>1+0.3</f>
        <v>1.3</v>
      </c>
      <c r="F183" s="247">
        <v>0.15</v>
      </c>
      <c r="G183" s="247">
        <v>0.225</v>
      </c>
      <c r="H183" s="249">
        <f>PRODUCT(D183:G183)</f>
        <v>0.13162500000000002</v>
      </c>
      <c r="J183" s="253" t="inlineStr">
        <is>
          <t xml:space="preserve">3*(1+0.3)*0.15*0.225</t>
        </is>
      </c>
    </row>
    <row r="184">
      <c r="C184" s="246" t="inlineStr">
        <is>
          <t xml:space="preserve">Lintel over D9 (2 nr, 0.9x2.2): nr x (width + 2 x 150 bearing) x 150 x 225</t>
        </is>
      </c>
      <c r="D184" s="248">
        <v>2</v>
      </c>
      <c r="E184" s="247">
        <f>0.9+0.3</f>
        <v>1.2</v>
      </c>
      <c r="F184" s="247">
        <v>0.15</v>
      </c>
      <c r="G184" s="247">
        <v>0.225</v>
      </c>
      <c r="H184" s="249">
        <f>PRODUCT(D184:G184)</f>
        <v>0.081</v>
      </c>
      <c r="J184" s="253" t="inlineStr">
        <is>
          <t xml:space="preserve">2*(0.9+0.3)*0.15*0.225</t>
        </is>
      </c>
    </row>
    <row r="185">
      <c r="C185" s="246" t="inlineStr">
        <is>
          <t xml:space="preserve">Lintel over MD1 (3 nr, 1.8x2.2): nr x (width + 2 x 150 bearing) x 150 x 225</t>
        </is>
      </c>
      <c r="D185" s="248">
        <v>3</v>
      </c>
      <c r="E185" s="247">
        <f>1.8+0.3</f>
        <v>2.1</v>
      </c>
      <c r="F185" s="247">
        <v>0.15</v>
      </c>
      <c r="G185" s="247">
        <v>0.225</v>
      </c>
      <c r="H185" s="249">
        <f>PRODUCT(D185:G185)</f>
        <v>0.212625</v>
      </c>
      <c r="J185" s="253" t="inlineStr">
        <is>
          <t xml:space="preserve">3*(1.8+0.3)*0.15*0.225</t>
        </is>
      </c>
    </row>
    <row r="186">
      <c r="C186" s="246" t="inlineStr">
        <is>
          <t xml:space="preserve">Lintel over GD1 (2 nr, 1.8x2.2): nr x (width + 2 x 150 bearing) x 150 x 225</t>
        </is>
      </c>
      <c r="D186" s="248">
        <v>2</v>
      </c>
      <c r="E186" s="247">
        <f>1.8+0.3</f>
        <v>2.1</v>
      </c>
      <c r="F186" s="247">
        <v>0.15</v>
      </c>
      <c r="G186" s="247">
        <v>0.225</v>
      </c>
      <c r="H186" s="249">
        <f>PRODUCT(D186:G186)</f>
        <v>0.14175000000000001</v>
      </c>
      <c r="J186" s="253" t="inlineStr">
        <is>
          <t xml:space="preserve">2*(1.8+0.3)*0.15*0.225</t>
        </is>
      </c>
    </row>
    <row r="187">
      <c r="C187" s="246" t="inlineStr">
        <is>
          <t xml:space="preserve">Lintel over DW1 (2 nr, 2.4x2.2): nr x (width + 2 x 150 bearing) x 150 x 225</t>
        </is>
      </c>
      <c r="D187" s="248">
        <v>2</v>
      </c>
      <c r="E187" s="247">
        <f>2.4+0.3</f>
        <v>2.6999999999999997</v>
      </c>
      <c r="F187" s="247">
        <v>0.15</v>
      </c>
      <c r="G187" s="247">
        <v>0.225</v>
      </c>
      <c r="H187" s="249">
        <f>PRODUCT(D187:G187)</f>
        <v>0.18225</v>
      </c>
      <c r="J187" s="253" t="inlineStr">
        <is>
          <t xml:space="preserve">2*(2.4+0.3)*0.15*0.225</t>
        </is>
      </c>
    </row>
    <row r="188">
      <c r="C188" s="246" t="inlineStr">
        <is>
          <t xml:space="preserve">Lintel over DW2 (1 nr, 5.05x2.2): nr x (width + 2 x 150 bearing) x 150 x 225</t>
        </is>
      </c>
      <c r="D188" s="248">
        <v>1</v>
      </c>
      <c r="E188" s="247">
        <f>5.05+0.3</f>
        <v>5.35</v>
      </c>
      <c r="F188" s="247">
        <v>0.15</v>
      </c>
      <c r="G188" s="247">
        <v>0.225</v>
      </c>
      <c r="H188" s="249">
        <f>PRODUCT(D188:G188)</f>
        <v>0.1805625</v>
      </c>
      <c r="J188" s="253" t="inlineStr">
        <is>
          <t xml:space="preserve">1*(5.05+0.3)*0.15*0.225</t>
        </is>
      </c>
    </row>
    <row r="189">
      <c r="C189" s="246" t="inlineStr">
        <is>
          <t xml:space="preserve">Lintel over RD1 (2 nr, 4.2x2.157): nr x (width + 2 x 150 bearing) x 150 x 225</t>
        </is>
      </c>
      <c r="D189" s="248">
        <v>2</v>
      </c>
      <c r="E189" s="247">
        <f>4.2+0.3</f>
        <v>4.5</v>
      </c>
      <c r="F189" s="247">
        <v>0.15</v>
      </c>
      <c r="G189" s="247">
        <v>0.225</v>
      </c>
      <c r="H189" s="249">
        <f>PRODUCT(D189:G189)</f>
        <v>0.30374999999999996</v>
      </c>
      <c r="J189" s="253" t="inlineStr">
        <is>
          <t xml:space="preserve">2*(4.2+0.3)*0.15*0.225</t>
        </is>
      </c>
    </row>
    <row r="190">
      <c r="C190" s="246" t="inlineStr">
        <is>
          <t xml:space="preserve">Lintel over W1 (1 nr, 3.6x1.9): nr x (width + 2 x 150 bearing) x 150 x 225</t>
        </is>
      </c>
      <c r="D190" s="248">
        <v>1</v>
      </c>
      <c r="E190" s="247">
        <f>3.6+0.3</f>
        <v>3.9</v>
      </c>
      <c r="F190" s="247">
        <v>0.15</v>
      </c>
      <c r="G190" s="247">
        <v>0.225</v>
      </c>
      <c r="H190" s="249">
        <f>PRODUCT(D190:G190)</f>
        <v>0.131625</v>
      </c>
      <c r="J190" s="253" t="inlineStr">
        <is>
          <t xml:space="preserve">1*(3.6+0.3)*0.15*0.225</t>
        </is>
      </c>
    </row>
    <row r="191">
      <c r="C191" s="246" t="inlineStr">
        <is>
          <t xml:space="preserve">Lintel over W3 (1 nr, 1.8x1.5): nr x (width + 2 x 150 bearing) x 150 x 225</t>
        </is>
      </c>
      <c r="D191" s="248">
        <v>1</v>
      </c>
      <c r="E191" s="247">
        <f>1.8+0.3</f>
        <v>2.1</v>
      </c>
      <c r="F191" s="247">
        <v>0.15</v>
      </c>
      <c r="G191" s="247">
        <v>0.225</v>
      </c>
      <c r="H191" s="249">
        <f>PRODUCT(D191:G191)</f>
        <v>0.07087500000000001</v>
      </c>
      <c r="J191" s="253" t="inlineStr">
        <is>
          <t xml:space="preserve">1*(1.8+0.3)*0.15*0.225</t>
        </is>
      </c>
    </row>
    <row r="192">
      <c r="C192" s="246" t="inlineStr">
        <is>
          <t xml:space="preserve">Lintel over W5 (1 nr, 1.8x1.9): nr x (width + 2 x 150 bearing) x 150 x 225</t>
        </is>
      </c>
      <c r="D192" s="248">
        <v>1</v>
      </c>
      <c r="E192" s="247">
        <f>1.8+0.3</f>
        <v>2.1</v>
      </c>
      <c r="F192" s="247">
        <v>0.15</v>
      </c>
      <c r="G192" s="247">
        <v>0.225</v>
      </c>
      <c r="H192" s="249">
        <f>PRODUCT(D192:G192)</f>
        <v>0.07087500000000001</v>
      </c>
      <c r="J192" s="253" t="inlineStr">
        <is>
          <t xml:space="preserve">1*(1.8+0.3)*0.15*0.225</t>
        </is>
      </c>
    </row>
    <row r="193">
      <c r="C193" s="246" t="inlineStr">
        <is>
          <t xml:space="preserve">Lintel over W6 (1 nr, 3.5x1.5): nr x (width + 2 x 150 bearing) x 150 x 225</t>
        </is>
      </c>
      <c r="D193" s="248">
        <v>1</v>
      </c>
      <c r="E193" s="247">
        <f>3.5+0.3</f>
        <v>3.8</v>
      </c>
      <c r="F193" s="247">
        <v>0.15</v>
      </c>
      <c r="G193" s="247">
        <v>0.225</v>
      </c>
      <c r="H193" s="249">
        <f>PRODUCT(D193:G193)</f>
        <v>0.12825</v>
      </c>
      <c r="J193" s="253" t="inlineStr">
        <is>
          <t xml:space="preserve">1*(3.5+0.3)*0.15*0.225</t>
        </is>
      </c>
    </row>
    <row r="194">
      <c r="C194" s="246" t="inlineStr">
        <is>
          <t xml:space="preserve">Lintel over W14 (3 nr, 3.6x2.2): nr x (width + 2 x 150 bearing) x 150 x 225</t>
        </is>
      </c>
      <c r="D194" s="248">
        <v>3</v>
      </c>
      <c r="E194" s="247">
        <f>3.6+0.3</f>
        <v>3.9</v>
      </c>
      <c r="F194" s="247">
        <v>0.15</v>
      </c>
      <c r="G194" s="247">
        <v>0.225</v>
      </c>
      <c r="H194" s="249">
        <f>PRODUCT(D194:G194)</f>
        <v>0.394875</v>
      </c>
      <c r="J194" s="253" t="inlineStr">
        <is>
          <t xml:space="preserve">3*(3.6+0.3)*0.15*0.225</t>
        </is>
      </c>
    </row>
    <row r="195">
      <c r="C195" s="246" t="inlineStr">
        <is>
          <t xml:space="preserve">Lintel over W16 (2 nr, 2.4x1.9): nr x (width + 2 x 150 bearing) x 150 x 225</t>
        </is>
      </c>
      <c r="D195" s="248">
        <v>2</v>
      </c>
      <c r="E195" s="247">
        <f>2.4+0.3</f>
        <v>2.6999999999999997</v>
      </c>
      <c r="F195" s="247">
        <v>0.15</v>
      </c>
      <c r="G195" s="247">
        <v>0.225</v>
      </c>
      <c r="H195" s="249">
        <f>PRODUCT(D195:G195)</f>
        <v>0.18225</v>
      </c>
      <c r="J195" s="253" t="inlineStr">
        <is>
          <t xml:space="preserve">2*(2.4+0.3)*0.15*0.225</t>
        </is>
      </c>
    </row>
    <row r="196">
      <c r="C196" s="246" t="inlineStr">
        <is>
          <t xml:space="preserve">Lintel over W19 (2 nr, 2.1x0.9): nr x (width + 2 x 150 bearing) x 150 x 225</t>
        </is>
      </c>
      <c r="D196" s="248">
        <v>2</v>
      </c>
      <c r="E196" s="247">
        <f>2.1+0.3</f>
        <v>2.4</v>
      </c>
      <c r="F196" s="247">
        <v>0.15</v>
      </c>
      <c r="G196" s="247">
        <v>0.225</v>
      </c>
      <c r="H196" s="249">
        <f>PRODUCT(D196:G196)</f>
        <v>0.162</v>
      </c>
      <c r="J196" s="253" t="inlineStr">
        <is>
          <t xml:space="preserve">2*(2.1+0.3)*0.15*0.225</t>
        </is>
      </c>
    </row>
    <row r="197">
      <c r="C197" s="246" t="inlineStr">
        <is>
          <t xml:space="preserve">Lintel over HW1 (4 nr, 0.9x0.6): nr x (width + 2 x 150 bearing) x 150 x 225</t>
        </is>
      </c>
      <c r="D197" s="248">
        <v>4</v>
      </c>
      <c r="E197" s="247">
        <f>0.9+0.3</f>
        <v>1.2</v>
      </c>
      <c r="F197" s="247">
        <v>0.15</v>
      </c>
      <c r="G197" s="247">
        <v>0.225</v>
      </c>
      <c r="H197" s="249">
        <f>PRODUCT(D197:G197)</f>
        <v>0.162</v>
      </c>
      <c r="J197" s="253" t="inlineStr">
        <is>
          <t xml:space="preserve">4*(0.9+0.3)*0.15*0.225</t>
        </is>
      </c>
    </row>
    <row r="198">
      <c r="C198" s="246" t="inlineStr">
        <is>
          <t xml:space="preserve">Lintel over HW2 (1 nr, 0.75x0.6): nr x (width + 2 x 150 bearing) x 150 x 225</t>
        </is>
      </c>
      <c r="D198" s="248">
        <v>1</v>
      </c>
      <c r="E198" s="247">
        <f>0.75+0.3</f>
        <v>1.05</v>
      </c>
      <c r="F198" s="247">
        <v>0.15</v>
      </c>
      <c r="G198" s="247">
        <v>0.225</v>
      </c>
      <c r="H198" s="249">
        <f>PRODUCT(D198:G198)</f>
        <v>0.035437500000000004</v>
      </c>
      <c r="J198" s="253" t="inlineStr">
        <is>
          <t xml:space="preserve">1*(0.75+0.3)*0.15*0.225</t>
        </is>
      </c>
    </row>
    <row r="199">
      <c r="C199" s="250" t="inlineStr">
        <is>
          <t xml:space="preserve">Total carried to BOQ  GROUND FLR item G</t>
        </is>
      </c>
      <c r="D199" s="250" t="inlineStr">
        <is>
          <t xml:space="preserve"/>
        </is>
      </c>
      <c r="E199" s="250" t="inlineStr">
        <is>
          <t xml:space="preserve"/>
        </is>
      </c>
      <c r="F199" s="250" t="inlineStr">
        <is>
          <t xml:space="preserve"/>
        </is>
      </c>
      <c r="G199" s="250" t="inlineStr">
        <is>
          <t xml:space="preserve"/>
        </is>
      </c>
      <c r="H199" s="251">
        <f>SUM(H177:H198)</f>
        <v>3.3243749999999994</v>
      </c>
      <c r="I199" s="252" t="inlineStr">
        <is>
          <t xml:space="preserve">m3</t>
        </is>
      </c>
    </row>
    <row r="200">
      <c r="C200" s="242" t="inlineStr">
        <is>
          <t xml:space="preserve">E20 FORMWORK - Formwork as described to:</t>
        </is>
      </c>
    </row>
    <row r="201">
      <c r="A201" s="243" t="inlineStr">
        <is>
          <t xml:space="preserve">GROUND FLR</t>
        </is>
      </c>
      <c r="B201" s="243" t="inlineStr">
        <is>
          <t xml:space="preserve">H</t>
        </is>
      </c>
      <c r="C201" s="244" t="inlineStr">
        <is>
          <t xml:space="preserve">Soffits of suspended slab</t>
        </is>
      </c>
      <c r="I201" s="245" t="inlineStr">
        <is>
          <t xml:space="preserve">m2</t>
        </is>
      </c>
      <c r="K201" s="256" t="inlineStr">
        <is>
          <t xml:space="preserve">'GROUND FLR '!C49</t>
        </is>
      </c>
    </row>
    <row r="202">
      <c r="C202" s="246" t="inlineStr">
        <is>
          <t xml:space="preserve">M1 level 1B (+2500) - Slab soffit: measured area</t>
        </is>
      </c>
      <c r="H202" s="247">
        <v>689.1</v>
      </c>
      <c r="J202" s="253" t="inlineStr">
        <is>
          <t xml:space="preserve">689.1</t>
        </is>
      </c>
    </row>
    <row r="203">
      <c r="C203" s="250" t="inlineStr">
        <is>
          <t xml:space="preserve">Total carried to BOQ  GROUND FLR item H</t>
        </is>
      </c>
      <c r="D203" s="250" t="inlineStr">
        <is>
          <t xml:space="preserve"/>
        </is>
      </c>
      <c r="E203" s="250" t="inlineStr">
        <is>
          <t xml:space="preserve"/>
        </is>
      </c>
      <c r="F203" s="250" t="inlineStr">
        <is>
          <t xml:space="preserve"/>
        </is>
      </c>
      <c r="G203" s="250" t="inlineStr">
        <is>
          <t xml:space="preserve"/>
        </is>
      </c>
      <c r="H203" s="251">
        <f>SUM(H202:H202)</f>
        <v>689.1</v>
      </c>
      <c r="I203" s="252" t="inlineStr">
        <is>
          <t xml:space="preserve">m2</t>
        </is>
      </c>
    </row>
    <row r="204">
      <c r="A204" s="243" t="inlineStr">
        <is>
          <t xml:space="preserve">GROUND FLR</t>
        </is>
      </c>
      <c r="B204" s="243" t="inlineStr">
        <is>
          <t xml:space="preserve">J</t>
        </is>
      </c>
      <c r="C204" s="244" t="inlineStr">
        <is>
          <t xml:space="preserve">Edges of suspended slab 250mm high</t>
        </is>
      </c>
      <c r="I204" s="245" t="inlineStr">
        <is>
          <t xml:space="preserve">m</t>
        </is>
      </c>
      <c r="K204" s="256" t="inlineStr">
        <is>
          <t xml:space="preserve">'GROUND FLR '!C51</t>
        </is>
      </c>
    </row>
    <row r="205">
      <c r="C205" s="246" t="inlineStr">
        <is>
          <t xml:space="preserve">M1 level 1B (+2500) - Slab edge: measured perimeter</t>
        </is>
      </c>
      <c r="H205" s="247">
        <v>238.4</v>
      </c>
      <c r="J205" s="253" t="inlineStr">
        <is>
          <t xml:space="preserve">238.4</t>
        </is>
      </c>
    </row>
    <row r="206">
      <c r="C206" s="250" t="inlineStr">
        <is>
          <t xml:space="preserve">Total carried to BOQ  GROUND FLR item J</t>
        </is>
      </c>
      <c r="D206" s="250" t="inlineStr">
        <is>
          <t xml:space="preserve"/>
        </is>
      </c>
      <c r="E206" s="250" t="inlineStr">
        <is>
          <t xml:space="preserve"/>
        </is>
      </c>
      <c r="F206" s="250" t="inlineStr">
        <is>
          <t xml:space="preserve"/>
        </is>
      </c>
      <c r="G206" s="250" t="inlineStr">
        <is>
          <t xml:space="preserve"/>
        </is>
      </c>
      <c r="H206" s="251">
        <f>SUM(H205:H205)</f>
        <v>238.4</v>
      </c>
      <c r="I206" s="252" t="inlineStr">
        <is>
          <t xml:space="preserve">m</t>
        </is>
      </c>
    </row>
    <row r="207">
      <c r="A207" s="243" t="inlineStr">
        <is>
          <t xml:space="preserve">GROUND FLR</t>
        </is>
      </c>
      <c r="B207" s="243" t="inlineStr">
        <is>
          <t xml:space="preserve">K</t>
        </is>
      </c>
      <c r="C207" s="244" t="inlineStr">
        <is>
          <t xml:space="preserve">Sides and soffits of beams</t>
        </is>
      </c>
      <c r="I207" s="245" t="inlineStr">
        <is>
          <t xml:space="preserve">m2</t>
        </is>
      </c>
      <c r="K207" s="256" t="inlineStr">
        <is>
          <t xml:space="preserve">'GROUND FLR '!C53</t>
        </is>
      </c>
    </row>
    <row r="208">
      <c r="C208" s="246" t="inlineStr">
        <is>
          <t xml:space="preserve">M1 level 1B (+2500) - beam sides &amp; soffit (300 wide): length x girth</t>
        </is>
      </c>
      <c r="E208" s="247">
        <v>67.8</v>
      </c>
      <c r="F208" s="247">
        <f>2*0.35+0.3</f>
        <v>1.0</v>
      </c>
      <c r="H208" s="249">
        <f>PRODUCT(D208:G208)</f>
        <v>67.8</v>
      </c>
      <c r="J208" s="253" t="inlineStr">
        <is>
          <t xml:space="preserve">67.8*(2*0.35+0.3)</t>
        </is>
      </c>
    </row>
    <row r="209">
      <c r="C209" s="250" t="inlineStr">
        <is>
          <t xml:space="preserve">Total carried to BOQ  GROUND FLR item K</t>
        </is>
      </c>
      <c r="D209" s="250" t="inlineStr">
        <is>
          <t xml:space="preserve"/>
        </is>
      </c>
      <c r="E209" s="250" t="inlineStr">
        <is>
          <t xml:space="preserve"/>
        </is>
      </c>
      <c r="F209" s="250" t="inlineStr">
        <is>
          <t xml:space="preserve"/>
        </is>
      </c>
      <c r="G209" s="250" t="inlineStr">
        <is>
          <t xml:space="preserve"/>
        </is>
      </c>
      <c r="H209" s="251">
        <f>SUM(H208:H208)</f>
        <v>67.8</v>
      </c>
      <c r="I209" s="252" t="inlineStr">
        <is>
          <t xml:space="preserve">m2</t>
        </is>
      </c>
    </row>
    <row r="210">
      <c r="A210" s="243" t="inlineStr">
        <is>
          <t xml:space="preserve">GROUND FLR</t>
        </is>
      </c>
      <c r="B210" s="243" t="inlineStr">
        <is>
          <t xml:space="preserve">L</t>
        </is>
      </c>
      <c r="C210" s="244" t="inlineStr">
        <is>
          <t xml:space="preserve">Columns</t>
        </is>
      </c>
      <c r="I210" s="245" t="inlineStr">
        <is>
          <t xml:space="preserve">m2</t>
        </is>
      </c>
      <c r="K210" s="256" t="inlineStr">
        <is>
          <t xml:space="preserve">'GROUND FLR '!C55</t>
        </is>
      </c>
    </row>
    <row r="211">
      <c r="C211" s="246" t="inlineStr">
        <is>
          <t xml:space="preserve">COL-01A x5 - column faces (GF to M1), ht 3.6</t>
        </is>
      </c>
      <c r="D211" s="248">
        <v>5</v>
      </c>
      <c r="E211" s="247">
        <f>2*(0.75+0.5)</f>
        <v>2.5</v>
      </c>
      <c r="F211" s="247">
        <v>3.6</v>
      </c>
      <c r="H211" s="249">
        <f>PRODUCT(D211:G211)</f>
        <v>45.0</v>
      </c>
      <c r="J211" s="253" t="inlineStr">
        <is>
          <t xml:space="preserve">5*2*(0.75+0.5)*3.6</t>
        </is>
      </c>
    </row>
    <row r="212">
      <c r="C212" s="246" t="inlineStr">
        <is>
          <t xml:space="preserve">COL-01B x1 - column faces (GF to M1), ht 3.6</t>
        </is>
      </c>
      <c r="D212" s="248">
        <v>1</v>
      </c>
      <c r="E212" s="247">
        <f>2*(0.75+0.5)</f>
        <v>2.5</v>
      </c>
      <c r="F212" s="247">
        <v>3.6</v>
      </c>
      <c r="H212" s="249">
        <f>PRODUCT(D212:G212)</f>
        <v>9.0</v>
      </c>
      <c r="J212" s="253" t="inlineStr">
        <is>
          <t xml:space="preserve">1*2*(0.75+0.5)*3.6</t>
        </is>
      </c>
    </row>
    <row r="213">
      <c r="C213" s="246" t="inlineStr">
        <is>
          <t xml:space="preserve">COL-01C x2 - column faces (GF to M1), ht 3.6</t>
        </is>
      </c>
      <c r="D213" s="248">
        <v>2</v>
      </c>
      <c r="E213" s="247">
        <f>2*(0.75+0.5)</f>
        <v>2.5</v>
      </c>
      <c r="F213" s="247">
        <v>3.6</v>
      </c>
      <c r="H213" s="249">
        <f>PRODUCT(D213:G213)</f>
        <v>18.0</v>
      </c>
      <c r="J213" s="253" t="inlineStr">
        <is>
          <t xml:space="preserve">2*2*(0.75+0.5)*3.6</t>
        </is>
      </c>
    </row>
    <row r="214">
      <c r="C214" s="246" t="inlineStr">
        <is>
          <t xml:space="preserve">COL-01D x1 - column faces (GF to M1), ht 1.95</t>
        </is>
      </c>
      <c r="D214" s="248">
        <v>1</v>
      </c>
      <c r="E214" s="247">
        <f>2*(0.75+0.5)</f>
        <v>2.5</v>
      </c>
      <c r="F214" s="247">
        <v>1.95</v>
      </c>
      <c r="H214" s="249">
        <f>PRODUCT(D214:G214)</f>
        <v>4.875</v>
      </c>
      <c r="J214" s="253" t="inlineStr">
        <is>
          <t xml:space="preserve">1*2*(0.75+0.5)*1.95</t>
        </is>
      </c>
    </row>
    <row r="215">
      <c r="C215" s="246" t="inlineStr">
        <is>
          <t xml:space="preserve">COL-01D x1 - column faces (M1 to 1st), ht 2.45</t>
        </is>
      </c>
      <c r="D215" s="248">
        <v>1</v>
      </c>
      <c r="E215" s="247">
        <f>2*(0.75+0.5)</f>
        <v>2.5</v>
      </c>
      <c r="F215" s="247">
        <v>2.45</v>
      </c>
      <c r="H215" s="249">
        <f>PRODUCT(D215:G215)</f>
        <v>6.125</v>
      </c>
      <c r="J215" s="253" t="inlineStr">
        <is>
          <t xml:space="preserve">1*2*(0.75+0.5)*2.45</t>
        </is>
      </c>
    </row>
    <row r="216">
      <c r="C216" s="246" t="inlineStr">
        <is>
          <t xml:space="preserve">COL-02A x3 - column faces (GF to M1), ht 3.6</t>
        </is>
      </c>
      <c r="D216" s="248">
        <v>3</v>
      </c>
      <c r="E216" s="247">
        <f>2*(1.2+0.3)</f>
        <v>3.0</v>
      </c>
      <c r="F216" s="247">
        <v>3.6</v>
      </c>
      <c r="H216" s="249">
        <f>PRODUCT(D216:G216)</f>
        <v>32.4</v>
      </c>
      <c r="J216" s="253" t="inlineStr">
        <is>
          <t xml:space="preserve">3*2*(1.2+0.3)*3.6</t>
        </is>
      </c>
    </row>
    <row r="217">
      <c r="C217" s="246" t="inlineStr">
        <is>
          <t xml:space="preserve">COL-02B x6 - column faces (GF to M1), ht 3.6</t>
        </is>
      </c>
      <c r="D217" s="248">
        <v>6</v>
      </c>
      <c r="E217" s="247">
        <f>2*(1.2+0.3)</f>
        <v>3.0</v>
      </c>
      <c r="F217" s="247">
        <v>3.6</v>
      </c>
      <c r="H217" s="249">
        <f>PRODUCT(D217:G217)</f>
        <v>64.8</v>
      </c>
      <c r="J217" s="253" t="inlineStr">
        <is>
          <t xml:space="preserve">6*2*(1.2+0.3)*3.6</t>
        </is>
      </c>
    </row>
    <row r="218">
      <c r="C218" s="246" t="inlineStr">
        <is>
          <t xml:space="preserve">COL-02C x1 - column faces (GF to M1), ht 3.6</t>
        </is>
      </c>
      <c r="D218" s="248">
        <v>1</v>
      </c>
      <c r="E218" s="247">
        <f>2*(1.2+0.3)</f>
        <v>3.0</v>
      </c>
      <c r="F218" s="247">
        <v>3.6</v>
      </c>
      <c r="H218" s="249">
        <f>PRODUCT(D218:G218)</f>
        <v>10.8</v>
      </c>
      <c r="J218" s="253" t="inlineStr">
        <is>
          <t xml:space="preserve">1*2*(1.2+0.3)*3.6</t>
        </is>
      </c>
    </row>
    <row r="219">
      <c r="C219" s="246" t="inlineStr">
        <is>
          <t xml:space="preserve">COL-02D x15 - column faces (GF to M1), ht 1.95</t>
        </is>
      </c>
      <c r="D219" s="248">
        <v>15</v>
      </c>
      <c r="E219" s="247">
        <f>2*(1.2+0.3)</f>
        <v>3.0</v>
      </c>
      <c r="F219" s="247">
        <v>1.95</v>
      </c>
      <c r="H219" s="249">
        <f>PRODUCT(D219:G219)</f>
        <v>87.75</v>
      </c>
      <c r="J219" s="253" t="inlineStr">
        <is>
          <t xml:space="preserve">15*2*(1.2+0.3)*1.95</t>
        </is>
      </c>
    </row>
    <row r="220">
      <c r="C220" s="246" t="inlineStr">
        <is>
          <t xml:space="preserve">COL-02D x15 - column faces (M1 to 1st), ht 2.45</t>
        </is>
      </c>
      <c r="D220" s="248">
        <v>15</v>
      </c>
      <c r="E220" s="247">
        <f>2*(1.2+0.3)</f>
        <v>3.0</v>
      </c>
      <c r="F220" s="247">
        <v>2.45</v>
      </c>
      <c r="H220" s="249">
        <f>PRODUCT(D220:G220)</f>
        <v>110.25000000000001</v>
      </c>
      <c r="J220" s="253" t="inlineStr">
        <is>
          <t xml:space="preserve">15*2*(1.2+0.3)*2.45</t>
        </is>
      </c>
    </row>
    <row r="221">
      <c r="C221" s="246" t="inlineStr">
        <is>
          <t xml:space="preserve">SWC-01A x1 - column faces (GF to M1), ht 3.6</t>
        </is>
      </c>
      <c r="D221" s="248">
        <v>1</v>
      </c>
      <c r="E221" s="247">
        <f>2*(2.85+1.075)</f>
        <v>7.85</v>
      </c>
      <c r="F221" s="247">
        <v>3.6</v>
      </c>
      <c r="H221" s="249">
        <f>PRODUCT(D221:G221)</f>
        <v>28.259999999999998</v>
      </c>
      <c r="J221" s="253" t="inlineStr">
        <is>
          <t xml:space="preserve">1*2*(2.85+1.075)*3.6</t>
        </is>
      </c>
    </row>
    <row r="222">
      <c r="C222" s="250" t="inlineStr">
        <is>
          <t xml:space="preserve">Total carried to BOQ  GROUND FLR item L</t>
        </is>
      </c>
      <c r="D222" s="250" t="inlineStr">
        <is>
          <t xml:space="preserve"/>
        </is>
      </c>
      <c r="E222" s="250" t="inlineStr">
        <is>
          <t xml:space="preserve"/>
        </is>
      </c>
      <c r="F222" s="250" t="inlineStr">
        <is>
          <t xml:space="preserve"/>
        </is>
      </c>
      <c r="G222" s="250" t="inlineStr">
        <is>
          <t xml:space="preserve"/>
        </is>
      </c>
      <c r="H222" s="251">
        <f>SUM(H211:H221)</f>
        <v>417.26</v>
      </c>
      <c r="I222" s="252" t="inlineStr">
        <is>
          <t xml:space="preserve">m2</t>
        </is>
      </c>
    </row>
    <row r="223">
      <c r="A223" s="243" t="inlineStr">
        <is>
          <t xml:space="preserve">GROUND FLR</t>
        </is>
      </c>
      <c r="B223" s="243" t="inlineStr">
        <is>
          <t xml:space="preserve">M</t>
        </is>
      </c>
      <c r="C223" s="244" t="inlineStr">
        <is>
          <t xml:space="preserve">Concrete wall (both faces)</t>
        </is>
      </c>
      <c r="I223" s="245" t="inlineStr">
        <is>
          <t xml:space="preserve">m2</t>
        </is>
      </c>
      <c r="K223" s="256" t="inlineStr">
        <is>
          <t xml:space="preserve">'GROUND FLR '!C57</t>
        </is>
      </c>
    </row>
    <row r="224">
      <c r="C224" s="246" t="inlineStr">
        <is>
          <t xml:space="preserve">Ground floor (+300) - main stair core walls (22.05 m run) (both faces)</t>
        </is>
      </c>
      <c r="D224" s="248">
        <v>2</v>
      </c>
      <c r="E224" s="247">
        <v>22.05</v>
      </c>
      <c r="F224" s="247">
        <v>3.6</v>
      </c>
      <c r="H224" s="249">
        <f>PRODUCT(D224:G224)</f>
        <v>158.76000000000002</v>
      </c>
      <c r="J224" s="253" t="inlineStr">
        <is>
          <t xml:space="preserve">2*22.05*3.6</t>
        </is>
      </c>
    </row>
    <row r="225">
      <c r="C225" s="246" t="inlineStr">
        <is>
          <t xml:space="preserve">Ground floor (+300) - lift core walls (21.825 m run) (both faces)</t>
        </is>
      </c>
      <c r="D225" s="248">
        <v>2</v>
      </c>
      <c r="E225" s="247">
        <v>21.825</v>
      </c>
      <c r="F225" s="247">
        <v>3.6</v>
      </c>
      <c r="H225" s="249">
        <f>PRODUCT(D225:G225)</f>
        <v>157.14</v>
      </c>
      <c r="J225" s="253" t="inlineStr">
        <is>
          <t xml:space="preserve">2*21.825*3.6</t>
        </is>
      </c>
    </row>
    <row r="226">
      <c r="C226" s="246" t="inlineStr">
        <is>
          <t xml:space="preserve">Ground floor (+300) - emergency stair core walls (25.57 m run) (both faces)</t>
        </is>
      </c>
      <c r="D226" s="248">
        <v>2</v>
      </c>
      <c r="E226" s="247">
        <v>25.57</v>
      </c>
      <c r="F226" s="247">
        <v>2.25</v>
      </c>
      <c r="H226" s="249">
        <f>PRODUCT(D226:G226)</f>
        <v>115.065</v>
      </c>
      <c r="J226" s="253" t="inlineStr">
        <is>
          <t xml:space="preserve">2*25.57*2.25</t>
        </is>
      </c>
    </row>
    <row r="227">
      <c r="C227" s="246" t="inlineStr">
        <is>
          <t xml:space="preserve">M1 level 1B (+2500) - emergency stair core walls (25.57 m run) (both faces)</t>
        </is>
      </c>
      <c r="D227" s="248">
        <v>2</v>
      </c>
      <c r="E227" s="247">
        <v>25.57</v>
      </c>
      <c r="F227" s="247">
        <v>2.45</v>
      </c>
      <c r="H227" s="249">
        <f>PRODUCT(D227:G227)</f>
        <v>125.293</v>
      </c>
      <c r="J227" s="253" t="inlineStr">
        <is>
          <t xml:space="preserve">2*25.57*2.45</t>
        </is>
      </c>
    </row>
    <row r="228">
      <c r="C228" s="250" t="inlineStr">
        <is>
          <t xml:space="preserve">Total carried to BOQ  GROUND FLR item M</t>
        </is>
      </c>
      <c r="D228" s="250" t="inlineStr">
        <is>
          <t xml:space="preserve"/>
        </is>
      </c>
      <c r="E228" s="250" t="inlineStr">
        <is>
          <t xml:space="preserve"/>
        </is>
      </c>
      <c r="F228" s="250" t="inlineStr">
        <is>
          <t xml:space="preserve"/>
        </is>
      </c>
      <c r="G228" s="250" t="inlineStr">
        <is>
          <t xml:space="preserve"/>
        </is>
      </c>
      <c r="H228" s="251">
        <f>SUM(H224:H227)</f>
        <v>556.258</v>
      </c>
      <c r="I228" s="252" t="inlineStr">
        <is>
          <t xml:space="preserve">m2</t>
        </is>
      </c>
    </row>
    <row r="229">
      <c r="A229" s="243" t="inlineStr">
        <is>
          <t xml:space="preserve">GROUND FLR</t>
        </is>
      </c>
      <c r="B229" s="243" t="inlineStr">
        <is>
          <t xml:space="preserve">N</t>
        </is>
      </c>
      <c r="C229" s="244" t="inlineStr">
        <is>
          <t xml:space="preserve">Soffits of stair flights, landings and risers</t>
        </is>
      </c>
      <c r="I229" s="245" t="inlineStr">
        <is>
          <t xml:space="preserve">m2</t>
        </is>
      </c>
      <c r="K229" s="256" t="inlineStr">
        <is>
          <t xml:space="preserve">'GROUND FLR '!C59</t>
        </is>
      </c>
    </row>
    <row r="230">
      <c r="C230" s="246" t="inlineStr">
        <is>
          <t xml:space="preserve">Ground floor (+300) - Main stair flight (storey ht 3.85) - flight soffits: 2 x 3.424 x 1.8</t>
        </is>
      </c>
      <c r="D230" s="248">
        <v>2</v>
      </c>
      <c r="E230" s="247">
        <v>3.424</v>
      </c>
      <c r="F230" s="247">
        <v>1.8</v>
      </c>
      <c r="H230" s="249">
        <f>PRODUCT(D230:G230)</f>
        <v>12.3264</v>
      </c>
      <c r="J230" s="253" t="inlineStr">
        <is>
          <t xml:space="preserve">2*3.424*1.8</t>
        </is>
      </c>
    </row>
    <row r="231">
      <c r="C231" s="246" t="inlineStr">
        <is>
          <t xml:space="preserve">Ground floor (+300) - Main stair flight (storey ht 3.85) - landing soffits</t>
        </is>
      </c>
      <c r="H231" s="247">
        <v>15.0</v>
      </c>
      <c r="J231" s="253" t="inlineStr">
        <is>
          <t xml:space="preserve">15.0</t>
        </is>
      </c>
    </row>
    <row r="232">
      <c r="C232" s="246" t="inlineStr">
        <is>
          <t xml:space="preserve">Ground floor (+300) - Main stair flight (storey ht 3.85) - risers: 22 x 0.15 x 1.8</t>
        </is>
      </c>
      <c r="D232" s="248">
        <v>22</v>
      </c>
      <c r="E232" s="247">
        <v>0.15</v>
      </c>
      <c r="F232" s="247">
        <v>1.8</v>
      </c>
      <c r="H232" s="249">
        <f>PRODUCT(D232:G232)</f>
        <v>5.9399999999999995</v>
      </c>
      <c r="J232" s="253" t="inlineStr">
        <is>
          <t xml:space="preserve">22*0.15*1.8</t>
        </is>
      </c>
    </row>
    <row r="233">
      <c r="C233" s="246" t="inlineStr">
        <is>
          <t xml:space="preserve">Ground floor (+300) - Emergency stair flight (storey ht 2.5) - flight soffits: 2 x 3.424 x 1.8</t>
        </is>
      </c>
      <c r="D233" s="248">
        <v>2</v>
      </c>
      <c r="E233" s="247">
        <v>3.424</v>
      </c>
      <c r="F233" s="247">
        <v>1.8</v>
      </c>
      <c r="H233" s="249">
        <f>PRODUCT(D233:G233)</f>
        <v>12.3264</v>
      </c>
      <c r="J233" s="253" t="inlineStr">
        <is>
          <t xml:space="preserve">2*3.424*1.8</t>
        </is>
      </c>
    </row>
    <row r="234">
      <c r="C234" s="246" t="inlineStr">
        <is>
          <t xml:space="preserve">Ground floor (+300) - Emergency stair flight (storey ht 2.5) - landing soffits</t>
        </is>
      </c>
      <c r="H234" s="247">
        <v>15.0</v>
      </c>
      <c r="J234" s="253" t="inlineStr">
        <is>
          <t xml:space="preserve">15.0</t>
        </is>
      </c>
    </row>
    <row r="235">
      <c r="C235" s="246" t="inlineStr">
        <is>
          <t xml:space="preserve">Ground floor (+300) - Emergency stair flight (storey ht 2.5) - risers: 22 x 0.15 x 1.8</t>
        </is>
      </c>
      <c r="D235" s="248">
        <v>22</v>
      </c>
      <c r="E235" s="247">
        <v>0.15</v>
      </c>
      <c r="F235" s="247">
        <v>1.8</v>
      </c>
      <c r="H235" s="249">
        <f>PRODUCT(D235:G235)</f>
        <v>5.9399999999999995</v>
      </c>
      <c r="J235" s="253" t="inlineStr">
        <is>
          <t xml:space="preserve">22*0.15*1.8</t>
        </is>
      </c>
    </row>
    <row r="236">
      <c r="C236" s="246" t="inlineStr">
        <is>
          <t xml:space="preserve">M1 level 1B (+2500) - Emergency stair flight (storey ht 2.7) - flight soffits: 2 x 3.424 x 1.8</t>
        </is>
      </c>
      <c r="D236" s="248">
        <v>2</v>
      </c>
      <c r="E236" s="247">
        <v>3.424</v>
      </c>
      <c r="F236" s="247">
        <v>1.8</v>
      </c>
      <c r="H236" s="249">
        <f>PRODUCT(D236:G236)</f>
        <v>12.3264</v>
      </c>
      <c r="J236" s="253" t="inlineStr">
        <is>
          <t xml:space="preserve">2*3.424*1.8</t>
        </is>
      </c>
    </row>
    <row r="237">
      <c r="C237" s="246" t="inlineStr">
        <is>
          <t xml:space="preserve">M1 level 1B (+2500) - Emergency stair flight (storey ht 2.7) - landing soffits</t>
        </is>
      </c>
      <c r="H237" s="247">
        <v>15.0</v>
      </c>
      <c r="J237" s="253" t="inlineStr">
        <is>
          <t xml:space="preserve">15.0</t>
        </is>
      </c>
    </row>
    <row r="238">
      <c r="C238" s="246" t="inlineStr">
        <is>
          <t xml:space="preserve">M1 level 1B (+2500) - Emergency stair flight (storey ht 2.7) - risers: 22 x 0.15 x 1.8</t>
        </is>
      </c>
      <c r="D238" s="248">
        <v>22</v>
      </c>
      <c r="E238" s="247">
        <v>0.15</v>
      </c>
      <c r="F238" s="247">
        <v>1.8</v>
      </c>
      <c r="H238" s="249">
        <f>PRODUCT(D238:G238)</f>
        <v>5.9399999999999995</v>
      </c>
      <c r="J238" s="253" t="inlineStr">
        <is>
          <t xml:space="preserve">22*0.15*1.8</t>
        </is>
      </c>
    </row>
    <row r="239">
      <c r="C239" s="250" t="inlineStr">
        <is>
          <t xml:space="preserve">Total carried to BOQ  GROUND FLR item N</t>
        </is>
      </c>
      <c r="D239" s="250" t="inlineStr">
        <is>
          <t xml:space="preserve"/>
        </is>
      </c>
      <c r="E239" s="250" t="inlineStr">
        <is>
          <t xml:space="preserve"/>
        </is>
      </c>
      <c r="F239" s="250" t="inlineStr">
        <is>
          <t xml:space="preserve"/>
        </is>
      </c>
      <c r="G239" s="250" t="inlineStr">
        <is>
          <t xml:space="preserve"/>
        </is>
      </c>
      <c r="H239" s="251">
        <f>SUM(H230:H238)</f>
        <v>99.79919999999998</v>
      </c>
      <c r="I239" s="252" t="inlineStr">
        <is>
          <t xml:space="preserve">m2</t>
        </is>
      </c>
    </row>
    <row r="240">
      <c r="A240" s="243" t="inlineStr">
        <is>
          <t xml:space="preserve">GROUND FLR</t>
        </is>
      </c>
      <c r="B240" s="243" t="inlineStr">
        <is>
          <t xml:space="preserve">P</t>
        </is>
      </c>
      <c r="C240" s="244" t="inlineStr">
        <is>
          <t xml:space="preserve">Side and soffits of lintel / coping</t>
        </is>
      </c>
      <c r="I240" s="245" t="inlineStr">
        <is>
          <t xml:space="preserve">m2</t>
        </is>
      </c>
      <c r="K240" s="256" t="inlineStr">
        <is>
          <t xml:space="preserve">'GROUND FLR '!C61</t>
        </is>
      </c>
    </row>
    <row r="241">
      <c r="C241" s="246" t="inlineStr">
        <is>
          <t xml:space="preserve">Lintel formwork over D1 (1 nr, 1.8x2.4): nr x (width + 2 x 150 bearing) x girth 0.60</t>
        </is>
      </c>
      <c r="D241" s="248">
        <v>1</v>
      </c>
      <c r="E241" s="247">
        <f>1.8+0.3</f>
        <v>2.1</v>
      </c>
      <c r="F241" s="247">
        <f>2*0.225+0.15</f>
        <v>0.6</v>
      </c>
      <c r="H241" s="249">
        <f>PRODUCT(D241:G241)</f>
        <v>1.26</v>
      </c>
      <c r="J241" s="253" t="inlineStr">
        <is>
          <t xml:space="preserve">1*(1.8+0.3)*(2*0.225+0.15)</t>
        </is>
      </c>
    </row>
    <row r="242">
      <c r="C242" s="246" t="inlineStr">
        <is>
          <t xml:space="preserve">Lintel formwork over D3 (6 nr, 0.9x2.2): nr x (width + 2 x 150 bearing) x girth 0.60</t>
        </is>
      </c>
      <c r="D242" s="248">
        <v>6</v>
      </c>
      <c r="E242" s="247">
        <f>0.9+0.3</f>
        <v>1.2</v>
      </c>
      <c r="F242" s="247">
        <f>2*0.225+0.15</f>
        <v>0.6</v>
      </c>
      <c r="H242" s="249">
        <f>PRODUCT(D242:G242)</f>
        <v>4.319999999999999</v>
      </c>
      <c r="J242" s="253" t="inlineStr">
        <is>
          <t xml:space="preserve">6*(0.9+0.3)*(2*0.225+0.15)</t>
        </is>
      </c>
    </row>
    <row r="243">
      <c r="C243" s="246" t="inlineStr">
        <is>
          <t xml:space="preserve">Lintel formwork over D4 (1 nr, 0.9x2.35): nr x (width + 2 x 150 bearing) x girth 0.60</t>
        </is>
      </c>
      <c r="D243" s="248">
        <v>1</v>
      </c>
      <c r="E243" s="247">
        <f>0.9+0.3</f>
        <v>1.2</v>
      </c>
      <c r="F243" s="247">
        <f>2*0.225+0.15</f>
        <v>0.6</v>
      </c>
      <c r="H243" s="249">
        <f>PRODUCT(D243:G243)</f>
        <v>0.72</v>
      </c>
      <c r="J243" s="253" t="inlineStr">
        <is>
          <t xml:space="preserve">1*(0.9+0.3)*(2*0.225+0.15)</t>
        </is>
      </c>
    </row>
    <row r="244">
      <c r="C244" s="246" t="inlineStr">
        <is>
          <t xml:space="preserve">Lintel formwork over D5 (1 nr, 3.2x2.2): nr x (width + 2 x 150 bearing) x girth 0.60</t>
        </is>
      </c>
      <c r="D244" s="248">
        <v>1</v>
      </c>
      <c r="E244" s="247">
        <f>3.2+0.3</f>
        <v>3.5</v>
      </c>
      <c r="F244" s="247">
        <f>2*0.225+0.15</f>
        <v>0.6</v>
      </c>
      <c r="H244" s="249">
        <f>PRODUCT(D244:G244)</f>
        <v>2.1</v>
      </c>
      <c r="J244" s="253" t="inlineStr">
        <is>
          <t xml:space="preserve">1*(3.2+0.3)*(2*0.225+0.15)</t>
        </is>
      </c>
    </row>
    <row r="245">
      <c r="C245" s="246" t="inlineStr">
        <is>
          <t xml:space="preserve">Lintel formwork over D6 (6 nr, 0.75x2.2): nr x (width + 2 x 150 bearing) x girth 0.60</t>
        </is>
      </c>
      <c r="D245" s="248">
        <v>6</v>
      </c>
      <c r="E245" s="247">
        <f>0.75+0.3</f>
        <v>1.05</v>
      </c>
      <c r="F245" s="247">
        <f>2*0.225+0.15</f>
        <v>0.6</v>
      </c>
      <c r="H245" s="249">
        <f>PRODUCT(D245:G245)</f>
        <v>3.7800000000000002</v>
      </c>
      <c r="J245" s="253" t="inlineStr">
        <is>
          <t xml:space="preserve">6*(0.75+0.3)*(2*0.225+0.15)</t>
        </is>
      </c>
    </row>
    <row r="246">
      <c r="C246" s="246" t="inlineStr">
        <is>
          <t xml:space="preserve">Lintel formwork over D7 (2 nr, 0.7x2.2): nr x (width + 2 x 150 bearing) x girth 0.60</t>
        </is>
      </c>
      <c r="D246" s="248">
        <v>2</v>
      </c>
      <c r="E246" s="247">
        <f>0.7+0.3</f>
        <v>1.0</v>
      </c>
      <c r="F246" s="247">
        <f>2*0.225+0.15</f>
        <v>0.6</v>
      </c>
      <c r="H246" s="249">
        <f>PRODUCT(D246:G246)</f>
        <v>1.2</v>
      </c>
      <c r="J246" s="253" t="inlineStr">
        <is>
          <t xml:space="preserve">2*(0.7+0.3)*(2*0.225+0.15)</t>
        </is>
      </c>
    </row>
    <row r="247">
      <c r="C247" s="246" t="inlineStr">
        <is>
          <t xml:space="preserve">Lintel formwork over ED1 (3 nr, 1x2.2): nr x (width + 2 x 150 bearing) x girth 0.60</t>
        </is>
      </c>
      <c r="D247" s="248">
        <v>3</v>
      </c>
      <c r="E247" s="247">
        <f>1+0.3</f>
        <v>1.3</v>
      </c>
      <c r="F247" s="247">
        <f>2*0.225+0.15</f>
        <v>0.6</v>
      </c>
      <c r="H247" s="249">
        <f>PRODUCT(D247:G247)</f>
        <v>2.3400000000000003</v>
      </c>
      <c r="J247" s="253" t="inlineStr">
        <is>
          <t xml:space="preserve">3*(1+0.3)*(2*0.225+0.15)</t>
        </is>
      </c>
    </row>
    <row r="248">
      <c r="C248" s="246" t="inlineStr">
        <is>
          <t xml:space="preserve">Lintel formwork over D9 (2 nr, 0.9x2.2): nr x (width + 2 x 150 bearing) x girth 0.60</t>
        </is>
      </c>
      <c r="D248" s="248">
        <v>2</v>
      </c>
      <c r="E248" s="247">
        <f>0.9+0.3</f>
        <v>1.2</v>
      </c>
      <c r="F248" s="247">
        <f>2*0.225+0.15</f>
        <v>0.6</v>
      </c>
      <c r="H248" s="249">
        <f>PRODUCT(D248:G248)</f>
        <v>1.44</v>
      </c>
      <c r="J248" s="253" t="inlineStr">
        <is>
          <t xml:space="preserve">2*(0.9+0.3)*(2*0.225+0.15)</t>
        </is>
      </c>
    </row>
    <row r="249">
      <c r="C249" s="246" t="inlineStr">
        <is>
          <t xml:space="preserve">Lintel formwork over MD1 (3 nr, 1.8x2.2): nr x (width + 2 x 150 bearing) x girth 0.60</t>
        </is>
      </c>
      <c r="D249" s="248">
        <v>3</v>
      </c>
      <c r="E249" s="247">
        <f>1.8+0.3</f>
        <v>2.1</v>
      </c>
      <c r="F249" s="247">
        <f>2*0.225+0.15</f>
        <v>0.6</v>
      </c>
      <c r="H249" s="249">
        <f>PRODUCT(D249:G249)</f>
        <v>3.7800000000000002</v>
      </c>
      <c r="J249" s="253" t="inlineStr">
        <is>
          <t xml:space="preserve">3*(1.8+0.3)*(2*0.225+0.15)</t>
        </is>
      </c>
    </row>
    <row r="250">
      <c r="C250" s="246" t="inlineStr">
        <is>
          <t xml:space="preserve">Lintel formwork over GD1 (2 nr, 1.8x2.2): nr x (width + 2 x 150 bearing) x girth 0.60</t>
        </is>
      </c>
      <c r="D250" s="248">
        <v>2</v>
      </c>
      <c r="E250" s="247">
        <f>1.8+0.3</f>
        <v>2.1</v>
      </c>
      <c r="F250" s="247">
        <f>2*0.225+0.15</f>
        <v>0.6</v>
      </c>
      <c r="H250" s="249">
        <f>PRODUCT(D250:G250)</f>
        <v>2.52</v>
      </c>
      <c r="J250" s="253" t="inlineStr">
        <is>
          <t xml:space="preserve">2*(1.8+0.3)*(2*0.225+0.15)</t>
        </is>
      </c>
    </row>
    <row r="251">
      <c r="C251" s="246" t="inlineStr">
        <is>
          <t xml:space="preserve">Lintel formwork over DW1 (2 nr, 2.4x2.2): nr x (width + 2 x 150 bearing) x girth 0.60</t>
        </is>
      </c>
      <c r="D251" s="248">
        <v>2</v>
      </c>
      <c r="E251" s="247">
        <f>2.4+0.3</f>
        <v>2.6999999999999997</v>
      </c>
      <c r="F251" s="247">
        <f>2*0.225+0.15</f>
        <v>0.6</v>
      </c>
      <c r="H251" s="249">
        <f>PRODUCT(D251:G251)</f>
        <v>3.2399999999999998</v>
      </c>
      <c r="J251" s="253" t="inlineStr">
        <is>
          <t xml:space="preserve">2*(2.4+0.3)*(2*0.225+0.15)</t>
        </is>
      </c>
    </row>
    <row r="252">
      <c r="C252" s="246" t="inlineStr">
        <is>
          <t xml:space="preserve">Lintel formwork over DW2 (1 nr, 5.05x2.2): nr x (width + 2 x 150 bearing) x girth 0.60</t>
        </is>
      </c>
      <c r="D252" s="248">
        <v>1</v>
      </c>
      <c r="E252" s="247">
        <f>5.05+0.3</f>
        <v>5.35</v>
      </c>
      <c r="F252" s="247">
        <f>2*0.225+0.15</f>
        <v>0.6</v>
      </c>
      <c r="H252" s="249">
        <f>PRODUCT(D252:G252)</f>
        <v>3.2099999999999995</v>
      </c>
      <c r="J252" s="253" t="inlineStr">
        <is>
          <t xml:space="preserve">1*(5.05+0.3)*(2*0.225+0.15)</t>
        </is>
      </c>
    </row>
    <row r="253">
      <c r="C253" s="246" t="inlineStr">
        <is>
          <t xml:space="preserve">Lintel formwork over RD1 (2 nr, 4.2x2.157): nr x (width + 2 x 150 bearing) x girth 0.60</t>
        </is>
      </c>
      <c r="D253" s="248">
        <v>2</v>
      </c>
      <c r="E253" s="247">
        <f>4.2+0.3</f>
        <v>4.5</v>
      </c>
      <c r="F253" s="247">
        <f>2*0.225+0.15</f>
        <v>0.6</v>
      </c>
      <c r="H253" s="249">
        <f>PRODUCT(D253:G253)</f>
        <v>5.3999999999999995</v>
      </c>
      <c r="J253" s="253" t="inlineStr">
        <is>
          <t xml:space="preserve">2*(4.2+0.3)*(2*0.225+0.15)</t>
        </is>
      </c>
    </row>
    <row r="254">
      <c r="C254" s="246" t="inlineStr">
        <is>
          <t xml:space="preserve">Lintel formwork over W1 (1 nr, 3.6x1.9): nr x (width + 2 x 150 bearing) x girth 0.60</t>
        </is>
      </c>
      <c r="D254" s="248">
        <v>1</v>
      </c>
      <c r="E254" s="247">
        <f>3.6+0.3</f>
        <v>3.9</v>
      </c>
      <c r="F254" s="247">
        <f>2*0.225+0.15</f>
        <v>0.6</v>
      </c>
      <c r="H254" s="249">
        <f>PRODUCT(D254:G254)</f>
        <v>2.34</v>
      </c>
      <c r="J254" s="253" t="inlineStr">
        <is>
          <t xml:space="preserve">1*(3.6+0.3)*(2*0.225+0.15)</t>
        </is>
      </c>
    </row>
    <row r="255">
      <c r="C255" s="246" t="inlineStr">
        <is>
          <t xml:space="preserve">Lintel formwork over W3 (1 nr, 1.8x1.5): nr x (width + 2 x 150 bearing) x girth 0.60</t>
        </is>
      </c>
      <c r="D255" s="248">
        <v>1</v>
      </c>
      <c r="E255" s="247">
        <f>1.8+0.3</f>
        <v>2.1</v>
      </c>
      <c r="F255" s="247">
        <f>2*0.225+0.15</f>
        <v>0.6</v>
      </c>
      <c r="H255" s="249">
        <f>PRODUCT(D255:G255)</f>
        <v>1.26</v>
      </c>
      <c r="J255" s="253" t="inlineStr">
        <is>
          <t xml:space="preserve">1*(1.8+0.3)*(2*0.225+0.15)</t>
        </is>
      </c>
    </row>
    <row r="256">
      <c r="C256" s="246" t="inlineStr">
        <is>
          <t xml:space="preserve">Lintel formwork over W5 (1 nr, 1.8x1.9): nr x (width + 2 x 150 bearing) x girth 0.60</t>
        </is>
      </c>
      <c r="D256" s="248">
        <v>1</v>
      </c>
      <c r="E256" s="247">
        <f>1.8+0.3</f>
        <v>2.1</v>
      </c>
      <c r="F256" s="247">
        <f>2*0.225+0.15</f>
        <v>0.6</v>
      </c>
      <c r="H256" s="249">
        <f>PRODUCT(D256:G256)</f>
        <v>1.26</v>
      </c>
      <c r="J256" s="253" t="inlineStr">
        <is>
          <t xml:space="preserve">1*(1.8+0.3)*(2*0.225+0.15)</t>
        </is>
      </c>
    </row>
    <row r="257">
      <c r="C257" s="246" t="inlineStr">
        <is>
          <t xml:space="preserve">Lintel formwork over W6 (1 nr, 3.5x1.5): nr x (width + 2 x 150 bearing) x girth 0.60</t>
        </is>
      </c>
      <c r="D257" s="248">
        <v>1</v>
      </c>
      <c r="E257" s="247">
        <f>3.5+0.3</f>
        <v>3.8</v>
      </c>
      <c r="F257" s="247">
        <f>2*0.225+0.15</f>
        <v>0.6</v>
      </c>
      <c r="H257" s="249">
        <f>PRODUCT(D257:G257)</f>
        <v>2.28</v>
      </c>
      <c r="J257" s="253" t="inlineStr">
        <is>
          <t xml:space="preserve">1*(3.5+0.3)*(2*0.225+0.15)</t>
        </is>
      </c>
    </row>
    <row r="258">
      <c r="C258" s="246" t="inlineStr">
        <is>
          <t xml:space="preserve">Lintel formwork over W14 (3 nr, 3.6x2.2): nr x (width + 2 x 150 bearing) x girth 0.60</t>
        </is>
      </c>
      <c r="D258" s="248">
        <v>3</v>
      </c>
      <c r="E258" s="247">
        <f>3.6+0.3</f>
        <v>3.9</v>
      </c>
      <c r="F258" s="247">
        <f>2*0.225+0.15</f>
        <v>0.6</v>
      </c>
      <c r="H258" s="249">
        <f>PRODUCT(D258:G258)</f>
        <v>7.02</v>
      </c>
      <c r="J258" s="253" t="inlineStr">
        <is>
          <t xml:space="preserve">3*(3.6+0.3)*(2*0.225+0.15)</t>
        </is>
      </c>
    </row>
    <row r="259">
      <c r="C259" s="246" t="inlineStr">
        <is>
          <t xml:space="preserve">Lintel formwork over W16 (2 nr, 2.4x1.9): nr x (width + 2 x 150 bearing) x girth 0.60</t>
        </is>
      </c>
      <c r="D259" s="248">
        <v>2</v>
      </c>
      <c r="E259" s="247">
        <f>2.4+0.3</f>
        <v>2.6999999999999997</v>
      </c>
      <c r="F259" s="247">
        <f>2*0.225+0.15</f>
        <v>0.6</v>
      </c>
      <c r="H259" s="249">
        <f>PRODUCT(D259:G259)</f>
        <v>3.2399999999999998</v>
      </c>
      <c r="J259" s="253" t="inlineStr">
        <is>
          <t xml:space="preserve">2*(2.4+0.3)*(2*0.225+0.15)</t>
        </is>
      </c>
    </row>
    <row r="260">
      <c r="C260" s="246" t="inlineStr">
        <is>
          <t xml:space="preserve">Lintel formwork over W19 (2 nr, 2.1x0.9): nr x (width + 2 x 150 bearing) x girth 0.60</t>
        </is>
      </c>
      <c r="D260" s="248">
        <v>2</v>
      </c>
      <c r="E260" s="247">
        <f>2.1+0.3</f>
        <v>2.4</v>
      </c>
      <c r="F260" s="247">
        <f>2*0.225+0.15</f>
        <v>0.6</v>
      </c>
      <c r="H260" s="249">
        <f>PRODUCT(D260:G260)</f>
        <v>2.88</v>
      </c>
      <c r="J260" s="253" t="inlineStr">
        <is>
          <t xml:space="preserve">2*(2.1+0.3)*(2*0.225+0.15)</t>
        </is>
      </c>
    </row>
    <row r="261">
      <c r="C261" s="246" t="inlineStr">
        <is>
          <t xml:space="preserve">Lintel formwork over HW1 (4 nr, 0.9x0.6): nr x (width + 2 x 150 bearing) x girth 0.60</t>
        </is>
      </c>
      <c r="D261" s="248">
        <v>4</v>
      </c>
      <c r="E261" s="247">
        <f>0.9+0.3</f>
        <v>1.2</v>
      </c>
      <c r="F261" s="247">
        <f>2*0.225+0.15</f>
        <v>0.6</v>
      </c>
      <c r="H261" s="249">
        <f>PRODUCT(D261:G261)</f>
        <v>2.88</v>
      </c>
      <c r="J261" s="253" t="inlineStr">
        <is>
          <t xml:space="preserve">4*(0.9+0.3)*(2*0.225+0.15)</t>
        </is>
      </c>
    </row>
    <row r="262">
      <c r="C262" s="246" t="inlineStr">
        <is>
          <t xml:space="preserve">Lintel formwork over HW2 (1 nr, 0.75x0.6): nr x (width + 2 x 150 bearing) x girth 0.60</t>
        </is>
      </c>
      <c r="D262" s="248">
        <v>1</v>
      </c>
      <c r="E262" s="247">
        <f>0.75+0.3</f>
        <v>1.05</v>
      </c>
      <c r="F262" s="247">
        <f>2*0.225+0.15</f>
        <v>0.6</v>
      </c>
      <c r="H262" s="249">
        <f>PRODUCT(D262:G262)</f>
        <v>0.63</v>
      </c>
      <c r="J262" s="253" t="inlineStr">
        <is>
          <t xml:space="preserve">1*(0.75+0.3)*(2*0.225+0.15)</t>
        </is>
      </c>
    </row>
    <row r="263">
      <c r="C263" s="250" t="inlineStr">
        <is>
          <t xml:space="preserve">Total carried to BOQ  GROUND FLR item P</t>
        </is>
      </c>
      <c r="D263" s="250" t="inlineStr">
        <is>
          <t xml:space="preserve"/>
        </is>
      </c>
      <c r="E263" s="250" t="inlineStr">
        <is>
          <t xml:space="preserve"/>
        </is>
      </c>
      <c r="F263" s="250" t="inlineStr">
        <is>
          <t xml:space="preserve"/>
        </is>
      </c>
      <c r="G263" s="250" t="inlineStr">
        <is>
          <t xml:space="preserve"/>
        </is>
      </c>
      <c r="H263" s="251">
        <f>SUM(H241:H262)</f>
        <v>59.10000000000001</v>
      </c>
      <c r="I263" s="252" t="inlineStr">
        <is>
          <t xml:space="preserve">m2</t>
        </is>
      </c>
    </row>
    <row r="264">
      <c r="C264" s="242" t="inlineStr">
        <is>
          <t xml:space="preserve">E30 REINFORCEMENT - High tensile yield round bar reinforcement (standard) to BS 4449:</t>
        </is>
      </c>
    </row>
    <row r="265">
      <c r="A265" s="243" t="inlineStr">
        <is>
          <t xml:space="preserve">GROUND FLR</t>
        </is>
      </c>
      <c r="B265" s="243" t="inlineStr">
        <is>
          <t xml:space="preserve">Q</t>
        </is>
      </c>
      <c r="C265" s="244" t="inlineStr">
        <is>
          <t xml:space="preserve">10mm diameter in columns</t>
        </is>
      </c>
      <c r="I265" s="245" t="inlineStr">
        <is>
          <t xml:space="preserve">t</t>
        </is>
      </c>
      <c r="K265" s="256" t="inlineStr">
        <is>
          <t xml:space="preserve">'GROUND FLR '!C64</t>
        </is>
      </c>
    </row>
    <row r="266">
      <c r="C266" s="246" t="inlineStr">
        <is>
          <t xml:space="preserve">Ground floor (+300) - Columns, Y10 (from reinforcement take-off / BBS)</t>
        </is>
      </c>
      <c r="H266" s="247">
        <v>4.372</v>
      </c>
      <c r="J266" s="253" t="inlineStr">
        <is>
          <t xml:space="preserve">4.372</t>
        </is>
      </c>
    </row>
    <row r="267">
      <c r="C267" s="246" t="inlineStr">
        <is>
          <t xml:space="preserve">M1 level 1B (+2500) - Columns, Y10 (from reinforcement take-off / BBS)</t>
        </is>
      </c>
      <c r="H267" s="247">
        <v>1.656</v>
      </c>
      <c r="J267" s="253" t="inlineStr">
        <is>
          <t xml:space="preserve">1.656</t>
        </is>
      </c>
    </row>
    <row r="268">
      <c r="C268" s="250" t="inlineStr">
        <is>
          <t xml:space="preserve">Total carried to BOQ  GROUND FLR item Q</t>
        </is>
      </c>
      <c r="D268" s="250" t="inlineStr">
        <is>
          <t xml:space="preserve"/>
        </is>
      </c>
      <c r="E268" s="250" t="inlineStr">
        <is>
          <t xml:space="preserve"/>
        </is>
      </c>
      <c r="F268" s="250" t="inlineStr">
        <is>
          <t xml:space="preserve"/>
        </is>
      </c>
      <c r="G268" s="250" t="inlineStr">
        <is>
          <t xml:space="preserve"/>
        </is>
      </c>
      <c r="H268" s="251">
        <f>SUM(H266:H267)</f>
        <v>6.028</v>
      </c>
      <c r="I268" s="252" t="inlineStr">
        <is>
          <t xml:space="preserve">t</t>
        </is>
      </c>
    </row>
    <row r="269">
      <c r="A269" s="243" t="inlineStr">
        <is>
          <t xml:space="preserve">GROUND FLR</t>
        </is>
      </c>
      <c r="B269" s="243" t="inlineStr">
        <is>
          <t xml:space="preserve">R</t>
        </is>
      </c>
      <c r="C269" s="244" t="inlineStr">
        <is>
          <t xml:space="preserve">20mm diameter in columns</t>
        </is>
      </c>
      <c r="I269" s="245" t="inlineStr">
        <is>
          <t xml:space="preserve">t</t>
        </is>
      </c>
      <c r="K269" s="256" t="inlineStr">
        <is>
          <t xml:space="preserve">'GROUND FLR '!C66</t>
        </is>
      </c>
    </row>
    <row r="270">
      <c r="C270" s="246" t="inlineStr">
        <is>
          <t xml:space="preserve">Ground floor (+300) - Columns, Y20 (from reinforcement take-off / BBS)</t>
        </is>
      </c>
      <c r="H270" s="247">
        <v>0.599</v>
      </c>
      <c r="J270" s="253" t="inlineStr">
        <is>
          <t xml:space="preserve">0.599</t>
        </is>
      </c>
    </row>
    <row r="271">
      <c r="C271" s="250" t="inlineStr">
        <is>
          <t xml:space="preserve">Total carried to BOQ  GROUND FLR item R</t>
        </is>
      </c>
      <c r="D271" s="250" t="inlineStr">
        <is>
          <t xml:space="preserve"/>
        </is>
      </c>
      <c r="E271" s="250" t="inlineStr">
        <is>
          <t xml:space="preserve"/>
        </is>
      </c>
      <c r="F271" s="250" t="inlineStr">
        <is>
          <t xml:space="preserve"/>
        </is>
      </c>
      <c r="G271" s="250" t="inlineStr">
        <is>
          <t xml:space="preserve"/>
        </is>
      </c>
      <c r="H271" s="251">
        <f>SUM(H270:H270)</f>
        <v>0.599</v>
      </c>
      <c r="I271" s="252" t="inlineStr">
        <is>
          <t xml:space="preserve">t</t>
        </is>
      </c>
    </row>
    <row r="272">
      <c r="A272" s="243" t="inlineStr">
        <is>
          <t xml:space="preserve">GROUND FLR</t>
        </is>
      </c>
      <c r="B272" s="243" t="inlineStr">
        <is>
          <t xml:space="preserve">S</t>
        </is>
      </c>
      <c r="C272" s="244" t="inlineStr">
        <is>
          <t xml:space="preserve">25mm diameter in columns</t>
        </is>
      </c>
      <c r="I272" s="245" t="inlineStr">
        <is>
          <t xml:space="preserve">t</t>
        </is>
      </c>
      <c r="K272" s="256" t="inlineStr">
        <is>
          <t xml:space="preserve">'GROUND FLR '!C68</t>
        </is>
      </c>
    </row>
    <row r="273">
      <c r="C273" s="246" t="inlineStr">
        <is>
          <t xml:space="preserve">Ground floor (+300) - Columns, Y25 (from reinforcement take-off / BBS)</t>
        </is>
      </c>
      <c r="H273" s="247">
        <v>10.083</v>
      </c>
      <c r="J273" s="253" t="inlineStr">
        <is>
          <t xml:space="preserve">10.083</t>
        </is>
      </c>
    </row>
    <row r="274">
      <c r="C274" s="246" t="inlineStr">
        <is>
          <t xml:space="preserve">M1 level 1B (+2500) - Columns, Y25 (from reinforcement take-off / BBS)</t>
        </is>
      </c>
      <c r="H274" s="247">
        <v>4.303</v>
      </c>
      <c r="J274" s="253" t="inlineStr">
        <is>
          <t xml:space="preserve">4.303</t>
        </is>
      </c>
    </row>
    <row r="275">
      <c r="C275" s="250" t="inlineStr">
        <is>
          <t xml:space="preserve">Total carried to BOQ  GROUND FLR item S</t>
        </is>
      </c>
      <c r="D275" s="250" t="inlineStr">
        <is>
          <t xml:space="preserve"/>
        </is>
      </c>
      <c r="E275" s="250" t="inlineStr">
        <is>
          <t xml:space="preserve"/>
        </is>
      </c>
      <c r="F275" s="250" t="inlineStr">
        <is>
          <t xml:space="preserve"/>
        </is>
      </c>
      <c r="G275" s="250" t="inlineStr">
        <is>
          <t xml:space="preserve"/>
        </is>
      </c>
      <c r="H275" s="251">
        <f>SUM(H273:H274)</f>
        <v>14.386</v>
      </c>
      <c r="I275" s="252" t="inlineStr">
        <is>
          <t xml:space="preserve">t</t>
        </is>
      </c>
    </row>
    <row r="276">
      <c r="A276" s="243" t="inlineStr">
        <is>
          <t xml:space="preserve">GROUND FLR</t>
        </is>
      </c>
      <c r="B276" s="243" t="inlineStr">
        <is>
          <t xml:space="preserve">T</t>
        </is>
      </c>
      <c r="C276" s="244" t="inlineStr">
        <is>
          <t xml:space="preserve">10mm diameter in beams (links)</t>
        </is>
      </c>
      <c r="I276" s="245" t="inlineStr">
        <is>
          <t xml:space="preserve">t</t>
        </is>
      </c>
      <c r="K276" s="256" t="inlineStr">
        <is>
          <t xml:space="preserve">'GROUND FLR '!C70</t>
        </is>
      </c>
    </row>
    <row r="277">
      <c r="C277" s="246" t="inlineStr">
        <is>
          <t xml:space="preserve">M1 level 1B (+2500) - Beams, Y10 (from reinforcement take-off / BBS)</t>
        </is>
      </c>
      <c r="H277" s="247">
        <v>1.126</v>
      </c>
      <c r="J277" s="253" t="inlineStr">
        <is>
          <t xml:space="preserve">1.126</t>
        </is>
      </c>
    </row>
    <row r="278">
      <c r="C278" s="250" t="inlineStr">
        <is>
          <t xml:space="preserve">Total carried to BOQ  GROUND FLR item T</t>
        </is>
      </c>
      <c r="D278" s="250" t="inlineStr">
        <is>
          <t xml:space="preserve"/>
        </is>
      </c>
      <c r="E278" s="250" t="inlineStr">
        <is>
          <t xml:space="preserve"/>
        </is>
      </c>
      <c r="F278" s="250" t="inlineStr">
        <is>
          <t xml:space="preserve"/>
        </is>
      </c>
      <c r="G278" s="250" t="inlineStr">
        <is>
          <t xml:space="preserve"/>
        </is>
      </c>
      <c r="H278" s="251">
        <f>SUM(H277:H277)</f>
        <v>1.126</v>
      </c>
      <c r="I278" s="252" t="inlineStr">
        <is>
          <t xml:space="preserve">t</t>
        </is>
      </c>
    </row>
    <row r="279">
      <c r="A279" s="243" t="inlineStr">
        <is>
          <t xml:space="preserve">GROUND FLR</t>
        </is>
      </c>
      <c r="B279" s="243" t="inlineStr">
        <is>
          <t xml:space="preserve">U</t>
        </is>
      </c>
      <c r="C279" s="244" t="inlineStr">
        <is>
          <t xml:space="preserve">16mm diameter in beams</t>
        </is>
      </c>
      <c r="I279" s="245" t="inlineStr">
        <is>
          <t xml:space="preserve">t</t>
        </is>
      </c>
      <c r="K279" s="256" t="inlineStr">
        <is>
          <t xml:space="preserve">'GROUND FLR '!C72</t>
        </is>
      </c>
    </row>
    <row r="280">
      <c r="C280" s="246" t="inlineStr">
        <is>
          <t xml:space="preserve">M1 level 1B (+2500) - Beams, Y16 (from reinforcement take-off / BBS)</t>
        </is>
      </c>
      <c r="H280" s="247">
        <v>0.576</v>
      </c>
      <c r="J280" s="253" t="inlineStr">
        <is>
          <t xml:space="preserve">0.576</t>
        </is>
      </c>
    </row>
    <row r="281">
      <c r="C281" s="250" t="inlineStr">
        <is>
          <t xml:space="preserve">Total carried to BOQ  GROUND FLR item U</t>
        </is>
      </c>
      <c r="D281" s="250" t="inlineStr">
        <is>
          <t xml:space="preserve"/>
        </is>
      </c>
      <c r="E281" s="250" t="inlineStr">
        <is>
          <t xml:space="preserve"/>
        </is>
      </c>
      <c r="F281" s="250" t="inlineStr">
        <is>
          <t xml:space="preserve"/>
        </is>
      </c>
      <c r="G281" s="250" t="inlineStr">
        <is>
          <t xml:space="preserve"/>
        </is>
      </c>
      <c r="H281" s="251">
        <f>SUM(H280:H280)</f>
        <v>0.576</v>
      </c>
      <c r="I281" s="252" t="inlineStr">
        <is>
          <t xml:space="preserve">t</t>
        </is>
      </c>
    </row>
    <row r="282">
      <c r="A282" s="243" t="inlineStr">
        <is>
          <t xml:space="preserve">GROUND FLR</t>
        </is>
      </c>
      <c r="B282" s="243" t="inlineStr">
        <is>
          <t xml:space="preserve">V</t>
        </is>
      </c>
      <c r="C282" s="244" t="inlineStr">
        <is>
          <t xml:space="preserve">20mm diameter in beams</t>
        </is>
      </c>
      <c r="I282" s="245" t="inlineStr">
        <is>
          <t xml:space="preserve">t</t>
        </is>
      </c>
      <c r="K282" s="256" t="inlineStr">
        <is>
          <t xml:space="preserve">'GROUND FLR '!C74</t>
        </is>
      </c>
    </row>
    <row r="283">
      <c r="C283" s="246" t="inlineStr">
        <is>
          <t xml:space="preserve">M1 level 1B (+2500) - Beams, Y20 (from reinforcement take-off / BBS)</t>
        </is>
      </c>
      <c r="H283" s="247">
        <v>0.814</v>
      </c>
      <c r="J283" s="253" t="inlineStr">
        <is>
          <t xml:space="preserve">0.814</t>
        </is>
      </c>
    </row>
    <row r="284">
      <c r="C284" s="250" t="inlineStr">
        <is>
          <t xml:space="preserve">Total carried to BOQ  GROUND FLR item V</t>
        </is>
      </c>
      <c r="D284" s="250" t="inlineStr">
        <is>
          <t xml:space="preserve"/>
        </is>
      </c>
      <c r="E284" s="250" t="inlineStr">
        <is>
          <t xml:space="preserve"/>
        </is>
      </c>
      <c r="F284" s="250" t="inlineStr">
        <is>
          <t xml:space="preserve"/>
        </is>
      </c>
      <c r="G284" s="250" t="inlineStr">
        <is>
          <t xml:space="preserve"/>
        </is>
      </c>
      <c r="H284" s="251">
        <f>SUM(H283:H283)</f>
        <v>0.814</v>
      </c>
      <c r="I284" s="252" t="inlineStr">
        <is>
          <t xml:space="preserve">t</t>
        </is>
      </c>
    </row>
    <row r="285">
      <c r="A285" s="243" t="inlineStr">
        <is>
          <t xml:space="preserve">GROUND FLR</t>
        </is>
      </c>
      <c r="B285" s="243" t="inlineStr">
        <is>
          <t xml:space="preserve">W</t>
        </is>
      </c>
      <c r="C285" s="244" t="inlineStr">
        <is>
          <t xml:space="preserve">25mm diameter in beams</t>
        </is>
      </c>
      <c r="I285" s="245" t="inlineStr">
        <is>
          <t xml:space="preserve">t</t>
        </is>
      </c>
      <c r="K285" s="256" t="inlineStr">
        <is>
          <t xml:space="preserve">'GROUND FLR '!C76</t>
        </is>
      </c>
    </row>
    <row r="286">
      <c r="C286" s="246" t="inlineStr">
        <is>
          <t xml:space="preserve">M1 level 1B (+2500) - Beams, Y25 (from reinforcement take-off / BBS)</t>
        </is>
      </c>
      <c r="H286" s="247">
        <v>2.438</v>
      </c>
      <c r="J286" s="253" t="inlineStr">
        <is>
          <t xml:space="preserve">2.438</t>
        </is>
      </c>
    </row>
    <row r="287">
      <c r="C287" s="250" t="inlineStr">
        <is>
          <t xml:space="preserve">Total carried to BOQ  GROUND FLR item W</t>
        </is>
      </c>
      <c r="D287" s="250" t="inlineStr">
        <is>
          <t xml:space="preserve"/>
        </is>
      </c>
      <c r="E287" s="250" t="inlineStr">
        <is>
          <t xml:space="preserve"/>
        </is>
      </c>
      <c r="F287" s="250" t="inlineStr">
        <is>
          <t xml:space="preserve"/>
        </is>
      </c>
      <c r="G287" s="250" t="inlineStr">
        <is>
          <t xml:space="preserve"/>
        </is>
      </c>
      <c r="H287" s="251">
        <f>SUM(H286:H286)</f>
        <v>2.438</v>
      </c>
      <c r="I287" s="252" t="inlineStr">
        <is>
          <t xml:space="preserve">t</t>
        </is>
      </c>
    </row>
    <row r="288">
      <c r="A288" s="243" t="inlineStr">
        <is>
          <t xml:space="preserve">GROUND FLR</t>
        </is>
      </c>
      <c r="B288" s="243" t="inlineStr">
        <is>
          <t xml:space="preserve">X</t>
        </is>
      </c>
      <c r="C288" s="244" t="inlineStr">
        <is>
          <t xml:space="preserve">10mm diameter in shear &amp; lift walls (links)</t>
        </is>
      </c>
      <c r="I288" s="245" t="inlineStr">
        <is>
          <t xml:space="preserve">t</t>
        </is>
      </c>
      <c r="K288" s="256" t="inlineStr">
        <is>
          <t xml:space="preserve">'GROUND FLR '!C78</t>
        </is>
      </c>
    </row>
    <row r="289">
      <c r="C289" s="246" t="inlineStr">
        <is>
          <t xml:space="preserve">Ground floor (+300) - Shear Walls, Y10 (from reinforcement take-off / BBS)</t>
        </is>
      </c>
      <c r="H289" s="247">
        <v>1.374</v>
      </c>
      <c r="J289" s="253" t="inlineStr">
        <is>
          <t xml:space="preserve">1.374</t>
        </is>
      </c>
    </row>
    <row r="290">
      <c r="C290" s="246" t="inlineStr">
        <is>
          <t xml:space="preserve">Ground floor (+300) - Lift Walls, Y10 (from reinforcement take-off / BBS)</t>
        </is>
      </c>
      <c r="H290" s="247">
        <v>0.751</v>
      </c>
      <c r="J290" s="253" t="inlineStr">
        <is>
          <t xml:space="preserve">0.751</t>
        </is>
      </c>
    </row>
    <row r="291">
      <c r="C291" s="246" t="inlineStr">
        <is>
          <t xml:space="preserve">M1 level 1B (+2500) - Shear Walls, Y10 (from reinforcement take-off / BBS)</t>
        </is>
      </c>
      <c r="H291" s="247">
        <v>0.66</v>
      </c>
      <c r="J291" s="253" t="inlineStr">
        <is>
          <t xml:space="preserve">0.660</t>
        </is>
      </c>
    </row>
    <row r="292">
      <c r="C292" s="250" t="inlineStr">
        <is>
          <t xml:space="preserve">Total carried to BOQ  GROUND FLR item X</t>
        </is>
      </c>
      <c r="D292" s="250" t="inlineStr">
        <is>
          <t xml:space="preserve"/>
        </is>
      </c>
      <c r="E292" s="250" t="inlineStr">
        <is>
          <t xml:space="preserve"/>
        </is>
      </c>
      <c r="F292" s="250" t="inlineStr">
        <is>
          <t xml:space="preserve"/>
        </is>
      </c>
      <c r="G292" s="250" t="inlineStr">
        <is>
          <t xml:space="preserve"/>
        </is>
      </c>
      <c r="H292" s="251">
        <f>SUM(H289:H291)</f>
        <v>2.785</v>
      </c>
      <c r="I292" s="252" t="inlineStr">
        <is>
          <t xml:space="preserve">t</t>
        </is>
      </c>
    </row>
    <row r="293">
      <c r="A293" s="243" t="inlineStr">
        <is>
          <t xml:space="preserve">GROUND FLR</t>
        </is>
      </c>
      <c r="B293" s="243" t="inlineStr">
        <is>
          <t xml:space="preserve">Y</t>
        </is>
      </c>
      <c r="C293" s="244" t="inlineStr">
        <is>
          <t xml:space="preserve">12mm diameter in shear, lift &amp; ramp walls</t>
        </is>
      </c>
      <c r="I293" s="245" t="inlineStr">
        <is>
          <t xml:space="preserve">t</t>
        </is>
      </c>
      <c r="K293" s="256" t="inlineStr">
        <is>
          <t xml:space="preserve">'GROUND FLR '!C80</t>
        </is>
      </c>
    </row>
    <row r="294">
      <c r="C294" s="246" t="inlineStr">
        <is>
          <t xml:space="preserve">Ground floor (+300) - Shear Walls, Y12 (from reinforcement take-off / BBS)</t>
        </is>
      </c>
      <c r="H294" s="247">
        <v>2.268</v>
      </c>
      <c r="J294" s="253" t="inlineStr">
        <is>
          <t xml:space="preserve">2.268</t>
        </is>
      </c>
    </row>
    <row r="295">
      <c r="C295" s="246" t="inlineStr">
        <is>
          <t xml:space="preserve">Ground floor (+300) - Lift Walls, Y12 (from reinforcement take-off / BBS)</t>
        </is>
      </c>
      <c r="H295" s="247">
        <v>1.472</v>
      </c>
      <c r="J295" s="253" t="inlineStr">
        <is>
          <t xml:space="preserve">1.472</t>
        </is>
      </c>
    </row>
    <row r="296">
      <c r="C296" s="246" t="inlineStr">
        <is>
          <t xml:space="preserve">Ground floor (+300) - Retaining / Ramp Walls, Y12 (from reinforcement take-off / BBS)</t>
        </is>
      </c>
      <c r="H296" s="247">
        <v>0.84</v>
      </c>
      <c r="J296" s="253" t="inlineStr">
        <is>
          <t xml:space="preserve">0.840</t>
        </is>
      </c>
    </row>
    <row r="297">
      <c r="C297" s="246" t="inlineStr">
        <is>
          <t xml:space="preserve">M1 level 1B (+2500) - Shear Walls, Y12 (from reinforcement take-off / BBS)</t>
        </is>
      </c>
      <c r="H297" s="247">
        <v>0.835</v>
      </c>
      <c r="J297" s="253" t="inlineStr">
        <is>
          <t xml:space="preserve">0.835</t>
        </is>
      </c>
    </row>
    <row r="298">
      <c r="C298" s="250" t="inlineStr">
        <is>
          <t xml:space="preserve">Total carried to BOQ  GROUND FLR item Y</t>
        </is>
      </c>
      <c r="D298" s="250" t="inlineStr">
        <is>
          <t xml:space="preserve"/>
        </is>
      </c>
      <c r="E298" s="250" t="inlineStr">
        <is>
          <t xml:space="preserve"/>
        </is>
      </c>
      <c r="F298" s="250" t="inlineStr">
        <is>
          <t xml:space="preserve"/>
        </is>
      </c>
      <c r="G298" s="250" t="inlineStr">
        <is>
          <t xml:space="preserve"/>
        </is>
      </c>
      <c r="H298" s="251">
        <f>SUM(H294:H297)</f>
        <v>5.415</v>
      </c>
      <c r="I298" s="252" t="inlineStr">
        <is>
          <t xml:space="preserve">t</t>
        </is>
      </c>
    </row>
    <row r="299">
      <c r="A299" s="243" t="inlineStr">
        <is>
          <t xml:space="preserve">GROUND FLR</t>
        </is>
      </c>
      <c r="B299" s="243" t="inlineStr">
        <is>
          <t xml:space="preserve">Z</t>
        </is>
      </c>
      <c r="C299" s="244" t="inlineStr">
        <is>
          <t xml:space="preserve">25mm diameter in shear &amp; lift walls</t>
        </is>
      </c>
      <c r="I299" s="245" t="inlineStr">
        <is>
          <t xml:space="preserve">t</t>
        </is>
      </c>
      <c r="K299" s="256" t="inlineStr">
        <is>
          <t xml:space="preserve">'GROUND FLR '!C82</t>
        </is>
      </c>
    </row>
    <row r="300">
      <c r="C300" s="246" t="inlineStr">
        <is>
          <t xml:space="preserve">Ground floor (+300) - Shear Walls, Y25 (from reinforcement take-off / BBS)</t>
        </is>
      </c>
      <c r="H300" s="247">
        <v>10.865</v>
      </c>
      <c r="J300" s="253" t="inlineStr">
        <is>
          <t xml:space="preserve">10.865</t>
        </is>
      </c>
    </row>
    <row r="301">
      <c r="C301" s="246" t="inlineStr">
        <is>
          <t xml:space="preserve">Ground floor (+300) - Lift Walls, Y25 (from reinforcement take-off / BBS)</t>
        </is>
      </c>
      <c r="H301" s="247">
        <v>6.137</v>
      </c>
      <c r="J301" s="253" t="inlineStr">
        <is>
          <t xml:space="preserve">6.137</t>
        </is>
      </c>
    </row>
    <row r="302">
      <c r="C302" s="246" t="inlineStr">
        <is>
          <t xml:space="preserve">M1 level 1B (+2500) - Shear Walls, Y25 (from reinforcement take-off / BBS)</t>
        </is>
      </c>
      <c r="H302" s="247">
        <v>5.196</v>
      </c>
      <c r="J302" s="253" t="inlineStr">
        <is>
          <t xml:space="preserve">5.196</t>
        </is>
      </c>
    </row>
    <row r="303">
      <c r="C303" s="250" t="inlineStr">
        <is>
          <t xml:space="preserve">Total carried to BOQ  GROUND FLR item Z</t>
        </is>
      </c>
      <c r="D303" s="250" t="inlineStr">
        <is>
          <t xml:space="preserve"/>
        </is>
      </c>
      <c r="E303" s="250" t="inlineStr">
        <is>
          <t xml:space="preserve"/>
        </is>
      </c>
      <c r="F303" s="250" t="inlineStr">
        <is>
          <t xml:space="preserve"/>
        </is>
      </c>
      <c r="G303" s="250" t="inlineStr">
        <is>
          <t xml:space="preserve"/>
        </is>
      </c>
      <c r="H303" s="251">
        <f>SUM(H300:H302)</f>
        <v>22.198</v>
      </c>
      <c r="I303" s="252" t="inlineStr">
        <is>
          <t xml:space="preserve">t</t>
        </is>
      </c>
    </row>
    <row r="304">
      <c r="A304" s="243" t="inlineStr">
        <is>
          <t xml:space="preserve">GROUND FLR</t>
        </is>
      </c>
      <c r="B304" s="243" t="inlineStr">
        <is>
          <t xml:space="preserve">A</t>
        </is>
      </c>
      <c r="C304" s="244" t="inlineStr">
        <is>
          <t xml:space="preserve">12mm diameter in stairs</t>
        </is>
      </c>
      <c r="I304" s="245" t="inlineStr">
        <is>
          <t xml:space="preserve">t</t>
        </is>
      </c>
      <c r="K304" s="256" t="inlineStr">
        <is>
          <t xml:space="preserve">'GROUND FLR '!C84</t>
        </is>
      </c>
    </row>
    <row r="305">
      <c r="C305" s="246" t="inlineStr">
        <is>
          <t xml:space="preserve">Ground floor (+300) - Staircases, Y12 (from reinforcement take-off / BBS)</t>
        </is>
      </c>
      <c r="H305" s="247">
        <v>0.88</v>
      </c>
      <c r="J305" s="253" t="inlineStr">
        <is>
          <t xml:space="preserve">0.880</t>
        </is>
      </c>
    </row>
    <row r="306">
      <c r="C306" s="246" t="inlineStr">
        <is>
          <t xml:space="preserve">M1 level 1B (+2500) - Staircases, Y12 (from reinforcement take-off / BBS)</t>
        </is>
      </c>
      <c r="H306" s="247">
        <v>0.44</v>
      </c>
      <c r="J306" s="253" t="inlineStr">
        <is>
          <t xml:space="preserve">0.440</t>
        </is>
      </c>
    </row>
    <row r="307">
      <c r="C307" s="250" t="inlineStr">
        <is>
          <t xml:space="preserve">Total carried to BOQ  GROUND FLR item A</t>
        </is>
      </c>
      <c r="D307" s="250" t="inlineStr">
        <is>
          <t xml:space="preserve"/>
        </is>
      </c>
      <c r="E307" s="250" t="inlineStr">
        <is>
          <t xml:space="preserve"/>
        </is>
      </c>
      <c r="F307" s="250" t="inlineStr">
        <is>
          <t xml:space="preserve"/>
        </is>
      </c>
      <c r="G307" s="250" t="inlineStr">
        <is>
          <t xml:space="preserve"/>
        </is>
      </c>
      <c r="H307" s="251">
        <f>SUM(H305:H306)</f>
        <v>1.32</v>
      </c>
      <c r="I307" s="252" t="inlineStr">
        <is>
          <t xml:space="preserve">t</t>
        </is>
      </c>
    </row>
    <row r="308">
      <c r="A308" s="243" t="inlineStr">
        <is>
          <t xml:space="preserve">GROUND FLR</t>
        </is>
      </c>
      <c r="B308" s="243" t="inlineStr">
        <is>
          <t xml:space="preserve">B</t>
        </is>
      </c>
      <c r="C308" s="244" t="inlineStr">
        <is>
          <t xml:space="preserve">16mm diameter in stairs</t>
        </is>
      </c>
      <c r="I308" s="245" t="inlineStr">
        <is>
          <t xml:space="preserve">t</t>
        </is>
      </c>
      <c r="K308" s="256" t="inlineStr">
        <is>
          <t xml:space="preserve">'GROUND FLR '!C86</t>
        </is>
      </c>
    </row>
    <row r="309">
      <c r="C309" s="246" t="inlineStr">
        <is>
          <t xml:space="preserve">Ground floor (+300) - Staircases, Y16 (from reinforcement take-off / BBS)</t>
        </is>
      </c>
      <c r="H309" s="247">
        <v>1.192</v>
      </c>
      <c r="J309" s="253" t="inlineStr">
        <is>
          <t xml:space="preserve">1.192</t>
        </is>
      </c>
    </row>
    <row r="310">
      <c r="C310" s="246" t="inlineStr">
        <is>
          <t xml:space="preserve">M1 level 1B (+2500) - Staircases, Y16 (from reinforcement take-off / BBS)</t>
        </is>
      </c>
      <c r="H310" s="247">
        <v>0.694</v>
      </c>
      <c r="J310" s="253" t="inlineStr">
        <is>
          <t xml:space="preserve">0.694</t>
        </is>
      </c>
    </row>
    <row r="311">
      <c r="C311" s="250" t="inlineStr">
        <is>
          <t xml:space="preserve">Total carried to BOQ  GROUND FLR item B</t>
        </is>
      </c>
      <c r="D311" s="250" t="inlineStr">
        <is>
          <t xml:space="preserve"/>
        </is>
      </c>
      <c r="E311" s="250" t="inlineStr">
        <is>
          <t xml:space="preserve"/>
        </is>
      </c>
      <c r="F311" s="250" t="inlineStr">
        <is>
          <t xml:space="preserve"/>
        </is>
      </c>
      <c r="G311" s="250" t="inlineStr">
        <is>
          <t xml:space="preserve"/>
        </is>
      </c>
      <c r="H311" s="251">
        <f>SUM(H309:H310)</f>
        <v>1.886</v>
      </c>
      <c r="I311" s="252" t="inlineStr">
        <is>
          <t xml:space="preserve">t</t>
        </is>
      </c>
    </row>
    <row r="312">
      <c r="A312" s="243" t="inlineStr">
        <is>
          <t xml:space="preserve">GROUND FLR</t>
        </is>
      </c>
      <c r="B312" s="243" t="inlineStr">
        <is>
          <t xml:space="preserve">C</t>
        </is>
      </c>
      <c r="C312" s="244" t="inlineStr">
        <is>
          <t xml:space="preserve">12mm diameter for suspended slab</t>
        </is>
      </c>
      <c r="I312" s="245" t="inlineStr">
        <is>
          <t xml:space="preserve">t</t>
        </is>
      </c>
      <c r="K312" s="256" t="inlineStr">
        <is>
          <t xml:space="preserve">'GROUND FLR '!C88</t>
        </is>
      </c>
    </row>
    <row r="313">
      <c r="C313" s="246" t="inlineStr">
        <is>
          <t xml:space="preserve">M1 level 1B (+2500) - Floor Slabs, Y12 (from reinforcement take-off / BBS)</t>
        </is>
      </c>
      <c r="H313" s="247">
        <v>25.574</v>
      </c>
      <c r="J313" s="253" t="inlineStr">
        <is>
          <t xml:space="preserve">25.574</t>
        </is>
      </c>
    </row>
    <row r="314">
      <c r="C314" s="250" t="inlineStr">
        <is>
          <t xml:space="preserve">Total carried to BOQ  GROUND FLR item C</t>
        </is>
      </c>
      <c r="D314" s="250" t="inlineStr">
        <is>
          <t xml:space="preserve"/>
        </is>
      </c>
      <c r="E314" s="250" t="inlineStr">
        <is>
          <t xml:space="preserve"/>
        </is>
      </c>
      <c r="F314" s="250" t="inlineStr">
        <is>
          <t xml:space="preserve"/>
        </is>
      </c>
      <c r="G314" s="250" t="inlineStr">
        <is>
          <t xml:space="preserve"/>
        </is>
      </c>
      <c r="H314" s="251">
        <f>SUM(H313:H313)</f>
        <v>25.574</v>
      </c>
      <c r="I314" s="252" t="inlineStr">
        <is>
          <t xml:space="preserve">t</t>
        </is>
      </c>
    </row>
    <row r="315">
      <c r="A315" s="243" t="inlineStr">
        <is>
          <t xml:space="preserve">GROUND FLR</t>
        </is>
      </c>
      <c r="B315" s="243" t="inlineStr">
        <is>
          <t xml:space="preserve">D</t>
        </is>
      </c>
      <c r="C315" s="244" t="inlineStr">
        <is>
          <t xml:space="preserve">16mm diameter for suspended slab</t>
        </is>
      </c>
      <c r="I315" s="245" t="inlineStr">
        <is>
          <t xml:space="preserve">t</t>
        </is>
      </c>
      <c r="K315" s="256" t="inlineStr">
        <is>
          <t xml:space="preserve">'GROUND FLR '!C90</t>
        </is>
      </c>
    </row>
    <row r="316">
      <c r="C316" s="246" t="inlineStr">
        <is>
          <t xml:space="preserve">M1 level 1B (+2500) - Floor Slabs, Y16 (from reinforcement take-off / BBS)</t>
        </is>
      </c>
      <c r="H316" s="247">
        <v>3.742</v>
      </c>
      <c r="J316" s="253" t="inlineStr">
        <is>
          <t xml:space="preserve">3.742</t>
        </is>
      </c>
    </row>
    <row r="317">
      <c r="C317" s="250" t="inlineStr">
        <is>
          <t xml:space="preserve">Total carried to BOQ  GROUND FLR item D</t>
        </is>
      </c>
      <c r="D317" s="250" t="inlineStr">
        <is>
          <t xml:space="preserve"/>
        </is>
      </c>
      <c r="E317" s="250" t="inlineStr">
        <is>
          <t xml:space="preserve"/>
        </is>
      </c>
      <c r="F317" s="250" t="inlineStr">
        <is>
          <t xml:space="preserve"/>
        </is>
      </c>
      <c r="G317" s="250" t="inlineStr">
        <is>
          <t xml:space="preserve"/>
        </is>
      </c>
      <c r="H317" s="251">
        <f>SUM(H316:H316)</f>
        <v>3.742</v>
      </c>
      <c r="I317" s="252" t="inlineStr">
        <is>
          <t xml:space="preserve">t</t>
        </is>
      </c>
    </row>
    <row r="318">
      <c r="C318" s="242" t="inlineStr">
        <is>
          <t xml:space="preserve">ELEMENT NO. 2: MASONRY</t>
        </is>
      </c>
    </row>
    <row r="319">
      <c r="C319" s="242" t="inlineStr">
        <is>
          <t xml:space="preserve">F10 BRICK/BLOCK WALL - Solid sandcrete blockwork in cement and sand (1:4) mortar as described in:</t>
        </is>
      </c>
    </row>
    <row r="320">
      <c r="A320" s="243" t="inlineStr">
        <is>
          <t xml:space="preserve">GROUND FLR</t>
        </is>
      </c>
      <c r="B320" s="243" t="inlineStr">
        <is>
          <t xml:space="preserve">A</t>
        </is>
      </c>
      <c r="C320" s="244" t="inlineStr">
        <is>
          <t xml:space="preserve">150mm thick wall</t>
        </is>
      </c>
      <c r="I320" s="245" t="inlineStr">
        <is>
          <t xml:space="preserve">m2</t>
        </is>
      </c>
      <c r="K320" s="256" t="inlineStr">
        <is>
          <t xml:space="preserve">'GROUND FLR '!C99</t>
        </is>
      </c>
    </row>
    <row r="321">
      <c r="C321" s="246" t="inlineStr">
        <is>
          <t xml:space="preserve">Ground floor - 150 blockwork: wall length x storey ht</t>
        </is>
      </c>
      <c r="E321" s="247">
        <v>203.6</v>
      </c>
      <c r="F321" s="247">
        <v>3.6</v>
      </c>
      <c r="H321" s="249">
        <f>PRODUCT(D321:G321)</f>
        <v>732.96</v>
      </c>
      <c r="J321" s="253" t="inlineStr">
        <is>
          <t xml:space="preserve">203.6*3.6</t>
        </is>
      </c>
    </row>
    <row r="322">
      <c r="C322" s="246" t="inlineStr">
        <is>
          <t xml:space="preserve">Walling over opening D1 (1 nr, 1.8x2.4): nr x width x (3.05 - opening ht) x thickness share</t>
        </is>
      </c>
      <c r="D322" s="248">
        <v>1</v>
      </c>
      <c r="E322" s="247">
        <v>1.8</v>
      </c>
      <c r="F322" s="247">
        <f>3.05-2.4</f>
        <v>0.6499999999999999</v>
      </c>
      <c r="G322" s="247">
        <v>0.858</v>
      </c>
      <c r="H322" s="249">
        <f>PRODUCT(D322:G322)</f>
        <v>1.00386</v>
      </c>
      <c r="J322" s="253" t="inlineStr">
        <is>
          <t xml:space="preserve">1*1.8*(3.05-2.4)*0.858</t>
        </is>
      </c>
    </row>
    <row r="323">
      <c r="C323" s="246" t="inlineStr">
        <is>
          <t xml:space="preserve">Walling over opening D3 (6 nr, 0.9x2.2): nr x width x (3.05 - opening ht) x thickness share</t>
        </is>
      </c>
      <c r="D323" s="248">
        <v>6</v>
      </c>
      <c r="E323" s="247">
        <v>0.9</v>
      </c>
      <c r="F323" s="247">
        <f>3.05-2.2</f>
        <v>0.8499999999999996</v>
      </c>
      <c r="G323" s="247">
        <v>0.858</v>
      </c>
      <c r="H323" s="249">
        <f>PRODUCT(D323:G323)</f>
        <v>3.9382199999999985</v>
      </c>
      <c r="J323" s="253" t="inlineStr">
        <is>
          <t xml:space="preserve">6*0.9*(3.05-2.2)*0.858</t>
        </is>
      </c>
    </row>
    <row r="324">
      <c r="C324" s="246" t="inlineStr">
        <is>
          <t xml:space="preserve">Walling over opening D4 (1 nr, 0.9x2.35): nr x width x (3.05 - opening ht) x thickness share</t>
        </is>
      </c>
      <c r="D324" s="248">
        <v>1</v>
      </c>
      <c r="E324" s="247">
        <v>0.9</v>
      </c>
      <c r="F324" s="247">
        <f>3.05-2.35</f>
        <v>0.6999999999999997</v>
      </c>
      <c r="G324" s="247">
        <v>0.858</v>
      </c>
      <c r="H324" s="249">
        <f>PRODUCT(D324:G324)</f>
        <v>0.5405399999999998</v>
      </c>
      <c r="J324" s="253" t="inlineStr">
        <is>
          <t xml:space="preserve">1*0.9*(3.05-2.35)*0.858</t>
        </is>
      </c>
    </row>
    <row r="325">
      <c r="C325" s="246" t="inlineStr">
        <is>
          <t xml:space="preserve">Walling over opening D5 (1 nr, 3.2x2.2): nr x width x (3.05 - opening ht) x thickness share</t>
        </is>
      </c>
      <c r="D325" s="248">
        <v>1</v>
      </c>
      <c r="E325" s="247">
        <v>3.2</v>
      </c>
      <c r="F325" s="247">
        <f>3.05-2.2</f>
        <v>0.8499999999999996</v>
      </c>
      <c r="G325" s="247">
        <v>0.858</v>
      </c>
      <c r="H325" s="249">
        <f>PRODUCT(D325:G325)</f>
        <v>2.333759999999999</v>
      </c>
      <c r="J325" s="253" t="inlineStr">
        <is>
          <t xml:space="preserve">1*3.2*(3.05-2.2)*0.858</t>
        </is>
      </c>
    </row>
    <row r="326">
      <c r="C326" s="246" t="inlineStr">
        <is>
          <t xml:space="preserve">Walling over opening D6 (6 nr, 0.75x2.2): nr x width x (3.05 - opening ht) x thickness share</t>
        </is>
      </c>
      <c r="D326" s="248">
        <v>6</v>
      </c>
      <c r="E326" s="247">
        <v>0.75</v>
      </c>
      <c r="F326" s="247">
        <f>3.05-2.2</f>
        <v>0.8499999999999996</v>
      </c>
      <c r="G326" s="247">
        <v>0.858</v>
      </c>
      <c r="H326" s="249">
        <f>PRODUCT(D326:G326)</f>
        <v>3.2818499999999986</v>
      </c>
      <c r="J326" s="253" t="inlineStr">
        <is>
          <t xml:space="preserve">6*0.75*(3.05-2.2)*0.858</t>
        </is>
      </c>
    </row>
    <row r="327">
      <c r="C327" s="246" t="inlineStr">
        <is>
          <t xml:space="preserve">Walling over opening D7 (2 nr, 0.7x2.2): nr x width x (3.05 - opening ht) x thickness share</t>
        </is>
      </c>
      <c r="D327" s="248">
        <v>2</v>
      </c>
      <c r="E327" s="247">
        <v>0.7</v>
      </c>
      <c r="F327" s="247">
        <f>3.05-2.2</f>
        <v>0.8499999999999996</v>
      </c>
      <c r="G327" s="247">
        <v>0.858</v>
      </c>
      <c r="H327" s="249">
        <f>PRODUCT(D327:G327)</f>
        <v>1.0210199999999996</v>
      </c>
      <c r="J327" s="253" t="inlineStr">
        <is>
          <t xml:space="preserve">2*0.7*(3.05-2.2)*0.858</t>
        </is>
      </c>
    </row>
    <row r="328">
      <c r="C328" s="246" t="inlineStr">
        <is>
          <t xml:space="preserve">Walling over opening ED1 (3 nr, 1x2.2): nr x width x (3.05 - opening ht) x thickness share</t>
        </is>
      </c>
      <c r="D328" s="248">
        <v>3</v>
      </c>
      <c r="E328" s="247">
        <v>1</v>
      </c>
      <c r="F328" s="247">
        <f>3.05-2.2</f>
        <v>0.8499999999999996</v>
      </c>
      <c r="G328" s="247">
        <v>0.858</v>
      </c>
      <c r="H328" s="249">
        <f>PRODUCT(D328:G328)</f>
        <v>2.187899999999999</v>
      </c>
      <c r="J328" s="253" t="inlineStr">
        <is>
          <t xml:space="preserve">3*1*(3.05-2.2)*0.858</t>
        </is>
      </c>
    </row>
    <row r="329">
      <c r="C329" s="246" t="inlineStr">
        <is>
          <t xml:space="preserve">Walling over opening D9 (2 nr, 0.9x2.2): nr x width x (3.05 - opening ht) x thickness share</t>
        </is>
      </c>
      <c r="D329" s="248">
        <v>2</v>
      </c>
      <c r="E329" s="247">
        <v>0.9</v>
      </c>
      <c r="F329" s="247">
        <f>3.05-2.2</f>
        <v>0.8499999999999996</v>
      </c>
      <c r="G329" s="247">
        <v>0.858</v>
      </c>
      <c r="H329" s="249">
        <f>PRODUCT(D329:G329)</f>
        <v>1.3127399999999994</v>
      </c>
      <c r="J329" s="253" t="inlineStr">
        <is>
          <t xml:space="preserve">2*0.9*(3.05-2.2)*0.858</t>
        </is>
      </c>
    </row>
    <row r="330">
      <c r="C330" s="246" t="inlineStr">
        <is>
          <t xml:space="preserve">Walling over opening MD1 (3 nr, 1.8x2.2): nr x width x (3.05 - opening ht) x thickness share</t>
        </is>
      </c>
      <c r="D330" s="248">
        <v>3</v>
      </c>
      <c r="E330" s="247">
        <v>1.8</v>
      </c>
      <c r="F330" s="247">
        <f>3.05-2.2</f>
        <v>0.8499999999999996</v>
      </c>
      <c r="G330" s="247">
        <v>0.858</v>
      </c>
      <c r="H330" s="249">
        <f>PRODUCT(D330:G330)</f>
        <v>3.9382199999999985</v>
      </c>
      <c r="J330" s="253" t="inlineStr">
        <is>
          <t xml:space="preserve">3*1.8*(3.05-2.2)*0.858</t>
        </is>
      </c>
    </row>
    <row r="331">
      <c r="C331" s="246" t="inlineStr">
        <is>
          <t xml:space="preserve">Walling over opening GD1 (2 nr, 1.8x2.2): nr x width x (3.05 - opening ht) x thickness share</t>
        </is>
      </c>
      <c r="D331" s="248">
        <v>2</v>
      </c>
      <c r="E331" s="247">
        <v>1.8</v>
      </c>
      <c r="F331" s="247">
        <f>3.05-2.2</f>
        <v>0.8499999999999996</v>
      </c>
      <c r="G331" s="247">
        <v>0.858</v>
      </c>
      <c r="H331" s="249">
        <f>PRODUCT(D331:G331)</f>
        <v>2.6254799999999987</v>
      </c>
      <c r="J331" s="253" t="inlineStr">
        <is>
          <t xml:space="preserve">2*1.8*(3.05-2.2)*0.858</t>
        </is>
      </c>
    </row>
    <row r="332">
      <c r="C332" s="246" t="inlineStr">
        <is>
          <t xml:space="preserve">Walling over opening DW1 (2 nr, 2.4x2.2): nr x width x (3.05 - opening ht) x thickness share</t>
        </is>
      </c>
      <c r="D332" s="248">
        <v>2</v>
      </c>
      <c r="E332" s="247">
        <v>2.4</v>
      </c>
      <c r="F332" s="247">
        <f>3.05-2.2</f>
        <v>0.8499999999999996</v>
      </c>
      <c r="G332" s="247">
        <v>0.858</v>
      </c>
      <c r="H332" s="249">
        <f>PRODUCT(D332:G332)</f>
        <v>3.5006399999999984</v>
      </c>
      <c r="J332" s="253" t="inlineStr">
        <is>
          <t xml:space="preserve">2*2.4*(3.05-2.2)*0.858</t>
        </is>
      </c>
    </row>
    <row r="333">
      <c r="C333" s="246" t="inlineStr">
        <is>
          <t xml:space="preserve">Walling over opening DW2 (1 nr, 5.05x2.2): nr x width x (3.05 - opening ht) x thickness share</t>
        </is>
      </c>
      <c r="D333" s="248">
        <v>1</v>
      </c>
      <c r="E333" s="247">
        <v>5.05</v>
      </c>
      <c r="F333" s="247">
        <f>3.05-2.2</f>
        <v>0.8499999999999996</v>
      </c>
      <c r="G333" s="247">
        <v>0.858</v>
      </c>
      <c r="H333" s="249">
        <f>PRODUCT(D333:G333)</f>
        <v>3.682964999999998</v>
      </c>
      <c r="J333" s="253" t="inlineStr">
        <is>
          <t xml:space="preserve">1*5.05*(3.05-2.2)*0.858</t>
        </is>
      </c>
    </row>
    <row r="334">
      <c r="C334" s="246" t="inlineStr">
        <is>
          <t xml:space="preserve">Walling over opening RD1 (2 nr, 4.2x2.157): nr x width x (3.05 - opening ht) x thickness share</t>
        </is>
      </c>
      <c r="D334" s="248">
        <v>2</v>
      </c>
      <c r="E334" s="247">
        <v>4.2</v>
      </c>
      <c r="F334" s="247">
        <f>3.05-2.157</f>
        <v>0.8929999999999998</v>
      </c>
      <c r="G334" s="247">
        <v>0.858</v>
      </c>
      <c r="H334" s="249">
        <f>PRODUCT(D334:G334)</f>
        <v>6.436029599999999</v>
      </c>
      <c r="J334" s="253" t="inlineStr">
        <is>
          <t xml:space="preserve">2*4.2*(3.05-2.157)*0.858</t>
        </is>
      </c>
    </row>
    <row r="335">
      <c r="C335" s="246" t="inlineStr">
        <is>
          <t xml:space="preserve">Walling over opening W1 (1 nr, 3.6x1.9): nr x width x (3.05 - opening ht) x thickness share</t>
        </is>
      </c>
      <c r="D335" s="248">
        <v>1</v>
      </c>
      <c r="E335" s="247">
        <v>3.6</v>
      </c>
      <c r="F335" s="247">
        <f>3.05-1.9</f>
        <v>1.15</v>
      </c>
      <c r="G335" s="247">
        <v>0.858</v>
      </c>
      <c r="H335" s="249">
        <f>PRODUCT(D335:G335)</f>
        <v>3.5521199999999995</v>
      </c>
      <c r="J335" s="253" t="inlineStr">
        <is>
          <t xml:space="preserve">1*3.6*(3.05-1.9)*0.858</t>
        </is>
      </c>
    </row>
    <row r="336">
      <c r="C336" s="246" t="inlineStr">
        <is>
          <t xml:space="preserve">Walling over opening W3 (1 nr, 1.8x1.5): nr x width x (3.05 - opening ht) x thickness share</t>
        </is>
      </c>
      <c r="D336" s="248">
        <v>1</v>
      </c>
      <c r="E336" s="247">
        <v>1.8</v>
      </c>
      <c r="F336" s="247">
        <f>3.05-1.5</f>
        <v>1.5499999999999998</v>
      </c>
      <c r="G336" s="247">
        <v>0.858</v>
      </c>
      <c r="H336" s="249">
        <f>PRODUCT(D336:G336)</f>
        <v>2.3938199999999994</v>
      </c>
      <c r="J336" s="253" t="inlineStr">
        <is>
          <t xml:space="preserve">1*1.8*(3.05-1.5)*0.858</t>
        </is>
      </c>
    </row>
    <row r="337">
      <c r="C337" s="246" t="inlineStr">
        <is>
          <t xml:space="preserve">Walling over opening W5 (1 nr, 1.8x1.9): nr x width x (3.05 - opening ht) x thickness share</t>
        </is>
      </c>
      <c r="D337" s="248">
        <v>1</v>
      </c>
      <c r="E337" s="247">
        <v>1.8</v>
      </c>
      <c r="F337" s="247">
        <f>3.05-1.9</f>
        <v>1.15</v>
      </c>
      <c r="G337" s="247">
        <v>0.858</v>
      </c>
      <c r="H337" s="249">
        <f>PRODUCT(D337:G337)</f>
        <v>1.7760599999999998</v>
      </c>
      <c r="J337" s="253" t="inlineStr">
        <is>
          <t xml:space="preserve">1*1.8*(3.05-1.9)*0.858</t>
        </is>
      </c>
    </row>
    <row r="338">
      <c r="C338" s="246" t="inlineStr">
        <is>
          <t xml:space="preserve">Walling over opening W6 (1 nr, 3.5x1.5): nr x width x (3.05 - opening ht) x thickness share</t>
        </is>
      </c>
      <c r="D338" s="248">
        <v>1</v>
      </c>
      <c r="E338" s="247">
        <v>3.5</v>
      </c>
      <c r="F338" s="247">
        <f>3.05-1.5</f>
        <v>1.5499999999999998</v>
      </c>
      <c r="G338" s="247">
        <v>0.858</v>
      </c>
      <c r="H338" s="249">
        <f>PRODUCT(D338:G338)</f>
        <v>4.654649999999999</v>
      </c>
      <c r="J338" s="253" t="inlineStr">
        <is>
          <t xml:space="preserve">1*3.5*(3.05-1.5)*0.858</t>
        </is>
      </c>
    </row>
    <row r="339">
      <c r="C339" s="246" t="inlineStr">
        <is>
          <t xml:space="preserve">Walling over opening W14 (3 nr, 3.6x2.2): nr x width x (3.05 - opening ht) x thickness share</t>
        </is>
      </c>
      <c r="D339" s="248">
        <v>3</v>
      </c>
      <c r="E339" s="247">
        <v>3.6</v>
      </c>
      <c r="F339" s="247">
        <f>3.05-2.2</f>
        <v>0.8499999999999996</v>
      </c>
      <c r="G339" s="247">
        <v>0.858</v>
      </c>
      <c r="H339" s="249">
        <f>PRODUCT(D339:G339)</f>
        <v>7.876439999999997</v>
      </c>
      <c r="J339" s="253" t="inlineStr">
        <is>
          <t xml:space="preserve">3*3.6*(3.05-2.2)*0.858</t>
        </is>
      </c>
    </row>
    <row r="340">
      <c r="C340" s="246" t="inlineStr">
        <is>
          <t xml:space="preserve">Walling over opening W16 (2 nr, 2.4x1.9): nr x width x (3.05 - opening ht) x thickness share</t>
        </is>
      </c>
      <c r="D340" s="248">
        <v>2</v>
      </c>
      <c r="E340" s="247">
        <v>2.4</v>
      </c>
      <c r="F340" s="247">
        <f>3.05-1.9</f>
        <v>1.15</v>
      </c>
      <c r="G340" s="247">
        <v>0.858</v>
      </c>
      <c r="H340" s="249">
        <f>PRODUCT(D340:G340)</f>
        <v>4.73616</v>
      </c>
      <c r="J340" s="253" t="inlineStr">
        <is>
          <t xml:space="preserve">2*2.4*(3.05-1.9)*0.858</t>
        </is>
      </c>
    </row>
    <row r="341">
      <c r="C341" s="246" t="inlineStr">
        <is>
          <t xml:space="preserve">Walling over opening W19 (2 nr, 2.1x0.9): nr x width x (3.05 - opening ht) x thickness share</t>
        </is>
      </c>
      <c r="D341" s="248">
        <v>2</v>
      </c>
      <c r="E341" s="247">
        <v>2.1</v>
      </c>
      <c r="F341" s="247">
        <f>3.05-0.9</f>
        <v>2.15</v>
      </c>
      <c r="G341" s="247">
        <v>0.858</v>
      </c>
      <c r="H341" s="249">
        <f>PRODUCT(D341:G341)</f>
        <v>7.747739999999999</v>
      </c>
      <c r="J341" s="253" t="inlineStr">
        <is>
          <t xml:space="preserve">2*2.1*(3.05-0.9)*0.858</t>
        </is>
      </c>
    </row>
    <row r="342">
      <c r="C342" s="246" t="inlineStr">
        <is>
          <t xml:space="preserve">Walling over opening HW1 (4 nr, 0.9x0.6): nr x width x (3.05 - opening ht) x thickness share</t>
        </is>
      </c>
      <c r="D342" s="248">
        <v>4</v>
      </c>
      <c r="E342" s="247">
        <v>0.9</v>
      </c>
      <c r="F342" s="247">
        <f>3.05-0.6</f>
        <v>2.4499999999999997</v>
      </c>
      <c r="G342" s="247">
        <v>0.858</v>
      </c>
      <c r="H342" s="249">
        <f>PRODUCT(D342:G342)</f>
        <v>7.5675599999999985</v>
      </c>
      <c r="J342" s="253" t="inlineStr">
        <is>
          <t xml:space="preserve">4*0.9*(3.05-0.6)*0.858</t>
        </is>
      </c>
    </row>
    <row r="343">
      <c r="C343" s="246" t="inlineStr">
        <is>
          <t xml:space="preserve">Walling over opening HW2 (1 nr, 0.75x0.6): nr x width x (3.05 - opening ht) x thickness share</t>
        </is>
      </c>
      <c r="D343" s="248">
        <v>1</v>
      </c>
      <c r="E343" s="247">
        <v>0.75</v>
      </c>
      <c r="F343" s="247">
        <f>3.05-0.6</f>
        <v>2.4499999999999997</v>
      </c>
      <c r="G343" s="247">
        <v>0.858</v>
      </c>
      <c r="H343" s="249">
        <f>PRODUCT(D343:G343)</f>
        <v>1.5765749999999998</v>
      </c>
      <c r="J343" s="253" t="inlineStr">
        <is>
          <t xml:space="preserve">1*0.75*(3.05-0.6)*0.858</t>
        </is>
      </c>
    </row>
    <row r="344">
      <c r="C344" s="250" t="inlineStr">
        <is>
          <t xml:space="preserve">Total carried to BOQ  GROUND FLR item A</t>
        </is>
      </c>
      <c r="D344" s="250" t="inlineStr">
        <is>
          <t xml:space="preserve"/>
        </is>
      </c>
      <c r="E344" s="250" t="inlineStr">
        <is>
          <t xml:space="preserve"/>
        </is>
      </c>
      <c r="F344" s="250" t="inlineStr">
        <is>
          <t xml:space="preserve"/>
        </is>
      </c>
      <c r="G344" s="250" t="inlineStr">
        <is>
          <t xml:space="preserve"/>
        </is>
      </c>
      <c r="H344" s="251">
        <f>SUM(H321:H343)</f>
        <v>810.6443495999999</v>
      </c>
      <c r="I344" s="252" t="inlineStr">
        <is>
          <t xml:space="preserve">m2</t>
        </is>
      </c>
    </row>
    <row r="345">
      <c r="A345" s="243" t="inlineStr">
        <is>
          <t xml:space="preserve">GROUND FLR</t>
        </is>
      </c>
      <c r="B345" s="243" t="inlineStr">
        <is>
          <t xml:space="preserve">B</t>
        </is>
      </c>
      <c r="C345" s="244" t="inlineStr">
        <is>
          <t xml:space="preserve">200mm thick wall</t>
        </is>
      </c>
      <c r="I345" s="245" t="inlineStr">
        <is>
          <t xml:space="preserve">m2</t>
        </is>
      </c>
      <c r="K345" s="256" t="inlineStr">
        <is>
          <t xml:space="preserve">'GROUND FLR '!C101</t>
        </is>
      </c>
    </row>
    <row r="346">
      <c r="C346" s="246" t="inlineStr">
        <is>
          <t xml:space="preserve">Ground floor - 200 blockwork: wall length x storey ht</t>
        </is>
      </c>
      <c r="E346" s="247">
        <v>33.8</v>
      </c>
      <c r="F346" s="247">
        <v>3.6</v>
      </c>
      <c r="H346" s="249">
        <f>PRODUCT(D346:G346)</f>
        <v>121.67999999999999</v>
      </c>
      <c r="J346" s="253" t="inlineStr">
        <is>
          <t xml:space="preserve">33.8*3.6</t>
        </is>
      </c>
    </row>
    <row r="347">
      <c r="C347" s="246" t="inlineStr">
        <is>
          <t xml:space="preserve">Walling over opening D1 (1 nr, 1.8x2.4): nr x width x (3.05 - opening ht) x thickness share</t>
        </is>
      </c>
      <c r="D347" s="248">
        <v>1</v>
      </c>
      <c r="E347" s="247">
        <v>1.8</v>
      </c>
      <c r="F347" s="247">
        <f>3.05-2.4</f>
        <v>0.6499999999999999</v>
      </c>
      <c r="G347" s="247">
        <v>0.142</v>
      </c>
      <c r="H347" s="249">
        <f>PRODUCT(D347:G347)</f>
        <v>0.16613999999999998</v>
      </c>
      <c r="J347" s="253" t="inlineStr">
        <is>
          <t xml:space="preserve">1*1.8*(3.05-2.4)*0.142</t>
        </is>
      </c>
    </row>
    <row r="348">
      <c r="C348" s="246" t="inlineStr">
        <is>
          <t xml:space="preserve">Walling over opening D3 (6 nr, 0.9x2.2): nr x width x (3.05 - opening ht) x thickness share</t>
        </is>
      </c>
      <c r="D348" s="248">
        <v>6</v>
      </c>
      <c r="E348" s="247">
        <v>0.9</v>
      </c>
      <c r="F348" s="247">
        <f>3.05-2.2</f>
        <v>0.8499999999999996</v>
      </c>
      <c r="G348" s="247">
        <v>0.142</v>
      </c>
      <c r="H348" s="249">
        <f>PRODUCT(D348:G348)</f>
        <v>0.6517799999999997</v>
      </c>
      <c r="J348" s="253" t="inlineStr">
        <is>
          <t xml:space="preserve">6*0.9*(3.05-2.2)*0.142</t>
        </is>
      </c>
    </row>
    <row r="349">
      <c r="C349" s="246" t="inlineStr">
        <is>
          <t xml:space="preserve">Walling over opening D4 (1 nr, 0.9x2.35): nr x width x (3.05 - opening ht) x thickness share</t>
        </is>
      </c>
      <c r="D349" s="248">
        <v>1</v>
      </c>
      <c r="E349" s="247">
        <v>0.9</v>
      </c>
      <c r="F349" s="247">
        <f>3.05-2.35</f>
        <v>0.6999999999999997</v>
      </c>
      <c r="G349" s="247">
        <v>0.142</v>
      </c>
      <c r="H349" s="249">
        <f>PRODUCT(D349:G349)</f>
        <v>0.08945999999999996</v>
      </c>
      <c r="J349" s="253" t="inlineStr">
        <is>
          <t xml:space="preserve">1*0.9*(3.05-2.35)*0.142</t>
        </is>
      </c>
    </row>
    <row r="350">
      <c r="C350" s="246" t="inlineStr">
        <is>
          <t xml:space="preserve">Walling over opening D5 (1 nr, 3.2x2.2): nr x width x (3.05 - opening ht) x thickness share</t>
        </is>
      </c>
      <c r="D350" s="248">
        <v>1</v>
      </c>
      <c r="E350" s="247">
        <v>3.2</v>
      </c>
      <c r="F350" s="247">
        <f>3.05-2.2</f>
        <v>0.8499999999999996</v>
      </c>
      <c r="G350" s="247">
        <v>0.142</v>
      </c>
      <c r="H350" s="249">
        <f>PRODUCT(D350:G350)</f>
        <v>0.3862399999999998</v>
      </c>
      <c r="J350" s="253" t="inlineStr">
        <is>
          <t xml:space="preserve">1*3.2*(3.05-2.2)*0.142</t>
        </is>
      </c>
    </row>
    <row r="351">
      <c r="C351" s="246" t="inlineStr">
        <is>
          <t xml:space="preserve">Walling over opening D6 (6 nr, 0.75x2.2): nr x width x (3.05 - opening ht) x thickness share</t>
        </is>
      </c>
      <c r="D351" s="248">
        <v>6</v>
      </c>
      <c r="E351" s="247">
        <v>0.75</v>
      </c>
      <c r="F351" s="247">
        <f>3.05-2.2</f>
        <v>0.8499999999999996</v>
      </c>
      <c r="G351" s="247">
        <v>0.142</v>
      </c>
      <c r="H351" s="249">
        <f>PRODUCT(D351:G351)</f>
        <v>0.5431499999999997</v>
      </c>
      <c r="J351" s="253" t="inlineStr">
        <is>
          <t xml:space="preserve">6*0.75*(3.05-2.2)*0.142</t>
        </is>
      </c>
    </row>
    <row r="352">
      <c r="C352" s="246" t="inlineStr">
        <is>
          <t xml:space="preserve">Walling over opening D7 (2 nr, 0.7x2.2): nr x width x (3.05 - opening ht) x thickness share</t>
        </is>
      </c>
      <c r="D352" s="248">
        <v>2</v>
      </c>
      <c r="E352" s="247">
        <v>0.7</v>
      </c>
      <c r="F352" s="247">
        <f>3.05-2.2</f>
        <v>0.8499999999999996</v>
      </c>
      <c r="G352" s="247">
        <v>0.142</v>
      </c>
      <c r="H352" s="249">
        <f>PRODUCT(D352:G352)</f>
        <v>0.1689799999999999</v>
      </c>
      <c r="J352" s="253" t="inlineStr">
        <is>
          <t xml:space="preserve">2*0.7*(3.05-2.2)*0.142</t>
        </is>
      </c>
    </row>
    <row r="353">
      <c r="C353" s="246" t="inlineStr">
        <is>
          <t xml:space="preserve">Walling over opening ED1 (3 nr, 1x2.2): nr x width x (3.05 - opening ht) x thickness share</t>
        </is>
      </c>
      <c r="D353" s="248">
        <v>3</v>
      </c>
      <c r="E353" s="247">
        <v>1</v>
      </c>
      <c r="F353" s="247">
        <f>3.05-2.2</f>
        <v>0.8499999999999996</v>
      </c>
      <c r="G353" s="247">
        <v>0.142</v>
      </c>
      <c r="H353" s="249">
        <f>PRODUCT(D353:G353)</f>
        <v>0.3620999999999998</v>
      </c>
      <c r="J353" s="253" t="inlineStr">
        <is>
          <t xml:space="preserve">3*1*(3.05-2.2)*0.142</t>
        </is>
      </c>
    </row>
    <row r="354">
      <c r="C354" s="246" t="inlineStr">
        <is>
          <t xml:space="preserve">Walling over opening D9 (2 nr, 0.9x2.2): nr x width x (3.05 - opening ht) x thickness share</t>
        </is>
      </c>
      <c r="D354" s="248">
        <v>2</v>
      </c>
      <c r="E354" s="247">
        <v>0.9</v>
      </c>
      <c r="F354" s="247">
        <f>3.05-2.2</f>
        <v>0.8499999999999996</v>
      </c>
      <c r="G354" s="247">
        <v>0.142</v>
      </c>
      <c r="H354" s="249">
        <f>PRODUCT(D354:G354)</f>
        <v>0.2172599999999999</v>
      </c>
      <c r="J354" s="253" t="inlineStr">
        <is>
          <t xml:space="preserve">2*0.9*(3.05-2.2)*0.142</t>
        </is>
      </c>
    </row>
    <row r="355">
      <c r="C355" s="246" t="inlineStr">
        <is>
          <t xml:space="preserve">Walling over opening MD1 (3 nr, 1.8x2.2): nr x width x (3.05 - opening ht) x thickness share</t>
        </is>
      </c>
      <c r="D355" s="248">
        <v>3</v>
      </c>
      <c r="E355" s="247">
        <v>1.8</v>
      </c>
      <c r="F355" s="247">
        <f>3.05-2.2</f>
        <v>0.8499999999999996</v>
      </c>
      <c r="G355" s="247">
        <v>0.142</v>
      </c>
      <c r="H355" s="249">
        <f>PRODUCT(D355:G355)</f>
        <v>0.6517799999999997</v>
      </c>
      <c r="J355" s="253" t="inlineStr">
        <is>
          <t xml:space="preserve">3*1.8*(3.05-2.2)*0.142</t>
        </is>
      </c>
    </row>
    <row r="356">
      <c r="C356" s="246" t="inlineStr">
        <is>
          <t xml:space="preserve">Walling over opening GD1 (2 nr, 1.8x2.2): nr x width x (3.05 - opening ht) x thickness share</t>
        </is>
      </c>
      <c r="D356" s="248">
        <v>2</v>
      </c>
      <c r="E356" s="247">
        <v>1.8</v>
      </c>
      <c r="F356" s="247">
        <f>3.05-2.2</f>
        <v>0.8499999999999996</v>
      </c>
      <c r="G356" s="247">
        <v>0.142</v>
      </c>
      <c r="H356" s="249">
        <f>PRODUCT(D356:G356)</f>
        <v>0.4345199999999998</v>
      </c>
      <c r="J356" s="253" t="inlineStr">
        <is>
          <t xml:space="preserve">2*1.8*(3.05-2.2)*0.142</t>
        </is>
      </c>
    </row>
    <row r="357">
      <c r="C357" s="246" t="inlineStr">
        <is>
          <t xml:space="preserve">Walling over opening DW1 (2 nr, 2.4x2.2): nr x width x (3.05 - opening ht) x thickness share</t>
        </is>
      </c>
      <c r="D357" s="248">
        <v>2</v>
      </c>
      <c r="E357" s="247">
        <v>2.4</v>
      </c>
      <c r="F357" s="247">
        <f>3.05-2.2</f>
        <v>0.8499999999999996</v>
      </c>
      <c r="G357" s="247">
        <v>0.142</v>
      </c>
      <c r="H357" s="249">
        <f>PRODUCT(D357:G357)</f>
        <v>0.5793599999999997</v>
      </c>
      <c r="J357" s="253" t="inlineStr">
        <is>
          <t xml:space="preserve">2*2.4*(3.05-2.2)*0.142</t>
        </is>
      </c>
    </row>
    <row r="358">
      <c r="C358" s="246" t="inlineStr">
        <is>
          <t xml:space="preserve">Walling over opening DW2 (1 nr, 5.05x2.2): nr x width x (3.05 - opening ht) x thickness share</t>
        </is>
      </c>
      <c r="D358" s="248">
        <v>1</v>
      </c>
      <c r="E358" s="247">
        <v>5.05</v>
      </c>
      <c r="F358" s="247">
        <f>3.05-2.2</f>
        <v>0.8499999999999996</v>
      </c>
      <c r="G358" s="247">
        <v>0.142</v>
      </c>
      <c r="H358" s="249">
        <f>PRODUCT(D358:G358)</f>
        <v>0.6095349999999996</v>
      </c>
      <c r="J358" s="253" t="inlineStr">
        <is>
          <t xml:space="preserve">1*5.05*(3.05-2.2)*0.142</t>
        </is>
      </c>
    </row>
    <row r="359">
      <c r="C359" s="246" t="inlineStr">
        <is>
          <t xml:space="preserve">Walling over opening RD1 (2 nr, 4.2x2.157): nr x width x (3.05 - opening ht) x thickness share</t>
        </is>
      </c>
      <c r="D359" s="248">
        <v>2</v>
      </c>
      <c r="E359" s="247">
        <v>4.2</v>
      </c>
      <c r="F359" s="247">
        <f>3.05-2.157</f>
        <v>0.8929999999999998</v>
      </c>
      <c r="G359" s="247">
        <v>0.142</v>
      </c>
      <c r="H359" s="249">
        <f>PRODUCT(D359:G359)</f>
        <v>1.0651703999999997</v>
      </c>
      <c r="J359" s="253" t="inlineStr">
        <is>
          <t xml:space="preserve">2*4.2*(3.05-2.157)*0.142</t>
        </is>
      </c>
    </row>
    <row r="360">
      <c r="C360" s="246" t="inlineStr">
        <is>
          <t xml:space="preserve">Walling over opening W1 (1 nr, 3.6x1.9): nr x width x (3.05 - opening ht) x thickness share</t>
        </is>
      </c>
      <c r="D360" s="248">
        <v>1</v>
      </c>
      <c r="E360" s="247">
        <v>3.6</v>
      </c>
      <c r="F360" s="247">
        <f>3.05-1.9</f>
        <v>1.15</v>
      </c>
      <c r="G360" s="247">
        <v>0.142</v>
      </c>
      <c r="H360" s="249">
        <f>PRODUCT(D360:G360)</f>
        <v>0.5878799999999998</v>
      </c>
      <c r="J360" s="253" t="inlineStr">
        <is>
          <t xml:space="preserve">1*3.6*(3.05-1.9)*0.142</t>
        </is>
      </c>
    </row>
    <row r="361">
      <c r="C361" s="246" t="inlineStr">
        <is>
          <t xml:space="preserve">Walling over opening W3 (1 nr, 1.8x1.5): nr x width x (3.05 - opening ht) x thickness share</t>
        </is>
      </c>
      <c r="D361" s="248">
        <v>1</v>
      </c>
      <c r="E361" s="247">
        <v>1.8</v>
      </c>
      <c r="F361" s="247">
        <f>3.05-1.5</f>
        <v>1.5499999999999998</v>
      </c>
      <c r="G361" s="247">
        <v>0.142</v>
      </c>
      <c r="H361" s="249">
        <f>PRODUCT(D361:G361)</f>
        <v>0.3961799999999999</v>
      </c>
      <c r="J361" s="253" t="inlineStr">
        <is>
          <t xml:space="preserve">1*1.8*(3.05-1.5)*0.142</t>
        </is>
      </c>
    </row>
    <row r="362">
      <c r="C362" s="246" t="inlineStr">
        <is>
          <t xml:space="preserve">Walling over opening W5 (1 nr, 1.8x1.9): nr x width x (3.05 - opening ht) x thickness share</t>
        </is>
      </c>
      <c r="D362" s="248">
        <v>1</v>
      </c>
      <c r="E362" s="247">
        <v>1.8</v>
      </c>
      <c r="F362" s="247">
        <f>3.05-1.9</f>
        <v>1.15</v>
      </c>
      <c r="G362" s="247">
        <v>0.142</v>
      </c>
      <c r="H362" s="249">
        <f>PRODUCT(D362:G362)</f>
        <v>0.2939399999999999</v>
      </c>
      <c r="J362" s="253" t="inlineStr">
        <is>
          <t xml:space="preserve">1*1.8*(3.05-1.9)*0.142</t>
        </is>
      </c>
    </row>
    <row r="363">
      <c r="C363" s="246" t="inlineStr">
        <is>
          <t xml:space="preserve">Walling over opening W6 (1 nr, 3.5x1.5): nr x width x (3.05 - opening ht) x thickness share</t>
        </is>
      </c>
      <c r="D363" s="248">
        <v>1</v>
      </c>
      <c r="E363" s="247">
        <v>3.5</v>
      </c>
      <c r="F363" s="247">
        <f>3.05-1.5</f>
        <v>1.5499999999999998</v>
      </c>
      <c r="G363" s="247">
        <v>0.142</v>
      </c>
      <c r="H363" s="249">
        <f>PRODUCT(D363:G363)</f>
        <v>0.7703499999999998</v>
      </c>
      <c r="J363" s="253" t="inlineStr">
        <is>
          <t xml:space="preserve">1*3.5*(3.05-1.5)*0.142</t>
        </is>
      </c>
    </row>
    <row r="364">
      <c r="C364" s="246" t="inlineStr">
        <is>
          <t xml:space="preserve">Walling over opening W14 (3 nr, 3.6x2.2): nr x width x (3.05 - opening ht) x thickness share</t>
        </is>
      </c>
      <c r="D364" s="248">
        <v>3</v>
      </c>
      <c r="E364" s="247">
        <v>3.6</v>
      </c>
      <c r="F364" s="247">
        <f>3.05-2.2</f>
        <v>0.8499999999999996</v>
      </c>
      <c r="G364" s="247">
        <v>0.142</v>
      </c>
      <c r="H364" s="249">
        <f>PRODUCT(D364:G364)</f>
        <v>1.3035599999999994</v>
      </c>
      <c r="J364" s="253" t="inlineStr">
        <is>
          <t xml:space="preserve">3*3.6*(3.05-2.2)*0.142</t>
        </is>
      </c>
    </row>
    <row r="365">
      <c r="C365" s="246" t="inlineStr">
        <is>
          <t xml:space="preserve">Walling over opening W16 (2 nr, 2.4x1.9): nr x width x (3.05 - opening ht) x thickness share</t>
        </is>
      </c>
      <c r="D365" s="248">
        <v>2</v>
      </c>
      <c r="E365" s="247">
        <v>2.4</v>
      </c>
      <c r="F365" s="247">
        <f>3.05-1.9</f>
        <v>1.15</v>
      </c>
      <c r="G365" s="247">
        <v>0.142</v>
      </c>
      <c r="H365" s="249">
        <f>PRODUCT(D365:G365)</f>
        <v>0.7838399999999999</v>
      </c>
      <c r="J365" s="253" t="inlineStr">
        <is>
          <t xml:space="preserve">2*2.4*(3.05-1.9)*0.142</t>
        </is>
      </c>
    </row>
    <row r="366">
      <c r="C366" s="246" t="inlineStr">
        <is>
          <t xml:space="preserve">Walling over opening W19 (2 nr, 2.1x0.9): nr x width x (3.05 - opening ht) x thickness share</t>
        </is>
      </c>
      <c r="D366" s="248">
        <v>2</v>
      </c>
      <c r="E366" s="247">
        <v>2.1</v>
      </c>
      <c r="F366" s="247">
        <f>3.05-0.9</f>
        <v>2.15</v>
      </c>
      <c r="G366" s="247">
        <v>0.142</v>
      </c>
      <c r="H366" s="249">
        <f>PRODUCT(D366:G366)</f>
        <v>1.2822599999999997</v>
      </c>
      <c r="J366" s="253" t="inlineStr">
        <is>
          <t xml:space="preserve">2*2.1*(3.05-0.9)*0.142</t>
        </is>
      </c>
    </row>
    <row r="367">
      <c r="C367" s="246" t="inlineStr">
        <is>
          <t xml:space="preserve">Walling over opening HW1 (4 nr, 0.9x0.6): nr x width x (3.05 - opening ht) x thickness share</t>
        </is>
      </c>
      <c r="D367" s="248">
        <v>4</v>
      </c>
      <c r="E367" s="247">
        <v>0.9</v>
      </c>
      <c r="F367" s="247">
        <f>3.05-0.6</f>
        <v>2.4499999999999997</v>
      </c>
      <c r="G367" s="247">
        <v>0.142</v>
      </c>
      <c r="H367" s="249">
        <f>PRODUCT(D367:G367)</f>
        <v>1.2524399999999998</v>
      </c>
      <c r="J367" s="253" t="inlineStr">
        <is>
          <t xml:space="preserve">4*0.9*(3.05-0.6)*0.142</t>
        </is>
      </c>
    </row>
    <row r="368">
      <c r="C368" s="246" t="inlineStr">
        <is>
          <t xml:space="preserve">Walling over opening HW2 (1 nr, 0.75x0.6): nr x width x (3.05 - opening ht) x thickness share</t>
        </is>
      </c>
      <c r="D368" s="248">
        <v>1</v>
      </c>
      <c r="E368" s="247">
        <v>0.75</v>
      </c>
      <c r="F368" s="247">
        <f>3.05-0.6</f>
        <v>2.4499999999999997</v>
      </c>
      <c r="G368" s="247">
        <v>0.142</v>
      </c>
      <c r="H368" s="249">
        <f>PRODUCT(D368:G368)</f>
        <v>0.26092499999999996</v>
      </c>
      <c r="J368" s="253" t="inlineStr">
        <is>
          <t xml:space="preserve">1*0.75*(3.05-0.6)*0.142</t>
        </is>
      </c>
    </row>
    <row r="369">
      <c r="C369" s="250" t="inlineStr">
        <is>
          <t xml:space="preserve">Total carried to BOQ  GROUND FLR item B</t>
        </is>
      </c>
      <c r="D369" s="250" t="inlineStr">
        <is>
          <t xml:space="preserve"/>
        </is>
      </c>
      <c r="E369" s="250" t="inlineStr">
        <is>
          <t xml:space="preserve"/>
        </is>
      </c>
      <c r="F369" s="250" t="inlineStr">
        <is>
          <t xml:space="preserve"/>
        </is>
      </c>
      <c r="G369" s="250" t="inlineStr">
        <is>
          <t xml:space="preserve"/>
        </is>
      </c>
      <c r="H369" s="251">
        <f>SUM(H346:H368)</f>
        <v>134.5368504</v>
      </c>
      <c r="I369" s="252" t="inlineStr">
        <is>
          <t xml:space="preserve">m2</t>
        </is>
      </c>
    </row>
    <row r="370">
      <c r="C370" s="242" t="inlineStr">
        <is>
          <t xml:space="preserve">ELEMENT NO. 4: WINDOWS/DOORS</t>
        </is>
      </c>
    </row>
    <row r="371">
      <c r="C371" s="242" t="inlineStr">
        <is>
          <t xml:space="preserve">L20 DOORS - Supply and fix the following door assemblies complete with frames, ironmongery sets to steel doors and all accessories:</t>
        </is>
      </c>
    </row>
    <row r="372">
      <c r="A372" s="243" t="inlineStr">
        <is>
          <t xml:space="preserve">GROUND FLR</t>
        </is>
      </c>
      <c r="B372" s="243" t="inlineStr">
        <is>
          <t xml:space="preserve">A</t>
        </is>
      </c>
      <c r="C372" s="244" t="inlineStr">
        <is>
          <t xml:space="preserve">1800mm x 2400mm 2-hour fire-rated double-leaf galvanised steel door (D1)</t>
        </is>
      </c>
      <c r="I372" s="245" t="inlineStr">
        <is>
          <t xml:space="preserve">nr</t>
        </is>
      </c>
      <c r="K372" s="256" t="inlineStr">
        <is>
          <t xml:space="preserve">'GROUND FLR '!C110</t>
        </is>
      </c>
    </row>
    <row r="373">
      <c r="C373" s="246" t="inlineStr">
        <is>
          <t xml:space="preserve">Ground floor - External/unlabelled paved areas (measured)</t>
        </is>
      </c>
      <c r="H373" s="247">
        <v>1.0</v>
      </c>
      <c r="J373" s="253" t="inlineStr">
        <is>
          <t xml:space="preserve">1.0</t>
        </is>
      </c>
    </row>
    <row r="374">
      <c r="C374" s="250" t="inlineStr">
        <is>
          <t xml:space="preserve">Total carried to BOQ  GROUND FLR item A</t>
        </is>
      </c>
      <c r="D374" s="250" t="inlineStr">
        <is>
          <t xml:space="preserve"/>
        </is>
      </c>
      <c r="E374" s="250" t="inlineStr">
        <is>
          <t xml:space="preserve"/>
        </is>
      </c>
      <c r="F374" s="250" t="inlineStr">
        <is>
          <t xml:space="preserve"/>
        </is>
      </c>
      <c r="G374" s="250" t="inlineStr">
        <is>
          <t xml:space="preserve"/>
        </is>
      </c>
      <c r="H374" s="251">
        <f>SUM(H373:H373)</f>
        <v>1.0</v>
      </c>
      <c r="I374" s="252" t="inlineStr">
        <is>
          <t xml:space="preserve">nr</t>
        </is>
      </c>
    </row>
    <row r="375">
      <c r="A375" s="243" t="inlineStr">
        <is>
          <t xml:space="preserve">GROUND FLR</t>
        </is>
      </c>
      <c r="B375" s="243" t="inlineStr">
        <is>
          <t xml:space="preserve">B</t>
        </is>
      </c>
      <c r="C375" s="244" t="inlineStr">
        <is>
          <t xml:space="preserve">900mm x 2200mm single leaf timber panel door (D3)</t>
        </is>
      </c>
      <c r="I375" s="245" t="inlineStr">
        <is>
          <t xml:space="preserve">nr</t>
        </is>
      </c>
      <c r="K375" s="256" t="inlineStr">
        <is>
          <t xml:space="preserve">'GROUND FLR '!C112</t>
        </is>
      </c>
    </row>
    <row r="376">
      <c r="C376" s="246" t="inlineStr">
        <is>
          <t xml:space="preserve">Ground floor - D6 doors</t>
        </is>
      </c>
      <c r="H376" s="247">
        <v>6</v>
      </c>
      <c r="J376" s="253" t="inlineStr">
        <is>
          <t xml:space="preserve">6</t>
        </is>
      </c>
    </row>
    <row r="377">
      <c r="C377" s="250" t="inlineStr">
        <is>
          <t xml:space="preserve">Total carried to BOQ  GROUND FLR item B</t>
        </is>
      </c>
      <c r="D377" s="250" t="inlineStr">
        <is>
          <t xml:space="preserve"/>
        </is>
      </c>
      <c r="E377" s="250" t="inlineStr">
        <is>
          <t xml:space="preserve"/>
        </is>
      </c>
      <c r="F377" s="250" t="inlineStr">
        <is>
          <t xml:space="preserve"/>
        </is>
      </c>
      <c r="G377" s="250" t="inlineStr">
        <is>
          <t xml:space="preserve"/>
        </is>
      </c>
      <c r="H377" s="251">
        <f>SUM(H376:H376)</f>
        <v>6</v>
      </c>
      <c r="I377" s="252" t="inlineStr">
        <is>
          <t xml:space="preserve">nr</t>
        </is>
      </c>
    </row>
    <row r="378">
      <c r="A378" s="243" t="inlineStr">
        <is>
          <t xml:space="preserve">GROUND FLR</t>
        </is>
      </c>
      <c r="B378" s="243" t="inlineStr">
        <is>
          <t xml:space="preserve">C</t>
        </is>
      </c>
      <c r="C378" s="244" t="inlineStr">
        <is>
          <t xml:space="preserve">900mm x 2350mm single leaf timber panel door with fanlight (D4)</t>
        </is>
      </c>
      <c r="I378" s="245" t="inlineStr">
        <is>
          <t xml:space="preserve">nr</t>
        </is>
      </c>
      <c r="K378" s="256" t="inlineStr">
        <is>
          <t xml:space="preserve">'GROUND FLR '!C114</t>
        </is>
      </c>
    </row>
    <row r="379">
      <c r="C379" s="246" t="inlineStr">
        <is>
          <t xml:space="preserve">Ground floor - External/unlabelled paved areas (measured)</t>
        </is>
      </c>
      <c r="H379" s="247">
        <v>1.0</v>
      </c>
      <c r="J379" s="253" t="inlineStr">
        <is>
          <t xml:space="preserve">1.0</t>
        </is>
      </c>
    </row>
    <row r="380">
      <c r="C380" s="250" t="inlineStr">
        <is>
          <t xml:space="preserve">Total carried to BOQ  GROUND FLR item C</t>
        </is>
      </c>
      <c r="D380" s="250" t="inlineStr">
        <is>
          <t xml:space="preserve"/>
        </is>
      </c>
      <c r="E380" s="250" t="inlineStr">
        <is>
          <t xml:space="preserve"/>
        </is>
      </c>
      <c r="F380" s="250" t="inlineStr">
        <is>
          <t xml:space="preserve"/>
        </is>
      </c>
      <c r="G380" s="250" t="inlineStr">
        <is>
          <t xml:space="preserve"/>
        </is>
      </c>
      <c r="H380" s="251">
        <f>SUM(H379:H379)</f>
        <v>1.0</v>
      </c>
      <c r="I380" s="252" t="inlineStr">
        <is>
          <t xml:space="preserve">nr</t>
        </is>
      </c>
    </row>
    <row r="381" ht="32.2" customHeight="1">
      <c r="A381" s="243" t="inlineStr">
        <is>
          <t xml:space="preserve">GROUND FLR</t>
        </is>
      </c>
      <c r="B381" s="243" t="inlineStr">
        <is>
          <t xml:space="preserve">D</t>
        </is>
      </c>
      <c r="C381" s="244" t="inlineStr">
        <is>
          <t xml:space="preserve">3200mm x 2200mm 4-panel galvanised steel framed tempered glass sliding door assembly (D5)</t>
        </is>
      </c>
      <c r="I381" s="245" t="inlineStr">
        <is>
          <t xml:space="preserve">nr</t>
        </is>
      </c>
      <c r="K381" s="256" t="inlineStr">
        <is>
          <t xml:space="preserve">'GROUND FLR '!C116</t>
        </is>
      </c>
    </row>
    <row r="382">
      <c r="C382" s="246" t="inlineStr">
        <is>
          <t xml:space="preserve">Ground floor - External/unlabelled paved areas (measured)</t>
        </is>
      </c>
      <c r="H382" s="247">
        <v>1.0</v>
      </c>
      <c r="J382" s="253" t="inlineStr">
        <is>
          <t xml:space="preserve">1.0</t>
        </is>
      </c>
    </row>
    <row r="383">
      <c r="C383" s="250" t="inlineStr">
        <is>
          <t xml:space="preserve">Total carried to BOQ  GROUND FLR item D</t>
        </is>
      </c>
      <c r="D383" s="250" t="inlineStr">
        <is>
          <t xml:space="preserve"/>
        </is>
      </c>
      <c r="E383" s="250" t="inlineStr">
        <is>
          <t xml:space="preserve"/>
        </is>
      </c>
      <c r="F383" s="250" t="inlineStr">
        <is>
          <t xml:space="preserve"/>
        </is>
      </c>
      <c r="G383" s="250" t="inlineStr">
        <is>
          <t xml:space="preserve"/>
        </is>
      </c>
      <c r="H383" s="251">
        <f>SUM(H382:H382)</f>
        <v>1.0</v>
      </c>
      <c r="I383" s="252" t="inlineStr">
        <is>
          <t xml:space="preserve">nr</t>
        </is>
      </c>
    </row>
    <row r="384">
      <c r="A384" s="243" t="inlineStr">
        <is>
          <t xml:space="preserve">GROUND FLR</t>
        </is>
      </c>
      <c r="B384" s="243" t="inlineStr">
        <is>
          <t xml:space="preserve">E</t>
        </is>
      </c>
      <c r="C384" s="244" t="inlineStr">
        <is>
          <t xml:space="preserve">750mm x 2200mm single leaf timber flush door (D6)</t>
        </is>
      </c>
      <c r="I384" s="245" t="inlineStr">
        <is>
          <t xml:space="preserve">nr</t>
        </is>
      </c>
      <c r="K384" s="256" t="inlineStr">
        <is>
          <t xml:space="preserve">'GROUND FLR '!C118</t>
        </is>
      </c>
    </row>
    <row r="385">
      <c r="C385" s="246" t="inlineStr">
        <is>
          <t xml:space="preserve">Ground floor - D6 doors</t>
        </is>
      </c>
      <c r="H385" s="247">
        <v>6</v>
      </c>
      <c r="J385" s="253" t="inlineStr">
        <is>
          <t xml:space="preserve">6</t>
        </is>
      </c>
    </row>
    <row r="386">
      <c r="C386" s="250" t="inlineStr">
        <is>
          <t xml:space="preserve">Total carried to BOQ  GROUND FLR item E</t>
        </is>
      </c>
      <c r="D386" s="250" t="inlineStr">
        <is>
          <t xml:space="preserve"/>
        </is>
      </c>
      <c r="E386" s="250" t="inlineStr">
        <is>
          <t xml:space="preserve"/>
        </is>
      </c>
      <c r="F386" s="250" t="inlineStr">
        <is>
          <t xml:space="preserve"/>
        </is>
      </c>
      <c r="G386" s="250" t="inlineStr">
        <is>
          <t xml:space="preserve"/>
        </is>
      </c>
      <c r="H386" s="251">
        <f>SUM(H385:H385)</f>
        <v>6</v>
      </c>
      <c r="I386" s="252" t="inlineStr">
        <is>
          <t xml:space="preserve">nr</t>
        </is>
      </c>
    </row>
    <row r="387">
      <c r="A387" s="243" t="inlineStr">
        <is>
          <t xml:space="preserve">GROUND FLR</t>
        </is>
      </c>
      <c r="B387" s="243" t="inlineStr">
        <is>
          <t xml:space="preserve">F</t>
        </is>
      </c>
      <c r="C387" s="244" t="inlineStr">
        <is>
          <t xml:space="preserve">700mm x 2200mm single-leaf 2-hour fire-rated galvanised steel door (D7)</t>
        </is>
      </c>
      <c r="I387" s="245" t="inlineStr">
        <is>
          <t xml:space="preserve">nr</t>
        </is>
      </c>
      <c r="K387" s="256" t="inlineStr">
        <is>
          <t xml:space="preserve">'GROUND FLR '!C120</t>
        </is>
      </c>
    </row>
    <row r="388">
      <c r="C388" s="246" t="inlineStr">
        <is>
          <t xml:space="preserve">Ground floor - W19</t>
        </is>
      </c>
      <c r="H388" s="247">
        <v>2</v>
      </c>
      <c r="J388" s="253" t="inlineStr">
        <is>
          <t xml:space="preserve">2</t>
        </is>
      </c>
    </row>
    <row r="389">
      <c r="C389" s="250" t="inlineStr">
        <is>
          <t xml:space="preserve">Total carried to BOQ  GROUND FLR item F</t>
        </is>
      </c>
      <c r="D389" s="250" t="inlineStr">
        <is>
          <t xml:space="preserve"/>
        </is>
      </c>
      <c r="E389" s="250" t="inlineStr">
        <is>
          <t xml:space="preserve"/>
        </is>
      </c>
      <c r="F389" s="250" t="inlineStr">
        <is>
          <t xml:space="preserve"/>
        </is>
      </c>
      <c r="G389" s="250" t="inlineStr">
        <is>
          <t xml:space="preserve"/>
        </is>
      </c>
      <c r="H389" s="251">
        <f>SUM(H388:H388)</f>
        <v>2</v>
      </c>
      <c r="I389" s="252" t="inlineStr">
        <is>
          <t xml:space="preserve">nr</t>
        </is>
      </c>
    </row>
    <row r="390" ht="32.2" customHeight="1">
      <c r="A390" s="243" t="inlineStr">
        <is>
          <t xml:space="preserve">GROUND FLR</t>
        </is>
      </c>
      <c r="B390" s="243" t="inlineStr">
        <is>
          <t xml:space="preserve">G</t>
        </is>
      </c>
      <c r="C390" s="244" t="inlineStr">
        <is>
          <t xml:space="preserve">1000mm x 2200mm 1-hour fire-rated galvanised steel single-leaf security door assembly - emergency stairs (ED1)</t>
        </is>
      </c>
      <c r="I390" s="245" t="inlineStr">
        <is>
          <t xml:space="preserve">nr</t>
        </is>
      </c>
      <c r="K390" s="256" t="inlineStr">
        <is>
          <t xml:space="preserve">'GROUND FLR '!C122</t>
        </is>
      </c>
    </row>
    <row r="391">
      <c r="C391" s="246" t="inlineStr">
        <is>
          <t xml:space="preserve">Ground floor - W14</t>
        </is>
      </c>
      <c r="H391" s="247">
        <v>3</v>
      </c>
      <c r="J391" s="253" t="inlineStr">
        <is>
          <t xml:space="preserve">3</t>
        </is>
      </c>
    </row>
    <row r="392">
      <c r="C392" s="250" t="inlineStr">
        <is>
          <t xml:space="preserve">Total carried to BOQ  GROUND FLR item G</t>
        </is>
      </c>
      <c r="D392" s="250" t="inlineStr">
        <is>
          <t xml:space="preserve"/>
        </is>
      </c>
      <c r="E392" s="250" t="inlineStr">
        <is>
          <t xml:space="preserve"/>
        </is>
      </c>
      <c r="F392" s="250" t="inlineStr">
        <is>
          <t xml:space="preserve"/>
        </is>
      </c>
      <c r="G392" s="250" t="inlineStr">
        <is>
          <t xml:space="preserve"/>
        </is>
      </c>
      <c r="H392" s="251">
        <f>SUM(H391:H391)</f>
        <v>3</v>
      </c>
      <c r="I392" s="252" t="inlineStr">
        <is>
          <t xml:space="preserve">nr</t>
        </is>
      </c>
    </row>
    <row r="393" ht="32.2" customHeight="1">
      <c r="A393" s="243" t="inlineStr">
        <is>
          <t xml:space="preserve">GROUND FLR</t>
        </is>
      </c>
      <c r="B393" s="243" t="inlineStr">
        <is>
          <t xml:space="preserve">H</t>
        </is>
      </c>
      <c r="C393" s="244" t="inlineStr">
        <is>
          <t xml:space="preserve">900mm x 2200mm 1-hour fire-rated galvanised steel single-leaf security door assembly (D9)</t>
        </is>
      </c>
      <c r="I393" s="245" t="inlineStr">
        <is>
          <t xml:space="preserve">nr</t>
        </is>
      </c>
      <c r="K393" s="256" t="inlineStr">
        <is>
          <t xml:space="preserve">'GROUND FLR '!C124</t>
        </is>
      </c>
    </row>
    <row r="394">
      <c r="C394" s="246" t="inlineStr">
        <is>
          <t xml:space="preserve">Ground floor - W19</t>
        </is>
      </c>
      <c r="H394" s="247">
        <v>2</v>
      </c>
      <c r="J394" s="253" t="inlineStr">
        <is>
          <t xml:space="preserve">2</t>
        </is>
      </c>
    </row>
    <row r="395">
      <c r="C395" s="250" t="inlineStr">
        <is>
          <t xml:space="preserve">Total carried to BOQ  GROUND FLR item H</t>
        </is>
      </c>
      <c r="D395" s="250" t="inlineStr">
        <is>
          <t xml:space="preserve"/>
        </is>
      </c>
      <c r="E395" s="250" t="inlineStr">
        <is>
          <t xml:space="preserve"/>
        </is>
      </c>
      <c r="F395" s="250" t="inlineStr">
        <is>
          <t xml:space="preserve"/>
        </is>
      </c>
      <c r="G395" s="250" t="inlineStr">
        <is>
          <t xml:space="preserve"/>
        </is>
      </c>
      <c r="H395" s="251">
        <f>SUM(H394:H394)</f>
        <v>2</v>
      </c>
      <c r="I395" s="252" t="inlineStr">
        <is>
          <t xml:space="preserve">nr</t>
        </is>
      </c>
    </row>
    <row r="396" ht="32.2" customHeight="1">
      <c r="A396" s="243" t="inlineStr">
        <is>
          <t xml:space="preserve">GROUND FLR</t>
        </is>
      </c>
      <c r="B396" s="243" t="inlineStr">
        <is>
          <t xml:space="preserve">J</t>
        </is>
      </c>
      <c r="C396" s="244" t="inlineStr">
        <is>
          <t xml:space="preserve">1800mm x 2200mm double-leaf 2-hour fire-rated galvanised steel refuse room door (MD1)</t>
        </is>
      </c>
      <c r="I396" s="245" t="inlineStr">
        <is>
          <t xml:space="preserve">nr</t>
        </is>
      </c>
      <c r="K396" s="256" t="inlineStr">
        <is>
          <t xml:space="preserve">'GROUND FLR '!C126</t>
        </is>
      </c>
    </row>
    <row r="397">
      <c r="C397" s="246" t="inlineStr">
        <is>
          <t xml:space="preserve">Ground floor - W14</t>
        </is>
      </c>
      <c r="H397" s="247">
        <v>3</v>
      </c>
      <c r="J397" s="253" t="inlineStr">
        <is>
          <t xml:space="preserve">3</t>
        </is>
      </c>
    </row>
    <row r="398">
      <c r="C398" s="250" t="inlineStr">
        <is>
          <t xml:space="preserve">Total carried to BOQ  GROUND FLR item J</t>
        </is>
      </c>
      <c r="D398" s="250" t="inlineStr">
        <is>
          <t xml:space="preserve"/>
        </is>
      </c>
      <c r="E398" s="250" t="inlineStr">
        <is>
          <t xml:space="preserve"/>
        </is>
      </c>
      <c r="F398" s="250" t="inlineStr">
        <is>
          <t xml:space="preserve"/>
        </is>
      </c>
      <c r="G398" s="250" t="inlineStr">
        <is>
          <t xml:space="preserve"/>
        </is>
      </c>
      <c r="H398" s="251">
        <f>SUM(H397:H397)</f>
        <v>3</v>
      </c>
      <c r="I398" s="252" t="inlineStr">
        <is>
          <t xml:space="preserve">nr</t>
        </is>
      </c>
    </row>
    <row r="399" ht="32.2" customHeight="1">
      <c r="A399" s="243" t="inlineStr">
        <is>
          <t xml:space="preserve">GROUND FLR</t>
        </is>
      </c>
      <c r="B399" s="243" t="inlineStr">
        <is>
          <t xml:space="preserve">K</t>
        </is>
      </c>
      <c r="C399" s="244" t="inlineStr">
        <is>
          <t xml:space="preserve">1800mm x 2200mm double-leaf double-swing galvanised steel framed tempered glass door (GD1)</t>
        </is>
      </c>
      <c r="I399" s="245" t="inlineStr">
        <is>
          <t xml:space="preserve">nr</t>
        </is>
      </c>
      <c r="K399" s="256" t="inlineStr">
        <is>
          <t xml:space="preserve">'GROUND FLR '!C128</t>
        </is>
      </c>
    </row>
    <row r="400">
      <c r="C400" s="246" t="inlineStr">
        <is>
          <t xml:space="preserve">Ground floor - W19</t>
        </is>
      </c>
      <c r="H400" s="247">
        <v>2</v>
      </c>
      <c r="J400" s="253" t="inlineStr">
        <is>
          <t xml:space="preserve">2</t>
        </is>
      </c>
    </row>
    <row r="401">
      <c r="C401" s="250" t="inlineStr">
        <is>
          <t xml:space="preserve">Total carried to BOQ  GROUND FLR item K</t>
        </is>
      </c>
      <c r="D401" s="250" t="inlineStr">
        <is>
          <t xml:space="preserve"/>
        </is>
      </c>
      <c r="E401" s="250" t="inlineStr">
        <is>
          <t xml:space="preserve"/>
        </is>
      </c>
      <c r="F401" s="250" t="inlineStr">
        <is>
          <t xml:space="preserve"/>
        </is>
      </c>
      <c r="G401" s="250" t="inlineStr">
        <is>
          <t xml:space="preserve"/>
        </is>
      </c>
      <c r="H401" s="251">
        <f>SUM(H400:H400)</f>
        <v>2</v>
      </c>
      <c r="I401" s="252" t="inlineStr">
        <is>
          <t xml:space="preserve">nr</t>
        </is>
      </c>
    </row>
    <row r="402" ht="32.2" customHeight="1">
      <c r="A402" s="243" t="inlineStr">
        <is>
          <t xml:space="preserve">GROUND FLR</t>
        </is>
      </c>
      <c r="B402" s="243" t="inlineStr">
        <is>
          <t xml:space="preserve">L</t>
        </is>
      </c>
      <c r="C402" s="244" t="inlineStr">
        <is>
          <t xml:space="preserve">2400mm x 2200mm double-leaf double-swing galvanised steel framed tempered glass door (DW1)</t>
        </is>
      </c>
      <c r="I402" s="245" t="inlineStr">
        <is>
          <t xml:space="preserve">nr</t>
        </is>
      </c>
      <c r="K402" s="256" t="inlineStr">
        <is>
          <t xml:space="preserve">'GROUND FLR '!C130</t>
        </is>
      </c>
    </row>
    <row r="403">
      <c r="C403" s="246" t="inlineStr">
        <is>
          <t xml:space="preserve">Ground floor - W19</t>
        </is>
      </c>
      <c r="H403" s="247">
        <v>2</v>
      </c>
      <c r="J403" s="253" t="inlineStr">
        <is>
          <t xml:space="preserve">2</t>
        </is>
      </c>
    </row>
    <row r="404">
      <c r="C404" s="250" t="inlineStr">
        <is>
          <t xml:space="preserve">Total carried to BOQ  GROUND FLR item L</t>
        </is>
      </c>
      <c r="D404" s="250" t="inlineStr">
        <is>
          <t xml:space="preserve"/>
        </is>
      </c>
      <c r="E404" s="250" t="inlineStr">
        <is>
          <t xml:space="preserve"/>
        </is>
      </c>
      <c r="F404" s="250" t="inlineStr">
        <is>
          <t xml:space="preserve"/>
        </is>
      </c>
      <c r="G404" s="250" t="inlineStr">
        <is>
          <t xml:space="preserve"/>
        </is>
      </c>
      <c r="H404" s="251">
        <f>SUM(H403:H403)</f>
        <v>2</v>
      </c>
      <c r="I404" s="252" t="inlineStr">
        <is>
          <t xml:space="preserve">nr</t>
        </is>
      </c>
    </row>
    <row r="405" ht="32.2" customHeight="1">
      <c r="A405" s="243" t="inlineStr">
        <is>
          <t xml:space="preserve">GROUND FLR</t>
        </is>
      </c>
      <c r="B405" s="243" t="inlineStr">
        <is>
          <t xml:space="preserve">M</t>
        </is>
      </c>
      <c r="C405" s="244" t="inlineStr">
        <is>
          <t xml:space="preserve">5050mm x 2200mm double-leaf double-swing galvanised steel framed tempered glass door with fanlight and fixed side windows (DW2)</t>
        </is>
      </c>
      <c r="I405" s="245" t="inlineStr">
        <is>
          <t xml:space="preserve">nr</t>
        </is>
      </c>
      <c r="K405" s="256" t="inlineStr">
        <is>
          <t xml:space="preserve">'GROUND FLR '!C132</t>
        </is>
      </c>
    </row>
    <row r="406">
      <c r="C406" s="246" t="inlineStr">
        <is>
          <t xml:space="preserve">Ground floor - External/unlabelled paved areas (measured)</t>
        </is>
      </c>
      <c r="H406" s="247">
        <v>1.0</v>
      </c>
      <c r="J406" s="253" t="inlineStr">
        <is>
          <t xml:space="preserve">1.0</t>
        </is>
      </c>
    </row>
    <row r="407">
      <c r="C407" s="250" t="inlineStr">
        <is>
          <t xml:space="preserve">Total carried to BOQ  GROUND FLR item M</t>
        </is>
      </c>
      <c r="D407" s="250" t="inlineStr">
        <is>
          <t xml:space="preserve"/>
        </is>
      </c>
      <c r="E407" s="250" t="inlineStr">
        <is>
          <t xml:space="preserve"/>
        </is>
      </c>
      <c r="F407" s="250" t="inlineStr">
        <is>
          <t xml:space="preserve"/>
        </is>
      </c>
      <c r="G407" s="250" t="inlineStr">
        <is>
          <t xml:space="preserve"/>
        </is>
      </c>
      <c r="H407" s="251">
        <f>SUM(H406:H406)</f>
        <v>1.0</v>
      </c>
      <c r="I407" s="252" t="inlineStr">
        <is>
          <t xml:space="preserve">nr</t>
        </is>
      </c>
    </row>
    <row r="408">
      <c r="A408" s="243" t="inlineStr">
        <is>
          <t xml:space="preserve">GROUND FLR</t>
        </is>
      </c>
      <c r="B408" s="243" t="inlineStr">
        <is>
          <t xml:space="preserve">N</t>
        </is>
      </c>
      <c r="C408" s="244" t="inlineStr">
        <is>
          <t xml:space="preserve">Metal roller shutter door 4200mm x 2157mm (RD1)</t>
        </is>
      </c>
      <c r="I408" s="245" t="inlineStr">
        <is>
          <t xml:space="preserve">nr</t>
        </is>
      </c>
      <c r="K408" s="256" t="inlineStr">
        <is>
          <t xml:space="preserve">'GROUND FLR '!C134</t>
        </is>
      </c>
    </row>
    <row r="409">
      <c r="C409" s="246" t="inlineStr">
        <is>
          <t xml:space="preserve">Ground floor - W19</t>
        </is>
      </c>
      <c r="H409" s="247">
        <v>2</v>
      </c>
      <c r="J409" s="253" t="inlineStr">
        <is>
          <t xml:space="preserve">2</t>
        </is>
      </c>
    </row>
    <row r="410">
      <c r="C410" s="250" t="inlineStr">
        <is>
          <t xml:space="preserve">Total carried to BOQ  GROUND FLR item N</t>
        </is>
      </c>
      <c r="D410" s="250" t="inlineStr">
        <is>
          <t xml:space="preserve"/>
        </is>
      </c>
      <c r="E410" s="250" t="inlineStr">
        <is>
          <t xml:space="preserve"/>
        </is>
      </c>
      <c r="F410" s="250" t="inlineStr">
        <is>
          <t xml:space="preserve"/>
        </is>
      </c>
      <c r="G410" s="250" t="inlineStr">
        <is>
          <t xml:space="preserve"/>
        </is>
      </c>
      <c r="H410" s="251">
        <f>SUM(H409:H409)</f>
        <v>2</v>
      </c>
      <c r="I410" s="252" t="inlineStr">
        <is>
          <t xml:space="preserve">nr</t>
        </is>
      </c>
    </row>
    <row r="411">
      <c r="A411" s="243" t="inlineStr">
        <is>
          <t xml:space="preserve">GROUND FLR</t>
        </is>
      </c>
      <c r="B411" s="243" t="inlineStr">
        <is>
          <t xml:space="preserve">P</t>
        </is>
      </c>
      <c r="C411" s="244" t="inlineStr">
        <is>
          <t xml:space="preserve">50mm x 150mm frames (to timber doors)</t>
        </is>
      </c>
      <c r="I411" s="245" t="inlineStr">
        <is>
          <t xml:space="preserve">m</t>
        </is>
      </c>
      <c r="K411" s="256" t="inlineStr">
        <is>
          <t xml:space="preserve">'GROUND FLR '!C136</t>
        </is>
      </c>
    </row>
    <row r="412">
      <c r="C412" s="246" t="inlineStr">
        <is>
          <t xml:space="preserve">Door : nr x (2 x ht + width)</t>
        </is>
      </c>
      <c r="D412" s="248">
        <v>6</v>
      </c>
      <c r="E412" s="247">
        <f>2*2.2+0.9</f>
        <v>5.300000000000001</v>
      </c>
      <c r="H412" s="249">
        <f>PRODUCT(D412:G412)</f>
        <v>31.800000000000004</v>
      </c>
      <c r="J412" s="253" t="inlineStr">
        <is>
          <t xml:space="preserve">6*(2*2.2+0.9)</t>
        </is>
      </c>
    </row>
    <row r="413">
      <c r="C413" s="246" t="inlineStr">
        <is>
          <t xml:space="preserve">Door : nr x (2 x ht + width)</t>
        </is>
      </c>
      <c r="D413" s="248">
        <v>1</v>
      </c>
      <c r="E413" s="247">
        <f>2*2.35+0.9</f>
        <v>5.6000000000000005</v>
      </c>
      <c r="H413" s="249">
        <f>PRODUCT(D413:G413)</f>
        <v>5.6000000000000005</v>
      </c>
      <c r="J413" s="253" t="inlineStr">
        <is>
          <t xml:space="preserve">1*(2*2.35+0.9)</t>
        </is>
      </c>
    </row>
    <row r="414">
      <c r="C414" s="246" t="inlineStr">
        <is>
          <t xml:space="preserve">Door : nr x (2 x ht + width)</t>
        </is>
      </c>
      <c r="D414" s="248">
        <v>6</v>
      </c>
      <c r="E414" s="247">
        <f>2*2.2+0.75</f>
        <v>5.15</v>
      </c>
      <c r="H414" s="249">
        <f>PRODUCT(D414:G414)</f>
        <v>30.900000000000002</v>
      </c>
      <c r="J414" s="253" t="inlineStr">
        <is>
          <t xml:space="preserve">6*(2*2.2+0.75)</t>
        </is>
      </c>
    </row>
    <row r="415">
      <c r="C415" s="250" t="inlineStr">
        <is>
          <t xml:space="preserve">Total carried to BOQ  GROUND FLR item P</t>
        </is>
      </c>
      <c r="D415" s="250" t="inlineStr">
        <is>
          <t xml:space="preserve"/>
        </is>
      </c>
      <c r="E415" s="250" t="inlineStr">
        <is>
          <t xml:space="preserve"/>
        </is>
      </c>
      <c r="F415" s="250" t="inlineStr">
        <is>
          <t xml:space="preserve"/>
        </is>
      </c>
      <c r="G415" s="250" t="inlineStr">
        <is>
          <t xml:space="preserve"/>
        </is>
      </c>
      <c r="H415" s="251">
        <f>SUM(H412:H414)</f>
        <v>68.30000000000001</v>
      </c>
      <c r="I415" s="252" t="inlineStr">
        <is>
          <t xml:space="preserve">m</t>
        </is>
      </c>
    </row>
    <row r="416">
      <c r="A416" s="243" t="inlineStr">
        <is>
          <t xml:space="preserve">GROUND FLR</t>
        </is>
      </c>
      <c r="B416" s="243" t="inlineStr">
        <is>
          <t xml:space="preserve">Q</t>
        </is>
      </c>
      <c r="C416" s="244" t="inlineStr">
        <is>
          <t xml:space="preserve">50mm x 12mm door stop</t>
        </is>
      </c>
      <c r="I416" s="245" t="inlineStr">
        <is>
          <t xml:space="preserve">m</t>
        </is>
      </c>
      <c r="K416" s="256" t="inlineStr">
        <is>
          <t xml:space="preserve">'GROUND FLR '!C138</t>
        </is>
      </c>
    </row>
    <row r="417">
      <c r="C417" s="246" t="inlineStr">
        <is>
          <t xml:space="preserve">Door : nr x (2 x ht + width)</t>
        </is>
      </c>
      <c r="D417" s="248">
        <v>6</v>
      </c>
      <c r="E417" s="247">
        <f>2*2.2+0.9</f>
        <v>5.300000000000001</v>
      </c>
      <c r="H417" s="249">
        <f>PRODUCT(D417:G417)</f>
        <v>31.800000000000004</v>
      </c>
      <c r="J417" s="253" t="inlineStr">
        <is>
          <t xml:space="preserve">6*(2*2.2+0.9)</t>
        </is>
      </c>
    </row>
    <row r="418">
      <c r="C418" s="246" t="inlineStr">
        <is>
          <t xml:space="preserve">Door : nr x (2 x ht + width)</t>
        </is>
      </c>
      <c r="D418" s="248">
        <v>1</v>
      </c>
      <c r="E418" s="247">
        <f>2*2.35+0.9</f>
        <v>5.6000000000000005</v>
      </c>
      <c r="H418" s="249">
        <f>PRODUCT(D418:G418)</f>
        <v>5.6000000000000005</v>
      </c>
      <c r="J418" s="253" t="inlineStr">
        <is>
          <t xml:space="preserve">1*(2*2.35+0.9)</t>
        </is>
      </c>
    </row>
    <row r="419">
      <c r="C419" s="246" t="inlineStr">
        <is>
          <t xml:space="preserve">Door : nr x (2 x ht + width)</t>
        </is>
      </c>
      <c r="D419" s="248">
        <v>6</v>
      </c>
      <c r="E419" s="247">
        <f>2*2.2+0.75</f>
        <v>5.15</v>
      </c>
      <c r="H419" s="249">
        <f>PRODUCT(D419:G419)</f>
        <v>30.900000000000002</v>
      </c>
      <c r="J419" s="253" t="inlineStr">
        <is>
          <t xml:space="preserve">6*(2*2.2+0.75)</t>
        </is>
      </c>
    </row>
    <row r="420">
      <c r="C420" s="250" t="inlineStr">
        <is>
          <t xml:space="preserve">Total carried to BOQ  GROUND FLR item Q</t>
        </is>
      </c>
      <c r="D420" s="250" t="inlineStr">
        <is>
          <t xml:space="preserve"/>
        </is>
      </c>
      <c r="E420" s="250" t="inlineStr">
        <is>
          <t xml:space="preserve"/>
        </is>
      </c>
      <c r="F420" s="250" t="inlineStr">
        <is>
          <t xml:space="preserve"/>
        </is>
      </c>
      <c r="G420" s="250" t="inlineStr">
        <is>
          <t xml:space="preserve"/>
        </is>
      </c>
      <c r="H420" s="251">
        <f>SUM(H417:H419)</f>
        <v>68.30000000000001</v>
      </c>
      <c r="I420" s="252" t="inlineStr">
        <is>
          <t xml:space="preserve">m</t>
        </is>
      </c>
    </row>
    <row r="421">
      <c r="C421" s="242" t="inlineStr">
        <is>
          <t xml:space="preserve">Ironmongery - Supply and fix the following approved ironmongery to hardwood with accompanying patented screws:</t>
        </is>
      </c>
    </row>
    <row r="422">
      <c r="A422" s="243" t="inlineStr">
        <is>
          <t xml:space="preserve">GROUND FLR</t>
        </is>
      </c>
      <c r="B422" s="243" t="inlineStr">
        <is>
          <t xml:space="preserve">R</t>
        </is>
      </c>
      <c r="C422" s="244" t="inlineStr">
        <is>
          <t xml:space="preserve">Pair 100mm brass butt hinges</t>
        </is>
      </c>
      <c r="I422" s="245" t="inlineStr">
        <is>
          <t xml:space="preserve">pr</t>
        </is>
      </c>
      <c r="K422" s="256" t="inlineStr">
        <is>
          <t xml:space="preserve">'GROUND FLR '!C144</t>
        </is>
      </c>
    </row>
    <row r="423">
      <c r="C423" s="246" t="inlineStr">
        <is>
          <t xml:space="preserve">Ground floor - Timber door leaves x 1.5 pairs</t>
        </is>
      </c>
      <c r="H423" s="247">
        <v>20</v>
      </c>
      <c r="J423" s="253" t="inlineStr">
        <is>
          <t xml:space="preserve">20</t>
        </is>
      </c>
    </row>
    <row r="424">
      <c r="C424" s="250" t="inlineStr">
        <is>
          <t xml:space="preserve">Total carried to BOQ  GROUND FLR item R</t>
        </is>
      </c>
      <c r="D424" s="250" t="inlineStr">
        <is>
          <t xml:space="preserve"/>
        </is>
      </c>
      <c r="E424" s="250" t="inlineStr">
        <is>
          <t xml:space="preserve"/>
        </is>
      </c>
      <c r="F424" s="250" t="inlineStr">
        <is>
          <t xml:space="preserve"/>
        </is>
      </c>
      <c r="G424" s="250" t="inlineStr">
        <is>
          <t xml:space="preserve"/>
        </is>
      </c>
      <c r="H424" s="251">
        <f>SUM(H423:H423)</f>
        <v>20</v>
      </c>
      <c r="I424" s="252" t="inlineStr">
        <is>
          <t xml:space="preserve">pr</t>
        </is>
      </c>
    </row>
    <row r="425">
      <c r="A425" s="243" t="inlineStr">
        <is>
          <t xml:space="preserve">GROUND FLR</t>
        </is>
      </c>
      <c r="B425" s="243" t="inlineStr">
        <is>
          <t xml:space="preserve">S</t>
        </is>
      </c>
      <c r="C425" s="244" t="inlineStr">
        <is>
          <t xml:space="preserve">Ordinary locks</t>
        </is>
      </c>
      <c r="I425" s="245" t="inlineStr">
        <is>
          <t xml:space="preserve">nr</t>
        </is>
      </c>
      <c r="K425" s="256" t="inlineStr">
        <is>
          <t xml:space="preserve">'GROUND FLR '!C146</t>
        </is>
      </c>
    </row>
    <row r="426">
      <c r="C426" s="246" t="inlineStr">
        <is>
          <t xml:space="preserve">Ground floor - D3/D4 doors</t>
        </is>
      </c>
      <c r="H426" s="247">
        <v>7</v>
      </c>
      <c r="J426" s="253" t="inlineStr">
        <is>
          <t xml:space="preserve">7</t>
        </is>
      </c>
    </row>
    <row r="427">
      <c r="C427" s="250" t="inlineStr">
        <is>
          <t xml:space="preserve">Total carried to BOQ  GROUND FLR item S</t>
        </is>
      </c>
      <c r="D427" s="250" t="inlineStr">
        <is>
          <t xml:space="preserve"/>
        </is>
      </c>
      <c r="E427" s="250" t="inlineStr">
        <is>
          <t xml:space="preserve"/>
        </is>
      </c>
      <c r="F427" s="250" t="inlineStr">
        <is>
          <t xml:space="preserve"/>
        </is>
      </c>
      <c r="G427" s="250" t="inlineStr">
        <is>
          <t xml:space="preserve"/>
        </is>
      </c>
      <c r="H427" s="251">
        <f>SUM(H426:H426)</f>
        <v>7</v>
      </c>
      <c r="I427" s="252" t="inlineStr">
        <is>
          <t xml:space="preserve">nr</t>
        </is>
      </c>
    </row>
    <row r="428">
      <c r="A428" s="243" t="inlineStr">
        <is>
          <t xml:space="preserve">GROUND FLR</t>
        </is>
      </c>
      <c r="B428" s="243" t="inlineStr">
        <is>
          <t xml:space="preserve">T</t>
        </is>
      </c>
      <c r="C428" s="244" t="inlineStr">
        <is>
          <t xml:space="preserve">Approved high quality mortice indicator lock</t>
        </is>
      </c>
      <c r="I428" s="245" t="inlineStr">
        <is>
          <t xml:space="preserve">nr</t>
        </is>
      </c>
      <c r="K428" s="256" t="inlineStr">
        <is>
          <t xml:space="preserve">'GROUND FLR '!C148</t>
        </is>
      </c>
    </row>
    <row r="429">
      <c r="C429" s="246" t="inlineStr">
        <is>
          <t xml:space="preserve">Ground floor - D6 doors</t>
        </is>
      </c>
      <c r="H429" s="247">
        <v>6</v>
      </c>
      <c r="J429" s="253" t="inlineStr">
        <is>
          <t xml:space="preserve">6</t>
        </is>
      </c>
    </row>
    <row r="430">
      <c r="C430" s="250" t="inlineStr">
        <is>
          <t xml:space="preserve">Total carried to BOQ  GROUND FLR item T</t>
        </is>
      </c>
      <c r="D430" s="250" t="inlineStr">
        <is>
          <t xml:space="preserve"/>
        </is>
      </c>
      <c r="E430" s="250" t="inlineStr">
        <is>
          <t xml:space="preserve"/>
        </is>
      </c>
      <c r="F430" s="250" t="inlineStr">
        <is>
          <t xml:space="preserve"/>
        </is>
      </c>
      <c r="G430" s="250" t="inlineStr">
        <is>
          <t xml:space="preserve"/>
        </is>
      </c>
      <c r="H430" s="251">
        <f>SUM(H429:H429)</f>
        <v>6</v>
      </c>
      <c r="I430" s="252" t="inlineStr">
        <is>
          <t xml:space="preserve">nr</t>
        </is>
      </c>
    </row>
    <row r="431">
      <c r="C431"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432">
      <c r="A432" s="243" t="inlineStr">
        <is>
          <t xml:space="preserve">GROUND FLR</t>
        </is>
      </c>
      <c r="B432" s="243" t="inlineStr">
        <is>
          <t xml:space="preserve">U</t>
        </is>
      </c>
      <c r="C432" s="244" t="inlineStr">
        <is>
          <t xml:space="preserve">4 x 2 bay alu. framed glass awning window 3600mm x 1900mm (W1)</t>
        </is>
      </c>
      <c r="I432" s="245" t="inlineStr">
        <is>
          <t xml:space="preserve">nr</t>
        </is>
      </c>
      <c r="K432" s="256" t="inlineStr">
        <is>
          <t xml:space="preserve">'GROUND FLR '!C151</t>
        </is>
      </c>
    </row>
    <row r="433">
      <c r="C433" s="246" t="inlineStr">
        <is>
          <t xml:space="preserve">Ground floor - External/unlabelled paved areas (measured)</t>
        </is>
      </c>
      <c r="H433" s="247">
        <v>1.0</v>
      </c>
      <c r="J433" s="253" t="inlineStr">
        <is>
          <t xml:space="preserve">1.0</t>
        </is>
      </c>
    </row>
    <row r="434">
      <c r="C434" s="250" t="inlineStr">
        <is>
          <t xml:space="preserve">Total carried to BOQ  GROUND FLR item U</t>
        </is>
      </c>
      <c r="D434" s="250" t="inlineStr">
        <is>
          <t xml:space="preserve"/>
        </is>
      </c>
      <c r="E434" s="250" t="inlineStr">
        <is>
          <t xml:space="preserve"/>
        </is>
      </c>
      <c r="F434" s="250" t="inlineStr">
        <is>
          <t xml:space="preserve"/>
        </is>
      </c>
      <c r="G434" s="250" t="inlineStr">
        <is>
          <t xml:space="preserve"/>
        </is>
      </c>
      <c r="H434" s="251">
        <f>SUM(H433:H433)</f>
        <v>1.0</v>
      </c>
      <c r="I434" s="252" t="inlineStr">
        <is>
          <t xml:space="preserve">nr</t>
        </is>
      </c>
    </row>
    <row r="435">
      <c r="A435" s="243" t="inlineStr">
        <is>
          <t xml:space="preserve">GROUND FLR</t>
        </is>
      </c>
      <c r="B435" s="243" t="inlineStr">
        <is>
          <t xml:space="preserve">V</t>
        </is>
      </c>
      <c r="C435" s="244" t="inlineStr">
        <is>
          <t xml:space="preserve">2 bay alu. framed glass sliding window 1800mm x 1500mm (W3)</t>
        </is>
      </c>
      <c r="I435" s="245" t="inlineStr">
        <is>
          <t xml:space="preserve">nr</t>
        </is>
      </c>
      <c r="K435" s="256" t="inlineStr">
        <is>
          <t xml:space="preserve">'GROUND FLR '!C153</t>
        </is>
      </c>
    </row>
    <row r="436">
      <c r="C436" s="246" t="inlineStr">
        <is>
          <t xml:space="preserve">Ground floor - External/unlabelled paved areas (measured)</t>
        </is>
      </c>
      <c r="H436" s="247">
        <v>1.0</v>
      </c>
      <c r="J436" s="253" t="inlineStr">
        <is>
          <t xml:space="preserve">1.0</t>
        </is>
      </c>
    </row>
    <row r="437">
      <c r="C437" s="250" t="inlineStr">
        <is>
          <t xml:space="preserve">Total carried to BOQ  GROUND FLR item V</t>
        </is>
      </c>
      <c r="D437" s="250" t="inlineStr">
        <is>
          <t xml:space="preserve"/>
        </is>
      </c>
      <c r="E437" s="250" t="inlineStr">
        <is>
          <t xml:space="preserve"/>
        </is>
      </c>
      <c r="F437" s="250" t="inlineStr">
        <is>
          <t xml:space="preserve"/>
        </is>
      </c>
      <c r="G437" s="250" t="inlineStr">
        <is>
          <t xml:space="preserve"/>
        </is>
      </c>
      <c r="H437" s="251">
        <f>SUM(H436:H436)</f>
        <v>1.0</v>
      </c>
      <c r="I437" s="252" t="inlineStr">
        <is>
          <t xml:space="preserve">nr</t>
        </is>
      </c>
    </row>
    <row r="438">
      <c r="A438" s="243" t="inlineStr">
        <is>
          <t xml:space="preserve">GROUND FLR</t>
        </is>
      </c>
      <c r="B438" s="243" t="inlineStr">
        <is>
          <t xml:space="preserve">W</t>
        </is>
      </c>
      <c r="C438" s="244" t="inlineStr">
        <is>
          <t xml:space="preserve">2 bay alu. framed glass sliding window 1800mm x 1900mm (W5)</t>
        </is>
      </c>
      <c r="I438" s="245" t="inlineStr">
        <is>
          <t xml:space="preserve">nr</t>
        </is>
      </c>
      <c r="K438" s="256" t="inlineStr">
        <is>
          <t xml:space="preserve">'GROUND FLR '!C155</t>
        </is>
      </c>
    </row>
    <row r="439">
      <c r="C439" s="246" t="inlineStr">
        <is>
          <t xml:space="preserve">Ground floor - External/unlabelled paved areas (measured)</t>
        </is>
      </c>
      <c r="H439" s="247">
        <v>1.0</v>
      </c>
      <c r="J439" s="253" t="inlineStr">
        <is>
          <t xml:space="preserve">1.0</t>
        </is>
      </c>
    </row>
    <row r="440">
      <c r="C440" s="250" t="inlineStr">
        <is>
          <t xml:space="preserve">Total carried to BOQ  GROUND FLR item W</t>
        </is>
      </c>
      <c r="D440" s="250" t="inlineStr">
        <is>
          <t xml:space="preserve"/>
        </is>
      </c>
      <c r="E440" s="250" t="inlineStr">
        <is>
          <t xml:space="preserve"/>
        </is>
      </c>
      <c r="F440" s="250" t="inlineStr">
        <is>
          <t xml:space="preserve"/>
        </is>
      </c>
      <c r="G440" s="250" t="inlineStr">
        <is>
          <t xml:space="preserve"/>
        </is>
      </c>
      <c r="H440" s="251">
        <f>SUM(H439:H439)</f>
        <v>1.0</v>
      </c>
      <c r="I440" s="252" t="inlineStr">
        <is>
          <t xml:space="preserve">nr</t>
        </is>
      </c>
    </row>
    <row r="441">
      <c r="A441" s="243" t="inlineStr">
        <is>
          <t xml:space="preserve">GROUND FLR</t>
        </is>
      </c>
      <c r="B441" s="243" t="inlineStr">
        <is>
          <t xml:space="preserve">X</t>
        </is>
      </c>
      <c r="C441" s="244" t="inlineStr">
        <is>
          <t xml:space="preserve">L-shaped alu. framed fixed glass window 1750mm x 1750mm x 1500mm (W6)</t>
        </is>
      </c>
      <c r="I441" s="245" t="inlineStr">
        <is>
          <t xml:space="preserve">nr</t>
        </is>
      </c>
      <c r="K441" s="256" t="inlineStr">
        <is>
          <t xml:space="preserve">'GROUND FLR '!C157</t>
        </is>
      </c>
    </row>
    <row r="442">
      <c r="C442" s="246" t="inlineStr">
        <is>
          <t xml:space="preserve">Ground floor - External/unlabelled paved areas (measured)</t>
        </is>
      </c>
      <c r="H442" s="247">
        <v>1.0</v>
      </c>
      <c r="J442" s="253" t="inlineStr">
        <is>
          <t xml:space="preserve">1.0</t>
        </is>
      </c>
    </row>
    <row r="443">
      <c r="C443" s="250" t="inlineStr">
        <is>
          <t xml:space="preserve">Total carried to BOQ  GROUND FLR item X</t>
        </is>
      </c>
      <c r="D443" s="250" t="inlineStr">
        <is>
          <t xml:space="preserve"/>
        </is>
      </c>
      <c r="E443" s="250" t="inlineStr">
        <is>
          <t xml:space="preserve"/>
        </is>
      </c>
      <c r="F443" s="250" t="inlineStr">
        <is>
          <t xml:space="preserve"/>
        </is>
      </c>
      <c r="G443" s="250" t="inlineStr">
        <is>
          <t xml:space="preserve"/>
        </is>
      </c>
      <c r="H443" s="251">
        <f>SUM(H442:H442)</f>
        <v>1.0</v>
      </c>
      <c r="I443" s="252" t="inlineStr">
        <is>
          <t xml:space="preserve">nr</t>
        </is>
      </c>
    </row>
    <row r="444">
      <c r="A444" s="243" t="inlineStr">
        <is>
          <t xml:space="preserve">GROUND FLR</t>
        </is>
      </c>
      <c r="B444" s="243" t="inlineStr">
        <is>
          <t xml:space="preserve">Y</t>
        </is>
      </c>
      <c r="C444" s="244" t="inlineStr">
        <is>
          <t xml:space="preserve">3 bay alu. framed glass sliding window 3600mm x 2200mm (W14)</t>
        </is>
      </c>
      <c r="I444" s="245" t="inlineStr">
        <is>
          <t xml:space="preserve">nr</t>
        </is>
      </c>
      <c r="K444" s="256" t="inlineStr">
        <is>
          <t xml:space="preserve">'GROUND FLR '!C159</t>
        </is>
      </c>
    </row>
    <row r="445">
      <c r="C445" s="246" t="inlineStr">
        <is>
          <t xml:space="preserve">Ground floor - W14</t>
        </is>
      </c>
      <c r="H445" s="247">
        <v>3</v>
      </c>
      <c r="J445" s="253" t="inlineStr">
        <is>
          <t xml:space="preserve">3</t>
        </is>
      </c>
    </row>
    <row r="446">
      <c r="C446" s="250" t="inlineStr">
        <is>
          <t xml:space="preserve">Total carried to BOQ  GROUND FLR item Y</t>
        </is>
      </c>
      <c r="D446" s="250" t="inlineStr">
        <is>
          <t xml:space="preserve"/>
        </is>
      </c>
      <c r="E446" s="250" t="inlineStr">
        <is>
          <t xml:space="preserve"/>
        </is>
      </c>
      <c r="F446" s="250" t="inlineStr">
        <is>
          <t xml:space="preserve"/>
        </is>
      </c>
      <c r="G446" s="250" t="inlineStr">
        <is>
          <t xml:space="preserve"/>
        </is>
      </c>
      <c r="H446" s="251">
        <f>SUM(H445:H445)</f>
        <v>3</v>
      </c>
      <c r="I446" s="252" t="inlineStr">
        <is>
          <t xml:space="preserve">nr</t>
        </is>
      </c>
    </row>
    <row r="447">
      <c r="A447" s="243" t="inlineStr">
        <is>
          <t xml:space="preserve">GROUND FLR</t>
        </is>
      </c>
      <c r="B447" s="243" t="inlineStr">
        <is>
          <t xml:space="preserve">Z</t>
        </is>
      </c>
      <c r="C447" s="244" t="inlineStr">
        <is>
          <t xml:space="preserve">3 x 2 alu. framed glass awning window 2400mm x 1900mm (W16)</t>
        </is>
      </c>
      <c r="I447" s="245" t="inlineStr">
        <is>
          <t xml:space="preserve">nr</t>
        </is>
      </c>
      <c r="K447" s="256" t="inlineStr">
        <is>
          <t xml:space="preserve">'GROUND FLR '!C161</t>
        </is>
      </c>
    </row>
    <row r="448">
      <c r="C448" s="246" t="inlineStr">
        <is>
          <t xml:space="preserve">Ground floor - W19</t>
        </is>
      </c>
      <c r="H448" s="247">
        <v>2</v>
      </c>
      <c r="J448" s="253" t="inlineStr">
        <is>
          <t xml:space="preserve">2</t>
        </is>
      </c>
    </row>
    <row r="449">
      <c r="C449" s="250" t="inlineStr">
        <is>
          <t xml:space="preserve">Total carried to BOQ  GROUND FLR item Z</t>
        </is>
      </c>
      <c r="D449" s="250" t="inlineStr">
        <is>
          <t xml:space="preserve"/>
        </is>
      </c>
      <c r="E449" s="250" t="inlineStr">
        <is>
          <t xml:space="preserve"/>
        </is>
      </c>
      <c r="F449" s="250" t="inlineStr">
        <is>
          <t xml:space="preserve"/>
        </is>
      </c>
      <c r="G449" s="250" t="inlineStr">
        <is>
          <t xml:space="preserve"/>
        </is>
      </c>
      <c r="H449" s="251">
        <f>SUM(H448:H448)</f>
        <v>2</v>
      </c>
      <c r="I449" s="252" t="inlineStr">
        <is>
          <t xml:space="preserve">nr</t>
        </is>
      </c>
    </row>
    <row r="450">
      <c r="A450" s="243" t="inlineStr">
        <is>
          <t xml:space="preserve">GROUND FLR</t>
        </is>
      </c>
      <c r="B450" s="243" t="inlineStr">
        <is>
          <t xml:space="preserve">A</t>
        </is>
      </c>
      <c r="C450" s="244" t="inlineStr">
        <is>
          <t xml:space="preserve">3 bay alu. framed glass sliding window 2100mm x 900mm (W19)</t>
        </is>
      </c>
      <c r="I450" s="245" t="inlineStr">
        <is>
          <t xml:space="preserve">nr</t>
        </is>
      </c>
      <c r="K450" s="256" t="inlineStr">
        <is>
          <t xml:space="preserve">'GROUND FLR '!C163</t>
        </is>
      </c>
    </row>
    <row r="451">
      <c r="C451" s="246" t="inlineStr">
        <is>
          <t xml:space="preserve">Ground floor - W19</t>
        </is>
      </c>
      <c r="H451" s="247">
        <v>2</v>
      </c>
      <c r="J451" s="253" t="inlineStr">
        <is>
          <t xml:space="preserve">2</t>
        </is>
      </c>
    </row>
    <row r="452">
      <c r="C452" s="250" t="inlineStr">
        <is>
          <t xml:space="preserve">Total carried to BOQ  GROUND FLR item A</t>
        </is>
      </c>
      <c r="D452" s="250" t="inlineStr">
        <is>
          <t xml:space="preserve"/>
        </is>
      </c>
      <c r="E452" s="250" t="inlineStr">
        <is>
          <t xml:space="preserve"/>
        </is>
      </c>
      <c r="F452" s="250" t="inlineStr">
        <is>
          <t xml:space="preserve"/>
        </is>
      </c>
      <c r="G452" s="250" t="inlineStr">
        <is>
          <t xml:space="preserve"/>
        </is>
      </c>
      <c r="H452" s="251">
        <f>SUM(H451:H451)</f>
        <v>2</v>
      </c>
      <c r="I452" s="252" t="inlineStr">
        <is>
          <t xml:space="preserve">nr</t>
        </is>
      </c>
    </row>
    <row r="453">
      <c r="A453" s="243" t="inlineStr">
        <is>
          <t xml:space="preserve">GROUND FLR</t>
        </is>
      </c>
      <c r="B453" s="243" t="inlineStr">
        <is>
          <t xml:space="preserve">B</t>
        </is>
      </c>
      <c r="C453" s="244" t="inlineStr">
        <is>
          <t xml:space="preserve">2 bay alu. framed glass sliding window 900mm x 600mm (HW1)</t>
        </is>
      </c>
      <c r="I453" s="245" t="inlineStr">
        <is>
          <t xml:space="preserve">nr</t>
        </is>
      </c>
      <c r="K453" s="256" t="inlineStr">
        <is>
          <t xml:space="preserve">'GROUND FLR '!C165</t>
        </is>
      </c>
    </row>
    <row r="454">
      <c r="C454" s="246" t="inlineStr">
        <is>
          <t xml:space="preserve">Ground floor - HW1</t>
        </is>
      </c>
      <c r="H454" s="247">
        <v>4</v>
      </c>
      <c r="J454" s="253" t="inlineStr">
        <is>
          <t xml:space="preserve">4</t>
        </is>
      </c>
    </row>
    <row r="455">
      <c r="C455" s="250" t="inlineStr">
        <is>
          <t xml:space="preserve">Total carried to BOQ  GROUND FLR item B</t>
        </is>
      </c>
      <c r="D455" s="250" t="inlineStr">
        <is>
          <t xml:space="preserve"/>
        </is>
      </c>
      <c r="E455" s="250" t="inlineStr">
        <is>
          <t xml:space="preserve"/>
        </is>
      </c>
      <c r="F455" s="250" t="inlineStr">
        <is>
          <t xml:space="preserve"/>
        </is>
      </c>
      <c r="G455" s="250" t="inlineStr">
        <is>
          <t xml:space="preserve"/>
        </is>
      </c>
      <c r="H455" s="251">
        <f>SUM(H454:H454)</f>
        <v>4</v>
      </c>
      <c r="I455" s="252" t="inlineStr">
        <is>
          <t xml:space="preserve">nr</t>
        </is>
      </c>
    </row>
    <row r="456">
      <c r="A456" s="243" t="inlineStr">
        <is>
          <t xml:space="preserve">GROUND FLR</t>
        </is>
      </c>
      <c r="B456" s="243" t="inlineStr">
        <is>
          <t xml:space="preserve">C</t>
        </is>
      </c>
      <c r="C456" s="244" t="inlineStr">
        <is>
          <t xml:space="preserve">2 bay alu. framed glass sliding window 750mm x 600mm (HW2)</t>
        </is>
      </c>
      <c r="I456" s="245" t="inlineStr">
        <is>
          <t xml:space="preserve">nr</t>
        </is>
      </c>
      <c r="K456" s="256" t="inlineStr">
        <is>
          <t xml:space="preserve">'GROUND FLR '!C167</t>
        </is>
      </c>
    </row>
    <row r="457">
      <c r="C457" s="246" t="inlineStr">
        <is>
          <t xml:space="preserve">Ground floor - External/unlabelled paved areas (measured)</t>
        </is>
      </c>
      <c r="H457" s="247">
        <v>1.0</v>
      </c>
      <c r="J457" s="253" t="inlineStr">
        <is>
          <t xml:space="preserve">1.0</t>
        </is>
      </c>
    </row>
    <row r="458">
      <c r="C458" s="250" t="inlineStr">
        <is>
          <t xml:space="preserve">Total carried to BOQ  GROUND FLR item C</t>
        </is>
      </c>
      <c r="D458" s="250" t="inlineStr">
        <is>
          <t xml:space="preserve"/>
        </is>
      </c>
      <c r="E458" s="250" t="inlineStr">
        <is>
          <t xml:space="preserve"/>
        </is>
      </c>
      <c r="F458" s="250" t="inlineStr">
        <is>
          <t xml:space="preserve"/>
        </is>
      </c>
      <c r="G458" s="250" t="inlineStr">
        <is>
          <t xml:space="preserve"/>
        </is>
      </c>
      <c r="H458" s="251">
        <f>SUM(H457:H457)</f>
        <v>1.0</v>
      </c>
      <c r="I458" s="252" t="inlineStr">
        <is>
          <t xml:space="preserve">nr</t>
        </is>
      </c>
    </row>
    <row r="459">
      <c r="C459" s="242" t="inlineStr">
        <is>
          <t xml:space="preserve">ELEMENT NO. 5: FLOOR FINISHES</t>
        </is>
      </c>
    </row>
    <row r="460">
      <c r="C460" s="242" t="inlineStr">
        <is>
          <t xml:space="preserve">M10/M40 FLOOR FINISHES</t>
        </is>
      </c>
    </row>
    <row r="461" ht="32.2" customHeight="1">
      <c r="A461" s="243" t="inlineStr">
        <is>
          <t xml:space="preserve">GROUND FLR</t>
        </is>
      </c>
      <c r="B461" s="243" t="inlineStr">
        <is>
          <t xml:space="preserve">A</t>
        </is>
      </c>
      <c r="C461" s="244" t="inlineStr">
        <is>
          <t xml:space="preserve">25mm cement and sand (1:3) screeded finish laid level on concrete and finished smooth with steel trowel</t>
        </is>
      </c>
      <c r="I461" s="245" t="inlineStr">
        <is>
          <t xml:space="preserve">m2</t>
        </is>
      </c>
      <c r="K461" s="256" t="inlineStr">
        <is>
          <t xml:space="preserve">'GROUND FLR '!C176</t>
        </is>
      </c>
    </row>
    <row r="462">
      <c r="C462" s="246" t="inlineStr">
        <is>
          <t xml:space="preserve">Ground floor - Tiled floor areas (measured)</t>
        </is>
      </c>
      <c r="H462" s="247">
        <v>749.4</v>
      </c>
      <c r="J462" s="253" t="inlineStr">
        <is>
          <t xml:space="preserve">749.4</t>
        </is>
      </c>
    </row>
    <row r="463">
      <c r="C463" s="250" t="inlineStr">
        <is>
          <t xml:space="preserve">Total carried to BOQ  GROUND FLR item A</t>
        </is>
      </c>
      <c r="D463" s="250" t="inlineStr">
        <is>
          <t xml:space="preserve"/>
        </is>
      </c>
      <c r="E463" s="250" t="inlineStr">
        <is>
          <t xml:space="preserve"/>
        </is>
      </c>
      <c r="F463" s="250" t="inlineStr">
        <is>
          <t xml:space="preserve"/>
        </is>
      </c>
      <c r="G463" s="250" t="inlineStr">
        <is>
          <t xml:space="preserve"/>
        </is>
      </c>
      <c r="H463" s="251">
        <f>SUM(H462:H462)</f>
        <v>749.4</v>
      </c>
      <c r="I463" s="252" t="inlineStr">
        <is>
          <t xml:space="preserve">m2</t>
        </is>
      </c>
    </row>
    <row r="464" ht="32.2" customHeight="1">
      <c r="A464" s="243" t="inlineStr">
        <is>
          <t xml:space="preserve">GROUND FLR</t>
        </is>
      </c>
      <c r="B464" s="243" t="inlineStr">
        <is>
          <t xml:space="preserve">B</t>
        </is>
      </c>
      <c r="C464" s="244" t="inlineStr">
        <is>
          <t xml:space="preserve">12mm cement and sand (1:4) screeded bed laid level on concrete floor to receive floor tiles</t>
        </is>
      </c>
      <c r="I464" s="245" t="inlineStr">
        <is>
          <t xml:space="preserve">m2</t>
        </is>
      </c>
      <c r="K464" s="256" t="inlineStr">
        <is>
          <t xml:space="preserve">'GROUND FLR '!C178</t>
        </is>
      </c>
    </row>
    <row r="465">
      <c r="C465" s="246" t="inlineStr">
        <is>
          <t xml:space="preserve">Ground floor - Tiled floor areas (measured)</t>
        </is>
      </c>
      <c r="H465" s="247">
        <v>749.4</v>
      </c>
      <c r="J465" s="253" t="inlineStr">
        <is>
          <t xml:space="preserve">749.4</t>
        </is>
      </c>
    </row>
    <row r="466">
      <c r="C466" s="246" t="inlineStr">
        <is>
          <t xml:space="preserve">Stair finishes (treads, risers, landings) - flights: 2 x 1.8 x 3.0</t>
        </is>
      </c>
      <c r="D466" s="248">
        <v>2</v>
      </c>
      <c r="E466" s="247">
        <v>1.8</v>
      </c>
      <c r="F466" s="247">
        <v>3.0</v>
      </c>
      <c r="H466" s="249">
        <f>PRODUCT(D466:G466)</f>
        <v>10.8</v>
      </c>
      <c r="J466" s="253" t="inlineStr">
        <is>
          <t xml:space="preserve">2*1.8*3.0</t>
        </is>
      </c>
    </row>
    <row r="467">
      <c r="C467" s="246" t="inlineStr">
        <is>
          <t xml:space="preserve">Stair finishes (treads, risers, landings) - risers: 22 x 0.15 x 1.8</t>
        </is>
      </c>
      <c r="D467" s="248">
        <v>22</v>
      </c>
      <c r="E467" s="247">
        <v>0.15</v>
      </c>
      <c r="F467" s="247">
        <v>1.8</v>
      </c>
      <c r="H467" s="249">
        <f>PRODUCT(D467:G467)</f>
        <v>5.9399999999999995</v>
      </c>
      <c r="J467" s="253" t="inlineStr">
        <is>
          <t xml:space="preserve">22*0.15*1.8</t>
        </is>
      </c>
    </row>
    <row r="468">
      <c r="C468" s="246" t="inlineStr">
        <is>
          <t xml:space="preserve">Stair finishes (treads, risers, landings) - floor landing 2.2 x 3.75</t>
        </is>
      </c>
      <c r="E468" s="247">
        <v>2.2</v>
      </c>
      <c r="F468" s="247">
        <v>3.75</v>
      </c>
      <c r="H468" s="249">
        <f>PRODUCT(D468:G468)</f>
        <v>8.25</v>
      </c>
      <c r="J468" s="253" t="inlineStr">
        <is>
          <t xml:space="preserve">2.2*3.75</t>
        </is>
      </c>
    </row>
    <row r="469">
      <c r="C469" s="246" t="inlineStr">
        <is>
          <t xml:space="preserve">Stair finishes (treads, risers, landings) - half landing 1.8 x 3.75</t>
        </is>
      </c>
      <c r="E469" s="247">
        <v>1.8</v>
      </c>
      <c r="F469" s="247">
        <v>3.75</v>
      </c>
      <c r="H469" s="249">
        <f>PRODUCT(D469:G469)</f>
        <v>6.75</v>
      </c>
      <c r="J469" s="253" t="inlineStr">
        <is>
          <t xml:space="preserve">1.8*3.75</t>
        </is>
      </c>
    </row>
    <row r="470">
      <c r="C470" s="246" t="inlineStr">
        <is>
          <t xml:space="preserve">Stair finishes (treads, risers, landings) - flights: 2 x 1.8 x 3.0</t>
        </is>
      </c>
      <c r="D470" s="248">
        <v>2</v>
      </c>
      <c r="E470" s="247">
        <v>1.8</v>
      </c>
      <c r="F470" s="247">
        <v>3.0</v>
      </c>
      <c r="H470" s="249">
        <f>PRODUCT(D470:G470)</f>
        <v>10.8</v>
      </c>
      <c r="J470" s="253" t="inlineStr">
        <is>
          <t xml:space="preserve">2*1.8*3.0</t>
        </is>
      </c>
    </row>
    <row r="471">
      <c r="C471" s="246" t="inlineStr">
        <is>
          <t xml:space="preserve">Stair finishes (treads, risers, landings) - risers: 22 x 0.15 x 1.8</t>
        </is>
      </c>
      <c r="D471" s="248">
        <v>22</v>
      </c>
      <c r="E471" s="247">
        <v>0.15</v>
      </c>
      <c r="F471" s="247">
        <v>1.8</v>
      </c>
      <c r="H471" s="249">
        <f>PRODUCT(D471:G471)</f>
        <v>5.9399999999999995</v>
      </c>
      <c r="J471" s="253" t="inlineStr">
        <is>
          <t xml:space="preserve">22*0.15*1.8</t>
        </is>
      </c>
    </row>
    <row r="472">
      <c r="C472" s="246" t="inlineStr">
        <is>
          <t xml:space="preserve">Stair finishes (treads, risers, landings) - floor landing 2.2 x 3.75</t>
        </is>
      </c>
      <c r="E472" s="247">
        <v>2.2</v>
      </c>
      <c r="F472" s="247">
        <v>3.75</v>
      </c>
      <c r="H472" s="249">
        <f>PRODUCT(D472:G472)</f>
        <v>8.25</v>
      </c>
      <c r="J472" s="253" t="inlineStr">
        <is>
          <t xml:space="preserve">2.2*3.75</t>
        </is>
      </c>
    </row>
    <row r="473">
      <c r="C473" s="246" t="inlineStr">
        <is>
          <t xml:space="preserve">Stair finishes (treads, risers, landings) - half landing 1.8 x 3.75</t>
        </is>
      </c>
      <c r="E473" s="247">
        <v>1.8</v>
      </c>
      <c r="F473" s="247">
        <v>3.75</v>
      </c>
      <c r="H473" s="249">
        <f>PRODUCT(D473:G473)</f>
        <v>6.75</v>
      </c>
      <c r="J473" s="253" t="inlineStr">
        <is>
          <t xml:space="preserve">1.8*3.75</t>
        </is>
      </c>
    </row>
    <row r="474">
      <c r="C474" s="246" t="inlineStr">
        <is>
          <t xml:space="preserve">Stair finishes (treads, risers, landings) - flights: 2 x 1.8 x 3.0</t>
        </is>
      </c>
      <c r="D474" s="248">
        <v>2</v>
      </c>
      <c r="E474" s="247">
        <v>1.8</v>
      </c>
      <c r="F474" s="247">
        <v>3.0</v>
      </c>
      <c r="H474" s="249">
        <f>PRODUCT(D474:G474)</f>
        <v>10.8</v>
      </c>
      <c r="J474" s="253" t="inlineStr">
        <is>
          <t xml:space="preserve">2*1.8*3.0</t>
        </is>
      </c>
    </row>
    <row r="475">
      <c r="C475" s="246" t="inlineStr">
        <is>
          <t xml:space="preserve">Stair finishes (treads, risers, landings) - risers: 22 x 0.15 x 1.8</t>
        </is>
      </c>
      <c r="D475" s="248">
        <v>22</v>
      </c>
      <c r="E475" s="247">
        <v>0.15</v>
      </c>
      <c r="F475" s="247">
        <v>1.8</v>
      </c>
      <c r="H475" s="249">
        <f>PRODUCT(D475:G475)</f>
        <v>5.9399999999999995</v>
      </c>
      <c r="J475" s="253" t="inlineStr">
        <is>
          <t xml:space="preserve">22*0.15*1.8</t>
        </is>
      </c>
    </row>
    <row r="476">
      <c r="C476" s="246" t="inlineStr">
        <is>
          <t xml:space="preserve">Stair finishes (treads, risers, landings) - floor landing 2.2 x 3.75</t>
        </is>
      </c>
      <c r="E476" s="247">
        <v>2.2</v>
      </c>
      <c r="F476" s="247">
        <v>3.75</v>
      </c>
      <c r="H476" s="249">
        <f>PRODUCT(D476:G476)</f>
        <v>8.25</v>
      </c>
      <c r="J476" s="253" t="inlineStr">
        <is>
          <t xml:space="preserve">2.2*3.75</t>
        </is>
      </c>
    </row>
    <row r="477">
      <c r="C477" s="246" t="inlineStr">
        <is>
          <t xml:space="preserve">Stair finishes (treads, risers, landings) - half landing 1.8 x 3.75</t>
        </is>
      </c>
      <c r="E477" s="247">
        <v>1.8</v>
      </c>
      <c r="F477" s="247">
        <v>3.75</v>
      </c>
      <c r="H477" s="249">
        <f>PRODUCT(D477:G477)</f>
        <v>6.75</v>
      </c>
      <c r="J477" s="253" t="inlineStr">
        <is>
          <t xml:space="preserve">1.8*3.75</t>
        </is>
      </c>
    </row>
    <row r="478">
      <c r="C478" s="250" t="inlineStr">
        <is>
          <t xml:space="preserve">Total carried to BOQ  GROUND FLR item B</t>
        </is>
      </c>
      <c r="D478" s="250" t="inlineStr">
        <is>
          <t xml:space="preserve"/>
        </is>
      </c>
      <c r="E478" s="250" t="inlineStr">
        <is>
          <t xml:space="preserve"/>
        </is>
      </c>
      <c r="F478" s="250" t="inlineStr">
        <is>
          <t xml:space="preserve"/>
        </is>
      </c>
      <c r="G478" s="250" t="inlineStr">
        <is>
          <t xml:space="preserve"/>
        </is>
      </c>
      <c r="H478" s="251">
        <f>SUM(H465:H477)</f>
        <v>844.62</v>
      </c>
      <c r="I478" s="252" t="inlineStr">
        <is>
          <t xml:space="preserve">m2</t>
        </is>
      </c>
    </row>
    <row r="479" ht="32.2" customHeight="1">
      <c r="A479" s="243" t="inlineStr">
        <is>
          <t xml:space="preserve">GROUND FLR</t>
        </is>
      </c>
      <c r="B479" s="243" t="inlineStr">
        <is>
          <t xml:space="preserve">C</t>
        </is>
      </c>
      <c r="C479" s="244" t="inlineStr">
        <is>
          <t xml:space="preserve">400x400mm non-slip porcelain floor tiles to washrooms &amp; WCs, adhesive, grout and cutting</t>
        </is>
      </c>
      <c r="I479" s="245" t="inlineStr">
        <is>
          <t xml:space="preserve">m2</t>
        </is>
      </c>
      <c r="K479" s="256" t="inlineStr">
        <is>
          <t xml:space="preserve">'GROUND FLR '!C180</t>
        </is>
      </c>
    </row>
    <row r="480">
      <c r="C480" s="246" t="inlineStr">
        <is>
          <t xml:space="preserve">Ground floor - Washroom ceiling areas (measured)</t>
        </is>
      </c>
      <c r="H480" s="247">
        <v>18.1</v>
      </c>
      <c r="J480" s="253" t="inlineStr">
        <is>
          <t xml:space="preserve">18.1</t>
        </is>
      </c>
    </row>
    <row r="481">
      <c r="C481" s="250" t="inlineStr">
        <is>
          <t xml:space="preserve">Total carried to BOQ  GROUND FLR item C</t>
        </is>
      </c>
      <c r="D481" s="250" t="inlineStr">
        <is>
          <t xml:space="preserve"/>
        </is>
      </c>
      <c r="E481" s="250" t="inlineStr">
        <is>
          <t xml:space="preserve"/>
        </is>
      </c>
      <c r="F481" s="250" t="inlineStr">
        <is>
          <t xml:space="preserve"/>
        </is>
      </c>
      <c r="G481" s="250" t="inlineStr">
        <is>
          <t xml:space="preserve"/>
        </is>
      </c>
      <c r="H481" s="251">
        <f>SUM(H480:H480)</f>
        <v>18.1</v>
      </c>
      <c r="I481" s="252" t="inlineStr">
        <is>
          <t xml:space="preserve">m2</t>
        </is>
      </c>
    </row>
    <row r="482" ht="32.2" customHeight="1">
      <c r="A482" s="243" t="inlineStr">
        <is>
          <t xml:space="preserve">GROUND FLR</t>
        </is>
      </c>
      <c r="B482" s="243" t="inlineStr">
        <is>
          <t xml:space="preserve">D</t>
        </is>
      </c>
      <c r="C482" s="244" t="inlineStr">
        <is>
          <t xml:space="preserve">500x500mm matte R11 porcelain tiles to staircases (treads, risers and landings)</t>
        </is>
      </c>
      <c r="I482" s="245" t="inlineStr">
        <is>
          <t xml:space="preserve">m2</t>
        </is>
      </c>
      <c r="K482" s="256" t="inlineStr">
        <is>
          <t xml:space="preserve">'GROUND FLR '!C182</t>
        </is>
      </c>
    </row>
    <row r="483">
      <c r="C483" s="246" t="inlineStr">
        <is>
          <t xml:space="preserve">Ground floor (+300) - Main stair flight (storey ht 3.85) - flights: 2 x 1.8 x 3.0</t>
        </is>
      </c>
      <c r="D483" s="248">
        <v>2</v>
      </c>
      <c r="E483" s="247">
        <v>1.8</v>
      </c>
      <c r="F483" s="247">
        <v>3.0</v>
      </c>
      <c r="H483" s="249">
        <f>PRODUCT(D483:G483)</f>
        <v>10.8</v>
      </c>
      <c r="J483" s="253" t="inlineStr">
        <is>
          <t xml:space="preserve">2*1.8*3.0</t>
        </is>
      </c>
    </row>
    <row r="484">
      <c r="C484" s="246" t="inlineStr">
        <is>
          <t xml:space="preserve">Ground floor (+300) - Main stair flight (storey ht 3.85) - risers: 22 x 0.15 x 1.8</t>
        </is>
      </c>
      <c r="D484" s="248">
        <v>22</v>
      </c>
      <c r="E484" s="247">
        <v>0.15</v>
      </c>
      <c r="F484" s="247">
        <v>1.8</v>
      </c>
      <c r="H484" s="249">
        <f>PRODUCT(D484:G484)</f>
        <v>5.9399999999999995</v>
      </c>
      <c r="J484" s="253" t="inlineStr">
        <is>
          <t xml:space="preserve">22*0.15*1.8</t>
        </is>
      </c>
    </row>
    <row r="485">
      <c r="C485" s="246" t="inlineStr">
        <is>
          <t xml:space="preserve">Ground floor (+300) - Main stair flight (storey ht 3.85) - floor landing 2.2 x 3.75</t>
        </is>
      </c>
      <c r="E485" s="247">
        <v>2.2</v>
      </c>
      <c r="F485" s="247">
        <v>3.75</v>
      </c>
      <c r="H485" s="249">
        <f>PRODUCT(D485:G485)</f>
        <v>8.25</v>
      </c>
      <c r="J485" s="253" t="inlineStr">
        <is>
          <t xml:space="preserve">2.2*3.75</t>
        </is>
      </c>
    </row>
    <row r="486">
      <c r="C486" s="246" t="inlineStr">
        <is>
          <t xml:space="preserve">Ground floor (+300) - Main stair flight (storey ht 3.85) - half landing 1.8 x 3.75</t>
        </is>
      </c>
      <c r="E486" s="247">
        <v>1.8</v>
      </c>
      <c r="F486" s="247">
        <v>3.75</v>
      </c>
      <c r="H486" s="249">
        <f>PRODUCT(D486:G486)</f>
        <v>6.75</v>
      </c>
      <c r="J486" s="253" t="inlineStr">
        <is>
          <t xml:space="preserve">1.8*3.75</t>
        </is>
      </c>
    </row>
    <row r="487">
      <c r="C487" s="246" t="inlineStr">
        <is>
          <t xml:space="preserve">Ground floor (+300) - Emergency stair flight (storey ht 2.5) - flights: 2 x 1.8 x 3.0</t>
        </is>
      </c>
      <c r="D487" s="248">
        <v>2</v>
      </c>
      <c r="E487" s="247">
        <v>1.8</v>
      </c>
      <c r="F487" s="247">
        <v>3.0</v>
      </c>
      <c r="H487" s="249">
        <f>PRODUCT(D487:G487)</f>
        <v>10.8</v>
      </c>
      <c r="J487" s="253" t="inlineStr">
        <is>
          <t xml:space="preserve">2*1.8*3.0</t>
        </is>
      </c>
    </row>
    <row r="488">
      <c r="C488" s="246" t="inlineStr">
        <is>
          <t xml:space="preserve">Ground floor (+300) - Emergency stair flight (storey ht 2.5) - risers: 22 x 0.15 x 1.8</t>
        </is>
      </c>
      <c r="D488" s="248">
        <v>22</v>
      </c>
      <c r="E488" s="247">
        <v>0.15</v>
      </c>
      <c r="F488" s="247">
        <v>1.8</v>
      </c>
      <c r="H488" s="249">
        <f>PRODUCT(D488:G488)</f>
        <v>5.9399999999999995</v>
      </c>
      <c r="J488" s="253" t="inlineStr">
        <is>
          <t xml:space="preserve">22*0.15*1.8</t>
        </is>
      </c>
    </row>
    <row r="489">
      <c r="C489" s="246" t="inlineStr">
        <is>
          <t xml:space="preserve">Ground floor (+300) - Emergency stair flight (storey ht 2.5) - floor landing 2.2 x 3.75</t>
        </is>
      </c>
      <c r="E489" s="247">
        <v>2.2</v>
      </c>
      <c r="F489" s="247">
        <v>3.75</v>
      </c>
      <c r="H489" s="249">
        <f>PRODUCT(D489:G489)</f>
        <v>8.25</v>
      </c>
      <c r="J489" s="253" t="inlineStr">
        <is>
          <t xml:space="preserve">2.2*3.75</t>
        </is>
      </c>
    </row>
    <row r="490">
      <c r="C490" s="246" t="inlineStr">
        <is>
          <t xml:space="preserve">Ground floor (+300) - Emergency stair flight (storey ht 2.5) - half landing 1.8 x 3.75</t>
        </is>
      </c>
      <c r="E490" s="247">
        <v>1.8</v>
      </c>
      <c r="F490" s="247">
        <v>3.75</v>
      </c>
      <c r="H490" s="249">
        <f>PRODUCT(D490:G490)</f>
        <v>6.75</v>
      </c>
      <c r="J490" s="253" t="inlineStr">
        <is>
          <t xml:space="preserve">1.8*3.75</t>
        </is>
      </c>
    </row>
    <row r="491">
      <c r="C491" s="246" t="inlineStr">
        <is>
          <t xml:space="preserve">M1 level 1B (+2500) - Emergency stair flight (storey ht 2.7) - flights: 2 x 1.8 x 3.0</t>
        </is>
      </c>
      <c r="D491" s="248">
        <v>2</v>
      </c>
      <c r="E491" s="247">
        <v>1.8</v>
      </c>
      <c r="F491" s="247">
        <v>3.0</v>
      </c>
      <c r="H491" s="249">
        <f>PRODUCT(D491:G491)</f>
        <v>10.8</v>
      </c>
      <c r="J491" s="253" t="inlineStr">
        <is>
          <t xml:space="preserve">2*1.8*3.0</t>
        </is>
      </c>
    </row>
    <row r="492">
      <c r="C492" s="246" t="inlineStr">
        <is>
          <t xml:space="preserve">M1 level 1B (+2500) - Emergency stair flight (storey ht 2.7) - risers: 22 x 0.15 x 1.8</t>
        </is>
      </c>
      <c r="D492" s="248">
        <v>22</v>
      </c>
      <c r="E492" s="247">
        <v>0.15</v>
      </c>
      <c r="F492" s="247">
        <v>1.8</v>
      </c>
      <c r="H492" s="249">
        <f>PRODUCT(D492:G492)</f>
        <v>5.9399999999999995</v>
      </c>
      <c r="J492" s="253" t="inlineStr">
        <is>
          <t xml:space="preserve">22*0.15*1.8</t>
        </is>
      </c>
    </row>
    <row r="493">
      <c r="C493" s="246" t="inlineStr">
        <is>
          <t xml:space="preserve">M1 level 1B (+2500) - Emergency stair flight (storey ht 2.7) - floor landing 2.2 x 3.75</t>
        </is>
      </c>
      <c r="E493" s="247">
        <v>2.2</v>
      </c>
      <c r="F493" s="247">
        <v>3.75</v>
      </c>
      <c r="H493" s="249">
        <f>PRODUCT(D493:G493)</f>
        <v>8.25</v>
      </c>
      <c r="J493" s="253" t="inlineStr">
        <is>
          <t xml:space="preserve">2.2*3.75</t>
        </is>
      </c>
    </row>
    <row r="494">
      <c r="C494" s="246" t="inlineStr">
        <is>
          <t xml:space="preserve">M1 level 1B (+2500) - Emergency stair flight (storey ht 2.7) - half landing 1.8 x 3.75</t>
        </is>
      </c>
      <c r="E494" s="247">
        <v>1.8</v>
      </c>
      <c r="F494" s="247">
        <v>3.75</v>
      </c>
      <c r="H494" s="249">
        <f>PRODUCT(D494:G494)</f>
        <v>6.75</v>
      </c>
      <c r="J494" s="253" t="inlineStr">
        <is>
          <t xml:space="preserve">1.8*3.75</t>
        </is>
      </c>
    </row>
    <row r="495">
      <c r="C495" s="250" t="inlineStr">
        <is>
          <t xml:space="preserve">Total carried to BOQ  GROUND FLR item D</t>
        </is>
      </c>
      <c r="D495" s="250" t="inlineStr">
        <is>
          <t xml:space="preserve"/>
        </is>
      </c>
      <c r="E495" s="250" t="inlineStr">
        <is>
          <t xml:space="preserve"/>
        </is>
      </c>
      <c r="F495" s="250" t="inlineStr">
        <is>
          <t xml:space="preserve"/>
        </is>
      </c>
      <c r="G495" s="250" t="inlineStr">
        <is>
          <t xml:space="preserve"/>
        </is>
      </c>
      <c r="H495" s="251">
        <f>SUM(H483:H494)</f>
        <v>95.22</v>
      </c>
      <c r="I495" s="252" t="inlineStr">
        <is>
          <t xml:space="preserve">m2</t>
        </is>
      </c>
    </row>
    <row r="496" ht="32.2" customHeight="1">
      <c r="A496" s="243" t="inlineStr">
        <is>
          <t xml:space="preserve">GROUND FLR</t>
        </is>
      </c>
      <c r="B496" s="243" t="inlineStr">
        <is>
          <t xml:space="preserve">E</t>
        </is>
      </c>
      <c r="C496" s="244" t="inlineStr">
        <is>
          <t xml:space="preserve">600x600mm semi-polished porcelain floor tiles to habitable rooms, shops &amp; offices</t>
        </is>
      </c>
      <c r="I496" s="245" t="inlineStr">
        <is>
          <t xml:space="preserve">m2</t>
        </is>
      </c>
      <c r="K496" s="256" t="inlineStr">
        <is>
          <t xml:space="preserve">'GROUND FLR '!C184</t>
        </is>
      </c>
    </row>
    <row r="497">
      <c r="C497" s="246" t="inlineStr">
        <is>
          <t xml:space="preserve">Ground floor - Habitable rooms (measured)</t>
        </is>
      </c>
      <c r="H497" s="247">
        <v>208.6</v>
      </c>
      <c r="J497" s="253" t="inlineStr">
        <is>
          <t xml:space="preserve">208.6</t>
        </is>
      </c>
    </row>
    <row r="498">
      <c r="C498" s="250" t="inlineStr">
        <is>
          <t xml:space="preserve">Total carried to BOQ  GROUND FLR item E</t>
        </is>
      </c>
      <c r="D498" s="250" t="inlineStr">
        <is>
          <t xml:space="preserve"/>
        </is>
      </c>
      <c r="E498" s="250" t="inlineStr">
        <is>
          <t xml:space="preserve"/>
        </is>
      </c>
      <c r="F498" s="250" t="inlineStr">
        <is>
          <t xml:space="preserve"/>
        </is>
      </c>
      <c r="G498" s="250" t="inlineStr">
        <is>
          <t xml:space="preserve"/>
        </is>
      </c>
      <c r="H498" s="251">
        <f>SUM(H497:H497)</f>
        <v>208.6</v>
      </c>
      <c r="I498" s="252" t="inlineStr">
        <is>
          <t xml:space="preserve">m2</t>
        </is>
      </c>
    </row>
    <row r="499" ht="32.2" customHeight="1">
      <c r="A499" s="243" t="inlineStr">
        <is>
          <t xml:space="preserve">GROUND FLR</t>
        </is>
      </c>
      <c r="B499" s="243" t="inlineStr">
        <is>
          <t xml:space="preserve">F</t>
        </is>
      </c>
      <c r="C499" s="244" t="inlineStr">
        <is>
          <t xml:space="preserve">600x1200mm semi-polished porcelain floor tiles to stair/lift lobbies &amp; reception</t>
        </is>
      </c>
      <c r="I499" s="245" t="inlineStr">
        <is>
          <t xml:space="preserve">m2</t>
        </is>
      </c>
      <c r="K499" s="256" t="inlineStr">
        <is>
          <t xml:space="preserve">'GROUND FLR '!C186</t>
        </is>
      </c>
    </row>
    <row r="500">
      <c r="C500" s="246" t="inlineStr">
        <is>
          <t xml:space="preserve">Ground floor - Lobbies (measured)</t>
        </is>
      </c>
      <c r="H500" s="247">
        <v>52.0</v>
      </c>
      <c r="J500" s="253" t="inlineStr">
        <is>
          <t xml:space="preserve">52.0</t>
        </is>
      </c>
    </row>
    <row r="501">
      <c r="C501" s="250" t="inlineStr">
        <is>
          <t xml:space="preserve">Total carried to BOQ  GROUND FLR item F</t>
        </is>
      </c>
      <c r="D501" s="250" t="inlineStr">
        <is>
          <t xml:space="preserve"/>
        </is>
      </c>
      <c r="E501" s="250" t="inlineStr">
        <is>
          <t xml:space="preserve"/>
        </is>
      </c>
      <c r="F501" s="250" t="inlineStr">
        <is>
          <t xml:space="preserve"/>
        </is>
      </c>
      <c r="G501" s="250" t="inlineStr">
        <is>
          <t xml:space="preserve"/>
        </is>
      </c>
      <c r="H501" s="251">
        <f>SUM(H500:H500)</f>
        <v>52.0</v>
      </c>
      <c r="I501" s="252" t="inlineStr">
        <is>
          <t xml:space="preserve">m2</t>
        </is>
      </c>
    </row>
    <row r="502" ht="32.2" customHeight="1">
      <c r="A502" s="243" t="inlineStr">
        <is>
          <t xml:space="preserve">GROUND FLR</t>
        </is>
      </c>
      <c r="B502" s="243" t="inlineStr">
        <is>
          <t xml:space="preserve">G</t>
        </is>
      </c>
      <c r="C502" s="244" t="inlineStr">
        <is>
          <t xml:space="preserve">600x600mm non-slip R11 porcelain tiles to corridors, terraces, verandah &amp; service areas</t>
        </is>
      </c>
      <c r="I502" s="245" t="inlineStr">
        <is>
          <t xml:space="preserve">m2</t>
        </is>
      </c>
      <c r="K502" s="256" t="inlineStr">
        <is>
          <t xml:space="preserve">'GROUND FLR '!C188</t>
        </is>
      </c>
    </row>
    <row r="503">
      <c r="C503" s="246" t="inlineStr">
        <is>
          <t xml:space="preserve">Ground floor - Corridors/terraces/service (measured)</t>
        </is>
      </c>
      <c r="H503" s="247">
        <v>470.8</v>
      </c>
      <c r="J503" s="253" t="inlineStr">
        <is>
          <t xml:space="preserve">470.8</t>
        </is>
      </c>
    </row>
    <row r="504">
      <c r="C504" s="250" t="inlineStr">
        <is>
          <t xml:space="preserve">Total carried to BOQ  GROUND FLR item G</t>
        </is>
      </c>
      <c r="D504" s="250" t="inlineStr">
        <is>
          <t xml:space="preserve"/>
        </is>
      </c>
      <c r="E504" s="250" t="inlineStr">
        <is>
          <t xml:space="preserve"/>
        </is>
      </c>
      <c r="F504" s="250" t="inlineStr">
        <is>
          <t xml:space="preserve"/>
        </is>
      </c>
      <c r="G504" s="250" t="inlineStr">
        <is>
          <t xml:space="preserve"/>
        </is>
      </c>
      <c r="H504" s="251">
        <f>SUM(H503:H503)</f>
        <v>470.8</v>
      </c>
      <c r="I504" s="252" t="inlineStr">
        <is>
          <t xml:space="preserve">m2</t>
        </is>
      </c>
    </row>
    <row r="505">
      <c r="A505" s="243" t="inlineStr">
        <is>
          <t xml:space="preserve">GROUND FLR</t>
        </is>
      </c>
      <c r="B505" s="243" t="inlineStr">
        <is>
          <t xml:space="preserve">H</t>
        </is>
      </c>
      <c r="C505" s="244" t="inlineStr">
        <is>
          <t xml:space="preserve">Interlocking composite tiles to roof-top outdoor sitting &amp; play areas</t>
        </is>
      </c>
      <c r="I505" s="245" t="inlineStr">
        <is>
          <t xml:space="preserve">m2</t>
        </is>
      </c>
      <c r="K505" s="256" t="inlineStr">
        <is>
          <t xml:space="preserve">'GROUND FLR '!C190</t>
        </is>
      </c>
    </row>
    <row r="506">
      <c r="C506" s="246" t="inlineStr">
        <is>
          <t xml:space="preserve">Ground floor - External/unlabelled paved areas (measured)</t>
        </is>
      </c>
      <c r="H506" s="247">
        <v>1.0</v>
      </c>
      <c r="J506" s="253" t="inlineStr">
        <is>
          <t xml:space="preserve">1.0</t>
        </is>
      </c>
    </row>
    <row r="507">
      <c r="C507" s="250" t="inlineStr">
        <is>
          <t xml:space="preserve">Total carried to BOQ  GROUND FLR item H</t>
        </is>
      </c>
      <c r="D507" s="250" t="inlineStr">
        <is>
          <t xml:space="preserve"/>
        </is>
      </c>
      <c r="E507" s="250" t="inlineStr">
        <is>
          <t xml:space="preserve"/>
        </is>
      </c>
      <c r="F507" s="250" t="inlineStr">
        <is>
          <t xml:space="preserve"/>
        </is>
      </c>
      <c r="G507" s="250" t="inlineStr">
        <is>
          <t xml:space="preserve"/>
        </is>
      </c>
      <c r="H507" s="251">
        <f>SUM(H506:H506)</f>
        <v>1.0</v>
      </c>
      <c r="I507" s="252" t="inlineStr">
        <is>
          <t xml:space="preserve">m2</t>
        </is>
      </c>
    </row>
    <row r="508">
      <c r="C508" s="242" t="inlineStr">
        <is>
          <t xml:space="preserve">ELEMENT NO. 6: WALL FINISHES</t>
        </is>
      </c>
    </row>
    <row r="509">
      <c r="C509" s="242" t="inlineStr">
        <is>
          <t xml:space="preserve">M20 PLASTERED/RENDERED COATINGS - 12.5mm cement and sand (1:3) rendering as described on blockwork or concrete to:</t>
        </is>
      </c>
    </row>
    <row r="510">
      <c r="A510" s="243" t="inlineStr">
        <is>
          <t xml:space="preserve">GROUND FLR</t>
        </is>
      </c>
      <c r="B510" s="243" t="inlineStr">
        <is>
          <t xml:space="preserve">A</t>
        </is>
      </c>
      <c r="C510" s="244" t="inlineStr">
        <is>
          <t xml:space="preserve">Interior walls</t>
        </is>
      </c>
      <c r="I510" s="245" t="inlineStr">
        <is>
          <t xml:space="preserve">m2</t>
        </is>
      </c>
      <c r="K510" s="256" t="inlineStr">
        <is>
          <t xml:space="preserve">'GROUND FLR '!C199</t>
        </is>
      </c>
    </row>
    <row r="511">
      <c r="C511" s="246" t="inlineStr">
        <is>
          <t xml:space="preserve">block wall faces: 2 x (150 + 200 block runs) x ht</t>
        </is>
      </c>
      <c r="D511" s="248">
        <v>2</v>
      </c>
      <c r="E511" s="247">
        <f>203.6+33.8</f>
        <v>237.39999999999998</v>
      </c>
      <c r="F511" s="247">
        <v>3.6</v>
      </c>
      <c r="H511" s="249">
        <f>PRODUCT(D511:G511)</f>
        <v>1709.28</v>
      </c>
      <c r="J511" s="253" t="inlineStr">
        <is>
          <t xml:space="preserve">2*(203.6+33.8)*3.6</t>
        </is>
      </c>
    </row>
    <row r="512">
      <c r="C512" s="246" t="inlineStr">
        <is>
          <t xml:space="preserve">RC wall faces: 2 x RC wall run x ht</t>
        </is>
      </c>
      <c r="D512" s="248">
        <v>2</v>
      </c>
      <c r="E512" s="247">
        <v>41.6</v>
      </c>
      <c r="F512" s="247">
        <v>3.6</v>
      </c>
      <c r="H512" s="249">
        <f>PRODUCT(D512:G512)</f>
        <v>299.52000000000004</v>
      </c>
      <c r="J512" s="253" t="inlineStr">
        <is>
          <t xml:space="preserve">2*41.6*3.6</t>
        </is>
      </c>
    </row>
    <row r="513">
      <c r="C513" s="246" t="inlineStr">
        <is>
          <t xml:space="preserve">Ddt lift/stair shaft inner faces 16.8 m x ht</t>
        </is>
      </c>
      <c r="E513" s="247">
        <v>16.8</v>
      </c>
      <c r="F513" s="247">
        <v>3.6</v>
      </c>
      <c r="H513" s="249">
        <f>-PRODUCT(D513:G513)</f>
        <v>-60.480000000000004</v>
      </c>
      <c r="J513" s="253" t="inlineStr">
        <is>
          <t xml:space="preserve">-16.8*3.6</t>
        </is>
      </c>
    </row>
    <row r="514">
      <c r="C514" s="246" t="inlineStr">
        <is>
          <t xml:space="preserve">Ddt external face of perimeter wall (rendered externally)</t>
        </is>
      </c>
      <c r="E514" s="247">
        <v>142.2</v>
      </c>
      <c r="F514" s="247">
        <v>3.6</v>
      </c>
      <c r="H514" s="249">
        <f>-PRODUCT(D514:G514)</f>
        <v>-511.91999999999996</v>
      </c>
      <c r="J514" s="253" t="inlineStr">
        <is>
          <t xml:space="preserve">-142.2*3.6</t>
        </is>
      </c>
    </row>
    <row r="515">
      <c r="C515" s="246" t="inlineStr">
        <is>
          <t xml:space="preserve">Ddt washroom walls (measured separately)</t>
        </is>
      </c>
      <c r="E515" s="247">
        <f>18.1/3.8</f>
        <v>4.7631578947368425</v>
      </c>
      <c r="F515" s="247">
        <v>8.0</v>
      </c>
      <c r="G515" s="247">
        <v>3.6</v>
      </c>
      <c r="H515" s="249">
        <f>-PRODUCT(D515:G515)</f>
        <v>-137.17894736842106</v>
      </c>
      <c r="J515" s="253" t="inlineStr">
        <is>
          <t xml:space="preserve">-18.1/3.8*8.0*3.6</t>
        </is>
      </c>
    </row>
    <row r="516">
      <c r="C516" s="246" t="inlineStr">
        <is>
          <t xml:space="preserve">Ddt opening D1 (1 nr, 1.8x2.4) - both faces</t>
        </is>
      </c>
      <c r="D516" s="248">
        <f>2*1</f>
        <v>2</v>
      </c>
      <c r="E516" s="247">
        <v>1.8</v>
      </c>
      <c r="F516" s="247">
        <v>2.4</v>
      </c>
      <c r="H516" s="249">
        <f>-PRODUCT(D516:G516)</f>
        <v>-8.64</v>
      </c>
      <c r="J516" s="253" t="inlineStr">
        <is>
          <t xml:space="preserve">-2*1*1.8*2.4</t>
        </is>
      </c>
    </row>
    <row r="517">
      <c r="C517" s="246" t="inlineStr">
        <is>
          <t xml:space="preserve">Ddt opening D3 (6 nr, 0.9x2.2) - both faces</t>
        </is>
      </c>
      <c r="D517" s="248">
        <f>2*6</f>
        <v>12</v>
      </c>
      <c r="E517" s="247">
        <v>0.9</v>
      </c>
      <c r="F517" s="247">
        <v>2.2</v>
      </c>
      <c r="H517" s="249">
        <f>-PRODUCT(D517:G517)</f>
        <v>-23.760000000000005</v>
      </c>
      <c r="J517" s="253" t="inlineStr">
        <is>
          <t xml:space="preserve">-2*6*0.9*2.2</t>
        </is>
      </c>
    </row>
    <row r="518">
      <c r="C518" s="246" t="inlineStr">
        <is>
          <t xml:space="preserve">Ddt opening D4 (1 nr, 0.9x2.35) - both faces</t>
        </is>
      </c>
      <c r="D518" s="248">
        <f>2*1</f>
        <v>2</v>
      </c>
      <c r="E518" s="247">
        <v>0.9</v>
      </c>
      <c r="F518" s="247">
        <v>2.35</v>
      </c>
      <c r="H518" s="249">
        <f>-PRODUCT(D518:G518)</f>
        <v>-4.23</v>
      </c>
      <c r="J518" s="253" t="inlineStr">
        <is>
          <t xml:space="preserve">-2*1*0.9*2.35</t>
        </is>
      </c>
    </row>
    <row r="519">
      <c r="C519" s="246" t="inlineStr">
        <is>
          <t xml:space="preserve">Ddt opening D5 (1 nr, 3.2x2.2) - both faces</t>
        </is>
      </c>
      <c r="D519" s="248">
        <f>2*1</f>
        <v>2</v>
      </c>
      <c r="E519" s="247">
        <v>3.2</v>
      </c>
      <c r="F519" s="247">
        <v>2.2</v>
      </c>
      <c r="H519" s="249">
        <f>-PRODUCT(D519:G519)</f>
        <v>-14.080000000000002</v>
      </c>
      <c r="J519" s="253" t="inlineStr">
        <is>
          <t xml:space="preserve">-2*1*3.2*2.2</t>
        </is>
      </c>
    </row>
    <row r="520">
      <c r="C520" s="246" t="inlineStr">
        <is>
          <t xml:space="preserve">Ddt opening D6 (6 nr, 0.75x2.2) - both faces</t>
        </is>
      </c>
      <c r="D520" s="248">
        <f>2*6</f>
        <v>12</v>
      </c>
      <c r="E520" s="247">
        <v>0.75</v>
      </c>
      <c r="F520" s="247">
        <v>2.2</v>
      </c>
      <c r="H520" s="249">
        <f>-PRODUCT(D520:G520)</f>
        <v>-19.8</v>
      </c>
      <c r="J520" s="253" t="inlineStr">
        <is>
          <t xml:space="preserve">-2*6*0.75*2.2</t>
        </is>
      </c>
    </row>
    <row r="521">
      <c r="C521" s="246" t="inlineStr">
        <is>
          <t xml:space="preserve">Ddt opening D7 (2 nr, 0.7x2.2) - both faces</t>
        </is>
      </c>
      <c r="D521" s="248">
        <f>2*2</f>
        <v>4</v>
      </c>
      <c r="E521" s="247">
        <v>0.7</v>
      </c>
      <c r="F521" s="247">
        <v>2.2</v>
      </c>
      <c r="H521" s="249">
        <f>-PRODUCT(D521:G521)</f>
        <v>-6.16</v>
      </c>
      <c r="J521" s="253" t="inlineStr">
        <is>
          <t xml:space="preserve">-2*2*0.7*2.2</t>
        </is>
      </c>
    </row>
    <row r="522">
      <c r="C522" s="246" t="inlineStr">
        <is>
          <t xml:space="preserve">Ddt opening ED1 (3 nr, 1x2.2) - both faces</t>
        </is>
      </c>
      <c r="D522" s="248">
        <f>2*3</f>
        <v>6</v>
      </c>
      <c r="E522" s="247">
        <v>1</v>
      </c>
      <c r="F522" s="247">
        <v>2.2</v>
      </c>
      <c r="H522" s="249">
        <f>-PRODUCT(D522:G522)</f>
        <v>-13.200000000000001</v>
      </c>
      <c r="J522" s="253" t="inlineStr">
        <is>
          <t xml:space="preserve">-2*3*1*2.2</t>
        </is>
      </c>
    </row>
    <row r="523">
      <c r="C523" s="246" t="inlineStr">
        <is>
          <t xml:space="preserve">Ddt opening D9 (2 nr, 0.9x2.2) - both faces</t>
        </is>
      </c>
      <c r="D523" s="248">
        <f>2*2</f>
        <v>4</v>
      </c>
      <c r="E523" s="247">
        <v>0.9</v>
      </c>
      <c r="F523" s="247">
        <v>2.2</v>
      </c>
      <c r="H523" s="249">
        <f>-PRODUCT(D523:G523)</f>
        <v>-7.920000000000001</v>
      </c>
      <c r="J523" s="253" t="inlineStr">
        <is>
          <t xml:space="preserve">-2*2*0.9*2.2</t>
        </is>
      </c>
    </row>
    <row r="524">
      <c r="C524" s="246" t="inlineStr">
        <is>
          <t xml:space="preserve">Ddt opening MD1 (3 nr, 1.8x2.2) - both faces</t>
        </is>
      </c>
      <c r="D524" s="248">
        <f>2*3</f>
        <v>6</v>
      </c>
      <c r="E524" s="247">
        <v>1.8</v>
      </c>
      <c r="F524" s="247">
        <v>2.2</v>
      </c>
      <c r="H524" s="249">
        <f>-PRODUCT(D524:G524)</f>
        <v>-23.760000000000005</v>
      </c>
      <c r="J524" s="253" t="inlineStr">
        <is>
          <t xml:space="preserve">-2*3*1.8*2.2</t>
        </is>
      </c>
    </row>
    <row r="525">
      <c r="C525" s="246" t="inlineStr">
        <is>
          <t xml:space="preserve">Ddt opening GD1 (2 nr, 1.8x2.2) - both faces</t>
        </is>
      </c>
      <c r="D525" s="248">
        <f>2*2</f>
        <v>4</v>
      </c>
      <c r="E525" s="247">
        <v>1.8</v>
      </c>
      <c r="F525" s="247">
        <v>2.2</v>
      </c>
      <c r="H525" s="249">
        <f>-PRODUCT(D525:G525)</f>
        <v>-15.840000000000002</v>
      </c>
      <c r="J525" s="253" t="inlineStr">
        <is>
          <t xml:space="preserve">-2*2*1.8*2.2</t>
        </is>
      </c>
    </row>
    <row r="526">
      <c r="C526" s="246" t="inlineStr">
        <is>
          <t xml:space="preserve">Ddt opening DW1 (2 nr, 2.4x2.2) - both faces</t>
        </is>
      </c>
      <c r="D526" s="248">
        <f>2*2</f>
        <v>4</v>
      </c>
      <c r="E526" s="247">
        <v>2.4</v>
      </c>
      <c r="F526" s="247">
        <v>2.2</v>
      </c>
      <c r="H526" s="249">
        <f>-PRODUCT(D526:G526)</f>
        <v>-21.12</v>
      </c>
      <c r="J526" s="253" t="inlineStr">
        <is>
          <t xml:space="preserve">-2*2*2.4*2.2</t>
        </is>
      </c>
    </row>
    <row r="527">
      <c r="C527" s="246" t="inlineStr">
        <is>
          <t xml:space="preserve">Ddt opening DW2 (1 nr, 5.05x2.2) - both faces</t>
        </is>
      </c>
      <c r="D527" s="248">
        <f>2*1</f>
        <v>2</v>
      </c>
      <c r="E527" s="247">
        <v>5.05</v>
      </c>
      <c r="F527" s="247">
        <v>2.2</v>
      </c>
      <c r="H527" s="249">
        <f>-PRODUCT(D527:G527)</f>
        <v>-22.220000000000002</v>
      </c>
      <c r="J527" s="253" t="inlineStr">
        <is>
          <t xml:space="preserve">-2*1*5.05*2.2</t>
        </is>
      </c>
    </row>
    <row r="528">
      <c r="C528" s="246" t="inlineStr">
        <is>
          <t xml:space="preserve">Ddt opening RD1 (2 nr, 4.2x2.157) - both faces</t>
        </is>
      </c>
      <c r="D528" s="248">
        <f>2*2</f>
        <v>4</v>
      </c>
      <c r="E528" s="247">
        <v>4.2</v>
      </c>
      <c r="F528" s="247">
        <v>2.157</v>
      </c>
      <c r="H528" s="249">
        <f>-PRODUCT(D528:G528)</f>
        <v>-36.2376</v>
      </c>
      <c r="J528" s="253" t="inlineStr">
        <is>
          <t xml:space="preserve">-2*2*4.2*2.157</t>
        </is>
      </c>
    </row>
    <row r="529">
      <c r="C529" s="246" t="inlineStr">
        <is>
          <t xml:space="preserve">Ddt opening W1 (1 nr, 3.6x1.9)</t>
        </is>
      </c>
      <c r="D529" s="248">
        <v>1</v>
      </c>
      <c r="E529" s="247">
        <v>3.6</v>
      </c>
      <c r="F529" s="247">
        <v>1.9</v>
      </c>
      <c r="H529" s="249">
        <f>-PRODUCT(D529:G529)</f>
        <v>-6.84</v>
      </c>
      <c r="J529" s="253" t="inlineStr">
        <is>
          <t xml:space="preserve">-1*3.6*1.9</t>
        </is>
      </c>
    </row>
    <row r="530">
      <c r="C530" s="246" t="inlineStr">
        <is>
          <t xml:space="preserve">Ddt opening W3 (1 nr, 1.8x1.5)</t>
        </is>
      </c>
      <c r="D530" s="248">
        <v>1</v>
      </c>
      <c r="E530" s="247">
        <v>1.8</v>
      </c>
      <c r="F530" s="247">
        <v>1.5</v>
      </c>
      <c r="H530" s="249">
        <f>-PRODUCT(D530:G530)</f>
        <v>-2.7</v>
      </c>
      <c r="J530" s="253" t="inlineStr">
        <is>
          <t xml:space="preserve">-1*1.8*1.5</t>
        </is>
      </c>
    </row>
    <row r="531">
      <c r="C531" s="246" t="inlineStr">
        <is>
          <t xml:space="preserve">Ddt opening W5 (1 nr, 1.8x1.9)</t>
        </is>
      </c>
      <c r="D531" s="248">
        <v>1</v>
      </c>
      <c r="E531" s="247">
        <v>1.8</v>
      </c>
      <c r="F531" s="247">
        <v>1.9</v>
      </c>
      <c r="H531" s="249">
        <f>-PRODUCT(D531:G531)</f>
        <v>-3.42</v>
      </c>
      <c r="J531" s="253" t="inlineStr">
        <is>
          <t xml:space="preserve">-1*1.8*1.9</t>
        </is>
      </c>
    </row>
    <row r="532">
      <c r="C532" s="246" t="inlineStr">
        <is>
          <t xml:space="preserve">Ddt opening W6 (1 nr, 3.5x1.5)</t>
        </is>
      </c>
      <c r="D532" s="248">
        <v>1</v>
      </c>
      <c r="E532" s="247">
        <v>3.5</v>
      </c>
      <c r="F532" s="247">
        <v>1.5</v>
      </c>
      <c r="H532" s="249">
        <f>-PRODUCT(D532:G532)</f>
        <v>-5.25</v>
      </c>
      <c r="J532" s="253" t="inlineStr">
        <is>
          <t xml:space="preserve">-1*3.5*1.5</t>
        </is>
      </c>
    </row>
    <row r="533">
      <c r="C533" s="246" t="inlineStr">
        <is>
          <t xml:space="preserve">Ddt opening W14 (3 nr, 3.6x2.2)</t>
        </is>
      </c>
      <c r="D533" s="248">
        <v>3</v>
      </c>
      <c r="E533" s="247">
        <v>3.6</v>
      </c>
      <c r="F533" s="247">
        <v>2.2</v>
      </c>
      <c r="H533" s="249">
        <f>-PRODUCT(D533:G533)</f>
        <v>-23.760000000000005</v>
      </c>
      <c r="J533" s="253" t="inlineStr">
        <is>
          <t xml:space="preserve">-3*3.6*2.2</t>
        </is>
      </c>
    </row>
    <row r="534">
      <c r="C534" s="246" t="inlineStr">
        <is>
          <t xml:space="preserve">Ddt opening W16 (2 nr, 2.4x1.9)</t>
        </is>
      </c>
      <c r="D534" s="248">
        <v>2</v>
      </c>
      <c r="E534" s="247">
        <v>2.4</v>
      </c>
      <c r="F534" s="247">
        <v>1.9</v>
      </c>
      <c r="H534" s="249">
        <f>-PRODUCT(D534:G534)</f>
        <v>-9.12</v>
      </c>
      <c r="J534" s="253" t="inlineStr">
        <is>
          <t xml:space="preserve">-2*2.4*1.9</t>
        </is>
      </c>
    </row>
    <row r="535">
      <c r="C535" s="246" t="inlineStr">
        <is>
          <t xml:space="preserve">Ddt opening W19 (2 nr, 2.1x0.9)</t>
        </is>
      </c>
      <c r="D535" s="248">
        <v>2</v>
      </c>
      <c r="E535" s="247">
        <v>2.1</v>
      </c>
      <c r="F535" s="247">
        <v>0.9</v>
      </c>
      <c r="H535" s="249">
        <f>-PRODUCT(D535:G535)</f>
        <v>-3.7800000000000002</v>
      </c>
      <c r="J535" s="253" t="inlineStr">
        <is>
          <t xml:space="preserve">-2*2.1*0.9</t>
        </is>
      </c>
    </row>
    <row r="536">
      <c r="C536" s="246" t="inlineStr">
        <is>
          <t xml:space="preserve">Ddt opening HW1 (4 nr, 0.9x0.6)</t>
        </is>
      </c>
      <c r="D536" s="248">
        <v>4</v>
      </c>
      <c r="E536" s="247">
        <v>0.9</v>
      </c>
      <c r="F536" s="247">
        <v>0.6</v>
      </c>
      <c r="H536" s="249">
        <f>-PRODUCT(D536:G536)</f>
        <v>-2.16</v>
      </c>
      <c r="J536" s="253" t="inlineStr">
        <is>
          <t xml:space="preserve">-4*0.9*0.6</t>
        </is>
      </c>
    </row>
    <row r="537">
      <c r="C537" s="246" t="inlineStr">
        <is>
          <t xml:space="preserve">Ddt opening HW2 (1 nr, 0.75x0.6)</t>
        </is>
      </c>
      <c r="D537" s="248">
        <v>1</v>
      </c>
      <c r="E537" s="247">
        <v>0.75</v>
      </c>
      <c r="F537" s="247">
        <v>0.6</v>
      </c>
      <c r="H537" s="249">
        <f>-PRODUCT(D537:G537)</f>
        <v>-0.44999999999999996</v>
      </c>
      <c r="J537" s="253" t="inlineStr">
        <is>
          <t xml:space="preserve">-1*0.75*0.6</t>
        </is>
      </c>
    </row>
    <row r="538">
      <c r="C538" s="250" t="inlineStr">
        <is>
          <t xml:space="preserve">Total carried to BOQ  GROUND FLR item A</t>
        </is>
      </c>
      <c r="D538" s="250" t="inlineStr">
        <is>
          <t xml:space="preserve"/>
        </is>
      </c>
      <c r="E538" s="250" t="inlineStr">
        <is>
          <t xml:space="preserve"/>
        </is>
      </c>
      <c r="F538" s="250" t="inlineStr">
        <is>
          <t xml:space="preserve"/>
        </is>
      </c>
      <c r="G538" s="250" t="inlineStr">
        <is>
          <t xml:space="preserve"/>
        </is>
      </c>
      <c r="H538" s="251">
        <f>SUM(H511:H537)</f>
        <v>1024.773452631579</v>
      </c>
      <c r="I538" s="252" t="inlineStr">
        <is>
          <t xml:space="preserve">m2</t>
        </is>
      </c>
    </row>
    <row r="539">
      <c r="A539" s="243" t="inlineStr">
        <is>
          <t xml:space="preserve">GROUND FLR</t>
        </is>
      </c>
      <c r="B539" s="243" t="inlineStr">
        <is>
          <t xml:space="preserve">B</t>
        </is>
      </c>
      <c r="C539" s="244" t="inlineStr">
        <is>
          <t xml:space="preserve">Interior partitions and washrooms</t>
        </is>
      </c>
      <c r="I539" s="245" t="inlineStr">
        <is>
          <t xml:space="preserve">m2</t>
        </is>
      </c>
      <c r="K539" s="256" t="inlineStr">
        <is>
          <t xml:space="preserve">'GROUND FLR '!C201</t>
        </is>
      </c>
    </row>
    <row r="540">
      <c r="C540" s="246" t="inlineStr">
        <is>
          <t xml:space="preserve">washroom walls: (wet area / 3.8 m2 per WC) x 8.0 m girth x ht</t>
        </is>
      </c>
      <c r="E540" s="247">
        <f>18.1/3.8</f>
        <v>4.7631578947368425</v>
      </c>
      <c r="F540" s="247">
        <v>8.0</v>
      </c>
      <c r="G540" s="247">
        <v>3.6</v>
      </c>
      <c r="H540" s="249">
        <f>PRODUCT(D540:G540)</f>
        <v>137.17894736842106</v>
      </c>
      <c r="J540" s="253" t="inlineStr">
        <is>
          <t xml:space="preserve">18.1/3.8*8.0*3.6</t>
        </is>
      </c>
    </row>
    <row r="541">
      <c r="C541" s="246" t="inlineStr">
        <is>
          <t xml:space="preserve">Ddt washroom doors: nr x 0.75 x 2.2</t>
        </is>
      </c>
      <c r="E541" s="247">
        <f>18.1/3.8</f>
        <v>4.7631578947368425</v>
      </c>
      <c r="F541" s="247">
        <v>0.75</v>
      </c>
      <c r="G541" s="247">
        <v>2.2</v>
      </c>
      <c r="H541" s="249">
        <f>-PRODUCT(D541:G541)</f>
        <v>-7.859210526315791</v>
      </c>
      <c r="J541" s="253" t="inlineStr">
        <is>
          <t xml:space="preserve">-18.1/3.8*0.75*2.2</t>
        </is>
      </c>
    </row>
    <row r="542">
      <c r="C542" s="250" t="inlineStr">
        <is>
          <t xml:space="preserve">Total carried to BOQ  GROUND FLR item B</t>
        </is>
      </c>
      <c r="D542" s="250" t="inlineStr">
        <is>
          <t xml:space="preserve"/>
        </is>
      </c>
      <c r="E542" s="250" t="inlineStr">
        <is>
          <t xml:space="preserve"/>
        </is>
      </c>
      <c r="F542" s="250" t="inlineStr">
        <is>
          <t xml:space="preserve"/>
        </is>
      </c>
      <c r="G542" s="250" t="inlineStr">
        <is>
          <t xml:space="preserve"/>
        </is>
      </c>
      <c r="H542" s="251">
        <f>SUM(H540:H541)</f>
        <v>129.31973684210527</v>
      </c>
      <c r="I542" s="252" t="inlineStr">
        <is>
          <t xml:space="preserve">m2</t>
        </is>
      </c>
    </row>
    <row r="543">
      <c r="A543" s="243" t="inlineStr">
        <is>
          <t xml:space="preserve">GROUND FLR</t>
        </is>
      </c>
      <c r="B543" s="243" t="inlineStr">
        <is>
          <t xml:space="preserve">C</t>
        </is>
      </c>
      <c r="C543" s="244" t="inlineStr">
        <is>
          <t xml:space="preserve">External walls</t>
        </is>
      </c>
      <c r="I543" s="245" t="inlineStr">
        <is>
          <t xml:space="preserve">m2</t>
        </is>
      </c>
      <c r="K543" s="256" t="inlineStr">
        <is>
          <t xml:space="preserve">'GROUND FLR '!C203</t>
        </is>
      </c>
    </row>
    <row r="544">
      <c r="C544" s="246" t="inlineStr">
        <is>
          <t xml:space="preserve">External perimeter x storey ht</t>
        </is>
      </c>
      <c r="E544" s="247">
        <v>142.2</v>
      </c>
      <c r="F544" s="247">
        <v>3.85</v>
      </c>
      <c r="H544" s="249">
        <f>PRODUCT(D544:G544)</f>
        <v>547.4699999999999</v>
      </c>
      <c r="J544" s="253" t="inlineStr">
        <is>
          <t xml:space="preserve">142.2*3.85</t>
        </is>
      </c>
    </row>
    <row r="545">
      <c r="C545" s="246" t="inlineStr">
        <is>
          <t xml:space="preserve">Ddt window W1 (1 nr, 3.6x1.9)</t>
        </is>
      </c>
      <c r="D545" s="248">
        <v>1</v>
      </c>
      <c r="E545" s="247">
        <v>3.6</v>
      </c>
      <c r="F545" s="247">
        <v>1.9</v>
      </c>
      <c r="H545" s="249">
        <f>-PRODUCT(D545:G545)</f>
        <v>-6.84</v>
      </c>
      <c r="J545" s="253" t="inlineStr">
        <is>
          <t xml:space="preserve">-1*3.6*1.9</t>
        </is>
      </c>
    </row>
    <row r="546">
      <c r="C546" s="246" t="inlineStr">
        <is>
          <t xml:space="preserve">Ddt window W3 (1 nr, 1.8x1.5)</t>
        </is>
      </c>
      <c r="D546" s="248">
        <v>1</v>
      </c>
      <c r="E546" s="247">
        <v>1.8</v>
      </c>
      <c r="F546" s="247">
        <v>1.5</v>
      </c>
      <c r="H546" s="249">
        <f>-PRODUCT(D546:G546)</f>
        <v>-2.7</v>
      </c>
      <c r="J546" s="253" t="inlineStr">
        <is>
          <t xml:space="preserve">-1*1.8*1.5</t>
        </is>
      </c>
    </row>
    <row r="547">
      <c r="C547" s="246" t="inlineStr">
        <is>
          <t xml:space="preserve">Ddt window W5 (1 nr, 1.8x1.9)</t>
        </is>
      </c>
      <c r="D547" s="248">
        <v>1</v>
      </c>
      <c r="E547" s="247">
        <v>1.8</v>
      </c>
      <c r="F547" s="247">
        <v>1.9</v>
      </c>
      <c r="H547" s="249">
        <f>-PRODUCT(D547:G547)</f>
        <v>-3.42</v>
      </c>
      <c r="J547" s="253" t="inlineStr">
        <is>
          <t xml:space="preserve">-1*1.8*1.9</t>
        </is>
      </c>
    </row>
    <row r="548">
      <c r="C548" s="246" t="inlineStr">
        <is>
          <t xml:space="preserve">Ddt window W6 (1 nr, 3.5x1.5)</t>
        </is>
      </c>
      <c r="D548" s="248">
        <v>1</v>
      </c>
      <c r="E548" s="247">
        <v>3.5</v>
      </c>
      <c r="F548" s="247">
        <v>1.5</v>
      </c>
      <c r="H548" s="249">
        <f>-PRODUCT(D548:G548)</f>
        <v>-5.25</v>
      </c>
      <c r="J548" s="253" t="inlineStr">
        <is>
          <t xml:space="preserve">-1*3.5*1.5</t>
        </is>
      </c>
    </row>
    <row r="549">
      <c r="C549" s="246" t="inlineStr">
        <is>
          <t xml:space="preserve">Ddt window W14 (3 nr, 3.6x2.2)</t>
        </is>
      </c>
      <c r="D549" s="248">
        <v>3</v>
      </c>
      <c r="E549" s="247">
        <v>3.6</v>
      </c>
      <c r="F549" s="247">
        <v>2.2</v>
      </c>
      <c r="H549" s="249">
        <f>-PRODUCT(D549:G549)</f>
        <v>-23.760000000000005</v>
      </c>
      <c r="J549" s="253" t="inlineStr">
        <is>
          <t xml:space="preserve">-3*3.6*2.2</t>
        </is>
      </c>
    </row>
    <row r="550">
      <c r="C550" s="246" t="inlineStr">
        <is>
          <t xml:space="preserve">Ddt window W16 (2 nr, 2.4x1.9)</t>
        </is>
      </c>
      <c r="D550" s="248">
        <v>2</v>
      </c>
      <c r="E550" s="247">
        <v>2.4</v>
      </c>
      <c r="F550" s="247">
        <v>1.9</v>
      </c>
      <c r="H550" s="249">
        <f>-PRODUCT(D550:G550)</f>
        <v>-9.12</v>
      </c>
      <c r="J550" s="253" t="inlineStr">
        <is>
          <t xml:space="preserve">-2*2.4*1.9</t>
        </is>
      </c>
    </row>
    <row r="551">
      <c r="C551" s="246" t="inlineStr">
        <is>
          <t xml:space="preserve">Ddt window W19 (2 nr, 2.1x0.9)</t>
        </is>
      </c>
      <c r="D551" s="248">
        <v>2</v>
      </c>
      <c r="E551" s="247">
        <v>2.1</v>
      </c>
      <c r="F551" s="247">
        <v>0.9</v>
      </c>
      <c r="H551" s="249">
        <f>-PRODUCT(D551:G551)</f>
        <v>-3.7800000000000002</v>
      </c>
      <c r="J551" s="253" t="inlineStr">
        <is>
          <t xml:space="preserve">-2*2.1*0.9</t>
        </is>
      </c>
    </row>
    <row r="552">
      <c r="C552" s="246" t="inlineStr">
        <is>
          <t xml:space="preserve">Ddt window HW1 (4 nr, 0.9x0.6)</t>
        </is>
      </c>
      <c r="D552" s="248">
        <v>4</v>
      </c>
      <c r="E552" s="247">
        <v>0.9</v>
      </c>
      <c r="F552" s="247">
        <v>0.6</v>
      </c>
      <c r="H552" s="249">
        <f>-PRODUCT(D552:G552)</f>
        <v>-2.16</v>
      </c>
      <c r="J552" s="253" t="inlineStr">
        <is>
          <t xml:space="preserve">-4*0.9*0.6</t>
        </is>
      </c>
    </row>
    <row r="553">
      <c r="C553" s="246" t="inlineStr">
        <is>
          <t xml:space="preserve">Ddt window HW2 (1 nr, 0.75x0.6)</t>
        </is>
      </c>
      <c r="D553" s="248">
        <v>1</v>
      </c>
      <c r="E553" s="247">
        <v>0.75</v>
      </c>
      <c r="F553" s="247">
        <v>0.6</v>
      </c>
      <c r="H553" s="249">
        <f>-PRODUCT(D553:G553)</f>
        <v>-0.44999999999999996</v>
      </c>
      <c r="J553" s="253" t="inlineStr">
        <is>
          <t xml:space="preserve">-1*0.75*0.6</t>
        </is>
      </c>
    </row>
    <row r="554">
      <c r="C554" s="250" t="inlineStr">
        <is>
          <t xml:space="preserve">Total carried to BOQ  GROUND FLR item C</t>
        </is>
      </c>
      <c r="D554" s="250" t="inlineStr">
        <is>
          <t xml:space="preserve"/>
        </is>
      </c>
      <c r="E554" s="250" t="inlineStr">
        <is>
          <t xml:space="preserve"/>
        </is>
      </c>
      <c r="F554" s="250" t="inlineStr">
        <is>
          <t xml:space="preserve"/>
        </is>
      </c>
      <c r="G554" s="250" t="inlineStr">
        <is>
          <t xml:space="preserve"/>
        </is>
      </c>
      <c r="H554" s="251">
        <f>SUM(H544:H553)</f>
        <v>489.9899999999999</v>
      </c>
      <c r="I554" s="252" t="inlineStr">
        <is>
          <t xml:space="preserve">m2</t>
        </is>
      </c>
    </row>
    <row r="555">
      <c r="A555" s="243" t="inlineStr">
        <is>
          <t xml:space="preserve">GROUND FLR</t>
        </is>
      </c>
      <c r="B555" s="243" t="inlineStr">
        <is>
          <t xml:space="preserve">D</t>
        </is>
      </c>
      <c r="C555" s="244" t="inlineStr">
        <is>
          <t xml:space="preserve">12mm cement and sand (1:4) screeded backing to receive wall tiles</t>
        </is>
      </c>
      <c r="I555" s="245" t="inlineStr">
        <is>
          <t xml:space="preserve">m2</t>
        </is>
      </c>
      <c r="K555" s="256" t="inlineStr">
        <is>
          <t xml:space="preserve">'GROUND FLR '!C205</t>
        </is>
      </c>
    </row>
    <row r="556">
      <c r="C556" s="246" t="inlineStr">
        <is>
          <t xml:space="preserve">washroom walls: (wet area / 3.8 m2 per WC) x 8.0 m girth x ht</t>
        </is>
      </c>
      <c r="E556" s="247">
        <f>18.1/3.8</f>
        <v>4.7631578947368425</v>
      </c>
      <c r="F556" s="247">
        <v>8.0</v>
      </c>
      <c r="G556" s="247">
        <v>2.4</v>
      </c>
      <c r="H556" s="249">
        <f>PRODUCT(D556:G556)</f>
        <v>91.45263157894738</v>
      </c>
      <c r="J556" s="253" t="inlineStr">
        <is>
          <t xml:space="preserve">18.1/3.8*8.0*2.4</t>
        </is>
      </c>
    </row>
    <row r="557">
      <c r="C557" s="246" t="inlineStr">
        <is>
          <t xml:space="preserve">Ddt washroom doors: nr x 0.75 x 2.2</t>
        </is>
      </c>
      <c r="E557" s="247">
        <f>18.1/3.8</f>
        <v>4.7631578947368425</v>
      </c>
      <c r="F557" s="247">
        <v>0.75</v>
      </c>
      <c r="G557" s="247">
        <v>2.2</v>
      </c>
      <c r="H557" s="249">
        <f>-PRODUCT(D557:G557)</f>
        <v>-7.859210526315791</v>
      </c>
      <c r="J557" s="253" t="inlineStr">
        <is>
          <t xml:space="preserve">-18.1/3.8*0.75*2.2</t>
        </is>
      </c>
    </row>
    <row r="558">
      <c r="C558" s="250" t="inlineStr">
        <is>
          <t xml:space="preserve">Total carried to BOQ  GROUND FLR item D</t>
        </is>
      </c>
      <c r="D558" s="250" t="inlineStr">
        <is>
          <t xml:space="preserve"/>
        </is>
      </c>
      <c r="E558" s="250" t="inlineStr">
        <is>
          <t xml:space="preserve"/>
        </is>
      </c>
      <c r="F558" s="250" t="inlineStr">
        <is>
          <t xml:space="preserve"/>
        </is>
      </c>
      <c r="G558" s="250" t="inlineStr">
        <is>
          <t xml:space="preserve"/>
        </is>
      </c>
      <c r="H558" s="251">
        <f>SUM(H556:H557)</f>
        <v>83.59342105263158</v>
      </c>
      <c r="I558" s="252" t="inlineStr">
        <is>
          <t xml:space="preserve">m2</t>
        </is>
      </c>
    </row>
    <row r="559" ht="32.2" customHeight="1">
      <c r="A559" s="243" t="inlineStr">
        <is>
          <t xml:space="preserve">GROUND FLR</t>
        </is>
      </c>
      <c r="B559" s="243" t="inlineStr">
        <is>
          <t xml:space="preserve">E</t>
        </is>
      </c>
      <c r="C559" s="244" t="inlineStr">
        <is>
          <t xml:space="preserve">Ceramic/porcelain wall tiles to washrooms to 2.4m high, adhesive &amp; grout (type TBC)</t>
        </is>
      </c>
      <c r="I559" s="245" t="inlineStr">
        <is>
          <t xml:space="preserve">m2</t>
        </is>
      </c>
      <c r="K559" s="256" t="inlineStr">
        <is>
          <t xml:space="preserve">'GROUND FLR '!C207</t>
        </is>
      </c>
    </row>
    <row r="560">
      <c r="C560" s="246" t="inlineStr">
        <is>
          <t xml:space="preserve">washroom walls: (wet area / 3.8 m2 per WC) x 8.0 m girth x ht</t>
        </is>
      </c>
      <c r="E560" s="247">
        <f>18.1/3.8</f>
        <v>4.7631578947368425</v>
      </c>
      <c r="F560" s="247">
        <v>8.0</v>
      </c>
      <c r="G560" s="247">
        <v>2.4</v>
      </c>
      <c r="H560" s="249">
        <f>PRODUCT(D560:G560)</f>
        <v>91.45263157894738</v>
      </c>
      <c r="J560" s="253" t="inlineStr">
        <is>
          <t xml:space="preserve">18.1/3.8*8.0*2.4</t>
        </is>
      </c>
    </row>
    <row r="561">
      <c r="C561" s="246" t="inlineStr">
        <is>
          <t xml:space="preserve">Ddt washroom doors: nr x 0.75 x 2.2</t>
        </is>
      </c>
      <c r="E561" s="247">
        <f>18.1/3.8</f>
        <v>4.7631578947368425</v>
      </c>
      <c r="F561" s="247">
        <v>0.75</v>
      </c>
      <c r="G561" s="247">
        <v>2.2</v>
      </c>
      <c r="H561" s="249">
        <f>-PRODUCT(D561:G561)</f>
        <v>-7.859210526315791</v>
      </c>
      <c r="J561" s="253" t="inlineStr">
        <is>
          <t xml:space="preserve">-18.1/3.8*0.75*2.2</t>
        </is>
      </c>
    </row>
    <row r="562">
      <c r="C562" s="250" t="inlineStr">
        <is>
          <t xml:space="preserve">Total carried to BOQ  GROUND FLR item E</t>
        </is>
      </c>
      <c r="D562" s="250" t="inlineStr">
        <is>
          <t xml:space="preserve"/>
        </is>
      </c>
      <c r="E562" s="250" t="inlineStr">
        <is>
          <t xml:space="preserve"/>
        </is>
      </c>
      <c r="F562" s="250" t="inlineStr">
        <is>
          <t xml:space="preserve"/>
        </is>
      </c>
      <c r="G562" s="250" t="inlineStr">
        <is>
          <t xml:space="preserve"/>
        </is>
      </c>
      <c r="H562" s="251">
        <f>SUM(H560:H561)</f>
        <v>83.59342105263158</v>
      </c>
      <c r="I562" s="252" t="inlineStr">
        <is>
          <t xml:space="preserve">m2</t>
        </is>
      </c>
    </row>
    <row r="563">
      <c r="C563" s="242" t="inlineStr">
        <is>
          <t xml:space="preserve">ELEMENT NO. 7: PAINTING AND DECORATING</t>
        </is>
      </c>
    </row>
    <row r="564">
      <c r="C564" s="242" t="inlineStr">
        <is>
          <t xml:space="preserve">M60 PAINTING - Prepare and apply two undercoats and finishing coat of emulsion paint on:</t>
        </is>
      </c>
    </row>
    <row r="565">
      <c r="A565" s="243" t="inlineStr">
        <is>
          <t xml:space="preserve">GROUND FLR</t>
        </is>
      </c>
      <c r="B565" s="243" t="inlineStr">
        <is>
          <t xml:space="preserve">A</t>
        </is>
      </c>
      <c r="C565" s="244" t="inlineStr">
        <is>
          <t xml:space="preserve">Interior walls</t>
        </is>
      </c>
      <c r="I565" s="245" t="inlineStr">
        <is>
          <t xml:space="preserve">m2</t>
        </is>
      </c>
      <c r="K565" s="256" t="inlineStr">
        <is>
          <t xml:space="preserve">'GROUND FLR '!C215</t>
        </is>
      </c>
    </row>
    <row r="566">
      <c r="C566" s="246" t="inlineStr">
        <is>
          <t xml:space="preserve">block wall faces: 2 x (150 + 200 block runs) x ht</t>
        </is>
      </c>
      <c r="D566" s="248">
        <v>2</v>
      </c>
      <c r="E566" s="247">
        <f>203.6+33.8</f>
        <v>237.39999999999998</v>
      </c>
      <c r="F566" s="247">
        <v>3.6</v>
      </c>
      <c r="H566" s="249">
        <f>PRODUCT(D566:G566)</f>
        <v>1709.28</v>
      </c>
      <c r="J566" s="253" t="inlineStr">
        <is>
          <t xml:space="preserve">2*(203.6+33.8)*3.6</t>
        </is>
      </c>
    </row>
    <row r="567">
      <c r="C567" s="246" t="inlineStr">
        <is>
          <t xml:space="preserve">RC wall faces: 2 x RC wall run x ht</t>
        </is>
      </c>
      <c r="D567" s="248">
        <v>2</v>
      </c>
      <c r="E567" s="247">
        <v>41.6</v>
      </c>
      <c r="F567" s="247">
        <v>3.6</v>
      </c>
      <c r="H567" s="249">
        <f>PRODUCT(D567:G567)</f>
        <v>299.52000000000004</v>
      </c>
      <c r="J567" s="253" t="inlineStr">
        <is>
          <t xml:space="preserve">2*41.6*3.6</t>
        </is>
      </c>
    </row>
    <row r="568">
      <c r="C568" s="246" t="inlineStr">
        <is>
          <t xml:space="preserve">Ddt lift/stair shaft inner faces 16.8 m x ht</t>
        </is>
      </c>
      <c r="E568" s="247">
        <v>16.8</v>
      </c>
      <c r="F568" s="247">
        <v>3.6</v>
      </c>
      <c r="H568" s="249">
        <f>-PRODUCT(D568:G568)</f>
        <v>-60.480000000000004</v>
      </c>
      <c r="J568" s="253" t="inlineStr">
        <is>
          <t xml:space="preserve">-16.8*3.6</t>
        </is>
      </c>
    </row>
    <row r="569">
      <c r="C569" s="246" t="inlineStr">
        <is>
          <t xml:space="preserve">Ddt external face of perimeter wall (rendered externally)</t>
        </is>
      </c>
      <c r="E569" s="247">
        <v>142.2</v>
      </c>
      <c r="F569" s="247">
        <v>3.6</v>
      </c>
      <c r="H569" s="249">
        <f>-PRODUCT(D569:G569)</f>
        <v>-511.91999999999996</v>
      </c>
      <c r="J569" s="253" t="inlineStr">
        <is>
          <t xml:space="preserve">-142.2*3.6</t>
        </is>
      </c>
    </row>
    <row r="570">
      <c r="C570" s="246" t="inlineStr">
        <is>
          <t xml:space="preserve">Ddt washroom walls (measured separately)</t>
        </is>
      </c>
      <c r="E570" s="247">
        <f>18.1/3.8</f>
        <v>4.7631578947368425</v>
      </c>
      <c r="F570" s="247">
        <v>8.0</v>
      </c>
      <c r="G570" s="247">
        <v>3.6</v>
      </c>
      <c r="H570" s="249">
        <f>-PRODUCT(D570:G570)</f>
        <v>-137.17894736842106</v>
      </c>
      <c r="J570" s="253" t="inlineStr">
        <is>
          <t xml:space="preserve">-18.1/3.8*8.0*3.6</t>
        </is>
      </c>
    </row>
    <row r="571">
      <c r="C571" s="246" t="inlineStr">
        <is>
          <t xml:space="preserve">Ddt opening D1 (1 nr, 1.8x2.4) - both faces</t>
        </is>
      </c>
      <c r="D571" s="248">
        <f>2*1</f>
        <v>2</v>
      </c>
      <c r="E571" s="247">
        <v>1.8</v>
      </c>
      <c r="F571" s="247">
        <v>2.4</v>
      </c>
      <c r="H571" s="249">
        <f>-PRODUCT(D571:G571)</f>
        <v>-8.64</v>
      </c>
      <c r="J571" s="253" t="inlineStr">
        <is>
          <t xml:space="preserve">-2*1*1.8*2.4</t>
        </is>
      </c>
    </row>
    <row r="572">
      <c r="C572" s="246" t="inlineStr">
        <is>
          <t xml:space="preserve">Ddt opening D3 (6 nr, 0.9x2.2) - both faces</t>
        </is>
      </c>
      <c r="D572" s="248">
        <f>2*6</f>
        <v>12</v>
      </c>
      <c r="E572" s="247">
        <v>0.9</v>
      </c>
      <c r="F572" s="247">
        <v>2.2</v>
      </c>
      <c r="H572" s="249">
        <f>-PRODUCT(D572:G572)</f>
        <v>-23.760000000000005</v>
      </c>
      <c r="J572" s="253" t="inlineStr">
        <is>
          <t xml:space="preserve">-2*6*0.9*2.2</t>
        </is>
      </c>
    </row>
    <row r="573">
      <c r="C573" s="246" t="inlineStr">
        <is>
          <t xml:space="preserve">Ddt opening D4 (1 nr, 0.9x2.35) - both faces</t>
        </is>
      </c>
      <c r="D573" s="248">
        <f>2*1</f>
        <v>2</v>
      </c>
      <c r="E573" s="247">
        <v>0.9</v>
      </c>
      <c r="F573" s="247">
        <v>2.35</v>
      </c>
      <c r="H573" s="249">
        <f>-PRODUCT(D573:G573)</f>
        <v>-4.23</v>
      </c>
      <c r="J573" s="253" t="inlineStr">
        <is>
          <t xml:space="preserve">-2*1*0.9*2.35</t>
        </is>
      </c>
    </row>
    <row r="574">
      <c r="C574" s="246" t="inlineStr">
        <is>
          <t xml:space="preserve">Ddt opening D5 (1 nr, 3.2x2.2) - both faces</t>
        </is>
      </c>
      <c r="D574" s="248">
        <f>2*1</f>
        <v>2</v>
      </c>
      <c r="E574" s="247">
        <v>3.2</v>
      </c>
      <c r="F574" s="247">
        <v>2.2</v>
      </c>
      <c r="H574" s="249">
        <f>-PRODUCT(D574:G574)</f>
        <v>-14.080000000000002</v>
      </c>
      <c r="J574" s="253" t="inlineStr">
        <is>
          <t xml:space="preserve">-2*1*3.2*2.2</t>
        </is>
      </c>
    </row>
    <row r="575">
      <c r="C575" s="246" t="inlineStr">
        <is>
          <t xml:space="preserve">Ddt opening D6 (6 nr, 0.75x2.2) - both faces</t>
        </is>
      </c>
      <c r="D575" s="248">
        <f>2*6</f>
        <v>12</v>
      </c>
      <c r="E575" s="247">
        <v>0.75</v>
      </c>
      <c r="F575" s="247">
        <v>2.2</v>
      </c>
      <c r="H575" s="249">
        <f>-PRODUCT(D575:G575)</f>
        <v>-19.8</v>
      </c>
      <c r="J575" s="253" t="inlineStr">
        <is>
          <t xml:space="preserve">-2*6*0.75*2.2</t>
        </is>
      </c>
    </row>
    <row r="576">
      <c r="C576" s="246" t="inlineStr">
        <is>
          <t xml:space="preserve">Ddt opening D7 (2 nr, 0.7x2.2) - both faces</t>
        </is>
      </c>
      <c r="D576" s="248">
        <f>2*2</f>
        <v>4</v>
      </c>
      <c r="E576" s="247">
        <v>0.7</v>
      </c>
      <c r="F576" s="247">
        <v>2.2</v>
      </c>
      <c r="H576" s="249">
        <f>-PRODUCT(D576:G576)</f>
        <v>-6.16</v>
      </c>
      <c r="J576" s="253" t="inlineStr">
        <is>
          <t xml:space="preserve">-2*2*0.7*2.2</t>
        </is>
      </c>
    </row>
    <row r="577">
      <c r="C577" s="246" t="inlineStr">
        <is>
          <t xml:space="preserve">Ddt opening ED1 (3 nr, 1x2.2) - both faces</t>
        </is>
      </c>
      <c r="D577" s="248">
        <f>2*3</f>
        <v>6</v>
      </c>
      <c r="E577" s="247">
        <v>1</v>
      </c>
      <c r="F577" s="247">
        <v>2.2</v>
      </c>
      <c r="H577" s="249">
        <f>-PRODUCT(D577:G577)</f>
        <v>-13.200000000000001</v>
      </c>
      <c r="J577" s="253" t="inlineStr">
        <is>
          <t xml:space="preserve">-2*3*1*2.2</t>
        </is>
      </c>
    </row>
    <row r="578">
      <c r="C578" s="246" t="inlineStr">
        <is>
          <t xml:space="preserve">Ddt opening D9 (2 nr, 0.9x2.2) - both faces</t>
        </is>
      </c>
      <c r="D578" s="248">
        <f>2*2</f>
        <v>4</v>
      </c>
      <c r="E578" s="247">
        <v>0.9</v>
      </c>
      <c r="F578" s="247">
        <v>2.2</v>
      </c>
      <c r="H578" s="249">
        <f>-PRODUCT(D578:G578)</f>
        <v>-7.920000000000001</v>
      </c>
      <c r="J578" s="253" t="inlineStr">
        <is>
          <t xml:space="preserve">-2*2*0.9*2.2</t>
        </is>
      </c>
    </row>
    <row r="579">
      <c r="C579" s="246" t="inlineStr">
        <is>
          <t xml:space="preserve">Ddt opening MD1 (3 nr, 1.8x2.2) - both faces</t>
        </is>
      </c>
      <c r="D579" s="248">
        <f>2*3</f>
        <v>6</v>
      </c>
      <c r="E579" s="247">
        <v>1.8</v>
      </c>
      <c r="F579" s="247">
        <v>2.2</v>
      </c>
      <c r="H579" s="249">
        <f>-PRODUCT(D579:G579)</f>
        <v>-23.760000000000005</v>
      </c>
      <c r="J579" s="253" t="inlineStr">
        <is>
          <t xml:space="preserve">-2*3*1.8*2.2</t>
        </is>
      </c>
    </row>
    <row r="580">
      <c r="C580" s="246" t="inlineStr">
        <is>
          <t xml:space="preserve">Ddt opening GD1 (2 nr, 1.8x2.2) - both faces</t>
        </is>
      </c>
      <c r="D580" s="248">
        <f>2*2</f>
        <v>4</v>
      </c>
      <c r="E580" s="247">
        <v>1.8</v>
      </c>
      <c r="F580" s="247">
        <v>2.2</v>
      </c>
      <c r="H580" s="249">
        <f>-PRODUCT(D580:G580)</f>
        <v>-15.840000000000002</v>
      </c>
      <c r="J580" s="253" t="inlineStr">
        <is>
          <t xml:space="preserve">-2*2*1.8*2.2</t>
        </is>
      </c>
    </row>
    <row r="581">
      <c r="C581" s="246" t="inlineStr">
        <is>
          <t xml:space="preserve">Ddt opening DW1 (2 nr, 2.4x2.2) - both faces</t>
        </is>
      </c>
      <c r="D581" s="248">
        <f>2*2</f>
        <v>4</v>
      </c>
      <c r="E581" s="247">
        <v>2.4</v>
      </c>
      <c r="F581" s="247">
        <v>2.2</v>
      </c>
      <c r="H581" s="249">
        <f>-PRODUCT(D581:G581)</f>
        <v>-21.12</v>
      </c>
      <c r="J581" s="253" t="inlineStr">
        <is>
          <t xml:space="preserve">-2*2*2.4*2.2</t>
        </is>
      </c>
    </row>
    <row r="582">
      <c r="C582" s="246" t="inlineStr">
        <is>
          <t xml:space="preserve">Ddt opening DW2 (1 nr, 5.05x2.2) - both faces</t>
        </is>
      </c>
      <c r="D582" s="248">
        <f>2*1</f>
        <v>2</v>
      </c>
      <c r="E582" s="247">
        <v>5.05</v>
      </c>
      <c r="F582" s="247">
        <v>2.2</v>
      </c>
      <c r="H582" s="249">
        <f>-PRODUCT(D582:G582)</f>
        <v>-22.220000000000002</v>
      </c>
      <c r="J582" s="253" t="inlineStr">
        <is>
          <t xml:space="preserve">-2*1*5.05*2.2</t>
        </is>
      </c>
    </row>
    <row r="583">
      <c r="C583" s="246" t="inlineStr">
        <is>
          <t xml:space="preserve">Ddt opening RD1 (2 nr, 4.2x2.157) - both faces</t>
        </is>
      </c>
      <c r="D583" s="248">
        <f>2*2</f>
        <v>4</v>
      </c>
      <c r="E583" s="247">
        <v>4.2</v>
      </c>
      <c r="F583" s="247">
        <v>2.157</v>
      </c>
      <c r="H583" s="249">
        <f>-PRODUCT(D583:G583)</f>
        <v>-36.2376</v>
      </c>
      <c r="J583" s="253" t="inlineStr">
        <is>
          <t xml:space="preserve">-2*2*4.2*2.157</t>
        </is>
      </c>
    </row>
    <row r="584">
      <c r="C584" s="246" t="inlineStr">
        <is>
          <t xml:space="preserve">Ddt opening W1 (1 nr, 3.6x1.9)</t>
        </is>
      </c>
      <c r="D584" s="248">
        <v>1</v>
      </c>
      <c r="E584" s="247">
        <v>3.6</v>
      </c>
      <c r="F584" s="247">
        <v>1.9</v>
      </c>
      <c r="H584" s="249">
        <f>-PRODUCT(D584:G584)</f>
        <v>-6.84</v>
      </c>
      <c r="J584" s="253" t="inlineStr">
        <is>
          <t xml:space="preserve">-1*3.6*1.9</t>
        </is>
      </c>
    </row>
    <row r="585">
      <c r="C585" s="246" t="inlineStr">
        <is>
          <t xml:space="preserve">Ddt opening W3 (1 nr, 1.8x1.5)</t>
        </is>
      </c>
      <c r="D585" s="248">
        <v>1</v>
      </c>
      <c r="E585" s="247">
        <v>1.8</v>
      </c>
      <c r="F585" s="247">
        <v>1.5</v>
      </c>
      <c r="H585" s="249">
        <f>-PRODUCT(D585:G585)</f>
        <v>-2.7</v>
      </c>
      <c r="J585" s="253" t="inlineStr">
        <is>
          <t xml:space="preserve">-1*1.8*1.5</t>
        </is>
      </c>
    </row>
    <row r="586">
      <c r="C586" s="246" t="inlineStr">
        <is>
          <t xml:space="preserve">Ddt opening W5 (1 nr, 1.8x1.9)</t>
        </is>
      </c>
      <c r="D586" s="248">
        <v>1</v>
      </c>
      <c r="E586" s="247">
        <v>1.8</v>
      </c>
      <c r="F586" s="247">
        <v>1.9</v>
      </c>
      <c r="H586" s="249">
        <f>-PRODUCT(D586:G586)</f>
        <v>-3.42</v>
      </c>
      <c r="J586" s="253" t="inlineStr">
        <is>
          <t xml:space="preserve">-1*1.8*1.9</t>
        </is>
      </c>
    </row>
    <row r="587">
      <c r="C587" s="246" t="inlineStr">
        <is>
          <t xml:space="preserve">Ddt opening W6 (1 nr, 3.5x1.5)</t>
        </is>
      </c>
      <c r="D587" s="248">
        <v>1</v>
      </c>
      <c r="E587" s="247">
        <v>3.5</v>
      </c>
      <c r="F587" s="247">
        <v>1.5</v>
      </c>
      <c r="H587" s="249">
        <f>-PRODUCT(D587:G587)</f>
        <v>-5.25</v>
      </c>
      <c r="J587" s="253" t="inlineStr">
        <is>
          <t xml:space="preserve">-1*3.5*1.5</t>
        </is>
      </c>
    </row>
    <row r="588">
      <c r="C588" s="246" t="inlineStr">
        <is>
          <t xml:space="preserve">Ddt opening W14 (3 nr, 3.6x2.2)</t>
        </is>
      </c>
      <c r="D588" s="248">
        <v>3</v>
      </c>
      <c r="E588" s="247">
        <v>3.6</v>
      </c>
      <c r="F588" s="247">
        <v>2.2</v>
      </c>
      <c r="H588" s="249">
        <f>-PRODUCT(D588:G588)</f>
        <v>-23.760000000000005</v>
      </c>
      <c r="J588" s="253" t="inlineStr">
        <is>
          <t xml:space="preserve">-3*3.6*2.2</t>
        </is>
      </c>
    </row>
    <row r="589">
      <c r="C589" s="246" t="inlineStr">
        <is>
          <t xml:space="preserve">Ddt opening W16 (2 nr, 2.4x1.9)</t>
        </is>
      </c>
      <c r="D589" s="248">
        <v>2</v>
      </c>
      <c r="E589" s="247">
        <v>2.4</v>
      </c>
      <c r="F589" s="247">
        <v>1.9</v>
      </c>
      <c r="H589" s="249">
        <f>-PRODUCT(D589:G589)</f>
        <v>-9.12</v>
      </c>
      <c r="J589" s="253" t="inlineStr">
        <is>
          <t xml:space="preserve">-2*2.4*1.9</t>
        </is>
      </c>
    </row>
    <row r="590">
      <c r="C590" s="246" t="inlineStr">
        <is>
          <t xml:space="preserve">Ddt opening W19 (2 nr, 2.1x0.9)</t>
        </is>
      </c>
      <c r="D590" s="248">
        <v>2</v>
      </c>
      <c r="E590" s="247">
        <v>2.1</v>
      </c>
      <c r="F590" s="247">
        <v>0.9</v>
      </c>
      <c r="H590" s="249">
        <f>-PRODUCT(D590:G590)</f>
        <v>-3.7800000000000002</v>
      </c>
      <c r="J590" s="253" t="inlineStr">
        <is>
          <t xml:space="preserve">-2*2.1*0.9</t>
        </is>
      </c>
    </row>
    <row r="591">
      <c r="C591" s="246" t="inlineStr">
        <is>
          <t xml:space="preserve">Ddt opening HW1 (4 nr, 0.9x0.6)</t>
        </is>
      </c>
      <c r="D591" s="248">
        <v>4</v>
      </c>
      <c r="E591" s="247">
        <v>0.9</v>
      </c>
      <c r="F591" s="247">
        <v>0.6</v>
      </c>
      <c r="H591" s="249">
        <f>-PRODUCT(D591:G591)</f>
        <v>-2.16</v>
      </c>
      <c r="J591" s="253" t="inlineStr">
        <is>
          <t xml:space="preserve">-4*0.9*0.6</t>
        </is>
      </c>
    </row>
    <row r="592">
      <c r="C592" s="246" t="inlineStr">
        <is>
          <t xml:space="preserve">Ddt opening HW2 (1 nr, 0.75x0.6)</t>
        </is>
      </c>
      <c r="D592" s="248">
        <v>1</v>
      </c>
      <c r="E592" s="247">
        <v>0.75</v>
      </c>
      <c r="F592" s="247">
        <v>0.6</v>
      </c>
      <c r="H592" s="249">
        <f>-PRODUCT(D592:G592)</f>
        <v>-0.44999999999999996</v>
      </c>
      <c r="J592" s="253" t="inlineStr">
        <is>
          <t xml:space="preserve">-1*0.75*0.6</t>
        </is>
      </c>
    </row>
    <row r="593">
      <c r="C593" s="250" t="inlineStr">
        <is>
          <t xml:space="preserve">Total carried to BOQ  GROUND FLR item A</t>
        </is>
      </c>
      <c r="D593" s="250" t="inlineStr">
        <is>
          <t xml:space="preserve"/>
        </is>
      </c>
      <c r="E593" s="250" t="inlineStr">
        <is>
          <t xml:space="preserve"/>
        </is>
      </c>
      <c r="F593" s="250" t="inlineStr">
        <is>
          <t xml:space="preserve"/>
        </is>
      </c>
      <c r="G593" s="250" t="inlineStr">
        <is>
          <t xml:space="preserve"/>
        </is>
      </c>
      <c r="H593" s="251">
        <f>SUM(H566:H592)</f>
        <v>1024.773452631579</v>
      </c>
      <c r="I593" s="252" t="inlineStr">
        <is>
          <t xml:space="preserve">m2</t>
        </is>
      </c>
    </row>
    <row r="594">
      <c r="A594" s="243" t="inlineStr">
        <is>
          <t xml:space="preserve">GROUND FLR</t>
        </is>
      </c>
      <c r="B594" s="243" t="inlineStr">
        <is>
          <t xml:space="preserve">B</t>
        </is>
      </c>
      <c r="C594" s="244" t="inlineStr">
        <is>
          <t xml:space="preserve">Interior partitions and washrooms (above wall tiling)</t>
        </is>
      </c>
      <c r="I594" s="245" t="inlineStr">
        <is>
          <t xml:space="preserve">m2</t>
        </is>
      </c>
      <c r="K594" s="256" t="inlineStr">
        <is>
          <t xml:space="preserve">'GROUND FLR '!C217</t>
        </is>
      </c>
    </row>
    <row r="595">
      <c r="C595" s="246" t="inlineStr">
        <is>
          <t xml:space="preserve">washroom walls: (wet area / 3.8 m2 per WC) x 8.0 m girth x ht</t>
        </is>
      </c>
      <c r="E595" s="247">
        <f>18.1/3.8</f>
        <v>4.7631578947368425</v>
      </c>
      <c r="F595" s="247">
        <v>8.0</v>
      </c>
      <c r="G595" s="247">
        <v>3.6</v>
      </c>
      <c r="H595" s="249">
        <f>PRODUCT(D595:G595)</f>
        <v>137.17894736842106</v>
      </c>
      <c r="J595" s="253" t="inlineStr">
        <is>
          <t xml:space="preserve">18.1/3.8*8.0*3.6</t>
        </is>
      </c>
    </row>
    <row r="596">
      <c r="C596" s="246" t="inlineStr">
        <is>
          <t xml:space="preserve">Ddt washroom doors: nr x 0.75 x 2.2</t>
        </is>
      </c>
      <c r="E596" s="247">
        <f>18.1/3.8</f>
        <v>4.7631578947368425</v>
      </c>
      <c r="F596" s="247">
        <v>0.75</v>
      </c>
      <c r="G596" s="247">
        <v>2.2</v>
      </c>
      <c r="H596" s="249">
        <f>-PRODUCT(D596:G596)</f>
        <v>-7.859210526315791</v>
      </c>
      <c r="J596" s="253" t="inlineStr">
        <is>
          <t xml:space="preserve">-18.1/3.8*0.75*2.2</t>
        </is>
      </c>
    </row>
    <row r="597">
      <c r="C597" s="246" t="inlineStr">
        <is>
          <t xml:space="preserve">Ddt washroom walls: (wet area / 3.8 m2 per WC) x 8.0 m girth x ht</t>
        </is>
      </c>
      <c r="E597" s="247">
        <f>18.1/3.8</f>
        <v>4.7631578947368425</v>
      </c>
      <c r="F597" s="247">
        <v>8.0</v>
      </c>
      <c r="G597" s="247">
        <v>2.4</v>
      </c>
      <c r="H597" s="249">
        <f>-PRODUCT(D597:G597)</f>
        <v>-91.45263157894738</v>
      </c>
      <c r="J597" s="253" t="inlineStr">
        <is>
          <t xml:space="preserve">-18.1/3.8*8.0*2.4</t>
        </is>
      </c>
    </row>
    <row r="598">
      <c r="C598" s="246" t="inlineStr">
        <is>
          <t xml:space="preserve">washroom doors: nr x 0.75 x 2.2</t>
        </is>
      </c>
      <c r="E598" s="247">
        <f>18.1/3.8</f>
        <v>4.7631578947368425</v>
      </c>
      <c r="F598" s="247">
        <v>0.75</v>
      </c>
      <c r="G598" s="247">
        <v>2.2</v>
      </c>
      <c r="H598" s="249">
        <f>PRODUCT(D598:G598)</f>
        <v>7.859210526315791</v>
      </c>
      <c r="J598" s="253" t="inlineStr">
        <is>
          <t xml:space="preserve">18.1/3.8*0.75*2.2</t>
        </is>
      </c>
    </row>
    <row r="599">
      <c r="C599" s="250" t="inlineStr">
        <is>
          <t xml:space="preserve">Total carried to BOQ  GROUND FLR item B</t>
        </is>
      </c>
      <c r="D599" s="250" t="inlineStr">
        <is>
          <t xml:space="preserve"/>
        </is>
      </c>
      <c r="E599" s="250" t="inlineStr">
        <is>
          <t xml:space="preserve"/>
        </is>
      </c>
      <c r="F599" s="250" t="inlineStr">
        <is>
          <t xml:space="preserve"/>
        </is>
      </c>
      <c r="G599" s="250" t="inlineStr">
        <is>
          <t xml:space="preserve"/>
        </is>
      </c>
      <c r="H599" s="251">
        <f>SUM(H595:H598)</f>
        <v>45.72631578947369</v>
      </c>
      <c r="I599" s="252" t="inlineStr">
        <is>
          <t xml:space="preserve">m2</t>
        </is>
      </c>
    </row>
    <row r="600">
      <c r="A600" s="243" t="inlineStr">
        <is>
          <t xml:space="preserve">GROUND FLR</t>
        </is>
      </c>
      <c r="B600" s="243" t="inlineStr">
        <is>
          <t xml:space="preserve">C</t>
        </is>
      </c>
      <c r="C600" s="244" t="inlineStr">
        <is>
          <t xml:space="preserve">Exterior walls</t>
        </is>
      </c>
      <c r="I600" s="245" t="inlineStr">
        <is>
          <t xml:space="preserve">m2</t>
        </is>
      </c>
      <c r="K600" s="256" t="inlineStr">
        <is>
          <t xml:space="preserve">'GROUND FLR '!C219</t>
        </is>
      </c>
    </row>
    <row r="601">
      <c r="C601" s="246" t="inlineStr">
        <is>
          <t xml:space="preserve">External perimeter x storey ht</t>
        </is>
      </c>
      <c r="E601" s="247">
        <v>142.2</v>
      </c>
      <c r="F601" s="247">
        <v>3.85</v>
      </c>
      <c r="H601" s="249">
        <f>PRODUCT(D601:G601)</f>
        <v>547.4699999999999</v>
      </c>
      <c r="J601" s="253" t="inlineStr">
        <is>
          <t xml:space="preserve">142.2*3.85</t>
        </is>
      </c>
    </row>
    <row r="602">
      <c r="C602" s="246" t="inlineStr">
        <is>
          <t xml:space="preserve">Ddt window W1 (1 nr, 3.6x1.9)</t>
        </is>
      </c>
      <c r="D602" s="248">
        <v>1</v>
      </c>
      <c r="E602" s="247">
        <v>3.6</v>
      </c>
      <c r="F602" s="247">
        <v>1.9</v>
      </c>
      <c r="H602" s="249">
        <f>-PRODUCT(D602:G602)</f>
        <v>-6.84</v>
      </c>
      <c r="J602" s="253" t="inlineStr">
        <is>
          <t xml:space="preserve">-1*3.6*1.9</t>
        </is>
      </c>
    </row>
    <row r="603">
      <c r="C603" s="246" t="inlineStr">
        <is>
          <t xml:space="preserve">Ddt window W3 (1 nr, 1.8x1.5)</t>
        </is>
      </c>
      <c r="D603" s="248">
        <v>1</v>
      </c>
      <c r="E603" s="247">
        <v>1.8</v>
      </c>
      <c r="F603" s="247">
        <v>1.5</v>
      </c>
      <c r="H603" s="249">
        <f>-PRODUCT(D603:G603)</f>
        <v>-2.7</v>
      </c>
      <c r="J603" s="253" t="inlineStr">
        <is>
          <t xml:space="preserve">-1*1.8*1.5</t>
        </is>
      </c>
    </row>
    <row r="604">
      <c r="C604" s="246" t="inlineStr">
        <is>
          <t xml:space="preserve">Ddt window W5 (1 nr, 1.8x1.9)</t>
        </is>
      </c>
      <c r="D604" s="248">
        <v>1</v>
      </c>
      <c r="E604" s="247">
        <v>1.8</v>
      </c>
      <c r="F604" s="247">
        <v>1.9</v>
      </c>
      <c r="H604" s="249">
        <f>-PRODUCT(D604:G604)</f>
        <v>-3.42</v>
      </c>
      <c r="J604" s="253" t="inlineStr">
        <is>
          <t xml:space="preserve">-1*1.8*1.9</t>
        </is>
      </c>
    </row>
    <row r="605">
      <c r="C605" s="246" t="inlineStr">
        <is>
          <t xml:space="preserve">Ddt window W6 (1 nr, 3.5x1.5)</t>
        </is>
      </c>
      <c r="D605" s="248">
        <v>1</v>
      </c>
      <c r="E605" s="247">
        <v>3.5</v>
      </c>
      <c r="F605" s="247">
        <v>1.5</v>
      </c>
      <c r="H605" s="249">
        <f>-PRODUCT(D605:G605)</f>
        <v>-5.25</v>
      </c>
      <c r="J605" s="253" t="inlineStr">
        <is>
          <t xml:space="preserve">-1*3.5*1.5</t>
        </is>
      </c>
    </row>
    <row r="606">
      <c r="C606" s="246" t="inlineStr">
        <is>
          <t xml:space="preserve">Ddt window W14 (3 nr, 3.6x2.2)</t>
        </is>
      </c>
      <c r="D606" s="248">
        <v>3</v>
      </c>
      <c r="E606" s="247">
        <v>3.6</v>
      </c>
      <c r="F606" s="247">
        <v>2.2</v>
      </c>
      <c r="H606" s="249">
        <f>-PRODUCT(D606:G606)</f>
        <v>-23.760000000000005</v>
      </c>
      <c r="J606" s="253" t="inlineStr">
        <is>
          <t xml:space="preserve">-3*3.6*2.2</t>
        </is>
      </c>
    </row>
    <row r="607">
      <c r="C607" s="246" t="inlineStr">
        <is>
          <t xml:space="preserve">Ddt window W16 (2 nr, 2.4x1.9)</t>
        </is>
      </c>
      <c r="D607" s="248">
        <v>2</v>
      </c>
      <c r="E607" s="247">
        <v>2.4</v>
      </c>
      <c r="F607" s="247">
        <v>1.9</v>
      </c>
      <c r="H607" s="249">
        <f>-PRODUCT(D607:G607)</f>
        <v>-9.12</v>
      </c>
      <c r="J607" s="253" t="inlineStr">
        <is>
          <t xml:space="preserve">-2*2.4*1.9</t>
        </is>
      </c>
    </row>
    <row r="608">
      <c r="C608" s="246" t="inlineStr">
        <is>
          <t xml:space="preserve">Ddt window W19 (2 nr, 2.1x0.9)</t>
        </is>
      </c>
      <c r="D608" s="248">
        <v>2</v>
      </c>
      <c r="E608" s="247">
        <v>2.1</v>
      </c>
      <c r="F608" s="247">
        <v>0.9</v>
      </c>
      <c r="H608" s="249">
        <f>-PRODUCT(D608:G608)</f>
        <v>-3.7800000000000002</v>
      </c>
      <c r="J608" s="253" t="inlineStr">
        <is>
          <t xml:space="preserve">-2*2.1*0.9</t>
        </is>
      </c>
    </row>
    <row r="609">
      <c r="C609" s="246" t="inlineStr">
        <is>
          <t xml:space="preserve">Ddt window HW1 (4 nr, 0.9x0.6)</t>
        </is>
      </c>
      <c r="D609" s="248">
        <v>4</v>
      </c>
      <c r="E609" s="247">
        <v>0.9</v>
      </c>
      <c r="F609" s="247">
        <v>0.6</v>
      </c>
      <c r="H609" s="249">
        <f>-PRODUCT(D609:G609)</f>
        <v>-2.16</v>
      </c>
      <c r="J609" s="253" t="inlineStr">
        <is>
          <t xml:space="preserve">-4*0.9*0.6</t>
        </is>
      </c>
    </row>
    <row r="610">
      <c r="C610" s="246" t="inlineStr">
        <is>
          <t xml:space="preserve">Ddt window HW2 (1 nr, 0.75x0.6)</t>
        </is>
      </c>
      <c r="D610" s="248">
        <v>1</v>
      </c>
      <c r="E610" s="247">
        <v>0.75</v>
      </c>
      <c r="F610" s="247">
        <v>0.6</v>
      </c>
      <c r="H610" s="249">
        <f>-PRODUCT(D610:G610)</f>
        <v>-0.44999999999999996</v>
      </c>
      <c r="J610" s="253" t="inlineStr">
        <is>
          <t xml:space="preserve">-1*0.75*0.6</t>
        </is>
      </c>
    </row>
    <row r="611">
      <c r="C611" s="250" t="inlineStr">
        <is>
          <t xml:space="preserve">Total carried to BOQ  GROUND FLR item C</t>
        </is>
      </c>
      <c r="D611" s="250" t="inlineStr">
        <is>
          <t xml:space="preserve"/>
        </is>
      </c>
      <c r="E611" s="250" t="inlineStr">
        <is>
          <t xml:space="preserve"/>
        </is>
      </c>
      <c r="F611" s="250" t="inlineStr">
        <is>
          <t xml:space="preserve"/>
        </is>
      </c>
      <c r="G611" s="250" t="inlineStr">
        <is>
          <t xml:space="preserve"/>
        </is>
      </c>
      <c r="H611" s="251">
        <f>SUM(H601:H610)</f>
        <v>489.9899999999999</v>
      </c>
      <c r="I611" s="252" t="inlineStr">
        <is>
          <t xml:space="preserve">m2</t>
        </is>
      </c>
    </row>
    <row r="612" ht="32.2" customHeight="1">
      <c r="A612" s="243" t="inlineStr">
        <is>
          <t xml:space="preserve">GROUND FLR</t>
        </is>
      </c>
      <c r="B612" s="243" t="inlineStr">
        <is>
          <t xml:space="preserve">D</t>
        </is>
      </c>
      <c r="C612" s="244" t="inlineStr">
        <is>
          <t xml:space="preserve">Columns and walls; girth exceeding 300mm (exposed faces, ground &amp; parking levels)</t>
        </is>
      </c>
      <c r="I612" s="245" t="inlineStr">
        <is>
          <t xml:space="preserve">m2</t>
        </is>
      </c>
      <c r="K612" s="256" t="inlineStr">
        <is>
          <t xml:space="preserve">'GROUND FLR '!C221</t>
        </is>
      </c>
    </row>
    <row r="613">
      <c r="C613" s="246" t="inlineStr">
        <is>
          <t xml:space="preserve">COL-01A x5 - column faces (GF to M1), ht 3.6</t>
        </is>
      </c>
      <c r="D613" s="248">
        <v>5</v>
      </c>
      <c r="E613" s="247">
        <f>2*(0.75+0.5)</f>
        <v>2.5</v>
      </c>
      <c r="F613" s="247">
        <v>3.6</v>
      </c>
      <c r="H613" s="249">
        <f>PRODUCT(D613:G613)</f>
        <v>45.0</v>
      </c>
      <c r="J613" s="253" t="inlineStr">
        <is>
          <t xml:space="preserve">5*2*(0.75+0.5)*3.6</t>
        </is>
      </c>
    </row>
    <row r="614">
      <c r="C614" s="246" t="inlineStr">
        <is>
          <t xml:space="preserve">COL-01B x1 - column faces (GF to M1), ht 3.6</t>
        </is>
      </c>
      <c r="D614" s="248">
        <v>1</v>
      </c>
      <c r="E614" s="247">
        <f>2*(0.75+0.5)</f>
        <v>2.5</v>
      </c>
      <c r="F614" s="247">
        <v>3.6</v>
      </c>
      <c r="H614" s="249">
        <f>PRODUCT(D614:G614)</f>
        <v>9.0</v>
      </c>
      <c r="J614" s="253" t="inlineStr">
        <is>
          <t xml:space="preserve">1*2*(0.75+0.5)*3.6</t>
        </is>
      </c>
    </row>
    <row r="615">
      <c r="C615" s="246" t="inlineStr">
        <is>
          <t xml:space="preserve">COL-01C x2 - column faces (GF to M1), ht 3.6</t>
        </is>
      </c>
      <c r="D615" s="248">
        <v>2</v>
      </c>
      <c r="E615" s="247">
        <f>2*(0.75+0.5)</f>
        <v>2.5</v>
      </c>
      <c r="F615" s="247">
        <v>3.6</v>
      </c>
      <c r="H615" s="249">
        <f>PRODUCT(D615:G615)</f>
        <v>18.0</v>
      </c>
      <c r="J615" s="253" t="inlineStr">
        <is>
          <t xml:space="preserve">2*2*(0.75+0.5)*3.6</t>
        </is>
      </c>
    </row>
    <row r="616">
      <c r="C616" s="246" t="inlineStr">
        <is>
          <t xml:space="preserve">COL-01D x1 - column faces (GF to M1), ht 1.95</t>
        </is>
      </c>
      <c r="D616" s="248">
        <v>1</v>
      </c>
      <c r="E616" s="247">
        <f>2*(0.75+0.5)</f>
        <v>2.5</v>
      </c>
      <c r="F616" s="247">
        <v>1.95</v>
      </c>
      <c r="H616" s="249">
        <f>PRODUCT(D616:G616)</f>
        <v>4.875</v>
      </c>
      <c r="J616" s="253" t="inlineStr">
        <is>
          <t xml:space="preserve">1*2*(0.75+0.5)*1.95</t>
        </is>
      </c>
    </row>
    <row r="617">
      <c r="C617" s="246" t="inlineStr">
        <is>
          <t xml:space="preserve">COL-01D x1 - column faces (M1 to 1st), ht 2.45</t>
        </is>
      </c>
      <c r="D617" s="248">
        <v>1</v>
      </c>
      <c r="E617" s="247">
        <f>2*(0.75+0.5)</f>
        <v>2.5</v>
      </c>
      <c r="F617" s="247">
        <v>2.45</v>
      </c>
      <c r="H617" s="249">
        <f>PRODUCT(D617:G617)</f>
        <v>6.125</v>
      </c>
      <c r="J617" s="253" t="inlineStr">
        <is>
          <t xml:space="preserve">1*2*(0.75+0.5)*2.45</t>
        </is>
      </c>
    </row>
    <row r="618">
      <c r="C618" s="246" t="inlineStr">
        <is>
          <t xml:space="preserve">COL-02A x3 - column faces (GF to M1), ht 3.6</t>
        </is>
      </c>
      <c r="D618" s="248">
        <v>3</v>
      </c>
      <c r="E618" s="247">
        <f>2*(1.2+0.3)</f>
        <v>3.0</v>
      </c>
      <c r="F618" s="247">
        <v>3.6</v>
      </c>
      <c r="H618" s="249">
        <f>PRODUCT(D618:G618)</f>
        <v>32.4</v>
      </c>
      <c r="J618" s="253" t="inlineStr">
        <is>
          <t xml:space="preserve">3*2*(1.2+0.3)*3.6</t>
        </is>
      </c>
    </row>
    <row r="619">
      <c r="C619" s="246" t="inlineStr">
        <is>
          <t xml:space="preserve">COL-02B x6 - column faces (GF to M1), ht 3.6</t>
        </is>
      </c>
      <c r="D619" s="248">
        <v>6</v>
      </c>
      <c r="E619" s="247">
        <f>2*(1.2+0.3)</f>
        <v>3.0</v>
      </c>
      <c r="F619" s="247">
        <v>3.6</v>
      </c>
      <c r="H619" s="249">
        <f>PRODUCT(D619:G619)</f>
        <v>64.8</v>
      </c>
      <c r="J619" s="253" t="inlineStr">
        <is>
          <t xml:space="preserve">6*2*(1.2+0.3)*3.6</t>
        </is>
      </c>
    </row>
    <row r="620">
      <c r="C620" s="246" t="inlineStr">
        <is>
          <t xml:space="preserve">COL-02C x1 - column faces (GF to M1), ht 3.6</t>
        </is>
      </c>
      <c r="D620" s="248">
        <v>1</v>
      </c>
      <c r="E620" s="247">
        <f>2*(1.2+0.3)</f>
        <v>3.0</v>
      </c>
      <c r="F620" s="247">
        <v>3.6</v>
      </c>
      <c r="H620" s="249">
        <f>PRODUCT(D620:G620)</f>
        <v>10.8</v>
      </c>
      <c r="J620" s="253" t="inlineStr">
        <is>
          <t xml:space="preserve">1*2*(1.2+0.3)*3.6</t>
        </is>
      </c>
    </row>
    <row r="621">
      <c r="C621" s="246" t="inlineStr">
        <is>
          <t xml:space="preserve">COL-02D x15 - column faces (GF to M1), ht 1.95</t>
        </is>
      </c>
      <c r="D621" s="248">
        <v>15</v>
      </c>
      <c r="E621" s="247">
        <f>2*(1.2+0.3)</f>
        <v>3.0</v>
      </c>
      <c r="F621" s="247">
        <v>1.95</v>
      </c>
      <c r="H621" s="249">
        <f>PRODUCT(D621:G621)</f>
        <v>87.75</v>
      </c>
      <c r="J621" s="253" t="inlineStr">
        <is>
          <t xml:space="preserve">15*2*(1.2+0.3)*1.95</t>
        </is>
      </c>
    </row>
    <row r="622">
      <c r="C622" s="246" t="inlineStr">
        <is>
          <t xml:space="preserve">COL-02D x15 - column faces (M1 to 1st), ht 2.45</t>
        </is>
      </c>
      <c r="D622" s="248">
        <v>15</v>
      </c>
      <c r="E622" s="247">
        <f>2*(1.2+0.3)</f>
        <v>3.0</v>
      </c>
      <c r="F622" s="247">
        <v>2.45</v>
      </c>
      <c r="H622" s="249">
        <f>PRODUCT(D622:G622)</f>
        <v>110.25000000000001</v>
      </c>
      <c r="J622" s="253" t="inlineStr">
        <is>
          <t xml:space="preserve">15*2*(1.2+0.3)*2.45</t>
        </is>
      </c>
    </row>
    <row r="623">
      <c r="C623" s="246" t="inlineStr">
        <is>
          <t xml:space="preserve">SWC-01A x1 - column faces (GF to M1), ht 3.6</t>
        </is>
      </c>
      <c r="D623" s="248">
        <v>1</v>
      </c>
      <c r="E623" s="247">
        <f>2*(2.85+1.075)</f>
        <v>7.85</v>
      </c>
      <c r="F623" s="247">
        <v>3.6</v>
      </c>
      <c r="H623" s="249">
        <f>PRODUCT(D623:G623)</f>
        <v>28.259999999999998</v>
      </c>
      <c r="J623" s="253" t="inlineStr">
        <is>
          <t xml:space="preserve">1*2*(2.85+1.075)*3.6</t>
        </is>
      </c>
    </row>
    <row r="624">
      <c r="C624" s="250" t="inlineStr">
        <is>
          <t xml:space="preserve">Total carried to BOQ  GROUND FLR item D</t>
        </is>
      </c>
      <c r="D624" s="250" t="inlineStr">
        <is>
          <t xml:space="preserve"/>
        </is>
      </c>
      <c r="E624" s="250" t="inlineStr">
        <is>
          <t xml:space="preserve"/>
        </is>
      </c>
      <c r="F624" s="250" t="inlineStr">
        <is>
          <t xml:space="preserve"/>
        </is>
      </c>
      <c r="G624" s="250" t="inlineStr">
        <is>
          <t xml:space="preserve"/>
        </is>
      </c>
      <c r="H624" s="251">
        <f>SUM(H613:H623)</f>
        <v>417.26</v>
      </c>
      <c r="I624" s="252" t="inlineStr">
        <is>
          <t xml:space="preserve">m2</t>
        </is>
      </c>
    </row>
    <row r="625">
      <c r="A625" s="243" t="inlineStr">
        <is>
          <t xml:space="preserve">GROUND FLR</t>
        </is>
      </c>
      <c r="B625" s="243" t="inlineStr">
        <is>
          <t xml:space="preserve">E</t>
        </is>
      </c>
      <c r="C625" s="244" t="inlineStr">
        <is>
          <t xml:space="preserve">Soffit of plaster board ceilings</t>
        </is>
      </c>
      <c r="I625" s="245" t="inlineStr">
        <is>
          <t xml:space="preserve">m2</t>
        </is>
      </c>
      <c r="K625" s="256" t="inlineStr">
        <is>
          <t xml:space="preserve">'GROUND FLR '!C223</t>
        </is>
      </c>
    </row>
    <row r="626">
      <c r="C626" s="246" t="inlineStr">
        <is>
          <t xml:space="preserve">Ground floor - Ceiling areas (measured)</t>
        </is>
      </c>
      <c r="H626" s="247">
        <v>731.3</v>
      </c>
      <c r="J626" s="253" t="inlineStr">
        <is>
          <t xml:space="preserve">731.3</t>
        </is>
      </c>
    </row>
    <row r="627">
      <c r="C627" s="250" t="inlineStr">
        <is>
          <t xml:space="preserve">Total carried to BOQ  GROUND FLR item E</t>
        </is>
      </c>
      <c r="D627" s="250" t="inlineStr">
        <is>
          <t xml:space="preserve"/>
        </is>
      </c>
      <c r="E627" s="250" t="inlineStr">
        <is>
          <t xml:space="preserve"/>
        </is>
      </c>
      <c r="F627" s="250" t="inlineStr">
        <is>
          <t xml:space="preserve"/>
        </is>
      </c>
      <c r="G627" s="250" t="inlineStr">
        <is>
          <t xml:space="preserve"/>
        </is>
      </c>
      <c r="H627" s="251">
        <f>SUM(H626:H626)</f>
        <v>731.3</v>
      </c>
      <c r="I627" s="252" t="inlineStr">
        <is>
          <t xml:space="preserve">m2</t>
        </is>
      </c>
    </row>
    <row r="628">
      <c r="A628" s="243" t="inlineStr">
        <is>
          <t xml:space="preserve">GROUND FLR</t>
        </is>
      </c>
      <c r="B628" s="243" t="inlineStr">
        <is>
          <t xml:space="preserve">F</t>
        </is>
      </c>
      <c r="C628" s="244" t="inlineStr">
        <is>
          <t xml:space="preserve">Soffit of plaster board ceilings for washrooms</t>
        </is>
      </c>
      <c r="I628" s="245" t="inlineStr">
        <is>
          <t xml:space="preserve">m2</t>
        </is>
      </c>
      <c r="K628" s="256" t="inlineStr">
        <is>
          <t xml:space="preserve">'GROUND FLR '!C225</t>
        </is>
      </c>
    </row>
    <row r="629">
      <c r="C629" s="246" t="inlineStr">
        <is>
          <t xml:space="preserve">Ground floor - Washroom ceiling areas (measured)</t>
        </is>
      </c>
      <c r="H629" s="247">
        <v>18.1</v>
      </c>
      <c r="J629" s="253" t="inlineStr">
        <is>
          <t xml:space="preserve">18.1</t>
        </is>
      </c>
    </row>
    <row r="630">
      <c r="C630" s="250" t="inlineStr">
        <is>
          <t xml:space="preserve">Total carried to BOQ  GROUND FLR item F</t>
        </is>
      </c>
      <c r="D630" s="250" t="inlineStr">
        <is>
          <t xml:space="preserve"/>
        </is>
      </c>
      <c r="E630" s="250" t="inlineStr">
        <is>
          <t xml:space="preserve"/>
        </is>
      </c>
      <c r="F630" s="250" t="inlineStr">
        <is>
          <t xml:space="preserve"/>
        </is>
      </c>
      <c r="G630" s="250" t="inlineStr">
        <is>
          <t xml:space="preserve"/>
        </is>
      </c>
      <c r="H630" s="251">
        <f>SUM(H629:H629)</f>
        <v>18.1</v>
      </c>
      <c r="I630" s="252" t="inlineStr">
        <is>
          <t xml:space="preserve">m2</t>
        </is>
      </c>
    </row>
    <row r="631" ht="32.2" customHeight="1">
      <c r="A631" s="243" t="inlineStr">
        <is>
          <t xml:space="preserve">GROUND FLR</t>
        </is>
      </c>
      <c r="B631" s="243" t="inlineStr">
        <is>
          <t xml:space="preserve">G</t>
        </is>
      </c>
      <c r="C631" s="244" t="inlineStr">
        <is>
          <t xml:space="preserve">Knot, prime, stop and apply two undercoats and one finishing coat of gloss oil paint on general surfaces of woodwork</t>
        </is>
      </c>
      <c r="I631" s="245" t="inlineStr">
        <is>
          <t xml:space="preserve">m2</t>
        </is>
      </c>
      <c r="K631" s="256" t="inlineStr">
        <is>
          <t xml:space="preserve">'GROUND FLR '!C227</t>
        </is>
      </c>
    </row>
    <row r="632">
      <c r="C632" s="246" t="inlineStr">
        <is>
          <t xml:space="preserve">Door leaf D3 (6 nr, 0.9x2.2): nr x w x h x 2 faces</t>
        </is>
      </c>
      <c r="D632" s="248">
        <v>6</v>
      </c>
      <c r="E632" s="247">
        <v>0.9</v>
      </c>
      <c r="F632" s="247">
        <v>2.2</v>
      </c>
      <c r="G632" s="247">
        <v>2</v>
      </c>
      <c r="H632" s="249">
        <f>PRODUCT(D632:G632)</f>
        <v>23.760000000000005</v>
      </c>
      <c r="J632" s="253" t="inlineStr">
        <is>
          <t xml:space="preserve">6*0.9*2.2*2</t>
        </is>
      </c>
    </row>
    <row r="633">
      <c r="C633" s="246" t="inlineStr">
        <is>
          <t xml:space="preserve">Door leaf D4 (1 nr, 0.9x2.35): nr x w x h x 2 faces</t>
        </is>
      </c>
      <c r="D633" s="248">
        <v>1</v>
      </c>
      <c r="E633" s="247">
        <v>0.9</v>
      </c>
      <c r="F633" s="247">
        <v>2.35</v>
      </c>
      <c r="G633" s="247">
        <v>2</v>
      </c>
      <c r="H633" s="249">
        <f>PRODUCT(D633:G633)</f>
        <v>4.23</v>
      </c>
      <c r="J633" s="253" t="inlineStr">
        <is>
          <t xml:space="preserve">1*0.9*2.35*2</t>
        </is>
      </c>
    </row>
    <row r="634">
      <c r="C634" s="246" t="inlineStr">
        <is>
          <t xml:space="preserve">Door leaf D6 (6 nr, 0.75x2.2): nr x w x h x 2 faces</t>
        </is>
      </c>
      <c r="D634" s="248">
        <v>6</v>
      </c>
      <c r="E634" s="247">
        <v>0.75</v>
      </c>
      <c r="F634" s="247">
        <v>2.2</v>
      </c>
      <c r="G634" s="247">
        <v>2</v>
      </c>
      <c r="H634" s="249">
        <f>PRODUCT(D634:G634)</f>
        <v>19.8</v>
      </c>
      <c r="J634" s="253" t="inlineStr">
        <is>
          <t xml:space="preserve">6*0.75*2.2*2</t>
        </is>
      </c>
    </row>
    <row r="635">
      <c r="C635" s="246" t="inlineStr">
        <is>
          <t xml:space="preserve">6*(2*2.2+0.9)*0.25</t>
        </is>
      </c>
      <c r="D635" s="248">
        <v>6</v>
      </c>
      <c r="E635" s="247">
        <f>2*2.2+0.9</f>
        <v>5.300000000000001</v>
      </c>
      <c r="F635" s="247">
        <v>0.25</v>
      </c>
      <c r="H635" s="249">
        <f>PRODUCT(D635:G635)</f>
        <v>7.950000000000001</v>
      </c>
      <c r="J635" s="253" t="inlineStr">
        <is>
          <t xml:space="preserve">6*(2*2.2+0.9)*0.25</t>
        </is>
      </c>
    </row>
    <row r="636">
      <c r="C636" s="246" t="inlineStr">
        <is>
          <t xml:space="preserve">1*(2*2.35+0.9)*0.25</t>
        </is>
      </c>
      <c r="D636" s="248">
        <v>1</v>
      </c>
      <c r="E636" s="247">
        <f>2*2.35+0.9</f>
        <v>5.6000000000000005</v>
      </c>
      <c r="F636" s="247">
        <v>0.25</v>
      </c>
      <c r="H636" s="249">
        <f>PRODUCT(D636:G636)</f>
        <v>1.4000000000000001</v>
      </c>
      <c r="J636" s="253" t="inlineStr">
        <is>
          <t xml:space="preserve">1*(2*2.35+0.9)*0.25</t>
        </is>
      </c>
    </row>
    <row r="637">
      <c r="C637" s="246" t="inlineStr">
        <is>
          <t xml:space="preserve">6*(2*2.2+0.75)*0.25</t>
        </is>
      </c>
      <c r="D637" s="248">
        <v>6</v>
      </c>
      <c r="E637" s="247">
        <f>2*2.2+0.75</f>
        <v>5.15</v>
      </c>
      <c r="F637" s="247">
        <v>0.25</v>
      </c>
      <c r="H637" s="249">
        <f>PRODUCT(D637:G637)</f>
        <v>7.7250000000000005</v>
      </c>
      <c r="J637" s="253" t="inlineStr">
        <is>
          <t xml:space="preserve">6*(2*2.2+0.75)*0.25</t>
        </is>
      </c>
    </row>
    <row r="638">
      <c r="C638" s="250" t="inlineStr">
        <is>
          <t xml:space="preserve">Total carried to BOQ  GROUND FLR item G</t>
        </is>
      </c>
      <c r="D638" s="250" t="inlineStr">
        <is>
          <t xml:space="preserve"/>
        </is>
      </c>
      <c r="E638" s="250" t="inlineStr">
        <is>
          <t xml:space="preserve"/>
        </is>
      </c>
      <c r="F638" s="250" t="inlineStr">
        <is>
          <t xml:space="preserve"/>
        </is>
      </c>
      <c r="G638" s="250" t="inlineStr">
        <is>
          <t xml:space="preserve"/>
        </is>
      </c>
      <c r="H638" s="251">
        <f>SUM(H632:H637)</f>
        <v>64.86500000000001</v>
      </c>
      <c r="I638" s="252" t="inlineStr">
        <is>
          <t xml:space="preserve">m2</t>
        </is>
      </c>
    </row>
    <row r="639" ht="32.2" customHeight="1">
      <c r="A639" s="243" t="inlineStr">
        <is>
          <t xml:space="preserve">GROUND FLR</t>
        </is>
      </c>
      <c r="B639" s="243" t="inlineStr">
        <is>
          <t xml:space="preserve">H</t>
        </is>
      </c>
      <c r="C639" s="244" t="inlineStr">
        <is>
          <t xml:space="preserve">Prepare and apply one coat of aluminium primer on mild steel burglar-proof bars (measured over window opening area)</t>
        </is>
      </c>
      <c r="I639" s="245" t="inlineStr">
        <is>
          <t xml:space="preserve">m2</t>
        </is>
      </c>
      <c r="K639" s="256" t="inlineStr">
        <is>
          <t xml:space="preserve">'GROUND FLR '!C229</t>
        </is>
      </c>
    </row>
    <row r="640">
      <c r="C640" s="246" t="inlineStr">
        <is>
          <t xml:space="preserve">Window W1 (1 nr, 3.6x1.9): nr x w x h</t>
        </is>
      </c>
      <c r="D640" s="248">
        <v>1</v>
      </c>
      <c r="E640" s="247">
        <v>3.6</v>
      </c>
      <c r="F640" s="247">
        <v>1.9</v>
      </c>
      <c r="H640" s="249">
        <f>PRODUCT(D640:G640)</f>
        <v>6.84</v>
      </c>
      <c r="J640" s="253" t="inlineStr">
        <is>
          <t xml:space="preserve">1*3.6*1.9</t>
        </is>
      </c>
    </row>
    <row r="641">
      <c r="C641" s="246" t="inlineStr">
        <is>
          <t xml:space="preserve">Window W3 (1 nr, 1.8x1.5): nr x w x h</t>
        </is>
      </c>
      <c r="D641" s="248">
        <v>1</v>
      </c>
      <c r="E641" s="247">
        <v>1.8</v>
      </c>
      <c r="F641" s="247">
        <v>1.5</v>
      </c>
      <c r="H641" s="249">
        <f>PRODUCT(D641:G641)</f>
        <v>2.7</v>
      </c>
      <c r="J641" s="253" t="inlineStr">
        <is>
          <t xml:space="preserve">1*1.8*1.5</t>
        </is>
      </c>
    </row>
    <row r="642">
      <c r="C642" s="246" t="inlineStr">
        <is>
          <t xml:space="preserve">Window W5 (1 nr, 1.8x1.9): nr x w x h</t>
        </is>
      </c>
      <c r="D642" s="248">
        <v>1</v>
      </c>
      <c r="E642" s="247">
        <v>1.8</v>
      </c>
      <c r="F642" s="247">
        <v>1.9</v>
      </c>
      <c r="H642" s="249">
        <f>PRODUCT(D642:G642)</f>
        <v>3.42</v>
      </c>
      <c r="J642" s="253" t="inlineStr">
        <is>
          <t xml:space="preserve">1*1.8*1.9</t>
        </is>
      </c>
    </row>
    <row r="643">
      <c r="C643" s="246" t="inlineStr">
        <is>
          <t xml:space="preserve">Window W6 (1 nr, 3.5x1.5): nr x w x h</t>
        </is>
      </c>
      <c r="D643" s="248">
        <v>1</v>
      </c>
      <c r="E643" s="247">
        <v>3.5</v>
      </c>
      <c r="F643" s="247">
        <v>1.5</v>
      </c>
      <c r="H643" s="249">
        <f>PRODUCT(D643:G643)</f>
        <v>5.25</v>
      </c>
      <c r="J643" s="253" t="inlineStr">
        <is>
          <t xml:space="preserve">1*3.5*1.5</t>
        </is>
      </c>
    </row>
    <row r="644">
      <c r="C644" s="246" t="inlineStr">
        <is>
          <t xml:space="preserve">Window W14 (3 nr, 3.6x2.2): nr x w x h</t>
        </is>
      </c>
      <c r="D644" s="248">
        <v>3</v>
      </c>
      <c r="E644" s="247">
        <v>3.6</v>
      </c>
      <c r="F644" s="247">
        <v>2.2</v>
      </c>
      <c r="H644" s="249">
        <f>PRODUCT(D644:G644)</f>
        <v>23.760000000000005</v>
      </c>
      <c r="J644" s="253" t="inlineStr">
        <is>
          <t xml:space="preserve">3*3.6*2.2</t>
        </is>
      </c>
    </row>
    <row r="645">
      <c r="C645" s="246" t="inlineStr">
        <is>
          <t xml:space="preserve">Window W16 (2 nr, 2.4x1.9): nr x w x h</t>
        </is>
      </c>
      <c r="D645" s="248">
        <v>2</v>
      </c>
      <c r="E645" s="247">
        <v>2.4</v>
      </c>
      <c r="F645" s="247">
        <v>1.9</v>
      </c>
      <c r="H645" s="249">
        <f>PRODUCT(D645:G645)</f>
        <v>9.12</v>
      </c>
      <c r="J645" s="253" t="inlineStr">
        <is>
          <t xml:space="preserve">2*2.4*1.9</t>
        </is>
      </c>
    </row>
    <row r="646">
      <c r="C646" s="246" t="inlineStr">
        <is>
          <t xml:space="preserve">Window W19 (2 nr, 2.1x0.9): nr x w x h</t>
        </is>
      </c>
      <c r="D646" s="248">
        <v>2</v>
      </c>
      <c r="E646" s="247">
        <v>2.1</v>
      </c>
      <c r="F646" s="247">
        <v>0.9</v>
      </c>
      <c r="H646" s="249">
        <f>PRODUCT(D646:G646)</f>
        <v>3.7800000000000002</v>
      </c>
      <c r="J646" s="253" t="inlineStr">
        <is>
          <t xml:space="preserve">2*2.1*0.9</t>
        </is>
      </c>
    </row>
    <row r="647">
      <c r="C647" s="246" t="inlineStr">
        <is>
          <t xml:space="preserve">Window HW1 (4 nr, 0.9x0.6): nr x w x h</t>
        </is>
      </c>
      <c r="D647" s="248">
        <v>4</v>
      </c>
      <c r="E647" s="247">
        <v>0.9</v>
      </c>
      <c r="F647" s="247">
        <v>0.6</v>
      </c>
      <c r="H647" s="249">
        <f>PRODUCT(D647:G647)</f>
        <v>2.16</v>
      </c>
      <c r="J647" s="253" t="inlineStr">
        <is>
          <t xml:space="preserve">4*0.9*0.6</t>
        </is>
      </c>
    </row>
    <row r="648">
      <c r="C648" s="246" t="inlineStr">
        <is>
          <t xml:space="preserve">Window HW2 (1 nr, 0.75x0.6): nr x w x h</t>
        </is>
      </c>
      <c r="D648" s="248">
        <v>1</v>
      </c>
      <c r="E648" s="247">
        <v>0.75</v>
      </c>
      <c r="F648" s="247">
        <v>0.6</v>
      </c>
      <c r="H648" s="249">
        <f>PRODUCT(D648:G648)</f>
        <v>0.44999999999999996</v>
      </c>
      <c r="J648" s="253" t="inlineStr">
        <is>
          <t xml:space="preserve">1*0.75*0.6</t>
        </is>
      </c>
    </row>
    <row r="649">
      <c r="C649" s="250" t="inlineStr">
        <is>
          <t xml:space="preserve">Total carried to BOQ  GROUND FLR item H</t>
        </is>
      </c>
      <c r="D649" s="250" t="inlineStr">
        <is>
          <t xml:space="preserve"/>
        </is>
      </c>
      <c r="E649" s="250" t="inlineStr">
        <is>
          <t xml:space="preserve"/>
        </is>
      </c>
      <c r="F649" s="250" t="inlineStr">
        <is>
          <t xml:space="preserve"/>
        </is>
      </c>
      <c r="G649" s="250" t="inlineStr">
        <is>
          <t xml:space="preserve"/>
        </is>
      </c>
      <c r="H649" s="251">
        <f>SUM(H640:H648)</f>
        <v>57.480000000000004</v>
      </c>
      <c r="I649" s="252" t="inlineStr">
        <is>
          <t xml:space="preserve">m2</t>
        </is>
      </c>
    </row>
    <row r="650">
      <c r="C650" s="242" t="inlineStr">
        <is>
          <t xml:space="preserve">Doors and windows: schedules ARCH-501/502 give building totals only (no tags on plans); quantities are allocated to floors pro-rata to measured habitable / washroom areas. Building totals equal the schedules.</t>
        </is>
      </c>
    </row>
    <row r="651"/>
    <row r="652" ht="21" customHeight="1">
      <c r="A652" s="241" t="inlineStr">
        <is>
          <t xml:space="preserve">BILL NR. 4 - FIRST FLOOR  -  FIRST FLOOR - LEVEL 2A PARKING (INCL. M2 LEVEL 2B)</t>
        </is>
      </c>
      <c r="B652" s="241" t="inlineStr">
        <is>
          <t xml:space="preserve"/>
        </is>
      </c>
      <c r="C652" s="241" t="inlineStr">
        <is>
          <t xml:space="preserve"/>
        </is>
      </c>
      <c r="D652" s="241" t="inlineStr">
        <is>
          <t xml:space="preserve"/>
        </is>
      </c>
      <c r="E652" s="241" t="inlineStr">
        <is>
          <t xml:space="preserve"/>
        </is>
      </c>
      <c r="F652" s="241" t="inlineStr">
        <is>
          <t xml:space="preserve"/>
        </is>
      </c>
      <c r="G652" s="241" t="inlineStr">
        <is>
          <t xml:space="preserve"/>
        </is>
      </c>
      <c r="H652" s="241" t="inlineStr">
        <is>
          <t xml:space="preserve"/>
        </is>
      </c>
      <c r="I652" s="241" t="inlineStr">
        <is>
          <t xml:space="preserve"/>
        </is>
      </c>
      <c r="J652" s="241" t="inlineStr">
        <is>
          <t xml:space="preserve"/>
        </is>
      </c>
      <c r="K652" s="241" t="inlineStr">
        <is>
          <t xml:space="preserve"/>
        </is>
      </c>
    </row>
    <row r="653">
      <c r="C653" s="242" t="inlineStr">
        <is>
          <t xml:space="preserve">ELEMENT NO. 1: IN SITU CONCRETE/LARGE PRECAST CONCRETE</t>
        </is>
      </c>
    </row>
    <row r="654">
      <c r="C654" s="242" t="inlineStr">
        <is>
          <t xml:space="preserve">Vibrated in-situ concrete C40 as described in:</t>
        </is>
      </c>
    </row>
    <row r="655">
      <c r="A655" s="243" t="inlineStr">
        <is>
          <t xml:space="preserve">1ST FLR</t>
        </is>
      </c>
      <c r="B655" s="243" t="inlineStr">
        <is>
          <t xml:space="preserve">A</t>
        </is>
      </c>
      <c r="C655" s="244" t="inlineStr">
        <is>
          <t xml:space="preserve">Suspended slab 250mm thick</t>
        </is>
      </c>
      <c r="I655" s="245" t="inlineStr">
        <is>
          <t xml:space="preserve">m3</t>
        </is>
      </c>
      <c r="K655" s="256" t="inlineStr">
        <is>
          <t xml:space="preserve">'1ST FLR '!C33</t>
        </is>
      </c>
    </row>
    <row r="656">
      <c r="C656" s="246" t="inlineStr">
        <is>
          <t xml:space="preserve">First floor 2A (+4150) - Suspended slab: measured area x 250 thk</t>
        </is>
      </c>
      <c r="E656" s="247">
        <v>737.6</v>
      </c>
      <c r="F656" s="247">
        <v>0.25</v>
      </c>
      <c r="H656" s="249">
        <f>PRODUCT(D656:G656)</f>
        <v>184.4</v>
      </c>
      <c r="J656" s="253" t="inlineStr">
        <is>
          <t xml:space="preserve">737.6*0.25</t>
        </is>
      </c>
    </row>
    <row r="657">
      <c r="C657" s="246" t="inlineStr">
        <is>
          <t xml:space="preserve">M2 level 2B (+5200) - Suspended slab: measured area x 250 thk</t>
        </is>
      </c>
      <c r="E657" s="247">
        <v>650.6</v>
      </c>
      <c r="F657" s="247">
        <v>0.25</v>
      </c>
      <c r="H657" s="249">
        <f>PRODUCT(D657:G657)</f>
        <v>162.65</v>
      </c>
      <c r="J657" s="253" t="inlineStr">
        <is>
          <t xml:space="preserve">650.6*0.25</t>
        </is>
      </c>
    </row>
    <row r="658">
      <c r="C658" s="250" t="inlineStr">
        <is>
          <t xml:space="preserve">Total carried to BOQ  1ST FLR item A</t>
        </is>
      </c>
      <c r="D658" s="250" t="inlineStr">
        <is>
          <t xml:space="preserve"/>
        </is>
      </c>
      <c r="E658" s="250" t="inlineStr">
        <is>
          <t xml:space="preserve"/>
        </is>
      </c>
      <c r="F658" s="250" t="inlineStr">
        <is>
          <t xml:space="preserve"/>
        </is>
      </c>
      <c r="G658" s="250" t="inlineStr">
        <is>
          <t xml:space="preserve"/>
        </is>
      </c>
      <c r="H658" s="251">
        <f>SUM(H656:H657)</f>
        <v>347.05</v>
      </c>
      <c r="I658" s="252" t="inlineStr">
        <is>
          <t xml:space="preserve">m3</t>
        </is>
      </c>
    </row>
    <row r="659">
      <c r="A659" s="243" t="inlineStr">
        <is>
          <t xml:space="preserve">1ST FLR</t>
        </is>
      </c>
      <c r="B659" s="243" t="inlineStr">
        <is>
          <t xml:space="preserve">B</t>
        </is>
      </c>
      <c r="C659" s="244" t="inlineStr">
        <is>
          <t xml:space="preserve">Beams (downstands below slab)</t>
        </is>
      </c>
      <c r="I659" s="245" t="inlineStr">
        <is>
          <t xml:space="preserve">m3</t>
        </is>
      </c>
      <c r="K659" s="256" t="inlineStr">
        <is>
          <t xml:space="preserve">'1ST FLR '!C35</t>
        </is>
      </c>
    </row>
    <row r="660">
      <c r="C660" s="246" t="inlineStr">
        <is>
          <t xml:space="preserve">First floor 2A (+4150) - 300 wide beams: length x width x depth</t>
        </is>
      </c>
      <c r="E660" s="247">
        <v>81.1</v>
      </c>
      <c r="F660" s="247">
        <v>0.3</v>
      </c>
      <c r="G660" s="247">
        <v>0.35</v>
      </c>
      <c r="H660" s="249">
        <f>PRODUCT(D660:G660)</f>
        <v>8.5155</v>
      </c>
      <c r="J660" s="253" t="inlineStr">
        <is>
          <t xml:space="preserve">81.1*0.3*0.35</t>
        </is>
      </c>
    </row>
    <row r="661">
      <c r="C661" s="246" t="inlineStr">
        <is>
          <t xml:space="preserve">First floor 2A (+4150) - 200 wide beams: length x width x depth</t>
        </is>
      </c>
      <c r="E661" s="247">
        <v>43.5</v>
      </c>
      <c r="F661" s="247">
        <v>0.2</v>
      </c>
      <c r="G661" s="247">
        <v>0.35</v>
      </c>
      <c r="H661" s="249">
        <f>PRODUCT(D661:G661)</f>
        <v>3.0450000000000004</v>
      </c>
      <c r="J661" s="253" t="inlineStr">
        <is>
          <t xml:space="preserve">43.5*0.2*0.35</t>
        </is>
      </c>
    </row>
    <row r="662">
      <c r="C662" s="246" t="inlineStr">
        <is>
          <t xml:space="preserve">M2 level 2B (+5200) - 300 wide beams: length x width x depth</t>
        </is>
      </c>
      <c r="E662" s="247">
        <v>63.6</v>
      </c>
      <c r="F662" s="247">
        <v>0.3</v>
      </c>
      <c r="G662" s="247">
        <v>0.35</v>
      </c>
      <c r="H662" s="249">
        <f>PRODUCT(D662:G662)</f>
        <v>6.677999999999999</v>
      </c>
      <c r="J662" s="253" t="inlineStr">
        <is>
          <t xml:space="preserve">63.6*0.3*0.35</t>
        </is>
      </c>
    </row>
    <row r="663">
      <c r="C663" s="250" t="inlineStr">
        <is>
          <t xml:space="preserve">Total carried to BOQ  1ST FLR item B</t>
        </is>
      </c>
      <c r="D663" s="250" t="inlineStr">
        <is>
          <t xml:space="preserve"/>
        </is>
      </c>
      <c r="E663" s="250" t="inlineStr">
        <is>
          <t xml:space="preserve"/>
        </is>
      </c>
      <c r="F663" s="250" t="inlineStr">
        <is>
          <t xml:space="preserve"/>
        </is>
      </c>
      <c r="G663" s="250" t="inlineStr">
        <is>
          <t xml:space="preserve"/>
        </is>
      </c>
      <c r="H663" s="251">
        <f>SUM(H660:H662)</f>
        <v>18.2385</v>
      </c>
      <c r="I663" s="252" t="inlineStr">
        <is>
          <t xml:space="preserve">m3</t>
        </is>
      </c>
    </row>
    <row r="664">
      <c r="A664" s="243" t="inlineStr">
        <is>
          <t xml:space="preserve">1ST FLR</t>
        </is>
      </c>
      <c r="B664" s="243" t="inlineStr">
        <is>
          <t xml:space="preserve">C</t>
        </is>
      </c>
      <c r="C664" s="244" t="inlineStr">
        <is>
          <t xml:space="preserve">Columns</t>
        </is>
      </c>
      <c r="I664" s="245" t="inlineStr">
        <is>
          <t xml:space="preserve">m3</t>
        </is>
      </c>
      <c r="K664" s="256" t="inlineStr">
        <is>
          <t xml:space="preserve">'1ST FLR '!C37</t>
        </is>
      </c>
    </row>
    <row r="665">
      <c r="C665" s="246" t="inlineStr">
        <is>
          <t xml:space="preserve">COL-01A x5 - column (1st to M2), ht 2.45</t>
        </is>
      </c>
      <c r="D665" s="248">
        <v>5</v>
      </c>
      <c r="E665" s="247">
        <v>0.75</v>
      </c>
      <c r="F665" s="247">
        <v>0.5</v>
      </c>
      <c r="G665" s="247">
        <v>2.45</v>
      </c>
      <c r="H665" s="249">
        <f>PRODUCT(D665:G665)</f>
        <v>4.59375</v>
      </c>
      <c r="J665" s="253" t="inlineStr">
        <is>
          <t xml:space="preserve">5*0.75*0.5*2.45</t>
        </is>
      </c>
    </row>
    <row r="666">
      <c r="C666" s="246" t="inlineStr">
        <is>
          <t xml:space="preserve">COL-01B x1 - column (1st to M2), ht 2.45</t>
        </is>
      </c>
      <c r="D666" s="248">
        <v>1</v>
      </c>
      <c r="E666" s="247">
        <v>0.75</v>
      </c>
      <c r="F666" s="247">
        <v>0.5</v>
      </c>
      <c r="G666" s="247">
        <v>2.45</v>
      </c>
      <c r="H666" s="249">
        <f>PRODUCT(D666:G666)</f>
        <v>0.9187500000000001</v>
      </c>
      <c r="J666" s="253" t="inlineStr">
        <is>
          <t xml:space="preserve">1*0.75*0.5*2.45</t>
        </is>
      </c>
    </row>
    <row r="667">
      <c r="C667" s="246" t="inlineStr">
        <is>
          <t xml:space="preserve">COL-01C x2 - column (1st to M2), ht 2.45</t>
        </is>
      </c>
      <c r="D667" s="248">
        <v>2</v>
      </c>
      <c r="E667" s="247">
        <v>0.75</v>
      </c>
      <c r="F667" s="247">
        <v>0.5</v>
      </c>
      <c r="G667" s="247">
        <v>2.45</v>
      </c>
      <c r="H667" s="249">
        <f>PRODUCT(D667:G667)</f>
        <v>1.8375000000000001</v>
      </c>
      <c r="J667" s="253" t="inlineStr">
        <is>
          <t xml:space="preserve">2*0.75*0.5*2.45</t>
        </is>
      </c>
    </row>
    <row r="668">
      <c r="C668" s="246" t="inlineStr">
        <is>
          <t xml:space="preserve">COL-01D x1 - column (M2 to 2nd), ht 2.45</t>
        </is>
      </c>
      <c r="D668" s="248">
        <v>1</v>
      </c>
      <c r="E668" s="247">
        <v>0.75</v>
      </c>
      <c r="F668" s="247">
        <v>0.5</v>
      </c>
      <c r="G668" s="247">
        <v>2.45</v>
      </c>
      <c r="H668" s="249">
        <f>PRODUCT(D668:G668)</f>
        <v>0.9187500000000001</v>
      </c>
      <c r="J668" s="253" t="inlineStr">
        <is>
          <t xml:space="preserve">1*0.75*0.5*2.45</t>
        </is>
      </c>
    </row>
    <row r="669">
      <c r="C669" s="246" t="inlineStr">
        <is>
          <t xml:space="preserve">COL-02A x3 - column (1st to M2), ht 2.45</t>
        </is>
      </c>
      <c r="D669" s="248">
        <v>3</v>
      </c>
      <c r="E669" s="247">
        <v>1.2</v>
      </c>
      <c r="F669" s="247">
        <v>0.3</v>
      </c>
      <c r="G669" s="247">
        <v>2.45</v>
      </c>
      <c r="H669" s="249">
        <f>PRODUCT(D669:G669)</f>
        <v>2.646</v>
      </c>
      <c r="J669" s="253" t="inlineStr">
        <is>
          <t xml:space="preserve">3*1.2*0.3*2.45</t>
        </is>
      </c>
    </row>
    <row r="670">
      <c r="C670" s="246" t="inlineStr">
        <is>
          <t xml:space="preserve">COL-02B x6 - column (1st to M2), ht 2.45</t>
        </is>
      </c>
      <c r="D670" s="248">
        <v>6</v>
      </c>
      <c r="E670" s="247">
        <v>1.2</v>
      </c>
      <c r="F670" s="247">
        <v>0.3</v>
      </c>
      <c r="G670" s="247">
        <v>2.45</v>
      </c>
      <c r="H670" s="249">
        <f>PRODUCT(D670:G670)</f>
        <v>5.292</v>
      </c>
      <c r="J670" s="253" t="inlineStr">
        <is>
          <t xml:space="preserve">6*1.2*0.3*2.45</t>
        </is>
      </c>
    </row>
    <row r="671">
      <c r="C671" s="246" t="inlineStr">
        <is>
          <t xml:space="preserve">COL-02C x1 - column (1st to M2), ht 2.45</t>
        </is>
      </c>
      <c r="D671" s="248">
        <v>1</v>
      </c>
      <c r="E671" s="247">
        <v>1.2</v>
      </c>
      <c r="F671" s="247">
        <v>0.3</v>
      </c>
      <c r="G671" s="247">
        <v>2.45</v>
      </c>
      <c r="H671" s="249">
        <f>PRODUCT(D671:G671)</f>
        <v>0.882</v>
      </c>
      <c r="J671" s="253" t="inlineStr">
        <is>
          <t xml:space="preserve">1*1.2*0.3*2.45</t>
        </is>
      </c>
    </row>
    <row r="672">
      <c r="C672" s="246" t="inlineStr">
        <is>
          <t xml:space="preserve">COL-02D x15 - column (M2 to 2nd), ht 2.45</t>
        </is>
      </c>
      <c r="D672" s="248">
        <v>15</v>
      </c>
      <c r="E672" s="247">
        <v>1.2</v>
      </c>
      <c r="F672" s="247">
        <v>0.3</v>
      </c>
      <c r="G672" s="247">
        <v>2.45</v>
      </c>
      <c r="H672" s="249">
        <f>PRODUCT(D672:G672)</f>
        <v>13.23</v>
      </c>
      <c r="J672" s="253" t="inlineStr">
        <is>
          <t xml:space="preserve">15*1.2*0.3*2.45</t>
        </is>
      </c>
    </row>
    <row r="673">
      <c r="C673" s="246" t="inlineStr">
        <is>
          <t xml:space="preserve">SWC-01A x1 - column (1st to M2), ht 2.45</t>
        </is>
      </c>
      <c r="D673" s="248">
        <v>1</v>
      </c>
      <c r="E673" s="247">
        <f>2.85*0.25+0.825*0.25</f>
        <v>0.91875</v>
      </c>
      <c r="F673" s="247">
        <v>2.45</v>
      </c>
      <c r="H673" s="249">
        <f>PRODUCT(D673:G673)</f>
        <v>2.2509375</v>
      </c>
      <c r="J673" s="253" t="inlineStr">
        <is>
          <t xml:space="preserve">1*(2.85*0.25+0.825*0.25)*2.45</t>
        </is>
      </c>
    </row>
    <row r="674">
      <c r="C674" s="250" t="inlineStr">
        <is>
          <t xml:space="preserve">Total carried to BOQ  1ST FLR item C</t>
        </is>
      </c>
      <c r="D674" s="250" t="inlineStr">
        <is>
          <t xml:space="preserve"/>
        </is>
      </c>
      <c r="E674" s="250" t="inlineStr">
        <is>
          <t xml:space="preserve"/>
        </is>
      </c>
      <c r="F674" s="250" t="inlineStr">
        <is>
          <t xml:space="preserve"/>
        </is>
      </c>
      <c r="G674" s="250" t="inlineStr">
        <is>
          <t xml:space="preserve"/>
        </is>
      </c>
      <c r="H674" s="251">
        <f>SUM(H665:H673)</f>
        <v>32.5696875</v>
      </c>
      <c r="I674" s="252" t="inlineStr">
        <is>
          <t xml:space="preserve">m3</t>
        </is>
      </c>
    </row>
    <row r="675">
      <c r="A675" s="243" t="inlineStr">
        <is>
          <t xml:space="preserve">1ST FLR</t>
        </is>
      </c>
      <c r="B675" s="243" t="inlineStr">
        <is>
          <t xml:space="preserve">D</t>
        </is>
      </c>
      <c r="C675" s="244" t="inlineStr">
        <is>
          <t xml:space="preserve">Concrete wall - shear walls to main &amp; emergency stair cores, 250mm thick</t>
        </is>
      </c>
      <c r="I675" s="245" t="inlineStr">
        <is>
          <t xml:space="preserve">m3</t>
        </is>
      </c>
      <c r="K675" s="256" t="inlineStr">
        <is>
          <t xml:space="preserve">'1ST FLR '!C39</t>
        </is>
      </c>
    </row>
    <row r="676">
      <c r="C676" s="246" t="inlineStr">
        <is>
          <t xml:space="preserve">First floor 2A (+4150) - main stair core walls (22.05 m run): run x ht x 250 thk</t>
        </is>
      </c>
      <c r="E676" s="247">
        <v>22.05</v>
      </c>
      <c r="F676" s="247">
        <v>2.45</v>
      </c>
      <c r="G676" s="247">
        <v>0.25</v>
      </c>
      <c r="H676" s="249">
        <f>PRODUCT(D676:G676)</f>
        <v>13.505625000000002</v>
      </c>
      <c r="J676" s="253" t="inlineStr">
        <is>
          <t xml:space="preserve">22.05*2.45*0.25</t>
        </is>
      </c>
    </row>
    <row r="677">
      <c r="C677" s="246" t="inlineStr">
        <is>
          <t xml:space="preserve">M2 level 2B (+5200) - emergency stair core walls (25.57 m run): run x ht x 250 thk</t>
        </is>
      </c>
      <c r="E677" s="247">
        <v>25.57</v>
      </c>
      <c r="F677" s="247">
        <v>2.45</v>
      </c>
      <c r="G677" s="247">
        <v>0.25</v>
      </c>
      <c r="H677" s="249">
        <f>PRODUCT(D677:G677)</f>
        <v>15.661625</v>
      </c>
      <c r="J677" s="253" t="inlineStr">
        <is>
          <t xml:space="preserve">25.57*2.45*0.25</t>
        </is>
      </c>
    </row>
    <row r="678">
      <c r="C678" s="250" t="inlineStr">
        <is>
          <t xml:space="preserve">Total carried to BOQ  1ST FLR item D</t>
        </is>
      </c>
      <c r="D678" s="250" t="inlineStr">
        <is>
          <t xml:space="preserve"/>
        </is>
      </c>
      <c r="E678" s="250" t="inlineStr">
        <is>
          <t xml:space="preserve"/>
        </is>
      </c>
      <c r="F678" s="250" t="inlineStr">
        <is>
          <t xml:space="preserve"/>
        </is>
      </c>
      <c r="G678" s="250" t="inlineStr">
        <is>
          <t xml:space="preserve"/>
        </is>
      </c>
      <c r="H678" s="251">
        <f>SUM(H676:H677)</f>
        <v>29.167250000000003</v>
      </c>
      <c r="I678" s="252" t="inlineStr">
        <is>
          <t xml:space="preserve">m3</t>
        </is>
      </c>
    </row>
    <row r="679">
      <c r="A679" s="243" t="inlineStr">
        <is>
          <t xml:space="preserve">1ST FLR</t>
        </is>
      </c>
      <c r="B679" s="243" t="inlineStr">
        <is>
          <t xml:space="preserve">E</t>
        </is>
      </c>
      <c r="C679" s="244" t="inlineStr">
        <is>
          <t xml:space="preserve">Concrete wall - lift walls, 250mm thick</t>
        </is>
      </c>
      <c r="I679" s="245" t="inlineStr">
        <is>
          <t xml:space="preserve">m3</t>
        </is>
      </c>
      <c r="K679" s="256" t="inlineStr">
        <is>
          <t xml:space="preserve">'1ST FLR '!C41</t>
        </is>
      </c>
    </row>
    <row r="680">
      <c r="C680" s="246" t="inlineStr">
        <is>
          <t xml:space="preserve">First floor 2A (+4150) - lift core walls (21.825 m run): run x ht x 250 thk</t>
        </is>
      </c>
      <c r="E680" s="247">
        <v>21.825</v>
      </c>
      <c r="F680" s="247">
        <v>2.45</v>
      </c>
      <c r="G680" s="247">
        <v>0.25</v>
      </c>
      <c r="H680" s="249">
        <f>PRODUCT(D680:G680)</f>
        <v>13.367812500000001</v>
      </c>
      <c r="J680" s="253" t="inlineStr">
        <is>
          <t xml:space="preserve">21.825*2.45*0.25</t>
        </is>
      </c>
    </row>
    <row r="681">
      <c r="C681" s="250" t="inlineStr">
        <is>
          <t xml:space="preserve">Total carried to BOQ  1ST FLR item E</t>
        </is>
      </c>
      <c r="D681" s="250" t="inlineStr">
        <is>
          <t xml:space="preserve"/>
        </is>
      </c>
      <c r="E681" s="250" t="inlineStr">
        <is>
          <t xml:space="preserve"/>
        </is>
      </c>
      <c r="F681" s="250" t="inlineStr">
        <is>
          <t xml:space="preserve"/>
        </is>
      </c>
      <c r="G681" s="250" t="inlineStr">
        <is>
          <t xml:space="preserve"/>
        </is>
      </c>
      <c r="H681" s="251">
        <f>SUM(H680:H680)</f>
        <v>13.367812500000001</v>
      </c>
      <c r="I681" s="252" t="inlineStr">
        <is>
          <t xml:space="preserve">m3</t>
        </is>
      </c>
    </row>
    <row r="682">
      <c r="A682" s="243" t="inlineStr">
        <is>
          <t xml:space="preserve">1ST FLR</t>
        </is>
      </c>
      <c r="B682" s="243" t="inlineStr">
        <is>
          <t xml:space="preserve">F</t>
        </is>
      </c>
      <c r="C682" s="244" t="inlineStr">
        <is>
          <t xml:space="preserve">Stairs</t>
        </is>
      </c>
      <c r="I682" s="245" t="inlineStr">
        <is>
          <t xml:space="preserve">m3</t>
        </is>
      </c>
      <c r="K682" s="256" t="inlineStr">
        <is>
          <t xml:space="preserve">'1ST FLR '!C43</t>
        </is>
      </c>
    </row>
    <row r="683">
      <c r="C683" s="246" t="inlineStr">
        <is>
          <t xml:space="preserve">First floor 2A (+4150) - Main stair flight (storey ht 2.7) - flights: 2.966 m3 per 3.3 m storey x (storey ht / 3.3)</t>
        </is>
      </c>
      <c r="E683" s="247">
        <v>2.966</v>
      </c>
      <c r="F683" s="247">
        <f>2.7/3.3</f>
        <v>0.8181818181818182</v>
      </c>
      <c r="H683" s="249">
        <f>PRODUCT(D683:G683)</f>
        <v>2.426727272727273</v>
      </c>
      <c r="J683" s="253" t="inlineStr">
        <is>
          <t xml:space="preserve">2.966*2.7/3.3</t>
        </is>
      </c>
    </row>
    <row r="684">
      <c r="C684" s="246" t="inlineStr">
        <is>
          <t xml:space="preserve">First floor 2A (+4150) - Main stair flight (storey ht 2.7) - landings</t>
        </is>
      </c>
      <c r="H684" s="247">
        <v>2.625</v>
      </c>
      <c r="J684" s="253" t="inlineStr">
        <is>
          <t xml:space="preserve">2.625</t>
        </is>
      </c>
    </row>
    <row r="685">
      <c r="C685" s="246" t="inlineStr">
        <is>
          <t xml:space="preserve">M2 level 2B (+5200) - Emergency stair flight (storey ht 2.7) - flights: 2.966 m3 per 3.3 m storey x (storey ht / 3.3)</t>
        </is>
      </c>
      <c r="E685" s="247">
        <v>2.966</v>
      </c>
      <c r="F685" s="247">
        <f>2.7/3.3</f>
        <v>0.8181818181818182</v>
      </c>
      <c r="H685" s="249">
        <f>PRODUCT(D685:G685)</f>
        <v>2.426727272727273</v>
      </c>
      <c r="J685" s="253" t="inlineStr">
        <is>
          <t xml:space="preserve">2.966*2.7/3.3</t>
        </is>
      </c>
    </row>
    <row r="686">
      <c r="C686" s="246" t="inlineStr">
        <is>
          <t xml:space="preserve">M2 level 2B (+5200) - Emergency stair flight (storey ht 2.7) - landings</t>
        </is>
      </c>
      <c r="H686" s="247">
        <v>2.625</v>
      </c>
      <c r="J686" s="253" t="inlineStr">
        <is>
          <t xml:space="preserve">2.625</t>
        </is>
      </c>
    </row>
    <row r="687">
      <c r="C687" s="250" t="inlineStr">
        <is>
          <t xml:space="preserve">Total carried to BOQ  1ST FLR item F</t>
        </is>
      </c>
      <c r="D687" s="250" t="inlineStr">
        <is>
          <t xml:space="preserve"/>
        </is>
      </c>
      <c r="E687" s="250" t="inlineStr">
        <is>
          <t xml:space="preserve"/>
        </is>
      </c>
      <c r="F687" s="250" t="inlineStr">
        <is>
          <t xml:space="preserve"/>
        </is>
      </c>
      <c r="G687" s="250" t="inlineStr">
        <is>
          <t xml:space="preserve"/>
        </is>
      </c>
      <c r="H687" s="251">
        <f>SUM(H683:H686)</f>
        <v>10.103454545454547</v>
      </c>
      <c r="I687" s="252" t="inlineStr">
        <is>
          <t xml:space="preserve">m3</t>
        </is>
      </c>
    </row>
    <row r="688">
      <c r="A688" s="243" t="inlineStr">
        <is>
          <t xml:space="preserve">1ST FLR</t>
        </is>
      </c>
      <c r="B688" s="243" t="inlineStr">
        <is>
          <t xml:space="preserve">G</t>
        </is>
      </c>
      <c r="C688" s="244" t="inlineStr">
        <is>
          <t xml:space="preserve">Lintels 150 x 225mm over door and window openings</t>
        </is>
      </c>
      <c r="I688" s="245" t="inlineStr">
        <is>
          <t xml:space="preserve">m3</t>
        </is>
      </c>
      <c r="K688" s="256" t="inlineStr">
        <is>
          <t xml:space="preserve">'1ST FLR '!C45</t>
        </is>
      </c>
    </row>
    <row r="689">
      <c r="C689" s="246" t="inlineStr">
        <is>
          <t xml:space="preserve">First floor (2A) - Lintels: openings</t>
        </is>
      </c>
      <c r="D689" s="248">
        <v>3</v>
      </c>
      <c r="E689" s="247">
        <f>1+0.3</f>
        <v>1.3</v>
      </c>
      <c r="F689" s="247">
        <v>0.15</v>
      </c>
      <c r="G689" s="247">
        <v>0.225</v>
      </c>
      <c r="H689" s="249">
        <f>PRODUCT(D689:G689)</f>
        <v>0.13162500000000002</v>
      </c>
      <c r="J689" s="253" t="inlineStr">
        <is>
          <t xml:space="preserve">3*(1+0.3)*0.15*0.225</t>
        </is>
      </c>
    </row>
    <row r="690">
      <c r="C690" s="250" t="inlineStr">
        <is>
          <t xml:space="preserve">Total carried to BOQ  1ST FLR item G</t>
        </is>
      </c>
      <c r="D690" s="250" t="inlineStr">
        <is>
          <t xml:space="preserve"/>
        </is>
      </c>
      <c r="E690" s="250" t="inlineStr">
        <is>
          <t xml:space="preserve"/>
        </is>
      </c>
      <c r="F690" s="250" t="inlineStr">
        <is>
          <t xml:space="preserve"/>
        </is>
      </c>
      <c r="G690" s="250" t="inlineStr">
        <is>
          <t xml:space="preserve"/>
        </is>
      </c>
      <c r="H690" s="251">
        <f>SUM(H689:H689)</f>
        <v>0.13162500000000002</v>
      </c>
      <c r="I690" s="252" t="inlineStr">
        <is>
          <t xml:space="preserve">m3</t>
        </is>
      </c>
    </row>
    <row r="691">
      <c r="C691" s="242" t="inlineStr">
        <is>
          <t xml:space="preserve">E20 FORMWORK - Formwork as described to:</t>
        </is>
      </c>
    </row>
    <row r="692">
      <c r="A692" s="243" t="inlineStr">
        <is>
          <t xml:space="preserve">1ST FLR</t>
        </is>
      </c>
      <c r="B692" s="243" t="inlineStr">
        <is>
          <t xml:space="preserve">H</t>
        </is>
      </c>
      <c r="C692" s="244" t="inlineStr">
        <is>
          <t xml:space="preserve">Soffits of suspended slab</t>
        </is>
      </c>
      <c r="I692" s="245" t="inlineStr">
        <is>
          <t xml:space="preserve">m2</t>
        </is>
      </c>
      <c r="K692" s="256" t="inlineStr">
        <is>
          <t xml:space="preserve">'1ST FLR '!C48</t>
        </is>
      </c>
    </row>
    <row r="693">
      <c r="C693" s="246" t="inlineStr">
        <is>
          <t xml:space="preserve">First floor 2A (+4150) - Slab soffit: measured area</t>
        </is>
      </c>
      <c r="H693" s="247">
        <v>737.6</v>
      </c>
      <c r="J693" s="253" t="inlineStr">
        <is>
          <t xml:space="preserve">737.6</t>
        </is>
      </c>
    </row>
    <row r="694">
      <c r="C694" s="246" t="inlineStr">
        <is>
          <t xml:space="preserve">M2 level 2B (+5200) - Slab soffit: measured area</t>
        </is>
      </c>
      <c r="H694" s="247">
        <v>650.6</v>
      </c>
      <c r="J694" s="253" t="inlineStr">
        <is>
          <t xml:space="preserve">650.6</t>
        </is>
      </c>
    </row>
    <row r="695">
      <c r="C695" s="250" t="inlineStr">
        <is>
          <t xml:space="preserve">Total carried to BOQ  1ST FLR item H</t>
        </is>
      </c>
      <c r="D695" s="250" t="inlineStr">
        <is>
          <t xml:space="preserve"/>
        </is>
      </c>
      <c r="E695" s="250" t="inlineStr">
        <is>
          <t xml:space="preserve"/>
        </is>
      </c>
      <c r="F695" s="250" t="inlineStr">
        <is>
          <t xml:space="preserve"/>
        </is>
      </c>
      <c r="G695" s="250" t="inlineStr">
        <is>
          <t xml:space="preserve"/>
        </is>
      </c>
      <c r="H695" s="251">
        <f>SUM(H693:H694)</f>
        <v>1388.2</v>
      </c>
      <c r="I695" s="252" t="inlineStr">
        <is>
          <t xml:space="preserve">m2</t>
        </is>
      </c>
    </row>
    <row r="696">
      <c r="A696" s="243" t="inlineStr">
        <is>
          <t xml:space="preserve">1ST FLR</t>
        </is>
      </c>
      <c r="B696" s="243" t="inlineStr">
        <is>
          <t xml:space="preserve">J</t>
        </is>
      </c>
      <c r="C696" s="244" t="inlineStr">
        <is>
          <t xml:space="preserve">Edges of suspended slab 250mm high</t>
        </is>
      </c>
      <c r="I696" s="245" t="inlineStr">
        <is>
          <t xml:space="preserve">m</t>
        </is>
      </c>
      <c r="K696" s="256" t="inlineStr">
        <is>
          <t xml:space="preserve">'1ST FLR '!C50</t>
        </is>
      </c>
    </row>
    <row r="697">
      <c r="C697" s="246" t="inlineStr">
        <is>
          <t xml:space="preserve">First floor 2A (+4150) - Slab edge: measured perimeter</t>
        </is>
      </c>
      <c r="H697" s="247">
        <v>185.9</v>
      </c>
      <c r="J697" s="253" t="inlineStr">
        <is>
          <t xml:space="preserve">185.9</t>
        </is>
      </c>
    </row>
    <row r="698">
      <c r="C698" s="246" t="inlineStr">
        <is>
          <t xml:space="preserve">M2 level 2B (+5200) - Slab edge: measured perimeter</t>
        </is>
      </c>
      <c r="H698" s="247">
        <v>224.9</v>
      </c>
      <c r="J698" s="253" t="inlineStr">
        <is>
          <t xml:space="preserve">224.9</t>
        </is>
      </c>
    </row>
    <row r="699">
      <c r="C699" s="250" t="inlineStr">
        <is>
          <t xml:space="preserve">Total carried to BOQ  1ST FLR item J</t>
        </is>
      </c>
      <c r="D699" s="250" t="inlineStr">
        <is>
          <t xml:space="preserve"/>
        </is>
      </c>
      <c r="E699" s="250" t="inlineStr">
        <is>
          <t xml:space="preserve"/>
        </is>
      </c>
      <c r="F699" s="250" t="inlineStr">
        <is>
          <t xml:space="preserve"/>
        </is>
      </c>
      <c r="G699" s="250" t="inlineStr">
        <is>
          <t xml:space="preserve"/>
        </is>
      </c>
      <c r="H699" s="251">
        <f>SUM(H697:H698)</f>
        <v>410.8</v>
      </c>
      <c r="I699" s="252" t="inlineStr">
        <is>
          <t xml:space="preserve">m</t>
        </is>
      </c>
    </row>
    <row r="700">
      <c r="A700" s="243" t="inlineStr">
        <is>
          <t xml:space="preserve">1ST FLR</t>
        </is>
      </c>
      <c r="B700" s="243" t="inlineStr">
        <is>
          <t xml:space="preserve">K</t>
        </is>
      </c>
      <c r="C700" s="244" t="inlineStr">
        <is>
          <t xml:space="preserve">Sides and soffits of beams</t>
        </is>
      </c>
      <c r="I700" s="245" t="inlineStr">
        <is>
          <t xml:space="preserve">m2</t>
        </is>
      </c>
      <c r="K700" s="256" t="inlineStr">
        <is>
          <t xml:space="preserve">'1ST FLR '!C52</t>
        </is>
      </c>
    </row>
    <row r="701">
      <c r="C701" s="246" t="inlineStr">
        <is>
          <t xml:space="preserve">First floor 2A (+4150) - beam sides &amp; soffit (300 wide): length x girth</t>
        </is>
      </c>
      <c r="E701" s="247">
        <v>81.1</v>
      </c>
      <c r="F701" s="247">
        <f>2*0.35+0.3</f>
        <v>1.0</v>
      </c>
      <c r="H701" s="249">
        <f>PRODUCT(D701:G701)</f>
        <v>81.1</v>
      </c>
      <c r="J701" s="253" t="inlineStr">
        <is>
          <t xml:space="preserve">81.1*(2*0.35+0.3)</t>
        </is>
      </c>
    </row>
    <row r="702">
      <c r="C702" s="246" t="inlineStr">
        <is>
          <t xml:space="preserve">First floor 2A (+4150) - beam sides &amp; soffit (200 wide): length x girth</t>
        </is>
      </c>
      <c r="E702" s="247">
        <v>43.5</v>
      </c>
      <c r="F702" s="247">
        <f>2*0.35+0.2</f>
        <v>0.8999999999999999</v>
      </c>
      <c r="H702" s="249">
        <f>PRODUCT(D702:G702)</f>
        <v>39.15</v>
      </c>
      <c r="J702" s="253" t="inlineStr">
        <is>
          <t xml:space="preserve">43.5*(2*0.35+0.2)</t>
        </is>
      </c>
    </row>
    <row r="703">
      <c r="C703" s="246" t="inlineStr">
        <is>
          <t xml:space="preserve">M2 level 2B (+5200) - beam sides &amp; soffit (300 wide): length x girth</t>
        </is>
      </c>
      <c r="E703" s="247">
        <v>63.6</v>
      </c>
      <c r="F703" s="247">
        <f>2*0.35+0.3</f>
        <v>1.0</v>
      </c>
      <c r="H703" s="249">
        <f>PRODUCT(D703:G703)</f>
        <v>63.6</v>
      </c>
      <c r="J703" s="253" t="inlineStr">
        <is>
          <t xml:space="preserve">63.6*(2*0.35+0.3)</t>
        </is>
      </c>
    </row>
    <row r="704">
      <c r="C704" s="250" t="inlineStr">
        <is>
          <t xml:space="preserve">Total carried to BOQ  1ST FLR item K</t>
        </is>
      </c>
      <c r="D704" s="250" t="inlineStr">
        <is>
          <t xml:space="preserve"/>
        </is>
      </c>
      <c r="E704" s="250" t="inlineStr">
        <is>
          <t xml:space="preserve"/>
        </is>
      </c>
      <c r="F704" s="250" t="inlineStr">
        <is>
          <t xml:space="preserve"/>
        </is>
      </c>
      <c r="G704" s="250" t="inlineStr">
        <is>
          <t xml:space="preserve"/>
        </is>
      </c>
      <c r="H704" s="251">
        <f>SUM(H701:H703)</f>
        <v>183.85</v>
      </c>
      <c r="I704" s="252" t="inlineStr">
        <is>
          <t xml:space="preserve">m2</t>
        </is>
      </c>
    </row>
    <row r="705">
      <c r="A705" s="243" t="inlineStr">
        <is>
          <t xml:space="preserve">1ST FLR</t>
        </is>
      </c>
      <c r="B705" s="243" t="inlineStr">
        <is>
          <t xml:space="preserve">L</t>
        </is>
      </c>
      <c r="C705" s="244" t="inlineStr">
        <is>
          <t xml:space="preserve">Columns</t>
        </is>
      </c>
      <c r="I705" s="245" t="inlineStr">
        <is>
          <t xml:space="preserve">m2</t>
        </is>
      </c>
      <c r="K705" s="256" t="inlineStr">
        <is>
          <t xml:space="preserve">'1ST FLR '!C54</t>
        </is>
      </c>
    </row>
    <row r="706">
      <c r="C706" s="246" t="inlineStr">
        <is>
          <t xml:space="preserve">COL-01A x5 - column faces (1st to M2), ht 2.45</t>
        </is>
      </c>
      <c r="D706" s="248">
        <v>5</v>
      </c>
      <c r="E706" s="247">
        <f>2*(0.75+0.5)</f>
        <v>2.5</v>
      </c>
      <c r="F706" s="247">
        <v>2.45</v>
      </c>
      <c r="H706" s="249">
        <f>PRODUCT(D706:G706)</f>
        <v>30.625000000000004</v>
      </c>
      <c r="J706" s="253" t="inlineStr">
        <is>
          <t xml:space="preserve">5*2*(0.75+0.5)*2.45</t>
        </is>
      </c>
    </row>
    <row r="707">
      <c r="C707" s="246" t="inlineStr">
        <is>
          <t xml:space="preserve">COL-01B x1 - column faces (1st to M2), ht 2.45</t>
        </is>
      </c>
      <c r="D707" s="248">
        <v>1</v>
      </c>
      <c r="E707" s="247">
        <f>2*(0.75+0.5)</f>
        <v>2.5</v>
      </c>
      <c r="F707" s="247">
        <v>2.45</v>
      </c>
      <c r="H707" s="249">
        <f>PRODUCT(D707:G707)</f>
        <v>6.125</v>
      </c>
      <c r="J707" s="253" t="inlineStr">
        <is>
          <t xml:space="preserve">1*2*(0.75+0.5)*2.45</t>
        </is>
      </c>
    </row>
    <row r="708">
      <c r="C708" s="246" t="inlineStr">
        <is>
          <t xml:space="preserve">COL-01C x2 - column faces (1st to M2), ht 2.45</t>
        </is>
      </c>
      <c r="D708" s="248">
        <v>2</v>
      </c>
      <c r="E708" s="247">
        <f>2*(0.75+0.5)</f>
        <v>2.5</v>
      </c>
      <c r="F708" s="247">
        <v>2.45</v>
      </c>
      <c r="H708" s="249">
        <f>PRODUCT(D708:G708)</f>
        <v>12.25</v>
      </c>
      <c r="J708" s="253" t="inlineStr">
        <is>
          <t xml:space="preserve">2*2*(0.75+0.5)*2.45</t>
        </is>
      </c>
    </row>
    <row r="709">
      <c r="C709" s="246" t="inlineStr">
        <is>
          <t xml:space="preserve">COL-01D x1 - column faces (M2 to 2nd), ht 2.45</t>
        </is>
      </c>
      <c r="D709" s="248">
        <v>1</v>
      </c>
      <c r="E709" s="247">
        <f>2*(0.75+0.5)</f>
        <v>2.5</v>
      </c>
      <c r="F709" s="247">
        <v>2.45</v>
      </c>
      <c r="H709" s="249">
        <f>PRODUCT(D709:G709)</f>
        <v>6.125</v>
      </c>
      <c r="J709" s="253" t="inlineStr">
        <is>
          <t xml:space="preserve">1*2*(0.75+0.5)*2.45</t>
        </is>
      </c>
    </row>
    <row r="710">
      <c r="C710" s="246" t="inlineStr">
        <is>
          <t xml:space="preserve">COL-02A x3 - column faces (1st to M2), ht 2.45</t>
        </is>
      </c>
      <c r="D710" s="248">
        <v>3</v>
      </c>
      <c r="E710" s="247">
        <f>2*(1.2+0.3)</f>
        <v>3.0</v>
      </c>
      <c r="F710" s="247">
        <v>2.45</v>
      </c>
      <c r="H710" s="249">
        <f>PRODUCT(D710:G710)</f>
        <v>22.05</v>
      </c>
      <c r="J710" s="253" t="inlineStr">
        <is>
          <t xml:space="preserve">3*2*(1.2+0.3)*2.45</t>
        </is>
      </c>
    </row>
    <row r="711">
      <c r="C711" s="246" t="inlineStr">
        <is>
          <t xml:space="preserve">COL-02B x6 - column faces (1st to M2), ht 2.45</t>
        </is>
      </c>
      <c r="D711" s="248">
        <v>6</v>
      </c>
      <c r="E711" s="247">
        <f>2*(1.2+0.3)</f>
        <v>3.0</v>
      </c>
      <c r="F711" s="247">
        <v>2.45</v>
      </c>
      <c r="H711" s="249">
        <f>PRODUCT(D711:G711)</f>
        <v>44.1</v>
      </c>
      <c r="J711" s="253" t="inlineStr">
        <is>
          <t xml:space="preserve">6*2*(1.2+0.3)*2.45</t>
        </is>
      </c>
    </row>
    <row r="712">
      <c r="C712" s="246" t="inlineStr">
        <is>
          <t xml:space="preserve">COL-02C x1 - column faces (1st to M2), ht 2.45</t>
        </is>
      </c>
      <c r="D712" s="248">
        <v>1</v>
      </c>
      <c r="E712" s="247">
        <f>2*(1.2+0.3)</f>
        <v>3.0</v>
      </c>
      <c r="F712" s="247">
        <v>2.45</v>
      </c>
      <c r="H712" s="249">
        <f>PRODUCT(D712:G712)</f>
        <v>7.3500000000000005</v>
      </c>
      <c r="J712" s="253" t="inlineStr">
        <is>
          <t xml:space="preserve">1*2*(1.2+0.3)*2.45</t>
        </is>
      </c>
    </row>
    <row r="713">
      <c r="C713" s="246" t="inlineStr">
        <is>
          <t xml:space="preserve">COL-02D x15 - column faces (M2 to 2nd), ht 2.45</t>
        </is>
      </c>
      <c r="D713" s="248">
        <v>15</v>
      </c>
      <c r="E713" s="247">
        <f>2*(1.2+0.3)</f>
        <v>3.0</v>
      </c>
      <c r="F713" s="247">
        <v>2.45</v>
      </c>
      <c r="H713" s="249">
        <f>PRODUCT(D713:G713)</f>
        <v>110.25000000000001</v>
      </c>
      <c r="J713" s="253" t="inlineStr">
        <is>
          <t xml:space="preserve">15*2*(1.2+0.3)*2.45</t>
        </is>
      </c>
    </row>
    <row r="714">
      <c r="C714" s="246" t="inlineStr">
        <is>
          <t xml:space="preserve">SWC-01A x1 - column faces (1st to M2), ht 2.45</t>
        </is>
      </c>
      <c r="D714" s="248">
        <v>1</v>
      </c>
      <c r="E714" s="247">
        <f>2*(2.85+1.075)</f>
        <v>7.85</v>
      </c>
      <c r="F714" s="247">
        <v>2.45</v>
      </c>
      <c r="H714" s="249">
        <f>PRODUCT(D714:G714)</f>
        <v>19.2325</v>
      </c>
      <c r="J714" s="253" t="inlineStr">
        <is>
          <t xml:space="preserve">1*2*(2.85+1.075)*2.45</t>
        </is>
      </c>
    </row>
    <row r="715">
      <c r="C715" s="250" t="inlineStr">
        <is>
          <t xml:space="preserve">Total carried to BOQ  1ST FLR item L</t>
        </is>
      </c>
      <c r="D715" s="250" t="inlineStr">
        <is>
          <t xml:space="preserve"/>
        </is>
      </c>
      <c r="E715" s="250" t="inlineStr">
        <is>
          <t xml:space="preserve"/>
        </is>
      </c>
      <c r="F715" s="250" t="inlineStr">
        <is>
          <t xml:space="preserve"/>
        </is>
      </c>
      <c r="G715" s="250" t="inlineStr">
        <is>
          <t xml:space="preserve"/>
        </is>
      </c>
      <c r="H715" s="251">
        <f>SUM(H706:H714)</f>
        <v>258.1075</v>
      </c>
      <c r="I715" s="252" t="inlineStr">
        <is>
          <t xml:space="preserve">m2</t>
        </is>
      </c>
    </row>
    <row r="716">
      <c r="A716" s="243" t="inlineStr">
        <is>
          <t xml:space="preserve">1ST FLR</t>
        </is>
      </c>
      <c r="B716" s="243" t="inlineStr">
        <is>
          <t xml:space="preserve">M</t>
        </is>
      </c>
      <c r="C716" s="244" t="inlineStr">
        <is>
          <t xml:space="preserve">Concrete wall (both faces)</t>
        </is>
      </c>
      <c r="I716" s="245" t="inlineStr">
        <is>
          <t xml:space="preserve">m2</t>
        </is>
      </c>
      <c r="K716" s="256" t="inlineStr">
        <is>
          <t xml:space="preserve">'1ST FLR '!C56</t>
        </is>
      </c>
    </row>
    <row r="717">
      <c r="C717" s="246" t="inlineStr">
        <is>
          <t xml:space="preserve">First floor 2A (+4150) - main stair core walls (22.05 m run) (both faces)</t>
        </is>
      </c>
      <c r="D717" s="248">
        <v>2</v>
      </c>
      <c r="E717" s="247">
        <v>22.05</v>
      </c>
      <c r="F717" s="247">
        <v>2.45</v>
      </c>
      <c r="H717" s="249">
        <f>PRODUCT(D717:G717)</f>
        <v>108.04500000000002</v>
      </c>
      <c r="J717" s="253" t="inlineStr">
        <is>
          <t xml:space="preserve">2*22.05*2.45</t>
        </is>
      </c>
    </row>
    <row r="718">
      <c r="C718" s="246" t="inlineStr">
        <is>
          <t xml:space="preserve">First floor 2A (+4150) - lift core walls (21.825 m run) (both faces)</t>
        </is>
      </c>
      <c r="D718" s="248">
        <v>2</v>
      </c>
      <c r="E718" s="247">
        <v>21.825</v>
      </c>
      <c r="F718" s="247">
        <v>2.45</v>
      </c>
      <c r="H718" s="249">
        <f>PRODUCT(D718:G718)</f>
        <v>106.94250000000001</v>
      </c>
      <c r="J718" s="253" t="inlineStr">
        <is>
          <t xml:space="preserve">2*21.825*2.45</t>
        </is>
      </c>
    </row>
    <row r="719">
      <c r="C719" s="246" t="inlineStr">
        <is>
          <t xml:space="preserve">M2 level 2B (+5200) - emergency stair core walls (25.57 m run) (both faces)</t>
        </is>
      </c>
      <c r="D719" s="248">
        <v>2</v>
      </c>
      <c r="E719" s="247">
        <v>25.57</v>
      </c>
      <c r="F719" s="247">
        <v>2.45</v>
      </c>
      <c r="H719" s="249">
        <f>PRODUCT(D719:G719)</f>
        <v>125.293</v>
      </c>
      <c r="J719" s="253" t="inlineStr">
        <is>
          <t xml:space="preserve">2*25.57*2.45</t>
        </is>
      </c>
    </row>
    <row r="720">
      <c r="C720" s="250" t="inlineStr">
        <is>
          <t xml:space="preserve">Total carried to BOQ  1ST FLR item M</t>
        </is>
      </c>
      <c r="D720" s="250" t="inlineStr">
        <is>
          <t xml:space="preserve"/>
        </is>
      </c>
      <c r="E720" s="250" t="inlineStr">
        <is>
          <t xml:space="preserve"/>
        </is>
      </c>
      <c r="F720" s="250" t="inlineStr">
        <is>
          <t xml:space="preserve"/>
        </is>
      </c>
      <c r="G720" s="250" t="inlineStr">
        <is>
          <t xml:space="preserve"/>
        </is>
      </c>
      <c r="H720" s="251">
        <f>SUM(H717:H719)</f>
        <v>340.2805</v>
      </c>
      <c r="I720" s="252" t="inlineStr">
        <is>
          <t xml:space="preserve">m2</t>
        </is>
      </c>
    </row>
    <row r="721">
      <c r="A721" s="243" t="inlineStr">
        <is>
          <t xml:space="preserve">1ST FLR</t>
        </is>
      </c>
      <c r="B721" s="243" t="inlineStr">
        <is>
          <t xml:space="preserve">N</t>
        </is>
      </c>
      <c r="C721" s="244" t="inlineStr">
        <is>
          <t xml:space="preserve">Soffits of stair flights, landings and risers</t>
        </is>
      </c>
      <c r="I721" s="245" t="inlineStr">
        <is>
          <t xml:space="preserve">m2</t>
        </is>
      </c>
      <c r="K721" s="256" t="inlineStr">
        <is>
          <t xml:space="preserve">'1ST FLR '!C58</t>
        </is>
      </c>
    </row>
    <row r="722">
      <c r="C722" s="246" t="inlineStr">
        <is>
          <t xml:space="preserve">First floor 2A (+4150) - Main stair flight (storey ht 2.7) - flight soffits: 2 x 3.424 x 1.8</t>
        </is>
      </c>
      <c r="D722" s="248">
        <v>2</v>
      </c>
      <c r="E722" s="247">
        <v>3.424</v>
      </c>
      <c r="F722" s="247">
        <v>1.8</v>
      </c>
      <c r="H722" s="249">
        <f>PRODUCT(D722:G722)</f>
        <v>12.3264</v>
      </c>
      <c r="J722" s="253" t="inlineStr">
        <is>
          <t xml:space="preserve">2*3.424*1.8</t>
        </is>
      </c>
    </row>
    <row r="723">
      <c r="C723" s="246" t="inlineStr">
        <is>
          <t xml:space="preserve">First floor 2A (+4150) - Main stair flight (storey ht 2.7) - landing soffits</t>
        </is>
      </c>
      <c r="H723" s="247">
        <v>15.0</v>
      </c>
      <c r="J723" s="253" t="inlineStr">
        <is>
          <t xml:space="preserve">15.0</t>
        </is>
      </c>
    </row>
    <row r="724">
      <c r="C724" s="246" t="inlineStr">
        <is>
          <t xml:space="preserve">First floor 2A (+4150) - Main stair flight (storey ht 2.7) - risers: 22 x 0.15 x 1.8</t>
        </is>
      </c>
      <c r="D724" s="248">
        <v>22</v>
      </c>
      <c r="E724" s="247">
        <v>0.15</v>
      </c>
      <c r="F724" s="247">
        <v>1.8</v>
      </c>
      <c r="H724" s="249">
        <f>PRODUCT(D724:G724)</f>
        <v>5.9399999999999995</v>
      </c>
      <c r="J724" s="253" t="inlineStr">
        <is>
          <t xml:space="preserve">22*0.15*1.8</t>
        </is>
      </c>
    </row>
    <row r="725">
      <c r="C725" s="246" t="inlineStr">
        <is>
          <t xml:space="preserve">M2 level 2B (+5200) - Emergency stair flight (storey ht 2.7) - flight soffits: 2 x 3.424 x 1.8</t>
        </is>
      </c>
      <c r="D725" s="248">
        <v>2</v>
      </c>
      <c r="E725" s="247">
        <v>3.424</v>
      </c>
      <c r="F725" s="247">
        <v>1.8</v>
      </c>
      <c r="H725" s="249">
        <f>PRODUCT(D725:G725)</f>
        <v>12.3264</v>
      </c>
      <c r="J725" s="253" t="inlineStr">
        <is>
          <t xml:space="preserve">2*3.424*1.8</t>
        </is>
      </c>
    </row>
    <row r="726">
      <c r="C726" s="246" t="inlineStr">
        <is>
          <t xml:space="preserve">M2 level 2B (+5200) - Emergency stair flight (storey ht 2.7) - landing soffits</t>
        </is>
      </c>
      <c r="H726" s="247">
        <v>15.0</v>
      </c>
      <c r="J726" s="253" t="inlineStr">
        <is>
          <t xml:space="preserve">15.0</t>
        </is>
      </c>
    </row>
    <row r="727">
      <c r="C727" s="246" t="inlineStr">
        <is>
          <t xml:space="preserve">M2 level 2B (+5200) - Emergency stair flight (storey ht 2.7) - risers: 22 x 0.15 x 1.8</t>
        </is>
      </c>
      <c r="D727" s="248">
        <v>22</v>
      </c>
      <c r="E727" s="247">
        <v>0.15</v>
      </c>
      <c r="F727" s="247">
        <v>1.8</v>
      </c>
      <c r="H727" s="249">
        <f>PRODUCT(D727:G727)</f>
        <v>5.9399999999999995</v>
      </c>
      <c r="J727" s="253" t="inlineStr">
        <is>
          <t xml:space="preserve">22*0.15*1.8</t>
        </is>
      </c>
    </row>
    <row r="728">
      <c r="C728" s="250" t="inlineStr">
        <is>
          <t xml:space="preserve">Total carried to BOQ  1ST FLR item N</t>
        </is>
      </c>
      <c r="D728" s="250" t="inlineStr">
        <is>
          <t xml:space="preserve"/>
        </is>
      </c>
      <c r="E728" s="250" t="inlineStr">
        <is>
          <t xml:space="preserve"/>
        </is>
      </c>
      <c r="F728" s="250" t="inlineStr">
        <is>
          <t xml:space="preserve"/>
        </is>
      </c>
      <c r="G728" s="250" t="inlineStr">
        <is>
          <t xml:space="preserve"/>
        </is>
      </c>
      <c r="H728" s="251">
        <f>SUM(H722:H727)</f>
        <v>66.5328</v>
      </c>
      <c r="I728" s="252" t="inlineStr">
        <is>
          <t xml:space="preserve">m2</t>
        </is>
      </c>
    </row>
    <row r="729">
      <c r="A729" s="243" t="inlineStr">
        <is>
          <t xml:space="preserve">1ST FLR</t>
        </is>
      </c>
      <c r="B729" s="243" t="inlineStr">
        <is>
          <t xml:space="preserve">P</t>
        </is>
      </c>
      <c r="C729" s="244" t="inlineStr">
        <is>
          <t xml:space="preserve">Side and soffits of lintel / coping</t>
        </is>
      </c>
      <c r="I729" s="245" t="inlineStr">
        <is>
          <t xml:space="preserve">m2</t>
        </is>
      </c>
      <c r="K729" s="256" t="inlineStr">
        <is>
          <t xml:space="preserve">'1ST FLR '!C60</t>
        </is>
      </c>
    </row>
    <row r="730">
      <c r="C730" s="246" t="inlineStr">
        <is>
          <t xml:space="preserve">First floor (2A) - Lintel / coping formwork</t>
        </is>
      </c>
      <c r="D730" s="248">
        <v>3</v>
      </c>
      <c r="E730" s="247">
        <f>1+0.3</f>
        <v>1.3</v>
      </c>
      <c r="F730" s="247">
        <f>2*0.225+0.15</f>
        <v>0.6</v>
      </c>
      <c r="H730" s="249">
        <f>PRODUCT(D730:G730)</f>
        <v>2.3400000000000003</v>
      </c>
      <c r="J730" s="253" t="inlineStr">
        <is>
          <t xml:space="preserve">3*(1+0.3)*(2*0.225+0.15)</t>
        </is>
      </c>
    </row>
    <row r="731">
      <c r="C731" s="250" t="inlineStr">
        <is>
          <t xml:space="preserve">Total carried to BOQ  1ST FLR item P</t>
        </is>
      </c>
      <c r="D731" s="250" t="inlineStr">
        <is>
          <t xml:space="preserve"/>
        </is>
      </c>
      <c r="E731" s="250" t="inlineStr">
        <is>
          <t xml:space="preserve"/>
        </is>
      </c>
      <c r="F731" s="250" t="inlineStr">
        <is>
          <t xml:space="preserve"/>
        </is>
      </c>
      <c r="G731" s="250" t="inlineStr">
        <is>
          <t xml:space="preserve"/>
        </is>
      </c>
      <c r="H731" s="251">
        <f>SUM(H730:H730)</f>
        <v>2.3400000000000003</v>
      </c>
      <c r="I731" s="252" t="inlineStr">
        <is>
          <t xml:space="preserve">m2</t>
        </is>
      </c>
    </row>
    <row r="732">
      <c r="C732" s="242" t="inlineStr">
        <is>
          <t xml:space="preserve">E30 REINFORCEMENT - High tensile yield round bar reinforcement (standard) to BS 4449:</t>
        </is>
      </c>
    </row>
    <row r="733">
      <c r="A733" s="243" t="inlineStr">
        <is>
          <t xml:space="preserve">1ST FLR</t>
        </is>
      </c>
      <c r="B733" s="243" t="inlineStr">
        <is>
          <t xml:space="preserve">Q</t>
        </is>
      </c>
      <c r="C733" s="244" t="inlineStr">
        <is>
          <t xml:space="preserve">10mm diameter in columns</t>
        </is>
      </c>
      <c r="I733" s="245" t="inlineStr">
        <is>
          <t xml:space="preserve">t</t>
        </is>
      </c>
      <c r="K733" s="256" t="inlineStr">
        <is>
          <t xml:space="preserve">'1ST FLR '!C65</t>
        </is>
      </c>
    </row>
    <row r="734">
      <c r="C734" s="246" t="inlineStr">
        <is>
          <t xml:space="preserve">First floor 2A (+4150) - Columns, Y10 (from reinforcement take-off / BBS)</t>
        </is>
      </c>
      <c r="H734" s="247">
        <v>2.717</v>
      </c>
      <c r="J734" s="253" t="inlineStr">
        <is>
          <t xml:space="preserve">2.717</t>
        </is>
      </c>
    </row>
    <row r="735">
      <c r="C735" s="246" t="inlineStr">
        <is>
          <t xml:space="preserve">M2 level 2B (+5200) - Columns, Y10 (from reinforcement take-off / BBS)</t>
        </is>
      </c>
      <c r="H735" s="247">
        <v>1.656</v>
      </c>
      <c r="J735" s="253" t="inlineStr">
        <is>
          <t xml:space="preserve">1.656</t>
        </is>
      </c>
    </row>
    <row r="736">
      <c r="C736" s="250" t="inlineStr">
        <is>
          <t xml:space="preserve">Total carried to BOQ  1ST FLR item Q</t>
        </is>
      </c>
      <c r="D736" s="250" t="inlineStr">
        <is>
          <t xml:space="preserve"/>
        </is>
      </c>
      <c r="E736" s="250" t="inlineStr">
        <is>
          <t xml:space="preserve"/>
        </is>
      </c>
      <c r="F736" s="250" t="inlineStr">
        <is>
          <t xml:space="preserve"/>
        </is>
      </c>
      <c r="G736" s="250" t="inlineStr">
        <is>
          <t xml:space="preserve"/>
        </is>
      </c>
      <c r="H736" s="251">
        <f>SUM(H734:H735)</f>
        <v>4.373</v>
      </c>
      <c r="I736" s="252" t="inlineStr">
        <is>
          <t xml:space="preserve">t</t>
        </is>
      </c>
    </row>
    <row r="737">
      <c r="A737" s="243" t="inlineStr">
        <is>
          <t xml:space="preserve">1ST FLR</t>
        </is>
      </c>
      <c r="B737" s="243" t="inlineStr">
        <is>
          <t xml:space="preserve">R</t>
        </is>
      </c>
      <c r="C737" s="244" t="inlineStr">
        <is>
          <t xml:space="preserve">20mm diameter in columns</t>
        </is>
      </c>
      <c r="I737" s="245" t="inlineStr">
        <is>
          <t xml:space="preserve">t</t>
        </is>
      </c>
      <c r="K737" s="256" t="inlineStr">
        <is>
          <t xml:space="preserve">'1ST FLR '!C67</t>
        </is>
      </c>
    </row>
    <row r="738">
      <c r="C738" s="246" t="inlineStr">
        <is>
          <t xml:space="preserve">First floor 2A (+4150) - Columns, Y20 (from reinforcement take-off / BBS)</t>
        </is>
      </c>
      <c r="H738" s="247">
        <v>0.462</v>
      </c>
      <c r="J738" s="253" t="inlineStr">
        <is>
          <t xml:space="preserve">0.462</t>
        </is>
      </c>
    </row>
    <row r="739">
      <c r="C739" s="246" t="inlineStr">
        <is>
          <t xml:space="preserve">M2 level 2B (+5200) - Columns, Y20 (from reinforcement take-off / BBS)</t>
        </is>
      </c>
      <c r="H739" s="247">
        <v>0.154</v>
      </c>
      <c r="J739" s="253" t="inlineStr">
        <is>
          <t xml:space="preserve">0.154</t>
        </is>
      </c>
    </row>
    <row r="740">
      <c r="C740" s="250" t="inlineStr">
        <is>
          <t xml:space="preserve">Total carried to BOQ  1ST FLR item R</t>
        </is>
      </c>
      <c r="D740" s="250" t="inlineStr">
        <is>
          <t xml:space="preserve"/>
        </is>
      </c>
      <c r="E740" s="250" t="inlineStr">
        <is>
          <t xml:space="preserve"/>
        </is>
      </c>
      <c r="F740" s="250" t="inlineStr">
        <is>
          <t xml:space="preserve"/>
        </is>
      </c>
      <c r="G740" s="250" t="inlineStr">
        <is>
          <t xml:space="preserve"/>
        </is>
      </c>
      <c r="H740" s="251">
        <f>SUM(H738:H739)</f>
        <v>0.616</v>
      </c>
      <c r="I740" s="252" t="inlineStr">
        <is>
          <t xml:space="preserve">t</t>
        </is>
      </c>
    </row>
    <row r="741">
      <c r="A741" s="243" t="inlineStr">
        <is>
          <t xml:space="preserve">1ST FLR</t>
        </is>
      </c>
      <c r="B741" s="243" t="inlineStr">
        <is>
          <t xml:space="preserve">S</t>
        </is>
      </c>
      <c r="C741" s="244" t="inlineStr">
        <is>
          <t xml:space="preserve">25mm diameter in columns</t>
        </is>
      </c>
      <c r="I741" s="245" t="inlineStr">
        <is>
          <t xml:space="preserve">t</t>
        </is>
      </c>
      <c r="K741" s="256" t="inlineStr">
        <is>
          <t xml:space="preserve">'1ST FLR '!C69</t>
        </is>
      </c>
    </row>
    <row r="742">
      <c r="C742" s="246" t="inlineStr">
        <is>
          <t xml:space="preserve">First floor 2A (+4150) - Columns, Y25 (from reinforcement take-off / BBS)</t>
        </is>
      </c>
      <c r="H742" s="247">
        <v>4.634</v>
      </c>
      <c r="J742" s="253" t="inlineStr">
        <is>
          <t xml:space="preserve">4.634</t>
        </is>
      </c>
    </row>
    <row r="743">
      <c r="C743" s="246" t="inlineStr">
        <is>
          <t xml:space="preserve">M2 level 2B (+5200) - Columns, Y25 (from reinforcement take-off / BBS)</t>
        </is>
      </c>
      <c r="H743" s="247">
        <v>4.062</v>
      </c>
      <c r="J743" s="253" t="inlineStr">
        <is>
          <t xml:space="preserve">4.062</t>
        </is>
      </c>
    </row>
    <row r="744">
      <c r="C744" s="250" t="inlineStr">
        <is>
          <t xml:space="preserve">Total carried to BOQ  1ST FLR item S</t>
        </is>
      </c>
      <c r="D744" s="250" t="inlineStr">
        <is>
          <t xml:space="preserve"/>
        </is>
      </c>
      <c r="E744" s="250" t="inlineStr">
        <is>
          <t xml:space="preserve"/>
        </is>
      </c>
      <c r="F744" s="250" t="inlineStr">
        <is>
          <t xml:space="preserve"/>
        </is>
      </c>
      <c r="G744" s="250" t="inlineStr">
        <is>
          <t xml:space="preserve"/>
        </is>
      </c>
      <c r="H744" s="251">
        <f>SUM(H742:H743)</f>
        <v>8.696000000000002</v>
      </c>
      <c r="I744" s="252" t="inlineStr">
        <is>
          <t xml:space="preserve">t</t>
        </is>
      </c>
    </row>
    <row r="745">
      <c r="A745" s="243" t="inlineStr">
        <is>
          <t xml:space="preserve">1ST FLR</t>
        </is>
      </c>
      <c r="B745" s="243" t="inlineStr">
        <is>
          <t xml:space="preserve">T</t>
        </is>
      </c>
      <c r="C745" s="244" t="inlineStr">
        <is>
          <t xml:space="preserve">10mm diameter in beams (links)</t>
        </is>
      </c>
      <c r="I745" s="245" t="inlineStr">
        <is>
          <t xml:space="preserve">t</t>
        </is>
      </c>
      <c r="K745" s="256" t="inlineStr">
        <is>
          <t xml:space="preserve">'1ST FLR '!C71</t>
        </is>
      </c>
    </row>
    <row r="746">
      <c r="C746" s="246" t="inlineStr">
        <is>
          <t xml:space="preserve">First floor 2A (+4150) - Beams, Y10 (from reinforcement take-off / BBS)</t>
        </is>
      </c>
      <c r="H746" s="247">
        <v>0.977</v>
      </c>
      <c r="J746" s="253" t="inlineStr">
        <is>
          <t xml:space="preserve">0.977</t>
        </is>
      </c>
    </row>
    <row r="747">
      <c r="C747" s="246" t="inlineStr">
        <is>
          <t xml:space="preserve">M2 level 2B (+5200) - Beams, Y10 (from reinforcement take-off / BBS)</t>
        </is>
      </c>
      <c r="H747" s="247">
        <v>0.644</v>
      </c>
      <c r="J747" s="253" t="inlineStr">
        <is>
          <t xml:space="preserve">0.644</t>
        </is>
      </c>
    </row>
    <row r="748">
      <c r="C748" s="250" t="inlineStr">
        <is>
          <t xml:space="preserve">Total carried to BOQ  1ST FLR item T</t>
        </is>
      </c>
      <c r="D748" s="250" t="inlineStr">
        <is>
          <t xml:space="preserve"/>
        </is>
      </c>
      <c r="E748" s="250" t="inlineStr">
        <is>
          <t xml:space="preserve"/>
        </is>
      </c>
      <c r="F748" s="250" t="inlineStr">
        <is>
          <t xml:space="preserve"/>
        </is>
      </c>
      <c r="G748" s="250" t="inlineStr">
        <is>
          <t xml:space="preserve"/>
        </is>
      </c>
      <c r="H748" s="251">
        <f>SUM(H746:H747)</f>
        <v>1.621</v>
      </c>
      <c r="I748" s="252" t="inlineStr">
        <is>
          <t xml:space="preserve">t</t>
        </is>
      </c>
    </row>
    <row r="749">
      <c r="A749" s="243" t="inlineStr">
        <is>
          <t xml:space="preserve">1ST FLR</t>
        </is>
      </c>
      <c r="B749" s="243" t="inlineStr">
        <is>
          <t xml:space="preserve">U</t>
        </is>
      </c>
      <c r="C749" s="244" t="inlineStr">
        <is>
          <t xml:space="preserve">16mm diameter in beams</t>
        </is>
      </c>
      <c r="I749" s="245" t="inlineStr">
        <is>
          <t xml:space="preserve">t</t>
        </is>
      </c>
      <c r="K749" s="256" t="inlineStr">
        <is>
          <t xml:space="preserve">'1ST FLR '!C73</t>
        </is>
      </c>
    </row>
    <row r="750">
      <c r="C750" s="246" t="inlineStr">
        <is>
          <t xml:space="preserve">First floor 2A (+4150) - Beams, Y16 (from reinforcement take-off / BBS)</t>
        </is>
      </c>
      <c r="H750" s="247">
        <v>0.763</v>
      </c>
      <c r="J750" s="253" t="inlineStr">
        <is>
          <t xml:space="preserve">0.763</t>
        </is>
      </c>
    </row>
    <row r="751">
      <c r="C751" s="246" t="inlineStr">
        <is>
          <t xml:space="preserve">M2 level 2B (+5200) - Beams, Y16 (from reinforcement take-off / BBS)</t>
        </is>
      </c>
      <c r="H751" s="247">
        <v>0.46</v>
      </c>
      <c r="J751" s="253" t="inlineStr">
        <is>
          <t xml:space="preserve">0.460</t>
        </is>
      </c>
    </row>
    <row r="752">
      <c r="C752" s="250" t="inlineStr">
        <is>
          <t xml:space="preserve">Total carried to BOQ  1ST FLR item U</t>
        </is>
      </c>
      <c r="D752" s="250" t="inlineStr">
        <is>
          <t xml:space="preserve"/>
        </is>
      </c>
      <c r="E752" s="250" t="inlineStr">
        <is>
          <t xml:space="preserve"/>
        </is>
      </c>
      <c r="F752" s="250" t="inlineStr">
        <is>
          <t xml:space="preserve"/>
        </is>
      </c>
      <c r="G752" s="250" t="inlineStr">
        <is>
          <t xml:space="preserve"/>
        </is>
      </c>
      <c r="H752" s="251">
        <f>SUM(H750:H751)</f>
        <v>1.223</v>
      </c>
      <c r="I752" s="252" t="inlineStr">
        <is>
          <t xml:space="preserve">t</t>
        </is>
      </c>
    </row>
    <row r="753">
      <c r="A753" s="243" t="inlineStr">
        <is>
          <t xml:space="preserve">1ST FLR</t>
        </is>
      </c>
      <c r="B753" s="243" t="inlineStr">
        <is>
          <t xml:space="preserve">V</t>
        </is>
      </c>
      <c r="C753" s="244" t="inlineStr">
        <is>
          <t xml:space="preserve">20mm diameter in beams</t>
        </is>
      </c>
      <c r="I753" s="245" t="inlineStr">
        <is>
          <t xml:space="preserve">t</t>
        </is>
      </c>
      <c r="K753" s="256" t="inlineStr">
        <is>
          <t xml:space="preserve">'1ST FLR '!C75</t>
        </is>
      </c>
    </row>
    <row r="754">
      <c r="C754" s="246" t="inlineStr">
        <is>
          <t xml:space="preserve">First floor 2A (+4150) - Beams, Y20 (from reinforcement take-off / BBS)</t>
        </is>
      </c>
      <c r="H754" s="247">
        <v>0.797</v>
      </c>
      <c r="J754" s="253" t="inlineStr">
        <is>
          <t xml:space="preserve">0.797</t>
        </is>
      </c>
    </row>
    <row r="755">
      <c r="C755" s="246" t="inlineStr">
        <is>
          <t xml:space="preserve">M2 level 2B (+5200) - Beams, Y20 (from reinforcement take-off / BBS)</t>
        </is>
      </c>
      <c r="H755" s="247">
        <v>0.802</v>
      </c>
      <c r="J755" s="253" t="inlineStr">
        <is>
          <t xml:space="preserve">0.802</t>
        </is>
      </c>
    </row>
    <row r="756">
      <c r="C756" s="250" t="inlineStr">
        <is>
          <t xml:space="preserve">Total carried to BOQ  1ST FLR item V</t>
        </is>
      </c>
      <c r="D756" s="250" t="inlineStr">
        <is>
          <t xml:space="preserve"/>
        </is>
      </c>
      <c r="E756" s="250" t="inlineStr">
        <is>
          <t xml:space="preserve"/>
        </is>
      </c>
      <c r="F756" s="250" t="inlineStr">
        <is>
          <t xml:space="preserve"/>
        </is>
      </c>
      <c r="G756" s="250" t="inlineStr">
        <is>
          <t xml:space="preserve"/>
        </is>
      </c>
      <c r="H756" s="251">
        <f>SUM(H754:H755)</f>
        <v>1.5990000000000002</v>
      </c>
      <c r="I756" s="252" t="inlineStr">
        <is>
          <t xml:space="preserve">t</t>
        </is>
      </c>
    </row>
    <row r="757">
      <c r="A757" s="243" t="inlineStr">
        <is>
          <t xml:space="preserve">1ST FLR</t>
        </is>
      </c>
      <c r="B757" s="243" t="inlineStr">
        <is>
          <t xml:space="preserve">W</t>
        </is>
      </c>
      <c r="C757" s="244" t="inlineStr">
        <is>
          <t xml:space="preserve">25mm diameter in beams</t>
        </is>
      </c>
      <c r="I757" s="245" t="inlineStr">
        <is>
          <t xml:space="preserve">t</t>
        </is>
      </c>
      <c r="K757" s="256" t="inlineStr">
        <is>
          <t xml:space="preserve">'1ST FLR '!C77</t>
        </is>
      </c>
    </row>
    <row r="758">
      <c r="C758" s="246" t="inlineStr">
        <is>
          <t xml:space="preserve">First floor 2A (+4150) - Beams, Y25 (from reinforcement take-off / BBS)</t>
        </is>
      </c>
      <c r="H758" s="247">
        <v>2.973</v>
      </c>
      <c r="J758" s="253" t="inlineStr">
        <is>
          <t xml:space="preserve">2.973</t>
        </is>
      </c>
    </row>
    <row r="759">
      <c r="C759" s="246" t="inlineStr">
        <is>
          <t xml:space="preserve">M2 level 2B (+5200) - Beams, Y25 (from reinforcement take-off / BBS)</t>
        </is>
      </c>
      <c r="H759" s="247">
        <v>1.624</v>
      </c>
      <c r="J759" s="253" t="inlineStr">
        <is>
          <t xml:space="preserve">1.624</t>
        </is>
      </c>
    </row>
    <row r="760">
      <c r="C760" s="250" t="inlineStr">
        <is>
          <t xml:space="preserve">Total carried to BOQ  1ST FLR item W</t>
        </is>
      </c>
      <c r="D760" s="250" t="inlineStr">
        <is>
          <t xml:space="preserve"/>
        </is>
      </c>
      <c r="E760" s="250" t="inlineStr">
        <is>
          <t xml:space="preserve"/>
        </is>
      </c>
      <c r="F760" s="250" t="inlineStr">
        <is>
          <t xml:space="preserve"/>
        </is>
      </c>
      <c r="G760" s="250" t="inlineStr">
        <is>
          <t xml:space="preserve"/>
        </is>
      </c>
      <c r="H760" s="251">
        <f>SUM(H758:H759)</f>
        <v>4.5969999999999995</v>
      </c>
      <c r="I760" s="252" t="inlineStr">
        <is>
          <t xml:space="preserve">t</t>
        </is>
      </c>
    </row>
    <row r="761">
      <c r="A761" s="243" t="inlineStr">
        <is>
          <t xml:space="preserve">1ST FLR</t>
        </is>
      </c>
      <c r="B761" s="243" t="inlineStr">
        <is>
          <t xml:space="preserve">X</t>
        </is>
      </c>
      <c r="C761" s="244" t="inlineStr">
        <is>
          <t xml:space="preserve">10mm diameter in shear &amp; lift walls (links)</t>
        </is>
      </c>
      <c r="I761" s="245" t="inlineStr">
        <is>
          <t xml:space="preserve">t</t>
        </is>
      </c>
      <c r="K761" s="256" t="inlineStr">
        <is>
          <t xml:space="preserve">'1ST FLR '!C79</t>
        </is>
      </c>
    </row>
    <row r="762">
      <c r="C762" s="246" t="inlineStr">
        <is>
          <t xml:space="preserve">First floor 2A (+4150) - Shear Walls, Y10 (from reinforcement take-off / BBS)</t>
        </is>
      </c>
      <c r="H762" s="247">
        <v>0.52</v>
      </c>
      <c r="J762" s="253" t="inlineStr">
        <is>
          <t xml:space="preserve">0.520</t>
        </is>
      </c>
    </row>
    <row r="763">
      <c r="C763" s="246" t="inlineStr">
        <is>
          <t xml:space="preserve">First floor 2A (+4150) - Lift Walls, Y10 (from reinforcement take-off / BBS)</t>
        </is>
      </c>
      <c r="H763" s="247">
        <v>0.52</v>
      </c>
      <c r="J763" s="253" t="inlineStr">
        <is>
          <t xml:space="preserve">0.520</t>
        </is>
      </c>
    </row>
    <row r="764">
      <c r="C764" s="246" t="inlineStr">
        <is>
          <t xml:space="preserve">M2 level 2B (+5200) - Shear Walls, Y10 (from reinforcement take-off / BBS)</t>
        </is>
      </c>
      <c r="H764" s="247">
        <v>0.66</v>
      </c>
      <c r="J764" s="253" t="inlineStr">
        <is>
          <t xml:space="preserve">0.660</t>
        </is>
      </c>
    </row>
    <row r="765">
      <c r="C765" s="250" t="inlineStr">
        <is>
          <t xml:space="preserve">Total carried to BOQ  1ST FLR item X</t>
        </is>
      </c>
      <c r="D765" s="250" t="inlineStr">
        <is>
          <t xml:space="preserve"/>
        </is>
      </c>
      <c r="E765" s="250" t="inlineStr">
        <is>
          <t xml:space="preserve"/>
        </is>
      </c>
      <c r="F765" s="250" t="inlineStr">
        <is>
          <t xml:space="preserve"/>
        </is>
      </c>
      <c r="G765" s="250" t="inlineStr">
        <is>
          <t xml:space="preserve"/>
        </is>
      </c>
      <c r="H765" s="251">
        <f>SUM(H762:H764)</f>
        <v>1.7000000000000002</v>
      </c>
      <c r="I765" s="252" t="inlineStr">
        <is>
          <t xml:space="preserve">t</t>
        </is>
      </c>
    </row>
    <row r="766">
      <c r="A766" s="243" t="inlineStr">
        <is>
          <t xml:space="preserve">1ST FLR</t>
        </is>
      </c>
      <c r="B766" s="243" t="inlineStr">
        <is>
          <t xml:space="preserve">Y</t>
        </is>
      </c>
      <c r="C766" s="244" t="inlineStr">
        <is>
          <t xml:space="preserve">12mm diameter in shear, lift &amp; ramp walls</t>
        </is>
      </c>
      <c r="I766" s="245" t="inlineStr">
        <is>
          <t xml:space="preserve">t</t>
        </is>
      </c>
      <c r="K766" s="256" t="inlineStr">
        <is>
          <t xml:space="preserve">'1ST FLR '!C81</t>
        </is>
      </c>
    </row>
    <row r="767">
      <c r="C767" s="246" t="inlineStr">
        <is>
          <t xml:space="preserve">First floor 2A (+4150) - Shear Walls, Y12 (from reinforcement take-off / BBS)</t>
        </is>
      </c>
      <c r="H767" s="247">
        <v>0.699</v>
      </c>
      <c r="J767" s="253" t="inlineStr">
        <is>
          <t xml:space="preserve">0.699</t>
        </is>
      </c>
    </row>
    <row r="768">
      <c r="C768" s="246" t="inlineStr">
        <is>
          <t xml:space="preserve">First floor 2A (+4150) - Lift Walls, Y12 (from reinforcement take-off / BBS)</t>
        </is>
      </c>
      <c r="H768" s="247">
        <v>0.692</v>
      </c>
      <c r="J768" s="253" t="inlineStr">
        <is>
          <t xml:space="preserve">0.692</t>
        </is>
      </c>
    </row>
    <row r="769">
      <c r="C769" s="246" t="inlineStr">
        <is>
          <t xml:space="preserve">M2 level 2B (+5200) - Shear Walls, Y12 (from reinforcement take-off / BBS)</t>
        </is>
      </c>
      <c r="H769" s="247">
        <v>0.835</v>
      </c>
      <c r="J769" s="253" t="inlineStr">
        <is>
          <t xml:space="preserve">0.835</t>
        </is>
      </c>
    </row>
    <row r="770">
      <c r="C770" s="250" t="inlineStr">
        <is>
          <t xml:space="preserve">Total carried to BOQ  1ST FLR item Y</t>
        </is>
      </c>
      <c r="D770" s="250" t="inlineStr">
        <is>
          <t xml:space="preserve"/>
        </is>
      </c>
      <c r="E770" s="250" t="inlineStr">
        <is>
          <t xml:space="preserve"/>
        </is>
      </c>
      <c r="F770" s="250" t="inlineStr">
        <is>
          <t xml:space="preserve"/>
        </is>
      </c>
      <c r="G770" s="250" t="inlineStr">
        <is>
          <t xml:space="preserve"/>
        </is>
      </c>
      <c r="H770" s="251">
        <f>SUM(H767:H769)</f>
        <v>2.226</v>
      </c>
      <c r="I770" s="252" t="inlineStr">
        <is>
          <t xml:space="preserve">t</t>
        </is>
      </c>
    </row>
    <row r="771">
      <c r="A771" s="243" t="inlineStr">
        <is>
          <t xml:space="preserve">1ST FLR</t>
        </is>
      </c>
      <c r="B771" s="243" t="inlineStr">
        <is>
          <t xml:space="preserve">Z</t>
        </is>
      </c>
      <c r="C771" s="244" t="inlineStr">
        <is>
          <t xml:space="preserve">25mm diameter in shear &amp; lift walls</t>
        </is>
      </c>
      <c r="I771" s="245" t="inlineStr">
        <is>
          <t xml:space="preserve">t</t>
        </is>
      </c>
      <c r="K771" s="256" t="inlineStr">
        <is>
          <t xml:space="preserve">'1ST FLR '!C83</t>
        </is>
      </c>
    </row>
    <row r="772">
      <c r="C772" s="246" t="inlineStr">
        <is>
          <t xml:space="preserve">First floor 2A (+4150) - Shear Walls, Y25 (from reinforcement take-off / BBS)</t>
        </is>
      </c>
      <c r="H772" s="247">
        <v>4.539</v>
      </c>
      <c r="J772" s="253" t="inlineStr">
        <is>
          <t xml:space="preserve">4.539</t>
        </is>
      </c>
    </row>
    <row r="773">
      <c r="C773" s="246" t="inlineStr">
        <is>
          <t xml:space="preserve">First floor 2A (+4150) - Lift Walls, Y25 (from reinforcement take-off / BBS)</t>
        </is>
      </c>
      <c r="H773" s="247">
        <v>4.682</v>
      </c>
      <c r="J773" s="253" t="inlineStr">
        <is>
          <t xml:space="preserve">4.682</t>
        </is>
      </c>
    </row>
    <row r="774">
      <c r="C774" s="246" t="inlineStr">
        <is>
          <t xml:space="preserve">M2 level 2B (+5200) - Shear Walls, Y25 (from reinforcement take-off / BBS)</t>
        </is>
      </c>
      <c r="H774" s="247">
        <v>5.196</v>
      </c>
      <c r="J774" s="253" t="inlineStr">
        <is>
          <t xml:space="preserve">5.196</t>
        </is>
      </c>
    </row>
    <row r="775">
      <c r="C775" s="250" t="inlineStr">
        <is>
          <t xml:space="preserve">Total carried to BOQ  1ST FLR item Z</t>
        </is>
      </c>
      <c r="D775" s="250" t="inlineStr">
        <is>
          <t xml:space="preserve"/>
        </is>
      </c>
      <c r="E775" s="250" t="inlineStr">
        <is>
          <t xml:space="preserve"/>
        </is>
      </c>
      <c r="F775" s="250" t="inlineStr">
        <is>
          <t xml:space="preserve"/>
        </is>
      </c>
      <c r="G775" s="250" t="inlineStr">
        <is>
          <t xml:space="preserve"/>
        </is>
      </c>
      <c r="H775" s="251">
        <f>SUM(H772:H774)</f>
        <v>14.417</v>
      </c>
      <c r="I775" s="252" t="inlineStr">
        <is>
          <t xml:space="preserve">t</t>
        </is>
      </c>
    </row>
    <row r="776">
      <c r="A776" s="243" t="inlineStr">
        <is>
          <t xml:space="preserve">1ST FLR</t>
        </is>
      </c>
      <c r="B776" s="243" t="inlineStr">
        <is>
          <t xml:space="preserve">A</t>
        </is>
      </c>
      <c r="C776" s="244" t="inlineStr">
        <is>
          <t xml:space="preserve">12mm diameter in stairs</t>
        </is>
      </c>
      <c r="I776" s="245" t="inlineStr">
        <is>
          <t xml:space="preserve">t</t>
        </is>
      </c>
      <c r="K776" s="256" t="inlineStr">
        <is>
          <t xml:space="preserve">'1ST FLR '!C85</t>
        </is>
      </c>
    </row>
    <row r="777">
      <c r="C777" s="246" t="inlineStr">
        <is>
          <t xml:space="preserve">First floor 2A (+4150) - Staircases, Y12 (from reinforcement take-off / BBS)</t>
        </is>
      </c>
      <c r="H777" s="247">
        <v>0.44</v>
      </c>
      <c r="J777" s="253" t="inlineStr">
        <is>
          <t xml:space="preserve">0.440</t>
        </is>
      </c>
    </row>
    <row r="778">
      <c r="C778" s="246" t="inlineStr">
        <is>
          <t xml:space="preserve">M2 level 2B (+5200) - Staircases, Y12 (from reinforcement take-off / BBS)</t>
        </is>
      </c>
      <c r="H778" s="247">
        <v>0.44</v>
      </c>
      <c r="J778" s="253" t="inlineStr">
        <is>
          <t xml:space="preserve">0.440</t>
        </is>
      </c>
    </row>
    <row r="779">
      <c r="C779" s="250" t="inlineStr">
        <is>
          <t xml:space="preserve">Total carried to BOQ  1ST FLR item A</t>
        </is>
      </c>
      <c r="D779" s="250" t="inlineStr">
        <is>
          <t xml:space="preserve"/>
        </is>
      </c>
      <c r="E779" s="250" t="inlineStr">
        <is>
          <t xml:space="preserve"/>
        </is>
      </c>
      <c r="F779" s="250" t="inlineStr">
        <is>
          <t xml:space="preserve"/>
        </is>
      </c>
      <c r="G779" s="250" t="inlineStr">
        <is>
          <t xml:space="preserve"/>
        </is>
      </c>
      <c r="H779" s="251">
        <f>SUM(H777:H778)</f>
        <v>0.88</v>
      </c>
      <c r="I779" s="252" t="inlineStr">
        <is>
          <t xml:space="preserve">t</t>
        </is>
      </c>
    </row>
    <row r="780">
      <c r="A780" s="243" t="inlineStr">
        <is>
          <t xml:space="preserve">1ST FLR</t>
        </is>
      </c>
      <c r="B780" s="243" t="inlineStr">
        <is>
          <t xml:space="preserve">B</t>
        </is>
      </c>
      <c r="C780" s="244" t="inlineStr">
        <is>
          <t xml:space="preserve">16mm diameter in stairs</t>
        </is>
      </c>
      <c r="I780" s="245" t="inlineStr">
        <is>
          <t xml:space="preserve">t</t>
        </is>
      </c>
      <c r="K780" s="256" t="inlineStr">
        <is>
          <t xml:space="preserve">'1ST FLR '!C87</t>
        </is>
      </c>
    </row>
    <row r="781">
      <c r="C781" s="246" t="inlineStr">
        <is>
          <t xml:space="preserve">First floor 2A (+4150) - Staircases, Y16 (from reinforcement take-off / BBS)</t>
        </is>
      </c>
      <c r="H781" s="247">
        <v>0.74</v>
      </c>
      <c r="J781" s="253" t="inlineStr">
        <is>
          <t xml:space="preserve">0.740</t>
        </is>
      </c>
    </row>
    <row r="782">
      <c r="C782" s="246" t="inlineStr">
        <is>
          <t xml:space="preserve">M2 level 2B (+5200) - Staircases, Y16 (from reinforcement take-off / BBS)</t>
        </is>
      </c>
      <c r="H782" s="247">
        <v>0.694</v>
      </c>
      <c r="J782" s="253" t="inlineStr">
        <is>
          <t xml:space="preserve">0.694</t>
        </is>
      </c>
    </row>
    <row r="783">
      <c r="C783" s="250" t="inlineStr">
        <is>
          <t xml:space="preserve">Total carried to BOQ  1ST FLR item B</t>
        </is>
      </c>
      <c r="D783" s="250" t="inlineStr">
        <is>
          <t xml:space="preserve"/>
        </is>
      </c>
      <c r="E783" s="250" t="inlineStr">
        <is>
          <t xml:space="preserve"/>
        </is>
      </c>
      <c r="F783" s="250" t="inlineStr">
        <is>
          <t xml:space="preserve"/>
        </is>
      </c>
      <c r="G783" s="250" t="inlineStr">
        <is>
          <t xml:space="preserve"/>
        </is>
      </c>
      <c r="H783" s="251">
        <f>SUM(H781:H782)</f>
        <v>1.434</v>
      </c>
      <c r="I783" s="252" t="inlineStr">
        <is>
          <t xml:space="preserve">t</t>
        </is>
      </c>
    </row>
    <row r="784">
      <c r="A784" s="243" t="inlineStr">
        <is>
          <t xml:space="preserve">1ST FLR</t>
        </is>
      </c>
      <c r="B784" s="243" t="inlineStr">
        <is>
          <t xml:space="preserve">C</t>
        </is>
      </c>
      <c r="C784" s="244" t="inlineStr">
        <is>
          <t xml:space="preserve">12mm diameter for suspended slab</t>
        </is>
      </c>
      <c r="I784" s="245" t="inlineStr">
        <is>
          <t xml:space="preserve">t</t>
        </is>
      </c>
      <c r="K784" s="256" t="inlineStr">
        <is>
          <t xml:space="preserve">'1ST FLR '!C89</t>
        </is>
      </c>
    </row>
    <row r="785">
      <c r="C785" s="246" t="inlineStr">
        <is>
          <t xml:space="preserve">First floor 2A (+4150) - Floor Slabs, Y12 (from reinforcement take-off / BBS)</t>
        </is>
      </c>
      <c r="H785" s="247">
        <v>27.947</v>
      </c>
      <c r="J785" s="253" t="inlineStr">
        <is>
          <t xml:space="preserve">27.947</t>
        </is>
      </c>
    </row>
    <row r="786">
      <c r="C786" s="246" t="inlineStr">
        <is>
          <t xml:space="preserve">M2 level 2B (+5200) - Floor Slabs, Y12 (from reinforcement take-off / BBS)</t>
        </is>
      </c>
      <c r="H786" s="247">
        <v>23.776</v>
      </c>
      <c r="J786" s="253" t="inlineStr">
        <is>
          <t xml:space="preserve">23.776</t>
        </is>
      </c>
    </row>
    <row r="787">
      <c r="C787" s="250" t="inlineStr">
        <is>
          <t xml:space="preserve">Total carried to BOQ  1ST FLR item C</t>
        </is>
      </c>
      <c r="D787" s="250" t="inlineStr">
        <is>
          <t xml:space="preserve"/>
        </is>
      </c>
      <c r="E787" s="250" t="inlineStr">
        <is>
          <t xml:space="preserve"/>
        </is>
      </c>
      <c r="F787" s="250" t="inlineStr">
        <is>
          <t xml:space="preserve"/>
        </is>
      </c>
      <c r="G787" s="250" t="inlineStr">
        <is>
          <t xml:space="preserve"/>
        </is>
      </c>
      <c r="H787" s="251">
        <f>SUM(H785:H786)</f>
        <v>51.723</v>
      </c>
      <c r="I787" s="252" t="inlineStr">
        <is>
          <t xml:space="preserve">t</t>
        </is>
      </c>
    </row>
    <row r="788">
      <c r="A788" s="243" t="inlineStr">
        <is>
          <t xml:space="preserve">1ST FLR</t>
        </is>
      </c>
      <c r="B788" s="243" t="inlineStr">
        <is>
          <t xml:space="preserve">D</t>
        </is>
      </c>
      <c r="C788" s="244" t="inlineStr">
        <is>
          <t xml:space="preserve">16mm diameter for suspended slab</t>
        </is>
      </c>
      <c r="I788" s="245" t="inlineStr">
        <is>
          <t xml:space="preserve">t</t>
        </is>
      </c>
      <c r="K788" s="256" t="inlineStr">
        <is>
          <t xml:space="preserve">'1ST FLR '!C91</t>
        </is>
      </c>
    </row>
    <row r="789">
      <c r="C789" s="246" t="inlineStr">
        <is>
          <t xml:space="preserve">First floor 2A (+4150) - Floor Slabs, Y16 (from reinforcement take-off / BBS)</t>
        </is>
      </c>
      <c r="H789" s="247">
        <v>2.528</v>
      </c>
      <c r="J789" s="253" t="inlineStr">
        <is>
          <t xml:space="preserve">2.528</t>
        </is>
      </c>
    </row>
    <row r="790">
      <c r="C790" s="246" t="inlineStr">
        <is>
          <t xml:space="preserve">M2 level 2B (+5200) - Floor Slabs, Y16 (from reinforcement take-off / BBS)</t>
        </is>
      </c>
      <c r="H790" s="247">
        <v>3.742</v>
      </c>
      <c r="J790" s="253" t="inlineStr">
        <is>
          <t xml:space="preserve">3.742</t>
        </is>
      </c>
    </row>
    <row r="791">
      <c r="C791" s="250" t="inlineStr">
        <is>
          <t xml:space="preserve">Total carried to BOQ  1ST FLR item D</t>
        </is>
      </c>
      <c r="D791" s="250" t="inlineStr">
        <is>
          <t xml:space="preserve"/>
        </is>
      </c>
      <c r="E791" s="250" t="inlineStr">
        <is>
          <t xml:space="preserve"/>
        </is>
      </c>
      <c r="F791" s="250" t="inlineStr">
        <is>
          <t xml:space="preserve"/>
        </is>
      </c>
      <c r="G791" s="250" t="inlineStr">
        <is>
          <t xml:space="preserve"/>
        </is>
      </c>
      <c r="H791" s="251">
        <f>SUM(H789:H790)</f>
        <v>6.27</v>
      </c>
      <c r="I791" s="252" t="inlineStr">
        <is>
          <t xml:space="preserve">t</t>
        </is>
      </c>
    </row>
    <row r="792">
      <c r="C792" s="242" t="inlineStr">
        <is>
          <t xml:space="preserve">ELEMENT NO. 2: MASONRY</t>
        </is>
      </c>
    </row>
    <row r="793">
      <c r="C793" s="242" t="inlineStr">
        <is>
          <t xml:space="preserve">F10 BRICK/BLOCK WALL - Solid sandcrete blockwork in cement and sand (1:4) mortar as described in:</t>
        </is>
      </c>
    </row>
    <row r="794">
      <c r="A794" s="243" t="inlineStr">
        <is>
          <t xml:space="preserve">1ST FLR</t>
        </is>
      </c>
      <c r="B794" s="243" t="inlineStr">
        <is>
          <t xml:space="preserve">A</t>
        </is>
      </c>
      <c r="C794" s="244" t="inlineStr">
        <is>
          <t xml:space="preserve">150mm thick wall</t>
        </is>
      </c>
      <c r="I794" s="245" t="inlineStr">
        <is>
          <t xml:space="preserve">m2</t>
        </is>
      </c>
      <c r="K794" s="256" t="inlineStr">
        <is>
          <t xml:space="preserve">'1ST FLR '!C100</t>
        </is>
      </c>
    </row>
    <row r="795">
      <c r="C795" s="246" t="inlineStr">
        <is>
          <t xml:space="preserve">First floor (2A) - 150 blockwork: wall length x storey ht</t>
        </is>
      </c>
      <c r="E795" s="247">
        <v>98.4</v>
      </c>
      <c r="F795" s="247">
        <v>2.45</v>
      </c>
      <c r="H795" s="249">
        <f>PRODUCT(D795:G795)</f>
        <v>241.08000000000004</v>
      </c>
      <c r="J795" s="253" t="inlineStr">
        <is>
          <t xml:space="preserve">98.4*2.45</t>
        </is>
      </c>
    </row>
    <row r="796">
      <c r="C796" s="246" t="inlineStr">
        <is>
          <t xml:space="preserve">First floor (2A) - 150 blockwork: wall length x storey ht</t>
        </is>
      </c>
      <c r="D796" s="248">
        <v>3</v>
      </c>
      <c r="E796" s="247">
        <v>1</v>
      </c>
      <c r="F796" s="247">
        <f>3.05-2.2</f>
        <v>0.8499999999999996</v>
      </c>
      <c r="G796" s="247">
        <v>0.729</v>
      </c>
      <c r="H796" s="249">
        <f>PRODUCT(D796:G796)</f>
        <v>1.8589499999999992</v>
      </c>
      <c r="J796" s="253" t="inlineStr">
        <is>
          <t xml:space="preserve">3*1*(3.05-2.2)*0.729</t>
        </is>
      </c>
    </row>
    <row r="797">
      <c r="C797" s="250" t="inlineStr">
        <is>
          <t xml:space="preserve">Total carried to BOQ  1ST FLR item A</t>
        </is>
      </c>
      <c r="D797" s="250" t="inlineStr">
        <is>
          <t xml:space="preserve"/>
        </is>
      </c>
      <c r="E797" s="250" t="inlineStr">
        <is>
          <t xml:space="preserve"/>
        </is>
      </c>
      <c r="F797" s="250" t="inlineStr">
        <is>
          <t xml:space="preserve"/>
        </is>
      </c>
      <c r="G797" s="250" t="inlineStr">
        <is>
          <t xml:space="preserve"/>
        </is>
      </c>
      <c r="H797" s="251">
        <f>SUM(H795:H796)</f>
        <v>242.93895000000003</v>
      </c>
      <c r="I797" s="252" t="inlineStr">
        <is>
          <t xml:space="preserve">m2</t>
        </is>
      </c>
    </row>
    <row r="798">
      <c r="A798" s="243" t="inlineStr">
        <is>
          <t xml:space="preserve">1ST FLR</t>
        </is>
      </c>
      <c r="B798" s="243" t="inlineStr">
        <is>
          <t xml:space="preserve">B</t>
        </is>
      </c>
      <c r="C798" s="244" t="inlineStr">
        <is>
          <t xml:space="preserve">200mm thick wall</t>
        </is>
      </c>
      <c r="I798" s="245" t="inlineStr">
        <is>
          <t xml:space="preserve">m2</t>
        </is>
      </c>
      <c r="K798" s="256" t="inlineStr">
        <is>
          <t xml:space="preserve">'1ST FLR '!C102</t>
        </is>
      </c>
    </row>
    <row r="799">
      <c r="C799" s="246" t="inlineStr">
        <is>
          <t xml:space="preserve">First floor (2A) - 200 blockwork: wall length x storey ht</t>
        </is>
      </c>
      <c r="E799" s="247">
        <v>36.6</v>
      </c>
      <c r="F799" s="247">
        <v>2.45</v>
      </c>
      <c r="H799" s="249">
        <f>PRODUCT(D799:G799)</f>
        <v>89.67000000000002</v>
      </c>
      <c r="J799" s="253" t="inlineStr">
        <is>
          <t xml:space="preserve">36.6*2.45</t>
        </is>
      </c>
    </row>
    <row r="800">
      <c r="C800" s="246" t="inlineStr">
        <is>
          <t xml:space="preserve">First floor (2A) - 200 blockwork: wall length x storey ht</t>
        </is>
      </c>
      <c r="D800" s="248">
        <v>3</v>
      </c>
      <c r="E800" s="247">
        <v>1</v>
      </c>
      <c r="F800" s="247">
        <f>3.05-2.2</f>
        <v>0.8499999999999996</v>
      </c>
      <c r="G800" s="247">
        <v>0.271</v>
      </c>
      <c r="H800" s="249">
        <f>PRODUCT(D800:G800)</f>
        <v>0.6910499999999997</v>
      </c>
      <c r="J800" s="253" t="inlineStr">
        <is>
          <t xml:space="preserve">3*1*(3.05-2.2)*0.271</t>
        </is>
      </c>
    </row>
    <row r="801">
      <c r="C801" s="250" t="inlineStr">
        <is>
          <t xml:space="preserve">Total carried to BOQ  1ST FLR item B</t>
        </is>
      </c>
      <c r="D801" s="250" t="inlineStr">
        <is>
          <t xml:space="preserve"/>
        </is>
      </c>
      <c r="E801" s="250" t="inlineStr">
        <is>
          <t xml:space="preserve"/>
        </is>
      </c>
      <c r="F801" s="250" t="inlineStr">
        <is>
          <t xml:space="preserve"/>
        </is>
      </c>
      <c r="G801" s="250" t="inlineStr">
        <is>
          <t xml:space="preserve"/>
        </is>
      </c>
      <c r="H801" s="251">
        <f>SUM(H799:H800)</f>
        <v>90.36105000000002</v>
      </c>
      <c r="I801" s="252" t="inlineStr">
        <is>
          <t xml:space="preserve">m2</t>
        </is>
      </c>
    </row>
    <row r="802">
      <c r="C802" s="242" t="inlineStr">
        <is>
          <t xml:space="preserve">ELEMENT NO. 4: WINDOWS/DOORS</t>
        </is>
      </c>
    </row>
    <row r="803">
      <c r="C803" s="242" t="inlineStr">
        <is>
          <t xml:space="preserve">L20 DOORS - Supply and fix the following door assemblies complete with frames, ironmongery sets to steel doors and all accessories:</t>
        </is>
      </c>
    </row>
    <row r="804" ht="32.2" customHeight="1">
      <c r="A804" s="243" t="inlineStr">
        <is>
          <t xml:space="preserve">1ST FLR</t>
        </is>
      </c>
      <c r="B804" s="243" t="inlineStr">
        <is>
          <t xml:space="preserve">A</t>
        </is>
      </c>
      <c r="C804" s="244" t="inlineStr">
        <is>
          <t xml:space="preserve">1000mm x 2200mm 1-hour fire-rated galvanised steel single-leaf security door assembly - emergency stairs (ED1)</t>
        </is>
      </c>
      <c r="I804" s="245" t="inlineStr">
        <is>
          <t xml:space="preserve">nr</t>
        </is>
      </c>
      <c r="K804" s="256" t="inlineStr">
        <is>
          <t xml:space="preserve">'1ST FLR '!C111</t>
        </is>
      </c>
    </row>
    <row r="805">
      <c r="C805" s="246" t="inlineStr">
        <is>
          <t xml:space="preserve">First floor (2A) - ED1</t>
        </is>
      </c>
      <c r="H805" s="247">
        <v>3</v>
      </c>
      <c r="J805" s="253" t="inlineStr">
        <is>
          <t xml:space="preserve">3</t>
        </is>
      </c>
    </row>
    <row r="806">
      <c r="C806" s="250" t="inlineStr">
        <is>
          <t xml:space="preserve">Total carried to BOQ  1ST FLR item A</t>
        </is>
      </c>
      <c r="D806" s="250" t="inlineStr">
        <is>
          <t xml:space="preserve"/>
        </is>
      </c>
      <c r="E806" s="250" t="inlineStr">
        <is>
          <t xml:space="preserve"/>
        </is>
      </c>
      <c r="F806" s="250" t="inlineStr">
        <is>
          <t xml:space="preserve"/>
        </is>
      </c>
      <c r="G806" s="250" t="inlineStr">
        <is>
          <t xml:space="preserve"/>
        </is>
      </c>
      <c r="H806" s="251">
        <f>SUM(H805:H805)</f>
        <v>3</v>
      </c>
      <c r="I806" s="252" t="inlineStr">
        <is>
          <t xml:space="preserve">nr</t>
        </is>
      </c>
    </row>
    <row r="807">
      <c r="C807" s="242" t="inlineStr">
        <is>
          <t xml:space="preserve">ELEMENT NO. 5: FLOOR FINISHES</t>
        </is>
      </c>
    </row>
    <row r="808">
      <c r="C808" s="242" t="inlineStr">
        <is>
          <t xml:space="preserve">M10/M40 FLOOR FINISHES</t>
        </is>
      </c>
    </row>
    <row r="809" ht="32.2" customHeight="1">
      <c r="A809" s="243" t="inlineStr">
        <is>
          <t xml:space="preserve">1ST FLR</t>
        </is>
      </c>
      <c r="B809" s="243" t="inlineStr">
        <is>
          <t xml:space="preserve">A</t>
        </is>
      </c>
      <c r="C809" s="244" t="inlineStr">
        <is>
          <t xml:space="preserve">25mm cement and sand (1:3) screeded finish laid level on concrete and finished smooth with steel trowel</t>
        </is>
      </c>
      <c r="I809" s="245" t="inlineStr">
        <is>
          <t xml:space="preserve">m2</t>
        </is>
      </c>
      <c r="K809" s="256" t="inlineStr">
        <is>
          <t xml:space="preserve">'1ST FLR '!C119</t>
        </is>
      </c>
    </row>
    <row r="810">
      <c r="C810" s="246" t="inlineStr">
        <is>
          <t xml:space="preserve">First floor (2A) - Tiled floor areas (measured)</t>
        </is>
      </c>
      <c r="H810" s="247">
        <v>54.8</v>
      </c>
      <c r="J810" s="253" t="inlineStr">
        <is>
          <t xml:space="preserve">54.8</t>
        </is>
      </c>
    </row>
    <row r="811">
      <c r="C811" s="250" t="inlineStr">
        <is>
          <t xml:space="preserve">Total carried to BOQ  1ST FLR item A</t>
        </is>
      </c>
      <c r="D811" s="250" t="inlineStr">
        <is>
          <t xml:space="preserve"/>
        </is>
      </c>
      <c r="E811" s="250" t="inlineStr">
        <is>
          <t xml:space="preserve"/>
        </is>
      </c>
      <c r="F811" s="250" t="inlineStr">
        <is>
          <t xml:space="preserve"/>
        </is>
      </c>
      <c r="G811" s="250" t="inlineStr">
        <is>
          <t xml:space="preserve"/>
        </is>
      </c>
      <c r="H811" s="251">
        <f>SUM(H810:H810)</f>
        <v>54.8</v>
      </c>
      <c r="I811" s="252" t="inlineStr">
        <is>
          <t xml:space="preserve">m2</t>
        </is>
      </c>
    </row>
    <row r="812" ht="32.2" customHeight="1">
      <c r="A812" s="243" t="inlineStr">
        <is>
          <t xml:space="preserve">1ST FLR</t>
        </is>
      </c>
      <c r="B812" s="243" t="inlineStr">
        <is>
          <t xml:space="preserve">B</t>
        </is>
      </c>
      <c r="C812" s="244" t="inlineStr">
        <is>
          <t xml:space="preserve">12mm cement and sand (1:4) screeded bed laid level on concrete floor to receive floor tiles</t>
        </is>
      </c>
      <c r="I812" s="245" t="inlineStr">
        <is>
          <t xml:space="preserve">m2</t>
        </is>
      </c>
      <c r="K812" s="256" t="inlineStr">
        <is>
          <t xml:space="preserve">'1ST FLR '!C121</t>
        </is>
      </c>
    </row>
    <row r="813">
      <c r="C813" s="246" t="inlineStr">
        <is>
          <t xml:space="preserve">First floor (2A) - Tiled floor areas (measured)</t>
        </is>
      </c>
      <c r="H813" s="247">
        <v>54.8</v>
      </c>
      <c r="J813" s="253" t="inlineStr">
        <is>
          <t xml:space="preserve">54.8</t>
        </is>
      </c>
    </row>
    <row r="814">
      <c r="C814" s="246" t="inlineStr">
        <is>
          <t xml:space="preserve">Stair finishes (treads, risers, landings) - flights: 2 x 1.8 x 3.0</t>
        </is>
      </c>
      <c r="D814" s="248">
        <v>2</v>
      </c>
      <c r="E814" s="247">
        <v>1.8</v>
      </c>
      <c r="F814" s="247">
        <v>3.0</v>
      </c>
      <c r="H814" s="249">
        <f>PRODUCT(D814:G814)</f>
        <v>10.8</v>
      </c>
      <c r="J814" s="253" t="inlineStr">
        <is>
          <t xml:space="preserve">2*1.8*3.0</t>
        </is>
      </c>
    </row>
    <row r="815">
      <c r="C815" s="246" t="inlineStr">
        <is>
          <t xml:space="preserve">Stair finishes (treads, risers, landings) - risers: 22 x 0.15 x 1.8</t>
        </is>
      </c>
      <c r="D815" s="248">
        <v>22</v>
      </c>
      <c r="E815" s="247">
        <v>0.15</v>
      </c>
      <c r="F815" s="247">
        <v>1.8</v>
      </c>
      <c r="H815" s="249">
        <f>PRODUCT(D815:G815)</f>
        <v>5.9399999999999995</v>
      </c>
      <c r="J815" s="253" t="inlineStr">
        <is>
          <t xml:space="preserve">22*0.15*1.8</t>
        </is>
      </c>
    </row>
    <row r="816">
      <c r="C816" s="246" t="inlineStr">
        <is>
          <t xml:space="preserve">Stair finishes (treads, risers, landings) - floor landing 2.2 x 3.75</t>
        </is>
      </c>
      <c r="E816" s="247">
        <v>2.2</v>
      </c>
      <c r="F816" s="247">
        <v>3.75</v>
      </c>
      <c r="H816" s="249">
        <f>PRODUCT(D816:G816)</f>
        <v>8.25</v>
      </c>
      <c r="J816" s="253" t="inlineStr">
        <is>
          <t xml:space="preserve">2.2*3.75</t>
        </is>
      </c>
    </row>
    <row r="817">
      <c r="C817" s="246" t="inlineStr">
        <is>
          <t xml:space="preserve">Stair finishes (treads, risers, landings) - half landing 1.8 x 3.75</t>
        </is>
      </c>
      <c r="E817" s="247">
        <v>1.8</v>
      </c>
      <c r="F817" s="247">
        <v>3.75</v>
      </c>
      <c r="H817" s="249">
        <f>PRODUCT(D817:G817)</f>
        <v>6.75</v>
      </c>
      <c r="J817" s="253" t="inlineStr">
        <is>
          <t xml:space="preserve">1.8*3.75</t>
        </is>
      </c>
    </row>
    <row r="818">
      <c r="C818" s="246" t="inlineStr">
        <is>
          <t xml:space="preserve">Stair finishes (treads, risers, landings) - flights: 2 x 1.8 x 3.0</t>
        </is>
      </c>
      <c r="D818" s="248">
        <v>2</v>
      </c>
      <c r="E818" s="247">
        <v>1.8</v>
      </c>
      <c r="F818" s="247">
        <v>3.0</v>
      </c>
      <c r="H818" s="249">
        <f>PRODUCT(D818:G818)</f>
        <v>10.8</v>
      </c>
      <c r="J818" s="253" t="inlineStr">
        <is>
          <t xml:space="preserve">2*1.8*3.0</t>
        </is>
      </c>
    </row>
    <row r="819">
      <c r="C819" s="246" t="inlineStr">
        <is>
          <t xml:space="preserve">Stair finishes (treads, risers, landings) - risers: 22 x 0.15 x 1.8</t>
        </is>
      </c>
      <c r="D819" s="248">
        <v>22</v>
      </c>
      <c r="E819" s="247">
        <v>0.15</v>
      </c>
      <c r="F819" s="247">
        <v>1.8</v>
      </c>
      <c r="H819" s="249">
        <f>PRODUCT(D819:G819)</f>
        <v>5.9399999999999995</v>
      </c>
      <c r="J819" s="253" t="inlineStr">
        <is>
          <t xml:space="preserve">22*0.15*1.8</t>
        </is>
      </c>
    </row>
    <row r="820">
      <c r="C820" s="246" t="inlineStr">
        <is>
          <t xml:space="preserve">Stair finishes (treads, risers, landings) - floor landing 2.2 x 3.75</t>
        </is>
      </c>
      <c r="E820" s="247">
        <v>2.2</v>
      </c>
      <c r="F820" s="247">
        <v>3.75</v>
      </c>
      <c r="H820" s="249">
        <f>PRODUCT(D820:G820)</f>
        <v>8.25</v>
      </c>
      <c r="J820" s="253" t="inlineStr">
        <is>
          <t xml:space="preserve">2.2*3.75</t>
        </is>
      </c>
    </row>
    <row r="821">
      <c r="C821" s="246" t="inlineStr">
        <is>
          <t xml:space="preserve">Stair finishes (treads, risers, landings) - half landing 1.8 x 3.75</t>
        </is>
      </c>
      <c r="E821" s="247">
        <v>1.8</v>
      </c>
      <c r="F821" s="247">
        <v>3.75</v>
      </c>
      <c r="H821" s="249">
        <f>PRODUCT(D821:G821)</f>
        <v>6.75</v>
      </c>
      <c r="J821" s="253" t="inlineStr">
        <is>
          <t xml:space="preserve">1.8*3.75</t>
        </is>
      </c>
    </row>
    <row r="822">
      <c r="C822" s="250" t="inlineStr">
        <is>
          <t xml:space="preserve">Total carried to BOQ  1ST FLR item B</t>
        </is>
      </c>
      <c r="D822" s="250" t="inlineStr">
        <is>
          <t xml:space="preserve"/>
        </is>
      </c>
      <c r="E822" s="250" t="inlineStr">
        <is>
          <t xml:space="preserve"/>
        </is>
      </c>
      <c r="F822" s="250" t="inlineStr">
        <is>
          <t xml:space="preserve"/>
        </is>
      </c>
      <c r="G822" s="250" t="inlineStr">
        <is>
          <t xml:space="preserve"/>
        </is>
      </c>
      <c r="H822" s="251">
        <f>SUM(H813:H821)</f>
        <v>118.27999999999999</v>
      </c>
      <c r="I822" s="252" t="inlineStr">
        <is>
          <t xml:space="preserve">m2</t>
        </is>
      </c>
    </row>
    <row r="823" ht="32.2" customHeight="1">
      <c r="A823" s="243" t="inlineStr">
        <is>
          <t xml:space="preserve">1ST FLR</t>
        </is>
      </c>
      <c r="B823" s="243" t="inlineStr">
        <is>
          <t xml:space="preserve">C</t>
        </is>
      </c>
      <c r="C823" s="244" t="inlineStr">
        <is>
          <t xml:space="preserve">500x500mm matte R11 porcelain tiles to staircases (treads, risers and landings)</t>
        </is>
      </c>
      <c r="I823" s="245" t="inlineStr">
        <is>
          <t xml:space="preserve">m2</t>
        </is>
      </c>
      <c r="K823" s="256" t="inlineStr">
        <is>
          <t xml:space="preserve">'1ST FLR '!C123</t>
        </is>
      </c>
    </row>
    <row r="824">
      <c r="C824" s="246" t="inlineStr">
        <is>
          <t xml:space="preserve">First floor 2A (+4150) - Main stair flight (storey ht 2.7) - flights: 2 x 1.8 x 3.0</t>
        </is>
      </c>
      <c r="D824" s="248">
        <v>2</v>
      </c>
      <c r="E824" s="247">
        <v>1.8</v>
      </c>
      <c r="F824" s="247">
        <v>3.0</v>
      </c>
      <c r="H824" s="249">
        <f>PRODUCT(D824:G824)</f>
        <v>10.8</v>
      </c>
      <c r="J824" s="253" t="inlineStr">
        <is>
          <t xml:space="preserve">2*1.8*3.0</t>
        </is>
      </c>
    </row>
    <row r="825">
      <c r="C825" s="246" t="inlineStr">
        <is>
          <t xml:space="preserve">First floor 2A (+4150) - Main stair flight (storey ht 2.7) - risers: 22 x 0.15 x 1.8</t>
        </is>
      </c>
      <c r="D825" s="248">
        <v>22</v>
      </c>
      <c r="E825" s="247">
        <v>0.15</v>
      </c>
      <c r="F825" s="247">
        <v>1.8</v>
      </c>
      <c r="H825" s="249">
        <f>PRODUCT(D825:G825)</f>
        <v>5.9399999999999995</v>
      </c>
      <c r="J825" s="253" t="inlineStr">
        <is>
          <t xml:space="preserve">22*0.15*1.8</t>
        </is>
      </c>
    </row>
    <row r="826">
      <c r="C826" s="246" t="inlineStr">
        <is>
          <t xml:space="preserve">First floor 2A (+4150) - Main stair flight (storey ht 2.7) - floor landing 2.2 x 3.75</t>
        </is>
      </c>
      <c r="E826" s="247">
        <v>2.2</v>
      </c>
      <c r="F826" s="247">
        <v>3.75</v>
      </c>
      <c r="H826" s="249">
        <f>PRODUCT(D826:G826)</f>
        <v>8.25</v>
      </c>
      <c r="J826" s="253" t="inlineStr">
        <is>
          <t xml:space="preserve">2.2*3.75</t>
        </is>
      </c>
    </row>
    <row r="827">
      <c r="C827" s="246" t="inlineStr">
        <is>
          <t xml:space="preserve">First floor 2A (+4150) - Main stair flight (storey ht 2.7) - half landing 1.8 x 3.75</t>
        </is>
      </c>
      <c r="E827" s="247">
        <v>1.8</v>
      </c>
      <c r="F827" s="247">
        <v>3.75</v>
      </c>
      <c r="H827" s="249">
        <f>PRODUCT(D827:G827)</f>
        <v>6.75</v>
      </c>
      <c r="J827" s="253" t="inlineStr">
        <is>
          <t xml:space="preserve">1.8*3.75</t>
        </is>
      </c>
    </row>
    <row r="828">
      <c r="C828" s="246" t="inlineStr">
        <is>
          <t xml:space="preserve">M2 level 2B (+5200) - Emergency stair flight (storey ht 2.7) - flights: 2 x 1.8 x 3.0</t>
        </is>
      </c>
      <c r="D828" s="248">
        <v>2</v>
      </c>
      <c r="E828" s="247">
        <v>1.8</v>
      </c>
      <c r="F828" s="247">
        <v>3.0</v>
      </c>
      <c r="H828" s="249">
        <f>PRODUCT(D828:G828)</f>
        <v>10.8</v>
      </c>
      <c r="J828" s="253" t="inlineStr">
        <is>
          <t xml:space="preserve">2*1.8*3.0</t>
        </is>
      </c>
    </row>
    <row r="829">
      <c r="C829" s="246" t="inlineStr">
        <is>
          <t xml:space="preserve">M2 level 2B (+5200) - Emergency stair flight (storey ht 2.7) - risers: 22 x 0.15 x 1.8</t>
        </is>
      </c>
      <c r="D829" s="248">
        <v>22</v>
      </c>
      <c r="E829" s="247">
        <v>0.15</v>
      </c>
      <c r="F829" s="247">
        <v>1.8</v>
      </c>
      <c r="H829" s="249">
        <f>PRODUCT(D829:G829)</f>
        <v>5.9399999999999995</v>
      </c>
      <c r="J829" s="253" t="inlineStr">
        <is>
          <t xml:space="preserve">22*0.15*1.8</t>
        </is>
      </c>
    </row>
    <row r="830">
      <c r="C830" s="246" t="inlineStr">
        <is>
          <t xml:space="preserve">M2 level 2B (+5200) - Emergency stair flight (storey ht 2.7) - floor landing 2.2 x 3.75</t>
        </is>
      </c>
      <c r="E830" s="247">
        <v>2.2</v>
      </c>
      <c r="F830" s="247">
        <v>3.75</v>
      </c>
      <c r="H830" s="249">
        <f>PRODUCT(D830:G830)</f>
        <v>8.25</v>
      </c>
      <c r="J830" s="253" t="inlineStr">
        <is>
          <t xml:space="preserve">2.2*3.75</t>
        </is>
      </c>
    </row>
    <row r="831">
      <c r="C831" s="246" t="inlineStr">
        <is>
          <t xml:space="preserve">M2 level 2B (+5200) - Emergency stair flight (storey ht 2.7) - half landing 1.8 x 3.75</t>
        </is>
      </c>
      <c r="E831" s="247">
        <v>1.8</v>
      </c>
      <c r="F831" s="247">
        <v>3.75</v>
      </c>
      <c r="H831" s="249">
        <f>PRODUCT(D831:G831)</f>
        <v>6.75</v>
      </c>
      <c r="J831" s="253" t="inlineStr">
        <is>
          <t xml:space="preserve">1.8*3.75</t>
        </is>
      </c>
    </row>
    <row r="832">
      <c r="C832" s="250" t="inlineStr">
        <is>
          <t xml:space="preserve">Total carried to BOQ  1ST FLR item C</t>
        </is>
      </c>
      <c r="D832" s="250" t="inlineStr">
        <is>
          <t xml:space="preserve"/>
        </is>
      </c>
      <c r="E832" s="250" t="inlineStr">
        <is>
          <t xml:space="preserve"/>
        </is>
      </c>
      <c r="F832" s="250" t="inlineStr">
        <is>
          <t xml:space="preserve"/>
        </is>
      </c>
      <c r="G832" s="250" t="inlineStr">
        <is>
          <t xml:space="preserve"/>
        </is>
      </c>
      <c r="H832" s="251">
        <f>SUM(H824:H831)</f>
        <v>63.480000000000004</v>
      </c>
      <c r="I832" s="252" t="inlineStr">
        <is>
          <t xml:space="preserve">m2</t>
        </is>
      </c>
    </row>
    <row r="833" ht="32.2" customHeight="1">
      <c r="A833" s="243" t="inlineStr">
        <is>
          <t xml:space="preserve">1ST FLR</t>
        </is>
      </c>
      <c r="B833" s="243" t="inlineStr">
        <is>
          <t xml:space="preserve">D</t>
        </is>
      </c>
      <c r="C833" s="244" t="inlineStr">
        <is>
          <t xml:space="preserve">600x1200mm semi-polished porcelain floor tiles to stair/lift lobbies &amp; reception</t>
        </is>
      </c>
      <c r="I833" s="245" t="inlineStr">
        <is>
          <t xml:space="preserve">m2</t>
        </is>
      </c>
      <c r="K833" s="256" t="inlineStr">
        <is>
          <t xml:space="preserve">'1ST FLR '!C125</t>
        </is>
      </c>
    </row>
    <row r="834">
      <c r="C834" s="246" t="inlineStr">
        <is>
          <t xml:space="preserve">First floor (2A) - Ceiling areas (measured)</t>
        </is>
      </c>
      <c r="H834" s="247">
        <v>32.7</v>
      </c>
      <c r="J834" s="253" t="inlineStr">
        <is>
          <t xml:space="preserve">32.7</t>
        </is>
      </c>
    </row>
    <row r="835">
      <c r="C835" s="250" t="inlineStr">
        <is>
          <t xml:space="preserve">Total carried to BOQ  1ST FLR item D</t>
        </is>
      </c>
      <c r="D835" s="250" t="inlineStr">
        <is>
          <t xml:space="preserve"/>
        </is>
      </c>
      <c r="E835" s="250" t="inlineStr">
        <is>
          <t xml:space="preserve"/>
        </is>
      </c>
      <c r="F835" s="250" t="inlineStr">
        <is>
          <t xml:space="preserve"/>
        </is>
      </c>
      <c r="G835" s="250" t="inlineStr">
        <is>
          <t xml:space="preserve"/>
        </is>
      </c>
      <c r="H835" s="251">
        <f>SUM(H834:H834)</f>
        <v>32.7</v>
      </c>
      <c r="I835" s="252" t="inlineStr">
        <is>
          <t xml:space="preserve">m2</t>
        </is>
      </c>
    </row>
    <row r="836" ht="32.2" customHeight="1">
      <c r="A836" s="243" t="inlineStr">
        <is>
          <t xml:space="preserve">1ST FLR</t>
        </is>
      </c>
      <c r="B836" s="243" t="inlineStr">
        <is>
          <t xml:space="preserve">E</t>
        </is>
      </c>
      <c r="C836" s="244" t="inlineStr">
        <is>
          <t xml:space="preserve">600x600mm non-slip R11 porcelain tiles to corridors, terraces, verandah &amp; service areas</t>
        </is>
      </c>
      <c r="I836" s="245" t="inlineStr">
        <is>
          <t xml:space="preserve">m2</t>
        </is>
      </c>
      <c r="K836" s="256" t="inlineStr">
        <is>
          <t xml:space="preserve">'1ST FLR '!C127</t>
        </is>
      </c>
    </row>
    <row r="837">
      <c r="C837" s="246" t="inlineStr">
        <is>
          <t xml:space="preserve">First floor (2A) - Corridors/terraces/service (measured)</t>
        </is>
      </c>
      <c r="H837" s="247">
        <v>22.2</v>
      </c>
      <c r="J837" s="253" t="inlineStr">
        <is>
          <t xml:space="preserve">22.2</t>
        </is>
      </c>
    </row>
    <row r="838">
      <c r="C838" s="250" t="inlineStr">
        <is>
          <t xml:space="preserve">Total carried to BOQ  1ST FLR item E</t>
        </is>
      </c>
      <c r="D838" s="250" t="inlineStr">
        <is>
          <t xml:space="preserve"/>
        </is>
      </c>
      <c r="E838" s="250" t="inlineStr">
        <is>
          <t xml:space="preserve"/>
        </is>
      </c>
      <c r="F838" s="250" t="inlineStr">
        <is>
          <t xml:space="preserve"/>
        </is>
      </c>
      <c r="G838" s="250" t="inlineStr">
        <is>
          <t xml:space="preserve"/>
        </is>
      </c>
      <c r="H838" s="251">
        <f>SUM(H837:H837)</f>
        <v>22.2</v>
      </c>
      <c r="I838" s="252" t="inlineStr">
        <is>
          <t xml:space="preserve">m2</t>
        </is>
      </c>
    </row>
    <row r="839">
      <c r="A839" s="243" t="inlineStr">
        <is>
          <t xml:space="preserve">1ST FLR</t>
        </is>
      </c>
      <c r="B839" s="243" t="inlineStr">
        <is>
          <t xml:space="preserve">F</t>
        </is>
      </c>
      <c r="C839" s="244" t="inlineStr">
        <is>
          <t xml:space="preserve">Seamless polyurethane (PU) resin screed / PU coating to parking decks &amp; ramps</t>
        </is>
      </c>
      <c r="I839" s="245" t="inlineStr">
        <is>
          <t xml:space="preserve">m2</t>
        </is>
      </c>
      <c r="K839" s="256" t="inlineStr">
        <is>
          <t xml:space="preserve">'1ST FLR '!C129</t>
        </is>
      </c>
    </row>
    <row r="840">
      <c r="C840" s="246" t="inlineStr">
        <is>
          <t xml:space="preserve">First floor (2A) - Parking &amp; ramps (measured)</t>
        </is>
      </c>
      <c r="H840" s="247">
        <v>637.3</v>
      </c>
      <c r="J840" s="253" t="inlineStr">
        <is>
          <t xml:space="preserve">637.3</t>
        </is>
      </c>
    </row>
    <row r="841">
      <c r="C841" s="250" t="inlineStr">
        <is>
          <t xml:space="preserve">Total carried to BOQ  1ST FLR item F</t>
        </is>
      </c>
      <c r="D841" s="250" t="inlineStr">
        <is>
          <t xml:space="preserve"/>
        </is>
      </c>
      <c r="E841" s="250" t="inlineStr">
        <is>
          <t xml:space="preserve"/>
        </is>
      </c>
      <c r="F841" s="250" t="inlineStr">
        <is>
          <t xml:space="preserve"/>
        </is>
      </c>
      <c r="G841" s="250" t="inlineStr">
        <is>
          <t xml:space="preserve"/>
        </is>
      </c>
      <c r="H841" s="251">
        <f>SUM(H840:H840)</f>
        <v>637.3</v>
      </c>
      <c r="I841" s="252" t="inlineStr">
        <is>
          <t xml:space="preserve">m2</t>
        </is>
      </c>
    </row>
    <row r="842">
      <c r="C842" s="242" t="inlineStr">
        <is>
          <t xml:space="preserve">ELEMENT NO. 6: WALL FINISHES</t>
        </is>
      </c>
    </row>
    <row r="843">
      <c r="C843" s="242" t="inlineStr">
        <is>
          <t xml:space="preserve">M20 PLASTERED/RENDERED COATINGS - 12.5mm cement and sand (1:3) rendering as described on blockwork or concrete to:</t>
        </is>
      </c>
    </row>
    <row r="844">
      <c r="A844" s="243" t="inlineStr">
        <is>
          <t xml:space="preserve">1ST FLR</t>
        </is>
      </c>
      <c r="B844" s="243" t="inlineStr">
        <is>
          <t xml:space="preserve">A</t>
        </is>
      </c>
      <c r="C844" s="244" t="inlineStr">
        <is>
          <t xml:space="preserve">Interior walls</t>
        </is>
      </c>
      <c r="I844" s="245" t="inlineStr">
        <is>
          <t xml:space="preserve">m2</t>
        </is>
      </c>
      <c r="K844" s="256" t="inlineStr">
        <is>
          <t xml:space="preserve">'1ST FLR '!C137</t>
        </is>
      </c>
    </row>
    <row r="845">
      <c r="C845" s="246" t="inlineStr">
        <is>
          <t xml:space="preserve">block wall faces: 2 x (150 + 200 block runs) x ht</t>
        </is>
      </c>
      <c r="D845" s="248">
        <v>2</v>
      </c>
      <c r="E845" s="247">
        <f>98.4+36.6</f>
        <v>135.0</v>
      </c>
      <c r="F845" s="247">
        <v>2.45</v>
      </c>
      <c r="H845" s="249">
        <f>PRODUCT(D845:G845)</f>
        <v>661.5</v>
      </c>
      <c r="J845" s="253" t="inlineStr">
        <is>
          <t xml:space="preserve">2*(98.4+36.6)*2.45</t>
        </is>
      </c>
    </row>
    <row r="846">
      <c r="C846" s="246" t="inlineStr">
        <is>
          <t xml:space="preserve">RC wall faces: 2 x RC wall run x ht</t>
        </is>
      </c>
      <c r="D846" s="248">
        <v>2</v>
      </c>
      <c r="E846" s="247">
        <v>25.8</v>
      </c>
      <c r="F846" s="247">
        <v>2.45</v>
      </c>
      <c r="H846" s="249">
        <f>PRODUCT(D846:G846)</f>
        <v>126.42000000000002</v>
      </c>
      <c r="J846" s="253" t="inlineStr">
        <is>
          <t xml:space="preserve">2*25.8*2.45</t>
        </is>
      </c>
    </row>
    <row r="847">
      <c r="C847" s="246" t="inlineStr">
        <is>
          <t xml:space="preserve">Ddt lift/stair shaft inner faces 16.8 m x ht</t>
        </is>
      </c>
      <c r="E847" s="247">
        <v>16.8</v>
      </c>
      <c r="F847" s="247">
        <v>2.45</v>
      </c>
      <c r="H847" s="249">
        <f>-PRODUCT(D847:G847)</f>
        <v>-41.160000000000004</v>
      </c>
      <c r="J847" s="253" t="inlineStr">
        <is>
          <t xml:space="preserve">-16.8*2.45</t>
        </is>
      </c>
    </row>
    <row r="848">
      <c r="C848" s="246" t="inlineStr">
        <is>
          <t xml:space="preserve">Ddt external face of perimeter wall (rendered externally)</t>
        </is>
      </c>
      <c r="E848" s="247">
        <v>134.3</v>
      </c>
      <c r="F848" s="247">
        <v>2.45</v>
      </c>
      <c r="H848" s="249">
        <f>-PRODUCT(D848:G848)</f>
        <v>-329.035</v>
      </c>
      <c r="J848" s="253" t="inlineStr">
        <is>
          <t xml:space="preserve">-134.3*2.45</t>
        </is>
      </c>
    </row>
    <row r="849">
      <c r="C849" s="246" t="inlineStr">
        <is>
          <t xml:space="preserve">Ddt opening </t>
        </is>
      </c>
      <c r="H849" s="247">
        <v>0</v>
      </c>
      <c r="J849" s="253" t="inlineStr">
        <is>
          <t xml:space="preserve">-0</t>
        </is>
      </c>
    </row>
    <row r="850">
      <c r="C850" s="246" t="inlineStr">
        <is>
          <t xml:space="preserve">Ddt opening ED1 (3 nr, 1x2.2) - both faces</t>
        </is>
      </c>
      <c r="D850" s="248">
        <f>2*3</f>
        <v>6</v>
      </c>
      <c r="E850" s="247">
        <v>1</v>
      </c>
      <c r="F850" s="247">
        <v>2.2</v>
      </c>
      <c r="H850" s="249">
        <f>-PRODUCT(D850:G850)</f>
        <v>-13.200000000000001</v>
      </c>
      <c r="J850" s="253" t="inlineStr">
        <is>
          <t xml:space="preserve">-2*3*1*2.2</t>
        </is>
      </c>
    </row>
    <row r="851">
      <c r="C851" s="246" t="inlineStr">
        <is>
          <t xml:space="preserve">Ddt opening </t>
        </is>
      </c>
      <c r="H851" s="247">
        <v>0</v>
      </c>
      <c r="J851" s="253" t="inlineStr">
        <is>
          <t xml:space="preserve">-0</t>
        </is>
      </c>
    </row>
    <row r="852">
      <c r="C852" s="250" t="inlineStr">
        <is>
          <t xml:space="preserve">Total carried to BOQ  1ST FLR item A</t>
        </is>
      </c>
      <c r="D852" s="250" t="inlineStr">
        <is>
          <t xml:space="preserve"/>
        </is>
      </c>
      <c r="E852" s="250" t="inlineStr">
        <is>
          <t xml:space="preserve"/>
        </is>
      </c>
      <c r="F852" s="250" t="inlineStr">
        <is>
          <t xml:space="preserve"/>
        </is>
      </c>
      <c r="G852" s="250" t="inlineStr">
        <is>
          <t xml:space="preserve"/>
        </is>
      </c>
      <c r="H852" s="251">
        <f>SUM(H845:H851)</f>
        <v>404.5250000000001</v>
      </c>
      <c r="I852" s="252" t="inlineStr">
        <is>
          <t xml:space="preserve">m2</t>
        </is>
      </c>
    </row>
    <row r="853">
      <c r="A853" s="243" t="inlineStr">
        <is>
          <t xml:space="preserve">1ST FLR</t>
        </is>
      </c>
      <c r="B853" s="243" t="inlineStr">
        <is>
          <t xml:space="preserve">B</t>
        </is>
      </c>
      <c r="C853" s="244" t="inlineStr">
        <is>
          <t xml:space="preserve">External walls</t>
        </is>
      </c>
      <c r="I853" s="245" t="inlineStr">
        <is>
          <t xml:space="preserve">m2</t>
        </is>
      </c>
      <c r="K853" s="256" t="inlineStr">
        <is>
          <t xml:space="preserve">'1ST FLR '!C139</t>
        </is>
      </c>
    </row>
    <row r="854">
      <c r="C854" s="246" t="inlineStr">
        <is>
          <t xml:space="preserve">External perimeter x storey ht</t>
        </is>
      </c>
      <c r="E854" s="247">
        <v>134.3</v>
      </c>
      <c r="F854" s="247">
        <v>2.7</v>
      </c>
      <c r="H854" s="249">
        <f>PRODUCT(D854:G854)</f>
        <v>362.61000000000007</v>
      </c>
      <c r="J854" s="253" t="inlineStr">
        <is>
          <t xml:space="preserve">134.3*2.7</t>
        </is>
      </c>
    </row>
    <row r="855">
      <c r="C855" s="246" t="inlineStr">
        <is>
          <t xml:space="preserve">Ddt window </t>
        </is>
      </c>
      <c r="H855" s="247">
        <v>0</v>
      </c>
      <c r="J855" s="253" t="inlineStr">
        <is>
          <t xml:space="preserve">-0</t>
        </is>
      </c>
    </row>
    <row r="856">
      <c r="C856" s="250" t="inlineStr">
        <is>
          <t xml:space="preserve">Total carried to BOQ  1ST FLR item B</t>
        </is>
      </c>
      <c r="D856" s="250" t="inlineStr">
        <is>
          <t xml:space="preserve"/>
        </is>
      </c>
      <c r="E856" s="250" t="inlineStr">
        <is>
          <t xml:space="preserve"/>
        </is>
      </c>
      <c r="F856" s="250" t="inlineStr">
        <is>
          <t xml:space="preserve"/>
        </is>
      </c>
      <c r="G856" s="250" t="inlineStr">
        <is>
          <t xml:space="preserve"/>
        </is>
      </c>
      <c r="H856" s="251">
        <f>SUM(H854:H855)</f>
        <v>362.61000000000007</v>
      </c>
      <c r="I856" s="252" t="inlineStr">
        <is>
          <t xml:space="preserve">m2</t>
        </is>
      </c>
    </row>
    <row r="857">
      <c r="C857" s="242" t="inlineStr">
        <is>
          <t xml:space="preserve">ELEMENT NO. 7: PAINTING AND DECORATING</t>
        </is>
      </c>
    </row>
    <row r="858">
      <c r="C858" s="242" t="inlineStr">
        <is>
          <t xml:space="preserve">M60 PAINTING - Prepare and apply two undercoats and finishing coat of emulsion paint on:</t>
        </is>
      </c>
    </row>
    <row r="859">
      <c r="A859" s="243" t="inlineStr">
        <is>
          <t xml:space="preserve">1ST FLR</t>
        </is>
      </c>
      <c r="B859" s="243" t="inlineStr">
        <is>
          <t xml:space="preserve">A</t>
        </is>
      </c>
      <c r="C859" s="244" t="inlineStr">
        <is>
          <t xml:space="preserve">Interior walls</t>
        </is>
      </c>
      <c r="I859" s="245" t="inlineStr">
        <is>
          <t xml:space="preserve">m2</t>
        </is>
      </c>
      <c r="K859" s="256" t="inlineStr">
        <is>
          <t xml:space="preserve">'1ST FLR '!C148</t>
        </is>
      </c>
    </row>
    <row r="860">
      <c r="C860" s="246" t="inlineStr">
        <is>
          <t xml:space="preserve">block wall faces: 2 x (150 + 200 block runs) x ht</t>
        </is>
      </c>
      <c r="D860" s="248">
        <v>2</v>
      </c>
      <c r="E860" s="247">
        <f>98.4+36.6</f>
        <v>135.0</v>
      </c>
      <c r="F860" s="247">
        <v>2.45</v>
      </c>
      <c r="H860" s="249">
        <f>PRODUCT(D860:G860)</f>
        <v>661.5</v>
      </c>
      <c r="J860" s="253" t="inlineStr">
        <is>
          <t xml:space="preserve">2*(98.4+36.6)*2.45</t>
        </is>
      </c>
    </row>
    <row r="861">
      <c r="C861" s="246" t="inlineStr">
        <is>
          <t xml:space="preserve">RC wall faces: 2 x RC wall run x ht</t>
        </is>
      </c>
      <c r="D861" s="248">
        <v>2</v>
      </c>
      <c r="E861" s="247">
        <v>25.8</v>
      </c>
      <c r="F861" s="247">
        <v>2.45</v>
      </c>
      <c r="H861" s="249">
        <f>PRODUCT(D861:G861)</f>
        <v>126.42000000000002</v>
      </c>
      <c r="J861" s="253" t="inlineStr">
        <is>
          <t xml:space="preserve">2*25.8*2.45</t>
        </is>
      </c>
    </row>
    <row r="862">
      <c r="C862" s="246" t="inlineStr">
        <is>
          <t xml:space="preserve">Ddt lift/stair shaft inner faces 16.8 m x ht</t>
        </is>
      </c>
      <c r="E862" s="247">
        <v>16.8</v>
      </c>
      <c r="F862" s="247">
        <v>2.45</v>
      </c>
      <c r="H862" s="249">
        <f>-PRODUCT(D862:G862)</f>
        <v>-41.160000000000004</v>
      </c>
      <c r="J862" s="253" t="inlineStr">
        <is>
          <t xml:space="preserve">-16.8*2.45</t>
        </is>
      </c>
    </row>
    <row r="863">
      <c r="C863" s="246" t="inlineStr">
        <is>
          <t xml:space="preserve">Ddt external face of perimeter wall (rendered externally)</t>
        </is>
      </c>
      <c r="E863" s="247">
        <v>134.3</v>
      </c>
      <c r="F863" s="247">
        <v>2.45</v>
      </c>
      <c r="H863" s="249">
        <f>-PRODUCT(D863:G863)</f>
        <v>-329.035</v>
      </c>
      <c r="J863" s="253" t="inlineStr">
        <is>
          <t xml:space="preserve">-134.3*2.45</t>
        </is>
      </c>
    </row>
    <row r="864">
      <c r="C864" s="246" t="inlineStr">
        <is>
          <t xml:space="preserve">Ddt opening </t>
        </is>
      </c>
      <c r="H864" s="247">
        <v>0</v>
      </c>
      <c r="J864" s="253" t="inlineStr">
        <is>
          <t xml:space="preserve">-0</t>
        </is>
      </c>
    </row>
    <row r="865">
      <c r="C865" s="246" t="inlineStr">
        <is>
          <t xml:space="preserve">Ddt opening ED1 (3 nr, 1x2.2) - both faces</t>
        </is>
      </c>
      <c r="D865" s="248">
        <f>2*3</f>
        <v>6</v>
      </c>
      <c r="E865" s="247">
        <v>1</v>
      </c>
      <c r="F865" s="247">
        <v>2.2</v>
      </c>
      <c r="H865" s="249">
        <f>-PRODUCT(D865:G865)</f>
        <v>-13.200000000000001</v>
      </c>
      <c r="J865" s="253" t="inlineStr">
        <is>
          <t xml:space="preserve">-2*3*1*2.2</t>
        </is>
      </c>
    </row>
    <row r="866">
      <c r="C866" s="246" t="inlineStr">
        <is>
          <t xml:space="preserve">Ddt opening </t>
        </is>
      </c>
      <c r="H866" s="247">
        <v>0</v>
      </c>
      <c r="J866" s="253" t="inlineStr">
        <is>
          <t xml:space="preserve">-0</t>
        </is>
      </c>
    </row>
    <row r="867">
      <c r="C867" s="250" t="inlineStr">
        <is>
          <t xml:space="preserve">Total carried to BOQ  1ST FLR item A</t>
        </is>
      </c>
      <c r="D867" s="250" t="inlineStr">
        <is>
          <t xml:space="preserve"/>
        </is>
      </c>
      <c r="E867" s="250" t="inlineStr">
        <is>
          <t xml:space="preserve"/>
        </is>
      </c>
      <c r="F867" s="250" t="inlineStr">
        <is>
          <t xml:space="preserve"/>
        </is>
      </c>
      <c r="G867" s="250" t="inlineStr">
        <is>
          <t xml:space="preserve"/>
        </is>
      </c>
      <c r="H867" s="251">
        <f>SUM(H860:H866)</f>
        <v>404.5250000000001</v>
      </c>
      <c r="I867" s="252" t="inlineStr">
        <is>
          <t xml:space="preserve">m2</t>
        </is>
      </c>
    </row>
    <row r="868">
      <c r="A868" s="243" t="inlineStr">
        <is>
          <t xml:space="preserve">1ST FLR</t>
        </is>
      </c>
      <c r="B868" s="243" t="inlineStr">
        <is>
          <t xml:space="preserve">B</t>
        </is>
      </c>
      <c r="C868" s="244" t="inlineStr">
        <is>
          <t xml:space="preserve">Exterior walls</t>
        </is>
      </c>
      <c r="I868" s="245" t="inlineStr">
        <is>
          <t xml:space="preserve">m2</t>
        </is>
      </c>
      <c r="K868" s="256" t="inlineStr">
        <is>
          <t xml:space="preserve">'1ST FLR '!C150</t>
        </is>
      </c>
    </row>
    <row r="869">
      <c r="C869" s="246" t="inlineStr">
        <is>
          <t xml:space="preserve">External perimeter x storey ht</t>
        </is>
      </c>
      <c r="E869" s="247">
        <v>134.3</v>
      </c>
      <c r="F869" s="247">
        <v>2.7</v>
      </c>
      <c r="H869" s="249">
        <f>PRODUCT(D869:G869)</f>
        <v>362.61000000000007</v>
      </c>
      <c r="J869" s="253" t="inlineStr">
        <is>
          <t xml:space="preserve">134.3*2.7</t>
        </is>
      </c>
    </row>
    <row r="870">
      <c r="C870" s="246" t="inlineStr">
        <is>
          <t xml:space="preserve">Ddt window </t>
        </is>
      </c>
      <c r="H870" s="247">
        <v>0</v>
      </c>
      <c r="J870" s="253" t="inlineStr">
        <is>
          <t xml:space="preserve">-0</t>
        </is>
      </c>
    </row>
    <row r="871">
      <c r="C871" s="250" t="inlineStr">
        <is>
          <t xml:space="preserve">Total carried to BOQ  1ST FLR item B</t>
        </is>
      </c>
      <c r="D871" s="250" t="inlineStr">
        <is>
          <t xml:space="preserve"/>
        </is>
      </c>
      <c r="E871" s="250" t="inlineStr">
        <is>
          <t xml:space="preserve"/>
        </is>
      </c>
      <c r="F871" s="250" t="inlineStr">
        <is>
          <t xml:space="preserve"/>
        </is>
      </c>
      <c r="G871" s="250" t="inlineStr">
        <is>
          <t xml:space="preserve"/>
        </is>
      </c>
      <c r="H871" s="251">
        <f>SUM(H869:H870)</f>
        <v>362.61000000000007</v>
      </c>
      <c r="I871" s="252" t="inlineStr">
        <is>
          <t xml:space="preserve">m2</t>
        </is>
      </c>
    </row>
    <row r="872" ht="32.2" customHeight="1">
      <c r="A872" s="243" t="inlineStr">
        <is>
          <t xml:space="preserve">1ST FLR</t>
        </is>
      </c>
      <c r="B872" s="243" t="inlineStr">
        <is>
          <t xml:space="preserve">C</t>
        </is>
      </c>
      <c r="C872" s="244" t="inlineStr">
        <is>
          <t xml:space="preserve">Columns and walls; girth exceeding 300mm (exposed faces, ground &amp; parking levels)</t>
        </is>
      </c>
      <c r="I872" s="245" t="inlineStr">
        <is>
          <t xml:space="preserve">m2</t>
        </is>
      </c>
      <c r="K872" s="256" t="inlineStr">
        <is>
          <t xml:space="preserve">'1ST FLR '!C152</t>
        </is>
      </c>
    </row>
    <row r="873">
      <c r="C873" s="246" t="inlineStr">
        <is>
          <t xml:space="preserve">COL-01A x5 - column faces (1st to M2), ht 2.45</t>
        </is>
      </c>
      <c r="D873" s="248">
        <v>5</v>
      </c>
      <c r="E873" s="247">
        <f>2*(0.75+0.5)</f>
        <v>2.5</v>
      </c>
      <c r="F873" s="247">
        <v>2.45</v>
      </c>
      <c r="H873" s="249">
        <f>PRODUCT(D873:G873)</f>
        <v>30.625000000000004</v>
      </c>
      <c r="J873" s="253" t="inlineStr">
        <is>
          <t xml:space="preserve">5*2*(0.75+0.5)*2.45</t>
        </is>
      </c>
    </row>
    <row r="874">
      <c r="C874" s="246" t="inlineStr">
        <is>
          <t xml:space="preserve">COL-01B x1 - column faces (1st to M2), ht 2.45</t>
        </is>
      </c>
      <c r="D874" s="248">
        <v>1</v>
      </c>
      <c r="E874" s="247">
        <f>2*(0.75+0.5)</f>
        <v>2.5</v>
      </c>
      <c r="F874" s="247">
        <v>2.45</v>
      </c>
      <c r="H874" s="249">
        <f>PRODUCT(D874:G874)</f>
        <v>6.125</v>
      </c>
      <c r="J874" s="253" t="inlineStr">
        <is>
          <t xml:space="preserve">1*2*(0.75+0.5)*2.45</t>
        </is>
      </c>
    </row>
    <row r="875">
      <c r="C875" s="246" t="inlineStr">
        <is>
          <t xml:space="preserve">COL-01C x2 - column faces (1st to M2), ht 2.45</t>
        </is>
      </c>
      <c r="D875" s="248">
        <v>2</v>
      </c>
      <c r="E875" s="247">
        <f>2*(0.75+0.5)</f>
        <v>2.5</v>
      </c>
      <c r="F875" s="247">
        <v>2.45</v>
      </c>
      <c r="H875" s="249">
        <f>PRODUCT(D875:G875)</f>
        <v>12.25</v>
      </c>
      <c r="J875" s="253" t="inlineStr">
        <is>
          <t xml:space="preserve">2*2*(0.75+0.5)*2.45</t>
        </is>
      </c>
    </row>
    <row r="876">
      <c r="C876" s="246" t="inlineStr">
        <is>
          <t xml:space="preserve">COL-01D x1 - column faces (M2 to 2nd), ht 2.45</t>
        </is>
      </c>
      <c r="D876" s="248">
        <v>1</v>
      </c>
      <c r="E876" s="247">
        <f>2*(0.75+0.5)</f>
        <v>2.5</v>
      </c>
      <c r="F876" s="247">
        <v>2.45</v>
      </c>
      <c r="H876" s="249">
        <f>PRODUCT(D876:G876)</f>
        <v>6.125</v>
      </c>
      <c r="J876" s="253" t="inlineStr">
        <is>
          <t xml:space="preserve">1*2*(0.75+0.5)*2.45</t>
        </is>
      </c>
    </row>
    <row r="877">
      <c r="C877" s="246" t="inlineStr">
        <is>
          <t xml:space="preserve">COL-02A x3 - column faces (1st to M2), ht 2.45</t>
        </is>
      </c>
      <c r="D877" s="248">
        <v>3</v>
      </c>
      <c r="E877" s="247">
        <f>2*(1.2+0.3)</f>
        <v>3.0</v>
      </c>
      <c r="F877" s="247">
        <v>2.45</v>
      </c>
      <c r="H877" s="249">
        <f>PRODUCT(D877:G877)</f>
        <v>22.05</v>
      </c>
      <c r="J877" s="253" t="inlineStr">
        <is>
          <t xml:space="preserve">3*2*(1.2+0.3)*2.45</t>
        </is>
      </c>
    </row>
    <row r="878">
      <c r="C878" s="246" t="inlineStr">
        <is>
          <t xml:space="preserve">COL-02B x6 - column faces (1st to M2), ht 2.45</t>
        </is>
      </c>
      <c r="D878" s="248">
        <v>6</v>
      </c>
      <c r="E878" s="247">
        <f>2*(1.2+0.3)</f>
        <v>3.0</v>
      </c>
      <c r="F878" s="247">
        <v>2.45</v>
      </c>
      <c r="H878" s="249">
        <f>PRODUCT(D878:G878)</f>
        <v>44.1</v>
      </c>
      <c r="J878" s="253" t="inlineStr">
        <is>
          <t xml:space="preserve">6*2*(1.2+0.3)*2.45</t>
        </is>
      </c>
    </row>
    <row r="879">
      <c r="C879" s="246" t="inlineStr">
        <is>
          <t xml:space="preserve">COL-02C x1 - column faces (1st to M2), ht 2.45</t>
        </is>
      </c>
      <c r="D879" s="248">
        <v>1</v>
      </c>
      <c r="E879" s="247">
        <f>2*(1.2+0.3)</f>
        <v>3.0</v>
      </c>
      <c r="F879" s="247">
        <v>2.45</v>
      </c>
      <c r="H879" s="249">
        <f>PRODUCT(D879:G879)</f>
        <v>7.3500000000000005</v>
      </c>
      <c r="J879" s="253" t="inlineStr">
        <is>
          <t xml:space="preserve">1*2*(1.2+0.3)*2.45</t>
        </is>
      </c>
    </row>
    <row r="880">
      <c r="C880" s="246" t="inlineStr">
        <is>
          <t xml:space="preserve">COL-02D x15 - column faces (M2 to 2nd), ht 2.45</t>
        </is>
      </c>
      <c r="D880" s="248">
        <v>15</v>
      </c>
      <c r="E880" s="247">
        <f>2*(1.2+0.3)</f>
        <v>3.0</v>
      </c>
      <c r="F880" s="247">
        <v>2.45</v>
      </c>
      <c r="H880" s="249">
        <f>PRODUCT(D880:G880)</f>
        <v>110.25000000000001</v>
      </c>
      <c r="J880" s="253" t="inlineStr">
        <is>
          <t xml:space="preserve">15*2*(1.2+0.3)*2.45</t>
        </is>
      </c>
    </row>
    <row r="881">
      <c r="C881" s="246" t="inlineStr">
        <is>
          <t xml:space="preserve">SWC-01A x1 - column faces (1st to M2), ht 2.45</t>
        </is>
      </c>
      <c r="D881" s="248">
        <v>1</v>
      </c>
      <c r="E881" s="247">
        <f>2*(2.85+1.075)</f>
        <v>7.85</v>
      </c>
      <c r="F881" s="247">
        <v>2.45</v>
      </c>
      <c r="H881" s="249">
        <f>PRODUCT(D881:G881)</f>
        <v>19.2325</v>
      </c>
      <c r="J881" s="253" t="inlineStr">
        <is>
          <t xml:space="preserve">1*2*(2.85+1.075)*2.45</t>
        </is>
      </c>
    </row>
    <row r="882">
      <c r="C882" s="250" t="inlineStr">
        <is>
          <t xml:space="preserve">Total carried to BOQ  1ST FLR item C</t>
        </is>
      </c>
      <c r="D882" s="250" t="inlineStr">
        <is>
          <t xml:space="preserve"/>
        </is>
      </c>
      <c r="E882" s="250" t="inlineStr">
        <is>
          <t xml:space="preserve"/>
        </is>
      </c>
      <c r="F882" s="250" t="inlineStr">
        <is>
          <t xml:space="preserve"/>
        </is>
      </c>
      <c r="G882" s="250" t="inlineStr">
        <is>
          <t xml:space="preserve"/>
        </is>
      </c>
      <c r="H882" s="251">
        <f>SUM(H873:H881)</f>
        <v>258.1075</v>
      </c>
      <c r="I882" s="252" t="inlineStr">
        <is>
          <t xml:space="preserve">m2</t>
        </is>
      </c>
    </row>
    <row r="883">
      <c r="A883" s="243" t="inlineStr">
        <is>
          <t xml:space="preserve">1ST FLR</t>
        </is>
      </c>
      <c r="B883" s="243" t="inlineStr">
        <is>
          <t xml:space="preserve">D</t>
        </is>
      </c>
      <c r="C883" s="244" t="inlineStr">
        <is>
          <t xml:space="preserve">Soffit of plaster board ceilings</t>
        </is>
      </c>
      <c r="I883" s="245" t="inlineStr">
        <is>
          <t xml:space="preserve">m2</t>
        </is>
      </c>
      <c r="K883" s="256" t="inlineStr">
        <is>
          <t xml:space="preserve">'1ST FLR '!C154</t>
        </is>
      </c>
    </row>
    <row r="884">
      <c r="C884" s="246" t="inlineStr">
        <is>
          <t xml:space="preserve">First floor (2A) - Ceiling areas (measured)</t>
        </is>
      </c>
      <c r="H884" s="247">
        <v>32.7</v>
      </c>
      <c r="J884" s="253" t="inlineStr">
        <is>
          <t xml:space="preserve">32.7</t>
        </is>
      </c>
    </row>
    <row r="885">
      <c r="C885" s="250" t="inlineStr">
        <is>
          <t xml:space="preserve">Total carried to BOQ  1ST FLR item D</t>
        </is>
      </c>
      <c r="D885" s="250" t="inlineStr">
        <is>
          <t xml:space="preserve"/>
        </is>
      </c>
      <c r="E885" s="250" t="inlineStr">
        <is>
          <t xml:space="preserve"/>
        </is>
      </c>
      <c r="F885" s="250" t="inlineStr">
        <is>
          <t xml:space="preserve"/>
        </is>
      </c>
      <c r="G885" s="250" t="inlineStr">
        <is>
          <t xml:space="preserve"/>
        </is>
      </c>
      <c r="H885" s="251">
        <f>SUM(H884:H884)</f>
        <v>32.7</v>
      </c>
      <c r="I885" s="252" t="inlineStr">
        <is>
          <t xml:space="preserve">m2</t>
        </is>
      </c>
    </row>
    <row r="886">
      <c r="C886" s="242" t="inlineStr">
        <is>
          <t xml:space="preserve">Doors and windows: schedules ARCH-501/502 give building totals only (no tags on plans); quantities are allocated to floors pro-rata to measured habitable / washroom areas. Building totals equal the schedules.</t>
        </is>
      </c>
    </row>
    <row r="887"/>
    <row r="888" ht="21" customHeight="1">
      <c r="A888" s="241" t="inlineStr">
        <is>
          <t xml:space="preserve">BILL NR. 5 - SECOND FLOOR  -  SECOND FLOOR - LEVEL 3A PARKING (INCL. MEZZANINE LEVEL 3B)</t>
        </is>
      </c>
      <c r="B888" s="241" t="inlineStr">
        <is>
          <t xml:space="preserve"/>
        </is>
      </c>
      <c r="C888" s="241" t="inlineStr">
        <is>
          <t xml:space="preserve"/>
        </is>
      </c>
      <c r="D888" s="241" t="inlineStr">
        <is>
          <t xml:space="preserve"/>
        </is>
      </c>
      <c r="E888" s="241" t="inlineStr">
        <is>
          <t xml:space="preserve"/>
        </is>
      </c>
      <c r="F888" s="241" t="inlineStr">
        <is>
          <t xml:space="preserve"/>
        </is>
      </c>
      <c r="G888" s="241" t="inlineStr">
        <is>
          <t xml:space="preserve"/>
        </is>
      </c>
      <c r="H888" s="241" t="inlineStr">
        <is>
          <t xml:space="preserve"/>
        </is>
      </c>
      <c r="I888" s="241" t="inlineStr">
        <is>
          <t xml:space="preserve"/>
        </is>
      </c>
      <c r="J888" s="241" t="inlineStr">
        <is>
          <t xml:space="preserve"/>
        </is>
      </c>
      <c r="K888" s="241" t="inlineStr">
        <is>
          <t xml:space="preserve"/>
        </is>
      </c>
    </row>
    <row r="889">
      <c r="C889" s="242" t="inlineStr">
        <is>
          <t xml:space="preserve">ELEMENT NO. 1: IN SITU CONCRETE/LARGE PRECAST CONCRETE</t>
        </is>
      </c>
    </row>
    <row r="890">
      <c r="C890" s="242" t="inlineStr">
        <is>
          <t xml:space="preserve">Vibrated in-situ concrete C40 as described in:</t>
        </is>
      </c>
    </row>
    <row r="891">
      <c r="A891" s="243" t="inlineStr">
        <is>
          <t xml:space="preserve">2ND FLR</t>
        </is>
      </c>
      <c r="B891" s="243" t="inlineStr">
        <is>
          <t xml:space="preserve">A</t>
        </is>
      </c>
      <c r="C891" s="244" t="inlineStr">
        <is>
          <t xml:space="preserve">Suspended slab 250mm thick</t>
        </is>
      </c>
      <c r="I891" s="245" t="inlineStr">
        <is>
          <t xml:space="preserve">m3</t>
        </is>
      </c>
      <c r="K891" s="256" t="inlineStr">
        <is>
          <t xml:space="preserve">'2ND FLR'!C33</t>
        </is>
      </c>
    </row>
    <row r="892">
      <c r="C892" s="246" t="inlineStr">
        <is>
          <t xml:space="preserve">Second floor 3A (+6850) - Suspended slab: measured area x 250 thk</t>
        </is>
      </c>
      <c r="E892" s="247">
        <v>737.5</v>
      </c>
      <c r="F892" s="247">
        <v>0.25</v>
      </c>
      <c r="H892" s="249">
        <f>PRODUCT(D892:G892)</f>
        <v>184.375</v>
      </c>
      <c r="J892" s="253" t="inlineStr">
        <is>
          <t xml:space="preserve">737.5*0.25</t>
        </is>
      </c>
    </row>
    <row r="893">
      <c r="C893" s="246" t="inlineStr">
        <is>
          <t xml:space="preserve">Mezzanine 3B (+7900) - Suspended slab: measured area x 250 thk</t>
        </is>
      </c>
      <c r="E893" s="247">
        <v>554.9</v>
      </c>
      <c r="F893" s="247">
        <v>0.25</v>
      </c>
      <c r="H893" s="249">
        <f>PRODUCT(D893:G893)</f>
        <v>138.725</v>
      </c>
      <c r="J893" s="253" t="inlineStr">
        <is>
          <t xml:space="preserve">554.9*0.25</t>
        </is>
      </c>
    </row>
    <row r="894">
      <c r="C894" s="250" t="inlineStr">
        <is>
          <t xml:space="preserve">Total carried to BOQ  2ND FLR item A</t>
        </is>
      </c>
      <c r="D894" s="250" t="inlineStr">
        <is>
          <t xml:space="preserve"/>
        </is>
      </c>
      <c r="E894" s="250" t="inlineStr">
        <is>
          <t xml:space="preserve"/>
        </is>
      </c>
      <c r="F894" s="250" t="inlineStr">
        <is>
          <t xml:space="preserve"/>
        </is>
      </c>
      <c r="G894" s="250" t="inlineStr">
        <is>
          <t xml:space="preserve"/>
        </is>
      </c>
      <c r="H894" s="251">
        <f>SUM(H892:H893)</f>
        <v>323.1</v>
      </c>
      <c r="I894" s="252" t="inlineStr">
        <is>
          <t xml:space="preserve">m3</t>
        </is>
      </c>
    </row>
    <row r="895">
      <c r="A895" s="243" t="inlineStr">
        <is>
          <t xml:space="preserve">2ND FLR</t>
        </is>
      </c>
      <c r="B895" s="243" t="inlineStr">
        <is>
          <t xml:space="preserve">B</t>
        </is>
      </c>
      <c r="C895" s="244" t="inlineStr">
        <is>
          <t xml:space="preserve">Beams (downstands below slab)</t>
        </is>
      </c>
      <c r="I895" s="245" t="inlineStr">
        <is>
          <t xml:space="preserve">m3</t>
        </is>
      </c>
      <c r="K895" s="256" t="inlineStr">
        <is>
          <t xml:space="preserve">'2ND FLR'!C35</t>
        </is>
      </c>
    </row>
    <row r="896">
      <c r="C896" s="246" t="inlineStr">
        <is>
          <t xml:space="preserve">Second floor 3A (+6850) - 300 wide beams: length x width x depth</t>
        </is>
      </c>
      <c r="E896" s="247">
        <v>79.9</v>
      </c>
      <c r="F896" s="247">
        <v>0.3</v>
      </c>
      <c r="G896" s="247">
        <v>0.35</v>
      </c>
      <c r="H896" s="249">
        <f>PRODUCT(D896:G896)</f>
        <v>8.3895</v>
      </c>
      <c r="J896" s="253" t="inlineStr">
        <is>
          <t xml:space="preserve">79.9*0.3*0.35</t>
        </is>
      </c>
    </row>
    <row r="897">
      <c r="C897" s="246" t="inlineStr">
        <is>
          <t xml:space="preserve">Second floor 3A (+6850) - 200 wide beams: length x width x depth</t>
        </is>
      </c>
      <c r="D897" s="248">
        <v>43</v>
      </c>
      <c r="E897" s="247">
        <v>0.2</v>
      </c>
      <c r="F897" s="247">
        <v>0.35</v>
      </c>
      <c r="H897" s="249">
        <f>PRODUCT(D897:G897)</f>
        <v>3.01</v>
      </c>
      <c r="J897" s="253" t="inlineStr">
        <is>
          <t xml:space="preserve">43*0.2*0.35</t>
        </is>
      </c>
    </row>
    <row r="898">
      <c r="C898" s="246" t="inlineStr">
        <is>
          <t xml:space="preserve">Mezzanine 3B (+7900) - 300 wide beams: length x width x depth</t>
        </is>
      </c>
      <c r="E898" s="247">
        <v>64.3</v>
      </c>
      <c r="F898" s="247">
        <v>0.3</v>
      </c>
      <c r="G898" s="247">
        <v>0.35</v>
      </c>
      <c r="H898" s="249">
        <f>PRODUCT(D898:G898)</f>
        <v>6.751499999999999</v>
      </c>
      <c r="J898" s="253" t="inlineStr">
        <is>
          <t xml:space="preserve">64.3*0.3*0.35</t>
        </is>
      </c>
    </row>
    <row r="899">
      <c r="C899" s="250" t="inlineStr">
        <is>
          <t xml:space="preserve">Total carried to BOQ  2ND FLR item B</t>
        </is>
      </c>
      <c r="D899" s="250" t="inlineStr">
        <is>
          <t xml:space="preserve"/>
        </is>
      </c>
      <c r="E899" s="250" t="inlineStr">
        <is>
          <t xml:space="preserve"/>
        </is>
      </c>
      <c r="F899" s="250" t="inlineStr">
        <is>
          <t xml:space="preserve"/>
        </is>
      </c>
      <c r="G899" s="250" t="inlineStr">
        <is>
          <t xml:space="preserve"/>
        </is>
      </c>
      <c r="H899" s="251">
        <f>SUM(H896:H898)</f>
        <v>18.151</v>
      </c>
      <c r="I899" s="252" t="inlineStr">
        <is>
          <t xml:space="preserve">m3</t>
        </is>
      </c>
    </row>
    <row r="900">
      <c r="A900" s="243" t="inlineStr">
        <is>
          <t xml:space="preserve">2ND FLR</t>
        </is>
      </c>
      <c r="B900" s="243" t="inlineStr">
        <is>
          <t xml:space="preserve">C</t>
        </is>
      </c>
      <c r="C900" s="244" t="inlineStr">
        <is>
          <t xml:space="preserve">Columns</t>
        </is>
      </c>
      <c r="I900" s="245" t="inlineStr">
        <is>
          <t xml:space="preserve">m3</t>
        </is>
      </c>
      <c r="K900" s="256" t="inlineStr">
        <is>
          <t xml:space="preserve">'2ND FLR'!C37</t>
        </is>
      </c>
    </row>
    <row r="901">
      <c r="C901" s="246" t="inlineStr">
        <is>
          <t xml:space="preserve">COL-01A x5 - column (2nd to Mezz), ht 3.8</t>
        </is>
      </c>
      <c r="D901" s="248">
        <v>5</v>
      </c>
      <c r="E901" s="247">
        <v>0.75</v>
      </c>
      <c r="F901" s="247">
        <v>0.5</v>
      </c>
      <c r="G901" s="247">
        <v>3.8</v>
      </c>
      <c r="H901" s="249">
        <f>PRODUCT(D901:G901)</f>
        <v>7.125</v>
      </c>
      <c r="J901" s="253" t="inlineStr">
        <is>
          <t xml:space="preserve">5*0.75*0.5*3.8</t>
        </is>
      </c>
    </row>
    <row r="902">
      <c r="C902" s="246" t="inlineStr">
        <is>
          <t xml:space="preserve">COL-01B x1 - column (2nd to Mezz), ht 3.8</t>
        </is>
      </c>
      <c r="D902" s="248">
        <v>1</v>
      </c>
      <c r="E902" s="247">
        <v>0.75</v>
      </c>
      <c r="F902" s="247">
        <v>0.5</v>
      </c>
      <c r="G902" s="247">
        <v>3.8</v>
      </c>
      <c r="H902" s="249">
        <f>PRODUCT(D902:G902)</f>
        <v>1.4249999999999998</v>
      </c>
      <c r="J902" s="253" t="inlineStr">
        <is>
          <t xml:space="preserve">1*0.75*0.5*3.8</t>
        </is>
      </c>
    </row>
    <row r="903">
      <c r="C903" s="246" t="inlineStr">
        <is>
          <t xml:space="preserve">COL-01C x2 - column (2nd to Mezz), ht 3.8</t>
        </is>
      </c>
      <c r="D903" s="248">
        <v>2</v>
      </c>
      <c r="E903" s="247">
        <v>0.75</v>
      </c>
      <c r="F903" s="247">
        <v>0.5</v>
      </c>
      <c r="G903" s="247">
        <v>3.8</v>
      </c>
      <c r="H903" s="249">
        <f>PRODUCT(D903:G903)</f>
        <v>2.8499999999999996</v>
      </c>
      <c r="J903" s="253" t="inlineStr">
        <is>
          <t xml:space="preserve">2*0.75*0.5*3.8</t>
        </is>
      </c>
    </row>
    <row r="904">
      <c r="C904" s="246" t="inlineStr">
        <is>
          <t xml:space="preserve">COL-01D x1 - column (Mezz to 3rd), ht 2.75</t>
        </is>
      </c>
      <c r="D904" s="248">
        <v>1</v>
      </c>
      <c r="E904" s="247">
        <v>0.75</v>
      </c>
      <c r="F904" s="247">
        <v>0.5</v>
      </c>
      <c r="G904" s="247">
        <v>2.75</v>
      </c>
      <c r="H904" s="249">
        <f>PRODUCT(D904:G904)</f>
        <v>1.03125</v>
      </c>
      <c r="J904" s="253" t="inlineStr">
        <is>
          <t xml:space="preserve">1*0.75*0.5*2.75</t>
        </is>
      </c>
    </row>
    <row r="905">
      <c r="C905" s="246" t="inlineStr">
        <is>
          <t xml:space="preserve">COL-02A x3 - column (2nd to Mezz), ht 3.8</t>
        </is>
      </c>
      <c r="D905" s="248">
        <v>3</v>
      </c>
      <c r="E905" s="247">
        <v>1.2</v>
      </c>
      <c r="F905" s="247">
        <v>0.3</v>
      </c>
      <c r="G905" s="247">
        <v>3.8</v>
      </c>
      <c r="H905" s="249">
        <f>PRODUCT(D905:G905)</f>
        <v>4.103999999999999</v>
      </c>
      <c r="J905" s="253" t="inlineStr">
        <is>
          <t xml:space="preserve">3*1.2*0.3*3.8</t>
        </is>
      </c>
    </row>
    <row r="906">
      <c r="C906" s="246" t="inlineStr">
        <is>
          <t xml:space="preserve">COL-02B x6 - column (2nd to Mezz), ht 3.8</t>
        </is>
      </c>
      <c r="D906" s="248">
        <v>6</v>
      </c>
      <c r="E906" s="247">
        <v>1.2</v>
      </c>
      <c r="F906" s="247">
        <v>0.3</v>
      </c>
      <c r="G906" s="247">
        <v>3.8</v>
      </c>
      <c r="H906" s="249">
        <f>PRODUCT(D906:G906)</f>
        <v>8.207999999999998</v>
      </c>
      <c r="J906" s="253" t="inlineStr">
        <is>
          <t xml:space="preserve">6*1.2*0.3*3.8</t>
        </is>
      </c>
    </row>
    <row r="907">
      <c r="C907" s="246" t="inlineStr">
        <is>
          <t xml:space="preserve">COL-02C x1 - column (2nd to Mezz), ht 3.8</t>
        </is>
      </c>
      <c r="D907" s="248">
        <v>1</v>
      </c>
      <c r="E907" s="247">
        <v>1.2</v>
      </c>
      <c r="F907" s="247">
        <v>0.3</v>
      </c>
      <c r="G907" s="247">
        <v>3.8</v>
      </c>
      <c r="H907" s="249">
        <f>PRODUCT(D907:G907)</f>
        <v>1.3679999999999999</v>
      </c>
      <c r="J907" s="253" t="inlineStr">
        <is>
          <t xml:space="preserve">1*1.2*0.3*3.8</t>
        </is>
      </c>
    </row>
    <row r="908">
      <c r="C908" s="246" t="inlineStr">
        <is>
          <t xml:space="preserve">COL-02D x15 - column (Mezz to 3rd), ht 2.75</t>
        </is>
      </c>
      <c r="D908" s="248">
        <v>15</v>
      </c>
      <c r="E908" s="247">
        <v>1.2</v>
      </c>
      <c r="F908" s="247">
        <v>0.3</v>
      </c>
      <c r="G908" s="247">
        <v>2.75</v>
      </c>
      <c r="H908" s="249">
        <f>PRODUCT(D908:G908)</f>
        <v>14.849999999999998</v>
      </c>
      <c r="J908" s="253" t="inlineStr">
        <is>
          <t xml:space="preserve">15*1.2*0.3*2.75</t>
        </is>
      </c>
    </row>
    <row r="909">
      <c r="C909" s="246" t="inlineStr">
        <is>
          <t xml:space="preserve">SWC-01A x1 - column (2nd to Mezz), ht 3.8</t>
        </is>
      </c>
      <c r="D909" s="248">
        <v>1</v>
      </c>
      <c r="E909" s="247">
        <f>2.85*0.25+0.825*0.25</f>
        <v>0.91875</v>
      </c>
      <c r="F909" s="247">
        <v>3.8</v>
      </c>
      <c r="H909" s="249">
        <f>PRODUCT(D909:G909)</f>
        <v>3.4912499999999995</v>
      </c>
      <c r="J909" s="253" t="inlineStr">
        <is>
          <t xml:space="preserve">1*(2.85*0.25+0.825*0.25)*3.8</t>
        </is>
      </c>
    </row>
    <row r="910">
      <c r="C910" s="250" t="inlineStr">
        <is>
          <t xml:space="preserve">Total carried to BOQ  2ND FLR item C</t>
        </is>
      </c>
      <c r="D910" s="250" t="inlineStr">
        <is>
          <t xml:space="preserve"/>
        </is>
      </c>
      <c r="E910" s="250" t="inlineStr">
        <is>
          <t xml:space="preserve"/>
        </is>
      </c>
      <c r="F910" s="250" t="inlineStr">
        <is>
          <t xml:space="preserve"/>
        </is>
      </c>
      <c r="G910" s="250" t="inlineStr">
        <is>
          <t xml:space="preserve"/>
        </is>
      </c>
      <c r="H910" s="251">
        <f>SUM(H901:H909)</f>
        <v>44.45249999999999</v>
      </c>
      <c r="I910" s="252" t="inlineStr">
        <is>
          <t xml:space="preserve">m3</t>
        </is>
      </c>
    </row>
    <row r="911">
      <c r="A911" s="243" t="inlineStr">
        <is>
          <t xml:space="preserve">2ND FLR</t>
        </is>
      </c>
      <c r="B911" s="243" t="inlineStr">
        <is>
          <t xml:space="preserve">D</t>
        </is>
      </c>
      <c r="C911" s="244" t="inlineStr">
        <is>
          <t xml:space="preserve">Concrete wall - shear walls to main &amp; emergency stair cores, 250mm thick</t>
        </is>
      </c>
      <c r="I911" s="245" t="inlineStr">
        <is>
          <t xml:space="preserve">m3</t>
        </is>
      </c>
      <c r="K911" s="256" t="inlineStr">
        <is>
          <t xml:space="preserve">'2ND FLR'!C39</t>
        </is>
      </c>
    </row>
    <row r="912">
      <c r="C912" s="246" t="inlineStr">
        <is>
          <t xml:space="preserve">Second floor 3A (+6850) - main stair core walls (22.05 m run): run x ht x 250 thk</t>
        </is>
      </c>
      <c r="E912" s="247">
        <v>22.05</v>
      </c>
      <c r="F912" s="247">
        <v>3.8</v>
      </c>
      <c r="G912" s="247">
        <v>0.25</v>
      </c>
      <c r="H912" s="249">
        <f>PRODUCT(D912:G912)</f>
        <v>20.947499999999998</v>
      </c>
      <c r="J912" s="253" t="inlineStr">
        <is>
          <t xml:space="preserve">22.05*3.8*0.25</t>
        </is>
      </c>
    </row>
    <row r="913">
      <c r="C913" s="246" t="inlineStr">
        <is>
          <t xml:space="preserve">Mezzanine 3B (+7900) - emergency stair core walls (25.57 m run): run x ht x 250 thk</t>
        </is>
      </c>
      <c r="E913" s="247">
        <v>25.57</v>
      </c>
      <c r="F913" s="247">
        <v>2.75</v>
      </c>
      <c r="G913" s="247">
        <v>0.25</v>
      </c>
      <c r="H913" s="249">
        <f>PRODUCT(D913:G913)</f>
        <v>17.579375</v>
      </c>
      <c r="J913" s="253" t="inlineStr">
        <is>
          <t xml:space="preserve">25.57*2.75*0.25</t>
        </is>
      </c>
    </row>
    <row r="914">
      <c r="C914" s="250" t="inlineStr">
        <is>
          <t xml:space="preserve">Total carried to BOQ  2ND FLR item D</t>
        </is>
      </c>
      <c r="D914" s="250" t="inlineStr">
        <is>
          <t xml:space="preserve"/>
        </is>
      </c>
      <c r="E914" s="250" t="inlineStr">
        <is>
          <t xml:space="preserve"/>
        </is>
      </c>
      <c r="F914" s="250" t="inlineStr">
        <is>
          <t xml:space="preserve"/>
        </is>
      </c>
      <c r="G914" s="250" t="inlineStr">
        <is>
          <t xml:space="preserve"/>
        </is>
      </c>
      <c r="H914" s="251">
        <f>SUM(H912:H913)</f>
        <v>38.526875</v>
      </c>
      <c r="I914" s="252" t="inlineStr">
        <is>
          <t xml:space="preserve">m3</t>
        </is>
      </c>
    </row>
    <row r="915">
      <c r="A915" s="243" t="inlineStr">
        <is>
          <t xml:space="preserve">2ND FLR</t>
        </is>
      </c>
      <c r="B915" s="243" t="inlineStr">
        <is>
          <t xml:space="preserve">E</t>
        </is>
      </c>
      <c r="C915" s="244" t="inlineStr">
        <is>
          <t xml:space="preserve">Concrete wall - lift walls, 250mm thick</t>
        </is>
      </c>
      <c r="I915" s="245" t="inlineStr">
        <is>
          <t xml:space="preserve">m3</t>
        </is>
      </c>
      <c r="K915" s="256" t="inlineStr">
        <is>
          <t xml:space="preserve">'2ND FLR'!C41</t>
        </is>
      </c>
    </row>
    <row r="916">
      <c r="C916" s="246" t="inlineStr">
        <is>
          <t xml:space="preserve">Second floor 3A (+6850) - lift core walls (21.825 m run): run x ht x 250 thk</t>
        </is>
      </c>
      <c r="E916" s="247">
        <v>21.825</v>
      </c>
      <c r="F916" s="247">
        <v>3.8</v>
      </c>
      <c r="G916" s="247">
        <v>0.25</v>
      </c>
      <c r="H916" s="249">
        <f>PRODUCT(D916:G916)</f>
        <v>20.733749999999997</v>
      </c>
      <c r="J916" s="253" t="inlineStr">
        <is>
          <t xml:space="preserve">21.825*3.8*0.25</t>
        </is>
      </c>
    </row>
    <row r="917">
      <c r="C917" s="250" t="inlineStr">
        <is>
          <t xml:space="preserve">Total carried to BOQ  2ND FLR item E</t>
        </is>
      </c>
      <c r="D917" s="250" t="inlineStr">
        <is>
          <t xml:space="preserve"/>
        </is>
      </c>
      <c r="E917" s="250" t="inlineStr">
        <is>
          <t xml:space="preserve"/>
        </is>
      </c>
      <c r="F917" s="250" t="inlineStr">
        <is>
          <t xml:space="preserve"/>
        </is>
      </c>
      <c r="G917" s="250" t="inlineStr">
        <is>
          <t xml:space="preserve"/>
        </is>
      </c>
      <c r="H917" s="251">
        <f>SUM(H916:H916)</f>
        <v>20.733749999999997</v>
      </c>
      <c r="I917" s="252" t="inlineStr">
        <is>
          <t xml:space="preserve">m3</t>
        </is>
      </c>
    </row>
    <row r="918">
      <c r="A918" s="243" t="inlineStr">
        <is>
          <t xml:space="preserve">2ND FLR</t>
        </is>
      </c>
      <c r="B918" s="243" t="inlineStr">
        <is>
          <t xml:space="preserve">F</t>
        </is>
      </c>
      <c r="C918" s="244" t="inlineStr">
        <is>
          <t xml:space="preserve">Stairs</t>
        </is>
      </c>
      <c r="I918" s="245" t="inlineStr">
        <is>
          <t xml:space="preserve">m3</t>
        </is>
      </c>
      <c r="K918" s="256" t="inlineStr">
        <is>
          <t xml:space="preserve">'2ND FLR'!C43</t>
        </is>
      </c>
    </row>
    <row r="919">
      <c r="C919" s="246" t="inlineStr">
        <is>
          <t xml:space="preserve">Second floor 3A (+6850) - Main stair flight (storey ht 4.05) - flights: 2.966 m3 per 3.3 m storey x (storey ht / 3.3)</t>
        </is>
      </c>
      <c r="E919" s="247">
        <v>2.966</v>
      </c>
      <c r="F919" s="247">
        <f>4.05/3.3</f>
        <v>1.2272727272727273</v>
      </c>
      <c r="H919" s="249">
        <f>PRODUCT(D919:G919)</f>
        <v>3.6400909090909095</v>
      </c>
      <c r="J919" s="253" t="inlineStr">
        <is>
          <t xml:space="preserve">2.966*4.05/3.3</t>
        </is>
      </c>
    </row>
    <row r="920">
      <c r="C920" s="246" t="inlineStr">
        <is>
          <t xml:space="preserve">Second floor 3A (+6850) - Main stair flight (storey ht 4.05) - landings</t>
        </is>
      </c>
      <c r="H920" s="247">
        <v>2.625</v>
      </c>
      <c r="J920" s="253" t="inlineStr">
        <is>
          <t xml:space="preserve">2.625</t>
        </is>
      </c>
    </row>
    <row r="921">
      <c r="C921" s="246" t="inlineStr">
        <is>
          <t xml:space="preserve">Mezzanine 3B (+7900) - Emergency stair flight (storey ht 3) - flights: 2.966 m3 per 3.3 m storey x (storey ht / 3.3)</t>
        </is>
      </c>
      <c r="E921" s="247">
        <v>2.966</v>
      </c>
      <c r="F921" s="247">
        <f>3/3.3</f>
        <v>0.9090909090909092</v>
      </c>
      <c r="H921" s="249">
        <f>PRODUCT(D921:G921)</f>
        <v>2.6963636363636367</v>
      </c>
      <c r="J921" s="253" t="inlineStr">
        <is>
          <t xml:space="preserve">2.966*3/3.3</t>
        </is>
      </c>
    </row>
    <row r="922">
      <c r="C922" s="246" t="inlineStr">
        <is>
          <t xml:space="preserve">Mezzanine 3B (+7900) - Emergency stair flight (storey ht 3) - landings</t>
        </is>
      </c>
      <c r="H922" s="247">
        <v>2.625</v>
      </c>
      <c r="J922" s="253" t="inlineStr">
        <is>
          <t xml:space="preserve">2.625</t>
        </is>
      </c>
    </row>
    <row r="923">
      <c r="C923" s="250" t="inlineStr">
        <is>
          <t xml:space="preserve">Total carried to BOQ  2ND FLR item F</t>
        </is>
      </c>
      <c r="D923" s="250" t="inlineStr">
        <is>
          <t xml:space="preserve"/>
        </is>
      </c>
      <c r="E923" s="250" t="inlineStr">
        <is>
          <t xml:space="preserve"/>
        </is>
      </c>
      <c r="F923" s="250" t="inlineStr">
        <is>
          <t xml:space="preserve"/>
        </is>
      </c>
      <c r="G923" s="250" t="inlineStr">
        <is>
          <t xml:space="preserve"/>
        </is>
      </c>
      <c r="H923" s="251">
        <f>SUM(H919:H922)</f>
        <v>11.586454545454547</v>
      </c>
      <c r="I923" s="252" t="inlineStr">
        <is>
          <t xml:space="preserve">m3</t>
        </is>
      </c>
    </row>
    <row r="924">
      <c r="A924" s="243" t="inlineStr">
        <is>
          <t xml:space="preserve">2ND FLR</t>
        </is>
      </c>
      <c r="B924" s="243" t="inlineStr">
        <is>
          <t xml:space="preserve">G</t>
        </is>
      </c>
      <c r="C924" s="244" t="inlineStr">
        <is>
          <t xml:space="preserve">Lintels 150 x 225mm over door and window openings</t>
        </is>
      </c>
      <c r="I924" s="245" t="inlineStr">
        <is>
          <t xml:space="preserve">m3</t>
        </is>
      </c>
      <c r="K924" s="256" t="inlineStr">
        <is>
          <t xml:space="preserve">'2ND FLR'!C45</t>
        </is>
      </c>
    </row>
    <row r="925">
      <c r="C925" s="246" t="inlineStr">
        <is>
          <t xml:space="preserve">Second floor (3A) - Lintels: openings</t>
        </is>
      </c>
      <c r="D925" s="248">
        <v>3</v>
      </c>
      <c r="E925" s="247">
        <f>1+0.3</f>
        <v>1.3</v>
      </c>
      <c r="F925" s="247">
        <v>0.15</v>
      </c>
      <c r="G925" s="247">
        <v>0.225</v>
      </c>
      <c r="H925" s="249">
        <f>PRODUCT(D925:G925)</f>
        <v>0.13162500000000002</v>
      </c>
      <c r="J925" s="253" t="inlineStr">
        <is>
          <t xml:space="preserve">3*(1+0.3)*0.15*0.225</t>
        </is>
      </c>
    </row>
    <row r="926">
      <c r="C926" s="246" t="inlineStr">
        <is>
          <t xml:space="preserve">Mezzanine (3B) - Lintels: openings</t>
        </is>
      </c>
      <c r="D926" s="248">
        <v>3</v>
      </c>
      <c r="E926" s="247">
        <f>1+0.3</f>
        <v>1.3</v>
      </c>
      <c r="F926" s="247">
        <v>0.15</v>
      </c>
      <c r="G926" s="247">
        <v>0.225</v>
      </c>
      <c r="H926" s="249">
        <f>PRODUCT(D926:G926)</f>
        <v>0.13162500000000002</v>
      </c>
      <c r="J926" s="253" t="inlineStr">
        <is>
          <t xml:space="preserve">3*(1+0.3)*0.15*0.225</t>
        </is>
      </c>
    </row>
    <row r="927">
      <c r="C927" s="250" t="inlineStr">
        <is>
          <t xml:space="preserve">Total carried to BOQ  2ND FLR item G</t>
        </is>
      </c>
      <c r="D927" s="250" t="inlineStr">
        <is>
          <t xml:space="preserve"/>
        </is>
      </c>
      <c r="E927" s="250" t="inlineStr">
        <is>
          <t xml:space="preserve"/>
        </is>
      </c>
      <c r="F927" s="250" t="inlineStr">
        <is>
          <t xml:space="preserve"/>
        </is>
      </c>
      <c r="G927" s="250" t="inlineStr">
        <is>
          <t xml:space="preserve"/>
        </is>
      </c>
      <c r="H927" s="251">
        <f>SUM(H925:H926)</f>
        <v>0.26325000000000004</v>
      </c>
      <c r="I927" s="252" t="inlineStr">
        <is>
          <t xml:space="preserve">m3</t>
        </is>
      </c>
    </row>
    <row r="928">
      <c r="C928" s="242" t="inlineStr">
        <is>
          <t xml:space="preserve">E20 FORMWORK - Formwork as described to:</t>
        </is>
      </c>
    </row>
    <row r="929">
      <c r="A929" s="243" t="inlineStr">
        <is>
          <t xml:space="preserve">2ND FLR</t>
        </is>
      </c>
      <c r="B929" s="243" t="inlineStr">
        <is>
          <t xml:space="preserve">H</t>
        </is>
      </c>
      <c r="C929" s="244" t="inlineStr">
        <is>
          <t xml:space="preserve">Soffits of suspended slab</t>
        </is>
      </c>
      <c r="I929" s="245" t="inlineStr">
        <is>
          <t xml:space="preserve">m2</t>
        </is>
      </c>
      <c r="K929" s="256" t="inlineStr">
        <is>
          <t xml:space="preserve">'2ND FLR'!C48</t>
        </is>
      </c>
    </row>
    <row r="930">
      <c r="C930" s="246" t="inlineStr">
        <is>
          <t xml:space="preserve">Second floor 3A (+6850) - Slab soffit: measured area</t>
        </is>
      </c>
      <c r="H930" s="247">
        <v>737.5</v>
      </c>
      <c r="J930" s="253" t="inlineStr">
        <is>
          <t xml:space="preserve">737.5</t>
        </is>
      </c>
    </row>
    <row r="931">
      <c r="C931" s="246" t="inlineStr">
        <is>
          <t xml:space="preserve">Mezzanine 3B (+7900) - Slab soffit: measured area</t>
        </is>
      </c>
      <c r="H931" s="247">
        <v>554.9</v>
      </c>
      <c r="J931" s="253" t="inlineStr">
        <is>
          <t xml:space="preserve">554.9</t>
        </is>
      </c>
    </row>
    <row r="932">
      <c r="C932" s="250" t="inlineStr">
        <is>
          <t xml:space="preserve">Total carried to BOQ  2ND FLR item H</t>
        </is>
      </c>
      <c r="D932" s="250" t="inlineStr">
        <is>
          <t xml:space="preserve"/>
        </is>
      </c>
      <c r="E932" s="250" t="inlineStr">
        <is>
          <t xml:space="preserve"/>
        </is>
      </c>
      <c r="F932" s="250" t="inlineStr">
        <is>
          <t xml:space="preserve"/>
        </is>
      </c>
      <c r="G932" s="250" t="inlineStr">
        <is>
          <t xml:space="preserve"/>
        </is>
      </c>
      <c r="H932" s="251">
        <f>SUM(H930:H931)</f>
        <v>1292.4</v>
      </c>
      <c r="I932" s="252" t="inlineStr">
        <is>
          <t xml:space="preserve">m2</t>
        </is>
      </c>
    </row>
    <row r="933">
      <c r="A933" s="243" t="inlineStr">
        <is>
          <t xml:space="preserve">2ND FLR</t>
        </is>
      </c>
      <c r="B933" s="243" t="inlineStr">
        <is>
          <t xml:space="preserve">J</t>
        </is>
      </c>
      <c r="C933" s="244" t="inlineStr">
        <is>
          <t xml:space="preserve">Edges of suspended slab 250mm high</t>
        </is>
      </c>
      <c r="I933" s="245" t="inlineStr">
        <is>
          <t xml:space="preserve">m</t>
        </is>
      </c>
      <c r="K933" s="256" t="inlineStr">
        <is>
          <t xml:space="preserve">'2ND FLR'!C50</t>
        </is>
      </c>
    </row>
    <row r="934">
      <c r="C934" s="246" t="inlineStr">
        <is>
          <t xml:space="preserve">Second floor 3A (+6850) - Slab edge: measured perimeter</t>
        </is>
      </c>
      <c r="H934" s="247">
        <v>186.5</v>
      </c>
      <c r="J934" s="253" t="inlineStr">
        <is>
          <t xml:space="preserve">186.5</t>
        </is>
      </c>
    </row>
    <row r="935">
      <c r="C935" s="246" t="inlineStr">
        <is>
          <t xml:space="preserve">Mezzanine 3B (+7900) - Slab edge: measured perimeter</t>
        </is>
      </c>
      <c r="H935" s="247">
        <v>216.4</v>
      </c>
      <c r="J935" s="253" t="inlineStr">
        <is>
          <t xml:space="preserve">216.4</t>
        </is>
      </c>
    </row>
    <row r="936">
      <c r="C936" s="250" t="inlineStr">
        <is>
          <t xml:space="preserve">Total carried to BOQ  2ND FLR item J</t>
        </is>
      </c>
      <c r="D936" s="250" t="inlineStr">
        <is>
          <t xml:space="preserve"/>
        </is>
      </c>
      <c r="E936" s="250" t="inlineStr">
        <is>
          <t xml:space="preserve"/>
        </is>
      </c>
      <c r="F936" s="250" t="inlineStr">
        <is>
          <t xml:space="preserve"/>
        </is>
      </c>
      <c r="G936" s="250" t="inlineStr">
        <is>
          <t xml:space="preserve"/>
        </is>
      </c>
      <c r="H936" s="251">
        <f>SUM(H934:H935)</f>
        <v>402.9</v>
      </c>
      <c r="I936" s="252" t="inlineStr">
        <is>
          <t xml:space="preserve">m</t>
        </is>
      </c>
    </row>
    <row r="937">
      <c r="A937" s="243" t="inlineStr">
        <is>
          <t xml:space="preserve">2ND FLR</t>
        </is>
      </c>
      <c r="B937" s="243" t="inlineStr">
        <is>
          <t xml:space="preserve">K</t>
        </is>
      </c>
      <c r="C937" s="244" t="inlineStr">
        <is>
          <t xml:space="preserve">Sides and soffits of beams</t>
        </is>
      </c>
      <c r="I937" s="245" t="inlineStr">
        <is>
          <t xml:space="preserve">m2</t>
        </is>
      </c>
      <c r="K937" s="256" t="inlineStr">
        <is>
          <t xml:space="preserve">'2ND FLR'!C52</t>
        </is>
      </c>
    </row>
    <row r="938">
      <c r="C938" s="246" t="inlineStr">
        <is>
          <t xml:space="preserve">Second floor 3A (+6850) - beam sides &amp; soffit (300 wide): length x girth</t>
        </is>
      </c>
      <c r="E938" s="247">
        <v>79.9</v>
      </c>
      <c r="F938" s="247">
        <f>2*0.35+0.3</f>
        <v>1.0</v>
      </c>
      <c r="H938" s="249">
        <f>PRODUCT(D938:G938)</f>
        <v>79.9</v>
      </c>
      <c r="J938" s="253" t="inlineStr">
        <is>
          <t xml:space="preserve">79.9*(2*0.35+0.3)</t>
        </is>
      </c>
    </row>
    <row r="939">
      <c r="C939" s="246" t="inlineStr">
        <is>
          <t xml:space="preserve">Second floor 3A (+6850) - beam sides &amp; soffit (200 wide): length x girth</t>
        </is>
      </c>
      <c r="D939" s="248">
        <v>43</v>
      </c>
      <c r="E939" s="247">
        <f>2*0.35+0.2</f>
        <v>0.8999999999999999</v>
      </c>
      <c r="H939" s="249">
        <f>PRODUCT(D939:G939)</f>
        <v>38.699999999999996</v>
      </c>
      <c r="J939" s="253" t="inlineStr">
        <is>
          <t xml:space="preserve">43*(2*0.35+0.2)</t>
        </is>
      </c>
    </row>
    <row r="940">
      <c r="C940" s="246" t="inlineStr">
        <is>
          <t xml:space="preserve">Mezzanine 3B (+7900) - beam sides &amp; soffit (300 wide): length x girth</t>
        </is>
      </c>
      <c r="E940" s="247">
        <v>64.3</v>
      </c>
      <c r="F940" s="247">
        <f>2*0.35+0.3</f>
        <v>1.0</v>
      </c>
      <c r="H940" s="249">
        <f>PRODUCT(D940:G940)</f>
        <v>64.3</v>
      </c>
      <c r="J940" s="253" t="inlineStr">
        <is>
          <t xml:space="preserve">64.3*(2*0.35+0.3)</t>
        </is>
      </c>
    </row>
    <row r="941">
      <c r="C941" s="250" t="inlineStr">
        <is>
          <t xml:space="preserve">Total carried to BOQ  2ND FLR item K</t>
        </is>
      </c>
      <c r="D941" s="250" t="inlineStr">
        <is>
          <t xml:space="preserve"/>
        </is>
      </c>
      <c r="E941" s="250" t="inlineStr">
        <is>
          <t xml:space="preserve"/>
        </is>
      </c>
      <c r="F941" s="250" t="inlineStr">
        <is>
          <t xml:space="preserve"/>
        </is>
      </c>
      <c r="G941" s="250" t="inlineStr">
        <is>
          <t xml:space="preserve"/>
        </is>
      </c>
      <c r="H941" s="251">
        <f>SUM(H938:H940)</f>
        <v>182.89999999999998</v>
      </c>
      <c r="I941" s="252" t="inlineStr">
        <is>
          <t xml:space="preserve">m2</t>
        </is>
      </c>
    </row>
    <row r="942">
      <c r="A942" s="243" t="inlineStr">
        <is>
          <t xml:space="preserve">2ND FLR</t>
        </is>
      </c>
      <c r="B942" s="243" t="inlineStr">
        <is>
          <t xml:space="preserve">L</t>
        </is>
      </c>
      <c r="C942" s="244" t="inlineStr">
        <is>
          <t xml:space="preserve">Columns</t>
        </is>
      </c>
      <c r="I942" s="245" t="inlineStr">
        <is>
          <t xml:space="preserve">m2</t>
        </is>
      </c>
      <c r="K942" s="256" t="inlineStr">
        <is>
          <t xml:space="preserve">'2ND FLR'!C54</t>
        </is>
      </c>
    </row>
    <row r="943">
      <c r="C943" s="246" t="inlineStr">
        <is>
          <t xml:space="preserve">COL-01A x5 - column faces (2nd to Mezz), ht 3.8</t>
        </is>
      </c>
      <c r="D943" s="248">
        <v>5</v>
      </c>
      <c r="E943" s="247">
        <f>2*(0.75+0.5)</f>
        <v>2.5</v>
      </c>
      <c r="F943" s="247">
        <v>3.8</v>
      </c>
      <c r="H943" s="249">
        <f>PRODUCT(D943:G943)</f>
        <v>47.5</v>
      </c>
      <c r="J943" s="253" t="inlineStr">
        <is>
          <t xml:space="preserve">5*2*(0.75+0.5)*3.8</t>
        </is>
      </c>
    </row>
    <row r="944">
      <c r="C944" s="246" t="inlineStr">
        <is>
          <t xml:space="preserve">COL-01B x1 - column faces (2nd to Mezz), ht 3.8</t>
        </is>
      </c>
      <c r="D944" s="248">
        <v>1</v>
      </c>
      <c r="E944" s="247">
        <f>2*(0.75+0.5)</f>
        <v>2.5</v>
      </c>
      <c r="F944" s="247">
        <v>3.8</v>
      </c>
      <c r="H944" s="249">
        <f>PRODUCT(D944:G944)</f>
        <v>9.5</v>
      </c>
      <c r="J944" s="253" t="inlineStr">
        <is>
          <t xml:space="preserve">1*2*(0.75+0.5)*3.8</t>
        </is>
      </c>
    </row>
    <row r="945">
      <c r="C945" s="246" t="inlineStr">
        <is>
          <t xml:space="preserve">COL-01C x2 - column faces (2nd to Mezz), ht 3.8</t>
        </is>
      </c>
      <c r="D945" s="248">
        <v>2</v>
      </c>
      <c r="E945" s="247">
        <f>2*(0.75+0.5)</f>
        <v>2.5</v>
      </c>
      <c r="F945" s="247">
        <v>3.8</v>
      </c>
      <c r="H945" s="249">
        <f>PRODUCT(D945:G945)</f>
        <v>19.0</v>
      </c>
      <c r="J945" s="253" t="inlineStr">
        <is>
          <t xml:space="preserve">2*2*(0.75+0.5)*3.8</t>
        </is>
      </c>
    </row>
    <row r="946">
      <c r="C946" s="246" t="inlineStr">
        <is>
          <t xml:space="preserve">COL-01D x1 - column faces (Mezz to 3rd), ht 2.75</t>
        </is>
      </c>
      <c r="D946" s="248">
        <v>1</v>
      </c>
      <c r="E946" s="247">
        <f>2*(0.75+0.5)</f>
        <v>2.5</v>
      </c>
      <c r="F946" s="247">
        <v>2.75</v>
      </c>
      <c r="H946" s="249">
        <f>PRODUCT(D946:G946)</f>
        <v>6.875</v>
      </c>
      <c r="J946" s="253" t="inlineStr">
        <is>
          <t xml:space="preserve">1*2*(0.75+0.5)*2.75</t>
        </is>
      </c>
    </row>
    <row r="947">
      <c r="C947" s="246" t="inlineStr">
        <is>
          <t xml:space="preserve">COL-02A x3 - column faces (2nd to Mezz), ht 3.8</t>
        </is>
      </c>
      <c r="D947" s="248">
        <v>3</v>
      </c>
      <c r="E947" s="247">
        <f>2*(1.2+0.3)</f>
        <v>3.0</v>
      </c>
      <c r="F947" s="247">
        <v>3.8</v>
      </c>
      <c r="H947" s="249">
        <f>PRODUCT(D947:G947)</f>
        <v>34.199999999999996</v>
      </c>
      <c r="J947" s="253" t="inlineStr">
        <is>
          <t xml:space="preserve">3*2*(1.2+0.3)*3.8</t>
        </is>
      </c>
    </row>
    <row r="948">
      <c r="C948" s="246" t="inlineStr">
        <is>
          <t xml:space="preserve">COL-02B x6 - column faces (2nd to Mezz), ht 3.8</t>
        </is>
      </c>
      <c r="D948" s="248">
        <v>6</v>
      </c>
      <c r="E948" s="247">
        <f>2*(1.2+0.3)</f>
        <v>3.0</v>
      </c>
      <c r="F948" s="247">
        <v>3.8</v>
      </c>
      <c r="H948" s="249">
        <f>PRODUCT(D948:G948)</f>
        <v>68.39999999999999</v>
      </c>
      <c r="J948" s="253" t="inlineStr">
        <is>
          <t xml:space="preserve">6*2*(1.2+0.3)*3.8</t>
        </is>
      </c>
    </row>
    <row r="949">
      <c r="C949" s="246" t="inlineStr">
        <is>
          <t xml:space="preserve">COL-02C x1 - column faces (2nd to Mezz), ht 3.8</t>
        </is>
      </c>
      <c r="D949" s="248">
        <v>1</v>
      </c>
      <c r="E949" s="247">
        <f>2*(1.2+0.3)</f>
        <v>3.0</v>
      </c>
      <c r="F949" s="247">
        <v>3.8</v>
      </c>
      <c r="H949" s="249">
        <f>PRODUCT(D949:G949)</f>
        <v>11.399999999999999</v>
      </c>
      <c r="J949" s="253" t="inlineStr">
        <is>
          <t xml:space="preserve">1*2*(1.2+0.3)*3.8</t>
        </is>
      </c>
    </row>
    <row r="950">
      <c r="C950" s="246" t="inlineStr">
        <is>
          <t xml:space="preserve">COL-02D x15 - column faces (Mezz to 3rd), ht 2.75</t>
        </is>
      </c>
      <c r="D950" s="248">
        <v>15</v>
      </c>
      <c r="E950" s="247">
        <f>2*(1.2+0.3)</f>
        <v>3.0</v>
      </c>
      <c r="F950" s="247">
        <v>2.75</v>
      </c>
      <c r="H950" s="249">
        <f>PRODUCT(D950:G950)</f>
        <v>123.75</v>
      </c>
      <c r="J950" s="253" t="inlineStr">
        <is>
          <t xml:space="preserve">15*2*(1.2+0.3)*2.75</t>
        </is>
      </c>
    </row>
    <row r="951">
      <c r="C951" s="246" t="inlineStr">
        <is>
          <t xml:space="preserve">SWC-01A x1 - column faces (2nd to Mezz), ht 3.8</t>
        </is>
      </c>
      <c r="D951" s="248">
        <v>1</v>
      </c>
      <c r="E951" s="247">
        <f>2*(2.85+1.075)</f>
        <v>7.85</v>
      </c>
      <c r="F951" s="247">
        <v>3.8</v>
      </c>
      <c r="H951" s="249">
        <f>PRODUCT(D951:G951)</f>
        <v>29.83</v>
      </c>
      <c r="J951" s="253" t="inlineStr">
        <is>
          <t xml:space="preserve">1*2*(2.85+1.075)*3.8</t>
        </is>
      </c>
    </row>
    <row r="952">
      <c r="C952" s="250" t="inlineStr">
        <is>
          <t xml:space="preserve">Total carried to BOQ  2ND FLR item L</t>
        </is>
      </c>
      <c r="D952" s="250" t="inlineStr">
        <is>
          <t xml:space="preserve"/>
        </is>
      </c>
      <c r="E952" s="250" t="inlineStr">
        <is>
          <t xml:space="preserve"/>
        </is>
      </c>
      <c r="F952" s="250" t="inlineStr">
        <is>
          <t xml:space="preserve"/>
        </is>
      </c>
      <c r="G952" s="250" t="inlineStr">
        <is>
          <t xml:space="preserve"/>
        </is>
      </c>
      <c r="H952" s="251">
        <f>SUM(H943:H951)</f>
        <v>350.455</v>
      </c>
      <c r="I952" s="252" t="inlineStr">
        <is>
          <t xml:space="preserve">m2</t>
        </is>
      </c>
    </row>
    <row r="953">
      <c r="A953" s="243" t="inlineStr">
        <is>
          <t xml:space="preserve">2ND FLR</t>
        </is>
      </c>
      <c r="B953" s="243" t="inlineStr">
        <is>
          <t xml:space="preserve">M</t>
        </is>
      </c>
      <c r="C953" s="244" t="inlineStr">
        <is>
          <t xml:space="preserve">Concrete wall (both faces)</t>
        </is>
      </c>
      <c r="I953" s="245" t="inlineStr">
        <is>
          <t xml:space="preserve">m2</t>
        </is>
      </c>
      <c r="K953" s="256" t="inlineStr">
        <is>
          <t xml:space="preserve">'2ND FLR'!C56</t>
        </is>
      </c>
    </row>
    <row r="954">
      <c r="C954" s="246" t="inlineStr">
        <is>
          <t xml:space="preserve">Second floor 3A (+6850) - main stair core walls (22.05 m run) (both faces)</t>
        </is>
      </c>
      <c r="D954" s="248">
        <v>2</v>
      </c>
      <c r="E954" s="247">
        <v>22.05</v>
      </c>
      <c r="F954" s="247">
        <v>3.8</v>
      </c>
      <c r="H954" s="249">
        <f>PRODUCT(D954:G954)</f>
        <v>167.57999999999998</v>
      </c>
      <c r="J954" s="253" t="inlineStr">
        <is>
          <t xml:space="preserve">2*22.05*3.8</t>
        </is>
      </c>
    </row>
    <row r="955">
      <c r="C955" s="246" t="inlineStr">
        <is>
          <t xml:space="preserve">Second floor 3A (+6850) - lift core walls (21.825 m run) (both faces)</t>
        </is>
      </c>
      <c r="D955" s="248">
        <v>2</v>
      </c>
      <c r="E955" s="247">
        <v>21.825</v>
      </c>
      <c r="F955" s="247">
        <v>3.8</v>
      </c>
      <c r="H955" s="249">
        <f>PRODUCT(D955:G955)</f>
        <v>165.86999999999998</v>
      </c>
      <c r="J955" s="253" t="inlineStr">
        <is>
          <t xml:space="preserve">2*21.825*3.8</t>
        </is>
      </c>
    </row>
    <row r="956">
      <c r="C956" s="246" t="inlineStr">
        <is>
          <t xml:space="preserve">Mezzanine 3B (+7900) - emergency stair core walls (25.57 m run) (both faces)</t>
        </is>
      </c>
      <c r="D956" s="248">
        <v>2</v>
      </c>
      <c r="E956" s="247">
        <v>25.57</v>
      </c>
      <c r="F956" s="247">
        <v>2.75</v>
      </c>
      <c r="H956" s="249">
        <f>PRODUCT(D956:G956)</f>
        <v>140.635</v>
      </c>
      <c r="J956" s="253" t="inlineStr">
        <is>
          <t xml:space="preserve">2*25.57*2.75</t>
        </is>
      </c>
    </row>
    <row r="957">
      <c r="C957" s="250" t="inlineStr">
        <is>
          <t xml:space="preserve">Total carried to BOQ  2ND FLR item M</t>
        </is>
      </c>
      <c r="D957" s="250" t="inlineStr">
        <is>
          <t xml:space="preserve"/>
        </is>
      </c>
      <c r="E957" s="250" t="inlineStr">
        <is>
          <t xml:space="preserve"/>
        </is>
      </c>
      <c r="F957" s="250" t="inlineStr">
        <is>
          <t xml:space="preserve"/>
        </is>
      </c>
      <c r="G957" s="250" t="inlineStr">
        <is>
          <t xml:space="preserve"/>
        </is>
      </c>
      <c r="H957" s="251">
        <f>SUM(H954:H956)</f>
        <v>474.0849999999999</v>
      </c>
      <c r="I957" s="252" t="inlineStr">
        <is>
          <t xml:space="preserve">m2</t>
        </is>
      </c>
    </row>
    <row r="958">
      <c r="A958" s="243" t="inlineStr">
        <is>
          <t xml:space="preserve">2ND FLR</t>
        </is>
      </c>
      <c r="B958" s="243" t="inlineStr">
        <is>
          <t xml:space="preserve">N</t>
        </is>
      </c>
      <c r="C958" s="244" t="inlineStr">
        <is>
          <t xml:space="preserve">Soffits of stair flights, landings and risers</t>
        </is>
      </c>
      <c r="I958" s="245" t="inlineStr">
        <is>
          <t xml:space="preserve">m2</t>
        </is>
      </c>
      <c r="K958" s="256" t="inlineStr">
        <is>
          <t xml:space="preserve">'2ND FLR'!C58</t>
        </is>
      </c>
    </row>
    <row r="959">
      <c r="C959" s="246" t="inlineStr">
        <is>
          <t xml:space="preserve">Second floor 3A (+6850) - Main stair flight (storey ht 4.05) - flight soffits: 2 x 3.424 x 1.8</t>
        </is>
      </c>
      <c r="D959" s="248">
        <v>2</v>
      </c>
      <c r="E959" s="247">
        <v>3.424</v>
      </c>
      <c r="F959" s="247">
        <v>1.8</v>
      </c>
      <c r="H959" s="249">
        <f>PRODUCT(D959:G959)</f>
        <v>12.3264</v>
      </c>
      <c r="J959" s="253" t="inlineStr">
        <is>
          <t xml:space="preserve">2*3.424*1.8</t>
        </is>
      </c>
    </row>
    <row r="960">
      <c r="C960" s="246" t="inlineStr">
        <is>
          <t xml:space="preserve">Second floor 3A (+6850) - Main stair flight (storey ht 4.05) - landing soffits</t>
        </is>
      </c>
      <c r="H960" s="247">
        <v>15.0</v>
      </c>
      <c r="J960" s="253" t="inlineStr">
        <is>
          <t xml:space="preserve">15.0</t>
        </is>
      </c>
    </row>
    <row r="961">
      <c r="C961" s="246" t="inlineStr">
        <is>
          <t xml:space="preserve">Second floor 3A (+6850) - Main stair flight (storey ht 4.05) - risers: 22 x 0.15 x 1.8</t>
        </is>
      </c>
      <c r="D961" s="248">
        <v>22</v>
      </c>
      <c r="E961" s="247">
        <v>0.15</v>
      </c>
      <c r="F961" s="247">
        <v>1.8</v>
      </c>
      <c r="H961" s="249">
        <f>PRODUCT(D961:G961)</f>
        <v>5.9399999999999995</v>
      </c>
      <c r="J961" s="253" t="inlineStr">
        <is>
          <t xml:space="preserve">22*0.15*1.8</t>
        </is>
      </c>
    </row>
    <row r="962">
      <c r="C962" s="246" t="inlineStr">
        <is>
          <t xml:space="preserve">Mezzanine 3B (+7900) - Emergency stair flight (storey ht 3) - flight soffits: 2 x 3.424 x 1.8</t>
        </is>
      </c>
      <c r="D962" s="248">
        <v>2</v>
      </c>
      <c r="E962" s="247">
        <v>3.424</v>
      </c>
      <c r="F962" s="247">
        <v>1.8</v>
      </c>
      <c r="H962" s="249">
        <f>PRODUCT(D962:G962)</f>
        <v>12.3264</v>
      </c>
      <c r="J962" s="253" t="inlineStr">
        <is>
          <t xml:space="preserve">2*3.424*1.8</t>
        </is>
      </c>
    </row>
    <row r="963">
      <c r="C963" s="246" t="inlineStr">
        <is>
          <t xml:space="preserve">Mezzanine 3B (+7900) - Emergency stair flight (storey ht 3) - landing soffits</t>
        </is>
      </c>
      <c r="H963" s="247">
        <v>15.0</v>
      </c>
      <c r="J963" s="253" t="inlineStr">
        <is>
          <t xml:space="preserve">15.0</t>
        </is>
      </c>
    </row>
    <row r="964">
      <c r="C964" s="246" t="inlineStr">
        <is>
          <t xml:space="preserve">Mezzanine 3B (+7900) - Emergency stair flight (storey ht 3) - risers: 22 x 0.15 x 1.8</t>
        </is>
      </c>
      <c r="D964" s="248">
        <v>22</v>
      </c>
      <c r="E964" s="247">
        <v>0.15</v>
      </c>
      <c r="F964" s="247">
        <v>1.8</v>
      </c>
      <c r="H964" s="249">
        <f>PRODUCT(D964:G964)</f>
        <v>5.9399999999999995</v>
      </c>
      <c r="J964" s="253" t="inlineStr">
        <is>
          <t xml:space="preserve">22*0.15*1.8</t>
        </is>
      </c>
    </row>
    <row r="965">
      <c r="C965" s="250" t="inlineStr">
        <is>
          <t xml:space="preserve">Total carried to BOQ  2ND FLR item N</t>
        </is>
      </c>
      <c r="D965" s="250" t="inlineStr">
        <is>
          <t xml:space="preserve"/>
        </is>
      </c>
      <c r="E965" s="250" t="inlineStr">
        <is>
          <t xml:space="preserve"/>
        </is>
      </c>
      <c r="F965" s="250" t="inlineStr">
        <is>
          <t xml:space="preserve"/>
        </is>
      </c>
      <c r="G965" s="250" t="inlineStr">
        <is>
          <t xml:space="preserve"/>
        </is>
      </c>
      <c r="H965" s="251">
        <f>SUM(H959:H964)</f>
        <v>66.5328</v>
      </c>
      <c r="I965" s="252" t="inlineStr">
        <is>
          <t xml:space="preserve">m2</t>
        </is>
      </c>
    </row>
    <row r="966">
      <c r="A966" s="243" t="inlineStr">
        <is>
          <t xml:space="preserve">2ND FLR</t>
        </is>
      </c>
      <c r="B966" s="243" t="inlineStr">
        <is>
          <t xml:space="preserve">P</t>
        </is>
      </c>
      <c r="C966" s="244" t="inlineStr">
        <is>
          <t xml:space="preserve">Side and soffits of lintel / coping</t>
        </is>
      </c>
      <c r="I966" s="245" t="inlineStr">
        <is>
          <t xml:space="preserve">m2</t>
        </is>
      </c>
      <c r="K966" s="256" t="inlineStr">
        <is>
          <t xml:space="preserve">'2ND FLR'!C60</t>
        </is>
      </c>
    </row>
    <row r="967">
      <c r="C967" s="246" t="inlineStr">
        <is>
          <t xml:space="preserve">Second floor (3A) - Lintel / coping formwork</t>
        </is>
      </c>
      <c r="D967" s="248">
        <v>3</v>
      </c>
      <c r="E967" s="247">
        <f>1+0.3</f>
        <v>1.3</v>
      </c>
      <c r="F967" s="247">
        <f>2*0.225+0.15</f>
        <v>0.6</v>
      </c>
      <c r="H967" s="249">
        <f>PRODUCT(D967:G967)</f>
        <v>2.3400000000000003</v>
      </c>
      <c r="J967" s="253" t="inlineStr">
        <is>
          <t xml:space="preserve">3*(1+0.3)*(2*0.225+0.15)</t>
        </is>
      </c>
    </row>
    <row r="968">
      <c r="C968" s="246" t="inlineStr">
        <is>
          <t xml:space="preserve">Mezzanine (3B) - Lintel / coping formwork</t>
        </is>
      </c>
      <c r="D968" s="248">
        <v>3</v>
      </c>
      <c r="E968" s="247">
        <f>1+0.3</f>
        <v>1.3</v>
      </c>
      <c r="F968" s="247">
        <f>2*0.225+0.15</f>
        <v>0.6</v>
      </c>
      <c r="H968" s="249">
        <f>PRODUCT(D968:G968)</f>
        <v>2.3400000000000003</v>
      </c>
      <c r="J968" s="253" t="inlineStr">
        <is>
          <t xml:space="preserve">3*(1+0.3)*(2*0.225+0.15)</t>
        </is>
      </c>
    </row>
    <row r="969">
      <c r="C969" s="250" t="inlineStr">
        <is>
          <t xml:space="preserve">Total carried to BOQ  2ND FLR item P</t>
        </is>
      </c>
      <c r="D969" s="250" t="inlineStr">
        <is>
          <t xml:space="preserve"/>
        </is>
      </c>
      <c r="E969" s="250" t="inlineStr">
        <is>
          <t xml:space="preserve"/>
        </is>
      </c>
      <c r="F969" s="250" t="inlineStr">
        <is>
          <t xml:space="preserve"/>
        </is>
      </c>
      <c r="G969" s="250" t="inlineStr">
        <is>
          <t xml:space="preserve"/>
        </is>
      </c>
      <c r="H969" s="251">
        <f>SUM(H967:H968)</f>
        <v>4.680000000000001</v>
      </c>
      <c r="I969" s="252" t="inlineStr">
        <is>
          <t xml:space="preserve">m2</t>
        </is>
      </c>
    </row>
    <row r="970">
      <c r="C970" s="242" t="inlineStr">
        <is>
          <t xml:space="preserve">E30 REINFORCEMENT - High tensile yield round bar reinforcement (standard) to BS 4449:</t>
        </is>
      </c>
    </row>
    <row r="971">
      <c r="A971" s="243" t="inlineStr">
        <is>
          <t xml:space="preserve">2ND FLR</t>
        </is>
      </c>
      <c r="B971" s="243" t="inlineStr">
        <is>
          <t xml:space="preserve">Q</t>
        </is>
      </c>
      <c r="C971" s="244" t="inlineStr">
        <is>
          <t xml:space="preserve">10mm diameter in columns</t>
        </is>
      </c>
      <c r="I971" s="245" t="inlineStr">
        <is>
          <t xml:space="preserve">t</t>
        </is>
      </c>
      <c r="K971" s="256" t="inlineStr">
        <is>
          <t xml:space="preserve">'2ND FLR'!C63</t>
        </is>
      </c>
    </row>
    <row r="972">
      <c r="C972" s="246" t="inlineStr">
        <is>
          <t xml:space="preserve">Second floor 3A (+6850) - Columns, Y10 (from reinforcement take-off / BBS)</t>
        </is>
      </c>
      <c r="H972" s="247">
        <v>3.239</v>
      </c>
      <c r="J972" s="253" t="inlineStr">
        <is>
          <t xml:space="preserve">3.239</t>
        </is>
      </c>
    </row>
    <row r="973">
      <c r="C973" s="246" t="inlineStr">
        <is>
          <t xml:space="preserve">Mezzanine 3B (+7900) - Columns, Y10 (from reinforcement take-off / BBS)</t>
        </is>
      </c>
      <c r="H973" s="247">
        <v>1.656</v>
      </c>
      <c r="J973" s="253" t="inlineStr">
        <is>
          <t xml:space="preserve">1.656</t>
        </is>
      </c>
    </row>
    <row r="974">
      <c r="C974" s="250" t="inlineStr">
        <is>
          <t xml:space="preserve">Total carried to BOQ  2ND FLR item Q</t>
        </is>
      </c>
      <c r="D974" s="250" t="inlineStr">
        <is>
          <t xml:space="preserve"/>
        </is>
      </c>
      <c r="E974" s="250" t="inlineStr">
        <is>
          <t xml:space="preserve"/>
        </is>
      </c>
      <c r="F974" s="250" t="inlineStr">
        <is>
          <t xml:space="preserve"/>
        </is>
      </c>
      <c r="G974" s="250" t="inlineStr">
        <is>
          <t xml:space="preserve"/>
        </is>
      </c>
      <c r="H974" s="251">
        <f>SUM(H972:H973)</f>
        <v>4.895</v>
      </c>
      <c r="I974" s="252" t="inlineStr">
        <is>
          <t xml:space="preserve">t</t>
        </is>
      </c>
    </row>
    <row r="975">
      <c r="A975" s="243" t="inlineStr">
        <is>
          <t xml:space="preserve">2ND FLR</t>
        </is>
      </c>
      <c r="B975" s="243" t="inlineStr">
        <is>
          <t xml:space="preserve">R</t>
        </is>
      </c>
      <c r="C975" s="244" t="inlineStr">
        <is>
          <t xml:space="preserve">20mm diameter in columns</t>
        </is>
      </c>
      <c r="I975" s="245" t="inlineStr">
        <is>
          <t xml:space="preserve">t</t>
        </is>
      </c>
      <c r="K975" s="256" t="inlineStr">
        <is>
          <t xml:space="preserve">'2ND FLR'!C65</t>
        </is>
      </c>
    </row>
    <row r="976">
      <c r="C976" s="246" t="inlineStr">
        <is>
          <t xml:space="preserve">Second floor 3A (+6850) - Columns, Y20 (from reinforcement take-off / BBS)</t>
        </is>
      </c>
      <c r="H976" s="247">
        <v>0.622</v>
      </c>
      <c r="J976" s="253" t="inlineStr">
        <is>
          <t xml:space="preserve">0.622</t>
        </is>
      </c>
    </row>
    <row r="977">
      <c r="C977" s="246" t="inlineStr">
        <is>
          <t xml:space="preserve">Mezzanine 3B (+7900) - Columns, Y20 (from reinforcement take-off / BBS)</t>
        </is>
      </c>
      <c r="H977" s="247">
        <v>3.166</v>
      </c>
      <c r="J977" s="253" t="inlineStr">
        <is>
          <t xml:space="preserve">3.166</t>
        </is>
      </c>
    </row>
    <row r="978">
      <c r="C978" s="250" t="inlineStr">
        <is>
          <t xml:space="preserve">Total carried to BOQ  2ND FLR item R</t>
        </is>
      </c>
      <c r="D978" s="250" t="inlineStr">
        <is>
          <t xml:space="preserve"/>
        </is>
      </c>
      <c r="E978" s="250" t="inlineStr">
        <is>
          <t xml:space="preserve"/>
        </is>
      </c>
      <c r="F978" s="250" t="inlineStr">
        <is>
          <t xml:space="preserve"/>
        </is>
      </c>
      <c r="G978" s="250" t="inlineStr">
        <is>
          <t xml:space="preserve"/>
        </is>
      </c>
      <c r="H978" s="251">
        <f>SUM(H976:H977)</f>
        <v>3.788</v>
      </c>
      <c r="I978" s="252" t="inlineStr">
        <is>
          <t xml:space="preserve">t</t>
        </is>
      </c>
    </row>
    <row r="979">
      <c r="A979" s="243" t="inlineStr">
        <is>
          <t xml:space="preserve">2ND FLR</t>
        </is>
      </c>
      <c r="B979" s="243" t="inlineStr">
        <is>
          <t xml:space="preserve">S</t>
        </is>
      </c>
      <c r="C979" s="244" t="inlineStr">
        <is>
          <t xml:space="preserve">25mm diameter in columns</t>
        </is>
      </c>
      <c r="I979" s="245" t="inlineStr">
        <is>
          <t xml:space="preserve">t</t>
        </is>
      </c>
      <c r="K979" s="256" t="inlineStr">
        <is>
          <t xml:space="preserve">'2ND FLR'!C67</t>
        </is>
      </c>
    </row>
    <row r="980">
      <c r="C980" s="246" t="inlineStr">
        <is>
          <t xml:space="preserve">Second floor 3A (+6850) - Columns, Y25 (from reinforcement take-off / BBS)</t>
        </is>
      </c>
      <c r="H980" s="247">
        <v>6.238</v>
      </c>
      <c r="J980" s="253" t="inlineStr">
        <is>
          <t xml:space="preserve">6.238</t>
        </is>
      </c>
    </row>
    <row r="981">
      <c r="C981" s="250" t="inlineStr">
        <is>
          <t xml:space="preserve">Total carried to BOQ  2ND FLR item S</t>
        </is>
      </c>
      <c r="D981" s="250" t="inlineStr">
        <is>
          <t xml:space="preserve"/>
        </is>
      </c>
      <c r="E981" s="250" t="inlineStr">
        <is>
          <t xml:space="preserve"/>
        </is>
      </c>
      <c r="F981" s="250" t="inlineStr">
        <is>
          <t xml:space="preserve"/>
        </is>
      </c>
      <c r="G981" s="250" t="inlineStr">
        <is>
          <t xml:space="preserve"/>
        </is>
      </c>
      <c r="H981" s="251">
        <f>SUM(H980:H980)</f>
        <v>6.238</v>
      </c>
      <c r="I981" s="252" t="inlineStr">
        <is>
          <t xml:space="preserve">t</t>
        </is>
      </c>
    </row>
    <row r="982">
      <c r="A982" s="243" t="inlineStr">
        <is>
          <t xml:space="preserve">2ND FLR</t>
        </is>
      </c>
      <c r="B982" s="243" t="inlineStr">
        <is>
          <t xml:space="preserve">T</t>
        </is>
      </c>
      <c r="C982" s="244" t="inlineStr">
        <is>
          <t xml:space="preserve">10mm diameter in beams (links)</t>
        </is>
      </c>
      <c r="I982" s="245" t="inlineStr">
        <is>
          <t xml:space="preserve">t</t>
        </is>
      </c>
      <c r="K982" s="256" t="inlineStr">
        <is>
          <t xml:space="preserve">'2ND FLR'!C69</t>
        </is>
      </c>
    </row>
    <row r="983">
      <c r="C983" s="246" t="inlineStr">
        <is>
          <t xml:space="preserve">Second floor 3A (+6850) - Beams, Y10 (from reinforcement take-off / BBS)</t>
        </is>
      </c>
      <c r="H983" s="247">
        <v>0.902</v>
      </c>
      <c r="J983" s="253" t="inlineStr">
        <is>
          <t xml:space="preserve">0.902</t>
        </is>
      </c>
    </row>
    <row r="984">
      <c r="C984" s="246" t="inlineStr">
        <is>
          <t xml:space="preserve">Mezzanine 3B (+7900) - Beams, Y10 (from reinforcement take-off / BBS)</t>
        </is>
      </c>
      <c r="H984" s="247">
        <v>0.579</v>
      </c>
      <c r="J984" s="253" t="inlineStr">
        <is>
          <t xml:space="preserve">0.579</t>
        </is>
      </c>
    </row>
    <row r="985">
      <c r="C985" s="250" t="inlineStr">
        <is>
          <t xml:space="preserve">Total carried to BOQ  2ND FLR item T</t>
        </is>
      </c>
      <c r="D985" s="250" t="inlineStr">
        <is>
          <t xml:space="preserve"/>
        </is>
      </c>
      <c r="E985" s="250" t="inlineStr">
        <is>
          <t xml:space="preserve"/>
        </is>
      </c>
      <c r="F985" s="250" t="inlineStr">
        <is>
          <t xml:space="preserve"/>
        </is>
      </c>
      <c r="G985" s="250" t="inlineStr">
        <is>
          <t xml:space="preserve"/>
        </is>
      </c>
      <c r="H985" s="251">
        <f>SUM(H983:H984)</f>
        <v>1.4809999999999999</v>
      </c>
      <c r="I985" s="252" t="inlineStr">
        <is>
          <t xml:space="preserve">t</t>
        </is>
      </c>
    </row>
    <row r="986">
      <c r="A986" s="243" t="inlineStr">
        <is>
          <t xml:space="preserve">2ND FLR</t>
        </is>
      </c>
      <c r="B986" s="243" t="inlineStr">
        <is>
          <t xml:space="preserve">U</t>
        </is>
      </c>
      <c r="C986" s="244" t="inlineStr">
        <is>
          <t xml:space="preserve">16mm diameter in beams</t>
        </is>
      </c>
      <c r="I986" s="245" t="inlineStr">
        <is>
          <t xml:space="preserve">t</t>
        </is>
      </c>
      <c r="K986" s="256" t="inlineStr">
        <is>
          <t xml:space="preserve">'2ND FLR'!C71</t>
        </is>
      </c>
    </row>
    <row r="987">
      <c r="C987" s="246" t="inlineStr">
        <is>
          <t xml:space="preserve">Second floor 3A (+6850) - Beams, Y16 (from reinforcement take-off / BBS)</t>
        </is>
      </c>
      <c r="H987" s="247">
        <v>0.74</v>
      </c>
      <c r="J987" s="253" t="inlineStr">
        <is>
          <t xml:space="preserve">0.740</t>
        </is>
      </c>
    </row>
    <row r="988">
      <c r="C988" s="246" t="inlineStr">
        <is>
          <t xml:space="preserve">Mezzanine 3B (+7900) - Beams, Y16 (from reinforcement take-off / BBS)</t>
        </is>
      </c>
      <c r="H988" s="247">
        <v>0.406</v>
      </c>
      <c r="J988" s="253" t="inlineStr">
        <is>
          <t xml:space="preserve">0.406</t>
        </is>
      </c>
    </row>
    <row r="989">
      <c r="C989" s="250" t="inlineStr">
        <is>
          <t xml:space="preserve">Total carried to BOQ  2ND FLR item U</t>
        </is>
      </c>
      <c r="D989" s="250" t="inlineStr">
        <is>
          <t xml:space="preserve"/>
        </is>
      </c>
      <c r="E989" s="250" t="inlineStr">
        <is>
          <t xml:space="preserve"/>
        </is>
      </c>
      <c r="F989" s="250" t="inlineStr">
        <is>
          <t xml:space="preserve"/>
        </is>
      </c>
      <c r="G989" s="250" t="inlineStr">
        <is>
          <t xml:space="preserve"/>
        </is>
      </c>
      <c r="H989" s="251">
        <f>SUM(H987:H988)</f>
        <v>1.146</v>
      </c>
      <c r="I989" s="252" t="inlineStr">
        <is>
          <t xml:space="preserve">t</t>
        </is>
      </c>
    </row>
    <row r="990">
      <c r="A990" s="243" t="inlineStr">
        <is>
          <t xml:space="preserve">2ND FLR</t>
        </is>
      </c>
      <c r="B990" s="243" t="inlineStr">
        <is>
          <t xml:space="preserve">V</t>
        </is>
      </c>
      <c r="C990" s="244" t="inlineStr">
        <is>
          <t xml:space="preserve">20mm diameter in beams</t>
        </is>
      </c>
      <c r="I990" s="245" t="inlineStr">
        <is>
          <t xml:space="preserve">t</t>
        </is>
      </c>
      <c r="K990" s="256" t="inlineStr">
        <is>
          <t xml:space="preserve">'2ND FLR'!C73</t>
        </is>
      </c>
    </row>
    <row r="991">
      <c r="C991" s="246" t="inlineStr">
        <is>
          <t xml:space="preserve">Second floor 3A (+6850) - Beams, Y20 (from reinforcement take-off / BBS)</t>
        </is>
      </c>
      <c r="H991" s="247">
        <v>0.797</v>
      </c>
      <c r="J991" s="253" t="inlineStr">
        <is>
          <t xml:space="preserve">0.797</t>
        </is>
      </c>
    </row>
    <row r="992">
      <c r="C992" s="246" t="inlineStr">
        <is>
          <t xml:space="preserve">Mezzanine 3B (+7900) - Beams, Y20 (from reinforcement take-off / BBS)</t>
        </is>
      </c>
      <c r="H992" s="247">
        <v>1.171</v>
      </c>
      <c r="J992" s="253" t="inlineStr">
        <is>
          <t xml:space="preserve">1.171</t>
        </is>
      </c>
    </row>
    <row r="993">
      <c r="C993" s="250" t="inlineStr">
        <is>
          <t xml:space="preserve">Total carried to BOQ  2ND FLR item V</t>
        </is>
      </c>
      <c r="D993" s="250" t="inlineStr">
        <is>
          <t xml:space="preserve"/>
        </is>
      </c>
      <c r="E993" s="250" t="inlineStr">
        <is>
          <t xml:space="preserve"/>
        </is>
      </c>
      <c r="F993" s="250" t="inlineStr">
        <is>
          <t xml:space="preserve"/>
        </is>
      </c>
      <c r="G993" s="250" t="inlineStr">
        <is>
          <t xml:space="preserve"/>
        </is>
      </c>
      <c r="H993" s="251">
        <f>SUM(H991:H992)</f>
        <v>1.968</v>
      </c>
      <c r="I993" s="252" t="inlineStr">
        <is>
          <t xml:space="preserve">t</t>
        </is>
      </c>
    </row>
    <row r="994">
      <c r="A994" s="243" t="inlineStr">
        <is>
          <t xml:space="preserve">2ND FLR</t>
        </is>
      </c>
      <c r="B994" s="243" t="inlineStr">
        <is>
          <t xml:space="preserve">W</t>
        </is>
      </c>
      <c r="C994" s="244" t="inlineStr">
        <is>
          <t xml:space="preserve">25mm diameter in beams</t>
        </is>
      </c>
      <c r="I994" s="245" t="inlineStr">
        <is>
          <t xml:space="preserve">t</t>
        </is>
      </c>
      <c r="K994" s="256" t="inlineStr">
        <is>
          <t xml:space="preserve">'2ND FLR'!C75</t>
        </is>
      </c>
    </row>
    <row r="995">
      <c r="C995" s="246" t="inlineStr">
        <is>
          <t xml:space="preserve">Second floor 3A (+6850) - Beams, Y25 (from reinforcement take-off / BBS)</t>
        </is>
      </c>
      <c r="H995" s="247">
        <v>2.427</v>
      </c>
      <c r="J995" s="253" t="inlineStr">
        <is>
          <t xml:space="preserve">2.427</t>
        </is>
      </c>
    </row>
    <row r="996">
      <c r="C996" s="246" t="inlineStr">
        <is>
          <t xml:space="preserve">Mezzanine 3B (+7900) - Beams, Y25 (from reinforcement take-off / BBS)</t>
        </is>
      </c>
      <c r="H996" s="247">
        <v>0.885</v>
      </c>
      <c r="J996" s="253" t="inlineStr">
        <is>
          <t xml:space="preserve">0.885</t>
        </is>
      </c>
    </row>
    <row r="997">
      <c r="C997" s="250" t="inlineStr">
        <is>
          <t xml:space="preserve">Total carried to BOQ  2ND FLR item W</t>
        </is>
      </c>
      <c r="D997" s="250" t="inlineStr">
        <is>
          <t xml:space="preserve"/>
        </is>
      </c>
      <c r="E997" s="250" t="inlineStr">
        <is>
          <t xml:space="preserve"/>
        </is>
      </c>
      <c r="F997" s="250" t="inlineStr">
        <is>
          <t xml:space="preserve"/>
        </is>
      </c>
      <c r="G997" s="250" t="inlineStr">
        <is>
          <t xml:space="preserve"/>
        </is>
      </c>
      <c r="H997" s="251">
        <f>SUM(H995:H996)</f>
        <v>3.3120000000000003</v>
      </c>
      <c r="I997" s="252" t="inlineStr">
        <is>
          <t xml:space="preserve">t</t>
        </is>
      </c>
    </row>
    <row r="998">
      <c r="A998" s="243" t="inlineStr">
        <is>
          <t xml:space="preserve">2ND FLR</t>
        </is>
      </c>
      <c r="B998" s="243" t="inlineStr">
        <is>
          <t xml:space="preserve">X</t>
        </is>
      </c>
      <c r="C998" s="244" t="inlineStr">
        <is>
          <t xml:space="preserve">10mm diameter in shear &amp; lift walls (links)</t>
        </is>
      </c>
      <c r="I998" s="245" t="inlineStr">
        <is>
          <t xml:space="preserve">t</t>
        </is>
      </c>
      <c r="K998" s="256" t="inlineStr">
        <is>
          <t xml:space="preserve">'2ND FLR'!C77</t>
        </is>
      </c>
    </row>
    <row r="999">
      <c r="C999" s="246" t="inlineStr">
        <is>
          <t xml:space="preserve">Second floor 3A (+6850) - Shear Walls, Y10 (from reinforcement take-off / BBS)</t>
        </is>
      </c>
      <c r="H999" s="247">
        <v>0.78</v>
      </c>
      <c r="J999" s="253" t="inlineStr">
        <is>
          <t xml:space="preserve">0.780</t>
        </is>
      </c>
    </row>
    <row r="1000">
      <c r="C1000" s="246" t="inlineStr">
        <is>
          <t xml:space="preserve">Second floor 3A (+6850) - Lift Walls, Y10 (from reinforcement take-off / BBS)</t>
        </is>
      </c>
      <c r="H1000" s="247">
        <v>0.78</v>
      </c>
      <c r="J1000" s="253" t="inlineStr">
        <is>
          <t xml:space="preserve">0.780</t>
        </is>
      </c>
    </row>
    <row r="1001">
      <c r="C1001" s="246" t="inlineStr">
        <is>
          <t xml:space="preserve">Mezzanine 3B (+7900) - Shear Walls, Y10 (from reinforcement take-off / BBS)</t>
        </is>
      </c>
      <c r="H1001" s="247">
        <v>0.733</v>
      </c>
      <c r="J1001" s="253" t="inlineStr">
        <is>
          <t xml:space="preserve">0.733</t>
        </is>
      </c>
    </row>
    <row r="1002">
      <c r="C1002" s="250" t="inlineStr">
        <is>
          <t xml:space="preserve">Total carried to BOQ  2ND FLR item X</t>
        </is>
      </c>
      <c r="D1002" s="250" t="inlineStr">
        <is>
          <t xml:space="preserve"/>
        </is>
      </c>
      <c r="E1002" s="250" t="inlineStr">
        <is>
          <t xml:space="preserve"/>
        </is>
      </c>
      <c r="F1002" s="250" t="inlineStr">
        <is>
          <t xml:space="preserve"/>
        </is>
      </c>
      <c r="G1002" s="250" t="inlineStr">
        <is>
          <t xml:space="preserve"/>
        </is>
      </c>
      <c r="H1002" s="251">
        <f>SUM(H999:H1001)</f>
        <v>2.293</v>
      </c>
      <c r="I1002" s="252" t="inlineStr">
        <is>
          <t xml:space="preserve">t</t>
        </is>
      </c>
    </row>
    <row r="1003">
      <c r="A1003" s="243" t="inlineStr">
        <is>
          <t xml:space="preserve">2ND FLR</t>
        </is>
      </c>
      <c r="B1003" s="243" t="inlineStr">
        <is>
          <t xml:space="preserve">Y</t>
        </is>
      </c>
      <c r="C1003" s="244" t="inlineStr">
        <is>
          <t xml:space="preserve">12mm diameter in shear, lift &amp; ramp walls</t>
        </is>
      </c>
      <c r="I1003" s="245" t="inlineStr">
        <is>
          <t xml:space="preserve">t</t>
        </is>
      </c>
      <c r="K1003" s="256" t="inlineStr">
        <is>
          <t xml:space="preserve">'2ND FLR'!C79</t>
        </is>
      </c>
    </row>
    <row r="1004">
      <c r="C1004" s="246" t="inlineStr">
        <is>
          <t xml:space="preserve">Second floor 3A (+6850) - Shear Walls, Y12 (from reinforcement take-off / BBS)</t>
        </is>
      </c>
      <c r="H1004" s="247">
        <v>1.092</v>
      </c>
      <c r="J1004" s="253" t="inlineStr">
        <is>
          <t xml:space="preserve">1.092</t>
        </is>
      </c>
    </row>
    <row r="1005">
      <c r="C1005" s="246" t="inlineStr">
        <is>
          <t xml:space="preserve">Second floor 3A (+6850) - Lift Walls, Y12 (from reinforcement take-off / BBS)</t>
        </is>
      </c>
      <c r="H1005" s="247">
        <v>1.082</v>
      </c>
      <c r="J1005" s="253" t="inlineStr">
        <is>
          <t xml:space="preserve">1.082</t>
        </is>
      </c>
    </row>
    <row r="1006">
      <c r="C1006" s="246" t="inlineStr">
        <is>
          <t xml:space="preserve">Mezzanine 3B (+7900) - Shear Walls, Y12 (from reinforcement take-off / BBS)</t>
        </is>
      </c>
      <c r="H1006" s="247">
        <v>0.939</v>
      </c>
      <c r="J1006" s="253" t="inlineStr">
        <is>
          <t xml:space="preserve">0.939</t>
        </is>
      </c>
    </row>
    <row r="1007">
      <c r="C1007" s="250" t="inlineStr">
        <is>
          <t xml:space="preserve">Total carried to BOQ  2ND FLR item Y</t>
        </is>
      </c>
      <c r="D1007" s="250" t="inlineStr">
        <is>
          <t xml:space="preserve"/>
        </is>
      </c>
      <c r="E1007" s="250" t="inlineStr">
        <is>
          <t xml:space="preserve"/>
        </is>
      </c>
      <c r="F1007" s="250" t="inlineStr">
        <is>
          <t xml:space="preserve"/>
        </is>
      </c>
      <c r="G1007" s="250" t="inlineStr">
        <is>
          <t xml:space="preserve"/>
        </is>
      </c>
      <c r="H1007" s="251">
        <f>SUM(H1004:H1006)</f>
        <v>3.1130000000000004</v>
      </c>
      <c r="I1007" s="252" t="inlineStr">
        <is>
          <t xml:space="preserve">t</t>
        </is>
      </c>
    </row>
    <row r="1008">
      <c r="A1008" s="243" t="inlineStr">
        <is>
          <t xml:space="preserve">2ND FLR</t>
        </is>
      </c>
      <c r="B1008" s="243" t="inlineStr">
        <is>
          <t xml:space="preserve">Z</t>
        </is>
      </c>
      <c r="C1008" s="244" t="inlineStr">
        <is>
          <t xml:space="preserve">25mm diameter in shear &amp; lift walls</t>
        </is>
      </c>
      <c r="I1008" s="245" t="inlineStr">
        <is>
          <t xml:space="preserve">t</t>
        </is>
      </c>
      <c r="K1008" s="256" t="inlineStr">
        <is>
          <t xml:space="preserve">'2ND FLR'!C81</t>
        </is>
      </c>
    </row>
    <row r="1009">
      <c r="C1009" s="246" t="inlineStr">
        <is>
          <t xml:space="preserve">Second floor 3A (+6850) - Shear Walls, Y25 (from reinforcement take-off / BBS)</t>
        </is>
      </c>
      <c r="H1009" s="247">
        <v>6.196</v>
      </c>
      <c r="J1009" s="253" t="inlineStr">
        <is>
          <t xml:space="preserve">6.196</t>
        </is>
      </c>
    </row>
    <row r="1010">
      <c r="C1010" s="246" t="inlineStr">
        <is>
          <t xml:space="preserve">Second floor 3A (+6850) - Lift Walls, Y25 (from reinforcement take-off / BBS)</t>
        </is>
      </c>
      <c r="H1010" s="247">
        <v>6.39</v>
      </c>
      <c r="J1010" s="253" t="inlineStr">
        <is>
          <t xml:space="preserve">6.390</t>
        </is>
      </c>
    </row>
    <row r="1011">
      <c r="C1011" s="246" t="inlineStr">
        <is>
          <t xml:space="preserve">Mezzanine 3B (+7900) - Shear Walls, Y25 (from reinforcement take-off / BBS)</t>
        </is>
      </c>
      <c r="H1011" s="247">
        <v>5.617</v>
      </c>
      <c r="J1011" s="253" t="inlineStr">
        <is>
          <t xml:space="preserve">5.617</t>
        </is>
      </c>
    </row>
    <row r="1012">
      <c r="C1012" s="250" t="inlineStr">
        <is>
          <t xml:space="preserve">Total carried to BOQ  2ND FLR item Z</t>
        </is>
      </c>
      <c r="D1012" s="250" t="inlineStr">
        <is>
          <t xml:space="preserve"/>
        </is>
      </c>
      <c r="E1012" s="250" t="inlineStr">
        <is>
          <t xml:space="preserve"/>
        </is>
      </c>
      <c r="F1012" s="250" t="inlineStr">
        <is>
          <t xml:space="preserve"/>
        </is>
      </c>
      <c r="G1012" s="250" t="inlineStr">
        <is>
          <t xml:space="preserve"/>
        </is>
      </c>
      <c r="H1012" s="251">
        <f>SUM(H1009:H1011)</f>
        <v>18.203</v>
      </c>
      <c r="I1012" s="252" t="inlineStr">
        <is>
          <t xml:space="preserve">t</t>
        </is>
      </c>
    </row>
    <row r="1013">
      <c r="A1013" s="243" t="inlineStr">
        <is>
          <t xml:space="preserve">2ND FLR</t>
        </is>
      </c>
      <c r="B1013" s="243" t="inlineStr">
        <is>
          <t xml:space="preserve">A</t>
        </is>
      </c>
      <c r="C1013" s="244" t="inlineStr">
        <is>
          <t xml:space="preserve">12mm diameter in stairs</t>
        </is>
      </c>
      <c r="I1013" s="245" t="inlineStr">
        <is>
          <t xml:space="preserve">t</t>
        </is>
      </c>
      <c r="K1013" s="256" t="inlineStr">
        <is>
          <t xml:space="preserve">'2ND FLR'!C83</t>
        </is>
      </c>
    </row>
    <row r="1014">
      <c r="C1014" s="246" t="inlineStr">
        <is>
          <t xml:space="preserve">Second floor 3A (+6850) - Staircases, Y12 (from reinforcement take-off / BBS)</t>
        </is>
      </c>
      <c r="H1014" s="247">
        <v>0.44</v>
      </c>
      <c r="J1014" s="253" t="inlineStr">
        <is>
          <t xml:space="preserve">0.440</t>
        </is>
      </c>
    </row>
    <row r="1015">
      <c r="C1015" s="246" t="inlineStr">
        <is>
          <t xml:space="preserve">Mezzanine 3B (+7900) - Staircases, Y12 (from reinforcement take-off / BBS)</t>
        </is>
      </c>
      <c r="H1015" s="247">
        <v>0.44</v>
      </c>
      <c r="J1015" s="253" t="inlineStr">
        <is>
          <t xml:space="preserve">0.440</t>
        </is>
      </c>
    </row>
    <row r="1016">
      <c r="C1016" s="250" t="inlineStr">
        <is>
          <t xml:space="preserve">Total carried to BOQ  2ND FLR item A</t>
        </is>
      </c>
      <c r="D1016" s="250" t="inlineStr">
        <is>
          <t xml:space="preserve"/>
        </is>
      </c>
      <c r="E1016" s="250" t="inlineStr">
        <is>
          <t xml:space="preserve"/>
        </is>
      </c>
      <c r="F1016" s="250" t="inlineStr">
        <is>
          <t xml:space="preserve"/>
        </is>
      </c>
      <c r="G1016" s="250" t="inlineStr">
        <is>
          <t xml:space="preserve"/>
        </is>
      </c>
      <c r="H1016" s="251">
        <f>SUM(H1014:H1015)</f>
        <v>0.88</v>
      </c>
      <c r="I1016" s="252" t="inlineStr">
        <is>
          <t xml:space="preserve">t</t>
        </is>
      </c>
    </row>
    <row r="1017">
      <c r="A1017" s="243" t="inlineStr">
        <is>
          <t xml:space="preserve">2ND FLR</t>
        </is>
      </c>
      <c r="B1017" s="243" t="inlineStr">
        <is>
          <t xml:space="preserve">B</t>
        </is>
      </c>
      <c r="C1017" s="244" t="inlineStr">
        <is>
          <t xml:space="preserve">16mm diameter in stairs</t>
        </is>
      </c>
      <c r="I1017" s="245" t="inlineStr">
        <is>
          <t xml:space="preserve">t</t>
        </is>
      </c>
      <c r="K1017" s="256" t="inlineStr">
        <is>
          <t xml:space="preserve">'2ND FLR'!C85</t>
        </is>
      </c>
    </row>
    <row r="1018">
      <c r="C1018" s="246" t="inlineStr">
        <is>
          <t xml:space="preserve">Second floor 3A (+6850) - Staircases, Y16 (from reinforcement take-off / BBS)</t>
        </is>
      </c>
      <c r="H1018" s="247">
        <v>0.74</v>
      </c>
      <c r="J1018" s="253" t="inlineStr">
        <is>
          <t xml:space="preserve">0.740</t>
        </is>
      </c>
    </row>
    <row r="1019">
      <c r="C1019" s="246" t="inlineStr">
        <is>
          <t xml:space="preserve">Mezzanine 3B (+7900) - Staircases, Y16 (from reinforcement take-off / BBS)</t>
        </is>
      </c>
      <c r="H1019" s="247">
        <v>0.694</v>
      </c>
      <c r="J1019" s="253" t="inlineStr">
        <is>
          <t xml:space="preserve">0.694</t>
        </is>
      </c>
    </row>
    <row r="1020">
      <c r="C1020" s="250" t="inlineStr">
        <is>
          <t xml:space="preserve">Total carried to BOQ  2ND FLR item B</t>
        </is>
      </c>
      <c r="D1020" s="250" t="inlineStr">
        <is>
          <t xml:space="preserve"/>
        </is>
      </c>
      <c r="E1020" s="250" t="inlineStr">
        <is>
          <t xml:space="preserve"/>
        </is>
      </c>
      <c r="F1020" s="250" t="inlineStr">
        <is>
          <t xml:space="preserve"/>
        </is>
      </c>
      <c r="G1020" s="250" t="inlineStr">
        <is>
          <t xml:space="preserve"/>
        </is>
      </c>
      <c r="H1020" s="251">
        <f>SUM(H1018:H1019)</f>
        <v>1.434</v>
      </c>
      <c r="I1020" s="252" t="inlineStr">
        <is>
          <t xml:space="preserve">t</t>
        </is>
      </c>
    </row>
    <row r="1021">
      <c r="A1021" s="243" t="inlineStr">
        <is>
          <t xml:space="preserve">2ND FLR</t>
        </is>
      </c>
      <c r="B1021" s="243" t="inlineStr">
        <is>
          <t xml:space="preserve">C</t>
        </is>
      </c>
      <c r="C1021" s="244" t="inlineStr">
        <is>
          <t xml:space="preserve">12mm diameter for suspended slab</t>
        </is>
      </c>
      <c r="I1021" s="245" t="inlineStr">
        <is>
          <t xml:space="preserve">t</t>
        </is>
      </c>
      <c r="K1021" s="256" t="inlineStr">
        <is>
          <t xml:space="preserve">'2ND FLR'!C87</t>
        </is>
      </c>
    </row>
    <row r="1022">
      <c r="C1022" s="246" t="inlineStr">
        <is>
          <t xml:space="preserve">Second floor 3A (+6850) - Floor Slabs, Y12 (from reinforcement take-off / BBS)</t>
        </is>
      </c>
      <c r="H1022" s="247">
        <v>35.127</v>
      </c>
      <c r="J1022" s="253" t="inlineStr">
        <is>
          <t xml:space="preserve">35.127</t>
        </is>
      </c>
    </row>
    <row r="1023">
      <c r="C1023" s="246" t="inlineStr">
        <is>
          <t xml:space="preserve">Mezzanine 3B (+7900) - Floor Slabs, Y12 (from reinforcement take-off / BBS)</t>
        </is>
      </c>
      <c r="H1023" s="247">
        <v>33.929</v>
      </c>
      <c r="J1023" s="253" t="inlineStr">
        <is>
          <t xml:space="preserve">33.929</t>
        </is>
      </c>
    </row>
    <row r="1024">
      <c r="C1024" s="250" t="inlineStr">
        <is>
          <t xml:space="preserve">Total carried to BOQ  2ND FLR item C</t>
        </is>
      </c>
      <c r="D1024" s="250" t="inlineStr">
        <is>
          <t xml:space="preserve"/>
        </is>
      </c>
      <c r="E1024" s="250" t="inlineStr">
        <is>
          <t xml:space="preserve"/>
        </is>
      </c>
      <c r="F1024" s="250" t="inlineStr">
        <is>
          <t xml:space="preserve"/>
        </is>
      </c>
      <c r="G1024" s="250" t="inlineStr">
        <is>
          <t xml:space="preserve"/>
        </is>
      </c>
      <c r="H1024" s="251">
        <f>SUM(H1022:H1023)</f>
        <v>69.05600000000001</v>
      </c>
      <c r="I1024" s="252" t="inlineStr">
        <is>
          <t xml:space="preserve">t</t>
        </is>
      </c>
    </row>
    <row r="1025">
      <c r="A1025" s="243" t="inlineStr">
        <is>
          <t xml:space="preserve">2ND FLR</t>
        </is>
      </c>
      <c r="B1025" s="243" t="inlineStr">
        <is>
          <t xml:space="preserve">D</t>
        </is>
      </c>
      <c r="C1025" s="244" t="inlineStr">
        <is>
          <t xml:space="preserve">16mm diameter for suspended slab</t>
        </is>
      </c>
      <c r="I1025" s="245" t="inlineStr">
        <is>
          <t xml:space="preserve">t</t>
        </is>
      </c>
      <c r="K1025" s="256" t="inlineStr">
        <is>
          <t xml:space="preserve">'2ND FLR'!C89</t>
        </is>
      </c>
    </row>
    <row r="1026">
      <c r="C1026" s="246" t="inlineStr">
        <is>
          <t xml:space="preserve">Second floor 3A (+6850) - Floor Slabs, Y16 (from reinforcement take-off / BBS)</t>
        </is>
      </c>
      <c r="H1026" s="247">
        <v>0.028</v>
      </c>
      <c r="J1026" s="253" t="inlineStr">
        <is>
          <t xml:space="preserve">0.028</t>
        </is>
      </c>
    </row>
    <row r="1027">
      <c r="C1027" s="250" t="inlineStr">
        <is>
          <t xml:space="preserve">Total carried to BOQ  2ND FLR item D</t>
        </is>
      </c>
      <c r="D1027" s="250" t="inlineStr">
        <is>
          <t xml:space="preserve"/>
        </is>
      </c>
      <c r="E1027" s="250" t="inlineStr">
        <is>
          <t xml:space="preserve"/>
        </is>
      </c>
      <c r="F1027" s="250" t="inlineStr">
        <is>
          <t xml:space="preserve"/>
        </is>
      </c>
      <c r="G1027" s="250" t="inlineStr">
        <is>
          <t xml:space="preserve"/>
        </is>
      </c>
      <c r="H1027" s="251">
        <f>SUM(H1026:H1026)</f>
        <v>0.028</v>
      </c>
      <c r="I1027" s="252" t="inlineStr">
        <is>
          <t xml:space="preserve">t</t>
        </is>
      </c>
    </row>
    <row r="1028">
      <c r="C1028" s="242" t="inlineStr">
        <is>
          <t xml:space="preserve">ELEMENT NO. 2: MASONRY</t>
        </is>
      </c>
    </row>
    <row r="1029">
      <c r="C1029" s="242" t="inlineStr">
        <is>
          <t xml:space="preserve">F10 BRICK/BLOCK WALL - Solid sandcrete blockwork in cement and sand (1:4) mortar as described in:</t>
        </is>
      </c>
    </row>
    <row r="1030">
      <c r="A1030" s="243" t="inlineStr">
        <is>
          <t xml:space="preserve">2ND FLR</t>
        </is>
      </c>
      <c r="B1030" s="243" t="inlineStr">
        <is>
          <t xml:space="preserve">A</t>
        </is>
      </c>
      <c r="C1030" s="244" t="inlineStr">
        <is>
          <t xml:space="preserve">150mm thick wall</t>
        </is>
      </c>
      <c r="I1030" s="245" t="inlineStr">
        <is>
          <t xml:space="preserve">m2</t>
        </is>
      </c>
      <c r="K1030" s="256" t="inlineStr">
        <is>
          <t xml:space="preserve">'2ND FLR'!C98</t>
        </is>
      </c>
    </row>
    <row r="1031">
      <c r="C1031" s="246" t="inlineStr">
        <is>
          <t xml:space="preserve">Second floor (3A) - 150 blockwork: wall length x storey ht</t>
        </is>
      </c>
      <c r="E1031" s="247">
        <v>144.5</v>
      </c>
      <c r="F1031" s="247">
        <v>2.45</v>
      </c>
      <c r="H1031" s="249">
        <f>PRODUCT(D1031:G1031)</f>
        <v>354.02500000000003</v>
      </c>
      <c r="J1031" s="253" t="inlineStr">
        <is>
          <t xml:space="preserve">144.5*2.45</t>
        </is>
      </c>
    </row>
    <row r="1032">
      <c r="C1032" s="246" t="inlineStr">
        <is>
          <t xml:space="preserve">Second floor (3A) - 150 blockwork: wall length x storey ht</t>
        </is>
      </c>
      <c r="D1032" s="248">
        <v>3</v>
      </c>
      <c r="E1032" s="247">
        <v>1</v>
      </c>
      <c r="F1032" s="247">
        <f>3.05-2.2</f>
        <v>0.8499999999999996</v>
      </c>
      <c r="G1032" s="247">
        <v>0.896</v>
      </c>
      <c r="H1032" s="249">
        <f>PRODUCT(D1032:G1032)</f>
        <v>2.2847999999999993</v>
      </c>
      <c r="J1032" s="253" t="inlineStr">
        <is>
          <t xml:space="preserve">3*1*(3.05-2.2)*0.896</t>
        </is>
      </c>
    </row>
    <row r="1033">
      <c r="C1033" s="246" t="inlineStr">
        <is>
          <t xml:space="preserve">Mezzanine (3B) - 150 blockwork: wall length x storey ht</t>
        </is>
      </c>
      <c r="E1033" s="247">
        <v>127.5</v>
      </c>
      <c r="F1033" s="247">
        <v>2.45</v>
      </c>
      <c r="H1033" s="249">
        <f>PRODUCT(D1033:G1033)</f>
        <v>312.375</v>
      </c>
      <c r="J1033" s="253" t="inlineStr">
        <is>
          <t xml:space="preserve">127.5*2.45</t>
        </is>
      </c>
    </row>
    <row r="1034">
      <c r="C1034" s="246" t="inlineStr">
        <is>
          <t xml:space="preserve">Mezzanine (3B) - 150 blockwork: wall length x storey ht</t>
        </is>
      </c>
      <c r="D1034" s="248">
        <v>3</v>
      </c>
      <c r="E1034" s="247">
        <v>1</v>
      </c>
      <c r="F1034" s="247">
        <f>3.05-2.2</f>
        <v>0.8499999999999996</v>
      </c>
      <c r="G1034" s="247">
        <v>0.801</v>
      </c>
      <c r="H1034" s="249">
        <f>PRODUCT(D1034:G1034)</f>
        <v>2.0425499999999994</v>
      </c>
      <c r="J1034" s="253" t="inlineStr">
        <is>
          <t xml:space="preserve">3*1*(3.05-2.2)*0.801</t>
        </is>
      </c>
    </row>
    <row r="1035">
      <c r="C1035" s="250" t="inlineStr">
        <is>
          <t xml:space="preserve">Total carried to BOQ  2ND FLR item A</t>
        </is>
      </c>
      <c r="D1035" s="250" t="inlineStr">
        <is>
          <t xml:space="preserve"/>
        </is>
      </c>
      <c r="E1035" s="250" t="inlineStr">
        <is>
          <t xml:space="preserve"/>
        </is>
      </c>
      <c r="F1035" s="250" t="inlineStr">
        <is>
          <t xml:space="preserve"/>
        </is>
      </c>
      <c r="G1035" s="250" t="inlineStr">
        <is>
          <t xml:space="preserve"/>
        </is>
      </c>
      <c r="H1035" s="251">
        <f>SUM(H1031:H1034)</f>
        <v>670.72735</v>
      </c>
      <c r="I1035" s="252" t="inlineStr">
        <is>
          <t xml:space="preserve">m2</t>
        </is>
      </c>
    </row>
    <row r="1036">
      <c r="A1036" s="243" t="inlineStr">
        <is>
          <t xml:space="preserve">2ND FLR</t>
        </is>
      </c>
      <c r="B1036" s="243" t="inlineStr">
        <is>
          <t xml:space="preserve">B</t>
        </is>
      </c>
      <c r="C1036" s="244" t="inlineStr">
        <is>
          <t xml:space="preserve">200mm thick wall</t>
        </is>
      </c>
      <c r="I1036" s="245" t="inlineStr">
        <is>
          <t xml:space="preserve">m2</t>
        </is>
      </c>
      <c r="K1036" s="256" t="inlineStr">
        <is>
          <t xml:space="preserve">'2ND FLR'!C100</t>
        </is>
      </c>
    </row>
    <row r="1037">
      <c r="C1037" s="246" t="inlineStr">
        <is>
          <t xml:space="preserve">Second floor (3A) - 200 blockwork: wall length x storey ht</t>
        </is>
      </c>
      <c r="E1037" s="247">
        <v>16.7</v>
      </c>
      <c r="F1037" s="247">
        <v>2.45</v>
      </c>
      <c r="H1037" s="249">
        <f>PRODUCT(D1037:G1037)</f>
        <v>40.915</v>
      </c>
      <c r="J1037" s="253" t="inlineStr">
        <is>
          <t xml:space="preserve">16.7*2.45</t>
        </is>
      </c>
    </row>
    <row r="1038">
      <c r="C1038" s="246" t="inlineStr">
        <is>
          <t xml:space="preserve">Second floor (3A) - 200 blockwork: wall length x storey ht</t>
        </is>
      </c>
      <c r="D1038" s="248">
        <v>3</v>
      </c>
      <c r="E1038" s="247">
        <v>1</v>
      </c>
      <c r="F1038" s="247">
        <f>3.05-2.2</f>
        <v>0.8499999999999996</v>
      </c>
      <c r="G1038" s="247">
        <v>0.104</v>
      </c>
      <c r="H1038" s="249">
        <f>PRODUCT(D1038:G1038)</f>
        <v>0.2651999999999999</v>
      </c>
      <c r="J1038" s="253" t="inlineStr">
        <is>
          <t xml:space="preserve">3*1*(3.05-2.2)*0.104</t>
        </is>
      </c>
    </row>
    <row r="1039">
      <c r="C1039" s="246" t="inlineStr">
        <is>
          <t xml:space="preserve">Mezzanine (3B) - 200 blockwork: wall length x storey ht</t>
        </is>
      </c>
      <c r="E1039" s="247">
        <v>31.6</v>
      </c>
      <c r="F1039" s="247">
        <v>2.45</v>
      </c>
      <c r="H1039" s="249">
        <f>PRODUCT(D1039:G1039)</f>
        <v>77.42000000000002</v>
      </c>
      <c r="J1039" s="253" t="inlineStr">
        <is>
          <t xml:space="preserve">31.6*2.45</t>
        </is>
      </c>
    </row>
    <row r="1040">
      <c r="C1040" s="246" t="inlineStr">
        <is>
          <t xml:space="preserve">Mezzanine (3B) - 200 blockwork: wall length x storey ht</t>
        </is>
      </c>
      <c r="D1040" s="248">
        <v>3</v>
      </c>
      <c r="E1040" s="247">
        <v>1</v>
      </c>
      <c r="F1040" s="247">
        <f>3.05-2.2</f>
        <v>0.8499999999999996</v>
      </c>
      <c r="G1040" s="247">
        <v>0.199</v>
      </c>
      <c r="H1040" s="249">
        <f>PRODUCT(D1040:G1040)</f>
        <v>0.5074499999999998</v>
      </c>
      <c r="J1040" s="253" t="inlineStr">
        <is>
          <t xml:space="preserve">3*1*(3.05-2.2)*0.199</t>
        </is>
      </c>
    </row>
    <row r="1041">
      <c r="C1041" s="250" t="inlineStr">
        <is>
          <t xml:space="preserve">Total carried to BOQ  2ND FLR item B</t>
        </is>
      </c>
      <c r="D1041" s="250" t="inlineStr">
        <is>
          <t xml:space="preserve"/>
        </is>
      </c>
      <c r="E1041" s="250" t="inlineStr">
        <is>
          <t xml:space="preserve"/>
        </is>
      </c>
      <c r="F1041" s="250" t="inlineStr">
        <is>
          <t xml:space="preserve"/>
        </is>
      </c>
      <c r="G1041" s="250" t="inlineStr">
        <is>
          <t xml:space="preserve"/>
        </is>
      </c>
      <c r="H1041" s="251">
        <f>SUM(H1037:H1040)</f>
        <v>119.10765000000002</v>
      </c>
      <c r="I1041" s="252" t="inlineStr">
        <is>
          <t xml:space="preserve">m2</t>
        </is>
      </c>
    </row>
    <row r="1042">
      <c r="C1042" s="242" t="inlineStr">
        <is>
          <t xml:space="preserve">ELEMENT NO. 4: WINDOWS/DOORS</t>
        </is>
      </c>
    </row>
    <row r="1043">
      <c r="C1043" s="242" t="inlineStr">
        <is>
          <t xml:space="preserve">L20 DOORS - Supply and fix the following door assemblies complete with frames, ironmongery sets to steel doors and all accessories:</t>
        </is>
      </c>
    </row>
    <row r="1044" ht="32.2" customHeight="1">
      <c r="A1044" s="243" t="inlineStr">
        <is>
          <t xml:space="preserve">2ND FLR</t>
        </is>
      </c>
      <c r="B1044" s="243" t="inlineStr">
        <is>
          <t xml:space="preserve">A</t>
        </is>
      </c>
      <c r="C1044" s="244" t="inlineStr">
        <is>
          <t xml:space="preserve">1000mm x 2200mm 1-hour fire-rated galvanised steel single-leaf security door assembly - emergency stairs (ED1)</t>
        </is>
      </c>
      <c r="I1044" s="245" t="inlineStr">
        <is>
          <t xml:space="preserve">nr</t>
        </is>
      </c>
      <c r="K1044" s="256" t="inlineStr">
        <is>
          <t xml:space="preserve">'2ND FLR'!C109</t>
        </is>
      </c>
    </row>
    <row r="1045">
      <c r="C1045" s="246" t="inlineStr">
        <is>
          <t xml:space="preserve">Second floor (3A) - ED1</t>
        </is>
      </c>
      <c r="H1045" s="247">
        <v>3</v>
      </c>
      <c r="J1045" s="253" t="inlineStr">
        <is>
          <t xml:space="preserve">3</t>
        </is>
      </c>
    </row>
    <row r="1046">
      <c r="C1046" s="246" t="inlineStr">
        <is>
          <t xml:space="preserve">Mezzanine (3B) - ED1</t>
        </is>
      </c>
      <c r="H1046" s="247">
        <v>3</v>
      </c>
      <c r="J1046" s="253" t="inlineStr">
        <is>
          <t xml:space="preserve">3</t>
        </is>
      </c>
    </row>
    <row r="1047">
      <c r="C1047" s="250" t="inlineStr">
        <is>
          <t xml:space="preserve">Total carried to BOQ  2ND FLR item A</t>
        </is>
      </c>
      <c r="D1047" s="250" t="inlineStr">
        <is>
          <t xml:space="preserve"/>
        </is>
      </c>
      <c r="E1047" s="250" t="inlineStr">
        <is>
          <t xml:space="preserve"/>
        </is>
      </c>
      <c r="F1047" s="250" t="inlineStr">
        <is>
          <t xml:space="preserve"/>
        </is>
      </c>
      <c r="G1047" s="250" t="inlineStr">
        <is>
          <t xml:space="preserve"/>
        </is>
      </c>
      <c r="H1047" s="251">
        <f>SUM(H1045:H1046)</f>
        <v>6</v>
      </c>
      <c r="I1047" s="252" t="inlineStr">
        <is>
          <t xml:space="preserve">nr</t>
        </is>
      </c>
    </row>
    <row r="1048">
      <c r="C1048" s="242" t="inlineStr">
        <is>
          <t xml:space="preserve">ELEMENT NO. 5: FLOOR FINISHES</t>
        </is>
      </c>
    </row>
    <row r="1049">
      <c r="C1049" s="242" t="inlineStr">
        <is>
          <t xml:space="preserve">M10/M40 FLOOR FINISHES</t>
        </is>
      </c>
    </row>
    <row r="1050" ht="32.2" customHeight="1">
      <c r="A1050" s="243" t="inlineStr">
        <is>
          <t xml:space="preserve">2ND FLR</t>
        </is>
      </c>
      <c r="B1050" s="243" t="inlineStr">
        <is>
          <t xml:space="preserve">A</t>
        </is>
      </c>
      <c r="C1050" s="244" t="inlineStr">
        <is>
          <t xml:space="preserve">25mm cement and sand (1:3) screeded finish laid level on concrete and finished smooth with steel trowel</t>
        </is>
      </c>
      <c r="I1050" s="245" t="inlineStr">
        <is>
          <t xml:space="preserve">m2</t>
        </is>
      </c>
      <c r="K1050" s="256" t="inlineStr">
        <is>
          <t xml:space="preserve">'2ND FLR'!C118</t>
        </is>
      </c>
    </row>
    <row r="1051">
      <c r="C1051" s="246" t="inlineStr">
        <is>
          <t xml:space="preserve">Second floor (3A) - Tiled floor areas (measured)</t>
        </is>
      </c>
      <c r="H1051" s="247">
        <v>3.3</v>
      </c>
      <c r="J1051" s="253" t="inlineStr">
        <is>
          <t xml:space="preserve">3.3</t>
        </is>
      </c>
    </row>
    <row r="1052">
      <c r="C1052" s="246" t="inlineStr">
        <is>
          <t xml:space="preserve">Mezzanine (3B) - Tiled floor areas (measured)</t>
        </is>
      </c>
      <c r="H1052" s="247">
        <v>20.0</v>
      </c>
      <c r="J1052" s="253" t="inlineStr">
        <is>
          <t xml:space="preserve">20.0</t>
        </is>
      </c>
    </row>
    <row r="1053">
      <c r="C1053" s="250" t="inlineStr">
        <is>
          <t xml:space="preserve">Total carried to BOQ  2ND FLR item A</t>
        </is>
      </c>
      <c r="D1053" s="250" t="inlineStr">
        <is>
          <t xml:space="preserve"/>
        </is>
      </c>
      <c r="E1053" s="250" t="inlineStr">
        <is>
          <t xml:space="preserve"/>
        </is>
      </c>
      <c r="F1053" s="250" t="inlineStr">
        <is>
          <t xml:space="preserve"/>
        </is>
      </c>
      <c r="G1053" s="250" t="inlineStr">
        <is>
          <t xml:space="preserve"/>
        </is>
      </c>
      <c r="H1053" s="251">
        <f>SUM(H1051:H1052)</f>
        <v>23.3</v>
      </c>
      <c r="I1053" s="252" t="inlineStr">
        <is>
          <t xml:space="preserve">m2</t>
        </is>
      </c>
    </row>
    <row r="1054" ht="32.2" customHeight="1">
      <c r="A1054" s="243" t="inlineStr">
        <is>
          <t xml:space="preserve">2ND FLR</t>
        </is>
      </c>
      <c r="B1054" s="243" t="inlineStr">
        <is>
          <t xml:space="preserve">B</t>
        </is>
      </c>
      <c r="C1054" s="244" t="inlineStr">
        <is>
          <t xml:space="preserve">12mm cement and sand (1:4) screeded bed laid level on concrete floor to receive floor tiles</t>
        </is>
      </c>
      <c r="I1054" s="245" t="inlineStr">
        <is>
          <t xml:space="preserve">m2</t>
        </is>
      </c>
      <c r="K1054" s="256" t="inlineStr">
        <is>
          <t xml:space="preserve">'2ND FLR'!C120</t>
        </is>
      </c>
    </row>
    <row r="1055">
      <c r="C1055" s="246" t="inlineStr">
        <is>
          <t xml:space="preserve">Second floor (3A) - Tiled floor areas (measured)</t>
        </is>
      </c>
      <c r="H1055" s="247">
        <v>3.3</v>
      </c>
      <c r="J1055" s="253" t="inlineStr">
        <is>
          <t xml:space="preserve">3.3</t>
        </is>
      </c>
    </row>
    <row r="1056">
      <c r="C1056" s="246" t="inlineStr">
        <is>
          <t xml:space="preserve">Mezzanine (3B) - Tiled floor areas (measured)</t>
        </is>
      </c>
      <c r="H1056" s="247">
        <v>20.0</v>
      </c>
      <c r="J1056" s="253" t="inlineStr">
        <is>
          <t xml:space="preserve">20.0</t>
        </is>
      </c>
    </row>
    <row r="1057">
      <c r="C1057" s="246" t="inlineStr">
        <is>
          <t xml:space="preserve">Stair finishes (treads, risers, landings) - flights: 2 x 1.8 x 3.0</t>
        </is>
      </c>
      <c r="D1057" s="248">
        <v>2</v>
      </c>
      <c r="E1057" s="247">
        <v>1.8</v>
      </c>
      <c r="F1057" s="247">
        <v>3.0</v>
      </c>
      <c r="H1057" s="249">
        <f>PRODUCT(D1057:G1057)</f>
        <v>10.8</v>
      </c>
      <c r="J1057" s="253" t="inlineStr">
        <is>
          <t xml:space="preserve">2*1.8*3.0</t>
        </is>
      </c>
    </row>
    <row r="1058">
      <c r="C1058" s="246" t="inlineStr">
        <is>
          <t xml:space="preserve">Stair finishes (treads, risers, landings) - risers: 22 x 0.15 x 1.8</t>
        </is>
      </c>
      <c r="D1058" s="248">
        <v>22</v>
      </c>
      <c r="E1058" s="247">
        <v>0.15</v>
      </c>
      <c r="F1058" s="247">
        <v>1.8</v>
      </c>
      <c r="H1058" s="249">
        <f>PRODUCT(D1058:G1058)</f>
        <v>5.9399999999999995</v>
      </c>
      <c r="J1058" s="253" t="inlineStr">
        <is>
          <t xml:space="preserve">22*0.15*1.8</t>
        </is>
      </c>
    </row>
    <row r="1059">
      <c r="C1059" s="246" t="inlineStr">
        <is>
          <t xml:space="preserve">Stair finishes (treads, risers, landings) - floor landing 2.2 x 3.75</t>
        </is>
      </c>
      <c r="E1059" s="247">
        <v>2.2</v>
      </c>
      <c r="F1059" s="247">
        <v>3.75</v>
      </c>
      <c r="H1059" s="249">
        <f>PRODUCT(D1059:G1059)</f>
        <v>8.25</v>
      </c>
      <c r="J1059" s="253" t="inlineStr">
        <is>
          <t xml:space="preserve">2.2*3.75</t>
        </is>
      </c>
    </row>
    <row r="1060">
      <c r="C1060" s="246" t="inlineStr">
        <is>
          <t xml:space="preserve">Stair finishes (treads, risers, landings) - half landing 1.8 x 3.75</t>
        </is>
      </c>
      <c r="E1060" s="247">
        <v>1.8</v>
      </c>
      <c r="F1060" s="247">
        <v>3.75</v>
      </c>
      <c r="H1060" s="249">
        <f>PRODUCT(D1060:G1060)</f>
        <v>6.75</v>
      </c>
      <c r="J1060" s="253" t="inlineStr">
        <is>
          <t xml:space="preserve">1.8*3.75</t>
        </is>
      </c>
    </row>
    <row r="1061">
      <c r="C1061" s="246" t="inlineStr">
        <is>
          <t xml:space="preserve">Stair finishes (treads, risers, landings) - flights: 2 x 1.8 x 3.0</t>
        </is>
      </c>
      <c r="D1061" s="248">
        <v>2</v>
      </c>
      <c r="E1061" s="247">
        <v>1.8</v>
      </c>
      <c r="F1061" s="247">
        <v>3.0</v>
      </c>
      <c r="H1061" s="249">
        <f>PRODUCT(D1061:G1061)</f>
        <v>10.8</v>
      </c>
      <c r="J1061" s="253" t="inlineStr">
        <is>
          <t xml:space="preserve">2*1.8*3.0</t>
        </is>
      </c>
    </row>
    <row r="1062">
      <c r="C1062" s="246" t="inlineStr">
        <is>
          <t xml:space="preserve">Stair finishes (treads, risers, landings) - risers: 22 x 0.15 x 1.8</t>
        </is>
      </c>
      <c r="D1062" s="248">
        <v>22</v>
      </c>
      <c r="E1062" s="247">
        <v>0.15</v>
      </c>
      <c r="F1062" s="247">
        <v>1.8</v>
      </c>
      <c r="H1062" s="249">
        <f>PRODUCT(D1062:G1062)</f>
        <v>5.9399999999999995</v>
      </c>
      <c r="J1062" s="253" t="inlineStr">
        <is>
          <t xml:space="preserve">22*0.15*1.8</t>
        </is>
      </c>
    </row>
    <row r="1063">
      <c r="C1063" s="246" t="inlineStr">
        <is>
          <t xml:space="preserve">Stair finishes (treads, risers, landings) - floor landing 2.2 x 3.75</t>
        </is>
      </c>
      <c r="E1063" s="247">
        <v>2.2</v>
      </c>
      <c r="F1063" s="247">
        <v>3.75</v>
      </c>
      <c r="H1063" s="249">
        <f>PRODUCT(D1063:G1063)</f>
        <v>8.25</v>
      </c>
      <c r="J1063" s="253" t="inlineStr">
        <is>
          <t xml:space="preserve">2.2*3.75</t>
        </is>
      </c>
    </row>
    <row r="1064">
      <c r="C1064" s="246" t="inlineStr">
        <is>
          <t xml:space="preserve">Stair finishes (treads, risers, landings) - half landing 1.8 x 3.75</t>
        </is>
      </c>
      <c r="E1064" s="247">
        <v>1.8</v>
      </c>
      <c r="F1064" s="247">
        <v>3.75</v>
      </c>
      <c r="H1064" s="249">
        <f>PRODUCT(D1064:G1064)</f>
        <v>6.75</v>
      </c>
      <c r="J1064" s="253" t="inlineStr">
        <is>
          <t xml:space="preserve">1.8*3.75</t>
        </is>
      </c>
    </row>
    <row r="1065">
      <c r="C1065" s="250" t="inlineStr">
        <is>
          <t xml:space="preserve">Total carried to BOQ  2ND FLR item B</t>
        </is>
      </c>
      <c r="D1065" s="250" t="inlineStr">
        <is>
          <t xml:space="preserve"/>
        </is>
      </c>
      <c r="E1065" s="250" t="inlineStr">
        <is>
          <t xml:space="preserve"/>
        </is>
      </c>
      <c r="F1065" s="250" t="inlineStr">
        <is>
          <t xml:space="preserve"/>
        </is>
      </c>
      <c r="G1065" s="250" t="inlineStr">
        <is>
          <t xml:space="preserve"/>
        </is>
      </c>
      <c r="H1065" s="251">
        <f>SUM(H1055:H1064)</f>
        <v>86.78</v>
      </c>
      <c r="I1065" s="252" t="inlineStr">
        <is>
          <t xml:space="preserve">m2</t>
        </is>
      </c>
    </row>
    <row r="1066" ht="32.2" customHeight="1">
      <c r="A1066" s="243" t="inlineStr">
        <is>
          <t xml:space="preserve">2ND FLR</t>
        </is>
      </c>
      <c r="B1066" s="243" t="inlineStr">
        <is>
          <t xml:space="preserve">C</t>
        </is>
      </c>
      <c r="C1066" s="244" t="inlineStr">
        <is>
          <t xml:space="preserve">500x500mm matte R11 porcelain tiles to staircases (treads, risers and landings)</t>
        </is>
      </c>
      <c r="I1066" s="245" t="inlineStr">
        <is>
          <t xml:space="preserve">m2</t>
        </is>
      </c>
      <c r="K1066" s="256" t="inlineStr">
        <is>
          <t xml:space="preserve">'2ND FLR'!C122</t>
        </is>
      </c>
    </row>
    <row r="1067">
      <c r="C1067" s="246" t="inlineStr">
        <is>
          <t xml:space="preserve">Second floor 3A (+6850) - Main stair flight (storey ht 4.05) - flights: 2 x 1.8 x 3.0</t>
        </is>
      </c>
      <c r="D1067" s="248">
        <v>2</v>
      </c>
      <c r="E1067" s="247">
        <v>1.8</v>
      </c>
      <c r="F1067" s="247">
        <v>3.0</v>
      </c>
      <c r="H1067" s="249">
        <f>PRODUCT(D1067:G1067)</f>
        <v>10.8</v>
      </c>
      <c r="J1067" s="253" t="inlineStr">
        <is>
          <t xml:space="preserve">2*1.8*3.0</t>
        </is>
      </c>
    </row>
    <row r="1068">
      <c r="C1068" s="246" t="inlineStr">
        <is>
          <t xml:space="preserve">Second floor 3A (+6850) - Main stair flight (storey ht 4.05) - risers: 22 x 0.15 x 1.8</t>
        </is>
      </c>
      <c r="D1068" s="248">
        <v>22</v>
      </c>
      <c r="E1068" s="247">
        <v>0.15</v>
      </c>
      <c r="F1068" s="247">
        <v>1.8</v>
      </c>
      <c r="H1068" s="249">
        <f>PRODUCT(D1068:G1068)</f>
        <v>5.9399999999999995</v>
      </c>
      <c r="J1068" s="253" t="inlineStr">
        <is>
          <t xml:space="preserve">22*0.15*1.8</t>
        </is>
      </c>
    </row>
    <row r="1069">
      <c r="C1069" s="246" t="inlineStr">
        <is>
          <t xml:space="preserve">Second floor 3A (+6850) - Main stair flight (storey ht 4.05) - floor landing 2.2 x 3.75</t>
        </is>
      </c>
      <c r="E1069" s="247">
        <v>2.2</v>
      </c>
      <c r="F1069" s="247">
        <v>3.75</v>
      </c>
      <c r="H1069" s="249">
        <f>PRODUCT(D1069:G1069)</f>
        <v>8.25</v>
      </c>
      <c r="J1069" s="253" t="inlineStr">
        <is>
          <t xml:space="preserve">2.2*3.75</t>
        </is>
      </c>
    </row>
    <row r="1070">
      <c r="C1070" s="246" t="inlineStr">
        <is>
          <t xml:space="preserve">Second floor 3A (+6850) - Main stair flight (storey ht 4.05) - half landing 1.8 x 3.75</t>
        </is>
      </c>
      <c r="E1070" s="247">
        <v>1.8</v>
      </c>
      <c r="F1070" s="247">
        <v>3.75</v>
      </c>
      <c r="H1070" s="249">
        <f>PRODUCT(D1070:G1070)</f>
        <v>6.75</v>
      </c>
      <c r="J1070" s="253" t="inlineStr">
        <is>
          <t xml:space="preserve">1.8*3.75</t>
        </is>
      </c>
    </row>
    <row r="1071">
      <c r="C1071" s="246" t="inlineStr">
        <is>
          <t xml:space="preserve">Mezzanine 3B (+7900) - Emergency stair flight (storey ht 3) - flights: 2 x 1.8 x 3.0</t>
        </is>
      </c>
      <c r="D1071" s="248">
        <v>2</v>
      </c>
      <c r="E1071" s="247">
        <v>1.8</v>
      </c>
      <c r="F1071" s="247">
        <v>3.0</v>
      </c>
      <c r="H1071" s="249">
        <f>PRODUCT(D1071:G1071)</f>
        <v>10.8</v>
      </c>
      <c r="J1071" s="253" t="inlineStr">
        <is>
          <t xml:space="preserve">2*1.8*3.0</t>
        </is>
      </c>
    </row>
    <row r="1072">
      <c r="C1072" s="246" t="inlineStr">
        <is>
          <t xml:space="preserve">Mezzanine 3B (+7900) - Emergency stair flight (storey ht 3) - risers: 22 x 0.15 x 1.8</t>
        </is>
      </c>
      <c r="D1072" s="248">
        <v>22</v>
      </c>
      <c r="E1072" s="247">
        <v>0.15</v>
      </c>
      <c r="F1072" s="247">
        <v>1.8</v>
      </c>
      <c r="H1072" s="249">
        <f>PRODUCT(D1072:G1072)</f>
        <v>5.9399999999999995</v>
      </c>
      <c r="J1072" s="253" t="inlineStr">
        <is>
          <t xml:space="preserve">22*0.15*1.8</t>
        </is>
      </c>
    </row>
    <row r="1073">
      <c r="C1073" s="246" t="inlineStr">
        <is>
          <t xml:space="preserve">Mezzanine 3B (+7900) - Emergency stair flight (storey ht 3) - floor landing 2.2 x 3.75</t>
        </is>
      </c>
      <c r="E1073" s="247">
        <v>2.2</v>
      </c>
      <c r="F1073" s="247">
        <v>3.75</v>
      </c>
      <c r="H1073" s="249">
        <f>PRODUCT(D1073:G1073)</f>
        <v>8.25</v>
      </c>
      <c r="J1073" s="253" t="inlineStr">
        <is>
          <t xml:space="preserve">2.2*3.75</t>
        </is>
      </c>
    </row>
    <row r="1074">
      <c r="C1074" s="246" t="inlineStr">
        <is>
          <t xml:space="preserve">Mezzanine 3B (+7900) - Emergency stair flight (storey ht 3) - half landing 1.8 x 3.75</t>
        </is>
      </c>
      <c r="E1074" s="247">
        <v>1.8</v>
      </c>
      <c r="F1074" s="247">
        <v>3.75</v>
      </c>
      <c r="H1074" s="249">
        <f>PRODUCT(D1074:G1074)</f>
        <v>6.75</v>
      </c>
      <c r="J1074" s="253" t="inlineStr">
        <is>
          <t xml:space="preserve">1.8*3.75</t>
        </is>
      </c>
    </row>
    <row r="1075">
      <c r="C1075" s="250" t="inlineStr">
        <is>
          <t xml:space="preserve">Total carried to BOQ  2ND FLR item C</t>
        </is>
      </c>
      <c r="D1075" s="250" t="inlineStr">
        <is>
          <t xml:space="preserve"/>
        </is>
      </c>
      <c r="E1075" s="250" t="inlineStr">
        <is>
          <t xml:space="preserve"/>
        </is>
      </c>
      <c r="F1075" s="250" t="inlineStr">
        <is>
          <t xml:space="preserve"/>
        </is>
      </c>
      <c r="G1075" s="250" t="inlineStr">
        <is>
          <t xml:space="preserve"/>
        </is>
      </c>
      <c r="H1075" s="251">
        <f>SUM(H1067:H1074)</f>
        <v>63.480000000000004</v>
      </c>
      <c r="I1075" s="252" t="inlineStr">
        <is>
          <t xml:space="preserve">m2</t>
        </is>
      </c>
    </row>
    <row r="1076" ht="32.2" customHeight="1">
      <c r="A1076" s="243" t="inlineStr">
        <is>
          <t xml:space="preserve">2ND FLR</t>
        </is>
      </c>
      <c r="B1076" s="243" t="inlineStr">
        <is>
          <t xml:space="preserve">D</t>
        </is>
      </c>
      <c r="C1076" s="244" t="inlineStr">
        <is>
          <t xml:space="preserve">600x600mm semi-polished porcelain floor tiles to habitable rooms, shops &amp; offices</t>
        </is>
      </c>
      <c r="I1076" s="245" t="inlineStr">
        <is>
          <t xml:space="preserve">m2</t>
        </is>
      </c>
      <c r="K1076" s="256" t="inlineStr">
        <is>
          <t xml:space="preserve">'2ND FLR'!C124</t>
        </is>
      </c>
    </row>
    <row r="1077">
      <c r="C1077" s="246" t="inlineStr">
        <is>
          <t xml:space="preserve">Second floor (3A) - Ceiling areas (measured)</t>
        </is>
      </c>
      <c r="H1077" s="247">
        <v>3.3</v>
      </c>
      <c r="J1077" s="253" t="inlineStr">
        <is>
          <t xml:space="preserve">3.3</t>
        </is>
      </c>
    </row>
    <row r="1078">
      <c r="C1078" s="250" t="inlineStr">
        <is>
          <t xml:space="preserve">Total carried to BOQ  2ND FLR item D</t>
        </is>
      </c>
      <c r="D1078" s="250" t="inlineStr">
        <is>
          <t xml:space="preserve"/>
        </is>
      </c>
      <c r="E1078" s="250" t="inlineStr">
        <is>
          <t xml:space="preserve"/>
        </is>
      </c>
      <c r="F1078" s="250" t="inlineStr">
        <is>
          <t xml:space="preserve"/>
        </is>
      </c>
      <c r="G1078" s="250" t="inlineStr">
        <is>
          <t xml:space="preserve"/>
        </is>
      </c>
      <c r="H1078" s="251">
        <f>SUM(H1077:H1077)</f>
        <v>3.3</v>
      </c>
      <c r="I1078" s="252" t="inlineStr">
        <is>
          <t xml:space="preserve">m2</t>
        </is>
      </c>
    </row>
    <row r="1079" ht="32.2" customHeight="1">
      <c r="A1079" s="243" t="inlineStr">
        <is>
          <t xml:space="preserve">2ND FLR</t>
        </is>
      </c>
      <c r="B1079" s="243" t="inlineStr">
        <is>
          <t xml:space="preserve">E</t>
        </is>
      </c>
      <c r="C1079" s="244" t="inlineStr">
        <is>
          <t xml:space="preserve">600x600mm non-slip R11 porcelain tiles to corridors, terraces, verandah &amp; service areas</t>
        </is>
      </c>
      <c r="I1079" s="245" t="inlineStr">
        <is>
          <t xml:space="preserve">m2</t>
        </is>
      </c>
      <c r="K1079" s="256" t="inlineStr">
        <is>
          <t xml:space="preserve">'2ND FLR'!C126</t>
        </is>
      </c>
    </row>
    <row r="1080">
      <c r="C1080" s="246" t="inlineStr">
        <is>
          <t xml:space="preserve">Mezzanine (3B) - Corridors/terraces/service (measured)</t>
        </is>
      </c>
      <c r="H1080" s="247">
        <v>20.0</v>
      </c>
      <c r="J1080" s="253" t="inlineStr">
        <is>
          <t xml:space="preserve">20.0</t>
        </is>
      </c>
    </row>
    <row r="1081">
      <c r="C1081" s="250" t="inlineStr">
        <is>
          <t xml:space="preserve">Total carried to BOQ  2ND FLR item E</t>
        </is>
      </c>
      <c r="D1081" s="250" t="inlineStr">
        <is>
          <t xml:space="preserve"/>
        </is>
      </c>
      <c r="E1081" s="250" t="inlineStr">
        <is>
          <t xml:space="preserve"/>
        </is>
      </c>
      <c r="F1081" s="250" t="inlineStr">
        <is>
          <t xml:space="preserve"/>
        </is>
      </c>
      <c r="G1081" s="250" t="inlineStr">
        <is>
          <t xml:space="preserve"/>
        </is>
      </c>
      <c r="H1081" s="251">
        <f>SUM(H1080:H1080)</f>
        <v>20.0</v>
      </c>
      <c r="I1081" s="252" t="inlineStr">
        <is>
          <t xml:space="preserve">m2</t>
        </is>
      </c>
    </row>
    <row r="1082">
      <c r="A1082" s="243" t="inlineStr">
        <is>
          <t xml:space="preserve">2ND FLR</t>
        </is>
      </c>
      <c r="B1082" s="243" t="inlineStr">
        <is>
          <t xml:space="preserve">F</t>
        </is>
      </c>
      <c r="C1082" s="244" t="inlineStr">
        <is>
          <t xml:space="preserve">Seamless polyurethane (PU) resin screed / PU coating to parking decks &amp; ramps</t>
        </is>
      </c>
      <c r="I1082" s="245" t="inlineStr">
        <is>
          <t xml:space="preserve">m2</t>
        </is>
      </c>
      <c r="K1082" s="256" t="inlineStr">
        <is>
          <t xml:space="preserve">'2ND FLR'!C128</t>
        </is>
      </c>
    </row>
    <row r="1083">
      <c r="C1083" s="246" t="inlineStr">
        <is>
          <t xml:space="preserve">Second floor (3A) - Parking &amp; ramps (measured)</t>
        </is>
      </c>
      <c r="H1083" s="247">
        <v>685.4</v>
      </c>
      <c r="J1083" s="253" t="inlineStr">
        <is>
          <t xml:space="preserve">685.4</t>
        </is>
      </c>
    </row>
    <row r="1084">
      <c r="C1084" s="246" t="inlineStr">
        <is>
          <t xml:space="preserve">Mezzanine (3B) - Parking &amp; ramps (measured)</t>
        </is>
      </c>
      <c r="H1084" s="247">
        <v>491.5</v>
      </c>
      <c r="J1084" s="253" t="inlineStr">
        <is>
          <t xml:space="preserve">491.5</t>
        </is>
      </c>
    </row>
    <row r="1085">
      <c r="C1085" s="250" t="inlineStr">
        <is>
          <t xml:space="preserve">Total carried to BOQ  2ND FLR item F</t>
        </is>
      </c>
      <c r="D1085" s="250" t="inlineStr">
        <is>
          <t xml:space="preserve"/>
        </is>
      </c>
      <c r="E1085" s="250" t="inlineStr">
        <is>
          <t xml:space="preserve"/>
        </is>
      </c>
      <c r="F1085" s="250" t="inlineStr">
        <is>
          <t xml:space="preserve"/>
        </is>
      </c>
      <c r="G1085" s="250" t="inlineStr">
        <is>
          <t xml:space="preserve"/>
        </is>
      </c>
      <c r="H1085" s="251">
        <f>SUM(H1083:H1084)</f>
        <v>1176.9</v>
      </c>
      <c r="I1085" s="252" t="inlineStr">
        <is>
          <t xml:space="preserve">m2</t>
        </is>
      </c>
    </row>
    <row r="1086">
      <c r="C1086" s="242" t="inlineStr">
        <is>
          <t xml:space="preserve">ELEMENT NO. 6: WALL FINISHES</t>
        </is>
      </c>
    </row>
    <row r="1087">
      <c r="C1087" s="242" t="inlineStr">
        <is>
          <t xml:space="preserve">M20 PLASTERED/RENDERED COATINGS - 12.5mm cement and sand (1:3) rendering as described on blockwork or concrete to:</t>
        </is>
      </c>
    </row>
    <row r="1088">
      <c r="A1088" s="243" t="inlineStr">
        <is>
          <t xml:space="preserve">2ND FLR</t>
        </is>
      </c>
      <c r="B1088" s="243" t="inlineStr">
        <is>
          <t xml:space="preserve">A</t>
        </is>
      </c>
      <c r="C1088" s="244" t="inlineStr">
        <is>
          <t xml:space="preserve">Interior walls</t>
        </is>
      </c>
      <c r="I1088" s="245" t="inlineStr">
        <is>
          <t xml:space="preserve">m2</t>
        </is>
      </c>
      <c r="K1088" s="256" t="inlineStr">
        <is>
          <t xml:space="preserve">'2ND FLR'!C137</t>
        </is>
      </c>
    </row>
    <row r="1089">
      <c r="C1089" s="246" t="inlineStr">
        <is>
          <t xml:space="preserve">block wall faces: 2 x (150 + 200 block runs) x ht</t>
        </is>
      </c>
      <c r="D1089" s="248">
        <v>2</v>
      </c>
      <c r="E1089" s="247">
        <f>144.5+16.7</f>
        <v>161.2</v>
      </c>
      <c r="F1089" s="247">
        <v>2.45</v>
      </c>
      <c r="H1089" s="249">
        <f>PRODUCT(D1089:G1089)</f>
        <v>789.88</v>
      </c>
      <c r="J1089" s="253" t="inlineStr">
        <is>
          <t xml:space="preserve">2*(144.5+16.7)*2.45</t>
        </is>
      </c>
    </row>
    <row r="1090">
      <c r="C1090" s="246" t="inlineStr">
        <is>
          <t xml:space="preserve">RC wall faces: 2 x RC wall run x ht</t>
        </is>
      </c>
      <c r="D1090" s="248">
        <v>2</v>
      </c>
      <c r="E1090" s="247">
        <v>35.1</v>
      </c>
      <c r="F1090" s="247">
        <v>2.45</v>
      </c>
      <c r="H1090" s="249">
        <f>PRODUCT(D1090:G1090)</f>
        <v>171.99</v>
      </c>
      <c r="J1090" s="253" t="inlineStr">
        <is>
          <t xml:space="preserve">2*35.1*2.45</t>
        </is>
      </c>
    </row>
    <row r="1091">
      <c r="C1091" s="246" t="inlineStr">
        <is>
          <t xml:space="preserve">Ddt lift/stair shaft inner faces 16.8 m x ht</t>
        </is>
      </c>
      <c r="E1091" s="247">
        <v>16.8</v>
      </c>
      <c r="F1091" s="247">
        <v>2.45</v>
      </c>
      <c r="H1091" s="249">
        <f>-PRODUCT(D1091:G1091)</f>
        <v>-41.160000000000004</v>
      </c>
      <c r="J1091" s="253" t="inlineStr">
        <is>
          <t xml:space="preserve">-16.8*2.45</t>
        </is>
      </c>
    </row>
    <row r="1092">
      <c r="C1092" s="246" t="inlineStr">
        <is>
          <t xml:space="preserve">Ddt external face of perimeter wall (rendered externally)</t>
        </is>
      </c>
      <c r="E1092" s="247">
        <v>134.0</v>
      </c>
      <c r="F1092" s="247">
        <v>2.45</v>
      </c>
      <c r="H1092" s="249">
        <f>-PRODUCT(D1092:G1092)</f>
        <v>-328.3</v>
      </c>
      <c r="J1092" s="253" t="inlineStr">
        <is>
          <t xml:space="preserve">-134.0*2.45</t>
        </is>
      </c>
    </row>
    <row r="1093">
      <c r="C1093" s="246" t="inlineStr">
        <is>
          <t xml:space="preserve">Ddt opening </t>
        </is>
      </c>
      <c r="H1093" s="247">
        <v>0</v>
      </c>
      <c r="J1093" s="253" t="inlineStr">
        <is>
          <t xml:space="preserve">-0</t>
        </is>
      </c>
    </row>
    <row r="1094">
      <c r="C1094" s="246" t="inlineStr">
        <is>
          <t xml:space="preserve">Ddt opening ED1 (3 nr, 1x2.2) - both faces</t>
        </is>
      </c>
      <c r="D1094" s="248">
        <f>2*3</f>
        <v>6</v>
      </c>
      <c r="E1094" s="247">
        <v>1</v>
      </c>
      <c r="F1094" s="247">
        <v>2.2</v>
      </c>
      <c r="H1094" s="249">
        <f>-PRODUCT(D1094:G1094)</f>
        <v>-13.200000000000001</v>
      </c>
      <c r="J1094" s="253" t="inlineStr">
        <is>
          <t xml:space="preserve">-2*3*1*2.2</t>
        </is>
      </c>
    </row>
    <row r="1095">
      <c r="C1095" s="246" t="inlineStr">
        <is>
          <t xml:space="preserve">Ddt opening </t>
        </is>
      </c>
      <c r="H1095" s="247">
        <v>0</v>
      </c>
      <c r="J1095" s="253" t="inlineStr">
        <is>
          <t xml:space="preserve">-0</t>
        </is>
      </c>
    </row>
    <row r="1096">
      <c r="C1096" s="246" t="inlineStr">
        <is>
          <t xml:space="preserve">block wall faces: 2 x (150 + 200 block runs) x ht</t>
        </is>
      </c>
      <c r="D1096" s="248">
        <v>2</v>
      </c>
      <c r="E1096" s="247">
        <f>127.5+31.6</f>
        <v>159.1</v>
      </c>
      <c r="F1096" s="247">
        <v>2.45</v>
      </c>
      <c r="H1096" s="249">
        <f>PRODUCT(D1096:G1096)</f>
        <v>779.59</v>
      </c>
      <c r="J1096" s="253" t="inlineStr">
        <is>
          <t xml:space="preserve">2*(127.5+31.6)*2.45</t>
        </is>
      </c>
    </row>
    <row r="1097">
      <c r="C1097" s="246" t="inlineStr">
        <is>
          <t xml:space="preserve">RC wall faces: 2 x RC wall run x ht</t>
        </is>
      </c>
      <c r="D1097" s="248">
        <v>2</v>
      </c>
      <c r="E1097" s="247">
        <v>42.8</v>
      </c>
      <c r="F1097" s="247">
        <v>2.45</v>
      </c>
      <c r="H1097" s="249">
        <f>PRODUCT(D1097:G1097)</f>
        <v>209.72</v>
      </c>
      <c r="J1097" s="253" t="inlineStr">
        <is>
          <t xml:space="preserve">2*42.8*2.45</t>
        </is>
      </c>
    </row>
    <row r="1098">
      <c r="C1098" s="246" t="inlineStr">
        <is>
          <t xml:space="preserve">Ddt lift/stair shaft inner faces 16.8 m x ht</t>
        </is>
      </c>
      <c r="E1098" s="247">
        <v>16.8</v>
      </c>
      <c r="F1098" s="247">
        <v>2.45</v>
      </c>
      <c r="H1098" s="249">
        <f>-PRODUCT(D1098:G1098)</f>
        <v>-41.160000000000004</v>
      </c>
      <c r="J1098" s="253" t="inlineStr">
        <is>
          <t xml:space="preserve">-16.8*2.45</t>
        </is>
      </c>
    </row>
    <row r="1099">
      <c r="C1099" s="246" t="inlineStr">
        <is>
          <t xml:space="preserve">Ddt external face of perimeter wall (rendered externally)</t>
        </is>
      </c>
      <c r="E1099" s="247">
        <v>191.5</v>
      </c>
      <c r="F1099" s="247">
        <v>2.45</v>
      </c>
      <c r="H1099" s="249">
        <f>-PRODUCT(D1099:G1099)</f>
        <v>-469.175</v>
      </c>
      <c r="J1099" s="253" t="inlineStr">
        <is>
          <t xml:space="preserve">-191.5*2.45</t>
        </is>
      </c>
    </row>
    <row r="1100">
      <c r="C1100" s="246" t="inlineStr">
        <is>
          <t xml:space="preserve">Ddt opening </t>
        </is>
      </c>
      <c r="H1100" s="247">
        <v>0</v>
      </c>
      <c r="J1100" s="253" t="inlineStr">
        <is>
          <t xml:space="preserve">-0</t>
        </is>
      </c>
    </row>
    <row r="1101">
      <c r="C1101" s="246" t="inlineStr">
        <is>
          <t xml:space="preserve">Ddt opening ED1 (3 nr, 1x2.2) - both faces</t>
        </is>
      </c>
      <c r="D1101" s="248">
        <f>2*3</f>
        <v>6</v>
      </c>
      <c r="E1101" s="247">
        <v>1</v>
      </c>
      <c r="F1101" s="247">
        <v>2.2</v>
      </c>
      <c r="H1101" s="249">
        <f>-PRODUCT(D1101:G1101)</f>
        <v>-13.200000000000001</v>
      </c>
      <c r="J1101" s="253" t="inlineStr">
        <is>
          <t xml:space="preserve">-2*3*1*2.2</t>
        </is>
      </c>
    </row>
    <row r="1102">
      <c r="C1102" s="246" t="inlineStr">
        <is>
          <t xml:space="preserve">Ddt opening </t>
        </is>
      </c>
      <c r="H1102" s="247">
        <v>0</v>
      </c>
      <c r="J1102" s="253" t="inlineStr">
        <is>
          <t xml:space="preserve">-0</t>
        </is>
      </c>
    </row>
    <row r="1103">
      <c r="C1103" s="250" t="inlineStr">
        <is>
          <t xml:space="preserve">Total carried to BOQ  2ND FLR item A</t>
        </is>
      </c>
      <c r="D1103" s="250" t="inlineStr">
        <is>
          <t xml:space="preserve"/>
        </is>
      </c>
      <c r="E1103" s="250" t="inlineStr">
        <is>
          <t xml:space="preserve"/>
        </is>
      </c>
      <c r="F1103" s="250" t="inlineStr">
        <is>
          <t xml:space="preserve"/>
        </is>
      </c>
      <c r="G1103" s="250" t="inlineStr">
        <is>
          <t xml:space="preserve"/>
        </is>
      </c>
      <c r="H1103" s="251">
        <f>SUM(H1089:H1102)</f>
        <v>1044.9850000000001</v>
      </c>
      <c r="I1103" s="252" t="inlineStr">
        <is>
          <t xml:space="preserve">m2</t>
        </is>
      </c>
    </row>
    <row r="1104">
      <c r="A1104" s="243" t="inlineStr">
        <is>
          <t xml:space="preserve">2ND FLR</t>
        </is>
      </c>
      <c r="B1104" s="243" t="inlineStr">
        <is>
          <t xml:space="preserve">B</t>
        </is>
      </c>
      <c r="C1104" s="244" t="inlineStr">
        <is>
          <t xml:space="preserve">External walls</t>
        </is>
      </c>
      <c r="I1104" s="245" t="inlineStr">
        <is>
          <t xml:space="preserve">m2</t>
        </is>
      </c>
      <c r="K1104" s="256" t="inlineStr">
        <is>
          <t xml:space="preserve">'2ND FLR'!C139</t>
        </is>
      </c>
    </row>
    <row r="1105">
      <c r="C1105" s="246" t="inlineStr">
        <is>
          <t xml:space="preserve">External perimeter x storey ht</t>
        </is>
      </c>
      <c r="E1105" s="247">
        <v>134.0</v>
      </c>
      <c r="F1105" s="247">
        <v>2.7</v>
      </c>
      <c r="H1105" s="249">
        <f>PRODUCT(D1105:G1105)</f>
        <v>361.8</v>
      </c>
      <c r="J1105" s="253" t="inlineStr">
        <is>
          <t xml:space="preserve">134.0*2.7</t>
        </is>
      </c>
    </row>
    <row r="1106">
      <c r="C1106" s="246" t="inlineStr">
        <is>
          <t xml:space="preserve">Ddt window </t>
        </is>
      </c>
      <c r="H1106" s="247">
        <v>0</v>
      </c>
      <c r="J1106" s="253" t="inlineStr">
        <is>
          <t xml:space="preserve">-0</t>
        </is>
      </c>
    </row>
    <row r="1107">
      <c r="C1107" s="246" t="inlineStr">
        <is>
          <t xml:space="preserve">External perimeter x storey ht</t>
        </is>
      </c>
      <c r="E1107" s="247">
        <v>191.5</v>
      </c>
      <c r="F1107" s="247">
        <v>2.7</v>
      </c>
      <c r="H1107" s="249">
        <f>PRODUCT(D1107:G1107)</f>
        <v>517.0500000000001</v>
      </c>
      <c r="J1107" s="253" t="inlineStr">
        <is>
          <t xml:space="preserve">191.5*2.7</t>
        </is>
      </c>
    </row>
    <row r="1108">
      <c r="C1108" s="246" t="inlineStr">
        <is>
          <t xml:space="preserve">Ddt window </t>
        </is>
      </c>
      <c r="H1108" s="247">
        <v>0</v>
      </c>
      <c r="J1108" s="253" t="inlineStr">
        <is>
          <t xml:space="preserve">-0</t>
        </is>
      </c>
    </row>
    <row r="1109">
      <c r="C1109" s="250" t="inlineStr">
        <is>
          <t xml:space="preserve">Total carried to BOQ  2ND FLR item B</t>
        </is>
      </c>
      <c r="D1109" s="250" t="inlineStr">
        <is>
          <t xml:space="preserve"/>
        </is>
      </c>
      <c r="E1109" s="250" t="inlineStr">
        <is>
          <t xml:space="preserve"/>
        </is>
      </c>
      <c r="F1109" s="250" t="inlineStr">
        <is>
          <t xml:space="preserve"/>
        </is>
      </c>
      <c r="G1109" s="250" t="inlineStr">
        <is>
          <t xml:space="preserve"/>
        </is>
      </c>
      <c r="H1109" s="251">
        <f>SUM(H1105:H1108)</f>
        <v>878.8500000000001</v>
      </c>
      <c r="I1109" s="252" t="inlineStr">
        <is>
          <t xml:space="preserve">m2</t>
        </is>
      </c>
    </row>
    <row r="1110">
      <c r="C1110" s="242" t="inlineStr">
        <is>
          <t xml:space="preserve">ELEMENT NO. 7: PAINTING AND DECORATING</t>
        </is>
      </c>
    </row>
    <row r="1111">
      <c r="C1111" s="242" t="inlineStr">
        <is>
          <t xml:space="preserve">M60 PAINTING - Prepare and apply two undercoats and finishing coat of emulsion paint on:</t>
        </is>
      </c>
    </row>
    <row r="1112">
      <c r="A1112" s="243" t="inlineStr">
        <is>
          <t xml:space="preserve">2ND FLR</t>
        </is>
      </c>
      <c r="B1112" s="243" t="inlineStr">
        <is>
          <t xml:space="preserve">A</t>
        </is>
      </c>
      <c r="C1112" s="244" t="inlineStr">
        <is>
          <t xml:space="preserve">Interior walls</t>
        </is>
      </c>
      <c r="I1112" s="245" t="inlineStr">
        <is>
          <t xml:space="preserve">m2</t>
        </is>
      </c>
      <c r="K1112" s="256" t="inlineStr">
        <is>
          <t xml:space="preserve">'2ND FLR'!C148</t>
        </is>
      </c>
    </row>
    <row r="1113">
      <c r="C1113" s="246" t="inlineStr">
        <is>
          <t xml:space="preserve">block wall faces: 2 x (150 + 200 block runs) x ht</t>
        </is>
      </c>
      <c r="D1113" s="248">
        <v>2</v>
      </c>
      <c r="E1113" s="247">
        <f>144.5+16.7</f>
        <v>161.2</v>
      </c>
      <c r="F1113" s="247">
        <v>2.45</v>
      </c>
      <c r="H1113" s="249">
        <f>PRODUCT(D1113:G1113)</f>
        <v>789.88</v>
      </c>
      <c r="J1113" s="253" t="inlineStr">
        <is>
          <t xml:space="preserve">2*(144.5+16.7)*2.45</t>
        </is>
      </c>
    </row>
    <row r="1114">
      <c r="C1114" s="246" t="inlineStr">
        <is>
          <t xml:space="preserve">RC wall faces: 2 x RC wall run x ht</t>
        </is>
      </c>
      <c r="D1114" s="248">
        <v>2</v>
      </c>
      <c r="E1114" s="247">
        <v>35.1</v>
      </c>
      <c r="F1114" s="247">
        <v>2.45</v>
      </c>
      <c r="H1114" s="249">
        <f>PRODUCT(D1114:G1114)</f>
        <v>171.99</v>
      </c>
      <c r="J1114" s="253" t="inlineStr">
        <is>
          <t xml:space="preserve">2*35.1*2.45</t>
        </is>
      </c>
    </row>
    <row r="1115">
      <c r="C1115" s="246" t="inlineStr">
        <is>
          <t xml:space="preserve">Ddt lift/stair shaft inner faces 16.8 m x ht</t>
        </is>
      </c>
      <c r="E1115" s="247">
        <v>16.8</v>
      </c>
      <c r="F1115" s="247">
        <v>2.45</v>
      </c>
      <c r="H1115" s="249">
        <f>-PRODUCT(D1115:G1115)</f>
        <v>-41.160000000000004</v>
      </c>
      <c r="J1115" s="253" t="inlineStr">
        <is>
          <t xml:space="preserve">-16.8*2.45</t>
        </is>
      </c>
    </row>
    <row r="1116">
      <c r="C1116" s="246" t="inlineStr">
        <is>
          <t xml:space="preserve">Ddt external face of perimeter wall (rendered externally)</t>
        </is>
      </c>
      <c r="E1116" s="247">
        <v>134.0</v>
      </c>
      <c r="F1116" s="247">
        <v>2.45</v>
      </c>
      <c r="H1116" s="249">
        <f>-PRODUCT(D1116:G1116)</f>
        <v>-328.3</v>
      </c>
      <c r="J1116" s="253" t="inlineStr">
        <is>
          <t xml:space="preserve">-134.0*2.45</t>
        </is>
      </c>
    </row>
    <row r="1117">
      <c r="C1117" s="246" t="inlineStr">
        <is>
          <t xml:space="preserve">Ddt opening </t>
        </is>
      </c>
      <c r="H1117" s="247">
        <v>0</v>
      </c>
      <c r="J1117" s="253" t="inlineStr">
        <is>
          <t xml:space="preserve">-0</t>
        </is>
      </c>
    </row>
    <row r="1118">
      <c r="C1118" s="246" t="inlineStr">
        <is>
          <t xml:space="preserve">Ddt opening ED1 (3 nr, 1x2.2) - both faces</t>
        </is>
      </c>
      <c r="D1118" s="248">
        <f>2*3</f>
        <v>6</v>
      </c>
      <c r="E1118" s="247">
        <v>1</v>
      </c>
      <c r="F1118" s="247">
        <v>2.2</v>
      </c>
      <c r="H1118" s="249">
        <f>-PRODUCT(D1118:G1118)</f>
        <v>-13.200000000000001</v>
      </c>
      <c r="J1118" s="253" t="inlineStr">
        <is>
          <t xml:space="preserve">-2*3*1*2.2</t>
        </is>
      </c>
    </row>
    <row r="1119">
      <c r="C1119" s="246" t="inlineStr">
        <is>
          <t xml:space="preserve">Ddt opening </t>
        </is>
      </c>
      <c r="H1119" s="247">
        <v>0</v>
      </c>
      <c r="J1119" s="253" t="inlineStr">
        <is>
          <t xml:space="preserve">-0</t>
        </is>
      </c>
    </row>
    <row r="1120">
      <c r="C1120" s="246" t="inlineStr">
        <is>
          <t xml:space="preserve">block wall faces: 2 x (150 + 200 block runs) x ht</t>
        </is>
      </c>
      <c r="D1120" s="248">
        <v>2</v>
      </c>
      <c r="E1120" s="247">
        <f>127.5+31.6</f>
        <v>159.1</v>
      </c>
      <c r="F1120" s="247">
        <v>2.45</v>
      </c>
      <c r="H1120" s="249">
        <f>PRODUCT(D1120:G1120)</f>
        <v>779.59</v>
      </c>
      <c r="J1120" s="253" t="inlineStr">
        <is>
          <t xml:space="preserve">2*(127.5+31.6)*2.45</t>
        </is>
      </c>
    </row>
    <row r="1121">
      <c r="C1121" s="246" t="inlineStr">
        <is>
          <t xml:space="preserve">RC wall faces: 2 x RC wall run x ht</t>
        </is>
      </c>
      <c r="D1121" s="248">
        <v>2</v>
      </c>
      <c r="E1121" s="247">
        <v>42.8</v>
      </c>
      <c r="F1121" s="247">
        <v>2.45</v>
      </c>
      <c r="H1121" s="249">
        <f>PRODUCT(D1121:G1121)</f>
        <v>209.72</v>
      </c>
      <c r="J1121" s="253" t="inlineStr">
        <is>
          <t xml:space="preserve">2*42.8*2.45</t>
        </is>
      </c>
    </row>
    <row r="1122">
      <c r="C1122" s="246" t="inlineStr">
        <is>
          <t xml:space="preserve">Ddt lift/stair shaft inner faces 16.8 m x ht</t>
        </is>
      </c>
      <c r="E1122" s="247">
        <v>16.8</v>
      </c>
      <c r="F1122" s="247">
        <v>2.45</v>
      </c>
      <c r="H1122" s="249">
        <f>-PRODUCT(D1122:G1122)</f>
        <v>-41.160000000000004</v>
      </c>
      <c r="J1122" s="253" t="inlineStr">
        <is>
          <t xml:space="preserve">-16.8*2.45</t>
        </is>
      </c>
    </row>
    <row r="1123">
      <c r="C1123" s="246" t="inlineStr">
        <is>
          <t xml:space="preserve">Ddt external face of perimeter wall (rendered externally)</t>
        </is>
      </c>
      <c r="E1123" s="247">
        <v>191.5</v>
      </c>
      <c r="F1123" s="247">
        <v>2.45</v>
      </c>
      <c r="H1123" s="249">
        <f>-PRODUCT(D1123:G1123)</f>
        <v>-469.175</v>
      </c>
      <c r="J1123" s="253" t="inlineStr">
        <is>
          <t xml:space="preserve">-191.5*2.45</t>
        </is>
      </c>
    </row>
    <row r="1124">
      <c r="C1124" s="246" t="inlineStr">
        <is>
          <t xml:space="preserve">Ddt opening </t>
        </is>
      </c>
      <c r="H1124" s="247">
        <v>0</v>
      </c>
      <c r="J1124" s="253" t="inlineStr">
        <is>
          <t xml:space="preserve">-0</t>
        </is>
      </c>
    </row>
    <row r="1125">
      <c r="C1125" s="246" t="inlineStr">
        <is>
          <t xml:space="preserve">Ddt opening ED1 (3 nr, 1x2.2) - both faces</t>
        </is>
      </c>
      <c r="D1125" s="248">
        <f>2*3</f>
        <v>6</v>
      </c>
      <c r="E1125" s="247">
        <v>1</v>
      </c>
      <c r="F1125" s="247">
        <v>2.2</v>
      </c>
      <c r="H1125" s="249">
        <f>-PRODUCT(D1125:G1125)</f>
        <v>-13.200000000000001</v>
      </c>
      <c r="J1125" s="253" t="inlineStr">
        <is>
          <t xml:space="preserve">-2*3*1*2.2</t>
        </is>
      </c>
    </row>
    <row r="1126">
      <c r="C1126" s="246" t="inlineStr">
        <is>
          <t xml:space="preserve">Ddt opening </t>
        </is>
      </c>
      <c r="H1126" s="247">
        <v>0</v>
      </c>
      <c r="J1126" s="253" t="inlineStr">
        <is>
          <t xml:space="preserve">-0</t>
        </is>
      </c>
    </row>
    <row r="1127">
      <c r="C1127" s="250" t="inlineStr">
        <is>
          <t xml:space="preserve">Total carried to BOQ  2ND FLR item A</t>
        </is>
      </c>
      <c r="D1127" s="250" t="inlineStr">
        <is>
          <t xml:space="preserve"/>
        </is>
      </c>
      <c r="E1127" s="250" t="inlineStr">
        <is>
          <t xml:space="preserve"/>
        </is>
      </c>
      <c r="F1127" s="250" t="inlineStr">
        <is>
          <t xml:space="preserve"/>
        </is>
      </c>
      <c r="G1127" s="250" t="inlineStr">
        <is>
          <t xml:space="preserve"/>
        </is>
      </c>
      <c r="H1127" s="251">
        <f>SUM(H1113:H1126)</f>
        <v>1044.9850000000001</v>
      </c>
      <c r="I1127" s="252" t="inlineStr">
        <is>
          <t xml:space="preserve">m2</t>
        </is>
      </c>
    </row>
    <row r="1128">
      <c r="A1128" s="243" t="inlineStr">
        <is>
          <t xml:space="preserve">2ND FLR</t>
        </is>
      </c>
      <c r="B1128" s="243" t="inlineStr">
        <is>
          <t xml:space="preserve">B</t>
        </is>
      </c>
      <c r="C1128" s="244" t="inlineStr">
        <is>
          <t xml:space="preserve">Exterior walls</t>
        </is>
      </c>
      <c r="I1128" s="245" t="inlineStr">
        <is>
          <t xml:space="preserve">m2</t>
        </is>
      </c>
      <c r="K1128" s="256" t="inlineStr">
        <is>
          <t xml:space="preserve">'2ND FLR'!C150</t>
        </is>
      </c>
    </row>
    <row r="1129">
      <c r="C1129" s="246" t="inlineStr">
        <is>
          <t xml:space="preserve">External perimeter x storey ht</t>
        </is>
      </c>
      <c r="E1129" s="247">
        <v>134.0</v>
      </c>
      <c r="F1129" s="247">
        <v>2.7</v>
      </c>
      <c r="H1129" s="249">
        <f>PRODUCT(D1129:G1129)</f>
        <v>361.8</v>
      </c>
      <c r="J1129" s="253" t="inlineStr">
        <is>
          <t xml:space="preserve">134.0*2.7</t>
        </is>
      </c>
    </row>
    <row r="1130">
      <c r="C1130" s="246" t="inlineStr">
        <is>
          <t xml:space="preserve">Ddt window </t>
        </is>
      </c>
      <c r="H1130" s="247">
        <v>0</v>
      </c>
      <c r="J1130" s="253" t="inlineStr">
        <is>
          <t xml:space="preserve">-0</t>
        </is>
      </c>
    </row>
    <row r="1131">
      <c r="C1131" s="246" t="inlineStr">
        <is>
          <t xml:space="preserve">External perimeter x storey ht</t>
        </is>
      </c>
      <c r="E1131" s="247">
        <v>191.5</v>
      </c>
      <c r="F1131" s="247">
        <v>2.7</v>
      </c>
      <c r="H1131" s="249">
        <f>PRODUCT(D1131:G1131)</f>
        <v>517.0500000000001</v>
      </c>
      <c r="J1131" s="253" t="inlineStr">
        <is>
          <t xml:space="preserve">191.5*2.7</t>
        </is>
      </c>
    </row>
    <row r="1132">
      <c r="C1132" s="246" t="inlineStr">
        <is>
          <t xml:space="preserve">Ddt window </t>
        </is>
      </c>
      <c r="H1132" s="247">
        <v>0</v>
      </c>
      <c r="J1132" s="253" t="inlineStr">
        <is>
          <t xml:space="preserve">-0</t>
        </is>
      </c>
    </row>
    <row r="1133">
      <c r="C1133" s="250" t="inlineStr">
        <is>
          <t xml:space="preserve">Total carried to BOQ  2ND FLR item B</t>
        </is>
      </c>
      <c r="D1133" s="250" t="inlineStr">
        <is>
          <t xml:space="preserve"/>
        </is>
      </c>
      <c r="E1133" s="250" t="inlineStr">
        <is>
          <t xml:space="preserve"/>
        </is>
      </c>
      <c r="F1133" s="250" t="inlineStr">
        <is>
          <t xml:space="preserve"/>
        </is>
      </c>
      <c r="G1133" s="250" t="inlineStr">
        <is>
          <t xml:space="preserve"/>
        </is>
      </c>
      <c r="H1133" s="251">
        <f>SUM(H1129:H1132)</f>
        <v>878.8500000000001</v>
      </c>
      <c r="I1133" s="252" t="inlineStr">
        <is>
          <t xml:space="preserve">m2</t>
        </is>
      </c>
    </row>
    <row r="1134" ht="32.2" customHeight="1">
      <c r="A1134" s="243" t="inlineStr">
        <is>
          <t xml:space="preserve">2ND FLR</t>
        </is>
      </c>
      <c r="B1134" s="243" t="inlineStr">
        <is>
          <t xml:space="preserve">C</t>
        </is>
      </c>
      <c r="C1134" s="244" t="inlineStr">
        <is>
          <t xml:space="preserve">Columns and walls; girth exceeding 300mm (exposed faces, ground &amp; parking levels)</t>
        </is>
      </c>
      <c r="I1134" s="245" t="inlineStr">
        <is>
          <t xml:space="preserve">m2</t>
        </is>
      </c>
      <c r="K1134" s="256" t="inlineStr">
        <is>
          <t xml:space="preserve">'2ND FLR'!C152</t>
        </is>
      </c>
    </row>
    <row r="1135">
      <c r="C1135" s="246" t="inlineStr">
        <is>
          <t xml:space="preserve">COL-01A x5 - column faces (2nd to Mezz), ht 3.8</t>
        </is>
      </c>
      <c r="D1135" s="248">
        <v>5</v>
      </c>
      <c r="E1135" s="247">
        <f>2*(0.75+0.5)</f>
        <v>2.5</v>
      </c>
      <c r="F1135" s="247">
        <v>3.8</v>
      </c>
      <c r="H1135" s="249">
        <f>PRODUCT(D1135:G1135)</f>
        <v>47.5</v>
      </c>
      <c r="J1135" s="253" t="inlineStr">
        <is>
          <t xml:space="preserve">5*2*(0.75+0.5)*3.8</t>
        </is>
      </c>
    </row>
    <row r="1136">
      <c r="C1136" s="246" t="inlineStr">
        <is>
          <t xml:space="preserve">COL-01B x1 - column faces (2nd to Mezz), ht 3.8</t>
        </is>
      </c>
      <c r="D1136" s="248">
        <v>1</v>
      </c>
      <c r="E1136" s="247">
        <f>2*(0.75+0.5)</f>
        <v>2.5</v>
      </c>
      <c r="F1136" s="247">
        <v>3.8</v>
      </c>
      <c r="H1136" s="249">
        <f>PRODUCT(D1136:G1136)</f>
        <v>9.5</v>
      </c>
      <c r="J1136" s="253" t="inlineStr">
        <is>
          <t xml:space="preserve">1*2*(0.75+0.5)*3.8</t>
        </is>
      </c>
    </row>
    <row r="1137">
      <c r="C1137" s="246" t="inlineStr">
        <is>
          <t xml:space="preserve">COL-01C x2 - column faces (2nd to Mezz), ht 3.8</t>
        </is>
      </c>
      <c r="D1137" s="248">
        <v>2</v>
      </c>
      <c r="E1137" s="247">
        <f>2*(0.75+0.5)</f>
        <v>2.5</v>
      </c>
      <c r="F1137" s="247">
        <v>3.8</v>
      </c>
      <c r="H1137" s="249">
        <f>PRODUCT(D1137:G1137)</f>
        <v>19.0</v>
      </c>
      <c r="J1137" s="253" t="inlineStr">
        <is>
          <t xml:space="preserve">2*2*(0.75+0.5)*3.8</t>
        </is>
      </c>
    </row>
    <row r="1138">
      <c r="C1138" s="246" t="inlineStr">
        <is>
          <t xml:space="preserve">COL-01D x1 - column faces (Mezz to 3rd), ht 2.75</t>
        </is>
      </c>
      <c r="D1138" s="248">
        <v>1</v>
      </c>
      <c r="E1138" s="247">
        <f>2*(0.75+0.5)</f>
        <v>2.5</v>
      </c>
      <c r="F1138" s="247">
        <v>2.75</v>
      </c>
      <c r="H1138" s="249">
        <f>PRODUCT(D1138:G1138)</f>
        <v>6.875</v>
      </c>
      <c r="J1138" s="253" t="inlineStr">
        <is>
          <t xml:space="preserve">1*2*(0.75+0.5)*2.75</t>
        </is>
      </c>
    </row>
    <row r="1139">
      <c r="C1139" s="246" t="inlineStr">
        <is>
          <t xml:space="preserve">COL-02A x3 - column faces (2nd to Mezz), ht 3.8</t>
        </is>
      </c>
      <c r="D1139" s="248">
        <v>3</v>
      </c>
      <c r="E1139" s="247">
        <f>2*(1.2+0.3)</f>
        <v>3.0</v>
      </c>
      <c r="F1139" s="247">
        <v>3.8</v>
      </c>
      <c r="H1139" s="249">
        <f>PRODUCT(D1139:G1139)</f>
        <v>34.199999999999996</v>
      </c>
      <c r="J1139" s="253" t="inlineStr">
        <is>
          <t xml:space="preserve">3*2*(1.2+0.3)*3.8</t>
        </is>
      </c>
    </row>
    <row r="1140">
      <c r="C1140" s="246" t="inlineStr">
        <is>
          <t xml:space="preserve">COL-02B x6 - column faces (2nd to Mezz), ht 3.8</t>
        </is>
      </c>
      <c r="D1140" s="248">
        <v>6</v>
      </c>
      <c r="E1140" s="247">
        <f>2*(1.2+0.3)</f>
        <v>3.0</v>
      </c>
      <c r="F1140" s="247">
        <v>3.8</v>
      </c>
      <c r="H1140" s="249">
        <f>PRODUCT(D1140:G1140)</f>
        <v>68.39999999999999</v>
      </c>
      <c r="J1140" s="253" t="inlineStr">
        <is>
          <t xml:space="preserve">6*2*(1.2+0.3)*3.8</t>
        </is>
      </c>
    </row>
    <row r="1141">
      <c r="C1141" s="246" t="inlineStr">
        <is>
          <t xml:space="preserve">COL-02C x1 - column faces (2nd to Mezz), ht 3.8</t>
        </is>
      </c>
      <c r="D1141" s="248">
        <v>1</v>
      </c>
      <c r="E1141" s="247">
        <f>2*(1.2+0.3)</f>
        <v>3.0</v>
      </c>
      <c r="F1141" s="247">
        <v>3.8</v>
      </c>
      <c r="H1141" s="249">
        <f>PRODUCT(D1141:G1141)</f>
        <v>11.399999999999999</v>
      </c>
      <c r="J1141" s="253" t="inlineStr">
        <is>
          <t xml:space="preserve">1*2*(1.2+0.3)*3.8</t>
        </is>
      </c>
    </row>
    <row r="1142">
      <c r="C1142" s="246" t="inlineStr">
        <is>
          <t xml:space="preserve">COL-02D x15 - column faces (Mezz to 3rd), ht 2.75</t>
        </is>
      </c>
      <c r="D1142" s="248">
        <v>15</v>
      </c>
      <c r="E1142" s="247">
        <f>2*(1.2+0.3)</f>
        <v>3.0</v>
      </c>
      <c r="F1142" s="247">
        <v>2.75</v>
      </c>
      <c r="H1142" s="249">
        <f>PRODUCT(D1142:G1142)</f>
        <v>123.75</v>
      </c>
      <c r="J1142" s="253" t="inlineStr">
        <is>
          <t xml:space="preserve">15*2*(1.2+0.3)*2.75</t>
        </is>
      </c>
    </row>
    <row r="1143">
      <c r="C1143" s="246" t="inlineStr">
        <is>
          <t xml:space="preserve">SWC-01A x1 - column faces (2nd to Mezz), ht 3.8</t>
        </is>
      </c>
      <c r="D1143" s="248">
        <v>1</v>
      </c>
      <c r="E1143" s="247">
        <f>2*(2.85+1.075)</f>
        <v>7.85</v>
      </c>
      <c r="F1143" s="247">
        <v>3.8</v>
      </c>
      <c r="H1143" s="249">
        <f>PRODUCT(D1143:G1143)</f>
        <v>29.83</v>
      </c>
      <c r="J1143" s="253" t="inlineStr">
        <is>
          <t xml:space="preserve">1*2*(2.85+1.075)*3.8</t>
        </is>
      </c>
    </row>
    <row r="1144">
      <c r="C1144" s="250" t="inlineStr">
        <is>
          <t xml:space="preserve">Total carried to BOQ  2ND FLR item C</t>
        </is>
      </c>
      <c r="D1144" s="250" t="inlineStr">
        <is>
          <t xml:space="preserve"/>
        </is>
      </c>
      <c r="E1144" s="250" t="inlineStr">
        <is>
          <t xml:space="preserve"/>
        </is>
      </c>
      <c r="F1144" s="250" t="inlineStr">
        <is>
          <t xml:space="preserve"/>
        </is>
      </c>
      <c r="G1144" s="250" t="inlineStr">
        <is>
          <t xml:space="preserve"/>
        </is>
      </c>
      <c r="H1144" s="251">
        <f>SUM(H1135:H1143)</f>
        <v>350.455</v>
      </c>
      <c r="I1144" s="252" t="inlineStr">
        <is>
          <t xml:space="preserve">m2</t>
        </is>
      </c>
    </row>
    <row r="1145">
      <c r="A1145" s="243" t="inlineStr">
        <is>
          <t xml:space="preserve">2ND FLR</t>
        </is>
      </c>
      <c r="B1145" s="243" t="inlineStr">
        <is>
          <t xml:space="preserve">D</t>
        </is>
      </c>
      <c r="C1145" s="244" t="inlineStr">
        <is>
          <t xml:space="preserve">Soffit of plaster board ceilings</t>
        </is>
      </c>
      <c r="I1145" s="245" t="inlineStr">
        <is>
          <t xml:space="preserve">m2</t>
        </is>
      </c>
      <c r="K1145" s="256" t="inlineStr">
        <is>
          <t xml:space="preserve">'2ND FLR'!C154</t>
        </is>
      </c>
    </row>
    <row r="1146">
      <c r="C1146" s="246" t="inlineStr">
        <is>
          <t xml:space="preserve">Second floor (3A) - Ceiling areas (measured)</t>
        </is>
      </c>
      <c r="H1146" s="247">
        <v>3.3</v>
      </c>
      <c r="J1146" s="253" t="inlineStr">
        <is>
          <t xml:space="preserve">3.3</t>
        </is>
      </c>
    </row>
    <row r="1147">
      <c r="C1147" s="250" t="inlineStr">
        <is>
          <t xml:space="preserve">Total carried to BOQ  2ND FLR item D</t>
        </is>
      </c>
      <c r="D1147" s="250" t="inlineStr">
        <is>
          <t xml:space="preserve"/>
        </is>
      </c>
      <c r="E1147" s="250" t="inlineStr">
        <is>
          <t xml:space="preserve"/>
        </is>
      </c>
      <c r="F1147" s="250" t="inlineStr">
        <is>
          <t xml:space="preserve"/>
        </is>
      </c>
      <c r="G1147" s="250" t="inlineStr">
        <is>
          <t xml:space="preserve"/>
        </is>
      </c>
      <c r="H1147" s="251">
        <f>SUM(H1146:H1146)</f>
        <v>3.3</v>
      </c>
      <c r="I1147" s="252" t="inlineStr">
        <is>
          <t xml:space="preserve">m2</t>
        </is>
      </c>
    </row>
    <row r="1148">
      <c r="C1148" s="242" t="inlineStr">
        <is>
          <t xml:space="preserve">Doors and windows: schedules ARCH-501/502 give building totals only (no tags on plans); quantities are allocated to floors pro-rata to measured habitable / washroom areas. Building totals equal the schedules.</t>
        </is>
      </c>
    </row>
    <row r="1149"/>
    <row r="1150" ht="21" customHeight="1">
      <c r="A1150" s="241" t="inlineStr">
        <is>
          <t xml:space="preserve">BILL NR. 6 - THIRD FLOOR  -  THIRD FLOOR</t>
        </is>
      </c>
      <c r="B1150" s="241" t="inlineStr">
        <is>
          <t xml:space="preserve"/>
        </is>
      </c>
      <c r="C1150" s="241" t="inlineStr">
        <is>
          <t xml:space="preserve"/>
        </is>
      </c>
      <c r="D1150" s="241" t="inlineStr">
        <is>
          <t xml:space="preserve"/>
        </is>
      </c>
      <c r="E1150" s="241" t="inlineStr">
        <is>
          <t xml:space="preserve"/>
        </is>
      </c>
      <c r="F1150" s="241" t="inlineStr">
        <is>
          <t xml:space="preserve"/>
        </is>
      </c>
      <c r="G1150" s="241" t="inlineStr">
        <is>
          <t xml:space="preserve"/>
        </is>
      </c>
      <c r="H1150" s="241" t="inlineStr">
        <is>
          <t xml:space="preserve"/>
        </is>
      </c>
      <c r="I1150" s="241" t="inlineStr">
        <is>
          <t xml:space="preserve"/>
        </is>
      </c>
      <c r="J1150" s="241" t="inlineStr">
        <is>
          <t xml:space="preserve"/>
        </is>
      </c>
      <c r="K1150" s="241" t="inlineStr">
        <is>
          <t xml:space="preserve"/>
        </is>
      </c>
    </row>
    <row r="1151">
      <c r="C1151" s="242" t="inlineStr">
        <is>
          <t xml:space="preserve">ELEMENT NO. 1: IN SITU CONCRETE/LARGE PRECAST CONCRETE</t>
        </is>
      </c>
    </row>
    <row r="1152">
      <c r="C1152" s="242" t="inlineStr">
        <is>
          <t xml:space="preserve">Vibrated in-situ concrete C40 as described in:</t>
        </is>
      </c>
    </row>
    <row r="1153">
      <c r="A1153" s="243" t="inlineStr">
        <is>
          <t xml:space="preserve">3RD FLR</t>
        </is>
      </c>
      <c r="B1153" s="243" t="inlineStr">
        <is>
          <t xml:space="preserve">A</t>
        </is>
      </c>
      <c r="C1153" s="244" t="inlineStr">
        <is>
          <t xml:space="preserve">Suspended slab 250mm thick</t>
        </is>
      </c>
      <c r="I1153" s="245" t="inlineStr">
        <is>
          <t xml:space="preserve">m3</t>
        </is>
      </c>
      <c r="K1153" s="256" t="inlineStr">
        <is>
          <t xml:space="preserve">'3RD FLR'!C34</t>
        </is>
      </c>
    </row>
    <row r="1154">
      <c r="C1154" s="246" t="inlineStr">
        <is>
          <t xml:space="preserve">Third floor (+10900) - Suspended slab: measured area x 250 thk</t>
        </is>
      </c>
      <c r="E1154" s="247">
        <v>1273.9</v>
      </c>
      <c r="F1154" s="247">
        <v>0.25</v>
      </c>
      <c r="H1154" s="249">
        <f>PRODUCT(D1154:G1154)</f>
        <v>318.475</v>
      </c>
      <c r="J1154" s="253" t="inlineStr">
        <is>
          <t xml:space="preserve">1273.9*0.25</t>
        </is>
      </c>
    </row>
    <row r="1155">
      <c r="C1155" s="250" t="inlineStr">
        <is>
          <t xml:space="preserve">Total carried to BOQ  3RD FLR item A</t>
        </is>
      </c>
      <c r="D1155" s="250" t="inlineStr">
        <is>
          <t xml:space="preserve"/>
        </is>
      </c>
      <c r="E1155" s="250" t="inlineStr">
        <is>
          <t xml:space="preserve"/>
        </is>
      </c>
      <c r="F1155" s="250" t="inlineStr">
        <is>
          <t xml:space="preserve"/>
        </is>
      </c>
      <c r="G1155" s="250" t="inlineStr">
        <is>
          <t xml:space="preserve"/>
        </is>
      </c>
      <c r="H1155" s="251">
        <f>SUM(H1154:H1154)</f>
        <v>318.475</v>
      </c>
      <c r="I1155" s="252" t="inlineStr">
        <is>
          <t xml:space="preserve">m3</t>
        </is>
      </c>
    </row>
    <row r="1156">
      <c r="A1156" s="243" t="inlineStr">
        <is>
          <t xml:space="preserve">3RD FLR</t>
        </is>
      </c>
      <c r="B1156" s="243" t="inlineStr">
        <is>
          <t xml:space="preserve">B</t>
        </is>
      </c>
      <c r="C1156" s="244" t="inlineStr">
        <is>
          <t xml:space="preserve">Beams (downstands below slab)</t>
        </is>
      </c>
      <c r="I1156" s="245" t="inlineStr">
        <is>
          <t xml:space="preserve">m3</t>
        </is>
      </c>
      <c r="K1156" s="256" t="inlineStr">
        <is>
          <t xml:space="preserve">'3RD FLR'!C36</t>
        </is>
      </c>
    </row>
    <row r="1157">
      <c r="C1157" s="246" t="inlineStr">
        <is>
          <t xml:space="preserve">Third floor (+10900) - 300 wide beams: length x width x depth</t>
        </is>
      </c>
      <c r="E1157" s="247">
        <v>97.4</v>
      </c>
      <c r="F1157" s="247">
        <v>0.3</v>
      </c>
      <c r="G1157" s="247">
        <v>0.35</v>
      </c>
      <c r="H1157" s="249">
        <f>PRODUCT(D1157:G1157)</f>
        <v>10.226999999999999</v>
      </c>
      <c r="J1157" s="253" t="inlineStr">
        <is>
          <t xml:space="preserve">97.4*0.3*0.35</t>
        </is>
      </c>
    </row>
    <row r="1158">
      <c r="C1158" s="246" t="inlineStr">
        <is>
          <t xml:space="preserve">Third floor (+10900) - 200 wide beams: length x width x depth</t>
        </is>
      </c>
      <c r="E1158" s="247">
        <v>33.1</v>
      </c>
      <c r="F1158" s="247">
        <v>0.2</v>
      </c>
      <c r="G1158" s="247">
        <v>0.35</v>
      </c>
      <c r="H1158" s="249">
        <f>PRODUCT(D1158:G1158)</f>
        <v>2.317</v>
      </c>
      <c r="J1158" s="253" t="inlineStr">
        <is>
          <t xml:space="preserve">33.1*0.2*0.35</t>
        </is>
      </c>
    </row>
    <row r="1159">
      <c r="C1159" s="250" t="inlineStr">
        <is>
          <t xml:space="preserve">Total carried to BOQ  3RD FLR item B</t>
        </is>
      </c>
      <c r="D1159" s="250" t="inlineStr">
        <is>
          <t xml:space="preserve"/>
        </is>
      </c>
      <c r="E1159" s="250" t="inlineStr">
        <is>
          <t xml:space="preserve"/>
        </is>
      </c>
      <c r="F1159" s="250" t="inlineStr">
        <is>
          <t xml:space="preserve"/>
        </is>
      </c>
      <c r="G1159" s="250" t="inlineStr">
        <is>
          <t xml:space="preserve"/>
        </is>
      </c>
      <c r="H1159" s="251">
        <f>SUM(H1157:H1158)</f>
        <v>12.543999999999999</v>
      </c>
      <c r="I1159" s="252" t="inlineStr">
        <is>
          <t xml:space="preserve">m3</t>
        </is>
      </c>
    </row>
    <row r="1160">
      <c r="A1160" s="243" t="inlineStr">
        <is>
          <t xml:space="preserve">3RD FLR</t>
        </is>
      </c>
      <c r="B1160" s="243" t="inlineStr">
        <is>
          <t xml:space="preserve">C</t>
        </is>
      </c>
      <c r="C1160" s="244" t="inlineStr">
        <is>
          <t xml:space="preserve">Columns</t>
        </is>
      </c>
      <c r="I1160" s="245" t="inlineStr">
        <is>
          <t xml:space="preserve">m3</t>
        </is>
      </c>
      <c r="K1160" s="256" t="inlineStr">
        <is>
          <t xml:space="preserve">'3RD FLR'!C38</t>
        </is>
      </c>
    </row>
    <row r="1161">
      <c r="C1161" s="246" t="inlineStr">
        <is>
          <t xml:space="preserve">COL-01A x5 - column (3rd to 4th), ht 3.05</t>
        </is>
      </c>
      <c r="D1161" s="248">
        <v>5</v>
      </c>
      <c r="E1161" s="247">
        <v>0.75</v>
      </c>
      <c r="F1161" s="247">
        <v>0.5</v>
      </c>
      <c r="G1161" s="247">
        <v>3.05</v>
      </c>
      <c r="H1161" s="249">
        <f>PRODUCT(D1161:G1161)</f>
        <v>5.71875</v>
      </c>
      <c r="J1161" s="253" t="inlineStr">
        <is>
          <t xml:space="preserve">5*0.75*0.5*3.05</t>
        </is>
      </c>
    </row>
    <row r="1162">
      <c r="C1162" s="246" t="inlineStr">
        <is>
          <t xml:space="preserve">COL-01B x1 - column (3rd to 4th), ht 3.05</t>
        </is>
      </c>
      <c r="D1162" s="248">
        <v>1</v>
      </c>
      <c r="E1162" s="247">
        <v>0.75</v>
      </c>
      <c r="F1162" s="247">
        <v>0.5</v>
      </c>
      <c r="G1162" s="247">
        <v>3.05</v>
      </c>
      <c r="H1162" s="249">
        <f>PRODUCT(D1162:G1162)</f>
        <v>1.1437499999999998</v>
      </c>
      <c r="J1162" s="253" t="inlineStr">
        <is>
          <t xml:space="preserve">1*0.75*0.5*3.05</t>
        </is>
      </c>
    </row>
    <row r="1163">
      <c r="C1163" s="246" t="inlineStr">
        <is>
          <t xml:space="preserve">COL-01C x2 - column (3rd to 4th), ht 3.05</t>
        </is>
      </c>
      <c r="D1163" s="248">
        <v>2</v>
      </c>
      <c r="E1163" s="247">
        <v>0.75</v>
      </c>
      <c r="F1163" s="247">
        <v>0.5</v>
      </c>
      <c r="G1163" s="247">
        <v>3.05</v>
      </c>
      <c r="H1163" s="249">
        <f>PRODUCT(D1163:G1163)</f>
        <v>2.2874999999999996</v>
      </c>
      <c r="J1163" s="253" t="inlineStr">
        <is>
          <t xml:space="preserve">2*0.75*0.5*3.05</t>
        </is>
      </c>
    </row>
    <row r="1164">
      <c r="C1164" s="246" t="inlineStr">
        <is>
          <t xml:space="preserve">COL-01D x1 - column (3rd to 4th), ht 3.05</t>
        </is>
      </c>
      <c r="D1164" s="248">
        <v>1</v>
      </c>
      <c r="E1164" s="247">
        <v>0.75</v>
      </c>
      <c r="F1164" s="247">
        <v>0.5</v>
      </c>
      <c r="G1164" s="247">
        <v>3.05</v>
      </c>
      <c r="H1164" s="249">
        <f>PRODUCT(D1164:G1164)</f>
        <v>1.1437499999999998</v>
      </c>
      <c r="J1164" s="253" t="inlineStr">
        <is>
          <t xml:space="preserve">1*0.75*0.5*3.05</t>
        </is>
      </c>
    </row>
    <row r="1165">
      <c r="C1165" s="246" t="inlineStr">
        <is>
          <t xml:space="preserve">COL-02A x3 - column (3rd to 4th), ht 3.05</t>
        </is>
      </c>
      <c r="D1165" s="248">
        <v>3</v>
      </c>
      <c r="E1165" s="247">
        <v>1.2</v>
      </c>
      <c r="F1165" s="247">
        <v>0.3</v>
      </c>
      <c r="G1165" s="247">
        <v>3.05</v>
      </c>
      <c r="H1165" s="249">
        <f>PRODUCT(D1165:G1165)</f>
        <v>3.293999999999999</v>
      </c>
      <c r="J1165" s="253" t="inlineStr">
        <is>
          <t xml:space="preserve">3*1.2*0.3*3.05</t>
        </is>
      </c>
    </row>
    <row r="1166">
      <c r="C1166" s="246" t="inlineStr">
        <is>
          <t xml:space="preserve">COL-02B x6 - column (3rd to 4th), ht 3.05</t>
        </is>
      </c>
      <c r="D1166" s="248">
        <v>6</v>
      </c>
      <c r="E1166" s="247">
        <v>1.2</v>
      </c>
      <c r="F1166" s="247">
        <v>0.3</v>
      </c>
      <c r="G1166" s="247">
        <v>3.05</v>
      </c>
      <c r="H1166" s="249">
        <f>PRODUCT(D1166:G1166)</f>
        <v>6.587999999999998</v>
      </c>
      <c r="J1166" s="253" t="inlineStr">
        <is>
          <t xml:space="preserve">6*1.2*0.3*3.05</t>
        </is>
      </c>
    </row>
    <row r="1167">
      <c r="C1167" s="246" t="inlineStr">
        <is>
          <t xml:space="preserve">COL-02C x1 - column (3rd to 4th), ht 3.05</t>
        </is>
      </c>
      <c r="D1167" s="248">
        <v>1</v>
      </c>
      <c r="E1167" s="247">
        <v>1.2</v>
      </c>
      <c r="F1167" s="247">
        <v>0.3</v>
      </c>
      <c r="G1167" s="247">
        <v>3.05</v>
      </c>
      <c r="H1167" s="249">
        <f>PRODUCT(D1167:G1167)</f>
        <v>1.0979999999999999</v>
      </c>
      <c r="J1167" s="253" t="inlineStr">
        <is>
          <t xml:space="preserve">1*1.2*0.3*3.05</t>
        </is>
      </c>
    </row>
    <row r="1168">
      <c r="C1168" s="246" t="inlineStr">
        <is>
          <t xml:space="preserve">COL-02D x15 - column (3rd to 4th), ht 3.05</t>
        </is>
      </c>
      <c r="D1168" s="248">
        <v>15</v>
      </c>
      <c r="E1168" s="247">
        <v>1.2</v>
      </c>
      <c r="F1168" s="247">
        <v>0.3</v>
      </c>
      <c r="G1168" s="247">
        <v>3.05</v>
      </c>
      <c r="H1168" s="249">
        <f>PRODUCT(D1168:G1168)</f>
        <v>16.47</v>
      </c>
      <c r="J1168" s="253" t="inlineStr">
        <is>
          <t xml:space="preserve">15*1.2*0.3*3.05</t>
        </is>
      </c>
    </row>
    <row r="1169">
      <c r="C1169" s="246" t="inlineStr">
        <is>
          <t xml:space="preserve">SWC-01A x1 - column (3rd to 4th), ht 3.05</t>
        </is>
      </c>
      <c r="D1169" s="248">
        <v>1</v>
      </c>
      <c r="E1169" s="247">
        <f>2.85*0.25+0.825*0.25</f>
        <v>0.91875</v>
      </c>
      <c r="F1169" s="247">
        <v>3.05</v>
      </c>
      <c r="H1169" s="249">
        <f>PRODUCT(D1169:G1169)</f>
        <v>2.8021874999999996</v>
      </c>
      <c r="J1169" s="253" t="inlineStr">
        <is>
          <t xml:space="preserve">1*(2.85*0.25+0.825*0.25)*3.05</t>
        </is>
      </c>
    </row>
    <row r="1170">
      <c r="C1170" s="250" t="inlineStr">
        <is>
          <t xml:space="preserve">Total carried to BOQ  3RD FLR item C</t>
        </is>
      </c>
      <c r="D1170" s="250" t="inlineStr">
        <is>
          <t xml:space="preserve"/>
        </is>
      </c>
      <c r="E1170" s="250" t="inlineStr">
        <is>
          <t xml:space="preserve"/>
        </is>
      </c>
      <c r="F1170" s="250" t="inlineStr">
        <is>
          <t xml:space="preserve"/>
        </is>
      </c>
      <c r="G1170" s="250" t="inlineStr">
        <is>
          <t xml:space="preserve"/>
        </is>
      </c>
      <c r="H1170" s="251">
        <f>SUM(H1161:H1169)</f>
        <v>40.545937499999994</v>
      </c>
      <c r="I1170" s="252" t="inlineStr">
        <is>
          <t xml:space="preserve">m3</t>
        </is>
      </c>
    </row>
    <row r="1171">
      <c r="A1171" s="243" t="inlineStr">
        <is>
          <t xml:space="preserve">3RD FLR</t>
        </is>
      </c>
      <c r="B1171" s="243" t="inlineStr">
        <is>
          <t xml:space="preserve">D</t>
        </is>
      </c>
      <c r="C1171" s="244" t="inlineStr">
        <is>
          <t xml:space="preserve">Concrete wall - shear walls to main &amp; emergency stair cores, 250mm thick</t>
        </is>
      </c>
      <c r="I1171" s="245" t="inlineStr">
        <is>
          <t xml:space="preserve">m3</t>
        </is>
      </c>
      <c r="K1171" s="256" t="inlineStr">
        <is>
          <t xml:space="preserve">'3RD FLR'!C40</t>
        </is>
      </c>
    </row>
    <row r="1172">
      <c r="C1172" s="246" t="inlineStr">
        <is>
          <t xml:space="preserve">Third floor (+10900) - main stair core walls (22.05 m run): run x ht x 250 thk</t>
        </is>
      </c>
      <c r="E1172" s="247">
        <v>22.05</v>
      </c>
      <c r="F1172" s="247">
        <v>3.05</v>
      </c>
      <c r="G1172" s="247">
        <v>0.25</v>
      </c>
      <c r="H1172" s="249">
        <f>PRODUCT(D1172:G1172)</f>
        <v>16.813125</v>
      </c>
      <c r="J1172" s="253" t="inlineStr">
        <is>
          <t xml:space="preserve">22.05*3.05*0.25</t>
        </is>
      </c>
    </row>
    <row r="1173">
      <c r="C1173" s="246" t="inlineStr">
        <is>
          <t xml:space="preserve">Third floor (+10900) - emergency stair core walls (25.57 m run): run x ht x 250 thk</t>
        </is>
      </c>
      <c r="E1173" s="247">
        <v>25.57</v>
      </c>
      <c r="F1173" s="247">
        <v>3.05</v>
      </c>
      <c r="G1173" s="247">
        <v>0.25</v>
      </c>
      <c r="H1173" s="249">
        <f>PRODUCT(D1173:G1173)</f>
        <v>19.497125</v>
      </c>
      <c r="J1173" s="253" t="inlineStr">
        <is>
          <t xml:space="preserve">25.57*3.05*0.25</t>
        </is>
      </c>
    </row>
    <row r="1174">
      <c r="C1174" s="250" t="inlineStr">
        <is>
          <t xml:space="preserve">Total carried to BOQ  3RD FLR item D</t>
        </is>
      </c>
      <c r="D1174" s="250" t="inlineStr">
        <is>
          <t xml:space="preserve"/>
        </is>
      </c>
      <c r="E1174" s="250" t="inlineStr">
        <is>
          <t xml:space="preserve"/>
        </is>
      </c>
      <c r="F1174" s="250" t="inlineStr">
        <is>
          <t xml:space="preserve"/>
        </is>
      </c>
      <c r="G1174" s="250" t="inlineStr">
        <is>
          <t xml:space="preserve"/>
        </is>
      </c>
      <c r="H1174" s="251">
        <f>SUM(H1172:H1173)</f>
        <v>36.310249999999996</v>
      </c>
      <c r="I1174" s="252" t="inlineStr">
        <is>
          <t xml:space="preserve">m3</t>
        </is>
      </c>
    </row>
    <row r="1175">
      <c r="A1175" s="243" t="inlineStr">
        <is>
          <t xml:space="preserve">3RD FLR</t>
        </is>
      </c>
      <c r="B1175" s="243" t="inlineStr">
        <is>
          <t xml:space="preserve">E</t>
        </is>
      </c>
      <c r="C1175" s="244" t="inlineStr">
        <is>
          <t xml:space="preserve">Concrete wall - lift walls, 250mm thick</t>
        </is>
      </c>
      <c r="I1175" s="245" t="inlineStr">
        <is>
          <t xml:space="preserve">m3</t>
        </is>
      </c>
      <c r="K1175" s="256" t="inlineStr">
        <is>
          <t xml:space="preserve">'3RD FLR'!C42</t>
        </is>
      </c>
    </row>
    <row r="1176">
      <c r="C1176" s="246" t="inlineStr">
        <is>
          <t xml:space="preserve">Third floor (+10900) - lift core walls (21.825 m run): run x ht x 250 thk</t>
        </is>
      </c>
      <c r="E1176" s="247">
        <v>21.825</v>
      </c>
      <c r="F1176" s="247">
        <v>3.05</v>
      </c>
      <c r="G1176" s="247">
        <v>0.25</v>
      </c>
      <c r="H1176" s="249">
        <f>PRODUCT(D1176:G1176)</f>
        <v>16.6415625</v>
      </c>
      <c r="J1176" s="253" t="inlineStr">
        <is>
          <t xml:space="preserve">21.825*3.05*0.25</t>
        </is>
      </c>
    </row>
    <row r="1177">
      <c r="C1177" s="250" t="inlineStr">
        <is>
          <t xml:space="preserve">Total carried to BOQ  3RD FLR item E</t>
        </is>
      </c>
      <c r="D1177" s="250" t="inlineStr">
        <is>
          <t xml:space="preserve"/>
        </is>
      </c>
      <c r="E1177" s="250" t="inlineStr">
        <is>
          <t xml:space="preserve"/>
        </is>
      </c>
      <c r="F1177" s="250" t="inlineStr">
        <is>
          <t xml:space="preserve"/>
        </is>
      </c>
      <c r="G1177" s="250" t="inlineStr">
        <is>
          <t xml:space="preserve"/>
        </is>
      </c>
      <c r="H1177" s="251">
        <f>SUM(H1176:H1176)</f>
        <v>16.6415625</v>
      </c>
      <c r="I1177" s="252" t="inlineStr">
        <is>
          <t xml:space="preserve">m3</t>
        </is>
      </c>
    </row>
    <row r="1178">
      <c r="A1178" s="243" t="inlineStr">
        <is>
          <t xml:space="preserve">3RD FLR</t>
        </is>
      </c>
      <c r="B1178" s="243" t="inlineStr">
        <is>
          <t xml:space="preserve">F</t>
        </is>
      </c>
      <c r="C1178" s="244" t="inlineStr">
        <is>
          <t xml:space="preserve">Stairs</t>
        </is>
      </c>
      <c r="I1178" s="245" t="inlineStr">
        <is>
          <t xml:space="preserve">m3</t>
        </is>
      </c>
      <c r="K1178" s="256" t="inlineStr">
        <is>
          <t xml:space="preserve">'3RD FLR'!C44</t>
        </is>
      </c>
    </row>
    <row r="1179">
      <c r="C1179" s="246" t="inlineStr">
        <is>
          <t xml:space="preserve">Third floor (+10900) - Main stair flight (storey ht 3.3) - flights: 2.966 m3 per 3.3 m storey x (storey ht / 3.3)</t>
        </is>
      </c>
      <c r="E1179" s="247">
        <v>2.966</v>
      </c>
      <c r="F1179" s="247">
        <f>3.3/3.3</f>
        <v>1.0</v>
      </c>
      <c r="H1179" s="249">
        <f>PRODUCT(D1179:G1179)</f>
        <v>2.966</v>
      </c>
      <c r="J1179" s="253" t="inlineStr">
        <is>
          <t xml:space="preserve">2.966*3.3/3.3</t>
        </is>
      </c>
    </row>
    <row r="1180">
      <c r="C1180" s="246" t="inlineStr">
        <is>
          <t xml:space="preserve">Third floor (+10900) - Main stair flight (storey ht 3.3) - landings</t>
        </is>
      </c>
      <c r="H1180" s="247">
        <v>2.625</v>
      </c>
      <c r="J1180" s="253" t="inlineStr">
        <is>
          <t xml:space="preserve">2.625</t>
        </is>
      </c>
    </row>
    <row r="1181">
      <c r="C1181" s="246" t="inlineStr">
        <is>
          <t xml:space="preserve">Third floor (+10900) - Emergency stair flight (storey ht 3.3) - flights: 2.966 m3 per 3.3 m storey x (storey ht / 3.3)</t>
        </is>
      </c>
      <c r="E1181" s="247">
        <v>2.966</v>
      </c>
      <c r="F1181" s="247">
        <f>3.3/3.3</f>
        <v>1.0</v>
      </c>
      <c r="H1181" s="249">
        <f>PRODUCT(D1181:G1181)</f>
        <v>2.966</v>
      </c>
      <c r="J1181" s="253" t="inlineStr">
        <is>
          <t xml:space="preserve">2.966*3.3/3.3</t>
        </is>
      </c>
    </row>
    <row r="1182">
      <c r="C1182" s="246" t="inlineStr">
        <is>
          <t xml:space="preserve">Third floor (+10900) - Emergency stair flight (storey ht 3.3) - landings</t>
        </is>
      </c>
      <c r="H1182" s="247">
        <v>2.625</v>
      </c>
      <c r="J1182" s="253" t="inlineStr">
        <is>
          <t xml:space="preserve">2.625</t>
        </is>
      </c>
    </row>
    <row r="1183">
      <c r="C1183" s="250" t="inlineStr">
        <is>
          <t xml:space="preserve">Total carried to BOQ  3RD FLR item F</t>
        </is>
      </c>
      <c r="D1183" s="250" t="inlineStr">
        <is>
          <t xml:space="preserve"/>
        </is>
      </c>
      <c r="E1183" s="250" t="inlineStr">
        <is>
          <t xml:space="preserve"/>
        </is>
      </c>
      <c r="F1183" s="250" t="inlineStr">
        <is>
          <t xml:space="preserve"/>
        </is>
      </c>
      <c r="G1183" s="250" t="inlineStr">
        <is>
          <t xml:space="preserve"/>
        </is>
      </c>
      <c r="H1183" s="251">
        <f>SUM(H1179:H1182)</f>
        <v>11.182</v>
      </c>
      <c r="I1183" s="252" t="inlineStr">
        <is>
          <t xml:space="preserve">m3</t>
        </is>
      </c>
    </row>
    <row r="1184">
      <c r="A1184" s="243" t="inlineStr">
        <is>
          <t xml:space="preserve">3RD FLR</t>
        </is>
      </c>
      <c r="B1184" s="243" t="inlineStr">
        <is>
          <t xml:space="preserve">G</t>
        </is>
      </c>
      <c r="C1184" s="244" t="inlineStr">
        <is>
          <t xml:space="preserve">Lintels 150 x 225mm over door and window openings</t>
        </is>
      </c>
      <c r="I1184" s="245" t="inlineStr">
        <is>
          <t xml:space="preserve">m3</t>
        </is>
      </c>
      <c r="K1184" s="256" t="inlineStr">
        <is>
          <t xml:space="preserve">'3RD FLR'!C46</t>
        </is>
      </c>
    </row>
    <row r="1185">
      <c r="C1185" s="246" t="inlineStr">
        <is>
          <t xml:space="preserve">Lintel over D2 (10 nr, 1x2.2): nr x (width + 2 x 150 bearing) x 150 x 225</t>
        </is>
      </c>
      <c r="D1185" s="248">
        <v>10</v>
      </c>
      <c r="E1185" s="247">
        <f>1+0.3</f>
        <v>1.3</v>
      </c>
      <c r="F1185" s="247">
        <v>0.15</v>
      </c>
      <c r="G1185" s="247">
        <v>0.225</v>
      </c>
      <c r="H1185" s="249">
        <f>PRODUCT(D1185:G1185)</f>
        <v>0.43875</v>
      </c>
      <c r="J1185" s="253" t="inlineStr">
        <is>
          <t xml:space="preserve">10*(1+0.3)*0.15*0.225</t>
        </is>
      </c>
    </row>
    <row r="1186">
      <c r="C1186" s="246" t="inlineStr">
        <is>
          <t xml:space="preserve">Lintel over D3 (19 nr, 0.9x2.2): nr x (width + 2 x 150 bearing) x 150 x 225</t>
        </is>
      </c>
      <c r="D1186" s="248">
        <v>19</v>
      </c>
      <c r="E1186" s="247">
        <f>0.9+0.3</f>
        <v>1.2</v>
      </c>
      <c r="F1186" s="247">
        <v>0.15</v>
      </c>
      <c r="G1186" s="247">
        <v>0.225</v>
      </c>
      <c r="H1186" s="249">
        <f>PRODUCT(D1186:G1186)</f>
        <v>0.7695</v>
      </c>
      <c r="J1186" s="253" t="inlineStr">
        <is>
          <t xml:space="preserve">19*(0.9+0.3)*0.15*0.225</t>
        </is>
      </c>
    </row>
    <row r="1187">
      <c r="C1187" s="246" t="inlineStr">
        <is>
          <t xml:space="preserve">Lintel over D6 (21 nr, 0.75x2.2): nr x (width + 2 x 150 bearing) x 150 x 225</t>
        </is>
      </c>
      <c r="D1187" s="248">
        <v>21</v>
      </c>
      <c r="E1187" s="247">
        <f>0.75+0.3</f>
        <v>1.05</v>
      </c>
      <c r="F1187" s="247">
        <v>0.15</v>
      </c>
      <c r="G1187" s="247">
        <v>0.225</v>
      </c>
      <c r="H1187" s="249">
        <f>PRODUCT(D1187:G1187)</f>
        <v>0.7441875</v>
      </c>
      <c r="J1187" s="253" t="inlineStr">
        <is>
          <t xml:space="preserve">21*(0.75+0.3)*0.15*0.225</t>
        </is>
      </c>
    </row>
    <row r="1188">
      <c r="C1188" s="246" t="inlineStr">
        <is>
          <t xml:space="preserve">Lintel over D7 (2 nr, 0.7x2.2): nr x (width + 2 x 150 bearing) x 150 x 225</t>
        </is>
      </c>
      <c r="D1188" s="248">
        <v>2</v>
      </c>
      <c r="E1188" s="247">
        <f>0.7+0.3</f>
        <v>1.0</v>
      </c>
      <c r="F1188" s="247">
        <v>0.15</v>
      </c>
      <c r="G1188" s="247">
        <v>0.225</v>
      </c>
      <c r="H1188" s="249">
        <f>PRODUCT(D1188:G1188)</f>
        <v>0.0675</v>
      </c>
      <c r="J1188" s="253" t="inlineStr">
        <is>
          <t xml:space="preserve">2*(0.7+0.3)*0.15*0.225</t>
        </is>
      </c>
    </row>
    <row r="1189">
      <c r="C1189" s="246" t="inlineStr">
        <is>
          <t xml:space="preserve">Lintel over D8 (3 nr, 1.2x2.2): nr x (width + 2 x 150 bearing) x 150 x 225</t>
        </is>
      </c>
      <c r="D1189" s="248">
        <v>3</v>
      </c>
      <c r="E1189" s="247">
        <f>1.2+0.3</f>
        <v>1.5</v>
      </c>
      <c r="F1189" s="247">
        <v>0.15</v>
      </c>
      <c r="G1189" s="247">
        <v>0.225</v>
      </c>
      <c r="H1189" s="249">
        <f>PRODUCT(D1189:G1189)</f>
        <v>0.15187499999999998</v>
      </c>
      <c r="J1189" s="253" t="inlineStr">
        <is>
          <t xml:space="preserve">3*(1.2+0.3)*0.15*0.225</t>
        </is>
      </c>
    </row>
    <row r="1190">
      <c r="C1190" s="246" t="inlineStr">
        <is>
          <t xml:space="preserve">Lintel over ED1 (3 nr, 1x2.2): nr x (width + 2 x 150 bearing) x 150 x 225</t>
        </is>
      </c>
      <c r="D1190" s="248">
        <v>3</v>
      </c>
      <c r="E1190" s="247">
        <f>1+0.3</f>
        <v>1.3</v>
      </c>
      <c r="F1190" s="247">
        <v>0.15</v>
      </c>
      <c r="G1190" s="247">
        <v>0.225</v>
      </c>
      <c r="H1190" s="249">
        <f>PRODUCT(D1190:G1190)</f>
        <v>0.13162500000000002</v>
      </c>
      <c r="J1190" s="253" t="inlineStr">
        <is>
          <t xml:space="preserve">3*(1+0.3)*0.15*0.225</t>
        </is>
      </c>
    </row>
    <row r="1191">
      <c r="C1191" s="246" t="inlineStr">
        <is>
          <t xml:space="preserve">Lintel over ED2 (3 nr, 1x2.2): nr x (width + 2 x 150 bearing) x 150 x 225</t>
        </is>
      </c>
      <c r="D1191" s="248">
        <v>3</v>
      </c>
      <c r="E1191" s="247">
        <f>1+0.3</f>
        <v>1.3</v>
      </c>
      <c r="F1191" s="247">
        <v>0.15</v>
      </c>
      <c r="G1191" s="247">
        <v>0.225</v>
      </c>
      <c r="H1191" s="249">
        <f>PRODUCT(D1191:G1191)</f>
        <v>0.13162500000000002</v>
      </c>
      <c r="J1191" s="253" t="inlineStr">
        <is>
          <t xml:space="preserve">3*(1+0.3)*0.15*0.225</t>
        </is>
      </c>
    </row>
    <row r="1192">
      <c r="C1192" s="246" t="inlineStr">
        <is>
          <t xml:space="preserve">Lintel over D9 (2 nr, 0.9x2.2): nr x (width + 2 x 150 bearing) x 150 x 225</t>
        </is>
      </c>
      <c r="D1192" s="248">
        <v>2</v>
      </c>
      <c r="E1192" s="247">
        <f>0.9+0.3</f>
        <v>1.2</v>
      </c>
      <c r="F1192" s="247">
        <v>0.15</v>
      </c>
      <c r="G1192" s="247">
        <v>0.225</v>
      </c>
      <c r="H1192" s="249">
        <f>PRODUCT(D1192:G1192)</f>
        <v>0.081</v>
      </c>
      <c r="J1192" s="253" t="inlineStr">
        <is>
          <t xml:space="preserve">2*(0.9+0.3)*0.15*0.225</t>
        </is>
      </c>
    </row>
    <row r="1193">
      <c r="C1193" s="246" t="inlineStr">
        <is>
          <t xml:space="preserve">Lintel over FD1 (1 nr, 1.5x2.2): nr x (width + 2 x 150 bearing) x 150 x 225</t>
        </is>
      </c>
      <c r="D1193" s="248">
        <v>1</v>
      </c>
      <c r="E1193" s="247">
        <f>1.5+0.3</f>
        <v>1.8</v>
      </c>
      <c r="F1193" s="247">
        <v>0.15</v>
      </c>
      <c r="G1193" s="247">
        <v>0.225</v>
      </c>
      <c r="H1193" s="249">
        <f>PRODUCT(D1193:G1193)</f>
        <v>0.060750000000000005</v>
      </c>
      <c r="J1193" s="253" t="inlineStr">
        <is>
          <t xml:space="preserve">1*(1.5+0.3)*0.15*0.225</t>
        </is>
      </c>
    </row>
    <row r="1194">
      <c r="C1194" s="246" t="inlineStr">
        <is>
          <t xml:space="preserve">Lintel over M1 (3 nr, 0.9x2.2): nr x (width + 2 x 150 bearing) x 150 x 225</t>
        </is>
      </c>
      <c r="D1194" s="248">
        <v>3</v>
      </c>
      <c r="E1194" s="247">
        <f>0.9+0.3</f>
        <v>1.2</v>
      </c>
      <c r="F1194" s="247">
        <v>0.15</v>
      </c>
      <c r="G1194" s="247">
        <v>0.225</v>
      </c>
      <c r="H1194" s="249">
        <f>PRODUCT(D1194:G1194)</f>
        <v>0.12149999999999998</v>
      </c>
      <c r="J1194" s="253" t="inlineStr">
        <is>
          <t xml:space="preserve">3*(0.9+0.3)*0.15*0.225</t>
        </is>
      </c>
    </row>
    <row r="1195">
      <c r="C1195" s="246" t="inlineStr">
        <is>
          <t xml:space="preserve">Lintel over M2 (5 nr, 0.75x2.2): nr x (width + 2 x 150 bearing) x 150 x 225</t>
        </is>
      </c>
      <c r="D1195" s="248">
        <v>5</v>
      </c>
      <c r="E1195" s="247">
        <f>0.75+0.3</f>
        <v>1.05</v>
      </c>
      <c r="F1195" s="247">
        <v>0.15</v>
      </c>
      <c r="G1195" s="247">
        <v>0.225</v>
      </c>
      <c r="H1195" s="249">
        <f>PRODUCT(D1195:G1195)</f>
        <v>0.1771875</v>
      </c>
      <c r="J1195" s="253" t="inlineStr">
        <is>
          <t xml:space="preserve">5*(0.75+0.3)*0.15*0.225</t>
        </is>
      </c>
    </row>
    <row r="1196">
      <c r="C1196" s="246" t="inlineStr">
        <is>
          <t xml:space="preserve">Lintel over M3 (1 nr, 0.45x2.2): nr x (width + 2 x 150 bearing) x 150 x 225</t>
        </is>
      </c>
      <c r="D1196" s="248">
        <v>1</v>
      </c>
      <c r="E1196" s="247">
        <f>0.45+0.3</f>
        <v>0.75</v>
      </c>
      <c r="F1196" s="247">
        <v>0.15</v>
      </c>
      <c r="G1196" s="247">
        <v>0.225</v>
      </c>
      <c r="H1196" s="249">
        <f>PRODUCT(D1196:G1196)</f>
        <v>0.025312499999999998</v>
      </c>
      <c r="J1196" s="253" t="inlineStr">
        <is>
          <t xml:space="preserve">1*(0.45+0.3)*0.15*0.225</t>
        </is>
      </c>
    </row>
    <row r="1197">
      <c r="C1197" s="246" t="inlineStr">
        <is>
          <t xml:space="preserve">Lintel over M5 (3 nr, 0.6x2.2): nr x (width + 2 x 150 bearing) x 150 x 225</t>
        </is>
      </c>
      <c r="D1197" s="248">
        <v>3</v>
      </c>
      <c r="E1197" s="247">
        <f>0.6+0.3</f>
        <v>0.8999999999999999</v>
      </c>
      <c r="F1197" s="247">
        <v>0.15</v>
      </c>
      <c r="G1197" s="247">
        <v>0.225</v>
      </c>
      <c r="H1197" s="249">
        <f>PRODUCT(D1197:G1197)</f>
        <v>0.091125</v>
      </c>
      <c r="J1197" s="253" t="inlineStr">
        <is>
          <t xml:space="preserve">3*(0.6+0.3)*0.15*0.225</t>
        </is>
      </c>
    </row>
    <row r="1198">
      <c r="C1198" s="246" t="inlineStr">
        <is>
          <t xml:space="preserve">Lintel over SD1 (1 nr, 3x2.2): nr x (width + 2 x 150 bearing) x 150 x 225</t>
        </is>
      </c>
      <c r="D1198" s="248">
        <v>1</v>
      </c>
      <c r="E1198" s="247">
        <f>3+0.3</f>
        <v>3.3</v>
      </c>
      <c r="F1198" s="247">
        <v>0.15</v>
      </c>
      <c r="G1198" s="247">
        <v>0.225</v>
      </c>
      <c r="H1198" s="249">
        <f>PRODUCT(D1198:G1198)</f>
        <v>0.11137499999999999</v>
      </c>
      <c r="J1198" s="253" t="inlineStr">
        <is>
          <t xml:space="preserve">1*(3+0.3)*0.15*0.225</t>
        </is>
      </c>
    </row>
    <row r="1199">
      <c r="C1199" s="246" t="inlineStr">
        <is>
          <t xml:space="preserve">Lintel over SD2 (4 nr, 1.6x2.2): nr x (width + 2 x 150 bearing) x 150 x 225</t>
        </is>
      </c>
      <c r="D1199" s="248">
        <v>4</v>
      </c>
      <c r="E1199" s="247">
        <f>1.6+0.3</f>
        <v>1.9000000000000001</v>
      </c>
      <c r="F1199" s="247">
        <v>0.15</v>
      </c>
      <c r="G1199" s="247">
        <v>0.225</v>
      </c>
      <c r="H1199" s="249">
        <f>PRODUCT(D1199:G1199)</f>
        <v>0.25650000000000006</v>
      </c>
      <c r="J1199" s="253" t="inlineStr">
        <is>
          <t xml:space="preserve">4*(1.6+0.3)*0.15*0.225</t>
        </is>
      </c>
    </row>
    <row r="1200">
      <c r="C1200" s="246" t="inlineStr">
        <is>
          <t xml:space="preserve">Lintel over SD3 (3 nr, 1.3x2.2): nr x (width + 2 x 150 bearing) x 150 x 225</t>
        </is>
      </c>
      <c r="D1200" s="248">
        <v>3</v>
      </c>
      <c r="E1200" s="247">
        <f>1.3+0.3</f>
        <v>1.6</v>
      </c>
      <c r="F1200" s="247">
        <v>0.15</v>
      </c>
      <c r="G1200" s="247">
        <v>0.225</v>
      </c>
      <c r="H1200" s="249">
        <f>PRODUCT(D1200:G1200)</f>
        <v>0.16200000000000003</v>
      </c>
      <c r="J1200" s="253" t="inlineStr">
        <is>
          <t xml:space="preserve">3*(1.3+0.3)*0.15*0.225</t>
        </is>
      </c>
    </row>
    <row r="1201">
      <c r="C1201" s="246" t="inlineStr">
        <is>
          <t xml:space="preserve">Lintel over SD4 (5 nr, 1.8x2.2): nr x (width + 2 x 150 bearing) x 150 x 225</t>
        </is>
      </c>
      <c r="D1201" s="248">
        <v>5</v>
      </c>
      <c r="E1201" s="247">
        <f>1.8+0.3</f>
        <v>2.1</v>
      </c>
      <c r="F1201" s="247">
        <v>0.15</v>
      </c>
      <c r="G1201" s="247">
        <v>0.225</v>
      </c>
      <c r="H1201" s="249">
        <f>PRODUCT(D1201:G1201)</f>
        <v>0.354375</v>
      </c>
      <c r="J1201" s="253" t="inlineStr">
        <is>
          <t xml:space="preserve">5*(1.8+0.3)*0.15*0.225</t>
        </is>
      </c>
    </row>
    <row r="1202">
      <c r="C1202" s="246" t="inlineStr">
        <is>
          <t xml:space="preserve">Lintel over SD5 (1 nr, 1.2x2.2): nr x (width + 2 x 150 bearing) x 150 x 225</t>
        </is>
      </c>
      <c r="D1202" s="248">
        <v>1</v>
      </c>
      <c r="E1202" s="247">
        <f>1.2+0.3</f>
        <v>1.5</v>
      </c>
      <c r="F1202" s="247">
        <v>0.15</v>
      </c>
      <c r="G1202" s="247">
        <v>0.225</v>
      </c>
      <c r="H1202" s="249">
        <f>PRODUCT(D1202:G1202)</f>
        <v>0.050624999999999996</v>
      </c>
      <c r="J1202" s="253" t="inlineStr">
        <is>
          <t xml:space="preserve">1*(1.2+0.3)*0.15*0.225</t>
        </is>
      </c>
    </row>
    <row r="1203">
      <c r="C1203" s="246" t="inlineStr">
        <is>
          <t xml:space="preserve">Lintel over W2 (7 nr, 1.8x1.3): nr x (width + 2 x 150 bearing) x 150 x 225</t>
        </is>
      </c>
      <c r="D1203" s="248">
        <v>7</v>
      </c>
      <c r="E1203" s="247">
        <f>1.8+0.3</f>
        <v>2.1</v>
      </c>
      <c r="F1203" s="247">
        <v>0.15</v>
      </c>
      <c r="G1203" s="247">
        <v>0.225</v>
      </c>
      <c r="H1203" s="249">
        <f>PRODUCT(D1203:G1203)</f>
        <v>0.49612500000000004</v>
      </c>
      <c r="J1203" s="253" t="inlineStr">
        <is>
          <t xml:space="preserve">7*(1.8+0.3)*0.15*0.225</t>
        </is>
      </c>
    </row>
    <row r="1204">
      <c r="C1204" s="246" t="inlineStr">
        <is>
          <t xml:space="preserve">Lintel over W4 (13 nr, 0.9x1.3): nr x (width + 2 x 150 bearing) x 150 x 225</t>
        </is>
      </c>
      <c r="D1204" s="248">
        <v>13</v>
      </c>
      <c r="E1204" s="247">
        <f>0.9+0.3</f>
        <v>1.2</v>
      </c>
      <c r="F1204" s="247">
        <v>0.15</v>
      </c>
      <c r="G1204" s="247">
        <v>0.225</v>
      </c>
      <c r="H1204" s="249">
        <f>PRODUCT(D1204:G1204)</f>
        <v>0.5265</v>
      </c>
      <c r="J1204" s="253" t="inlineStr">
        <is>
          <t xml:space="preserve">13*(0.9+0.3)*0.15*0.225</t>
        </is>
      </c>
    </row>
    <row r="1205">
      <c r="C1205" s="246" t="inlineStr">
        <is>
          <t xml:space="preserve">Lintel over W7 (2 nr, 1.8x1.6): nr x (width + 2 x 150 bearing) x 150 x 225</t>
        </is>
      </c>
      <c r="D1205" s="248">
        <v>2</v>
      </c>
      <c r="E1205" s="247">
        <f>1.8+0.3</f>
        <v>2.1</v>
      </c>
      <c r="F1205" s="247">
        <v>0.15</v>
      </c>
      <c r="G1205" s="247">
        <v>0.225</v>
      </c>
      <c r="H1205" s="249">
        <f>PRODUCT(D1205:G1205)</f>
        <v>0.14175000000000001</v>
      </c>
      <c r="J1205" s="253" t="inlineStr">
        <is>
          <t xml:space="preserve">2*(1.8+0.3)*0.15*0.225</t>
        </is>
      </c>
    </row>
    <row r="1206">
      <c r="C1206" s="246" t="inlineStr">
        <is>
          <t xml:space="preserve">Lintel over W8 (4 nr, 1.2x1.9): nr x (width + 2 x 150 bearing) x 150 x 225</t>
        </is>
      </c>
      <c r="D1206" s="248">
        <v>4</v>
      </c>
      <c r="E1206" s="247">
        <f>1.2+0.3</f>
        <v>1.5</v>
      </c>
      <c r="F1206" s="247">
        <v>0.15</v>
      </c>
      <c r="G1206" s="247">
        <v>0.225</v>
      </c>
      <c r="H1206" s="249">
        <f>PRODUCT(D1206:G1206)</f>
        <v>0.20249999999999999</v>
      </c>
      <c r="J1206" s="253" t="inlineStr">
        <is>
          <t xml:space="preserve">4*(1.2+0.3)*0.15*0.225</t>
        </is>
      </c>
    </row>
    <row r="1207">
      <c r="C1207" s="246" t="inlineStr">
        <is>
          <t xml:space="preserve">Lintel over W9 (10 nr, 1.2x1.15): nr x (width + 2 x 150 bearing) x 150 x 225</t>
        </is>
      </c>
      <c r="D1207" s="248">
        <v>10</v>
      </c>
      <c r="E1207" s="247">
        <f>1.2+0.3</f>
        <v>1.5</v>
      </c>
      <c r="F1207" s="247">
        <v>0.15</v>
      </c>
      <c r="G1207" s="247">
        <v>0.225</v>
      </c>
      <c r="H1207" s="249">
        <f>PRODUCT(D1207:G1207)</f>
        <v>0.50625</v>
      </c>
      <c r="J1207" s="253" t="inlineStr">
        <is>
          <t xml:space="preserve">10*(1.2+0.3)*0.15*0.225</t>
        </is>
      </c>
    </row>
    <row r="1208">
      <c r="C1208" s="246" t="inlineStr">
        <is>
          <t xml:space="preserve">Lintel over W10 (1 nr, 1.2x1.2): nr x (width + 2 x 150 bearing) x 150 x 225</t>
        </is>
      </c>
      <c r="D1208" s="248">
        <v>1</v>
      </c>
      <c r="E1208" s="247">
        <f>1.2+0.3</f>
        <v>1.5</v>
      </c>
      <c r="F1208" s="247">
        <v>0.15</v>
      </c>
      <c r="G1208" s="247">
        <v>0.225</v>
      </c>
      <c r="H1208" s="249">
        <f>PRODUCT(D1208:G1208)</f>
        <v>0.050624999999999996</v>
      </c>
      <c r="J1208" s="253" t="inlineStr">
        <is>
          <t xml:space="preserve">1*(1.2+0.3)*0.15*0.225</t>
        </is>
      </c>
    </row>
    <row r="1209">
      <c r="C1209" s="246" t="inlineStr">
        <is>
          <t xml:space="preserve">Lintel over W11 (8 nr, 1.5x1.3): nr x (width + 2 x 150 bearing) x 150 x 225</t>
        </is>
      </c>
      <c r="D1209" s="248">
        <v>8</v>
      </c>
      <c r="E1209" s="247">
        <f>1.5+0.3</f>
        <v>1.8</v>
      </c>
      <c r="F1209" s="247">
        <v>0.15</v>
      </c>
      <c r="G1209" s="247">
        <v>0.225</v>
      </c>
      <c r="H1209" s="249">
        <f>PRODUCT(D1209:G1209)</f>
        <v>0.48600000000000004</v>
      </c>
      <c r="J1209" s="253" t="inlineStr">
        <is>
          <t xml:space="preserve">8*(1.5+0.3)*0.15*0.225</t>
        </is>
      </c>
    </row>
    <row r="1210">
      <c r="C1210" s="246" t="inlineStr">
        <is>
          <t xml:space="preserve">Lintel over W12 (4 nr, 1.5x1.15): nr x (width + 2 x 150 bearing) x 150 x 225</t>
        </is>
      </c>
      <c r="D1210" s="248">
        <v>4</v>
      </c>
      <c r="E1210" s="247">
        <f>1.5+0.3</f>
        <v>1.8</v>
      </c>
      <c r="F1210" s="247">
        <v>0.15</v>
      </c>
      <c r="G1210" s="247">
        <v>0.225</v>
      </c>
      <c r="H1210" s="249">
        <f>PRODUCT(D1210:G1210)</f>
        <v>0.24300000000000002</v>
      </c>
      <c r="J1210" s="253" t="inlineStr">
        <is>
          <t xml:space="preserve">4*(1.5+0.3)*0.15*0.225</t>
        </is>
      </c>
    </row>
    <row r="1211">
      <c r="C1211" s="246" t="inlineStr">
        <is>
          <t xml:space="preserve">Lintel over W13 (1 nr, 2.4x1.3): nr x (width + 2 x 150 bearing) x 150 x 225</t>
        </is>
      </c>
      <c r="D1211" s="248">
        <v>1</v>
      </c>
      <c r="E1211" s="247">
        <f>2.4+0.3</f>
        <v>2.6999999999999997</v>
      </c>
      <c r="F1211" s="247">
        <v>0.15</v>
      </c>
      <c r="G1211" s="247">
        <v>0.225</v>
      </c>
      <c r="H1211" s="249">
        <f>PRODUCT(D1211:G1211)</f>
        <v>0.091125</v>
      </c>
      <c r="J1211" s="253" t="inlineStr">
        <is>
          <t xml:space="preserve">1*(2.4+0.3)*0.15*0.225</t>
        </is>
      </c>
    </row>
    <row r="1212">
      <c r="C1212" s="246" t="inlineStr">
        <is>
          <t xml:space="preserve">Lintel over W15 (1 nr, 3x1.6): nr x (width + 2 x 150 bearing) x 150 x 225</t>
        </is>
      </c>
      <c r="D1212" s="248">
        <v>1</v>
      </c>
      <c r="E1212" s="247">
        <f>3+0.3</f>
        <v>3.3</v>
      </c>
      <c r="F1212" s="247">
        <v>0.15</v>
      </c>
      <c r="G1212" s="247">
        <v>0.225</v>
      </c>
      <c r="H1212" s="249">
        <f>PRODUCT(D1212:G1212)</f>
        <v>0.11137499999999999</v>
      </c>
      <c r="J1212" s="253" t="inlineStr">
        <is>
          <t xml:space="preserve">1*(3+0.3)*0.15*0.225</t>
        </is>
      </c>
    </row>
    <row r="1213">
      <c r="C1213" s="246" t="inlineStr">
        <is>
          <t xml:space="preserve">Lintel over W17 (4 nr, 1.8x1.9): nr x (width + 2 x 150 bearing) x 150 x 225</t>
        </is>
      </c>
      <c r="D1213" s="248">
        <v>4</v>
      </c>
      <c r="E1213" s="247">
        <f>1.8+0.3</f>
        <v>2.1</v>
      </c>
      <c r="F1213" s="247">
        <v>0.15</v>
      </c>
      <c r="G1213" s="247">
        <v>0.225</v>
      </c>
      <c r="H1213" s="249">
        <f>PRODUCT(D1213:G1213)</f>
        <v>0.28350000000000003</v>
      </c>
      <c r="J1213" s="253" t="inlineStr">
        <is>
          <t xml:space="preserve">4*(1.8+0.3)*0.15*0.225</t>
        </is>
      </c>
    </row>
    <row r="1214">
      <c r="C1214" s="246" t="inlineStr">
        <is>
          <t xml:space="preserve">Lintel over W18 (1 nr, 0.75x1.3): nr x (width + 2 x 150 bearing) x 150 x 225</t>
        </is>
      </c>
      <c r="D1214" s="248">
        <v>1</v>
      </c>
      <c r="E1214" s="247">
        <f>0.75+0.3</f>
        <v>1.05</v>
      </c>
      <c r="F1214" s="247">
        <v>0.15</v>
      </c>
      <c r="G1214" s="247">
        <v>0.225</v>
      </c>
      <c r="H1214" s="249">
        <f>PRODUCT(D1214:G1214)</f>
        <v>0.035437500000000004</v>
      </c>
      <c r="J1214" s="253" t="inlineStr">
        <is>
          <t xml:space="preserve">1*(0.75+0.3)*0.15*0.225</t>
        </is>
      </c>
    </row>
    <row r="1215">
      <c r="C1215" s="246" t="inlineStr">
        <is>
          <t xml:space="preserve">Lintel over W20 (1 nr, 1.45x1.9): nr x (width + 2 x 150 bearing) x 150 x 225</t>
        </is>
      </c>
      <c r="D1215" s="248">
        <v>1</v>
      </c>
      <c r="E1215" s="247">
        <f>1.45+0.3</f>
        <v>1.75</v>
      </c>
      <c r="F1215" s="247">
        <v>0.15</v>
      </c>
      <c r="G1215" s="247">
        <v>0.225</v>
      </c>
      <c r="H1215" s="249">
        <f>PRODUCT(D1215:G1215)</f>
        <v>0.059062500000000004</v>
      </c>
      <c r="J1215" s="253" t="inlineStr">
        <is>
          <t xml:space="preserve">1*(1.45+0.3)*0.15*0.225</t>
        </is>
      </c>
    </row>
    <row r="1216">
      <c r="C1216" s="246" t="inlineStr">
        <is>
          <t xml:space="preserve">Lintel over HW1 (12 nr, 0.9x0.6): nr x (width + 2 x 150 bearing) x 150 x 225</t>
        </is>
      </c>
      <c r="D1216" s="248">
        <v>12</v>
      </c>
      <c r="E1216" s="247">
        <f>0.9+0.3</f>
        <v>1.2</v>
      </c>
      <c r="F1216" s="247">
        <v>0.15</v>
      </c>
      <c r="G1216" s="247">
        <v>0.225</v>
      </c>
      <c r="H1216" s="249">
        <f>PRODUCT(D1216:G1216)</f>
        <v>0.48599999999999993</v>
      </c>
      <c r="J1216" s="253" t="inlineStr">
        <is>
          <t xml:space="preserve">12*(0.9+0.3)*0.15*0.225</t>
        </is>
      </c>
    </row>
    <row r="1217">
      <c r="C1217" s="246" t="inlineStr">
        <is>
          <t xml:space="preserve">Lintel over HW2 (5 nr, 0.75x0.6): nr x (width + 2 x 150 bearing) x 150 x 225</t>
        </is>
      </c>
      <c r="D1217" s="248">
        <v>5</v>
      </c>
      <c r="E1217" s="247">
        <f>0.75+0.3</f>
        <v>1.05</v>
      </c>
      <c r="F1217" s="247">
        <v>0.15</v>
      </c>
      <c r="G1217" s="247">
        <v>0.225</v>
      </c>
      <c r="H1217" s="249">
        <f>PRODUCT(D1217:G1217)</f>
        <v>0.1771875</v>
      </c>
      <c r="J1217" s="253" t="inlineStr">
        <is>
          <t xml:space="preserve">5*(0.75+0.3)*0.15*0.225</t>
        </is>
      </c>
    </row>
    <row r="1218">
      <c r="C1218" s="246" t="inlineStr">
        <is>
          <t xml:space="preserve">Lintel over HW3 (1 nr, 0.6x0.6): nr x (width + 2 x 150 bearing) x 150 x 225</t>
        </is>
      </c>
      <c r="D1218" s="248">
        <v>1</v>
      </c>
      <c r="E1218" s="247">
        <f>0.6+0.3</f>
        <v>0.8999999999999999</v>
      </c>
      <c r="F1218" s="247">
        <v>0.15</v>
      </c>
      <c r="G1218" s="247">
        <v>0.225</v>
      </c>
      <c r="H1218" s="249">
        <f>PRODUCT(D1218:G1218)</f>
        <v>0.030374999999999996</v>
      </c>
      <c r="J1218" s="253" t="inlineStr">
        <is>
          <t xml:space="preserve">1*(0.6+0.3)*0.15*0.225</t>
        </is>
      </c>
    </row>
    <row r="1219">
      <c r="C1219" s="246" t="inlineStr">
        <is>
          <t xml:space="preserve">Lintel over HW4 (1 nr, 1.2x0.6): nr x (width + 2 x 150 bearing) x 150 x 225</t>
        </is>
      </c>
      <c r="D1219" s="248">
        <v>1</v>
      </c>
      <c r="E1219" s="247">
        <f>1.2+0.3</f>
        <v>1.5</v>
      </c>
      <c r="F1219" s="247">
        <v>0.15</v>
      </c>
      <c r="G1219" s="247">
        <v>0.225</v>
      </c>
      <c r="H1219" s="249">
        <f>PRODUCT(D1219:G1219)</f>
        <v>0.050624999999999996</v>
      </c>
      <c r="J1219" s="253" t="inlineStr">
        <is>
          <t xml:space="preserve">1*(1.2+0.3)*0.15*0.225</t>
        </is>
      </c>
    </row>
    <row r="1220">
      <c r="C1220" s="250" t="inlineStr">
        <is>
          <t xml:space="preserve">Total carried to BOQ  3RD FLR item G</t>
        </is>
      </c>
      <c r="D1220" s="250" t="inlineStr">
        <is>
          <t xml:space="preserve"/>
        </is>
      </c>
      <c r="E1220" s="250" t="inlineStr">
        <is>
          <t xml:space="preserve"/>
        </is>
      </c>
      <c r="F1220" s="250" t="inlineStr">
        <is>
          <t xml:space="preserve"/>
        </is>
      </c>
      <c r="G1220" s="250" t="inlineStr">
        <is>
          <t xml:space="preserve"/>
        </is>
      </c>
      <c r="H1220" s="251">
        <f>SUM(H1185:H1219)</f>
        <v>7.904249999999998</v>
      </c>
      <c r="I1220" s="252" t="inlineStr">
        <is>
          <t xml:space="preserve">m3</t>
        </is>
      </c>
    </row>
    <row r="1221">
      <c r="C1221" s="242" t="inlineStr">
        <is>
          <t xml:space="preserve">E20 FORMWORK - Formwork as described to:</t>
        </is>
      </c>
    </row>
    <row r="1222">
      <c r="A1222" s="243" t="inlineStr">
        <is>
          <t xml:space="preserve">3RD FLR</t>
        </is>
      </c>
      <c r="B1222" s="243" t="inlineStr">
        <is>
          <t xml:space="preserve">H</t>
        </is>
      </c>
      <c r="C1222" s="244" t="inlineStr">
        <is>
          <t xml:space="preserve">Soffits of suspended slab</t>
        </is>
      </c>
      <c r="I1222" s="245" t="inlineStr">
        <is>
          <t xml:space="preserve">m2</t>
        </is>
      </c>
      <c r="K1222" s="256" t="inlineStr">
        <is>
          <t xml:space="preserve">'3RD FLR'!C49</t>
        </is>
      </c>
    </row>
    <row r="1223">
      <c r="C1223" s="246" t="inlineStr">
        <is>
          <t xml:space="preserve">Third floor (+10900) - Slab soffit: measured area</t>
        </is>
      </c>
      <c r="H1223" s="247">
        <v>1273.9</v>
      </c>
      <c r="J1223" s="253" t="inlineStr">
        <is>
          <t xml:space="preserve">1273.9</t>
        </is>
      </c>
    </row>
    <row r="1224">
      <c r="C1224" s="250" t="inlineStr">
        <is>
          <t xml:space="preserve">Total carried to BOQ  3RD FLR item H</t>
        </is>
      </c>
      <c r="D1224" s="250" t="inlineStr">
        <is>
          <t xml:space="preserve"/>
        </is>
      </c>
      <c r="E1224" s="250" t="inlineStr">
        <is>
          <t xml:space="preserve"/>
        </is>
      </c>
      <c r="F1224" s="250" t="inlineStr">
        <is>
          <t xml:space="preserve"/>
        </is>
      </c>
      <c r="G1224" s="250" t="inlineStr">
        <is>
          <t xml:space="preserve"/>
        </is>
      </c>
      <c r="H1224" s="251">
        <f>SUM(H1223:H1223)</f>
        <v>1273.9</v>
      </c>
      <c r="I1224" s="252" t="inlineStr">
        <is>
          <t xml:space="preserve">m2</t>
        </is>
      </c>
    </row>
    <row r="1225">
      <c r="A1225" s="243" t="inlineStr">
        <is>
          <t xml:space="preserve">3RD FLR</t>
        </is>
      </c>
      <c r="B1225" s="243" t="inlineStr">
        <is>
          <t xml:space="preserve">J</t>
        </is>
      </c>
      <c r="C1225" s="244" t="inlineStr">
        <is>
          <t xml:space="preserve">Edges of suspended slab 250mm high</t>
        </is>
      </c>
      <c r="I1225" s="245" t="inlineStr">
        <is>
          <t xml:space="preserve">m</t>
        </is>
      </c>
      <c r="K1225" s="256" t="inlineStr">
        <is>
          <t xml:space="preserve">'3RD FLR'!C51</t>
        </is>
      </c>
    </row>
    <row r="1226">
      <c r="C1226" s="246" t="inlineStr">
        <is>
          <t xml:space="preserve">Third floor (+10900) - Slab edge: measured perimeter</t>
        </is>
      </c>
      <c r="H1226" s="247">
        <v>232.4</v>
      </c>
      <c r="J1226" s="253" t="inlineStr">
        <is>
          <t xml:space="preserve">232.4</t>
        </is>
      </c>
    </row>
    <row r="1227">
      <c r="C1227" s="250" t="inlineStr">
        <is>
          <t xml:space="preserve">Total carried to BOQ  3RD FLR item J</t>
        </is>
      </c>
      <c r="D1227" s="250" t="inlineStr">
        <is>
          <t xml:space="preserve"/>
        </is>
      </c>
      <c r="E1227" s="250" t="inlineStr">
        <is>
          <t xml:space="preserve"/>
        </is>
      </c>
      <c r="F1227" s="250" t="inlineStr">
        <is>
          <t xml:space="preserve"/>
        </is>
      </c>
      <c r="G1227" s="250" t="inlineStr">
        <is>
          <t xml:space="preserve"/>
        </is>
      </c>
      <c r="H1227" s="251">
        <f>SUM(H1226:H1226)</f>
        <v>232.4</v>
      </c>
      <c r="I1227" s="252" t="inlineStr">
        <is>
          <t xml:space="preserve">m</t>
        </is>
      </c>
    </row>
    <row r="1228">
      <c r="A1228" s="243" t="inlineStr">
        <is>
          <t xml:space="preserve">3RD FLR</t>
        </is>
      </c>
      <c r="B1228" s="243" t="inlineStr">
        <is>
          <t xml:space="preserve">K</t>
        </is>
      </c>
      <c r="C1228" s="244" t="inlineStr">
        <is>
          <t xml:space="preserve">Sides and soffits of beams</t>
        </is>
      </c>
      <c r="I1228" s="245" t="inlineStr">
        <is>
          <t xml:space="preserve">m2</t>
        </is>
      </c>
      <c r="K1228" s="256" t="inlineStr">
        <is>
          <t xml:space="preserve">'3RD FLR'!C53</t>
        </is>
      </c>
    </row>
    <row r="1229">
      <c r="C1229" s="246" t="inlineStr">
        <is>
          <t xml:space="preserve">Third floor (+10900) - beam sides &amp; soffit (300 wide): length x girth</t>
        </is>
      </c>
      <c r="E1229" s="247">
        <v>97.4</v>
      </c>
      <c r="F1229" s="247">
        <f>2*0.35+0.3</f>
        <v>1.0</v>
      </c>
      <c r="H1229" s="249">
        <f>PRODUCT(D1229:G1229)</f>
        <v>97.4</v>
      </c>
      <c r="J1229" s="253" t="inlineStr">
        <is>
          <t xml:space="preserve">97.4*(2*0.35+0.3)</t>
        </is>
      </c>
    </row>
    <row r="1230">
      <c r="C1230" s="246" t="inlineStr">
        <is>
          <t xml:space="preserve">Third floor (+10900) - beam sides &amp; soffit (200 wide): length x girth</t>
        </is>
      </c>
      <c r="E1230" s="247">
        <v>33.1</v>
      </c>
      <c r="F1230" s="247">
        <f>2*0.35+0.2</f>
        <v>0.8999999999999999</v>
      </c>
      <c r="H1230" s="249">
        <f>PRODUCT(D1230:G1230)</f>
        <v>29.79</v>
      </c>
      <c r="J1230" s="253" t="inlineStr">
        <is>
          <t xml:space="preserve">33.1*(2*0.35+0.2)</t>
        </is>
      </c>
    </row>
    <row r="1231">
      <c r="C1231" s="250" t="inlineStr">
        <is>
          <t xml:space="preserve">Total carried to BOQ  3RD FLR item K</t>
        </is>
      </c>
      <c r="D1231" s="250" t="inlineStr">
        <is>
          <t xml:space="preserve"/>
        </is>
      </c>
      <c r="E1231" s="250" t="inlineStr">
        <is>
          <t xml:space="preserve"/>
        </is>
      </c>
      <c r="F1231" s="250" t="inlineStr">
        <is>
          <t xml:space="preserve"/>
        </is>
      </c>
      <c r="G1231" s="250" t="inlineStr">
        <is>
          <t xml:space="preserve"/>
        </is>
      </c>
      <c r="H1231" s="251">
        <f>SUM(H1229:H1230)</f>
        <v>127.19</v>
      </c>
      <c r="I1231" s="252" t="inlineStr">
        <is>
          <t xml:space="preserve">m2</t>
        </is>
      </c>
    </row>
    <row r="1232">
      <c r="A1232" s="243" t="inlineStr">
        <is>
          <t xml:space="preserve">3RD FLR</t>
        </is>
      </c>
      <c r="B1232" s="243" t="inlineStr">
        <is>
          <t xml:space="preserve">L</t>
        </is>
      </c>
      <c r="C1232" s="244" t="inlineStr">
        <is>
          <t xml:space="preserve">Columns</t>
        </is>
      </c>
      <c r="I1232" s="245" t="inlineStr">
        <is>
          <t xml:space="preserve">m2</t>
        </is>
      </c>
      <c r="K1232" s="256" t="inlineStr">
        <is>
          <t xml:space="preserve">'3RD FLR'!C55</t>
        </is>
      </c>
    </row>
    <row r="1233">
      <c r="C1233" s="246" t="inlineStr">
        <is>
          <t xml:space="preserve">COL-01A x5 - column sides (3rd to 4th), ht 3.05</t>
        </is>
      </c>
      <c r="D1233" s="248">
        <v>5</v>
      </c>
      <c r="E1233" s="247">
        <f>2*(0.75+0.5)</f>
        <v>2.5</v>
      </c>
      <c r="F1233" s="247">
        <v>3.05</v>
      </c>
      <c r="H1233" s="249">
        <f>PRODUCT(D1233:G1233)</f>
        <v>38.125</v>
      </c>
      <c r="J1233" s="253" t="inlineStr">
        <is>
          <t xml:space="preserve">5*2*(0.75+0.5)*3.05</t>
        </is>
      </c>
    </row>
    <row r="1234">
      <c r="C1234" s="246" t="inlineStr">
        <is>
          <t xml:space="preserve">COL-01B x1 - column sides (3rd to 4th), ht 3.05</t>
        </is>
      </c>
      <c r="D1234" s="248">
        <v>1</v>
      </c>
      <c r="E1234" s="247">
        <f>2*(0.75+0.5)</f>
        <v>2.5</v>
      </c>
      <c r="F1234" s="247">
        <v>3.05</v>
      </c>
      <c r="H1234" s="249">
        <f>PRODUCT(D1234:G1234)</f>
        <v>7.625</v>
      </c>
      <c r="J1234" s="253" t="inlineStr">
        <is>
          <t xml:space="preserve">1*2*(0.75+0.5)*3.05</t>
        </is>
      </c>
    </row>
    <row r="1235">
      <c r="C1235" s="246" t="inlineStr">
        <is>
          <t xml:space="preserve">COL-01C x2 - column sides (3rd to 4th), ht 3.05</t>
        </is>
      </c>
      <c r="D1235" s="248">
        <v>2</v>
      </c>
      <c r="E1235" s="247">
        <f>2*(0.75+0.5)</f>
        <v>2.5</v>
      </c>
      <c r="F1235" s="247">
        <v>3.05</v>
      </c>
      <c r="H1235" s="249">
        <f>PRODUCT(D1235:G1235)</f>
        <v>15.25</v>
      </c>
      <c r="J1235" s="253" t="inlineStr">
        <is>
          <t xml:space="preserve">2*2*(0.75+0.5)*3.05</t>
        </is>
      </c>
    </row>
    <row r="1236">
      <c r="C1236" s="246" t="inlineStr">
        <is>
          <t xml:space="preserve">COL-01D x1 - column sides (3rd to 4th), ht 3.05</t>
        </is>
      </c>
      <c r="D1236" s="248">
        <v>1</v>
      </c>
      <c r="E1236" s="247">
        <f>2*(0.75+0.5)</f>
        <v>2.5</v>
      </c>
      <c r="F1236" s="247">
        <v>3.05</v>
      </c>
      <c r="H1236" s="249">
        <f>PRODUCT(D1236:G1236)</f>
        <v>7.625</v>
      </c>
      <c r="J1236" s="253" t="inlineStr">
        <is>
          <t xml:space="preserve">1*2*(0.75+0.5)*3.05</t>
        </is>
      </c>
    </row>
    <row r="1237">
      <c r="C1237" s="246" t="inlineStr">
        <is>
          <t xml:space="preserve">COL-02A x3 - column sides (3rd to 4th), ht 3.05</t>
        </is>
      </c>
      <c r="D1237" s="248">
        <v>3</v>
      </c>
      <c r="E1237" s="247">
        <f>2*(1.2+0.3)</f>
        <v>3.0</v>
      </c>
      <c r="F1237" s="247">
        <v>3.05</v>
      </c>
      <c r="H1237" s="249">
        <f>PRODUCT(D1237:G1237)</f>
        <v>27.45</v>
      </c>
      <c r="J1237" s="253" t="inlineStr">
        <is>
          <t xml:space="preserve">3*2*(1.2+0.3)*3.05</t>
        </is>
      </c>
    </row>
    <row r="1238">
      <c r="C1238" s="246" t="inlineStr">
        <is>
          <t xml:space="preserve">COL-02B x6 - column sides (3rd to 4th), ht 3.05</t>
        </is>
      </c>
      <c r="D1238" s="248">
        <v>6</v>
      </c>
      <c r="E1238" s="247">
        <f>2*(1.2+0.3)</f>
        <v>3.0</v>
      </c>
      <c r="F1238" s="247">
        <v>3.05</v>
      </c>
      <c r="H1238" s="249">
        <f>PRODUCT(D1238:G1238)</f>
        <v>54.9</v>
      </c>
      <c r="J1238" s="253" t="inlineStr">
        <is>
          <t xml:space="preserve">6*2*(1.2+0.3)*3.05</t>
        </is>
      </c>
    </row>
    <row r="1239">
      <c r="C1239" s="246" t="inlineStr">
        <is>
          <t xml:space="preserve">COL-02C x1 - column sides (3rd to 4th), ht 3.05</t>
        </is>
      </c>
      <c r="D1239" s="248">
        <v>1</v>
      </c>
      <c r="E1239" s="247">
        <f>2*(1.2+0.3)</f>
        <v>3.0</v>
      </c>
      <c r="F1239" s="247">
        <v>3.05</v>
      </c>
      <c r="H1239" s="249">
        <f>PRODUCT(D1239:G1239)</f>
        <v>9.149999999999999</v>
      </c>
      <c r="J1239" s="253" t="inlineStr">
        <is>
          <t xml:space="preserve">1*2*(1.2+0.3)*3.05</t>
        </is>
      </c>
    </row>
    <row r="1240">
      <c r="C1240" s="246" t="inlineStr">
        <is>
          <t xml:space="preserve">COL-02D x15 - column sides (3rd to 4th), ht 3.05</t>
        </is>
      </c>
      <c r="D1240" s="248">
        <v>15</v>
      </c>
      <c r="E1240" s="247">
        <f>2*(1.2+0.3)</f>
        <v>3.0</v>
      </c>
      <c r="F1240" s="247">
        <v>3.05</v>
      </c>
      <c r="H1240" s="249">
        <f>PRODUCT(D1240:G1240)</f>
        <v>137.25</v>
      </c>
      <c r="J1240" s="253" t="inlineStr">
        <is>
          <t xml:space="preserve">15*2*(1.2+0.3)*3.05</t>
        </is>
      </c>
    </row>
    <row r="1241">
      <c r="C1241" s="246" t="inlineStr">
        <is>
          <t xml:space="preserve">SWC-01A x1 - column sides (3rd to 4th), ht 3.05</t>
        </is>
      </c>
      <c r="D1241" s="248">
        <v>1</v>
      </c>
      <c r="E1241" s="247">
        <f>2*(2.85+1.075)</f>
        <v>7.85</v>
      </c>
      <c r="F1241" s="247">
        <v>3.05</v>
      </c>
      <c r="H1241" s="249">
        <f>PRODUCT(D1241:G1241)</f>
        <v>23.9425</v>
      </c>
      <c r="J1241" s="253" t="inlineStr">
        <is>
          <t xml:space="preserve">1*2*(2.85+1.075)*3.05</t>
        </is>
      </c>
    </row>
    <row r="1242">
      <c r="C1242" s="250" t="inlineStr">
        <is>
          <t xml:space="preserve">Total carried to BOQ  3RD FLR item L</t>
        </is>
      </c>
      <c r="D1242" s="250" t="inlineStr">
        <is>
          <t xml:space="preserve"/>
        </is>
      </c>
      <c r="E1242" s="250" t="inlineStr">
        <is>
          <t xml:space="preserve"/>
        </is>
      </c>
      <c r="F1242" s="250" t="inlineStr">
        <is>
          <t xml:space="preserve"/>
        </is>
      </c>
      <c r="G1242" s="250" t="inlineStr">
        <is>
          <t xml:space="preserve"/>
        </is>
      </c>
      <c r="H1242" s="251">
        <f>SUM(H1233:H1241)</f>
        <v>321.3175</v>
      </c>
      <c r="I1242" s="252" t="inlineStr">
        <is>
          <t xml:space="preserve">m2</t>
        </is>
      </c>
    </row>
    <row r="1243">
      <c r="A1243" s="243" t="inlineStr">
        <is>
          <t xml:space="preserve">3RD FLR</t>
        </is>
      </c>
      <c r="B1243" s="243" t="inlineStr">
        <is>
          <t xml:space="preserve">M</t>
        </is>
      </c>
      <c r="C1243" s="244" t="inlineStr">
        <is>
          <t xml:space="preserve">Concrete wall (both faces)</t>
        </is>
      </c>
      <c r="I1243" s="245" t="inlineStr">
        <is>
          <t xml:space="preserve">m2</t>
        </is>
      </c>
      <c r="K1243" s="256" t="inlineStr">
        <is>
          <t xml:space="preserve">'3RD FLR'!C57</t>
        </is>
      </c>
    </row>
    <row r="1244">
      <c r="C1244" s="246" t="inlineStr">
        <is>
          <t xml:space="preserve">Third floor (+10900) - main stair core walls (22.05 m run) (both faces)</t>
        </is>
      </c>
      <c r="D1244" s="248">
        <v>2</v>
      </c>
      <c r="E1244" s="247">
        <v>22.05</v>
      </c>
      <c r="F1244" s="247">
        <v>3.05</v>
      </c>
      <c r="H1244" s="249">
        <f>PRODUCT(D1244:G1244)</f>
        <v>134.505</v>
      </c>
      <c r="J1244" s="253" t="inlineStr">
        <is>
          <t xml:space="preserve">2*22.05*3.05</t>
        </is>
      </c>
    </row>
    <row r="1245">
      <c r="C1245" s="246" t="inlineStr">
        <is>
          <t xml:space="preserve">Third floor (+10900) - lift core walls (21.825 m run) (both faces)</t>
        </is>
      </c>
      <c r="D1245" s="248">
        <v>2</v>
      </c>
      <c r="E1245" s="247">
        <v>21.825</v>
      </c>
      <c r="F1245" s="247">
        <v>3.05</v>
      </c>
      <c r="H1245" s="249">
        <f>PRODUCT(D1245:G1245)</f>
        <v>133.1325</v>
      </c>
      <c r="J1245" s="253" t="inlineStr">
        <is>
          <t xml:space="preserve">2*21.825*3.05</t>
        </is>
      </c>
    </row>
    <row r="1246">
      <c r="C1246" s="246" t="inlineStr">
        <is>
          <t xml:space="preserve">Third floor (+10900) - emergency stair core walls (25.57 m run) (both faces)</t>
        </is>
      </c>
      <c r="D1246" s="248">
        <v>2</v>
      </c>
      <c r="E1246" s="247">
        <v>25.57</v>
      </c>
      <c r="F1246" s="247">
        <v>3.05</v>
      </c>
      <c r="H1246" s="249">
        <f>PRODUCT(D1246:G1246)</f>
        <v>155.977</v>
      </c>
      <c r="J1246" s="253" t="inlineStr">
        <is>
          <t xml:space="preserve">2*25.57*3.05</t>
        </is>
      </c>
    </row>
    <row r="1247">
      <c r="C1247" s="250" t="inlineStr">
        <is>
          <t xml:space="preserve">Total carried to BOQ  3RD FLR item M</t>
        </is>
      </c>
      <c r="D1247" s="250" t="inlineStr">
        <is>
          <t xml:space="preserve"/>
        </is>
      </c>
      <c r="E1247" s="250" t="inlineStr">
        <is>
          <t xml:space="preserve"/>
        </is>
      </c>
      <c r="F1247" s="250" t="inlineStr">
        <is>
          <t xml:space="preserve"/>
        </is>
      </c>
      <c r="G1247" s="250" t="inlineStr">
        <is>
          <t xml:space="preserve"/>
        </is>
      </c>
      <c r="H1247" s="251">
        <f>SUM(H1244:H1246)</f>
        <v>423.6145</v>
      </c>
      <c r="I1247" s="252" t="inlineStr">
        <is>
          <t xml:space="preserve">m2</t>
        </is>
      </c>
    </row>
    <row r="1248">
      <c r="A1248" s="243" t="inlineStr">
        <is>
          <t xml:space="preserve">3RD FLR</t>
        </is>
      </c>
      <c r="B1248" s="243" t="inlineStr">
        <is>
          <t xml:space="preserve">N</t>
        </is>
      </c>
      <c r="C1248" s="244" t="inlineStr">
        <is>
          <t xml:space="preserve">Soffits of stair flights, landings and risers</t>
        </is>
      </c>
      <c r="I1248" s="245" t="inlineStr">
        <is>
          <t xml:space="preserve">m2</t>
        </is>
      </c>
      <c r="K1248" s="256" t="inlineStr">
        <is>
          <t xml:space="preserve">'3RD FLR'!C59</t>
        </is>
      </c>
    </row>
    <row r="1249">
      <c r="C1249" s="246" t="inlineStr">
        <is>
          <t xml:space="preserve">Third floor (+10900) - Main stair flight (storey ht 3.3) - flight soffits: 2 x 3.424 x 1.8</t>
        </is>
      </c>
      <c r="D1249" s="248">
        <v>2</v>
      </c>
      <c r="E1249" s="247">
        <v>3.424</v>
      </c>
      <c r="F1249" s="247">
        <v>1.8</v>
      </c>
      <c r="H1249" s="249">
        <f>PRODUCT(D1249:G1249)</f>
        <v>12.3264</v>
      </c>
      <c r="J1249" s="253" t="inlineStr">
        <is>
          <t xml:space="preserve">2*3.424*1.8</t>
        </is>
      </c>
    </row>
    <row r="1250">
      <c r="C1250" s="246" t="inlineStr">
        <is>
          <t xml:space="preserve">Third floor (+10900) - Main stair flight (storey ht 3.3) - landing soffits</t>
        </is>
      </c>
      <c r="H1250" s="247">
        <v>15.0</v>
      </c>
      <c r="J1250" s="253" t="inlineStr">
        <is>
          <t xml:space="preserve">15.0</t>
        </is>
      </c>
    </row>
    <row r="1251">
      <c r="C1251" s="246" t="inlineStr">
        <is>
          <t xml:space="preserve">Third floor (+10900) - Main stair flight (storey ht 3.3) - risers: 22 x 0.15 x 1.8</t>
        </is>
      </c>
      <c r="D1251" s="248">
        <v>22</v>
      </c>
      <c r="E1251" s="247">
        <v>0.15</v>
      </c>
      <c r="F1251" s="247">
        <v>1.8</v>
      </c>
      <c r="H1251" s="249">
        <f>PRODUCT(D1251:G1251)</f>
        <v>5.9399999999999995</v>
      </c>
      <c r="J1251" s="253" t="inlineStr">
        <is>
          <t xml:space="preserve">22*0.15*1.8</t>
        </is>
      </c>
    </row>
    <row r="1252">
      <c r="C1252" s="246" t="inlineStr">
        <is>
          <t xml:space="preserve">Third floor (+10900) - Emergency stair flight (storey ht 3.3) - flight soffits: 2 x 3.424 x 1.8</t>
        </is>
      </c>
      <c r="D1252" s="248">
        <v>2</v>
      </c>
      <c r="E1252" s="247">
        <v>3.424</v>
      </c>
      <c r="F1252" s="247">
        <v>1.8</v>
      </c>
      <c r="H1252" s="249">
        <f>PRODUCT(D1252:G1252)</f>
        <v>12.3264</v>
      </c>
      <c r="J1252" s="253" t="inlineStr">
        <is>
          <t xml:space="preserve">2*3.424*1.8</t>
        </is>
      </c>
    </row>
    <row r="1253">
      <c r="C1253" s="246" t="inlineStr">
        <is>
          <t xml:space="preserve">Third floor (+10900) - Emergency stair flight (storey ht 3.3) - landing soffits</t>
        </is>
      </c>
      <c r="H1253" s="247">
        <v>15.0</v>
      </c>
      <c r="J1253" s="253" t="inlineStr">
        <is>
          <t xml:space="preserve">15.0</t>
        </is>
      </c>
    </row>
    <row r="1254">
      <c r="C1254" s="246" t="inlineStr">
        <is>
          <t xml:space="preserve">Third floor (+10900) - Emergency stair flight (storey ht 3.3) - risers: 22 x 0.15 x 1.8</t>
        </is>
      </c>
      <c r="D1254" s="248">
        <v>22</v>
      </c>
      <c r="E1254" s="247">
        <v>0.15</v>
      </c>
      <c r="F1254" s="247">
        <v>1.8</v>
      </c>
      <c r="H1254" s="249">
        <f>PRODUCT(D1254:G1254)</f>
        <v>5.9399999999999995</v>
      </c>
      <c r="J1254" s="253" t="inlineStr">
        <is>
          <t xml:space="preserve">22*0.15*1.8</t>
        </is>
      </c>
    </row>
    <row r="1255">
      <c r="C1255" s="250" t="inlineStr">
        <is>
          <t xml:space="preserve">Total carried to BOQ  3RD FLR item N</t>
        </is>
      </c>
      <c r="D1255" s="250" t="inlineStr">
        <is>
          <t xml:space="preserve"/>
        </is>
      </c>
      <c r="E1255" s="250" t="inlineStr">
        <is>
          <t xml:space="preserve"/>
        </is>
      </c>
      <c r="F1255" s="250" t="inlineStr">
        <is>
          <t xml:space="preserve"/>
        </is>
      </c>
      <c r="G1255" s="250" t="inlineStr">
        <is>
          <t xml:space="preserve"/>
        </is>
      </c>
      <c r="H1255" s="251">
        <f>SUM(H1249:H1254)</f>
        <v>66.5328</v>
      </c>
      <c r="I1255" s="252" t="inlineStr">
        <is>
          <t xml:space="preserve">m2</t>
        </is>
      </c>
    </row>
    <row r="1256">
      <c r="A1256" s="243" t="inlineStr">
        <is>
          <t xml:space="preserve">3RD FLR</t>
        </is>
      </c>
      <c r="B1256" s="243" t="inlineStr">
        <is>
          <t xml:space="preserve">P</t>
        </is>
      </c>
      <c r="C1256" s="244" t="inlineStr">
        <is>
          <t xml:space="preserve">Side and soffits of lintel / coping</t>
        </is>
      </c>
      <c r="I1256" s="245" t="inlineStr">
        <is>
          <t xml:space="preserve">m2</t>
        </is>
      </c>
      <c r="K1256" s="256" t="inlineStr">
        <is>
          <t xml:space="preserve">'3RD FLR'!C61</t>
        </is>
      </c>
    </row>
    <row r="1257">
      <c r="C1257" s="246" t="inlineStr">
        <is>
          <t xml:space="preserve">Lintel formwork over D2 (10 nr, 1x2.2): nr x (width + 2 x 150 bearing) x girth 0.60</t>
        </is>
      </c>
      <c r="D1257" s="248">
        <v>10</v>
      </c>
      <c r="E1257" s="247">
        <f>1+0.3</f>
        <v>1.3</v>
      </c>
      <c r="F1257" s="247">
        <f>2*0.225+0.15</f>
        <v>0.6</v>
      </c>
      <c r="H1257" s="249">
        <f>PRODUCT(D1257:G1257)</f>
        <v>7.8</v>
      </c>
      <c r="J1257" s="253" t="inlineStr">
        <is>
          <t xml:space="preserve">10*(1+0.3)*(2*0.225+0.15)</t>
        </is>
      </c>
    </row>
    <row r="1258">
      <c r="C1258" s="246" t="inlineStr">
        <is>
          <t xml:space="preserve">Lintel formwork over D3 (19 nr, 0.9x2.2): nr x (width + 2 x 150 bearing) x girth 0.60</t>
        </is>
      </c>
      <c r="D1258" s="248">
        <v>19</v>
      </c>
      <c r="E1258" s="247">
        <f>0.9+0.3</f>
        <v>1.2</v>
      </c>
      <c r="F1258" s="247">
        <f>2*0.225+0.15</f>
        <v>0.6</v>
      </c>
      <c r="H1258" s="249">
        <f>PRODUCT(D1258:G1258)</f>
        <v>13.68</v>
      </c>
      <c r="J1258" s="253" t="inlineStr">
        <is>
          <t xml:space="preserve">19*(0.9+0.3)*(2*0.225+0.15)</t>
        </is>
      </c>
    </row>
    <row r="1259">
      <c r="C1259" s="246" t="inlineStr">
        <is>
          <t xml:space="preserve">Lintel formwork over D6 (21 nr, 0.75x2.2): nr x (width + 2 x 150 bearing) x girth 0.60</t>
        </is>
      </c>
      <c r="D1259" s="248">
        <v>21</v>
      </c>
      <c r="E1259" s="247">
        <f>0.75+0.3</f>
        <v>1.05</v>
      </c>
      <c r="F1259" s="247">
        <f>2*0.225+0.15</f>
        <v>0.6</v>
      </c>
      <c r="H1259" s="249">
        <f>PRODUCT(D1259:G1259)</f>
        <v>13.23</v>
      </c>
      <c r="J1259" s="253" t="inlineStr">
        <is>
          <t xml:space="preserve">21*(0.75+0.3)*(2*0.225+0.15)</t>
        </is>
      </c>
    </row>
    <row r="1260">
      <c r="C1260" s="246" t="inlineStr">
        <is>
          <t xml:space="preserve">Lintel formwork over D7 (2 nr, 0.7x2.2): nr x (width + 2 x 150 bearing) x girth 0.60</t>
        </is>
      </c>
      <c r="D1260" s="248">
        <v>2</v>
      </c>
      <c r="E1260" s="247">
        <f>0.7+0.3</f>
        <v>1.0</v>
      </c>
      <c r="F1260" s="247">
        <f>2*0.225+0.15</f>
        <v>0.6</v>
      </c>
      <c r="H1260" s="249">
        <f>PRODUCT(D1260:G1260)</f>
        <v>1.2</v>
      </c>
      <c r="J1260" s="253" t="inlineStr">
        <is>
          <t xml:space="preserve">2*(0.7+0.3)*(2*0.225+0.15)</t>
        </is>
      </c>
    </row>
    <row r="1261">
      <c r="C1261" s="246" t="inlineStr">
        <is>
          <t xml:space="preserve">Lintel formwork over D8 (3 nr, 1.2x2.2): nr x (width + 2 x 150 bearing) x girth 0.60</t>
        </is>
      </c>
      <c r="D1261" s="248">
        <v>3</v>
      </c>
      <c r="E1261" s="247">
        <f>1.2+0.3</f>
        <v>1.5</v>
      </c>
      <c r="F1261" s="247">
        <f>2*0.225+0.15</f>
        <v>0.6</v>
      </c>
      <c r="H1261" s="249">
        <f>PRODUCT(D1261:G1261)</f>
        <v>2.6999999999999997</v>
      </c>
      <c r="J1261" s="253" t="inlineStr">
        <is>
          <t xml:space="preserve">3*(1.2+0.3)*(2*0.225+0.15)</t>
        </is>
      </c>
    </row>
    <row r="1262">
      <c r="C1262" s="246" t="inlineStr">
        <is>
          <t xml:space="preserve">Lintel formwork over ED1 (3 nr, 1x2.2): nr x (width + 2 x 150 bearing) x girth 0.60</t>
        </is>
      </c>
      <c r="D1262" s="248">
        <v>3</v>
      </c>
      <c r="E1262" s="247">
        <f>1+0.3</f>
        <v>1.3</v>
      </c>
      <c r="F1262" s="247">
        <f>2*0.225+0.15</f>
        <v>0.6</v>
      </c>
      <c r="H1262" s="249">
        <f>PRODUCT(D1262:G1262)</f>
        <v>2.3400000000000003</v>
      </c>
      <c r="J1262" s="253" t="inlineStr">
        <is>
          <t xml:space="preserve">3*(1+0.3)*(2*0.225+0.15)</t>
        </is>
      </c>
    </row>
    <row r="1263">
      <c r="C1263" s="246" t="inlineStr">
        <is>
          <t xml:space="preserve">Lintel formwork over ED2 (3 nr, 1x2.2): nr x (width + 2 x 150 bearing) x girth 0.60</t>
        </is>
      </c>
      <c r="D1263" s="248">
        <v>3</v>
      </c>
      <c r="E1263" s="247">
        <f>1+0.3</f>
        <v>1.3</v>
      </c>
      <c r="F1263" s="247">
        <f>2*0.225+0.15</f>
        <v>0.6</v>
      </c>
      <c r="H1263" s="249">
        <f>PRODUCT(D1263:G1263)</f>
        <v>2.3400000000000003</v>
      </c>
      <c r="J1263" s="253" t="inlineStr">
        <is>
          <t xml:space="preserve">3*(1+0.3)*(2*0.225+0.15)</t>
        </is>
      </c>
    </row>
    <row r="1264">
      <c r="C1264" s="246" t="inlineStr">
        <is>
          <t xml:space="preserve">Lintel formwork over D9 (2 nr, 0.9x2.2): nr x (width + 2 x 150 bearing) x girth 0.60</t>
        </is>
      </c>
      <c r="D1264" s="248">
        <v>2</v>
      </c>
      <c r="E1264" s="247">
        <f>0.9+0.3</f>
        <v>1.2</v>
      </c>
      <c r="F1264" s="247">
        <f>2*0.225+0.15</f>
        <v>0.6</v>
      </c>
      <c r="H1264" s="249">
        <f>PRODUCT(D1264:G1264)</f>
        <v>1.44</v>
      </c>
      <c r="J1264" s="253" t="inlineStr">
        <is>
          <t xml:space="preserve">2*(0.9+0.3)*(2*0.225+0.15)</t>
        </is>
      </c>
    </row>
    <row r="1265">
      <c r="C1265" s="246" t="inlineStr">
        <is>
          <t xml:space="preserve">Lintel formwork over FD1 (1 nr, 1.5x2.2): nr x (width + 2 x 150 bearing) x girth 0.60</t>
        </is>
      </c>
      <c r="D1265" s="248">
        <v>1</v>
      </c>
      <c r="E1265" s="247">
        <f>1.5+0.3</f>
        <v>1.8</v>
      </c>
      <c r="F1265" s="247">
        <f>2*0.225+0.15</f>
        <v>0.6</v>
      </c>
      <c r="H1265" s="249">
        <f>PRODUCT(D1265:G1265)</f>
        <v>1.08</v>
      </c>
      <c r="J1265" s="253" t="inlineStr">
        <is>
          <t xml:space="preserve">1*(1.5+0.3)*(2*0.225+0.15)</t>
        </is>
      </c>
    </row>
    <row r="1266">
      <c r="C1266" s="246" t="inlineStr">
        <is>
          <t xml:space="preserve">Lintel formwork over M1 (3 nr, 0.9x2.2): nr x (width + 2 x 150 bearing) x girth 0.60</t>
        </is>
      </c>
      <c r="D1266" s="248">
        <v>3</v>
      </c>
      <c r="E1266" s="247">
        <f>0.9+0.3</f>
        <v>1.2</v>
      </c>
      <c r="F1266" s="247">
        <f>2*0.225+0.15</f>
        <v>0.6</v>
      </c>
      <c r="H1266" s="249">
        <f>PRODUCT(D1266:G1266)</f>
        <v>2.1599999999999997</v>
      </c>
      <c r="J1266" s="253" t="inlineStr">
        <is>
          <t xml:space="preserve">3*(0.9+0.3)*(2*0.225+0.15)</t>
        </is>
      </c>
    </row>
    <row r="1267">
      <c r="C1267" s="246" t="inlineStr">
        <is>
          <t xml:space="preserve">Lintel formwork over M2 (5 nr, 0.75x2.2): nr x (width + 2 x 150 bearing) x girth 0.60</t>
        </is>
      </c>
      <c r="D1267" s="248">
        <v>5</v>
      </c>
      <c r="E1267" s="247">
        <f>0.75+0.3</f>
        <v>1.05</v>
      </c>
      <c r="F1267" s="247">
        <f>2*0.225+0.15</f>
        <v>0.6</v>
      </c>
      <c r="H1267" s="249">
        <f>PRODUCT(D1267:G1267)</f>
        <v>3.15</v>
      </c>
      <c r="J1267" s="253" t="inlineStr">
        <is>
          <t xml:space="preserve">5*(0.75+0.3)*(2*0.225+0.15)</t>
        </is>
      </c>
    </row>
    <row r="1268">
      <c r="C1268" s="246" t="inlineStr">
        <is>
          <t xml:space="preserve">Lintel formwork over M3 (1 nr, 0.45x2.2): nr x (width + 2 x 150 bearing) x girth 0.60</t>
        </is>
      </c>
      <c r="D1268" s="248">
        <v>1</v>
      </c>
      <c r="E1268" s="247">
        <f>0.45+0.3</f>
        <v>0.75</v>
      </c>
      <c r="F1268" s="247">
        <f>2*0.225+0.15</f>
        <v>0.6</v>
      </c>
      <c r="H1268" s="249">
        <f>PRODUCT(D1268:G1268)</f>
        <v>0.44999999999999996</v>
      </c>
      <c r="J1268" s="253" t="inlineStr">
        <is>
          <t xml:space="preserve">1*(0.45+0.3)*(2*0.225+0.15)</t>
        </is>
      </c>
    </row>
    <row r="1269">
      <c r="C1269" s="246" t="inlineStr">
        <is>
          <t xml:space="preserve">Lintel formwork over M5 (3 nr, 0.6x2.2): nr x (width + 2 x 150 bearing) x girth 0.60</t>
        </is>
      </c>
      <c r="D1269" s="248">
        <v>3</v>
      </c>
      <c r="E1269" s="247">
        <f>0.6+0.3</f>
        <v>0.8999999999999999</v>
      </c>
      <c r="F1269" s="247">
        <f>2*0.225+0.15</f>
        <v>0.6</v>
      </c>
      <c r="H1269" s="249">
        <f>PRODUCT(D1269:G1269)</f>
        <v>1.6199999999999999</v>
      </c>
      <c r="J1269" s="253" t="inlineStr">
        <is>
          <t xml:space="preserve">3*(0.6+0.3)*(2*0.225+0.15)</t>
        </is>
      </c>
    </row>
    <row r="1270">
      <c r="C1270" s="246" t="inlineStr">
        <is>
          <t xml:space="preserve">Lintel formwork over SD1 (1 nr, 3x2.2): nr x (width + 2 x 150 bearing) x girth 0.60</t>
        </is>
      </c>
      <c r="D1270" s="248">
        <v>1</v>
      </c>
      <c r="E1270" s="247">
        <f>3+0.3</f>
        <v>3.3</v>
      </c>
      <c r="F1270" s="247">
        <f>2*0.225+0.15</f>
        <v>0.6</v>
      </c>
      <c r="H1270" s="249">
        <f>PRODUCT(D1270:G1270)</f>
        <v>1.9799999999999998</v>
      </c>
      <c r="J1270" s="253" t="inlineStr">
        <is>
          <t xml:space="preserve">1*(3+0.3)*(2*0.225+0.15)</t>
        </is>
      </c>
    </row>
    <row r="1271">
      <c r="C1271" s="246" t="inlineStr">
        <is>
          <t xml:space="preserve">Lintel formwork over SD2 (4 nr, 1.6x2.2): nr x (width + 2 x 150 bearing) x girth 0.60</t>
        </is>
      </c>
      <c r="D1271" s="248">
        <v>4</v>
      </c>
      <c r="E1271" s="247">
        <f>1.6+0.3</f>
        <v>1.9000000000000001</v>
      </c>
      <c r="F1271" s="247">
        <f>2*0.225+0.15</f>
        <v>0.6</v>
      </c>
      <c r="H1271" s="249">
        <f>PRODUCT(D1271:G1271)</f>
        <v>4.5600000000000005</v>
      </c>
      <c r="J1271" s="253" t="inlineStr">
        <is>
          <t xml:space="preserve">4*(1.6+0.3)*(2*0.225+0.15)</t>
        </is>
      </c>
    </row>
    <row r="1272">
      <c r="C1272" s="246" t="inlineStr">
        <is>
          <t xml:space="preserve">Lintel formwork over SD3 (3 nr, 1.3x2.2): nr x (width + 2 x 150 bearing) x girth 0.60</t>
        </is>
      </c>
      <c r="D1272" s="248">
        <v>3</v>
      </c>
      <c r="E1272" s="247">
        <f>1.3+0.3</f>
        <v>1.6</v>
      </c>
      <c r="F1272" s="247">
        <f>2*0.225+0.15</f>
        <v>0.6</v>
      </c>
      <c r="H1272" s="249">
        <f>PRODUCT(D1272:G1272)</f>
        <v>2.8800000000000003</v>
      </c>
      <c r="J1272" s="253" t="inlineStr">
        <is>
          <t xml:space="preserve">3*(1.3+0.3)*(2*0.225+0.15)</t>
        </is>
      </c>
    </row>
    <row r="1273">
      <c r="C1273" s="246" t="inlineStr">
        <is>
          <t xml:space="preserve">Lintel formwork over SD4 (5 nr, 1.8x2.2): nr x (width + 2 x 150 bearing) x girth 0.60</t>
        </is>
      </c>
      <c r="D1273" s="248">
        <v>5</v>
      </c>
      <c r="E1273" s="247">
        <f>1.8+0.3</f>
        <v>2.1</v>
      </c>
      <c r="F1273" s="247">
        <f>2*0.225+0.15</f>
        <v>0.6</v>
      </c>
      <c r="H1273" s="249">
        <f>PRODUCT(D1273:G1273)</f>
        <v>6.3</v>
      </c>
      <c r="J1273" s="253" t="inlineStr">
        <is>
          <t xml:space="preserve">5*(1.8+0.3)*(2*0.225+0.15)</t>
        </is>
      </c>
    </row>
    <row r="1274">
      <c r="C1274" s="246" t="inlineStr">
        <is>
          <t xml:space="preserve">Lintel formwork over SD5 (1 nr, 1.2x2.2): nr x (width + 2 x 150 bearing) x girth 0.60</t>
        </is>
      </c>
      <c r="D1274" s="248">
        <v>1</v>
      </c>
      <c r="E1274" s="247">
        <f>1.2+0.3</f>
        <v>1.5</v>
      </c>
      <c r="F1274" s="247">
        <f>2*0.225+0.15</f>
        <v>0.6</v>
      </c>
      <c r="H1274" s="249">
        <f>PRODUCT(D1274:G1274)</f>
        <v>0.8999999999999999</v>
      </c>
      <c r="J1274" s="253" t="inlineStr">
        <is>
          <t xml:space="preserve">1*(1.2+0.3)*(2*0.225+0.15)</t>
        </is>
      </c>
    </row>
    <row r="1275">
      <c r="C1275" s="246" t="inlineStr">
        <is>
          <t xml:space="preserve">Lintel formwork over W2 (7 nr, 1.8x1.3): nr x (width + 2 x 150 bearing) x girth 0.60</t>
        </is>
      </c>
      <c r="D1275" s="248">
        <v>7</v>
      </c>
      <c r="E1275" s="247">
        <f>1.8+0.3</f>
        <v>2.1</v>
      </c>
      <c r="F1275" s="247">
        <f>2*0.225+0.15</f>
        <v>0.6</v>
      </c>
      <c r="H1275" s="249">
        <f>PRODUCT(D1275:G1275)</f>
        <v>8.82</v>
      </c>
      <c r="J1275" s="253" t="inlineStr">
        <is>
          <t xml:space="preserve">7*(1.8+0.3)*(2*0.225+0.15)</t>
        </is>
      </c>
    </row>
    <row r="1276">
      <c r="C1276" s="246" t="inlineStr">
        <is>
          <t xml:space="preserve">Lintel formwork over W4 (13 nr, 0.9x1.3): nr x (width + 2 x 150 bearing) x girth 0.60</t>
        </is>
      </c>
      <c r="D1276" s="248">
        <v>13</v>
      </c>
      <c r="E1276" s="247">
        <f>0.9+0.3</f>
        <v>1.2</v>
      </c>
      <c r="F1276" s="247">
        <f>2*0.225+0.15</f>
        <v>0.6</v>
      </c>
      <c r="H1276" s="249">
        <f>PRODUCT(D1276:G1276)</f>
        <v>9.36</v>
      </c>
      <c r="J1276" s="253" t="inlineStr">
        <is>
          <t xml:space="preserve">13*(0.9+0.3)*(2*0.225+0.15)</t>
        </is>
      </c>
    </row>
    <row r="1277">
      <c r="C1277" s="246" t="inlineStr">
        <is>
          <t xml:space="preserve">Lintel formwork over W7 (2 nr, 1.8x1.6): nr x (width + 2 x 150 bearing) x girth 0.60</t>
        </is>
      </c>
      <c r="D1277" s="248">
        <v>2</v>
      </c>
      <c r="E1277" s="247">
        <f>1.8+0.3</f>
        <v>2.1</v>
      </c>
      <c r="F1277" s="247">
        <f>2*0.225+0.15</f>
        <v>0.6</v>
      </c>
      <c r="H1277" s="249">
        <f>PRODUCT(D1277:G1277)</f>
        <v>2.52</v>
      </c>
      <c r="J1277" s="253" t="inlineStr">
        <is>
          <t xml:space="preserve">2*(1.8+0.3)*(2*0.225+0.15)</t>
        </is>
      </c>
    </row>
    <row r="1278">
      <c r="C1278" s="246" t="inlineStr">
        <is>
          <t xml:space="preserve">Lintel formwork over W8 (4 nr, 1.2x1.9): nr x (width + 2 x 150 bearing) x girth 0.60</t>
        </is>
      </c>
      <c r="D1278" s="248">
        <v>4</v>
      </c>
      <c r="E1278" s="247">
        <f>1.2+0.3</f>
        <v>1.5</v>
      </c>
      <c r="F1278" s="247">
        <f>2*0.225+0.15</f>
        <v>0.6</v>
      </c>
      <c r="H1278" s="249">
        <f>PRODUCT(D1278:G1278)</f>
        <v>3.5999999999999996</v>
      </c>
      <c r="J1278" s="253" t="inlineStr">
        <is>
          <t xml:space="preserve">4*(1.2+0.3)*(2*0.225+0.15)</t>
        </is>
      </c>
    </row>
    <row r="1279">
      <c r="C1279" s="246" t="inlineStr">
        <is>
          <t xml:space="preserve">Lintel formwork over W9 (10 nr, 1.2x1.15): nr x (width + 2 x 150 bearing) x girth 0.60</t>
        </is>
      </c>
      <c r="D1279" s="248">
        <v>10</v>
      </c>
      <c r="E1279" s="247">
        <f>1.2+0.3</f>
        <v>1.5</v>
      </c>
      <c r="F1279" s="247">
        <f>2*0.225+0.15</f>
        <v>0.6</v>
      </c>
      <c r="H1279" s="249">
        <f>PRODUCT(D1279:G1279)</f>
        <v>9.0</v>
      </c>
      <c r="J1279" s="253" t="inlineStr">
        <is>
          <t xml:space="preserve">10*(1.2+0.3)*(2*0.225+0.15)</t>
        </is>
      </c>
    </row>
    <row r="1280">
      <c r="C1280" s="246" t="inlineStr">
        <is>
          <t xml:space="preserve">Lintel formwork over W10 (1 nr, 1.2x1.2): nr x (width + 2 x 150 bearing) x girth 0.60</t>
        </is>
      </c>
      <c r="D1280" s="248">
        <v>1</v>
      </c>
      <c r="E1280" s="247">
        <f>1.2+0.3</f>
        <v>1.5</v>
      </c>
      <c r="F1280" s="247">
        <f>2*0.225+0.15</f>
        <v>0.6</v>
      </c>
      <c r="H1280" s="249">
        <f>PRODUCT(D1280:G1280)</f>
        <v>0.8999999999999999</v>
      </c>
      <c r="J1280" s="253" t="inlineStr">
        <is>
          <t xml:space="preserve">1*(1.2+0.3)*(2*0.225+0.15)</t>
        </is>
      </c>
    </row>
    <row r="1281">
      <c r="C1281" s="246" t="inlineStr">
        <is>
          <t xml:space="preserve">Lintel formwork over W11 (8 nr, 1.5x1.3): nr x (width + 2 x 150 bearing) x girth 0.60</t>
        </is>
      </c>
      <c r="D1281" s="248">
        <v>8</v>
      </c>
      <c r="E1281" s="247">
        <f>1.5+0.3</f>
        <v>1.8</v>
      </c>
      <c r="F1281" s="247">
        <f>2*0.225+0.15</f>
        <v>0.6</v>
      </c>
      <c r="H1281" s="249">
        <f>PRODUCT(D1281:G1281)</f>
        <v>8.64</v>
      </c>
      <c r="J1281" s="253" t="inlineStr">
        <is>
          <t xml:space="preserve">8*(1.5+0.3)*(2*0.225+0.15)</t>
        </is>
      </c>
    </row>
    <row r="1282">
      <c r="C1282" s="246" t="inlineStr">
        <is>
          <t xml:space="preserve">Lintel formwork over W12 (4 nr, 1.5x1.15): nr x (width + 2 x 150 bearing) x girth 0.60</t>
        </is>
      </c>
      <c r="D1282" s="248">
        <v>4</v>
      </c>
      <c r="E1282" s="247">
        <f>1.5+0.3</f>
        <v>1.8</v>
      </c>
      <c r="F1282" s="247">
        <f>2*0.225+0.15</f>
        <v>0.6</v>
      </c>
      <c r="H1282" s="249">
        <f>PRODUCT(D1282:G1282)</f>
        <v>4.32</v>
      </c>
      <c r="J1282" s="253" t="inlineStr">
        <is>
          <t xml:space="preserve">4*(1.5+0.3)*(2*0.225+0.15)</t>
        </is>
      </c>
    </row>
    <row r="1283">
      <c r="C1283" s="246" t="inlineStr">
        <is>
          <t xml:space="preserve">Lintel formwork over W13 (1 nr, 2.4x1.3): nr x (width + 2 x 150 bearing) x girth 0.60</t>
        </is>
      </c>
      <c r="D1283" s="248">
        <v>1</v>
      </c>
      <c r="E1283" s="247">
        <f>2.4+0.3</f>
        <v>2.6999999999999997</v>
      </c>
      <c r="F1283" s="247">
        <f>2*0.225+0.15</f>
        <v>0.6</v>
      </c>
      <c r="H1283" s="249">
        <f>PRODUCT(D1283:G1283)</f>
        <v>1.6199999999999999</v>
      </c>
      <c r="J1283" s="253" t="inlineStr">
        <is>
          <t xml:space="preserve">1*(2.4+0.3)*(2*0.225+0.15)</t>
        </is>
      </c>
    </row>
    <row r="1284">
      <c r="C1284" s="246" t="inlineStr">
        <is>
          <t xml:space="preserve">Lintel formwork over W15 (1 nr, 3x1.6): nr x (width + 2 x 150 bearing) x girth 0.60</t>
        </is>
      </c>
      <c r="D1284" s="248">
        <v>1</v>
      </c>
      <c r="E1284" s="247">
        <f>3+0.3</f>
        <v>3.3</v>
      </c>
      <c r="F1284" s="247">
        <f>2*0.225+0.15</f>
        <v>0.6</v>
      </c>
      <c r="H1284" s="249">
        <f>PRODUCT(D1284:G1284)</f>
        <v>1.9799999999999998</v>
      </c>
      <c r="J1284" s="253" t="inlineStr">
        <is>
          <t xml:space="preserve">1*(3+0.3)*(2*0.225+0.15)</t>
        </is>
      </c>
    </row>
    <row r="1285">
      <c r="C1285" s="246" t="inlineStr">
        <is>
          <t xml:space="preserve">Lintel formwork over W17 (4 nr, 1.8x1.9): nr x (width + 2 x 150 bearing) x girth 0.60</t>
        </is>
      </c>
      <c r="D1285" s="248">
        <v>4</v>
      </c>
      <c r="E1285" s="247">
        <f>1.8+0.3</f>
        <v>2.1</v>
      </c>
      <c r="F1285" s="247">
        <f>2*0.225+0.15</f>
        <v>0.6</v>
      </c>
      <c r="H1285" s="249">
        <f>PRODUCT(D1285:G1285)</f>
        <v>5.04</v>
      </c>
      <c r="J1285" s="253" t="inlineStr">
        <is>
          <t xml:space="preserve">4*(1.8+0.3)*(2*0.225+0.15)</t>
        </is>
      </c>
    </row>
    <row r="1286">
      <c r="C1286" s="246" t="inlineStr">
        <is>
          <t xml:space="preserve">Lintel formwork over W18 (1 nr, 0.75x1.3): nr x (width + 2 x 150 bearing) x girth 0.60</t>
        </is>
      </c>
      <c r="D1286" s="248">
        <v>1</v>
      </c>
      <c r="E1286" s="247">
        <f>0.75+0.3</f>
        <v>1.05</v>
      </c>
      <c r="F1286" s="247">
        <f>2*0.225+0.15</f>
        <v>0.6</v>
      </c>
      <c r="H1286" s="249">
        <f>PRODUCT(D1286:G1286)</f>
        <v>0.63</v>
      </c>
      <c r="J1286" s="253" t="inlineStr">
        <is>
          <t xml:space="preserve">1*(0.75+0.3)*(2*0.225+0.15)</t>
        </is>
      </c>
    </row>
    <row r="1287">
      <c r="C1287" s="246" t="inlineStr">
        <is>
          <t xml:space="preserve">Lintel formwork over W20 (1 nr, 1.45x1.9): nr x (width + 2 x 150 bearing) x girth 0.60</t>
        </is>
      </c>
      <c r="D1287" s="248">
        <v>1</v>
      </c>
      <c r="E1287" s="247">
        <f>1.45+0.3</f>
        <v>1.75</v>
      </c>
      <c r="F1287" s="247">
        <f>2*0.225+0.15</f>
        <v>0.6</v>
      </c>
      <c r="H1287" s="249">
        <f>PRODUCT(D1287:G1287)</f>
        <v>1.05</v>
      </c>
      <c r="J1287" s="253" t="inlineStr">
        <is>
          <t xml:space="preserve">1*(1.45+0.3)*(2*0.225+0.15)</t>
        </is>
      </c>
    </row>
    <row r="1288">
      <c r="C1288" s="246" t="inlineStr">
        <is>
          <t xml:space="preserve">Lintel formwork over HW1 (12 nr, 0.9x0.6): nr x (width + 2 x 150 bearing) x girth 0.60</t>
        </is>
      </c>
      <c r="D1288" s="248">
        <v>12</v>
      </c>
      <c r="E1288" s="247">
        <f>0.9+0.3</f>
        <v>1.2</v>
      </c>
      <c r="F1288" s="247">
        <f>2*0.225+0.15</f>
        <v>0.6</v>
      </c>
      <c r="H1288" s="249">
        <f>PRODUCT(D1288:G1288)</f>
        <v>8.639999999999999</v>
      </c>
      <c r="J1288" s="253" t="inlineStr">
        <is>
          <t xml:space="preserve">12*(0.9+0.3)*(2*0.225+0.15)</t>
        </is>
      </c>
    </row>
    <row r="1289">
      <c r="C1289" s="246" t="inlineStr">
        <is>
          <t xml:space="preserve">Lintel formwork over HW2 (5 nr, 0.75x0.6): nr x (width + 2 x 150 bearing) x girth 0.60</t>
        </is>
      </c>
      <c r="D1289" s="248">
        <v>5</v>
      </c>
      <c r="E1289" s="247">
        <f>0.75+0.3</f>
        <v>1.05</v>
      </c>
      <c r="F1289" s="247">
        <f>2*0.225+0.15</f>
        <v>0.6</v>
      </c>
      <c r="H1289" s="249">
        <f>PRODUCT(D1289:G1289)</f>
        <v>3.15</v>
      </c>
      <c r="J1289" s="253" t="inlineStr">
        <is>
          <t xml:space="preserve">5*(0.75+0.3)*(2*0.225+0.15)</t>
        </is>
      </c>
    </row>
    <row r="1290">
      <c r="C1290" s="246" t="inlineStr">
        <is>
          <t xml:space="preserve">Lintel formwork over HW3 (1 nr, 0.6x0.6): nr x (width + 2 x 150 bearing) x girth 0.60</t>
        </is>
      </c>
      <c r="D1290" s="248">
        <v>1</v>
      </c>
      <c r="E1290" s="247">
        <f>0.6+0.3</f>
        <v>0.8999999999999999</v>
      </c>
      <c r="F1290" s="247">
        <f>2*0.225+0.15</f>
        <v>0.6</v>
      </c>
      <c r="H1290" s="249">
        <f>PRODUCT(D1290:G1290)</f>
        <v>0.5399999999999999</v>
      </c>
      <c r="J1290" s="253" t="inlineStr">
        <is>
          <t xml:space="preserve">1*(0.6+0.3)*(2*0.225+0.15)</t>
        </is>
      </c>
    </row>
    <row r="1291">
      <c r="C1291" s="246" t="inlineStr">
        <is>
          <t xml:space="preserve">Lintel formwork over HW4 (1 nr, 1.2x0.6): nr x (width + 2 x 150 bearing) x girth 0.60</t>
        </is>
      </c>
      <c r="D1291" s="248">
        <v>1</v>
      </c>
      <c r="E1291" s="247">
        <f>1.2+0.3</f>
        <v>1.5</v>
      </c>
      <c r="F1291" s="247">
        <f>2*0.225+0.15</f>
        <v>0.6</v>
      </c>
      <c r="H1291" s="249">
        <f>PRODUCT(D1291:G1291)</f>
        <v>0.8999999999999999</v>
      </c>
      <c r="J1291" s="253" t="inlineStr">
        <is>
          <t xml:space="preserve">1*(1.2+0.3)*(2*0.225+0.15)</t>
        </is>
      </c>
    </row>
    <row r="1292">
      <c r="C1292" s="250" t="inlineStr">
        <is>
          <t xml:space="preserve">Total carried to BOQ  3RD FLR item P</t>
        </is>
      </c>
      <c r="D1292" s="250" t="inlineStr">
        <is>
          <t xml:space="preserve"/>
        </is>
      </c>
      <c r="E1292" s="250" t="inlineStr">
        <is>
          <t xml:space="preserve"/>
        </is>
      </c>
      <c r="F1292" s="250" t="inlineStr">
        <is>
          <t xml:space="preserve"/>
        </is>
      </c>
      <c r="G1292" s="250" t="inlineStr">
        <is>
          <t xml:space="preserve"/>
        </is>
      </c>
      <c r="H1292" s="251">
        <f>SUM(H1257:H1291)</f>
        <v>140.52000000000004</v>
      </c>
      <c r="I1292" s="252" t="inlineStr">
        <is>
          <t xml:space="preserve">m2</t>
        </is>
      </c>
    </row>
    <row r="1293">
      <c r="C1293" s="242" t="inlineStr">
        <is>
          <t xml:space="preserve">E30 REINFORCEMENT - High tensile yield round bar reinforcement (standard) to BS 4449:</t>
        </is>
      </c>
    </row>
    <row r="1294">
      <c r="A1294" s="243" t="inlineStr">
        <is>
          <t xml:space="preserve">3RD FLR</t>
        </is>
      </c>
      <c r="B1294" s="243" t="inlineStr">
        <is>
          <t xml:space="preserve">Q</t>
        </is>
      </c>
      <c r="C1294" s="244" t="inlineStr">
        <is>
          <t xml:space="preserve">10mm diameter in columns</t>
        </is>
      </c>
      <c r="I1294" s="245" t="inlineStr">
        <is>
          <t xml:space="preserve">t</t>
        </is>
      </c>
      <c r="K1294" s="256" t="inlineStr">
        <is>
          <t xml:space="preserve">'3RD FLR'!C64</t>
        </is>
      </c>
    </row>
    <row r="1295">
      <c r="C1295" s="246" t="inlineStr">
        <is>
          <t xml:space="preserve">Third floor (+10900) - Columns, Y10 (from reinforcement take-off / BBS)</t>
        </is>
      </c>
      <c r="H1295" s="247">
        <v>4.551</v>
      </c>
      <c r="J1295" s="253" t="inlineStr">
        <is>
          <t xml:space="preserve">4.551</t>
        </is>
      </c>
    </row>
    <row r="1296">
      <c r="C1296" s="250" t="inlineStr">
        <is>
          <t xml:space="preserve">Total carried to BOQ  3RD FLR item Q</t>
        </is>
      </c>
      <c r="D1296" s="250" t="inlineStr">
        <is>
          <t xml:space="preserve"/>
        </is>
      </c>
      <c r="E1296" s="250" t="inlineStr">
        <is>
          <t xml:space="preserve"/>
        </is>
      </c>
      <c r="F1296" s="250" t="inlineStr">
        <is>
          <t xml:space="preserve"/>
        </is>
      </c>
      <c r="G1296" s="250" t="inlineStr">
        <is>
          <t xml:space="preserve"/>
        </is>
      </c>
      <c r="H1296" s="251">
        <f>SUM(H1295:H1295)</f>
        <v>4.551</v>
      </c>
      <c r="I1296" s="252" t="inlineStr">
        <is>
          <t xml:space="preserve">t</t>
        </is>
      </c>
    </row>
    <row r="1297">
      <c r="A1297" s="243" t="inlineStr">
        <is>
          <t xml:space="preserve">3RD FLR</t>
        </is>
      </c>
      <c r="B1297" s="243" t="inlineStr">
        <is>
          <t xml:space="preserve">R</t>
        </is>
      </c>
      <c r="C1297" s="244" t="inlineStr">
        <is>
          <t xml:space="preserve">20mm diameter in columns</t>
        </is>
      </c>
      <c r="I1297" s="245" t="inlineStr">
        <is>
          <t xml:space="preserve">t</t>
        </is>
      </c>
      <c r="K1297" s="256" t="inlineStr">
        <is>
          <t xml:space="preserve">'3RD FLR'!C66</t>
        </is>
      </c>
    </row>
    <row r="1298">
      <c r="C1298" s="246" t="inlineStr">
        <is>
          <t xml:space="preserve">Third floor (+10900) - Columns, Y20 (from reinforcement take-off / BBS)</t>
        </is>
      </c>
      <c r="H1298" s="247">
        <v>7.133</v>
      </c>
      <c r="J1298" s="253" t="inlineStr">
        <is>
          <t xml:space="preserve">7.133</t>
        </is>
      </c>
    </row>
    <row r="1299">
      <c r="C1299" s="250" t="inlineStr">
        <is>
          <t xml:space="preserve">Total carried to BOQ  3RD FLR item R</t>
        </is>
      </c>
      <c r="D1299" s="250" t="inlineStr">
        <is>
          <t xml:space="preserve"/>
        </is>
      </c>
      <c r="E1299" s="250" t="inlineStr">
        <is>
          <t xml:space="preserve"/>
        </is>
      </c>
      <c r="F1299" s="250" t="inlineStr">
        <is>
          <t xml:space="preserve"/>
        </is>
      </c>
      <c r="G1299" s="250" t="inlineStr">
        <is>
          <t xml:space="preserve"/>
        </is>
      </c>
      <c r="H1299" s="251">
        <f>SUM(H1298:H1298)</f>
        <v>7.133</v>
      </c>
      <c r="I1299" s="252" t="inlineStr">
        <is>
          <t xml:space="preserve">t</t>
        </is>
      </c>
    </row>
    <row r="1300">
      <c r="A1300" s="243" t="inlineStr">
        <is>
          <t xml:space="preserve">3RD FLR</t>
        </is>
      </c>
      <c r="B1300" s="243" t="inlineStr">
        <is>
          <t xml:space="preserve">S</t>
        </is>
      </c>
      <c r="C1300" s="244" t="inlineStr">
        <is>
          <t xml:space="preserve">10mm diameter in beams (links)</t>
        </is>
      </c>
      <c r="I1300" s="245" t="inlineStr">
        <is>
          <t xml:space="preserve">t</t>
        </is>
      </c>
      <c r="K1300" s="256" t="inlineStr">
        <is>
          <t xml:space="preserve">'3RD FLR'!C68</t>
        </is>
      </c>
    </row>
    <row r="1301">
      <c r="C1301" s="246" t="inlineStr">
        <is>
          <t xml:space="preserve">Third floor (+10900) - Beams, Y10 (from reinforcement take-off / BBS)</t>
        </is>
      </c>
      <c r="H1301" s="247">
        <v>1.164</v>
      </c>
      <c r="J1301" s="253" t="inlineStr">
        <is>
          <t xml:space="preserve">1.164</t>
        </is>
      </c>
    </row>
    <row r="1302">
      <c r="C1302" s="250" t="inlineStr">
        <is>
          <t xml:space="preserve">Total carried to BOQ  3RD FLR item S</t>
        </is>
      </c>
      <c r="D1302" s="250" t="inlineStr">
        <is>
          <t xml:space="preserve"/>
        </is>
      </c>
      <c r="E1302" s="250" t="inlineStr">
        <is>
          <t xml:space="preserve"/>
        </is>
      </c>
      <c r="F1302" s="250" t="inlineStr">
        <is>
          <t xml:space="preserve"/>
        </is>
      </c>
      <c r="G1302" s="250" t="inlineStr">
        <is>
          <t xml:space="preserve"/>
        </is>
      </c>
      <c r="H1302" s="251">
        <f>SUM(H1301:H1301)</f>
        <v>1.164</v>
      </c>
      <c r="I1302" s="252" t="inlineStr">
        <is>
          <t xml:space="preserve">t</t>
        </is>
      </c>
    </row>
    <row r="1303">
      <c r="A1303" s="243" t="inlineStr">
        <is>
          <t xml:space="preserve">3RD FLR</t>
        </is>
      </c>
      <c r="B1303" s="243" t="inlineStr">
        <is>
          <t xml:space="preserve">T</t>
        </is>
      </c>
      <c r="C1303" s="244" t="inlineStr">
        <is>
          <t xml:space="preserve">16mm diameter in beams</t>
        </is>
      </c>
      <c r="I1303" s="245" t="inlineStr">
        <is>
          <t xml:space="preserve">t</t>
        </is>
      </c>
      <c r="K1303" s="256" t="inlineStr">
        <is>
          <t xml:space="preserve">'3RD FLR'!C70</t>
        </is>
      </c>
    </row>
    <row r="1304">
      <c r="C1304" s="246" t="inlineStr">
        <is>
          <t xml:space="preserve">Third floor (+10900) - Beams, Y16 (from reinforcement take-off / BBS)</t>
        </is>
      </c>
      <c r="H1304" s="247">
        <v>1.003</v>
      </c>
      <c r="J1304" s="253" t="inlineStr">
        <is>
          <t xml:space="preserve">1.003</t>
        </is>
      </c>
    </row>
    <row r="1305">
      <c r="C1305" s="250" t="inlineStr">
        <is>
          <t xml:space="preserve">Total carried to BOQ  3RD FLR item T</t>
        </is>
      </c>
      <c r="D1305" s="250" t="inlineStr">
        <is>
          <t xml:space="preserve"/>
        </is>
      </c>
      <c r="E1305" s="250" t="inlineStr">
        <is>
          <t xml:space="preserve"/>
        </is>
      </c>
      <c r="F1305" s="250" t="inlineStr">
        <is>
          <t xml:space="preserve"/>
        </is>
      </c>
      <c r="G1305" s="250" t="inlineStr">
        <is>
          <t xml:space="preserve"/>
        </is>
      </c>
      <c r="H1305" s="251">
        <f>SUM(H1304:H1304)</f>
        <v>1.003</v>
      </c>
      <c r="I1305" s="252" t="inlineStr">
        <is>
          <t xml:space="preserve">t</t>
        </is>
      </c>
    </row>
    <row r="1306">
      <c r="A1306" s="243" t="inlineStr">
        <is>
          <t xml:space="preserve">3RD FLR</t>
        </is>
      </c>
      <c r="B1306" s="243" t="inlineStr">
        <is>
          <t xml:space="preserve">U</t>
        </is>
      </c>
      <c r="C1306" s="244" t="inlineStr">
        <is>
          <t xml:space="preserve">20mm diameter in beams</t>
        </is>
      </c>
      <c r="I1306" s="245" t="inlineStr">
        <is>
          <t xml:space="preserve">t</t>
        </is>
      </c>
      <c r="K1306" s="256" t="inlineStr">
        <is>
          <t xml:space="preserve">'3RD FLR'!C72</t>
        </is>
      </c>
    </row>
    <row r="1307">
      <c r="C1307" s="246" t="inlineStr">
        <is>
          <t xml:space="preserve">Third floor (+10900) - Beams, Y20 (from reinforcement take-off / BBS)</t>
        </is>
      </c>
      <c r="H1307" s="247">
        <v>2.162</v>
      </c>
      <c r="J1307" s="253" t="inlineStr">
        <is>
          <t xml:space="preserve">2.162</t>
        </is>
      </c>
    </row>
    <row r="1308">
      <c r="C1308" s="250" t="inlineStr">
        <is>
          <t xml:space="preserve">Total carried to BOQ  3RD FLR item U</t>
        </is>
      </c>
      <c r="D1308" s="250" t="inlineStr">
        <is>
          <t xml:space="preserve"/>
        </is>
      </c>
      <c r="E1308" s="250" t="inlineStr">
        <is>
          <t xml:space="preserve"/>
        </is>
      </c>
      <c r="F1308" s="250" t="inlineStr">
        <is>
          <t xml:space="preserve"/>
        </is>
      </c>
      <c r="G1308" s="250" t="inlineStr">
        <is>
          <t xml:space="preserve"/>
        </is>
      </c>
      <c r="H1308" s="251">
        <f>SUM(H1307:H1307)</f>
        <v>2.162</v>
      </c>
      <c r="I1308" s="252" t="inlineStr">
        <is>
          <t xml:space="preserve">t</t>
        </is>
      </c>
    </row>
    <row r="1309">
      <c r="A1309" s="243" t="inlineStr">
        <is>
          <t xml:space="preserve">3RD FLR</t>
        </is>
      </c>
      <c r="B1309" s="243" t="inlineStr">
        <is>
          <t xml:space="preserve">V</t>
        </is>
      </c>
      <c r="C1309" s="244" t="inlineStr">
        <is>
          <t xml:space="preserve">25mm diameter in beams</t>
        </is>
      </c>
      <c r="I1309" s="245" t="inlineStr">
        <is>
          <t xml:space="preserve">t</t>
        </is>
      </c>
      <c r="K1309" s="256" t="inlineStr">
        <is>
          <t xml:space="preserve">'3RD FLR'!C74</t>
        </is>
      </c>
    </row>
    <row r="1310">
      <c r="C1310" s="246" t="inlineStr">
        <is>
          <t xml:space="preserve">Third floor (+10900) - Beams, Y25 (from reinforcement take-off / BBS)</t>
        </is>
      </c>
      <c r="H1310" s="247">
        <v>2.016</v>
      </c>
      <c r="J1310" s="253" t="inlineStr">
        <is>
          <t xml:space="preserve">2.016</t>
        </is>
      </c>
    </row>
    <row r="1311">
      <c r="C1311" s="250" t="inlineStr">
        <is>
          <t xml:space="preserve">Total carried to BOQ  3RD FLR item V</t>
        </is>
      </c>
      <c r="D1311" s="250" t="inlineStr">
        <is>
          <t xml:space="preserve"/>
        </is>
      </c>
      <c r="E1311" s="250" t="inlineStr">
        <is>
          <t xml:space="preserve"/>
        </is>
      </c>
      <c r="F1311" s="250" t="inlineStr">
        <is>
          <t xml:space="preserve"/>
        </is>
      </c>
      <c r="G1311" s="250" t="inlineStr">
        <is>
          <t xml:space="preserve"/>
        </is>
      </c>
      <c r="H1311" s="251">
        <f>SUM(H1310:H1310)</f>
        <v>2.016</v>
      </c>
      <c r="I1311" s="252" t="inlineStr">
        <is>
          <t xml:space="preserve">t</t>
        </is>
      </c>
    </row>
    <row r="1312">
      <c r="A1312" s="243" t="inlineStr">
        <is>
          <t xml:space="preserve">3RD FLR</t>
        </is>
      </c>
      <c r="B1312" s="243" t="inlineStr">
        <is>
          <t xml:space="preserve">W</t>
        </is>
      </c>
      <c r="C1312" s="244" t="inlineStr">
        <is>
          <t xml:space="preserve">10mm diameter in shear &amp; lift walls (links)</t>
        </is>
      </c>
      <c r="I1312" s="245" t="inlineStr">
        <is>
          <t xml:space="preserve">t</t>
        </is>
      </c>
      <c r="K1312" s="256" t="inlineStr">
        <is>
          <t xml:space="preserve">'3RD FLR'!C76</t>
        </is>
      </c>
    </row>
    <row r="1313">
      <c r="C1313" s="246" t="inlineStr">
        <is>
          <t xml:space="preserve">Third floor (+10900) - Shear Walls, Y10 (from reinforcement take-off / BBS)</t>
        </is>
      </c>
      <c r="H1313" s="247">
        <v>1.442</v>
      </c>
      <c r="J1313" s="253" t="inlineStr">
        <is>
          <t xml:space="preserve">1.442</t>
        </is>
      </c>
    </row>
    <row r="1314">
      <c r="C1314" s="246" t="inlineStr">
        <is>
          <t xml:space="preserve">Third floor (+10900) - Lift Walls, Y10 (from reinforcement take-off / BBS)</t>
        </is>
      </c>
      <c r="H1314" s="247">
        <v>0.636</v>
      </c>
      <c r="J1314" s="253" t="inlineStr">
        <is>
          <t xml:space="preserve">0.636</t>
        </is>
      </c>
    </row>
    <row r="1315">
      <c r="C1315" s="250" t="inlineStr">
        <is>
          <t xml:space="preserve">Total carried to BOQ  3RD FLR item W</t>
        </is>
      </c>
      <c r="D1315" s="250" t="inlineStr">
        <is>
          <t xml:space="preserve"/>
        </is>
      </c>
      <c r="E1315" s="250" t="inlineStr">
        <is>
          <t xml:space="preserve"/>
        </is>
      </c>
      <c r="F1315" s="250" t="inlineStr">
        <is>
          <t xml:space="preserve"/>
        </is>
      </c>
      <c r="G1315" s="250" t="inlineStr">
        <is>
          <t xml:space="preserve"/>
        </is>
      </c>
      <c r="H1315" s="251">
        <f>SUM(H1313:H1314)</f>
        <v>2.078</v>
      </c>
      <c r="I1315" s="252" t="inlineStr">
        <is>
          <t xml:space="preserve">t</t>
        </is>
      </c>
    </row>
    <row r="1316">
      <c r="A1316" s="243" t="inlineStr">
        <is>
          <t xml:space="preserve">3RD FLR</t>
        </is>
      </c>
      <c r="B1316" s="243" t="inlineStr">
        <is>
          <t xml:space="preserve">X</t>
        </is>
      </c>
      <c r="C1316" s="244" t="inlineStr">
        <is>
          <t xml:space="preserve">12mm diameter in shear, lift &amp; ramp walls</t>
        </is>
      </c>
      <c r="I1316" s="245" t="inlineStr">
        <is>
          <t xml:space="preserve">t</t>
        </is>
      </c>
      <c r="K1316" s="256" t="inlineStr">
        <is>
          <t xml:space="preserve">'3RD FLR'!C78</t>
        </is>
      </c>
    </row>
    <row r="1317">
      <c r="C1317" s="246" t="inlineStr">
        <is>
          <t xml:space="preserve">Third floor (+10900) - Shear Walls, Y12 (from reinforcement take-off / BBS)</t>
        </is>
      </c>
      <c r="H1317" s="247">
        <v>1.917</v>
      </c>
      <c r="J1317" s="253" t="inlineStr">
        <is>
          <t xml:space="preserve">1.917</t>
        </is>
      </c>
    </row>
    <row r="1318">
      <c r="C1318" s="246" t="inlineStr">
        <is>
          <t xml:space="preserve">Third floor (+10900) - Lift Walls, Y12 (from reinforcement take-off / BBS)</t>
        </is>
      </c>
      <c r="H1318" s="247">
        <v>0.866</v>
      </c>
      <c r="J1318" s="253" t="inlineStr">
        <is>
          <t xml:space="preserve">0.866</t>
        </is>
      </c>
    </row>
    <row r="1319">
      <c r="C1319" s="250" t="inlineStr">
        <is>
          <t xml:space="preserve">Total carried to BOQ  3RD FLR item X</t>
        </is>
      </c>
      <c r="D1319" s="250" t="inlineStr">
        <is>
          <t xml:space="preserve"/>
        </is>
      </c>
      <c r="E1319" s="250" t="inlineStr">
        <is>
          <t xml:space="preserve"/>
        </is>
      </c>
      <c r="F1319" s="250" t="inlineStr">
        <is>
          <t xml:space="preserve"/>
        </is>
      </c>
      <c r="G1319" s="250" t="inlineStr">
        <is>
          <t xml:space="preserve"/>
        </is>
      </c>
      <c r="H1319" s="251">
        <f>SUM(H1317:H1318)</f>
        <v>2.783</v>
      </c>
      <c r="I1319" s="252" t="inlineStr">
        <is>
          <t xml:space="preserve">t</t>
        </is>
      </c>
    </row>
    <row r="1320">
      <c r="A1320" s="243" t="inlineStr">
        <is>
          <t xml:space="preserve">3RD FLR</t>
        </is>
      </c>
      <c r="B1320" s="243" t="inlineStr">
        <is>
          <t xml:space="preserve">Y</t>
        </is>
      </c>
      <c r="C1320" s="244" t="inlineStr">
        <is>
          <t xml:space="preserve">25mm diameter in shear &amp; lift walls</t>
        </is>
      </c>
      <c r="I1320" s="245" t="inlineStr">
        <is>
          <t xml:space="preserve">t</t>
        </is>
      </c>
      <c r="K1320" s="256" t="inlineStr">
        <is>
          <t xml:space="preserve">'3RD FLR'!C80</t>
        </is>
      </c>
    </row>
    <row r="1321">
      <c r="C1321" s="246" t="inlineStr">
        <is>
          <t xml:space="preserve">Third floor (+10900) - Shear Walls, Y25 (from reinforcement take-off / BBS)</t>
        </is>
      </c>
      <c r="H1321" s="247">
        <v>11.314</v>
      </c>
      <c r="J1321" s="253" t="inlineStr">
        <is>
          <t xml:space="preserve">11.314</t>
        </is>
      </c>
    </row>
    <row r="1322">
      <c r="C1322" s="246" t="inlineStr">
        <is>
          <t xml:space="preserve">Third floor (+10900) - Lift Walls, Y25 (from reinforcement take-off / BBS)</t>
        </is>
      </c>
      <c r="H1322" s="247">
        <v>5.441</v>
      </c>
      <c r="J1322" s="253" t="inlineStr">
        <is>
          <t xml:space="preserve">5.441</t>
        </is>
      </c>
    </row>
    <row r="1323">
      <c r="C1323" s="250" t="inlineStr">
        <is>
          <t xml:space="preserve">Total carried to BOQ  3RD FLR item Y</t>
        </is>
      </c>
      <c r="D1323" s="250" t="inlineStr">
        <is>
          <t xml:space="preserve"/>
        </is>
      </c>
      <c r="E1323" s="250" t="inlineStr">
        <is>
          <t xml:space="preserve"/>
        </is>
      </c>
      <c r="F1323" s="250" t="inlineStr">
        <is>
          <t xml:space="preserve"/>
        </is>
      </c>
      <c r="G1323" s="250" t="inlineStr">
        <is>
          <t xml:space="preserve"/>
        </is>
      </c>
      <c r="H1323" s="251">
        <f>SUM(H1321:H1322)</f>
        <v>16.755</v>
      </c>
      <c r="I1323" s="252" t="inlineStr">
        <is>
          <t xml:space="preserve">t</t>
        </is>
      </c>
    </row>
    <row r="1324">
      <c r="A1324" s="243" t="inlineStr">
        <is>
          <t xml:space="preserve">3RD FLR</t>
        </is>
      </c>
      <c r="B1324" s="243" t="inlineStr">
        <is>
          <t xml:space="preserve">Z</t>
        </is>
      </c>
      <c r="C1324" s="244" t="inlineStr">
        <is>
          <t xml:space="preserve">12mm diameter in stairs</t>
        </is>
      </c>
      <c r="I1324" s="245" t="inlineStr">
        <is>
          <t xml:space="preserve">t</t>
        </is>
      </c>
      <c r="K1324" s="256" t="inlineStr">
        <is>
          <t xml:space="preserve">'3RD FLR'!C82</t>
        </is>
      </c>
    </row>
    <row r="1325">
      <c r="C1325" s="246" t="inlineStr">
        <is>
          <t xml:space="preserve">Third floor (+10900) - Staircases, Y12 (from reinforcement take-off / BBS)</t>
        </is>
      </c>
      <c r="H1325" s="247">
        <v>0.88</v>
      </c>
      <c r="J1325" s="253" t="inlineStr">
        <is>
          <t xml:space="preserve">0.880</t>
        </is>
      </c>
    </row>
    <row r="1326">
      <c r="C1326" s="250" t="inlineStr">
        <is>
          <t xml:space="preserve">Total carried to BOQ  3RD FLR item Z</t>
        </is>
      </c>
      <c r="D1326" s="250" t="inlineStr">
        <is>
          <t xml:space="preserve"/>
        </is>
      </c>
      <c r="E1326" s="250" t="inlineStr">
        <is>
          <t xml:space="preserve"/>
        </is>
      </c>
      <c r="F1326" s="250" t="inlineStr">
        <is>
          <t xml:space="preserve"/>
        </is>
      </c>
      <c r="G1326" s="250" t="inlineStr">
        <is>
          <t xml:space="preserve"/>
        </is>
      </c>
      <c r="H1326" s="251">
        <f>SUM(H1325:H1325)</f>
        <v>0.88</v>
      </c>
      <c r="I1326" s="252" t="inlineStr">
        <is>
          <t xml:space="preserve">t</t>
        </is>
      </c>
    </row>
    <row r="1327">
      <c r="A1327" s="243" t="inlineStr">
        <is>
          <t xml:space="preserve">3RD FLR</t>
        </is>
      </c>
      <c r="B1327" s="243" t="inlineStr">
        <is>
          <t xml:space="preserve">A</t>
        </is>
      </c>
      <c r="C1327" s="244" t="inlineStr">
        <is>
          <t xml:space="preserve">16mm diameter in stairs</t>
        </is>
      </c>
      <c r="I1327" s="245" t="inlineStr">
        <is>
          <t xml:space="preserve">t</t>
        </is>
      </c>
      <c r="K1327" s="256" t="inlineStr">
        <is>
          <t xml:space="preserve">'3RD FLR'!C84</t>
        </is>
      </c>
    </row>
    <row r="1328">
      <c r="C1328" s="246" t="inlineStr">
        <is>
          <t xml:space="preserve">Third floor (+10900) - Staircases, Y16 (from reinforcement take-off / BBS)</t>
        </is>
      </c>
      <c r="H1328" s="247">
        <v>1.434</v>
      </c>
      <c r="J1328" s="253" t="inlineStr">
        <is>
          <t xml:space="preserve">1.434</t>
        </is>
      </c>
    </row>
    <row r="1329">
      <c r="C1329" s="250" t="inlineStr">
        <is>
          <t xml:space="preserve">Total carried to BOQ  3RD FLR item A</t>
        </is>
      </c>
      <c r="D1329" s="250" t="inlineStr">
        <is>
          <t xml:space="preserve"/>
        </is>
      </c>
      <c r="E1329" s="250" t="inlineStr">
        <is>
          <t xml:space="preserve"/>
        </is>
      </c>
      <c r="F1329" s="250" t="inlineStr">
        <is>
          <t xml:space="preserve"/>
        </is>
      </c>
      <c r="G1329" s="250" t="inlineStr">
        <is>
          <t xml:space="preserve"/>
        </is>
      </c>
      <c r="H1329" s="251">
        <f>SUM(H1328:H1328)</f>
        <v>1.434</v>
      </c>
      <c r="I1329" s="252" t="inlineStr">
        <is>
          <t xml:space="preserve">t</t>
        </is>
      </c>
    </row>
    <row r="1330">
      <c r="A1330" s="243" t="inlineStr">
        <is>
          <t xml:space="preserve">3RD FLR</t>
        </is>
      </c>
      <c r="B1330" s="243" t="inlineStr">
        <is>
          <t xml:space="preserve">B</t>
        </is>
      </c>
      <c r="C1330" s="244" t="inlineStr">
        <is>
          <t xml:space="preserve">12mm diameter for suspended slab</t>
        </is>
      </c>
      <c r="I1330" s="245" t="inlineStr">
        <is>
          <t xml:space="preserve">t</t>
        </is>
      </c>
      <c r="K1330" s="256" t="inlineStr">
        <is>
          <t xml:space="preserve">'3RD FLR'!C86</t>
        </is>
      </c>
    </row>
    <row r="1331">
      <c r="C1331" s="246" t="inlineStr">
        <is>
          <t xml:space="preserve">Third floor (+10900) - Floor Slabs, Y12 (from reinforcement take-off / BBS)</t>
        </is>
      </c>
      <c r="H1331" s="247">
        <v>56.828</v>
      </c>
      <c r="J1331" s="253" t="inlineStr">
        <is>
          <t xml:space="preserve">56.828</t>
        </is>
      </c>
    </row>
    <row r="1332">
      <c r="C1332" s="250" t="inlineStr">
        <is>
          <t xml:space="preserve">Total carried to BOQ  3RD FLR item B</t>
        </is>
      </c>
      <c r="D1332" s="250" t="inlineStr">
        <is>
          <t xml:space="preserve"/>
        </is>
      </c>
      <c r="E1332" s="250" t="inlineStr">
        <is>
          <t xml:space="preserve"/>
        </is>
      </c>
      <c r="F1332" s="250" t="inlineStr">
        <is>
          <t xml:space="preserve"/>
        </is>
      </c>
      <c r="G1332" s="250" t="inlineStr">
        <is>
          <t xml:space="preserve"/>
        </is>
      </c>
      <c r="H1332" s="251">
        <f>SUM(H1331:H1331)</f>
        <v>56.828</v>
      </c>
      <c r="I1332" s="252" t="inlineStr">
        <is>
          <t xml:space="preserve">t</t>
        </is>
      </c>
    </row>
    <row r="1333">
      <c r="A1333" s="243" t="inlineStr">
        <is>
          <t xml:space="preserve">3RD FLR</t>
        </is>
      </c>
      <c r="B1333" s="243" t="inlineStr">
        <is>
          <t xml:space="preserve">C</t>
        </is>
      </c>
      <c r="C1333" s="244" t="inlineStr">
        <is>
          <t xml:space="preserve">16mm diameter for suspended slab</t>
        </is>
      </c>
      <c r="I1333" s="245" t="inlineStr">
        <is>
          <t xml:space="preserve">t</t>
        </is>
      </c>
      <c r="K1333" s="256" t="inlineStr">
        <is>
          <t xml:space="preserve">'3RD FLR'!C88</t>
        </is>
      </c>
    </row>
    <row r="1334">
      <c r="C1334" s="246" t="inlineStr">
        <is>
          <t xml:space="preserve">Third floor (+10900) - Floor Slabs, Y16 (from reinforcement take-off / BBS)</t>
        </is>
      </c>
      <c r="H1334" s="247">
        <v>0.146</v>
      </c>
      <c r="J1334" s="253" t="inlineStr">
        <is>
          <t xml:space="preserve">0.146</t>
        </is>
      </c>
    </row>
    <row r="1335">
      <c r="C1335" s="250" t="inlineStr">
        <is>
          <t xml:space="preserve">Total carried to BOQ  3RD FLR item C</t>
        </is>
      </c>
      <c r="D1335" s="250" t="inlineStr">
        <is>
          <t xml:space="preserve"/>
        </is>
      </c>
      <c r="E1335" s="250" t="inlineStr">
        <is>
          <t xml:space="preserve"/>
        </is>
      </c>
      <c r="F1335" s="250" t="inlineStr">
        <is>
          <t xml:space="preserve"/>
        </is>
      </c>
      <c r="G1335" s="250" t="inlineStr">
        <is>
          <t xml:space="preserve"/>
        </is>
      </c>
      <c r="H1335" s="251">
        <f>SUM(H1334:H1334)</f>
        <v>0.146</v>
      </c>
      <c r="I1335" s="252" t="inlineStr">
        <is>
          <t xml:space="preserve">t</t>
        </is>
      </c>
    </row>
    <row r="1336">
      <c r="C1336" s="242" t="inlineStr">
        <is>
          <t xml:space="preserve">ELEMENT NO. 2: MASONRY</t>
        </is>
      </c>
    </row>
    <row r="1337">
      <c r="C1337" s="242" t="inlineStr">
        <is>
          <t xml:space="preserve">F10 BRICK/BLOCK WALL - Solid sandcrete blockwork in cement and sand (1:4) mortar as described in:</t>
        </is>
      </c>
    </row>
    <row r="1338">
      <c r="A1338" s="243" t="inlineStr">
        <is>
          <t xml:space="preserve">3RD FLR</t>
        </is>
      </c>
      <c r="B1338" s="243" t="inlineStr">
        <is>
          <t xml:space="preserve">A</t>
        </is>
      </c>
      <c r="C1338" s="244" t="inlineStr">
        <is>
          <t xml:space="preserve">150mm thick wall</t>
        </is>
      </c>
      <c r="I1338" s="245" t="inlineStr">
        <is>
          <t xml:space="preserve">m2</t>
        </is>
      </c>
      <c r="K1338" s="256" t="inlineStr">
        <is>
          <t xml:space="preserve">'3RD FLR'!C97</t>
        </is>
      </c>
    </row>
    <row r="1339">
      <c r="C1339" s="246" t="inlineStr">
        <is>
          <t xml:space="preserve">Third floor - 150 blockwork: wall length x storey ht</t>
        </is>
      </c>
      <c r="E1339" s="247">
        <v>500.0</v>
      </c>
      <c r="F1339" s="247">
        <v>3.05</v>
      </c>
      <c r="H1339" s="249">
        <f>PRODUCT(D1339:G1339)</f>
        <v>1525.0</v>
      </c>
      <c r="J1339" s="253" t="inlineStr">
        <is>
          <t xml:space="preserve">500.0*3.05</t>
        </is>
      </c>
    </row>
    <row r="1340">
      <c r="C1340" s="246" t="inlineStr">
        <is>
          <t xml:space="preserve">Walling over opening D2 (10 nr, 1x2.2): nr x width x (3.05 - opening ht) x thickness share</t>
        </is>
      </c>
      <c r="D1340" s="248">
        <v>10</v>
      </c>
      <c r="E1340" s="247">
        <v>1</v>
      </c>
      <c r="F1340" s="247">
        <f>3.05-2.2</f>
        <v>0.8499999999999996</v>
      </c>
      <c r="G1340" s="247">
        <v>0.914</v>
      </c>
      <c r="H1340" s="249">
        <f>PRODUCT(D1340:G1340)</f>
        <v>7.7689999999999975</v>
      </c>
      <c r="J1340" s="253" t="inlineStr">
        <is>
          <t xml:space="preserve">10*1*(3.05-2.2)*0.914</t>
        </is>
      </c>
    </row>
    <row r="1341">
      <c r="C1341" s="246" t="inlineStr">
        <is>
          <t xml:space="preserve">Walling over opening D3 (19 nr, 0.9x2.2): nr x width x (3.05 - opening ht) x thickness share</t>
        </is>
      </c>
      <c r="D1341" s="248">
        <v>19</v>
      </c>
      <c r="E1341" s="247">
        <v>0.9</v>
      </c>
      <c r="F1341" s="247">
        <f>3.05-2.2</f>
        <v>0.8499999999999996</v>
      </c>
      <c r="G1341" s="247">
        <v>0.914</v>
      </c>
      <c r="H1341" s="249">
        <f>PRODUCT(D1341:G1341)</f>
        <v>13.284989999999995</v>
      </c>
      <c r="J1341" s="253" t="inlineStr">
        <is>
          <t xml:space="preserve">19*0.9*(3.05-2.2)*0.914</t>
        </is>
      </c>
    </row>
    <row r="1342">
      <c r="C1342" s="246" t="inlineStr">
        <is>
          <t xml:space="preserve">Walling over opening D6 (21 nr, 0.75x2.2): nr x width x (3.05 - opening ht) x thickness share</t>
        </is>
      </c>
      <c r="D1342" s="248">
        <v>21</v>
      </c>
      <c r="E1342" s="247">
        <v>0.75</v>
      </c>
      <c r="F1342" s="247">
        <f>3.05-2.2</f>
        <v>0.8499999999999996</v>
      </c>
      <c r="G1342" s="247">
        <v>0.914</v>
      </c>
      <c r="H1342" s="249">
        <f>PRODUCT(D1342:G1342)</f>
        <v>12.236174999999996</v>
      </c>
      <c r="J1342" s="253" t="inlineStr">
        <is>
          <t xml:space="preserve">21*0.75*(3.05-2.2)*0.914</t>
        </is>
      </c>
    </row>
    <row r="1343">
      <c r="C1343" s="246" t="inlineStr">
        <is>
          <t xml:space="preserve">Walling over opening D7 (2 nr, 0.7x2.2): nr x width x (3.05 - opening ht) x thickness share</t>
        </is>
      </c>
      <c r="D1343" s="248">
        <v>2</v>
      </c>
      <c r="E1343" s="247">
        <v>0.7</v>
      </c>
      <c r="F1343" s="247">
        <f>3.05-2.2</f>
        <v>0.8499999999999996</v>
      </c>
      <c r="G1343" s="247">
        <v>0.914</v>
      </c>
      <c r="H1343" s="249">
        <f>PRODUCT(D1343:G1343)</f>
        <v>1.0876599999999996</v>
      </c>
      <c r="J1343" s="253" t="inlineStr">
        <is>
          <t xml:space="preserve">2*0.7*(3.05-2.2)*0.914</t>
        </is>
      </c>
    </row>
    <row r="1344">
      <c r="C1344" s="246" t="inlineStr">
        <is>
          <t xml:space="preserve">Walling over opening D8 (3 nr, 1.2x2.2): nr x width x (3.05 - opening ht) x thickness share</t>
        </is>
      </c>
      <c r="D1344" s="248">
        <v>3</v>
      </c>
      <c r="E1344" s="247">
        <v>1.2</v>
      </c>
      <c r="F1344" s="247">
        <f>3.05-2.2</f>
        <v>0.8499999999999996</v>
      </c>
      <c r="G1344" s="247">
        <v>0.914</v>
      </c>
      <c r="H1344" s="249">
        <f>PRODUCT(D1344:G1344)</f>
        <v>2.7968399999999987</v>
      </c>
      <c r="J1344" s="253" t="inlineStr">
        <is>
          <t xml:space="preserve">3*1.2*(3.05-2.2)*0.914</t>
        </is>
      </c>
    </row>
    <row r="1345">
      <c r="C1345" s="246" t="inlineStr">
        <is>
          <t xml:space="preserve">Walling over opening ED1 (3 nr, 1x2.2): nr x width x (3.05 - opening ht) x thickness share</t>
        </is>
      </c>
      <c r="D1345" s="248">
        <v>3</v>
      </c>
      <c r="E1345" s="247">
        <v>1</v>
      </c>
      <c r="F1345" s="247">
        <f>3.05-2.2</f>
        <v>0.8499999999999996</v>
      </c>
      <c r="G1345" s="247">
        <v>0.914</v>
      </c>
      <c r="H1345" s="249">
        <f>PRODUCT(D1345:G1345)</f>
        <v>2.3306999999999993</v>
      </c>
      <c r="J1345" s="253" t="inlineStr">
        <is>
          <t xml:space="preserve">3*1*(3.05-2.2)*0.914</t>
        </is>
      </c>
    </row>
    <row r="1346">
      <c r="C1346" s="246" t="inlineStr">
        <is>
          <t xml:space="preserve">Walling over opening ED2 (3 nr, 1x2.2): nr x width x (3.05 - opening ht) x thickness share</t>
        </is>
      </c>
      <c r="D1346" s="248">
        <v>3</v>
      </c>
      <c r="E1346" s="247">
        <v>1</v>
      </c>
      <c r="F1346" s="247">
        <f>3.05-2.2</f>
        <v>0.8499999999999996</v>
      </c>
      <c r="G1346" s="247">
        <v>0.914</v>
      </c>
      <c r="H1346" s="249">
        <f>PRODUCT(D1346:G1346)</f>
        <v>2.3306999999999993</v>
      </c>
      <c r="J1346" s="253" t="inlineStr">
        <is>
          <t xml:space="preserve">3*1*(3.05-2.2)*0.914</t>
        </is>
      </c>
    </row>
    <row r="1347">
      <c r="C1347" s="246" t="inlineStr">
        <is>
          <t xml:space="preserve">Walling over opening D9 (2 nr, 0.9x2.2): nr x width x (3.05 - opening ht) x thickness share</t>
        </is>
      </c>
      <c r="D1347" s="248">
        <v>2</v>
      </c>
      <c r="E1347" s="247">
        <v>0.9</v>
      </c>
      <c r="F1347" s="247">
        <f>3.05-2.2</f>
        <v>0.8499999999999996</v>
      </c>
      <c r="G1347" s="247">
        <v>0.914</v>
      </c>
      <c r="H1347" s="249">
        <f>PRODUCT(D1347:G1347)</f>
        <v>1.3984199999999996</v>
      </c>
      <c r="J1347" s="253" t="inlineStr">
        <is>
          <t xml:space="preserve">2*0.9*(3.05-2.2)*0.914</t>
        </is>
      </c>
    </row>
    <row r="1348">
      <c r="C1348" s="246" t="inlineStr">
        <is>
          <t xml:space="preserve">Walling over opening FD1 (1 nr, 1.5x2.2): nr x width x (3.05 - opening ht) x thickness share</t>
        </is>
      </c>
      <c r="D1348" s="248">
        <v>1</v>
      </c>
      <c r="E1348" s="247">
        <v>1.5</v>
      </c>
      <c r="F1348" s="247">
        <f>3.05-2.2</f>
        <v>0.8499999999999996</v>
      </c>
      <c r="G1348" s="247">
        <v>0.914</v>
      </c>
      <c r="H1348" s="249">
        <f>PRODUCT(D1348:G1348)</f>
        <v>1.1653499999999997</v>
      </c>
      <c r="J1348" s="253" t="inlineStr">
        <is>
          <t xml:space="preserve">1*1.5*(3.05-2.2)*0.914</t>
        </is>
      </c>
    </row>
    <row r="1349">
      <c r="C1349" s="246" t="inlineStr">
        <is>
          <t xml:space="preserve">Walling over opening M1 (3 nr, 0.9x2.2): nr x width x (3.05 - opening ht) x thickness share</t>
        </is>
      </c>
      <c r="D1349" s="248">
        <v>3</v>
      </c>
      <c r="E1349" s="247">
        <v>0.9</v>
      </c>
      <c r="F1349" s="247">
        <f>3.05-2.2</f>
        <v>0.8499999999999996</v>
      </c>
      <c r="G1349" s="247">
        <v>0.914</v>
      </c>
      <c r="H1349" s="249">
        <f>PRODUCT(D1349:G1349)</f>
        <v>2.097629999999999</v>
      </c>
      <c r="J1349" s="253" t="inlineStr">
        <is>
          <t xml:space="preserve">3*0.9*(3.05-2.2)*0.914</t>
        </is>
      </c>
    </row>
    <row r="1350">
      <c r="C1350" s="246" t="inlineStr">
        <is>
          <t xml:space="preserve">Walling over opening M2 (5 nr, 0.75x2.2): nr x width x (3.05 - opening ht) x thickness share</t>
        </is>
      </c>
      <c r="D1350" s="248">
        <v>5</v>
      </c>
      <c r="E1350" s="247">
        <v>0.75</v>
      </c>
      <c r="F1350" s="247">
        <f>3.05-2.2</f>
        <v>0.8499999999999996</v>
      </c>
      <c r="G1350" s="247">
        <v>0.914</v>
      </c>
      <c r="H1350" s="249">
        <f>PRODUCT(D1350:G1350)</f>
        <v>2.913374999999999</v>
      </c>
      <c r="J1350" s="253" t="inlineStr">
        <is>
          <t xml:space="preserve">5*0.75*(3.05-2.2)*0.914</t>
        </is>
      </c>
    </row>
    <row r="1351">
      <c r="C1351" s="246" t="inlineStr">
        <is>
          <t xml:space="preserve">Walling over opening M3 (1 nr, 0.45x2.2): nr x width x (3.05 - opening ht) x thickness share</t>
        </is>
      </c>
      <c r="D1351" s="248">
        <v>1</v>
      </c>
      <c r="E1351" s="247">
        <v>0.45</v>
      </c>
      <c r="F1351" s="247">
        <f>3.05-2.2</f>
        <v>0.8499999999999996</v>
      </c>
      <c r="G1351" s="247">
        <v>0.914</v>
      </c>
      <c r="H1351" s="249">
        <f>PRODUCT(D1351:G1351)</f>
        <v>0.3496049999999999</v>
      </c>
      <c r="J1351" s="253" t="inlineStr">
        <is>
          <t xml:space="preserve">1*0.45*(3.05-2.2)*0.914</t>
        </is>
      </c>
    </row>
    <row r="1352">
      <c r="C1352" s="246" t="inlineStr">
        <is>
          <t xml:space="preserve">Walling over opening M5 (3 nr, 0.6x2.2): nr x width x (3.05 - opening ht) x thickness share</t>
        </is>
      </c>
      <c r="D1352" s="248">
        <v>3</v>
      </c>
      <c r="E1352" s="247">
        <v>0.6</v>
      </c>
      <c r="F1352" s="247">
        <f>3.05-2.2</f>
        <v>0.8499999999999996</v>
      </c>
      <c r="G1352" s="247">
        <v>0.914</v>
      </c>
      <c r="H1352" s="249">
        <f>PRODUCT(D1352:G1352)</f>
        <v>1.3984199999999993</v>
      </c>
      <c r="J1352" s="253" t="inlineStr">
        <is>
          <t xml:space="preserve">3*0.6*(3.05-2.2)*0.914</t>
        </is>
      </c>
    </row>
    <row r="1353">
      <c r="C1353" s="246" t="inlineStr">
        <is>
          <t xml:space="preserve">Walling over opening SD1 (1 nr, 3x2.2): nr x width x (3.05 - opening ht) x thickness share</t>
        </is>
      </c>
      <c r="D1353" s="248">
        <v>1</v>
      </c>
      <c r="E1353" s="247">
        <v>3</v>
      </c>
      <c r="F1353" s="247">
        <f>3.05-2.2</f>
        <v>0.8499999999999996</v>
      </c>
      <c r="G1353" s="247">
        <v>0.914</v>
      </c>
      <c r="H1353" s="249">
        <f>PRODUCT(D1353:G1353)</f>
        <v>2.3306999999999993</v>
      </c>
      <c r="J1353" s="253" t="inlineStr">
        <is>
          <t xml:space="preserve">1*3*(3.05-2.2)*0.914</t>
        </is>
      </c>
    </row>
    <row r="1354">
      <c r="C1354" s="246" t="inlineStr">
        <is>
          <t xml:space="preserve">Walling over opening SD2 (4 nr, 1.6x2.2): nr x width x (3.05 - opening ht) x thickness share</t>
        </is>
      </c>
      <c r="D1354" s="248">
        <v>4</v>
      </c>
      <c r="E1354" s="247">
        <v>1.6</v>
      </c>
      <c r="F1354" s="247">
        <f>3.05-2.2</f>
        <v>0.8499999999999996</v>
      </c>
      <c r="G1354" s="247">
        <v>0.914</v>
      </c>
      <c r="H1354" s="249">
        <f>PRODUCT(D1354:G1354)</f>
        <v>4.972159999999998</v>
      </c>
      <c r="J1354" s="253" t="inlineStr">
        <is>
          <t xml:space="preserve">4*1.6*(3.05-2.2)*0.914</t>
        </is>
      </c>
    </row>
    <row r="1355">
      <c r="C1355" s="246" t="inlineStr">
        <is>
          <t xml:space="preserve">Walling over opening SD3 (3 nr, 1.3x2.2): nr x width x (3.05 - opening ht) x thickness share</t>
        </is>
      </c>
      <c r="D1355" s="248">
        <v>3</v>
      </c>
      <c r="E1355" s="247">
        <v>1.3</v>
      </c>
      <c r="F1355" s="247">
        <f>3.05-2.2</f>
        <v>0.8499999999999996</v>
      </c>
      <c r="G1355" s="247">
        <v>0.914</v>
      </c>
      <c r="H1355" s="249">
        <f>PRODUCT(D1355:G1355)</f>
        <v>3.029909999999999</v>
      </c>
      <c r="J1355" s="253" t="inlineStr">
        <is>
          <t xml:space="preserve">3*1.3*(3.05-2.2)*0.914</t>
        </is>
      </c>
    </row>
    <row r="1356">
      <c r="C1356" s="246" t="inlineStr">
        <is>
          <t xml:space="preserve">Walling over opening SD4 (5 nr, 1.8x2.2): nr x width x (3.05 - opening ht) x thickness share</t>
        </is>
      </c>
      <c r="D1356" s="248">
        <v>5</v>
      </c>
      <c r="E1356" s="247">
        <v>1.8</v>
      </c>
      <c r="F1356" s="247">
        <f>3.05-2.2</f>
        <v>0.8499999999999996</v>
      </c>
      <c r="G1356" s="247">
        <v>0.914</v>
      </c>
      <c r="H1356" s="249">
        <f>PRODUCT(D1356:G1356)</f>
        <v>6.992099999999997</v>
      </c>
      <c r="J1356" s="253" t="inlineStr">
        <is>
          <t xml:space="preserve">5*1.8*(3.05-2.2)*0.914</t>
        </is>
      </c>
    </row>
    <row r="1357">
      <c r="C1357" s="246" t="inlineStr">
        <is>
          <t xml:space="preserve">Walling over opening SD5 (1 nr, 1.2x2.2): nr x width x (3.05 - opening ht) x thickness share</t>
        </is>
      </c>
      <c r="D1357" s="248">
        <v>1</v>
      </c>
      <c r="E1357" s="247">
        <v>1.2</v>
      </c>
      <c r="F1357" s="247">
        <f>3.05-2.2</f>
        <v>0.8499999999999996</v>
      </c>
      <c r="G1357" s="247">
        <v>0.914</v>
      </c>
      <c r="H1357" s="249">
        <f>PRODUCT(D1357:G1357)</f>
        <v>0.9322799999999997</v>
      </c>
      <c r="J1357" s="253" t="inlineStr">
        <is>
          <t xml:space="preserve">1*1.2*(3.05-2.2)*0.914</t>
        </is>
      </c>
    </row>
    <row r="1358">
      <c r="C1358" s="246" t="inlineStr">
        <is>
          <t xml:space="preserve">Walling over opening W2 (7 nr, 1.8x1.3): nr x width x (3.05 - opening ht) x thickness share</t>
        </is>
      </c>
      <c r="D1358" s="248">
        <v>7</v>
      </c>
      <c r="E1358" s="247">
        <v>1.8</v>
      </c>
      <c r="F1358" s="247">
        <f>3.05-1.3</f>
        <v>1.7499999999999998</v>
      </c>
      <c r="G1358" s="247">
        <v>0.914</v>
      </c>
      <c r="H1358" s="249">
        <f>PRODUCT(D1358:G1358)</f>
        <v>20.153699999999997</v>
      </c>
      <c r="J1358" s="253" t="inlineStr">
        <is>
          <t xml:space="preserve">7*1.8*(3.05-1.3)*0.914</t>
        </is>
      </c>
    </row>
    <row r="1359">
      <c r="C1359" s="246" t="inlineStr">
        <is>
          <t xml:space="preserve">Walling over opening W4 (13 nr, 0.9x1.3): nr x width x (3.05 - opening ht) x thickness share</t>
        </is>
      </c>
      <c r="D1359" s="248">
        <v>13</v>
      </c>
      <c r="E1359" s="247">
        <v>0.9</v>
      </c>
      <c r="F1359" s="247">
        <f>3.05-1.3</f>
        <v>1.7499999999999998</v>
      </c>
      <c r="G1359" s="247">
        <v>0.914</v>
      </c>
      <c r="H1359" s="249">
        <f>PRODUCT(D1359:G1359)</f>
        <v>18.71415</v>
      </c>
      <c r="J1359" s="253" t="inlineStr">
        <is>
          <t xml:space="preserve">13*0.9*(3.05-1.3)*0.914</t>
        </is>
      </c>
    </row>
    <row r="1360">
      <c r="C1360" s="246" t="inlineStr">
        <is>
          <t xml:space="preserve">Walling over opening W7 (2 nr, 1.8x1.6): nr x width x (3.05 - opening ht) x thickness share</t>
        </is>
      </c>
      <c r="D1360" s="248">
        <v>2</v>
      </c>
      <c r="E1360" s="247">
        <v>1.8</v>
      </c>
      <c r="F1360" s="247">
        <f>3.05-1.6</f>
        <v>1.4499999999999997</v>
      </c>
      <c r="G1360" s="247">
        <v>0.914</v>
      </c>
      <c r="H1360" s="249">
        <f>PRODUCT(D1360:G1360)</f>
        <v>4.7710799999999995</v>
      </c>
      <c r="J1360" s="253" t="inlineStr">
        <is>
          <t xml:space="preserve">2*1.8*(3.05-1.6)*0.914</t>
        </is>
      </c>
    </row>
    <row r="1361">
      <c r="C1361" s="246" t="inlineStr">
        <is>
          <t xml:space="preserve">Walling over opening W8 (4 nr, 1.2x1.9): nr x width x (3.05 - opening ht) x thickness share</t>
        </is>
      </c>
      <c r="D1361" s="248">
        <v>4</v>
      </c>
      <c r="E1361" s="247">
        <v>1.2</v>
      </c>
      <c r="F1361" s="247">
        <f>3.05-1.9</f>
        <v>1.15</v>
      </c>
      <c r="G1361" s="247">
        <v>0.914</v>
      </c>
      <c r="H1361" s="249">
        <f>PRODUCT(D1361:G1361)</f>
        <v>5.04528</v>
      </c>
      <c r="J1361" s="253" t="inlineStr">
        <is>
          <t xml:space="preserve">4*1.2*(3.05-1.9)*0.914</t>
        </is>
      </c>
    </row>
    <row r="1362">
      <c r="C1362" s="246" t="inlineStr">
        <is>
          <t xml:space="preserve">Walling over opening W9 (10 nr, 1.2x1.15): nr x width x (3.05 - opening ht) x thickness share</t>
        </is>
      </c>
      <c r="D1362" s="248">
        <v>10</v>
      </c>
      <c r="E1362" s="247">
        <v>1.2</v>
      </c>
      <c r="F1362" s="247">
        <f>3.05-1.15</f>
        <v>1.9</v>
      </c>
      <c r="G1362" s="247">
        <v>0.914</v>
      </c>
      <c r="H1362" s="249">
        <f>PRODUCT(D1362:G1362)</f>
        <v>20.839199999999998</v>
      </c>
      <c r="J1362" s="253" t="inlineStr">
        <is>
          <t xml:space="preserve">10*1.2*(3.05-1.15)*0.914</t>
        </is>
      </c>
    </row>
    <row r="1363">
      <c r="C1363" s="246" t="inlineStr">
        <is>
          <t xml:space="preserve">Walling over opening W10 (1 nr, 1.2x1.2): nr x width x (3.05 - opening ht) x thickness share</t>
        </is>
      </c>
      <c r="D1363" s="248">
        <v>1</v>
      </c>
      <c r="E1363" s="247">
        <v>1.2</v>
      </c>
      <c r="F1363" s="247">
        <f>3.05-1.2</f>
        <v>1.8499999999999999</v>
      </c>
      <c r="G1363" s="247">
        <v>0.914</v>
      </c>
      <c r="H1363" s="249">
        <f>PRODUCT(D1363:G1363)</f>
        <v>2.02908</v>
      </c>
      <c r="J1363" s="253" t="inlineStr">
        <is>
          <t xml:space="preserve">1*1.2*(3.05-1.2)*0.914</t>
        </is>
      </c>
    </row>
    <row r="1364">
      <c r="C1364" s="246" t="inlineStr">
        <is>
          <t xml:space="preserve">Walling over opening W11 (8 nr, 1.5x1.3): nr x width x (3.05 - opening ht) x thickness share</t>
        </is>
      </c>
      <c r="D1364" s="248">
        <v>8</v>
      </c>
      <c r="E1364" s="247">
        <v>1.5</v>
      </c>
      <c r="F1364" s="247">
        <f>3.05-1.3</f>
        <v>1.7499999999999998</v>
      </c>
      <c r="G1364" s="247">
        <v>0.914</v>
      </c>
      <c r="H1364" s="249">
        <f>PRODUCT(D1364:G1364)</f>
        <v>19.194</v>
      </c>
      <c r="J1364" s="253" t="inlineStr">
        <is>
          <t xml:space="preserve">8*1.5*(3.05-1.3)*0.914</t>
        </is>
      </c>
    </row>
    <row r="1365">
      <c r="C1365" s="246" t="inlineStr">
        <is>
          <t xml:space="preserve">Walling over opening W12 (4 nr, 1.5x1.15): nr x width x (3.05 - opening ht) x thickness share</t>
        </is>
      </c>
      <c r="D1365" s="248">
        <v>4</v>
      </c>
      <c r="E1365" s="247">
        <v>1.5</v>
      </c>
      <c r="F1365" s="247">
        <f>3.05-1.15</f>
        <v>1.9</v>
      </c>
      <c r="G1365" s="247">
        <v>0.914</v>
      </c>
      <c r="H1365" s="249">
        <f>PRODUCT(D1365:G1365)</f>
        <v>10.419599999999999</v>
      </c>
      <c r="J1365" s="253" t="inlineStr">
        <is>
          <t xml:space="preserve">4*1.5*(3.05-1.15)*0.914</t>
        </is>
      </c>
    </row>
    <row r="1366">
      <c r="C1366" s="246" t="inlineStr">
        <is>
          <t xml:space="preserve">Walling over opening W13 (1 nr, 2.4x1.3): nr x width x (3.05 - opening ht) x thickness share</t>
        </is>
      </c>
      <c r="D1366" s="248">
        <v>1</v>
      </c>
      <c r="E1366" s="247">
        <v>2.4</v>
      </c>
      <c r="F1366" s="247">
        <f>3.05-1.3</f>
        <v>1.7499999999999998</v>
      </c>
      <c r="G1366" s="247">
        <v>0.914</v>
      </c>
      <c r="H1366" s="249">
        <f>PRODUCT(D1366:G1366)</f>
        <v>3.8387999999999995</v>
      </c>
      <c r="J1366" s="253" t="inlineStr">
        <is>
          <t xml:space="preserve">1*2.4*(3.05-1.3)*0.914</t>
        </is>
      </c>
    </row>
    <row r="1367">
      <c r="C1367" s="246" t="inlineStr">
        <is>
          <t xml:space="preserve">Walling over opening W15 (1 nr, 3x1.6): nr x width x (3.05 - opening ht) x thickness share</t>
        </is>
      </c>
      <c r="D1367" s="248">
        <v>1</v>
      </c>
      <c r="E1367" s="247">
        <v>3</v>
      </c>
      <c r="F1367" s="247">
        <f>3.05-1.6</f>
        <v>1.4499999999999997</v>
      </c>
      <c r="G1367" s="247">
        <v>0.914</v>
      </c>
      <c r="H1367" s="249">
        <f>PRODUCT(D1367:G1367)</f>
        <v>3.9758999999999998</v>
      </c>
      <c r="J1367" s="253" t="inlineStr">
        <is>
          <t xml:space="preserve">1*3*(3.05-1.6)*0.914</t>
        </is>
      </c>
    </row>
    <row r="1368">
      <c r="C1368" s="246" t="inlineStr">
        <is>
          <t xml:space="preserve">Walling over opening W17 (4 nr, 1.8x1.9): nr x width x (3.05 - opening ht) x thickness share</t>
        </is>
      </c>
      <c r="D1368" s="248">
        <v>4</v>
      </c>
      <c r="E1368" s="247">
        <v>1.8</v>
      </c>
      <c r="F1368" s="247">
        <f>3.05-1.9</f>
        <v>1.15</v>
      </c>
      <c r="G1368" s="247">
        <v>0.914</v>
      </c>
      <c r="H1368" s="249">
        <f>PRODUCT(D1368:G1368)</f>
        <v>7.56792</v>
      </c>
      <c r="J1368" s="253" t="inlineStr">
        <is>
          <t xml:space="preserve">4*1.8*(3.05-1.9)*0.914</t>
        </is>
      </c>
    </row>
    <row r="1369">
      <c r="C1369" s="246" t="inlineStr">
        <is>
          <t xml:space="preserve">Walling over opening W18 (1 nr, 0.75x1.3): nr x width x (3.05 - opening ht) x thickness share</t>
        </is>
      </c>
      <c r="D1369" s="248">
        <v>1</v>
      </c>
      <c r="E1369" s="247">
        <v>0.75</v>
      </c>
      <c r="F1369" s="247">
        <f>3.05-1.3</f>
        <v>1.7499999999999998</v>
      </c>
      <c r="G1369" s="247">
        <v>0.914</v>
      </c>
      <c r="H1369" s="249">
        <f>PRODUCT(D1369:G1369)</f>
        <v>1.199625</v>
      </c>
      <c r="J1369" s="253" t="inlineStr">
        <is>
          <t xml:space="preserve">1*0.75*(3.05-1.3)*0.914</t>
        </is>
      </c>
    </row>
    <row r="1370">
      <c r="C1370" s="246" t="inlineStr">
        <is>
          <t xml:space="preserve">Walling over opening W20 (1 nr, 1.45x1.9): nr x width x (3.05 - opening ht) x thickness share</t>
        </is>
      </c>
      <c r="D1370" s="248">
        <v>1</v>
      </c>
      <c r="E1370" s="247">
        <v>1.45</v>
      </c>
      <c r="F1370" s="247">
        <f>3.05-1.9</f>
        <v>1.15</v>
      </c>
      <c r="G1370" s="247">
        <v>0.914</v>
      </c>
      <c r="H1370" s="249">
        <f>PRODUCT(D1370:G1370)</f>
        <v>1.5240949999999998</v>
      </c>
      <c r="J1370" s="253" t="inlineStr">
        <is>
          <t xml:space="preserve">1*1.45*(3.05-1.9)*0.914</t>
        </is>
      </c>
    </row>
    <row r="1371">
      <c r="C1371" s="246" t="inlineStr">
        <is>
          <t xml:space="preserve">Walling over opening HW1 (12 nr, 0.9x0.6): nr x width x (3.05 - opening ht) x thickness share</t>
        </is>
      </c>
      <c r="D1371" s="248">
        <v>12</v>
      </c>
      <c r="E1371" s="247">
        <v>0.9</v>
      </c>
      <c r="F1371" s="247">
        <f>3.05-0.6</f>
        <v>2.4499999999999997</v>
      </c>
      <c r="G1371" s="247">
        <v>0.914</v>
      </c>
      <c r="H1371" s="249">
        <f>PRODUCT(D1371:G1371)</f>
        <v>24.18444</v>
      </c>
      <c r="J1371" s="253" t="inlineStr">
        <is>
          <t xml:space="preserve">12*0.9*(3.05-0.6)*0.914</t>
        </is>
      </c>
    </row>
    <row r="1372">
      <c r="C1372" s="246" t="inlineStr">
        <is>
          <t xml:space="preserve">Walling over opening HW2 (5 nr, 0.75x0.6): nr x width x (3.05 - opening ht) x thickness share</t>
        </is>
      </c>
      <c r="D1372" s="248">
        <v>5</v>
      </c>
      <c r="E1372" s="247">
        <v>0.75</v>
      </c>
      <c r="F1372" s="247">
        <f>3.05-0.6</f>
        <v>2.4499999999999997</v>
      </c>
      <c r="G1372" s="247">
        <v>0.914</v>
      </c>
      <c r="H1372" s="249">
        <f>PRODUCT(D1372:G1372)</f>
        <v>8.397374999999998</v>
      </c>
      <c r="J1372" s="253" t="inlineStr">
        <is>
          <t xml:space="preserve">5*0.75*(3.05-0.6)*0.914</t>
        </is>
      </c>
    </row>
    <row r="1373">
      <c r="C1373" s="246" t="inlineStr">
        <is>
          <t xml:space="preserve">Walling over opening HW3 (1 nr, 0.6x0.6): nr x width x (3.05 - opening ht) x thickness share</t>
        </is>
      </c>
      <c r="D1373" s="248">
        <v>1</v>
      </c>
      <c r="E1373" s="247">
        <v>0.6</v>
      </c>
      <c r="F1373" s="247">
        <f>3.05-0.6</f>
        <v>2.4499999999999997</v>
      </c>
      <c r="G1373" s="247">
        <v>0.914</v>
      </c>
      <c r="H1373" s="249">
        <f>PRODUCT(D1373:G1373)</f>
        <v>1.3435799999999998</v>
      </c>
      <c r="J1373" s="253" t="inlineStr">
        <is>
          <t xml:space="preserve">1*0.6*(3.05-0.6)*0.914</t>
        </is>
      </c>
    </row>
    <row r="1374">
      <c r="C1374" s="246" t="inlineStr">
        <is>
          <t xml:space="preserve">Walling over opening HW4 (1 nr, 1.2x0.6): nr x width x (3.05 - opening ht) x thickness share</t>
        </is>
      </c>
      <c r="D1374" s="248">
        <v>1</v>
      </c>
      <c r="E1374" s="247">
        <v>1.2</v>
      </c>
      <c r="F1374" s="247">
        <f>3.05-0.6</f>
        <v>2.4499999999999997</v>
      </c>
      <c r="G1374" s="247">
        <v>0.914</v>
      </c>
      <c r="H1374" s="249">
        <f>PRODUCT(D1374:G1374)</f>
        <v>2.6871599999999995</v>
      </c>
      <c r="J1374" s="253" t="inlineStr">
        <is>
          <t xml:space="preserve">1*1.2*(3.05-0.6)*0.914</t>
        </is>
      </c>
    </row>
    <row r="1375">
      <c r="C1375" s="250" t="inlineStr">
        <is>
          <t xml:space="preserve">Total carried to BOQ  3RD FLR item A</t>
        </is>
      </c>
      <c r="D1375" s="250" t="inlineStr">
        <is>
          <t xml:space="preserve"/>
        </is>
      </c>
      <c r="E1375" s="250" t="inlineStr">
        <is>
          <t xml:space="preserve"/>
        </is>
      </c>
      <c r="F1375" s="250" t="inlineStr">
        <is>
          <t xml:space="preserve"/>
        </is>
      </c>
      <c r="G1375" s="250" t="inlineStr">
        <is>
          <t xml:space="preserve"/>
        </is>
      </c>
      <c r="H1375" s="251">
        <f>SUM(H1339:H1374)</f>
        <v>1750.3009999999997</v>
      </c>
      <c r="I1375" s="252" t="inlineStr">
        <is>
          <t xml:space="preserve">m2</t>
        </is>
      </c>
    </row>
    <row r="1376">
      <c r="A1376" s="243" t="inlineStr">
        <is>
          <t xml:space="preserve">3RD FLR</t>
        </is>
      </c>
      <c r="B1376" s="243" t="inlineStr">
        <is>
          <t xml:space="preserve">B</t>
        </is>
      </c>
      <c r="C1376" s="244" t="inlineStr">
        <is>
          <t xml:space="preserve">200mm thick wall</t>
        </is>
      </c>
      <c r="I1376" s="245" t="inlineStr">
        <is>
          <t xml:space="preserve">m2</t>
        </is>
      </c>
      <c r="K1376" s="256" t="inlineStr">
        <is>
          <t xml:space="preserve">'3RD FLR'!C99</t>
        </is>
      </c>
    </row>
    <row r="1377">
      <c r="C1377" s="246" t="inlineStr">
        <is>
          <t xml:space="preserve">Third floor - 200 blockwork: wall length x storey ht</t>
        </is>
      </c>
      <c r="E1377" s="247">
        <v>47.2</v>
      </c>
      <c r="F1377" s="247">
        <v>3.05</v>
      </c>
      <c r="H1377" s="249">
        <f>PRODUCT(D1377:G1377)</f>
        <v>143.96</v>
      </c>
      <c r="J1377" s="253" t="inlineStr">
        <is>
          <t xml:space="preserve">47.2*3.05</t>
        </is>
      </c>
    </row>
    <row r="1378">
      <c r="C1378" s="246" t="inlineStr">
        <is>
          <t xml:space="preserve">Walling over opening D2 (10 nr, 1x2.2): nr x width x (3.05 - opening ht) x thickness share</t>
        </is>
      </c>
      <c r="D1378" s="248">
        <v>10</v>
      </c>
      <c r="E1378" s="247">
        <v>1</v>
      </c>
      <c r="F1378" s="247">
        <f>3.05-2.2</f>
        <v>0.8499999999999996</v>
      </c>
      <c r="G1378" s="247">
        <v>0.086</v>
      </c>
      <c r="H1378" s="249">
        <f>PRODUCT(D1378:G1378)</f>
        <v>0.7309999999999997</v>
      </c>
      <c r="J1378" s="253" t="inlineStr">
        <is>
          <t xml:space="preserve">10*1*(3.05-2.2)*0.086</t>
        </is>
      </c>
    </row>
    <row r="1379">
      <c r="C1379" s="246" t="inlineStr">
        <is>
          <t xml:space="preserve">Walling over opening D3 (19 nr, 0.9x2.2): nr x width x (3.05 - opening ht) x thickness share</t>
        </is>
      </c>
      <c r="D1379" s="248">
        <v>19</v>
      </c>
      <c r="E1379" s="247">
        <v>0.9</v>
      </c>
      <c r="F1379" s="247">
        <f>3.05-2.2</f>
        <v>0.8499999999999996</v>
      </c>
      <c r="G1379" s="247">
        <v>0.086</v>
      </c>
      <c r="H1379" s="249">
        <f>PRODUCT(D1379:G1379)</f>
        <v>1.2500099999999994</v>
      </c>
      <c r="J1379" s="253" t="inlineStr">
        <is>
          <t xml:space="preserve">19*0.9*(3.05-2.2)*0.086</t>
        </is>
      </c>
    </row>
    <row r="1380">
      <c r="C1380" s="246" t="inlineStr">
        <is>
          <t xml:space="preserve">Walling over opening D6 (21 nr, 0.75x2.2): nr x width x (3.05 - opening ht) x thickness share</t>
        </is>
      </c>
      <c r="D1380" s="248">
        <v>21</v>
      </c>
      <c r="E1380" s="247">
        <v>0.75</v>
      </c>
      <c r="F1380" s="247">
        <f>3.05-2.2</f>
        <v>0.8499999999999996</v>
      </c>
      <c r="G1380" s="247">
        <v>0.086</v>
      </c>
      <c r="H1380" s="249">
        <f>PRODUCT(D1380:G1380)</f>
        <v>1.1513249999999995</v>
      </c>
      <c r="J1380" s="253" t="inlineStr">
        <is>
          <t xml:space="preserve">21*0.75*(3.05-2.2)*0.086</t>
        </is>
      </c>
    </row>
    <row r="1381">
      <c r="C1381" s="246" t="inlineStr">
        <is>
          <t xml:space="preserve">Walling over opening D7 (2 nr, 0.7x2.2): nr x width x (3.05 - opening ht) x thickness share</t>
        </is>
      </c>
      <c r="D1381" s="248">
        <v>2</v>
      </c>
      <c r="E1381" s="247">
        <v>0.7</v>
      </c>
      <c r="F1381" s="247">
        <f>3.05-2.2</f>
        <v>0.8499999999999996</v>
      </c>
      <c r="G1381" s="247">
        <v>0.086</v>
      </c>
      <c r="H1381" s="249">
        <f>PRODUCT(D1381:G1381)</f>
        <v>0.10233999999999994</v>
      </c>
      <c r="J1381" s="253" t="inlineStr">
        <is>
          <t xml:space="preserve">2*0.7*(3.05-2.2)*0.086</t>
        </is>
      </c>
    </row>
    <row r="1382">
      <c r="C1382" s="246" t="inlineStr">
        <is>
          <t xml:space="preserve">Walling over opening D8 (3 nr, 1.2x2.2): nr x width x (3.05 - opening ht) x thickness share</t>
        </is>
      </c>
      <c r="D1382" s="248">
        <v>3</v>
      </c>
      <c r="E1382" s="247">
        <v>1.2</v>
      </c>
      <c r="F1382" s="247">
        <f>3.05-2.2</f>
        <v>0.8499999999999996</v>
      </c>
      <c r="G1382" s="247">
        <v>0.086</v>
      </c>
      <c r="H1382" s="249">
        <f>PRODUCT(D1382:G1382)</f>
        <v>0.26315999999999984</v>
      </c>
      <c r="J1382" s="253" t="inlineStr">
        <is>
          <t xml:space="preserve">3*1.2*(3.05-2.2)*0.086</t>
        </is>
      </c>
    </row>
    <row r="1383">
      <c r="C1383" s="246" t="inlineStr">
        <is>
          <t xml:space="preserve">Walling over opening ED1 (3 nr, 1x2.2): nr x width x (3.05 - opening ht) x thickness share</t>
        </is>
      </c>
      <c r="D1383" s="248">
        <v>3</v>
      </c>
      <c r="E1383" s="247">
        <v>1</v>
      </c>
      <c r="F1383" s="247">
        <f>3.05-2.2</f>
        <v>0.8499999999999996</v>
      </c>
      <c r="G1383" s="247">
        <v>0.086</v>
      </c>
      <c r="H1383" s="249">
        <f>PRODUCT(D1383:G1383)</f>
        <v>0.21929999999999988</v>
      </c>
      <c r="J1383" s="253" t="inlineStr">
        <is>
          <t xml:space="preserve">3*1*(3.05-2.2)*0.086</t>
        </is>
      </c>
    </row>
    <row r="1384">
      <c r="C1384" s="246" t="inlineStr">
        <is>
          <t xml:space="preserve">Walling over opening ED2 (3 nr, 1x2.2): nr x width x (3.05 - opening ht) x thickness share</t>
        </is>
      </c>
      <c r="D1384" s="248">
        <v>3</v>
      </c>
      <c r="E1384" s="247">
        <v>1</v>
      </c>
      <c r="F1384" s="247">
        <f>3.05-2.2</f>
        <v>0.8499999999999996</v>
      </c>
      <c r="G1384" s="247">
        <v>0.086</v>
      </c>
      <c r="H1384" s="249">
        <f>PRODUCT(D1384:G1384)</f>
        <v>0.21929999999999988</v>
      </c>
      <c r="J1384" s="253" t="inlineStr">
        <is>
          <t xml:space="preserve">3*1*(3.05-2.2)*0.086</t>
        </is>
      </c>
    </row>
    <row r="1385">
      <c r="C1385" s="246" t="inlineStr">
        <is>
          <t xml:space="preserve">Walling over opening D9 (2 nr, 0.9x2.2): nr x width x (3.05 - opening ht) x thickness share</t>
        </is>
      </c>
      <c r="D1385" s="248">
        <v>2</v>
      </c>
      <c r="E1385" s="247">
        <v>0.9</v>
      </c>
      <c r="F1385" s="247">
        <f>3.05-2.2</f>
        <v>0.8499999999999996</v>
      </c>
      <c r="G1385" s="247">
        <v>0.086</v>
      </c>
      <c r="H1385" s="249">
        <f>PRODUCT(D1385:G1385)</f>
        <v>0.13157999999999995</v>
      </c>
      <c r="J1385" s="253" t="inlineStr">
        <is>
          <t xml:space="preserve">2*0.9*(3.05-2.2)*0.086</t>
        </is>
      </c>
    </row>
    <row r="1386">
      <c r="C1386" s="246" t="inlineStr">
        <is>
          <t xml:space="preserve">Walling over opening FD1 (1 nr, 1.5x2.2): nr x width x (3.05 - opening ht) x thickness share</t>
        </is>
      </c>
      <c r="D1386" s="248">
        <v>1</v>
      </c>
      <c r="E1386" s="247">
        <v>1.5</v>
      </c>
      <c r="F1386" s="247">
        <f>3.05-2.2</f>
        <v>0.8499999999999996</v>
      </c>
      <c r="G1386" s="247">
        <v>0.086</v>
      </c>
      <c r="H1386" s="249">
        <f>PRODUCT(D1386:G1386)</f>
        <v>0.10964999999999994</v>
      </c>
      <c r="J1386" s="253" t="inlineStr">
        <is>
          <t xml:space="preserve">1*1.5*(3.05-2.2)*0.086</t>
        </is>
      </c>
    </row>
    <row r="1387">
      <c r="C1387" s="246" t="inlineStr">
        <is>
          <t xml:space="preserve">Walling over opening M1 (3 nr, 0.9x2.2): nr x width x (3.05 - opening ht) x thickness share</t>
        </is>
      </c>
      <c r="D1387" s="248">
        <v>3</v>
      </c>
      <c r="E1387" s="247">
        <v>0.9</v>
      </c>
      <c r="F1387" s="247">
        <f>3.05-2.2</f>
        <v>0.8499999999999996</v>
      </c>
      <c r="G1387" s="247">
        <v>0.086</v>
      </c>
      <c r="H1387" s="249">
        <f>PRODUCT(D1387:G1387)</f>
        <v>0.1973699999999999</v>
      </c>
      <c r="J1387" s="253" t="inlineStr">
        <is>
          <t xml:space="preserve">3*0.9*(3.05-2.2)*0.086</t>
        </is>
      </c>
    </row>
    <row r="1388">
      <c r="C1388" s="246" t="inlineStr">
        <is>
          <t xml:space="preserve">Walling over opening M2 (5 nr, 0.75x2.2): nr x width x (3.05 - opening ht) x thickness share</t>
        </is>
      </c>
      <c r="D1388" s="248">
        <v>5</v>
      </c>
      <c r="E1388" s="247">
        <v>0.75</v>
      </c>
      <c r="F1388" s="247">
        <f>3.05-2.2</f>
        <v>0.8499999999999996</v>
      </c>
      <c r="G1388" s="247">
        <v>0.086</v>
      </c>
      <c r="H1388" s="249">
        <f>PRODUCT(D1388:G1388)</f>
        <v>0.27412499999999984</v>
      </c>
      <c r="J1388" s="253" t="inlineStr">
        <is>
          <t xml:space="preserve">5*0.75*(3.05-2.2)*0.086</t>
        </is>
      </c>
    </row>
    <row r="1389">
      <c r="C1389" s="246" t="inlineStr">
        <is>
          <t xml:space="preserve">Walling over opening M3 (1 nr, 0.45x2.2): nr x width x (3.05 - opening ht) x thickness share</t>
        </is>
      </c>
      <c r="D1389" s="248">
        <v>1</v>
      </c>
      <c r="E1389" s="247">
        <v>0.45</v>
      </c>
      <c r="F1389" s="247">
        <f>3.05-2.2</f>
        <v>0.8499999999999996</v>
      </c>
      <c r="G1389" s="247">
        <v>0.086</v>
      </c>
      <c r="H1389" s="249">
        <f>PRODUCT(D1389:G1389)</f>
        <v>0.03289499999999999</v>
      </c>
      <c r="J1389" s="253" t="inlineStr">
        <is>
          <t xml:space="preserve">1*0.45*(3.05-2.2)*0.086</t>
        </is>
      </c>
    </row>
    <row r="1390">
      <c r="C1390" s="246" t="inlineStr">
        <is>
          <t xml:space="preserve">Walling over opening M5 (3 nr, 0.6x2.2): nr x width x (3.05 - opening ht) x thickness share</t>
        </is>
      </c>
      <c r="D1390" s="248">
        <v>3</v>
      </c>
      <c r="E1390" s="247">
        <v>0.6</v>
      </c>
      <c r="F1390" s="247">
        <f>3.05-2.2</f>
        <v>0.8499999999999996</v>
      </c>
      <c r="G1390" s="247">
        <v>0.086</v>
      </c>
      <c r="H1390" s="249">
        <f>PRODUCT(D1390:G1390)</f>
        <v>0.13157999999999992</v>
      </c>
      <c r="J1390" s="253" t="inlineStr">
        <is>
          <t xml:space="preserve">3*0.6*(3.05-2.2)*0.086</t>
        </is>
      </c>
    </row>
    <row r="1391">
      <c r="C1391" s="246" t="inlineStr">
        <is>
          <t xml:space="preserve">Walling over opening SD1 (1 nr, 3x2.2): nr x width x (3.05 - opening ht) x thickness share</t>
        </is>
      </c>
      <c r="D1391" s="248">
        <v>1</v>
      </c>
      <c r="E1391" s="247">
        <v>3</v>
      </c>
      <c r="F1391" s="247">
        <f>3.05-2.2</f>
        <v>0.8499999999999996</v>
      </c>
      <c r="G1391" s="247">
        <v>0.086</v>
      </c>
      <c r="H1391" s="249">
        <f>PRODUCT(D1391:G1391)</f>
        <v>0.21929999999999988</v>
      </c>
      <c r="J1391" s="253" t="inlineStr">
        <is>
          <t xml:space="preserve">1*3*(3.05-2.2)*0.086</t>
        </is>
      </c>
    </row>
    <row r="1392">
      <c r="C1392" s="246" t="inlineStr">
        <is>
          <t xml:space="preserve">Walling over opening SD2 (4 nr, 1.6x2.2): nr x width x (3.05 - opening ht) x thickness share</t>
        </is>
      </c>
      <c r="D1392" s="248">
        <v>4</v>
      </c>
      <c r="E1392" s="247">
        <v>1.6</v>
      </c>
      <c r="F1392" s="247">
        <f>3.05-2.2</f>
        <v>0.8499999999999996</v>
      </c>
      <c r="G1392" s="247">
        <v>0.086</v>
      </c>
      <c r="H1392" s="249">
        <f>PRODUCT(D1392:G1392)</f>
        <v>0.46783999999999976</v>
      </c>
      <c r="J1392" s="253" t="inlineStr">
        <is>
          <t xml:space="preserve">4*1.6*(3.05-2.2)*0.086</t>
        </is>
      </c>
    </row>
    <row r="1393">
      <c r="C1393" s="246" t="inlineStr">
        <is>
          <t xml:space="preserve">Walling over opening SD3 (3 nr, 1.3x2.2): nr x width x (3.05 - opening ht) x thickness share</t>
        </is>
      </c>
      <c r="D1393" s="248">
        <v>3</v>
      </c>
      <c r="E1393" s="247">
        <v>1.3</v>
      </c>
      <c r="F1393" s="247">
        <f>3.05-2.2</f>
        <v>0.8499999999999996</v>
      </c>
      <c r="G1393" s="247">
        <v>0.086</v>
      </c>
      <c r="H1393" s="249">
        <f>PRODUCT(D1393:G1393)</f>
        <v>0.2850899999999999</v>
      </c>
      <c r="J1393" s="253" t="inlineStr">
        <is>
          <t xml:space="preserve">3*1.3*(3.05-2.2)*0.086</t>
        </is>
      </c>
    </row>
    <row r="1394">
      <c r="C1394" s="246" t="inlineStr">
        <is>
          <t xml:space="preserve">Walling over opening SD4 (5 nr, 1.8x2.2): nr x width x (3.05 - opening ht) x thickness share</t>
        </is>
      </c>
      <c r="D1394" s="248">
        <v>5</v>
      </c>
      <c r="E1394" s="247">
        <v>1.8</v>
      </c>
      <c r="F1394" s="247">
        <f>3.05-2.2</f>
        <v>0.8499999999999996</v>
      </c>
      <c r="G1394" s="247">
        <v>0.086</v>
      </c>
      <c r="H1394" s="249">
        <f>PRODUCT(D1394:G1394)</f>
        <v>0.6578999999999997</v>
      </c>
      <c r="J1394" s="253" t="inlineStr">
        <is>
          <t xml:space="preserve">5*1.8*(3.05-2.2)*0.086</t>
        </is>
      </c>
    </row>
    <row r="1395">
      <c r="C1395" s="246" t="inlineStr">
        <is>
          <t xml:space="preserve">Walling over opening SD5 (1 nr, 1.2x2.2): nr x width x (3.05 - opening ht) x thickness share</t>
        </is>
      </c>
      <c r="D1395" s="248">
        <v>1</v>
      </c>
      <c r="E1395" s="247">
        <v>1.2</v>
      </c>
      <c r="F1395" s="247">
        <f>3.05-2.2</f>
        <v>0.8499999999999996</v>
      </c>
      <c r="G1395" s="247">
        <v>0.086</v>
      </c>
      <c r="H1395" s="249">
        <f>PRODUCT(D1395:G1395)</f>
        <v>0.08771999999999995</v>
      </c>
      <c r="J1395" s="253" t="inlineStr">
        <is>
          <t xml:space="preserve">1*1.2*(3.05-2.2)*0.086</t>
        </is>
      </c>
    </row>
    <row r="1396">
      <c r="C1396" s="246" t="inlineStr">
        <is>
          <t xml:space="preserve">Walling over opening W2 (7 nr, 1.8x1.3): nr x width x (3.05 - opening ht) x thickness share</t>
        </is>
      </c>
      <c r="D1396" s="248">
        <v>7</v>
      </c>
      <c r="E1396" s="247">
        <v>1.8</v>
      </c>
      <c r="F1396" s="247">
        <f>3.05-1.3</f>
        <v>1.7499999999999998</v>
      </c>
      <c r="G1396" s="247">
        <v>0.086</v>
      </c>
      <c r="H1396" s="249">
        <f>PRODUCT(D1396:G1396)</f>
        <v>1.8962999999999997</v>
      </c>
      <c r="J1396" s="253" t="inlineStr">
        <is>
          <t xml:space="preserve">7*1.8*(3.05-1.3)*0.086</t>
        </is>
      </c>
    </row>
    <row r="1397">
      <c r="C1397" s="246" t="inlineStr">
        <is>
          <t xml:space="preserve">Walling over opening W4 (13 nr, 0.9x1.3): nr x width x (3.05 - opening ht) x thickness share</t>
        </is>
      </c>
      <c r="D1397" s="248">
        <v>13</v>
      </c>
      <c r="E1397" s="247">
        <v>0.9</v>
      </c>
      <c r="F1397" s="247">
        <f>3.05-1.3</f>
        <v>1.7499999999999998</v>
      </c>
      <c r="G1397" s="247">
        <v>0.086</v>
      </c>
      <c r="H1397" s="249">
        <f>PRODUCT(D1397:G1397)</f>
        <v>1.7608499999999996</v>
      </c>
      <c r="J1397" s="253" t="inlineStr">
        <is>
          <t xml:space="preserve">13*0.9*(3.05-1.3)*0.086</t>
        </is>
      </c>
    </row>
    <row r="1398">
      <c r="C1398" s="246" t="inlineStr">
        <is>
          <t xml:space="preserve">Walling over opening W7 (2 nr, 1.8x1.6): nr x width x (3.05 - opening ht) x thickness share</t>
        </is>
      </c>
      <c r="D1398" s="248">
        <v>2</v>
      </c>
      <c r="E1398" s="247">
        <v>1.8</v>
      </c>
      <c r="F1398" s="247">
        <f>3.05-1.6</f>
        <v>1.4499999999999997</v>
      </c>
      <c r="G1398" s="247">
        <v>0.086</v>
      </c>
      <c r="H1398" s="249">
        <f>PRODUCT(D1398:G1398)</f>
        <v>0.4489199999999999</v>
      </c>
      <c r="J1398" s="253" t="inlineStr">
        <is>
          <t xml:space="preserve">2*1.8*(3.05-1.6)*0.086</t>
        </is>
      </c>
    </row>
    <row r="1399">
      <c r="C1399" s="246" t="inlineStr">
        <is>
          <t xml:space="preserve">Walling over opening W8 (4 nr, 1.2x1.9): nr x width x (3.05 - opening ht) x thickness share</t>
        </is>
      </c>
      <c r="D1399" s="248">
        <v>4</v>
      </c>
      <c r="E1399" s="247">
        <v>1.2</v>
      </c>
      <c r="F1399" s="247">
        <f>3.05-1.9</f>
        <v>1.15</v>
      </c>
      <c r="G1399" s="247">
        <v>0.086</v>
      </c>
      <c r="H1399" s="249">
        <f>PRODUCT(D1399:G1399)</f>
        <v>0.4747199999999999</v>
      </c>
      <c r="J1399" s="253" t="inlineStr">
        <is>
          <t xml:space="preserve">4*1.2*(3.05-1.9)*0.086</t>
        </is>
      </c>
    </row>
    <row r="1400">
      <c r="C1400" s="246" t="inlineStr">
        <is>
          <t xml:space="preserve">Walling over opening W9 (10 nr, 1.2x1.15): nr x width x (3.05 - opening ht) x thickness share</t>
        </is>
      </c>
      <c r="D1400" s="248">
        <v>10</v>
      </c>
      <c r="E1400" s="247">
        <v>1.2</v>
      </c>
      <c r="F1400" s="247">
        <f>3.05-1.15</f>
        <v>1.9</v>
      </c>
      <c r="G1400" s="247">
        <v>0.086</v>
      </c>
      <c r="H1400" s="249">
        <f>PRODUCT(D1400:G1400)</f>
        <v>1.9607999999999997</v>
      </c>
      <c r="J1400" s="253" t="inlineStr">
        <is>
          <t xml:space="preserve">10*1.2*(3.05-1.15)*0.086</t>
        </is>
      </c>
    </row>
    <row r="1401">
      <c r="C1401" s="246" t="inlineStr">
        <is>
          <t xml:space="preserve">Walling over opening W10 (1 nr, 1.2x1.2): nr x width x (3.05 - opening ht) x thickness share</t>
        </is>
      </c>
      <c r="D1401" s="248">
        <v>1</v>
      </c>
      <c r="E1401" s="247">
        <v>1.2</v>
      </c>
      <c r="F1401" s="247">
        <f>3.05-1.2</f>
        <v>1.8499999999999999</v>
      </c>
      <c r="G1401" s="247">
        <v>0.086</v>
      </c>
      <c r="H1401" s="249">
        <f>PRODUCT(D1401:G1401)</f>
        <v>0.19091999999999995</v>
      </c>
      <c r="J1401" s="253" t="inlineStr">
        <is>
          <t xml:space="preserve">1*1.2*(3.05-1.2)*0.086</t>
        </is>
      </c>
    </row>
    <row r="1402">
      <c r="C1402" s="246" t="inlineStr">
        <is>
          <t xml:space="preserve">Walling over opening W11 (8 nr, 1.5x1.3): nr x width x (3.05 - opening ht) x thickness share</t>
        </is>
      </c>
      <c r="D1402" s="248">
        <v>8</v>
      </c>
      <c r="E1402" s="247">
        <v>1.5</v>
      </c>
      <c r="F1402" s="247">
        <f>3.05-1.3</f>
        <v>1.7499999999999998</v>
      </c>
      <c r="G1402" s="247">
        <v>0.086</v>
      </c>
      <c r="H1402" s="249">
        <f>PRODUCT(D1402:G1402)</f>
        <v>1.8059999999999996</v>
      </c>
      <c r="J1402" s="253" t="inlineStr">
        <is>
          <t xml:space="preserve">8*1.5*(3.05-1.3)*0.086</t>
        </is>
      </c>
    </row>
    <row r="1403">
      <c r="C1403" s="246" t="inlineStr">
        <is>
          <t xml:space="preserve">Walling over opening W12 (4 nr, 1.5x1.15): nr x width x (3.05 - opening ht) x thickness share</t>
        </is>
      </c>
      <c r="D1403" s="248">
        <v>4</v>
      </c>
      <c r="E1403" s="247">
        <v>1.5</v>
      </c>
      <c r="F1403" s="247">
        <f>3.05-1.15</f>
        <v>1.9</v>
      </c>
      <c r="G1403" s="247">
        <v>0.086</v>
      </c>
      <c r="H1403" s="249">
        <f>PRODUCT(D1403:G1403)</f>
        <v>0.9803999999999998</v>
      </c>
      <c r="J1403" s="253" t="inlineStr">
        <is>
          <t xml:space="preserve">4*1.5*(3.05-1.15)*0.086</t>
        </is>
      </c>
    </row>
    <row r="1404">
      <c r="C1404" s="246" t="inlineStr">
        <is>
          <t xml:space="preserve">Walling over opening W13 (1 nr, 2.4x1.3): nr x width x (3.05 - opening ht) x thickness share</t>
        </is>
      </c>
      <c r="D1404" s="248">
        <v>1</v>
      </c>
      <c r="E1404" s="247">
        <v>2.4</v>
      </c>
      <c r="F1404" s="247">
        <f>3.05-1.3</f>
        <v>1.7499999999999998</v>
      </c>
      <c r="G1404" s="247">
        <v>0.086</v>
      </c>
      <c r="H1404" s="249">
        <f>PRODUCT(D1404:G1404)</f>
        <v>0.3611999999999999</v>
      </c>
      <c r="J1404" s="253" t="inlineStr">
        <is>
          <t xml:space="preserve">1*2.4*(3.05-1.3)*0.086</t>
        </is>
      </c>
    </row>
    <row r="1405">
      <c r="C1405" s="246" t="inlineStr">
        <is>
          <t xml:space="preserve">Walling over opening W15 (1 nr, 3x1.6): nr x width x (3.05 - opening ht) x thickness share</t>
        </is>
      </c>
      <c r="D1405" s="248">
        <v>1</v>
      </c>
      <c r="E1405" s="247">
        <v>3</v>
      </c>
      <c r="F1405" s="247">
        <f>3.05-1.6</f>
        <v>1.4499999999999997</v>
      </c>
      <c r="G1405" s="247">
        <v>0.086</v>
      </c>
      <c r="H1405" s="249">
        <f>PRODUCT(D1405:G1405)</f>
        <v>0.37409999999999993</v>
      </c>
      <c r="J1405" s="253" t="inlineStr">
        <is>
          <t xml:space="preserve">1*3*(3.05-1.6)*0.086</t>
        </is>
      </c>
    </row>
    <row r="1406">
      <c r="C1406" s="246" t="inlineStr">
        <is>
          <t xml:space="preserve">Walling over opening W17 (4 nr, 1.8x1.9): nr x width x (3.05 - opening ht) x thickness share</t>
        </is>
      </c>
      <c r="D1406" s="248">
        <v>4</v>
      </c>
      <c r="E1406" s="247">
        <v>1.8</v>
      </c>
      <c r="F1406" s="247">
        <f>3.05-1.9</f>
        <v>1.15</v>
      </c>
      <c r="G1406" s="247">
        <v>0.086</v>
      </c>
      <c r="H1406" s="249">
        <f>PRODUCT(D1406:G1406)</f>
        <v>0.7120799999999999</v>
      </c>
      <c r="J1406" s="253" t="inlineStr">
        <is>
          <t xml:space="preserve">4*1.8*(3.05-1.9)*0.086</t>
        </is>
      </c>
    </row>
    <row r="1407">
      <c r="C1407" s="246" t="inlineStr">
        <is>
          <t xml:space="preserve">Walling over opening W18 (1 nr, 0.75x1.3): nr x width x (3.05 - opening ht) x thickness share</t>
        </is>
      </c>
      <c r="D1407" s="248">
        <v>1</v>
      </c>
      <c r="E1407" s="247">
        <v>0.75</v>
      </c>
      <c r="F1407" s="247">
        <f>3.05-1.3</f>
        <v>1.7499999999999998</v>
      </c>
      <c r="G1407" s="247">
        <v>0.086</v>
      </c>
      <c r="H1407" s="249">
        <f>PRODUCT(D1407:G1407)</f>
        <v>0.11287499999999998</v>
      </c>
      <c r="J1407" s="253" t="inlineStr">
        <is>
          <t xml:space="preserve">1*0.75*(3.05-1.3)*0.086</t>
        </is>
      </c>
    </row>
    <row r="1408">
      <c r="C1408" s="246" t="inlineStr">
        <is>
          <t xml:space="preserve">Walling over opening W20 (1 nr, 1.45x1.9): nr x width x (3.05 - opening ht) x thickness share</t>
        </is>
      </c>
      <c r="D1408" s="248">
        <v>1</v>
      </c>
      <c r="E1408" s="247">
        <v>1.45</v>
      </c>
      <c r="F1408" s="247">
        <f>3.05-1.9</f>
        <v>1.15</v>
      </c>
      <c r="G1408" s="247">
        <v>0.086</v>
      </c>
      <c r="H1408" s="249">
        <f>PRODUCT(D1408:G1408)</f>
        <v>0.14340499999999998</v>
      </c>
      <c r="J1408" s="253" t="inlineStr">
        <is>
          <t xml:space="preserve">1*1.45*(3.05-1.9)*0.086</t>
        </is>
      </c>
    </row>
    <row r="1409">
      <c r="C1409" s="246" t="inlineStr">
        <is>
          <t xml:space="preserve">Walling over opening HW1 (12 nr, 0.9x0.6): nr x width x (3.05 - opening ht) x thickness share</t>
        </is>
      </c>
      <c r="D1409" s="248">
        <v>12</v>
      </c>
      <c r="E1409" s="247">
        <v>0.9</v>
      </c>
      <c r="F1409" s="247">
        <f>3.05-0.6</f>
        <v>2.4499999999999997</v>
      </c>
      <c r="G1409" s="247">
        <v>0.086</v>
      </c>
      <c r="H1409" s="249">
        <f>PRODUCT(D1409:G1409)</f>
        <v>2.2755599999999996</v>
      </c>
      <c r="J1409" s="253" t="inlineStr">
        <is>
          <t xml:space="preserve">12*0.9*(3.05-0.6)*0.086</t>
        </is>
      </c>
    </row>
    <row r="1410">
      <c r="C1410" s="246" t="inlineStr">
        <is>
          <t xml:space="preserve">Walling over opening HW2 (5 nr, 0.75x0.6): nr x width x (3.05 - opening ht) x thickness share</t>
        </is>
      </c>
      <c r="D1410" s="248">
        <v>5</v>
      </c>
      <c r="E1410" s="247">
        <v>0.75</v>
      </c>
      <c r="F1410" s="247">
        <f>3.05-0.6</f>
        <v>2.4499999999999997</v>
      </c>
      <c r="G1410" s="247">
        <v>0.086</v>
      </c>
      <c r="H1410" s="249">
        <f>PRODUCT(D1410:G1410)</f>
        <v>0.7901249999999997</v>
      </c>
      <c r="J1410" s="253" t="inlineStr">
        <is>
          <t xml:space="preserve">5*0.75*(3.05-0.6)*0.086</t>
        </is>
      </c>
    </row>
    <row r="1411">
      <c r="C1411" s="246" t="inlineStr">
        <is>
          <t xml:space="preserve">Walling over opening HW3 (1 nr, 0.6x0.6): nr x width x (3.05 - opening ht) x thickness share</t>
        </is>
      </c>
      <c r="D1411" s="248">
        <v>1</v>
      </c>
      <c r="E1411" s="247">
        <v>0.6</v>
      </c>
      <c r="F1411" s="247">
        <f>3.05-0.6</f>
        <v>2.4499999999999997</v>
      </c>
      <c r="G1411" s="247">
        <v>0.086</v>
      </c>
      <c r="H1411" s="249">
        <f>PRODUCT(D1411:G1411)</f>
        <v>0.12641999999999998</v>
      </c>
      <c r="J1411" s="253" t="inlineStr">
        <is>
          <t xml:space="preserve">1*0.6*(3.05-0.6)*0.086</t>
        </is>
      </c>
    </row>
    <row r="1412">
      <c r="C1412" s="246" t="inlineStr">
        <is>
          <t xml:space="preserve">Walling over opening HW4 (1 nr, 1.2x0.6): nr x width x (3.05 - opening ht) x thickness share</t>
        </is>
      </c>
      <c r="D1412" s="248">
        <v>1</v>
      </c>
      <c r="E1412" s="247">
        <v>1.2</v>
      </c>
      <c r="F1412" s="247">
        <f>3.05-0.6</f>
        <v>2.4499999999999997</v>
      </c>
      <c r="G1412" s="247">
        <v>0.086</v>
      </c>
      <c r="H1412" s="249">
        <f>PRODUCT(D1412:G1412)</f>
        <v>0.25283999999999995</v>
      </c>
      <c r="J1412" s="253" t="inlineStr">
        <is>
          <t xml:space="preserve">1*1.2*(3.05-0.6)*0.086</t>
        </is>
      </c>
    </row>
    <row r="1413">
      <c r="C1413" s="250" t="inlineStr">
        <is>
          <t xml:space="preserve">Total carried to BOQ  3RD FLR item B</t>
        </is>
      </c>
      <c r="D1413" s="250" t="inlineStr">
        <is>
          <t xml:space="preserve"/>
        </is>
      </c>
      <c r="E1413" s="250" t="inlineStr">
        <is>
          <t xml:space="preserve"/>
        </is>
      </c>
      <c r="F1413" s="250" t="inlineStr">
        <is>
          <t xml:space="preserve"/>
        </is>
      </c>
      <c r="G1413" s="250" t="inlineStr">
        <is>
          <t xml:space="preserve"/>
        </is>
      </c>
      <c r="H1413" s="251">
        <f>SUM(H1377:H1412)</f>
        <v>165.159</v>
      </c>
      <c r="I1413" s="252" t="inlineStr">
        <is>
          <t xml:space="preserve">m2</t>
        </is>
      </c>
    </row>
    <row r="1414">
      <c r="C1414" s="242" t="inlineStr">
        <is>
          <t xml:space="preserve">ELEMENT NO. 4: WINDOWS/DOORS</t>
        </is>
      </c>
    </row>
    <row r="1415">
      <c r="C1415" s="242" t="inlineStr">
        <is>
          <t xml:space="preserve">L20 DOORS - Supply and fix the following door assemblies complete with frames, ironmongery sets to steel doors and all accessories:</t>
        </is>
      </c>
    </row>
    <row r="1416" ht="32.2" customHeight="1">
      <c r="A1416" s="243" t="inlineStr">
        <is>
          <t xml:space="preserve">3RD FLR</t>
        </is>
      </c>
      <c r="B1416" s="243" t="inlineStr">
        <is>
          <t xml:space="preserve">A</t>
        </is>
      </c>
      <c r="C1416" s="244" t="inlineStr">
        <is>
          <t xml:space="preserve">1000mm x 2200mm 1-hour fire-rated galvanised steel single-leaf security door assembly (D2)</t>
        </is>
      </c>
      <c r="I1416" s="245" t="inlineStr">
        <is>
          <t xml:space="preserve">nr</t>
        </is>
      </c>
      <c r="K1416" s="256" t="inlineStr">
        <is>
          <t xml:space="preserve">'3RD FLR'!C108</t>
        </is>
      </c>
    </row>
    <row r="1417">
      <c r="C1417" s="246" t="inlineStr">
        <is>
          <t xml:space="preserve">Third floor - W9</t>
        </is>
      </c>
      <c r="H1417" s="247">
        <v>10</v>
      </c>
      <c r="J1417" s="253" t="inlineStr">
        <is>
          <t xml:space="preserve">10</t>
        </is>
      </c>
    </row>
    <row r="1418">
      <c r="C1418" s="250" t="inlineStr">
        <is>
          <t xml:space="preserve">Total carried to BOQ  3RD FLR item A</t>
        </is>
      </c>
      <c r="D1418" s="250" t="inlineStr">
        <is>
          <t xml:space="preserve"/>
        </is>
      </c>
      <c r="E1418" s="250" t="inlineStr">
        <is>
          <t xml:space="preserve"/>
        </is>
      </c>
      <c r="F1418" s="250" t="inlineStr">
        <is>
          <t xml:space="preserve"/>
        </is>
      </c>
      <c r="G1418" s="250" t="inlineStr">
        <is>
          <t xml:space="preserve"/>
        </is>
      </c>
      <c r="H1418" s="251">
        <f>SUM(H1417:H1417)</f>
        <v>10</v>
      </c>
      <c r="I1418" s="252" t="inlineStr">
        <is>
          <t xml:space="preserve">nr</t>
        </is>
      </c>
    </row>
    <row r="1419">
      <c r="A1419" s="243" t="inlineStr">
        <is>
          <t xml:space="preserve">3RD FLR</t>
        </is>
      </c>
      <c r="B1419" s="243" t="inlineStr">
        <is>
          <t xml:space="preserve">B</t>
        </is>
      </c>
      <c r="C1419" s="244" t="inlineStr">
        <is>
          <t xml:space="preserve">900mm x 2200mm single leaf timber panel door (D3)</t>
        </is>
      </c>
      <c r="I1419" s="245" t="inlineStr">
        <is>
          <t xml:space="preserve">nr</t>
        </is>
      </c>
      <c r="K1419" s="256" t="inlineStr">
        <is>
          <t xml:space="preserve">'3RD FLR'!C110</t>
        </is>
      </c>
    </row>
    <row r="1420">
      <c r="C1420" s="246" t="inlineStr">
        <is>
          <t xml:space="preserve">Third floor - D3/D4 doors</t>
        </is>
      </c>
      <c r="H1420" s="247">
        <v>19</v>
      </c>
      <c r="J1420" s="253" t="inlineStr">
        <is>
          <t xml:space="preserve">19</t>
        </is>
      </c>
    </row>
    <row r="1421">
      <c r="C1421" s="250" t="inlineStr">
        <is>
          <t xml:space="preserve">Total carried to BOQ  3RD FLR item B</t>
        </is>
      </c>
      <c r="D1421" s="250" t="inlineStr">
        <is>
          <t xml:space="preserve"/>
        </is>
      </c>
      <c r="E1421" s="250" t="inlineStr">
        <is>
          <t xml:space="preserve"/>
        </is>
      </c>
      <c r="F1421" s="250" t="inlineStr">
        <is>
          <t xml:space="preserve"/>
        </is>
      </c>
      <c r="G1421" s="250" t="inlineStr">
        <is>
          <t xml:space="preserve"/>
        </is>
      </c>
      <c r="H1421" s="251">
        <f>SUM(H1420:H1420)</f>
        <v>19</v>
      </c>
      <c r="I1421" s="252" t="inlineStr">
        <is>
          <t xml:space="preserve">nr</t>
        </is>
      </c>
    </row>
    <row r="1422">
      <c r="A1422" s="243" t="inlineStr">
        <is>
          <t xml:space="preserve">3RD FLR</t>
        </is>
      </c>
      <c r="B1422" s="243" t="inlineStr">
        <is>
          <t xml:space="preserve">C</t>
        </is>
      </c>
      <c r="C1422" s="244" t="inlineStr">
        <is>
          <t xml:space="preserve">750mm x 2200mm single leaf timber flush door (D6)</t>
        </is>
      </c>
      <c r="I1422" s="245" t="inlineStr">
        <is>
          <t xml:space="preserve">nr</t>
        </is>
      </c>
      <c r="K1422" s="256" t="inlineStr">
        <is>
          <t xml:space="preserve">'3RD FLR'!C112</t>
        </is>
      </c>
    </row>
    <row r="1423">
      <c r="C1423" s="246" t="inlineStr">
        <is>
          <t xml:space="preserve">Third floor - D6 doors</t>
        </is>
      </c>
      <c r="H1423" s="247">
        <v>21</v>
      </c>
      <c r="J1423" s="253" t="inlineStr">
        <is>
          <t xml:space="preserve">21</t>
        </is>
      </c>
    </row>
    <row r="1424">
      <c r="C1424" s="250" t="inlineStr">
        <is>
          <t xml:space="preserve">Total carried to BOQ  3RD FLR item C</t>
        </is>
      </c>
      <c r="D1424" s="250" t="inlineStr">
        <is>
          <t xml:space="preserve"/>
        </is>
      </c>
      <c r="E1424" s="250" t="inlineStr">
        <is>
          <t xml:space="preserve"/>
        </is>
      </c>
      <c r="F1424" s="250" t="inlineStr">
        <is>
          <t xml:space="preserve"/>
        </is>
      </c>
      <c r="G1424" s="250" t="inlineStr">
        <is>
          <t xml:space="preserve"/>
        </is>
      </c>
      <c r="H1424" s="251">
        <f>SUM(H1423:H1423)</f>
        <v>21</v>
      </c>
      <c r="I1424" s="252" t="inlineStr">
        <is>
          <t xml:space="preserve">nr</t>
        </is>
      </c>
    </row>
    <row r="1425">
      <c r="A1425" s="243" t="inlineStr">
        <is>
          <t xml:space="preserve">3RD FLR</t>
        </is>
      </c>
      <c r="B1425" s="243" t="inlineStr">
        <is>
          <t xml:space="preserve">D</t>
        </is>
      </c>
      <c r="C1425" s="244" t="inlineStr">
        <is>
          <t xml:space="preserve">700mm x 2200mm single-leaf 2-hour fire-rated galvanised steel door (D7)</t>
        </is>
      </c>
      <c r="I1425" s="245" t="inlineStr">
        <is>
          <t xml:space="preserve">nr</t>
        </is>
      </c>
      <c r="K1425" s="256" t="inlineStr">
        <is>
          <t xml:space="preserve">'3RD FLR'!C114</t>
        </is>
      </c>
    </row>
    <row r="1426">
      <c r="C1426" s="246" t="inlineStr">
        <is>
          <t xml:space="preserve">Third floor - W7</t>
        </is>
      </c>
      <c r="H1426" s="247">
        <v>2</v>
      </c>
      <c r="J1426" s="253" t="inlineStr">
        <is>
          <t xml:space="preserve">2</t>
        </is>
      </c>
    </row>
    <row r="1427">
      <c r="C1427" s="250" t="inlineStr">
        <is>
          <t xml:space="preserve">Total carried to BOQ  3RD FLR item D</t>
        </is>
      </c>
      <c r="D1427" s="250" t="inlineStr">
        <is>
          <t xml:space="preserve"/>
        </is>
      </c>
      <c r="E1427" s="250" t="inlineStr">
        <is>
          <t xml:space="preserve"/>
        </is>
      </c>
      <c r="F1427" s="250" t="inlineStr">
        <is>
          <t xml:space="preserve"/>
        </is>
      </c>
      <c r="G1427" s="250" t="inlineStr">
        <is>
          <t xml:space="preserve"/>
        </is>
      </c>
      <c r="H1427" s="251">
        <f>SUM(H1426:H1426)</f>
        <v>2</v>
      </c>
      <c r="I1427" s="252" t="inlineStr">
        <is>
          <t xml:space="preserve">nr</t>
        </is>
      </c>
    </row>
    <row r="1428" ht="32.2" customHeight="1">
      <c r="A1428" s="243" t="inlineStr">
        <is>
          <t xml:space="preserve">3RD FLR</t>
        </is>
      </c>
      <c r="B1428" s="243" t="inlineStr">
        <is>
          <t xml:space="preserve">E</t>
        </is>
      </c>
      <c r="C1428" s="244" t="inlineStr">
        <is>
          <t xml:space="preserve">1200mm x 2200mm 1-hour fire-rated leaf-and-a-half galvanised steel security door assembly (D8)</t>
        </is>
      </c>
      <c r="I1428" s="245" t="inlineStr">
        <is>
          <t xml:space="preserve">nr</t>
        </is>
      </c>
      <c r="K1428" s="256" t="inlineStr">
        <is>
          <t xml:space="preserve">'3RD FLR'!C116</t>
        </is>
      </c>
    </row>
    <row r="1429">
      <c r="C1429" s="246" t="inlineStr">
        <is>
          <t xml:space="preserve">Third floor - SD3</t>
        </is>
      </c>
      <c r="H1429" s="247">
        <v>3</v>
      </c>
      <c r="J1429" s="253" t="inlineStr">
        <is>
          <t xml:space="preserve">3</t>
        </is>
      </c>
    </row>
    <row r="1430">
      <c r="C1430" s="250" t="inlineStr">
        <is>
          <t xml:space="preserve">Total carried to BOQ  3RD FLR item E</t>
        </is>
      </c>
      <c r="D1430" s="250" t="inlineStr">
        <is>
          <t xml:space="preserve"/>
        </is>
      </c>
      <c r="E1430" s="250" t="inlineStr">
        <is>
          <t xml:space="preserve"/>
        </is>
      </c>
      <c r="F1430" s="250" t="inlineStr">
        <is>
          <t xml:space="preserve"/>
        </is>
      </c>
      <c r="G1430" s="250" t="inlineStr">
        <is>
          <t xml:space="preserve"/>
        </is>
      </c>
      <c r="H1430" s="251">
        <f>SUM(H1429:H1429)</f>
        <v>3</v>
      </c>
      <c r="I1430" s="252" t="inlineStr">
        <is>
          <t xml:space="preserve">nr</t>
        </is>
      </c>
    </row>
    <row r="1431" ht="32.2" customHeight="1">
      <c r="A1431" s="243" t="inlineStr">
        <is>
          <t xml:space="preserve">3RD FLR</t>
        </is>
      </c>
      <c r="B1431" s="243" t="inlineStr">
        <is>
          <t xml:space="preserve">F</t>
        </is>
      </c>
      <c r="C1431" s="244" t="inlineStr">
        <is>
          <t xml:space="preserve">1000mm x 2200mm 1-hour fire-rated galvanised steel single-leaf security door assembly - emergency stairs (ED1)</t>
        </is>
      </c>
      <c r="I1431" s="245" t="inlineStr">
        <is>
          <t xml:space="preserve">nr</t>
        </is>
      </c>
      <c r="K1431" s="256" t="inlineStr">
        <is>
          <t xml:space="preserve">'3RD FLR'!C118</t>
        </is>
      </c>
    </row>
    <row r="1432">
      <c r="C1432" s="246" t="inlineStr">
        <is>
          <t xml:space="preserve">Third floor - SD3</t>
        </is>
      </c>
      <c r="H1432" s="247">
        <v>3</v>
      </c>
      <c r="J1432" s="253" t="inlineStr">
        <is>
          <t xml:space="preserve">3</t>
        </is>
      </c>
    </row>
    <row r="1433">
      <c r="C1433" s="250" t="inlineStr">
        <is>
          <t xml:space="preserve">Total carried to BOQ  3RD FLR item F</t>
        </is>
      </c>
      <c r="D1433" s="250" t="inlineStr">
        <is>
          <t xml:space="preserve"/>
        </is>
      </c>
      <c r="E1433" s="250" t="inlineStr">
        <is>
          <t xml:space="preserve"/>
        </is>
      </c>
      <c r="F1433" s="250" t="inlineStr">
        <is>
          <t xml:space="preserve"/>
        </is>
      </c>
      <c r="G1433" s="250" t="inlineStr">
        <is>
          <t xml:space="preserve"/>
        </is>
      </c>
      <c r="H1433" s="251">
        <f>SUM(H1432:H1432)</f>
        <v>3</v>
      </c>
      <c r="I1433" s="252" t="inlineStr">
        <is>
          <t xml:space="preserve">nr</t>
        </is>
      </c>
    </row>
    <row r="1434" ht="32.2" customHeight="1">
      <c r="A1434" s="243" t="inlineStr">
        <is>
          <t xml:space="preserve">3RD FLR</t>
        </is>
      </c>
      <c r="B1434" s="243" t="inlineStr">
        <is>
          <t xml:space="preserve">G</t>
        </is>
      </c>
      <c r="C1434" s="244" t="inlineStr">
        <is>
          <t xml:space="preserve">1000mm x 2200mm 1-hour fire-rated galvanised steel single-leaf security door with translucent glass panel (ED2)</t>
        </is>
      </c>
      <c r="I1434" s="245" t="inlineStr">
        <is>
          <t xml:space="preserve">nr</t>
        </is>
      </c>
      <c r="K1434" s="256" t="inlineStr">
        <is>
          <t xml:space="preserve">'3RD FLR'!C120</t>
        </is>
      </c>
    </row>
    <row r="1435">
      <c r="C1435" s="246" t="inlineStr">
        <is>
          <t xml:space="preserve">Third floor - SD3</t>
        </is>
      </c>
      <c r="H1435" s="247">
        <v>3</v>
      </c>
      <c r="J1435" s="253" t="inlineStr">
        <is>
          <t xml:space="preserve">3</t>
        </is>
      </c>
    </row>
    <row r="1436">
      <c r="C1436" s="250" t="inlineStr">
        <is>
          <t xml:space="preserve">Total carried to BOQ  3RD FLR item G</t>
        </is>
      </c>
      <c r="D1436" s="250" t="inlineStr">
        <is>
          <t xml:space="preserve"/>
        </is>
      </c>
      <c r="E1436" s="250" t="inlineStr">
        <is>
          <t xml:space="preserve"/>
        </is>
      </c>
      <c r="F1436" s="250" t="inlineStr">
        <is>
          <t xml:space="preserve"/>
        </is>
      </c>
      <c r="G1436" s="250" t="inlineStr">
        <is>
          <t xml:space="preserve"/>
        </is>
      </c>
      <c r="H1436" s="251">
        <f>SUM(H1435:H1435)</f>
        <v>3</v>
      </c>
      <c r="I1436" s="252" t="inlineStr">
        <is>
          <t xml:space="preserve">nr</t>
        </is>
      </c>
    </row>
    <row r="1437" ht="32.2" customHeight="1">
      <c r="A1437" s="243" t="inlineStr">
        <is>
          <t xml:space="preserve">3RD FLR</t>
        </is>
      </c>
      <c r="B1437" s="243" t="inlineStr">
        <is>
          <t xml:space="preserve">H</t>
        </is>
      </c>
      <c r="C1437" s="244" t="inlineStr">
        <is>
          <t xml:space="preserve">900mm x 2200mm 1-hour fire-rated galvanised steel single-leaf security door assembly (D9)</t>
        </is>
      </c>
      <c r="I1437" s="245" t="inlineStr">
        <is>
          <t xml:space="preserve">nr</t>
        </is>
      </c>
      <c r="K1437" s="256" t="inlineStr">
        <is>
          <t xml:space="preserve">'3RD FLR'!C122</t>
        </is>
      </c>
    </row>
    <row r="1438">
      <c r="C1438" s="246" t="inlineStr">
        <is>
          <t xml:space="preserve">Third floor - W7</t>
        </is>
      </c>
      <c r="H1438" s="247">
        <v>2</v>
      </c>
      <c r="J1438" s="253" t="inlineStr">
        <is>
          <t xml:space="preserve">2</t>
        </is>
      </c>
    </row>
    <row r="1439">
      <c r="C1439" s="250" t="inlineStr">
        <is>
          <t xml:space="preserve">Total carried to BOQ  3RD FLR item H</t>
        </is>
      </c>
      <c r="D1439" s="250" t="inlineStr">
        <is>
          <t xml:space="preserve"/>
        </is>
      </c>
      <c r="E1439" s="250" t="inlineStr">
        <is>
          <t xml:space="preserve"/>
        </is>
      </c>
      <c r="F1439" s="250" t="inlineStr">
        <is>
          <t xml:space="preserve"/>
        </is>
      </c>
      <c r="G1439" s="250" t="inlineStr">
        <is>
          <t xml:space="preserve"/>
        </is>
      </c>
      <c r="H1439" s="251">
        <f>SUM(H1438:H1438)</f>
        <v>2</v>
      </c>
      <c r="I1439" s="252" t="inlineStr">
        <is>
          <t xml:space="preserve">nr</t>
        </is>
      </c>
    </row>
    <row r="1440">
      <c r="A1440" s="243" t="inlineStr">
        <is>
          <t xml:space="preserve">3RD FLR</t>
        </is>
      </c>
      <c r="B1440" s="243" t="inlineStr">
        <is>
          <t xml:space="preserve">J</t>
        </is>
      </c>
      <c r="C1440" s="244" t="inlineStr">
        <is>
          <t xml:space="preserve">1500mm x 2200mm timber bi-fold door (FD1)</t>
        </is>
      </c>
      <c r="I1440" s="245" t="inlineStr">
        <is>
          <t xml:space="preserve">nr</t>
        </is>
      </c>
      <c r="K1440" s="256" t="inlineStr">
        <is>
          <t xml:space="preserve">'3RD FLR'!C124</t>
        </is>
      </c>
    </row>
    <row r="1441">
      <c r="C1441" s="246" t="inlineStr">
        <is>
          <t xml:space="preserve">Third floor - HW4</t>
        </is>
      </c>
      <c r="H1441" s="247">
        <v>1</v>
      </c>
      <c r="J1441" s="253" t="inlineStr">
        <is>
          <t xml:space="preserve">1</t>
        </is>
      </c>
    </row>
    <row r="1442">
      <c r="C1442" s="250" t="inlineStr">
        <is>
          <t xml:space="preserve">Total carried to BOQ  3RD FLR item J</t>
        </is>
      </c>
      <c r="D1442" s="250" t="inlineStr">
        <is>
          <t xml:space="preserve"/>
        </is>
      </c>
      <c r="E1442" s="250" t="inlineStr">
        <is>
          <t xml:space="preserve"/>
        </is>
      </c>
      <c r="F1442" s="250" t="inlineStr">
        <is>
          <t xml:space="preserve"/>
        </is>
      </c>
      <c r="G1442" s="250" t="inlineStr">
        <is>
          <t xml:space="preserve"/>
        </is>
      </c>
      <c r="H1442" s="251">
        <f>SUM(H1441:H1441)</f>
        <v>1</v>
      </c>
      <c r="I1442" s="252" t="inlineStr">
        <is>
          <t xml:space="preserve">nr</t>
        </is>
      </c>
    </row>
    <row r="1443">
      <c r="A1443" s="243" t="inlineStr">
        <is>
          <t xml:space="preserve">3RD FLR</t>
        </is>
      </c>
      <c r="B1443" s="243" t="inlineStr">
        <is>
          <t xml:space="preserve">K</t>
        </is>
      </c>
      <c r="C1443" s="244" t="inlineStr">
        <is>
          <t xml:space="preserve">900mm x 2200mm screw-fixed galvanised steel service access panel (M1)</t>
        </is>
      </c>
      <c r="I1443" s="245" t="inlineStr">
        <is>
          <t xml:space="preserve">nr</t>
        </is>
      </c>
      <c r="K1443" s="256" t="inlineStr">
        <is>
          <t xml:space="preserve">'3RD FLR'!C126</t>
        </is>
      </c>
    </row>
    <row r="1444">
      <c r="C1444" s="246" t="inlineStr">
        <is>
          <t xml:space="preserve">Third floor - SD3</t>
        </is>
      </c>
      <c r="H1444" s="247">
        <v>3</v>
      </c>
      <c r="J1444" s="253" t="inlineStr">
        <is>
          <t xml:space="preserve">3</t>
        </is>
      </c>
    </row>
    <row r="1445">
      <c r="C1445" s="250" t="inlineStr">
        <is>
          <t xml:space="preserve">Total carried to BOQ  3RD FLR item K</t>
        </is>
      </c>
      <c r="D1445" s="250" t="inlineStr">
        <is>
          <t xml:space="preserve"/>
        </is>
      </c>
      <c r="E1445" s="250" t="inlineStr">
        <is>
          <t xml:space="preserve"/>
        </is>
      </c>
      <c r="F1445" s="250" t="inlineStr">
        <is>
          <t xml:space="preserve"/>
        </is>
      </c>
      <c r="G1445" s="250" t="inlineStr">
        <is>
          <t xml:space="preserve"/>
        </is>
      </c>
      <c r="H1445" s="251">
        <f>SUM(H1444:H1444)</f>
        <v>3</v>
      </c>
      <c r="I1445" s="252" t="inlineStr">
        <is>
          <t xml:space="preserve">nr</t>
        </is>
      </c>
    </row>
    <row r="1446">
      <c r="A1446" s="243" t="inlineStr">
        <is>
          <t xml:space="preserve">3RD FLR</t>
        </is>
      </c>
      <c r="B1446" s="243" t="inlineStr">
        <is>
          <t xml:space="preserve">L</t>
        </is>
      </c>
      <c r="C1446" s="244" t="inlineStr">
        <is>
          <t xml:space="preserve">750mm x 2200mm screw-fixed galvanised steel service access panel (M2)</t>
        </is>
      </c>
      <c r="I1446" s="245" t="inlineStr">
        <is>
          <t xml:space="preserve">nr</t>
        </is>
      </c>
      <c r="K1446" s="256" t="inlineStr">
        <is>
          <t xml:space="preserve">'3RD FLR'!C128</t>
        </is>
      </c>
    </row>
    <row r="1447">
      <c r="C1447" s="246" t="inlineStr">
        <is>
          <t xml:space="preserve">Third floor - HW2</t>
        </is>
      </c>
      <c r="H1447" s="247">
        <v>5</v>
      </c>
      <c r="J1447" s="253" t="inlineStr">
        <is>
          <t xml:space="preserve">5</t>
        </is>
      </c>
    </row>
    <row r="1448">
      <c r="C1448" s="250" t="inlineStr">
        <is>
          <t xml:space="preserve">Total carried to BOQ  3RD FLR item L</t>
        </is>
      </c>
      <c r="D1448" s="250" t="inlineStr">
        <is>
          <t xml:space="preserve"/>
        </is>
      </c>
      <c r="E1448" s="250" t="inlineStr">
        <is>
          <t xml:space="preserve"/>
        </is>
      </c>
      <c r="F1448" s="250" t="inlineStr">
        <is>
          <t xml:space="preserve"/>
        </is>
      </c>
      <c r="G1448" s="250" t="inlineStr">
        <is>
          <t xml:space="preserve"/>
        </is>
      </c>
      <c r="H1448" s="251">
        <f>SUM(H1447:H1447)</f>
        <v>5</v>
      </c>
      <c r="I1448" s="252" t="inlineStr">
        <is>
          <t xml:space="preserve">nr</t>
        </is>
      </c>
    </row>
    <row r="1449">
      <c r="A1449" s="243" t="inlineStr">
        <is>
          <t xml:space="preserve">3RD FLR</t>
        </is>
      </c>
      <c r="B1449" s="243" t="inlineStr">
        <is>
          <t xml:space="preserve">M</t>
        </is>
      </c>
      <c r="C1449" s="244" t="inlineStr">
        <is>
          <t xml:space="preserve">450mm x 2200mm screw-fixed galvanised steel service access panel (M3)</t>
        </is>
      </c>
      <c r="I1449" s="245" t="inlineStr">
        <is>
          <t xml:space="preserve">nr</t>
        </is>
      </c>
      <c r="K1449" s="256" t="inlineStr">
        <is>
          <t xml:space="preserve">'3RD FLR'!C130</t>
        </is>
      </c>
    </row>
    <row r="1450">
      <c r="C1450" s="246" t="inlineStr">
        <is>
          <t xml:space="preserve">Third floor - HW4</t>
        </is>
      </c>
      <c r="H1450" s="247">
        <v>1</v>
      </c>
      <c r="J1450" s="253" t="inlineStr">
        <is>
          <t xml:space="preserve">1</t>
        </is>
      </c>
    </row>
    <row r="1451">
      <c r="C1451" s="250" t="inlineStr">
        <is>
          <t xml:space="preserve">Total carried to BOQ  3RD FLR item M</t>
        </is>
      </c>
      <c r="D1451" s="250" t="inlineStr">
        <is>
          <t xml:space="preserve"/>
        </is>
      </c>
      <c r="E1451" s="250" t="inlineStr">
        <is>
          <t xml:space="preserve"/>
        </is>
      </c>
      <c r="F1451" s="250" t="inlineStr">
        <is>
          <t xml:space="preserve"/>
        </is>
      </c>
      <c r="G1451" s="250" t="inlineStr">
        <is>
          <t xml:space="preserve"/>
        </is>
      </c>
      <c r="H1451" s="251">
        <f>SUM(H1450:H1450)</f>
        <v>1</v>
      </c>
      <c r="I1451" s="252" t="inlineStr">
        <is>
          <t xml:space="preserve">nr</t>
        </is>
      </c>
    </row>
    <row r="1452">
      <c r="A1452" s="243" t="inlineStr">
        <is>
          <t xml:space="preserve">3RD FLR</t>
        </is>
      </c>
      <c r="B1452" s="243" t="inlineStr">
        <is>
          <t xml:space="preserve">N</t>
        </is>
      </c>
      <c r="C1452" s="244" t="inlineStr">
        <is>
          <t xml:space="preserve">600mm x 2200mm screw-fixed galvanised steel service access panel (M5)</t>
        </is>
      </c>
      <c r="I1452" s="245" t="inlineStr">
        <is>
          <t xml:space="preserve">nr</t>
        </is>
      </c>
      <c r="K1452" s="256" t="inlineStr">
        <is>
          <t xml:space="preserve">'3RD FLR'!C132</t>
        </is>
      </c>
    </row>
    <row r="1453">
      <c r="C1453" s="246" t="inlineStr">
        <is>
          <t xml:space="preserve">Third floor - SD3</t>
        </is>
      </c>
      <c r="H1453" s="247">
        <v>3</v>
      </c>
      <c r="J1453" s="253" t="inlineStr">
        <is>
          <t xml:space="preserve">3</t>
        </is>
      </c>
    </row>
    <row r="1454">
      <c r="C1454" s="250" t="inlineStr">
        <is>
          <t xml:space="preserve">Total carried to BOQ  3RD FLR item N</t>
        </is>
      </c>
      <c r="D1454" s="250" t="inlineStr">
        <is>
          <t xml:space="preserve"/>
        </is>
      </c>
      <c r="E1454" s="250" t="inlineStr">
        <is>
          <t xml:space="preserve"/>
        </is>
      </c>
      <c r="F1454" s="250" t="inlineStr">
        <is>
          <t xml:space="preserve"/>
        </is>
      </c>
      <c r="G1454" s="250" t="inlineStr">
        <is>
          <t xml:space="preserve"/>
        </is>
      </c>
      <c r="H1454" s="251">
        <f>SUM(H1453:H1453)</f>
        <v>3</v>
      </c>
      <c r="I1454" s="252" t="inlineStr">
        <is>
          <t xml:space="preserve">nr</t>
        </is>
      </c>
    </row>
    <row r="1455" ht="32.2" customHeight="1">
      <c r="A1455" s="243" t="inlineStr">
        <is>
          <t xml:space="preserve">3RD FLR</t>
        </is>
      </c>
      <c r="B1455" s="243" t="inlineStr">
        <is>
          <t xml:space="preserve">P</t>
        </is>
      </c>
      <c r="C1455" s="244" t="inlineStr">
        <is>
          <t xml:space="preserve">3000mm x 2200mm 3-panel galvanised steel framed tempered glass sliding door (SD1)</t>
        </is>
      </c>
      <c r="I1455" s="245" t="inlineStr">
        <is>
          <t xml:space="preserve">nr</t>
        </is>
      </c>
      <c r="K1455" s="256" t="inlineStr">
        <is>
          <t xml:space="preserve">'3RD FLR'!C134</t>
        </is>
      </c>
    </row>
    <row r="1456">
      <c r="C1456" s="246" t="inlineStr">
        <is>
          <t xml:space="preserve">Third floor - HW4</t>
        </is>
      </c>
      <c r="H1456" s="247">
        <v>1</v>
      </c>
      <c r="J1456" s="253" t="inlineStr">
        <is>
          <t xml:space="preserve">1</t>
        </is>
      </c>
    </row>
    <row r="1457">
      <c r="C1457" s="250" t="inlineStr">
        <is>
          <t xml:space="preserve">Total carried to BOQ  3RD FLR item P</t>
        </is>
      </c>
      <c r="D1457" s="250" t="inlineStr">
        <is>
          <t xml:space="preserve"/>
        </is>
      </c>
      <c r="E1457" s="250" t="inlineStr">
        <is>
          <t xml:space="preserve"/>
        </is>
      </c>
      <c r="F1457" s="250" t="inlineStr">
        <is>
          <t xml:space="preserve"/>
        </is>
      </c>
      <c r="G1457" s="250" t="inlineStr">
        <is>
          <t xml:space="preserve"/>
        </is>
      </c>
      <c r="H1457" s="251">
        <f>SUM(H1456:H1456)</f>
        <v>1</v>
      </c>
      <c r="I1457" s="252" t="inlineStr">
        <is>
          <t xml:space="preserve">nr</t>
        </is>
      </c>
    </row>
    <row r="1458" ht="32.2" customHeight="1">
      <c r="A1458" s="243" t="inlineStr">
        <is>
          <t xml:space="preserve">3RD FLR</t>
        </is>
      </c>
      <c r="B1458" s="243" t="inlineStr">
        <is>
          <t xml:space="preserve">Q</t>
        </is>
      </c>
      <c r="C1458" s="244" t="inlineStr">
        <is>
          <t xml:space="preserve">1600mm x 2200mm 2-panel galvanised steel framed tempered glass sliding door (SD2)</t>
        </is>
      </c>
      <c r="I1458" s="245" t="inlineStr">
        <is>
          <t xml:space="preserve">nr</t>
        </is>
      </c>
      <c r="K1458" s="256" t="inlineStr">
        <is>
          <t xml:space="preserve">'3RD FLR'!C136</t>
        </is>
      </c>
    </row>
    <row r="1459">
      <c r="C1459" s="246" t="inlineStr">
        <is>
          <t xml:space="preserve">Third floor - W17</t>
        </is>
      </c>
      <c r="H1459" s="247">
        <v>4</v>
      </c>
      <c r="J1459" s="253" t="inlineStr">
        <is>
          <t xml:space="preserve">4</t>
        </is>
      </c>
    </row>
    <row r="1460">
      <c r="C1460" s="250" t="inlineStr">
        <is>
          <t xml:space="preserve">Total carried to BOQ  3RD FLR item Q</t>
        </is>
      </c>
      <c r="D1460" s="250" t="inlineStr">
        <is>
          <t xml:space="preserve"/>
        </is>
      </c>
      <c r="E1460" s="250" t="inlineStr">
        <is>
          <t xml:space="preserve"/>
        </is>
      </c>
      <c r="F1460" s="250" t="inlineStr">
        <is>
          <t xml:space="preserve"/>
        </is>
      </c>
      <c r="G1460" s="250" t="inlineStr">
        <is>
          <t xml:space="preserve"/>
        </is>
      </c>
      <c r="H1460" s="251">
        <f>SUM(H1459:H1459)</f>
        <v>4</v>
      </c>
      <c r="I1460" s="252" t="inlineStr">
        <is>
          <t xml:space="preserve">nr</t>
        </is>
      </c>
    </row>
    <row r="1461" ht="32.2" customHeight="1">
      <c r="A1461" s="243" t="inlineStr">
        <is>
          <t xml:space="preserve">3RD FLR</t>
        </is>
      </c>
      <c r="B1461" s="243" t="inlineStr">
        <is>
          <t xml:space="preserve">R</t>
        </is>
      </c>
      <c r="C1461" s="244" t="inlineStr">
        <is>
          <t xml:space="preserve">1300mm x 2200mm 2-panel galvanised steel framed tempered glass sliding door (SD3)</t>
        </is>
      </c>
      <c r="I1461" s="245" t="inlineStr">
        <is>
          <t xml:space="preserve">nr</t>
        </is>
      </c>
      <c r="K1461" s="256" t="inlineStr">
        <is>
          <t xml:space="preserve">'3RD FLR'!C138</t>
        </is>
      </c>
    </row>
    <row r="1462">
      <c r="C1462" s="246" t="inlineStr">
        <is>
          <t xml:space="preserve">Third floor - SD3</t>
        </is>
      </c>
      <c r="H1462" s="247">
        <v>3</v>
      </c>
      <c r="J1462" s="253" t="inlineStr">
        <is>
          <t xml:space="preserve">3</t>
        </is>
      </c>
    </row>
    <row r="1463">
      <c r="C1463" s="250" t="inlineStr">
        <is>
          <t xml:space="preserve">Total carried to BOQ  3RD FLR item R</t>
        </is>
      </c>
      <c r="D1463" s="250" t="inlineStr">
        <is>
          <t xml:space="preserve"/>
        </is>
      </c>
      <c r="E1463" s="250" t="inlineStr">
        <is>
          <t xml:space="preserve"/>
        </is>
      </c>
      <c r="F1463" s="250" t="inlineStr">
        <is>
          <t xml:space="preserve"/>
        </is>
      </c>
      <c r="G1463" s="250" t="inlineStr">
        <is>
          <t xml:space="preserve"/>
        </is>
      </c>
      <c r="H1463" s="251">
        <f>SUM(H1462:H1462)</f>
        <v>3</v>
      </c>
      <c r="I1463" s="252" t="inlineStr">
        <is>
          <t xml:space="preserve">nr</t>
        </is>
      </c>
    </row>
    <row r="1464" ht="32.2" customHeight="1">
      <c r="A1464" s="243" t="inlineStr">
        <is>
          <t xml:space="preserve">3RD FLR</t>
        </is>
      </c>
      <c r="B1464" s="243" t="inlineStr">
        <is>
          <t xml:space="preserve">S</t>
        </is>
      </c>
      <c r="C1464" s="244" t="inlineStr">
        <is>
          <t xml:space="preserve">1800mm x 2200mm 2-panel galvanised steel framed tempered glass sliding door (SD4)</t>
        </is>
      </c>
      <c r="I1464" s="245" t="inlineStr">
        <is>
          <t xml:space="preserve">nr</t>
        </is>
      </c>
      <c r="K1464" s="256" t="inlineStr">
        <is>
          <t xml:space="preserve">'3RD FLR'!C140</t>
        </is>
      </c>
    </row>
    <row r="1465">
      <c r="C1465" s="246" t="inlineStr">
        <is>
          <t xml:space="preserve">Third floor - HW2</t>
        </is>
      </c>
      <c r="H1465" s="247">
        <v>5</v>
      </c>
      <c r="J1465" s="253" t="inlineStr">
        <is>
          <t xml:space="preserve">5</t>
        </is>
      </c>
    </row>
    <row r="1466">
      <c r="C1466" s="250" t="inlineStr">
        <is>
          <t xml:space="preserve">Total carried to BOQ  3RD FLR item S</t>
        </is>
      </c>
      <c r="D1466" s="250" t="inlineStr">
        <is>
          <t xml:space="preserve"/>
        </is>
      </c>
      <c r="E1466" s="250" t="inlineStr">
        <is>
          <t xml:space="preserve"/>
        </is>
      </c>
      <c r="F1466" s="250" t="inlineStr">
        <is>
          <t xml:space="preserve"/>
        </is>
      </c>
      <c r="G1466" s="250" t="inlineStr">
        <is>
          <t xml:space="preserve"/>
        </is>
      </c>
      <c r="H1466" s="251">
        <f>SUM(H1465:H1465)</f>
        <v>5</v>
      </c>
      <c r="I1466" s="252" t="inlineStr">
        <is>
          <t xml:space="preserve">nr</t>
        </is>
      </c>
    </row>
    <row r="1467" ht="32.2" customHeight="1">
      <c r="A1467" s="243" t="inlineStr">
        <is>
          <t xml:space="preserve">3RD FLR</t>
        </is>
      </c>
      <c r="B1467" s="243" t="inlineStr">
        <is>
          <t xml:space="preserve">T</t>
        </is>
      </c>
      <c r="C1467" s="244" t="inlineStr">
        <is>
          <t xml:space="preserve">1200mm x 2200mm 2-panel galvanised steel framed tempered glass sliding door (SD5)</t>
        </is>
      </c>
      <c r="I1467" s="245" t="inlineStr">
        <is>
          <t xml:space="preserve">nr</t>
        </is>
      </c>
      <c r="K1467" s="256" t="inlineStr">
        <is>
          <t xml:space="preserve">'3RD FLR'!C142</t>
        </is>
      </c>
    </row>
    <row r="1468">
      <c r="C1468" s="246" t="inlineStr">
        <is>
          <t xml:space="preserve">Third floor - HW4</t>
        </is>
      </c>
      <c r="H1468" s="247">
        <v>1</v>
      </c>
      <c r="J1468" s="253" t="inlineStr">
        <is>
          <t xml:space="preserve">1</t>
        </is>
      </c>
    </row>
    <row r="1469">
      <c r="C1469" s="250" t="inlineStr">
        <is>
          <t xml:space="preserve">Total carried to BOQ  3RD FLR item T</t>
        </is>
      </c>
      <c r="D1469" s="250" t="inlineStr">
        <is>
          <t xml:space="preserve"/>
        </is>
      </c>
      <c r="E1469" s="250" t="inlineStr">
        <is>
          <t xml:space="preserve"/>
        </is>
      </c>
      <c r="F1469" s="250" t="inlineStr">
        <is>
          <t xml:space="preserve"/>
        </is>
      </c>
      <c r="G1469" s="250" t="inlineStr">
        <is>
          <t xml:space="preserve"/>
        </is>
      </c>
      <c r="H1469" s="251">
        <f>SUM(H1468:H1468)</f>
        <v>1</v>
      </c>
      <c r="I1469" s="252" t="inlineStr">
        <is>
          <t xml:space="preserve">nr</t>
        </is>
      </c>
    </row>
    <row r="1470">
      <c r="A1470" s="243" t="inlineStr">
        <is>
          <t xml:space="preserve">3RD FLR</t>
        </is>
      </c>
      <c r="B1470" s="243" t="inlineStr">
        <is>
          <t xml:space="preserve">U</t>
        </is>
      </c>
      <c r="C1470" s="244" t="inlineStr">
        <is>
          <t xml:space="preserve">50mm x 150mm frames (to timber doors)</t>
        </is>
      </c>
      <c r="I1470" s="245" t="inlineStr">
        <is>
          <t xml:space="preserve">m</t>
        </is>
      </c>
      <c r="K1470" s="256" t="inlineStr">
        <is>
          <t xml:space="preserve">'3RD FLR'!C144</t>
        </is>
      </c>
    </row>
    <row r="1471">
      <c r="C1471" s="246" t="inlineStr">
        <is>
          <t xml:space="preserve">Door : nr x (2 x ht + width)</t>
        </is>
      </c>
      <c r="D1471" s="248">
        <v>19</v>
      </c>
      <c r="E1471" s="247">
        <f>2*2.2+0.9</f>
        <v>5.300000000000001</v>
      </c>
      <c r="H1471" s="249">
        <f>PRODUCT(D1471:G1471)</f>
        <v>100.70000000000002</v>
      </c>
      <c r="J1471" s="253" t="inlineStr">
        <is>
          <t xml:space="preserve">19*(2*2.2+0.9)</t>
        </is>
      </c>
    </row>
    <row r="1472">
      <c r="C1472" s="246" t="inlineStr">
        <is>
          <t xml:space="preserve">Door : nr x (2 x ht + width)</t>
        </is>
      </c>
      <c r="D1472" s="248">
        <v>21</v>
      </c>
      <c r="E1472" s="247">
        <f>2*2.2+0.75</f>
        <v>5.15</v>
      </c>
      <c r="H1472" s="249">
        <f>PRODUCT(D1472:G1472)</f>
        <v>108.15</v>
      </c>
      <c r="J1472" s="253" t="inlineStr">
        <is>
          <t xml:space="preserve">21*(2*2.2+0.75)</t>
        </is>
      </c>
    </row>
    <row r="1473">
      <c r="C1473" s="246" t="inlineStr">
        <is>
          <t xml:space="preserve">Door : nr x (2 x ht + width)</t>
        </is>
      </c>
      <c r="D1473" s="248">
        <v>1</v>
      </c>
      <c r="E1473" s="247">
        <f>2*2.2+1.5</f>
        <v>5.9</v>
      </c>
      <c r="H1473" s="249">
        <f>PRODUCT(D1473:G1473)</f>
        <v>5.9</v>
      </c>
      <c r="J1473" s="253" t="inlineStr">
        <is>
          <t xml:space="preserve">1*(2*2.2+1.5)</t>
        </is>
      </c>
    </row>
    <row r="1474">
      <c r="C1474" s="250" t="inlineStr">
        <is>
          <t xml:space="preserve">Total carried to BOQ  3RD FLR item U</t>
        </is>
      </c>
      <c r="D1474" s="250" t="inlineStr">
        <is>
          <t xml:space="preserve"/>
        </is>
      </c>
      <c r="E1474" s="250" t="inlineStr">
        <is>
          <t xml:space="preserve"/>
        </is>
      </c>
      <c r="F1474" s="250" t="inlineStr">
        <is>
          <t xml:space="preserve"/>
        </is>
      </c>
      <c r="G1474" s="250" t="inlineStr">
        <is>
          <t xml:space="preserve"/>
        </is>
      </c>
      <c r="H1474" s="251">
        <f>SUM(H1471:H1473)</f>
        <v>214.75000000000003</v>
      </c>
      <c r="I1474" s="252" t="inlineStr">
        <is>
          <t xml:space="preserve">m</t>
        </is>
      </c>
    </row>
    <row r="1475">
      <c r="A1475" s="243" t="inlineStr">
        <is>
          <t xml:space="preserve">3RD FLR</t>
        </is>
      </c>
      <c r="B1475" s="243" t="inlineStr">
        <is>
          <t xml:space="preserve">V</t>
        </is>
      </c>
      <c r="C1475" s="244" t="inlineStr">
        <is>
          <t xml:space="preserve">50mm x 12mm door stop</t>
        </is>
      </c>
      <c r="I1475" s="245" t="inlineStr">
        <is>
          <t xml:space="preserve">m</t>
        </is>
      </c>
      <c r="K1475" s="256" t="inlineStr">
        <is>
          <t xml:space="preserve">'3RD FLR'!C146</t>
        </is>
      </c>
    </row>
    <row r="1476">
      <c r="C1476" s="246" t="inlineStr">
        <is>
          <t xml:space="preserve">Door : nr x (2 x ht + width)</t>
        </is>
      </c>
      <c r="D1476" s="248">
        <v>19</v>
      </c>
      <c r="E1476" s="247">
        <f>2*2.2+0.9</f>
        <v>5.300000000000001</v>
      </c>
      <c r="H1476" s="249">
        <f>PRODUCT(D1476:G1476)</f>
        <v>100.70000000000002</v>
      </c>
      <c r="J1476" s="253" t="inlineStr">
        <is>
          <t xml:space="preserve">19*(2*2.2+0.9)</t>
        </is>
      </c>
    </row>
    <row r="1477">
      <c r="C1477" s="246" t="inlineStr">
        <is>
          <t xml:space="preserve">Door : nr x (2 x ht + width)</t>
        </is>
      </c>
      <c r="D1477" s="248">
        <v>21</v>
      </c>
      <c r="E1477" s="247">
        <f>2*2.2+0.75</f>
        <v>5.15</v>
      </c>
      <c r="H1477" s="249">
        <f>PRODUCT(D1477:G1477)</f>
        <v>108.15</v>
      </c>
      <c r="J1477" s="253" t="inlineStr">
        <is>
          <t xml:space="preserve">21*(2*2.2+0.75)</t>
        </is>
      </c>
    </row>
    <row r="1478">
      <c r="C1478" s="246" t="inlineStr">
        <is>
          <t xml:space="preserve">Door : nr x (2 x ht + width)</t>
        </is>
      </c>
      <c r="D1478" s="248">
        <v>1</v>
      </c>
      <c r="E1478" s="247">
        <f>2*2.2+1.5</f>
        <v>5.9</v>
      </c>
      <c r="H1478" s="249">
        <f>PRODUCT(D1478:G1478)</f>
        <v>5.9</v>
      </c>
      <c r="J1478" s="253" t="inlineStr">
        <is>
          <t xml:space="preserve">1*(2*2.2+1.5)</t>
        </is>
      </c>
    </row>
    <row r="1479">
      <c r="C1479" s="250" t="inlineStr">
        <is>
          <t xml:space="preserve">Total carried to BOQ  3RD FLR item V</t>
        </is>
      </c>
      <c r="D1479" s="250" t="inlineStr">
        <is>
          <t xml:space="preserve"/>
        </is>
      </c>
      <c r="E1479" s="250" t="inlineStr">
        <is>
          <t xml:space="preserve"/>
        </is>
      </c>
      <c r="F1479" s="250" t="inlineStr">
        <is>
          <t xml:space="preserve"/>
        </is>
      </c>
      <c r="G1479" s="250" t="inlineStr">
        <is>
          <t xml:space="preserve"/>
        </is>
      </c>
      <c r="H1479" s="251">
        <f>SUM(H1476:H1478)</f>
        <v>214.75000000000003</v>
      </c>
      <c r="I1479" s="252" t="inlineStr">
        <is>
          <t xml:space="preserve">m</t>
        </is>
      </c>
    </row>
    <row r="1480">
      <c r="C1480" s="242" t="inlineStr">
        <is>
          <t xml:space="preserve">Ironmongery - Supply and fix the following approved ironmongery to hardwood with accompanying patented screws:</t>
        </is>
      </c>
    </row>
    <row r="1481">
      <c r="A1481" s="243" t="inlineStr">
        <is>
          <t xml:space="preserve">3RD FLR</t>
        </is>
      </c>
      <c r="B1481" s="243" t="inlineStr">
        <is>
          <t xml:space="preserve">W</t>
        </is>
      </c>
      <c r="C1481" s="244" t="inlineStr">
        <is>
          <t xml:space="preserve">Pair 100mm brass butt hinges</t>
        </is>
      </c>
      <c r="I1481" s="245" t="inlineStr">
        <is>
          <t xml:space="preserve">pr</t>
        </is>
      </c>
      <c r="K1481" s="256" t="inlineStr">
        <is>
          <t xml:space="preserve">'3RD FLR'!C149</t>
        </is>
      </c>
    </row>
    <row r="1482">
      <c r="C1482" s="246" t="inlineStr">
        <is>
          <t xml:space="preserve">Third floor - Timber door leaves x 1.5 pairs</t>
        </is>
      </c>
      <c r="H1482" s="247">
        <v>60</v>
      </c>
      <c r="J1482" s="253" t="inlineStr">
        <is>
          <t xml:space="preserve">60</t>
        </is>
      </c>
    </row>
    <row r="1483">
      <c r="C1483" s="250" t="inlineStr">
        <is>
          <t xml:space="preserve">Total carried to BOQ  3RD FLR item W</t>
        </is>
      </c>
      <c r="D1483" s="250" t="inlineStr">
        <is>
          <t xml:space="preserve"/>
        </is>
      </c>
      <c r="E1483" s="250" t="inlineStr">
        <is>
          <t xml:space="preserve"/>
        </is>
      </c>
      <c r="F1483" s="250" t="inlineStr">
        <is>
          <t xml:space="preserve"/>
        </is>
      </c>
      <c r="G1483" s="250" t="inlineStr">
        <is>
          <t xml:space="preserve"/>
        </is>
      </c>
      <c r="H1483" s="251">
        <f>SUM(H1482:H1482)</f>
        <v>60</v>
      </c>
      <c r="I1483" s="252" t="inlineStr">
        <is>
          <t xml:space="preserve">pr</t>
        </is>
      </c>
    </row>
    <row r="1484">
      <c r="A1484" s="243" t="inlineStr">
        <is>
          <t xml:space="preserve">3RD FLR</t>
        </is>
      </c>
      <c r="B1484" s="243" t="inlineStr">
        <is>
          <t xml:space="preserve">X</t>
        </is>
      </c>
      <c r="C1484" s="244" t="inlineStr">
        <is>
          <t xml:space="preserve">Ordinary locks</t>
        </is>
      </c>
      <c r="I1484" s="245" t="inlineStr">
        <is>
          <t xml:space="preserve">nr</t>
        </is>
      </c>
      <c r="K1484" s="256" t="inlineStr">
        <is>
          <t xml:space="preserve">'3RD FLR'!C151</t>
        </is>
      </c>
    </row>
    <row r="1485">
      <c r="C1485" s="246" t="inlineStr">
        <is>
          <t xml:space="preserve">Third floor - D3/D4 doors</t>
        </is>
      </c>
      <c r="H1485" s="247">
        <v>19</v>
      </c>
      <c r="J1485" s="253" t="inlineStr">
        <is>
          <t xml:space="preserve">19</t>
        </is>
      </c>
    </row>
    <row r="1486">
      <c r="C1486" s="250" t="inlineStr">
        <is>
          <t xml:space="preserve">Total carried to BOQ  3RD FLR item X</t>
        </is>
      </c>
      <c r="D1486" s="250" t="inlineStr">
        <is>
          <t xml:space="preserve"/>
        </is>
      </c>
      <c r="E1486" s="250" t="inlineStr">
        <is>
          <t xml:space="preserve"/>
        </is>
      </c>
      <c r="F1486" s="250" t="inlineStr">
        <is>
          <t xml:space="preserve"/>
        </is>
      </c>
      <c r="G1486" s="250" t="inlineStr">
        <is>
          <t xml:space="preserve"/>
        </is>
      </c>
      <c r="H1486" s="251">
        <f>SUM(H1485:H1485)</f>
        <v>19</v>
      </c>
      <c r="I1486" s="252" t="inlineStr">
        <is>
          <t xml:space="preserve">nr</t>
        </is>
      </c>
    </row>
    <row r="1487">
      <c r="A1487" s="243" t="inlineStr">
        <is>
          <t xml:space="preserve">3RD FLR</t>
        </is>
      </c>
      <c r="B1487" s="243" t="inlineStr">
        <is>
          <t xml:space="preserve">Y</t>
        </is>
      </c>
      <c r="C1487" s="244" t="inlineStr">
        <is>
          <t xml:space="preserve">Approved high quality mortice indicator lock</t>
        </is>
      </c>
      <c r="I1487" s="245" t="inlineStr">
        <is>
          <t xml:space="preserve">nr</t>
        </is>
      </c>
      <c r="K1487" s="256" t="inlineStr">
        <is>
          <t xml:space="preserve">'3RD FLR'!C153</t>
        </is>
      </c>
    </row>
    <row r="1488">
      <c r="C1488" s="246" t="inlineStr">
        <is>
          <t xml:space="preserve">Third floor - D6 doors</t>
        </is>
      </c>
      <c r="H1488" s="247">
        <v>21</v>
      </c>
      <c r="J1488" s="253" t="inlineStr">
        <is>
          <t xml:space="preserve">21</t>
        </is>
      </c>
    </row>
    <row r="1489">
      <c r="C1489" s="250" t="inlineStr">
        <is>
          <t xml:space="preserve">Total carried to BOQ  3RD FLR item Y</t>
        </is>
      </c>
      <c r="D1489" s="250" t="inlineStr">
        <is>
          <t xml:space="preserve"/>
        </is>
      </c>
      <c r="E1489" s="250" t="inlineStr">
        <is>
          <t xml:space="preserve"/>
        </is>
      </c>
      <c r="F1489" s="250" t="inlineStr">
        <is>
          <t xml:space="preserve"/>
        </is>
      </c>
      <c r="G1489" s="250" t="inlineStr">
        <is>
          <t xml:space="preserve"/>
        </is>
      </c>
      <c r="H1489" s="251">
        <f>SUM(H1488:H1488)</f>
        <v>21</v>
      </c>
      <c r="I1489" s="252" t="inlineStr">
        <is>
          <t xml:space="preserve">nr</t>
        </is>
      </c>
    </row>
    <row r="1490">
      <c r="C1490"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1491">
      <c r="A1491" s="243" t="inlineStr">
        <is>
          <t xml:space="preserve">3RD FLR</t>
        </is>
      </c>
      <c r="B1491" s="243" t="inlineStr">
        <is>
          <t xml:space="preserve">Z</t>
        </is>
      </c>
      <c r="C1491" s="244" t="inlineStr">
        <is>
          <t xml:space="preserve">2 bay alu. framed glass sliding window 1800mm x 1300mm (W2)</t>
        </is>
      </c>
      <c r="I1491" s="245" t="inlineStr">
        <is>
          <t xml:space="preserve">nr</t>
        </is>
      </c>
      <c r="K1491" s="256" t="inlineStr">
        <is>
          <t xml:space="preserve">'3RD FLR'!C156</t>
        </is>
      </c>
    </row>
    <row r="1492">
      <c r="C1492" s="246" t="inlineStr">
        <is>
          <t xml:space="preserve">Third floor - W2</t>
        </is>
      </c>
      <c r="H1492" s="247">
        <v>7</v>
      </c>
      <c r="J1492" s="253" t="inlineStr">
        <is>
          <t xml:space="preserve">7</t>
        </is>
      </c>
    </row>
    <row r="1493">
      <c r="C1493" s="250" t="inlineStr">
        <is>
          <t xml:space="preserve">Total carried to BOQ  3RD FLR item Z</t>
        </is>
      </c>
      <c r="D1493" s="250" t="inlineStr">
        <is>
          <t xml:space="preserve"/>
        </is>
      </c>
      <c r="E1493" s="250" t="inlineStr">
        <is>
          <t xml:space="preserve"/>
        </is>
      </c>
      <c r="F1493" s="250" t="inlineStr">
        <is>
          <t xml:space="preserve"/>
        </is>
      </c>
      <c r="G1493" s="250" t="inlineStr">
        <is>
          <t xml:space="preserve"/>
        </is>
      </c>
      <c r="H1493" s="251">
        <f>SUM(H1492:H1492)</f>
        <v>7</v>
      </c>
      <c r="I1493" s="252" t="inlineStr">
        <is>
          <t xml:space="preserve">nr</t>
        </is>
      </c>
    </row>
    <row r="1494">
      <c r="A1494" s="243" t="inlineStr">
        <is>
          <t xml:space="preserve">3RD FLR</t>
        </is>
      </c>
      <c r="B1494" s="243" t="inlineStr">
        <is>
          <t xml:space="preserve">A</t>
        </is>
      </c>
      <c r="C1494" s="244" t="inlineStr">
        <is>
          <t xml:space="preserve">1 bay alu. framed glass awning window 900mm x 1300mm (W4)</t>
        </is>
      </c>
      <c r="I1494" s="245" t="inlineStr">
        <is>
          <t xml:space="preserve">nr</t>
        </is>
      </c>
      <c r="K1494" s="256" t="inlineStr">
        <is>
          <t xml:space="preserve">'3RD FLR'!C158</t>
        </is>
      </c>
    </row>
    <row r="1495">
      <c r="C1495" s="246" t="inlineStr">
        <is>
          <t xml:space="preserve">Third floor - W4</t>
        </is>
      </c>
      <c r="H1495" s="247">
        <v>13</v>
      </c>
      <c r="J1495" s="253" t="inlineStr">
        <is>
          <t xml:space="preserve">13</t>
        </is>
      </c>
    </row>
    <row r="1496">
      <c r="C1496" s="250" t="inlineStr">
        <is>
          <t xml:space="preserve">Total carried to BOQ  3RD FLR item A</t>
        </is>
      </c>
      <c r="D1496" s="250" t="inlineStr">
        <is>
          <t xml:space="preserve"/>
        </is>
      </c>
      <c r="E1496" s="250" t="inlineStr">
        <is>
          <t xml:space="preserve"/>
        </is>
      </c>
      <c r="F1496" s="250" t="inlineStr">
        <is>
          <t xml:space="preserve"/>
        </is>
      </c>
      <c r="G1496" s="250" t="inlineStr">
        <is>
          <t xml:space="preserve"/>
        </is>
      </c>
      <c r="H1496" s="251">
        <f>SUM(H1495:H1495)</f>
        <v>13</v>
      </c>
      <c r="I1496" s="252" t="inlineStr">
        <is>
          <t xml:space="preserve">nr</t>
        </is>
      </c>
    </row>
    <row r="1497">
      <c r="A1497" s="243" t="inlineStr">
        <is>
          <t xml:space="preserve">3RD FLR</t>
        </is>
      </c>
      <c r="B1497" s="243" t="inlineStr">
        <is>
          <t xml:space="preserve">B</t>
        </is>
      </c>
      <c r="C1497" s="244" t="inlineStr">
        <is>
          <t xml:space="preserve">2 bay alu. framed glass sliding window 1800mm x 1600mm (W7)</t>
        </is>
      </c>
      <c r="I1497" s="245" t="inlineStr">
        <is>
          <t xml:space="preserve">nr</t>
        </is>
      </c>
      <c r="K1497" s="256" t="inlineStr">
        <is>
          <t xml:space="preserve">'3RD FLR'!C160</t>
        </is>
      </c>
    </row>
    <row r="1498">
      <c r="C1498" s="246" t="inlineStr">
        <is>
          <t xml:space="preserve">Third floor - W7</t>
        </is>
      </c>
      <c r="H1498" s="247">
        <v>2</v>
      </c>
      <c r="J1498" s="253" t="inlineStr">
        <is>
          <t xml:space="preserve">2</t>
        </is>
      </c>
    </row>
    <row r="1499">
      <c r="C1499" s="250" t="inlineStr">
        <is>
          <t xml:space="preserve">Total carried to BOQ  3RD FLR item B</t>
        </is>
      </c>
      <c r="D1499" s="250" t="inlineStr">
        <is>
          <t xml:space="preserve"/>
        </is>
      </c>
      <c r="E1499" s="250" t="inlineStr">
        <is>
          <t xml:space="preserve"/>
        </is>
      </c>
      <c r="F1499" s="250" t="inlineStr">
        <is>
          <t xml:space="preserve"/>
        </is>
      </c>
      <c r="G1499" s="250" t="inlineStr">
        <is>
          <t xml:space="preserve"/>
        </is>
      </c>
      <c r="H1499" s="251">
        <f>SUM(H1498:H1498)</f>
        <v>2</v>
      </c>
      <c r="I1499" s="252" t="inlineStr">
        <is>
          <t xml:space="preserve">nr</t>
        </is>
      </c>
    </row>
    <row r="1500">
      <c r="A1500" s="243" t="inlineStr">
        <is>
          <t xml:space="preserve">3RD FLR</t>
        </is>
      </c>
      <c r="B1500" s="243" t="inlineStr">
        <is>
          <t xml:space="preserve">C</t>
        </is>
      </c>
      <c r="C1500" s="244" t="inlineStr">
        <is>
          <t xml:space="preserve">1 x 3 bay alu. framed glass awning window 1200mm x 1900mm (W8)</t>
        </is>
      </c>
      <c r="I1500" s="245" t="inlineStr">
        <is>
          <t xml:space="preserve">nr</t>
        </is>
      </c>
      <c r="K1500" s="256" t="inlineStr">
        <is>
          <t xml:space="preserve">'3RD FLR'!C162</t>
        </is>
      </c>
    </row>
    <row r="1501">
      <c r="C1501" s="246" t="inlineStr">
        <is>
          <t xml:space="preserve">Third floor - W17</t>
        </is>
      </c>
      <c r="H1501" s="247">
        <v>4</v>
      </c>
      <c r="J1501" s="253" t="inlineStr">
        <is>
          <t xml:space="preserve">4</t>
        </is>
      </c>
    </row>
    <row r="1502">
      <c r="C1502" s="250" t="inlineStr">
        <is>
          <t xml:space="preserve">Total carried to BOQ  3RD FLR item C</t>
        </is>
      </c>
      <c r="D1502" s="250" t="inlineStr">
        <is>
          <t xml:space="preserve"/>
        </is>
      </c>
      <c r="E1502" s="250" t="inlineStr">
        <is>
          <t xml:space="preserve"/>
        </is>
      </c>
      <c r="F1502" s="250" t="inlineStr">
        <is>
          <t xml:space="preserve"/>
        </is>
      </c>
      <c r="G1502" s="250" t="inlineStr">
        <is>
          <t xml:space="preserve"/>
        </is>
      </c>
      <c r="H1502" s="251">
        <f>SUM(H1501:H1501)</f>
        <v>4</v>
      </c>
      <c r="I1502" s="252" t="inlineStr">
        <is>
          <t xml:space="preserve">nr</t>
        </is>
      </c>
    </row>
    <row r="1503">
      <c r="A1503" s="243" t="inlineStr">
        <is>
          <t xml:space="preserve">3RD FLR</t>
        </is>
      </c>
      <c r="B1503" s="243" t="inlineStr">
        <is>
          <t xml:space="preserve">D</t>
        </is>
      </c>
      <c r="C1503" s="244" t="inlineStr">
        <is>
          <t xml:space="preserve">2 bay alu. framed glass sliding window 1200mm x 1150mm (W9)</t>
        </is>
      </c>
      <c r="I1503" s="245" t="inlineStr">
        <is>
          <t xml:space="preserve">nr</t>
        </is>
      </c>
      <c r="K1503" s="256" t="inlineStr">
        <is>
          <t xml:space="preserve">'3RD FLR'!C164</t>
        </is>
      </c>
    </row>
    <row r="1504">
      <c r="C1504" s="246" t="inlineStr">
        <is>
          <t xml:space="preserve">Third floor - W9</t>
        </is>
      </c>
      <c r="H1504" s="247">
        <v>10</v>
      </c>
      <c r="J1504" s="253" t="inlineStr">
        <is>
          <t xml:space="preserve">10</t>
        </is>
      </c>
    </row>
    <row r="1505">
      <c r="C1505" s="250" t="inlineStr">
        <is>
          <t xml:space="preserve">Total carried to BOQ  3RD FLR item D</t>
        </is>
      </c>
      <c r="D1505" s="250" t="inlineStr">
        <is>
          <t xml:space="preserve"/>
        </is>
      </c>
      <c r="E1505" s="250" t="inlineStr">
        <is>
          <t xml:space="preserve"/>
        </is>
      </c>
      <c r="F1505" s="250" t="inlineStr">
        <is>
          <t xml:space="preserve"/>
        </is>
      </c>
      <c r="G1505" s="250" t="inlineStr">
        <is>
          <t xml:space="preserve"/>
        </is>
      </c>
      <c r="H1505" s="251">
        <f>SUM(H1504:H1504)</f>
        <v>10</v>
      </c>
      <c r="I1505" s="252" t="inlineStr">
        <is>
          <t xml:space="preserve">nr</t>
        </is>
      </c>
    </row>
    <row r="1506">
      <c r="A1506" s="243" t="inlineStr">
        <is>
          <t xml:space="preserve">3RD FLR</t>
        </is>
      </c>
      <c r="B1506" s="243" t="inlineStr">
        <is>
          <t xml:space="preserve">E</t>
        </is>
      </c>
      <c r="C1506" s="244" t="inlineStr">
        <is>
          <t xml:space="preserve">2 bay alu. framed glass sliding window 1200mm x 1200mm (W10)</t>
        </is>
      </c>
      <c r="I1506" s="245" t="inlineStr">
        <is>
          <t xml:space="preserve">nr</t>
        </is>
      </c>
      <c r="K1506" s="256" t="inlineStr">
        <is>
          <t xml:space="preserve">'3RD FLR'!C166</t>
        </is>
      </c>
    </row>
    <row r="1507">
      <c r="C1507" s="246" t="inlineStr">
        <is>
          <t xml:space="preserve">Third floor - HW4</t>
        </is>
      </c>
      <c r="H1507" s="247">
        <v>1</v>
      </c>
      <c r="J1507" s="253" t="inlineStr">
        <is>
          <t xml:space="preserve">1</t>
        </is>
      </c>
    </row>
    <row r="1508">
      <c r="C1508" s="250" t="inlineStr">
        <is>
          <t xml:space="preserve">Total carried to BOQ  3RD FLR item E</t>
        </is>
      </c>
      <c r="D1508" s="250" t="inlineStr">
        <is>
          <t xml:space="preserve"/>
        </is>
      </c>
      <c r="E1508" s="250" t="inlineStr">
        <is>
          <t xml:space="preserve"/>
        </is>
      </c>
      <c r="F1508" s="250" t="inlineStr">
        <is>
          <t xml:space="preserve"/>
        </is>
      </c>
      <c r="G1508" s="250" t="inlineStr">
        <is>
          <t xml:space="preserve"/>
        </is>
      </c>
      <c r="H1508" s="251">
        <f>SUM(H1507:H1507)</f>
        <v>1</v>
      </c>
      <c r="I1508" s="252" t="inlineStr">
        <is>
          <t xml:space="preserve">nr</t>
        </is>
      </c>
    </row>
    <row r="1509">
      <c r="A1509" s="243" t="inlineStr">
        <is>
          <t xml:space="preserve">3RD FLR</t>
        </is>
      </c>
      <c r="B1509" s="243" t="inlineStr">
        <is>
          <t xml:space="preserve">F</t>
        </is>
      </c>
      <c r="C1509" s="244" t="inlineStr">
        <is>
          <t xml:space="preserve">2 bay alu. framed glass sliding window 1500mm x 1300mm (W11)</t>
        </is>
      </c>
      <c r="I1509" s="245" t="inlineStr">
        <is>
          <t xml:space="preserve">nr</t>
        </is>
      </c>
      <c r="K1509" s="256" t="inlineStr">
        <is>
          <t xml:space="preserve">'3RD FLR'!C168</t>
        </is>
      </c>
    </row>
    <row r="1510">
      <c r="C1510" s="246" t="inlineStr">
        <is>
          <t xml:space="preserve">Third floor - W11</t>
        </is>
      </c>
      <c r="H1510" s="247">
        <v>8</v>
      </c>
      <c r="J1510" s="253" t="inlineStr">
        <is>
          <t xml:space="preserve">8</t>
        </is>
      </c>
    </row>
    <row r="1511">
      <c r="C1511" s="250" t="inlineStr">
        <is>
          <t xml:space="preserve">Total carried to BOQ  3RD FLR item F</t>
        </is>
      </c>
      <c r="D1511" s="250" t="inlineStr">
        <is>
          <t xml:space="preserve"/>
        </is>
      </c>
      <c r="E1511" s="250" t="inlineStr">
        <is>
          <t xml:space="preserve"/>
        </is>
      </c>
      <c r="F1511" s="250" t="inlineStr">
        <is>
          <t xml:space="preserve"/>
        </is>
      </c>
      <c r="G1511" s="250" t="inlineStr">
        <is>
          <t xml:space="preserve"/>
        </is>
      </c>
      <c r="H1511" s="251">
        <f>SUM(H1510:H1510)</f>
        <v>8</v>
      </c>
      <c r="I1511" s="252" t="inlineStr">
        <is>
          <t xml:space="preserve">nr</t>
        </is>
      </c>
    </row>
    <row r="1512">
      <c r="A1512" s="243" t="inlineStr">
        <is>
          <t xml:space="preserve">3RD FLR</t>
        </is>
      </c>
      <c r="B1512" s="243" t="inlineStr">
        <is>
          <t xml:space="preserve">G</t>
        </is>
      </c>
      <c r="C1512" s="244" t="inlineStr">
        <is>
          <t xml:space="preserve">2 bay alu. framed glass sliding window 1500mm x 1150mm (W12)</t>
        </is>
      </c>
      <c r="I1512" s="245" t="inlineStr">
        <is>
          <t xml:space="preserve">nr</t>
        </is>
      </c>
      <c r="K1512" s="256" t="inlineStr">
        <is>
          <t xml:space="preserve">'3RD FLR'!C170</t>
        </is>
      </c>
    </row>
    <row r="1513">
      <c r="C1513" s="246" t="inlineStr">
        <is>
          <t xml:space="preserve">Third floor - W17</t>
        </is>
      </c>
      <c r="H1513" s="247">
        <v>4</v>
      </c>
      <c r="J1513" s="253" t="inlineStr">
        <is>
          <t xml:space="preserve">4</t>
        </is>
      </c>
    </row>
    <row r="1514">
      <c r="C1514" s="250" t="inlineStr">
        <is>
          <t xml:space="preserve">Total carried to BOQ  3RD FLR item G</t>
        </is>
      </c>
      <c r="D1514" s="250" t="inlineStr">
        <is>
          <t xml:space="preserve"/>
        </is>
      </c>
      <c r="E1514" s="250" t="inlineStr">
        <is>
          <t xml:space="preserve"/>
        </is>
      </c>
      <c r="F1514" s="250" t="inlineStr">
        <is>
          <t xml:space="preserve"/>
        </is>
      </c>
      <c r="G1514" s="250" t="inlineStr">
        <is>
          <t xml:space="preserve"/>
        </is>
      </c>
      <c r="H1514" s="251">
        <f>SUM(H1513:H1513)</f>
        <v>4</v>
      </c>
      <c r="I1514" s="252" t="inlineStr">
        <is>
          <t xml:space="preserve">nr</t>
        </is>
      </c>
    </row>
    <row r="1515">
      <c r="A1515" s="243" t="inlineStr">
        <is>
          <t xml:space="preserve">3RD FLR</t>
        </is>
      </c>
      <c r="B1515" s="243" t="inlineStr">
        <is>
          <t xml:space="preserve">H</t>
        </is>
      </c>
      <c r="C1515" s="244" t="inlineStr">
        <is>
          <t xml:space="preserve">3 bay alu. framed glass awning window 2400mm x 1300mm (W13)</t>
        </is>
      </c>
      <c r="I1515" s="245" t="inlineStr">
        <is>
          <t xml:space="preserve">nr</t>
        </is>
      </c>
      <c r="K1515" s="256" t="inlineStr">
        <is>
          <t xml:space="preserve">'3RD FLR'!C172</t>
        </is>
      </c>
    </row>
    <row r="1516">
      <c r="C1516" s="246" t="inlineStr">
        <is>
          <t xml:space="preserve">Third floor - HW4</t>
        </is>
      </c>
      <c r="H1516" s="247">
        <v>1</v>
      </c>
      <c r="J1516" s="253" t="inlineStr">
        <is>
          <t xml:space="preserve">1</t>
        </is>
      </c>
    </row>
    <row r="1517">
      <c r="C1517" s="250" t="inlineStr">
        <is>
          <t xml:space="preserve">Total carried to BOQ  3RD FLR item H</t>
        </is>
      </c>
      <c r="D1517" s="250" t="inlineStr">
        <is>
          <t xml:space="preserve"/>
        </is>
      </c>
      <c r="E1517" s="250" t="inlineStr">
        <is>
          <t xml:space="preserve"/>
        </is>
      </c>
      <c r="F1517" s="250" t="inlineStr">
        <is>
          <t xml:space="preserve"/>
        </is>
      </c>
      <c r="G1517" s="250" t="inlineStr">
        <is>
          <t xml:space="preserve"/>
        </is>
      </c>
      <c r="H1517" s="251">
        <f>SUM(H1516:H1516)</f>
        <v>1</v>
      </c>
      <c r="I1517" s="252" t="inlineStr">
        <is>
          <t xml:space="preserve">nr</t>
        </is>
      </c>
    </row>
    <row r="1518">
      <c r="A1518" s="243" t="inlineStr">
        <is>
          <t xml:space="preserve">3RD FLR</t>
        </is>
      </c>
      <c r="B1518" s="243" t="inlineStr">
        <is>
          <t xml:space="preserve">J</t>
        </is>
      </c>
      <c r="C1518" s="244" t="inlineStr">
        <is>
          <t xml:space="preserve">3 bay alu. framed glass sliding window 3000mm x 1600mm (W15)</t>
        </is>
      </c>
      <c r="I1518" s="245" t="inlineStr">
        <is>
          <t xml:space="preserve">nr</t>
        </is>
      </c>
      <c r="K1518" s="256" t="inlineStr">
        <is>
          <t xml:space="preserve">'3RD FLR'!C174</t>
        </is>
      </c>
    </row>
    <row r="1519">
      <c r="C1519" s="246" t="inlineStr">
        <is>
          <t xml:space="preserve">Third floor - HW4</t>
        </is>
      </c>
      <c r="H1519" s="247">
        <v>1</v>
      </c>
      <c r="J1519" s="253" t="inlineStr">
        <is>
          <t xml:space="preserve">1</t>
        </is>
      </c>
    </row>
    <row r="1520">
      <c r="C1520" s="250" t="inlineStr">
        <is>
          <t xml:space="preserve">Total carried to BOQ  3RD FLR item J</t>
        </is>
      </c>
      <c r="D1520" s="250" t="inlineStr">
        <is>
          <t xml:space="preserve"/>
        </is>
      </c>
      <c r="E1520" s="250" t="inlineStr">
        <is>
          <t xml:space="preserve"/>
        </is>
      </c>
      <c r="F1520" s="250" t="inlineStr">
        <is>
          <t xml:space="preserve"/>
        </is>
      </c>
      <c r="G1520" s="250" t="inlineStr">
        <is>
          <t xml:space="preserve"/>
        </is>
      </c>
      <c r="H1520" s="251">
        <f>SUM(H1519:H1519)</f>
        <v>1</v>
      </c>
      <c r="I1520" s="252" t="inlineStr">
        <is>
          <t xml:space="preserve">nr</t>
        </is>
      </c>
    </row>
    <row r="1521">
      <c r="A1521" s="243" t="inlineStr">
        <is>
          <t xml:space="preserve">3RD FLR</t>
        </is>
      </c>
      <c r="B1521" s="243" t="inlineStr">
        <is>
          <t xml:space="preserve">K</t>
        </is>
      </c>
      <c r="C1521" s="244" t="inlineStr">
        <is>
          <t xml:space="preserve">2 x 3 alu. framed glass awning window 1800mm x 1900mm (W17)</t>
        </is>
      </c>
      <c r="I1521" s="245" t="inlineStr">
        <is>
          <t xml:space="preserve">nr</t>
        </is>
      </c>
      <c r="K1521" s="256" t="inlineStr">
        <is>
          <t xml:space="preserve">'3RD FLR'!C176</t>
        </is>
      </c>
    </row>
    <row r="1522">
      <c r="C1522" s="246" t="inlineStr">
        <is>
          <t xml:space="preserve">Third floor - W17</t>
        </is>
      </c>
      <c r="H1522" s="247">
        <v>4</v>
      </c>
      <c r="J1522" s="253" t="inlineStr">
        <is>
          <t xml:space="preserve">4</t>
        </is>
      </c>
    </row>
    <row r="1523">
      <c r="C1523" s="250" t="inlineStr">
        <is>
          <t xml:space="preserve">Total carried to BOQ  3RD FLR item K</t>
        </is>
      </c>
      <c r="D1523" s="250" t="inlineStr">
        <is>
          <t xml:space="preserve"/>
        </is>
      </c>
      <c r="E1523" s="250" t="inlineStr">
        <is>
          <t xml:space="preserve"/>
        </is>
      </c>
      <c r="F1523" s="250" t="inlineStr">
        <is>
          <t xml:space="preserve"/>
        </is>
      </c>
      <c r="G1523" s="250" t="inlineStr">
        <is>
          <t xml:space="preserve"/>
        </is>
      </c>
      <c r="H1523" s="251">
        <f>SUM(H1522:H1522)</f>
        <v>4</v>
      </c>
      <c r="I1523" s="252" t="inlineStr">
        <is>
          <t xml:space="preserve">nr</t>
        </is>
      </c>
    </row>
    <row r="1524">
      <c r="A1524" s="243" t="inlineStr">
        <is>
          <t xml:space="preserve">3RD FLR</t>
        </is>
      </c>
      <c r="B1524" s="243" t="inlineStr">
        <is>
          <t xml:space="preserve">L</t>
        </is>
      </c>
      <c r="C1524" s="244" t="inlineStr">
        <is>
          <t xml:space="preserve">1 bay alu. framed glass awning window 750mm x 1300mm (W18)</t>
        </is>
      </c>
      <c r="I1524" s="245" t="inlineStr">
        <is>
          <t xml:space="preserve">nr</t>
        </is>
      </c>
      <c r="K1524" s="256" t="inlineStr">
        <is>
          <t xml:space="preserve">'3RD FLR'!C178</t>
        </is>
      </c>
    </row>
    <row r="1525">
      <c r="C1525" s="246" t="inlineStr">
        <is>
          <t xml:space="preserve">Third floor - HW4</t>
        </is>
      </c>
      <c r="H1525" s="247">
        <v>1</v>
      </c>
      <c r="J1525" s="253" t="inlineStr">
        <is>
          <t xml:space="preserve">1</t>
        </is>
      </c>
    </row>
    <row r="1526">
      <c r="C1526" s="250" t="inlineStr">
        <is>
          <t xml:space="preserve">Total carried to BOQ  3RD FLR item L</t>
        </is>
      </c>
      <c r="D1526" s="250" t="inlineStr">
        <is>
          <t xml:space="preserve"/>
        </is>
      </c>
      <c r="E1526" s="250" t="inlineStr">
        <is>
          <t xml:space="preserve"/>
        </is>
      </c>
      <c r="F1526" s="250" t="inlineStr">
        <is>
          <t xml:space="preserve"/>
        </is>
      </c>
      <c r="G1526" s="250" t="inlineStr">
        <is>
          <t xml:space="preserve"/>
        </is>
      </c>
      <c r="H1526" s="251">
        <f>SUM(H1525:H1525)</f>
        <v>1</v>
      </c>
      <c r="I1526" s="252" t="inlineStr">
        <is>
          <t xml:space="preserve">nr</t>
        </is>
      </c>
    </row>
    <row r="1527">
      <c r="A1527" s="243" t="inlineStr">
        <is>
          <t xml:space="preserve">3RD FLR</t>
        </is>
      </c>
      <c r="B1527" s="243" t="inlineStr">
        <is>
          <t xml:space="preserve">M</t>
        </is>
      </c>
      <c r="C1527" s="244" t="inlineStr">
        <is>
          <t xml:space="preserve">2 x 3 alu. framed glass awning window 1450mm x 1900mm (W20)</t>
        </is>
      </c>
      <c r="I1527" s="245" t="inlineStr">
        <is>
          <t xml:space="preserve">nr</t>
        </is>
      </c>
      <c r="K1527" s="256" t="inlineStr">
        <is>
          <t xml:space="preserve">'3RD FLR'!C180</t>
        </is>
      </c>
    </row>
    <row r="1528">
      <c r="C1528" s="246" t="inlineStr">
        <is>
          <t xml:space="preserve">Third floor - HW4</t>
        </is>
      </c>
      <c r="H1528" s="247">
        <v>1</v>
      </c>
      <c r="J1528" s="253" t="inlineStr">
        <is>
          <t xml:space="preserve">1</t>
        </is>
      </c>
    </row>
    <row r="1529">
      <c r="C1529" s="250" t="inlineStr">
        <is>
          <t xml:space="preserve">Total carried to BOQ  3RD FLR item M</t>
        </is>
      </c>
      <c r="D1529" s="250" t="inlineStr">
        <is>
          <t xml:space="preserve"/>
        </is>
      </c>
      <c r="E1529" s="250" t="inlineStr">
        <is>
          <t xml:space="preserve"/>
        </is>
      </c>
      <c r="F1529" s="250" t="inlineStr">
        <is>
          <t xml:space="preserve"/>
        </is>
      </c>
      <c r="G1529" s="250" t="inlineStr">
        <is>
          <t xml:space="preserve"/>
        </is>
      </c>
      <c r="H1529" s="251">
        <f>SUM(H1528:H1528)</f>
        <v>1</v>
      </c>
      <c r="I1529" s="252" t="inlineStr">
        <is>
          <t xml:space="preserve">nr</t>
        </is>
      </c>
    </row>
    <row r="1530">
      <c r="A1530" s="243" t="inlineStr">
        <is>
          <t xml:space="preserve">3RD FLR</t>
        </is>
      </c>
      <c r="B1530" s="243" t="inlineStr">
        <is>
          <t xml:space="preserve">N</t>
        </is>
      </c>
      <c r="C1530" s="244" t="inlineStr">
        <is>
          <t xml:space="preserve">2 bay alu. framed glass sliding window 900mm x 600mm (HW1)</t>
        </is>
      </c>
      <c r="I1530" s="245" t="inlineStr">
        <is>
          <t xml:space="preserve">nr</t>
        </is>
      </c>
      <c r="K1530" s="256" t="inlineStr">
        <is>
          <t xml:space="preserve">'3RD FLR'!C182</t>
        </is>
      </c>
    </row>
    <row r="1531">
      <c r="C1531" s="246" t="inlineStr">
        <is>
          <t xml:space="preserve">Third floor - HW1</t>
        </is>
      </c>
      <c r="H1531" s="247">
        <v>12</v>
      </c>
      <c r="J1531" s="253" t="inlineStr">
        <is>
          <t xml:space="preserve">12</t>
        </is>
      </c>
    </row>
    <row r="1532">
      <c r="C1532" s="250" t="inlineStr">
        <is>
          <t xml:space="preserve">Total carried to BOQ  3RD FLR item N</t>
        </is>
      </c>
      <c r="D1532" s="250" t="inlineStr">
        <is>
          <t xml:space="preserve"/>
        </is>
      </c>
      <c r="E1532" s="250" t="inlineStr">
        <is>
          <t xml:space="preserve"/>
        </is>
      </c>
      <c r="F1532" s="250" t="inlineStr">
        <is>
          <t xml:space="preserve"/>
        </is>
      </c>
      <c r="G1532" s="250" t="inlineStr">
        <is>
          <t xml:space="preserve"/>
        </is>
      </c>
      <c r="H1532" s="251">
        <f>SUM(H1531:H1531)</f>
        <v>12</v>
      </c>
      <c r="I1532" s="252" t="inlineStr">
        <is>
          <t xml:space="preserve">nr</t>
        </is>
      </c>
    </row>
    <row r="1533">
      <c r="A1533" s="243" t="inlineStr">
        <is>
          <t xml:space="preserve">3RD FLR</t>
        </is>
      </c>
      <c r="B1533" s="243" t="inlineStr">
        <is>
          <t xml:space="preserve">P</t>
        </is>
      </c>
      <c r="C1533" s="244" t="inlineStr">
        <is>
          <t xml:space="preserve">2 bay alu. framed glass sliding window 750mm x 600mm (HW2)</t>
        </is>
      </c>
      <c r="I1533" s="245" t="inlineStr">
        <is>
          <t xml:space="preserve">nr</t>
        </is>
      </c>
      <c r="K1533" s="256" t="inlineStr">
        <is>
          <t xml:space="preserve">'3RD FLR'!C184</t>
        </is>
      </c>
    </row>
    <row r="1534">
      <c r="C1534" s="246" t="inlineStr">
        <is>
          <t xml:space="preserve">Third floor - HW2</t>
        </is>
      </c>
      <c r="H1534" s="247">
        <v>5</v>
      </c>
      <c r="J1534" s="253" t="inlineStr">
        <is>
          <t xml:space="preserve">5</t>
        </is>
      </c>
    </row>
    <row r="1535">
      <c r="C1535" s="250" t="inlineStr">
        <is>
          <t xml:space="preserve">Total carried to BOQ  3RD FLR item P</t>
        </is>
      </c>
      <c r="D1535" s="250" t="inlineStr">
        <is>
          <t xml:space="preserve"/>
        </is>
      </c>
      <c r="E1535" s="250" t="inlineStr">
        <is>
          <t xml:space="preserve"/>
        </is>
      </c>
      <c r="F1535" s="250" t="inlineStr">
        <is>
          <t xml:space="preserve"/>
        </is>
      </c>
      <c r="G1535" s="250" t="inlineStr">
        <is>
          <t xml:space="preserve"/>
        </is>
      </c>
      <c r="H1535" s="251">
        <f>SUM(H1534:H1534)</f>
        <v>5</v>
      </c>
      <c r="I1535" s="252" t="inlineStr">
        <is>
          <t xml:space="preserve">nr</t>
        </is>
      </c>
    </row>
    <row r="1536">
      <c r="A1536" s="243" t="inlineStr">
        <is>
          <t xml:space="preserve">3RD FLR</t>
        </is>
      </c>
      <c r="B1536" s="243" t="inlineStr">
        <is>
          <t xml:space="preserve">Q</t>
        </is>
      </c>
      <c r="C1536" s="244" t="inlineStr">
        <is>
          <t xml:space="preserve">2 bay alu. framed glass sliding window 600mm x 600mm (HW3)</t>
        </is>
      </c>
      <c r="I1536" s="245" t="inlineStr">
        <is>
          <t xml:space="preserve">nr</t>
        </is>
      </c>
      <c r="K1536" s="256" t="inlineStr">
        <is>
          <t xml:space="preserve">'3RD FLR'!C186</t>
        </is>
      </c>
    </row>
    <row r="1537">
      <c r="C1537" s="246" t="inlineStr">
        <is>
          <t xml:space="preserve">Third floor - HW4</t>
        </is>
      </c>
      <c r="H1537" s="247">
        <v>1</v>
      </c>
      <c r="J1537" s="253" t="inlineStr">
        <is>
          <t xml:space="preserve">1</t>
        </is>
      </c>
    </row>
    <row r="1538">
      <c r="C1538" s="250" t="inlineStr">
        <is>
          <t xml:space="preserve">Total carried to BOQ  3RD FLR item Q</t>
        </is>
      </c>
      <c r="D1538" s="250" t="inlineStr">
        <is>
          <t xml:space="preserve"/>
        </is>
      </c>
      <c r="E1538" s="250" t="inlineStr">
        <is>
          <t xml:space="preserve"/>
        </is>
      </c>
      <c r="F1538" s="250" t="inlineStr">
        <is>
          <t xml:space="preserve"/>
        </is>
      </c>
      <c r="G1538" s="250" t="inlineStr">
        <is>
          <t xml:space="preserve"/>
        </is>
      </c>
      <c r="H1538" s="251">
        <f>SUM(H1537:H1537)</f>
        <v>1</v>
      </c>
      <c r="I1538" s="252" t="inlineStr">
        <is>
          <t xml:space="preserve">nr</t>
        </is>
      </c>
    </row>
    <row r="1539">
      <c r="A1539" s="243" t="inlineStr">
        <is>
          <t xml:space="preserve">3RD FLR</t>
        </is>
      </c>
      <c r="B1539" s="243" t="inlineStr">
        <is>
          <t xml:space="preserve">R</t>
        </is>
      </c>
      <c r="C1539" s="244" t="inlineStr">
        <is>
          <t xml:space="preserve">2 bay alu. framed glass sliding window 1200mm x 600mm (HW4)</t>
        </is>
      </c>
      <c r="I1539" s="245" t="inlineStr">
        <is>
          <t xml:space="preserve">nr</t>
        </is>
      </c>
      <c r="K1539" s="256" t="inlineStr">
        <is>
          <t xml:space="preserve">'3RD FLR'!C188</t>
        </is>
      </c>
    </row>
    <row r="1540">
      <c r="C1540" s="246" t="inlineStr">
        <is>
          <t xml:space="preserve">Third floor - HW4</t>
        </is>
      </c>
      <c r="H1540" s="247">
        <v>1</v>
      </c>
      <c r="J1540" s="253" t="inlineStr">
        <is>
          <t xml:space="preserve">1</t>
        </is>
      </c>
    </row>
    <row r="1541">
      <c r="C1541" s="250" t="inlineStr">
        <is>
          <t xml:space="preserve">Total carried to BOQ  3RD FLR item R</t>
        </is>
      </c>
      <c r="D1541" s="250" t="inlineStr">
        <is>
          <t xml:space="preserve"/>
        </is>
      </c>
      <c r="E1541" s="250" t="inlineStr">
        <is>
          <t xml:space="preserve"/>
        </is>
      </c>
      <c r="F1541" s="250" t="inlineStr">
        <is>
          <t xml:space="preserve"/>
        </is>
      </c>
      <c r="G1541" s="250" t="inlineStr">
        <is>
          <t xml:space="preserve"/>
        </is>
      </c>
      <c r="H1541" s="251">
        <f>SUM(H1540:H1540)</f>
        <v>1</v>
      </c>
      <c r="I1541" s="252" t="inlineStr">
        <is>
          <t xml:space="preserve">nr</t>
        </is>
      </c>
    </row>
    <row r="1542">
      <c r="C1542" s="242" t="inlineStr">
        <is>
          <t xml:space="preserve">ELEMENT NO. 5: FLOOR FINISHES</t>
        </is>
      </c>
    </row>
    <row r="1543">
      <c r="C1543" s="242" t="inlineStr">
        <is>
          <t xml:space="preserve">M10/M40 FLOOR FINISHES</t>
        </is>
      </c>
    </row>
    <row r="1544" ht="32.2" customHeight="1">
      <c r="A1544" s="243" t="inlineStr">
        <is>
          <t xml:space="preserve">3RD FLR</t>
        </is>
      </c>
      <c r="B1544" s="243" t="inlineStr">
        <is>
          <t xml:space="preserve">A</t>
        </is>
      </c>
      <c r="C1544" s="244" t="inlineStr">
        <is>
          <t xml:space="preserve">25mm cement and sand (1:3) screeded finish laid level on concrete and finished smooth with steel trowel</t>
        </is>
      </c>
      <c r="I1544" s="245" t="inlineStr">
        <is>
          <t xml:space="preserve">m2</t>
        </is>
      </c>
      <c r="K1544" s="256" t="inlineStr">
        <is>
          <t xml:space="preserve">'3RD FLR'!C196</t>
        </is>
      </c>
    </row>
    <row r="1545">
      <c r="C1545" s="246" t="inlineStr">
        <is>
          <t xml:space="preserve">Third floor - Tiled floor areas (measured)</t>
        </is>
      </c>
      <c r="H1545" s="247">
        <v>968.0</v>
      </c>
      <c r="J1545" s="253" t="inlineStr">
        <is>
          <t xml:space="preserve">968.0</t>
        </is>
      </c>
    </row>
    <row r="1546">
      <c r="C1546" s="250" t="inlineStr">
        <is>
          <t xml:space="preserve">Total carried to BOQ  3RD FLR item A</t>
        </is>
      </c>
      <c r="D1546" s="250" t="inlineStr">
        <is>
          <t xml:space="preserve"/>
        </is>
      </c>
      <c r="E1546" s="250" t="inlineStr">
        <is>
          <t xml:space="preserve"/>
        </is>
      </c>
      <c r="F1546" s="250" t="inlineStr">
        <is>
          <t xml:space="preserve"/>
        </is>
      </c>
      <c r="G1546" s="250" t="inlineStr">
        <is>
          <t xml:space="preserve"/>
        </is>
      </c>
      <c r="H1546" s="251">
        <f>SUM(H1545:H1545)</f>
        <v>968.0</v>
      </c>
      <c r="I1546" s="252" t="inlineStr">
        <is>
          <t xml:space="preserve">m2</t>
        </is>
      </c>
    </row>
    <row r="1547" ht="32.2" customHeight="1">
      <c r="A1547" s="243" t="inlineStr">
        <is>
          <t xml:space="preserve">3RD FLR</t>
        </is>
      </c>
      <c r="B1547" s="243" t="inlineStr">
        <is>
          <t xml:space="preserve">B</t>
        </is>
      </c>
      <c r="C1547" s="244" t="inlineStr">
        <is>
          <t xml:space="preserve">12mm cement and sand (1:4) screeded bed laid level on concrete floor to receive floor tiles</t>
        </is>
      </c>
      <c r="I1547" s="245" t="inlineStr">
        <is>
          <t xml:space="preserve">m2</t>
        </is>
      </c>
      <c r="K1547" s="256" t="inlineStr">
        <is>
          <t xml:space="preserve">'3RD FLR'!C198</t>
        </is>
      </c>
    </row>
    <row r="1548">
      <c r="C1548" s="246" t="inlineStr">
        <is>
          <t xml:space="preserve">Third floor - Tiled floor areas (measured)</t>
        </is>
      </c>
      <c r="H1548" s="247">
        <v>968.0</v>
      </c>
      <c r="J1548" s="253" t="inlineStr">
        <is>
          <t xml:space="preserve">968.0</t>
        </is>
      </c>
    </row>
    <row r="1549">
      <c r="C1549" s="246" t="inlineStr">
        <is>
          <t xml:space="preserve">Stair finishes (treads, risers, landings) - flights: 2 x 1.8 x 3.0</t>
        </is>
      </c>
      <c r="D1549" s="248">
        <v>2</v>
      </c>
      <c r="E1549" s="247">
        <v>1.8</v>
      </c>
      <c r="F1549" s="247">
        <v>3.0</v>
      </c>
      <c r="H1549" s="249">
        <f>PRODUCT(D1549:G1549)</f>
        <v>10.8</v>
      </c>
      <c r="J1549" s="253" t="inlineStr">
        <is>
          <t xml:space="preserve">2*1.8*3.0</t>
        </is>
      </c>
    </row>
    <row r="1550">
      <c r="C1550" s="246" t="inlineStr">
        <is>
          <t xml:space="preserve">Stair finishes (treads, risers, landings) - risers: 22 x 0.15 x 1.8</t>
        </is>
      </c>
      <c r="D1550" s="248">
        <v>22</v>
      </c>
      <c r="E1550" s="247">
        <v>0.15</v>
      </c>
      <c r="F1550" s="247">
        <v>1.8</v>
      </c>
      <c r="H1550" s="249">
        <f>PRODUCT(D1550:G1550)</f>
        <v>5.9399999999999995</v>
      </c>
      <c r="J1550" s="253" t="inlineStr">
        <is>
          <t xml:space="preserve">22*0.15*1.8</t>
        </is>
      </c>
    </row>
    <row r="1551">
      <c r="C1551" s="246" t="inlineStr">
        <is>
          <t xml:space="preserve">Stair finishes (treads, risers, landings) - floor landing 2.2 x 3.75</t>
        </is>
      </c>
      <c r="E1551" s="247">
        <v>2.2</v>
      </c>
      <c r="F1551" s="247">
        <v>3.75</v>
      </c>
      <c r="H1551" s="249">
        <f>PRODUCT(D1551:G1551)</f>
        <v>8.25</v>
      </c>
      <c r="J1551" s="253" t="inlineStr">
        <is>
          <t xml:space="preserve">2.2*3.75</t>
        </is>
      </c>
    </row>
    <row r="1552">
      <c r="C1552" s="246" t="inlineStr">
        <is>
          <t xml:space="preserve">Stair finishes (treads, risers, landings) - half landing 1.8 x 3.75</t>
        </is>
      </c>
      <c r="E1552" s="247">
        <v>1.8</v>
      </c>
      <c r="F1552" s="247">
        <v>3.75</v>
      </c>
      <c r="H1552" s="249">
        <f>PRODUCT(D1552:G1552)</f>
        <v>6.75</v>
      </c>
      <c r="J1552" s="253" t="inlineStr">
        <is>
          <t xml:space="preserve">1.8*3.75</t>
        </is>
      </c>
    </row>
    <row r="1553">
      <c r="C1553" s="246" t="inlineStr">
        <is>
          <t xml:space="preserve">Stair finishes (treads, risers, landings) - flights: 2 x 1.8 x 3.0</t>
        </is>
      </c>
      <c r="D1553" s="248">
        <v>2</v>
      </c>
      <c r="E1553" s="247">
        <v>1.8</v>
      </c>
      <c r="F1553" s="247">
        <v>3.0</v>
      </c>
      <c r="H1553" s="249">
        <f>PRODUCT(D1553:G1553)</f>
        <v>10.8</v>
      </c>
      <c r="J1553" s="253" t="inlineStr">
        <is>
          <t xml:space="preserve">2*1.8*3.0</t>
        </is>
      </c>
    </row>
    <row r="1554">
      <c r="C1554" s="246" t="inlineStr">
        <is>
          <t xml:space="preserve">Stair finishes (treads, risers, landings) - risers: 22 x 0.15 x 1.8</t>
        </is>
      </c>
      <c r="D1554" s="248">
        <v>22</v>
      </c>
      <c r="E1554" s="247">
        <v>0.15</v>
      </c>
      <c r="F1554" s="247">
        <v>1.8</v>
      </c>
      <c r="H1554" s="249">
        <f>PRODUCT(D1554:G1554)</f>
        <v>5.9399999999999995</v>
      </c>
      <c r="J1554" s="253" t="inlineStr">
        <is>
          <t xml:space="preserve">22*0.15*1.8</t>
        </is>
      </c>
    </row>
    <row r="1555">
      <c r="C1555" s="246" t="inlineStr">
        <is>
          <t xml:space="preserve">Stair finishes (treads, risers, landings) - floor landing 2.2 x 3.75</t>
        </is>
      </c>
      <c r="E1555" s="247">
        <v>2.2</v>
      </c>
      <c r="F1555" s="247">
        <v>3.75</v>
      </c>
      <c r="H1555" s="249">
        <f>PRODUCT(D1555:G1555)</f>
        <v>8.25</v>
      </c>
      <c r="J1555" s="253" t="inlineStr">
        <is>
          <t xml:space="preserve">2.2*3.75</t>
        </is>
      </c>
    </row>
    <row r="1556">
      <c r="C1556" s="246" t="inlineStr">
        <is>
          <t xml:space="preserve">Stair finishes (treads, risers, landings) - half landing 1.8 x 3.75</t>
        </is>
      </c>
      <c r="E1556" s="247">
        <v>1.8</v>
      </c>
      <c r="F1556" s="247">
        <v>3.75</v>
      </c>
      <c r="H1556" s="249">
        <f>PRODUCT(D1556:G1556)</f>
        <v>6.75</v>
      </c>
      <c r="J1556" s="253" t="inlineStr">
        <is>
          <t xml:space="preserve">1.8*3.75</t>
        </is>
      </c>
    </row>
    <row r="1557">
      <c r="C1557" s="250" t="inlineStr">
        <is>
          <t xml:space="preserve">Total carried to BOQ  3RD FLR item B</t>
        </is>
      </c>
      <c r="D1557" s="250" t="inlineStr">
        <is>
          <t xml:space="preserve"/>
        </is>
      </c>
      <c r="E1557" s="250" t="inlineStr">
        <is>
          <t xml:space="preserve"/>
        </is>
      </c>
      <c r="F1557" s="250" t="inlineStr">
        <is>
          <t xml:space="preserve"/>
        </is>
      </c>
      <c r="G1557" s="250" t="inlineStr">
        <is>
          <t xml:space="preserve"/>
        </is>
      </c>
      <c r="H1557" s="251">
        <f>SUM(H1548:H1556)</f>
        <v>1031.48</v>
      </c>
      <c r="I1557" s="252" t="inlineStr">
        <is>
          <t xml:space="preserve">m2</t>
        </is>
      </c>
    </row>
    <row r="1558" ht="32.2" customHeight="1">
      <c r="A1558" s="243" t="inlineStr">
        <is>
          <t xml:space="preserve">3RD FLR</t>
        </is>
      </c>
      <c r="B1558" s="243" t="inlineStr">
        <is>
          <t xml:space="preserve">C</t>
        </is>
      </c>
      <c r="C1558" s="244" t="inlineStr">
        <is>
          <t xml:space="preserve">400x400mm non-slip porcelain floor tiles to washrooms &amp; WCs, adhesive, grout and cutting</t>
        </is>
      </c>
      <c r="I1558" s="245" t="inlineStr">
        <is>
          <t xml:space="preserve">m2</t>
        </is>
      </c>
      <c r="K1558" s="256" t="inlineStr">
        <is>
          <t xml:space="preserve">'3RD FLR'!C200</t>
        </is>
      </c>
    </row>
    <row r="1559">
      <c r="C1559" s="246" t="inlineStr">
        <is>
          <t xml:space="preserve">Third floor - Washroom ceiling areas (measured)</t>
        </is>
      </c>
      <c r="H1559" s="247">
        <v>59.2</v>
      </c>
      <c r="J1559" s="253" t="inlineStr">
        <is>
          <t xml:space="preserve">59.2</t>
        </is>
      </c>
    </row>
    <row r="1560">
      <c r="C1560" s="250" t="inlineStr">
        <is>
          <t xml:space="preserve">Total carried to BOQ  3RD FLR item C</t>
        </is>
      </c>
      <c r="D1560" s="250" t="inlineStr">
        <is>
          <t xml:space="preserve"/>
        </is>
      </c>
      <c r="E1560" s="250" t="inlineStr">
        <is>
          <t xml:space="preserve"/>
        </is>
      </c>
      <c r="F1560" s="250" t="inlineStr">
        <is>
          <t xml:space="preserve"/>
        </is>
      </c>
      <c r="G1560" s="250" t="inlineStr">
        <is>
          <t xml:space="preserve"/>
        </is>
      </c>
      <c r="H1560" s="251">
        <f>SUM(H1559:H1559)</f>
        <v>59.2</v>
      </c>
      <c r="I1560" s="252" t="inlineStr">
        <is>
          <t xml:space="preserve">m2</t>
        </is>
      </c>
    </row>
    <row r="1561" ht="32.2" customHeight="1">
      <c r="A1561" s="243" t="inlineStr">
        <is>
          <t xml:space="preserve">3RD FLR</t>
        </is>
      </c>
      <c r="B1561" s="243" t="inlineStr">
        <is>
          <t xml:space="preserve">D</t>
        </is>
      </c>
      <c r="C1561" s="244" t="inlineStr">
        <is>
          <t xml:space="preserve">500x500mm matte R11 porcelain tiles to staircases (treads, risers and landings)</t>
        </is>
      </c>
      <c r="I1561" s="245" t="inlineStr">
        <is>
          <t xml:space="preserve">m2</t>
        </is>
      </c>
      <c r="K1561" s="256" t="inlineStr">
        <is>
          <t xml:space="preserve">'3RD FLR'!C202</t>
        </is>
      </c>
    </row>
    <row r="1562">
      <c r="C1562" s="246" t="inlineStr">
        <is>
          <t xml:space="preserve">Third floor (+10900) - Main stair flight (storey ht 3.3) - flights: 2 x 1.8 x 3.0</t>
        </is>
      </c>
      <c r="D1562" s="248">
        <v>2</v>
      </c>
      <c r="E1562" s="247">
        <v>1.8</v>
      </c>
      <c r="F1562" s="247">
        <v>3.0</v>
      </c>
      <c r="H1562" s="249">
        <f>PRODUCT(D1562:G1562)</f>
        <v>10.8</v>
      </c>
      <c r="J1562" s="253" t="inlineStr">
        <is>
          <t xml:space="preserve">2*1.8*3.0</t>
        </is>
      </c>
    </row>
    <row r="1563">
      <c r="C1563" s="246" t="inlineStr">
        <is>
          <t xml:space="preserve">Third floor (+10900) - Main stair flight (storey ht 3.3) - risers: 22 x 0.15 x 1.8</t>
        </is>
      </c>
      <c r="D1563" s="248">
        <v>22</v>
      </c>
      <c r="E1563" s="247">
        <v>0.15</v>
      </c>
      <c r="F1563" s="247">
        <v>1.8</v>
      </c>
      <c r="H1563" s="249">
        <f>PRODUCT(D1563:G1563)</f>
        <v>5.9399999999999995</v>
      </c>
      <c r="J1563" s="253" t="inlineStr">
        <is>
          <t xml:space="preserve">22*0.15*1.8</t>
        </is>
      </c>
    </row>
    <row r="1564">
      <c r="C1564" s="246" t="inlineStr">
        <is>
          <t xml:space="preserve">Third floor (+10900) - Main stair flight (storey ht 3.3) - floor landing 2.2 x 3.75</t>
        </is>
      </c>
      <c r="E1564" s="247">
        <v>2.2</v>
      </c>
      <c r="F1564" s="247">
        <v>3.75</v>
      </c>
      <c r="H1564" s="249">
        <f>PRODUCT(D1564:G1564)</f>
        <v>8.25</v>
      </c>
      <c r="J1564" s="253" t="inlineStr">
        <is>
          <t xml:space="preserve">2.2*3.75</t>
        </is>
      </c>
    </row>
    <row r="1565">
      <c r="C1565" s="246" t="inlineStr">
        <is>
          <t xml:space="preserve">Third floor (+10900) - Main stair flight (storey ht 3.3) - half landing 1.8 x 3.75</t>
        </is>
      </c>
      <c r="E1565" s="247">
        <v>1.8</v>
      </c>
      <c r="F1565" s="247">
        <v>3.75</v>
      </c>
      <c r="H1565" s="249">
        <f>PRODUCT(D1565:G1565)</f>
        <v>6.75</v>
      </c>
      <c r="J1565" s="253" t="inlineStr">
        <is>
          <t xml:space="preserve">1.8*3.75</t>
        </is>
      </c>
    </row>
    <row r="1566">
      <c r="C1566" s="246" t="inlineStr">
        <is>
          <t xml:space="preserve">Third floor (+10900) - Emergency stair flight (storey ht 3.3) - flights: 2 x 1.8 x 3.0</t>
        </is>
      </c>
      <c r="D1566" s="248">
        <v>2</v>
      </c>
      <c r="E1566" s="247">
        <v>1.8</v>
      </c>
      <c r="F1566" s="247">
        <v>3.0</v>
      </c>
      <c r="H1566" s="249">
        <f>PRODUCT(D1566:G1566)</f>
        <v>10.8</v>
      </c>
      <c r="J1566" s="253" t="inlineStr">
        <is>
          <t xml:space="preserve">2*1.8*3.0</t>
        </is>
      </c>
    </row>
    <row r="1567">
      <c r="C1567" s="246" t="inlineStr">
        <is>
          <t xml:space="preserve">Third floor (+10900) - Emergency stair flight (storey ht 3.3) - risers: 22 x 0.15 x 1.8</t>
        </is>
      </c>
      <c r="D1567" s="248">
        <v>22</v>
      </c>
      <c r="E1567" s="247">
        <v>0.15</v>
      </c>
      <c r="F1567" s="247">
        <v>1.8</v>
      </c>
      <c r="H1567" s="249">
        <f>PRODUCT(D1567:G1567)</f>
        <v>5.9399999999999995</v>
      </c>
      <c r="J1567" s="253" t="inlineStr">
        <is>
          <t xml:space="preserve">22*0.15*1.8</t>
        </is>
      </c>
    </row>
    <row r="1568">
      <c r="C1568" s="246" t="inlineStr">
        <is>
          <t xml:space="preserve">Third floor (+10900) - Emergency stair flight (storey ht 3.3) - floor landing 2.2 x 3.75</t>
        </is>
      </c>
      <c r="E1568" s="247">
        <v>2.2</v>
      </c>
      <c r="F1568" s="247">
        <v>3.75</v>
      </c>
      <c r="H1568" s="249">
        <f>PRODUCT(D1568:G1568)</f>
        <v>8.25</v>
      </c>
      <c r="J1568" s="253" t="inlineStr">
        <is>
          <t xml:space="preserve">2.2*3.75</t>
        </is>
      </c>
    </row>
    <row r="1569">
      <c r="C1569" s="246" t="inlineStr">
        <is>
          <t xml:space="preserve">Third floor (+10900) - Emergency stair flight (storey ht 3.3) - half landing 1.8 x 3.75</t>
        </is>
      </c>
      <c r="E1569" s="247">
        <v>1.8</v>
      </c>
      <c r="F1569" s="247">
        <v>3.75</v>
      </c>
      <c r="H1569" s="249">
        <f>PRODUCT(D1569:G1569)</f>
        <v>6.75</v>
      </c>
      <c r="J1569" s="253" t="inlineStr">
        <is>
          <t xml:space="preserve">1.8*3.75</t>
        </is>
      </c>
    </row>
    <row r="1570">
      <c r="C1570" s="250" t="inlineStr">
        <is>
          <t xml:space="preserve">Total carried to BOQ  3RD FLR item D</t>
        </is>
      </c>
      <c r="D1570" s="250" t="inlineStr">
        <is>
          <t xml:space="preserve"/>
        </is>
      </c>
      <c r="E1570" s="250" t="inlineStr">
        <is>
          <t xml:space="preserve"/>
        </is>
      </c>
      <c r="F1570" s="250" t="inlineStr">
        <is>
          <t xml:space="preserve"/>
        </is>
      </c>
      <c r="G1570" s="250" t="inlineStr">
        <is>
          <t xml:space="preserve"/>
        </is>
      </c>
      <c r="H1570" s="251">
        <f>SUM(H1562:H1569)</f>
        <v>63.480000000000004</v>
      </c>
      <c r="I1570" s="252" t="inlineStr">
        <is>
          <t xml:space="preserve">m2</t>
        </is>
      </c>
    </row>
    <row r="1571" ht="32.2" customHeight="1">
      <c r="A1571" s="243" t="inlineStr">
        <is>
          <t xml:space="preserve">3RD FLR</t>
        </is>
      </c>
      <c r="B1571" s="243" t="inlineStr">
        <is>
          <t xml:space="preserve">E</t>
        </is>
      </c>
      <c r="C1571" s="244" t="inlineStr">
        <is>
          <t xml:space="preserve">600x600mm semi-polished porcelain floor tiles to habitable rooms, shops &amp; offices</t>
        </is>
      </c>
      <c r="I1571" s="245" t="inlineStr">
        <is>
          <t xml:space="preserve">m2</t>
        </is>
      </c>
      <c r="K1571" s="256" t="inlineStr">
        <is>
          <t xml:space="preserve">'3RD FLR'!C204</t>
        </is>
      </c>
    </row>
    <row r="1572">
      <c r="C1572" s="246" t="inlineStr">
        <is>
          <t xml:space="preserve">Third floor - Habitable rooms (measured)</t>
        </is>
      </c>
      <c r="H1572" s="247">
        <v>681.7</v>
      </c>
      <c r="J1572" s="253" t="inlineStr">
        <is>
          <t xml:space="preserve">681.7</t>
        </is>
      </c>
    </row>
    <row r="1573">
      <c r="C1573" s="250" t="inlineStr">
        <is>
          <t xml:space="preserve">Total carried to BOQ  3RD FLR item E</t>
        </is>
      </c>
      <c r="D1573" s="250" t="inlineStr">
        <is>
          <t xml:space="preserve"/>
        </is>
      </c>
      <c r="E1573" s="250" t="inlineStr">
        <is>
          <t xml:space="preserve"/>
        </is>
      </c>
      <c r="F1573" s="250" t="inlineStr">
        <is>
          <t xml:space="preserve"/>
        </is>
      </c>
      <c r="G1573" s="250" t="inlineStr">
        <is>
          <t xml:space="preserve"/>
        </is>
      </c>
      <c r="H1573" s="251">
        <f>SUM(H1572:H1572)</f>
        <v>681.7</v>
      </c>
      <c r="I1573" s="252" t="inlineStr">
        <is>
          <t xml:space="preserve">m2</t>
        </is>
      </c>
    </row>
    <row r="1574" ht="32.2" customHeight="1">
      <c r="A1574" s="243" t="inlineStr">
        <is>
          <t xml:space="preserve">3RD FLR</t>
        </is>
      </c>
      <c r="B1574" s="243" t="inlineStr">
        <is>
          <t xml:space="preserve">F</t>
        </is>
      </c>
      <c r="C1574" s="244" t="inlineStr">
        <is>
          <t xml:space="preserve">600x1200mm semi-polished porcelain floor tiles to stair/lift lobbies &amp; reception</t>
        </is>
      </c>
      <c r="I1574" s="245" t="inlineStr">
        <is>
          <t xml:space="preserve">m2</t>
        </is>
      </c>
      <c r="K1574" s="256" t="inlineStr">
        <is>
          <t xml:space="preserve">'3RD FLR'!C206</t>
        </is>
      </c>
    </row>
    <row r="1575">
      <c r="C1575" s="246" t="inlineStr">
        <is>
          <t xml:space="preserve">Third floor - Lobbies (measured)</t>
        </is>
      </c>
      <c r="H1575" s="247">
        <v>27.3</v>
      </c>
      <c r="J1575" s="253" t="inlineStr">
        <is>
          <t xml:space="preserve">27.3</t>
        </is>
      </c>
    </row>
    <row r="1576">
      <c r="C1576" s="250" t="inlineStr">
        <is>
          <t xml:space="preserve">Total carried to BOQ  3RD FLR item F</t>
        </is>
      </c>
      <c r="D1576" s="250" t="inlineStr">
        <is>
          <t xml:space="preserve"/>
        </is>
      </c>
      <c r="E1576" s="250" t="inlineStr">
        <is>
          <t xml:space="preserve"/>
        </is>
      </c>
      <c r="F1576" s="250" t="inlineStr">
        <is>
          <t xml:space="preserve"/>
        </is>
      </c>
      <c r="G1576" s="250" t="inlineStr">
        <is>
          <t xml:space="preserve"/>
        </is>
      </c>
      <c r="H1576" s="251">
        <f>SUM(H1575:H1575)</f>
        <v>27.3</v>
      </c>
      <c r="I1576" s="252" t="inlineStr">
        <is>
          <t xml:space="preserve">m2</t>
        </is>
      </c>
    </row>
    <row r="1577" ht="32.2" customHeight="1">
      <c r="A1577" s="243" t="inlineStr">
        <is>
          <t xml:space="preserve">3RD FLR</t>
        </is>
      </c>
      <c r="B1577" s="243" t="inlineStr">
        <is>
          <t xml:space="preserve">G</t>
        </is>
      </c>
      <c r="C1577" s="244" t="inlineStr">
        <is>
          <t xml:space="preserve">600x600mm non-slip R11 porcelain tiles to corridors, terraces, verandah &amp; service areas</t>
        </is>
      </c>
      <c r="I1577" s="245" t="inlineStr">
        <is>
          <t xml:space="preserve">m2</t>
        </is>
      </c>
      <c r="K1577" s="256" t="inlineStr">
        <is>
          <t xml:space="preserve">'3RD FLR'!C208</t>
        </is>
      </c>
    </row>
    <row r="1578">
      <c r="C1578" s="246" t="inlineStr">
        <is>
          <t xml:space="preserve">Third floor - Corridors/terraces/service (measured)</t>
        </is>
      </c>
      <c r="H1578" s="247">
        <v>199.8</v>
      </c>
      <c r="J1578" s="253" t="inlineStr">
        <is>
          <t xml:space="preserve">199.8</t>
        </is>
      </c>
    </row>
    <row r="1579">
      <c r="C1579" s="250" t="inlineStr">
        <is>
          <t xml:space="preserve">Total carried to BOQ  3RD FLR item G</t>
        </is>
      </c>
      <c r="D1579" s="250" t="inlineStr">
        <is>
          <t xml:space="preserve"/>
        </is>
      </c>
      <c r="E1579" s="250" t="inlineStr">
        <is>
          <t xml:space="preserve"/>
        </is>
      </c>
      <c r="F1579" s="250" t="inlineStr">
        <is>
          <t xml:space="preserve"/>
        </is>
      </c>
      <c r="G1579" s="250" t="inlineStr">
        <is>
          <t xml:space="preserve"/>
        </is>
      </c>
      <c r="H1579" s="251">
        <f>SUM(H1578:H1578)</f>
        <v>199.8</v>
      </c>
      <c r="I1579" s="252" t="inlineStr">
        <is>
          <t xml:space="preserve">m2</t>
        </is>
      </c>
    </row>
    <row r="1580">
      <c r="C1580" s="242" t="inlineStr">
        <is>
          <t xml:space="preserve">ELEMENT NO. 6: WALL FINISHES</t>
        </is>
      </c>
    </row>
    <row r="1581">
      <c r="C1581" s="242" t="inlineStr">
        <is>
          <t xml:space="preserve">M20 PLASTERED/RENDERED COATINGS - 12.5mm cement and sand (1:3) rendering as described on blockwork or concrete to:</t>
        </is>
      </c>
    </row>
    <row r="1582">
      <c r="A1582" s="243" t="inlineStr">
        <is>
          <t xml:space="preserve">3RD FLR</t>
        </is>
      </c>
      <c r="B1582" s="243" t="inlineStr">
        <is>
          <t xml:space="preserve">A</t>
        </is>
      </c>
      <c r="C1582" s="244" t="inlineStr">
        <is>
          <t xml:space="preserve">Interior walls</t>
        </is>
      </c>
      <c r="I1582" s="245" t="inlineStr">
        <is>
          <t xml:space="preserve">m2</t>
        </is>
      </c>
      <c r="K1582" s="256" t="inlineStr">
        <is>
          <t xml:space="preserve">'3RD FLR'!C216</t>
        </is>
      </c>
    </row>
    <row r="1583">
      <c r="C1583" s="246" t="inlineStr">
        <is>
          <t xml:space="preserve">block wall faces: 2 x (150 + 200 block runs) x ht</t>
        </is>
      </c>
      <c r="D1583" s="248">
        <v>2</v>
      </c>
      <c r="E1583" s="247">
        <f>500.0+47.2</f>
        <v>547.2</v>
      </c>
      <c r="F1583" s="247">
        <v>3.05</v>
      </c>
      <c r="H1583" s="249">
        <f>PRODUCT(D1583:G1583)</f>
        <v>3337.92</v>
      </c>
      <c r="J1583" s="253" t="inlineStr">
        <is>
          <t xml:space="preserve">2*(500.0+47.2)*3.05</t>
        </is>
      </c>
    </row>
    <row r="1584">
      <c r="C1584" s="246" t="inlineStr">
        <is>
          <t xml:space="preserve">RC wall faces: 2 x RC wall run x ht</t>
        </is>
      </c>
      <c r="D1584" s="248">
        <v>2</v>
      </c>
      <c r="E1584" s="247">
        <v>49.4</v>
      </c>
      <c r="F1584" s="247">
        <v>3.05</v>
      </c>
      <c r="H1584" s="249">
        <f>PRODUCT(D1584:G1584)</f>
        <v>301.34</v>
      </c>
      <c r="J1584" s="253" t="inlineStr">
        <is>
          <t xml:space="preserve">2*49.4*3.05</t>
        </is>
      </c>
    </row>
    <row r="1585">
      <c r="C1585" s="246" t="inlineStr">
        <is>
          <t xml:space="preserve">Ddt lift/stair shaft inner faces 16.8 m x ht</t>
        </is>
      </c>
      <c r="E1585" s="247">
        <v>16.8</v>
      </c>
      <c r="F1585" s="247">
        <v>3.05</v>
      </c>
      <c r="H1585" s="249">
        <f>-PRODUCT(D1585:G1585)</f>
        <v>-51.24</v>
      </c>
      <c r="J1585" s="253" t="inlineStr">
        <is>
          <t xml:space="preserve">-16.8*3.05</t>
        </is>
      </c>
    </row>
    <row r="1586">
      <c r="C1586" s="246" t="inlineStr">
        <is>
          <t xml:space="preserve">Ddt external face of perimeter wall (rendered externally)</t>
        </is>
      </c>
      <c r="E1586" s="247">
        <v>148.0</v>
      </c>
      <c r="F1586" s="247">
        <v>3.05</v>
      </c>
      <c r="H1586" s="249">
        <f>-PRODUCT(D1586:G1586)</f>
        <v>-451.4</v>
      </c>
      <c r="J1586" s="253" t="inlineStr">
        <is>
          <t xml:space="preserve">-148.0*3.05</t>
        </is>
      </c>
    </row>
    <row r="1587">
      <c r="C1587" s="246" t="inlineStr">
        <is>
          <t xml:space="preserve">Ddt washroom walls (measured separately)</t>
        </is>
      </c>
      <c r="E1587" s="247">
        <f>59.2/3.8</f>
        <v>15.578947368421055</v>
      </c>
      <c r="F1587" s="247">
        <v>8.0</v>
      </c>
      <c r="G1587" s="247">
        <v>3.05</v>
      </c>
      <c r="H1587" s="249">
        <f>-PRODUCT(D1587:G1587)</f>
        <v>-380.1263157894737</v>
      </c>
      <c r="J1587" s="253" t="inlineStr">
        <is>
          <t xml:space="preserve">-59.2/3.8*8.0*3.05</t>
        </is>
      </c>
    </row>
    <row r="1588">
      <c r="C1588" s="246" t="inlineStr">
        <is>
          <t xml:space="preserve">Ddt opening D2 (10 nr, 1x2.2) - both faces</t>
        </is>
      </c>
      <c r="D1588" s="248">
        <f>2*10</f>
        <v>20</v>
      </c>
      <c r="E1588" s="247">
        <v>1</v>
      </c>
      <c r="F1588" s="247">
        <v>2.2</v>
      </c>
      <c r="H1588" s="249">
        <f>-PRODUCT(D1588:G1588)</f>
        <v>-44.0</v>
      </c>
      <c r="J1588" s="253" t="inlineStr">
        <is>
          <t xml:space="preserve">-2*10*1*2.2</t>
        </is>
      </c>
    </row>
    <row r="1589">
      <c r="C1589" s="246" t="inlineStr">
        <is>
          <t xml:space="preserve">Ddt opening D3 (19 nr, 0.9x2.2) - both faces</t>
        </is>
      </c>
      <c r="D1589" s="248">
        <f>2*19</f>
        <v>38</v>
      </c>
      <c r="E1589" s="247">
        <v>0.9</v>
      </c>
      <c r="F1589" s="247">
        <v>2.2</v>
      </c>
      <c r="H1589" s="249">
        <f>-PRODUCT(D1589:G1589)</f>
        <v>-75.24000000000001</v>
      </c>
      <c r="J1589" s="253" t="inlineStr">
        <is>
          <t xml:space="preserve">-2*19*0.9*2.2</t>
        </is>
      </c>
    </row>
    <row r="1590">
      <c r="C1590" s="246" t="inlineStr">
        <is>
          <t xml:space="preserve">Ddt opening D6 (21 nr, 0.75x2.2) - both faces</t>
        </is>
      </c>
      <c r="D1590" s="248">
        <f>2*21</f>
        <v>42</v>
      </c>
      <c r="E1590" s="247">
        <v>0.75</v>
      </c>
      <c r="F1590" s="247">
        <v>2.2</v>
      </c>
      <c r="H1590" s="249">
        <f>-PRODUCT(D1590:G1590)</f>
        <v>-69.30000000000001</v>
      </c>
      <c r="J1590" s="253" t="inlineStr">
        <is>
          <t xml:space="preserve">-2*21*0.75*2.2</t>
        </is>
      </c>
    </row>
    <row r="1591">
      <c r="C1591" s="246" t="inlineStr">
        <is>
          <t xml:space="preserve">Ddt opening D7 (2 nr, 0.7x2.2) - both faces</t>
        </is>
      </c>
      <c r="D1591" s="248">
        <f>2*2</f>
        <v>4</v>
      </c>
      <c r="E1591" s="247">
        <v>0.7</v>
      </c>
      <c r="F1591" s="247">
        <v>2.2</v>
      </c>
      <c r="H1591" s="249">
        <f>-PRODUCT(D1591:G1591)</f>
        <v>-6.16</v>
      </c>
      <c r="J1591" s="253" t="inlineStr">
        <is>
          <t xml:space="preserve">-2*2*0.7*2.2</t>
        </is>
      </c>
    </row>
    <row r="1592">
      <c r="C1592" s="246" t="inlineStr">
        <is>
          <t xml:space="preserve">Ddt opening D8 (3 nr, 1.2x2.2) - both faces</t>
        </is>
      </c>
      <c r="D1592" s="248">
        <f>2*3</f>
        <v>6</v>
      </c>
      <c r="E1592" s="247">
        <v>1.2</v>
      </c>
      <c r="F1592" s="247">
        <v>2.2</v>
      </c>
      <c r="H1592" s="249">
        <f>-PRODUCT(D1592:G1592)</f>
        <v>-15.84</v>
      </c>
      <c r="J1592" s="253" t="inlineStr">
        <is>
          <t xml:space="preserve">-2*3*1.2*2.2</t>
        </is>
      </c>
    </row>
    <row r="1593">
      <c r="C1593" s="246" t="inlineStr">
        <is>
          <t xml:space="preserve">Ddt opening ED1 (3 nr, 1x2.2) - both faces</t>
        </is>
      </c>
      <c r="D1593" s="248">
        <f>2*3</f>
        <v>6</v>
      </c>
      <c r="E1593" s="247">
        <v>1</v>
      </c>
      <c r="F1593" s="247">
        <v>2.2</v>
      </c>
      <c r="H1593" s="249">
        <f>-PRODUCT(D1593:G1593)</f>
        <v>-13.200000000000001</v>
      </c>
      <c r="J1593" s="253" t="inlineStr">
        <is>
          <t xml:space="preserve">-2*3*1*2.2</t>
        </is>
      </c>
    </row>
    <row r="1594">
      <c r="C1594" s="246" t="inlineStr">
        <is>
          <t xml:space="preserve">Ddt opening ED2 (3 nr, 1x2.2) - both faces</t>
        </is>
      </c>
      <c r="D1594" s="248">
        <f>2*3</f>
        <v>6</v>
      </c>
      <c r="E1594" s="247">
        <v>1</v>
      </c>
      <c r="F1594" s="247">
        <v>2.2</v>
      </c>
      <c r="H1594" s="249">
        <f>-PRODUCT(D1594:G1594)</f>
        <v>-13.200000000000001</v>
      </c>
      <c r="J1594" s="253" t="inlineStr">
        <is>
          <t xml:space="preserve">-2*3*1*2.2</t>
        </is>
      </c>
    </row>
    <row r="1595">
      <c r="C1595" s="246" t="inlineStr">
        <is>
          <t xml:space="preserve">Ddt opening D9 (2 nr, 0.9x2.2) - both faces</t>
        </is>
      </c>
      <c r="D1595" s="248">
        <f>2*2</f>
        <v>4</v>
      </c>
      <c r="E1595" s="247">
        <v>0.9</v>
      </c>
      <c r="F1595" s="247">
        <v>2.2</v>
      </c>
      <c r="H1595" s="249">
        <f>-PRODUCT(D1595:G1595)</f>
        <v>-7.920000000000001</v>
      </c>
      <c r="J1595" s="253" t="inlineStr">
        <is>
          <t xml:space="preserve">-2*2*0.9*2.2</t>
        </is>
      </c>
    </row>
    <row r="1596">
      <c r="C1596" s="246" t="inlineStr">
        <is>
          <t xml:space="preserve">Ddt opening FD1 (1 nr, 1.5x2.2) - both faces</t>
        </is>
      </c>
      <c r="D1596" s="248">
        <f>2*1</f>
        <v>2</v>
      </c>
      <c r="E1596" s="247">
        <v>1.5</v>
      </c>
      <c r="F1596" s="247">
        <v>2.2</v>
      </c>
      <c r="H1596" s="249">
        <f>-PRODUCT(D1596:G1596)</f>
        <v>-6.6000000000000005</v>
      </c>
      <c r="J1596" s="253" t="inlineStr">
        <is>
          <t xml:space="preserve">-2*1*1.5*2.2</t>
        </is>
      </c>
    </row>
    <row r="1597">
      <c r="C1597" s="246" t="inlineStr">
        <is>
          <t xml:space="preserve">Ddt opening M1 (3 nr, 0.9x2.2) - both faces</t>
        </is>
      </c>
      <c r="D1597" s="248">
        <f>2*3</f>
        <v>6</v>
      </c>
      <c r="E1597" s="247">
        <v>0.9</v>
      </c>
      <c r="F1597" s="247">
        <v>2.2</v>
      </c>
      <c r="H1597" s="249">
        <f>-PRODUCT(D1597:G1597)</f>
        <v>-11.880000000000003</v>
      </c>
      <c r="J1597" s="253" t="inlineStr">
        <is>
          <t xml:space="preserve">-2*3*0.9*2.2</t>
        </is>
      </c>
    </row>
    <row r="1598">
      <c r="C1598" s="246" t="inlineStr">
        <is>
          <t xml:space="preserve">Ddt opening M2 (5 nr, 0.75x2.2) - both faces</t>
        </is>
      </c>
      <c r="D1598" s="248">
        <f>2*5</f>
        <v>10</v>
      </c>
      <c r="E1598" s="247">
        <v>0.75</v>
      </c>
      <c r="F1598" s="247">
        <v>2.2</v>
      </c>
      <c r="H1598" s="249">
        <f>-PRODUCT(D1598:G1598)</f>
        <v>-16.5</v>
      </c>
      <c r="J1598" s="253" t="inlineStr">
        <is>
          <t xml:space="preserve">-2*5*0.75*2.2</t>
        </is>
      </c>
    </row>
    <row r="1599">
      <c r="C1599" s="246" t="inlineStr">
        <is>
          <t xml:space="preserve">Ddt opening M3 (1 nr, 0.45x2.2) - both faces</t>
        </is>
      </c>
      <c r="D1599" s="248">
        <f>2*1</f>
        <v>2</v>
      </c>
      <c r="E1599" s="247">
        <v>0.45</v>
      </c>
      <c r="F1599" s="247">
        <v>2.2</v>
      </c>
      <c r="H1599" s="249">
        <f>-PRODUCT(D1599:G1599)</f>
        <v>-1.9800000000000002</v>
      </c>
      <c r="J1599" s="253" t="inlineStr">
        <is>
          <t xml:space="preserve">-2*1*0.45*2.2</t>
        </is>
      </c>
    </row>
    <row r="1600">
      <c r="C1600" s="246" t="inlineStr">
        <is>
          <t xml:space="preserve">Ddt opening M5 (3 nr, 0.6x2.2) - both faces</t>
        </is>
      </c>
      <c r="D1600" s="248">
        <f>2*3</f>
        <v>6</v>
      </c>
      <c r="E1600" s="247">
        <v>0.6</v>
      </c>
      <c r="F1600" s="247">
        <v>2.2</v>
      </c>
      <c r="H1600" s="249">
        <f>-PRODUCT(D1600:G1600)</f>
        <v>-7.92</v>
      </c>
      <c r="J1600" s="253" t="inlineStr">
        <is>
          <t xml:space="preserve">-2*3*0.6*2.2</t>
        </is>
      </c>
    </row>
    <row r="1601">
      <c r="C1601" s="246" t="inlineStr">
        <is>
          <t xml:space="preserve">Ddt opening SD1 (1 nr, 3x2.2) - both faces</t>
        </is>
      </c>
      <c r="D1601" s="248">
        <f>2*1</f>
        <v>2</v>
      </c>
      <c r="E1601" s="247">
        <v>3</v>
      </c>
      <c r="F1601" s="247">
        <v>2.2</v>
      </c>
      <c r="H1601" s="249">
        <f>-PRODUCT(D1601:G1601)</f>
        <v>-13.200000000000001</v>
      </c>
      <c r="J1601" s="253" t="inlineStr">
        <is>
          <t xml:space="preserve">-2*1*3*2.2</t>
        </is>
      </c>
    </row>
    <row r="1602">
      <c r="C1602" s="246" t="inlineStr">
        <is>
          <t xml:space="preserve">Ddt opening SD2 (4 nr, 1.6x2.2) - both faces</t>
        </is>
      </c>
      <c r="D1602" s="248">
        <f>2*4</f>
        <v>8</v>
      </c>
      <c r="E1602" s="247">
        <v>1.6</v>
      </c>
      <c r="F1602" s="247">
        <v>2.2</v>
      </c>
      <c r="H1602" s="249">
        <f>-PRODUCT(D1602:G1602)</f>
        <v>-28.160000000000004</v>
      </c>
      <c r="J1602" s="253" t="inlineStr">
        <is>
          <t xml:space="preserve">-2*4*1.6*2.2</t>
        </is>
      </c>
    </row>
    <row r="1603">
      <c r="C1603" s="246" t="inlineStr">
        <is>
          <t xml:space="preserve">Ddt opening SD3 (3 nr, 1.3x2.2) - both faces</t>
        </is>
      </c>
      <c r="D1603" s="248">
        <f>2*3</f>
        <v>6</v>
      </c>
      <c r="E1603" s="247">
        <v>1.3</v>
      </c>
      <c r="F1603" s="247">
        <v>2.2</v>
      </c>
      <c r="H1603" s="249">
        <f>-PRODUCT(D1603:G1603)</f>
        <v>-17.160000000000004</v>
      </c>
      <c r="J1603" s="253" t="inlineStr">
        <is>
          <t xml:space="preserve">-2*3*1.3*2.2</t>
        </is>
      </c>
    </row>
    <row r="1604">
      <c r="C1604" s="246" t="inlineStr">
        <is>
          <t xml:space="preserve">Ddt opening SD4 (5 nr, 1.8x2.2) - both faces</t>
        </is>
      </c>
      <c r="D1604" s="248">
        <f>2*5</f>
        <v>10</v>
      </c>
      <c r="E1604" s="247">
        <v>1.8</v>
      </c>
      <c r="F1604" s="247">
        <v>2.2</v>
      </c>
      <c r="H1604" s="249">
        <f>-PRODUCT(D1604:G1604)</f>
        <v>-39.6</v>
      </c>
      <c r="J1604" s="253" t="inlineStr">
        <is>
          <t xml:space="preserve">-2*5*1.8*2.2</t>
        </is>
      </c>
    </row>
    <row r="1605">
      <c r="C1605" s="246" t="inlineStr">
        <is>
          <t xml:space="preserve">Ddt opening SD5 (1 nr, 1.2x2.2) - both faces</t>
        </is>
      </c>
      <c r="D1605" s="248">
        <f>2*1</f>
        <v>2</v>
      </c>
      <c r="E1605" s="247">
        <v>1.2</v>
      </c>
      <c r="F1605" s="247">
        <v>2.2</v>
      </c>
      <c r="H1605" s="249">
        <f>-PRODUCT(D1605:G1605)</f>
        <v>-5.28</v>
      </c>
      <c r="J1605" s="253" t="inlineStr">
        <is>
          <t xml:space="preserve">-2*1*1.2*2.2</t>
        </is>
      </c>
    </row>
    <row r="1606">
      <c r="C1606" s="246" t="inlineStr">
        <is>
          <t xml:space="preserve">Ddt opening W2 (7 nr, 1.8x1.3)</t>
        </is>
      </c>
      <c r="D1606" s="248">
        <v>7</v>
      </c>
      <c r="E1606" s="247">
        <v>1.8</v>
      </c>
      <c r="F1606" s="247">
        <v>1.3</v>
      </c>
      <c r="H1606" s="249">
        <f>-PRODUCT(D1606:G1606)</f>
        <v>-16.38</v>
      </c>
      <c r="J1606" s="253" t="inlineStr">
        <is>
          <t xml:space="preserve">-7*1.8*1.3</t>
        </is>
      </c>
    </row>
    <row r="1607">
      <c r="C1607" s="246" t="inlineStr">
        <is>
          <t xml:space="preserve">Ddt opening W4 (13 nr, 0.9x1.3)</t>
        </is>
      </c>
      <c r="D1607" s="248">
        <v>13</v>
      </c>
      <c r="E1607" s="247">
        <v>0.9</v>
      </c>
      <c r="F1607" s="247">
        <v>1.3</v>
      </c>
      <c r="H1607" s="249">
        <f>-PRODUCT(D1607:G1607)</f>
        <v>-15.210000000000003</v>
      </c>
      <c r="J1607" s="253" t="inlineStr">
        <is>
          <t xml:space="preserve">-13*0.9*1.3</t>
        </is>
      </c>
    </row>
    <row r="1608">
      <c r="C1608" s="246" t="inlineStr">
        <is>
          <t xml:space="preserve">Ddt opening W7 (2 nr, 1.8x1.6)</t>
        </is>
      </c>
      <c r="D1608" s="248">
        <v>2</v>
      </c>
      <c r="E1608" s="247">
        <v>1.8</v>
      </c>
      <c r="F1608" s="247">
        <v>1.6</v>
      </c>
      <c r="H1608" s="249">
        <f>-PRODUCT(D1608:G1608)</f>
        <v>-5.760000000000001</v>
      </c>
      <c r="J1608" s="253" t="inlineStr">
        <is>
          <t xml:space="preserve">-2*1.8*1.6</t>
        </is>
      </c>
    </row>
    <row r="1609">
      <c r="C1609" s="246" t="inlineStr">
        <is>
          <t xml:space="preserve">Ddt opening W8 (4 nr, 1.2x1.9)</t>
        </is>
      </c>
      <c r="D1609" s="248">
        <v>4</v>
      </c>
      <c r="E1609" s="247">
        <v>1.2</v>
      </c>
      <c r="F1609" s="247">
        <v>1.9</v>
      </c>
      <c r="H1609" s="249">
        <f>-PRODUCT(D1609:G1609)</f>
        <v>-9.12</v>
      </c>
      <c r="J1609" s="253" t="inlineStr">
        <is>
          <t xml:space="preserve">-4*1.2*1.9</t>
        </is>
      </c>
    </row>
    <row r="1610">
      <c r="C1610" s="246" t="inlineStr">
        <is>
          <t xml:space="preserve">Ddt opening W9 (10 nr, 1.2x1.15)</t>
        </is>
      </c>
      <c r="D1610" s="248">
        <v>10</v>
      </c>
      <c r="E1610" s="247">
        <v>1.2</v>
      </c>
      <c r="F1610" s="247">
        <v>1.15</v>
      </c>
      <c r="H1610" s="249">
        <f>-PRODUCT(D1610:G1610)</f>
        <v>-13.799999999999999</v>
      </c>
      <c r="J1610" s="253" t="inlineStr">
        <is>
          <t xml:space="preserve">-10*1.2*1.15</t>
        </is>
      </c>
    </row>
    <row r="1611">
      <c r="C1611" s="246" t="inlineStr">
        <is>
          <t xml:space="preserve">Ddt opening W10 (1 nr, 1.2x1.2)</t>
        </is>
      </c>
      <c r="D1611" s="248">
        <v>1</v>
      </c>
      <c r="E1611" s="247">
        <v>1.2</v>
      </c>
      <c r="F1611" s="247">
        <v>1.2</v>
      </c>
      <c r="H1611" s="249">
        <f>-PRODUCT(D1611:G1611)</f>
        <v>-1.44</v>
      </c>
      <c r="J1611" s="253" t="inlineStr">
        <is>
          <t xml:space="preserve">-1*1.2*1.2</t>
        </is>
      </c>
    </row>
    <row r="1612">
      <c r="C1612" s="246" t="inlineStr">
        <is>
          <t xml:space="preserve">Ddt opening W11 (8 nr, 1.5x1.3)</t>
        </is>
      </c>
      <c r="D1612" s="248">
        <v>8</v>
      </c>
      <c r="E1612" s="247">
        <v>1.5</v>
      </c>
      <c r="F1612" s="247">
        <v>1.3</v>
      </c>
      <c r="H1612" s="249">
        <f>-PRODUCT(D1612:G1612)</f>
        <v>-15.600000000000001</v>
      </c>
      <c r="J1612" s="253" t="inlineStr">
        <is>
          <t xml:space="preserve">-8*1.5*1.3</t>
        </is>
      </c>
    </row>
    <row r="1613">
      <c r="C1613" s="246" t="inlineStr">
        <is>
          <t xml:space="preserve">Ddt opening W12 (4 nr, 1.5x1.15)</t>
        </is>
      </c>
      <c r="D1613" s="248">
        <v>4</v>
      </c>
      <c r="E1613" s="247">
        <v>1.5</v>
      </c>
      <c r="F1613" s="247">
        <v>1.15</v>
      </c>
      <c r="H1613" s="249">
        <f>-PRODUCT(D1613:G1613)</f>
        <v>-6.8999999999999995</v>
      </c>
      <c r="J1613" s="253" t="inlineStr">
        <is>
          <t xml:space="preserve">-4*1.5*1.15</t>
        </is>
      </c>
    </row>
    <row r="1614">
      <c r="C1614" s="246" t="inlineStr">
        <is>
          <t xml:space="preserve">Ddt opening W13 (1 nr, 2.4x1.3)</t>
        </is>
      </c>
      <c r="D1614" s="248">
        <v>1</v>
      </c>
      <c r="E1614" s="247">
        <v>2.4</v>
      </c>
      <c r="F1614" s="247">
        <v>1.3</v>
      </c>
      <c r="H1614" s="249">
        <f>-PRODUCT(D1614:G1614)</f>
        <v>-3.12</v>
      </c>
      <c r="J1614" s="253" t="inlineStr">
        <is>
          <t xml:space="preserve">-1*2.4*1.3</t>
        </is>
      </c>
    </row>
    <row r="1615">
      <c r="C1615" s="246" t="inlineStr">
        <is>
          <t xml:space="preserve">Ddt opening W15 (1 nr, 3x1.6)</t>
        </is>
      </c>
      <c r="D1615" s="248">
        <v>1</v>
      </c>
      <c r="E1615" s="247">
        <v>3</v>
      </c>
      <c r="F1615" s="247">
        <v>1.6</v>
      </c>
      <c r="H1615" s="249">
        <f>-PRODUCT(D1615:G1615)</f>
        <v>-4.800000000000001</v>
      </c>
      <c r="J1615" s="253" t="inlineStr">
        <is>
          <t xml:space="preserve">-1*3*1.6</t>
        </is>
      </c>
    </row>
    <row r="1616">
      <c r="C1616" s="246" t="inlineStr">
        <is>
          <t xml:space="preserve">Ddt opening W17 (4 nr, 1.8x1.9)</t>
        </is>
      </c>
      <c r="D1616" s="248">
        <v>4</v>
      </c>
      <c r="E1616" s="247">
        <v>1.8</v>
      </c>
      <c r="F1616" s="247">
        <v>1.9</v>
      </c>
      <c r="H1616" s="249">
        <f>-PRODUCT(D1616:G1616)</f>
        <v>-13.68</v>
      </c>
      <c r="J1616" s="253" t="inlineStr">
        <is>
          <t xml:space="preserve">-4*1.8*1.9</t>
        </is>
      </c>
    </row>
    <row r="1617">
      <c r="C1617" s="246" t="inlineStr">
        <is>
          <t xml:space="preserve">Ddt opening W18 (1 nr, 0.75x1.3)</t>
        </is>
      </c>
      <c r="D1617" s="248">
        <v>1</v>
      </c>
      <c r="E1617" s="247">
        <v>0.75</v>
      </c>
      <c r="F1617" s="247">
        <v>1.3</v>
      </c>
      <c r="H1617" s="249">
        <f>-PRODUCT(D1617:G1617)</f>
        <v>-0.9750000000000001</v>
      </c>
      <c r="J1617" s="253" t="inlineStr">
        <is>
          <t xml:space="preserve">-1*0.75*1.3</t>
        </is>
      </c>
    </row>
    <row r="1618">
      <c r="C1618" s="246" t="inlineStr">
        <is>
          <t xml:space="preserve">Ddt opening W20 (1 nr, 1.45x1.9)</t>
        </is>
      </c>
      <c r="D1618" s="248">
        <v>1</v>
      </c>
      <c r="E1618" s="247">
        <v>1.45</v>
      </c>
      <c r="F1618" s="247">
        <v>1.9</v>
      </c>
      <c r="H1618" s="249">
        <f>-PRODUCT(D1618:G1618)</f>
        <v>-2.755</v>
      </c>
      <c r="J1618" s="253" t="inlineStr">
        <is>
          <t xml:space="preserve">-1*1.45*1.9</t>
        </is>
      </c>
    </row>
    <row r="1619">
      <c r="C1619" s="246" t="inlineStr">
        <is>
          <t xml:space="preserve">Ddt opening HW1 (12 nr, 0.9x0.6)</t>
        </is>
      </c>
      <c r="D1619" s="248">
        <v>12</v>
      </c>
      <c r="E1619" s="247">
        <v>0.9</v>
      </c>
      <c r="F1619" s="247">
        <v>0.6</v>
      </c>
      <c r="H1619" s="249">
        <f>-PRODUCT(D1619:G1619)</f>
        <v>-6.48</v>
      </c>
      <c r="J1619" s="253" t="inlineStr">
        <is>
          <t xml:space="preserve">-12*0.9*0.6</t>
        </is>
      </c>
    </row>
    <row r="1620">
      <c r="C1620" s="246" t="inlineStr">
        <is>
          <t xml:space="preserve">Ddt opening HW2 (5 nr, 0.75x0.6)</t>
        </is>
      </c>
      <c r="D1620" s="248">
        <v>5</v>
      </c>
      <c r="E1620" s="247">
        <v>0.75</v>
      </c>
      <c r="F1620" s="247">
        <v>0.6</v>
      </c>
      <c r="H1620" s="249">
        <f>-PRODUCT(D1620:G1620)</f>
        <v>-2.25</v>
      </c>
      <c r="J1620" s="253" t="inlineStr">
        <is>
          <t xml:space="preserve">-5*0.75*0.6</t>
        </is>
      </c>
    </row>
    <row r="1621">
      <c r="C1621" s="246" t="inlineStr">
        <is>
          <t xml:space="preserve">Ddt opening HW3 (1 nr, 0.6x0.6)</t>
        </is>
      </c>
      <c r="D1621" s="248">
        <v>1</v>
      </c>
      <c r="E1621" s="247">
        <v>0.6</v>
      </c>
      <c r="F1621" s="247">
        <v>0.6</v>
      </c>
      <c r="H1621" s="249">
        <f>-PRODUCT(D1621:G1621)</f>
        <v>-0.36</v>
      </c>
      <c r="J1621" s="253" t="inlineStr">
        <is>
          <t xml:space="preserve">-1*0.6*0.6</t>
        </is>
      </c>
    </row>
    <row r="1622">
      <c r="C1622" s="246" t="inlineStr">
        <is>
          <t xml:space="preserve">Ddt opening HW4 (1 nr, 1.2x0.6)</t>
        </is>
      </c>
      <c r="D1622" s="248">
        <v>1</v>
      </c>
      <c r="E1622" s="247">
        <v>1.2</v>
      </c>
      <c r="F1622" s="247">
        <v>0.6</v>
      </c>
      <c r="H1622" s="249">
        <f>-PRODUCT(D1622:G1622)</f>
        <v>-0.72</v>
      </c>
      <c r="J1622" s="253" t="inlineStr">
        <is>
          <t xml:space="preserve">-1*1.2*0.6</t>
        </is>
      </c>
    </row>
    <row r="1623">
      <c r="C1623" s="250" t="inlineStr">
        <is>
          <t xml:space="preserve">Total carried to BOQ  3RD FLR item A</t>
        </is>
      </c>
      <c r="D1623" s="250" t="inlineStr">
        <is>
          <t xml:space="preserve"/>
        </is>
      </c>
      <c r="E1623" s="250" t="inlineStr">
        <is>
          <t xml:space="preserve"/>
        </is>
      </c>
      <c r="F1623" s="250" t="inlineStr">
        <is>
          <t xml:space="preserve"/>
        </is>
      </c>
      <c r="G1623" s="250" t="inlineStr">
        <is>
          <t xml:space="preserve"/>
        </is>
      </c>
      <c r="H1623" s="251">
        <f>SUM(H1583:H1622)</f>
        <v>2244.0036842105264</v>
      </c>
      <c r="I1623" s="252" t="inlineStr">
        <is>
          <t xml:space="preserve">m2</t>
        </is>
      </c>
    </row>
    <row r="1624">
      <c r="A1624" s="243" t="inlineStr">
        <is>
          <t xml:space="preserve">3RD FLR</t>
        </is>
      </c>
      <c r="B1624" s="243" t="inlineStr">
        <is>
          <t xml:space="preserve">B</t>
        </is>
      </c>
      <c r="C1624" s="244" t="inlineStr">
        <is>
          <t xml:space="preserve">Interior partitions and washrooms</t>
        </is>
      </c>
      <c r="I1624" s="245" t="inlineStr">
        <is>
          <t xml:space="preserve">m2</t>
        </is>
      </c>
      <c r="K1624" s="256" t="inlineStr">
        <is>
          <t xml:space="preserve">'3RD FLR'!C218</t>
        </is>
      </c>
    </row>
    <row r="1625">
      <c r="C1625" s="246" t="inlineStr">
        <is>
          <t xml:space="preserve">washroom walls: (wet area / 3.8 m2 per WC) x 8.0 m girth x ht</t>
        </is>
      </c>
      <c r="E1625" s="247">
        <f>59.2/3.8</f>
        <v>15.578947368421055</v>
      </c>
      <c r="F1625" s="247">
        <v>8.0</v>
      </c>
      <c r="G1625" s="247">
        <v>3.05</v>
      </c>
      <c r="H1625" s="249">
        <f>PRODUCT(D1625:G1625)</f>
        <v>380.1263157894737</v>
      </c>
      <c r="J1625" s="253" t="inlineStr">
        <is>
          <t xml:space="preserve">59.2/3.8*8.0*3.05</t>
        </is>
      </c>
    </row>
    <row r="1626">
      <c r="C1626" s="246" t="inlineStr">
        <is>
          <t xml:space="preserve">Ddt washroom doors: nr x 0.75 x 2.2</t>
        </is>
      </c>
      <c r="E1626" s="247">
        <f>59.2/3.8</f>
        <v>15.578947368421055</v>
      </c>
      <c r="F1626" s="247">
        <v>0.75</v>
      </c>
      <c r="G1626" s="247">
        <v>2.2</v>
      </c>
      <c r="H1626" s="249">
        <f>-PRODUCT(D1626:G1626)</f>
        <v>-25.70526315789474</v>
      </c>
      <c r="J1626" s="253" t="inlineStr">
        <is>
          <t xml:space="preserve">-59.2/3.8*0.75*2.2</t>
        </is>
      </c>
    </row>
    <row r="1627">
      <c r="C1627" s="250" t="inlineStr">
        <is>
          <t xml:space="preserve">Total carried to BOQ  3RD FLR item B</t>
        </is>
      </c>
      <c r="D1627" s="250" t="inlineStr">
        <is>
          <t xml:space="preserve"/>
        </is>
      </c>
      <c r="E1627" s="250" t="inlineStr">
        <is>
          <t xml:space="preserve"/>
        </is>
      </c>
      <c r="F1627" s="250" t="inlineStr">
        <is>
          <t xml:space="preserve"/>
        </is>
      </c>
      <c r="G1627" s="250" t="inlineStr">
        <is>
          <t xml:space="preserve"/>
        </is>
      </c>
      <c r="H1627" s="251">
        <f>SUM(H1625:H1626)</f>
        <v>354.42105263157896</v>
      </c>
      <c r="I1627" s="252" t="inlineStr">
        <is>
          <t xml:space="preserve">m2</t>
        </is>
      </c>
    </row>
    <row r="1628">
      <c r="A1628" s="243" t="inlineStr">
        <is>
          <t xml:space="preserve">3RD FLR</t>
        </is>
      </c>
      <c r="B1628" s="243" t="inlineStr">
        <is>
          <t xml:space="preserve">C</t>
        </is>
      </c>
      <c r="C1628" s="244" t="inlineStr">
        <is>
          <t xml:space="preserve">External walls</t>
        </is>
      </c>
      <c r="I1628" s="245" t="inlineStr">
        <is>
          <t xml:space="preserve">m2</t>
        </is>
      </c>
      <c r="K1628" s="256" t="inlineStr">
        <is>
          <t xml:space="preserve">'3RD FLR'!C220</t>
        </is>
      </c>
    </row>
    <row r="1629">
      <c r="C1629" s="246" t="inlineStr">
        <is>
          <t xml:space="preserve">External perimeter x storey ht</t>
        </is>
      </c>
      <c r="E1629" s="247">
        <v>148.0</v>
      </c>
      <c r="F1629" s="247">
        <v>3.3</v>
      </c>
      <c r="H1629" s="249">
        <f>PRODUCT(D1629:G1629)</f>
        <v>488.4</v>
      </c>
      <c r="J1629" s="253" t="inlineStr">
        <is>
          <t xml:space="preserve">148.0*3.3</t>
        </is>
      </c>
    </row>
    <row r="1630">
      <c r="C1630" s="246" t="inlineStr">
        <is>
          <t xml:space="preserve">Ddt window W2 (7 nr, 1.8x1.3)</t>
        </is>
      </c>
      <c r="D1630" s="248">
        <v>7</v>
      </c>
      <c r="E1630" s="247">
        <v>1.8</v>
      </c>
      <c r="F1630" s="247">
        <v>1.3</v>
      </c>
      <c r="H1630" s="249">
        <f>-PRODUCT(D1630:G1630)</f>
        <v>-16.38</v>
      </c>
      <c r="J1630" s="253" t="inlineStr">
        <is>
          <t xml:space="preserve">-7*1.8*1.3</t>
        </is>
      </c>
    </row>
    <row r="1631">
      <c r="C1631" s="246" t="inlineStr">
        <is>
          <t xml:space="preserve">Ddt window W4 (13 nr, 0.9x1.3)</t>
        </is>
      </c>
      <c r="D1631" s="248">
        <v>13</v>
      </c>
      <c r="E1631" s="247">
        <v>0.9</v>
      </c>
      <c r="F1631" s="247">
        <v>1.3</v>
      </c>
      <c r="H1631" s="249">
        <f>-PRODUCT(D1631:G1631)</f>
        <v>-15.210000000000003</v>
      </c>
      <c r="J1631" s="253" t="inlineStr">
        <is>
          <t xml:space="preserve">-13*0.9*1.3</t>
        </is>
      </c>
    </row>
    <row r="1632">
      <c r="C1632" s="246" t="inlineStr">
        <is>
          <t xml:space="preserve">Ddt window W7 (2 nr, 1.8x1.6)</t>
        </is>
      </c>
      <c r="D1632" s="248">
        <v>2</v>
      </c>
      <c r="E1632" s="247">
        <v>1.8</v>
      </c>
      <c r="F1632" s="247">
        <v>1.6</v>
      </c>
      <c r="H1632" s="249">
        <f>-PRODUCT(D1632:G1632)</f>
        <v>-5.760000000000001</v>
      </c>
      <c r="J1632" s="253" t="inlineStr">
        <is>
          <t xml:space="preserve">-2*1.8*1.6</t>
        </is>
      </c>
    </row>
    <row r="1633">
      <c r="C1633" s="246" t="inlineStr">
        <is>
          <t xml:space="preserve">Ddt window W8 (4 nr, 1.2x1.9)</t>
        </is>
      </c>
      <c r="D1633" s="248">
        <v>4</v>
      </c>
      <c r="E1633" s="247">
        <v>1.2</v>
      </c>
      <c r="F1633" s="247">
        <v>1.9</v>
      </c>
      <c r="H1633" s="249">
        <f>-PRODUCT(D1633:G1633)</f>
        <v>-9.12</v>
      </c>
      <c r="J1633" s="253" t="inlineStr">
        <is>
          <t xml:space="preserve">-4*1.2*1.9</t>
        </is>
      </c>
    </row>
    <row r="1634">
      <c r="C1634" s="246" t="inlineStr">
        <is>
          <t xml:space="preserve">Ddt window W9 (10 nr, 1.2x1.15)</t>
        </is>
      </c>
      <c r="D1634" s="248">
        <v>10</v>
      </c>
      <c r="E1634" s="247">
        <v>1.2</v>
      </c>
      <c r="F1634" s="247">
        <v>1.15</v>
      </c>
      <c r="H1634" s="249">
        <f>-PRODUCT(D1634:G1634)</f>
        <v>-13.799999999999999</v>
      </c>
      <c r="J1634" s="253" t="inlineStr">
        <is>
          <t xml:space="preserve">-10*1.2*1.15</t>
        </is>
      </c>
    </row>
    <row r="1635">
      <c r="C1635" s="246" t="inlineStr">
        <is>
          <t xml:space="preserve">Ddt window W10 (1 nr, 1.2x1.2)</t>
        </is>
      </c>
      <c r="D1635" s="248">
        <v>1</v>
      </c>
      <c r="E1635" s="247">
        <v>1.2</v>
      </c>
      <c r="F1635" s="247">
        <v>1.2</v>
      </c>
      <c r="H1635" s="249">
        <f>-PRODUCT(D1635:G1635)</f>
        <v>-1.44</v>
      </c>
      <c r="J1635" s="253" t="inlineStr">
        <is>
          <t xml:space="preserve">-1*1.2*1.2</t>
        </is>
      </c>
    </row>
    <row r="1636">
      <c r="C1636" s="246" t="inlineStr">
        <is>
          <t xml:space="preserve">Ddt window W11 (8 nr, 1.5x1.3)</t>
        </is>
      </c>
      <c r="D1636" s="248">
        <v>8</v>
      </c>
      <c r="E1636" s="247">
        <v>1.5</v>
      </c>
      <c r="F1636" s="247">
        <v>1.3</v>
      </c>
      <c r="H1636" s="249">
        <f>-PRODUCT(D1636:G1636)</f>
        <v>-15.600000000000001</v>
      </c>
      <c r="J1636" s="253" t="inlineStr">
        <is>
          <t xml:space="preserve">-8*1.5*1.3</t>
        </is>
      </c>
    </row>
    <row r="1637">
      <c r="C1637" s="246" t="inlineStr">
        <is>
          <t xml:space="preserve">Ddt window W12 (4 nr, 1.5x1.15)</t>
        </is>
      </c>
      <c r="D1637" s="248">
        <v>4</v>
      </c>
      <c r="E1637" s="247">
        <v>1.5</v>
      </c>
      <c r="F1637" s="247">
        <v>1.15</v>
      </c>
      <c r="H1637" s="249">
        <f>-PRODUCT(D1637:G1637)</f>
        <v>-6.8999999999999995</v>
      </c>
      <c r="J1637" s="253" t="inlineStr">
        <is>
          <t xml:space="preserve">-4*1.5*1.15</t>
        </is>
      </c>
    </row>
    <row r="1638">
      <c r="C1638" s="246" t="inlineStr">
        <is>
          <t xml:space="preserve">Ddt window W13 (1 nr, 2.4x1.3)</t>
        </is>
      </c>
      <c r="D1638" s="248">
        <v>1</v>
      </c>
      <c r="E1638" s="247">
        <v>2.4</v>
      </c>
      <c r="F1638" s="247">
        <v>1.3</v>
      </c>
      <c r="H1638" s="249">
        <f>-PRODUCT(D1638:G1638)</f>
        <v>-3.12</v>
      </c>
      <c r="J1638" s="253" t="inlineStr">
        <is>
          <t xml:space="preserve">-1*2.4*1.3</t>
        </is>
      </c>
    </row>
    <row r="1639">
      <c r="C1639" s="246" t="inlineStr">
        <is>
          <t xml:space="preserve">Ddt window W15 (1 nr, 3x1.6)</t>
        </is>
      </c>
      <c r="D1639" s="248">
        <v>1</v>
      </c>
      <c r="E1639" s="247">
        <v>3</v>
      </c>
      <c r="F1639" s="247">
        <v>1.6</v>
      </c>
      <c r="H1639" s="249">
        <f>-PRODUCT(D1639:G1639)</f>
        <v>-4.800000000000001</v>
      </c>
      <c r="J1639" s="253" t="inlineStr">
        <is>
          <t xml:space="preserve">-1*3*1.6</t>
        </is>
      </c>
    </row>
    <row r="1640">
      <c r="C1640" s="246" t="inlineStr">
        <is>
          <t xml:space="preserve">Ddt window W17 (4 nr, 1.8x1.9)</t>
        </is>
      </c>
      <c r="D1640" s="248">
        <v>4</v>
      </c>
      <c r="E1640" s="247">
        <v>1.8</v>
      </c>
      <c r="F1640" s="247">
        <v>1.9</v>
      </c>
      <c r="H1640" s="249">
        <f>-PRODUCT(D1640:G1640)</f>
        <v>-13.68</v>
      </c>
      <c r="J1640" s="253" t="inlineStr">
        <is>
          <t xml:space="preserve">-4*1.8*1.9</t>
        </is>
      </c>
    </row>
    <row r="1641">
      <c r="C1641" s="246" t="inlineStr">
        <is>
          <t xml:space="preserve">Ddt window W18 (1 nr, 0.75x1.3)</t>
        </is>
      </c>
      <c r="D1641" s="248">
        <v>1</v>
      </c>
      <c r="E1641" s="247">
        <v>0.75</v>
      </c>
      <c r="F1641" s="247">
        <v>1.3</v>
      </c>
      <c r="H1641" s="249">
        <f>-PRODUCT(D1641:G1641)</f>
        <v>-0.9750000000000001</v>
      </c>
      <c r="J1641" s="253" t="inlineStr">
        <is>
          <t xml:space="preserve">-1*0.75*1.3</t>
        </is>
      </c>
    </row>
    <row r="1642">
      <c r="C1642" s="246" t="inlineStr">
        <is>
          <t xml:space="preserve">Ddt window W20 (1 nr, 1.45x1.9)</t>
        </is>
      </c>
      <c r="D1642" s="248">
        <v>1</v>
      </c>
      <c r="E1642" s="247">
        <v>1.45</v>
      </c>
      <c r="F1642" s="247">
        <v>1.9</v>
      </c>
      <c r="H1642" s="249">
        <f>-PRODUCT(D1642:G1642)</f>
        <v>-2.755</v>
      </c>
      <c r="J1642" s="253" t="inlineStr">
        <is>
          <t xml:space="preserve">-1*1.45*1.9</t>
        </is>
      </c>
    </row>
    <row r="1643">
      <c r="C1643" s="246" t="inlineStr">
        <is>
          <t xml:space="preserve">Ddt window HW1 (12 nr, 0.9x0.6)</t>
        </is>
      </c>
      <c r="D1643" s="248">
        <v>12</v>
      </c>
      <c r="E1643" s="247">
        <v>0.9</v>
      </c>
      <c r="F1643" s="247">
        <v>0.6</v>
      </c>
      <c r="H1643" s="249">
        <f>-PRODUCT(D1643:G1643)</f>
        <v>-6.48</v>
      </c>
      <c r="J1643" s="253" t="inlineStr">
        <is>
          <t xml:space="preserve">-12*0.9*0.6</t>
        </is>
      </c>
    </row>
    <row r="1644">
      <c r="C1644" s="246" t="inlineStr">
        <is>
          <t xml:space="preserve">Ddt window HW2 (5 nr, 0.75x0.6)</t>
        </is>
      </c>
      <c r="D1644" s="248">
        <v>5</v>
      </c>
      <c r="E1644" s="247">
        <v>0.75</v>
      </c>
      <c r="F1644" s="247">
        <v>0.6</v>
      </c>
      <c r="H1644" s="249">
        <f>-PRODUCT(D1644:G1644)</f>
        <v>-2.25</v>
      </c>
      <c r="J1644" s="253" t="inlineStr">
        <is>
          <t xml:space="preserve">-5*0.75*0.6</t>
        </is>
      </c>
    </row>
    <row r="1645">
      <c r="C1645" s="246" t="inlineStr">
        <is>
          <t xml:space="preserve">Ddt window HW3 (1 nr, 0.6x0.6)</t>
        </is>
      </c>
      <c r="D1645" s="248">
        <v>1</v>
      </c>
      <c r="E1645" s="247">
        <v>0.6</v>
      </c>
      <c r="F1645" s="247">
        <v>0.6</v>
      </c>
      <c r="H1645" s="249">
        <f>-PRODUCT(D1645:G1645)</f>
        <v>-0.36</v>
      </c>
      <c r="J1645" s="253" t="inlineStr">
        <is>
          <t xml:space="preserve">-1*0.6*0.6</t>
        </is>
      </c>
    </row>
    <row r="1646">
      <c r="C1646" s="246" t="inlineStr">
        <is>
          <t xml:space="preserve">Ddt window HW4 (1 nr, 1.2x0.6)</t>
        </is>
      </c>
      <c r="D1646" s="248">
        <v>1</v>
      </c>
      <c r="E1646" s="247">
        <v>1.2</v>
      </c>
      <c r="F1646" s="247">
        <v>0.6</v>
      </c>
      <c r="H1646" s="249">
        <f>-PRODUCT(D1646:G1646)</f>
        <v>-0.72</v>
      </c>
      <c r="J1646" s="253" t="inlineStr">
        <is>
          <t xml:space="preserve">-1*1.2*0.6</t>
        </is>
      </c>
    </row>
    <row r="1647">
      <c r="C1647" s="250" t="inlineStr">
        <is>
          <t xml:space="preserve">Total carried to BOQ  3RD FLR item C</t>
        </is>
      </c>
      <c r="D1647" s="250" t="inlineStr">
        <is>
          <t xml:space="preserve"/>
        </is>
      </c>
      <c r="E1647" s="250" t="inlineStr">
        <is>
          <t xml:space="preserve"/>
        </is>
      </c>
      <c r="F1647" s="250" t="inlineStr">
        <is>
          <t xml:space="preserve"/>
        </is>
      </c>
      <c r="G1647" s="250" t="inlineStr">
        <is>
          <t xml:space="preserve"/>
        </is>
      </c>
      <c r="H1647" s="251">
        <f>SUM(H1629:H1646)</f>
        <v>369.0499999999999</v>
      </c>
      <c r="I1647" s="252" t="inlineStr">
        <is>
          <t xml:space="preserve">m2</t>
        </is>
      </c>
    </row>
    <row r="1648">
      <c r="A1648" s="243" t="inlineStr">
        <is>
          <t xml:space="preserve">3RD FLR</t>
        </is>
      </c>
      <c r="B1648" s="243" t="inlineStr">
        <is>
          <t xml:space="preserve">D</t>
        </is>
      </c>
      <c r="C1648" s="244" t="inlineStr">
        <is>
          <t xml:space="preserve">12mm cement and sand (1:4) screeded backing to receive wall tiles</t>
        </is>
      </c>
      <c r="I1648" s="245" t="inlineStr">
        <is>
          <t xml:space="preserve">m2</t>
        </is>
      </c>
      <c r="K1648" s="256" t="inlineStr">
        <is>
          <t xml:space="preserve">'3RD FLR'!C222</t>
        </is>
      </c>
    </row>
    <row r="1649">
      <c r="C1649" s="246" t="inlineStr">
        <is>
          <t xml:space="preserve">washroom walls: (wet area / 3.8 m2 per WC) x 8.0 m girth x ht</t>
        </is>
      </c>
      <c r="E1649" s="247">
        <f>59.2/3.8</f>
        <v>15.578947368421055</v>
      </c>
      <c r="F1649" s="247">
        <v>8.0</v>
      </c>
      <c r="G1649" s="247">
        <v>2.4</v>
      </c>
      <c r="H1649" s="249">
        <f>PRODUCT(D1649:G1649)</f>
        <v>299.11578947368423</v>
      </c>
      <c r="J1649" s="253" t="inlineStr">
        <is>
          <t xml:space="preserve">59.2/3.8*8.0*2.4</t>
        </is>
      </c>
    </row>
    <row r="1650">
      <c r="C1650" s="246" t="inlineStr">
        <is>
          <t xml:space="preserve">Ddt washroom doors: nr x 0.75 x 2.2</t>
        </is>
      </c>
      <c r="E1650" s="247">
        <f>59.2/3.8</f>
        <v>15.578947368421055</v>
      </c>
      <c r="F1650" s="247">
        <v>0.75</v>
      </c>
      <c r="G1650" s="247">
        <v>2.2</v>
      </c>
      <c r="H1650" s="249">
        <f>-PRODUCT(D1650:G1650)</f>
        <v>-25.70526315789474</v>
      </c>
      <c r="J1650" s="253" t="inlineStr">
        <is>
          <t xml:space="preserve">-59.2/3.8*0.75*2.2</t>
        </is>
      </c>
    </row>
    <row r="1651">
      <c r="C1651" s="250" t="inlineStr">
        <is>
          <t xml:space="preserve">Total carried to BOQ  3RD FLR item D</t>
        </is>
      </c>
      <c r="D1651" s="250" t="inlineStr">
        <is>
          <t xml:space="preserve"/>
        </is>
      </c>
      <c r="E1651" s="250" t="inlineStr">
        <is>
          <t xml:space="preserve"/>
        </is>
      </c>
      <c r="F1651" s="250" t="inlineStr">
        <is>
          <t xml:space="preserve"/>
        </is>
      </c>
      <c r="G1651" s="250" t="inlineStr">
        <is>
          <t xml:space="preserve"/>
        </is>
      </c>
      <c r="H1651" s="251">
        <f>SUM(H1649:H1650)</f>
        <v>273.41052631578947</v>
      </c>
      <c r="I1651" s="252" t="inlineStr">
        <is>
          <t xml:space="preserve">m2</t>
        </is>
      </c>
    </row>
    <row r="1652" ht="32.2" customHeight="1">
      <c r="A1652" s="243" t="inlineStr">
        <is>
          <t xml:space="preserve">3RD FLR</t>
        </is>
      </c>
      <c r="B1652" s="243" t="inlineStr">
        <is>
          <t xml:space="preserve">E</t>
        </is>
      </c>
      <c r="C1652" s="244" t="inlineStr">
        <is>
          <t xml:space="preserve">Ceramic/porcelain wall tiles to washrooms to 2.4m high, adhesive &amp; grout (type TBC)</t>
        </is>
      </c>
      <c r="I1652" s="245" t="inlineStr">
        <is>
          <t xml:space="preserve">m2</t>
        </is>
      </c>
      <c r="K1652" s="256" t="inlineStr">
        <is>
          <t xml:space="preserve">'3RD FLR'!C224</t>
        </is>
      </c>
    </row>
    <row r="1653">
      <c r="C1653" s="246" t="inlineStr">
        <is>
          <t xml:space="preserve">washroom walls: (wet area / 3.8 m2 per WC) x 8.0 m girth x ht</t>
        </is>
      </c>
      <c r="E1653" s="247">
        <f>59.2/3.8</f>
        <v>15.578947368421055</v>
      </c>
      <c r="F1653" s="247">
        <v>8.0</v>
      </c>
      <c r="G1653" s="247">
        <v>2.4</v>
      </c>
      <c r="H1653" s="249">
        <f>PRODUCT(D1653:G1653)</f>
        <v>299.11578947368423</v>
      </c>
      <c r="J1653" s="253" t="inlineStr">
        <is>
          <t xml:space="preserve">59.2/3.8*8.0*2.4</t>
        </is>
      </c>
    </row>
    <row r="1654">
      <c r="C1654" s="246" t="inlineStr">
        <is>
          <t xml:space="preserve">Ddt washroom doors: nr x 0.75 x 2.2</t>
        </is>
      </c>
      <c r="E1654" s="247">
        <f>59.2/3.8</f>
        <v>15.578947368421055</v>
      </c>
      <c r="F1654" s="247">
        <v>0.75</v>
      </c>
      <c r="G1654" s="247">
        <v>2.2</v>
      </c>
      <c r="H1654" s="249">
        <f>-PRODUCT(D1654:G1654)</f>
        <v>-25.70526315789474</v>
      </c>
      <c r="J1654" s="253" t="inlineStr">
        <is>
          <t xml:space="preserve">-59.2/3.8*0.75*2.2</t>
        </is>
      </c>
    </row>
    <row r="1655">
      <c r="C1655" s="250" t="inlineStr">
        <is>
          <t xml:space="preserve">Total carried to BOQ  3RD FLR item E</t>
        </is>
      </c>
      <c r="D1655" s="250" t="inlineStr">
        <is>
          <t xml:space="preserve"/>
        </is>
      </c>
      <c r="E1655" s="250" t="inlineStr">
        <is>
          <t xml:space="preserve"/>
        </is>
      </c>
      <c r="F1655" s="250" t="inlineStr">
        <is>
          <t xml:space="preserve"/>
        </is>
      </c>
      <c r="G1655" s="250" t="inlineStr">
        <is>
          <t xml:space="preserve"/>
        </is>
      </c>
      <c r="H1655" s="251">
        <f>SUM(H1653:H1654)</f>
        <v>273.41052631578947</v>
      </c>
      <c r="I1655" s="252" t="inlineStr">
        <is>
          <t xml:space="preserve">m2</t>
        </is>
      </c>
    </row>
    <row r="1656">
      <c r="C1656" s="242" t="inlineStr">
        <is>
          <t xml:space="preserve">ELEMENT NO. 7: PAINTING AND DECORATING</t>
        </is>
      </c>
    </row>
    <row r="1657">
      <c r="C1657" s="242" t="inlineStr">
        <is>
          <t xml:space="preserve">M60 PAINTING - Prepare and apply two undercoats and finishing coat of emulsion paint on:</t>
        </is>
      </c>
    </row>
    <row r="1658">
      <c r="A1658" s="243" t="inlineStr">
        <is>
          <t xml:space="preserve">3RD FLR</t>
        </is>
      </c>
      <c r="B1658" s="243" t="inlineStr">
        <is>
          <t xml:space="preserve">A</t>
        </is>
      </c>
      <c r="C1658" s="244" t="inlineStr">
        <is>
          <t xml:space="preserve">Interior walls</t>
        </is>
      </c>
      <c r="I1658" s="245" t="inlineStr">
        <is>
          <t xml:space="preserve">m2</t>
        </is>
      </c>
      <c r="K1658" s="256" t="inlineStr">
        <is>
          <t xml:space="preserve">'3RD FLR'!C231</t>
        </is>
      </c>
    </row>
    <row r="1659">
      <c r="C1659" s="246" t="inlineStr">
        <is>
          <t xml:space="preserve">block wall faces: 2 x (150 + 200 block runs) x ht</t>
        </is>
      </c>
      <c r="D1659" s="248">
        <v>2</v>
      </c>
      <c r="E1659" s="247">
        <f>500.0+47.2</f>
        <v>547.2</v>
      </c>
      <c r="F1659" s="247">
        <v>3.05</v>
      </c>
      <c r="H1659" s="249">
        <f>PRODUCT(D1659:G1659)</f>
        <v>3337.92</v>
      </c>
      <c r="J1659" s="253" t="inlineStr">
        <is>
          <t xml:space="preserve">2*(500.0+47.2)*3.05</t>
        </is>
      </c>
    </row>
    <row r="1660">
      <c r="C1660" s="246" t="inlineStr">
        <is>
          <t xml:space="preserve">RC wall faces: 2 x RC wall run x ht</t>
        </is>
      </c>
      <c r="D1660" s="248">
        <v>2</v>
      </c>
      <c r="E1660" s="247">
        <v>49.4</v>
      </c>
      <c r="F1660" s="247">
        <v>3.05</v>
      </c>
      <c r="H1660" s="249">
        <f>PRODUCT(D1660:G1660)</f>
        <v>301.34</v>
      </c>
      <c r="J1660" s="253" t="inlineStr">
        <is>
          <t xml:space="preserve">2*49.4*3.05</t>
        </is>
      </c>
    </row>
    <row r="1661">
      <c r="C1661" s="246" t="inlineStr">
        <is>
          <t xml:space="preserve">Ddt lift/stair shaft inner faces 16.8 m x ht</t>
        </is>
      </c>
      <c r="E1661" s="247">
        <v>16.8</v>
      </c>
      <c r="F1661" s="247">
        <v>3.05</v>
      </c>
      <c r="H1661" s="249">
        <f>-PRODUCT(D1661:G1661)</f>
        <v>-51.24</v>
      </c>
      <c r="J1661" s="253" t="inlineStr">
        <is>
          <t xml:space="preserve">-16.8*3.05</t>
        </is>
      </c>
    </row>
    <row r="1662">
      <c r="C1662" s="246" t="inlineStr">
        <is>
          <t xml:space="preserve">Ddt external face of perimeter wall (rendered externally)</t>
        </is>
      </c>
      <c r="E1662" s="247">
        <v>148.0</v>
      </c>
      <c r="F1662" s="247">
        <v>3.05</v>
      </c>
      <c r="H1662" s="249">
        <f>-PRODUCT(D1662:G1662)</f>
        <v>-451.4</v>
      </c>
      <c r="J1662" s="253" t="inlineStr">
        <is>
          <t xml:space="preserve">-148.0*3.05</t>
        </is>
      </c>
    </row>
    <row r="1663">
      <c r="C1663" s="246" t="inlineStr">
        <is>
          <t xml:space="preserve">Ddt washroom walls (measured separately)</t>
        </is>
      </c>
      <c r="E1663" s="247">
        <f>59.2/3.8</f>
        <v>15.578947368421055</v>
      </c>
      <c r="F1663" s="247">
        <v>8.0</v>
      </c>
      <c r="G1663" s="247">
        <v>3.05</v>
      </c>
      <c r="H1663" s="249">
        <f>-PRODUCT(D1663:G1663)</f>
        <v>-380.1263157894737</v>
      </c>
      <c r="J1663" s="253" t="inlineStr">
        <is>
          <t xml:space="preserve">-59.2/3.8*8.0*3.05</t>
        </is>
      </c>
    </row>
    <row r="1664">
      <c r="C1664" s="246" t="inlineStr">
        <is>
          <t xml:space="preserve">Ddt opening D2 (10 nr, 1x2.2) - both faces</t>
        </is>
      </c>
      <c r="D1664" s="248">
        <f>2*10</f>
        <v>20</v>
      </c>
      <c r="E1664" s="247">
        <v>1</v>
      </c>
      <c r="F1664" s="247">
        <v>2.2</v>
      </c>
      <c r="H1664" s="249">
        <f>-PRODUCT(D1664:G1664)</f>
        <v>-44.0</v>
      </c>
      <c r="J1664" s="253" t="inlineStr">
        <is>
          <t xml:space="preserve">-2*10*1*2.2</t>
        </is>
      </c>
    </row>
    <row r="1665">
      <c r="C1665" s="246" t="inlineStr">
        <is>
          <t xml:space="preserve">Ddt opening D3 (19 nr, 0.9x2.2) - both faces</t>
        </is>
      </c>
      <c r="D1665" s="248">
        <f>2*19</f>
        <v>38</v>
      </c>
      <c r="E1665" s="247">
        <v>0.9</v>
      </c>
      <c r="F1665" s="247">
        <v>2.2</v>
      </c>
      <c r="H1665" s="249">
        <f>-PRODUCT(D1665:G1665)</f>
        <v>-75.24000000000001</v>
      </c>
      <c r="J1665" s="253" t="inlineStr">
        <is>
          <t xml:space="preserve">-2*19*0.9*2.2</t>
        </is>
      </c>
    </row>
    <row r="1666">
      <c r="C1666" s="246" t="inlineStr">
        <is>
          <t xml:space="preserve">Ddt opening D6 (21 nr, 0.75x2.2) - both faces</t>
        </is>
      </c>
      <c r="D1666" s="248">
        <f>2*21</f>
        <v>42</v>
      </c>
      <c r="E1666" s="247">
        <v>0.75</v>
      </c>
      <c r="F1666" s="247">
        <v>2.2</v>
      </c>
      <c r="H1666" s="249">
        <f>-PRODUCT(D1666:G1666)</f>
        <v>-69.30000000000001</v>
      </c>
      <c r="J1666" s="253" t="inlineStr">
        <is>
          <t xml:space="preserve">-2*21*0.75*2.2</t>
        </is>
      </c>
    </row>
    <row r="1667">
      <c r="C1667" s="246" t="inlineStr">
        <is>
          <t xml:space="preserve">Ddt opening D7 (2 nr, 0.7x2.2) - both faces</t>
        </is>
      </c>
      <c r="D1667" s="248">
        <f>2*2</f>
        <v>4</v>
      </c>
      <c r="E1667" s="247">
        <v>0.7</v>
      </c>
      <c r="F1667" s="247">
        <v>2.2</v>
      </c>
      <c r="H1667" s="249">
        <f>-PRODUCT(D1667:G1667)</f>
        <v>-6.16</v>
      </c>
      <c r="J1667" s="253" t="inlineStr">
        <is>
          <t xml:space="preserve">-2*2*0.7*2.2</t>
        </is>
      </c>
    </row>
    <row r="1668">
      <c r="C1668" s="246" t="inlineStr">
        <is>
          <t xml:space="preserve">Ddt opening D8 (3 nr, 1.2x2.2) - both faces</t>
        </is>
      </c>
      <c r="D1668" s="248">
        <f>2*3</f>
        <v>6</v>
      </c>
      <c r="E1668" s="247">
        <v>1.2</v>
      </c>
      <c r="F1668" s="247">
        <v>2.2</v>
      </c>
      <c r="H1668" s="249">
        <f>-PRODUCT(D1668:G1668)</f>
        <v>-15.84</v>
      </c>
      <c r="J1668" s="253" t="inlineStr">
        <is>
          <t xml:space="preserve">-2*3*1.2*2.2</t>
        </is>
      </c>
    </row>
    <row r="1669">
      <c r="C1669" s="246" t="inlineStr">
        <is>
          <t xml:space="preserve">Ddt opening ED1 (3 nr, 1x2.2) - both faces</t>
        </is>
      </c>
      <c r="D1669" s="248">
        <f>2*3</f>
        <v>6</v>
      </c>
      <c r="E1669" s="247">
        <v>1</v>
      </c>
      <c r="F1669" s="247">
        <v>2.2</v>
      </c>
      <c r="H1669" s="249">
        <f>-PRODUCT(D1669:G1669)</f>
        <v>-13.200000000000001</v>
      </c>
      <c r="J1669" s="253" t="inlineStr">
        <is>
          <t xml:space="preserve">-2*3*1*2.2</t>
        </is>
      </c>
    </row>
    <row r="1670">
      <c r="C1670" s="246" t="inlineStr">
        <is>
          <t xml:space="preserve">Ddt opening ED2 (3 nr, 1x2.2) - both faces</t>
        </is>
      </c>
      <c r="D1670" s="248">
        <f>2*3</f>
        <v>6</v>
      </c>
      <c r="E1670" s="247">
        <v>1</v>
      </c>
      <c r="F1670" s="247">
        <v>2.2</v>
      </c>
      <c r="H1670" s="249">
        <f>-PRODUCT(D1670:G1670)</f>
        <v>-13.200000000000001</v>
      </c>
      <c r="J1670" s="253" t="inlineStr">
        <is>
          <t xml:space="preserve">-2*3*1*2.2</t>
        </is>
      </c>
    </row>
    <row r="1671">
      <c r="C1671" s="246" t="inlineStr">
        <is>
          <t xml:space="preserve">Ddt opening D9 (2 nr, 0.9x2.2) - both faces</t>
        </is>
      </c>
      <c r="D1671" s="248">
        <f>2*2</f>
        <v>4</v>
      </c>
      <c r="E1671" s="247">
        <v>0.9</v>
      </c>
      <c r="F1671" s="247">
        <v>2.2</v>
      </c>
      <c r="H1671" s="249">
        <f>-PRODUCT(D1671:G1671)</f>
        <v>-7.920000000000001</v>
      </c>
      <c r="J1671" s="253" t="inlineStr">
        <is>
          <t xml:space="preserve">-2*2*0.9*2.2</t>
        </is>
      </c>
    </row>
    <row r="1672">
      <c r="C1672" s="246" t="inlineStr">
        <is>
          <t xml:space="preserve">Ddt opening FD1 (1 nr, 1.5x2.2) - both faces</t>
        </is>
      </c>
      <c r="D1672" s="248">
        <f>2*1</f>
        <v>2</v>
      </c>
      <c r="E1672" s="247">
        <v>1.5</v>
      </c>
      <c r="F1672" s="247">
        <v>2.2</v>
      </c>
      <c r="H1672" s="249">
        <f>-PRODUCT(D1672:G1672)</f>
        <v>-6.6000000000000005</v>
      </c>
      <c r="J1672" s="253" t="inlineStr">
        <is>
          <t xml:space="preserve">-2*1*1.5*2.2</t>
        </is>
      </c>
    </row>
    <row r="1673">
      <c r="C1673" s="246" t="inlineStr">
        <is>
          <t xml:space="preserve">Ddt opening M1 (3 nr, 0.9x2.2) - both faces</t>
        </is>
      </c>
      <c r="D1673" s="248">
        <f>2*3</f>
        <v>6</v>
      </c>
      <c r="E1673" s="247">
        <v>0.9</v>
      </c>
      <c r="F1673" s="247">
        <v>2.2</v>
      </c>
      <c r="H1673" s="249">
        <f>-PRODUCT(D1673:G1673)</f>
        <v>-11.880000000000003</v>
      </c>
      <c r="J1673" s="253" t="inlineStr">
        <is>
          <t xml:space="preserve">-2*3*0.9*2.2</t>
        </is>
      </c>
    </row>
    <row r="1674">
      <c r="C1674" s="246" t="inlineStr">
        <is>
          <t xml:space="preserve">Ddt opening M2 (5 nr, 0.75x2.2) - both faces</t>
        </is>
      </c>
      <c r="D1674" s="248">
        <f>2*5</f>
        <v>10</v>
      </c>
      <c r="E1674" s="247">
        <v>0.75</v>
      </c>
      <c r="F1674" s="247">
        <v>2.2</v>
      </c>
      <c r="H1674" s="249">
        <f>-PRODUCT(D1674:G1674)</f>
        <v>-16.5</v>
      </c>
      <c r="J1674" s="253" t="inlineStr">
        <is>
          <t xml:space="preserve">-2*5*0.75*2.2</t>
        </is>
      </c>
    </row>
    <row r="1675">
      <c r="C1675" s="246" t="inlineStr">
        <is>
          <t xml:space="preserve">Ddt opening M3 (1 nr, 0.45x2.2) - both faces</t>
        </is>
      </c>
      <c r="D1675" s="248">
        <f>2*1</f>
        <v>2</v>
      </c>
      <c r="E1675" s="247">
        <v>0.45</v>
      </c>
      <c r="F1675" s="247">
        <v>2.2</v>
      </c>
      <c r="H1675" s="249">
        <f>-PRODUCT(D1675:G1675)</f>
        <v>-1.9800000000000002</v>
      </c>
      <c r="J1675" s="253" t="inlineStr">
        <is>
          <t xml:space="preserve">-2*1*0.45*2.2</t>
        </is>
      </c>
    </row>
    <row r="1676">
      <c r="C1676" s="246" t="inlineStr">
        <is>
          <t xml:space="preserve">Ddt opening M5 (3 nr, 0.6x2.2) - both faces</t>
        </is>
      </c>
      <c r="D1676" s="248">
        <f>2*3</f>
        <v>6</v>
      </c>
      <c r="E1676" s="247">
        <v>0.6</v>
      </c>
      <c r="F1676" s="247">
        <v>2.2</v>
      </c>
      <c r="H1676" s="249">
        <f>-PRODUCT(D1676:G1676)</f>
        <v>-7.92</v>
      </c>
      <c r="J1676" s="253" t="inlineStr">
        <is>
          <t xml:space="preserve">-2*3*0.6*2.2</t>
        </is>
      </c>
    </row>
    <row r="1677">
      <c r="C1677" s="246" t="inlineStr">
        <is>
          <t xml:space="preserve">Ddt opening SD1 (1 nr, 3x2.2) - both faces</t>
        </is>
      </c>
      <c r="D1677" s="248">
        <f>2*1</f>
        <v>2</v>
      </c>
      <c r="E1677" s="247">
        <v>3</v>
      </c>
      <c r="F1677" s="247">
        <v>2.2</v>
      </c>
      <c r="H1677" s="249">
        <f>-PRODUCT(D1677:G1677)</f>
        <v>-13.200000000000001</v>
      </c>
      <c r="J1677" s="253" t="inlineStr">
        <is>
          <t xml:space="preserve">-2*1*3*2.2</t>
        </is>
      </c>
    </row>
    <row r="1678">
      <c r="C1678" s="246" t="inlineStr">
        <is>
          <t xml:space="preserve">Ddt opening SD2 (4 nr, 1.6x2.2) - both faces</t>
        </is>
      </c>
      <c r="D1678" s="248">
        <f>2*4</f>
        <v>8</v>
      </c>
      <c r="E1678" s="247">
        <v>1.6</v>
      </c>
      <c r="F1678" s="247">
        <v>2.2</v>
      </c>
      <c r="H1678" s="249">
        <f>-PRODUCT(D1678:G1678)</f>
        <v>-28.160000000000004</v>
      </c>
      <c r="J1678" s="253" t="inlineStr">
        <is>
          <t xml:space="preserve">-2*4*1.6*2.2</t>
        </is>
      </c>
    </row>
    <row r="1679">
      <c r="C1679" s="246" t="inlineStr">
        <is>
          <t xml:space="preserve">Ddt opening SD3 (3 nr, 1.3x2.2) - both faces</t>
        </is>
      </c>
      <c r="D1679" s="248">
        <f>2*3</f>
        <v>6</v>
      </c>
      <c r="E1679" s="247">
        <v>1.3</v>
      </c>
      <c r="F1679" s="247">
        <v>2.2</v>
      </c>
      <c r="H1679" s="249">
        <f>-PRODUCT(D1679:G1679)</f>
        <v>-17.160000000000004</v>
      </c>
      <c r="J1679" s="253" t="inlineStr">
        <is>
          <t xml:space="preserve">-2*3*1.3*2.2</t>
        </is>
      </c>
    </row>
    <row r="1680">
      <c r="C1680" s="246" t="inlineStr">
        <is>
          <t xml:space="preserve">Ddt opening SD4 (5 nr, 1.8x2.2) - both faces</t>
        </is>
      </c>
      <c r="D1680" s="248">
        <f>2*5</f>
        <v>10</v>
      </c>
      <c r="E1680" s="247">
        <v>1.8</v>
      </c>
      <c r="F1680" s="247">
        <v>2.2</v>
      </c>
      <c r="H1680" s="249">
        <f>-PRODUCT(D1680:G1680)</f>
        <v>-39.6</v>
      </c>
      <c r="J1680" s="253" t="inlineStr">
        <is>
          <t xml:space="preserve">-2*5*1.8*2.2</t>
        </is>
      </c>
    </row>
    <row r="1681">
      <c r="C1681" s="246" t="inlineStr">
        <is>
          <t xml:space="preserve">Ddt opening SD5 (1 nr, 1.2x2.2) - both faces</t>
        </is>
      </c>
      <c r="D1681" s="248">
        <f>2*1</f>
        <v>2</v>
      </c>
      <c r="E1681" s="247">
        <v>1.2</v>
      </c>
      <c r="F1681" s="247">
        <v>2.2</v>
      </c>
      <c r="H1681" s="249">
        <f>-PRODUCT(D1681:G1681)</f>
        <v>-5.28</v>
      </c>
      <c r="J1681" s="253" t="inlineStr">
        <is>
          <t xml:space="preserve">-2*1*1.2*2.2</t>
        </is>
      </c>
    </row>
    <row r="1682">
      <c r="C1682" s="246" t="inlineStr">
        <is>
          <t xml:space="preserve">Ddt opening W2 (7 nr, 1.8x1.3)</t>
        </is>
      </c>
      <c r="D1682" s="248">
        <v>7</v>
      </c>
      <c r="E1682" s="247">
        <v>1.8</v>
      </c>
      <c r="F1682" s="247">
        <v>1.3</v>
      </c>
      <c r="H1682" s="249">
        <f>-PRODUCT(D1682:G1682)</f>
        <v>-16.38</v>
      </c>
      <c r="J1682" s="253" t="inlineStr">
        <is>
          <t xml:space="preserve">-7*1.8*1.3</t>
        </is>
      </c>
    </row>
    <row r="1683">
      <c r="C1683" s="246" t="inlineStr">
        <is>
          <t xml:space="preserve">Ddt opening W4 (13 nr, 0.9x1.3)</t>
        </is>
      </c>
      <c r="D1683" s="248">
        <v>13</v>
      </c>
      <c r="E1683" s="247">
        <v>0.9</v>
      </c>
      <c r="F1683" s="247">
        <v>1.3</v>
      </c>
      <c r="H1683" s="249">
        <f>-PRODUCT(D1683:G1683)</f>
        <v>-15.210000000000003</v>
      </c>
      <c r="J1683" s="253" t="inlineStr">
        <is>
          <t xml:space="preserve">-13*0.9*1.3</t>
        </is>
      </c>
    </row>
    <row r="1684">
      <c r="C1684" s="246" t="inlineStr">
        <is>
          <t xml:space="preserve">Ddt opening W7 (2 nr, 1.8x1.6)</t>
        </is>
      </c>
      <c r="D1684" s="248">
        <v>2</v>
      </c>
      <c r="E1684" s="247">
        <v>1.8</v>
      </c>
      <c r="F1684" s="247">
        <v>1.6</v>
      </c>
      <c r="H1684" s="249">
        <f>-PRODUCT(D1684:G1684)</f>
        <v>-5.760000000000001</v>
      </c>
      <c r="J1684" s="253" t="inlineStr">
        <is>
          <t xml:space="preserve">-2*1.8*1.6</t>
        </is>
      </c>
    </row>
    <row r="1685">
      <c r="C1685" s="246" t="inlineStr">
        <is>
          <t xml:space="preserve">Ddt opening W8 (4 nr, 1.2x1.9)</t>
        </is>
      </c>
      <c r="D1685" s="248">
        <v>4</v>
      </c>
      <c r="E1685" s="247">
        <v>1.2</v>
      </c>
      <c r="F1685" s="247">
        <v>1.9</v>
      </c>
      <c r="H1685" s="249">
        <f>-PRODUCT(D1685:G1685)</f>
        <v>-9.12</v>
      </c>
      <c r="J1685" s="253" t="inlineStr">
        <is>
          <t xml:space="preserve">-4*1.2*1.9</t>
        </is>
      </c>
    </row>
    <row r="1686">
      <c r="C1686" s="246" t="inlineStr">
        <is>
          <t xml:space="preserve">Ddt opening W9 (10 nr, 1.2x1.15)</t>
        </is>
      </c>
      <c r="D1686" s="248">
        <v>10</v>
      </c>
      <c r="E1686" s="247">
        <v>1.2</v>
      </c>
      <c r="F1686" s="247">
        <v>1.15</v>
      </c>
      <c r="H1686" s="249">
        <f>-PRODUCT(D1686:G1686)</f>
        <v>-13.799999999999999</v>
      </c>
      <c r="J1686" s="253" t="inlineStr">
        <is>
          <t xml:space="preserve">-10*1.2*1.15</t>
        </is>
      </c>
    </row>
    <row r="1687">
      <c r="C1687" s="246" t="inlineStr">
        <is>
          <t xml:space="preserve">Ddt opening W10 (1 nr, 1.2x1.2)</t>
        </is>
      </c>
      <c r="D1687" s="248">
        <v>1</v>
      </c>
      <c r="E1687" s="247">
        <v>1.2</v>
      </c>
      <c r="F1687" s="247">
        <v>1.2</v>
      </c>
      <c r="H1687" s="249">
        <f>-PRODUCT(D1687:G1687)</f>
        <v>-1.44</v>
      </c>
      <c r="J1687" s="253" t="inlineStr">
        <is>
          <t xml:space="preserve">-1*1.2*1.2</t>
        </is>
      </c>
    </row>
    <row r="1688">
      <c r="C1688" s="246" t="inlineStr">
        <is>
          <t xml:space="preserve">Ddt opening W11 (8 nr, 1.5x1.3)</t>
        </is>
      </c>
      <c r="D1688" s="248">
        <v>8</v>
      </c>
      <c r="E1688" s="247">
        <v>1.5</v>
      </c>
      <c r="F1688" s="247">
        <v>1.3</v>
      </c>
      <c r="H1688" s="249">
        <f>-PRODUCT(D1688:G1688)</f>
        <v>-15.600000000000001</v>
      </c>
      <c r="J1688" s="253" t="inlineStr">
        <is>
          <t xml:space="preserve">-8*1.5*1.3</t>
        </is>
      </c>
    </row>
    <row r="1689">
      <c r="C1689" s="246" t="inlineStr">
        <is>
          <t xml:space="preserve">Ddt opening W12 (4 nr, 1.5x1.15)</t>
        </is>
      </c>
      <c r="D1689" s="248">
        <v>4</v>
      </c>
      <c r="E1689" s="247">
        <v>1.5</v>
      </c>
      <c r="F1689" s="247">
        <v>1.15</v>
      </c>
      <c r="H1689" s="249">
        <f>-PRODUCT(D1689:G1689)</f>
        <v>-6.8999999999999995</v>
      </c>
      <c r="J1689" s="253" t="inlineStr">
        <is>
          <t xml:space="preserve">-4*1.5*1.15</t>
        </is>
      </c>
    </row>
    <row r="1690">
      <c r="C1690" s="246" t="inlineStr">
        <is>
          <t xml:space="preserve">Ddt opening W13 (1 nr, 2.4x1.3)</t>
        </is>
      </c>
      <c r="D1690" s="248">
        <v>1</v>
      </c>
      <c r="E1690" s="247">
        <v>2.4</v>
      </c>
      <c r="F1690" s="247">
        <v>1.3</v>
      </c>
      <c r="H1690" s="249">
        <f>-PRODUCT(D1690:G1690)</f>
        <v>-3.12</v>
      </c>
      <c r="J1690" s="253" t="inlineStr">
        <is>
          <t xml:space="preserve">-1*2.4*1.3</t>
        </is>
      </c>
    </row>
    <row r="1691">
      <c r="C1691" s="246" t="inlineStr">
        <is>
          <t xml:space="preserve">Ddt opening W15 (1 nr, 3x1.6)</t>
        </is>
      </c>
      <c r="D1691" s="248">
        <v>1</v>
      </c>
      <c r="E1691" s="247">
        <v>3</v>
      </c>
      <c r="F1691" s="247">
        <v>1.6</v>
      </c>
      <c r="H1691" s="249">
        <f>-PRODUCT(D1691:G1691)</f>
        <v>-4.800000000000001</v>
      </c>
      <c r="J1691" s="253" t="inlineStr">
        <is>
          <t xml:space="preserve">-1*3*1.6</t>
        </is>
      </c>
    </row>
    <row r="1692">
      <c r="C1692" s="246" t="inlineStr">
        <is>
          <t xml:space="preserve">Ddt opening W17 (4 nr, 1.8x1.9)</t>
        </is>
      </c>
      <c r="D1692" s="248">
        <v>4</v>
      </c>
      <c r="E1692" s="247">
        <v>1.8</v>
      </c>
      <c r="F1692" s="247">
        <v>1.9</v>
      </c>
      <c r="H1692" s="249">
        <f>-PRODUCT(D1692:G1692)</f>
        <v>-13.68</v>
      </c>
      <c r="J1692" s="253" t="inlineStr">
        <is>
          <t xml:space="preserve">-4*1.8*1.9</t>
        </is>
      </c>
    </row>
    <row r="1693">
      <c r="C1693" s="246" t="inlineStr">
        <is>
          <t xml:space="preserve">Ddt opening W18 (1 nr, 0.75x1.3)</t>
        </is>
      </c>
      <c r="D1693" s="248">
        <v>1</v>
      </c>
      <c r="E1693" s="247">
        <v>0.75</v>
      </c>
      <c r="F1693" s="247">
        <v>1.3</v>
      </c>
      <c r="H1693" s="249">
        <f>-PRODUCT(D1693:G1693)</f>
        <v>-0.9750000000000001</v>
      </c>
      <c r="J1693" s="253" t="inlineStr">
        <is>
          <t xml:space="preserve">-1*0.75*1.3</t>
        </is>
      </c>
    </row>
    <row r="1694">
      <c r="C1694" s="246" t="inlineStr">
        <is>
          <t xml:space="preserve">Ddt opening W20 (1 nr, 1.45x1.9)</t>
        </is>
      </c>
      <c r="D1694" s="248">
        <v>1</v>
      </c>
      <c r="E1694" s="247">
        <v>1.45</v>
      </c>
      <c r="F1694" s="247">
        <v>1.9</v>
      </c>
      <c r="H1694" s="249">
        <f>-PRODUCT(D1694:G1694)</f>
        <v>-2.755</v>
      </c>
      <c r="J1694" s="253" t="inlineStr">
        <is>
          <t xml:space="preserve">-1*1.45*1.9</t>
        </is>
      </c>
    </row>
    <row r="1695">
      <c r="C1695" s="246" t="inlineStr">
        <is>
          <t xml:space="preserve">Ddt opening HW1 (12 nr, 0.9x0.6)</t>
        </is>
      </c>
      <c r="D1695" s="248">
        <v>12</v>
      </c>
      <c r="E1695" s="247">
        <v>0.9</v>
      </c>
      <c r="F1695" s="247">
        <v>0.6</v>
      </c>
      <c r="H1695" s="249">
        <f>-PRODUCT(D1695:G1695)</f>
        <v>-6.48</v>
      </c>
      <c r="J1695" s="253" t="inlineStr">
        <is>
          <t xml:space="preserve">-12*0.9*0.6</t>
        </is>
      </c>
    </row>
    <row r="1696">
      <c r="C1696" s="246" t="inlineStr">
        <is>
          <t xml:space="preserve">Ddt opening HW2 (5 nr, 0.75x0.6)</t>
        </is>
      </c>
      <c r="D1696" s="248">
        <v>5</v>
      </c>
      <c r="E1696" s="247">
        <v>0.75</v>
      </c>
      <c r="F1696" s="247">
        <v>0.6</v>
      </c>
      <c r="H1696" s="249">
        <f>-PRODUCT(D1696:G1696)</f>
        <v>-2.25</v>
      </c>
      <c r="J1696" s="253" t="inlineStr">
        <is>
          <t xml:space="preserve">-5*0.75*0.6</t>
        </is>
      </c>
    </row>
    <row r="1697">
      <c r="C1697" s="246" t="inlineStr">
        <is>
          <t xml:space="preserve">Ddt opening HW3 (1 nr, 0.6x0.6)</t>
        </is>
      </c>
      <c r="D1697" s="248">
        <v>1</v>
      </c>
      <c r="E1697" s="247">
        <v>0.6</v>
      </c>
      <c r="F1697" s="247">
        <v>0.6</v>
      </c>
      <c r="H1697" s="249">
        <f>-PRODUCT(D1697:G1697)</f>
        <v>-0.36</v>
      </c>
      <c r="J1697" s="253" t="inlineStr">
        <is>
          <t xml:space="preserve">-1*0.6*0.6</t>
        </is>
      </c>
    </row>
    <row r="1698">
      <c r="C1698" s="246" t="inlineStr">
        <is>
          <t xml:space="preserve">Ddt opening HW4 (1 nr, 1.2x0.6)</t>
        </is>
      </c>
      <c r="D1698" s="248">
        <v>1</v>
      </c>
      <c r="E1698" s="247">
        <v>1.2</v>
      </c>
      <c r="F1698" s="247">
        <v>0.6</v>
      </c>
      <c r="H1698" s="249">
        <f>-PRODUCT(D1698:G1698)</f>
        <v>-0.72</v>
      </c>
      <c r="J1698" s="253" t="inlineStr">
        <is>
          <t xml:space="preserve">-1*1.2*0.6</t>
        </is>
      </c>
    </row>
    <row r="1699">
      <c r="C1699" s="250" t="inlineStr">
        <is>
          <t xml:space="preserve">Total carried to BOQ  3RD FLR item A</t>
        </is>
      </c>
      <c r="D1699" s="250" t="inlineStr">
        <is>
          <t xml:space="preserve"/>
        </is>
      </c>
      <c r="E1699" s="250" t="inlineStr">
        <is>
          <t xml:space="preserve"/>
        </is>
      </c>
      <c r="F1699" s="250" t="inlineStr">
        <is>
          <t xml:space="preserve"/>
        </is>
      </c>
      <c r="G1699" s="250" t="inlineStr">
        <is>
          <t xml:space="preserve"/>
        </is>
      </c>
      <c r="H1699" s="251">
        <f>SUM(H1659:H1698)</f>
        <v>2244.0036842105264</v>
      </c>
      <c r="I1699" s="252" t="inlineStr">
        <is>
          <t xml:space="preserve">m2</t>
        </is>
      </c>
    </row>
    <row r="1700">
      <c r="A1700" s="243" t="inlineStr">
        <is>
          <t xml:space="preserve">3RD FLR</t>
        </is>
      </c>
      <c r="B1700" s="243" t="inlineStr">
        <is>
          <t xml:space="preserve">B</t>
        </is>
      </c>
      <c r="C1700" s="244" t="inlineStr">
        <is>
          <t xml:space="preserve">Interior partitions and washrooms (above wall tiling)</t>
        </is>
      </c>
      <c r="I1700" s="245" t="inlineStr">
        <is>
          <t xml:space="preserve">m2</t>
        </is>
      </c>
      <c r="K1700" s="256" t="inlineStr">
        <is>
          <t xml:space="preserve">'3RD FLR'!C233</t>
        </is>
      </c>
    </row>
    <row r="1701">
      <c r="C1701" s="246" t="inlineStr">
        <is>
          <t xml:space="preserve">washroom walls: (wet area / 3.8 m2 per WC) x 8.0 m girth x ht</t>
        </is>
      </c>
      <c r="E1701" s="247">
        <f>59.2/3.8</f>
        <v>15.578947368421055</v>
      </c>
      <c r="F1701" s="247">
        <v>8.0</v>
      </c>
      <c r="G1701" s="247">
        <v>3.05</v>
      </c>
      <c r="H1701" s="249">
        <f>PRODUCT(D1701:G1701)</f>
        <v>380.1263157894737</v>
      </c>
      <c r="J1701" s="253" t="inlineStr">
        <is>
          <t xml:space="preserve">59.2/3.8*8.0*3.05</t>
        </is>
      </c>
    </row>
    <row r="1702">
      <c r="C1702" s="246" t="inlineStr">
        <is>
          <t xml:space="preserve">Ddt washroom doors: nr x 0.75 x 2.2</t>
        </is>
      </c>
      <c r="E1702" s="247">
        <f>59.2/3.8</f>
        <v>15.578947368421055</v>
      </c>
      <c r="F1702" s="247">
        <v>0.75</v>
      </c>
      <c r="G1702" s="247">
        <v>2.2</v>
      </c>
      <c r="H1702" s="249">
        <f>-PRODUCT(D1702:G1702)</f>
        <v>-25.70526315789474</v>
      </c>
      <c r="J1702" s="253" t="inlineStr">
        <is>
          <t xml:space="preserve">-59.2/3.8*0.75*2.2</t>
        </is>
      </c>
    </row>
    <row r="1703">
      <c r="C1703" s="246" t="inlineStr">
        <is>
          <t xml:space="preserve">Ddt washroom walls: (wet area / 3.8 m2 per WC) x 8.0 m girth x ht</t>
        </is>
      </c>
      <c r="E1703" s="247">
        <f>59.2/3.8</f>
        <v>15.578947368421055</v>
      </c>
      <c r="F1703" s="247">
        <v>8.0</v>
      </c>
      <c r="G1703" s="247">
        <v>2.4</v>
      </c>
      <c r="H1703" s="249">
        <f>-PRODUCT(D1703:G1703)</f>
        <v>-299.11578947368423</v>
      </c>
      <c r="J1703" s="253" t="inlineStr">
        <is>
          <t xml:space="preserve">-59.2/3.8*8.0*2.4</t>
        </is>
      </c>
    </row>
    <row r="1704">
      <c r="C1704" s="246" t="inlineStr">
        <is>
          <t xml:space="preserve">washroom doors: nr x 0.75 x 2.2</t>
        </is>
      </c>
      <c r="E1704" s="247">
        <f>59.2/3.8</f>
        <v>15.578947368421055</v>
      </c>
      <c r="F1704" s="247">
        <v>0.75</v>
      </c>
      <c r="G1704" s="247">
        <v>2.2</v>
      </c>
      <c r="H1704" s="249">
        <f>PRODUCT(D1704:G1704)</f>
        <v>25.70526315789474</v>
      </c>
      <c r="J1704" s="253" t="inlineStr">
        <is>
          <t xml:space="preserve">59.2/3.8*0.75*2.2</t>
        </is>
      </c>
    </row>
    <row r="1705">
      <c r="C1705" s="250" t="inlineStr">
        <is>
          <t xml:space="preserve">Total carried to BOQ  3RD FLR item B</t>
        </is>
      </c>
      <c r="D1705" s="250" t="inlineStr">
        <is>
          <t xml:space="preserve"/>
        </is>
      </c>
      <c r="E1705" s="250" t="inlineStr">
        <is>
          <t xml:space="preserve"/>
        </is>
      </c>
      <c r="F1705" s="250" t="inlineStr">
        <is>
          <t xml:space="preserve"/>
        </is>
      </c>
      <c r="G1705" s="250" t="inlineStr">
        <is>
          <t xml:space="preserve"/>
        </is>
      </c>
      <c r="H1705" s="251">
        <f>SUM(H1701:H1704)</f>
        <v>81.01052631578946</v>
      </c>
      <c r="I1705" s="252" t="inlineStr">
        <is>
          <t xml:space="preserve">m2</t>
        </is>
      </c>
    </row>
    <row r="1706">
      <c r="A1706" s="243" t="inlineStr">
        <is>
          <t xml:space="preserve">3RD FLR</t>
        </is>
      </c>
      <c r="B1706" s="243" t="inlineStr">
        <is>
          <t xml:space="preserve">C</t>
        </is>
      </c>
      <c r="C1706" s="244" t="inlineStr">
        <is>
          <t xml:space="preserve">Exterior walls</t>
        </is>
      </c>
      <c r="I1706" s="245" t="inlineStr">
        <is>
          <t xml:space="preserve">m2</t>
        </is>
      </c>
      <c r="K1706" s="256" t="inlineStr">
        <is>
          <t xml:space="preserve">'3RD FLR'!C235</t>
        </is>
      </c>
    </row>
    <row r="1707">
      <c r="C1707" s="246" t="inlineStr">
        <is>
          <t xml:space="preserve">External perimeter x storey ht</t>
        </is>
      </c>
      <c r="E1707" s="247">
        <v>148.0</v>
      </c>
      <c r="F1707" s="247">
        <v>3.3</v>
      </c>
      <c r="H1707" s="249">
        <f>PRODUCT(D1707:G1707)</f>
        <v>488.4</v>
      </c>
      <c r="J1707" s="253" t="inlineStr">
        <is>
          <t xml:space="preserve">148.0*3.3</t>
        </is>
      </c>
    </row>
    <row r="1708">
      <c r="C1708" s="246" t="inlineStr">
        <is>
          <t xml:space="preserve">Ddt window W2 (7 nr, 1.8x1.3)</t>
        </is>
      </c>
      <c r="D1708" s="248">
        <v>7</v>
      </c>
      <c r="E1708" s="247">
        <v>1.8</v>
      </c>
      <c r="F1708" s="247">
        <v>1.3</v>
      </c>
      <c r="H1708" s="249">
        <f>-PRODUCT(D1708:G1708)</f>
        <v>-16.38</v>
      </c>
      <c r="J1708" s="253" t="inlineStr">
        <is>
          <t xml:space="preserve">-7*1.8*1.3</t>
        </is>
      </c>
    </row>
    <row r="1709">
      <c r="C1709" s="246" t="inlineStr">
        <is>
          <t xml:space="preserve">Ddt window W4 (13 nr, 0.9x1.3)</t>
        </is>
      </c>
      <c r="D1709" s="248">
        <v>13</v>
      </c>
      <c r="E1709" s="247">
        <v>0.9</v>
      </c>
      <c r="F1709" s="247">
        <v>1.3</v>
      </c>
      <c r="H1709" s="249">
        <f>-PRODUCT(D1709:G1709)</f>
        <v>-15.210000000000003</v>
      </c>
      <c r="J1709" s="253" t="inlineStr">
        <is>
          <t xml:space="preserve">-13*0.9*1.3</t>
        </is>
      </c>
    </row>
    <row r="1710">
      <c r="C1710" s="246" t="inlineStr">
        <is>
          <t xml:space="preserve">Ddt window W7 (2 nr, 1.8x1.6)</t>
        </is>
      </c>
      <c r="D1710" s="248">
        <v>2</v>
      </c>
      <c r="E1710" s="247">
        <v>1.8</v>
      </c>
      <c r="F1710" s="247">
        <v>1.6</v>
      </c>
      <c r="H1710" s="249">
        <f>-PRODUCT(D1710:G1710)</f>
        <v>-5.760000000000001</v>
      </c>
      <c r="J1710" s="253" t="inlineStr">
        <is>
          <t xml:space="preserve">-2*1.8*1.6</t>
        </is>
      </c>
    </row>
    <row r="1711">
      <c r="C1711" s="246" t="inlineStr">
        <is>
          <t xml:space="preserve">Ddt window W8 (4 nr, 1.2x1.9)</t>
        </is>
      </c>
      <c r="D1711" s="248">
        <v>4</v>
      </c>
      <c r="E1711" s="247">
        <v>1.2</v>
      </c>
      <c r="F1711" s="247">
        <v>1.9</v>
      </c>
      <c r="H1711" s="249">
        <f>-PRODUCT(D1711:G1711)</f>
        <v>-9.12</v>
      </c>
      <c r="J1711" s="253" t="inlineStr">
        <is>
          <t xml:space="preserve">-4*1.2*1.9</t>
        </is>
      </c>
    </row>
    <row r="1712">
      <c r="C1712" s="246" t="inlineStr">
        <is>
          <t xml:space="preserve">Ddt window W9 (10 nr, 1.2x1.15)</t>
        </is>
      </c>
      <c r="D1712" s="248">
        <v>10</v>
      </c>
      <c r="E1712" s="247">
        <v>1.2</v>
      </c>
      <c r="F1712" s="247">
        <v>1.15</v>
      </c>
      <c r="H1712" s="249">
        <f>-PRODUCT(D1712:G1712)</f>
        <v>-13.799999999999999</v>
      </c>
      <c r="J1712" s="253" t="inlineStr">
        <is>
          <t xml:space="preserve">-10*1.2*1.15</t>
        </is>
      </c>
    </row>
    <row r="1713">
      <c r="C1713" s="246" t="inlineStr">
        <is>
          <t xml:space="preserve">Ddt window W10 (1 nr, 1.2x1.2)</t>
        </is>
      </c>
      <c r="D1713" s="248">
        <v>1</v>
      </c>
      <c r="E1713" s="247">
        <v>1.2</v>
      </c>
      <c r="F1713" s="247">
        <v>1.2</v>
      </c>
      <c r="H1713" s="249">
        <f>-PRODUCT(D1713:G1713)</f>
        <v>-1.44</v>
      </c>
      <c r="J1713" s="253" t="inlineStr">
        <is>
          <t xml:space="preserve">-1*1.2*1.2</t>
        </is>
      </c>
    </row>
    <row r="1714">
      <c r="C1714" s="246" t="inlineStr">
        <is>
          <t xml:space="preserve">Ddt window W11 (8 nr, 1.5x1.3)</t>
        </is>
      </c>
      <c r="D1714" s="248">
        <v>8</v>
      </c>
      <c r="E1714" s="247">
        <v>1.5</v>
      </c>
      <c r="F1714" s="247">
        <v>1.3</v>
      </c>
      <c r="H1714" s="249">
        <f>-PRODUCT(D1714:G1714)</f>
        <v>-15.600000000000001</v>
      </c>
      <c r="J1714" s="253" t="inlineStr">
        <is>
          <t xml:space="preserve">-8*1.5*1.3</t>
        </is>
      </c>
    </row>
    <row r="1715">
      <c r="C1715" s="246" t="inlineStr">
        <is>
          <t xml:space="preserve">Ddt window W12 (4 nr, 1.5x1.15)</t>
        </is>
      </c>
      <c r="D1715" s="248">
        <v>4</v>
      </c>
      <c r="E1715" s="247">
        <v>1.5</v>
      </c>
      <c r="F1715" s="247">
        <v>1.15</v>
      </c>
      <c r="H1715" s="249">
        <f>-PRODUCT(D1715:G1715)</f>
        <v>-6.8999999999999995</v>
      </c>
      <c r="J1715" s="253" t="inlineStr">
        <is>
          <t xml:space="preserve">-4*1.5*1.15</t>
        </is>
      </c>
    </row>
    <row r="1716">
      <c r="C1716" s="246" t="inlineStr">
        <is>
          <t xml:space="preserve">Ddt window W13 (1 nr, 2.4x1.3)</t>
        </is>
      </c>
      <c r="D1716" s="248">
        <v>1</v>
      </c>
      <c r="E1716" s="247">
        <v>2.4</v>
      </c>
      <c r="F1716" s="247">
        <v>1.3</v>
      </c>
      <c r="H1716" s="249">
        <f>-PRODUCT(D1716:G1716)</f>
        <v>-3.12</v>
      </c>
      <c r="J1716" s="253" t="inlineStr">
        <is>
          <t xml:space="preserve">-1*2.4*1.3</t>
        </is>
      </c>
    </row>
    <row r="1717">
      <c r="C1717" s="246" t="inlineStr">
        <is>
          <t xml:space="preserve">Ddt window W15 (1 nr, 3x1.6)</t>
        </is>
      </c>
      <c r="D1717" s="248">
        <v>1</v>
      </c>
      <c r="E1717" s="247">
        <v>3</v>
      </c>
      <c r="F1717" s="247">
        <v>1.6</v>
      </c>
      <c r="H1717" s="249">
        <f>-PRODUCT(D1717:G1717)</f>
        <v>-4.800000000000001</v>
      </c>
      <c r="J1717" s="253" t="inlineStr">
        <is>
          <t xml:space="preserve">-1*3*1.6</t>
        </is>
      </c>
    </row>
    <row r="1718">
      <c r="C1718" s="246" t="inlineStr">
        <is>
          <t xml:space="preserve">Ddt window W17 (4 nr, 1.8x1.9)</t>
        </is>
      </c>
      <c r="D1718" s="248">
        <v>4</v>
      </c>
      <c r="E1718" s="247">
        <v>1.8</v>
      </c>
      <c r="F1718" s="247">
        <v>1.9</v>
      </c>
      <c r="H1718" s="249">
        <f>-PRODUCT(D1718:G1718)</f>
        <v>-13.68</v>
      </c>
      <c r="J1718" s="253" t="inlineStr">
        <is>
          <t xml:space="preserve">-4*1.8*1.9</t>
        </is>
      </c>
    </row>
    <row r="1719">
      <c r="C1719" s="246" t="inlineStr">
        <is>
          <t xml:space="preserve">Ddt window W18 (1 nr, 0.75x1.3)</t>
        </is>
      </c>
      <c r="D1719" s="248">
        <v>1</v>
      </c>
      <c r="E1719" s="247">
        <v>0.75</v>
      </c>
      <c r="F1719" s="247">
        <v>1.3</v>
      </c>
      <c r="H1719" s="249">
        <f>-PRODUCT(D1719:G1719)</f>
        <v>-0.9750000000000001</v>
      </c>
      <c r="J1719" s="253" t="inlineStr">
        <is>
          <t xml:space="preserve">-1*0.75*1.3</t>
        </is>
      </c>
    </row>
    <row r="1720">
      <c r="C1720" s="246" t="inlineStr">
        <is>
          <t xml:space="preserve">Ddt window W20 (1 nr, 1.45x1.9)</t>
        </is>
      </c>
      <c r="D1720" s="248">
        <v>1</v>
      </c>
      <c r="E1720" s="247">
        <v>1.45</v>
      </c>
      <c r="F1720" s="247">
        <v>1.9</v>
      </c>
      <c r="H1720" s="249">
        <f>-PRODUCT(D1720:G1720)</f>
        <v>-2.755</v>
      </c>
      <c r="J1720" s="253" t="inlineStr">
        <is>
          <t xml:space="preserve">-1*1.45*1.9</t>
        </is>
      </c>
    </row>
    <row r="1721">
      <c r="C1721" s="246" t="inlineStr">
        <is>
          <t xml:space="preserve">Ddt window HW1 (12 nr, 0.9x0.6)</t>
        </is>
      </c>
      <c r="D1721" s="248">
        <v>12</v>
      </c>
      <c r="E1721" s="247">
        <v>0.9</v>
      </c>
      <c r="F1721" s="247">
        <v>0.6</v>
      </c>
      <c r="H1721" s="249">
        <f>-PRODUCT(D1721:G1721)</f>
        <v>-6.48</v>
      </c>
      <c r="J1721" s="253" t="inlineStr">
        <is>
          <t xml:space="preserve">-12*0.9*0.6</t>
        </is>
      </c>
    </row>
    <row r="1722">
      <c r="C1722" s="246" t="inlineStr">
        <is>
          <t xml:space="preserve">Ddt window HW2 (5 nr, 0.75x0.6)</t>
        </is>
      </c>
      <c r="D1722" s="248">
        <v>5</v>
      </c>
      <c r="E1722" s="247">
        <v>0.75</v>
      </c>
      <c r="F1722" s="247">
        <v>0.6</v>
      </c>
      <c r="H1722" s="249">
        <f>-PRODUCT(D1722:G1722)</f>
        <v>-2.25</v>
      </c>
      <c r="J1722" s="253" t="inlineStr">
        <is>
          <t xml:space="preserve">-5*0.75*0.6</t>
        </is>
      </c>
    </row>
    <row r="1723">
      <c r="C1723" s="246" t="inlineStr">
        <is>
          <t xml:space="preserve">Ddt window HW3 (1 nr, 0.6x0.6)</t>
        </is>
      </c>
      <c r="D1723" s="248">
        <v>1</v>
      </c>
      <c r="E1723" s="247">
        <v>0.6</v>
      </c>
      <c r="F1723" s="247">
        <v>0.6</v>
      </c>
      <c r="H1723" s="249">
        <f>-PRODUCT(D1723:G1723)</f>
        <v>-0.36</v>
      </c>
      <c r="J1723" s="253" t="inlineStr">
        <is>
          <t xml:space="preserve">-1*0.6*0.6</t>
        </is>
      </c>
    </row>
    <row r="1724">
      <c r="C1724" s="246" t="inlineStr">
        <is>
          <t xml:space="preserve">Ddt window HW4 (1 nr, 1.2x0.6)</t>
        </is>
      </c>
      <c r="D1724" s="248">
        <v>1</v>
      </c>
      <c r="E1724" s="247">
        <v>1.2</v>
      </c>
      <c r="F1724" s="247">
        <v>0.6</v>
      </c>
      <c r="H1724" s="249">
        <f>-PRODUCT(D1724:G1724)</f>
        <v>-0.72</v>
      </c>
      <c r="J1724" s="253" t="inlineStr">
        <is>
          <t xml:space="preserve">-1*1.2*0.6</t>
        </is>
      </c>
    </row>
    <row r="1725">
      <c r="C1725" s="250" t="inlineStr">
        <is>
          <t xml:space="preserve">Total carried to BOQ  3RD FLR item C</t>
        </is>
      </c>
      <c r="D1725" s="250" t="inlineStr">
        <is>
          <t xml:space="preserve"/>
        </is>
      </c>
      <c r="E1725" s="250" t="inlineStr">
        <is>
          <t xml:space="preserve"/>
        </is>
      </c>
      <c r="F1725" s="250" t="inlineStr">
        <is>
          <t xml:space="preserve"/>
        </is>
      </c>
      <c r="G1725" s="250" t="inlineStr">
        <is>
          <t xml:space="preserve"/>
        </is>
      </c>
      <c r="H1725" s="251">
        <f>SUM(H1707:H1724)</f>
        <v>369.0499999999999</v>
      </c>
      <c r="I1725" s="252" t="inlineStr">
        <is>
          <t xml:space="preserve">m2</t>
        </is>
      </c>
    </row>
    <row r="1726">
      <c r="A1726" s="243" t="inlineStr">
        <is>
          <t xml:space="preserve">3RD FLR</t>
        </is>
      </c>
      <c r="B1726" s="243" t="inlineStr">
        <is>
          <t xml:space="preserve">D</t>
        </is>
      </c>
      <c r="C1726" s="244" t="inlineStr">
        <is>
          <t xml:space="preserve">Soffit of plaster board ceilings</t>
        </is>
      </c>
      <c r="I1726" s="245" t="inlineStr">
        <is>
          <t xml:space="preserve">m2</t>
        </is>
      </c>
      <c r="K1726" s="256" t="inlineStr">
        <is>
          <t xml:space="preserve">'3RD FLR'!C237</t>
        </is>
      </c>
    </row>
    <row r="1727">
      <c r="C1727" s="246" t="inlineStr">
        <is>
          <t xml:space="preserve">Third floor - Ceiling areas (measured)</t>
        </is>
      </c>
      <c r="H1727" s="247">
        <v>908.8</v>
      </c>
      <c r="J1727" s="253" t="inlineStr">
        <is>
          <t xml:space="preserve">908.8</t>
        </is>
      </c>
    </row>
    <row r="1728">
      <c r="C1728" s="250" t="inlineStr">
        <is>
          <t xml:space="preserve">Total carried to BOQ  3RD FLR item D</t>
        </is>
      </c>
      <c r="D1728" s="250" t="inlineStr">
        <is>
          <t xml:space="preserve"/>
        </is>
      </c>
      <c r="E1728" s="250" t="inlineStr">
        <is>
          <t xml:space="preserve"/>
        </is>
      </c>
      <c r="F1728" s="250" t="inlineStr">
        <is>
          <t xml:space="preserve"/>
        </is>
      </c>
      <c r="G1728" s="250" t="inlineStr">
        <is>
          <t xml:space="preserve"/>
        </is>
      </c>
      <c r="H1728" s="251">
        <f>SUM(H1727:H1727)</f>
        <v>908.8</v>
      </c>
      <c r="I1728" s="252" t="inlineStr">
        <is>
          <t xml:space="preserve">m2</t>
        </is>
      </c>
    </row>
    <row r="1729">
      <c r="A1729" s="243" t="inlineStr">
        <is>
          <t xml:space="preserve">3RD FLR</t>
        </is>
      </c>
      <c r="B1729" s="243" t="inlineStr">
        <is>
          <t xml:space="preserve">E</t>
        </is>
      </c>
      <c r="C1729" s="244" t="inlineStr">
        <is>
          <t xml:space="preserve">Soffit of plaster board ceilings for washrooms</t>
        </is>
      </c>
      <c r="I1729" s="245" t="inlineStr">
        <is>
          <t xml:space="preserve">m2</t>
        </is>
      </c>
      <c r="K1729" s="256" t="inlineStr">
        <is>
          <t xml:space="preserve">'3RD FLR'!C239</t>
        </is>
      </c>
    </row>
    <row r="1730">
      <c r="C1730" s="246" t="inlineStr">
        <is>
          <t xml:space="preserve">Third floor - Washroom ceiling areas (measured)</t>
        </is>
      </c>
      <c r="H1730" s="247">
        <v>59.2</v>
      </c>
      <c r="J1730" s="253" t="inlineStr">
        <is>
          <t xml:space="preserve">59.2</t>
        </is>
      </c>
    </row>
    <row r="1731">
      <c r="C1731" s="250" t="inlineStr">
        <is>
          <t xml:space="preserve">Total carried to BOQ  3RD FLR item E</t>
        </is>
      </c>
      <c r="D1731" s="250" t="inlineStr">
        <is>
          <t xml:space="preserve"/>
        </is>
      </c>
      <c r="E1731" s="250" t="inlineStr">
        <is>
          <t xml:space="preserve"/>
        </is>
      </c>
      <c r="F1731" s="250" t="inlineStr">
        <is>
          <t xml:space="preserve"/>
        </is>
      </c>
      <c r="G1731" s="250" t="inlineStr">
        <is>
          <t xml:space="preserve"/>
        </is>
      </c>
      <c r="H1731" s="251">
        <f>SUM(H1730:H1730)</f>
        <v>59.2</v>
      </c>
      <c r="I1731" s="252" t="inlineStr">
        <is>
          <t xml:space="preserve">m2</t>
        </is>
      </c>
    </row>
    <row r="1732" ht="32.2" customHeight="1">
      <c r="A1732" s="243" t="inlineStr">
        <is>
          <t xml:space="preserve">3RD FLR</t>
        </is>
      </c>
      <c r="B1732" s="243" t="inlineStr">
        <is>
          <t xml:space="preserve">F</t>
        </is>
      </c>
      <c r="C1732" s="244" t="inlineStr">
        <is>
          <t xml:space="preserve">Knot, prime, stop and apply two undercoats and one finishing coat of gloss oil paint on general surfaces of woodwork</t>
        </is>
      </c>
      <c r="I1732" s="245" t="inlineStr">
        <is>
          <t xml:space="preserve">m2</t>
        </is>
      </c>
      <c r="K1732" s="256" t="inlineStr">
        <is>
          <t xml:space="preserve">'3RD FLR'!C241</t>
        </is>
      </c>
    </row>
    <row r="1733">
      <c r="C1733" s="246" t="inlineStr">
        <is>
          <t xml:space="preserve">Door leaf D3 (19 nr, 0.9x2.2): nr x w x h x 2 faces</t>
        </is>
      </c>
      <c r="D1733" s="248">
        <v>19</v>
      </c>
      <c r="E1733" s="247">
        <v>0.9</v>
      </c>
      <c r="F1733" s="247">
        <v>2.2</v>
      </c>
      <c r="G1733" s="247">
        <v>2</v>
      </c>
      <c r="H1733" s="249">
        <f>PRODUCT(D1733:G1733)</f>
        <v>75.24000000000001</v>
      </c>
      <c r="J1733" s="253" t="inlineStr">
        <is>
          <t xml:space="preserve">19*0.9*2.2*2</t>
        </is>
      </c>
    </row>
    <row r="1734">
      <c r="C1734" s="246" t="inlineStr">
        <is>
          <t xml:space="preserve">Door leaf D6 (21 nr, 0.75x2.2): nr x w x h x 2 faces</t>
        </is>
      </c>
      <c r="D1734" s="248">
        <v>21</v>
      </c>
      <c r="E1734" s="247">
        <v>0.75</v>
      </c>
      <c r="F1734" s="247">
        <v>2.2</v>
      </c>
      <c r="G1734" s="247">
        <v>2</v>
      </c>
      <c r="H1734" s="249">
        <f>PRODUCT(D1734:G1734)</f>
        <v>69.30000000000001</v>
      </c>
      <c r="J1734" s="253" t="inlineStr">
        <is>
          <t xml:space="preserve">21*0.75*2.2*2</t>
        </is>
      </c>
    </row>
    <row r="1735">
      <c r="C1735" s="246" t="inlineStr">
        <is>
          <t xml:space="preserve">Door leaf FD1 (1 nr, 1.5x2.2): nr x w x h x 2 faces</t>
        </is>
      </c>
      <c r="D1735" s="248">
        <v>1</v>
      </c>
      <c r="E1735" s="247">
        <v>1.5</v>
      </c>
      <c r="F1735" s="247">
        <v>2.2</v>
      </c>
      <c r="G1735" s="247">
        <v>2</v>
      </c>
      <c r="H1735" s="249">
        <f>PRODUCT(D1735:G1735)</f>
        <v>6.6000000000000005</v>
      </c>
      <c r="J1735" s="253" t="inlineStr">
        <is>
          <t xml:space="preserve">1*1.5*2.2*2</t>
        </is>
      </c>
    </row>
    <row r="1736">
      <c r="C1736" s="246" t="inlineStr">
        <is>
          <t xml:space="preserve">19*(2*2.2+0.9)*0.25</t>
        </is>
      </c>
      <c r="D1736" s="248">
        <v>19</v>
      </c>
      <c r="E1736" s="247">
        <f>2*2.2+0.9</f>
        <v>5.300000000000001</v>
      </c>
      <c r="F1736" s="247">
        <v>0.25</v>
      </c>
      <c r="H1736" s="249">
        <f>PRODUCT(D1736:G1736)</f>
        <v>25.175000000000004</v>
      </c>
      <c r="J1736" s="253" t="inlineStr">
        <is>
          <t xml:space="preserve">19*(2*2.2+0.9)*0.25</t>
        </is>
      </c>
    </row>
    <row r="1737">
      <c r="C1737" s="246" t="inlineStr">
        <is>
          <t xml:space="preserve">21*(2*2.2+0.75)*0.25</t>
        </is>
      </c>
      <c r="D1737" s="248">
        <v>21</v>
      </c>
      <c r="E1737" s="247">
        <f>2*2.2+0.75</f>
        <v>5.15</v>
      </c>
      <c r="F1737" s="247">
        <v>0.25</v>
      </c>
      <c r="H1737" s="249">
        <f>PRODUCT(D1737:G1737)</f>
        <v>27.0375</v>
      </c>
      <c r="J1737" s="253" t="inlineStr">
        <is>
          <t xml:space="preserve">21*(2*2.2+0.75)*0.25</t>
        </is>
      </c>
    </row>
    <row r="1738">
      <c r="C1738" s="246" t="inlineStr">
        <is>
          <t xml:space="preserve">1*(2*2.2+1.5)*0.25</t>
        </is>
      </c>
      <c r="D1738" s="248">
        <v>1</v>
      </c>
      <c r="E1738" s="247">
        <f>2*2.2+1.5</f>
        <v>5.9</v>
      </c>
      <c r="F1738" s="247">
        <v>0.25</v>
      </c>
      <c r="H1738" s="249">
        <f>PRODUCT(D1738:G1738)</f>
        <v>1.475</v>
      </c>
      <c r="J1738" s="253" t="inlineStr">
        <is>
          <t xml:space="preserve">1*(2*2.2+1.5)*0.25</t>
        </is>
      </c>
    </row>
    <row r="1739">
      <c r="C1739" s="250" t="inlineStr">
        <is>
          <t xml:space="preserve">Total carried to BOQ  3RD FLR item F</t>
        </is>
      </c>
      <c r="D1739" s="250" t="inlineStr">
        <is>
          <t xml:space="preserve"/>
        </is>
      </c>
      <c r="E1739" s="250" t="inlineStr">
        <is>
          <t xml:space="preserve"/>
        </is>
      </c>
      <c r="F1739" s="250" t="inlineStr">
        <is>
          <t xml:space="preserve"/>
        </is>
      </c>
      <c r="G1739" s="250" t="inlineStr">
        <is>
          <t xml:space="preserve"/>
        </is>
      </c>
      <c r="H1739" s="251">
        <f>SUM(H1733:H1738)</f>
        <v>204.82750000000001</v>
      </c>
      <c r="I1739" s="252" t="inlineStr">
        <is>
          <t xml:space="preserve">m2</t>
        </is>
      </c>
    </row>
    <row r="1740" ht="32.2" customHeight="1">
      <c r="A1740" s="243" t="inlineStr">
        <is>
          <t xml:space="preserve">3RD FLR</t>
        </is>
      </c>
      <c r="B1740" s="243" t="inlineStr">
        <is>
          <t xml:space="preserve">G</t>
        </is>
      </c>
      <c r="C1740" s="244" t="inlineStr">
        <is>
          <t xml:space="preserve">Prepare and apply one coat of aluminium primer on mild steel burglar-proof bars (measured over window opening area)</t>
        </is>
      </c>
      <c r="I1740" s="245" t="inlineStr">
        <is>
          <t xml:space="preserve">m2</t>
        </is>
      </c>
      <c r="K1740" s="256" t="inlineStr">
        <is>
          <t xml:space="preserve">'3RD FLR'!C243</t>
        </is>
      </c>
    </row>
    <row r="1741">
      <c r="C1741" s="246" t="inlineStr">
        <is>
          <t xml:space="preserve">Window W2 (7 nr, 1.8x1.3): nr x w x h</t>
        </is>
      </c>
      <c r="D1741" s="248">
        <v>7</v>
      </c>
      <c r="E1741" s="247">
        <v>1.8</v>
      </c>
      <c r="F1741" s="247">
        <v>1.3</v>
      </c>
      <c r="H1741" s="249">
        <f>PRODUCT(D1741:G1741)</f>
        <v>16.38</v>
      </c>
      <c r="J1741" s="253" t="inlineStr">
        <is>
          <t xml:space="preserve">7*1.8*1.3</t>
        </is>
      </c>
    </row>
    <row r="1742">
      <c r="C1742" s="246" t="inlineStr">
        <is>
          <t xml:space="preserve">Window W4 (13 nr, 0.9x1.3): nr x w x h</t>
        </is>
      </c>
      <c r="D1742" s="248">
        <v>13</v>
      </c>
      <c r="E1742" s="247">
        <v>0.9</v>
      </c>
      <c r="F1742" s="247">
        <v>1.3</v>
      </c>
      <c r="H1742" s="249">
        <f>PRODUCT(D1742:G1742)</f>
        <v>15.210000000000003</v>
      </c>
      <c r="J1742" s="253" t="inlineStr">
        <is>
          <t xml:space="preserve">13*0.9*1.3</t>
        </is>
      </c>
    </row>
    <row r="1743">
      <c r="C1743" s="246" t="inlineStr">
        <is>
          <t xml:space="preserve">Window W7 (2 nr, 1.8x1.6): nr x w x h</t>
        </is>
      </c>
      <c r="D1743" s="248">
        <v>2</v>
      </c>
      <c r="E1743" s="247">
        <v>1.8</v>
      </c>
      <c r="F1743" s="247">
        <v>1.6</v>
      </c>
      <c r="H1743" s="249">
        <f>PRODUCT(D1743:G1743)</f>
        <v>5.760000000000001</v>
      </c>
      <c r="J1743" s="253" t="inlineStr">
        <is>
          <t xml:space="preserve">2*1.8*1.6</t>
        </is>
      </c>
    </row>
    <row r="1744">
      <c r="C1744" s="246" t="inlineStr">
        <is>
          <t xml:space="preserve">Window W8 (4 nr, 1.2x1.9): nr x w x h</t>
        </is>
      </c>
      <c r="D1744" s="248">
        <v>4</v>
      </c>
      <c r="E1744" s="247">
        <v>1.2</v>
      </c>
      <c r="F1744" s="247">
        <v>1.9</v>
      </c>
      <c r="H1744" s="249">
        <f>PRODUCT(D1744:G1744)</f>
        <v>9.12</v>
      </c>
      <c r="J1744" s="253" t="inlineStr">
        <is>
          <t xml:space="preserve">4*1.2*1.9</t>
        </is>
      </c>
    </row>
    <row r="1745">
      <c r="C1745" s="246" t="inlineStr">
        <is>
          <t xml:space="preserve">Window W9 (10 nr, 1.2x1.15): nr x w x h</t>
        </is>
      </c>
      <c r="D1745" s="248">
        <v>10</v>
      </c>
      <c r="E1745" s="247">
        <v>1.2</v>
      </c>
      <c r="F1745" s="247">
        <v>1.15</v>
      </c>
      <c r="H1745" s="249">
        <f>PRODUCT(D1745:G1745)</f>
        <v>13.799999999999999</v>
      </c>
      <c r="J1745" s="253" t="inlineStr">
        <is>
          <t xml:space="preserve">10*1.2*1.15</t>
        </is>
      </c>
    </row>
    <row r="1746">
      <c r="C1746" s="246" t="inlineStr">
        <is>
          <t xml:space="preserve">Window W10 (1 nr, 1.2x1.2): nr x w x h</t>
        </is>
      </c>
      <c r="D1746" s="248">
        <v>1</v>
      </c>
      <c r="E1746" s="247">
        <v>1.2</v>
      </c>
      <c r="F1746" s="247">
        <v>1.2</v>
      </c>
      <c r="H1746" s="249">
        <f>PRODUCT(D1746:G1746)</f>
        <v>1.44</v>
      </c>
      <c r="J1746" s="253" t="inlineStr">
        <is>
          <t xml:space="preserve">1*1.2*1.2</t>
        </is>
      </c>
    </row>
    <row r="1747">
      <c r="C1747" s="246" t="inlineStr">
        <is>
          <t xml:space="preserve">Window W11 (8 nr, 1.5x1.3): nr x w x h</t>
        </is>
      </c>
      <c r="D1747" s="248">
        <v>8</v>
      </c>
      <c r="E1747" s="247">
        <v>1.5</v>
      </c>
      <c r="F1747" s="247">
        <v>1.3</v>
      </c>
      <c r="H1747" s="249">
        <f>PRODUCT(D1747:G1747)</f>
        <v>15.600000000000001</v>
      </c>
      <c r="J1747" s="253" t="inlineStr">
        <is>
          <t xml:space="preserve">8*1.5*1.3</t>
        </is>
      </c>
    </row>
    <row r="1748">
      <c r="C1748" s="246" t="inlineStr">
        <is>
          <t xml:space="preserve">Window W12 (4 nr, 1.5x1.15): nr x w x h</t>
        </is>
      </c>
      <c r="D1748" s="248">
        <v>4</v>
      </c>
      <c r="E1748" s="247">
        <v>1.5</v>
      </c>
      <c r="F1748" s="247">
        <v>1.15</v>
      </c>
      <c r="H1748" s="249">
        <f>PRODUCT(D1748:G1748)</f>
        <v>6.8999999999999995</v>
      </c>
      <c r="J1748" s="253" t="inlineStr">
        <is>
          <t xml:space="preserve">4*1.5*1.15</t>
        </is>
      </c>
    </row>
    <row r="1749">
      <c r="C1749" s="246" t="inlineStr">
        <is>
          <t xml:space="preserve">Window W13 (1 nr, 2.4x1.3): nr x w x h</t>
        </is>
      </c>
      <c r="D1749" s="248">
        <v>1</v>
      </c>
      <c r="E1749" s="247">
        <v>2.4</v>
      </c>
      <c r="F1749" s="247">
        <v>1.3</v>
      </c>
      <c r="H1749" s="249">
        <f>PRODUCT(D1749:G1749)</f>
        <v>3.12</v>
      </c>
      <c r="J1749" s="253" t="inlineStr">
        <is>
          <t xml:space="preserve">1*2.4*1.3</t>
        </is>
      </c>
    </row>
    <row r="1750">
      <c r="C1750" s="246" t="inlineStr">
        <is>
          <t xml:space="preserve">Window W15 (1 nr, 3x1.6): nr x w x h</t>
        </is>
      </c>
      <c r="D1750" s="248">
        <v>1</v>
      </c>
      <c r="E1750" s="247">
        <v>3</v>
      </c>
      <c r="F1750" s="247">
        <v>1.6</v>
      </c>
      <c r="H1750" s="249">
        <f>PRODUCT(D1750:G1750)</f>
        <v>4.800000000000001</v>
      </c>
      <c r="J1750" s="253" t="inlineStr">
        <is>
          <t xml:space="preserve">1*3*1.6</t>
        </is>
      </c>
    </row>
    <row r="1751">
      <c r="C1751" s="246" t="inlineStr">
        <is>
          <t xml:space="preserve">Window W17 (4 nr, 1.8x1.9): nr x w x h</t>
        </is>
      </c>
      <c r="D1751" s="248">
        <v>4</v>
      </c>
      <c r="E1751" s="247">
        <v>1.8</v>
      </c>
      <c r="F1751" s="247">
        <v>1.9</v>
      </c>
      <c r="H1751" s="249">
        <f>PRODUCT(D1751:G1751)</f>
        <v>13.68</v>
      </c>
      <c r="J1751" s="253" t="inlineStr">
        <is>
          <t xml:space="preserve">4*1.8*1.9</t>
        </is>
      </c>
    </row>
    <row r="1752">
      <c r="C1752" s="246" t="inlineStr">
        <is>
          <t xml:space="preserve">Window W18 (1 nr, 0.75x1.3): nr x w x h</t>
        </is>
      </c>
      <c r="D1752" s="248">
        <v>1</v>
      </c>
      <c r="E1752" s="247">
        <v>0.75</v>
      </c>
      <c r="F1752" s="247">
        <v>1.3</v>
      </c>
      <c r="H1752" s="249">
        <f>PRODUCT(D1752:G1752)</f>
        <v>0.9750000000000001</v>
      </c>
      <c r="J1752" s="253" t="inlineStr">
        <is>
          <t xml:space="preserve">1*0.75*1.3</t>
        </is>
      </c>
    </row>
    <row r="1753">
      <c r="C1753" s="246" t="inlineStr">
        <is>
          <t xml:space="preserve">Window W20 (1 nr, 1.45x1.9): nr x w x h</t>
        </is>
      </c>
      <c r="D1753" s="248">
        <v>1</v>
      </c>
      <c r="E1753" s="247">
        <v>1.45</v>
      </c>
      <c r="F1753" s="247">
        <v>1.9</v>
      </c>
      <c r="H1753" s="249">
        <f>PRODUCT(D1753:G1753)</f>
        <v>2.755</v>
      </c>
      <c r="J1753" s="253" t="inlineStr">
        <is>
          <t xml:space="preserve">1*1.45*1.9</t>
        </is>
      </c>
    </row>
    <row r="1754">
      <c r="C1754" s="246" t="inlineStr">
        <is>
          <t xml:space="preserve">Window HW1 (12 nr, 0.9x0.6): nr x w x h</t>
        </is>
      </c>
      <c r="D1754" s="248">
        <v>12</v>
      </c>
      <c r="E1754" s="247">
        <v>0.9</v>
      </c>
      <c r="F1754" s="247">
        <v>0.6</v>
      </c>
      <c r="H1754" s="249">
        <f>PRODUCT(D1754:G1754)</f>
        <v>6.48</v>
      </c>
      <c r="J1754" s="253" t="inlineStr">
        <is>
          <t xml:space="preserve">12*0.9*0.6</t>
        </is>
      </c>
    </row>
    <row r="1755">
      <c r="C1755" s="246" t="inlineStr">
        <is>
          <t xml:space="preserve">Window HW2 (5 nr, 0.75x0.6): nr x w x h</t>
        </is>
      </c>
      <c r="D1755" s="248">
        <v>5</v>
      </c>
      <c r="E1755" s="247">
        <v>0.75</v>
      </c>
      <c r="F1755" s="247">
        <v>0.6</v>
      </c>
      <c r="H1755" s="249">
        <f>PRODUCT(D1755:G1755)</f>
        <v>2.25</v>
      </c>
      <c r="J1755" s="253" t="inlineStr">
        <is>
          <t xml:space="preserve">5*0.75*0.6</t>
        </is>
      </c>
    </row>
    <row r="1756">
      <c r="C1756" s="246" t="inlineStr">
        <is>
          <t xml:space="preserve">Window HW3 (1 nr, 0.6x0.6): nr x w x h</t>
        </is>
      </c>
      <c r="D1756" s="248">
        <v>1</v>
      </c>
      <c r="E1756" s="247">
        <v>0.6</v>
      </c>
      <c r="F1756" s="247">
        <v>0.6</v>
      </c>
      <c r="H1756" s="249">
        <f>PRODUCT(D1756:G1756)</f>
        <v>0.36</v>
      </c>
      <c r="J1756" s="253" t="inlineStr">
        <is>
          <t xml:space="preserve">1*0.6*0.6</t>
        </is>
      </c>
    </row>
    <row r="1757">
      <c r="C1757" s="246" t="inlineStr">
        <is>
          <t xml:space="preserve">Window HW4 (1 nr, 1.2x0.6): nr x w x h</t>
        </is>
      </c>
      <c r="D1757" s="248">
        <v>1</v>
      </c>
      <c r="E1757" s="247">
        <v>1.2</v>
      </c>
      <c r="F1757" s="247">
        <v>0.6</v>
      </c>
      <c r="H1757" s="249">
        <f>PRODUCT(D1757:G1757)</f>
        <v>0.72</v>
      </c>
      <c r="J1757" s="253" t="inlineStr">
        <is>
          <t xml:space="preserve">1*1.2*0.6</t>
        </is>
      </c>
    </row>
    <row r="1758">
      <c r="C1758" s="250" t="inlineStr">
        <is>
          <t xml:space="preserve">Total carried to BOQ  3RD FLR item G</t>
        </is>
      </c>
      <c r="D1758" s="250" t="inlineStr">
        <is>
          <t xml:space="preserve"/>
        </is>
      </c>
      <c r="E1758" s="250" t="inlineStr">
        <is>
          <t xml:space="preserve"/>
        </is>
      </c>
      <c r="F1758" s="250" t="inlineStr">
        <is>
          <t xml:space="preserve"/>
        </is>
      </c>
      <c r="G1758" s="250" t="inlineStr">
        <is>
          <t xml:space="preserve"/>
        </is>
      </c>
      <c r="H1758" s="251">
        <f>SUM(H1741:H1757)</f>
        <v>119.35</v>
      </c>
      <c r="I1758" s="252" t="inlineStr">
        <is>
          <t xml:space="preserve">m2</t>
        </is>
      </c>
    </row>
    <row r="1759">
      <c r="C1759" s="242" t="inlineStr">
        <is>
          <t xml:space="preserve">Doors and windows: schedules ARCH-501/502 give building totals only (no tags on plans); quantities are allocated to floors pro-rata to measured habitable / washroom areas. Building totals equal the schedules.</t>
        </is>
      </c>
    </row>
    <row r="1760"/>
    <row r="1761" ht="21" customHeight="1">
      <c r="A1761" s="241" t="inlineStr">
        <is>
          <t xml:space="preserve">BILL NR. 7 - FOURTH FLOOR  -  FOURTH FLOOR</t>
        </is>
      </c>
      <c r="B1761" s="241" t="inlineStr">
        <is>
          <t xml:space="preserve"/>
        </is>
      </c>
      <c r="C1761" s="241" t="inlineStr">
        <is>
          <t xml:space="preserve"/>
        </is>
      </c>
      <c r="D1761" s="241" t="inlineStr">
        <is>
          <t xml:space="preserve"/>
        </is>
      </c>
      <c r="E1761" s="241" t="inlineStr">
        <is>
          <t xml:space="preserve"/>
        </is>
      </c>
      <c r="F1761" s="241" t="inlineStr">
        <is>
          <t xml:space="preserve"/>
        </is>
      </c>
      <c r="G1761" s="241" t="inlineStr">
        <is>
          <t xml:space="preserve"/>
        </is>
      </c>
      <c r="H1761" s="241" t="inlineStr">
        <is>
          <t xml:space="preserve"/>
        </is>
      </c>
      <c r="I1761" s="241" t="inlineStr">
        <is>
          <t xml:space="preserve"/>
        </is>
      </c>
      <c r="J1761" s="241" t="inlineStr">
        <is>
          <t xml:space="preserve"/>
        </is>
      </c>
      <c r="K1761" s="241" t="inlineStr">
        <is>
          <t xml:space="preserve"/>
        </is>
      </c>
    </row>
    <row r="1762">
      <c r="C1762" s="242" t="inlineStr">
        <is>
          <t xml:space="preserve">ELEMENT NO. 1: IN SITU CONCRETE/LARGE PRECAST CONCRETE</t>
        </is>
      </c>
    </row>
    <row r="1763">
      <c r="C1763" s="242" t="inlineStr">
        <is>
          <t xml:space="preserve">Vibrated in-situ concrete C40 as described in:</t>
        </is>
      </c>
    </row>
    <row r="1764">
      <c r="A1764" s="243" t="inlineStr">
        <is>
          <t xml:space="preserve">4TH FLR</t>
        </is>
      </c>
      <c r="B1764" s="243" t="inlineStr">
        <is>
          <t xml:space="preserve">A</t>
        </is>
      </c>
      <c r="C1764" s="244" t="inlineStr">
        <is>
          <t xml:space="preserve">Suspended slab 250mm thick</t>
        </is>
      </c>
      <c r="I1764" s="245" t="inlineStr">
        <is>
          <t xml:space="preserve">m3</t>
        </is>
      </c>
      <c r="K1764" s="256" t="inlineStr">
        <is>
          <t xml:space="preserve">'4TH FLR '!C34</t>
        </is>
      </c>
    </row>
    <row r="1765">
      <c r="C1765" s="246" t="inlineStr">
        <is>
          <t xml:space="preserve">Fourth floor (+14200) - Suspended slab: measured area x 250 thk</t>
        </is>
      </c>
      <c r="E1765" s="247">
        <v>1134.6</v>
      </c>
      <c r="F1765" s="247">
        <v>0.25</v>
      </c>
      <c r="H1765" s="249">
        <f>PRODUCT(D1765:G1765)</f>
        <v>283.65</v>
      </c>
      <c r="J1765" s="253" t="inlineStr">
        <is>
          <t xml:space="preserve">1134.6*0.25</t>
        </is>
      </c>
    </row>
    <row r="1766">
      <c r="C1766" s="250" t="inlineStr">
        <is>
          <t xml:space="preserve">Total carried to BOQ  4TH FLR item A</t>
        </is>
      </c>
      <c r="D1766" s="250" t="inlineStr">
        <is>
          <t xml:space="preserve"/>
        </is>
      </c>
      <c r="E1766" s="250" t="inlineStr">
        <is>
          <t xml:space="preserve"/>
        </is>
      </c>
      <c r="F1766" s="250" t="inlineStr">
        <is>
          <t xml:space="preserve"/>
        </is>
      </c>
      <c r="G1766" s="250" t="inlineStr">
        <is>
          <t xml:space="preserve"/>
        </is>
      </c>
      <c r="H1766" s="251">
        <f>SUM(H1765:H1765)</f>
        <v>283.65</v>
      </c>
      <c r="I1766" s="252" t="inlineStr">
        <is>
          <t xml:space="preserve">m3</t>
        </is>
      </c>
    </row>
    <row r="1767">
      <c r="A1767" s="243" t="inlineStr">
        <is>
          <t xml:space="preserve">4TH FLR</t>
        </is>
      </c>
      <c r="B1767" s="243" t="inlineStr">
        <is>
          <t xml:space="preserve">B</t>
        </is>
      </c>
      <c r="C1767" s="244" t="inlineStr">
        <is>
          <t xml:space="preserve">Beams (downstands below slab)</t>
        </is>
      </c>
      <c r="I1767" s="245" t="inlineStr">
        <is>
          <t xml:space="preserve">m3</t>
        </is>
      </c>
      <c r="K1767" s="256" t="inlineStr">
        <is>
          <t xml:space="preserve">'4TH FLR '!C36</t>
        </is>
      </c>
    </row>
    <row r="1768">
      <c r="C1768" s="246" t="inlineStr">
        <is>
          <t xml:space="preserve">Fourth floor (+14200) - 300 wide beams: length x width x depth</t>
        </is>
      </c>
      <c r="E1768" s="247">
        <v>166.8</v>
      </c>
      <c r="F1768" s="247">
        <v>0.3</v>
      </c>
      <c r="G1768" s="247">
        <v>0.35</v>
      </c>
      <c r="H1768" s="249">
        <f>PRODUCT(D1768:G1768)</f>
        <v>17.514</v>
      </c>
      <c r="J1768" s="253" t="inlineStr">
        <is>
          <t xml:space="preserve">166.8*0.3*0.35</t>
        </is>
      </c>
    </row>
    <row r="1769">
      <c r="C1769" s="246" t="inlineStr">
        <is>
          <t xml:space="preserve">Fourth floor (+14200) - 200 wide beams: length x width x depth</t>
        </is>
      </c>
      <c r="E1769" s="247">
        <v>33.1</v>
      </c>
      <c r="F1769" s="247">
        <v>0.2</v>
      </c>
      <c r="G1769" s="247">
        <v>0.35</v>
      </c>
      <c r="H1769" s="249">
        <f>PRODUCT(D1769:G1769)</f>
        <v>2.317</v>
      </c>
      <c r="J1769" s="253" t="inlineStr">
        <is>
          <t xml:space="preserve">33.1*0.2*0.35</t>
        </is>
      </c>
    </row>
    <row r="1770">
      <c r="C1770" s="250" t="inlineStr">
        <is>
          <t xml:space="preserve">Total carried to BOQ  4TH FLR item B</t>
        </is>
      </c>
      <c r="D1770" s="250" t="inlineStr">
        <is>
          <t xml:space="preserve"/>
        </is>
      </c>
      <c r="E1770" s="250" t="inlineStr">
        <is>
          <t xml:space="preserve"/>
        </is>
      </c>
      <c r="F1770" s="250" t="inlineStr">
        <is>
          <t xml:space="preserve"/>
        </is>
      </c>
      <c r="G1770" s="250" t="inlineStr">
        <is>
          <t xml:space="preserve"/>
        </is>
      </c>
      <c r="H1770" s="251">
        <f>SUM(H1768:H1769)</f>
        <v>19.831</v>
      </c>
      <c r="I1770" s="252" t="inlineStr">
        <is>
          <t xml:space="preserve">m3</t>
        </is>
      </c>
    </row>
    <row r="1771">
      <c r="A1771" s="243" t="inlineStr">
        <is>
          <t xml:space="preserve">4TH FLR</t>
        </is>
      </c>
      <c r="B1771" s="243" t="inlineStr">
        <is>
          <t xml:space="preserve">C</t>
        </is>
      </c>
      <c r="C1771" s="244" t="inlineStr">
        <is>
          <t xml:space="preserve">Columns</t>
        </is>
      </c>
      <c r="I1771" s="245" t="inlineStr">
        <is>
          <t xml:space="preserve">m3</t>
        </is>
      </c>
      <c r="K1771" s="256" t="inlineStr">
        <is>
          <t xml:space="preserve">'4TH FLR '!C38</t>
        </is>
      </c>
    </row>
    <row r="1772">
      <c r="C1772" s="246" t="inlineStr">
        <is>
          <t xml:space="preserve">COL-01A x5 - column (4th to 5th), ht 3.05</t>
        </is>
      </c>
      <c r="D1772" s="248">
        <v>5</v>
      </c>
      <c r="E1772" s="247">
        <v>0.75</v>
      </c>
      <c r="F1772" s="247">
        <v>0.5</v>
      </c>
      <c r="G1772" s="247">
        <v>3.05</v>
      </c>
      <c r="H1772" s="249">
        <f>PRODUCT(D1772:G1772)</f>
        <v>5.71875</v>
      </c>
      <c r="J1772" s="253" t="inlineStr">
        <is>
          <t xml:space="preserve">5*0.75*0.5*3.05</t>
        </is>
      </c>
    </row>
    <row r="1773">
      <c r="C1773" s="246" t="inlineStr">
        <is>
          <t xml:space="preserve">COL-01B x1 - column (4th to 5th), ht 3.05</t>
        </is>
      </c>
      <c r="D1773" s="248">
        <v>1</v>
      </c>
      <c r="E1773" s="247">
        <v>0.75</v>
      </c>
      <c r="F1773" s="247">
        <v>0.5</v>
      </c>
      <c r="G1773" s="247">
        <v>3.05</v>
      </c>
      <c r="H1773" s="249">
        <f>PRODUCT(D1773:G1773)</f>
        <v>1.1437499999999998</v>
      </c>
      <c r="J1773" s="253" t="inlineStr">
        <is>
          <t xml:space="preserve">1*0.75*0.5*3.05</t>
        </is>
      </c>
    </row>
    <row r="1774">
      <c r="C1774" s="246" t="inlineStr">
        <is>
          <t xml:space="preserve">COL-01C x2 - column (4th to 5th), ht 3.05</t>
        </is>
      </c>
      <c r="D1774" s="248">
        <v>2</v>
      </c>
      <c r="E1774" s="247">
        <v>0.75</v>
      </c>
      <c r="F1774" s="247">
        <v>0.5</v>
      </c>
      <c r="G1774" s="247">
        <v>3.05</v>
      </c>
      <c r="H1774" s="249">
        <f>PRODUCT(D1774:G1774)</f>
        <v>2.2874999999999996</v>
      </c>
      <c r="J1774" s="253" t="inlineStr">
        <is>
          <t xml:space="preserve">2*0.75*0.5*3.05</t>
        </is>
      </c>
    </row>
    <row r="1775">
      <c r="C1775" s="246" t="inlineStr">
        <is>
          <t xml:space="preserve">COL-01D x1 - column (4th to 5th), ht 3.05</t>
        </is>
      </c>
      <c r="D1775" s="248">
        <v>1</v>
      </c>
      <c r="E1775" s="247">
        <v>0.75</v>
      </c>
      <c r="F1775" s="247">
        <v>0.5</v>
      </c>
      <c r="G1775" s="247">
        <v>3.05</v>
      </c>
      <c r="H1775" s="249">
        <f>PRODUCT(D1775:G1775)</f>
        <v>1.1437499999999998</v>
      </c>
      <c r="J1775" s="253" t="inlineStr">
        <is>
          <t xml:space="preserve">1*0.75*0.5*3.05</t>
        </is>
      </c>
    </row>
    <row r="1776">
      <c r="C1776" s="246" t="inlineStr">
        <is>
          <t xml:space="preserve">COL-02A x3 - column (4th to 5th), ht 3.05</t>
        </is>
      </c>
      <c r="D1776" s="248">
        <v>3</v>
      </c>
      <c r="E1776" s="247">
        <v>1.2</v>
      </c>
      <c r="F1776" s="247">
        <v>0.3</v>
      </c>
      <c r="G1776" s="247">
        <v>3.05</v>
      </c>
      <c r="H1776" s="249">
        <f>PRODUCT(D1776:G1776)</f>
        <v>3.293999999999999</v>
      </c>
      <c r="J1776" s="253" t="inlineStr">
        <is>
          <t xml:space="preserve">3*1.2*0.3*3.05</t>
        </is>
      </c>
    </row>
    <row r="1777">
      <c r="C1777" s="246" t="inlineStr">
        <is>
          <t xml:space="preserve">COL-02B x6 - column (4th to 5th), ht 3.05</t>
        </is>
      </c>
      <c r="D1777" s="248">
        <v>6</v>
      </c>
      <c r="E1777" s="247">
        <v>1.2</v>
      </c>
      <c r="F1777" s="247">
        <v>0.3</v>
      </c>
      <c r="G1777" s="247">
        <v>3.05</v>
      </c>
      <c r="H1777" s="249">
        <f>PRODUCT(D1777:G1777)</f>
        <v>6.587999999999998</v>
      </c>
      <c r="J1777" s="253" t="inlineStr">
        <is>
          <t xml:space="preserve">6*1.2*0.3*3.05</t>
        </is>
      </c>
    </row>
    <row r="1778">
      <c r="C1778" s="246" t="inlineStr">
        <is>
          <t xml:space="preserve">COL-02C x1 - column (4th to 5th), ht 3.05</t>
        </is>
      </c>
      <c r="D1778" s="248">
        <v>1</v>
      </c>
      <c r="E1778" s="247">
        <v>1.2</v>
      </c>
      <c r="F1778" s="247">
        <v>0.3</v>
      </c>
      <c r="G1778" s="247">
        <v>3.05</v>
      </c>
      <c r="H1778" s="249">
        <f>PRODUCT(D1778:G1778)</f>
        <v>1.0979999999999999</v>
      </c>
      <c r="J1778" s="253" t="inlineStr">
        <is>
          <t xml:space="preserve">1*1.2*0.3*3.05</t>
        </is>
      </c>
    </row>
    <row r="1779">
      <c r="C1779" s="246" t="inlineStr">
        <is>
          <t xml:space="preserve">COL-02D x15 - column (4th to 5th), ht 3.05</t>
        </is>
      </c>
      <c r="D1779" s="248">
        <v>15</v>
      </c>
      <c r="E1779" s="247">
        <v>1.2</v>
      </c>
      <c r="F1779" s="247">
        <v>0.3</v>
      </c>
      <c r="G1779" s="247">
        <v>3.05</v>
      </c>
      <c r="H1779" s="249">
        <f>PRODUCT(D1779:G1779)</f>
        <v>16.47</v>
      </c>
      <c r="J1779" s="253" t="inlineStr">
        <is>
          <t xml:space="preserve">15*1.2*0.3*3.05</t>
        </is>
      </c>
    </row>
    <row r="1780">
      <c r="C1780" s="246" t="inlineStr">
        <is>
          <t xml:space="preserve">SWC-01A x1 - column (4th to 5th), ht 3.05</t>
        </is>
      </c>
      <c r="D1780" s="248">
        <v>1</v>
      </c>
      <c r="E1780" s="247">
        <f>2.85*0.25+0.825*0.25</f>
        <v>0.91875</v>
      </c>
      <c r="F1780" s="247">
        <v>3.05</v>
      </c>
      <c r="H1780" s="249">
        <f>PRODUCT(D1780:G1780)</f>
        <v>2.8021874999999996</v>
      </c>
      <c r="J1780" s="253" t="inlineStr">
        <is>
          <t xml:space="preserve">1*(2.85*0.25+0.825*0.25)*3.05</t>
        </is>
      </c>
    </row>
    <row r="1781">
      <c r="C1781" s="250" t="inlineStr">
        <is>
          <t xml:space="preserve">Total carried to BOQ  4TH FLR item C</t>
        </is>
      </c>
      <c r="D1781" s="250" t="inlineStr">
        <is>
          <t xml:space="preserve"/>
        </is>
      </c>
      <c r="E1781" s="250" t="inlineStr">
        <is>
          <t xml:space="preserve"/>
        </is>
      </c>
      <c r="F1781" s="250" t="inlineStr">
        <is>
          <t xml:space="preserve"/>
        </is>
      </c>
      <c r="G1781" s="250" t="inlineStr">
        <is>
          <t xml:space="preserve"/>
        </is>
      </c>
      <c r="H1781" s="251">
        <f>SUM(H1772:H1780)</f>
        <v>40.545937499999994</v>
      </c>
      <c r="I1781" s="252" t="inlineStr">
        <is>
          <t xml:space="preserve">m3</t>
        </is>
      </c>
    </row>
    <row r="1782">
      <c r="A1782" s="243" t="inlineStr">
        <is>
          <t xml:space="preserve">4TH FLR</t>
        </is>
      </c>
      <c r="B1782" s="243" t="inlineStr">
        <is>
          <t xml:space="preserve">D</t>
        </is>
      </c>
      <c r="C1782" s="244" t="inlineStr">
        <is>
          <t xml:space="preserve">Concrete wall - shear walls to main &amp; emergency stair cores, 250mm thick</t>
        </is>
      </c>
      <c r="I1782" s="245" t="inlineStr">
        <is>
          <t xml:space="preserve">m3</t>
        </is>
      </c>
      <c r="K1782" s="256" t="inlineStr">
        <is>
          <t xml:space="preserve">'4TH FLR '!C40</t>
        </is>
      </c>
    </row>
    <row r="1783">
      <c r="C1783" s="246" t="inlineStr">
        <is>
          <t xml:space="preserve">Fourth floor (+14200) - main stair core walls (22.05 m run): run x ht x 250 thk</t>
        </is>
      </c>
      <c r="E1783" s="247">
        <v>22.05</v>
      </c>
      <c r="F1783" s="247">
        <v>3.05</v>
      </c>
      <c r="G1783" s="247">
        <v>0.25</v>
      </c>
      <c r="H1783" s="249">
        <f>PRODUCT(D1783:G1783)</f>
        <v>16.813125</v>
      </c>
      <c r="J1783" s="253" t="inlineStr">
        <is>
          <t xml:space="preserve">22.05*3.05*0.25</t>
        </is>
      </c>
    </row>
    <row r="1784">
      <c r="C1784" s="246" t="inlineStr">
        <is>
          <t xml:space="preserve">Fourth floor (+14200) - emergency stair core walls (25.57 m run): run x ht x 250 thk</t>
        </is>
      </c>
      <c r="E1784" s="247">
        <v>25.57</v>
      </c>
      <c r="F1784" s="247">
        <v>3.05</v>
      </c>
      <c r="G1784" s="247">
        <v>0.25</v>
      </c>
      <c r="H1784" s="249">
        <f>PRODUCT(D1784:G1784)</f>
        <v>19.497125</v>
      </c>
      <c r="J1784" s="253" t="inlineStr">
        <is>
          <t xml:space="preserve">25.57*3.05*0.25</t>
        </is>
      </c>
    </row>
    <row r="1785">
      <c r="C1785" s="250" t="inlineStr">
        <is>
          <t xml:space="preserve">Total carried to BOQ  4TH FLR item D</t>
        </is>
      </c>
      <c r="D1785" s="250" t="inlineStr">
        <is>
          <t xml:space="preserve"/>
        </is>
      </c>
      <c r="E1785" s="250" t="inlineStr">
        <is>
          <t xml:space="preserve"/>
        </is>
      </c>
      <c r="F1785" s="250" t="inlineStr">
        <is>
          <t xml:space="preserve"/>
        </is>
      </c>
      <c r="G1785" s="250" t="inlineStr">
        <is>
          <t xml:space="preserve"/>
        </is>
      </c>
      <c r="H1785" s="251">
        <f>SUM(H1783:H1784)</f>
        <v>36.310249999999996</v>
      </c>
      <c r="I1785" s="252" t="inlineStr">
        <is>
          <t xml:space="preserve">m3</t>
        </is>
      </c>
    </row>
    <row r="1786">
      <c r="A1786" s="243" t="inlineStr">
        <is>
          <t xml:space="preserve">4TH FLR</t>
        </is>
      </c>
      <c r="B1786" s="243" t="inlineStr">
        <is>
          <t xml:space="preserve">E</t>
        </is>
      </c>
      <c r="C1786" s="244" t="inlineStr">
        <is>
          <t xml:space="preserve">Concrete wall - lift walls, 250mm thick</t>
        </is>
      </c>
      <c r="I1786" s="245" t="inlineStr">
        <is>
          <t xml:space="preserve">m3</t>
        </is>
      </c>
      <c r="K1786" s="256" t="inlineStr">
        <is>
          <t xml:space="preserve">'4TH FLR '!C42</t>
        </is>
      </c>
    </row>
    <row r="1787">
      <c r="C1787" s="246" t="inlineStr">
        <is>
          <t xml:space="preserve">Fourth floor (+14200) - lift core walls (21.825 m run): run x ht x 250 thk</t>
        </is>
      </c>
      <c r="E1787" s="247">
        <v>21.825</v>
      </c>
      <c r="F1787" s="247">
        <v>3.05</v>
      </c>
      <c r="G1787" s="247">
        <v>0.25</v>
      </c>
      <c r="H1787" s="249">
        <f>PRODUCT(D1787:G1787)</f>
        <v>16.6415625</v>
      </c>
      <c r="J1787" s="253" t="inlineStr">
        <is>
          <t xml:space="preserve">21.825*3.05*0.25</t>
        </is>
      </c>
    </row>
    <row r="1788">
      <c r="C1788" s="250" t="inlineStr">
        <is>
          <t xml:space="preserve">Total carried to BOQ  4TH FLR item E</t>
        </is>
      </c>
      <c r="D1788" s="250" t="inlineStr">
        <is>
          <t xml:space="preserve"/>
        </is>
      </c>
      <c r="E1788" s="250" t="inlineStr">
        <is>
          <t xml:space="preserve"/>
        </is>
      </c>
      <c r="F1788" s="250" t="inlineStr">
        <is>
          <t xml:space="preserve"/>
        </is>
      </c>
      <c r="G1788" s="250" t="inlineStr">
        <is>
          <t xml:space="preserve"/>
        </is>
      </c>
      <c r="H1788" s="251">
        <f>SUM(H1787:H1787)</f>
        <v>16.6415625</v>
      </c>
      <c r="I1788" s="252" t="inlineStr">
        <is>
          <t xml:space="preserve">m3</t>
        </is>
      </c>
    </row>
    <row r="1789">
      <c r="A1789" s="243" t="inlineStr">
        <is>
          <t xml:space="preserve">4TH FLR</t>
        </is>
      </c>
      <c r="B1789" s="243" t="inlineStr">
        <is>
          <t xml:space="preserve">F</t>
        </is>
      </c>
      <c r="C1789" s="244" t="inlineStr">
        <is>
          <t xml:space="preserve">Stairs</t>
        </is>
      </c>
      <c r="I1789" s="245" t="inlineStr">
        <is>
          <t xml:space="preserve">m3</t>
        </is>
      </c>
      <c r="K1789" s="256" t="inlineStr">
        <is>
          <t xml:space="preserve">'4TH FLR '!C44</t>
        </is>
      </c>
    </row>
    <row r="1790">
      <c r="C1790" s="246" t="inlineStr">
        <is>
          <t xml:space="preserve">Fourth floor (+14200) - Main stair flight (storey ht 3.3) - flights: 2.966 m3 per 3.3 m storey x (storey ht / 3.3)</t>
        </is>
      </c>
      <c r="E1790" s="247">
        <v>2.966</v>
      </c>
      <c r="F1790" s="247">
        <f>3.3/3.3</f>
        <v>1.0</v>
      </c>
      <c r="H1790" s="249">
        <f>PRODUCT(D1790:G1790)</f>
        <v>2.966</v>
      </c>
      <c r="J1790" s="253" t="inlineStr">
        <is>
          <t xml:space="preserve">2.966*3.3/3.3</t>
        </is>
      </c>
    </row>
    <row r="1791">
      <c r="C1791" s="246" t="inlineStr">
        <is>
          <t xml:space="preserve">Fourth floor (+14200) - Main stair flight (storey ht 3.3) - landings</t>
        </is>
      </c>
      <c r="H1791" s="247">
        <v>2.625</v>
      </c>
      <c r="J1791" s="253" t="inlineStr">
        <is>
          <t xml:space="preserve">2.625</t>
        </is>
      </c>
    </row>
    <row r="1792">
      <c r="C1792" s="246" t="inlineStr">
        <is>
          <t xml:space="preserve">Fourth floor (+14200) - Emergency stair flight (storey ht 3.3) - flights: 2.966 m3 per 3.3 m storey x (storey ht / 3.3)</t>
        </is>
      </c>
      <c r="E1792" s="247">
        <v>2.966</v>
      </c>
      <c r="F1792" s="247">
        <f>3.3/3.3</f>
        <v>1.0</v>
      </c>
      <c r="H1792" s="249">
        <f>PRODUCT(D1792:G1792)</f>
        <v>2.966</v>
      </c>
      <c r="J1792" s="253" t="inlineStr">
        <is>
          <t xml:space="preserve">2.966*3.3/3.3</t>
        </is>
      </c>
    </row>
    <row r="1793">
      <c r="C1793" s="246" t="inlineStr">
        <is>
          <t xml:space="preserve">Fourth floor (+14200) - Emergency stair flight (storey ht 3.3) - landings</t>
        </is>
      </c>
      <c r="H1793" s="247">
        <v>2.625</v>
      </c>
      <c r="J1793" s="253" t="inlineStr">
        <is>
          <t xml:space="preserve">2.625</t>
        </is>
      </c>
    </row>
    <row r="1794">
      <c r="C1794" s="250" t="inlineStr">
        <is>
          <t xml:space="preserve">Total carried to BOQ  4TH FLR item F</t>
        </is>
      </c>
      <c r="D1794" s="250" t="inlineStr">
        <is>
          <t xml:space="preserve"/>
        </is>
      </c>
      <c r="E1794" s="250" t="inlineStr">
        <is>
          <t xml:space="preserve"/>
        </is>
      </c>
      <c r="F1794" s="250" t="inlineStr">
        <is>
          <t xml:space="preserve"/>
        </is>
      </c>
      <c r="G1794" s="250" t="inlineStr">
        <is>
          <t xml:space="preserve"/>
        </is>
      </c>
      <c r="H1794" s="251">
        <f>SUM(H1790:H1793)</f>
        <v>11.182</v>
      </c>
      <c r="I1794" s="252" t="inlineStr">
        <is>
          <t xml:space="preserve">m3</t>
        </is>
      </c>
    </row>
    <row r="1795">
      <c r="A1795" s="243" t="inlineStr">
        <is>
          <t xml:space="preserve">4TH FLR</t>
        </is>
      </c>
      <c r="B1795" s="243" t="inlineStr">
        <is>
          <t xml:space="preserve">G</t>
        </is>
      </c>
      <c r="C1795" s="244" t="inlineStr">
        <is>
          <t xml:space="preserve">Lintels 150 x 225mm over door and window openings</t>
        </is>
      </c>
      <c r="I1795" s="245" t="inlineStr">
        <is>
          <t xml:space="preserve">m3</t>
        </is>
      </c>
      <c r="K1795" s="256" t="inlineStr">
        <is>
          <t xml:space="preserve">'4TH FLR '!C46</t>
        </is>
      </c>
    </row>
    <row r="1796">
      <c r="C1796" s="246" t="inlineStr">
        <is>
          <t xml:space="preserve">Lintel over D2 (8 nr, 1x2.2): nr x (width + 2 x 150 bearing) x 150 x 225</t>
        </is>
      </c>
      <c r="D1796" s="248">
        <v>8</v>
      </c>
      <c r="E1796" s="247">
        <f>1+0.3</f>
        <v>1.3</v>
      </c>
      <c r="F1796" s="247">
        <v>0.15</v>
      </c>
      <c r="G1796" s="247">
        <v>0.225</v>
      </c>
      <c r="H1796" s="249">
        <f>PRODUCT(D1796:G1796)</f>
        <v>0.35100000000000003</v>
      </c>
      <c r="J1796" s="253" t="inlineStr">
        <is>
          <t xml:space="preserve">8*(1+0.3)*0.15*0.225</t>
        </is>
      </c>
    </row>
    <row r="1797">
      <c r="C1797" s="246" t="inlineStr">
        <is>
          <t xml:space="preserve">Lintel over D3 (15 nr, 0.9x2.2): nr x (width + 2 x 150 bearing) x 150 x 225</t>
        </is>
      </c>
      <c r="D1797" s="248">
        <v>15</v>
      </c>
      <c r="E1797" s="247">
        <f>0.9+0.3</f>
        <v>1.2</v>
      </c>
      <c r="F1797" s="247">
        <v>0.15</v>
      </c>
      <c r="G1797" s="247">
        <v>0.225</v>
      </c>
      <c r="H1797" s="249">
        <f>PRODUCT(D1797:G1797)</f>
        <v>0.6074999999999999</v>
      </c>
      <c r="J1797" s="253" t="inlineStr">
        <is>
          <t xml:space="preserve">15*(0.9+0.3)*0.15*0.225</t>
        </is>
      </c>
    </row>
    <row r="1798">
      <c r="C1798" s="246" t="inlineStr">
        <is>
          <t xml:space="preserve">Lintel over D6 (22 nr, 0.75x2.2): nr x (width + 2 x 150 bearing) x 150 x 225</t>
        </is>
      </c>
      <c r="D1798" s="248">
        <v>22</v>
      </c>
      <c r="E1798" s="247">
        <f>0.75+0.3</f>
        <v>1.05</v>
      </c>
      <c r="F1798" s="247">
        <v>0.15</v>
      </c>
      <c r="G1798" s="247">
        <v>0.225</v>
      </c>
      <c r="H1798" s="249">
        <f>PRODUCT(D1798:G1798)</f>
        <v>0.7796250000000001</v>
      </c>
      <c r="J1798" s="253" t="inlineStr">
        <is>
          <t xml:space="preserve">22*(0.75+0.3)*0.15*0.225</t>
        </is>
      </c>
    </row>
    <row r="1799">
      <c r="C1799" s="246" t="inlineStr">
        <is>
          <t xml:space="preserve">Lintel over D7 (1 nr, 0.7x2.2): nr x (width + 2 x 150 bearing) x 150 x 225</t>
        </is>
      </c>
      <c r="D1799" s="248">
        <v>1</v>
      </c>
      <c r="E1799" s="247">
        <f>0.7+0.3</f>
        <v>1.0</v>
      </c>
      <c r="F1799" s="247">
        <v>0.15</v>
      </c>
      <c r="G1799" s="247">
        <v>0.225</v>
      </c>
      <c r="H1799" s="249">
        <f>PRODUCT(D1799:G1799)</f>
        <v>0.03375</v>
      </c>
      <c r="J1799" s="253" t="inlineStr">
        <is>
          <t xml:space="preserve">1*(0.7+0.3)*0.15*0.225</t>
        </is>
      </c>
    </row>
    <row r="1800">
      <c r="C1800" s="246" t="inlineStr">
        <is>
          <t xml:space="preserve">Lintel over D8 (3 nr, 1.2x2.2): nr x (width + 2 x 150 bearing) x 150 x 225</t>
        </is>
      </c>
      <c r="D1800" s="248">
        <v>3</v>
      </c>
      <c r="E1800" s="247">
        <f>1.2+0.3</f>
        <v>1.5</v>
      </c>
      <c r="F1800" s="247">
        <v>0.15</v>
      </c>
      <c r="G1800" s="247">
        <v>0.225</v>
      </c>
      <c r="H1800" s="249">
        <f>PRODUCT(D1800:G1800)</f>
        <v>0.15187499999999998</v>
      </c>
      <c r="J1800" s="253" t="inlineStr">
        <is>
          <t xml:space="preserve">3*(1.2+0.3)*0.15*0.225</t>
        </is>
      </c>
    </row>
    <row r="1801">
      <c r="C1801" s="246" t="inlineStr">
        <is>
          <t xml:space="preserve">Lintel over ED1 (3 nr, 1x2.2): nr x (width + 2 x 150 bearing) x 150 x 225</t>
        </is>
      </c>
      <c r="D1801" s="248">
        <v>3</v>
      </c>
      <c r="E1801" s="247">
        <f>1+0.3</f>
        <v>1.3</v>
      </c>
      <c r="F1801" s="247">
        <v>0.15</v>
      </c>
      <c r="G1801" s="247">
        <v>0.225</v>
      </c>
      <c r="H1801" s="249">
        <f>PRODUCT(D1801:G1801)</f>
        <v>0.13162500000000002</v>
      </c>
      <c r="J1801" s="253" t="inlineStr">
        <is>
          <t xml:space="preserve">3*(1+0.3)*0.15*0.225</t>
        </is>
      </c>
    </row>
    <row r="1802">
      <c r="C1802" s="246" t="inlineStr">
        <is>
          <t xml:space="preserve">Lintel over ED2 (3 nr, 1x2.2): nr x (width + 2 x 150 bearing) x 150 x 225</t>
        </is>
      </c>
      <c r="D1802" s="248">
        <v>3</v>
      </c>
      <c r="E1802" s="247">
        <f>1+0.3</f>
        <v>1.3</v>
      </c>
      <c r="F1802" s="247">
        <v>0.15</v>
      </c>
      <c r="G1802" s="247">
        <v>0.225</v>
      </c>
      <c r="H1802" s="249">
        <f>PRODUCT(D1802:G1802)</f>
        <v>0.13162500000000002</v>
      </c>
      <c r="J1802" s="253" t="inlineStr">
        <is>
          <t xml:space="preserve">3*(1+0.3)*0.15*0.225</t>
        </is>
      </c>
    </row>
    <row r="1803">
      <c r="C1803" s="246" t="inlineStr">
        <is>
          <t xml:space="preserve">Lintel over D9 (2 nr, 0.9x2.2): nr x (width + 2 x 150 bearing) x 150 x 225</t>
        </is>
      </c>
      <c r="D1803" s="248">
        <v>2</v>
      </c>
      <c r="E1803" s="247">
        <f>0.9+0.3</f>
        <v>1.2</v>
      </c>
      <c r="F1803" s="247">
        <v>0.15</v>
      </c>
      <c r="G1803" s="247">
        <v>0.225</v>
      </c>
      <c r="H1803" s="249">
        <f>PRODUCT(D1803:G1803)</f>
        <v>0.081</v>
      </c>
      <c r="J1803" s="253" t="inlineStr">
        <is>
          <t xml:space="preserve">2*(0.9+0.3)*0.15*0.225</t>
        </is>
      </c>
    </row>
    <row r="1804">
      <c r="C1804" s="246" t="inlineStr">
        <is>
          <t xml:space="preserve">Lintel over FD1 (1 nr, 1.5x2.2): nr x (width + 2 x 150 bearing) x 150 x 225</t>
        </is>
      </c>
      <c r="D1804" s="248">
        <v>1</v>
      </c>
      <c r="E1804" s="247">
        <f>1.5+0.3</f>
        <v>1.8</v>
      </c>
      <c r="F1804" s="247">
        <v>0.15</v>
      </c>
      <c r="G1804" s="247">
        <v>0.225</v>
      </c>
      <c r="H1804" s="249">
        <f>PRODUCT(D1804:G1804)</f>
        <v>0.060750000000000005</v>
      </c>
      <c r="J1804" s="253" t="inlineStr">
        <is>
          <t xml:space="preserve">1*(1.5+0.3)*0.15*0.225</t>
        </is>
      </c>
    </row>
    <row r="1805">
      <c r="C1805" s="246" t="inlineStr">
        <is>
          <t xml:space="preserve">Lintel over M1 (3 nr, 0.9x2.2): nr x (width + 2 x 150 bearing) x 150 x 225</t>
        </is>
      </c>
      <c r="D1805" s="248">
        <v>3</v>
      </c>
      <c r="E1805" s="247">
        <f>0.9+0.3</f>
        <v>1.2</v>
      </c>
      <c r="F1805" s="247">
        <v>0.15</v>
      </c>
      <c r="G1805" s="247">
        <v>0.225</v>
      </c>
      <c r="H1805" s="249">
        <f>PRODUCT(D1805:G1805)</f>
        <v>0.12149999999999998</v>
      </c>
      <c r="J1805" s="253" t="inlineStr">
        <is>
          <t xml:space="preserve">3*(0.9+0.3)*0.15*0.225</t>
        </is>
      </c>
    </row>
    <row r="1806">
      <c r="C1806" s="246" t="inlineStr">
        <is>
          <t xml:space="preserve">Lintel over M2 (5 nr, 0.75x2.2): nr x (width + 2 x 150 bearing) x 150 x 225</t>
        </is>
      </c>
      <c r="D1806" s="248">
        <v>5</v>
      </c>
      <c r="E1806" s="247">
        <f>0.75+0.3</f>
        <v>1.05</v>
      </c>
      <c r="F1806" s="247">
        <v>0.15</v>
      </c>
      <c r="G1806" s="247">
        <v>0.225</v>
      </c>
      <c r="H1806" s="249">
        <f>PRODUCT(D1806:G1806)</f>
        <v>0.1771875</v>
      </c>
      <c r="J1806" s="253" t="inlineStr">
        <is>
          <t xml:space="preserve">5*(0.75+0.3)*0.15*0.225</t>
        </is>
      </c>
    </row>
    <row r="1807">
      <c r="C1807" s="246" t="inlineStr">
        <is>
          <t xml:space="preserve">Lintel over M3 (1 nr, 0.45x2.2): nr x (width + 2 x 150 bearing) x 150 x 225</t>
        </is>
      </c>
      <c r="D1807" s="248">
        <v>1</v>
      </c>
      <c r="E1807" s="247">
        <f>0.45+0.3</f>
        <v>0.75</v>
      </c>
      <c r="F1807" s="247">
        <v>0.15</v>
      </c>
      <c r="G1807" s="247">
        <v>0.225</v>
      </c>
      <c r="H1807" s="249">
        <f>PRODUCT(D1807:G1807)</f>
        <v>0.025312499999999998</v>
      </c>
      <c r="J1807" s="253" t="inlineStr">
        <is>
          <t xml:space="preserve">1*(0.45+0.3)*0.15*0.225</t>
        </is>
      </c>
    </row>
    <row r="1808">
      <c r="C1808" s="246" t="inlineStr">
        <is>
          <t xml:space="preserve">Lintel over M5 (3 nr, 0.6x2.2): nr x (width + 2 x 150 bearing) x 150 x 225</t>
        </is>
      </c>
      <c r="D1808" s="248">
        <v>3</v>
      </c>
      <c r="E1808" s="247">
        <f>0.6+0.3</f>
        <v>0.8999999999999999</v>
      </c>
      <c r="F1808" s="247">
        <v>0.15</v>
      </c>
      <c r="G1808" s="247">
        <v>0.225</v>
      </c>
      <c r="H1808" s="249">
        <f>PRODUCT(D1808:G1808)</f>
        <v>0.091125</v>
      </c>
      <c r="J1808" s="253" t="inlineStr">
        <is>
          <t xml:space="preserve">3*(0.6+0.3)*0.15*0.225</t>
        </is>
      </c>
    </row>
    <row r="1809">
      <c r="C1809" s="246" t="inlineStr">
        <is>
          <t xml:space="preserve">Lintel over SD1 (1 nr, 3x2.2): nr x (width + 2 x 150 bearing) x 150 x 225</t>
        </is>
      </c>
      <c r="D1809" s="248">
        <v>1</v>
      </c>
      <c r="E1809" s="247">
        <f>3+0.3</f>
        <v>3.3</v>
      </c>
      <c r="F1809" s="247">
        <v>0.15</v>
      </c>
      <c r="G1809" s="247">
        <v>0.225</v>
      </c>
      <c r="H1809" s="249">
        <f>PRODUCT(D1809:G1809)</f>
        <v>0.11137499999999999</v>
      </c>
      <c r="J1809" s="253" t="inlineStr">
        <is>
          <t xml:space="preserve">1*(3+0.3)*0.15*0.225</t>
        </is>
      </c>
    </row>
    <row r="1810">
      <c r="C1810" s="246" t="inlineStr">
        <is>
          <t xml:space="preserve">Lintel over SD2 (4 nr, 1.6x2.2): nr x (width + 2 x 150 bearing) x 150 x 225</t>
        </is>
      </c>
      <c r="D1810" s="248">
        <v>4</v>
      </c>
      <c r="E1810" s="247">
        <f>1.6+0.3</f>
        <v>1.9000000000000001</v>
      </c>
      <c r="F1810" s="247">
        <v>0.15</v>
      </c>
      <c r="G1810" s="247">
        <v>0.225</v>
      </c>
      <c r="H1810" s="249">
        <f>PRODUCT(D1810:G1810)</f>
        <v>0.25650000000000006</v>
      </c>
      <c r="J1810" s="253" t="inlineStr">
        <is>
          <t xml:space="preserve">4*(1.6+0.3)*0.15*0.225</t>
        </is>
      </c>
    </row>
    <row r="1811">
      <c r="C1811" s="246" t="inlineStr">
        <is>
          <t xml:space="preserve">Lintel over SD3 (2 nr, 1.3x2.2): nr x (width + 2 x 150 bearing) x 150 x 225</t>
        </is>
      </c>
      <c r="D1811" s="248">
        <v>2</v>
      </c>
      <c r="E1811" s="247">
        <f>1.3+0.3</f>
        <v>1.6</v>
      </c>
      <c r="F1811" s="247">
        <v>0.15</v>
      </c>
      <c r="G1811" s="247">
        <v>0.225</v>
      </c>
      <c r="H1811" s="249">
        <f>PRODUCT(D1811:G1811)</f>
        <v>0.108</v>
      </c>
      <c r="J1811" s="253" t="inlineStr">
        <is>
          <t xml:space="preserve">2*(1.3+0.3)*0.15*0.225</t>
        </is>
      </c>
    </row>
    <row r="1812">
      <c r="C1812" s="246" t="inlineStr">
        <is>
          <t xml:space="preserve">Lintel over SD4 (4 nr, 1.8x2.2): nr x (width + 2 x 150 bearing) x 150 x 225</t>
        </is>
      </c>
      <c r="D1812" s="248">
        <v>4</v>
      </c>
      <c r="E1812" s="247">
        <f>1.8+0.3</f>
        <v>2.1</v>
      </c>
      <c r="F1812" s="247">
        <v>0.15</v>
      </c>
      <c r="G1812" s="247">
        <v>0.225</v>
      </c>
      <c r="H1812" s="249">
        <f>PRODUCT(D1812:G1812)</f>
        <v>0.28350000000000003</v>
      </c>
      <c r="J1812" s="253" t="inlineStr">
        <is>
          <t xml:space="preserve">4*(1.8+0.3)*0.15*0.225</t>
        </is>
      </c>
    </row>
    <row r="1813">
      <c r="C1813" s="246" t="inlineStr">
        <is>
          <t xml:space="preserve">Lintel over SD5 (1 nr, 1.2x2.2): nr x (width + 2 x 150 bearing) x 150 x 225</t>
        </is>
      </c>
      <c r="D1813" s="248">
        <v>1</v>
      </c>
      <c r="E1813" s="247">
        <f>1.2+0.3</f>
        <v>1.5</v>
      </c>
      <c r="F1813" s="247">
        <v>0.15</v>
      </c>
      <c r="G1813" s="247">
        <v>0.225</v>
      </c>
      <c r="H1813" s="249">
        <f>PRODUCT(D1813:G1813)</f>
        <v>0.050624999999999996</v>
      </c>
      <c r="J1813" s="253" t="inlineStr">
        <is>
          <t xml:space="preserve">1*(1.2+0.3)*0.15*0.225</t>
        </is>
      </c>
    </row>
    <row r="1814">
      <c r="C1814" s="246" t="inlineStr">
        <is>
          <t xml:space="preserve">Lintel over W2 (6 nr, 1.8x1.3): nr x (width + 2 x 150 bearing) x 150 x 225</t>
        </is>
      </c>
      <c r="D1814" s="248">
        <v>6</v>
      </c>
      <c r="E1814" s="247">
        <f>1.8+0.3</f>
        <v>2.1</v>
      </c>
      <c r="F1814" s="247">
        <v>0.15</v>
      </c>
      <c r="G1814" s="247">
        <v>0.225</v>
      </c>
      <c r="H1814" s="249">
        <f>PRODUCT(D1814:G1814)</f>
        <v>0.42525</v>
      </c>
      <c r="J1814" s="253" t="inlineStr">
        <is>
          <t xml:space="preserve">6*(1.8+0.3)*0.15*0.225</t>
        </is>
      </c>
    </row>
    <row r="1815">
      <c r="C1815" s="246" t="inlineStr">
        <is>
          <t xml:space="preserve">Lintel over W4 (10 nr, 0.9x1.3): nr x (width + 2 x 150 bearing) x 150 x 225</t>
        </is>
      </c>
      <c r="D1815" s="248">
        <v>10</v>
      </c>
      <c r="E1815" s="247">
        <f>0.9+0.3</f>
        <v>1.2</v>
      </c>
      <c r="F1815" s="247">
        <v>0.15</v>
      </c>
      <c r="G1815" s="247">
        <v>0.225</v>
      </c>
      <c r="H1815" s="249">
        <f>PRODUCT(D1815:G1815)</f>
        <v>0.40499999999999997</v>
      </c>
      <c r="J1815" s="253" t="inlineStr">
        <is>
          <t xml:space="preserve">10*(0.9+0.3)*0.15*0.225</t>
        </is>
      </c>
    </row>
    <row r="1816">
      <c r="C1816" s="246" t="inlineStr">
        <is>
          <t xml:space="preserve">Lintel over W7 (2 nr, 1.8x1.6): nr x (width + 2 x 150 bearing) x 150 x 225</t>
        </is>
      </c>
      <c r="D1816" s="248">
        <v>2</v>
      </c>
      <c r="E1816" s="247">
        <f>1.8+0.3</f>
        <v>2.1</v>
      </c>
      <c r="F1816" s="247">
        <v>0.15</v>
      </c>
      <c r="G1816" s="247">
        <v>0.225</v>
      </c>
      <c r="H1816" s="249">
        <f>PRODUCT(D1816:G1816)</f>
        <v>0.14175000000000001</v>
      </c>
      <c r="J1816" s="253" t="inlineStr">
        <is>
          <t xml:space="preserve">2*(1.8+0.3)*0.15*0.225</t>
        </is>
      </c>
    </row>
    <row r="1817">
      <c r="C1817" s="246" t="inlineStr">
        <is>
          <t xml:space="preserve">Lintel over W8 (3 nr, 1.2x1.9): nr x (width + 2 x 150 bearing) x 150 x 225</t>
        </is>
      </c>
      <c r="D1817" s="248">
        <v>3</v>
      </c>
      <c r="E1817" s="247">
        <f>1.2+0.3</f>
        <v>1.5</v>
      </c>
      <c r="F1817" s="247">
        <v>0.15</v>
      </c>
      <c r="G1817" s="247">
        <v>0.225</v>
      </c>
      <c r="H1817" s="249">
        <f>PRODUCT(D1817:G1817)</f>
        <v>0.15187499999999998</v>
      </c>
      <c r="J1817" s="253" t="inlineStr">
        <is>
          <t xml:space="preserve">3*(1.2+0.3)*0.15*0.225</t>
        </is>
      </c>
    </row>
    <row r="1818">
      <c r="C1818" s="246" t="inlineStr">
        <is>
          <t xml:space="preserve">Lintel over W9 (8 nr, 1.2x1.15): nr x (width + 2 x 150 bearing) x 150 x 225</t>
        </is>
      </c>
      <c r="D1818" s="248">
        <v>8</v>
      </c>
      <c r="E1818" s="247">
        <f>1.2+0.3</f>
        <v>1.5</v>
      </c>
      <c r="F1818" s="247">
        <v>0.15</v>
      </c>
      <c r="G1818" s="247">
        <v>0.225</v>
      </c>
      <c r="H1818" s="249">
        <f>PRODUCT(D1818:G1818)</f>
        <v>0.40499999999999997</v>
      </c>
      <c r="J1818" s="253" t="inlineStr">
        <is>
          <t xml:space="preserve">8*(1.2+0.3)*0.15*0.225</t>
        </is>
      </c>
    </row>
    <row r="1819">
      <c r="C1819" s="246" t="inlineStr">
        <is>
          <t xml:space="preserve">Lintel over W10 (1 nr, 1.2x1.2): nr x (width + 2 x 150 bearing) x 150 x 225</t>
        </is>
      </c>
      <c r="D1819" s="248">
        <v>1</v>
      </c>
      <c r="E1819" s="247">
        <f>1.2+0.3</f>
        <v>1.5</v>
      </c>
      <c r="F1819" s="247">
        <v>0.15</v>
      </c>
      <c r="G1819" s="247">
        <v>0.225</v>
      </c>
      <c r="H1819" s="249">
        <f>PRODUCT(D1819:G1819)</f>
        <v>0.050624999999999996</v>
      </c>
      <c r="J1819" s="253" t="inlineStr">
        <is>
          <t xml:space="preserve">1*(1.2+0.3)*0.15*0.225</t>
        </is>
      </c>
    </row>
    <row r="1820">
      <c r="C1820" s="246" t="inlineStr">
        <is>
          <t xml:space="preserve">Lintel over W11 (7 nr, 1.5x1.3): nr x (width + 2 x 150 bearing) x 150 x 225</t>
        </is>
      </c>
      <c r="D1820" s="248">
        <v>7</v>
      </c>
      <c r="E1820" s="247">
        <f>1.5+0.3</f>
        <v>1.8</v>
      </c>
      <c r="F1820" s="247">
        <v>0.15</v>
      </c>
      <c r="G1820" s="247">
        <v>0.225</v>
      </c>
      <c r="H1820" s="249">
        <f>PRODUCT(D1820:G1820)</f>
        <v>0.42524999999999996</v>
      </c>
      <c r="J1820" s="253" t="inlineStr">
        <is>
          <t xml:space="preserve">7*(1.5+0.3)*0.15*0.225</t>
        </is>
      </c>
    </row>
    <row r="1821">
      <c r="C1821" s="246" t="inlineStr">
        <is>
          <t xml:space="preserve">Lintel over W12 (4 nr, 1.5x1.15): nr x (width + 2 x 150 bearing) x 150 x 225</t>
        </is>
      </c>
      <c r="D1821" s="248">
        <v>4</v>
      </c>
      <c r="E1821" s="247">
        <f>1.5+0.3</f>
        <v>1.8</v>
      </c>
      <c r="F1821" s="247">
        <v>0.15</v>
      </c>
      <c r="G1821" s="247">
        <v>0.225</v>
      </c>
      <c r="H1821" s="249">
        <f>PRODUCT(D1821:G1821)</f>
        <v>0.24300000000000002</v>
      </c>
      <c r="J1821" s="253" t="inlineStr">
        <is>
          <t xml:space="preserve">4*(1.5+0.3)*0.15*0.225</t>
        </is>
      </c>
    </row>
    <row r="1822">
      <c r="C1822" s="246" t="inlineStr">
        <is>
          <t xml:space="preserve">Lintel over W13 (1 nr, 2.4x1.3): nr x (width + 2 x 150 bearing) x 150 x 225</t>
        </is>
      </c>
      <c r="D1822" s="248">
        <v>1</v>
      </c>
      <c r="E1822" s="247">
        <f>2.4+0.3</f>
        <v>2.6999999999999997</v>
      </c>
      <c r="F1822" s="247">
        <v>0.15</v>
      </c>
      <c r="G1822" s="247">
        <v>0.225</v>
      </c>
      <c r="H1822" s="249">
        <f>PRODUCT(D1822:G1822)</f>
        <v>0.091125</v>
      </c>
      <c r="J1822" s="253" t="inlineStr">
        <is>
          <t xml:space="preserve">1*(2.4+0.3)*0.15*0.225</t>
        </is>
      </c>
    </row>
    <row r="1823">
      <c r="C1823" s="246" t="inlineStr">
        <is>
          <t xml:space="preserve">Lintel over W15 (1 nr, 3x1.6): nr x (width + 2 x 150 bearing) x 150 x 225</t>
        </is>
      </c>
      <c r="D1823" s="248">
        <v>1</v>
      </c>
      <c r="E1823" s="247">
        <f>3+0.3</f>
        <v>3.3</v>
      </c>
      <c r="F1823" s="247">
        <v>0.15</v>
      </c>
      <c r="G1823" s="247">
        <v>0.225</v>
      </c>
      <c r="H1823" s="249">
        <f>PRODUCT(D1823:G1823)</f>
        <v>0.11137499999999999</v>
      </c>
      <c r="J1823" s="253" t="inlineStr">
        <is>
          <t xml:space="preserve">1*(3+0.3)*0.15*0.225</t>
        </is>
      </c>
    </row>
    <row r="1824">
      <c r="C1824" s="246" t="inlineStr">
        <is>
          <t xml:space="preserve">Lintel over W17 (3 nr, 1.8x1.9): nr x (width + 2 x 150 bearing) x 150 x 225</t>
        </is>
      </c>
      <c r="D1824" s="248">
        <v>3</v>
      </c>
      <c r="E1824" s="247">
        <f>1.8+0.3</f>
        <v>2.1</v>
      </c>
      <c r="F1824" s="247">
        <v>0.15</v>
      </c>
      <c r="G1824" s="247">
        <v>0.225</v>
      </c>
      <c r="H1824" s="249">
        <f>PRODUCT(D1824:G1824)</f>
        <v>0.212625</v>
      </c>
      <c r="J1824" s="253" t="inlineStr">
        <is>
          <t xml:space="preserve">3*(1.8+0.3)*0.15*0.225</t>
        </is>
      </c>
    </row>
    <row r="1825">
      <c r="C1825" s="246" t="inlineStr">
        <is>
          <t xml:space="preserve">Lintel over W18 (1 nr, 0.75x1.3): nr x (width + 2 x 150 bearing) x 150 x 225</t>
        </is>
      </c>
      <c r="D1825" s="248">
        <v>1</v>
      </c>
      <c r="E1825" s="247">
        <f>0.75+0.3</f>
        <v>1.05</v>
      </c>
      <c r="F1825" s="247">
        <v>0.15</v>
      </c>
      <c r="G1825" s="247">
        <v>0.225</v>
      </c>
      <c r="H1825" s="249">
        <f>PRODUCT(D1825:G1825)</f>
        <v>0.035437500000000004</v>
      </c>
      <c r="J1825" s="253" t="inlineStr">
        <is>
          <t xml:space="preserve">1*(0.75+0.3)*0.15*0.225</t>
        </is>
      </c>
    </row>
    <row r="1826">
      <c r="C1826" s="246" t="inlineStr">
        <is>
          <t xml:space="preserve">Lintel over W20 (1 nr, 1.45x1.9): nr x (width + 2 x 150 bearing) x 150 x 225</t>
        </is>
      </c>
      <c r="D1826" s="248">
        <v>1</v>
      </c>
      <c r="E1826" s="247">
        <f>1.45+0.3</f>
        <v>1.75</v>
      </c>
      <c r="F1826" s="247">
        <v>0.15</v>
      </c>
      <c r="G1826" s="247">
        <v>0.225</v>
      </c>
      <c r="H1826" s="249">
        <f>PRODUCT(D1826:G1826)</f>
        <v>0.059062500000000004</v>
      </c>
      <c r="J1826" s="253" t="inlineStr">
        <is>
          <t xml:space="preserve">1*(1.45+0.3)*0.15*0.225</t>
        </is>
      </c>
    </row>
    <row r="1827">
      <c r="C1827" s="246" t="inlineStr">
        <is>
          <t xml:space="preserve">Lintel over HW1 (13 nr, 0.9x0.6): nr x (width + 2 x 150 bearing) x 150 x 225</t>
        </is>
      </c>
      <c r="D1827" s="248">
        <v>13</v>
      </c>
      <c r="E1827" s="247">
        <f>0.9+0.3</f>
        <v>1.2</v>
      </c>
      <c r="F1827" s="247">
        <v>0.15</v>
      </c>
      <c r="G1827" s="247">
        <v>0.225</v>
      </c>
      <c r="H1827" s="249">
        <f>PRODUCT(D1827:G1827)</f>
        <v>0.5265</v>
      </c>
      <c r="J1827" s="253" t="inlineStr">
        <is>
          <t xml:space="preserve">13*(0.9+0.3)*0.15*0.225</t>
        </is>
      </c>
    </row>
    <row r="1828">
      <c r="C1828" s="246" t="inlineStr">
        <is>
          <t xml:space="preserve">Lintel over HW2 (5 nr, 0.75x0.6): nr x (width + 2 x 150 bearing) x 150 x 225</t>
        </is>
      </c>
      <c r="D1828" s="248">
        <v>5</v>
      </c>
      <c r="E1828" s="247">
        <f>0.75+0.3</f>
        <v>1.05</v>
      </c>
      <c r="F1828" s="247">
        <v>0.15</v>
      </c>
      <c r="G1828" s="247">
        <v>0.225</v>
      </c>
      <c r="H1828" s="249">
        <f>PRODUCT(D1828:G1828)</f>
        <v>0.1771875</v>
      </c>
      <c r="J1828" s="253" t="inlineStr">
        <is>
          <t xml:space="preserve">5*(0.75+0.3)*0.15*0.225</t>
        </is>
      </c>
    </row>
    <row r="1829">
      <c r="C1829" s="246" t="inlineStr">
        <is>
          <t xml:space="preserve">Lintel over HW3 (2 nr, 0.6x0.6): nr x (width + 2 x 150 bearing) x 150 x 225</t>
        </is>
      </c>
      <c r="D1829" s="248">
        <v>2</v>
      </c>
      <c r="E1829" s="247">
        <f>0.6+0.3</f>
        <v>0.8999999999999999</v>
      </c>
      <c r="F1829" s="247">
        <v>0.15</v>
      </c>
      <c r="G1829" s="247">
        <v>0.225</v>
      </c>
      <c r="H1829" s="249">
        <f>PRODUCT(D1829:G1829)</f>
        <v>0.06074999999999999</v>
      </c>
      <c r="J1829" s="253" t="inlineStr">
        <is>
          <t xml:space="preserve">2*(0.6+0.3)*0.15*0.225</t>
        </is>
      </c>
    </row>
    <row r="1830">
      <c r="C1830" s="246" t="inlineStr">
        <is>
          <t xml:space="preserve">Lintel over HW4 (2 nr, 1.2x0.6): nr x (width + 2 x 150 bearing) x 150 x 225</t>
        </is>
      </c>
      <c r="D1830" s="248">
        <v>2</v>
      </c>
      <c r="E1830" s="247">
        <f>1.2+0.3</f>
        <v>1.5</v>
      </c>
      <c r="F1830" s="247">
        <v>0.15</v>
      </c>
      <c r="G1830" s="247">
        <v>0.225</v>
      </c>
      <c r="H1830" s="249">
        <f>PRODUCT(D1830:G1830)</f>
        <v>0.10124999999999999</v>
      </c>
      <c r="J1830" s="253" t="inlineStr">
        <is>
          <t xml:space="preserve">2*(1.2+0.3)*0.15*0.225</t>
        </is>
      </c>
    </row>
    <row r="1831">
      <c r="C1831" s="250" t="inlineStr">
        <is>
          <t xml:space="preserve">Total carried to BOQ  4TH FLR item G</t>
        </is>
      </c>
      <c r="D1831" s="250" t="inlineStr">
        <is>
          <t xml:space="preserve"/>
        </is>
      </c>
      <c r="E1831" s="250" t="inlineStr">
        <is>
          <t xml:space="preserve"/>
        </is>
      </c>
      <c r="F1831" s="250" t="inlineStr">
        <is>
          <t xml:space="preserve"/>
        </is>
      </c>
      <c r="G1831" s="250" t="inlineStr">
        <is>
          <t xml:space="preserve"/>
        </is>
      </c>
      <c r="H1831" s="251">
        <f>SUM(H1796:H1830)</f>
        <v>7.176937500000001</v>
      </c>
      <c r="I1831" s="252" t="inlineStr">
        <is>
          <t xml:space="preserve">m3</t>
        </is>
      </c>
    </row>
    <row r="1832">
      <c r="C1832" s="242" t="inlineStr">
        <is>
          <t xml:space="preserve">E20 FORMWORK - Formwork as described to:</t>
        </is>
      </c>
    </row>
    <row r="1833">
      <c r="A1833" s="243" t="inlineStr">
        <is>
          <t xml:space="preserve">4TH FLR</t>
        </is>
      </c>
      <c r="B1833" s="243" t="inlineStr">
        <is>
          <t xml:space="preserve">H</t>
        </is>
      </c>
      <c r="C1833" s="244" t="inlineStr">
        <is>
          <t xml:space="preserve">Soffits of suspended slab</t>
        </is>
      </c>
      <c r="I1833" s="245" t="inlineStr">
        <is>
          <t xml:space="preserve">m2</t>
        </is>
      </c>
      <c r="K1833" s="256" t="inlineStr">
        <is>
          <t xml:space="preserve">'4TH FLR '!C49</t>
        </is>
      </c>
    </row>
    <row r="1834">
      <c r="C1834" s="246" t="inlineStr">
        <is>
          <t xml:space="preserve">Fourth floor (+14200) - Slab soffit: measured area</t>
        </is>
      </c>
      <c r="H1834" s="247">
        <v>1134.6</v>
      </c>
      <c r="J1834" s="253" t="inlineStr">
        <is>
          <t xml:space="preserve">1134.6</t>
        </is>
      </c>
    </row>
    <row r="1835">
      <c r="C1835" s="250" t="inlineStr">
        <is>
          <t xml:space="preserve">Total carried to BOQ  4TH FLR item H</t>
        </is>
      </c>
      <c r="D1835" s="250" t="inlineStr">
        <is>
          <t xml:space="preserve"/>
        </is>
      </c>
      <c r="E1835" s="250" t="inlineStr">
        <is>
          <t xml:space="preserve"/>
        </is>
      </c>
      <c r="F1835" s="250" t="inlineStr">
        <is>
          <t xml:space="preserve"/>
        </is>
      </c>
      <c r="G1835" s="250" t="inlineStr">
        <is>
          <t xml:space="preserve"/>
        </is>
      </c>
      <c r="H1835" s="251">
        <f>SUM(H1834:H1834)</f>
        <v>1134.6</v>
      </c>
      <c r="I1835" s="252" t="inlineStr">
        <is>
          <t xml:space="preserve">m2</t>
        </is>
      </c>
    </row>
    <row r="1836">
      <c r="A1836" s="243" t="inlineStr">
        <is>
          <t xml:space="preserve">4TH FLR</t>
        </is>
      </c>
      <c r="B1836" s="243" t="inlineStr">
        <is>
          <t xml:space="preserve">J</t>
        </is>
      </c>
      <c r="C1836" s="244" t="inlineStr">
        <is>
          <t xml:space="preserve">Edges of suspended slab 250mm high</t>
        </is>
      </c>
      <c r="I1836" s="245" t="inlineStr">
        <is>
          <t xml:space="preserve">m</t>
        </is>
      </c>
      <c r="K1836" s="256" t="inlineStr">
        <is>
          <t xml:space="preserve">'4TH FLR '!C51</t>
        </is>
      </c>
    </row>
    <row r="1837">
      <c r="C1837" s="246" t="inlineStr">
        <is>
          <t xml:space="preserve">Fourth floor (+14200) - Slab edge: measured perimeter</t>
        </is>
      </c>
      <c r="H1837" s="247">
        <v>294.6</v>
      </c>
      <c r="J1837" s="253" t="inlineStr">
        <is>
          <t xml:space="preserve">294.6</t>
        </is>
      </c>
    </row>
    <row r="1838">
      <c r="C1838" s="250" t="inlineStr">
        <is>
          <t xml:space="preserve">Total carried to BOQ  4TH FLR item J</t>
        </is>
      </c>
      <c r="D1838" s="250" t="inlineStr">
        <is>
          <t xml:space="preserve"/>
        </is>
      </c>
      <c r="E1838" s="250" t="inlineStr">
        <is>
          <t xml:space="preserve"/>
        </is>
      </c>
      <c r="F1838" s="250" t="inlineStr">
        <is>
          <t xml:space="preserve"/>
        </is>
      </c>
      <c r="G1838" s="250" t="inlineStr">
        <is>
          <t xml:space="preserve"/>
        </is>
      </c>
      <c r="H1838" s="251">
        <f>SUM(H1837:H1837)</f>
        <v>294.6</v>
      </c>
      <c r="I1838" s="252" t="inlineStr">
        <is>
          <t xml:space="preserve">m</t>
        </is>
      </c>
    </row>
    <row r="1839">
      <c r="A1839" s="243" t="inlineStr">
        <is>
          <t xml:space="preserve">4TH FLR</t>
        </is>
      </c>
      <c r="B1839" s="243" t="inlineStr">
        <is>
          <t xml:space="preserve">K</t>
        </is>
      </c>
      <c r="C1839" s="244" t="inlineStr">
        <is>
          <t xml:space="preserve">Sides and soffits of beams</t>
        </is>
      </c>
      <c r="I1839" s="245" t="inlineStr">
        <is>
          <t xml:space="preserve">m2</t>
        </is>
      </c>
      <c r="K1839" s="256" t="inlineStr">
        <is>
          <t xml:space="preserve">'4TH FLR '!C53</t>
        </is>
      </c>
    </row>
    <row r="1840">
      <c r="C1840" s="246" t="inlineStr">
        <is>
          <t xml:space="preserve">Fourth floor (+14200) - beam sides &amp; soffit (300 wide): length x girth</t>
        </is>
      </c>
      <c r="E1840" s="247">
        <v>166.8</v>
      </c>
      <c r="F1840" s="247">
        <f>2*0.35+0.3</f>
        <v>1.0</v>
      </c>
      <c r="H1840" s="249">
        <f>PRODUCT(D1840:G1840)</f>
        <v>166.8</v>
      </c>
      <c r="J1840" s="253" t="inlineStr">
        <is>
          <t xml:space="preserve">166.8*(2*0.35+0.3)</t>
        </is>
      </c>
    </row>
    <row r="1841">
      <c r="C1841" s="246" t="inlineStr">
        <is>
          <t xml:space="preserve">Fourth floor (+14200) - beam sides &amp; soffit (200 wide): length x girth</t>
        </is>
      </c>
      <c r="E1841" s="247">
        <v>33.1</v>
      </c>
      <c r="F1841" s="247">
        <f>2*0.35+0.2</f>
        <v>0.8999999999999999</v>
      </c>
      <c r="H1841" s="249">
        <f>PRODUCT(D1841:G1841)</f>
        <v>29.79</v>
      </c>
      <c r="J1841" s="253" t="inlineStr">
        <is>
          <t xml:space="preserve">33.1*(2*0.35+0.2)</t>
        </is>
      </c>
    </row>
    <row r="1842">
      <c r="C1842" s="250" t="inlineStr">
        <is>
          <t xml:space="preserve">Total carried to BOQ  4TH FLR item K</t>
        </is>
      </c>
      <c r="D1842" s="250" t="inlineStr">
        <is>
          <t xml:space="preserve"/>
        </is>
      </c>
      <c r="E1842" s="250" t="inlineStr">
        <is>
          <t xml:space="preserve"/>
        </is>
      </c>
      <c r="F1842" s="250" t="inlineStr">
        <is>
          <t xml:space="preserve"/>
        </is>
      </c>
      <c r="G1842" s="250" t="inlineStr">
        <is>
          <t xml:space="preserve"/>
        </is>
      </c>
      <c r="H1842" s="251">
        <f>SUM(H1840:H1841)</f>
        <v>196.59</v>
      </c>
      <c r="I1842" s="252" t="inlineStr">
        <is>
          <t xml:space="preserve">m2</t>
        </is>
      </c>
    </row>
    <row r="1843">
      <c r="A1843" s="243" t="inlineStr">
        <is>
          <t xml:space="preserve">4TH FLR</t>
        </is>
      </c>
      <c r="B1843" s="243" t="inlineStr">
        <is>
          <t xml:space="preserve">L</t>
        </is>
      </c>
      <c r="C1843" s="244" t="inlineStr">
        <is>
          <t xml:space="preserve">Columns</t>
        </is>
      </c>
      <c r="I1843" s="245" t="inlineStr">
        <is>
          <t xml:space="preserve">m2</t>
        </is>
      </c>
      <c r="K1843" s="256" t="inlineStr">
        <is>
          <t xml:space="preserve">'4TH FLR '!C55</t>
        </is>
      </c>
    </row>
    <row r="1844">
      <c r="C1844" s="246" t="inlineStr">
        <is>
          <t xml:space="preserve">COL-01A x5 - column sides (4th to 5th), ht 3.05</t>
        </is>
      </c>
      <c r="D1844" s="248">
        <v>5</v>
      </c>
      <c r="E1844" s="247">
        <f>2*(0.75+0.5)</f>
        <v>2.5</v>
      </c>
      <c r="F1844" s="247">
        <v>3.05</v>
      </c>
      <c r="H1844" s="249">
        <f>PRODUCT(D1844:G1844)</f>
        <v>38.125</v>
      </c>
      <c r="J1844" s="253" t="inlineStr">
        <is>
          <t xml:space="preserve">5*2*(0.75+0.5)*3.05</t>
        </is>
      </c>
    </row>
    <row r="1845">
      <c r="C1845" s="246" t="inlineStr">
        <is>
          <t xml:space="preserve">COL-01B x1 - column sides (4th to 5th), ht 3.05</t>
        </is>
      </c>
      <c r="D1845" s="248">
        <v>1</v>
      </c>
      <c r="E1845" s="247">
        <f>2*(0.75+0.5)</f>
        <v>2.5</v>
      </c>
      <c r="F1845" s="247">
        <v>3.05</v>
      </c>
      <c r="H1845" s="249">
        <f>PRODUCT(D1845:G1845)</f>
        <v>7.625</v>
      </c>
      <c r="J1845" s="253" t="inlineStr">
        <is>
          <t xml:space="preserve">1*2*(0.75+0.5)*3.05</t>
        </is>
      </c>
    </row>
    <row r="1846">
      <c r="C1846" s="246" t="inlineStr">
        <is>
          <t xml:space="preserve">COL-01C x2 - column sides (4th to 5th), ht 3.05</t>
        </is>
      </c>
      <c r="D1846" s="248">
        <v>2</v>
      </c>
      <c r="E1846" s="247">
        <f>2*(0.75+0.5)</f>
        <v>2.5</v>
      </c>
      <c r="F1846" s="247">
        <v>3.05</v>
      </c>
      <c r="H1846" s="249">
        <f>PRODUCT(D1846:G1846)</f>
        <v>15.25</v>
      </c>
      <c r="J1846" s="253" t="inlineStr">
        <is>
          <t xml:space="preserve">2*2*(0.75+0.5)*3.05</t>
        </is>
      </c>
    </row>
    <row r="1847">
      <c r="C1847" s="246" t="inlineStr">
        <is>
          <t xml:space="preserve">COL-01D x1 - column sides (4th to 5th), ht 3.05</t>
        </is>
      </c>
      <c r="D1847" s="248">
        <v>1</v>
      </c>
      <c r="E1847" s="247">
        <f>2*(0.75+0.5)</f>
        <v>2.5</v>
      </c>
      <c r="F1847" s="247">
        <v>3.05</v>
      </c>
      <c r="H1847" s="249">
        <f>PRODUCT(D1847:G1847)</f>
        <v>7.625</v>
      </c>
      <c r="J1847" s="253" t="inlineStr">
        <is>
          <t xml:space="preserve">1*2*(0.75+0.5)*3.05</t>
        </is>
      </c>
    </row>
    <row r="1848">
      <c r="C1848" s="246" t="inlineStr">
        <is>
          <t xml:space="preserve">COL-02A x3 - column sides (4th to 5th), ht 3.05</t>
        </is>
      </c>
      <c r="D1848" s="248">
        <v>3</v>
      </c>
      <c r="E1848" s="247">
        <f>2*(1.2+0.3)</f>
        <v>3.0</v>
      </c>
      <c r="F1848" s="247">
        <v>3.05</v>
      </c>
      <c r="H1848" s="249">
        <f>PRODUCT(D1848:G1848)</f>
        <v>27.45</v>
      </c>
      <c r="J1848" s="253" t="inlineStr">
        <is>
          <t xml:space="preserve">3*2*(1.2+0.3)*3.05</t>
        </is>
      </c>
    </row>
    <row r="1849">
      <c r="C1849" s="246" t="inlineStr">
        <is>
          <t xml:space="preserve">COL-02B x6 - column sides (4th to 5th), ht 3.05</t>
        </is>
      </c>
      <c r="D1849" s="248">
        <v>6</v>
      </c>
      <c r="E1849" s="247">
        <f>2*(1.2+0.3)</f>
        <v>3.0</v>
      </c>
      <c r="F1849" s="247">
        <v>3.05</v>
      </c>
      <c r="H1849" s="249">
        <f>PRODUCT(D1849:G1849)</f>
        <v>54.9</v>
      </c>
      <c r="J1849" s="253" t="inlineStr">
        <is>
          <t xml:space="preserve">6*2*(1.2+0.3)*3.05</t>
        </is>
      </c>
    </row>
    <row r="1850">
      <c r="C1850" s="246" t="inlineStr">
        <is>
          <t xml:space="preserve">COL-02C x1 - column sides (4th to 5th), ht 3.05</t>
        </is>
      </c>
      <c r="D1850" s="248">
        <v>1</v>
      </c>
      <c r="E1850" s="247">
        <f>2*(1.2+0.3)</f>
        <v>3.0</v>
      </c>
      <c r="F1850" s="247">
        <v>3.05</v>
      </c>
      <c r="H1850" s="249">
        <f>PRODUCT(D1850:G1850)</f>
        <v>9.149999999999999</v>
      </c>
      <c r="J1850" s="253" t="inlineStr">
        <is>
          <t xml:space="preserve">1*2*(1.2+0.3)*3.05</t>
        </is>
      </c>
    </row>
    <row r="1851">
      <c r="C1851" s="246" t="inlineStr">
        <is>
          <t xml:space="preserve">COL-02D x15 - column sides (4th to 5th), ht 3.05</t>
        </is>
      </c>
      <c r="D1851" s="248">
        <v>15</v>
      </c>
      <c r="E1851" s="247">
        <f>2*(1.2+0.3)</f>
        <v>3.0</v>
      </c>
      <c r="F1851" s="247">
        <v>3.05</v>
      </c>
      <c r="H1851" s="249">
        <f>PRODUCT(D1851:G1851)</f>
        <v>137.25</v>
      </c>
      <c r="J1851" s="253" t="inlineStr">
        <is>
          <t xml:space="preserve">15*2*(1.2+0.3)*3.05</t>
        </is>
      </c>
    </row>
    <row r="1852">
      <c r="C1852" s="246" t="inlineStr">
        <is>
          <t xml:space="preserve">SWC-01A x1 - column sides (4th to 5th), ht 3.05</t>
        </is>
      </c>
      <c r="D1852" s="248">
        <v>1</v>
      </c>
      <c r="E1852" s="247">
        <f>2*(2.85+1.075)</f>
        <v>7.85</v>
      </c>
      <c r="F1852" s="247">
        <v>3.05</v>
      </c>
      <c r="H1852" s="249">
        <f>PRODUCT(D1852:G1852)</f>
        <v>23.9425</v>
      </c>
      <c r="J1852" s="253" t="inlineStr">
        <is>
          <t xml:space="preserve">1*2*(2.85+1.075)*3.05</t>
        </is>
      </c>
    </row>
    <row r="1853">
      <c r="C1853" s="250" t="inlineStr">
        <is>
          <t xml:space="preserve">Total carried to BOQ  4TH FLR item L</t>
        </is>
      </c>
      <c r="D1853" s="250" t="inlineStr">
        <is>
          <t xml:space="preserve"/>
        </is>
      </c>
      <c r="E1853" s="250" t="inlineStr">
        <is>
          <t xml:space="preserve"/>
        </is>
      </c>
      <c r="F1853" s="250" t="inlineStr">
        <is>
          <t xml:space="preserve"/>
        </is>
      </c>
      <c r="G1853" s="250" t="inlineStr">
        <is>
          <t xml:space="preserve"/>
        </is>
      </c>
      <c r="H1853" s="251">
        <f>SUM(H1844:H1852)</f>
        <v>321.3175</v>
      </c>
      <c r="I1853" s="252" t="inlineStr">
        <is>
          <t xml:space="preserve">m2</t>
        </is>
      </c>
    </row>
    <row r="1854">
      <c r="A1854" s="243" t="inlineStr">
        <is>
          <t xml:space="preserve">4TH FLR</t>
        </is>
      </c>
      <c r="B1854" s="243" t="inlineStr">
        <is>
          <t xml:space="preserve">M</t>
        </is>
      </c>
      <c r="C1854" s="244" t="inlineStr">
        <is>
          <t xml:space="preserve">Concrete wall (both faces)</t>
        </is>
      </c>
      <c r="I1854" s="245" t="inlineStr">
        <is>
          <t xml:space="preserve">m2</t>
        </is>
      </c>
      <c r="K1854" s="256" t="inlineStr">
        <is>
          <t xml:space="preserve">'4TH FLR '!C57</t>
        </is>
      </c>
    </row>
    <row r="1855">
      <c r="C1855" s="246" t="inlineStr">
        <is>
          <t xml:space="preserve">Fourth floor (+14200) - main stair core walls (22.05 m run) (both faces)</t>
        </is>
      </c>
      <c r="D1855" s="248">
        <v>2</v>
      </c>
      <c r="E1855" s="247">
        <v>22.05</v>
      </c>
      <c r="F1855" s="247">
        <v>3.05</v>
      </c>
      <c r="H1855" s="249">
        <f>PRODUCT(D1855:G1855)</f>
        <v>134.505</v>
      </c>
      <c r="J1855" s="253" t="inlineStr">
        <is>
          <t xml:space="preserve">2*22.05*3.05</t>
        </is>
      </c>
    </row>
    <row r="1856">
      <c r="C1856" s="246" t="inlineStr">
        <is>
          <t xml:space="preserve">Fourth floor (+14200) - lift core walls (21.825 m run) (both faces)</t>
        </is>
      </c>
      <c r="D1856" s="248">
        <v>2</v>
      </c>
      <c r="E1856" s="247">
        <v>21.825</v>
      </c>
      <c r="F1856" s="247">
        <v>3.05</v>
      </c>
      <c r="H1856" s="249">
        <f>PRODUCT(D1856:G1856)</f>
        <v>133.1325</v>
      </c>
      <c r="J1856" s="253" t="inlineStr">
        <is>
          <t xml:space="preserve">2*21.825*3.05</t>
        </is>
      </c>
    </row>
    <row r="1857">
      <c r="C1857" s="246" t="inlineStr">
        <is>
          <t xml:space="preserve">Fourth floor (+14200) - emergency stair core walls (25.57 m run) (both faces)</t>
        </is>
      </c>
      <c r="D1857" s="248">
        <v>2</v>
      </c>
      <c r="E1857" s="247">
        <v>25.57</v>
      </c>
      <c r="F1857" s="247">
        <v>3.05</v>
      </c>
      <c r="H1857" s="249">
        <f>PRODUCT(D1857:G1857)</f>
        <v>155.977</v>
      </c>
      <c r="J1857" s="253" t="inlineStr">
        <is>
          <t xml:space="preserve">2*25.57*3.05</t>
        </is>
      </c>
    </row>
    <row r="1858">
      <c r="C1858" s="250" t="inlineStr">
        <is>
          <t xml:space="preserve">Total carried to BOQ  4TH FLR item M</t>
        </is>
      </c>
      <c r="D1858" s="250" t="inlineStr">
        <is>
          <t xml:space="preserve"/>
        </is>
      </c>
      <c r="E1858" s="250" t="inlineStr">
        <is>
          <t xml:space="preserve"/>
        </is>
      </c>
      <c r="F1858" s="250" t="inlineStr">
        <is>
          <t xml:space="preserve"/>
        </is>
      </c>
      <c r="G1858" s="250" t="inlineStr">
        <is>
          <t xml:space="preserve"/>
        </is>
      </c>
      <c r="H1858" s="251">
        <f>SUM(H1855:H1857)</f>
        <v>423.6145</v>
      </c>
      <c r="I1858" s="252" t="inlineStr">
        <is>
          <t xml:space="preserve">m2</t>
        </is>
      </c>
    </row>
    <row r="1859">
      <c r="A1859" s="243" t="inlineStr">
        <is>
          <t xml:space="preserve">4TH FLR</t>
        </is>
      </c>
      <c r="B1859" s="243" t="inlineStr">
        <is>
          <t xml:space="preserve">N</t>
        </is>
      </c>
      <c r="C1859" s="244" t="inlineStr">
        <is>
          <t xml:space="preserve">Soffits of stair flights, landings and risers</t>
        </is>
      </c>
      <c r="I1859" s="245" t="inlineStr">
        <is>
          <t xml:space="preserve">m2</t>
        </is>
      </c>
      <c r="K1859" s="256" t="inlineStr">
        <is>
          <t xml:space="preserve">'4TH FLR '!C59</t>
        </is>
      </c>
    </row>
    <row r="1860">
      <c r="C1860" s="246" t="inlineStr">
        <is>
          <t xml:space="preserve">Fourth floor (+14200) - Main stair flight (storey ht 3.3) - flight soffits: 2 x 3.424 x 1.8</t>
        </is>
      </c>
      <c r="D1860" s="248">
        <v>2</v>
      </c>
      <c r="E1860" s="247">
        <v>3.424</v>
      </c>
      <c r="F1860" s="247">
        <v>1.8</v>
      </c>
      <c r="H1860" s="249">
        <f>PRODUCT(D1860:G1860)</f>
        <v>12.3264</v>
      </c>
      <c r="J1860" s="253" t="inlineStr">
        <is>
          <t xml:space="preserve">2*3.424*1.8</t>
        </is>
      </c>
    </row>
    <row r="1861">
      <c r="C1861" s="246" t="inlineStr">
        <is>
          <t xml:space="preserve">Fourth floor (+14200) - Main stair flight (storey ht 3.3) - landing soffits</t>
        </is>
      </c>
      <c r="H1861" s="247">
        <v>15.0</v>
      </c>
      <c r="J1861" s="253" t="inlineStr">
        <is>
          <t xml:space="preserve">15.0</t>
        </is>
      </c>
    </row>
    <row r="1862">
      <c r="C1862" s="246" t="inlineStr">
        <is>
          <t xml:space="preserve">Fourth floor (+14200) - Main stair flight (storey ht 3.3) - risers: 22 x 0.15 x 1.8</t>
        </is>
      </c>
      <c r="D1862" s="248">
        <v>22</v>
      </c>
      <c r="E1862" s="247">
        <v>0.15</v>
      </c>
      <c r="F1862" s="247">
        <v>1.8</v>
      </c>
      <c r="H1862" s="249">
        <f>PRODUCT(D1862:G1862)</f>
        <v>5.9399999999999995</v>
      </c>
      <c r="J1862" s="253" t="inlineStr">
        <is>
          <t xml:space="preserve">22*0.15*1.8</t>
        </is>
      </c>
    </row>
    <row r="1863">
      <c r="C1863" s="246" t="inlineStr">
        <is>
          <t xml:space="preserve">Fourth floor (+14200) - Emergency stair flight (storey ht 3.3) - flight soffits: 2 x 3.424 x 1.8</t>
        </is>
      </c>
      <c r="D1863" s="248">
        <v>2</v>
      </c>
      <c r="E1863" s="247">
        <v>3.424</v>
      </c>
      <c r="F1863" s="247">
        <v>1.8</v>
      </c>
      <c r="H1863" s="249">
        <f>PRODUCT(D1863:G1863)</f>
        <v>12.3264</v>
      </c>
      <c r="J1863" s="253" t="inlineStr">
        <is>
          <t xml:space="preserve">2*3.424*1.8</t>
        </is>
      </c>
    </row>
    <row r="1864">
      <c r="C1864" s="246" t="inlineStr">
        <is>
          <t xml:space="preserve">Fourth floor (+14200) - Emergency stair flight (storey ht 3.3) - landing soffits</t>
        </is>
      </c>
      <c r="H1864" s="247">
        <v>15.0</v>
      </c>
      <c r="J1864" s="253" t="inlineStr">
        <is>
          <t xml:space="preserve">15.0</t>
        </is>
      </c>
    </row>
    <row r="1865">
      <c r="C1865" s="246" t="inlineStr">
        <is>
          <t xml:space="preserve">Fourth floor (+14200) - Emergency stair flight (storey ht 3.3) - risers: 22 x 0.15 x 1.8</t>
        </is>
      </c>
      <c r="D1865" s="248">
        <v>22</v>
      </c>
      <c r="E1865" s="247">
        <v>0.15</v>
      </c>
      <c r="F1865" s="247">
        <v>1.8</v>
      </c>
      <c r="H1865" s="249">
        <f>PRODUCT(D1865:G1865)</f>
        <v>5.9399999999999995</v>
      </c>
      <c r="J1865" s="253" t="inlineStr">
        <is>
          <t xml:space="preserve">22*0.15*1.8</t>
        </is>
      </c>
    </row>
    <row r="1866">
      <c r="C1866" s="250" t="inlineStr">
        <is>
          <t xml:space="preserve">Total carried to BOQ  4TH FLR item N</t>
        </is>
      </c>
      <c r="D1866" s="250" t="inlineStr">
        <is>
          <t xml:space="preserve"/>
        </is>
      </c>
      <c r="E1866" s="250" t="inlineStr">
        <is>
          <t xml:space="preserve"/>
        </is>
      </c>
      <c r="F1866" s="250" t="inlineStr">
        <is>
          <t xml:space="preserve"/>
        </is>
      </c>
      <c r="G1866" s="250" t="inlineStr">
        <is>
          <t xml:space="preserve"/>
        </is>
      </c>
      <c r="H1866" s="251">
        <f>SUM(H1860:H1865)</f>
        <v>66.5328</v>
      </c>
      <c r="I1866" s="252" t="inlineStr">
        <is>
          <t xml:space="preserve">m2</t>
        </is>
      </c>
    </row>
    <row r="1867">
      <c r="A1867" s="243" t="inlineStr">
        <is>
          <t xml:space="preserve">4TH FLR</t>
        </is>
      </c>
      <c r="B1867" s="243" t="inlineStr">
        <is>
          <t xml:space="preserve">P</t>
        </is>
      </c>
      <c r="C1867" s="244" t="inlineStr">
        <is>
          <t xml:space="preserve">Side and soffits of lintel / coping</t>
        </is>
      </c>
      <c r="I1867" s="245" t="inlineStr">
        <is>
          <t xml:space="preserve">m2</t>
        </is>
      </c>
      <c r="K1867" s="256" t="inlineStr">
        <is>
          <t xml:space="preserve">'4TH FLR '!C61</t>
        </is>
      </c>
    </row>
    <row r="1868">
      <c r="C1868" s="246" t="inlineStr">
        <is>
          <t xml:space="preserve">Lintel formwork over D2 (8 nr, 1x2.2): nr x (width + 2 x 150 bearing) x girth 0.60</t>
        </is>
      </c>
      <c r="D1868" s="248">
        <v>8</v>
      </c>
      <c r="E1868" s="247">
        <f>1+0.3</f>
        <v>1.3</v>
      </c>
      <c r="F1868" s="247">
        <f>2*0.225+0.15</f>
        <v>0.6</v>
      </c>
      <c r="H1868" s="249">
        <f>PRODUCT(D1868:G1868)</f>
        <v>6.24</v>
      </c>
      <c r="J1868" s="253" t="inlineStr">
        <is>
          <t xml:space="preserve">8*(1+0.3)*(2*0.225+0.15)</t>
        </is>
      </c>
    </row>
    <row r="1869">
      <c r="C1869" s="246" t="inlineStr">
        <is>
          <t xml:space="preserve">Lintel formwork over D3 (15 nr, 0.9x2.2): nr x (width + 2 x 150 bearing) x girth 0.60</t>
        </is>
      </c>
      <c r="D1869" s="248">
        <v>15</v>
      </c>
      <c r="E1869" s="247">
        <f>0.9+0.3</f>
        <v>1.2</v>
      </c>
      <c r="F1869" s="247">
        <f>2*0.225+0.15</f>
        <v>0.6</v>
      </c>
      <c r="H1869" s="249">
        <f>PRODUCT(D1869:G1869)</f>
        <v>10.799999999999999</v>
      </c>
      <c r="J1869" s="253" t="inlineStr">
        <is>
          <t xml:space="preserve">15*(0.9+0.3)*(2*0.225+0.15)</t>
        </is>
      </c>
    </row>
    <row r="1870">
      <c r="C1870" s="246" t="inlineStr">
        <is>
          <t xml:space="preserve">Lintel formwork over D6 (22 nr, 0.75x2.2): nr x (width + 2 x 150 bearing) x girth 0.60</t>
        </is>
      </c>
      <c r="D1870" s="248">
        <v>22</v>
      </c>
      <c r="E1870" s="247">
        <f>0.75+0.3</f>
        <v>1.05</v>
      </c>
      <c r="F1870" s="247">
        <f>2*0.225+0.15</f>
        <v>0.6</v>
      </c>
      <c r="H1870" s="249">
        <f>PRODUCT(D1870:G1870)</f>
        <v>13.860000000000001</v>
      </c>
      <c r="J1870" s="253" t="inlineStr">
        <is>
          <t xml:space="preserve">22*(0.75+0.3)*(2*0.225+0.15)</t>
        </is>
      </c>
    </row>
    <row r="1871">
      <c r="C1871" s="246" t="inlineStr">
        <is>
          <t xml:space="preserve">Lintel formwork over D7 (1 nr, 0.7x2.2): nr x (width + 2 x 150 bearing) x girth 0.60</t>
        </is>
      </c>
      <c r="D1871" s="248">
        <v>1</v>
      </c>
      <c r="E1871" s="247">
        <f>0.7+0.3</f>
        <v>1.0</v>
      </c>
      <c r="F1871" s="247">
        <f>2*0.225+0.15</f>
        <v>0.6</v>
      </c>
      <c r="H1871" s="249">
        <f>PRODUCT(D1871:G1871)</f>
        <v>0.6</v>
      </c>
      <c r="J1871" s="253" t="inlineStr">
        <is>
          <t xml:space="preserve">1*(0.7+0.3)*(2*0.225+0.15)</t>
        </is>
      </c>
    </row>
    <row r="1872">
      <c r="C1872" s="246" t="inlineStr">
        <is>
          <t xml:space="preserve">Lintel formwork over D8 (3 nr, 1.2x2.2): nr x (width + 2 x 150 bearing) x girth 0.60</t>
        </is>
      </c>
      <c r="D1872" s="248">
        <v>3</v>
      </c>
      <c r="E1872" s="247">
        <f>1.2+0.3</f>
        <v>1.5</v>
      </c>
      <c r="F1872" s="247">
        <f>2*0.225+0.15</f>
        <v>0.6</v>
      </c>
      <c r="H1872" s="249">
        <f>PRODUCT(D1872:G1872)</f>
        <v>2.6999999999999997</v>
      </c>
      <c r="J1872" s="253" t="inlineStr">
        <is>
          <t xml:space="preserve">3*(1.2+0.3)*(2*0.225+0.15)</t>
        </is>
      </c>
    </row>
    <row r="1873">
      <c r="C1873" s="246" t="inlineStr">
        <is>
          <t xml:space="preserve">Lintel formwork over ED1 (3 nr, 1x2.2): nr x (width + 2 x 150 bearing) x girth 0.60</t>
        </is>
      </c>
      <c r="D1873" s="248">
        <v>3</v>
      </c>
      <c r="E1873" s="247">
        <f>1+0.3</f>
        <v>1.3</v>
      </c>
      <c r="F1873" s="247">
        <f>2*0.225+0.15</f>
        <v>0.6</v>
      </c>
      <c r="H1873" s="249">
        <f>PRODUCT(D1873:G1873)</f>
        <v>2.3400000000000003</v>
      </c>
      <c r="J1873" s="253" t="inlineStr">
        <is>
          <t xml:space="preserve">3*(1+0.3)*(2*0.225+0.15)</t>
        </is>
      </c>
    </row>
    <row r="1874">
      <c r="C1874" s="246" t="inlineStr">
        <is>
          <t xml:space="preserve">Lintel formwork over ED2 (3 nr, 1x2.2): nr x (width + 2 x 150 bearing) x girth 0.60</t>
        </is>
      </c>
      <c r="D1874" s="248">
        <v>3</v>
      </c>
      <c r="E1874" s="247">
        <f>1+0.3</f>
        <v>1.3</v>
      </c>
      <c r="F1874" s="247">
        <f>2*0.225+0.15</f>
        <v>0.6</v>
      </c>
      <c r="H1874" s="249">
        <f>PRODUCT(D1874:G1874)</f>
        <v>2.3400000000000003</v>
      </c>
      <c r="J1874" s="253" t="inlineStr">
        <is>
          <t xml:space="preserve">3*(1+0.3)*(2*0.225+0.15)</t>
        </is>
      </c>
    </row>
    <row r="1875">
      <c r="C1875" s="246" t="inlineStr">
        <is>
          <t xml:space="preserve">Lintel formwork over D9 (2 nr, 0.9x2.2): nr x (width + 2 x 150 bearing) x girth 0.60</t>
        </is>
      </c>
      <c r="D1875" s="248">
        <v>2</v>
      </c>
      <c r="E1875" s="247">
        <f>0.9+0.3</f>
        <v>1.2</v>
      </c>
      <c r="F1875" s="247">
        <f>2*0.225+0.15</f>
        <v>0.6</v>
      </c>
      <c r="H1875" s="249">
        <f>PRODUCT(D1875:G1875)</f>
        <v>1.44</v>
      </c>
      <c r="J1875" s="253" t="inlineStr">
        <is>
          <t xml:space="preserve">2*(0.9+0.3)*(2*0.225+0.15)</t>
        </is>
      </c>
    </row>
    <row r="1876">
      <c r="C1876" s="246" t="inlineStr">
        <is>
          <t xml:space="preserve">Lintel formwork over FD1 (1 nr, 1.5x2.2): nr x (width + 2 x 150 bearing) x girth 0.60</t>
        </is>
      </c>
      <c r="D1876" s="248">
        <v>1</v>
      </c>
      <c r="E1876" s="247">
        <f>1.5+0.3</f>
        <v>1.8</v>
      </c>
      <c r="F1876" s="247">
        <f>2*0.225+0.15</f>
        <v>0.6</v>
      </c>
      <c r="H1876" s="249">
        <f>PRODUCT(D1876:G1876)</f>
        <v>1.08</v>
      </c>
      <c r="J1876" s="253" t="inlineStr">
        <is>
          <t xml:space="preserve">1*(1.5+0.3)*(2*0.225+0.15)</t>
        </is>
      </c>
    </row>
    <row r="1877">
      <c r="C1877" s="246" t="inlineStr">
        <is>
          <t xml:space="preserve">Lintel formwork over M1 (3 nr, 0.9x2.2): nr x (width + 2 x 150 bearing) x girth 0.60</t>
        </is>
      </c>
      <c r="D1877" s="248">
        <v>3</v>
      </c>
      <c r="E1877" s="247">
        <f>0.9+0.3</f>
        <v>1.2</v>
      </c>
      <c r="F1877" s="247">
        <f>2*0.225+0.15</f>
        <v>0.6</v>
      </c>
      <c r="H1877" s="249">
        <f>PRODUCT(D1877:G1877)</f>
        <v>2.1599999999999997</v>
      </c>
      <c r="J1877" s="253" t="inlineStr">
        <is>
          <t xml:space="preserve">3*(0.9+0.3)*(2*0.225+0.15)</t>
        </is>
      </c>
    </row>
    <row r="1878">
      <c r="C1878" s="246" t="inlineStr">
        <is>
          <t xml:space="preserve">Lintel formwork over M2 (5 nr, 0.75x2.2): nr x (width + 2 x 150 bearing) x girth 0.60</t>
        </is>
      </c>
      <c r="D1878" s="248">
        <v>5</v>
      </c>
      <c r="E1878" s="247">
        <f>0.75+0.3</f>
        <v>1.05</v>
      </c>
      <c r="F1878" s="247">
        <f>2*0.225+0.15</f>
        <v>0.6</v>
      </c>
      <c r="H1878" s="249">
        <f>PRODUCT(D1878:G1878)</f>
        <v>3.15</v>
      </c>
      <c r="J1878" s="253" t="inlineStr">
        <is>
          <t xml:space="preserve">5*(0.75+0.3)*(2*0.225+0.15)</t>
        </is>
      </c>
    </row>
    <row r="1879">
      <c r="C1879" s="246" t="inlineStr">
        <is>
          <t xml:space="preserve">Lintel formwork over M3 (1 nr, 0.45x2.2): nr x (width + 2 x 150 bearing) x girth 0.60</t>
        </is>
      </c>
      <c r="D1879" s="248">
        <v>1</v>
      </c>
      <c r="E1879" s="247">
        <f>0.45+0.3</f>
        <v>0.75</v>
      </c>
      <c r="F1879" s="247">
        <f>2*0.225+0.15</f>
        <v>0.6</v>
      </c>
      <c r="H1879" s="249">
        <f>PRODUCT(D1879:G1879)</f>
        <v>0.44999999999999996</v>
      </c>
      <c r="J1879" s="253" t="inlineStr">
        <is>
          <t xml:space="preserve">1*(0.45+0.3)*(2*0.225+0.15)</t>
        </is>
      </c>
    </row>
    <row r="1880">
      <c r="C1880" s="246" t="inlineStr">
        <is>
          <t xml:space="preserve">Lintel formwork over M5 (3 nr, 0.6x2.2): nr x (width + 2 x 150 bearing) x girth 0.60</t>
        </is>
      </c>
      <c r="D1880" s="248">
        <v>3</v>
      </c>
      <c r="E1880" s="247">
        <f>0.6+0.3</f>
        <v>0.8999999999999999</v>
      </c>
      <c r="F1880" s="247">
        <f>2*0.225+0.15</f>
        <v>0.6</v>
      </c>
      <c r="H1880" s="249">
        <f>PRODUCT(D1880:G1880)</f>
        <v>1.6199999999999999</v>
      </c>
      <c r="J1880" s="253" t="inlineStr">
        <is>
          <t xml:space="preserve">3*(0.6+0.3)*(2*0.225+0.15)</t>
        </is>
      </c>
    </row>
    <row r="1881">
      <c r="C1881" s="246" t="inlineStr">
        <is>
          <t xml:space="preserve">Lintel formwork over SD1 (1 nr, 3x2.2): nr x (width + 2 x 150 bearing) x girth 0.60</t>
        </is>
      </c>
      <c r="D1881" s="248">
        <v>1</v>
      </c>
      <c r="E1881" s="247">
        <f>3+0.3</f>
        <v>3.3</v>
      </c>
      <c r="F1881" s="247">
        <f>2*0.225+0.15</f>
        <v>0.6</v>
      </c>
      <c r="H1881" s="249">
        <f>PRODUCT(D1881:G1881)</f>
        <v>1.9799999999999998</v>
      </c>
      <c r="J1881" s="253" t="inlineStr">
        <is>
          <t xml:space="preserve">1*(3+0.3)*(2*0.225+0.15)</t>
        </is>
      </c>
    </row>
    <row r="1882">
      <c r="C1882" s="246" t="inlineStr">
        <is>
          <t xml:space="preserve">Lintel formwork over SD2 (4 nr, 1.6x2.2): nr x (width + 2 x 150 bearing) x girth 0.60</t>
        </is>
      </c>
      <c r="D1882" s="248">
        <v>4</v>
      </c>
      <c r="E1882" s="247">
        <f>1.6+0.3</f>
        <v>1.9000000000000001</v>
      </c>
      <c r="F1882" s="247">
        <f>2*0.225+0.15</f>
        <v>0.6</v>
      </c>
      <c r="H1882" s="249">
        <f>PRODUCT(D1882:G1882)</f>
        <v>4.5600000000000005</v>
      </c>
      <c r="J1882" s="253" t="inlineStr">
        <is>
          <t xml:space="preserve">4*(1.6+0.3)*(2*0.225+0.15)</t>
        </is>
      </c>
    </row>
    <row r="1883">
      <c r="C1883" s="246" t="inlineStr">
        <is>
          <t xml:space="preserve">Lintel formwork over SD3 (2 nr, 1.3x2.2): nr x (width + 2 x 150 bearing) x girth 0.60</t>
        </is>
      </c>
      <c r="D1883" s="248">
        <v>2</v>
      </c>
      <c r="E1883" s="247">
        <f>1.3+0.3</f>
        <v>1.6</v>
      </c>
      <c r="F1883" s="247">
        <f>2*0.225+0.15</f>
        <v>0.6</v>
      </c>
      <c r="H1883" s="249">
        <f>PRODUCT(D1883:G1883)</f>
        <v>1.92</v>
      </c>
      <c r="J1883" s="253" t="inlineStr">
        <is>
          <t xml:space="preserve">2*(1.3+0.3)*(2*0.225+0.15)</t>
        </is>
      </c>
    </row>
    <row r="1884">
      <c r="C1884" s="246" t="inlineStr">
        <is>
          <t xml:space="preserve">Lintel formwork over SD4 (4 nr, 1.8x2.2): nr x (width + 2 x 150 bearing) x girth 0.60</t>
        </is>
      </c>
      <c r="D1884" s="248">
        <v>4</v>
      </c>
      <c r="E1884" s="247">
        <f>1.8+0.3</f>
        <v>2.1</v>
      </c>
      <c r="F1884" s="247">
        <f>2*0.225+0.15</f>
        <v>0.6</v>
      </c>
      <c r="H1884" s="249">
        <f>PRODUCT(D1884:G1884)</f>
        <v>5.04</v>
      </c>
      <c r="J1884" s="253" t="inlineStr">
        <is>
          <t xml:space="preserve">4*(1.8+0.3)*(2*0.225+0.15)</t>
        </is>
      </c>
    </row>
    <row r="1885">
      <c r="C1885" s="246" t="inlineStr">
        <is>
          <t xml:space="preserve">Lintel formwork over SD5 (1 nr, 1.2x2.2): nr x (width + 2 x 150 bearing) x girth 0.60</t>
        </is>
      </c>
      <c r="D1885" s="248">
        <v>1</v>
      </c>
      <c r="E1885" s="247">
        <f>1.2+0.3</f>
        <v>1.5</v>
      </c>
      <c r="F1885" s="247">
        <f>2*0.225+0.15</f>
        <v>0.6</v>
      </c>
      <c r="H1885" s="249">
        <f>PRODUCT(D1885:G1885)</f>
        <v>0.8999999999999999</v>
      </c>
      <c r="J1885" s="253" t="inlineStr">
        <is>
          <t xml:space="preserve">1*(1.2+0.3)*(2*0.225+0.15)</t>
        </is>
      </c>
    </row>
    <row r="1886">
      <c r="C1886" s="246" t="inlineStr">
        <is>
          <t xml:space="preserve">Lintel formwork over W2 (6 nr, 1.8x1.3): nr x (width + 2 x 150 bearing) x girth 0.60</t>
        </is>
      </c>
      <c r="D1886" s="248">
        <v>6</v>
      </c>
      <c r="E1886" s="247">
        <f>1.8+0.3</f>
        <v>2.1</v>
      </c>
      <c r="F1886" s="247">
        <f>2*0.225+0.15</f>
        <v>0.6</v>
      </c>
      <c r="H1886" s="249">
        <f>PRODUCT(D1886:G1886)</f>
        <v>7.5600000000000005</v>
      </c>
      <c r="J1886" s="253" t="inlineStr">
        <is>
          <t xml:space="preserve">6*(1.8+0.3)*(2*0.225+0.15)</t>
        </is>
      </c>
    </row>
    <row r="1887">
      <c r="C1887" s="246" t="inlineStr">
        <is>
          <t xml:space="preserve">Lintel formwork over W4 (10 nr, 0.9x1.3): nr x (width + 2 x 150 bearing) x girth 0.60</t>
        </is>
      </c>
      <c r="D1887" s="248">
        <v>10</v>
      </c>
      <c r="E1887" s="247">
        <f>0.9+0.3</f>
        <v>1.2</v>
      </c>
      <c r="F1887" s="247">
        <f>2*0.225+0.15</f>
        <v>0.6</v>
      </c>
      <c r="H1887" s="249">
        <f>PRODUCT(D1887:G1887)</f>
        <v>7.199999999999999</v>
      </c>
      <c r="J1887" s="253" t="inlineStr">
        <is>
          <t xml:space="preserve">10*(0.9+0.3)*(2*0.225+0.15)</t>
        </is>
      </c>
    </row>
    <row r="1888">
      <c r="C1888" s="246" t="inlineStr">
        <is>
          <t xml:space="preserve">Lintel formwork over W7 (2 nr, 1.8x1.6): nr x (width + 2 x 150 bearing) x girth 0.60</t>
        </is>
      </c>
      <c r="D1888" s="248">
        <v>2</v>
      </c>
      <c r="E1888" s="247">
        <f>1.8+0.3</f>
        <v>2.1</v>
      </c>
      <c r="F1888" s="247">
        <f>2*0.225+0.15</f>
        <v>0.6</v>
      </c>
      <c r="H1888" s="249">
        <f>PRODUCT(D1888:G1888)</f>
        <v>2.52</v>
      </c>
      <c r="J1888" s="253" t="inlineStr">
        <is>
          <t xml:space="preserve">2*(1.8+0.3)*(2*0.225+0.15)</t>
        </is>
      </c>
    </row>
    <row r="1889">
      <c r="C1889" s="246" t="inlineStr">
        <is>
          <t xml:space="preserve">Lintel formwork over W8 (3 nr, 1.2x1.9): nr x (width + 2 x 150 bearing) x girth 0.60</t>
        </is>
      </c>
      <c r="D1889" s="248">
        <v>3</v>
      </c>
      <c r="E1889" s="247">
        <f>1.2+0.3</f>
        <v>1.5</v>
      </c>
      <c r="F1889" s="247">
        <f>2*0.225+0.15</f>
        <v>0.6</v>
      </c>
      <c r="H1889" s="249">
        <f>PRODUCT(D1889:G1889)</f>
        <v>2.6999999999999997</v>
      </c>
      <c r="J1889" s="253" t="inlineStr">
        <is>
          <t xml:space="preserve">3*(1.2+0.3)*(2*0.225+0.15)</t>
        </is>
      </c>
    </row>
    <row r="1890">
      <c r="C1890" s="246" t="inlineStr">
        <is>
          <t xml:space="preserve">Lintel formwork over W9 (8 nr, 1.2x1.15): nr x (width + 2 x 150 bearing) x girth 0.60</t>
        </is>
      </c>
      <c r="D1890" s="248">
        <v>8</v>
      </c>
      <c r="E1890" s="247">
        <f>1.2+0.3</f>
        <v>1.5</v>
      </c>
      <c r="F1890" s="247">
        <f>2*0.225+0.15</f>
        <v>0.6</v>
      </c>
      <c r="H1890" s="249">
        <f>PRODUCT(D1890:G1890)</f>
        <v>7.199999999999999</v>
      </c>
      <c r="J1890" s="253" t="inlineStr">
        <is>
          <t xml:space="preserve">8*(1.2+0.3)*(2*0.225+0.15)</t>
        </is>
      </c>
    </row>
    <row r="1891">
      <c r="C1891" s="246" t="inlineStr">
        <is>
          <t xml:space="preserve">Lintel formwork over W10 (1 nr, 1.2x1.2): nr x (width + 2 x 150 bearing) x girth 0.60</t>
        </is>
      </c>
      <c r="D1891" s="248">
        <v>1</v>
      </c>
      <c r="E1891" s="247">
        <f>1.2+0.3</f>
        <v>1.5</v>
      </c>
      <c r="F1891" s="247">
        <f>2*0.225+0.15</f>
        <v>0.6</v>
      </c>
      <c r="H1891" s="249">
        <f>PRODUCT(D1891:G1891)</f>
        <v>0.8999999999999999</v>
      </c>
      <c r="J1891" s="253" t="inlineStr">
        <is>
          <t xml:space="preserve">1*(1.2+0.3)*(2*0.225+0.15)</t>
        </is>
      </c>
    </row>
    <row r="1892">
      <c r="C1892" s="246" t="inlineStr">
        <is>
          <t xml:space="preserve">Lintel formwork over W11 (7 nr, 1.5x1.3): nr x (width + 2 x 150 bearing) x girth 0.60</t>
        </is>
      </c>
      <c r="D1892" s="248">
        <v>7</v>
      </c>
      <c r="E1892" s="247">
        <f>1.5+0.3</f>
        <v>1.8</v>
      </c>
      <c r="F1892" s="247">
        <f>2*0.225+0.15</f>
        <v>0.6</v>
      </c>
      <c r="H1892" s="249">
        <f>PRODUCT(D1892:G1892)</f>
        <v>7.56</v>
      </c>
      <c r="J1892" s="253" t="inlineStr">
        <is>
          <t xml:space="preserve">7*(1.5+0.3)*(2*0.225+0.15)</t>
        </is>
      </c>
    </row>
    <row r="1893">
      <c r="C1893" s="246" t="inlineStr">
        <is>
          <t xml:space="preserve">Lintel formwork over W12 (4 nr, 1.5x1.15): nr x (width + 2 x 150 bearing) x girth 0.60</t>
        </is>
      </c>
      <c r="D1893" s="248">
        <v>4</v>
      </c>
      <c r="E1893" s="247">
        <f>1.5+0.3</f>
        <v>1.8</v>
      </c>
      <c r="F1893" s="247">
        <f>2*0.225+0.15</f>
        <v>0.6</v>
      </c>
      <c r="H1893" s="249">
        <f>PRODUCT(D1893:G1893)</f>
        <v>4.32</v>
      </c>
      <c r="J1893" s="253" t="inlineStr">
        <is>
          <t xml:space="preserve">4*(1.5+0.3)*(2*0.225+0.15)</t>
        </is>
      </c>
    </row>
    <row r="1894">
      <c r="C1894" s="246" t="inlineStr">
        <is>
          <t xml:space="preserve">Lintel formwork over W13 (1 nr, 2.4x1.3): nr x (width + 2 x 150 bearing) x girth 0.60</t>
        </is>
      </c>
      <c r="D1894" s="248">
        <v>1</v>
      </c>
      <c r="E1894" s="247">
        <f>2.4+0.3</f>
        <v>2.6999999999999997</v>
      </c>
      <c r="F1894" s="247">
        <f>2*0.225+0.15</f>
        <v>0.6</v>
      </c>
      <c r="H1894" s="249">
        <f>PRODUCT(D1894:G1894)</f>
        <v>1.6199999999999999</v>
      </c>
      <c r="J1894" s="253" t="inlineStr">
        <is>
          <t xml:space="preserve">1*(2.4+0.3)*(2*0.225+0.15)</t>
        </is>
      </c>
    </row>
    <row r="1895">
      <c r="C1895" s="246" t="inlineStr">
        <is>
          <t xml:space="preserve">Lintel formwork over W15 (1 nr, 3x1.6): nr x (width + 2 x 150 bearing) x girth 0.60</t>
        </is>
      </c>
      <c r="D1895" s="248">
        <v>1</v>
      </c>
      <c r="E1895" s="247">
        <f>3+0.3</f>
        <v>3.3</v>
      </c>
      <c r="F1895" s="247">
        <f>2*0.225+0.15</f>
        <v>0.6</v>
      </c>
      <c r="H1895" s="249">
        <f>PRODUCT(D1895:G1895)</f>
        <v>1.9799999999999998</v>
      </c>
      <c r="J1895" s="253" t="inlineStr">
        <is>
          <t xml:space="preserve">1*(3+0.3)*(2*0.225+0.15)</t>
        </is>
      </c>
    </row>
    <row r="1896">
      <c r="C1896" s="246" t="inlineStr">
        <is>
          <t xml:space="preserve">Lintel formwork over W17 (3 nr, 1.8x1.9): nr x (width + 2 x 150 bearing) x girth 0.60</t>
        </is>
      </c>
      <c r="D1896" s="248">
        <v>3</v>
      </c>
      <c r="E1896" s="247">
        <f>1.8+0.3</f>
        <v>2.1</v>
      </c>
      <c r="F1896" s="247">
        <f>2*0.225+0.15</f>
        <v>0.6</v>
      </c>
      <c r="H1896" s="249">
        <f>PRODUCT(D1896:G1896)</f>
        <v>3.7800000000000002</v>
      </c>
      <c r="J1896" s="253" t="inlineStr">
        <is>
          <t xml:space="preserve">3*(1.8+0.3)*(2*0.225+0.15)</t>
        </is>
      </c>
    </row>
    <row r="1897">
      <c r="C1897" s="246" t="inlineStr">
        <is>
          <t xml:space="preserve">Lintel formwork over W18 (1 nr, 0.75x1.3): nr x (width + 2 x 150 bearing) x girth 0.60</t>
        </is>
      </c>
      <c r="D1897" s="248">
        <v>1</v>
      </c>
      <c r="E1897" s="247">
        <f>0.75+0.3</f>
        <v>1.05</v>
      </c>
      <c r="F1897" s="247">
        <f>2*0.225+0.15</f>
        <v>0.6</v>
      </c>
      <c r="H1897" s="249">
        <f>PRODUCT(D1897:G1897)</f>
        <v>0.63</v>
      </c>
      <c r="J1897" s="253" t="inlineStr">
        <is>
          <t xml:space="preserve">1*(0.75+0.3)*(2*0.225+0.15)</t>
        </is>
      </c>
    </row>
    <row r="1898">
      <c r="C1898" s="246" t="inlineStr">
        <is>
          <t xml:space="preserve">Lintel formwork over W20 (1 nr, 1.45x1.9): nr x (width + 2 x 150 bearing) x girth 0.60</t>
        </is>
      </c>
      <c r="D1898" s="248">
        <v>1</v>
      </c>
      <c r="E1898" s="247">
        <f>1.45+0.3</f>
        <v>1.75</v>
      </c>
      <c r="F1898" s="247">
        <f>2*0.225+0.15</f>
        <v>0.6</v>
      </c>
      <c r="H1898" s="249">
        <f>PRODUCT(D1898:G1898)</f>
        <v>1.05</v>
      </c>
      <c r="J1898" s="253" t="inlineStr">
        <is>
          <t xml:space="preserve">1*(1.45+0.3)*(2*0.225+0.15)</t>
        </is>
      </c>
    </row>
    <row r="1899">
      <c r="C1899" s="246" t="inlineStr">
        <is>
          <t xml:space="preserve">Lintel formwork over HW1 (13 nr, 0.9x0.6): nr x (width + 2 x 150 bearing) x girth 0.60</t>
        </is>
      </c>
      <c r="D1899" s="248">
        <v>13</v>
      </c>
      <c r="E1899" s="247">
        <f>0.9+0.3</f>
        <v>1.2</v>
      </c>
      <c r="F1899" s="247">
        <f>2*0.225+0.15</f>
        <v>0.6</v>
      </c>
      <c r="H1899" s="249">
        <f>PRODUCT(D1899:G1899)</f>
        <v>9.36</v>
      </c>
      <c r="J1899" s="253" t="inlineStr">
        <is>
          <t xml:space="preserve">13*(0.9+0.3)*(2*0.225+0.15)</t>
        </is>
      </c>
    </row>
    <row r="1900">
      <c r="C1900" s="246" t="inlineStr">
        <is>
          <t xml:space="preserve">Lintel formwork over HW2 (5 nr, 0.75x0.6): nr x (width + 2 x 150 bearing) x girth 0.60</t>
        </is>
      </c>
      <c r="D1900" s="248">
        <v>5</v>
      </c>
      <c r="E1900" s="247">
        <f>0.75+0.3</f>
        <v>1.05</v>
      </c>
      <c r="F1900" s="247">
        <f>2*0.225+0.15</f>
        <v>0.6</v>
      </c>
      <c r="H1900" s="249">
        <f>PRODUCT(D1900:G1900)</f>
        <v>3.15</v>
      </c>
      <c r="J1900" s="253" t="inlineStr">
        <is>
          <t xml:space="preserve">5*(0.75+0.3)*(2*0.225+0.15)</t>
        </is>
      </c>
    </row>
    <row r="1901">
      <c r="C1901" s="246" t="inlineStr">
        <is>
          <t xml:space="preserve">Lintel formwork over HW3 (2 nr, 0.6x0.6): nr x (width + 2 x 150 bearing) x girth 0.60</t>
        </is>
      </c>
      <c r="D1901" s="248">
        <v>2</v>
      </c>
      <c r="E1901" s="247">
        <f>0.6+0.3</f>
        <v>0.8999999999999999</v>
      </c>
      <c r="F1901" s="247">
        <f>2*0.225+0.15</f>
        <v>0.6</v>
      </c>
      <c r="H1901" s="249">
        <f>PRODUCT(D1901:G1901)</f>
        <v>1.0799999999999998</v>
      </c>
      <c r="J1901" s="253" t="inlineStr">
        <is>
          <t xml:space="preserve">2*(0.6+0.3)*(2*0.225+0.15)</t>
        </is>
      </c>
    </row>
    <row r="1902">
      <c r="C1902" s="246" t="inlineStr">
        <is>
          <t xml:space="preserve">Lintel formwork over HW4 (2 nr, 1.2x0.6): nr x (width + 2 x 150 bearing) x girth 0.60</t>
        </is>
      </c>
      <c r="D1902" s="248">
        <v>2</v>
      </c>
      <c r="E1902" s="247">
        <f>1.2+0.3</f>
        <v>1.5</v>
      </c>
      <c r="F1902" s="247">
        <f>2*0.225+0.15</f>
        <v>0.6</v>
      </c>
      <c r="H1902" s="249">
        <f>PRODUCT(D1902:G1902)</f>
        <v>1.7999999999999998</v>
      </c>
      <c r="J1902" s="253" t="inlineStr">
        <is>
          <t xml:space="preserve">2*(1.2+0.3)*(2*0.225+0.15)</t>
        </is>
      </c>
    </row>
    <row r="1903">
      <c r="C1903" s="250" t="inlineStr">
        <is>
          <t xml:space="preserve">Total carried to BOQ  4TH FLR item P</t>
        </is>
      </c>
      <c r="D1903" s="250" t="inlineStr">
        <is>
          <t xml:space="preserve"/>
        </is>
      </c>
      <c r="E1903" s="250" t="inlineStr">
        <is>
          <t xml:space="preserve"/>
        </is>
      </c>
      <c r="F1903" s="250" t="inlineStr">
        <is>
          <t xml:space="preserve"/>
        </is>
      </c>
      <c r="G1903" s="250" t="inlineStr">
        <is>
          <t xml:space="preserve"/>
        </is>
      </c>
      <c r="H1903" s="251">
        <f>SUM(H1868:H1902)</f>
        <v>127.59000000000002</v>
      </c>
      <c r="I1903" s="252" t="inlineStr">
        <is>
          <t xml:space="preserve">m2</t>
        </is>
      </c>
    </row>
    <row r="1904">
      <c r="C1904" s="242" t="inlineStr">
        <is>
          <t xml:space="preserve">E30 REINFORCEMENT - High tensile yield round bar reinforcement (standard) to BS 4449:</t>
        </is>
      </c>
    </row>
    <row r="1905">
      <c r="A1905" s="243" t="inlineStr">
        <is>
          <t xml:space="preserve">4TH FLR</t>
        </is>
      </c>
      <c r="B1905" s="243" t="inlineStr">
        <is>
          <t xml:space="preserve">Q</t>
        </is>
      </c>
      <c r="C1905" s="244" t="inlineStr">
        <is>
          <t xml:space="preserve">10mm diameter in columns</t>
        </is>
      </c>
      <c r="I1905" s="245" t="inlineStr">
        <is>
          <t xml:space="preserve">t</t>
        </is>
      </c>
      <c r="K1905" s="256" t="inlineStr">
        <is>
          <t xml:space="preserve">'4TH FLR '!C64</t>
        </is>
      </c>
    </row>
    <row r="1906">
      <c r="C1906" s="246" t="inlineStr">
        <is>
          <t xml:space="preserve">Fourth floor (+14200) - Columns, Y10 (from reinforcement take-off / BBS)</t>
        </is>
      </c>
      <c r="H1906" s="247">
        <v>4.551</v>
      </c>
      <c r="J1906" s="253" t="inlineStr">
        <is>
          <t xml:space="preserve">4.551</t>
        </is>
      </c>
    </row>
    <row r="1907">
      <c r="C1907" s="250" t="inlineStr">
        <is>
          <t xml:space="preserve">Total carried to BOQ  4TH FLR item Q</t>
        </is>
      </c>
      <c r="D1907" s="250" t="inlineStr">
        <is>
          <t xml:space="preserve"/>
        </is>
      </c>
      <c r="E1907" s="250" t="inlineStr">
        <is>
          <t xml:space="preserve"/>
        </is>
      </c>
      <c r="F1907" s="250" t="inlineStr">
        <is>
          <t xml:space="preserve"/>
        </is>
      </c>
      <c r="G1907" s="250" t="inlineStr">
        <is>
          <t xml:space="preserve"/>
        </is>
      </c>
      <c r="H1907" s="251">
        <f>SUM(H1906:H1906)</f>
        <v>4.551</v>
      </c>
      <c r="I1907" s="252" t="inlineStr">
        <is>
          <t xml:space="preserve">t</t>
        </is>
      </c>
    </row>
    <row r="1908">
      <c r="A1908" s="243" t="inlineStr">
        <is>
          <t xml:space="preserve">4TH FLR</t>
        </is>
      </c>
      <c r="B1908" s="243" t="inlineStr">
        <is>
          <t xml:space="preserve">R</t>
        </is>
      </c>
      <c r="C1908" s="244" t="inlineStr">
        <is>
          <t xml:space="preserve">20mm diameter in columns</t>
        </is>
      </c>
      <c r="I1908" s="245" t="inlineStr">
        <is>
          <t xml:space="preserve">t</t>
        </is>
      </c>
      <c r="K1908" s="256" t="inlineStr">
        <is>
          <t xml:space="preserve">'4TH FLR '!C66</t>
        </is>
      </c>
    </row>
    <row r="1909">
      <c r="C1909" s="246" t="inlineStr">
        <is>
          <t xml:space="preserve">Fourth floor (+14200) - Columns, Y20 (from reinforcement take-off / BBS)</t>
        </is>
      </c>
      <c r="H1909" s="247">
        <v>7.133</v>
      </c>
      <c r="J1909" s="253" t="inlineStr">
        <is>
          <t xml:space="preserve">7.133</t>
        </is>
      </c>
    </row>
    <row r="1910">
      <c r="C1910" s="250" t="inlineStr">
        <is>
          <t xml:space="preserve">Total carried to BOQ  4TH FLR item R</t>
        </is>
      </c>
      <c r="D1910" s="250" t="inlineStr">
        <is>
          <t xml:space="preserve"/>
        </is>
      </c>
      <c r="E1910" s="250" t="inlineStr">
        <is>
          <t xml:space="preserve"/>
        </is>
      </c>
      <c r="F1910" s="250" t="inlineStr">
        <is>
          <t xml:space="preserve"/>
        </is>
      </c>
      <c r="G1910" s="250" t="inlineStr">
        <is>
          <t xml:space="preserve"/>
        </is>
      </c>
      <c r="H1910" s="251">
        <f>SUM(H1909:H1909)</f>
        <v>7.133</v>
      </c>
      <c r="I1910" s="252" t="inlineStr">
        <is>
          <t xml:space="preserve">t</t>
        </is>
      </c>
    </row>
    <row r="1911">
      <c r="A1911" s="243" t="inlineStr">
        <is>
          <t xml:space="preserve">4TH FLR</t>
        </is>
      </c>
      <c r="B1911" s="243" t="inlineStr">
        <is>
          <t xml:space="preserve">S</t>
        </is>
      </c>
      <c r="C1911" s="244" t="inlineStr">
        <is>
          <t xml:space="preserve">10mm diameter in beams (links)</t>
        </is>
      </c>
      <c r="I1911" s="245" t="inlineStr">
        <is>
          <t xml:space="preserve">t</t>
        </is>
      </c>
      <c r="K1911" s="256" t="inlineStr">
        <is>
          <t xml:space="preserve">'4TH FLR '!C68</t>
        </is>
      </c>
    </row>
    <row r="1912">
      <c r="C1912" s="246" t="inlineStr">
        <is>
          <t xml:space="preserve">Fourth floor (+14200) - Beams, Y10 (from reinforcement take-off / BBS)</t>
        </is>
      </c>
      <c r="H1912" s="247">
        <v>1.806</v>
      </c>
      <c r="J1912" s="253" t="inlineStr">
        <is>
          <t xml:space="preserve">1.806</t>
        </is>
      </c>
    </row>
    <row r="1913">
      <c r="C1913" s="250" t="inlineStr">
        <is>
          <t xml:space="preserve">Total carried to BOQ  4TH FLR item S</t>
        </is>
      </c>
      <c r="D1913" s="250" t="inlineStr">
        <is>
          <t xml:space="preserve"/>
        </is>
      </c>
      <c r="E1913" s="250" t="inlineStr">
        <is>
          <t xml:space="preserve"/>
        </is>
      </c>
      <c r="F1913" s="250" t="inlineStr">
        <is>
          <t xml:space="preserve"/>
        </is>
      </c>
      <c r="G1913" s="250" t="inlineStr">
        <is>
          <t xml:space="preserve"/>
        </is>
      </c>
      <c r="H1913" s="251">
        <f>SUM(H1912:H1912)</f>
        <v>1.806</v>
      </c>
      <c r="I1913" s="252" t="inlineStr">
        <is>
          <t xml:space="preserve">t</t>
        </is>
      </c>
    </row>
    <row r="1914">
      <c r="A1914" s="243" t="inlineStr">
        <is>
          <t xml:space="preserve">4TH FLR</t>
        </is>
      </c>
      <c r="B1914" s="243" t="inlineStr">
        <is>
          <t xml:space="preserve">T</t>
        </is>
      </c>
      <c r="C1914" s="244" t="inlineStr">
        <is>
          <t xml:space="preserve">16mm diameter in beams</t>
        </is>
      </c>
      <c r="I1914" s="245" t="inlineStr">
        <is>
          <t xml:space="preserve">t</t>
        </is>
      </c>
      <c r="K1914" s="256" t="inlineStr">
        <is>
          <t xml:space="preserve">'4TH FLR '!C70</t>
        </is>
      </c>
    </row>
    <row r="1915">
      <c r="C1915" s="246" t="inlineStr">
        <is>
          <t xml:space="preserve">Fourth floor (+14200) - Beams, Y16 (from reinforcement take-off / BBS)</t>
        </is>
      </c>
      <c r="H1915" s="247">
        <v>1.248</v>
      </c>
      <c r="J1915" s="253" t="inlineStr">
        <is>
          <t xml:space="preserve">1.248</t>
        </is>
      </c>
    </row>
    <row r="1916">
      <c r="C1916" s="250" t="inlineStr">
        <is>
          <t xml:space="preserve">Total carried to BOQ  4TH FLR item T</t>
        </is>
      </c>
      <c r="D1916" s="250" t="inlineStr">
        <is>
          <t xml:space="preserve"/>
        </is>
      </c>
      <c r="E1916" s="250" t="inlineStr">
        <is>
          <t xml:space="preserve"/>
        </is>
      </c>
      <c r="F1916" s="250" t="inlineStr">
        <is>
          <t xml:space="preserve"/>
        </is>
      </c>
      <c r="G1916" s="250" t="inlineStr">
        <is>
          <t xml:space="preserve"/>
        </is>
      </c>
      <c r="H1916" s="251">
        <f>SUM(H1915:H1915)</f>
        <v>1.248</v>
      </c>
      <c r="I1916" s="252" t="inlineStr">
        <is>
          <t xml:space="preserve">t</t>
        </is>
      </c>
    </row>
    <row r="1917">
      <c r="A1917" s="243" t="inlineStr">
        <is>
          <t xml:space="preserve">4TH FLR</t>
        </is>
      </c>
      <c r="B1917" s="243" t="inlineStr">
        <is>
          <t xml:space="preserve">U</t>
        </is>
      </c>
      <c r="C1917" s="244" t="inlineStr">
        <is>
          <t xml:space="preserve">20mm diameter in beams</t>
        </is>
      </c>
      <c r="I1917" s="245" t="inlineStr">
        <is>
          <t xml:space="preserve">t</t>
        </is>
      </c>
      <c r="K1917" s="256" t="inlineStr">
        <is>
          <t xml:space="preserve">'4TH FLR '!C72</t>
        </is>
      </c>
    </row>
    <row r="1918">
      <c r="C1918" s="246" t="inlineStr">
        <is>
          <t xml:space="preserve">Fourth floor (+14200) - Beams, Y20 (from reinforcement take-off / BBS)</t>
        </is>
      </c>
      <c r="H1918" s="247">
        <v>2.135</v>
      </c>
      <c r="J1918" s="253" t="inlineStr">
        <is>
          <t xml:space="preserve">2.135</t>
        </is>
      </c>
    </row>
    <row r="1919">
      <c r="C1919" s="250" t="inlineStr">
        <is>
          <t xml:space="preserve">Total carried to BOQ  4TH FLR item U</t>
        </is>
      </c>
      <c r="D1919" s="250" t="inlineStr">
        <is>
          <t xml:space="preserve"/>
        </is>
      </c>
      <c r="E1919" s="250" t="inlineStr">
        <is>
          <t xml:space="preserve"/>
        </is>
      </c>
      <c r="F1919" s="250" t="inlineStr">
        <is>
          <t xml:space="preserve"/>
        </is>
      </c>
      <c r="G1919" s="250" t="inlineStr">
        <is>
          <t xml:space="preserve"/>
        </is>
      </c>
      <c r="H1919" s="251">
        <f>SUM(H1918:H1918)</f>
        <v>2.135</v>
      </c>
      <c r="I1919" s="252" t="inlineStr">
        <is>
          <t xml:space="preserve">t</t>
        </is>
      </c>
    </row>
    <row r="1920">
      <c r="A1920" s="243" t="inlineStr">
        <is>
          <t xml:space="preserve">4TH FLR</t>
        </is>
      </c>
      <c r="B1920" s="243" t="inlineStr">
        <is>
          <t xml:space="preserve">V</t>
        </is>
      </c>
      <c r="C1920" s="244" t="inlineStr">
        <is>
          <t xml:space="preserve">25mm diameter in beams</t>
        </is>
      </c>
      <c r="I1920" s="245" t="inlineStr">
        <is>
          <t xml:space="preserve">t</t>
        </is>
      </c>
      <c r="K1920" s="256" t="inlineStr">
        <is>
          <t xml:space="preserve">'4TH FLR '!C74</t>
        </is>
      </c>
    </row>
    <row r="1921">
      <c r="C1921" s="246" t="inlineStr">
        <is>
          <t xml:space="preserve">Fourth floor (+14200) - Beams, Y25 (from reinforcement take-off / BBS)</t>
        </is>
      </c>
      <c r="H1921" s="247">
        <v>5.507</v>
      </c>
      <c r="J1921" s="253" t="inlineStr">
        <is>
          <t xml:space="preserve">5.507</t>
        </is>
      </c>
    </row>
    <row r="1922">
      <c r="C1922" s="250" t="inlineStr">
        <is>
          <t xml:space="preserve">Total carried to BOQ  4TH FLR item V</t>
        </is>
      </c>
      <c r="D1922" s="250" t="inlineStr">
        <is>
          <t xml:space="preserve"/>
        </is>
      </c>
      <c r="E1922" s="250" t="inlineStr">
        <is>
          <t xml:space="preserve"/>
        </is>
      </c>
      <c r="F1922" s="250" t="inlineStr">
        <is>
          <t xml:space="preserve"/>
        </is>
      </c>
      <c r="G1922" s="250" t="inlineStr">
        <is>
          <t xml:space="preserve"/>
        </is>
      </c>
      <c r="H1922" s="251">
        <f>SUM(H1921:H1921)</f>
        <v>5.507</v>
      </c>
      <c r="I1922" s="252" t="inlineStr">
        <is>
          <t xml:space="preserve">t</t>
        </is>
      </c>
    </row>
    <row r="1923">
      <c r="A1923" s="243" t="inlineStr">
        <is>
          <t xml:space="preserve">4TH FLR</t>
        </is>
      </c>
      <c r="B1923" s="243" t="inlineStr">
        <is>
          <t xml:space="preserve">W</t>
        </is>
      </c>
      <c r="C1923" s="244" t="inlineStr">
        <is>
          <t xml:space="preserve">10mm diameter in shear &amp; lift walls (links)</t>
        </is>
      </c>
      <c r="I1923" s="245" t="inlineStr">
        <is>
          <t xml:space="preserve">t</t>
        </is>
      </c>
      <c r="K1923" s="256" t="inlineStr">
        <is>
          <t xml:space="preserve">'4TH FLR '!C76</t>
        </is>
      </c>
    </row>
    <row r="1924">
      <c r="C1924" s="246" t="inlineStr">
        <is>
          <t xml:space="preserve">Fourth floor (+14200) - Shear Walls, Y10 (from reinforcement take-off / BBS)</t>
        </is>
      </c>
      <c r="H1924" s="247">
        <v>1.442</v>
      </c>
      <c r="J1924" s="253" t="inlineStr">
        <is>
          <t xml:space="preserve">1.442</t>
        </is>
      </c>
    </row>
    <row r="1925">
      <c r="C1925" s="246" t="inlineStr">
        <is>
          <t xml:space="preserve">Fourth floor (+14200) - Lift Walls, Y10 (from reinforcement take-off / BBS)</t>
        </is>
      </c>
      <c r="H1925" s="247">
        <v>0.636</v>
      </c>
      <c r="J1925" s="253" t="inlineStr">
        <is>
          <t xml:space="preserve">0.636</t>
        </is>
      </c>
    </row>
    <row r="1926">
      <c r="C1926" s="250" t="inlineStr">
        <is>
          <t xml:space="preserve">Total carried to BOQ  4TH FLR item W</t>
        </is>
      </c>
      <c r="D1926" s="250" t="inlineStr">
        <is>
          <t xml:space="preserve"/>
        </is>
      </c>
      <c r="E1926" s="250" t="inlineStr">
        <is>
          <t xml:space="preserve"/>
        </is>
      </c>
      <c r="F1926" s="250" t="inlineStr">
        <is>
          <t xml:space="preserve"/>
        </is>
      </c>
      <c r="G1926" s="250" t="inlineStr">
        <is>
          <t xml:space="preserve"/>
        </is>
      </c>
      <c r="H1926" s="251">
        <f>SUM(H1924:H1925)</f>
        <v>2.078</v>
      </c>
      <c r="I1926" s="252" t="inlineStr">
        <is>
          <t xml:space="preserve">t</t>
        </is>
      </c>
    </row>
    <row r="1927">
      <c r="A1927" s="243" t="inlineStr">
        <is>
          <t xml:space="preserve">4TH FLR</t>
        </is>
      </c>
      <c r="B1927" s="243" t="inlineStr">
        <is>
          <t xml:space="preserve">X</t>
        </is>
      </c>
      <c r="C1927" s="244" t="inlineStr">
        <is>
          <t xml:space="preserve">12mm diameter in shear, lift &amp; ramp walls</t>
        </is>
      </c>
      <c r="I1927" s="245" t="inlineStr">
        <is>
          <t xml:space="preserve">t</t>
        </is>
      </c>
      <c r="K1927" s="256" t="inlineStr">
        <is>
          <t xml:space="preserve">'4TH FLR '!C78</t>
        </is>
      </c>
    </row>
    <row r="1928">
      <c r="C1928" s="246" t="inlineStr">
        <is>
          <t xml:space="preserve">Fourth floor (+14200) - Shear Walls, Y12 (from reinforcement take-off / BBS)</t>
        </is>
      </c>
      <c r="H1928" s="247">
        <v>1.917</v>
      </c>
      <c r="J1928" s="253" t="inlineStr">
        <is>
          <t xml:space="preserve">1.917</t>
        </is>
      </c>
    </row>
    <row r="1929">
      <c r="C1929" s="246" t="inlineStr">
        <is>
          <t xml:space="preserve">Fourth floor (+14200) - Lift Walls, Y12 (from reinforcement take-off / BBS)</t>
        </is>
      </c>
      <c r="H1929" s="247">
        <v>0.866</v>
      </c>
      <c r="J1929" s="253" t="inlineStr">
        <is>
          <t xml:space="preserve">0.866</t>
        </is>
      </c>
    </row>
    <row r="1930">
      <c r="C1930" s="250" t="inlineStr">
        <is>
          <t xml:space="preserve">Total carried to BOQ  4TH FLR item X</t>
        </is>
      </c>
      <c r="D1930" s="250" t="inlineStr">
        <is>
          <t xml:space="preserve"/>
        </is>
      </c>
      <c r="E1930" s="250" t="inlineStr">
        <is>
          <t xml:space="preserve"/>
        </is>
      </c>
      <c r="F1930" s="250" t="inlineStr">
        <is>
          <t xml:space="preserve"/>
        </is>
      </c>
      <c r="G1930" s="250" t="inlineStr">
        <is>
          <t xml:space="preserve"/>
        </is>
      </c>
      <c r="H1930" s="251">
        <f>SUM(H1928:H1929)</f>
        <v>2.783</v>
      </c>
      <c r="I1930" s="252" t="inlineStr">
        <is>
          <t xml:space="preserve">t</t>
        </is>
      </c>
    </row>
    <row r="1931">
      <c r="A1931" s="243" t="inlineStr">
        <is>
          <t xml:space="preserve">4TH FLR</t>
        </is>
      </c>
      <c r="B1931" s="243" t="inlineStr">
        <is>
          <t xml:space="preserve">Y</t>
        </is>
      </c>
      <c r="C1931" s="244" t="inlineStr">
        <is>
          <t xml:space="preserve">20mm diameter in shear &amp; lift walls</t>
        </is>
      </c>
      <c r="I1931" s="245" t="inlineStr">
        <is>
          <t xml:space="preserve">t</t>
        </is>
      </c>
      <c r="K1931" s="256" t="inlineStr">
        <is>
          <t xml:space="preserve">'4TH FLR '!C80</t>
        </is>
      </c>
    </row>
    <row r="1932">
      <c r="C1932" s="246" t="inlineStr">
        <is>
          <t xml:space="preserve">Fourth floor (+14200) - Shear Walls, Y20 (from reinforcement take-off / BBS)</t>
        </is>
      </c>
      <c r="H1932" s="247">
        <v>6.904</v>
      </c>
      <c r="J1932" s="253" t="inlineStr">
        <is>
          <t xml:space="preserve">6.904</t>
        </is>
      </c>
    </row>
    <row r="1933">
      <c r="C1933" s="250" t="inlineStr">
        <is>
          <t xml:space="preserve">Total carried to BOQ  4TH FLR item Y</t>
        </is>
      </c>
      <c r="D1933" s="250" t="inlineStr">
        <is>
          <t xml:space="preserve"/>
        </is>
      </c>
      <c r="E1933" s="250" t="inlineStr">
        <is>
          <t xml:space="preserve"/>
        </is>
      </c>
      <c r="F1933" s="250" t="inlineStr">
        <is>
          <t xml:space="preserve"/>
        </is>
      </c>
      <c r="G1933" s="250" t="inlineStr">
        <is>
          <t xml:space="preserve"/>
        </is>
      </c>
      <c r="H1933" s="251">
        <f>SUM(H1932:H1932)</f>
        <v>6.904</v>
      </c>
      <c r="I1933" s="252" t="inlineStr">
        <is>
          <t xml:space="preserve">t</t>
        </is>
      </c>
    </row>
    <row r="1934">
      <c r="A1934" s="243" t="inlineStr">
        <is>
          <t xml:space="preserve">4TH FLR</t>
        </is>
      </c>
      <c r="B1934" s="243" t="inlineStr">
        <is>
          <t xml:space="preserve">Z</t>
        </is>
      </c>
      <c r="C1934" s="244" t="inlineStr">
        <is>
          <t xml:space="preserve">25mm diameter in shear &amp; lift walls</t>
        </is>
      </c>
      <c r="I1934" s="245" t="inlineStr">
        <is>
          <t xml:space="preserve">t</t>
        </is>
      </c>
      <c r="K1934" s="256" t="inlineStr">
        <is>
          <t xml:space="preserve">'4TH FLR '!C82</t>
        </is>
      </c>
    </row>
    <row r="1935">
      <c r="C1935" s="246" t="inlineStr">
        <is>
          <t xml:space="preserve">Fourth floor (+14200) - Lift Walls, Y25 (from reinforcement take-off / BBS)</t>
        </is>
      </c>
      <c r="H1935" s="247">
        <v>5.441</v>
      </c>
      <c r="J1935" s="253" t="inlineStr">
        <is>
          <t xml:space="preserve">5.441</t>
        </is>
      </c>
    </row>
    <row r="1936">
      <c r="C1936" s="250" t="inlineStr">
        <is>
          <t xml:space="preserve">Total carried to BOQ  4TH FLR item Z</t>
        </is>
      </c>
      <c r="D1936" s="250" t="inlineStr">
        <is>
          <t xml:space="preserve"/>
        </is>
      </c>
      <c r="E1936" s="250" t="inlineStr">
        <is>
          <t xml:space="preserve"/>
        </is>
      </c>
      <c r="F1936" s="250" t="inlineStr">
        <is>
          <t xml:space="preserve"/>
        </is>
      </c>
      <c r="G1936" s="250" t="inlineStr">
        <is>
          <t xml:space="preserve"/>
        </is>
      </c>
      <c r="H1936" s="251">
        <f>SUM(H1935:H1935)</f>
        <v>5.441</v>
      </c>
      <c r="I1936" s="252" t="inlineStr">
        <is>
          <t xml:space="preserve">t</t>
        </is>
      </c>
    </row>
    <row r="1937">
      <c r="A1937" s="243" t="inlineStr">
        <is>
          <t xml:space="preserve">4TH FLR</t>
        </is>
      </c>
      <c r="B1937" s="243" t="inlineStr">
        <is>
          <t xml:space="preserve">A</t>
        </is>
      </c>
      <c r="C1937" s="244" t="inlineStr">
        <is>
          <t xml:space="preserve">12mm diameter in stairs</t>
        </is>
      </c>
      <c r="I1937" s="245" t="inlineStr">
        <is>
          <t xml:space="preserve">t</t>
        </is>
      </c>
      <c r="K1937" s="256" t="inlineStr">
        <is>
          <t xml:space="preserve">'4TH FLR '!C84</t>
        </is>
      </c>
    </row>
    <row r="1938">
      <c r="C1938" s="246" t="inlineStr">
        <is>
          <t xml:space="preserve">Fourth floor (+14200) - Staircases, Y12 (from reinforcement take-off / BBS)</t>
        </is>
      </c>
      <c r="H1938" s="247">
        <v>0.88</v>
      </c>
      <c r="J1938" s="253" t="inlineStr">
        <is>
          <t xml:space="preserve">0.880</t>
        </is>
      </c>
    </row>
    <row r="1939">
      <c r="C1939" s="250" t="inlineStr">
        <is>
          <t xml:space="preserve">Total carried to BOQ  4TH FLR item A</t>
        </is>
      </c>
      <c r="D1939" s="250" t="inlineStr">
        <is>
          <t xml:space="preserve"/>
        </is>
      </c>
      <c r="E1939" s="250" t="inlineStr">
        <is>
          <t xml:space="preserve"/>
        </is>
      </c>
      <c r="F1939" s="250" t="inlineStr">
        <is>
          <t xml:space="preserve"/>
        </is>
      </c>
      <c r="G1939" s="250" t="inlineStr">
        <is>
          <t xml:space="preserve"/>
        </is>
      </c>
      <c r="H1939" s="251">
        <f>SUM(H1938:H1938)</f>
        <v>0.88</v>
      </c>
      <c r="I1939" s="252" t="inlineStr">
        <is>
          <t xml:space="preserve">t</t>
        </is>
      </c>
    </row>
    <row r="1940">
      <c r="A1940" s="243" t="inlineStr">
        <is>
          <t xml:space="preserve">4TH FLR</t>
        </is>
      </c>
      <c r="B1940" s="243" t="inlineStr">
        <is>
          <t xml:space="preserve">B</t>
        </is>
      </c>
      <c r="C1940" s="244" t="inlineStr">
        <is>
          <t xml:space="preserve">16mm diameter in stairs</t>
        </is>
      </c>
      <c r="I1940" s="245" t="inlineStr">
        <is>
          <t xml:space="preserve">t</t>
        </is>
      </c>
      <c r="K1940" s="256" t="inlineStr">
        <is>
          <t xml:space="preserve">'4TH FLR '!C86</t>
        </is>
      </c>
    </row>
    <row r="1941">
      <c r="C1941" s="246" t="inlineStr">
        <is>
          <t xml:space="preserve">Fourth floor (+14200) - Staircases, Y16 (from reinforcement take-off / BBS)</t>
        </is>
      </c>
      <c r="H1941" s="247">
        <v>1.434</v>
      </c>
      <c r="J1941" s="253" t="inlineStr">
        <is>
          <t xml:space="preserve">1.434</t>
        </is>
      </c>
    </row>
    <row r="1942">
      <c r="C1942" s="250" t="inlineStr">
        <is>
          <t xml:space="preserve">Total carried to BOQ  4TH FLR item B</t>
        </is>
      </c>
      <c r="D1942" s="250" t="inlineStr">
        <is>
          <t xml:space="preserve"/>
        </is>
      </c>
      <c r="E1942" s="250" t="inlineStr">
        <is>
          <t xml:space="preserve"/>
        </is>
      </c>
      <c r="F1942" s="250" t="inlineStr">
        <is>
          <t xml:space="preserve"/>
        </is>
      </c>
      <c r="G1942" s="250" t="inlineStr">
        <is>
          <t xml:space="preserve"/>
        </is>
      </c>
      <c r="H1942" s="251">
        <f>SUM(H1941:H1941)</f>
        <v>1.434</v>
      </c>
      <c r="I1942" s="252" t="inlineStr">
        <is>
          <t xml:space="preserve">t</t>
        </is>
      </c>
    </row>
    <row r="1943">
      <c r="A1943" s="243" t="inlineStr">
        <is>
          <t xml:space="preserve">4TH FLR</t>
        </is>
      </c>
      <c r="B1943" s="243" t="inlineStr">
        <is>
          <t xml:space="preserve">C</t>
        </is>
      </c>
      <c r="C1943" s="244" t="inlineStr">
        <is>
          <t xml:space="preserve">12mm diameter for suspended slab</t>
        </is>
      </c>
      <c r="I1943" s="245" t="inlineStr">
        <is>
          <t xml:space="preserve">t</t>
        </is>
      </c>
      <c r="K1943" s="256" t="inlineStr">
        <is>
          <t xml:space="preserve">'4TH FLR '!C88</t>
        </is>
      </c>
    </row>
    <row r="1944">
      <c r="C1944" s="246" t="inlineStr">
        <is>
          <t xml:space="preserve">Fourth floor (+14200) - Floor Slabs, Y12 (from reinforcement take-off / BBS)</t>
        </is>
      </c>
      <c r="H1944" s="247">
        <v>49.804</v>
      </c>
      <c r="J1944" s="253" t="inlineStr">
        <is>
          <t xml:space="preserve">49.804</t>
        </is>
      </c>
    </row>
    <row r="1945">
      <c r="C1945" s="250" t="inlineStr">
        <is>
          <t xml:space="preserve">Total carried to BOQ  4TH FLR item C</t>
        </is>
      </c>
      <c r="D1945" s="250" t="inlineStr">
        <is>
          <t xml:space="preserve"/>
        </is>
      </c>
      <c r="E1945" s="250" t="inlineStr">
        <is>
          <t xml:space="preserve"/>
        </is>
      </c>
      <c r="F1945" s="250" t="inlineStr">
        <is>
          <t xml:space="preserve"/>
        </is>
      </c>
      <c r="G1945" s="250" t="inlineStr">
        <is>
          <t xml:space="preserve"/>
        </is>
      </c>
      <c r="H1945" s="251">
        <f>SUM(H1944:H1944)</f>
        <v>49.804</v>
      </c>
      <c r="I1945" s="252" t="inlineStr">
        <is>
          <t xml:space="preserve">t</t>
        </is>
      </c>
    </row>
    <row r="1946">
      <c r="A1946" s="243" t="inlineStr">
        <is>
          <t xml:space="preserve">4TH FLR</t>
        </is>
      </c>
      <c r="B1946" s="243" t="inlineStr">
        <is>
          <t xml:space="preserve">D</t>
        </is>
      </c>
      <c r="C1946" s="244" t="inlineStr">
        <is>
          <t xml:space="preserve">16mm diameter for suspended slab</t>
        </is>
      </c>
      <c r="I1946" s="245" t="inlineStr">
        <is>
          <t xml:space="preserve">t</t>
        </is>
      </c>
      <c r="K1946" s="256" t="inlineStr">
        <is>
          <t xml:space="preserve">'4TH FLR '!C90</t>
        </is>
      </c>
    </row>
    <row r="1947">
      <c r="C1947" s="246" t="inlineStr">
        <is>
          <t xml:space="preserve">Fourth floor (+14200) - Floor Slabs, Y16 (from reinforcement take-off / BBS)</t>
        </is>
      </c>
      <c r="H1947" s="247">
        <v>0.151</v>
      </c>
      <c r="J1947" s="253" t="inlineStr">
        <is>
          <t xml:space="preserve">0.151</t>
        </is>
      </c>
    </row>
    <row r="1948">
      <c r="C1948" s="250" t="inlineStr">
        <is>
          <t xml:space="preserve">Total carried to BOQ  4TH FLR item D</t>
        </is>
      </c>
      <c r="D1948" s="250" t="inlineStr">
        <is>
          <t xml:space="preserve"/>
        </is>
      </c>
      <c r="E1948" s="250" t="inlineStr">
        <is>
          <t xml:space="preserve"/>
        </is>
      </c>
      <c r="F1948" s="250" t="inlineStr">
        <is>
          <t xml:space="preserve"/>
        </is>
      </c>
      <c r="G1948" s="250" t="inlineStr">
        <is>
          <t xml:space="preserve"/>
        </is>
      </c>
      <c r="H1948" s="251">
        <f>SUM(H1947:H1947)</f>
        <v>0.151</v>
      </c>
      <c r="I1948" s="252" t="inlineStr">
        <is>
          <t xml:space="preserve">t</t>
        </is>
      </c>
    </row>
    <row r="1949">
      <c r="C1949" s="242" t="inlineStr">
        <is>
          <t xml:space="preserve">ELEMENT NO. 2: MASONRY</t>
        </is>
      </c>
    </row>
    <row r="1950">
      <c r="C1950" s="242" t="inlineStr">
        <is>
          <t xml:space="preserve">F10 BRICK/BLOCK WALL - Solid sandcrete blockwork in cement and sand (1:4) mortar as described in:</t>
        </is>
      </c>
    </row>
    <row r="1951">
      <c r="A1951" s="243" t="inlineStr">
        <is>
          <t xml:space="preserve">4TH FLR</t>
        </is>
      </c>
      <c r="B1951" s="243" t="inlineStr">
        <is>
          <t xml:space="preserve">A</t>
        </is>
      </c>
      <c r="C1951" s="244" t="inlineStr">
        <is>
          <t xml:space="preserve">150mm thick wall</t>
        </is>
      </c>
      <c r="I1951" s="245" t="inlineStr">
        <is>
          <t xml:space="preserve">m2</t>
        </is>
      </c>
      <c r="K1951" s="256" t="inlineStr">
        <is>
          <t xml:space="preserve">'4TH FLR '!C99</t>
        </is>
      </c>
    </row>
    <row r="1952">
      <c r="C1952" s="246" t="inlineStr">
        <is>
          <t xml:space="preserve">Fourth floor - 150 blockwork: wall length x storey ht</t>
        </is>
      </c>
      <c r="E1952" s="247">
        <v>443.9</v>
      </c>
      <c r="F1952" s="247">
        <v>3.05</v>
      </c>
      <c r="H1952" s="249">
        <f>PRODUCT(D1952:G1952)</f>
        <v>1353.8949999999998</v>
      </c>
      <c r="J1952" s="253" t="inlineStr">
        <is>
          <t xml:space="preserve">443.9*3.05</t>
        </is>
      </c>
    </row>
    <row r="1953">
      <c r="C1953" s="246" t="inlineStr">
        <is>
          <t xml:space="preserve">Walling over opening D2 (8 nr, 1x2.2): nr x width x (3.05 - opening ht) x thickness share</t>
        </is>
      </c>
      <c r="D1953" s="248">
        <v>8</v>
      </c>
      <c r="E1953" s="247">
        <v>1</v>
      </c>
      <c r="F1953" s="247">
        <f>3.05-2.2</f>
        <v>0.8499999999999996</v>
      </c>
      <c r="G1953" s="247">
        <v>0.889</v>
      </c>
      <c r="H1953" s="249">
        <f>PRODUCT(D1953:G1953)</f>
        <v>6.045199999999998</v>
      </c>
      <c r="J1953" s="253" t="inlineStr">
        <is>
          <t xml:space="preserve">8*1*(3.05-2.2)*0.889</t>
        </is>
      </c>
    </row>
    <row r="1954">
      <c r="C1954" s="246" t="inlineStr">
        <is>
          <t xml:space="preserve">Walling over opening D3 (15 nr, 0.9x2.2): nr x width x (3.05 - opening ht) x thickness share</t>
        </is>
      </c>
      <c r="D1954" s="248">
        <v>15</v>
      </c>
      <c r="E1954" s="247">
        <v>0.9</v>
      </c>
      <c r="F1954" s="247">
        <f>3.05-2.2</f>
        <v>0.8499999999999996</v>
      </c>
      <c r="G1954" s="247">
        <v>0.889</v>
      </c>
      <c r="H1954" s="249">
        <f>PRODUCT(D1954:G1954)</f>
        <v>10.201274999999995</v>
      </c>
      <c r="J1954" s="253" t="inlineStr">
        <is>
          <t xml:space="preserve">15*0.9*(3.05-2.2)*0.889</t>
        </is>
      </c>
    </row>
    <row r="1955">
      <c r="C1955" s="246" t="inlineStr">
        <is>
          <t xml:space="preserve">Walling over opening D6 (22 nr, 0.75x2.2): nr x width x (3.05 - opening ht) x thickness share</t>
        </is>
      </c>
      <c r="D1955" s="248">
        <v>22</v>
      </c>
      <c r="E1955" s="247">
        <v>0.75</v>
      </c>
      <c r="F1955" s="247">
        <f>3.05-2.2</f>
        <v>0.8499999999999996</v>
      </c>
      <c r="G1955" s="247">
        <v>0.889</v>
      </c>
      <c r="H1955" s="249">
        <f>PRODUCT(D1955:G1955)</f>
        <v>12.468224999999995</v>
      </c>
      <c r="J1955" s="253" t="inlineStr">
        <is>
          <t xml:space="preserve">22*0.75*(3.05-2.2)*0.889</t>
        </is>
      </c>
    </row>
    <row r="1956">
      <c r="C1956" s="246" t="inlineStr">
        <is>
          <t xml:space="preserve">Walling over opening D7 (1 nr, 0.7x2.2): nr x width x (3.05 - opening ht) x thickness share</t>
        </is>
      </c>
      <c r="D1956" s="248">
        <v>1</v>
      </c>
      <c r="E1956" s="247">
        <v>0.7</v>
      </c>
      <c r="F1956" s="247">
        <f>3.05-2.2</f>
        <v>0.8499999999999996</v>
      </c>
      <c r="G1956" s="247">
        <v>0.889</v>
      </c>
      <c r="H1956" s="249">
        <f>PRODUCT(D1956:G1956)</f>
        <v>0.5289549999999997</v>
      </c>
      <c r="J1956" s="253" t="inlineStr">
        <is>
          <t xml:space="preserve">1*0.7*(3.05-2.2)*0.889</t>
        </is>
      </c>
    </row>
    <row r="1957">
      <c r="C1957" s="246" t="inlineStr">
        <is>
          <t xml:space="preserve">Walling over opening D8 (3 nr, 1.2x2.2): nr x width x (3.05 - opening ht) x thickness share</t>
        </is>
      </c>
      <c r="D1957" s="248">
        <v>3</v>
      </c>
      <c r="E1957" s="247">
        <v>1.2</v>
      </c>
      <c r="F1957" s="247">
        <f>3.05-2.2</f>
        <v>0.8499999999999996</v>
      </c>
      <c r="G1957" s="247">
        <v>0.889</v>
      </c>
      <c r="H1957" s="249">
        <f>PRODUCT(D1957:G1957)</f>
        <v>2.7203399999999984</v>
      </c>
      <c r="J1957" s="253" t="inlineStr">
        <is>
          <t xml:space="preserve">3*1.2*(3.05-2.2)*0.889</t>
        </is>
      </c>
    </row>
    <row r="1958">
      <c r="C1958" s="246" t="inlineStr">
        <is>
          <t xml:space="preserve">Walling over opening ED1 (3 nr, 1x2.2): nr x width x (3.05 - opening ht) x thickness share</t>
        </is>
      </c>
      <c r="D1958" s="248">
        <v>3</v>
      </c>
      <c r="E1958" s="247">
        <v>1</v>
      </c>
      <c r="F1958" s="247">
        <f>3.05-2.2</f>
        <v>0.8499999999999996</v>
      </c>
      <c r="G1958" s="247">
        <v>0.889</v>
      </c>
      <c r="H1958" s="249">
        <f>PRODUCT(D1958:G1958)</f>
        <v>2.266949999999999</v>
      </c>
      <c r="J1958" s="253" t="inlineStr">
        <is>
          <t xml:space="preserve">3*1*(3.05-2.2)*0.889</t>
        </is>
      </c>
    </row>
    <row r="1959">
      <c r="C1959" s="246" t="inlineStr">
        <is>
          <t xml:space="preserve">Walling over opening ED2 (3 nr, 1x2.2): nr x width x (3.05 - opening ht) x thickness share</t>
        </is>
      </c>
      <c r="D1959" s="248">
        <v>3</v>
      </c>
      <c r="E1959" s="247">
        <v>1</v>
      </c>
      <c r="F1959" s="247">
        <f>3.05-2.2</f>
        <v>0.8499999999999996</v>
      </c>
      <c r="G1959" s="247">
        <v>0.889</v>
      </c>
      <c r="H1959" s="249">
        <f>PRODUCT(D1959:G1959)</f>
        <v>2.266949999999999</v>
      </c>
      <c r="J1959" s="253" t="inlineStr">
        <is>
          <t xml:space="preserve">3*1*(3.05-2.2)*0.889</t>
        </is>
      </c>
    </row>
    <row r="1960">
      <c r="C1960" s="246" t="inlineStr">
        <is>
          <t xml:space="preserve">Walling over opening D9 (2 nr, 0.9x2.2): nr x width x (3.05 - opening ht) x thickness share</t>
        </is>
      </c>
      <c r="D1960" s="248">
        <v>2</v>
      </c>
      <c r="E1960" s="247">
        <v>0.9</v>
      </c>
      <c r="F1960" s="247">
        <f>3.05-2.2</f>
        <v>0.8499999999999996</v>
      </c>
      <c r="G1960" s="247">
        <v>0.889</v>
      </c>
      <c r="H1960" s="249">
        <f>PRODUCT(D1960:G1960)</f>
        <v>1.3601699999999994</v>
      </c>
      <c r="J1960" s="253" t="inlineStr">
        <is>
          <t xml:space="preserve">2*0.9*(3.05-2.2)*0.889</t>
        </is>
      </c>
    </row>
    <row r="1961">
      <c r="C1961" s="246" t="inlineStr">
        <is>
          <t xml:space="preserve">Walling over opening FD1 (1 nr, 1.5x2.2): nr x width x (3.05 - opening ht) x thickness share</t>
        </is>
      </c>
      <c r="D1961" s="248">
        <v>1</v>
      </c>
      <c r="E1961" s="247">
        <v>1.5</v>
      </c>
      <c r="F1961" s="247">
        <f>3.05-2.2</f>
        <v>0.8499999999999996</v>
      </c>
      <c r="G1961" s="247">
        <v>0.889</v>
      </c>
      <c r="H1961" s="249">
        <f>PRODUCT(D1961:G1961)</f>
        <v>1.1334749999999996</v>
      </c>
      <c r="J1961" s="253" t="inlineStr">
        <is>
          <t xml:space="preserve">1*1.5*(3.05-2.2)*0.889</t>
        </is>
      </c>
    </row>
    <row r="1962">
      <c r="C1962" s="246" t="inlineStr">
        <is>
          <t xml:space="preserve">Walling over opening M1 (3 nr, 0.9x2.2): nr x width x (3.05 - opening ht) x thickness share</t>
        </is>
      </c>
      <c r="D1962" s="248">
        <v>3</v>
      </c>
      <c r="E1962" s="247">
        <v>0.9</v>
      </c>
      <c r="F1962" s="247">
        <f>3.05-2.2</f>
        <v>0.8499999999999996</v>
      </c>
      <c r="G1962" s="247">
        <v>0.889</v>
      </c>
      <c r="H1962" s="249">
        <f>PRODUCT(D1962:G1962)</f>
        <v>2.0402549999999993</v>
      </c>
      <c r="J1962" s="253" t="inlineStr">
        <is>
          <t xml:space="preserve">3*0.9*(3.05-2.2)*0.889</t>
        </is>
      </c>
    </row>
    <row r="1963">
      <c r="C1963" s="246" t="inlineStr">
        <is>
          <t xml:space="preserve">Walling over opening M2 (5 nr, 0.75x2.2): nr x width x (3.05 - opening ht) x thickness share</t>
        </is>
      </c>
      <c r="D1963" s="248">
        <v>5</v>
      </c>
      <c r="E1963" s="247">
        <v>0.75</v>
      </c>
      <c r="F1963" s="247">
        <f>3.05-2.2</f>
        <v>0.8499999999999996</v>
      </c>
      <c r="G1963" s="247">
        <v>0.889</v>
      </c>
      <c r="H1963" s="249">
        <f>PRODUCT(D1963:G1963)</f>
        <v>2.833687499999999</v>
      </c>
      <c r="J1963" s="253" t="inlineStr">
        <is>
          <t xml:space="preserve">5*0.75*(3.05-2.2)*0.889</t>
        </is>
      </c>
    </row>
    <row r="1964">
      <c r="C1964" s="246" t="inlineStr">
        <is>
          <t xml:space="preserve">Walling over opening M3 (1 nr, 0.45x2.2): nr x width x (3.05 - opening ht) x thickness share</t>
        </is>
      </c>
      <c r="D1964" s="248">
        <v>1</v>
      </c>
      <c r="E1964" s="247">
        <v>0.45</v>
      </c>
      <c r="F1964" s="247">
        <f>3.05-2.2</f>
        <v>0.8499999999999996</v>
      </c>
      <c r="G1964" s="247">
        <v>0.889</v>
      </c>
      <c r="H1964" s="249">
        <f>PRODUCT(D1964:G1964)</f>
        <v>0.34004249999999986</v>
      </c>
      <c r="J1964" s="253" t="inlineStr">
        <is>
          <t xml:space="preserve">1*0.45*(3.05-2.2)*0.889</t>
        </is>
      </c>
    </row>
    <row r="1965">
      <c r="C1965" s="246" t="inlineStr">
        <is>
          <t xml:space="preserve">Walling over opening M5 (3 nr, 0.6x2.2): nr x width x (3.05 - opening ht) x thickness share</t>
        </is>
      </c>
      <c r="D1965" s="248">
        <v>3</v>
      </c>
      <c r="E1965" s="247">
        <v>0.6</v>
      </c>
      <c r="F1965" s="247">
        <f>3.05-2.2</f>
        <v>0.8499999999999996</v>
      </c>
      <c r="G1965" s="247">
        <v>0.889</v>
      </c>
      <c r="H1965" s="249">
        <f>PRODUCT(D1965:G1965)</f>
        <v>1.3601699999999992</v>
      </c>
      <c r="J1965" s="253" t="inlineStr">
        <is>
          <t xml:space="preserve">3*0.6*(3.05-2.2)*0.889</t>
        </is>
      </c>
    </row>
    <row r="1966">
      <c r="C1966" s="246" t="inlineStr">
        <is>
          <t xml:space="preserve">Walling over opening SD1 (1 nr, 3x2.2): nr x width x (3.05 - opening ht) x thickness share</t>
        </is>
      </c>
      <c r="D1966" s="248">
        <v>1</v>
      </c>
      <c r="E1966" s="247">
        <v>3</v>
      </c>
      <c r="F1966" s="247">
        <f>3.05-2.2</f>
        <v>0.8499999999999996</v>
      </c>
      <c r="G1966" s="247">
        <v>0.889</v>
      </c>
      <c r="H1966" s="249">
        <f>PRODUCT(D1966:G1966)</f>
        <v>2.266949999999999</v>
      </c>
      <c r="J1966" s="253" t="inlineStr">
        <is>
          <t xml:space="preserve">1*3*(3.05-2.2)*0.889</t>
        </is>
      </c>
    </row>
    <row r="1967">
      <c r="C1967" s="246" t="inlineStr">
        <is>
          <t xml:space="preserve">Walling over opening SD2 (4 nr, 1.6x2.2): nr x width x (3.05 - opening ht) x thickness share</t>
        </is>
      </c>
      <c r="D1967" s="248">
        <v>4</v>
      </c>
      <c r="E1967" s="247">
        <v>1.6</v>
      </c>
      <c r="F1967" s="247">
        <f>3.05-2.2</f>
        <v>0.8499999999999996</v>
      </c>
      <c r="G1967" s="247">
        <v>0.889</v>
      </c>
      <c r="H1967" s="249">
        <f>PRODUCT(D1967:G1967)</f>
        <v>4.836159999999998</v>
      </c>
      <c r="J1967" s="253" t="inlineStr">
        <is>
          <t xml:space="preserve">4*1.6*(3.05-2.2)*0.889</t>
        </is>
      </c>
    </row>
    <row r="1968">
      <c r="C1968" s="246" t="inlineStr">
        <is>
          <t xml:space="preserve">Walling over opening SD3 (2 nr, 1.3x2.2): nr x width x (3.05 - opening ht) x thickness share</t>
        </is>
      </c>
      <c r="D1968" s="248">
        <v>2</v>
      </c>
      <c r="E1968" s="247">
        <v>1.3</v>
      </c>
      <c r="F1968" s="247">
        <f>3.05-2.2</f>
        <v>0.8499999999999996</v>
      </c>
      <c r="G1968" s="247">
        <v>0.889</v>
      </c>
      <c r="H1968" s="249">
        <f>PRODUCT(D1968:G1968)</f>
        <v>1.9646899999999992</v>
      </c>
      <c r="J1968" s="253" t="inlineStr">
        <is>
          <t xml:space="preserve">2*1.3*(3.05-2.2)*0.889</t>
        </is>
      </c>
    </row>
    <row r="1969">
      <c r="C1969" s="246" t="inlineStr">
        <is>
          <t xml:space="preserve">Walling over opening SD4 (4 nr, 1.8x2.2): nr x width x (3.05 - opening ht) x thickness share</t>
        </is>
      </c>
      <c r="D1969" s="248">
        <v>4</v>
      </c>
      <c r="E1969" s="247">
        <v>1.8</v>
      </c>
      <c r="F1969" s="247">
        <f>3.05-2.2</f>
        <v>0.8499999999999996</v>
      </c>
      <c r="G1969" s="247">
        <v>0.889</v>
      </c>
      <c r="H1969" s="249">
        <f>PRODUCT(D1969:G1969)</f>
        <v>5.440679999999998</v>
      </c>
      <c r="J1969" s="253" t="inlineStr">
        <is>
          <t xml:space="preserve">4*1.8*(3.05-2.2)*0.889</t>
        </is>
      </c>
    </row>
    <row r="1970">
      <c r="C1970" s="246" t="inlineStr">
        <is>
          <t xml:space="preserve">Walling over opening SD5 (1 nr, 1.2x2.2): nr x width x (3.05 - opening ht) x thickness share</t>
        </is>
      </c>
      <c r="D1970" s="248">
        <v>1</v>
      </c>
      <c r="E1970" s="247">
        <v>1.2</v>
      </c>
      <c r="F1970" s="247">
        <f>3.05-2.2</f>
        <v>0.8499999999999996</v>
      </c>
      <c r="G1970" s="247">
        <v>0.889</v>
      </c>
      <c r="H1970" s="249">
        <f>PRODUCT(D1970:G1970)</f>
        <v>0.9067799999999996</v>
      </c>
      <c r="J1970" s="253" t="inlineStr">
        <is>
          <t xml:space="preserve">1*1.2*(3.05-2.2)*0.889</t>
        </is>
      </c>
    </row>
    <row r="1971">
      <c r="C1971" s="246" t="inlineStr">
        <is>
          <t xml:space="preserve">Walling over opening W2 (6 nr, 1.8x1.3): nr x width x (3.05 - opening ht) x thickness share</t>
        </is>
      </c>
      <c r="D1971" s="248">
        <v>6</v>
      </c>
      <c r="E1971" s="247">
        <v>1.8</v>
      </c>
      <c r="F1971" s="247">
        <f>3.05-1.3</f>
        <v>1.7499999999999998</v>
      </c>
      <c r="G1971" s="247">
        <v>0.889</v>
      </c>
      <c r="H1971" s="249">
        <f>PRODUCT(D1971:G1971)</f>
        <v>16.8021</v>
      </c>
      <c r="J1971" s="253" t="inlineStr">
        <is>
          <t xml:space="preserve">6*1.8*(3.05-1.3)*0.889</t>
        </is>
      </c>
    </row>
    <row r="1972">
      <c r="C1972" s="246" t="inlineStr">
        <is>
          <t xml:space="preserve">Walling over opening W4 (10 nr, 0.9x1.3): nr x width x (3.05 - opening ht) x thickness share</t>
        </is>
      </c>
      <c r="D1972" s="248">
        <v>10</v>
      </c>
      <c r="E1972" s="247">
        <v>0.9</v>
      </c>
      <c r="F1972" s="247">
        <f>3.05-1.3</f>
        <v>1.7499999999999998</v>
      </c>
      <c r="G1972" s="247">
        <v>0.889</v>
      </c>
      <c r="H1972" s="249">
        <f>PRODUCT(D1972:G1972)</f>
        <v>14.00175</v>
      </c>
      <c r="J1972" s="253" t="inlineStr">
        <is>
          <t xml:space="preserve">10*0.9*(3.05-1.3)*0.889</t>
        </is>
      </c>
    </row>
    <row r="1973">
      <c r="C1973" s="246" t="inlineStr">
        <is>
          <t xml:space="preserve">Walling over opening W7 (2 nr, 1.8x1.6): nr x width x (3.05 - opening ht) x thickness share</t>
        </is>
      </c>
      <c r="D1973" s="248">
        <v>2</v>
      </c>
      <c r="E1973" s="247">
        <v>1.8</v>
      </c>
      <c r="F1973" s="247">
        <f>3.05-1.6</f>
        <v>1.4499999999999997</v>
      </c>
      <c r="G1973" s="247">
        <v>0.889</v>
      </c>
      <c r="H1973" s="249">
        <f>PRODUCT(D1973:G1973)</f>
        <v>4.640579999999999</v>
      </c>
      <c r="J1973" s="253" t="inlineStr">
        <is>
          <t xml:space="preserve">2*1.8*(3.05-1.6)*0.889</t>
        </is>
      </c>
    </row>
    <row r="1974">
      <c r="C1974" s="246" t="inlineStr">
        <is>
          <t xml:space="preserve">Walling over opening W8 (3 nr, 1.2x1.9): nr x width x (3.05 - opening ht) x thickness share</t>
        </is>
      </c>
      <c r="D1974" s="248">
        <v>3</v>
      </c>
      <c r="E1974" s="247">
        <v>1.2</v>
      </c>
      <c r="F1974" s="247">
        <f>3.05-1.9</f>
        <v>1.15</v>
      </c>
      <c r="G1974" s="247">
        <v>0.889</v>
      </c>
      <c r="H1974" s="249">
        <f>PRODUCT(D1974:G1974)</f>
        <v>3.6804599999999996</v>
      </c>
      <c r="J1974" s="253" t="inlineStr">
        <is>
          <t xml:space="preserve">3*1.2*(3.05-1.9)*0.889</t>
        </is>
      </c>
    </row>
    <row r="1975">
      <c r="C1975" s="246" t="inlineStr">
        <is>
          <t xml:space="preserve">Walling over opening W9 (8 nr, 1.2x1.15): nr x width x (3.05 - opening ht) x thickness share</t>
        </is>
      </c>
      <c r="D1975" s="248">
        <v>8</v>
      </c>
      <c r="E1975" s="247">
        <v>1.2</v>
      </c>
      <c r="F1975" s="247">
        <f>3.05-1.15</f>
        <v>1.9</v>
      </c>
      <c r="G1975" s="247">
        <v>0.889</v>
      </c>
      <c r="H1975" s="249">
        <f>PRODUCT(D1975:G1975)</f>
        <v>16.21536</v>
      </c>
      <c r="J1975" s="253" t="inlineStr">
        <is>
          <t xml:space="preserve">8*1.2*(3.05-1.15)*0.889</t>
        </is>
      </c>
    </row>
    <row r="1976">
      <c r="C1976" s="246" t="inlineStr">
        <is>
          <t xml:space="preserve">Walling over opening W10 (1 nr, 1.2x1.2): nr x width x (3.05 - opening ht) x thickness share</t>
        </is>
      </c>
      <c r="D1976" s="248">
        <v>1</v>
      </c>
      <c r="E1976" s="247">
        <v>1.2</v>
      </c>
      <c r="F1976" s="247">
        <f>3.05-1.2</f>
        <v>1.8499999999999999</v>
      </c>
      <c r="G1976" s="247">
        <v>0.889</v>
      </c>
      <c r="H1976" s="249">
        <f>PRODUCT(D1976:G1976)</f>
        <v>1.97358</v>
      </c>
      <c r="J1976" s="253" t="inlineStr">
        <is>
          <t xml:space="preserve">1*1.2*(3.05-1.2)*0.889</t>
        </is>
      </c>
    </row>
    <row r="1977">
      <c r="C1977" s="246" t="inlineStr">
        <is>
          <t xml:space="preserve">Walling over opening W11 (7 nr, 1.5x1.3): nr x width x (3.05 - opening ht) x thickness share</t>
        </is>
      </c>
      <c r="D1977" s="248">
        <v>7</v>
      </c>
      <c r="E1977" s="247">
        <v>1.5</v>
      </c>
      <c r="F1977" s="247">
        <f>3.05-1.3</f>
        <v>1.7499999999999998</v>
      </c>
      <c r="G1977" s="247">
        <v>0.889</v>
      </c>
      <c r="H1977" s="249">
        <f>PRODUCT(D1977:G1977)</f>
        <v>16.335374999999996</v>
      </c>
      <c r="J1977" s="253" t="inlineStr">
        <is>
          <t xml:space="preserve">7*1.5*(3.05-1.3)*0.889</t>
        </is>
      </c>
    </row>
    <row r="1978">
      <c r="C1978" s="246" t="inlineStr">
        <is>
          <t xml:space="preserve">Walling over opening W12 (4 nr, 1.5x1.15): nr x width x (3.05 - opening ht) x thickness share</t>
        </is>
      </c>
      <c r="D1978" s="248">
        <v>4</v>
      </c>
      <c r="E1978" s="247">
        <v>1.5</v>
      </c>
      <c r="F1978" s="247">
        <f>3.05-1.15</f>
        <v>1.9</v>
      </c>
      <c r="G1978" s="247">
        <v>0.889</v>
      </c>
      <c r="H1978" s="249">
        <f>PRODUCT(D1978:G1978)</f>
        <v>10.134599999999999</v>
      </c>
      <c r="J1978" s="253" t="inlineStr">
        <is>
          <t xml:space="preserve">4*1.5*(3.05-1.15)*0.889</t>
        </is>
      </c>
    </row>
    <row r="1979">
      <c r="C1979" s="246" t="inlineStr">
        <is>
          <t xml:space="preserve">Walling over opening W13 (1 nr, 2.4x1.3): nr x width x (3.05 - opening ht) x thickness share</t>
        </is>
      </c>
      <c r="D1979" s="248">
        <v>1</v>
      </c>
      <c r="E1979" s="247">
        <v>2.4</v>
      </c>
      <c r="F1979" s="247">
        <f>3.05-1.3</f>
        <v>1.7499999999999998</v>
      </c>
      <c r="G1979" s="247">
        <v>0.889</v>
      </c>
      <c r="H1979" s="249">
        <f>PRODUCT(D1979:G1979)</f>
        <v>3.7337999999999996</v>
      </c>
      <c r="J1979" s="253" t="inlineStr">
        <is>
          <t xml:space="preserve">1*2.4*(3.05-1.3)*0.889</t>
        </is>
      </c>
    </row>
    <row r="1980">
      <c r="C1980" s="246" t="inlineStr">
        <is>
          <t xml:space="preserve">Walling over opening W15 (1 nr, 3x1.6): nr x width x (3.05 - opening ht) x thickness share</t>
        </is>
      </c>
      <c r="D1980" s="248">
        <v>1</v>
      </c>
      <c r="E1980" s="247">
        <v>3</v>
      </c>
      <c r="F1980" s="247">
        <f>3.05-1.6</f>
        <v>1.4499999999999997</v>
      </c>
      <c r="G1980" s="247">
        <v>0.889</v>
      </c>
      <c r="H1980" s="249">
        <f>PRODUCT(D1980:G1980)</f>
        <v>3.8671499999999996</v>
      </c>
      <c r="J1980" s="253" t="inlineStr">
        <is>
          <t xml:space="preserve">1*3*(3.05-1.6)*0.889</t>
        </is>
      </c>
    </row>
    <row r="1981">
      <c r="C1981" s="246" t="inlineStr">
        <is>
          <t xml:space="preserve">Walling over opening W17 (3 nr, 1.8x1.9): nr x width x (3.05 - opening ht) x thickness share</t>
        </is>
      </c>
      <c r="D1981" s="248">
        <v>3</v>
      </c>
      <c r="E1981" s="247">
        <v>1.8</v>
      </c>
      <c r="F1981" s="247">
        <f>3.05-1.9</f>
        <v>1.15</v>
      </c>
      <c r="G1981" s="247">
        <v>0.889</v>
      </c>
      <c r="H1981" s="249">
        <f>PRODUCT(D1981:G1981)</f>
        <v>5.52069</v>
      </c>
      <c r="J1981" s="253" t="inlineStr">
        <is>
          <t xml:space="preserve">3*1.8*(3.05-1.9)*0.889</t>
        </is>
      </c>
    </row>
    <row r="1982">
      <c r="C1982" s="246" t="inlineStr">
        <is>
          <t xml:space="preserve">Walling over opening W18 (1 nr, 0.75x1.3): nr x width x (3.05 - opening ht) x thickness share</t>
        </is>
      </c>
      <c r="D1982" s="248">
        <v>1</v>
      </c>
      <c r="E1982" s="247">
        <v>0.75</v>
      </c>
      <c r="F1982" s="247">
        <f>3.05-1.3</f>
        <v>1.7499999999999998</v>
      </c>
      <c r="G1982" s="247">
        <v>0.889</v>
      </c>
      <c r="H1982" s="249">
        <f>PRODUCT(D1982:G1982)</f>
        <v>1.1668124999999998</v>
      </c>
      <c r="J1982" s="253" t="inlineStr">
        <is>
          <t xml:space="preserve">1*0.75*(3.05-1.3)*0.889</t>
        </is>
      </c>
    </row>
    <row r="1983">
      <c r="C1983" s="246" t="inlineStr">
        <is>
          <t xml:space="preserve">Walling over opening W20 (1 nr, 1.45x1.9): nr x width x (3.05 - opening ht) x thickness share</t>
        </is>
      </c>
      <c r="D1983" s="248">
        <v>1</v>
      </c>
      <c r="E1983" s="247">
        <v>1.45</v>
      </c>
      <c r="F1983" s="247">
        <f>3.05-1.9</f>
        <v>1.15</v>
      </c>
      <c r="G1983" s="247">
        <v>0.889</v>
      </c>
      <c r="H1983" s="249">
        <f>PRODUCT(D1983:G1983)</f>
        <v>1.4824074999999999</v>
      </c>
      <c r="J1983" s="253" t="inlineStr">
        <is>
          <t xml:space="preserve">1*1.45*(3.05-1.9)*0.889</t>
        </is>
      </c>
    </row>
    <row r="1984">
      <c r="C1984" s="246" t="inlineStr">
        <is>
          <t xml:space="preserve">Walling over opening HW1 (13 nr, 0.9x0.6): nr x width x (3.05 - opening ht) x thickness share</t>
        </is>
      </c>
      <c r="D1984" s="248">
        <v>13</v>
      </c>
      <c r="E1984" s="247">
        <v>0.9</v>
      </c>
      <c r="F1984" s="247">
        <f>3.05-0.6</f>
        <v>2.4499999999999997</v>
      </c>
      <c r="G1984" s="247">
        <v>0.889</v>
      </c>
      <c r="H1984" s="249">
        <f>PRODUCT(D1984:G1984)</f>
        <v>25.483185</v>
      </c>
      <c r="J1984" s="253" t="inlineStr">
        <is>
          <t xml:space="preserve">13*0.9*(3.05-0.6)*0.889</t>
        </is>
      </c>
    </row>
    <row r="1985">
      <c r="C1985" s="246" t="inlineStr">
        <is>
          <t xml:space="preserve">Walling over opening HW2 (5 nr, 0.75x0.6): nr x width x (3.05 - opening ht) x thickness share</t>
        </is>
      </c>
      <c r="D1985" s="248">
        <v>5</v>
      </c>
      <c r="E1985" s="247">
        <v>0.75</v>
      </c>
      <c r="F1985" s="247">
        <f>3.05-0.6</f>
        <v>2.4499999999999997</v>
      </c>
      <c r="G1985" s="247">
        <v>0.889</v>
      </c>
      <c r="H1985" s="249">
        <f>PRODUCT(D1985:G1985)</f>
        <v>8.167687499999998</v>
      </c>
      <c r="J1985" s="253" t="inlineStr">
        <is>
          <t xml:space="preserve">5*0.75*(3.05-0.6)*0.889</t>
        </is>
      </c>
    </row>
    <row r="1986">
      <c r="C1986" s="246" t="inlineStr">
        <is>
          <t xml:space="preserve">Walling over opening HW3 (2 nr, 0.6x0.6): nr x width x (3.05 - opening ht) x thickness share</t>
        </is>
      </c>
      <c r="D1986" s="248">
        <v>2</v>
      </c>
      <c r="E1986" s="247">
        <v>0.6</v>
      </c>
      <c r="F1986" s="247">
        <f>3.05-0.6</f>
        <v>2.4499999999999997</v>
      </c>
      <c r="G1986" s="247">
        <v>0.889</v>
      </c>
      <c r="H1986" s="249">
        <f>PRODUCT(D1986:G1986)</f>
        <v>2.6136599999999994</v>
      </c>
      <c r="J1986" s="253" t="inlineStr">
        <is>
          <t xml:space="preserve">2*0.6*(3.05-0.6)*0.889</t>
        </is>
      </c>
    </row>
    <row r="1987">
      <c r="C1987" s="246" t="inlineStr">
        <is>
          <t xml:space="preserve">Walling over opening HW4 (2 nr, 1.2x0.6): nr x width x (3.05 - opening ht) x thickness share</t>
        </is>
      </c>
      <c r="D1987" s="248">
        <v>2</v>
      </c>
      <c r="E1987" s="247">
        <v>1.2</v>
      </c>
      <c r="F1987" s="247">
        <f>3.05-0.6</f>
        <v>2.4499999999999997</v>
      </c>
      <c r="G1987" s="247">
        <v>0.889</v>
      </c>
      <c r="H1987" s="249">
        <f>PRODUCT(D1987:G1987)</f>
        <v>5.227319999999999</v>
      </c>
      <c r="J1987" s="253" t="inlineStr">
        <is>
          <t xml:space="preserve">2*1.2*(3.05-0.6)*0.889</t>
        </is>
      </c>
    </row>
    <row r="1988">
      <c r="C1988" s="250" t="inlineStr">
        <is>
          <t xml:space="preserve">Total carried to BOQ  4TH FLR item A</t>
        </is>
      </c>
      <c r="D1988" s="250" t="inlineStr">
        <is>
          <t xml:space="preserve"/>
        </is>
      </c>
      <c r="E1988" s="250" t="inlineStr">
        <is>
          <t xml:space="preserve"/>
        </is>
      </c>
      <c r="F1988" s="250" t="inlineStr">
        <is>
          <t xml:space="preserve"/>
        </is>
      </c>
      <c r="G1988" s="250" t="inlineStr">
        <is>
          <t xml:space="preserve"/>
        </is>
      </c>
      <c r="H1988" s="251">
        <f>SUM(H1952:H1987)</f>
        <v>1555.9224724999997</v>
      </c>
      <c r="I1988" s="252" t="inlineStr">
        <is>
          <t xml:space="preserve">m2</t>
        </is>
      </c>
    </row>
    <row r="1989">
      <c r="A1989" s="243" t="inlineStr">
        <is>
          <t xml:space="preserve">4TH FLR</t>
        </is>
      </c>
      <c r="B1989" s="243" t="inlineStr">
        <is>
          <t xml:space="preserve">B</t>
        </is>
      </c>
      <c r="C1989" s="244" t="inlineStr">
        <is>
          <t xml:space="preserve">200mm thick wall</t>
        </is>
      </c>
      <c r="I1989" s="245" t="inlineStr">
        <is>
          <t xml:space="preserve">m2</t>
        </is>
      </c>
      <c r="K1989" s="256" t="inlineStr">
        <is>
          <t xml:space="preserve">'4TH FLR '!C101</t>
        </is>
      </c>
    </row>
    <row r="1990">
      <c r="C1990" s="246" t="inlineStr">
        <is>
          <t xml:space="preserve">Fourth floor - 200 blockwork: wall length x storey ht</t>
        </is>
      </c>
      <c r="E1990" s="247">
        <v>55.3</v>
      </c>
      <c r="F1990" s="247">
        <v>3.05</v>
      </c>
      <c r="H1990" s="249">
        <f>PRODUCT(D1990:G1990)</f>
        <v>168.665</v>
      </c>
      <c r="J1990" s="253" t="inlineStr">
        <is>
          <t xml:space="preserve">55.3*3.05</t>
        </is>
      </c>
    </row>
    <row r="1991">
      <c r="C1991" s="246" t="inlineStr">
        <is>
          <t xml:space="preserve">Walling over opening D2 (8 nr, 1x2.2): nr x width x (3.05 - opening ht) x thickness share</t>
        </is>
      </c>
      <c r="D1991" s="248">
        <v>8</v>
      </c>
      <c r="E1991" s="247">
        <v>1</v>
      </c>
      <c r="F1991" s="247">
        <f>3.05-2.2</f>
        <v>0.8499999999999996</v>
      </c>
      <c r="G1991" s="247">
        <v>0.111</v>
      </c>
      <c r="H1991" s="249">
        <f>PRODUCT(D1991:G1991)</f>
        <v>0.7547999999999997</v>
      </c>
      <c r="J1991" s="253" t="inlineStr">
        <is>
          <t xml:space="preserve">8*1*(3.05-2.2)*0.111</t>
        </is>
      </c>
    </row>
    <row r="1992">
      <c r="C1992" s="246" t="inlineStr">
        <is>
          <t xml:space="preserve">Walling over opening D3 (15 nr, 0.9x2.2): nr x width x (3.05 - opening ht) x thickness share</t>
        </is>
      </c>
      <c r="D1992" s="248">
        <v>15</v>
      </c>
      <c r="E1992" s="247">
        <v>0.9</v>
      </c>
      <c r="F1992" s="247">
        <f>3.05-2.2</f>
        <v>0.8499999999999996</v>
      </c>
      <c r="G1992" s="247">
        <v>0.111</v>
      </c>
      <c r="H1992" s="249">
        <f>PRODUCT(D1992:G1992)</f>
        <v>1.2737249999999993</v>
      </c>
      <c r="J1992" s="253" t="inlineStr">
        <is>
          <t xml:space="preserve">15*0.9*(3.05-2.2)*0.111</t>
        </is>
      </c>
    </row>
    <row r="1993">
      <c r="C1993" s="246" t="inlineStr">
        <is>
          <t xml:space="preserve">Walling over opening D6 (22 nr, 0.75x2.2): nr x width x (3.05 - opening ht) x thickness share</t>
        </is>
      </c>
      <c r="D1993" s="248">
        <v>22</v>
      </c>
      <c r="E1993" s="247">
        <v>0.75</v>
      </c>
      <c r="F1993" s="247">
        <f>3.05-2.2</f>
        <v>0.8499999999999996</v>
      </c>
      <c r="G1993" s="247">
        <v>0.111</v>
      </c>
      <c r="H1993" s="249">
        <f>PRODUCT(D1993:G1993)</f>
        <v>1.5567749999999996</v>
      </c>
      <c r="J1993" s="253" t="inlineStr">
        <is>
          <t xml:space="preserve">22*0.75*(3.05-2.2)*0.111</t>
        </is>
      </c>
    </row>
    <row r="1994">
      <c r="C1994" s="246" t="inlineStr">
        <is>
          <t xml:space="preserve">Walling over opening D7 (1 nr, 0.7x2.2): nr x width x (3.05 - opening ht) x thickness share</t>
        </is>
      </c>
      <c r="D1994" s="248">
        <v>1</v>
      </c>
      <c r="E1994" s="247">
        <v>0.7</v>
      </c>
      <c r="F1994" s="247">
        <f>3.05-2.2</f>
        <v>0.8499999999999996</v>
      </c>
      <c r="G1994" s="247">
        <v>0.111</v>
      </c>
      <c r="H1994" s="249">
        <f>PRODUCT(D1994:G1994)</f>
        <v>0.06604499999999998</v>
      </c>
      <c r="J1994" s="253" t="inlineStr">
        <is>
          <t xml:space="preserve">1*0.7*(3.05-2.2)*0.111</t>
        </is>
      </c>
    </row>
    <row r="1995">
      <c r="C1995" s="246" t="inlineStr">
        <is>
          <t xml:space="preserve">Walling over opening D8 (3 nr, 1.2x2.2): nr x width x (3.05 - opening ht) x thickness share</t>
        </is>
      </c>
      <c r="D1995" s="248">
        <v>3</v>
      </c>
      <c r="E1995" s="247">
        <v>1.2</v>
      </c>
      <c r="F1995" s="247">
        <f>3.05-2.2</f>
        <v>0.8499999999999996</v>
      </c>
      <c r="G1995" s="247">
        <v>0.111</v>
      </c>
      <c r="H1995" s="249">
        <f>PRODUCT(D1995:G1995)</f>
        <v>0.3396599999999998</v>
      </c>
      <c r="J1995" s="253" t="inlineStr">
        <is>
          <t xml:space="preserve">3*1.2*(3.05-2.2)*0.111</t>
        </is>
      </c>
    </row>
    <row r="1996">
      <c r="C1996" s="246" t="inlineStr">
        <is>
          <t xml:space="preserve">Walling over opening ED1 (3 nr, 1x2.2): nr x width x (3.05 - opening ht) x thickness share</t>
        </is>
      </c>
      <c r="D1996" s="248">
        <v>3</v>
      </c>
      <c r="E1996" s="247">
        <v>1</v>
      </c>
      <c r="F1996" s="247">
        <f>3.05-2.2</f>
        <v>0.8499999999999996</v>
      </c>
      <c r="G1996" s="247">
        <v>0.111</v>
      </c>
      <c r="H1996" s="249">
        <f>PRODUCT(D1996:G1996)</f>
        <v>0.2830499999999999</v>
      </c>
      <c r="J1996" s="253" t="inlineStr">
        <is>
          <t xml:space="preserve">3*1*(3.05-2.2)*0.111</t>
        </is>
      </c>
    </row>
    <row r="1997">
      <c r="C1997" s="246" t="inlineStr">
        <is>
          <t xml:space="preserve">Walling over opening ED2 (3 nr, 1x2.2): nr x width x (3.05 - opening ht) x thickness share</t>
        </is>
      </c>
      <c r="D1997" s="248">
        <v>3</v>
      </c>
      <c r="E1997" s="247">
        <v>1</v>
      </c>
      <c r="F1997" s="247">
        <f>3.05-2.2</f>
        <v>0.8499999999999996</v>
      </c>
      <c r="G1997" s="247">
        <v>0.111</v>
      </c>
      <c r="H1997" s="249">
        <f>PRODUCT(D1997:G1997)</f>
        <v>0.2830499999999999</v>
      </c>
      <c r="J1997" s="253" t="inlineStr">
        <is>
          <t xml:space="preserve">3*1*(3.05-2.2)*0.111</t>
        </is>
      </c>
    </row>
    <row r="1998">
      <c r="C1998" s="246" t="inlineStr">
        <is>
          <t xml:space="preserve">Walling over opening D9 (2 nr, 0.9x2.2): nr x width x (3.05 - opening ht) x thickness share</t>
        </is>
      </c>
      <c r="D1998" s="248">
        <v>2</v>
      </c>
      <c r="E1998" s="247">
        <v>0.9</v>
      </c>
      <c r="F1998" s="247">
        <f>3.05-2.2</f>
        <v>0.8499999999999996</v>
      </c>
      <c r="G1998" s="247">
        <v>0.111</v>
      </c>
      <c r="H1998" s="249">
        <f>PRODUCT(D1998:G1998)</f>
        <v>0.16982999999999993</v>
      </c>
      <c r="J1998" s="253" t="inlineStr">
        <is>
          <t xml:space="preserve">2*0.9*(3.05-2.2)*0.111</t>
        </is>
      </c>
    </row>
    <row r="1999">
      <c r="C1999" s="246" t="inlineStr">
        <is>
          <t xml:space="preserve">Walling over opening FD1 (1 nr, 1.5x2.2): nr x width x (3.05 - opening ht) x thickness share</t>
        </is>
      </c>
      <c r="D1999" s="248">
        <v>1</v>
      </c>
      <c r="E1999" s="247">
        <v>1.5</v>
      </c>
      <c r="F1999" s="247">
        <f>3.05-2.2</f>
        <v>0.8499999999999996</v>
      </c>
      <c r="G1999" s="247">
        <v>0.111</v>
      </c>
      <c r="H1999" s="249">
        <f>PRODUCT(D1999:G1999)</f>
        <v>0.14152499999999996</v>
      </c>
      <c r="J1999" s="253" t="inlineStr">
        <is>
          <t xml:space="preserve">1*1.5*(3.05-2.2)*0.111</t>
        </is>
      </c>
    </row>
    <row r="2000">
      <c r="C2000" s="246" t="inlineStr">
        <is>
          <t xml:space="preserve">Walling over opening M1 (3 nr, 0.9x2.2): nr x width x (3.05 - opening ht) x thickness share</t>
        </is>
      </c>
      <c r="D2000" s="248">
        <v>3</v>
      </c>
      <c r="E2000" s="247">
        <v>0.9</v>
      </c>
      <c r="F2000" s="247">
        <f>3.05-2.2</f>
        <v>0.8499999999999996</v>
      </c>
      <c r="G2000" s="247">
        <v>0.111</v>
      </c>
      <c r="H2000" s="249">
        <f>PRODUCT(D2000:G2000)</f>
        <v>0.2547449999999999</v>
      </c>
      <c r="J2000" s="253" t="inlineStr">
        <is>
          <t xml:space="preserve">3*0.9*(3.05-2.2)*0.111</t>
        </is>
      </c>
    </row>
    <row r="2001">
      <c r="C2001" s="246" t="inlineStr">
        <is>
          <t xml:space="preserve">Walling over opening M2 (5 nr, 0.75x2.2): nr x width x (3.05 - opening ht) x thickness share</t>
        </is>
      </c>
      <c r="D2001" s="248">
        <v>5</v>
      </c>
      <c r="E2001" s="247">
        <v>0.75</v>
      </c>
      <c r="F2001" s="247">
        <f>3.05-2.2</f>
        <v>0.8499999999999996</v>
      </c>
      <c r="G2001" s="247">
        <v>0.111</v>
      </c>
      <c r="H2001" s="249">
        <f>PRODUCT(D2001:G2001)</f>
        <v>0.35381249999999986</v>
      </c>
      <c r="J2001" s="253" t="inlineStr">
        <is>
          <t xml:space="preserve">5*0.75*(3.05-2.2)*0.111</t>
        </is>
      </c>
    </row>
    <row r="2002">
      <c r="C2002" s="246" t="inlineStr">
        <is>
          <t xml:space="preserve">Walling over opening M3 (1 nr, 0.45x2.2): nr x width x (3.05 - opening ht) x thickness share</t>
        </is>
      </c>
      <c r="D2002" s="248">
        <v>1</v>
      </c>
      <c r="E2002" s="247">
        <v>0.45</v>
      </c>
      <c r="F2002" s="247">
        <f>3.05-2.2</f>
        <v>0.8499999999999996</v>
      </c>
      <c r="G2002" s="247">
        <v>0.111</v>
      </c>
      <c r="H2002" s="249">
        <f>PRODUCT(D2002:G2002)</f>
        <v>0.04245749999999998</v>
      </c>
      <c r="J2002" s="253" t="inlineStr">
        <is>
          <t xml:space="preserve">1*0.45*(3.05-2.2)*0.111</t>
        </is>
      </c>
    </row>
    <row r="2003">
      <c r="C2003" s="246" t="inlineStr">
        <is>
          <t xml:space="preserve">Walling over opening M5 (3 nr, 0.6x2.2): nr x width x (3.05 - opening ht) x thickness share</t>
        </is>
      </c>
      <c r="D2003" s="248">
        <v>3</v>
      </c>
      <c r="E2003" s="247">
        <v>0.6</v>
      </c>
      <c r="F2003" s="247">
        <f>3.05-2.2</f>
        <v>0.8499999999999996</v>
      </c>
      <c r="G2003" s="247">
        <v>0.111</v>
      </c>
      <c r="H2003" s="249">
        <f>PRODUCT(D2003:G2003)</f>
        <v>0.1698299999999999</v>
      </c>
      <c r="J2003" s="253" t="inlineStr">
        <is>
          <t xml:space="preserve">3*0.6*(3.05-2.2)*0.111</t>
        </is>
      </c>
    </row>
    <row r="2004">
      <c r="C2004" s="246" t="inlineStr">
        <is>
          <t xml:space="preserve">Walling over opening SD1 (1 nr, 3x2.2): nr x width x (3.05 - opening ht) x thickness share</t>
        </is>
      </c>
      <c r="D2004" s="248">
        <v>1</v>
      </c>
      <c r="E2004" s="247">
        <v>3</v>
      </c>
      <c r="F2004" s="247">
        <f>3.05-2.2</f>
        <v>0.8499999999999996</v>
      </c>
      <c r="G2004" s="247">
        <v>0.111</v>
      </c>
      <c r="H2004" s="249">
        <f>PRODUCT(D2004:G2004)</f>
        <v>0.2830499999999999</v>
      </c>
      <c r="J2004" s="253" t="inlineStr">
        <is>
          <t xml:space="preserve">1*3*(3.05-2.2)*0.111</t>
        </is>
      </c>
    </row>
    <row r="2005">
      <c r="C2005" s="246" t="inlineStr">
        <is>
          <t xml:space="preserve">Walling over opening SD2 (4 nr, 1.6x2.2): nr x width x (3.05 - opening ht) x thickness share</t>
        </is>
      </c>
      <c r="D2005" s="248">
        <v>4</v>
      </c>
      <c r="E2005" s="247">
        <v>1.6</v>
      </c>
      <c r="F2005" s="247">
        <f>3.05-2.2</f>
        <v>0.8499999999999996</v>
      </c>
      <c r="G2005" s="247">
        <v>0.111</v>
      </c>
      <c r="H2005" s="249">
        <f>PRODUCT(D2005:G2005)</f>
        <v>0.6038399999999997</v>
      </c>
      <c r="J2005" s="253" t="inlineStr">
        <is>
          <t xml:space="preserve">4*1.6*(3.05-2.2)*0.111</t>
        </is>
      </c>
    </row>
    <row r="2006">
      <c r="C2006" s="246" t="inlineStr">
        <is>
          <t xml:space="preserve">Walling over opening SD3 (2 nr, 1.3x2.2): nr x width x (3.05 - opening ht) x thickness share</t>
        </is>
      </c>
      <c r="D2006" s="248">
        <v>2</v>
      </c>
      <c r="E2006" s="247">
        <v>1.3</v>
      </c>
      <c r="F2006" s="247">
        <f>3.05-2.2</f>
        <v>0.8499999999999996</v>
      </c>
      <c r="G2006" s="247">
        <v>0.111</v>
      </c>
      <c r="H2006" s="249">
        <f>PRODUCT(D2006:G2006)</f>
        <v>0.2453099999999999</v>
      </c>
      <c r="J2006" s="253" t="inlineStr">
        <is>
          <t xml:space="preserve">2*1.3*(3.05-2.2)*0.111</t>
        </is>
      </c>
    </row>
    <row r="2007">
      <c r="C2007" s="246" t="inlineStr">
        <is>
          <t xml:space="preserve">Walling over opening SD4 (4 nr, 1.8x2.2): nr x width x (3.05 - opening ht) x thickness share</t>
        </is>
      </c>
      <c r="D2007" s="248">
        <v>4</v>
      </c>
      <c r="E2007" s="247">
        <v>1.8</v>
      </c>
      <c r="F2007" s="247">
        <f>3.05-2.2</f>
        <v>0.8499999999999996</v>
      </c>
      <c r="G2007" s="247">
        <v>0.111</v>
      </c>
      <c r="H2007" s="249">
        <f>PRODUCT(D2007:G2007)</f>
        <v>0.6793199999999997</v>
      </c>
      <c r="J2007" s="253" t="inlineStr">
        <is>
          <t xml:space="preserve">4*1.8*(3.05-2.2)*0.111</t>
        </is>
      </c>
    </row>
    <row r="2008">
      <c r="C2008" s="246" t="inlineStr">
        <is>
          <t xml:space="preserve">Walling over opening SD5 (1 nr, 1.2x2.2): nr x width x (3.05 - opening ht) x thickness share</t>
        </is>
      </c>
      <c r="D2008" s="248">
        <v>1</v>
      </c>
      <c r="E2008" s="247">
        <v>1.2</v>
      </c>
      <c r="F2008" s="247">
        <f>3.05-2.2</f>
        <v>0.8499999999999996</v>
      </c>
      <c r="G2008" s="247">
        <v>0.111</v>
      </c>
      <c r="H2008" s="249">
        <f>PRODUCT(D2008:G2008)</f>
        <v>0.11321999999999996</v>
      </c>
      <c r="J2008" s="253" t="inlineStr">
        <is>
          <t xml:space="preserve">1*1.2*(3.05-2.2)*0.111</t>
        </is>
      </c>
    </row>
    <row r="2009">
      <c r="C2009" s="246" t="inlineStr">
        <is>
          <t xml:space="preserve">Walling over opening W2 (6 nr, 1.8x1.3): nr x width x (3.05 - opening ht) x thickness share</t>
        </is>
      </c>
      <c r="D2009" s="248">
        <v>6</v>
      </c>
      <c r="E2009" s="247">
        <v>1.8</v>
      </c>
      <c r="F2009" s="247">
        <f>3.05-1.3</f>
        <v>1.7499999999999998</v>
      </c>
      <c r="G2009" s="247">
        <v>0.111</v>
      </c>
      <c r="H2009" s="249">
        <f>PRODUCT(D2009:G2009)</f>
        <v>2.0978999999999997</v>
      </c>
      <c r="J2009" s="253" t="inlineStr">
        <is>
          <t xml:space="preserve">6*1.8*(3.05-1.3)*0.111</t>
        </is>
      </c>
    </row>
    <row r="2010">
      <c r="C2010" s="246" t="inlineStr">
        <is>
          <t xml:space="preserve">Walling over opening W4 (10 nr, 0.9x1.3): nr x width x (3.05 - opening ht) x thickness share</t>
        </is>
      </c>
      <c r="D2010" s="248">
        <v>10</v>
      </c>
      <c r="E2010" s="247">
        <v>0.9</v>
      </c>
      <c r="F2010" s="247">
        <f>3.05-1.3</f>
        <v>1.7499999999999998</v>
      </c>
      <c r="G2010" s="247">
        <v>0.111</v>
      </c>
      <c r="H2010" s="249">
        <f>PRODUCT(D2010:G2010)</f>
        <v>1.7482499999999999</v>
      </c>
      <c r="J2010" s="253" t="inlineStr">
        <is>
          <t xml:space="preserve">10*0.9*(3.05-1.3)*0.111</t>
        </is>
      </c>
    </row>
    <row r="2011">
      <c r="C2011" s="246" t="inlineStr">
        <is>
          <t xml:space="preserve">Walling over opening W7 (2 nr, 1.8x1.6): nr x width x (3.05 - opening ht) x thickness share</t>
        </is>
      </c>
      <c r="D2011" s="248">
        <v>2</v>
      </c>
      <c r="E2011" s="247">
        <v>1.8</v>
      </c>
      <c r="F2011" s="247">
        <f>3.05-1.6</f>
        <v>1.4499999999999997</v>
      </c>
      <c r="G2011" s="247">
        <v>0.111</v>
      </c>
      <c r="H2011" s="249">
        <f>PRODUCT(D2011:G2011)</f>
        <v>0.5794199999999999</v>
      </c>
      <c r="J2011" s="253" t="inlineStr">
        <is>
          <t xml:space="preserve">2*1.8*(3.05-1.6)*0.111</t>
        </is>
      </c>
    </row>
    <row r="2012">
      <c r="C2012" s="246" t="inlineStr">
        <is>
          <t xml:space="preserve">Walling over opening W8 (3 nr, 1.2x1.9): nr x width x (3.05 - opening ht) x thickness share</t>
        </is>
      </c>
      <c r="D2012" s="248">
        <v>3</v>
      </c>
      <c r="E2012" s="247">
        <v>1.2</v>
      </c>
      <c r="F2012" s="247">
        <f>3.05-1.9</f>
        <v>1.15</v>
      </c>
      <c r="G2012" s="247">
        <v>0.111</v>
      </c>
      <c r="H2012" s="249">
        <f>PRODUCT(D2012:G2012)</f>
        <v>0.45953999999999995</v>
      </c>
      <c r="J2012" s="253" t="inlineStr">
        <is>
          <t xml:space="preserve">3*1.2*(3.05-1.9)*0.111</t>
        </is>
      </c>
    </row>
    <row r="2013">
      <c r="C2013" s="246" t="inlineStr">
        <is>
          <t xml:space="preserve">Walling over opening W9 (8 nr, 1.2x1.15): nr x width x (3.05 - opening ht) x thickness share</t>
        </is>
      </c>
      <c r="D2013" s="248">
        <v>8</v>
      </c>
      <c r="E2013" s="247">
        <v>1.2</v>
      </c>
      <c r="F2013" s="247">
        <f>3.05-1.15</f>
        <v>1.9</v>
      </c>
      <c r="G2013" s="247">
        <v>0.111</v>
      </c>
      <c r="H2013" s="249">
        <f>PRODUCT(D2013:G2013)</f>
        <v>2.0246399999999998</v>
      </c>
      <c r="J2013" s="253" t="inlineStr">
        <is>
          <t xml:space="preserve">8*1.2*(3.05-1.15)*0.111</t>
        </is>
      </c>
    </row>
    <row r="2014">
      <c r="C2014" s="246" t="inlineStr">
        <is>
          <t xml:space="preserve">Walling over opening W10 (1 nr, 1.2x1.2): nr x width x (3.05 - opening ht) x thickness share</t>
        </is>
      </c>
      <c r="D2014" s="248">
        <v>1</v>
      </c>
      <c r="E2014" s="247">
        <v>1.2</v>
      </c>
      <c r="F2014" s="247">
        <f>3.05-1.2</f>
        <v>1.8499999999999999</v>
      </c>
      <c r="G2014" s="247">
        <v>0.111</v>
      </c>
      <c r="H2014" s="249">
        <f>PRODUCT(D2014:G2014)</f>
        <v>0.24641999999999997</v>
      </c>
      <c r="J2014" s="253" t="inlineStr">
        <is>
          <t xml:space="preserve">1*1.2*(3.05-1.2)*0.111</t>
        </is>
      </c>
    </row>
    <row r="2015">
      <c r="C2015" s="246" t="inlineStr">
        <is>
          <t xml:space="preserve">Walling over opening W11 (7 nr, 1.5x1.3): nr x width x (3.05 - opening ht) x thickness share</t>
        </is>
      </c>
      <c r="D2015" s="248">
        <v>7</v>
      </c>
      <c r="E2015" s="247">
        <v>1.5</v>
      </c>
      <c r="F2015" s="247">
        <f>3.05-1.3</f>
        <v>1.7499999999999998</v>
      </c>
      <c r="G2015" s="247">
        <v>0.111</v>
      </c>
      <c r="H2015" s="249">
        <f>PRODUCT(D2015:G2015)</f>
        <v>2.0396249999999996</v>
      </c>
      <c r="J2015" s="253" t="inlineStr">
        <is>
          <t xml:space="preserve">7*1.5*(3.05-1.3)*0.111</t>
        </is>
      </c>
    </row>
    <row r="2016">
      <c r="C2016" s="246" t="inlineStr">
        <is>
          <t xml:space="preserve">Walling over opening W12 (4 nr, 1.5x1.15): nr x width x (3.05 - opening ht) x thickness share</t>
        </is>
      </c>
      <c r="D2016" s="248">
        <v>4</v>
      </c>
      <c r="E2016" s="247">
        <v>1.5</v>
      </c>
      <c r="F2016" s="247">
        <f>3.05-1.15</f>
        <v>1.9</v>
      </c>
      <c r="G2016" s="247">
        <v>0.111</v>
      </c>
      <c r="H2016" s="249">
        <f>PRODUCT(D2016:G2016)</f>
        <v>1.2653999999999999</v>
      </c>
      <c r="J2016" s="253" t="inlineStr">
        <is>
          <t xml:space="preserve">4*1.5*(3.05-1.15)*0.111</t>
        </is>
      </c>
    </row>
    <row r="2017">
      <c r="C2017" s="246" t="inlineStr">
        <is>
          <t xml:space="preserve">Walling over opening W13 (1 nr, 2.4x1.3): nr x width x (3.05 - opening ht) x thickness share</t>
        </is>
      </c>
      <c r="D2017" s="248">
        <v>1</v>
      </c>
      <c r="E2017" s="247">
        <v>2.4</v>
      </c>
      <c r="F2017" s="247">
        <f>3.05-1.3</f>
        <v>1.7499999999999998</v>
      </c>
      <c r="G2017" s="247">
        <v>0.111</v>
      </c>
      <c r="H2017" s="249">
        <f>PRODUCT(D2017:G2017)</f>
        <v>0.46619999999999995</v>
      </c>
      <c r="J2017" s="253" t="inlineStr">
        <is>
          <t xml:space="preserve">1*2.4*(3.05-1.3)*0.111</t>
        </is>
      </c>
    </row>
    <row r="2018">
      <c r="C2018" s="246" t="inlineStr">
        <is>
          <t xml:space="preserve">Walling over opening W15 (1 nr, 3x1.6): nr x width x (3.05 - opening ht) x thickness share</t>
        </is>
      </c>
      <c r="D2018" s="248">
        <v>1</v>
      </c>
      <c r="E2018" s="247">
        <v>3</v>
      </c>
      <c r="F2018" s="247">
        <f>3.05-1.6</f>
        <v>1.4499999999999997</v>
      </c>
      <c r="G2018" s="247">
        <v>0.111</v>
      </c>
      <c r="H2018" s="249">
        <f>PRODUCT(D2018:G2018)</f>
        <v>0.48284999999999995</v>
      </c>
      <c r="J2018" s="253" t="inlineStr">
        <is>
          <t xml:space="preserve">1*3*(3.05-1.6)*0.111</t>
        </is>
      </c>
    </row>
    <row r="2019">
      <c r="C2019" s="246" t="inlineStr">
        <is>
          <t xml:space="preserve">Walling over opening W17 (3 nr, 1.8x1.9): nr x width x (3.05 - opening ht) x thickness share</t>
        </is>
      </c>
      <c r="D2019" s="248">
        <v>3</v>
      </c>
      <c r="E2019" s="247">
        <v>1.8</v>
      </c>
      <c r="F2019" s="247">
        <f>3.05-1.9</f>
        <v>1.15</v>
      </c>
      <c r="G2019" s="247">
        <v>0.111</v>
      </c>
      <c r="H2019" s="249">
        <f>PRODUCT(D2019:G2019)</f>
        <v>0.68931</v>
      </c>
      <c r="J2019" s="253" t="inlineStr">
        <is>
          <t xml:space="preserve">3*1.8*(3.05-1.9)*0.111</t>
        </is>
      </c>
    </row>
    <row r="2020">
      <c r="C2020" s="246" t="inlineStr">
        <is>
          <t xml:space="preserve">Walling over opening W18 (1 nr, 0.75x1.3): nr x width x (3.05 - opening ht) x thickness share</t>
        </is>
      </c>
      <c r="D2020" s="248">
        <v>1</v>
      </c>
      <c r="E2020" s="247">
        <v>0.75</v>
      </c>
      <c r="F2020" s="247">
        <f>3.05-1.3</f>
        <v>1.7499999999999998</v>
      </c>
      <c r="G2020" s="247">
        <v>0.111</v>
      </c>
      <c r="H2020" s="249">
        <f>PRODUCT(D2020:G2020)</f>
        <v>0.14568749999999997</v>
      </c>
      <c r="J2020" s="253" t="inlineStr">
        <is>
          <t xml:space="preserve">1*0.75*(3.05-1.3)*0.111</t>
        </is>
      </c>
    </row>
    <row r="2021">
      <c r="C2021" s="246" t="inlineStr">
        <is>
          <t xml:space="preserve">Walling over opening W20 (1 nr, 1.45x1.9): nr x width x (3.05 - opening ht) x thickness share</t>
        </is>
      </c>
      <c r="D2021" s="248">
        <v>1</v>
      </c>
      <c r="E2021" s="247">
        <v>1.45</v>
      </c>
      <c r="F2021" s="247">
        <f>3.05-1.9</f>
        <v>1.15</v>
      </c>
      <c r="G2021" s="247">
        <v>0.111</v>
      </c>
      <c r="H2021" s="249">
        <f>PRODUCT(D2021:G2021)</f>
        <v>0.18509249999999997</v>
      </c>
      <c r="J2021" s="253" t="inlineStr">
        <is>
          <t xml:space="preserve">1*1.45*(3.05-1.9)*0.111</t>
        </is>
      </c>
    </row>
    <row r="2022">
      <c r="C2022" s="246" t="inlineStr">
        <is>
          <t xml:space="preserve">Walling over opening HW1 (13 nr, 0.9x0.6): nr x width x (3.05 - opening ht) x thickness share</t>
        </is>
      </c>
      <c r="D2022" s="248">
        <v>13</v>
      </c>
      <c r="E2022" s="247">
        <v>0.9</v>
      </c>
      <c r="F2022" s="247">
        <f>3.05-0.6</f>
        <v>2.4499999999999997</v>
      </c>
      <c r="G2022" s="247">
        <v>0.111</v>
      </c>
      <c r="H2022" s="249">
        <f>PRODUCT(D2022:G2022)</f>
        <v>3.181815</v>
      </c>
      <c r="J2022" s="253" t="inlineStr">
        <is>
          <t xml:space="preserve">13*0.9*(3.05-0.6)*0.111</t>
        </is>
      </c>
    </row>
    <row r="2023">
      <c r="C2023" s="246" t="inlineStr">
        <is>
          <t xml:space="preserve">Walling over opening HW2 (5 nr, 0.75x0.6): nr x width x (3.05 - opening ht) x thickness share</t>
        </is>
      </c>
      <c r="D2023" s="248">
        <v>5</v>
      </c>
      <c r="E2023" s="247">
        <v>0.75</v>
      </c>
      <c r="F2023" s="247">
        <f>3.05-0.6</f>
        <v>2.4499999999999997</v>
      </c>
      <c r="G2023" s="247">
        <v>0.111</v>
      </c>
      <c r="H2023" s="249">
        <f>PRODUCT(D2023:G2023)</f>
        <v>1.0198124999999998</v>
      </c>
      <c r="J2023" s="253" t="inlineStr">
        <is>
          <t xml:space="preserve">5*0.75*(3.05-0.6)*0.111</t>
        </is>
      </c>
    </row>
    <row r="2024">
      <c r="C2024" s="246" t="inlineStr">
        <is>
          <t xml:space="preserve">Walling over opening HW3 (2 nr, 0.6x0.6): nr x width x (3.05 - opening ht) x thickness share</t>
        </is>
      </c>
      <c r="D2024" s="248">
        <v>2</v>
      </c>
      <c r="E2024" s="247">
        <v>0.6</v>
      </c>
      <c r="F2024" s="247">
        <f>3.05-0.6</f>
        <v>2.4499999999999997</v>
      </c>
      <c r="G2024" s="247">
        <v>0.111</v>
      </c>
      <c r="H2024" s="249">
        <f>PRODUCT(D2024:G2024)</f>
        <v>0.32633999999999996</v>
      </c>
      <c r="J2024" s="253" t="inlineStr">
        <is>
          <t xml:space="preserve">2*0.6*(3.05-0.6)*0.111</t>
        </is>
      </c>
    </row>
    <row r="2025">
      <c r="C2025" s="246" t="inlineStr">
        <is>
          <t xml:space="preserve">Walling over opening HW4 (2 nr, 1.2x0.6): nr x width x (3.05 - opening ht) x thickness share</t>
        </is>
      </c>
      <c r="D2025" s="248">
        <v>2</v>
      </c>
      <c r="E2025" s="247">
        <v>1.2</v>
      </c>
      <c r="F2025" s="247">
        <f>3.05-0.6</f>
        <v>2.4499999999999997</v>
      </c>
      <c r="G2025" s="247">
        <v>0.111</v>
      </c>
      <c r="H2025" s="249">
        <f>PRODUCT(D2025:G2025)</f>
        <v>0.6526799999999999</v>
      </c>
      <c r="J2025" s="253" t="inlineStr">
        <is>
          <t xml:space="preserve">2*1.2*(3.05-0.6)*0.111</t>
        </is>
      </c>
    </row>
    <row r="2026">
      <c r="C2026" s="250" t="inlineStr">
        <is>
          <t xml:space="preserve">Total carried to BOQ  4TH FLR item B</t>
        </is>
      </c>
      <c r="D2026" s="250" t="inlineStr">
        <is>
          <t xml:space="preserve"/>
        </is>
      </c>
      <c r="E2026" s="250" t="inlineStr">
        <is>
          <t xml:space="preserve"/>
        </is>
      </c>
      <c r="F2026" s="250" t="inlineStr">
        <is>
          <t xml:space="preserve"/>
        </is>
      </c>
      <c r="G2026" s="250" t="inlineStr">
        <is>
          <t xml:space="preserve"/>
        </is>
      </c>
      <c r="H2026" s="251">
        <f>SUM(H1990:H2025)</f>
        <v>193.89002750000003</v>
      </c>
      <c r="I2026" s="252" t="inlineStr">
        <is>
          <t xml:space="preserve">m2</t>
        </is>
      </c>
    </row>
    <row r="2027">
      <c r="C2027" s="242" t="inlineStr">
        <is>
          <t xml:space="preserve">ELEMENT NO. 4: WINDOWS/DOORS</t>
        </is>
      </c>
    </row>
    <row r="2028">
      <c r="C2028" s="242" t="inlineStr">
        <is>
          <t xml:space="preserve">L20 DOORS - Supply and fix the following door assemblies complete with frames, ironmongery sets to steel doors and all accessories:</t>
        </is>
      </c>
    </row>
    <row r="2029" ht="32.2" customHeight="1">
      <c r="A2029" s="243" t="inlineStr">
        <is>
          <t xml:space="preserve">4TH FLR</t>
        </is>
      </c>
      <c r="B2029" s="243" t="inlineStr">
        <is>
          <t xml:space="preserve">A</t>
        </is>
      </c>
      <c r="C2029" s="244" t="inlineStr">
        <is>
          <t xml:space="preserve">1000mm x 2200mm 1-hour fire-rated galvanised steel single-leaf security door assembly (D2)</t>
        </is>
      </c>
      <c r="I2029" s="245" t="inlineStr">
        <is>
          <t xml:space="preserve">nr</t>
        </is>
      </c>
      <c r="K2029" s="256" t="inlineStr">
        <is>
          <t xml:space="preserve">'4TH FLR '!C110</t>
        </is>
      </c>
    </row>
    <row r="2030">
      <c r="C2030" s="246" t="inlineStr">
        <is>
          <t xml:space="preserve">Fourth floor - W9</t>
        </is>
      </c>
      <c r="H2030" s="247">
        <v>8</v>
      </c>
      <c r="J2030" s="253" t="inlineStr">
        <is>
          <t xml:space="preserve">8</t>
        </is>
      </c>
    </row>
    <row r="2031">
      <c r="C2031" s="250" t="inlineStr">
        <is>
          <t xml:space="preserve">Total carried to BOQ  4TH FLR item A</t>
        </is>
      </c>
      <c r="D2031" s="250" t="inlineStr">
        <is>
          <t xml:space="preserve"/>
        </is>
      </c>
      <c r="E2031" s="250" t="inlineStr">
        <is>
          <t xml:space="preserve"/>
        </is>
      </c>
      <c r="F2031" s="250" t="inlineStr">
        <is>
          <t xml:space="preserve"/>
        </is>
      </c>
      <c r="G2031" s="250" t="inlineStr">
        <is>
          <t xml:space="preserve"/>
        </is>
      </c>
      <c r="H2031" s="251">
        <f>SUM(H2030:H2030)</f>
        <v>8</v>
      </c>
      <c r="I2031" s="252" t="inlineStr">
        <is>
          <t xml:space="preserve">nr</t>
        </is>
      </c>
    </row>
    <row r="2032">
      <c r="A2032" s="243" t="inlineStr">
        <is>
          <t xml:space="preserve">4TH FLR</t>
        </is>
      </c>
      <c r="B2032" s="243" t="inlineStr">
        <is>
          <t xml:space="preserve">B</t>
        </is>
      </c>
      <c r="C2032" s="244" t="inlineStr">
        <is>
          <t xml:space="preserve">900mm x 2200mm single leaf timber panel door (D3)</t>
        </is>
      </c>
      <c r="I2032" s="245" t="inlineStr">
        <is>
          <t xml:space="preserve">nr</t>
        </is>
      </c>
      <c r="K2032" s="256" t="inlineStr">
        <is>
          <t xml:space="preserve">'4TH FLR '!C112</t>
        </is>
      </c>
    </row>
    <row r="2033">
      <c r="C2033" s="246" t="inlineStr">
        <is>
          <t xml:space="preserve">Fourth floor - D3/D4 doors</t>
        </is>
      </c>
      <c r="H2033" s="247">
        <v>15</v>
      </c>
      <c r="J2033" s="253" t="inlineStr">
        <is>
          <t xml:space="preserve">15</t>
        </is>
      </c>
    </row>
    <row r="2034">
      <c r="C2034" s="250" t="inlineStr">
        <is>
          <t xml:space="preserve">Total carried to BOQ  4TH FLR item B</t>
        </is>
      </c>
      <c r="D2034" s="250" t="inlineStr">
        <is>
          <t xml:space="preserve"/>
        </is>
      </c>
      <c r="E2034" s="250" t="inlineStr">
        <is>
          <t xml:space="preserve"/>
        </is>
      </c>
      <c r="F2034" s="250" t="inlineStr">
        <is>
          <t xml:space="preserve"/>
        </is>
      </c>
      <c r="G2034" s="250" t="inlineStr">
        <is>
          <t xml:space="preserve"/>
        </is>
      </c>
      <c r="H2034" s="251">
        <f>SUM(H2033:H2033)</f>
        <v>15</v>
      </c>
      <c r="I2034" s="252" t="inlineStr">
        <is>
          <t xml:space="preserve">nr</t>
        </is>
      </c>
    </row>
    <row r="2035">
      <c r="A2035" s="243" t="inlineStr">
        <is>
          <t xml:space="preserve">4TH FLR</t>
        </is>
      </c>
      <c r="B2035" s="243" t="inlineStr">
        <is>
          <t xml:space="preserve">C</t>
        </is>
      </c>
      <c r="C2035" s="244" t="inlineStr">
        <is>
          <t xml:space="preserve">750mm x 2200mm single leaf timber flush door (D6)</t>
        </is>
      </c>
      <c r="I2035" s="245" t="inlineStr">
        <is>
          <t xml:space="preserve">nr</t>
        </is>
      </c>
      <c r="K2035" s="256" t="inlineStr">
        <is>
          <t xml:space="preserve">'4TH FLR '!C114</t>
        </is>
      </c>
    </row>
    <row r="2036">
      <c r="C2036" s="246" t="inlineStr">
        <is>
          <t xml:space="preserve">Fourth floor - D6 doors</t>
        </is>
      </c>
      <c r="H2036" s="247">
        <v>22</v>
      </c>
      <c r="J2036" s="253" t="inlineStr">
        <is>
          <t xml:space="preserve">22</t>
        </is>
      </c>
    </row>
    <row r="2037">
      <c r="C2037" s="250" t="inlineStr">
        <is>
          <t xml:space="preserve">Total carried to BOQ  4TH FLR item C</t>
        </is>
      </c>
      <c r="D2037" s="250" t="inlineStr">
        <is>
          <t xml:space="preserve"/>
        </is>
      </c>
      <c r="E2037" s="250" t="inlineStr">
        <is>
          <t xml:space="preserve"/>
        </is>
      </c>
      <c r="F2037" s="250" t="inlineStr">
        <is>
          <t xml:space="preserve"/>
        </is>
      </c>
      <c r="G2037" s="250" t="inlineStr">
        <is>
          <t xml:space="preserve"/>
        </is>
      </c>
      <c r="H2037" s="251">
        <f>SUM(H2036:H2036)</f>
        <v>22</v>
      </c>
      <c r="I2037" s="252" t="inlineStr">
        <is>
          <t xml:space="preserve">nr</t>
        </is>
      </c>
    </row>
    <row r="2038">
      <c r="A2038" s="243" t="inlineStr">
        <is>
          <t xml:space="preserve">4TH FLR</t>
        </is>
      </c>
      <c r="B2038" s="243" t="inlineStr">
        <is>
          <t xml:space="preserve">D</t>
        </is>
      </c>
      <c r="C2038" s="244" t="inlineStr">
        <is>
          <t xml:space="preserve">700mm x 2200mm single-leaf 2-hour fire-rated galvanised steel door (D7)</t>
        </is>
      </c>
      <c r="I2038" s="245" t="inlineStr">
        <is>
          <t xml:space="preserve">nr</t>
        </is>
      </c>
      <c r="K2038" s="256" t="inlineStr">
        <is>
          <t xml:space="preserve">'4TH FLR '!C116</t>
        </is>
      </c>
    </row>
    <row r="2039">
      <c r="C2039" s="246" t="inlineStr">
        <is>
          <t xml:space="preserve">Fourth floor - W20</t>
        </is>
      </c>
      <c r="H2039" s="247">
        <v>1</v>
      </c>
      <c r="J2039" s="253" t="inlineStr">
        <is>
          <t xml:space="preserve">1</t>
        </is>
      </c>
    </row>
    <row r="2040">
      <c r="C2040" s="250" t="inlineStr">
        <is>
          <t xml:space="preserve">Total carried to BOQ  4TH FLR item D</t>
        </is>
      </c>
      <c r="D2040" s="250" t="inlineStr">
        <is>
          <t xml:space="preserve"/>
        </is>
      </c>
      <c r="E2040" s="250" t="inlineStr">
        <is>
          <t xml:space="preserve"/>
        </is>
      </c>
      <c r="F2040" s="250" t="inlineStr">
        <is>
          <t xml:space="preserve"/>
        </is>
      </c>
      <c r="G2040" s="250" t="inlineStr">
        <is>
          <t xml:space="preserve"/>
        </is>
      </c>
      <c r="H2040" s="251">
        <f>SUM(H2039:H2039)</f>
        <v>1</v>
      </c>
      <c r="I2040" s="252" t="inlineStr">
        <is>
          <t xml:space="preserve">nr</t>
        </is>
      </c>
    </row>
    <row r="2041" ht="32.2" customHeight="1">
      <c r="A2041" s="243" t="inlineStr">
        <is>
          <t xml:space="preserve">4TH FLR</t>
        </is>
      </c>
      <c r="B2041" s="243" t="inlineStr">
        <is>
          <t xml:space="preserve">E</t>
        </is>
      </c>
      <c r="C2041" s="244" t="inlineStr">
        <is>
          <t xml:space="preserve">1200mm x 2200mm 1-hour fire-rated leaf-and-a-half galvanised steel security door assembly (D8)</t>
        </is>
      </c>
      <c r="I2041" s="245" t="inlineStr">
        <is>
          <t xml:space="preserve">nr</t>
        </is>
      </c>
      <c r="K2041" s="256" t="inlineStr">
        <is>
          <t xml:space="preserve">'4TH FLR '!C118</t>
        </is>
      </c>
    </row>
    <row r="2042">
      <c r="C2042" s="246" t="inlineStr">
        <is>
          <t xml:space="preserve">Fourth floor - W17</t>
        </is>
      </c>
      <c r="H2042" s="247">
        <v>3</v>
      </c>
      <c r="J2042" s="253" t="inlineStr">
        <is>
          <t xml:space="preserve">3</t>
        </is>
      </c>
    </row>
    <row r="2043">
      <c r="C2043" s="250" t="inlineStr">
        <is>
          <t xml:space="preserve">Total carried to BOQ  4TH FLR item E</t>
        </is>
      </c>
      <c r="D2043" s="250" t="inlineStr">
        <is>
          <t xml:space="preserve"/>
        </is>
      </c>
      <c r="E2043" s="250" t="inlineStr">
        <is>
          <t xml:space="preserve"/>
        </is>
      </c>
      <c r="F2043" s="250" t="inlineStr">
        <is>
          <t xml:space="preserve"/>
        </is>
      </c>
      <c r="G2043" s="250" t="inlineStr">
        <is>
          <t xml:space="preserve"/>
        </is>
      </c>
      <c r="H2043" s="251">
        <f>SUM(H2042:H2042)</f>
        <v>3</v>
      </c>
      <c r="I2043" s="252" t="inlineStr">
        <is>
          <t xml:space="preserve">nr</t>
        </is>
      </c>
    </row>
    <row r="2044" ht="32.2" customHeight="1">
      <c r="A2044" s="243" t="inlineStr">
        <is>
          <t xml:space="preserve">4TH FLR</t>
        </is>
      </c>
      <c r="B2044" s="243" t="inlineStr">
        <is>
          <t xml:space="preserve">F</t>
        </is>
      </c>
      <c r="C2044" s="244" t="inlineStr">
        <is>
          <t xml:space="preserve">1000mm x 2200mm 1-hour fire-rated galvanised steel single-leaf security door assembly - emergency stairs (ED1)</t>
        </is>
      </c>
      <c r="I2044" s="245" t="inlineStr">
        <is>
          <t xml:space="preserve">nr</t>
        </is>
      </c>
      <c r="K2044" s="256" t="inlineStr">
        <is>
          <t xml:space="preserve">'4TH FLR '!C120</t>
        </is>
      </c>
    </row>
    <row r="2045">
      <c r="C2045" s="246" t="inlineStr">
        <is>
          <t xml:space="preserve">Fourth floor - W17</t>
        </is>
      </c>
      <c r="H2045" s="247">
        <v>3</v>
      </c>
      <c r="J2045" s="253" t="inlineStr">
        <is>
          <t xml:space="preserve">3</t>
        </is>
      </c>
    </row>
    <row r="2046">
      <c r="C2046" s="250" t="inlineStr">
        <is>
          <t xml:space="preserve">Total carried to BOQ  4TH FLR item F</t>
        </is>
      </c>
      <c r="D2046" s="250" t="inlineStr">
        <is>
          <t xml:space="preserve"/>
        </is>
      </c>
      <c r="E2046" s="250" t="inlineStr">
        <is>
          <t xml:space="preserve"/>
        </is>
      </c>
      <c r="F2046" s="250" t="inlineStr">
        <is>
          <t xml:space="preserve"/>
        </is>
      </c>
      <c r="G2046" s="250" t="inlineStr">
        <is>
          <t xml:space="preserve"/>
        </is>
      </c>
      <c r="H2046" s="251">
        <f>SUM(H2045:H2045)</f>
        <v>3</v>
      </c>
      <c r="I2046" s="252" t="inlineStr">
        <is>
          <t xml:space="preserve">nr</t>
        </is>
      </c>
    </row>
    <row r="2047" ht="32.2" customHeight="1">
      <c r="A2047" s="243" t="inlineStr">
        <is>
          <t xml:space="preserve">4TH FLR</t>
        </is>
      </c>
      <c r="B2047" s="243" t="inlineStr">
        <is>
          <t xml:space="preserve">G</t>
        </is>
      </c>
      <c r="C2047" s="244" t="inlineStr">
        <is>
          <t xml:space="preserve">1000mm x 2200mm 1-hour fire-rated galvanised steel single-leaf security door with translucent glass panel (ED2)</t>
        </is>
      </c>
      <c r="I2047" s="245" t="inlineStr">
        <is>
          <t xml:space="preserve">nr</t>
        </is>
      </c>
      <c r="K2047" s="256" t="inlineStr">
        <is>
          <t xml:space="preserve">'4TH FLR '!C122</t>
        </is>
      </c>
    </row>
    <row r="2048">
      <c r="C2048" s="246" t="inlineStr">
        <is>
          <t xml:space="preserve">Fourth floor - W17</t>
        </is>
      </c>
      <c r="H2048" s="247">
        <v>3</v>
      </c>
      <c r="J2048" s="253" t="inlineStr">
        <is>
          <t xml:space="preserve">3</t>
        </is>
      </c>
    </row>
    <row r="2049">
      <c r="C2049" s="250" t="inlineStr">
        <is>
          <t xml:space="preserve">Total carried to BOQ  4TH FLR item G</t>
        </is>
      </c>
      <c r="D2049" s="250" t="inlineStr">
        <is>
          <t xml:space="preserve"/>
        </is>
      </c>
      <c r="E2049" s="250" t="inlineStr">
        <is>
          <t xml:space="preserve"/>
        </is>
      </c>
      <c r="F2049" s="250" t="inlineStr">
        <is>
          <t xml:space="preserve"/>
        </is>
      </c>
      <c r="G2049" s="250" t="inlineStr">
        <is>
          <t xml:space="preserve"/>
        </is>
      </c>
      <c r="H2049" s="251">
        <f>SUM(H2048:H2048)</f>
        <v>3</v>
      </c>
      <c r="I2049" s="252" t="inlineStr">
        <is>
          <t xml:space="preserve">nr</t>
        </is>
      </c>
    </row>
    <row r="2050" ht="32.2" customHeight="1">
      <c r="A2050" s="243" t="inlineStr">
        <is>
          <t xml:space="preserve">4TH FLR</t>
        </is>
      </c>
      <c r="B2050" s="243" t="inlineStr">
        <is>
          <t xml:space="preserve">H</t>
        </is>
      </c>
      <c r="C2050" s="244" t="inlineStr">
        <is>
          <t xml:space="preserve">900mm x 2200mm 1-hour fire-rated galvanised steel single-leaf security door assembly (D9)</t>
        </is>
      </c>
      <c r="I2050" s="245" t="inlineStr">
        <is>
          <t xml:space="preserve">nr</t>
        </is>
      </c>
      <c r="K2050" s="256" t="inlineStr">
        <is>
          <t xml:space="preserve">'4TH FLR '!C124</t>
        </is>
      </c>
    </row>
    <row r="2051">
      <c r="C2051" s="246" t="inlineStr">
        <is>
          <t xml:space="preserve">Fourth floor - HW4</t>
        </is>
      </c>
      <c r="H2051" s="247">
        <v>2</v>
      </c>
      <c r="J2051" s="253" t="inlineStr">
        <is>
          <t xml:space="preserve">2</t>
        </is>
      </c>
    </row>
    <row r="2052">
      <c r="C2052" s="250" t="inlineStr">
        <is>
          <t xml:space="preserve">Total carried to BOQ  4TH FLR item H</t>
        </is>
      </c>
      <c r="D2052" s="250" t="inlineStr">
        <is>
          <t xml:space="preserve"/>
        </is>
      </c>
      <c r="E2052" s="250" t="inlineStr">
        <is>
          <t xml:space="preserve"/>
        </is>
      </c>
      <c r="F2052" s="250" t="inlineStr">
        <is>
          <t xml:space="preserve"/>
        </is>
      </c>
      <c r="G2052" s="250" t="inlineStr">
        <is>
          <t xml:space="preserve"/>
        </is>
      </c>
      <c r="H2052" s="251">
        <f>SUM(H2051:H2051)</f>
        <v>2</v>
      </c>
      <c r="I2052" s="252" t="inlineStr">
        <is>
          <t xml:space="preserve">nr</t>
        </is>
      </c>
    </row>
    <row r="2053">
      <c r="A2053" s="243" t="inlineStr">
        <is>
          <t xml:space="preserve">4TH FLR</t>
        </is>
      </c>
      <c r="B2053" s="243" t="inlineStr">
        <is>
          <t xml:space="preserve">J</t>
        </is>
      </c>
      <c r="C2053" s="244" t="inlineStr">
        <is>
          <t xml:space="preserve">1500mm x 2200mm timber bi-fold door (FD1)</t>
        </is>
      </c>
      <c r="I2053" s="245" t="inlineStr">
        <is>
          <t xml:space="preserve">nr</t>
        </is>
      </c>
      <c r="K2053" s="256" t="inlineStr">
        <is>
          <t xml:space="preserve">'4TH FLR '!C126</t>
        </is>
      </c>
    </row>
    <row r="2054">
      <c r="C2054" s="246" t="inlineStr">
        <is>
          <t xml:space="preserve">Fourth floor - W20</t>
        </is>
      </c>
      <c r="H2054" s="247">
        <v>1</v>
      </c>
      <c r="J2054" s="253" t="inlineStr">
        <is>
          <t xml:space="preserve">1</t>
        </is>
      </c>
    </row>
    <row r="2055">
      <c r="C2055" s="250" t="inlineStr">
        <is>
          <t xml:space="preserve">Total carried to BOQ  4TH FLR item J</t>
        </is>
      </c>
      <c r="D2055" s="250" t="inlineStr">
        <is>
          <t xml:space="preserve"/>
        </is>
      </c>
      <c r="E2055" s="250" t="inlineStr">
        <is>
          <t xml:space="preserve"/>
        </is>
      </c>
      <c r="F2055" s="250" t="inlineStr">
        <is>
          <t xml:space="preserve"/>
        </is>
      </c>
      <c r="G2055" s="250" t="inlineStr">
        <is>
          <t xml:space="preserve"/>
        </is>
      </c>
      <c r="H2055" s="251">
        <f>SUM(H2054:H2054)</f>
        <v>1</v>
      </c>
      <c r="I2055" s="252" t="inlineStr">
        <is>
          <t xml:space="preserve">nr</t>
        </is>
      </c>
    </row>
    <row r="2056">
      <c r="A2056" s="243" t="inlineStr">
        <is>
          <t xml:space="preserve">4TH FLR</t>
        </is>
      </c>
      <c r="B2056" s="243" t="inlineStr">
        <is>
          <t xml:space="preserve">K</t>
        </is>
      </c>
      <c r="C2056" s="244" t="inlineStr">
        <is>
          <t xml:space="preserve">900mm x 2200mm screw-fixed galvanised steel service access panel (M1)</t>
        </is>
      </c>
      <c r="I2056" s="245" t="inlineStr">
        <is>
          <t xml:space="preserve">nr</t>
        </is>
      </c>
      <c r="K2056" s="256" t="inlineStr">
        <is>
          <t xml:space="preserve">'4TH FLR '!C128</t>
        </is>
      </c>
    </row>
    <row r="2057">
      <c r="C2057" s="246" t="inlineStr">
        <is>
          <t xml:space="preserve">Fourth floor - W17</t>
        </is>
      </c>
      <c r="H2057" s="247">
        <v>3</v>
      </c>
      <c r="J2057" s="253" t="inlineStr">
        <is>
          <t xml:space="preserve">3</t>
        </is>
      </c>
    </row>
    <row r="2058">
      <c r="C2058" s="250" t="inlineStr">
        <is>
          <t xml:space="preserve">Total carried to BOQ  4TH FLR item K</t>
        </is>
      </c>
      <c r="D2058" s="250" t="inlineStr">
        <is>
          <t xml:space="preserve"/>
        </is>
      </c>
      <c r="E2058" s="250" t="inlineStr">
        <is>
          <t xml:space="preserve"/>
        </is>
      </c>
      <c r="F2058" s="250" t="inlineStr">
        <is>
          <t xml:space="preserve"/>
        </is>
      </c>
      <c r="G2058" s="250" t="inlineStr">
        <is>
          <t xml:space="preserve"/>
        </is>
      </c>
      <c r="H2058" s="251">
        <f>SUM(H2057:H2057)</f>
        <v>3</v>
      </c>
      <c r="I2058" s="252" t="inlineStr">
        <is>
          <t xml:space="preserve">nr</t>
        </is>
      </c>
    </row>
    <row r="2059">
      <c r="A2059" s="243" t="inlineStr">
        <is>
          <t xml:space="preserve">4TH FLR</t>
        </is>
      </c>
      <c r="B2059" s="243" t="inlineStr">
        <is>
          <t xml:space="preserve">L</t>
        </is>
      </c>
      <c r="C2059" s="244" t="inlineStr">
        <is>
          <t xml:space="preserve">750mm x 2200mm screw-fixed galvanised steel service access panel (M2)</t>
        </is>
      </c>
      <c r="I2059" s="245" t="inlineStr">
        <is>
          <t xml:space="preserve">nr</t>
        </is>
      </c>
      <c r="K2059" s="256" t="inlineStr">
        <is>
          <t xml:space="preserve">'4TH FLR '!C130</t>
        </is>
      </c>
    </row>
    <row r="2060">
      <c r="C2060" s="246" t="inlineStr">
        <is>
          <t xml:space="preserve">Fourth floor - HW2</t>
        </is>
      </c>
      <c r="H2060" s="247">
        <v>5</v>
      </c>
      <c r="J2060" s="253" t="inlineStr">
        <is>
          <t xml:space="preserve">5</t>
        </is>
      </c>
    </row>
    <row r="2061">
      <c r="C2061" s="250" t="inlineStr">
        <is>
          <t xml:space="preserve">Total carried to BOQ  4TH FLR item L</t>
        </is>
      </c>
      <c r="D2061" s="250" t="inlineStr">
        <is>
          <t xml:space="preserve"/>
        </is>
      </c>
      <c r="E2061" s="250" t="inlineStr">
        <is>
          <t xml:space="preserve"/>
        </is>
      </c>
      <c r="F2061" s="250" t="inlineStr">
        <is>
          <t xml:space="preserve"/>
        </is>
      </c>
      <c r="G2061" s="250" t="inlineStr">
        <is>
          <t xml:space="preserve"/>
        </is>
      </c>
      <c r="H2061" s="251">
        <f>SUM(H2060:H2060)</f>
        <v>5</v>
      </c>
      <c r="I2061" s="252" t="inlineStr">
        <is>
          <t xml:space="preserve">nr</t>
        </is>
      </c>
    </row>
    <row r="2062">
      <c r="A2062" s="243" t="inlineStr">
        <is>
          <t xml:space="preserve">4TH FLR</t>
        </is>
      </c>
      <c r="B2062" s="243" t="inlineStr">
        <is>
          <t xml:space="preserve">M</t>
        </is>
      </c>
      <c r="C2062" s="244" t="inlineStr">
        <is>
          <t xml:space="preserve">450mm x 2200mm screw-fixed galvanised steel service access panel (M3)</t>
        </is>
      </c>
      <c r="I2062" s="245" t="inlineStr">
        <is>
          <t xml:space="preserve">nr</t>
        </is>
      </c>
      <c r="K2062" s="256" t="inlineStr">
        <is>
          <t xml:space="preserve">'4TH FLR '!C132</t>
        </is>
      </c>
    </row>
    <row r="2063">
      <c r="C2063" s="246" t="inlineStr">
        <is>
          <t xml:space="preserve">Fourth floor - W20</t>
        </is>
      </c>
      <c r="H2063" s="247">
        <v>1</v>
      </c>
      <c r="J2063" s="253" t="inlineStr">
        <is>
          <t xml:space="preserve">1</t>
        </is>
      </c>
    </row>
    <row r="2064">
      <c r="C2064" s="250" t="inlineStr">
        <is>
          <t xml:space="preserve">Total carried to BOQ  4TH FLR item M</t>
        </is>
      </c>
      <c r="D2064" s="250" t="inlineStr">
        <is>
          <t xml:space="preserve"/>
        </is>
      </c>
      <c r="E2064" s="250" t="inlineStr">
        <is>
          <t xml:space="preserve"/>
        </is>
      </c>
      <c r="F2064" s="250" t="inlineStr">
        <is>
          <t xml:space="preserve"/>
        </is>
      </c>
      <c r="G2064" s="250" t="inlineStr">
        <is>
          <t xml:space="preserve"/>
        </is>
      </c>
      <c r="H2064" s="251">
        <f>SUM(H2063:H2063)</f>
        <v>1</v>
      </c>
      <c r="I2064" s="252" t="inlineStr">
        <is>
          <t xml:space="preserve">nr</t>
        </is>
      </c>
    </row>
    <row r="2065">
      <c r="A2065" s="243" t="inlineStr">
        <is>
          <t xml:space="preserve">4TH FLR</t>
        </is>
      </c>
      <c r="B2065" s="243" t="inlineStr">
        <is>
          <t xml:space="preserve">N</t>
        </is>
      </c>
      <c r="C2065" s="244" t="inlineStr">
        <is>
          <t xml:space="preserve">600mm x 2200mm screw-fixed galvanised steel service access panel (M5)</t>
        </is>
      </c>
      <c r="I2065" s="245" t="inlineStr">
        <is>
          <t xml:space="preserve">nr</t>
        </is>
      </c>
      <c r="K2065" s="256" t="inlineStr">
        <is>
          <t xml:space="preserve">'4TH FLR '!C134</t>
        </is>
      </c>
    </row>
    <row r="2066">
      <c r="C2066" s="246" t="inlineStr">
        <is>
          <t xml:space="preserve">Fourth floor - W17</t>
        </is>
      </c>
      <c r="H2066" s="247">
        <v>3</v>
      </c>
      <c r="J2066" s="253" t="inlineStr">
        <is>
          <t xml:space="preserve">3</t>
        </is>
      </c>
    </row>
    <row r="2067">
      <c r="C2067" s="250" t="inlineStr">
        <is>
          <t xml:space="preserve">Total carried to BOQ  4TH FLR item N</t>
        </is>
      </c>
      <c r="D2067" s="250" t="inlineStr">
        <is>
          <t xml:space="preserve"/>
        </is>
      </c>
      <c r="E2067" s="250" t="inlineStr">
        <is>
          <t xml:space="preserve"/>
        </is>
      </c>
      <c r="F2067" s="250" t="inlineStr">
        <is>
          <t xml:space="preserve"/>
        </is>
      </c>
      <c r="G2067" s="250" t="inlineStr">
        <is>
          <t xml:space="preserve"/>
        </is>
      </c>
      <c r="H2067" s="251">
        <f>SUM(H2066:H2066)</f>
        <v>3</v>
      </c>
      <c r="I2067" s="252" t="inlineStr">
        <is>
          <t xml:space="preserve">nr</t>
        </is>
      </c>
    </row>
    <row r="2068" ht="32.2" customHeight="1">
      <c r="A2068" s="243" t="inlineStr">
        <is>
          <t xml:space="preserve">4TH FLR</t>
        </is>
      </c>
      <c r="B2068" s="243" t="inlineStr">
        <is>
          <t xml:space="preserve">P</t>
        </is>
      </c>
      <c r="C2068" s="244" t="inlineStr">
        <is>
          <t xml:space="preserve">3000mm x 2200mm 3-panel galvanised steel framed tempered glass sliding door (SD1)</t>
        </is>
      </c>
      <c r="I2068" s="245" t="inlineStr">
        <is>
          <t xml:space="preserve">nr</t>
        </is>
      </c>
      <c r="K2068" s="256" t="inlineStr">
        <is>
          <t xml:space="preserve">'4TH FLR '!C136</t>
        </is>
      </c>
    </row>
    <row r="2069">
      <c r="C2069" s="246" t="inlineStr">
        <is>
          <t xml:space="preserve">Fourth floor - W20</t>
        </is>
      </c>
      <c r="H2069" s="247">
        <v>1</v>
      </c>
      <c r="J2069" s="253" t="inlineStr">
        <is>
          <t xml:space="preserve">1</t>
        </is>
      </c>
    </row>
    <row r="2070">
      <c r="C2070" s="250" t="inlineStr">
        <is>
          <t xml:space="preserve">Total carried to BOQ  4TH FLR item P</t>
        </is>
      </c>
      <c r="D2070" s="250" t="inlineStr">
        <is>
          <t xml:space="preserve"/>
        </is>
      </c>
      <c r="E2070" s="250" t="inlineStr">
        <is>
          <t xml:space="preserve"/>
        </is>
      </c>
      <c r="F2070" s="250" t="inlineStr">
        <is>
          <t xml:space="preserve"/>
        </is>
      </c>
      <c r="G2070" s="250" t="inlineStr">
        <is>
          <t xml:space="preserve"/>
        </is>
      </c>
      <c r="H2070" s="251">
        <f>SUM(H2069:H2069)</f>
        <v>1</v>
      </c>
      <c r="I2070" s="252" t="inlineStr">
        <is>
          <t xml:space="preserve">nr</t>
        </is>
      </c>
    </row>
    <row r="2071" ht="32.2" customHeight="1">
      <c r="A2071" s="243" t="inlineStr">
        <is>
          <t xml:space="preserve">4TH FLR</t>
        </is>
      </c>
      <c r="B2071" s="243" t="inlineStr">
        <is>
          <t xml:space="preserve">Q</t>
        </is>
      </c>
      <c r="C2071" s="244" t="inlineStr">
        <is>
          <t xml:space="preserve">1600mm x 2200mm 2-panel galvanised steel framed tempered glass sliding door (SD2)</t>
        </is>
      </c>
      <c r="I2071" s="245" t="inlineStr">
        <is>
          <t xml:space="preserve">nr</t>
        </is>
      </c>
      <c r="K2071" s="256" t="inlineStr">
        <is>
          <t xml:space="preserve">'4TH FLR '!C138</t>
        </is>
      </c>
    </row>
    <row r="2072">
      <c r="C2072" s="246" t="inlineStr">
        <is>
          <t xml:space="preserve">Fourth floor - W12</t>
        </is>
      </c>
      <c r="H2072" s="247">
        <v>4</v>
      </c>
      <c r="J2072" s="253" t="inlineStr">
        <is>
          <t xml:space="preserve">4</t>
        </is>
      </c>
    </row>
    <row r="2073">
      <c r="C2073" s="250" t="inlineStr">
        <is>
          <t xml:space="preserve">Total carried to BOQ  4TH FLR item Q</t>
        </is>
      </c>
      <c r="D2073" s="250" t="inlineStr">
        <is>
          <t xml:space="preserve"/>
        </is>
      </c>
      <c r="E2073" s="250" t="inlineStr">
        <is>
          <t xml:space="preserve"/>
        </is>
      </c>
      <c r="F2073" s="250" t="inlineStr">
        <is>
          <t xml:space="preserve"/>
        </is>
      </c>
      <c r="G2073" s="250" t="inlineStr">
        <is>
          <t xml:space="preserve"/>
        </is>
      </c>
      <c r="H2073" s="251">
        <f>SUM(H2072:H2072)</f>
        <v>4</v>
      </c>
      <c r="I2073" s="252" t="inlineStr">
        <is>
          <t xml:space="preserve">nr</t>
        </is>
      </c>
    </row>
    <row r="2074" ht="32.2" customHeight="1">
      <c r="A2074" s="243" t="inlineStr">
        <is>
          <t xml:space="preserve">4TH FLR</t>
        </is>
      </c>
      <c r="B2074" s="243" t="inlineStr">
        <is>
          <t xml:space="preserve">R</t>
        </is>
      </c>
      <c r="C2074" s="244" t="inlineStr">
        <is>
          <t xml:space="preserve">1300mm x 2200mm 2-panel galvanised steel framed tempered glass sliding door (SD3)</t>
        </is>
      </c>
      <c r="I2074" s="245" t="inlineStr">
        <is>
          <t xml:space="preserve">nr</t>
        </is>
      </c>
      <c r="K2074" s="256" t="inlineStr">
        <is>
          <t xml:space="preserve">'4TH FLR '!C140</t>
        </is>
      </c>
    </row>
    <row r="2075">
      <c r="C2075" s="246" t="inlineStr">
        <is>
          <t xml:space="preserve">Fourth floor - HW4</t>
        </is>
      </c>
      <c r="H2075" s="247">
        <v>2</v>
      </c>
      <c r="J2075" s="253" t="inlineStr">
        <is>
          <t xml:space="preserve">2</t>
        </is>
      </c>
    </row>
    <row r="2076">
      <c r="C2076" s="250" t="inlineStr">
        <is>
          <t xml:space="preserve">Total carried to BOQ  4TH FLR item R</t>
        </is>
      </c>
      <c r="D2076" s="250" t="inlineStr">
        <is>
          <t xml:space="preserve"/>
        </is>
      </c>
      <c r="E2076" s="250" t="inlineStr">
        <is>
          <t xml:space="preserve"/>
        </is>
      </c>
      <c r="F2076" s="250" t="inlineStr">
        <is>
          <t xml:space="preserve"/>
        </is>
      </c>
      <c r="G2076" s="250" t="inlineStr">
        <is>
          <t xml:space="preserve"/>
        </is>
      </c>
      <c r="H2076" s="251">
        <f>SUM(H2075:H2075)</f>
        <v>2</v>
      </c>
      <c r="I2076" s="252" t="inlineStr">
        <is>
          <t xml:space="preserve">nr</t>
        </is>
      </c>
    </row>
    <row r="2077" ht="32.2" customHeight="1">
      <c r="A2077" s="243" t="inlineStr">
        <is>
          <t xml:space="preserve">4TH FLR</t>
        </is>
      </c>
      <c r="B2077" s="243" t="inlineStr">
        <is>
          <t xml:space="preserve">S</t>
        </is>
      </c>
      <c r="C2077" s="244" t="inlineStr">
        <is>
          <t xml:space="preserve">1800mm x 2200mm 2-panel galvanised steel framed tempered glass sliding door (SD4)</t>
        </is>
      </c>
      <c r="I2077" s="245" t="inlineStr">
        <is>
          <t xml:space="preserve">nr</t>
        </is>
      </c>
      <c r="K2077" s="256" t="inlineStr">
        <is>
          <t xml:space="preserve">'4TH FLR '!C142</t>
        </is>
      </c>
    </row>
    <row r="2078">
      <c r="C2078" s="246" t="inlineStr">
        <is>
          <t xml:space="preserve">Fourth floor - W12</t>
        </is>
      </c>
      <c r="H2078" s="247">
        <v>4</v>
      </c>
      <c r="J2078" s="253" t="inlineStr">
        <is>
          <t xml:space="preserve">4</t>
        </is>
      </c>
    </row>
    <row r="2079">
      <c r="C2079" s="250" t="inlineStr">
        <is>
          <t xml:space="preserve">Total carried to BOQ  4TH FLR item S</t>
        </is>
      </c>
      <c r="D2079" s="250" t="inlineStr">
        <is>
          <t xml:space="preserve"/>
        </is>
      </c>
      <c r="E2079" s="250" t="inlineStr">
        <is>
          <t xml:space="preserve"/>
        </is>
      </c>
      <c r="F2079" s="250" t="inlineStr">
        <is>
          <t xml:space="preserve"/>
        </is>
      </c>
      <c r="G2079" s="250" t="inlineStr">
        <is>
          <t xml:space="preserve"/>
        </is>
      </c>
      <c r="H2079" s="251">
        <f>SUM(H2078:H2078)</f>
        <v>4</v>
      </c>
      <c r="I2079" s="252" t="inlineStr">
        <is>
          <t xml:space="preserve">nr</t>
        </is>
      </c>
    </row>
    <row r="2080" ht="32.2" customHeight="1">
      <c r="A2080" s="243" t="inlineStr">
        <is>
          <t xml:space="preserve">4TH FLR</t>
        </is>
      </c>
      <c r="B2080" s="243" t="inlineStr">
        <is>
          <t xml:space="preserve">T</t>
        </is>
      </c>
      <c r="C2080" s="244" t="inlineStr">
        <is>
          <t xml:space="preserve">1200mm x 2200mm 2-panel galvanised steel framed tempered glass sliding door (SD5)</t>
        </is>
      </c>
      <c r="I2080" s="245" t="inlineStr">
        <is>
          <t xml:space="preserve">nr</t>
        </is>
      </c>
      <c r="K2080" s="256" t="inlineStr">
        <is>
          <t xml:space="preserve">'4TH FLR '!C144</t>
        </is>
      </c>
    </row>
    <row r="2081">
      <c r="C2081" s="246" t="inlineStr">
        <is>
          <t xml:space="preserve">Fourth floor - W20</t>
        </is>
      </c>
      <c r="H2081" s="247">
        <v>1</v>
      </c>
      <c r="J2081" s="253" t="inlineStr">
        <is>
          <t xml:space="preserve">1</t>
        </is>
      </c>
    </row>
    <row r="2082">
      <c r="C2082" s="250" t="inlineStr">
        <is>
          <t xml:space="preserve">Total carried to BOQ  4TH FLR item T</t>
        </is>
      </c>
      <c r="D2082" s="250" t="inlineStr">
        <is>
          <t xml:space="preserve"/>
        </is>
      </c>
      <c r="E2082" s="250" t="inlineStr">
        <is>
          <t xml:space="preserve"/>
        </is>
      </c>
      <c r="F2082" s="250" t="inlineStr">
        <is>
          <t xml:space="preserve"/>
        </is>
      </c>
      <c r="G2082" s="250" t="inlineStr">
        <is>
          <t xml:space="preserve"/>
        </is>
      </c>
      <c r="H2082" s="251">
        <f>SUM(H2081:H2081)</f>
        <v>1</v>
      </c>
      <c r="I2082" s="252" t="inlineStr">
        <is>
          <t xml:space="preserve">nr</t>
        </is>
      </c>
    </row>
    <row r="2083">
      <c r="A2083" s="243" t="inlineStr">
        <is>
          <t xml:space="preserve">4TH FLR</t>
        </is>
      </c>
      <c r="B2083" s="243" t="inlineStr">
        <is>
          <t xml:space="preserve">U</t>
        </is>
      </c>
      <c r="C2083" s="244" t="inlineStr">
        <is>
          <t xml:space="preserve">50mm x 150mm frames (to timber doors)</t>
        </is>
      </c>
      <c r="I2083" s="245" t="inlineStr">
        <is>
          <t xml:space="preserve">m</t>
        </is>
      </c>
      <c r="K2083" s="256" t="inlineStr">
        <is>
          <t xml:space="preserve">'4TH FLR '!C146</t>
        </is>
      </c>
    </row>
    <row r="2084">
      <c r="C2084" s="246" t="inlineStr">
        <is>
          <t xml:space="preserve">Door : nr x (2 x ht + width)</t>
        </is>
      </c>
      <c r="D2084" s="248">
        <v>15</v>
      </c>
      <c r="E2084" s="247">
        <f>2*2.2+0.9</f>
        <v>5.300000000000001</v>
      </c>
      <c r="H2084" s="249">
        <f>PRODUCT(D2084:G2084)</f>
        <v>79.50000000000001</v>
      </c>
      <c r="J2084" s="253" t="inlineStr">
        <is>
          <t xml:space="preserve">15*(2*2.2+0.9)</t>
        </is>
      </c>
    </row>
    <row r="2085">
      <c r="C2085" s="246" t="inlineStr">
        <is>
          <t xml:space="preserve">Door : nr x (2 x ht + width)</t>
        </is>
      </c>
      <c r="D2085" s="248">
        <v>22</v>
      </c>
      <c r="E2085" s="247">
        <f>2*2.2+0.75</f>
        <v>5.15</v>
      </c>
      <c r="H2085" s="249">
        <f>PRODUCT(D2085:G2085)</f>
        <v>113.30000000000001</v>
      </c>
      <c r="J2085" s="253" t="inlineStr">
        <is>
          <t xml:space="preserve">22*(2*2.2+0.75)</t>
        </is>
      </c>
    </row>
    <row r="2086">
      <c r="C2086" s="246" t="inlineStr">
        <is>
          <t xml:space="preserve">Door : nr x (2 x ht + width)</t>
        </is>
      </c>
      <c r="D2086" s="248">
        <v>1</v>
      </c>
      <c r="E2086" s="247">
        <f>2*2.2+1.5</f>
        <v>5.9</v>
      </c>
      <c r="H2086" s="249">
        <f>PRODUCT(D2086:G2086)</f>
        <v>5.9</v>
      </c>
      <c r="J2086" s="253" t="inlineStr">
        <is>
          <t xml:space="preserve">1*(2*2.2+1.5)</t>
        </is>
      </c>
    </row>
    <row r="2087">
      <c r="C2087" s="250" t="inlineStr">
        <is>
          <t xml:space="preserve">Total carried to BOQ  4TH FLR item U</t>
        </is>
      </c>
      <c r="D2087" s="250" t="inlineStr">
        <is>
          <t xml:space="preserve"/>
        </is>
      </c>
      <c r="E2087" s="250" t="inlineStr">
        <is>
          <t xml:space="preserve"/>
        </is>
      </c>
      <c r="F2087" s="250" t="inlineStr">
        <is>
          <t xml:space="preserve"/>
        </is>
      </c>
      <c r="G2087" s="250" t="inlineStr">
        <is>
          <t xml:space="preserve"/>
        </is>
      </c>
      <c r="H2087" s="251">
        <f>SUM(H2084:H2086)</f>
        <v>198.70000000000002</v>
      </c>
      <c r="I2087" s="252" t="inlineStr">
        <is>
          <t xml:space="preserve">m</t>
        </is>
      </c>
    </row>
    <row r="2088">
      <c r="A2088" s="243" t="inlineStr">
        <is>
          <t xml:space="preserve">4TH FLR</t>
        </is>
      </c>
      <c r="B2088" s="243" t="inlineStr">
        <is>
          <t xml:space="preserve">V</t>
        </is>
      </c>
      <c r="C2088" s="244" t="inlineStr">
        <is>
          <t xml:space="preserve">50mm x 12mm door stop</t>
        </is>
      </c>
      <c r="I2088" s="245" t="inlineStr">
        <is>
          <t xml:space="preserve">m</t>
        </is>
      </c>
      <c r="K2088" s="256" t="inlineStr">
        <is>
          <t xml:space="preserve">'4TH FLR '!C148</t>
        </is>
      </c>
    </row>
    <row r="2089">
      <c r="C2089" s="246" t="inlineStr">
        <is>
          <t xml:space="preserve">Door : nr x (2 x ht + width)</t>
        </is>
      </c>
      <c r="D2089" s="248">
        <v>15</v>
      </c>
      <c r="E2089" s="247">
        <f>2*2.2+0.9</f>
        <v>5.300000000000001</v>
      </c>
      <c r="H2089" s="249">
        <f>PRODUCT(D2089:G2089)</f>
        <v>79.50000000000001</v>
      </c>
      <c r="J2089" s="253" t="inlineStr">
        <is>
          <t xml:space="preserve">15*(2*2.2+0.9)</t>
        </is>
      </c>
    </row>
    <row r="2090">
      <c r="C2090" s="246" t="inlineStr">
        <is>
          <t xml:space="preserve">Door : nr x (2 x ht + width)</t>
        </is>
      </c>
      <c r="D2090" s="248">
        <v>22</v>
      </c>
      <c r="E2090" s="247">
        <f>2*2.2+0.75</f>
        <v>5.15</v>
      </c>
      <c r="H2090" s="249">
        <f>PRODUCT(D2090:G2090)</f>
        <v>113.30000000000001</v>
      </c>
      <c r="J2090" s="253" t="inlineStr">
        <is>
          <t xml:space="preserve">22*(2*2.2+0.75)</t>
        </is>
      </c>
    </row>
    <row r="2091">
      <c r="C2091" s="246" t="inlineStr">
        <is>
          <t xml:space="preserve">Door : nr x (2 x ht + width)</t>
        </is>
      </c>
      <c r="D2091" s="248">
        <v>1</v>
      </c>
      <c r="E2091" s="247">
        <f>2*2.2+1.5</f>
        <v>5.9</v>
      </c>
      <c r="H2091" s="249">
        <f>PRODUCT(D2091:G2091)</f>
        <v>5.9</v>
      </c>
      <c r="J2091" s="253" t="inlineStr">
        <is>
          <t xml:space="preserve">1*(2*2.2+1.5)</t>
        </is>
      </c>
    </row>
    <row r="2092">
      <c r="C2092" s="250" t="inlineStr">
        <is>
          <t xml:space="preserve">Total carried to BOQ  4TH FLR item V</t>
        </is>
      </c>
      <c r="D2092" s="250" t="inlineStr">
        <is>
          <t xml:space="preserve"/>
        </is>
      </c>
      <c r="E2092" s="250" t="inlineStr">
        <is>
          <t xml:space="preserve"/>
        </is>
      </c>
      <c r="F2092" s="250" t="inlineStr">
        <is>
          <t xml:space="preserve"/>
        </is>
      </c>
      <c r="G2092" s="250" t="inlineStr">
        <is>
          <t xml:space="preserve"/>
        </is>
      </c>
      <c r="H2092" s="251">
        <f>SUM(H2089:H2091)</f>
        <v>198.70000000000002</v>
      </c>
      <c r="I2092" s="252" t="inlineStr">
        <is>
          <t xml:space="preserve">m</t>
        </is>
      </c>
    </row>
    <row r="2093">
      <c r="C2093" s="242" t="inlineStr">
        <is>
          <t xml:space="preserve">Ironmongery - Supply and fix the following approved ironmongery to hardwood with accompanying patented screws:</t>
        </is>
      </c>
    </row>
    <row r="2094">
      <c r="A2094" s="243" t="inlineStr">
        <is>
          <t xml:space="preserve">4TH FLR</t>
        </is>
      </c>
      <c r="B2094" s="243" t="inlineStr">
        <is>
          <t xml:space="preserve">W</t>
        </is>
      </c>
      <c r="C2094" s="244" t="inlineStr">
        <is>
          <t xml:space="preserve">Pair 100mm brass butt hinges</t>
        </is>
      </c>
      <c r="I2094" s="245" t="inlineStr">
        <is>
          <t xml:space="preserve">pr</t>
        </is>
      </c>
      <c r="K2094" s="256" t="inlineStr">
        <is>
          <t xml:space="preserve">'4TH FLR '!C152</t>
        </is>
      </c>
    </row>
    <row r="2095">
      <c r="C2095" s="246" t="inlineStr">
        <is>
          <t xml:space="preserve">Fourth floor - Timber door leaves x 1.5 pairs</t>
        </is>
      </c>
      <c r="H2095" s="247">
        <v>56</v>
      </c>
      <c r="J2095" s="253" t="inlineStr">
        <is>
          <t xml:space="preserve">56</t>
        </is>
      </c>
    </row>
    <row r="2096">
      <c r="C2096" s="250" t="inlineStr">
        <is>
          <t xml:space="preserve">Total carried to BOQ  4TH FLR item W</t>
        </is>
      </c>
      <c r="D2096" s="250" t="inlineStr">
        <is>
          <t xml:space="preserve"/>
        </is>
      </c>
      <c r="E2096" s="250" t="inlineStr">
        <is>
          <t xml:space="preserve"/>
        </is>
      </c>
      <c r="F2096" s="250" t="inlineStr">
        <is>
          <t xml:space="preserve"/>
        </is>
      </c>
      <c r="G2096" s="250" t="inlineStr">
        <is>
          <t xml:space="preserve"/>
        </is>
      </c>
      <c r="H2096" s="251">
        <f>SUM(H2095:H2095)</f>
        <v>56</v>
      </c>
      <c r="I2096" s="252" t="inlineStr">
        <is>
          <t xml:space="preserve">pr</t>
        </is>
      </c>
    </row>
    <row r="2097">
      <c r="A2097" s="243" t="inlineStr">
        <is>
          <t xml:space="preserve">4TH FLR</t>
        </is>
      </c>
      <c r="B2097" s="243" t="inlineStr">
        <is>
          <t xml:space="preserve">X</t>
        </is>
      </c>
      <c r="C2097" s="244" t="inlineStr">
        <is>
          <t xml:space="preserve">Ordinary locks</t>
        </is>
      </c>
      <c r="I2097" s="245" t="inlineStr">
        <is>
          <t xml:space="preserve">nr</t>
        </is>
      </c>
      <c r="K2097" s="256" t="inlineStr">
        <is>
          <t xml:space="preserve">'4TH FLR '!C154</t>
        </is>
      </c>
    </row>
    <row r="2098">
      <c r="C2098" s="246" t="inlineStr">
        <is>
          <t xml:space="preserve">Fourth floor - D3/D4 doors</t>
        </is>
      </c>
      <c r="H2098" s="247">
        <v>15</v>
      </c>
      <c r="J2098" s="253" t="inlineStr">
        <is>
          <t xml:space="preserve">15</t>
        </is>
      </c>
    </row>
    <row r="2099">
      <c r="C2099" s="250" t="inlineStr">
        <is>
          <t xml:space="preserve">Total carried to BOQ  4TH FLR item X</t>
        </is>
      </c>
      <c r="D2099" s="250" t="inlineStr">
        <is>
          <t xml:space="preserve"/>
        </is>
      </c>
      <c r="E2099" s="250" t="inlineStr">
        <is>
          <t xml:space="preserve"/>
        </is>
      </c>
      <c r="F2099" s="250" t="inlineStr">
        <is>
          <t xml:space="preserve"/>
        </is>
      </c>
      <c r="G2099" s="250" t="inlineStr">
        <is>
          <t xml:space="preserve"/>
        </is>
      </c>
      <c r="H2099" s="251">
        <f>SUM(H2098:H2098)</f>
        <v>15</v>
      </c>
      <c r="I2099" s="252" t="inlineStr">
        <is>
          <t xml:space="preserve">nr</t>
        </is>
      </c>
    </row>
    <row r="2100">
      <c r="A2100" s="243" t="inlineStr">
        <is>
          <t xml:space="preserve">4TH FLR</t>
        </is>
      </c>
      <c r="B2100" s="243" t="inlineStr">
        <is>
          <t xml:space="preserve">Y</t>
        </is>
      </c>
      <c r="C2100" s="244" t="inlineStr">
        <is>
          <t xml:space="preserve">Approved high quality mortice indicator lock</t>
        </is>
      </c>
      <c r="I2100" s="245" t="inlineStr">
        <is>
          <t xml:space="preserve">nr</t>
        </is>
      </c>
      <c r="K2100" s="256" t="inlineStr">
        <is>
          <t xml:space="preserve">'4TH FLR '!C156</t>
        </is>
      </c>
    </row>
    <row r="2101">
      <c r="C2101" s="246" t="inlineStr">
        <is>
          <t xml:space="preserve">Fourth floor - D6 doors</t>
        </is>
      </c>
      <c r="H2101" s="247">
        <v>22</v>
      </c>
      <c r="J2101" s="253" t="inlineStr">
        <is>
          <t xml:space="preserve">22</t>
        </is>
      </c>
    </row>
    <row r="2102">
      <c r="C2102" s="250" t="inlineStr">
        <is>
          <t xml:space="preserve">Total carried to BOQ  4TH FLR item Y</t>
        </is>
      </c>
      <c r="D2102" s="250" t="inlineStr">
        <is>
          <t xml:space="preserve"/>
        </is>
      </c>
      <c r="E2102" s="250" t="inlineStr">
        <is>
          <t xml:space="preserve"/>
        </is>
      </c>
      <c r="F2102" s="250" t="inlineStr">
        <is>
          <t xml:space="preserve"/>
        </is>
      </c>
      <c r="G2102" s="250" t="inlineStr">
        <is>
          <t xml:space="preserve"/>
        </is>
      </c>
      <c r="H2102" s="251">
        <f>SUM(H2101:H2101)</f>
        <v>22</v>
      </c>
      <c r="I2102" s="252" t="inlineStr">
        <is>
          <t xml:space="preserve">nr</t>
        </is>
      </c>
    </row>
    <row r="2103">
      <c r="C2103"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2104">
      <c r="A2104" s="243" t="inlineStr">
        <is>
          <t xml:space="preserve">4TH FLR</t>
        </is>
      </c>
      <c r="B2104" s="243" t="inlineStr">
        <is>
          <t xml:space="preserve">Z</t>
        </is>
      </c>
      <c r="C2104" s="244" t="inlineStr">
        <is>
          <t xml:space="preserve">2 bay alu. framed glass sliding window 1800mm x 1300mm (W2)</t>
        </is>
      </c>
      <c r="I2104" s="245" t="inlineStr">
        <is>
          <t xml:space="preserve">nr</t>
        </is>
      </c>
      <c r="K2104" s="256" t="inlineStr">
        <is>
          <t xml:space="preserve">'4TH FLR '!C159</t>
        </is>
      </c>
    </row>
    <row r="2105">
      <c r="C2105" s="246" t="inlineStr">
        <is>
          <t xml:space="preserve">Fourth floor - W2</t>
        </is>
      </c>
      <c r="H2105" s="247">
        <v>6</v>
      </c>
      <c r="J2105" s="253" t="inlineStr">
        <is>
          <t xml:space="preserve">6</t>
        </is>
      </c>
    </row>
    <row r="2106">
      <c r="C2106" s="250" t="inlineStr">
        <is>
          <t xml:space="preserve">Total carried to BOQ  4TH FLR item Z</t>
        </is>
      </c>
      <c r="D2106" s="250" t="inlineStr">
        <is>
          <t xml:space="preserve"/>
        </is>
      </c>
      <c r="E2106" s="250" t="inlineStr">
        <is>
          <t xml:space="preserve"/>
        </is>
      </c>
      <c r="F2106" s="250" t="inlineStr">
        <is>
          <t xml:space="preserve"/>
        </is>
      </c>
      <c r="G2106" s="250" t="inlineStr">
        <is>
          <t xml:space="preserve"/>
        </is>
      </c>
      <c r="H2106" s="251">
        <f>SUM(H2105:H2105)</f>
        <v>6</v>
      </c>
      <c r="I2106" s="252" t="inlineStr">
        <is>
          <t xml:space="preserve">nr</t>
        </is>
      </c>
    </row>
    <row r="2107">
      <c r="A2107" s="243" t="inlineStr">
        <is>
          <t xml:space="preserve">4TH FLR</t>
        </is>
      </c>
      <c r="B2107" s="243" t="inlineStr">
        <is>
          <t xml:space="preserve">A</t>
        </is>
      </c>
      <c r="C2107" s="244" t="inlineStr">
        <is>
          <t xml:space="preserve">1 bay alu. framed glass awning window 900mm x 1300mm (W4)</t>
        </is>
      </c>
      <c r="I2107" s="245" t="inlineStr">
        <is>
          <t xml:space="preserve">nr</t>
        </is>
      </c>
      <c r="K2107" s="256" t="inlineStr">
        <is>
          <t xml:space="preserve">'4TH FLR '!C161</t>
        </is>
      </c>
    </row>
    <row r="2108">
      <c r="C2108" s="246" t="inlineStr">
        <is>
          <t xml:space="preserve">Fourth floor - W4</t>
        </is>
      </c>
      <c r="H2108" s="247">
        <v>10</v>
      </c>
      <c r="J2108" s="253" t="inlineStr">
        <is>
          <t xml:space="preserve">10</t>
        </is>
      </c>
    </row>
    <row r="2109">
      <c r="C2109" s="250" t="inlineStr">
        <is>
          <t xml:space="preserve">Total carried to BOQ  4TH FLR item A</t>
        </is>
      </c>
      <c r="D2109" s="250" t="inlineStr">
        <is>
          <t xml:space="preserve"/>
        </is>
      </c>
      <c r="E2109" s="250" t="inlineStr">
        <is>
          <t xml:space="preserve"/>
        </is>
      </c>
      <c r="F2109" s="250" t="inlineStr">
        <is>
          <t xml:space="preserve"/>
        </is>
      </c>
      <c r="G2109" s="250" t="inlineStr">
        <is>
          <t xml:space="preserve"/>
        </is>
      </c>
      <c r="H2109" s="251">
        <f>SUM(H2108:H2108)</f>
        <v>10</v>
      </c>
      <c r="I2109" s="252" t="inlineStr">
        <is>
          <t xml:space="preserve">nr</t>
        </is>
      </c>
    </row>
    <row r="2110">
      <c r="A2110" s="243" t="inlineStr">
        <is>
          <t xml:space="preserve">4TH FLR</t>
        </is>
      </c>
      <c r="B2110" s="243" t="inlineStr">
        <is>
          <t xml:space="preserve">B</t>
        </is>
      </c>
      <c r="C2110" s="244" t="inlineStr">
        <is>
          <t xml:space="preserve">2 bay alu. framed glass sliding window 1800mm x 1600mm (W7)</t>
        </is>
      </c>
      <c r="I2110" s="245" t="inlineStr">
        <is>
          <t xml:space="preserve">nr</t>
        </is>
      </c>
      <c r="K2110" s="256" t="inlineStr">
        <is>
          <t xml:space="preserve">'4TH FLR '!C163</t>
        </is>
      </c>
    </row>
    <row r="2111">
      <c r="C2111" s="246" t="inlineStr">
        <is>
          <t xml:space="preserve">Fourth floor - HW4</t>
        </is>
      </c>
      <c r="H2111" s="247">
        <v>2</v>
      </c>
      <c r="J2111" s="253" t="inlineStr">
        <is>
          <t xml:space="preserve">2</t>
        </is>
      </c>
    </row>
    <row r="2112">
      <c r="C2112" s="250" t="inlineStr">
        <is>
          <t xml:space="preserve">Total carried to BOQ  4TH FLR item B</t>
        </is>
      </c>
      <c r="D2112" s="250" t="inlineStr">
        <is>
          <t xml:space="preserve"/>
        </is>
      </c>
      <c r="E2112" s="250" t="inlineStr">
        <is>
          <t xml:space="preserve"/>
        </is>
      </c>
      <c r="F2112" s="250" t="inlineStr">
        <is>
          <t xml:space="preserve"/>
        </is>
      </c>
      <c r="G2112" s="250" t="inlineStr">
        <is>
          <t xml:space="preserve"/>
        </is>
      </c>
      <c r="H2112" s="251">
        <f>SUM(H2111:H2111)</f>
        <v>2</v>
      </c>
      <c r="I2112" s="252" t="inlineStr">
        <is>
          <t xml:space="preserve">nr</t>
        </is>
      </c>
    </row>
    <row r="2113">
      <c r="A2113" s="243" t="inlineStr">
        <is>
          <t xml:space="preserve">4TH FLR</t>
        </is>
      </c>
      <c r="B2113" s="243" t="inlineStr">
        <is>
          <t xml:space="preserve">C</t>
        </is>
      </c>
      <c r="C2113" s="244" t="inlineStr">
        <is>
          <t xml:space="preserve">1 x 3 bay alu. framed glass awning window 1200mm x 1900mm (W8)</t>
        </is>
      </c>
      <c r="I2113" s="245" t="inlineStr">
        <is>
          <t xml:space="preserve">nr</t>
        </is>
      </c>
      <c r="K2113" s="256" t="inlineStr">
        <is>
          <t xml:space="preserve">'4TH FLR '!C165</t>
        </is>
      </c>
    </row>
    <row r="2114">
      <c r="C2114" s="246" t="inlineStr">
        <is>
          <t xml:space="preserve">Fourth floor - W17</t>
        </is>
      </c>
      <c r="H2114" s="247">
        <v>3</v>
      </c>
      <c r="J2114" s="253" t="inlineStr">
        <is>
          <t xml:space="preserve">3</t>
        </is>
      </c>
    </row>
    <row r="2115">
      <c r="C2115" s="250" t="inlineStr">
        <is>
          <t xml:space="preserve">Total carried to BOQ  4TH FLR item C</t>
        </is>
      </c>
      <c r="D2115" s="250" t="inlineStr">
        <is>
          <t xml:space="preserve"/>
        </is>
      </c>
      <c r="E2115" s="250" t="inlineStr">
        <is>
          <t xml:space="preserve"/>
        </is>
      </c>
      <c r="F2115" s="250" t="inlineStr">
        <is>
          <t xml:space="preserve"/>
        </is>
      </c>
      <c r="G2115" s="250" t="inlineStr">
        <is>
          <t xml:space="preserve"/>
        </is>
      </c>
      <c r="H2115" s="251">
        <f>SUM(H2114:H2114)</f>
        <v>3</v>
      </c>
      <c r="I2115" s="252" t="inlineStr">
        <is>
          <t xml:space="preserve">nr</t>
        </is>
      </c>
    </row>
    <row r="2116">
      <c r="A2116" s="243" t="inlineStr">
        <is>
          <t xml:space="preserve">4TH FLR</t>
        </is>
      </c>
      <c r="B2116" s="243" t="inlineStr">
        <is>
          <t xml:space="preserve">D</t>
        </is>
      </c>
      <c r="C2116" s="244" t="inlineStr">
        <is>
          <t xml:space="preserve">2 bay alu. framed glass sliding window 1200mm x 1150mm (W9)</t>
        </is>
      </c>
      <c r="I2116" s="245" t="inlineStr">
        <is>
          <t xml:space="preserve">nr</t>
        </is>
      </c>
      <c r="K2116" s="256" t="inlineStr">
        <is>
          <t xml:space="preserve">'4TH FLR '!C167</t>
        </is>
      </c>
    </row>
    <row r="2117">
      <c r="C2117" s="246" t="inlineStr">
        <is>
          <t xml:space="preserve">Fourth floor - W9</t>
        </is>
      </c>
      <c r="H2117" s="247">
        <v>8</v>
      </c>
      <c r="J2117" s="253" t="inlineStr">
        <is>
          <t xml:space="preserve">8</t>
        </is>
      </c>
    </row>
    <row r="2118">
      <c r="C2118" s="250" t="inlineStr">
        <is>
          <t xml:space="preserve">Total carried to BOQ  4TH FLR item D</t>
        </is>
      </c>
      <c r="D2118" s="250" t="inlineStr">
        <is>
          <t xml:space="preserve"/>
        </is>
      </c>
      <c r="E2118" s="250" t="inlineStr">
        <is>
          <t xml:space="preserve"/>
        </is>
      </c>
      <c r="F2118" s="250" t="inlineStr">
        <is>
          <t xml:space="preserve"/>
        </is>
      </c>
      <c r="G2118" s="250" t="inlineStr">
        <is>
          <t xml:space="preserve"/>
        </is>
      </c>
      <c r="H2118" s="251">
        <f>SUM(H2117:H2117)</f>
        <v>8</v>
      </c>
      <c r="I2118" s="252" t="inlineStr">
        <is>
          <t xml:space="preserve">nr</t>
        </is>
      </c>
    </row>
    <row r="2119">
      <c r="A2119" s="243" t="inlineStr">
        <is>
          <t xml:space="preserve">4TH FLR</t>
        </is>
      </c>
      <c r="B2119" s="243" t="inlineStr">
        <is>
          <t xml:space="preserve">E</t>
        </is>
      </c>
      <c r="C2119" s="244" t="inlineStr">
        <is>
          <t xml:space="preserve">2 bay alu. framed glass sliding window 1200mm x 1200mm (W10)</t>
        </is>
      </c>
      <c r="I2119" s="245" t="inlineStr">
        <is>
          <t xml:space="preserve">nr</t>
        </is>
      </c>
      <c r="K2119" s="256" t="inlineStr">
        <is>
          <t xml:space="preserve">'4TH FLR '!C169</t>
        </is>
      </c>
    </row>
    <row r="2120">
      <c r="C2120" s="246" t="inlineStr">
        <is>
          <t xml:space="preserve">Fourth floor - W20</t>
        </is>
      </c>
      <c r="H2120" s="247">
        <v>1</v>
      </c>
      <c r="J2120" s="253" t="inlineStr">
        <is>
          <t xml:space="preserve">1</t>
        </is>
      </c>
    </row>
    <row r="2121">
      <c r="C2121" s="250" t="inlineStr">
        <is>
          <t xml:space="preserve">Total carried to BOQ  4TH FLR item E</t>
        </is>
      </c>
      <c r="D2121" s="250" t="inlineStr">
        <is>
          <t xml:space="preserve"/>
        </is>
      </c>
      <c r="E2121" s="250" t="inlineStr">
        <is>
          <t xml:space="preserve"/>
        </is>
      </c>
      <c r="F2121" s="250" t="inlineStr">
        <is>
          <t xml:space="preserve"/>
        </is>
      </c>
      <c r="G2121" s="250" t="inlineStr">
        <is>
          <t xml:space="preserve"/>
        </is>
      </c>
      <c r="H2121" s="251">
        <f>SUM(H2120:H2120)</f>
        <v>1</v>
      </c>
      <c r="I2121" s="252" t="inlineStr">
        <is>
          <t xml:space="preserve">nr</t>
        </is>
      </c>
    </row>
    <row r="2122">
      <c r="A2122" s="243" t="inlineStr">
        <is>
          <t xml:space="preserve">4TH FLR</t>
        </is>
      </c>
      <c r="B2122" s="243" t="inlineStr">
        <is>
          <t xml:space="preserve">F</t>
        </is>
      </c>
      <c r="C2122" s="244" t="inlineStr">
        <is>
          <t xml:space="preserve">2 bay alu. framed glass sliding window 1500mm x 1300mm (W11)</t>
        </is>
      </c>
      <c r="I2122" s="245" t="inlineStr">
        <is>
          <t xml:space="preserve">nr</t>
        </is>
      </c>
      <c r="K2122" s="256" t="inlineStr">
        <is>
          <t xml:space="preserve">'4TH FLR '!C171</t>
        </is>
      </c>
    </row>
    <row r="2123">
      <c r="C2123" s="246" t="inlineStr">
        <is>
          <t xml:space="preserve">Fourth floor - W11</t>
        </is>
      </c>
      <c r="H2123" s="247">
        <v>7</v>
      </c>
      <c r="J2123" s="253" t="inlineStr">
        <is>
          <t xml:space="preserve">7</t>
        </is>
      </c>
    </row>
    <row r="2124">
      <c r="C2124" s="250" t="inlineStr">
        <is>
          <t xml:space="preserve">Total carried to BOQ  4TH FLR item F</t>
        </is>
      </c>
      <c r="D2124" s="250" t="inlineStr">
        <is>
          <t xml:space="preserve"/>
        </is>
      </c>
      <c r="E2124" s="250" t="inlineStr">
        <is>
          <t xml:space="preserve"/>
        </is>
      </c>
      <c r="F2124" s="250" t="inlineStr">
        <is>
          <t xml:space="preserve"/>
        </is>
      </c>
      <c r="G2124" s="250" t="inlineStr">
        <is>
          <t xml:space="preserve"/>
        </is>
      </c>
      <c r="H2124" s="251">
        <f>SUM(H2123:H2123)</f>
        <v>7</v>
      </c>
      <c r="I2124" s="252" t="inlineStr">
        <is>
          <t xml:space="preserve">nr</t>
        </is>
      </c>
    </row>
    <row r="2125">
      <c r="A2125" s="243" t="inlineStr">
        <is>
          <t xml:space="preserve">4TH FLR</t>
        </is>
      </c>
      <c r="B2125" s="243" t="inlineStr">
        <is>
          <t xml:space="preserve">G</t>
        </is>
      </c>
      <c r="C2125" s="244" t="inlineStr">
        <is>
          <t xml:space="preserve">2 bay alu. framed glass sliding window 1500mm x 1150mm (W12)</t>
        </is>
      </c>
      <c r="I2125" s="245" t="inlineStr">
        <is>
          <t xml:space="preserve">nr</t>
        </is>
      </c>
      <c r="K2125" s="256" t="inlineStr">
        <is>
          <t xml:space="preserve">'4TH FLR '!C173</t>
        </is>
      </c>
    </row>
    <row r="2126">
      <c r="C2126" s="246" t="inlineStr">
        <is>
          <t xml:space="preserve">Fourth floor - W12</t>
        </is>
      </c>
      <c r="H2126" s="247">
        <v>4</v>
      </c>
      <c r="J2126" s="253" t="inlineStr">
        <is>
          <t xml:space="preserve">4</t>
        </is>
      </c>
    </row>
    <row r="2127">
      <c r="C2127" s="250" t="inlineStr">
        <is>
          <t xml:space="preserve">Total carried to BOQ  4TH FLR item G</t>
        </is>
      </c>
      <c r="D2127" s="250" t="inlineStr">
        <is>
          <t xml:space="preserve"/>
        </is>
      </c>
      <c r="E2127" s="250" t="inlineStr">
        <is>
          <t xml:space="preserve"/>
        </is>
      </c>
      <c r="F2127" s="250" t="inlineStr">
        <is>
          <t xml:space="preserve"/>
        </is>
      </c>
      <c r="G2127" s="250" t="inlineStr">
        <is>
          <t xml:space="preserve"/>
        </is>
      </c>
      <c r="H2127" s="251">
        <f>SUM(H2126:H2126)</f>
        <v>4</v>
      </c>
      <c r="I2127" s="252" t="inlineStr">
        <is>
          <t xml:space="preserve">nr</t>
        </is>
      </c>
    </row>
    <row r="2128">
      <c r="A2128" s="243" t="inlineStr">
        <is>
          <t xml:space="preserve">4TH FLR</t>
        </is>
      </c>
      <c r="B2128" s="243" t="inlineStr">
        <is>
          <t xml:space="preserve">H</t>
        </is>
      </c>
      <c r="C2128" s="244" t="inlineStr">
        <is>
          <t xml:space="preserve">3 bay alu. framed glass awning window 2400mm x 1300mm (W13)</t>
        </is>
      </c>
      <c r="I2128" s="245" t="inlineStr">
        <is>
          <t xml:space="preserve">nr</t>
        </is>
      </c>
      <c r="K2128" s="256" t="inlineStr">
        <is>
          <t xml:space="preserve">'4TH FLR '!C175</t>
        </is>
      </c>
    </row>
    <row r="2129">
      <c r="C2129" s="246" t="inlineStr">
        <is>
          <t xml:space="preserve">Fourth floor - W20</t>
        </is>
      </c>
      <c r="H2129" s="247">
        <v>1</v>
      </c>
      <c r="J2129" s="253" t="inlineStr">
        <is>
          <t xml:space="preserve">1</t>
        </is>
      </c>
    </row>
    <row r="2130">
      <c r="C2130" s="250" t="inlineStr">
        <is>
          <t xml:space="preserve">Total carried to BOQ  4TH FLR item H</t>
        </is>
      </c>
      <c r="D2130" s="250" t="inlineStr">
        <is>
          <t xml:space="preserve"/>
        </is>
      </c>
      <c r="E2130" s="250" t="inlineStr">
        <is>
          <t xml:space="preserve"/>
        </is>
      </c>
      <c r="F2130" s="250" t="inlineStr">
        <is>
          <t xml:space="preserve"/>
        </is>
      </c>
      <c r="G2130" s="250" t="inlineStr">
        <is>
          <t xml:space="preserve"/>
        </is>
      </c>
      <c r="H2130" s="251">
        <f>SUM(H2129:H2129)</f>
        <v>1</v>
      </c>
      <c r="I2130" s="252" t="inlineStr">
        <is>
          <t xml:space="preserve">nr</t>
        </is>
      </c>
    </row>
    <row r="2131">
      <c r="A2131" s="243" t="inlineStr">
        <is>
          <t xml:space="preserve">4TH FLR</t>
        </is>
      </c>
      <c r="B2131" s="243" t="inlineStr">
        <is>
          <t xml:space="preserve">J</t>
        </is>
      </c>
      <c r="C2131" s="244" t="inlineStr">
        <is>
          <t xml:space="preserve">3 bay alu. framed glass sliding window 3000mm x 1600mm (W15)</t>
        </is>
      </c>
      <c r="I2131" s="245" t="inlineStr">
        <is>
          <t xml:space="preserve">nr</t>
        </is>
      </c>
      <c r="K2131" s="256" t="inlineStr">
        <is>
          <t xml:space="preserve">'4TH FLR '!C177</t>
        </is>
      </c>
    </row>
    <row r="2132">
      <c r="C2132" s="246" t="inlineStr">
        <is>
          <t xml:space="preserve">Fourth floor - W20</t>
        </is>
      </c>
      <c r="H2132" s="247">
        <v>1</v>
      </c>
      <c r="J2132" s="253" t="inlineStr">
        <is>
          <t xml:space="preserve">1</t>
        </is>
      </c>
    </row>
    <row r="2133">
      <c r="C2133" s="250" t="inlineStr">
        <is>
          <t xml:space="preserve">Total carried to BOQ  4TH FLR item J</t>
        </is>
      </c>
      <c r="D2133" s="250" t="inlineStr">
        <is>
          <t xml:space="preserve"/>
        </is>
      </c>
      <c r="E2133" s="250" t="inlineStr">
        <is>
          <t xml:space="preserve"/>
        </is>
      </c>
      <c r="F2133" s="250" t="inlineStr">
        <is>
          <t xml:space="preserve"/>
        </is>
      </c>
      <c r="G2133" s="250" t="inlineStr">
        <is>
          <t xml:space="preserve"/>
        </is>
      </c>
      <c r="H2133" s="251">
        <f>SUM(H2132:H2132)</f>
        <v>1</v>
      </c>
      <c r="I2133" s="252" t="inlineStr">
        <is>
          <t xml:space="preserve">nr</t>
        </is>
      </c>
    </row>
    <row r="2134">
      <c r="A2134" s="243" t="inlineStr">
        <is>
          <t xml:space="preserve">4TH FLR</t>
        </is>
      </c>
      <c r="B2134" s="243" t="inlineStr">
        <is>
          <t xml:space="preserve">K</t>
        </is>
      </c>
      <c r="C2134" s="244" t="inlineStr">
        <is>
          <t xml:space="preserve">2 x 3 alu. framed glass awning window 1800mm x 1900mm (W17)</t>
        </is>
      </c>
      <c r="I2134" s="245" t="inlineStr">
        <is>
          <t xml:space="preserve">nr</t>
        </is>
      </c>
      <c r="K2134" s="256" t="inlineStr">
        <is>
          <t xml:space="preserve">'4TH FLR '!C179</t>
        </is>
      </c>
    </row>
    <row r="2135">
      <c r="C2135" s="246" t="inlineStr">
        <is>
          <t xml:space="preserve">Fourth floor - W17</t>
        </is>
      </c>
      <c r="H2135" s="247">
        <v>3</v>
      </c>
      <c r="J2135" s="253" t="inlineStr">
        <is>
          <t xml:space="preserve">3</t>
        </is>
      </c>
    </row>
    <row r="2136">
      <c r="C2136" s="250" t="inlineStr">
        <is>
          <t xml:space="preserve">Total carried to BOQ  4TH FLR item K</t>
        </is>
      </c>
      <c r="D2136" s="250" t="inlineStr">
        <is>
          <t xml:space="preserve"/>
        </is>
      </c>
      <c r="E2136" s="250" t="inlineStr">
        <is>
          <t xml:space="preserve"/>
        </is>
      </c>
      <c r="F2136" s="250" t="inlineStr">
        <is>
          <t xml:space="preserve"/>
        </is>
      </c>
      <c r="G2136" s="250" t="inlineStr">
        <is>
          <t xml:space="preserve"/>
        </is>
      </c>
      <c r="H2136" s="251">
        <f>SUM(H2135:H2135)</f>
        <v>3</v>
      </c>
      <c r="I2136" s="252" t="inlineStr">
        <is>
          <t xml:space="preserve">nr</t>
        </is>
      </c>
    </row>
    <row r="2137">
      <c r="A2137" s="243" t="inlineStr">
        <is>
          <t xml:space="preserve">4TH FLR</t>
        </is>
      </c>
      <c r="B2137" s="243" t="inlineStr">
        <is>
          <t xml:space="preserve">L</t>
        </is>
      </c>
      <c r="C2137" s="244" t="inlineStr">
        <is>
          <t xml:space="preserve">1 bay alu. framed glass awning window 750mm x 1300mm (W18)</t>
        </is>
      </c>
      <c r="I2137" s="245" t="inlineStr">
        <is>
          <t xml:space="preserve">nr</t>
        </is>
      </c>
      <c r="K2137" s="256" t="inlineStr">
        <is>
          <t xml:space="preserve">'4TH FLR '!C181</t>
        </is>
      </c>
    </row>
    <row r="2138">
      <c r="C2138" s="246" t="inlineStr">
        <is>
          <t xml:space="preserve">Fourth floor - W20</t>
        </is>
      </c>
      <c r="H2138" s="247">
        <v>1</v>
      </c>
      <c r="J2138" s="253" t="inlineStr">
        <is>
          <t xml:space="preserve">1</t>
        </is>
      </c>
    </row>
    <row r="2139">
      <c r="C2139" s="250" t="inlineStr">
        <is>
          <t xml:space="preserve">Total carried to BOQ  4TH FLR item L</t>
        </is>
      </c>
      <c r="D2139" s="250" t="inlineStr">
        <is>
          <t xml:space="preserve"/>
        </is>
      </c>
      <c r="E2139" s="250" t="inlineStr">
        <is>
          <t xml:space="preserve"/>
        </is>
      </c>
      <c r="F2139" s="250" t="inlineStr">
        <is>
          <t xml:space="preserve"/>
        </is>
      </c>
      <c r="G2139" s="250" t="inlineStr">
        <is>
          <t xml:space="preserve"/>
        </is>
      </c>
      <c r="H2139" s="251">
        <f>SUM(H2138:H2138)</f>
        <v>1</v>
      </c>
      <c r="I2139" s="252" t="inlineStr">
        <is>
          <t xml:space="preserve">nr</t>
        </is>
      </c>
    </row>
    <row r="2140">
      <c r="A2140" s="243" t="inlineStr">
        <is>
          <t xml:space="preserve">4TH FLR</t>
        </is>
      </c>
      <c r="B2140" s="243" t="inlineStr">
        <is>
          <t xml:space="preserve">M</t>
        </is>
      </c>
      <c r="C2140" s="244" t="inlineStr">
        <is>
          <t xml:space="preserve">2 x 3 alu. framed glass awning window 1450mm x 1900mm (W20)</t>
        </is>
      </c>
      <c r="I2140" s="245" t="inlineStr">
        <is>
          <t xml:space="preserve">nr</t>
        </is>
      </c>
      <c r="K2140" s="256" t="inlineStr">
        <is>
          <t xml:space="preserve">'4TH FLR '!C183</t>
        </is>
      </c>
    </row>
    <row r="2141">
      <c r="C2141" s="246" t="inlineStr">
        <is>
          <t xml:space="preserve">Fourth floor - W20</t>
        </is>
      </c>
      <c r="H2141" s="247">
        <v>1</v>
      </c>
      <c r="J2141" s="253" t="inlineStr">
        <is>
          <t xml:space="preserve">1</t>
        </is>
      </c>
    </row>
    <row r="2142">
      <c r="C2142" s="250" t="inlineStr">
        <is>
          <t xml:space="preserve">Total carried to BOQ  4TH FLR item M</t>
        </is>
      </c>
      <c r="D2142" s="250" t="inlineStr">
        <is>
          <t xml:space="preserve"/>
        </is>
      </c>
      <c r="E2142" s="250" t="inlineStr">
        <is>
          <t xml:space="preserve"/>
        </is>
      </c>
      <c r="F2142" s="250" t="inlineStr">
        <is>
          <t xml:space="preserve"/>
        </is>
      </c>
      <c r="G2142" s="250" t="inlineStr">
        <is>
          <t xml:space="preserve"/>
        </is>
      </c>
      <c r="H2142" s="251">
        <f>SUM(H2141:H2141)</f>
        <v>1</v>
      </c>
      <c r="I2142" s="252" t="inlineStr">
        <is>
          <t xml:space="preserve">nr</t>
        </is>
      </c>
    </row>
    <row r="2143">
      <c r="A2143" s="243" t="inlineStr">
        <is>
          <t xml:space="preserve">4TH FLR</t>
        </is>
      </c>
      <c r="B2143" s="243" t="inlineStr">
        <is>
          <t xml:space="preserve">N</t>
        </is>
      </c>
      <c r="C2143" s="244" t="inlineStr">
        <is>
          <t xml:space="preserve">2 bay alu. framed glass sliding window 900mm x 600mm (HW1)</t>
        </is>
      </c>
      <c r="I2143" s="245" t="inlineStr">
        <is>
          <t xml:space="preserve">nr</t>
        </is>
      </c>
      <c r="K2143" s="256" t="inlineStr">
        <is>
          <t xml:space="preserve">'4TH FLR '!C185</t>
        </is>
      </c>
    </row>
    <row r="2144">
      <c r="C2144" s="246" t="inlineStr">
        <is>
          <t xml:space="preserve">Fourth floor - HW1</t>
        </is>
      </c>
      <c r="H2144" s="247">
        <v>13</v>
      </c>
      <c r="J2144" s="253" t="inlineStr">
        <is>
          <t xml:space="preserve">13</t>
        </is>
      </c>
    </row>
    <row r="2145">
      <c r="C2145" s="250" t="inlineStr">
        <is>
          <t xml:space="preserve">Total carried to BOQ  4TH FLR item N</t>
        </is>
      </c>
      <c r="D2145" s="250" t="inlineStr">
        <is>
          <t xml:space="preserve"/>
        </is>
      </c>
      <c r="E2145" s="250" t="inlineStr">
        <is>
          <t xml:space="preserve"/>
        </is>
      </c>
      <c r="F2145" s="250" t="inlineStr">
        <is>
          <t xml:space="preserve"/>
        </is>
      </c>
      <c r="G2145" s="250" t="inlineStr">
        <is>
          <t xml:space="preserve"/>
        </is>
      </c>
      <c r="H2145" s="251">
        <f>SUM(H2144:H2144)</f>
        <v>13</v>
      </c>
      <c r="I2145" s="252" t="inlineStr">
        <is>
          <t xml:space="preserve">nr</t>
        </is>
      </c>
    </row>
    <row r="2146">
      <c r="A2146" s="243" t="inlineStr">
        <is>
          <t xml:space="preserve">4TH FLR</t>
        </is>
      </c>
      <c r="B2146" s="243" t="inlineStr">
        <is>
          <t xml:space="preserve">P</t>
        </is>
      </c>
      <c r="C2146" s="244" t="inlineStr">
        <is>
          <t xml:space="preserve">2 bay alu. framed glass sliding window 750mm x 600mm (HW2)</t>
        </is>
      </c>
      <c r="I2146" s="245" t="inlineStr">
        <is>
          <t xml:space="preserve">nr</t>
        </is>
      </c>
      <c r="K2146" s="256" t="inlineStr">
        <is>
          <t xml:space="preserve">'4TH FLR '!C187</t>
        </is>
      </c>
    </row>
    <row r="2147">
      <c r="C2147" s="246" t="inlineStr">
        <is>
          <t xml:space="preserve">Fourth floor - HW2</t>
        </is>
      </c>
      <c r="H2147" s="247">
        <v>5</v>
      </c>
      <c r="J2147" s="253" t="inlineStr">
        <is>
          <t xml:space="preserve">5</t>
        </is>
      </c>
    </row>
    <row r="2148">
      <c r="C2148" s="250" t="inlineStr">
        <is>
          <t xml:space="preserve">Total carried to BOQ  4TH FLR item P</t>
        </is>
      </c>
      <c r="D2148" s="250" t="inlineStr">
        <is>
          <t xml:space="preserve"/>
        </is>
      </c>
      <c r="E2148" s="250" t="inlineStr">
        <is>
          <t xml:space="preserve"/>
        </is>
      </c>
      <c r="F2148" s="250" t="inlineStr">
        <is>
          <t xml:space="preserve"/>
        </is>
      </c>
      <c r="G2148" s="250" t="inlineStr">
        <is>
          <t xml:space="preserve"/>
        </is>
      </c>
      <c r="H2148" s="251">
        <f>SUM(H2147:H2147)</f>
        <v>5</v>
      </c>
      <c r="I2148" s="252" t="inlineStr">
        <is>
          <t xml:space="preserve">nr</t>
        </is>
      </c>
    </row>
    <row r="2149">
      <c r="A2149" s="243" t="inlineStr">
        <is>
          <t xml:space="preserve">4TH FLR</t>
        </is>
      </c>
      <c r="B2149" s="243" t="inlineStr">
        <is>
          <t xml:space="preserve">Q</t>
        </is>
      </c>
      <c r="C2149" s="244" t="inlineStr">
        <is>
          <t xml:space="preserve">2 bay alu. framed glass sliding window 600mm x 600mm (HW3)</t>
        </is>
      </c>
      <c r="I2149" s="245" t="inlineStr">
        <is>
          <t xml:space="preserve">nr</t>
        </is>
      </c>
      <c r="K2149" s="256" t="inlineStr">
        <is>
          <t xml:space="preserve">'4TH FLR '!C189</t>
        </is>
      </c>
    </row>
    <row r="2150">
      <c r="C2150" s="246" t="inlineStr">
        <is>
          <t xml:space="preserve">Fourth floor - HW4</t>
        </is>
      </c>
      <c r="H2150" s="247">
        <v>2</v>
      </c>
      <c r="J2150" s="253" t="inlineStr">
        <is>
          <t xml:space="preserve">2</t>
        </is>
      </c>
    </row>
    <row r="2151">
      <c r="C2151" s="250" t="inlineStr">
        <is>
          <t xml:space="preserve">Total carried to BOQ  4TH FLR item Q</t>
        </is>
      </c>
      <c r="D2151" s="250" t="inlineStr">
        <is>
          <t xml:space="preserve"/>
        </is>
      </c>
      <c r="E2151" s="250" t="inlineStr">
        <is>
          <t xml:space="preserve"/>
        </is>
      </c>
      <c r="F2151" s="250" t="inlineStr">
        <is>
          <t xml:space="preserve"/>
        </is>
      </c>
      <c r="G2151" s="250" t="inlineStr">
        <is>
          <t xml:space="preserve"/>
        </is>
      </c>
      <c r="H2151" s="251">
        <f>SUM(H2150:H2150)</f>
        <v>2</v>
      </c>
      <c r="I2151" s="252" t="inlineStr">
        <is>
          <t xml:space="preserve">nr</t>
        </is>
      </c>
    </row>
    <row r="2152">
      <c r="A2152" s="243" t="inlineStr">
        <is>
          <t xml:space="preserve">4TH FLR</t>
        </is>
      </c>
      <c r="B2152" s="243" t="inlineStr">
        <is>
          <t xml:space="preserve">R</t>
        </is>
      </c>
      <c r="C2152" s="244" t="inlineStr">
        <is>
          <t xml:space="preserve">2 bay alu. framed glass sliding window 1200mm x 600mm (HW4)</t>
        </is>
      </c>
      <c r="I2152" s="245" t="inlineStr">
        <is>
          <t xml:space="preserve">nr</t>
        </is>
      </c>
      <c r="K2152" s="256" t="inlineStr">
        <is>
          <t xml:space="preserve">'4TH FLR '!C191</t>
        </is>
      </c>
    </row>
    <row r="2153">
      <c r="C2153" s="246" t="inlineStr">
        <is>
          <t xml:space="preserve">Fourth floor - HW4</t>
        </is>
      </c>
      <c r="H2153" s="247">
        <v>2</v>
      </c>
      <c r="J2153" s="253" t="inlineStr">
        <is>
          <t xml:space="preserve">2</t>
        </is>
      </c>
    </row>
    <row r="2154">
      <c r="C2154" s="250" t="inlineStr">
        <is>
          <t xml:space="preserve">Total carried to BOQ  4TH FLR item R</t>
        </is>
      </c>
      <c r="D2154" s="250" t="inlineStr">
        <is>
          <t xml:space="preserve"/>
        </is>
      </c>
      <c r="E2154" s="250" t="inlineStr">
        <is>
          <t xml:space="preserve"/>
        </is>
      </c>
      <c r="F2154" s="250" t="inlineStr">
        <is>
          <t xml:space="preserve"/>
        </is>
      </c>
      <c r="G2154" s="250" t="inlineStr">
        <is>
          <t xml:space="preserve"/>
        </is>
      </c>
      <c r="H2154" s="251">
        <f>SUM(H2153:H2153)</f>
        <v>2</v>
      </c>
      <c r="I2154" s="252" t="inlineStr">
        <is>
          <t xml:space="preserve">nr</t>
        </is>
      </c>
    </row>
    <row r="2155">
      <c r="C2155" s="242" t="inlineStr">
        <is>
          <t xml:space="preserve">ELEMENT NO. 5: FLOOR FINISHES</t>
        </is>
      </c>
    </row>
    <row r="2156">
      <c r="C2156" s="242" t="inlineStr">
        <is>
          <t xml:space="preserve">M10/M40 FLOOR FINISHES</t>
        </is>
      </c>
    </row>
    <row r="2157" ht="32.2" customHeight="1">
      <c r="A2157" s="243" t="inlineStr">
        <is>
          <t xml:space="preserve">4TH FLR</t>
        </is>
      </c>
      <c r="B2157" s="243" t="inlineStr">
        <is>
          <t xml:space="preserve">A</t>
        </is>
      </c>
      <c r="C2157" s="244" t="inlineStr">
        <is>
          <t xml:space="preserve">25mm cement and sand (1:3) screeded finish laid level on concrete and finished smooth with steel trowel</t>
        </is>
      </c>
      <c r="I2157" s="245" t="inlineStr">
        <is>
          <t xml:space="preserve">m2</t>
        </is>
      </c>
      <c r="K2157" s="256" t="inlineStr">
        <is>
          <t xml:space="preserve">'4TH FLR '!C199</t>
        </is>
      </c>
    </row>
    <row r="2158">
      <c r="C2158" s="246" t="inlineStr">
        <is>
          <t xml:space="preserve">Fourth floor - Tiled floor areas (measured)</t>
        </is>
      </c>
      <c r="H2158" s="247">
        <v>859.9</v>
      </c>
      <c r="J2158" s="253" t="inlineStr">
        <is>
          <t xml:space="preserve">859.9</t>
        </is>
      </c>
    </row>
    <row r="2159">
      <c r="C2159" s="250" t="inlineStr">
        <is>
          <t xml:space="preserve">Total carried to BOQ  4TH FLR item A</t>
        </is>
      </c>
      <c r="D2159" s="250" t="inlineStr">
        <is>
          <t xml:space="preserve"/>
        </is>
      </c>
      <c r="E2159" s="250" t="inlineStr">
        <is>
          <t xml:space="preserve"/>
        </is>
      </c>
      <c r="F2159" s="250" t="inlineStr">
        <is>
          <t xml:space="preserve"/>
        </is>
      </c>
      <c r="G2159" s="250" t="inlineStr">
        <is>
          <t xml:space="preserve"/>
        </is>
      </c>
      <c r="H2159" s="251">
        <f>SUM(H2158:H2158)</f>
        <v>859.9</v>
      </c>
      <c r="I2159" s="252" t="inlineStr">
        <is>
          <t xml:space="preserve">m2</t>
        </is>
      </c>
    </row>
    <row r="2160" ht="32.2" customHeight="1">
      <c r="A2160" s="243" t="inlineStr">
        <is>
          <t xml:space="preserve">4TH FLR</t>
        </is>
      </c>
      <c r="B2160" s="243" t="inlineStr">
        <is>
          <t xml:space="preserve">B</t>
        </is>
      </c>
      <c r="C2160" s="244" t="inlineStr">
        <is>
          <t xml:space="preserve">12mm cement and sand (1:4) screeded bed laid level on concrete floor to receive floor tiles</t>
        </is>
      </c>
      <c r="I2160" s="245" t="inlineStr">
        <is>
          <t xml:space="preserve">m2</t>
        </is>
      </c>
      <c r="K2160" s="256" t="inlineStr">
        <is>
          <t xml:space="preserve">'4TH FLR '!C201</t>
        </is>
      </c>
    </row>
    <row r="2161">
      <c r="C2161" s="246" t="inlineStr">
        <is>
          <t xml:space="preserve">Fourth floor - Tiled floor areas (measured)</t>
        </is>
      </c>
      <c r="H2161" s="247">
        <v>859.9</v>
      </c>
      <c r="J2161" s="253" t="inlineStr">
        <is>
          <t xml:space="preserve">859.9</t>
        </is>
      </c>
    </row>
    <row r="2162">
      <c r="C2162" s="246" t="inlineStr">
        <is>
          <t xml:space="preserve">Stair finishes (treads, risers, landings) - flights: 2 x 1.8 x 3.0</t>
        </is>
      </c>
      <c r="D2162" s="248">
        <v>2</v>
      </c>
      <c r="E2162" s="247">
        <v>1.8</v>
      </c>
      <c r="F2162" s="247">
        <v>3.0</v>
      </c>
      <c r="H2162" s="249">
        <f>PRODUCT(D2162:G2162)</f>
        <v>10.8</v>
      </c>
      <c r="J2162" s="253" t="inlineStr">
        <is>
          <t xml:space="preserve">2*1.8*3.0</t>
        </is>
      </c>
    </row>
    <row r="2163">
      <c r="C2163" s="246" t="inlineStr">
        <is>
          <t xml:space="preserve">Stair finishes (treads, risers, landings) - risers: 22 x 0.15 x 1.8</t>
        </is>
      </c>
      <c r="D2163" s="248">
        <v>22</v>
      </c>
      <c r="E2163" s="247">
        <v>0.15</v>
      </c>
      <c r="F2163" s="247">
        <v>1.8</v>
      </c>
      <c r="H2163" s="249">
        <f>PRODUCT(D2163:G2163)</f>
        <v>5.9399999999999995</v>
      </c>
      <c r="J2163" s="253" t="inlineStr">
        <is>
          <t xml:space="preserve">22*0.15*1.8</t>
        </is>
      </c>
    </row>
    <row r="2164">
      <c r="C2164" s="246" t="inlineStr">
        <is>
          <t xml:space="preserve">Stair finishes (treads, risers, landings) - floor landing 2.2 x 3.75</t>
        </is>
      </c>
      <c r="E2164" s="247">
        <v>2.2</v>
      </c>
      <c r="F2164" s="247">
        <v>3.75</v>
      </c>
      <c r="H2164" s="249">
        <f>PRODUCT(D2164:G2164)</f>
        <v>8.25</v>
      </c>
      <c r="J2164" s="253" t="inlineStr">
        <is>
          <t xml:space="preserve">2.2*3.75</t>
        </is>
      </c>
    </row>
    <row r="2165">
      <c r="C2165" s="246" t="inlineStr">
        <is>
          <t xml:space="preserve">Stair finishes (treads, risers, landings) - half landing 1.8 x 3.75</t>
        </is>
      </c>
      <c r="E2165" s="247">
        <v>1.8</v>
      </c>
      <c r="F2165" s="247">
        <v>3.75</v>
      </c>
      <c r="H2165" s="249">
        <f>PRODUCT(D2165:G2165)</f>
        <v>6.75</v>
      </c>
      <c r="J2165" s="253" t="inlineStr">
        <is>
          <t xml:space="preserve">1.8*3.75</t>
        </is>
      </c>
    </row>
    <row r="2166">
      <c r="C2166" s="246" t="inlineStr">
        <is>
          <t xml:space="preserve">Stair finishes (treads, risers, landings) - flights: 2 x 1.8 x 3.0</t>
        </is>
      </c>
      <c r="D2166" s="248">
        <v>2</v>
      </c>
      <c r="E2166" s="247">
        <v>1.8</v>
      </c>
      <c r="F2166" s="247">
        <v>3.0</v>
      </c>
      <c r="H2166" s="249">
        <f>PRODUCT(D2166:G2166)</f>
        <v>10.8</v>
      </c>
      <c r="J2166" s="253" t="inlineStr">
        <is>
          <t xml:space="preserve">2*1.8*3.0</t>
        </is>
      </c>
    </row>
    <row r="2167">
      <c r="C2167" s="246" t="inlineStr">
        <is>
          <t xml:space="preserve">Stair finishes (treads, risers, landings) - risers: 22 x 0.15 x 1.8</t>
        </is>
      </c>
      <c r="D2167" s="248">
        <v>22</v>
      </c>
      <c r="E2167" s="247">
        <v>0.15</v>
      </c>
      <c r="F2167" s="247">
        <v>1.8</v>
      </c>
      <c r="H2167" s="249">
        <f>PRODUCT(D2167:G2167)</f>
        <v>5.9399999999999995</v>
      </c>
      <c r="J2167" s="253" t="inlineStr">
        <is>
          <t xml:space="preserve">22*0.15*1.8</t>
        </is>
      </c>
    </row>
    <row r="2168">
      <c r="C2168" s="246" t="inlineStr">
        <is>
          <t xml:space="preserve">Stair finishes (treads, risers, landings) - floor landing 2.2 x 3.75</t>
        </is>
      </c>
      <c r="E2168" s="247">
        <v>2.2</v>
      </c>
      <c r="F2168" s="247">
        <v>3.75</v>
      </c>
      <c r="H2168" s="249">
        <f>PRODUCT(D2168:G2168)</f>
        <v>8.25</v>
      </c>
      <c r="J2168" s="253" t="inlineStr">
        <is>
          <t xml:space="preserve">2.2*3.75</t>
        </is>
      </c>
    </row>
    <row r="2169">
      <c r="C2169" s="246" t="inlineStr">
        <is>
          <t xml:space="preserve">Stair finishes (treads, risers, landings) - half landing 1.8 x 3.75</t>
        </is>
      </c>
      <c r="E2169" s="247">
        <v>1.8</v>
      </c>
      <c r="F2169" s="247">
        <v>3.75</v>
      </c>
      <c r="H2169" s="249">
        <f>PRODUCT(D2169:G2169)</f>
        <v>6.75</v>
      </c>
      <c r="J2169" s="253" t="inlineStr">
        <is>
          <t xml:space="preserve">1.8*3.75</t>
        </is>
      </c>
    </row>
    <row r="2170">
      <c r="C2170" s="250" t="inlineStr">
        <is>
          <t xml:space="preserve">Total carried to BOQ  4TH FLR item B</t>
        </is>
      </c>
      <c r="D2170" s="250" t="inlineStr">
        <is>
          <t xml:space="preserve"/>
        </is>
      </c>
      <c r="E2170" s="250" t="inlineStr">
        <is>
          <t xml:space="preserve"/>
        </is>
      </c>
      <c r="F2170" s="250" t="inlineStr">
        <is>
          <t xml:space="preserve"/>
        </is>
      </c>
      <c r="G2170" s="250" t="inlineStr">
        <is>
          <t xml:space="preserve"/>
        </is>
      </c>
      <c r="H2170" s="251">
        <f>SUM(H2161:H2169)</f>
        <v>923.38</v>
      </c>
      <c r="I2170" s="252" t="inlineStr">
        <is>
          <t xml:space="preserve">m2</t>
        </is>
      </c>
    </row>
    <row r="2171" ht="32.2" customHeight="1">
      <c r="A2171" s="243" t="inlineStr">
        <is>
          <t xml:space="preserve">4TH FLR</t>
        </is>
      </c>
      <c r="B2171" s="243" t="inlineStr">
        <is>
          <t xml:space="preserve">C</t>
        </is>
      </c>
      <c r="C2171" s="244" t="inlineStr">
        <is>
          <t xml:space="preserve">400x400mm non-slip porcelain floor tiles to washrooms &amp; WCs, adhesive, grout and cutting</t>
        </is>
      </c>
      <c r="I2171" s="245" t="inlineStr">
        <is>
          <t xml:space="preserve">m2</t>
        </is>
      </c>
      <c r="K2171" s="256" t="inlineStr">
        <is>
          <t xml:space="preserve">'4TH FLR '!C203</t>
        </is>
      </c>
    </row>
    <row r="2172">
      <c r="C2172" s="246" t="inlineStr">
        <is>
          <t xml:space="preserve">Fourth floor - Washroom ceiling areas (measured)</t>
        </is>
      </c>
      <c r="H2172" s="247">
        <v>62.1</v>
      </c>
      <c r="J2172" s="253" t="inlineStr">
        <is>
          <t xml:space="preserve">62.1</t>
        </is>
      </c>
    </row>
    <row r="2173">
      <c r="C2173" s="250" t="inlineStr">
        <is>
          <t xml:space="preserve">Total carried to BOQ  4TH FLR item C</t>
        </is>
      </c>
      <c r="D2173" s="250" t="inlineStr">
        <is>
          <t xml:space="preserve"/>
        </is>
      </c>
      <c r="E2173" s="250" t="inlineStr">
        <is>
          <t xml:space="preserve"/>
        </is>
      </c>
      <c r="F2173" s="250" t="inlineStr">
        <is>
          <t xml:space="preserve"/>
        </is>
      </c>
      <c r="G2173" s="250" t="inlineStr">
        <is>
          <t xml:space="preserve"/>
        </is>
      </c>
      <c r="H2173" s="251">
        <f>SUM(H2172:H2172)</f>
        <v>62.1</v>
      </c>
      <c r="I2173" s="252" t="inlineStr">
        <is>
          <t xml:space="preserve">m2</t>
        </is>
      </c>
    </row>
    <row r="2174" ht="32.2" customHeight="1">
      <c r="A2174" s="243" t="inlineStr">
        <is>
          <t xml:space="preserve">4TH FLR</t>
        </is>
      </c>
      <c r="B2174" s="243" t="inlineStr">
        <is>
          <t xml:space="preserve">D</t>
        </is>
      </c>
      <c r="C2174" s="244" t="inlineStr">
        <is>
          <t xml:space="preserve">500x500mm matte R11 porcelain tiles to staircases (treads, risers and landings)</t>
        </is>
      </c>
      <c r="I2174" s="245" t="inlineStr">
        <is>
          <t xml:space="preserve">m2</t>
        </is>
      </c>
      <c r="K2174" s="256" t="inlineStr">
        <is>
          <t xml:space="preserve">'4TH FLR '!C205</t>
        </is>
      </c>
    </row>
    <row r="2175">
      <c r="C2175" s="246" t="inlineStr">
        <is>
          <t xml:space="preserve">Fourth floor (+14200) - Main stair flight (storey ht 3.3) - flights: 2 x 1.8 x 3.0</t>
        </is>
      </c>
      <c r="D2175" s="248">
        <v>2</v>
      </c>
      <c r="E2175" s="247">
        <v>1.8</v>
      </c>
      <c r="F2175" s="247">
        <v>3.0</v>
      </c>
      <c r="H2175" s="249">
        <f>PRODUCT(D2175:G2175)</f>
        <v>10.8</v>
      </c>
      <c r="J2175" s="253" t="inlineStr">
        <is>
          <t xml:space="preserve">2*1.8*3.0</t>
        </is>
      </c>
    </row>
    <row r="2176">
      <c r="C2176" s="246" t="inlineStr">
        <is>
          <t xml:space="preserve">Fourth floor (+14200) - Main stair flight (storey ht 3.3) - risers: 22 x 0.15 x 1.8</t>
        </is>
      </c>
      <c r="D2176" s="248">
        <v>22</v>
      </c>
      <c r="E2176" s="247">
        <v>0.15</v>
      </c>
      <c r="F2176" s="247">
        <v>1.8</v>
      </c>
      <c r="H2176" s="249">
        <f>PRODUCT(D2176:G2176)</f>
        <v>5.9399999999999995</v>
      </c>
      <c r="J2176" s="253" t="inlineStr">
        <is>
          <t xml:space="preserve">22*0.15*1.8</t>
        </is>
      </c>
    </row>
    <row r="2177">
      <c r="C2177" s="246" t="inlineStr">
        <is>
          <t xml:space="preserve">Fourth floor (+14200) - Main stair flight (storey ht 3.3) - floor landing 2.2 x 3.75</t>
        </is>
      </c>
      <c r="E2177" s="247">
        <v>2.2</v>
      </c>
      <c r="F2177" s="247">
        <v>3.75</v>
      </c>
      <c r="H2177" s="249">
        <f>PRODUCT(D2177:G2177)</f>
        <v>8.25</v>
      </c>
      <c r="J2177" s="253" t="inlineStr">
        <is>
          <t xml:space="preserve">2.2*3.75</t>
        </is>
      </c>
    </row>
    <row r="2178">
      <c r="C2178" s="246" t="inlineStr">
        <is>
          <t xml:space="preserve">Fourth floor (+14200) - Main stair flight (storey ht 3.3) - half landing 1.8 x 3.75</t>
        </is>
      </c>
      <c r="E2178" s="247">
        <v>1.8</v>
      </c>
      <c r="F2178" s="247">
        <v>3.75</v>
      </c>
      <c r="H2178" s="249">
        <f>PRODUCT(D2178:G2178)</f>
        <v>6.75</v>
      </c>
      <c r="J2178" s="253" t="inlineStr">
        <is>
          <t xml:space="preserve">1.8*3.75</t>
        </is>
      </c>
    </row>
    <row r="2179">
      <c r="C2179" s="246" t="inlineStr">
        <is>
          <t xml:space="preserve">Fourth floor (+14200) - Emergency stair flight (storey ht 3.3) - flights: 2 x 1.8 x 3.0</t>
        </is>
      </c>
      <c r="D2179" s="248">
        <v>2</v>
      </c>
      <c r="E2179" s="247">
        <v>1.8</v>
      </c>
      <c r="F2179" s="247">
        <v>3.0</v>
      </c>
      <c r="H2179" s="249">
        <f>PRODUCT(D2179:G2179)</f>
        <v>10.8</v>
      </c>
      <c r="J2179" s="253" t="inlineStr">
        <is>
          <t xml:space="preserve">2*1.8*3.0</t>
        </is>
      </c>
    </row>
    <row r="2180">
      <c r="C2180" s="246" t="inlineStr">
        <is>
          <t xml:space="preserve">Fourth floor (+14200) - Emergency stair flight (storey ht 3.3) - risers: 22 x 0.15 x 1.8</t>
        </is>
      </c>
      <c r="D2180" s="248">
        <v>22</v>
      </c>
      <c r="E2180" s="247">
        <v>0.15</v>
      </c>
      <c r="F2180" s="247">
        <v>1.8</v>
      </c>
      <c r="H2180" s="249">
        <f>PRODUCT(D2180:G2180)</f>
        <v>5.9399999999999995</v>
      </c>
      <c r="J2180" s="253" t="inlineStr">
        <is>
          <t xml:space="preserve">22*0.15*1.8</t>
        </is>
      </c>
    </row>
    <row r="2181">
      <c r="C2181" s="246" t="inlineStr">
        <is>
          <t xml:space="preserve">Fourth floor (+14200) - Emergency stair flight (storey ht 3.3) - floor landing 2.2 x 3.75</t>
        </is>
      </c>
      <c r="E2181" s="247">
        <v>2.2</v>
      </c>
      <c r="F2181" s="247">
        <v>3.75</v>
      </c>
      <c r="H2181" s="249">
        <f>PRODUCT(D2181:G2181)</f>
        <v>8.25</v>
      </c>
      <c r="J2181" s="253" t="inlineStr">
        <is>
          <t xml:space="preserve">2.2*3.75</t>
        </is>
      </c>
    </row>
    <row r="2182">
      <c r="C2182" s="246" t="inlineStr">
        <is>
          <t xml:space="preserve">Fourth floor (+14200) - Emergency stair flight (storey ht 3.3) - half landing 1.8 x 3.75</t>
        </is>
      </c>
      <c r="E2182" s="247">
        <v>1.8</v>
      </c>
      <c r="F2182" s="247">
        <v>3.75</v>
      </c>
      <c r="H2182" s="249">
        <f>PRODUCT(D2182:G2182)</f>
        <v>6.75</v>
      </c>
      <c r="J2182" s="253" t="inlineStr">
        <is>
          <t xml:space="preserve">1.8*3.75</t>
        </is>
      </c>
    </row>
    <row r="2183">
      <c r="C2183" s="250" t="inlineStr">
        <is>
          <t xml:space="preserve">Total carried to BOQ  4TH FLR item D</t>
        </is>
      </c>
      <c r="D2183" s="250" t="inlineStr">
        <is>
          <t xml:space="preserve"/>
        </is>
      </c>
      <c r="E2183" s="250" t="inlineStr">
        <is>
          <t xml:space="preserve"/>
        </is>
      </c>
      <c r="F2183" s="250" t="inlineStr">
        <is>
          <t xml:space="preserve"/>
        </is>
      </c>
      <c r="G2183" s="250" t="inlineStr">
        <is>
          <t xml:space="preserve"/>
        </is>
      </c>
      <c r="H2183" s="251">
        <f>SUM(H2175:H2182)</f>
        <v>63.480000000000004</v>
      </c>
      <c r="I2183" s="252" t="inlineStr">
        <is>
          <t xml:space="preserve">m2</t>
        </is>
      </c>
    </row>
    <row r="2184" ht="32.2" customHeight="1">
      <c r="A2184" s="243" t="inlineStr">
        <is>
          <t xml:space="preserve">4TH FLR</t>
        </is>
      </c>
      <c r="B2184" s="243" t="inlineStr">
        <is>
          <t xml:space="preserve">E</t>
        </is>
      </c>
      <c r="C2184" s="244" t="inlineStr">
        <is>
          <t xml:space="preserve">600x600mm semi-polished porcelain floor tiles to habitable rooms, shops &amp; offices</t>
        </is>
      </c>
      <c r="I2184" s="245" t="inlineStr">
        <is>
          <t xml:space="preserve">m2</t>
        </is>
      </c>
      <c r="K2184" s="256" t="inlineStr">
        <is>
          <t xml:space="preserve">'4TH FLR '!C207</t>
        </is>
      </c>
    </row>
    <row r="2185">
      <c r="C2185" s="246" t="inlineStr">
        <is>
          <t xml:space="preserve">Fourth floor - Habitable rooms (measured)</t>
        </is>
      </c>
      <c r="H2185" s="247">
        <v>560.1</v>
      </c>
      <c r="J2185" s="253" t="inlineStr">
        <is>
          <t xml:space="preserve">560.1</t>
        </is>
      </c>
    </row>
    <row r="2186">
      <c r="C2186" s="250" t="inlineStr">
        <is>
          <t xml:space="preserve">Total carried to BOQ  4TH FLR item E</t>
        </is>
      </c>
      <c r="D2186" s="250" t="inlineStr">
        <is>
          <t xml:space="preserve"/>
        </is>
      </c>
      <c r="E2186" s="250" t="inlineStr">
        <is>
          <t xml:space="preserve"/>
        </is>
      </c>
      <c r="F2186" s="250" t="inlineStr">
        <is>
          <t xml:space="preserve"/>
        </is>
      </c>
      <c r="G2186" s="250" t="inlineStr">
        <is>
          <t xml:space="preserve"/>
        </is>
      </c>
      <c r="H2186" s="251">
        <f>SUM(H2185:H2185)</f>
        <v>560.1</v>
      </c>
      <c r="I2186" s="252" t="inlineStr">
        <is>
          <t xml:space="preserve">m2</t>
        </is>
      </c>
    </row>
    <row r="2187" ht="32.2" customHeight="1">
      <c r="A2187" s="243" t="inlineStr">
        <is>
          <t xml:space="preserve">4TH FLR</t>
        </is>
      </c>
      <c r="B2187" s="243" t="inlineStr">
        <is>
          <t xml:space="preserve">F</t>
        </is>
      </c>
      <c r="C2187" s="244" t="inlineStr">
        <is>
          <t xml:space="preserve">600x1200mm semi-polished porcelain floor tiles to stair/lift lobbies &amp; reception</t>
        </is>
      </c>
      <c r="I2187" s="245" t="inlineStr">
        <is>
          <t xml:space="preserve">m2</t>
        </is>
      </c>
      <c r="K2187" s="256" t="inlineStr">
        <is>
          <t xml:space="preserve">'4TH FLR '!C209</t>
        </is>
      </c>
    </row>
    <row r="2188">
      <c r="C2188" s="246" t="inlineStr">
        <is>
          <t xml:space="preserve">Fourth floor - Lobbies (measured)</t>
        </is>
      </c>
      <c r="H2188" s="247">
        <v>33.7</v>
      </c>
      <c r="J2188" s="253" t="inlineStr">
        <is>
          <t xml:space="preserve">33.7</t>
        </is>
      </c>
    </row>
    <row r="2189">
      <c r="C2189" s="250" t="inlineStr">
        <is>
          <t xml:space="preserve">Total carried to BOQ  4TH FLR item F</t>
        </is>
      </c>
      <c r="D2189" s="250" t="inlineStr">
        <is>
          <t xml:space="preserve"/>
        </is>
      </c>
      <c r="E2189" s="250" t="inlineStr">
        <is>
          <t xml:space="preserve"/>
        </is>
      </c>
      <c r="F2189" s="250" t="inlineStr">
        <is>
          <t xml:space="preserve"/>
        </is>
      </c>
      <c r="G2189" s="250" t="inlineStr">
        <is>
          <t xml:space="preserve"/>
        </is>
      </c>
      <c r="H2189" s="251">
        <f>SUM(H2188:H2188)</f>
        <v>33.7</v>
      </c>
      <c r="I2189" s="252" t="inlineStr">
        <is>
          <t xml:space="preserve">m2</t>
        </is>
      </c>
    </row>
    <row r="2190" ht="32.2" customHeight="1">
      <c r="A2190" s="243" t="inlineStr">
        <is>
          <t xml:space="preserve">4TH FLR</t>
        </is>
      </c>
      <c r="B2190" s="243" t="inlineStr">
        <is>
          <t xml:space="preserve">G</t>
        </is>
      </c>
      <c r="C2190" s="244" t="inlineStr">
        <is>
          <t xml:space="preserve">600x600mm non-slip R11 porcelain tiles to corridors, terraces, verandah &amp; service areas</t>
        </is>
      </c>
      <c r="I2190" s="245" t="inlineStr">
        <is>
          <t xml:space="preserve">m2</t>
        </is>
      </c>
      <c r="K2190" s="256" t="inlineStr">
        <is>
          <t xml:space="preserve">'4TH FLR '!C211</t>
        </is>
      </c>
    </row>
    <row r="2191">
      <c r="C2191" s="246" t="inlineStr">
        <is>
          <t xml:space="preserve">Fourth floor - Corridors/terraces/service (measured)</t>
        </is>
      </c>
      <c r="H2191" s="247">
        <v>204.0</v>
      </c>
      <c r="J2191" s="253" t="inlineStr">
        <is>
          <t xml:space="preserve">204.0</t>
        </is>
      </c>
    </row>
    <row r="2192">
      <c r="C2192" s="250" t="inlineStr">
        <is>
          <t xml:space="preserve">Total carried to BOQ  4TH FLR item G</t>
        </is>
      </c>
      <c r="D2192" s="250" t="inlineStr">
        <is>
          <t xml:space="preserve"/>
        </is>
      </c>
      <c r="E2192" s="250" t="inlineStr">
        <is>
          <t xml:space="preserve"/>
        </is>
      </c>
      <c r="F2192" s="250" t="inlineStr">
        <is>
          <t xml:space="preserve"/>
        </is>
      </c>
      <c r="G2192" s="250" t="inlineStr">
        <is>
          <t xml:space="preserve"/>
        </is>
      </c>
      <c r="H2192" s="251">
        <f>SUM(H2191:H2191)</f>
        <v>204.0</v>
      </c>
      <c r="I2192" s="252" t="inlineStr">
        <is>
          <t xml:space="preserve">m2</t>
        </is>
      </c>
    </row>
    <row r="2193">
      <c r="C2193" s="242" t="inlineStr">
        <is>
          <t xml:space="preserve">ELEMENT NO. 6: WALL FINISHES</t>
        </is>
      </c>
    </row>
    <row r="2194">
      <c r="C2194" s="242" t="inlineStr">
        <is>
          <t xml:space="preserve">M20 PLASTERED/RENDERED COATINGS - 12.5mm cement and sand (1:3) rendering as described on blockwork or concrete to:</t>
        </is>
      </c>
    </row>
    <row r="2195">
      <c r="A2195" s="243" t="inlineStr">
        <is>
          <t xml:space="preserve">4TH FLR</t>
        </is>
      </c>
      <c r="B2195" s="243" t="inlineStr">
        <is>
          <t xml:space="preserve">A</t>
        </is>
      </c>
      <c r="C2195" s="244" t="inlineStr">
        <is>
          <t xml:space="preserve">Interior walls</t>
        </is>
      </c>
      <c r="I2195" s="245" t="inlineStr">
        <is>
          <t xml:space="preserve">m2</t>
        </is>
      </c>
      <c r="K2195" s="256" t="inlineStr">
        <is>
          <t xml:space="preserve">'4TH FLR '!C219</t>
        </is>
      </c>
    </row>
    <row r="2196">
      <c r="C2196" s="246" t="inlineStr">
        <is>
          <t xml:space="preserve">block wall faces: 2 x (150 + 200 block runs) x ht</t>
        </is>
      </c>
      <c r="D2196" s="248">
        <v>2</v>
      </c>
      <c r="E2196" s="247">
        <f>443.9+55.3</f>
        <v>499.2</v>
      </c>
      <c r="F2196" s="247">
        <v>3.05</v>
      </c>
      <c r="H2196" s="249">
        <f>PRODUCT(D2196:G2196)</f>
        <v>3045.12</v>
      </c>
      <c r="J2196" s="253" t="inlineStr">
        <is>
          <t xml:space="preserve">2*(443.9+55.3)*3.05</t>
        </is>
      </c>
    </row>
    <row r="2197">
      <c r="C2197" s="246" t="inlineStr">
        <is>
          <t xml:space="preserve">RC wall faces: 2 x RC wall run x ht</t>
        </is>
      </c>
      <c r="D2197" s="248">
        <v>2</v>
      </c>
      <c r="E2197" s="247">
        <v>46.5</v>
      </c>
      <c r="F2197" s="247">
        <v>3.05</v>
      </c>
      <c r="H2197" s="249">
        <f>PRODUCT(D2197:G2197)</f>
        <v>283.65</v>
      </c>
      <c r="J2197" s="253" t="inlineStr">
        <is>
          <t xml:space="preserve">2*46.5*3.05</t>
        </is>
      </c>
    </row>
    <row r="2198">
      <c r="C2198" s="246" t="inlineStr">
        <is>
          <t xml:space="preserve">Ddt lift/stair shaft inner faces 16.8 m x ht</t>
        </is>
      </c>
      <c r="E2198" s="247">
        <v>16.8</v>
      </c>
      <c r="F2198" s="247">
        <v>3.05</v>
      </c>
      <c r="H2198" s="249">
        <f>-PRODUCT(D2198:G2198)</f>
        <v>-51.24</v>
      </c>
      <c r="J2198" s="253" t="inlineStr">
        <is>
          <t xml:space="preserve">-16.8*3.05</t>
        </is>
      </c>
    </row>
    <row r="2199">
      <c r="C2199" s="246" t="inlineStr">
        <is>
          <t xml:space="preserve">Ddt external face of perimeter wall (rendered externally)</t>
        </is>
      </c>
      <c r="E2199" s="247">
        <v>224.2</v>
      </c>
      <c r="F2199" s="247">
        <v>3.05</v>
      </c>
      <c r="H2199" s="249">
        <f>-PRODUCT(D2199:G2199)</f>
        <v>-683.81</v>
      </c>
      <c r="J2199" s="253" t="inlineStr">
        <is>
          <t xml:space="preserve">-224.2*3.05</t>
        </is>
      </c>
    </row>
    <row r="2200">
      <c r="C2200" s="246" t="inlineStr">
        <is>
          <t xml:space="preserve">Ddt washroom walls (measured separately)</t>
        </is>
      </c>
      <c r="E2200" s="247">
        <f>62.1/3.8</f>
        <v>16.342105263157897</v>
      </c>
      <c r="F2200" s="247">
        <v>8.0</v>
      </c>
      <c r="G2200" s="247">
        <v>3.05</v>
      </c>
      <c r="H2200" s="249">
        <f>-PRODUCT(D2200:G2200)</f>
        <v>-398.74736842105267</v>
      </c>
      <c r="J2200" s="253" t="inlineStr">
        <is>
          <t xml:space="preserve">-62.1/3.8*8.0*3.05</t>
        </is>
      </c>
    </row>
    <row r="2201">
      <c r="C2201" s="246" t="inlineStr">
        <is>
          <t xml:space="preserve">Ddt opening D2 (8 nr, 1x2.2) - both faces</t>
        </is>
      </c>
      <c r="D2201" s="248">
        <f>2*8</f>
        <v>16</v>
      </c>
      <c r="E2201" s="247">
        <v>1</v>
      </c>
      <c r="F2201" s="247">
        <v>2.2</v>
      </c>
      <c r="H2201" s="249">
        <f>-PRODUCT(D2201:G2201)</f>
        <v>-35.2</v>
      </c>
      <c r="J2201" s="253" t="inlineStr">
        <is>
          <t xml:space="preserve">-2*8*1*2.2</t>
        </is>
      </c>
    </row>
    <row r="2202">
      <c r="C2202" s="246" t="inlineStr">
        <is>
          <t xml:space="preserve">Ddt opening D3 (15 nr, 0.9x2.2) - both faces</t>
        </is>
      </c>
      <c r="D2202" s="248">
        <f>2*15</f>
        <v>30</v>
      </c>
      <c r="E2202" s="247">
        <v>0.9</v>
      </c>
      <c r="F2202" s="247">
        <v>2.2</v>
      </c>
      <c r="H2202" s="249">
        <f>-PRODUCT(D2202:G2202)</f>
        <v>-59.400000000000006</v>
      </c>
      <c r="J2202" s="253" t="inlineStr">
        <is>
          <t xml:space="preserve">-2*15*0.9*2.2</t>
        </is>
      </c>
    </row>
    <row r="2203">
      <c r="C2203" s="246" t="inlineStr">
        <is>
          <t xml:space="preserve">Ddt opening D6 (22 nr, 0.75x2.2) - both faces</t>
        </is>
      </c>
      <c r="D2203" s="248">
        <f>2*22</f>
        <v>44</v>
      </c>
      <c r="E2203" s="247">
        <v>0.75</v>
      </c>
      <c r="F2203" s="247">
        <v>2.2</v>
      </c>
      <c r="H2203" s="249">
        <f>-PRODUCT(D2203:G2203)</f>
        <v>-72.60000000000001</v>
      </c>
      <c r="J2203" s="253" t="inlineStr">
        <is>
          <t xml:space="preserve">-2*22*0.75*2.2</t>
        </is>
      </c>
    </row>
    <row r="2204">
      <c r="C2204" s="246" t="inlineStr">
        <is>
          <t xml:space="preserve">Ddt opening D7 (1 nr, 0.7x2.2) - both faces</t>
        </is>
      </c>
      <c r="D2204" s="248">
        <f>2*1</f>
        <v>2</v>
      </c>
      <c r="E2204" s="247">
        <v>0.7</v>
      </c>
      <c r="F2204" s="247">
        <v>2.2</v>
      </c>
      <c r="H2204" s="249">
        <f>-PRODUCT(D2204:G2204)</f>
        <v>-3.08</v>
      </c>
      <c r="J2204" s="253" t="inlineStr">
        <is>
          <t xml:space="preserve">-2*1*0.7*2.2</t>
        </is>
      </c>
    </row>
    <row r="2205">
      <c r="C2205" s="246" t="inlineStr">
        <is>
          <t xml:space="preserve">Ddt opening D8 (3 nr, 1.2x2.2) - both faces</t>
        </is>
      </c>
      <c r="D2205" s="248">
        <f>2*3</f>
        <v>6</v>
      </c>
      <c r="E2205" s="247">
        <v>1.2</v>
      </c>
      <c r="F2205" s="247">
        <v>2.2</v>
      </c>
      <c r="H2205" s="249">
        <f>-PRODUCT(D2205:G2205)</f>
        <v>-15.84</v>
      </c>
      <c r="J2205" s="253" t="inlineStr">
        <is>
          <t xml:space="preserve">-2*3*1.2*2.2</t>
        </is>
      </c>
    </row>
    <row r="2206">
      <c r="C2206" s="246" t="inlineStr">
        <is>
          <t xml:space="preserve">Ddt opening ED1 (3 nr, 1x2.2) - both faces</t>
        </is>
      </c>
      <c r="D2206" s="248">
        <f>2*3</f>
        <v>6</v>
      </c>
      <c r="E2206" s="247">
        <v>1</v>
      </c>
      <c r="F2206" s="247">
        <v>2.2</v>
      </c>
      <c r="H2206" s="249">
        <f>-PRODUCT(D2206:G2206)</f>
        <v>-13.200000000000001</v>
      </c>
      <c r="J2206" s="253" t="inlineStr">
        <is>
          <t xml:space="preserve">-2*3*1*2.2</t>
        </is>
      </c>
    </row>
    <row r="2207">
      <c r="C2207" s="246" t="inlineStr">
        <is>
          <t xml:space="preserve">Ddt opening ED2 (3 nr, 1x2.2) - both faces</t>
        </is>
      </c>
      <c r="D2207" s="248">
        <f>2*3</f>
        <v>6</v>
      </c>
      <c r="E2207" s="247">
        <v>1</v>
      </c>
      <c r="F2207" s="247">
        <v>2.2</v>
      </c>
      <c r="H2207" s="249">
        <f>-PRODUCT(D2207:G2207)</f>
        <v>-13.200000000000001</v>
      </c>
      <c r="J2207" s="253" t="inlineStr">
        <is>
          <t xml:space="preserve">-2*3*1*2.2</t>
        </is>
      </c>
    </row>
    <row r="2208">
      <c r="C2208" s="246" t="inlineStr">
        <is>
          <t xml:space="preserve">Ddt opening D9 (2 nr, 0.9x2.2) - both faces</t>
        </is>
      </c>
      <c r="D2208" s="248">
        <f>2*2</f>
        <v>4</v>
      </c>
      <c r="E2208" s="247">
        <v>0.9</v>
      </c>
      <c r="F2208" s="247">
        <v>2.2</v>
      </c>
      <c r="H2208" s="249">
        <f>-PRODUCT(D2208:G2208)</f>
        <v>-7.920000000000001</v>
      </c>
      <c r="J2208" s="253" t="inlineStr">
        <is>
          <t xml:space="preserve">-2*2*0.9*2.2</t>
        </is>
      </c>
    </row>
    <row r="2209">
      <c r="C2209" s="246" t="inlineStr">
        <is>
          <t xml:space="preserve">Ddt opening FD1 (1 nr, 1.5x2.2) - both faces</t>
        </is>
      </c>
      <c r="D2209" s="248">
        <f>2*1</f>
        <v>2</v>
      </c>
      <c r="E2209" s="247">
        <v>1.5</v>
      </c>
      <c r="F2209" s="247">
        <v>2.2</v>
      </c>
      <c r="H2209" s="249">
        <f>-PRODUCT(D2209:G2209)</f>
        <v>-6.6000000000000005</v>
      </c>
      <c r="J2209" s="253" t="inlineStr">
        <is>
          <t xml:space="preserve">-2*1*1.5*2.2</t>
        </is>
      </c>
    </row>
    <row r="2210">
      <c r="C2210" s="246" t="inlineStr">
        <is>
          <t xml:space="preserve">Ddt opening M1 (3 nr, 0.9x2.2) - both faces</t>
        </is>
      </c>
      <c r="D2210" s="248">
        <f>2*3</f>
        <v>6</v>
      </c>
      <c r="E2210" s="247">
        <v>0.9</v>
      </c>
      <c r="F2210" s="247">
        <v>2.2</v>
      </c>
      <c r="H2210" s="249">
        <f>-PRODUCT(D2210:G2210)</f>
        <v>-11.880000000000003</v>
      </c>
      <c r="J2210" s="253" t="inlineStr">
        <is>
          <t xml:space="preserve">-2*3*0.9*2.2</t>
        </is>
      </c>
    </row>
    <row r="2211">
      <c r="C2211" s="246" t="inlineStr">
        <is>
          <t xml:space="preserve">Ddt opening M2 (5 nr, 0.75x2.2) - both faces</t>
        </is>
      </c>
      <c r="D2211" s="248">
        <f>2*5</f>
        <v>10</v>
      </c>
      <c r="E2211" s="247">
        <v>0.75</v>
      </c>
      <c r="F2211" s="247">
        <v>2.2</v>
      </c>
      <c r="H2211" s="249">
        <f>-PRODUCT(D2211:G2211)</f>
        <v>-16.5</v>
      </c>
      <c r="J2211" s="253" t="inlineStr">
        <is>
          <t xml:space="preserve">-2*5*0.75*2.2</t>
        </is>
      </c>
    </row>
    <row r="2212">
      <c r="C2212" s="246" t="inlineStr">
        <is>
          <t xml:space="preserve">Ddt opening M3 (1 nr, 0.45x2.2) - both faces</t>
        </is>
      </c>
      <c r="D2212" s="248">
        <f>2*1</f>
        <v>2</v>
      </c>
      <c r="E2212" s="247">
        <v>0.45</v>
      </c>
      <c r="F2212" s="247">
        <v>2.2</v>
      </c>
      <c r="H2212" s="249">
        <f>-PRODUCT(D2212:G2212)</f>
        <v>-1.9800000000000002</v>
      </c>
      <c r="J2212" s="253" t="inlineStr">
        <is>
          <t xml:space="preserve">-2*1*0.45*2.2</t>
        </is>
      </c>
    </row>
    <row r="2213">
      <c r="C2213" s="246" t="inlineStr">
        <is>
          <t xml:space="preserve">Ddt opening M5 (3 nr, 0.6x2.2) - both faces</t>
        </is>
      </c>
      <c r="D2213" s="248">
        <f>2*3</f>
        <v>6</v>
      </c>
      <c r="E2213" s="247">
        <v>0.6</v>
      </c>
      <c r="F2213" s="247">
        <v>2.2</v>
      </c>
      <c r="H2213" s="249">
        <f>-PRODUCT(D2213:G2213)</f>
        <v>-7.92</v>
      </c>
      <c r="J2213" s="253" t="inlineStr">
        <is>
          <t xml:space="preserve">-2*3*0.6*2.2</t>
        </is>
      </c>
    </row>
    <row r="2214">
      <c r="C2214" s="246" t="inlineStr">
        <is>
          <t xml:space="preserve">Ddt opening SD1 (1 nr, 3x2.2) - both faces</t>
        </is>
      </c>
      <c r="D2214" s="248">
        <f>2*1</f>
        <v>2</v>
      </c>
      <c r="E2214" s="247">
        <v>3</v>
      </c>
      <c r="F2214" s="247">
        <v>2.2</v>
      </c>
      <c r="H2214" s="249">
        <f>-PRODUCT(D2214:G2214)</f>
        <v>-13.200000000000001</v>
      </c>
      <c r="J2214" s="253" t="inlineStr">
        <is>
          <t xml:space="preserve">-2*1*3*2.2</t>
        </is>
      </c>
    </row>
    <row r="2215">
      <c r="C2215" s="246" t="inlineStr">
        <is>
          <t xml:space="preserve">Ddt opening SD2 (4 nr, 1.6x2.2) - both faces</t>
        </is>
      </c>
      <c r="D2215" s="248">
        <f>2*4</f>
        <v>8</v>
      </c>
      <c r="E2215" s="247">
        <v>1.6</v>
      </c>
      <c r="F2215" s="247">
        <v>2.2</v>
      </c>
      <c r="H2215" s="249">
        <f>-PRODUCT(D2215:G2215)</f>
        <v>-28.160000000000004</v>
      </c>
      <c r="J2215" s="253" t="inlineStr">
        <is>
          <t xml:space="preserve">-2*4*1.6*2.2</t>
        </is>
      </c>
    </row>
    <row r="2216">
      <c r="C2216" s="246" t="inlineStr">
        <is>
          <t xml:space="preserve">Ddt opening SD3 (2 nr, 1.3x2.2) - both faces</t>
        </is>
      </c>
      <c r="D2216" s="248">
        <f>2*2</f>
        <v>4</v>
      </c>
      <c r="E2216" s="247">
        <v>1.3</v>
      </c>
      <c r="F2216" s="247">
        <v>2.2</v>
      </c>
      <c r="H2216" s="249">
        <f>-PRODUCT(D2216:G2216)</f>
        <v>-11.440000000000001</v>
      </c>
      <c r="J2216" s="253" t="inlineStr">
        <is>
          <t xml:space="preserve">-2*2*1.3*2.2</t>
        </is>
      </c>
    </row>
    <row r="2217">
      <c r="C2217" s="246" t="inlineStr">
        <is>
          <t xml:space="preserve">Ddt opening SD4 (4 nr, 1.8x2.2) - both faces</t>
        </is>
      </c>
      <c r="D2217" s="248">
        <f>2*4</f>
        <v>8</v>
      </c>
      <c r="E2217" s="247">
        <v>1.8</v>
      </c>
      <c r="F2217" s="247">
        <v>2.2</v>
      </c>
      <c r="H2217" s="249">
        <f>-PRODUCT(D2217:G2217)</f>
        <v>-31.680000000000003</v>
      </c>
      <c r="J2217" s="253" t="inlineStr">
        <is>
          <t xml:space="preserve">-2*4*1.8*2.2</t>
        </is>
      </c>
    </row>
    <row r="2218">
      <c r="C2218" s="246" t="inlineStr">
        <is>
          <t xml:space="preserve">Ddt opening SD5 (1 nr, 1.2x2.2) - both faces</t>
        </is>
      </c>
      <c r="D2218" s="248">
        <f>2*1</f>
        <v>2</v>
      </c>
      <c r="E2218" s="247">
        <v>1.2</v>
      </c>
      <c r="F2218" s="247">
        <v>2.2</v>
      </c>
      <c r="H2218" s="249">
        <f>-PRODUCT(D2218:G2218)</f>
        <v>-5.28</v>
      </c>
      <c r="J2218" s="253" t="inlineStr">
        <is>
          <t xml:space="preserve">-2*1*1.2*2.2</t>
        </is>
      </c>
    </row>
    <row r="2219">
      <c r="C2219" s="246" t="inlineStr">
        <is>
          <t xml:space="preserve">Ddt opening W2 (6 nr, 1.8x1.3)</t>
        </is>
      </c>
      <c r="D2219" s="248">
        <v>6</v>
      </c>
      <c r="E2219" s="247">
        <v>1.8</v>
      </c>
      <c r="F2219" s="247">
        <v>1.3</v>
      </c>
      <c r="H2219" s="249">
        <f>-PRODUCT(D2219:G2219)</f>
        <v>-14.040000000000001</v>
      </c>
      <c r="J2219" s="253" t="inlineStr">
        <is>
          <t xml:space="preserve">-6*1.8*1.3</t>
        </is>
      </c>
    </row>
    <row r="2220">
      <c r="C2220" s="246" t="inlineStr">
        <is>
          <t xml:space="preserve">Ddt opening W4 (10 nr, 0.9x1.3)</t>
        </is>
      </c>
      <c r="D2220" s="248">
        <v>10</v>
      </c>
      <c r="E2220" s="247">
        <v>0.9</v>
      </c>
      <c r="F2220" s="247">
        <v>1.3</v>
      </c>
      <c r="H2220" s="249">
        <f>-PRODUCT(D2220:G2220)</f>
        <v>-11.700000000000001</v>
      </c>
      <c r="J2220" s="253" t="inlineStr">
        <is>
          <t xml:space="preserve">-10*0.9*1.3</t>
        </is>
      </c>
    </row>
    <row r="2221">
      <c r="C2221" s="246" t="inlineStr">
        <is>
          <t xml:space="preserve">Ddt opening W7 (2 nr, 1.8x1.6)</t>
        </is>
      </c>
      <c r="D2221" s="248">
        <v>2</v>
      </c>
      <c r="E2221" s="247">
        <v>1.8</v>
      </c>
      <c r="F2221" s="247">
        <v>1.6</v>
      </c>
      <c r="H2221" s="249">
        <f>-PRODUCT(D2221:G2221)</f>
        <v>-5.760000000000001</v>
      </c>
      <c r="J2221" s="253" t="inlineStr">
        <is>
          <t xml:space="preserve">-2*1.8*1.6</t>
        </is>
      </c>
    </row>
    <row r="2222">
      <c r="C2222" s="246" t="inlineStr">
        <is>
          <t xml:space="preserve">Ddt opening W8 (3 nr, 1.2x1.9)</t>
        </is>
      </c>
      <c r="D2222" s="248">
        <v>3</v>
      </c>
      <c r="E2222" s="247">
        <v>1.2</v>
      </c>
      <c r="F2222" s="247">
        <v>1.9</v>
      </c>
      <c r="H2222" s="249">
        <f>-PRODUCT(D2222:G2222)</f>
        <v>-6.839999999999999</v>
      </c>
      <c r="J2222" s="253" t="inlineStr">
        <is>
          <t xml:space="preserve">-3*1.2*1.9</t>
        </is>
      </c>
    </row>
    <row r="2223">
      <c r="C2223" s="246" t="inlineStr">
        <is>
          <t xml:space="preserve">Ddt opening W9 (8 nr, 1.2x1.15)</t>
        </is>
      </c>
      <c r="D2223" s="248">
        <v>8</v>
      </c>
      <c r="E2223" s="247">
        <v>1.2</v>
      </c>
      <c r="F2223" s="247">
        <v>1.15</v>
      </c>
      <c r="H2223" s="249">
        <f>-PRODUCT(D2223:G2223)</f>
        <v>-11.04</v>
      </c>
      <c r="J2223" s="253" t="inlineStr">
        <is>
          <t xml:space="preserve">-8*1.2*1.15</t>
        </is>
      </c>
    </row>
    <row r="2224">
      <c r="C2224" s="246" t="inlineStr">
        <is>
          <t xml:space="preserve">Ddt opening W10 (1 nr, 1.2x1.2)</t>
        </is>
      </c>
      <c r="D2224" s="248">
        <v>1</v>
      </c>
      <c r="E2224" s="247">
        <v>1.2</v>
      </c>
      <c r="F2224" s="247">
        <v>1.2</v>
      </c>
      <c r="H2224" s="249">
        <f>-PRODUCT(D2224:G2224)</f>
        <v>-1.44</v>
      </c>
      <c r="J2224" s="253" t="inlineStr">
        <is>
          <t xml:space="preserve">-1*1.2*1.2</t>
        </is>
      </c>
    </row>
    <row r="2225">
      <c r="C2225" s="246" t="inlineStr">
        <is>
          <t xml:space="preserve">Ddt opening W11 (7 nr, 1.5x1.3)</t>
        </is>
      </c>
      <c r="D2225" s="248">
        <v>7</v>
      </c>
      <c r="E2225" s="247">
        <v>1.5</v>
      </c>
      <c r="F2225" s="247">
        <v>1.3</v>
      </c>
      <c r="H2225" s="249">
        <f>-PRODUCT(D2225:G2225)</f>
        <v>-13.65</v>
      </c>
      <c r="J2225" s="253" t="inlineStr">
        <is>
          <t xml:space="preserve">-7*1.5*1.3</t>
        </is>
      </c>
    </row>
    <row r="2226">
      <c r="C2226" s="246" t="inlineStr">
        <is>
          <t xml:space="preserve">Ddt opening W12 (4 nr, 1.5x1.15)</t>
        </is>
      </c>
      <c r="D2226" s="248">
        <v>4</v>
      </c>
      <c r="E2226" s="247">
        <v>1.5</v>
      </c>
      <c r="F2226" s="247">
        <v>1.15</v>
      </c>
      <c r="H2226" s="249">
        <f>-PRODUCT(D2226:G2226)</f>
        <v>-6.8999999999999995</v>
      </c>
      <c r="J2226" s="253" t="inlineStr">
        <is>
          <t xml:space="preserve">-4*1.5*1.15</t>
        </is>
      </c>
    </row>
    <row r="2227">
      <c r="C2227" s="246" t="inlineStr">
        <is>
          <t xml:space="preserve">Ddt opening W13 (1 nr, 2.4x1.3)</t>
        </is>
      </c>
      <c r="D2227" s="248">
        <v>1</v>
      </c>
      <c r="E2227" s="247">
        <v>2.4</v>
      </c>
      <c r="F2227" s="247">
        <v>1.3</v>
      </c>
      <c r="H2227" s="249">
        <f>-PRODUCT(D2227:G2227)</f>
        <v>-3.12</v>
      </c>
      <c r="J2227" s="253" t="inlineStr">
        <is>
          <t xml:space="preserve">-1*2.4*1.3</t>
        </is>
      </c>
    </row>
    <row r="2228">
      <c r="C2228" s="246" t="inlineStr">
        <is>
          <t xml:space="preserve">Ddt opening W15 (1 nr, 3x1.6)</t>
        </is>
      </c>
      <c r="D2228" s="248">
        <v>1</v>
      </c>
      <c r="E2228" s="247">
        <v>3</v>
      </c>
      <c r="F2228" s="247">
        <v>1.6</v>
      </c>
      <c r="H2228" s="249">
        <f>-PRODUCT(D2228:G2228)</f>
        <v>-4.800000000000001</v>
      </c>
      <c r="J2228" s="253" t="inlineStr">
        <is>
          <t xml:space="preserve">-1*3*1.6</t>
        </is>
      </c>
    </row>
    <row r="2229">
      <c r="C2229" s="246" t="inlineStr">
        <is>
          <t xml:space="preserve">Ddt opening W17 (3 nr, 1.8x1.9)</t>
        </is>
      </c>
      <c r="D2229" s="248">
        <v>3</v>
      </c>
      <c r="E2229" s="247">
        <v>1.8</v>
      </c>
      <c r="F2229" s="247">
        <v>1.9</v>
      </c>
      <c r="H2229" s="249">
        <f>-PRODUCT(D2229:G2229)</f>
        <v>-10.26</v>
      </c>
      <c r="J2229" s="253" t="inlineStr">
        <is>
          <t xml:space="preserve">-3*1.8*1.9</t>
        </is>
      </c>
    </row>
    <row r="2230">
      <c r="C2230" s="246" t="inlineStr">
        <is>
          <t xml:space="preserve">Ddt opening W18 (1 nr, 0.75x1.3)</t>
        </is>
      </c>
      <c r="D2230" s="248">
        <v>1</v>
      </c>
      <c r="E2230" s="247">
        <v>0.75</v>
      </c>
      <c r="F2230" s="247">
        <v>1.3</v>
      </c>
      <c r="H2230" s="249">
        <f>-PRODUCT(D2230:G2230)</f>
        <v>-0.9750000000000001</v>
      </c>
      <c r="J2230" s="253" t="inlineStr">
        <is>
          <t xml:space="preserve">-1*0.75*1.3</t>
        </is>
      </c>
    </row>
    <row r="2231">
      <c r="C2231" s="246" t="inlineStr">
        <is>
          <t xml:space="preserve">Ddt opening W20 (1 nr, 1.45x1.9)</t>
        </is>
      </c>
      <c r="D2231" s="248">
        <v>1</v>
      </c>
      <c r="E2231" s="247">
        <v>1.45</v>
      </c>
      <c r="F2231" s="247">
        <v>1.9</v>
      </c>
      <c r="H2231" s="249">
        <f>-PRODUCT(D2231:G2231)</f>
        <v>-2.755</v>
      </c>
      <c r="J2231" s="253" t="inlineStr">
        <is>
          <t xml:space="preserve">-1*1.45*1.9</t>
        </is>
      </c>
    </row>
    <row r="2232">
      <c r="C2232" s="246" t="inlineStr">
        <is>
          <t xml:space="preserve">Ddt opening HW1 (13 nr, 0.9x0.6)</t>
        </is>
      </c>
      <c r="D2232" s="248">
        <v>13</v>
      </c>
      <c r="E2232" s="247">
        <v>0.9</v>
      </c>
      <c r="F2232" s="247">
        <v>0.6</v>
      </c>
      <c r="H2232" s="249">
        <f>-PRODUCT(D2232:G2232)</f>
        <v>-7.0200000000000005</v>
      </c>
      <c r="J2232" s="253" t="inlineStr">
        <is>
          <t xml:space="preserve">-13*0.9*0.6</t>
        </is>
      </c>
    </row>
    <row r="2233">
      <c r="C2233" s="246" t="inlineStr">
        <is>
          <t xml:space="preserve">Ddt opening HW2 (5 nr, 0.75x0.6)</t>
        </is>
      </c>
      <c r="D2233" s="248">
        <v>5</v>
      </c>
      <c r="E2233" s="247">
        <v>0.75</v>
      </c>
      <c r="F2233" s="247">
        <v>0.6</v>
      </c>
      <c r="H2233" s="249">
        <f>-PRODUCT(D2233:G2233)</f>
        <v>-2.25</v>
      </c>
      <c r="J2233" s="253" t="inlineStr">
        <is>
          <t xml:space="preserve">-5*0.75*0.6</t>
        </is>
      </c>
    </row>
    <row r="2234">
      <c r="C2234" s="246" t="inlineStr">
        <is>
          <t xml:space="preserve">Ddt opening HW3 (2 nr, 0.6x0.6)</t>
        </is>
      </c>
      <c r="D2234" s="248">
        <v>2</v>
      </c>
      <c r="E2234" s="247">
        <v>0.6</v>
      </c>
      <c r="F2234" s="247">
        <v>0.6</v>
      </c>
      <c r="H2234" s="249">
        <f>-PRODUCT(D2234:G2234)</f>
        <v>-0.72</v>
      </c>
      <c r="J2234" s="253" t="inlineStr">
        <is>
          <t xml:space="preserve">-2*0.6*0.6</t>
        </is>
      </c>
    </row>
    <row r="2235">
      <c r="C2235" s="246" t="inlineStr">
        <is>
          <t xml:space="preserve">Ddt opening HW4 (2 nr, 1.2x0.6)</t>
        </is>
      </c>
      <c r="D2235" s="248">
        <v>2</v>
      </c>
      <c r="E2235" s="247">
        <v>1.2</v>
      </c>
      <c r="F2235" s="247">
        <v>0.6</v>
      </c>
      <c r="H2235" s="249">
        <f>-PRODUCT(D2235:G2235)</f>
        <v>-1.44</v>
      </c>
      <c r="J2235" s="253" t="inlineStr">
        <is>
          <t xml:space="preserve">-2*1.2*0.6</t>
        </is>
      </c>
    </row>
    <row r="2236">
      <c r="C2236" s="250" t="inlineStr">
        <is>
          <t xml:space="preserve">Total carried to BOQ  4TH FLR item A</t>
        </is>
      </c>
      <c r="D2236" s="250" t="inlineStr">
        <is>
          <t xml:space="preserve"/>
        </is>
      </c>
      <c r="E2236" s="250" t="inlineStr">
        <is>
          <t xml:space="preserve"/>
        </is>
      </c>
      <c r="F2236" s="250" t="inlineStr">
        <is>
          <t xml:space="preserve"/>
        </is>
      </c>
      <c r="G2236" s="250" t="inlineStr">
        <is>
          <t xml:space="preserve"/>
        </is>
      </c>
      <c r="H2236" s="251">
        <f>SUM(H2196:H2235)</f>
        <v>1735.1826315789474</v>
      </c>
      <c r="I2236" s="252" t="inlineStr">
        <is>
          <t xml:space="preserve">m2</t>
        </is>
      </c>
    </row>
    <row r="2237">
      <c r="A2237" s="243" t="inlineStr">
        <is>
          <t xml:space="preserve">4TH FLR</t>
        </is>
      </c>
      <c r="B2237" s="243" t="inlineStr">
        <is>
          <t xml:space="preserve">B</t>
        </is>
      </c>
      <c r="C2237" s="244" t="inlineStr">
        <is>
          <t xml:space="preserve">Interior partitions and washrooms</t>
        </is>
      </c>
      <c r="I2237" s="245" t="inlineStr">
        <is>
          <t xml:space="preserve">m2</t>
        </is>
      </c>
      <c r="K2237" s="256" t="inlineStr">
        <is>
          <t xml:space="preserve">'4TH FLR '!C221</t>
        </is>
      </c>
    </row>
    <row r="2238">
      <c r="C2238" s="246" t="inlineStr">
        <is>
          <t xml:space="preserve">washroom walls: (wet area / 3.8 m2 per WC) x 8.0 m girth x ht</t>
        </is>
      </c>
      <c r="E2238" s="247">
        <f>62.1/3.8</f>
        <v>16.342105263157897</v>
      </c>
      <c r="F2238" s="247">
        <v>8.0</v>
      </c>
      <c r="G2238" s="247">
        <v>3.05</v>
      </c>
      <c r="H2238" s="249">
        <f>PRODUCT(D2238:G2238)</f>
        <v>398.74736842105267</v>
      </c>
      <c r="J2238" s="253" t="inlineStr">
        <is>
          <t xml:space="preserve">62.1/3.8*8.0*3.05</t>
        </is>
      </c>
    </row>
    <row r="2239">
      <c r="C2239" s="246" t="inlineStr">
        <is>
          <t xml:space="preserve">Ddt washroom doors: nr x 0.75 x 2.2</t>
        </is>
      </c>
      <c r="E2239" s="247">
        <f>62.1/3.8</f>
        <v>16.342105263157897</v>
      </c>
      <c r="F2239" s="247">
        <v>0.75</v>
      </c>
      <c r="G2239" s="247">
        <v>2.2</v>
      </c>
      <c r="H2239" s="249">
        <f>-PRODUCT(D2239:G2239)</f>
        <v>-26.96447368421053</v>
      </c>
      <c r="J2239" s="253" t="inlineStr">
        <is>
          <t xml:space="preserve">-62.1/3.8*0.75*2.2</t>
        </is>
      </c>
    </row>
    <row r="2240">
      <c r="C2240" s="250" t="inlineStr">
        <is>
          <t xml:space="preserve">Total carried to BOQ  4TH FLR item B</t>
        </is>
      </c>
      <c r="D2240" s="250" t="inlineStr">
        <is>
          <t xml:space="preserve"/>
        </is>
      </c>
      <c r="E2240" s="250" t="inlineStr">
        <is>
          <t xml:space="preserve"/>
        </is>
      </c>
      <c r="F2240" s="250" t="inlineStr">
        <is>
          <t xml:space="preserve"/>
        </is>
      </c>
      <c r="G2240" s="250" t="inlineStr">
        <is>
          <t xml:space="preserve"/>
        </is>
      </c>
      <c r="H2240" s="251">
        <f>SUM(H2238:H2239)</f>
        <v>371.78289473684214</v>
      </c>
      <c r="I2240" s="252" t="inlineStr">
        <is>
          <t xml:space="preserve">m2</t>
        </is>
      </c>
    </row>
    <row r="2241">
      <c r="A2241" s="243" t="inlineStr">
        <is>
          <t xml:space="preserve">4TH FLR</t>
        </is>
      </c>
      <c r="B2241" s="243" t="inlineStr">
        <is>
          <t xml:space="preserve">C</t>
        </is>
      </c>
      <c r="C2241" s="244" t="inlineStr">
        <is>
          <t xml:space="preserve">External walls</t>
        </is>
      </c>
      <c r="I2241" s="245" t="inlineStr">
        <is>
          <t xml:space="preserve">m2</t>
        </is>
      </c>
      <c r="K2241" s="256" t="inlineStr">
        <is>
          <t xml:space="preserve">'4TH FLR '!C223</t>
        </is>
      </c>
    </row>
    <row r="2242">
      <c r="C2242" s="246" t="inlineStr">
        <is>
          <t xml:space="preserve">External perimeter x storey ht</t>
        </is>
      </c>
      <c r="E2242" s="247">
        <v>224.2</v>
      </c>
      <c r="F2242" s="247">
        <v>3.3</v>
      </c>
      <c r="H2242" s="249">
        <f>PRODUCT(D2242:G2242)</f>
        <v>739.8599999999999</v>
      </c>
      <c r="J2242" s="253" t="inlineStr">
        <is>
          <t xml:space="preserve">224.2*3.3</t>
        </is>
      </c>
    </row>
    <row r="2243">
      <c r="C2243" s="246" t="inlineStr">
        <is>
          <t xml:space="preserve">Ddt window W2 (6 nr, 1.8x1.3)</t>
        </is>
      </c>
      <c r="D2243" s="248">
        <v>6</v>
      </c>
      <c r="E2243" s="247">
        <v>1.8</v>
      </c>
      <c r="F2243" s="247">
        <v>1.3</v>
      </c>
      <c r="H2243" s="249">
        <f>-PRODUCT(D2243:G2243)</f>
        <v>-14.040000000000001</v>
      </c>
      <c r="J2243" s="253" t="inlineStr">
        <is>
          <t xml:space="preserve">-6*1.8*1.3</t>
        </is>
      </c>
    </row>
    <row r="2244">
      <c r="C2244" s="246" t="inlineStr">
        <is>
          <t xml:space="preserve">Ddt window W4 (10 nr, 0.9x1.3)</t>
        </is>
      </c>
      <c r="D2244" s="248">
        <v>10</v>
      </c>
      <c r="E2244" s="247">
        <v>0.9</v>
      </c>
      <c r="F2244" s="247">
        <v>1.3</v>
      </c>
      <c r="H2244" s="249">
        <f>-PRODUCT(D2244:G2244)</f>
        <v>-11.700000000000001</v>
      </c>
      <c r="J2244" s="253" t="inlineStr">
        <is>
          <t xml:space="preserve">-10*0.9*1.3</t>
        </is>
      </c>
    </row>
    <row r="2245">
      <c r="C2245" s="246" t="inlineStr">
        <is>
          <t xml:space="preserve">Ddt window W7 (2 nr, 1.8x1.6)</t>
        </is>
      </c>
      <c r="D2245" s="248">
        <v>2</v>
      </c>
      <c r="E2245" s="247">
        <v>1.8</v>
      </c>
      <c r="F2245" s="247">
        <v>1.6</v>
      </c>
      <c r="H2245" s="249">
        <f>-PRODUCT(D2245:G2245)</f>
        <v>-5.760000000000001</v>
      </c>
      <c r="J2245" s="253" t="inlineStr">
        <is>
          <t xml:space="preserve">-2*1.8*1.6</t>
        </is>
      </c>
    </row>
    <row r="2246">
      <c r="C2246" s="246" t="inlineStr">
        <is>
          <t xml:space="preserve">Ddt window W8 (3 nr, 1.2x1.9)</t>
        </is>
      </c>
      <c r="D2246" s="248">
        <v>3</v>
      </c>
      <c r="E2246" s="247">
        <v>1.2</v>
      </c>
      <c r="F2246" s="247">
        <v>1.9</v>
      </c>
      <c r="H2246" s="249">
        <f>-PRODUCT(D2246:G2246)</f>
        <v>-6.839999999999999</v>
      </c>
      <c r="J2246" s="253" t="inlineStr">
        <is>
          <t xml:space="preserve">-3*1.2*1.9</t>
        </is>
      </c>
    </row>
    <row r="2247">
      <c r="C2247" s="246" t="inlineStr">
        <is>
          <t xml:space="preserve">Ddt window W9 (8 nr, 1.2x1.15)</t>
        </is>
      </c>
      <c r="D2247" s="248">
        <v>8</v>
      </c>
      <c r="E2247" s="247">
        <v>1.2</v>
      </c>
      <c r="F2247" s="247">
        <v>1.15</v>
      </c>
      <c r="H2247" s="249">
        <f>-PRODUCT(D2247:G2247)</f>
        <v>-11.04</v>
      </c>
      <c r="J2247" s="253" t="inlineStr">
        <is>
          <t xml:space="preserve">-8*1.2*1.15</t>
        </is>
      </c>
    </row>
    <row r="2248">
      <c r="C2248" s="246" t="inlineStr">
        <is>
          <t xml:space="preserve">Ddt window W10 (1 nr, 1.2x1.2)</t>
        </is>
      </c>
      <c r="D2248" s="248">
        <v>1</v>
      </c>
      <c r="E2248" s="247">
        <v>1.2</v>
      </c>
      <c r="F2248" s="247">
        <v>1.2</v>
      </c>
      <c r="H2248" s="249">
        <f>-PRODUCT(D2248:G2248)</f>
        <v>-1.44</v>
      </c>
      <c r="J2248" s="253" t="inlineStr">
        <is>
          <t xml:space="preserve">-1*1.2*1.2</t>
        </is>
      </c>
    </row>
    <row r="2249">
      <c r="C2249" s="246" t="inlineStr">
        <is>
          <t xml:space="preserve">Ddt window W11 (7 nr, 1.5x1.3)</t>
        </is>
      </c>
      <c r="D2249" s="248">
        <v>7</v>
      </c>
      <c r="E2249" s="247">
        <v>1.5</v>
      </c>
      <c r="F2249" s="247">
        <v>1.3</v>
      </c>
      <c r="H2249" s="249">
        <f>-PRODUCT(D2249:G2249)</f>
        <v>-13.65</v>
      </c>
      <c r="J2249" s="253" t="inlineStr">
        <is>
          <t xml:space="preserve">-7*1.5*1.3</t>
        </is>
      </c>
    </row>
    <row r="2250">
      <c r="C2250" s="246" t="inlineStr">
        <is>
          <t xml:space="preserve">Ddt window W12 (4 nr, 1.5x1.15)</t>
        </is>
      </c>
      <c r="D2250" s="248">
        <v>4</v>
      </c>
      <c r="E2250" s="247">
        <v>1.5</v>
      </c>
      <c r="F2250" s="247">
        <v>1.15</v>
      </c>
      <c r="H2250" s="249">
        <f>-PRODUCT(D2250:G2250)</f>
        <v>-6.8999999999999995</v>
      </c>
      <c r="J2250" s="253" t="inlineStr">
        <is>
          <t xml:space="preserve">-4*1.5*1.15</t>
        </is>
      </c>
    </row>
    <row r="2251">
      <c r="C2251" s="246" t="inlineStr">
        <is>
          <t xml:space="preserve">Ddt window W13 (1 nr, 2.4x1.3)</t>
        </is>
      </c>
      <c r="D2251" s="248">
        <v>1</v>
      </c>
      <c r="E2251" s="247">
        <v>2.4</v>
      </c>
      <c r="F2251" s="247">
        <v>1.3</v>
      </c>
      <c r="H2251" s="249">
        <f>-PRODUCT(D2251:G2251)</f>
        <v>-3.12</v>
      </c>
      <c r="J2251" s="253" t="inlineStr">
        <is>
          <t xml:space="preserve">-1*2.4*1.3</t>
        </is>
      </c>
    </row>
    <row r="2252">
      <c r="C2252" s="246" t="inlineStr">
        <is>
          <t xml:space="preserve">Ddt window W15 (1 nr, 3x1.6)</t>
        </is>
      </c>
      <c r="D2252" s="248">
        <v>1</v>
      </c>
      <c r="E2252" s="247">
        <v>3</v>
      </c>
      <c r="F2252" s="247">
        <v>1.6</v>
      </c>
      <c r="H2252" s="249">
        <f>-PRODUCT(D2252:G2252)</f>
        <v>-4.800000000000001</v>
      </c>
      <c r="J2252" s="253" t="inlineStr">
        <is>
          <t xml:space="preserve">-1*3*1.6</t>
        </is>
      </c>
    </row>
    <row r="2253">
      <c r="C2253" s="246" t="inlineStr">
        <is>
          <t xml:space="preserve">Ddt window W17 (3 nr, 1.8x1.9)</t>
        </is>
      </c>
      <c r="D2253" s="248">
        <v>3</v>
      </c>
      <c r="E2253" s="247">
        <v>1.8</v>
      </c>
      <c r="F2253" s="247">
        <v>1.9</v>
      </c>
      <c r="H2253" s="249">
        <f>-PRODUCT(D2253:G2253)</f>
        <v>-10.26</v>
      </c>
      <c r="J2253" s="253" t="inlineStr">
        <is>
          <t xml:space="preserve">-3*1.8*1.9</t>
        </is>
      </c>
    </row>
    <row r="2254">
      <c r="C2254" s="246" t="inlineStr">
        <is>
          <t xml:space="preserve">Ddt window W18 (1 nr, 0.75x1.3)</t>
        </is>
      </c>
      <c r="D2254" s="248">
        <v>1</v>
      </c>
      <c r="E2254" s="247">
        <v>0.75</v>
      </c>
      <c r="F2254" s="247">
        <v>1.3</v>
      </c>
      <c r="H2254" s="249">
        <f>-PRODUCT(D2254:G2254)</f>
        <v>-0.9750000000000001</v>
      </c>
      <c r="J2254" s="253" t="inlineStr">
        <is>
          <t xml:space="preserve">-1*0.75*1.3</t>
        </is>
      </c>
    </row>
    <row r="2255">
      <c r="C2255" s="246" t="inlineStr">
        <is>
          <t xml:space="preserve">Ddt window W20 (1 nr, 1.45x1.9)</t>
        </is>
      </c>
      <c r="D2255" s="248">
        <v>1</v>
      </c>
      <c r="E2255" s="247">
        <v>1.45</v>
      </c>
      <c r="F2255" s="247">
        <v>1.9</v>
      </c>
      <c r="H2255" s="249">
        <f>-PRODUCT(D2255:G2255)</f>
        <v>-2.755</v>
      </c>
      <c r="J2255" s="253" t="inlineStr">
        <is>
          <t xml:space="preserve">-1*1.45*1.9</t>
        </is>
      </c>
    </row>
    <row r="2256">
      <c r="C2256" s="246" t="inlineStr">
        <is>
          <t xml:space="preserve">Ddt window HW1 (13 nr, 0.9x0.6)</t>
        </is>
      </c>
      <c r="D2256" s="248">
        <v>13</v>
      </c>
      <c r="E2256" s="247">
        <v>0.9</v>
      </c>
      <c r="F2256" s="247">
        <v>0.6</v>
      </c>
      <c r="H2256" s="249">
        <f>-PRODUCT(D2256:G2256)</f>
        <v>-7.0200000000000005</v>
      </c>
      <c r="J2256" s="253" t="inlineStr">
        <is>
          <t xml:space="preserve">-13*0.9*0.6</t>
        </is>
      </c>
    </row>
    <row r="2257">
      <c r="C2257" s="246" t="inlineStr">
        <is>
          <t xml:space="preserve">Ddt window HW2 (5 nr, 0.75x0.6)</t>
        </is>
      </c>
      <c r="D2257" s="248">
        <v>5</v>
      </c>
      <c r="E2257" s="247">
        <v>0.75</v>
      </c>
      <c r="F2257" s="247">
        <v>0.6</v>
      </c>
      <c r="H2257" s="249">
        <f>-PRODUCT(D2257:G2257)</f>
        <v>-2.25</v>
      </c>
      <c r="J2257" s="253" t="inlineStr">
        <is>
          <t xml:space="preserve">-5*0.75*0.6</t>
        </is>
      </c>
    </row>
    <row r="2258">
      <c r="C2258" s="246" t="inlineStr">
        <is>
          <t xml:space="preserve">Ddt window HW3 (2 nr, 0.6x0.6)</t>
        </is>
      </c>
      <c r="D2258" s="248">
        <v>2</v>
      </c>
      <c r="E2258" s="247">
        <v>0.6</v>
      </c>
      <c r="F2258" s="247">
        <v>0.6</v>
      </c>
      <c r="H2258" s="249">
        <f>-PRODUCT(D2258:G2258)</f>
        <v>-0.72</v>
      </c>
      <c r="J2258" s="253" t="inlineStr">
        <is>
          <t xml:space="preserve">-2*0.6*0.6</t>
        </is>
      </c>
    </row>
    <row r="2259">
      <c r="C2259" s="246" t="inlineStr">
        <is>
          <t xml:space="preserve">Ddt window HW4 (2 nr, 1.2x0.6)</t>
        </is>
      </c>
      <c r="D2259" s="248">
        <v>2</v>
      </c>
      <c r="E2259" s="247">
        <v>1.2</v>
      </c>
      <c r="F2259" s="247">
        <v>0.6</v>
      </c>
      <c r="H2259" s="249">
        <f>-PRODUCT(D2259:G2259)</f>
        <v>-1.44</v>
      </c>
      <c r="J2259" s="253" t="inlineStr">
        <is>
          <t xml:space="preserve">-2*1.2*0.6</t>
        </is>
      </c>
    </row>
    <row r="2260">
      <c r="C2260" s="250" t="inlineStr">
        <is>
          <t xml:space="preserve">Total carried to BOQ  4TH FLR item C</t>
        </is>
      </c>
      <c r="D2260" s="250" t="inlineStr">
        <is>
          <t xml:space="preserve"/>
        </is>
      </c>
      <c r="E2260" s="250" t="inlineStr">
        <is>
          <t xml:space="preserve"/>
        </is>
      </c>
      <c r="F2260" s="250" t="inlineStr">
        <is>
          <t xml:space="preserve"/>
        </is>
      </c>
      <c r="G2260" s="250" t="inlineStr">
        <is>
          <t xml:space="preserve"/>
        </is>
      </c>
      <c r="H2260" s="251">
        <f>SUM(H2242:H2259)</f>
        <v>635.1499999999999</v>
      </c>
      <c r="I2260" s="252" t="inlineStr">
        <is>
          <t xml:space="preserve">m2</t>
        </is>
      </c>
    </row>
    <row r="2261">
      <c r="A2261" s="243" t="inlineStr">
        <is>
          <t xml:space="preserve">4TH FLR</t>
        </is>
      </c>
      <c r="B2261" s="243" t="inlineStr">
        <is>
          <t xml:space="preserve">D</t>
        </is>
      </c>
      <c r="C2261" s="244" t="inlineStr">
        <is>
          <t xml:space="preserve">12mm cement and sand (1:4) screeded backing to receive wall tiles</t>
        </is>
      </c>
      <c r="I2261" s="245" t="inlineStr">
        <is>
          <t xml:space="preserve">m2</t>
        </is>
      </c>
      <c r="K2261" s="256" t="inlineStr">
        <is>
          <t xml:space="preserve">'4TH FLR '!C225</t>
        </is>
      </c>
    </row>
    <row r="2262">
      <c r="C2262" s="246" t="inlineStr">
        <is>
          <t xml:space="preserve">washroom walls: (wet area / 3.8 m2 per WC) x 8.0 m girth x ht</t>
        </is>
      </c>
      <c r="E2262" s="247">
        <f>62.1/3.8</f>
        <v>16.342105263157897</v>
      </c>
      <c r="F2262" s="247">
        <v>8.0</v>
      </c>
      <c r="G2262" s="247">
        <v>2.4</v>
      </c>
      <c r="H2262" s="249">
        <f>PRODUCT(D2262:G2262)</f>
        <v>313.7684210526316</v>
      </c>
      <c r="J2262" s="253" t="inlineStr">
        <is>
          <t xml:space="preserve">62.1/3.8*8.0*2.4</t>
        </is>
      </c>
    </row>
    <row r="2263">
      <c r="C2263" s="246" t="inlineStr">
        <is>
          <t xml:space="preserve">Ddt washroom doors: nr x 0.75 x 2.2</t>
        </is>
      </c>
      <c r="E2263" s="247">
        <f>62.1/3.8</f>
        <v>16.342105263157897</v>
      </c>
      <c r="F2263" s="247">
        <v>0.75</v>
      </c>
      <c r="G2263" s="247">
        <v>2.2</v>
      </c>
      <c r="H2263" s="249">
        <f>-PRODUCT(D2263:G2263)</f>
        <v>-26.96447368421053</v>
      </c>
      <c r="J2263" s="253" t="inlineStr">
        <is>
          <t xml:space="preserve">-62.1/3.8*0.75*2.2</t>
        </is>
      </c>
    </row>
    <row r="2264">
      <c r="C2264" s="250" t="inlineStr">
        <is>
          <t xml:space="preserve">Total carried to BOQ  4TH FLR item D</t>
        </is>
      </c>
      <c r="D2264" s="250" t="inlineStr">
        <is>
          <t xml:space="preserve"/>
        </is>
      </c>
      <c r="E2264" s="250" t="inlineStr">
        <is>
          <t xml:space="preserve"/>
        </is>
      </c>
      <c r="F2264" s="250" t="inlineStr">
        <is>
          <t xml:space="preserve"/>
        </is>
      </c>
      <c r="G2264" s="250" t="inlineStr">
        <is>
          <t xml:space="preserve"/>
        </is>
      </c>
      <c r="H2264" s="251">
        <f>SUM(H2262:H2263)</f>
        <v>286.80394736842106</v>
      </c>
      <c r="I2264" s="252" t="inlineStr">
        <is>
          <t xml:space="preserve">m2</t>
        </is>
      </c>
    </row>
    <row r="2265" ht="32.2" customHeight="1">
      <c r="A2265" s="243" t="inlineStr">
        <is>
          <t xml:space="preserve">4TH FLR</t>
        </is>
      </c>
      <c r="B2265" s="243" t="inlineStr">
        <is>
          <t xml:space="preserve">E</t>
        </is>
      </c>
      <c r="C2265" s="244" t="inlineStr">
        <is>
          <t xml:space="preserve">Ceramic/porcelain wall tiles to washrooms to 2.4m high, adhesive &amp; grout (type TBC)</t>
        </is>
      </c>
      <c r="I2265" s="245" t="inlineStr">
        <is>
          <t xml:space="preserve">m2</t>
        </is>
      </c>
      <c r="K2265" s="256" t="inlineStr">
        <is>
          <t xml:space="preserve">'4TH FLR '!C227</t>
        </is>
      </c>
    </row>
    <row r="2266">
      <c r="C2266" s="246" t="inlineStr">
        <is>
          <t xml:space="preserve">washroom walls: (wet area / 3.8 m2 per WC) x 8.0 m girth x ht</t>
        </is>
      </c>
      <c r="E2266" s="247">
        <f>62.1/3.8</f>
        <v>16.342105263157897</v>
      </c>
      <c r="F2266" s="247">
        <v>8.0</v>
      </c>
      <c r="G2266" s="247">
        <v>2.4</v>
      </c>
      <c r="H2266" s="249">
        <f>PRODUCT(D2266:G2266)</f>
        <v>313.7684210526316</v>
      </c>
      <c r="J2266" s="253" t="inlineStr">
        <is>
          <t xml:space="preserve">62.1/3.8*8.0*2.4</t>
        </is>
      </c>
    </row>
    <row r="2267">
      <c r="C2267" s="246" t="inlineStr">
        <is>
          <t xml:space="preserve">Ddt washroom doors: nr x 0.75 x 2.2</t>
        </is>
      </c>
      <c r="E2267" s="247">
        <f>62.1/3.8</f>
        <v>16.342105263157897</v>
      </c>
      <c r="F2267" s="247">
        <v>0.75</v>
      </c>
      <c r="G2267" s="247">
        <v>2.2</v>
      </c>
      <c r="H2267" s="249">
        <f>-PRODUCT(D2267:G2267)</f>
        <v>-26.96447368421053</v>
      </c>
      <c r="J2267" s="253" t="inlineStr">
        <is>
          <t xml:space="preserve">-62.1/3.8*0.75*2.2</t>
        </is>
      </c>
    </row>
    <row r="2268">
      <c r="C2268" s="250" t="inlineStr">
        <is>
          <t xml:space="preserve">Total carried to BOQ  4TH FLR item E</t>
        </is>
      </c>
      <c r="D2268" s="250" t="inlineStr">
        <is>
          <t xml:space="preserve"/>
        </is>
      </c>
      <c r="E2268" s="250" t="inlineStr">
        <is>
          <t xml:space="preserve"/>
        </is>
      </c>
      <c r="F2268" s="250" t="inlineStr">
        <is>
          <t xml:space="preserve"/>
        </is>
      </c>
      <c r="G2268" s="250" t="inlineStr">
        <is>
          <t xml:space="preserve"/>
        </is>
      </c>
      <c r="H2268" s="251">
        <f>SUM(H2266:H2267)</f>
        <v>286.80394736842106</v>
      </c>
      <c r="I2268" s="252" t="inlineStr">
        <is>
          <t xml:space="preserve">m2</t>
        </is>
      </c>
    </row>
    <row r="2269">
      <c r="C2269" s="242" t="inlineStr">
        <is>
          <t xml:space="preserve">ELEMENT NO. 7: PAINTING AND DECORATING</t>
        </is>
      </c>
    </row>
    <row r="2270">
      <c r="C2270" s="242" t="inlineStr">
        <is>
          <t xml:space="preserve">M60 PAINTING - Prepare and apply two undercoats and finishing coat of emulsion paint on:</t>
        </is>
      </c>
    </row>
    <row r="2271">
      <c r="A2271" s="243" t="inlineStr">
        <is>
          <t xml:space="preserve">4TH FLR</t>
        </is>
      </c>
      <c r="B2271" s="243" t="inlineStr">
        <is>
          <t xml:space="preserve">A</t>
        </is>
      </c>
      <c r="C2271" s="244" t="inlineStr">
        <is>
          <t xml:space="preserve">Interior walls</t>
        </is>
      </c>
      <c r="I2271" s="245" t="inlineStr">
        <is>
          <t xml:space="preserve">m2</t>
        </is>
      </c>
      <c r="K2271" s="256" t="inlineStr">
        <is>
          <t xml:space="preserve">'4TH FLR '!C235</t>
        </is>
      </c>
    </row>
    <row r="2272">
      <c r="C2272" s="246" t="inlineStr">
        <is>
          <t xml:space="preserve">block wall faces: 2 x (150 + 200 block runs) x ht</t>
        </is>
      </c>
      <c r="D2272" s="248">
        <v>2</v>
      </c>
      <c r="E2272" s="247">
        <f>443.9+55.3</f>
        <v>499.2</v>
      </c>
      <c r="F2272" s="247">
        <v>3.05</v>
      </c>
      <c r="H2272" s="249">
        <f>PRODUCT(D2272:G2272)</f>
        <v>3045.12</v>
      </c>
      <c r="J2272" s="253" t="inlineStr">
        <is>
          <t xml:space="preserve">2*(443.9+55.3)*3.05</t>
        </is>
      </c>
    </row>
    <row r="2273">
      <c r="C2273" s="246" t="inlineStr">
        <is>
          <t xml:space="preserve">RC wall faces: 2 x RC wall run x ht</t>
        </is>
      </c>
      <c r="D2273" s="248">
        <v>2</v>
      </c>
      <c r="E2273" s="247">
        <v>46.5</v>
      </c>
      <c r="F2273" s="247">
        <v>3.05</v>
      </c>
      <c r="H2273" s="249">
        <f>PRODUCT(D2273:G2273)</f>
        <v>283.65</v>
      </c>
      <c r="J2273" s="253" t="inlineStr">
        <is>
          <t xml:space="preserve">2*46.5*3.05</t>
        </is>
      </c>
    </row>
    <row r="2274">
      <c r="C2274" s="246" t="inlineStr">
        <is>
          <t xml:space="preserve">Ddt lift/stair shaft inner faces 16.8 m x ht</t>
        </is>
      </c>
      <c r="E2274" s="247">
        <v>16.8</v>
      </c>
      <c r="F2274" s="247">
        <v>3.05</v>
      </c>
      <c r="H2274" s="249">
        <f>-PRODUCT(D2274:G2274)</f>
        <v>-51.24</v>
      </c>
      <c r="J2274" s="253" t="inlineStr">
        <is>
          <t xml:space="preserve">-16.8*3.05</t>
        </is>
      </c>
    </row>
    <row r="2275">
      <c r="C2275" s="246" t="inlineStr">
        <is>
          <t xml:space="preserve">Ddt external face of perimeter wall (rendered externally)</t>
        </is>
      </c>
      <c r="E2275" s="247">
        <v>224.2</v>
      </c>
      <c r="F2275" s="247">
        <v>3.05</v>
      </c>
      <c r="H2275" s="249">
        <f>-PRODUCT(D2275:G2275)</f>
        <v>-683.81</v>
      </c>
      <c r="J2275" s="253" t="inlineStr">
        <is>
          <t xml:space="preserve">-224.2*3.05</t>
        </is>
      </c>
    </row>
    <row r="2276">
      <c r="C2276" s="246" t="inlineStr">
        <is>
          <t xml:space="preserve">Ddt washroom walls (measured separately)</t>
        </is>
      </c>
      <c r="E2276" s="247">
        <f>62.1/3.8</f>
        <v>16.342105263157897</v>
      </c>
      <c r="F2276" s="247">
        <v>8.0</v>
      </c>
      <c r="G2276" s="247">
        <v>3.05</v>
      </c>
      <c r="H2276" s="249">
        <f>-PRODUCT(D2276:G2276)</f>
        <v>-398.74736842105267</v>
      </c>
      <c r="J2276" s="253" t="inlineStr">
        <is>
          <t xml:space="preserve">-62.1/3.8*8.0*3.05</t>
        </is>
      </c>
    </row>
    <row r="2277">
      <c r="C2277" s="246" t="inlineStr">
        <is>
          <t xml:space="preserve">Ddt opening D2 (8 nr, 1x2.2) - both faces</t>
        </is>
      </c>
      <c r="D2277" s="248">
        <f>2*8</f>
        <v>16</v>
      </c>
      <c r="E2277" s="247">
        <v>1</v>
      </c>
      <c r="F2277" s="247">
        <v>2.2</v>
      </c>
      <c r="H2277" s="249">
        <f>-PRODUCT(D2277:G2277)</f>
        <v>-35.2</v>
      </c>
      <c r="J2277" s="253" t="inlineStr">
        <is>
          <t xml:space="preserve">-2*8*1*2.2</t>
        </is>
      </c>
    </row>
    <row r="2278">
      <c r="C2278" s="246" t="inlineStr">
        <is>
          <t xml:space="preserve">Ddt opening D3 (15 nr, 0.9x2.2) - both faces</t>
        </is>
      </c>
      <c r="D2278" s="248">
        <f>2*15</f>
        <v>30</v>
      </c>
      <c r="E2278" s="247">
        <v>0.9</v>
      </c>
      <c r="F2278" s="247">
        <v>2.2</v>
      </c>
      <c r="H2278" s="249">
        <f>-PRODUCT(D2278:G2278)</f>
        <v>-59.400000000000006</v>
      </c>
      <c r="J2278" s="253" t="inlineStr">
        <is>
          <t xml:space="preserve">-2*15*0.9*2.2</t>
        </is>
      </c>
    </row>
    <row r="2279">
      <c r="C2279" s="246" t="inlineStr">
        <is>
          <t xml:space="preserve">Ddt opening D6 (22 nr, 0.75x2.2) - both faces</t>
        </is>
      </c>
      <c r="D2279" s="248">
        <f>2*22</f>
        <v>44</v>
      </c>
      <c r="E2279" s="247">
        <v>0.75</v>
      </c>
      <c r="F2279" s="247">
        <v>2.2</v>
      </c>
      <c r="H2279" s="249">
        <f>-PRODUCT(D2279:G2279)</f>
        <v>-72.60000000000001</v>
      </c>
      <c r="J2279" s="253" t="inlineStr">
        <is>
          <t xml:space="preserve">-2*22*0.75*2.2</t>
        </is>
      </c>
    </row>
    <row r="2280">
      <c r="C2280" s="246" t="inlineStr">
        <is>
          <t xml:space="preserve">Ddt opening D7 (1 nr, 0.7x2.2) - both faces</t>
        </is>
      </c>
      <c r="D2280" s="248">
        <f>2*1</f>
        <v>2</v>
      </c>
      <c r="E2280" s="247">
        <v>0.7</v>
      </c>
      <c r="F2280" s="247">
        <v>2.2</v>
      </c>
      <c r="H2280" s="249">
        <f>-PRODUCT(D2280:G2280)</f>
        <v>-3.08</v>
      </c>
      <c r="J2280" s="253" t="inlineStr">
        <is>
          <t xml:space="preserve">-2*1*0.7*2.2</t>
        </is>
      </c>
    </row>
    <row r="2281">
      <c r="C2281" s="246" t="inlineStr">
        <is>
          <t xml:space="preserve">Ddt opening D8 (3 nr, 1.2x2.2) - both faces</t>
        </is>
      </c>
      <c r="D2281" s="248">
        <f>2*3</f>
        <v>6</v>
      </c>
      <c r="E2281" s="247">
        <v>1.2</v>
      </c>
      <c r="F2281" s="247">
        <v>2.2</v>
      </c>
      <c r="H2281" s="249">
        <f>-PRODUCT(D2281:G2281)</f>
        <v>-15.84</v>
      </c>
      <c r="J2281" s="253" t="inlineStr">
        <is>
          <t xml:space="preserve">-2*3*1.2*2.2</t>
        </is>
      </c>
    </row>
    <row r="2282">
      <c r="C2282" s="246" t="inlineStr">
        <is>
          <t xml:space="preserve">Ddt opening ED1 (3 nr, 1x2.2) - both faces</t>
        </is>
      </c>
      <c r="D2282" s="248">
        <f>2*3</f>
        <v>6</v>
      </c>
      <c r="E2282" s="247">
        <v>1</v>
      </c>
      <c r="F2282" s="247">
        <v>2.2</v>
      </c>
      <c r="H2282" s="249">
        <f>-PRODUCT(D2282:G2282)</f>
        <v>-13.200000000000001</v>
      </c>
      <c r="J2282" s="253" t="inlineStr">
        <is>
          <t xml:space="preserve">-2*3*1*2.2</t>
        </is>
      </c>
    </row>
    <row r="2283">
      <c r="C2283" s="246" t="inlineStr">
        <is>
          <t xml:space="preserve">Ddt opening ED2 (3 nr, 1x2.2) - both faces</t>
        </is>
      </c>
      <c r="D2283" s="248">
        <f>2*3</f>
        <v>6</v>
      </c>
      <c r="E2283" s="247">
        <v>1</v>
      </c>
      <c r="F2283" s="247">
        <v>2.2</v>
      </c>
      <c r="H2283" s="249">
        <f>-PRODUCT(D2283:G2283)</f>
        <v>-13.200000000000001</v>
      </c>
      <c r="J2283" s="253" t="inlineStr">
        <is>
          <t xml:space="preserve">-2*3*1*2.2</t>
        </is>
      </c>
    </row>
    <row r="2284">
      <c r="C2284" s="246" t="inlineStr">
        <is>
          <t xml:space="preserve">Ddt opening D9 (2 nr, 0.9x2.2) - both faces</t>
        </is>
      </c>
      <c r="D2284" s="248">
        <f>2*2</f>
        <v>4</v>
      </c>
      <c r="E2284" s="247">
        <v>0.9</v>
      </c>
      <c r="F2284" s="247">
        <v>2.2</v>
      </c>
      <c r="H2284" s="249">
        <f>-PRODUCT(D2284:G2284)</f>
        <v>-7.920000000000001</v>
      </c>
      <c r="J2284" s="253" t="inlineStr">
        <is>
          <t xml:space="preserve">-2*2*0.9*2.2</t>
        </is>
      </c>
    </row>
    <row r="2285">
      <c r="C2285" s="246" t="inlineStr">
        <is>
          <t xml:space="preserve">Ddt opening FD1 (1 nr, 1.5x2.2) - both faces</t>
        </is>
      </c>
      <c r="D2285" s="248">
        <f>2*1</f>
        <v>2</v>
      </c>
      <c r="E2285" s="247">
        <v>1.5</v>
      </c>
      <c r="F2285" s="247">
        <v>2.2</v>
      </c>
      <c r="H2285" s="249">
        <f>-PRODUCT(D2285:G2285)</f>
        <v>-6.6000000000000005</v>
      </c>
      <c r="J2285" s="253" t="inlineStr">
        <is>
          <t xml:space="preserve">-2*1*1.5*2.2</t>
        </is>
      </c>
    </row>
    <row r="2286">
      <c r="C2286" s="246" t="inlineStr">
        <is>
          <t xml:space="preserve">Ddt opening M1 (3 nr, 0.9x2.2) - both faces</t>
        </is>
      </c>
      <c r="D2286" s="248">
        <f>2*3</f>
        <v>6</v>
      </c>
      <c r="E2286" s="247">
        <v>0.9</v>
      </c>
      <c r="F2286" s="247">
        <v>2.2</v>
      </c>
      <c r="H2286" s="249">
        <f>-PRODUCT(D2286:G2286)</f>
        <v>-11.880000000000003</v>
      </c>
      <c r="J2286" s="253" t="inlineStr">
        <is>
          <t xml:space="preserve">-2*3*0.9*2.2</t>
        </is>
      </c>
    </row>
    <row r="2287">
      <c r="C2287" s="246" t="inlineStr">
        <is>
          <t xml:space="preserve">Ddt opening M2 (5 nr, 0.75x2.2) - both faces</t>
        </is>
      </c>
      <c r="D2287" s="248">
        <f>2*5</f>
        <v>10</v>
      </c>
      <c r="E2287" s="247">
        <v>0.75</v>
      </c>
      <c r="F2287" s="247">
        <v>2.2</v>
      </c>
      <c r="H2287" s="249">
        <f>-PRODUCT(D2287:G2287)</f>
        <v>-16.5</v>
      </c>
      <c r="J2287" s="253" t="inlineStr">
        <is>
          <t xml:space="preserve">-2*5*0.75*2.2</t>
        </is>
      </c>
    </row>
    <row r="2288">
      <c r="C2288" s="246" t="inlineStr">
        <is>
          <t xml:space="preserve">Ddt opening M3 (1 nr, 0.45x2.2) - both faces</t>
        </is>
      </c>
      <c r="D2288" s="248">
        <f>2*1</f>
        <v>2</v>
      </c>
      <c r="E2288" s="247">
        <v>0.45</v>
      </c>
      <c r="F2288" s="247">
        <v>2.2</v>
      </c>
      <c r="H2288" s="249">
        <f>-PRODUCT(D2288:G2288)</f>
        <v>-1.9800000000000002</v>
      </c>
      <c r="J2288" s="253" t="inlineStr">
        <is>
          <t xml:space="preserve">-2*1*0.45*2.2</t>
        </is>
      </c>
    </row>
    <row r="2289">
      <c r="C2289" s="246" t="inlineStr">
        <is>
          <t xml:space="preserve">Ddt opening M5 (3 nr, 0.6x2.2) - both faces</t>
        </is>
      </c>
      <c r="D2289" s="248">
        <f>2*3</f>
        <v>6</v>
      </c>
      <c r="E2289" s="247">
        <v>0.6</v>
      </c>
      <c r="F2289" s="247">
        <v>2.2</v>
      </c>
      <c r="H2289" s="249">
        <f>-PRODUCT(D2289:G2289)</f>
        <v>-7.92</v>
      </c>
      <c r="J2289" s="253" t="inlineStr">
        <is>
          <t xml:space="preserve">-2*3*0.6*2.2</t>
        </is>
      </c>
    </row>
    <row r="2290">
      <c r="C2290" s="246" t="inlineStr">
        <is>
          <t xml:space="preserve">Ddt opening SD1 (1 nr, 3x2.2) - both faces</t>
        </is>
      </c>
      <c r="D2290" s="248">
        <f>2*1</f>
        <v>2</v>
      </c>
      <c r="E2290" s="247">
        <v>3</v>
      </c>
      <c r="F2290" s="247">
        <v>2.2</v>
      </c>
      <c r="H2290" s="249">
        <f>-PRODUCT(D2290:G2290)</f>
        <v>-13.200000000000001</v>
      </c>
      <c r="J2290" s="253" t="inlineStr">
        <is>
          <t xml:space="preserve">-2*1*3*2.2</t>
        </is>
      </c>
    </row>
    <row r="2291">
      <c r="C2291" s="246" t="inlineStr">
        <is>
          <t xml:space="preserve">Ddt opening SD2 (4 nr, 1.6x2.2) - both faces</t>
        </is>
      </c>
      <c r="D2291" s="248">
        <f>2*4</f>
        <v>8</v>
      </c>
      <c r="E2291" s="247">
        <v>1.6</v>
      </c>
      <c r="F2291" s="247">
        <v>2.2</v>
      </c>
      <c r="H2291" s="249">
        <f>-PRODUCT(D2291:G2291)</f>
        <v>-28.160000000000004</v>
      </c>
      <c r="J2291" s="253" t="inlineStr">
        <is>
          <t xml:space="preserve">-2*4*1.6*2.2</t>
        </is>
      </c>
    </row>
    <row r="2292">
      <c r="C2292" s="246" t="inlineStr">
        <is>
          <t xml:space="preserve">Ddt opening SD3 (2 nr, 1.3x2.2) - both faces</t>
        </is>
      </c>
      <c r="D2292" s="248">
        <f>2*2</f>
        <v>4</v>
      </c>
      <c r="E2292" s="247">
        <v>1.3</v>
      </c>
      <c r="F2292" s="247">
        <v>2.2</v>
      </c>
      <c r="H2292" s="249">
        <f>-PRODUCT(D2292:G2292)</f>
        <v>-11.440000000000001</v>
      </c>
      <c r="J2292" s="253" t="inlineStr">
        <is>
          <t xml:space="preserve">-2*2*1.3*2.2</t>
        </is>
      </c>
    </row>
    <row r="2293">
      <c r="C2293" s="246" t="inlineStr">
        <is>
          <t xml:space="preserve">Ddt opening SD4 (4 nr, 1.8x2.2) - both faces</t>
        </is>
      </c>
      <c r="D2293" s="248">
        <f>2*4</f>
        <v>8</v>
      </c>
      <c r="E2293" s="247">
        <v>1.8</v>
      </c>
      <c r="F2293" s="247">
        <v>2.2</v>
      </c>
      <c r="H2293" s="249">
        <f>-PRODUCT(D2293:G2293)</f>
        <v>-31.680000000000003</v>
      </c>
      <c r="J2293" s="253" t="inlineStr">
        <is>
          <t xml:space="preserve">-2*4*1.8*2.2</t>
        </is>
      </c>
    </row>
    <row r="2294">
      <c r="C2294" s="246" t="inlineStr">
        <is>
          <t xml:space="preserve">Ddt opening SD5 (1 nr, 1.2x2.2) - both faces</t>
        </is>
      </c>
      <c r="D2294" s="248">
        <f>2*1</f>
        <v>2</v>
      </c>
      <c r="E2294" s="247">
        <v>1.2</v>
      </c>
      <c r="F2294" s="247">
        <v>2.2</v>
      </c>
      <c r="H2294" s="249">
        <f>-PRODUCT(D2294:G2294)</f>
        <v>-5.28</v>
      </c>
      <c r="J2294" s="253" t="inlineStr">
        <is>
          <t xml:space="preserve">-2*1*1.2*2.2</t>
        </is>
      </c>
    </row>
    <row r="2295">
      <c r="C2295" s="246" t="inlineStr">
        <is>
          <t xml:space="preserve">Ddt opening W2 (6 nr, 1.8x1.3)</t>
        </is>
      </c>
      <c r="D2295" s="248">
        <v>6</v>
      </c>
      <c r="E2295" s="247">
        <v>1.8</v>
      </c>
      <c r="F2295" s="247">
        <v>1.3</v>
      </c>
      <c r="H2295" s="249">
        <f>-PRODUCT(D2295:G2295)</f>
        <v>-14.040000000000001</v>
      </c>
      <c r="J2295" s="253" t="inlineStr">
        <is>
          <t xml:space="preserve">-6*1.8*1.3</t>
        </is>
      </c>
    </row>
    <row r="2296">
      <c r="C2296" s="246" t="inlineStr">
        <is>
          <t xml:space="preserve">Ddt opening W4 (10 nr, 0.9x1.3)</t>
        </is>
      </c>
      <c r="D2296" s="248">
        <v>10</v>
      </c>
      <c r="E2296" s="247">
        <v>0.9</v>
      </c>
      <c r="F2296" s="247">
        <v>1.3</v>
      </c>
      <c r="H2296" s="249">
        <f>-PRODUCT(D2296:G2296)</f>
        <v>-11.700000000000001</v>
      </c>
      <c r="J2296" s="253" t="inlineStr">
        <is>
          <t xml:space="preserve">-10*0.9*1.3</t>
        </is>
      </c>
    </row>
    <row r="2297">
      <c r="C2297" s="246" t="inlineStr">
        <is>
          <t xml:space="preserve">Ddt opening W7 (2 nr, 1.8x1.6)</t>
        </is>
      </c>
      <c r="D2297" s="248">
        <v>2</v>
      </c>
      <c r="E2297" s="247">
        <v>1.8</v>
      </c>
      <c r="F2297" s="247">
        <v>1.6</v>
      </c>
      <c r="H2297" s="249">
        <f>-PRODUCT(D2297:G2297)</f>
        <v>-5.760000000000001</v>
      </c>
      <c r="J2297" s="253" t="inlineStr">
        <is>
          <t xml:space="preserve">-2*1.8*1.6</t>
        </is>
      </c>
    </row>
    <row r="2298">
      <c r="C2298" s="246" t="inlineStr">
        <is>
          <t xml:space="preserve">Ddt opening W8 (3 nr, 1.2x1.9)</t>
        </is>
      </c>
      <c r="D2298" s="248">
        <v>3</v>
      </c>
      <c r="E2298" s="247">
        <v>1.2</v>
      </c>
      <c r="F2298" s="247">
        <v>1.9</v>
      </c>
      <c r="H2298" s="249">
        <f>-PRODUCT(D2298:G2298)</f>
        <v>-6.839999999999999</v>
      </c>
      <c r="J2298" s="253" t="inlineStr">
        <is>
          <t xml:space="preserve">-3*1.2*1.9</t>
        </is>
      </c>
    </row>
    <row r="2299">
      <c r="C2299" s="246" t="inlineStr">
        <is>
          <t xml:space="preserve">Ddt opening W9 (8 nr, 1.2x1.15)</t>
        </is>
      </c>
      <c r="D2299" s="248">
        <v>8</v>
      </c>
      <c r="E2299" s="247">
        <v>1.2</v>
      </c>
      <c r="F2299" s="247">
        <v>1.15</v>
      </c>
      <c r="H2299" s="249">
        <f>-PRODUCT(D2299:G2299)</f>
        <v>-11.04</v>
      </c>
      <c r="J2299" s="253" t="inlineStr">
        <is>
          <t xml:space="preserve">-8*1.2*1.15</t>
        </is>
      </c>
    </row>
    <row r="2300">
      <c r="C2300" s="246" t="inlineStr">
        <is>
          <t xml:space="preserve">Ddt opening W10 (1 nr, 1.2x1.2)</t>
        </is>
      </c>
      <c r="D2300" s="248">
        <v>1</v>
      </c>
      <c r="E2300" s="247">
        <v>1.2</v>
      </c>
      <c r="F2300" s="247">
        <v>1.2</v>
      </c>
      <c r="H2300" s="249">
        <f>-PRODUCT(D2300:G2300)</f>
        <v>-1.44</v>
      </c>
      <c r="J2300" s="253" t="inlineStr">
        <is>
          <t xml:space="preserve">-1*1.2*1.2</t>
        </is>
      </c>
    </row>
    <row r="2301">
      <c r="C2301" s="246" t="inlineStr">
        <is>
          <t xml:space="preserve">Ddt opening W11 (7 nr, 1.5x1.3)</t>
        </is>
      </c>
      <c r="D2301" s="248">
        <v>7</v>
      </c>
      <c r="E2301" s="247">
        <v>1.5</v>
      </c>
      <c r="F2301" s="247">
        <v>1.3</v>
      </c>
      <c r="H2301" s="249">
        <f>-PRODUCT(D2301:G2301)</f>
        <v>-13.65</v>
      </c>
      <c r="J2301" s="253" t="inlineStr">
        <is>
          <t xml:space="preserve">-7*1.5*1.3</t>
        </is>
      </c>
    </row>
    <row r="2302">
      <c r="C2302" s="246" t="inlineStr">
        <is>
          <t xml:space="preserve">Ddt opening W12 (4 nr, 1.5x1.15)</t>
        </is>
      </c>
      <c r="D2302" s="248">
        <v>4</v>
      </c>
      <c r="E2302" s="247">
        <v>1.5</v>
      </c>
      <c r="F2302" s="247">
        <v>1.15</v>
      </c>
      <c r="H2302" s="249">
        <f>-PRODUCT(D2302:G2302)</f>
        <v>-6.8999999999999995</v>
      </c>
      <c r="J2302" s="253" t="inlineStr">
        <is>
          <t xml:space="preserve">-4*1.5*1.15</t>
        </is>
      </c>
    </row>
    <row r="2303">
      <c r="C2303" s="246" t="inlineStr">
        <is>
          <t xml:space="preserve">Ddt opening W13 (1 nr, 2.4x1.3)</t>
        </is>
      </c>
      <c r="D2303" s="248">
        <v>1</v>
      </c>
      <c r="E2303" s="247">
        <v>2.4</v>
      </c>
      <c r="F2303" s="247">
        <v>1.3</v>
      </c>
      <c r="H2303" s="249">
        <f>-PRODUCT(D2303:G2303)</f>
        <v>-3.12</v>
      </c>
      <c r="J2303" s="253" t="inlineStr">
        <is>
          <t xml:space="preserve">-1*2.4*1.3</t>
        </is>
      </c>
    </row>
    <row r="2304">
      <c r="C2304" s="246" t="inlineStr">
        <is>
          <t xml:space="preserve">Ddt opening W15 (1 nr, 3x1.6)</t>
        </is>
      </c>
      <c r="D2304" s="248">
        <v>1</v>
      </c>
      <c r="E2304" s="247">
        <v>3</v>
      </c>
      <c r="F2304" s="247">
        <v>1.6</v>
      </c>
      <c r="H2304" s="249">
        <f>-PRODUCT(D2304:G2304)</f>
        <v>-4.800000000000001</v>
      </c>
      <c r="J2304" s="253" t="inlineStr">
        <is>
          <t xml:space="preserve">-1*3*1.6</t>
        </is>
      </c>
    </row>
    <row r="2305">
      <c r="C2305" s="246" t="inlineStr">
        <is>
          <t xml:space="preserve">Ddt opening W17 (3 nr, 1.8x1.9)</t>
        </is>
      </c>
      <c r="D2305" s="248">
        <v>3</v>
      </c>
      <c r="E2305" s="247">
        <v>1.8</v>
      </c>
      <c r="F2305" s="247">
        <v>1.9</v>
      </c>
      <c r="H2305" s="249">
        <f>-PRODUCT(D2305:G2305)</f>
        <v>-10.26</v>
      </c>
      <c r="J2305" s="253" t="inlineStr">
        <is>
          <t xml:space="preserve">-3*1.8*1.9</t>
        </is>
      </c>
    </row>
    <row r="2306">
      <c r="C2306" s="246" t="inlineStr">
        <is>
          <t xml:space="preserve">Ddt opening W18 (1 nr, 0.75x1.3)</t>
        </is>
      </c>
      <c r="D2306" s="248">
        <v>1</v>
      </c>
      <c r="E2306" s="247">
        <v>0.75</v>
      </c>
      <c r="F2306" s="247">
        <v>1.3</v>
      </c>
      <c r="H2306" s="249">
        <f>-PRODUCT(D2306:G2306)</f>
        <v>-0.9750000000000001</v>
      </c>
      <c r="J2306" s="253" t="inlineStr">
        <is>
          <t xml:space="preserve">-1*0.75*1.3</t>
        </is>
      </c>
    </row>
    <row r="2307">
      <c r="C2307" s="246" t="inlineStr">
        <is>
          <t xml:space="preserve">Ddt opening W20 (1 nr, 1.45x1.9)</t>
        </is>
      </c>
      <c r="D2307" s="248">
        <v>1</v>
      </c>
      <c r="E2307" s="247">
        <v>1.45</v>
      </c>
      <c r="F2307" s="247">
        <v>1.9</v>
      </c>
      <c r="H2307" s="249">
        <f>-PRODUCT(D2307:G2307)</f>
        <v>-2.755</v>
      </c>
      <c r="J2307" s="253" t="inlineStr">
        <is>
          <t xml:space="preserve">-1*1.45*1.9</t>
        </is>
      </c>
    </row>
    <row r="2308">
      <c r="C2308" s="246" t="inlineStr">
        <is>
          <t xml:space="preserve">Ddt opening HW1 (13 nr, 0.9x0.6)</t>
        </is>
      </c>
      <c r="D2308" s="248">
        <v>13</v>
      </c>
      <c r="E2308" s="247">
        <v>0.9</v>
      </c>
      <c r="F2308" s="247">
        <v>0.6</v>
      </c>
      <c r="H2308" s="249">
        <f>-PRODUCT(D2308:G2308)</f>
        <v>-7.0200000000000005</v>
      </c>
      <c r="J2308" s="253" t="inlineStr">
        <is>
          <t xml:space="preserve">-13*0.9*0.6</t>
        </is>
      </c>
    </row>
    <row r="2309">
      <c r="C2309" s="246" t="inlineStr">
        <is>
          <t xml:space="preserve">Ddt opening HW2 (5 nr, 0.75x0.6)</t>
        </is>
      </c>
      <c r="D2309" s="248">
        <v>5</v>
      </c>
      <c r="E2309" s="247">
        <v>0.75</v>
      </c>
      <c r="F2309" s="247">
        <v>0.6</v>
      </c>
      <c r="H2309" s="249">
        <f>-PRODUCT(D2309:G2309)</f>
        <v>-2.25</v>
      </c>
      <c r="J2309" s="253" t="inlineStr">
        <is>
          <t xml:space="preserve">-5*0.75*0.6</t>
        </is>
      </c>
    </row>
    <row r="2310">
      <c r="C2310" s="246" t="inlineStr">
        <is>
          <t xml:space="preserve">Ddt opening HW3 (2 nr, 0.6x0.6)</t>
        </is>
      </c>
      <c r="D2310" s="248">
        <v>2</v>
      </c>
      <c r="E2310" s="247">
        <v>0.6</v>
      </c>
      <c r="F2310" s="247">
        <v>0.6</v>
      </c>
      <c r="H2310" s="249">
        <f>-PRODUCT(D2310:G2310)</f>
        <v>-0.72</v>
      </c>
      <c r="J2310" s="253" t="inlineStr">
        <is>
          <t xml:space="preserve">-2*0.6*0.6</t>
        </is>
      </c>
    </row>
    <row r="2311">
      <c r="C2311" s="246" t="inlineStr">
        <is>
          <t xml:space="preserve">Ddt opening HW4 (2 nr, 1.2x0.6)</t>
        </is>
      </c>
      <c r="D2311" s="248">
        <v>2</v>
      </c>
      <c r="E2311" s="247">
        <v>1.2</v>
      </c>
      <c r="F2311" s="247">
        <v>0.6</v>
      </c>
      <c r="H2311" s="249">
        <f>-PRODUCT(D2311:G2311)</f>
        <v>-1.44</v>
      </c>
      <c r="J2311" s="253" t="inlineStr">
        <is>
          <t xml:space="preserve">-2*1.2*0.6</t>
        </is>
      </c>
    </row>
    <row r="2312">
      <c r="C2312" s="250" t="inlineStr">
        <is>
          <t xml:space="preserve">Total carried to BOQ  4TH FLR item A</t>
        </is>
      </c>
      <c r="D2312" s="250" t="inlineStr">
        <is>
          <t xml:space="preserve"/>
        </is>
      </c>
      <c r="E2312" s="250" t="inlineStr">
        <is>
          <t xml:space="preserve"/>
        </is>
      </c>
      <c r="F2312" s="250" t="inlineStr">
        <is>
          <t xml:space="preserve"/>
        </is>
      </c>
      <c r="G2312" s="250" t="inlineStr">
        <is>
          <t xml:space="preserve"/>
        </is>
      </c>
      <c r="H2312" s="251">
        <f>SUM(H2272:H2311)</f>
        <v>1735.1826315789474</v>
      </c>
      <c r="I2312" s="252" t="inlineStr">
        <is>
          <t xml:space="preserve">m2</t>
        </is>
      </c>
    </row>
    <row r="2313">
      <c r="A2313" s="243" t="inlineStr">
        <is>
          <t xml:space="preserve">4TH FLR</t>
        </is>
      </c>
      <c r="B2313" s="243" t="inlineStr">
        <is>
          <t xml:space="preserve">B</t>
        </is>
      </c>
      <c r="C2313" s="244" t="inlineStr">
        <is>
          <t xml:space="preserve">Interior partitions and washrooms (above wall tiling)</t>
        </is>
      </c>
      <c r="I2313" s="245" t="inlineStr">
        <is>
          <t xml:space="preserve">m2</t>
        </is>
      </c>
      <c r="K2313" s="256" t="inlineStr">
        <is>
          <t xml:space="preserve">'4TH FLR '!C237</t>
        </is>
      </c>
    </row>
    <row r="2314">
      <c r="C2314" s="246" t="inlineStr">
        <is>
          <t xml:space="preserve">washroom walls: (wet area / 3.8 m2 per WC) x 8.0 m girth x ht</t>
        </is>
      </c>
      <c r="E2314" s="247">
        <f>62.1/3.8</f>
        <v>16.342105263157897</v>
      </c>
      <c r="F2314" s="247">
        <v>8.0</v>
      </c>
      <c r="G2314" s="247">
        <v>3.05</v>
      </c>
      <c r="H2314" s="249">
        <f>PRODUCT(D2314:G2314)</f>
        <v>398.74736842105267</v>
      </c>
      <c r="J2314" s="253" t="inlineStr">
        <is>
          <t xml:space="preserve">62.1/3.8*8.0*3.05</t>
        </is>
      </c>
    </row>
    <row r="2315">
      <c r="C2315" s="246" t="inlineStr">
        <is>
          <t xml:space="preserve">Ddt washroom doors: nr x 0.75 x 2.2</t>
        </is>
      </c>
      <c r="E2315" s="247">
        <f>62.1/3.8</f>
        <v>16.342105263157897</v>
      </c>
      <c r="F2315" s="247">
        <v>0.75</v>
      </c>
      <c r="G2315" s="247">
        <v>2.2</v>
      </c>
      <c r="H2315" s="249">
        <f>-PRODUCT(D2315:G2315)</f>
        <v>-26.96447368421053</v>
      </c>
      <c r="J2315" s="253" t="inlineStr">
        <is>
          <t xml:space="preserve">-62.1/3.8*0.75*2.2</t>
        </is>
      </c>
    </row>
    <row r="2316">
      <c r="C2316" s="246" t="inlineStr">
        <is>
          <t xml:space="preserve">Ddt washroom walls: (wet area / 3.8 m2 per WC) x 8.0 m girth x ht</t>
        </is>
      </c>
      <c r="E2316" s="247">
        <f>62.1/3.8</f>
        <v>16.342105263157897</v>
      </c>
      <c r="F2316" s="247">
        <v>8.0</v>
      </c>
      <c r="G2316" s="247">
        <v>2.4</v>
      </c>
      <c r="H2316" s="249">
        <f>-PRODUCT(D2316:G2316)</f>
        <v>-313.7684210526316</v>
      </c>
      <c r="J2316" s="253" t="inlineStr">
        <is>
          <t xml:space="preserve">-62.1/3.8*8.0*2.4</t>
        </is>
      </c>
    </row>
    <row r="2317">
      <c r="C2317" s="246" t="inlineStr">
        <is>
          <t xml:space="preserve">washroom doors: nr x 0.75 x 2.2</t>
        </is>
      </c>
      <c r="E2317" s="247">
        <f>62.1/3.8</f>
        <v>16.342105263157897</v>
      </c>
      <c r="F2317" s="247">
        <v>0.75</v>
      </c>
      <c r="G2317" s="247">
        <v>2.2</v>
      </c>
      <c r="H2317" s="249">
        <f>PRODUCT(D2317:G2317)</f>
        <v>26.96447368421053</v>
      </c>
      <c r="J2317" s="253" t="inlineStr">
        <is>
          <t xml:space="preserve">62.1/3.8*0.75*2.2</t>
        </is>
      </c>
    </row>
    <row r="2318">
      <c r="C2318" s="250" t="inlineStr">
        <is>
          <t xml:space="preserve">Total carried to BOQ  4TH FLR item B</t>
        </is>
      </c>
      <c r="D2318" s="250" t="inlineStr">
        <is>
          <t xml:space="preserve"/>
        </is>
      </c>
      <c r="E2318" s="250" t="inlineStr">
        <is>
          <t xml:space="preserve"/>
        </is>
      </c>
      <c r="F2318" s="250" t="inlineStr">
        <is>
          <t xml:space="preserve"/>
        </is>
      </c>
      <c r="G2318" s="250" t="inlineStr">
        <is>
          <t xml:space="preserve"/>
        </is>
      </c>
      <c r="H2318" s="251">
        <f>SUM(H2314:H2317)</f>
        <v>84.97894736842107</v>
      </c>
      <c r="I2318" s="252" t="inlineStr">
        <is>
          <t xml:space="preserve">m2</t>
        </is>
      </c>
    </row>
    <row r="2319">
      <c r="A2319" s="243" t="inlineStr">
        <is>
          <t xml:space="preserve">4TH FLR</t>
        </is>
      </c>
      <c r="B2319" s="243" t="inlineStr">
        <is>
          <t xml:space="preserve">C</t>
        </is>
      </c>
      <c r="C2319" s="244" t="inlineStr">
        <is>
          <t xml:space="preserve">Exterior walls</t>
        </is>
      </c>
      <c r="I2319" s="245" t="inlineStr">
        <is>
          <t xml:space="preserve">m2</t>
        </is>
      </c>
      <c r="K2319" s="256" t="inlineStr">
        <is>
          <t xml:space="preserve">'4TH FLR '!C239</t>
        </is>
      </c>
    </row>
    <row r="2320">
      <c r="C2320" s="246" t="inlineStr">
        <is>
          <t xml:space="preserve">External perimeter x storey ht</t>
        </is>
      </c>
      <c r="E2320" s="247">
        <v>224.2</v>
      </c>
      <c r="F2320" s="247">
        <v>3.3</v>
      </c>
      <c r="H2320" s="249">
        <f>PRODUCT(D2320:G2320)</f>
        <v>739.8599999999999</v>
      </c>
      <c r="J2320" s="253" t="inlineStr">
        <is>
          <t xml:space="preserve">224.2*3.3</t>
        </is>
      </c>
    </row>
    <row r="2321">
      <c r="C2321" s="246" t="inlineStr">
        <is>
          <t xml:space="preserve">Ddt window W2 (6 nr, 1.8x1.3)</t>
        </is>
      </c>
      <c r="D2321" s="248">
        <v>6</v>
      </c>
      <c r="E2321" s="247">
        <v>1.8</v>
      </c>
      <c r="F2321" s="247">
        <v>1.3</v>
      </c>
      <c r="H2321" s="249">
        <f>-PRODUCT(D2321:G2321)</f>
        <v>-14.040000000000001</v>
      </c>
      <c r="J2321" s="253" t="inlineStr">
        <is>
          <t xml:space="preserve">-6*1.8*1.3</t>
        </is>
      </c>
    </row>
    <row r="2322">
      <c r="C2322" s="246" t="inlineStr">
        <is>
          <t xml:space="preserve">Ddt window W4 (10 nr, 0.9x1.3)</t>
        </is>
      </c>
      <c r="D2322" s="248">
        <v>10</v>
      </c>
      <c r="E2322" s="247">
        <v>0.9</v>
      </c>
      <c r="F2322" s="247">
        <v>1.3</v>
      </c>
      <c r="H2322" s="249">
        <f>-PRODUCT(D2322:G2322)</f>
        <v>-11.700000000000001</v>
      </c>
      <c r="J2322" s="253" t="inlineStr">
        <is>
          <t xml:space="preserve">-10*0.9*1.3</t>
        </is>
      </c>
    </row>
    <row r="2323">
      <c r="C2323" s="246" t="inlineStr">
        <is>
          <t xml:space="preserve">Ddt window W7 (2 nr, 1.8x1.6)</t>
        </is>
      </c>
      <c r="D2323" s="248">
        <v>2</v>
      </c>
      <c r="E2323" s="247">
        <v>1.8</v>
      </c>
      <c r="F2323" s="247">
        <v>1.6</v>
      </c>
      <c r="H2323" s="249">
        <f>-PRODUCT(D2323:G2323)</f>
        <v>-5.760000000000001</v>
      </c>
      <c r="J2323" s="253" t="inlineStr">
        <is>
          <t xml:space="preserve">-2*1.8*1.6</t>
        </is>
      </c>
    </row>
    <row r="2324">
      <c r="C2324" s="246" t="inlineStr">
        <is>
          <t xml:space="preserve">Ddt window W8 (3 nr, 1.2x1.9)</t>
        </is>
      </c>
      <c r="D2324" s="248">
        <v>3</v>
      </c>
      <c r="E2324" s="247">
        <v>1.2</v>
      </c>
      <c r="F2324" s="247">
        <v>1.9</v>
      </c>
      <c r="H2324" s="249">
        <f>-PRODUCT(D2324:G2324)</f>
        <v>-6.839999999999999</v>
      </c>
      <c r="J2324" s="253" t="inlineStr">
        <is>
          <t xml:space="preserve">-3*1.2*1.9</t>
        </is>
      </c>
    </row>
    <row r="2325">
      <c r="C2325" s="246" t="inlineStr">
        <is>
          <t xml:space="preserve">Ddt window W9 (8 nr, 1.2x1.15)</t>
        </is>
      </c>
      <c r="D2325" s="248">
        <v>8</v>
      </c>
      <c r="E2325" s="247">
        <v>1.2</v>
      </c>
      <c r="F2325" s="247">
        <v>1.15</v>
      </c>
      <c r="H2325" s="249">
        <f>-PRODUCT(D2325:G2325)</f>
        <v>-11.04</v>
      </c>
      <c r="J2325" s="253" t="inlineStr">
        <is>
          <t xml:space="preserve">-8*1.2*1.15</t>
        </is>
      </c>
    </row>
    <row r="2326">
      <c r="C2326" s="246" t="inlineStr">
        <is>
          <t xml:space="preserve">Ddt window W10 (1 nr, 1.2x1.2)</t>
        </is>
      </c>
      <c r="D2326" s="248">
        <v>1</v>
      </c>
      <c r="E2326" s="247">
        <v>1.2</v>
      </c>
      <c r="F2326" s="247">
        <v>1.2</v>
      </c>
      <c r="H2326" s="249">
        <f>-PRODUCT(D2326:G2326)</f>
        <v>-1.44</v>
      </c>
      <c r="J2326" s="253" t="inlineStr">
        <is>
          <t xml:space="preserve">-1*1.2*1.2</t>
        </is>
      </c>
    </row>
    <row r="2327">
      <c r="C2327" s="246" t="inlineStr">
        <is>
          <t xml:space="preserve">Ddt window W11 (7 nr, 1.5x1.3)</t>
        </is>
      </c>
      <c r="D2327" s="248">
        <v>7</v>
      </c>
      <c r="E2327" s="247">
        <v>1.5</v>
      </c>
      <c r="F2327" s="247">
        <v>1.3</v>
      </c>
      <c r="H2327" s="249">
        <f>-PRODUCT(D2327:G2327)</f>
        <v>-13.65</v>
      </c>
      <c r="J2327" s="253" t="inlineStr">
        <is>
          <t xml:space="preserve">-7*1.5*1.3</t>
        </is>
      </c>
    </row>
    <row r="2328">
      <c r="C2328" s="246" t="inlineStr">
        <is>
          <t xml:space="preserve">Ddt window W12 (4 nr, 1.5x1.15)</t>
        </is>
      </c>
      <c r="D2328" s="248">
        <v>4</v>
      </c>
      <c r="E2328" s="247">
        <v>1.5</v>
      </c>
      <c r="F2328" s="247">
        <v>1.15</v>
      </c>
      <c r="H2328" s="249">
        <f>-PRODUCT(D2328:G2328)</f>
        <v>-6.8999999999999995</v>
      </c>
      <c r="J2328" s="253" t="inlineStr">
        <is>
          <t xml:space="preserve">-4*1.5*1.15</t>
        </is>
      </c>
    </row>
    <row r="2329">
      <c r="C2329" s="246" t="inlineStr">
        <is>
          <t xml:space="preserve">Ddt window W13 (1 nr, 2.4x1.3)</t>
        </is>
      </c>
      <c r="D2329" s="248">
        <v>1</v>
      </c>
      <c r="E2329" s="247">
        <v>2.4</v>
      </c>
      <c r="F2329" s="247">
        <v>1.3</v>
      </c>
      <c r="H2329" s="249">
        <f>-PRODUCT(D2329:G2329)</f>
        <v>-3.12</v>
      </c>
      <c r="J2329" s="253" t="inlineStr">
        <is>
          <t xml:space="preserve">-1*2.4*1.3</t>
        </is>
      </c>
    </row>
    <row r="2330">
      <c r="C2330" s="246" t="inlineStr">
        <is>
          <t xml:space="preserve">Ddt window W15 (1 nr, 3x1.6)</t>
        </is>
      </c>
      <c r="D2330" s="248">
        <v>1</v>
      </c>
      <c r="E2330" s="247">
        <v>3</v>
      </c>
      <c r="F2330" s="247">
        <v>1.6</v>
      </c>
      <c r="H2330" s="249">
        <f>-PRODUCT(D2330:G2330)</f>
        <v>-4.800000000000001</v>
      </c>
      <c r="J2330" s="253" t="inlineStr">
        <is>
          <t xml:space="preserve">-1*3*1.6</t>
        </is>
      </c>
    </row>
    <row r="2331">
      <c r="C2331" s="246" t="inlineStr">
        <is>
          <t xml:space="preserve">Ddt window W17 (3 nr, 1.8x1.9)</t>
        </is>
      </c>
      <c r="D2331" s="248">
        <v>3</v>
      </c>
      <c r="E2331" s="247">
        <v>1.8</v>
      </c>
      <c r="F2331" s="247">
        <v>1.9</v>
      </c>
      <c r="H2331" s="249">
        <f>-PRODUCT(D2331:G2331)</f>
        <v>-10.26</v>
      </c>
      <c r="J2331" s="253" t="inlineStr">
        <is>
          <t xml:space="preserve">-3*1.8*1.9</t>
        </is>
      </c>
    </row>
    <row r="2332">
      <c r="C2332" s="246" t="inlineStr">
        <is>
          <t xml:space="preserve">Ddt window W18 (1 nr, 0.75x1.3)</t>
        </is>
      </c>
      <c r="D2332" s="248">
        <v>1</v>
      </c>
      <c r="E2332" s="247">
        <v>0.75</v>
      </c>
      <c r="F2332" s="247">
        <v>1.3</v>
      </c>
      <c r="H2332" s="249">
        <f>-PRODUCT(D2332:G2332)</f>
        <v>-0.9750000000000001</v>
      </c>
      <c r="J2332" s="253" t="inlineStr">
        <is>
          <t xml:space="preserve">-1*0.75*1.3</t>
        </is>
      </c>
    </row>
    <row r="2333">
      <c r="C2333" s="246" t="inlineStr">
        <is>
          <t xml:space="preserve">Ddt window W20 (1 nr, 1.45x1.9)</t>
        </is>
      </c>
      <c r="D2333" s="248">
        <v>1</v>
      </c>
      <c r="E2333" s="247">
        <v>1.45</v>
      </c>
      <c r="F2333" s="247">
        <v>1.9</v>
      </c>
      <c r="H2333" s="249">
        <f>-PRODUCT(D2333:G2333)</f>
        <v>-2.755</v>
      </c>
      <c r="J2333" s="253" t="inlineStr">
        <is>
          <t xml:space="preserve">-1*1.45*1.9</t>
        </is>
      </c>
    </row>
    <row r="2334">
      <c r="C2334" s="246" t="inlineStr">
        <is>
          <t xml:space="preserve">Ddt window HW1 (13 nr, 0.9x0.6)</t>
        </is>
      </c>
      <c r="D2334" s="248">
        <v>13</v>
      </c>
      <c r="E2334" s="247">
        <v>0.9</v>
      </c>
      <c r="F2334" s="247">
        <v>0.6</v>
      </c>
      <c r="H2334" s="249">
        <f>-PRODUCT(D2334:G2334)</f>
        <v>-7.0200000000000005</v>
      </c>
      <c r="J2334" s="253" t="inlineStr">
        <is>
          <t xml:space="preserve">-13*0.9*0.6</t>
        </is>
      </c>
    </row>
    <row r="2335">
      <c r="C2335" s="246" t="inlineStr">
        <is>
          <t xml:space="preserve">Ddt window HW2 (5 nr, 0.75x0.6)</t>
        </is>
      </c>
      <c r="D2335" s="248">
        <v>5</v>
      </c>
      <c r="E2335" s="247">
        <v>0.75</v>
      </c>
      <c r="F2335" s="247">
        <v>0.6</v>
      </c>
      <c r="H2335" s="249">
        <f>-PRODUCT(D2335:G2335)</f>
        <v>-2.25</v>
      </c>
      <c r="J2335" s="253" t="inlineStr">
        <is>
          <t xml:space="preserve">-5*0.75*0.6</t>
        </is>
      </c>
    </row>
    <row r="2336">
      <c r="C2336" s="246" t="inlineStr">
        <is>
          <t xml:space="preserve">Ddt window HW3 (2 nr, 0.6x0.6)</t>
        </is>
      </c>
      <c r="D2336" s="248">
        <v>2</v>
      </c>
      <c r="E2336" s="247">
        <v>0.6</v>
      </c>
      <c r="F2336" s="247">
        <v>0.6</v>
      </c>
      <c r="H2336" s="249">
        <f>-PRODUCT(D2336:G2336)</f>
        <v>-0.72</v>
      </c>
      <c r="J2336" s="253" t="inlineStr">
        <is>
          <t xml:space="preserve">-2*0.6*0.6</t>
        </is>
      </c>
    </row>
    <row r="2337">
      <c r="C2337" s="246" t="inlineStr">
        <is>
          <t xml:space="preserve">Ddt window HW4 (2 nr, 1.2x0.6)</t>
        </is>
      </c>
      <c r="D2337" s="248">
        <v>2</v>
      </c>
      <c r="E2337" s="247">
        <v>1.2</v>
      </c>
      <c r="F2337" s="247">
        <v>0.6</v>
      </c>
      <c r="H2337" s="249">
        <f>-PRODUCT(D2337:G2337)</f>
        <v>-1.44</v>
      </c>
      <c r="J2337" s="253" t="inlineStr">
        <is>
          <t xml:space="preserve">-2*1.2*0.6</t>
        </is>
      </c>
    </row>
    <row r="2338">
      <c r="C2338" s="250" t="inlineStr">
        <is>
          <t xml:space="preserve">Total carried to BOQ  4TH FLR item C</t>
        </is>
      </c>
      <c r="D2338" s="250" t="inlineStr">
        <is>
          <t xml:space="preserve"/>
        </is>
      </c>
      <c r="E2338" s="250" t="inlineStr">
        <is>
          <t xml:space="preserve"/>
        </is>
      </c>
      <c r="F2338" s="250" t="inlineStr">
        <is>
          <t xml:space="preserve"/>
        </is>
      </c>
      <c r="G2338" s="250" t="inlineStr">
        <is>
          <t xml:space="preserve"/>
        </is>
      </c>
      <c r="H2338" s="251">
        <f>SUM(H2320:H2337)</f>
        <v>635.1499999999999</v>
      </c>
      <c r="I2338" s="252" t="inlineStr">
        <is>
          <t xml:space="preserve">m2</t>
        </is>
      </c>
    </row>
    <row r="2339">
      <c r="A2339" s="243" t="inlineStr">
        <is>
          <t xml:space="preserve">4TH FLR</t>
        </is>
      </c>
      <c r="B2339" s="243" t="inlineStr">
        <is>
          <t xml:space="preserve">D</t>
        </is>
      </c>
      <c r="C2339" s="244" t="inlineStr">
        <is>
          <t xml:space="preserve">Soffit of plaster board ceilings</t>
        </is>
      </c>
      <c r="I2339" s="245" t="inlineStr">
        <is>
          <t xml:space="preserve">m2</t>
        </is>
      </c>
      <c r="K2339" s="256" t="inlineStr">
        <is>
          <t xml:space="preserve">'4TH FLR '!C241</t>
        </is>
      </c>
    </row>
    <row r="2340">
      <c r="C2340" s="246" t="inlineStr">
        <is>
          <t xml:space="preserve">Fourth floor - Ceiling areas (measured)</t>
        </is>
      </c>
      <c r="H2340" s="247">
        <v>797.9</v>
      </c>
      <c r="J2340" s="253" t="inlineStr">
        <is>
          <t xml:space="preserve">797.9</t>
        </is>
      </c>
    </row>
    <row r="2341">
      <c r="C2341" s="250" t="inlineStr">
        <is>
          <t xml:space="preserve">Total carried to BOQ  4TH FLR item D</t>
        </is>
      </c>
      <c r="D2341" s="250" t="inlineStr">
        <is>
          <t xml:space="preserve"/>
        </is>
      </c>
      <c r="E2341" s="250" t="inlineStr">
        <is>
          <t xml:space="preserve"/>
        </is>
      </c>
      <c r="F2341" s="250" t="inlineStr">
        <is>
          <t xml:space="preserve"/>
        </is>
      </c>
      <c r="G2341" s="250" t="inlineStr">
        <is>
          <t xml:space="preserve"/>
        </is>
      </c>
      <c r="H2341" s="251">
        <f>SUM(H2340:H2340)</f>
        <v>797.9</v>
      </c>
      <c r="I2341" s="252" t="inlineStr">
        <is>
          <t xml:space="preserve">m2</t>
        </is>
      </c>
    </row>
    <row r="2342">
      <c r="A2342" s="243" t="inlineStr">
        <is>
          <t xml:space="preserve">4TH FLR</t>
        </is>
      </c>
      <c r="B2342" s="243" t="inlineStr">
        <is>
          <t xml:space="preserve">E</t>
        </is>
      </c>
      <c r="C2342" s="244" t="inlineStr">
        <is>
          <t xml:space="preserve">Soffit of plaster board ceilings for washrooms</t>
        </is>
      </c>
      <c r="I2342" s="245" t="inlineStr">
        <is>
          <t xml:space="preserve">m2</t>
        </is>
      </c>
      <c r="K2342" s="256" t="inlineStr">
        <is>
          <t xml:space="preserve">'4TH FLR '!C243</t>
        </is>
      </c>
    </row>
    <row r="2343">
      <c r="C2343" s="246" t="inlineStr">
        <is>
          <t xml:space="preserve">Fourth floor - Washroom ceiling areas (measured)</t>
        </is>
      </c>
      <c r="H2343" s="247">
        <v>62.1</v>
      </c>
      <c r="J2343" s="253" t="inlineStr">
        <is>
          <t xml:space="preserve">62.1</t>
        </is>
      </c>
    </row>
    <row r="2344">
      <c r="C2344" s="250" t="inlineStr">
        <is>
          <t xml:space="preserve">Total carried to BOQ  4TH FLR item E</t>
        </is>
      </c>
      <c r="D2344" s="250" t="inlineStr">
        <is>
          <t xml:space="preserve"/>
        </is>
      </c>
      <c r="E2344" s="250" t="inlineStr">
        <is>
          <t xml:space="preserve"/>
        </is>
      </c>
      <c r="F2344" s="250" t="inlineStr">
        <is>
          <t xml:space="preserve"/>
        </is>
      </c>
      <c r="G2344" s="250" t="inlineStr">
        <is>
          <t xml:space="preserve"/>
        </is>
      </c>
      <c r="H2344" s="251">
        <f>SUM(H2343:H2343)</f>
        <v>62.1</v>
      </c>
      <c r="I2344" s="252" t="inlineStr">
        <is>
          <t xml:space="preserve">m2</t>
        </is>
      </c>
    </row>
    <row r="2345" ht="32.2" customHeight="1">
      <c r="A2345" s="243" t="inlineStr">
        <is>
          <t xml:space="preserve">4TH FLR</t>
        </is>
      </c>
      <c r="B2345" s="243" t="inlineStr">
        <is>
          <t xml:space="preserve">F</t>
        </is>
      </c>
      <c r="C2345" s="244" t="inlineStr">
        <is>
          <t xml:space="preserve">Knot, prime, stop and apply two undercoats and one finishing coat of gloss oil paint on general surfaces of woodwork</t>
        </is>
      </c>
      <c r="I2345" s="245" t="inlineStr">
        <is>
          <t xml:space="preserve">m2</t>
        </is>
      </c>
      <c r="K2345" s="256" t="inlineStr">
        <is>
          <t xml:space="preserve">'4TH FLR '!C245</t>
        </is>
      </c>
    </row>
    <row r="2346">
      <c r="C2346" s="246" t="inlineStr">
        <is>
          <t xml:space="preserve">Door leaf D3 (15 nr, 0.9x2.2): nr x w x h x 2 faces</t>
        </is>
      </c>
      <c r="D2346" s="248">
        <v>15</v>
      </c>
      <c r="E2346" s="247">
        <v>0.9</v>
      </c>
      <c r="F2346" s="247">
        <v>2.2</v>
      </c>
      <c r="G2346" s="247">
        <v>2</v>
      </c>
      <c r="H2346" s="249">
        <f>PRODUCT(D2346:G2346)</f>
        <v>59.400000000000006</v>
      </c>
      <c r="J2346" s="253" t="inlineStr">
        <is>
          <t xml:space="preserve">15*0.9*2.2*2</t>
        </is>
      </c>
    </row>
    <row r="2347">
      <c r="C2347" s="246" t="inlineStr">
        <is>
          <t xml:space="preserve">Door leaf D6 (22 nr, 0.75x2.2): nr x w x h x 2 faces</t>
        </is>
      </c>
      <c r="D2347" s="248">
        <v>22</v>
      </c>
      <c r="E2347" s="247">
        <v>0.75</v>
      </c>
      <c r="F2347" s="247">
        <v>2.2</v>
      </c>
      <c r="G2347" s="247">
        <v>2</v>
      </c>
      <c r="H2347" s="249">
        <f>PRODUCT(D2347:G2347)</f>
        <v>72.60000000000001</v>
      </c>
      <c r="J2347" s="253" t="inlineStr">
        <is>
          <t xml:space="preserve">22*0.75*2.2*2</t>
        </is>
      </c>
    </row>
    <row r="2348">
      <c r="C2348" s="246" t="inlineStr">
        <is>
          <t xml:space="preserve">Door leaf FD1 (1 nr, 1.5x2.2): nr x w x h x 2 faces</t>
        </is>
      </c>
      <c r="D2348" s="248">
        <v>1</v>
      </c>
      <c r="E2348" s="247">
        <v>1.5</v>
      </c>
      <c r="F2348" s="247">
        <v>2.2</v>
      </c>
      <c r="G2348" s="247">
        <v>2</v>
      </c>
      <c r="H2348" s="249">
        <f>PRODUCT(D2348:G2348)</f>
        <v>6.6000000000000005</v>
      </c>
      <c r="J2348" s="253" t="inlineStr">
        <is>
          <t xml:space="preserve">1*1.5*2.2*2</t>
        </is>
      </c>
    </row>
    <row r="2349">
      <c r="C2349" s="246" t="inlineStr">
        <is>
          <t xml:space="preserve">15*(2*2.2+0.9)*0.25</t>
        </is>
      </c>
      <c r="D2349" s="248">
        <v>15</v>
      </c>
      <c r="E2349" s="247">
        <f>2*2.2+0.9</f>
        <v>5.300000000000001</v>
      </c>
      <c r="F2349" s="247">
        <v>0.25</v>
      </c>
      <c r="H2349" s="249">
        <f>PRODUCT(D2349:G2349)</f>
        <v>19.875000000000004</v>
      </c>
      <c r="J2349" s="253" t="inlineStr">
        <is>
          <t xml:space="preserve">15*(2*2.2+0.9)*0.25</t>
        </is>
      </c>
    </row>
    <row r="2350">
      <c r="C2350" s="246" t="inlineStr">
        <is>
          <t xml:space="preserve">22*(2*2.2+0.75)*0.25</t>
        </is>
      </c>
      <c r="D2350" s="248">
        <v>22</v>
      </c>
      <c r="E2350" s="247">
        <f>2*2.2+0.75</f>
        <v>5.15</v>
      </c>
      <c r="F2350" s="247">
        <v>0.25</v>
      </c>
      <c r="H2350" s="249">
        <f>PRODUCT(D2350:G2350)</f>
        <v>28.325000000000003</v>
      </c>
      <c r="J2350" s="253" t="inlineStr">
        <is>
          <t xml:space="preserve">22*(2*2.2+0.75)*0.25</t>
        </is>
      </c>
    </row>
    <row r="2351">
      <c r="C2351" s="246" t="inlineStr">
        <is>
          <t xml:space="preserve">1*(2*2.2+1.5)*0.25</t>
        </is>
      </c>
      <c r="D2351" s="248">
        <v>1</v>
      </c>
      <c r="E2351" s="247">
        <f>2*2.2+1.5</f>
        <v>5.9</v>
      </c>
      <c r="F2351" s="247">
        <v>0.25</v>
      </c>
      <c r="H2351" s="249">
        <f>PRODUCT(D2351:G2351)</f>
        <v>1.475</v>
      </c>
      <c r="J2351" s="253" t="inlineStr">
        <is>
          <t xml:space="preserve">1*(2*2.2+1.5)*0.25</t>
        </is>
      </c>
    </row>
    <row r="2352">
      <c r="C2352" s="250" t="inlineStr">
        <is>
          <t xml:space="preserve">Total carried to BOQ  4TH FLR item F</t>
        </is>
      </c>
      <c r="D2352" s="250" t="inlineStr">
        <is>
          <t xml:space="preserve"/>
        </is>
      </c>
      <c r="E2352" s="250" t="inlineStr">
        <is>
          <t xml:space="preserve"/>
        </is>
      </c>
      <c r="F2352" s="250" t="inlineStr">
        <is>
          <t xml:space="preserve"/>
        </is>
      </c>
      <c r="G2352" s="250" t="inlineStr">
        <is>
          <t xml:space="preserve"/>
        </is>
      </c>
      <c r="H2352" s="251">
        <f>SUM(H2346:H2351)</f>
        <v>188.275</v>
      </c>
      <c r="I2352" s="252" t="inlineStr">
        <is>
          <t xml:space="preserve">m2</t>
        </is>
      </c>
    </row>
    <row r="2353" ht="32.2" customHeight="1">
      <c r="A2353" s="243" t="inlineStr">
        <is>
          <t xml:space="preserve">4TH FLR</t>
        </is>
      </c>
      <c r="B2353" s="243" t="inlineStr">
        <is>
          <t xml:space="preserve">G</t>
        </is>
      </c>
      <c r="C2353" s="244" t="inlineStr">
        <is>
          <t xml:space="preserve">Prepare and apply one coat of aluminium primer on mild steel burglar-proof bars (measured over window opening area)</t>
        </is>
      </c>
      <c r="I2353" s="245" t="inlineStr">
        <is>
          <t xml:space="preserve">m2</t>
        </is>
      </c>
      <c r="K2353" s="256" t="inlineStr">
        <is>
          <t xml:space="preserve">'4TH FLR '!C247</t>
        </is>
      </c>
    </row>
    <row r="2354">
      <c r="C2354" s="246" t="inlineStr">
        <is>
          <t xml:space="preserve">Window W2 (6 nr, 1.8x1.3): nr x w x h</t>
        </is>
      </c>
      <c r="D2354" s="248">
        <v>6</v>
      </c>
      <c r="E2354" s="247">
        <v>1.8</v>
      </c>
      <c r="F2354" s="247">
        <v>1.3</v>
      </c>
      <c r="H2354" s="249">
        <f>PRODUCT(D2354:G2354)</f>
        <v>14.040000000000001</v>
      </c>
      <c r="J2354" s="253" t="inlineStr">
        <is>
          <t xml:space="preserve">6*1.8*1.3</t>
        </is>
      </c>
    </row>
    <row r="2355">
      <c r="C2355" s="246" t="inlineStr">
        <is>
          <t xml:space="preserve">Window W4 (10 nr, 0.9x1.3): nr x w x h</t>
        </is>
      </c>
      <c r="D2355" s="248">
        <v>10</v>
      </c>
      <c r="E2355" s="247">
        <v>0.9</v>
      </c>
      <c r="F2355" s="247">
        <v>1.3</v>
      </c>
      <c r="H2355" s="249">
        <f>PRODUCT(D2355:G2355)</f>
        <v>11.700000000000001</v>
      </c>
      <c r="J2355" s="253" t="inlineStr">
        <is>
          <t xml:space="preserve">10*0.9*1.3</t>
        </is>
      </c>
    </row>
    <row r="2356">
      <c r="C2356" s="246" t="inlineStr">
        <is>
          <t xml:space="preserve">Window W7 (2 nr, 1.8x1.6): nr x w x h</t>
        </is>
      </c>
      <c r="D2356" s="248">
        <v>2</v>
      </c>
      <c r="E2356" s="247">
        <v>1.8</v>
      </c>
      <c r="F2356" s="247">
        <v>1.6</v>
      </c>
      <c r="H2356" s="249">
        <f>PRODUCT(D2356:G2356)</f>
        <v>5.760000000000001</v>
      </c>
      <c r="J2356" s="253" t="inlineStr">
        <is>
          <t xml:space="preserve">2*1.8*1.6</t>
        </is>
      </c>
    </row>
    <row r="2357">
      <c r="C2357" s="246" t="inlineStr">
        <is>
          <t xml:space="preserve">Window W8 (3 nr, 1.2x1.9): nr x w x h</t>
        </is>
      </c>
      <c r="D2357" s="248">
        <v>3</v>
      </c>
      <c r="E2357" s="247">
        <v>1.2</v>
      </c>
      <c r="F2357" s="247">
        <v>1.9</v>
      </c>
      <c r="H2357" s="249">
        <f>PRODUCT(D2357:G2357)</f>
        <v>6.839999999999999</v>
      </c>
      <c r="J2357" s="253" t="inlineStr">
        <is>
          <t xml:space="preserve">3*1.2*1.9</t>
        </is>
      </c>
    </row>
    <row r="2358">
      <c r="C2358" s="246" t="inlineStr">
        <is>
          <t xml:space="preserve">Window W9 (8 nr, 1.2x1.15): nr x w x h</t>
        </is>
      </c>
      <c r="D2358" s="248">
        <v>8</v>
      </c>
      <c r="E2358" s="247">
        <v>1.2</v>
      </c>
      <c r="F2358" s="247">
        <v>1.15</v>
      </c>
      <c r="H2358" s="249">
        <f>PRODUCT(D2358:G2358)</f>
        <v>11.04</v>
      </c>
      <c r="J2358" s="253" t="inlineStr">
        <is>
          <t xml:space="preserve">8*1.2*1.15</t>
        </is>
      </c>
    </row>
    <row r="2359">
      <c r="C2359" s="246" t="inlineStr">
        <is>
          <t xml:space="preserve">Window W10 (1 nr, 1.2x1.2): nr x w x h</t>
        </is>
      </c>
      <c r="D2359" s="248">
        <v>1</v>
      </c>
      <c r="E2359" s="247">
        <v>1.2</v>
      </c>
      <c r="F2359" s="247">
        <v>1.2</v>
      </c>
      <c r="H2359" s="249">
        <f>PRODUCT(D2359:G2359)</f>
        <v>1.44</v>
      </c>
      <c r="J2359" s="253" t="inlineStr">
        <is>
          <t xml:space="preserve">1*1.2*1.2</t>
        </is>
      </c>
    </row>
    <row r="2360">
      <c r="C2360" s="246" t="inlineStr">
        <is>
          <t xml:space="preserve">Window W11 (7 nr, 1.5x1.3): nr x w x h</t>
        </is>
      </c>
      <c r="D2360" s="248">
        <v>7</v>
      </c>
      <c r="E2360" s="247">
        <v>1.5</v>
      </c>
      <c r="F2360" s="247">
        <v>1.3</v>
      </c>
      <c r="H2360" s="249">
        <f>PRODUCT(D2360:G2360)</f>
        <v>13.65</v>
      </c>
      <c r="J2360" s="253" t="inlineStr">
        <is>
          <t xml:space="preserve">7*1.5*1.3</t>
        </is>
      </c>
    </row>
    <row r="2361">
      <c r="C2361" s="246" t="inlineStr">
        <is>
          <t xml:space="preserve">Window W12 (4 nr, 1.5x1.15): nr x w x h</t>
        </is>
      </c>
      <c r="D2361" s="248">
        <v>4</v>
      </c>
      <c r="E2361" s="247">
        <v>1.5</v>
      </c>
      <c r="F2361" s="247">
        <v>1.15</v>
      </c>
      <c r="H2361" s="249">
        <f>PRODUCT(D2361:G2361)</f>
        <v>6.8999999999999995</v>
      </c>
      <c r="J2361" s="253" t="inlineStr">
        <is>
          <t xml:space="preserve">4*1.5*1.15</t>
        </is>
      </c>
    </row>
    <row r="2362">
      <c r="C2362" s="246" t="inlineStr">
        <is>
          <t xml:space="preserve">Window W13 (1 nr, 2.4x1.3): nr x w x h</t>
        </is>
      </c>
      <c r="D2362" s="248">
        <v>1</v>
      </c>
      <c r="E2362" s="247">
        <v>2.4</v>
      </c>
      <c r="F2362" s="247">
        <v>1.3</v>
      </c>
      <c r="H2362" s="249">
        <f>PRODUCT(D2362:G2362)</f>
        <v>3.12</v>
      </c>
      <c r="J2362" s="253" t="inlineStr">
        <is>
          <t xml:space="preserve">1*2.4*1.3</t>
        </is>
      </c>
    </row>
    <row r="2363">
      <c r="C2363" s="246" t="inlineStr">
        <is>
          <t xml:space="preserve">Window W15 (1 nr, 3x1.6): nr x w x h</t>
        </is>
      </c>
      <c r="D2363" s="248">
        <v>1</v>
      </c>
      <c r="E2363" s="247">
        <v>3</v>
      </c>
      <c r="F2363" s="247">
        <v>1.6</v>
      </c>
      <c r="H2363" s="249">
        <f>PRODUCT(D2363:G2363)</f>
        <v>4.800000000000001</v>
      </c>
      <c r="J2363" s="253" t="inlineStr">
        <is>
          <t xml:space="preserve">1*3*1.6</t>
        </is>
      </c>
    </row>
    <row r="2364">
      <c r="C2364" s="246" t="inlineStr">
        <is>
          <t xml:space="preserve">Window W17 (3 nr, 1.8x1.9): nr x w x h</t>
        </is>
      </c>
      <c r="D2364" s="248">
        <v>3</v>
      </c>
      <c r="E2364" s="247">
        <v>1.8</v>
      </c>
      <c r="F2364" s="247">
        <v>1.9</v>
      </c>
      <c r="H2364" s="249">
        <f>PRODUCT(D2364:G2364)</f>
        <v>10.26</v>
      </c>
      <c r="J2364" s="253" t="inlineStr">
        <is>
          <t xml:space="preserve">3*1.8*1.9</t>
        </is>
      </c>
    </row>
    <row r="2365">
      <c r="C2365" s="246" t="inlineStr">
        <is>
          <t xml:space="preserve">Window W18 (1 nr, 0.75x1.3): nr x w x h</t>
        </is>
      </c>
      <c r="D2365" s="248">
        <v>1</v>
      </c>
      <c r="E2365" s="247">
        <v>0.75</v>
      </c>
      <c r="F2365" s="247">
        <v>1.3</v>
      </c>
      <c r="H2365" s="249">
        <f>PRODUCT(D2365:G2365)</f>
        <v>0.9750000000000001</v>
      </c>
      <c r="J2365" s="253" t="inlineStr">
        <is>
          <t xml:space="preserve">1*0.75*1.3</t>
        </is>
      </c>
    </row>
    <row r="2366">
      <c r="C2366" s="246" t="inlineStr">
        <is>
          <t xml:space="preserve">Window W20 (1 nr, 1.45x1.9): nr x w x h</t>
        </is>
      </c>
      <c r="D2366" s="248">
        <v>1</v>
      </c>
      <c r="E2366" s="247">
        <v>1.45</v>
      </c>
      <c r="F2366" s="247">
        <v>1.9</v>
      </c>
      <c r="H2366" s="249">
        <f>PRODUCT(D2366:G2366)</f>
        <v>2.755</v>
      </c>
      <c r="J2366" s="253" t="inlineStr">
        <is>
          <t xml:space="preserve">1*1.45*1.9</t>
        </is>
      </c>
    </row>
    <row r="2367">
      <c r="C2367" s="246" t="inlineStr">
        <is>
          <t xml:space="preserve">Window HW1 (13 nr, 0.9x0.6): nr x w x h</t>
        </is>
      </c>
      <c r="D2367" s="248">
        <v>13</v>
      </c>
      <c r="E2367" s="247">
        <v>0.9</v>
      </c>
      <c r="F2367" s="247">
        <v>0.6</v>
      </c>
      <c r="H2367" s="249">
        <f>PRODUCT(D2367:G2367)</f>
        <v>7.0200000000000005</v>
      </c>
      <c r="J2367" s="253" t="inlineStr">
        <is>
          <t xml:space="preserve">13*0.9*0.6</t>
        </is>
      </c>
    </row>
    <row r="2368">
      <c r="C2368" s="246" t="inlineStr">
        <is>
          <t xml:space="preserve">Window HW2 (5 nr, 0.75x0.6): nr x w x h</t>
        </is>
      </c>
      <c r="D2368" s="248">
        <v>5</v>
      </c>
      <c r="E2368" s="247">
        <v>0.75</v>
      </c>
      <c r="F2368" s="247">
        <v>0.6</v>
      </c>
      <c r="H2368" s="249">
        <f>PRODUCT(D2368:G2368)</f>
        <v>2.25</v>
      </c>
      <c r="J2368" s="253" t="inlineStr">
        <is>
          <t xml:space="preserve">5*0.75*0.6</t>
        </is>
      </c>
    </row>
    <row r="2369">
      <c r="C2369" s="246" t="inlineStr">
        <is>
          <t xml:space="preserve">Window HW3 (2 nr, 0.6x0.6): nr x w x h</t>
        </is>
      </c>
      <c r="D2369" s="248">
        <v>2</v>
      </c>
      <c r="E2369" s="247">
        <v>0.6</v>
      </c>
      <c r="F2369" s="247">
        <v>0.6</v>
      </c>
      <c r="H2369" s="249">
        <f>PRODUCT(D2369:G2369)</f>
        <v>0.72</v>
      </c>
      <c r="J2369" s="253" t="inlineStr">
        <is>
          <t xml:space="preserve">2*0.6*0.6</t>
        </is>
      </c>
    </row>
    <row r="2370">
      <c r="C2370" s="246" t="inlineStr">
        <is>
          <t xml:space="preserve">Window HW4 (2 nr, 1.2x0.6): nr x w x h</t>
        </is>
      </c>
      <c r="D2370" s="248">
        <v>2</v>
      </c>
      <c r="E2370" s="247">
        <v>1.2</v>
      </c>
      <c r="F2370" s="247">
        <v>0.6</v>
      </c>
      <c r="H2370" s="249">
        <f>PRODUCT(D2370:G2370)</f>
        <v>1.44</v>
      </c>
      <c r="J2370" s="253" t="inlineStr">
        <is>
          <t xml:space="preserve">2*1.2*0.6</t>
        </is>
      </c>
    </row>
    <row r="2371">
      <c r="C2371" s="250" t="inlineStr">
        <is>
          <t xml:space="preserve">Total carried to BOQ  4TH FLR item G</t>
        </is>
      </c>
      <c r="D2371" s="250" t="inlineStr">
        <is>
          <t xml:space="preserve"/>
        </is>
      </c>
      <c r="E2371" s="250" t="inlineStr">
        <is>
          <t xml:space="preserve"/>
        </is>
      </c>
      <c r="F2371" s="250" t="inlineStr">
        <is>
          <t xml:space="preserve"/>
        </is>
      </c>
      <c r="G2371" s="250" t="inlineStr">
        <is>
          <t xml:space="preserve"/>
        </is>
      </c>
      <c r="H2371" s="251">
        <f>SUM(H2354:H2370)</f>
        <v>104.71</v>
      </c>
      <c r="I2371" s="252" t="inlineStr">
        <is>
          <t xml:space="preserve">m2</t>
        </is>
      </c>
    </row>
    <row r="2372">
      <c r="C2372" s="242" t="inlineStr">
        <is>
          <t xml:space="preserve">Doors and windows: schedules ARCH-501/502 give building totals only (no tags on plans); quantities are allocated to floors pro-rata to measured habitable / washroom areas. Building totals equal the schedules.</t>
        </is>
      </c>
    </row>
    <row r="2373"/>
    <row r="2374" ht="21" customHeight="1">
      <c r="A2374" s="241" t="inlineStr">
        <is>
          <t xml:space="preserve">BILL NR. 8 - FIFTH FLOOR  -  FIFTH FLOOR</t>
        </is>
      </c>
      <c r="B2374" s="241" t="inlineStr">
        <is>
          <t xml:space="preserve"/>
        </is>
      </c>
      <c r="C2374" s="241" t="inlineStr">
        <is>
          <t xml:space="preserve"/>
        </is>
      </c>
      <c r="D2374" s="241" t="inlineStr">
        <is>
          <t xml:space="preserve"/>
        </is>
      </c>
      <c r="E2374" s="241" t="inlineStr">
        <is>
          <t xml:space="preserve"/>
        </is>
      </c>
      <c r="F2374" s="241" t="inlineStr">
        <is>
          <t xml:space="preserve"/>
        </is>
      </c>
      <c r="G2374" s="241" t="inlineStr">
        <is>
          <t xml:space="preserve"/>
        </is>
      </c>
      <c r="H2374" s="241" t="inlineStr">
        <is>
          <t xml:space="preserve"/>
        </is>
      </c>
      <c r="I2374" s="241" t="inlineStr">
        <is>
          <t xml:space="preserve"/>
        </is>
      </c>
      <c r="J2374" s="241" t="inlineStr">
        <is>
          <t xml:space="preserve"/>
        </is>
      </c>
      <c r="K2374" s="241" t="inlineStr">
        <is>
          <t xml:space="preserve"/>
        </is>
      </c>
    </row>
    <row r="2375">
      <c r="C2375" s="242" t="inlineStr">
        <is>
          <t xml:space="preserve">ELEMENT NO. 1: IN SITU CONCRETE/LARGE PRECAST CONCRETE</t>
        </is>
      </c>
    </row>
    <row r="2376">
      <c r="C2376" s="242" t="inlineStr">
        <is>
          <t xml:space="preserve">Vibrated in-situ concrete C40 as described in:</t>
        </is>
      </c>
    </row>
    <row r="2377">
      <c r="A2377" s="243" t="inlineStr">
        <is>
          <t xml:space="preserve">5TH FLR</t>
        </is>
      </c>
      <c r="B2377" s="243" t="inlineStr">
        <is>
          <t xml:space="preserve">A</t>
        </is>
      </c>
      <c r="C2377" s="244" t="inlineStr">
        <is>
          <t xml:space="preserve">Suspended slab 250mm thick</t>
        </is>
      </c>
      <c r="I2377" s="245" t="inlineStr">
        <is>
          <t xml:space="preserve">m3</t>
        </is>
      </c>
      <c r="K2377" s="256" t="inlineStr">
        <is>
          <t xml:space="preserve">'5TH FLR '!C34</t>
        </is>
      </c>
    </row>
    <row r="2378">
      <c r="C2378" s="246" t="inlineStr">
        <is>
          <t xml:space="preserve">Fifth floor (+17500) - Suspended slab: measured area x 250 thk</t>
        </is>
      </c>
      <c r="E2378" s="247">
        <v>1134.6</v>
      </c>
      <c r="F2378" s="247">
        <v>0.25</v>
      </c>
      <c r="H2378" s="249">
        <f>PRODUCT(D2378:G2378)</f>
        <v>283.65</v>
      </c>
      <c r="J2378" s="253" t="inlineStr">
        <is>
          <t xml:space="preserve">1134.6*0.25</t>
        </is>
      </c>
    </row>
    <row r="2379">
      <c r="C2379" s="250" t="inlineStr">
        <is>
          <t xml:space="preserve">Total carried to BOQ  5TH FLR item A</t>
        </is>
      </c>
      <c r="D2379" s="250" t="inlineStr">
        <is>
          <t xml:space="preserve"/>
        </is>
      </c>
      <c r="E2379" s="250" t="inlineStr">
        <is>
          <t xml:space="preserve"/>
        </is>
      </c>
      <c r="F2379" s="250" t="inlineStr">
        <is>
          <t xml:space="preserve"/>
        </is>
      </c>
      <c r="G2379" s="250" t="inlineStr">
        <is>
          <t xml:space="preserve"/>
        </is>
      </c>
      <c r="H2379" s="251">
        <f>SUM(H2378:H2378)</f>
        <v>283.65</v>
      </c>
      <c r="I2379" s="252" t="inlineStr">
        <is>
          <t xml:space="preserve">m3</t>
        </is>
      </c>
    </row>
    <row r="2380">
      <c r="A2380" s="243" t="inlineStr">
        <is>
          <t xml:space="preserve">5TH FLR</t>
        </is>
      </c>
      <c r="B2380" s="243" t="inlineStr">
        <is>
          <t xml:space="preserve">B</t>
        </is>
      </c>
      <c r="C2380" s="244" t="inlineStr">
        <is>
          <t xml:space="preserve">Beams (downstands below slab)</t>
        </is>
      </c>
      <c r="I2380" s="245" t="inlineStr">
        <is>
          <t xml:space="preserve">m3</t>
        </is>
      </c>
      <c r="K2380" s="256" t="inlineStr">
        <is>
          <t xml:space="preserve">'5TH FLR '!C36</t>
        </is>
      </c>
    </row>
    <row r="2381">
      <c r="C2381" s="246" t="inlineStr">
        <is>
          <t xml:space="preserve">Fifth floor (+17500) - 300 wide beams: length x width x depth</t>
        </is>
      </c>
      <c r="E2381" s="247">
        <v>166.8</v>
      </c>
      <c r="F2381" s="247">
        <v>0.3</v>
      </c>
      <c r="G2381" s="247">
        <v>0.35</v>
      </c>
      <c r="H2381" s="249">
        <f>PRODUCT(D2381:G2381)</f>
        <v>17.514</v>
      </c>
      <c r="J2381" s="253" t="inlineStr">
        <is>
          <t xml:space="preserve">166.8*0.3*0.35</t>
        </is>
      </c>
    </row>
    <row r="2382">
      <c r="C2382" s="246" t="inlineStr">
        <is>
          <t xml:space="preserve">Fifth floor (+17500) - 200 wide beams: length x width x depth</t>
        </is>
      </c>
      <c r="E2382" s="247">
        <v>33.1</v>
      </c>
      <c r="F2382" s="247">
        <v>0.2</v>
      </c>
      <c r="G2382" s="247">
        <v>0.35</v>
      </c>
      <c r="H2382" s="249">
        <f>PRODUCT(D2382:G2382)</f>
        <v>2.317</v>
      </c>
      <c r="J2382" s="253" t="inlineStr">
        <is>
          <t xml:space="preserve">33.1*0.2*0.35</t>
        </is>
      </c>
    </row>
    <row r="2383">
      <c r="C2383" s="250" t="inlineStr">
        <is>
          <t xml:space="preserve">Total carried to BOQ  5TH FLR item B</t>
        </is>
      </c>
      <c r="D2383" s="250" t="inlineStr">
        <is>
          <t xml:space="preserve"/>
        </is>
      </c>
      <c r="E2383" s="250" t="inlineStr">
        <is>
          <t xml:space="preserve"/>
        </is>
      </c>
      <c r="F2383" s="250" t="inlineStr">
        <is>
          <t xml:space="preserve"/>
        </is>
      </c>
      <c r="G2383" s="250" t="inlineStr">
        <is>
          <t xml:space="preserve"/>
        </is>
      </c>
      <c r="H2383" s="251">
        <f>SUM(H2381:H2382)</f>
        <v>19.831</v>
      </c>
      <c r="I2383" s="252" t="inlineStr">
        <is>
          <t xml:space="preserve">m3</t>
        </is>
      </c>
    </row>
    <row r="2384">
      <c r="A2384" s="243" t="inlineStr">
        <is>
          <t xml:space="preserve">5TH FLR</t>
        </is>
      </c>
      <c r="B2384" s="243" t="inlineStr">
        <is>
          <t xml:space="preserve">C</t>
        </is>
      </c>
      <c r="C2384" s="244" t="inlineStr">
        <is>
          <t xml:space="preserve">Columns</t>
        </is>
      </c>
      <c r="I2384" s="245" t="inlineStr">
        <is>
          <t xml:space="preserve">m3</t>
        </is>
      </c>
      <c r="K2384" s="256" t="inlineStr">
        <is>
          <t xml:space="preserve">'5TH FLR '!C38</t>
        </is>
      </c>
    </row>
    <row r="2385">
      <c r="C2385" s="246" t="inlineStr">
        <is>
          <t xml:space="preserve">COL-01A x5 - column (5th to 6th), ht 3.05</t>
        </is>
      </c>
      <c r="D2385" s="248">
        <v>5</v>
      </c>
      <c r="E2385" s="247">
        <v>0.75</v>
      </c>
      <c r="F2385" s="247">
        <v>0.5</v>
      </c>
      <c r="G2385" s="247">
        <v>3.05</v>
      </c>
      <c r="H2385" s="249">
        <f>PRODUCT(D2385:G2385)</f>
        <v>5.71875</v>
      </c>
      <c r="J2385" s="253" t="inlineStr">
        <is>
          <t xml:space="preserve">5*0.75*0.5*3.05</t>
        </is>
      </c>
    </row>
    <row r="2386">
      <c r="C2386" s="246" t="inlineStr">
        <is>
          <t xml:space="preserve">COL-01B x1 - column (5th to 6th), ht 3.05</t>
        </is>
      </c>
      <c r="D2386" s="248">
        <v>1</v>
      </c>
      <c r="E2386" s="247">
        <v>0.75</v>
      </c>
      <c r="F2386" s="247">
        <v>0.5</v>
      </c>
      <c r="G2386" s="247">
        <v>3.05</v>
      </c>
      <c r="H2386" s="249">
        <f>PRODUCT(D2386:G2386)</f>
        <v>1.1437499999999998</v>
      </c>
      <c r="J2386" s="253" t="inlineStr">
        <is>
          <t xml:space="preserve">1*0.75*0.5*3.05</t>
        </is>
      </c>
    </row>
    <row r="2387">
      <c r="C2387" s="246" t="inlineStr">
        <is>
          <t xml:space="preserve">COL-01C x2 - column (5th to 6th), ht 3.05</t>
        </is>
      </c>
      <c r="D2387" s="248">
        <v>2</v>
      </c>
      <c r="E2387" s="247">
        <v>0.75</v>
      </c>
      <c r="F2387" s="247">
        <v>0.5</v>
      </c>
      <c r="G2387" s="247">
        <v>3.05</v>
      </c>
      <c r="H2387" s="249">
        <f>PRODUCT(D2387:G2387)</f>
        <v>2.2874999999999996</v>
      </c>
      <c r="J2387" s="253" t="inlineStr">
        <is>
          <t xml:space="preserve">2*0.75*0.5*3.05</t>
        </is>
      </c>
    </row>
    <row r="2388">
      <c r="C2388" s="246" t="inlineStr">
        <is>
          <t xml:space="preserve">COL-01D x1 - column (5th to 6th), ht 3.05</t>
        </is>
      </c>
      <c r="D2388" s="248">
        <v>1</v>
      </c>
      <c r="E2388" s="247">
        <v>0.75</v>
      </c>
      <c r="F2388" s="247">
        <v>0.5</v>
      </c>
      <c r="G2388" s="247">
        <v>3.05</v>
      </c>
      <c r="H2388" s="249">
        <f>PRODUCT(D2388:G2388)</f>
        <v>1.1437499999999998</v>
      </c>
      <c r="J2388" s="253" t="inlineStr">
        <is>
          <t xml:space="preserve">1*0.75*0.5*3.05</t>
        </is>
      </c>
    </row>
    <row r="2389">
      <c r="C2389" s="246" t="inlineStr">
        <is>
          <t xml:space="preserve">COL-02A x3 - column (5th to 6th), ht 3.05</t>
        </is>
      </c>
      <c r="D2389" s="248">
        <v>3</v>
      </c>
      <c r="E2389" s="247">
        <v>1.2</v>
      </c>
      <c r="F2389" s="247">
        <v>0.3</v>
      </c>
      <c r="G2389" s="247">
        <v>3.05</v>
      </c>
      <c r="H2389" s="249">
        <f>PRODUCT(D2389:G2389)</f>
        <v>3.293999999999999</v>
      </c>
      <c r="J2389" s="253" t="inlineStr">
        <is>
          <t xml:space="preserve">3*1.2*0.3*3.05</t>
        </is>
      </c>
    </row>
    <row r="2390">
      <c r="C2390" s="246" t="inlineStr">
        <is>
          <t xml:space="preserve">COL-02B x6 - column (5th to 6th), ht 3.05</t>
        </is>
      </c>
      <c r="D2390" s="248">
        <v>6</v>
      </c>
      <c r="E2390" s="247">
        <v>1.2</v>
      </c>
      <c r="F2390" s="247">
        <v>0.3</v>
      </c>
      <c r="G2390" s="247">
        <v>3.05</v>
      </c>
      <c r="H2390" s="249">
        <f>PRODUCT(D2390:G2390)</f>
        <v>6.587999999999998</v>
      </c>
      <c r="J2390" s="253" t="inlineStr">
        <is>
          <t xml:space="preserve">6*1.2*0.3*3.05</t>
        </is>
      </c>
    </row>
    <row r="2391">
      <c r="C2391" s="246" t="inlineStr">
        <is>
          <t xml:space="preserve">COL-02C x1 - column (5th to 6th), ht 3.05</t>
        </is>
      </c>
      <c r="D2391" s="248">
        <v>1</v>
      </c>
      <c r="E2391" s="247">
        <v>1.2</v>
      </c>
      <c r="F2391" s="247">
        <v>0.3</v>
      </c>
      <c r="G2391" s="247">
        <v>3.05</v>
      </c>
      <c r="H2391" s="249">
        <f>PRODUCT(D2391:G2391)</f>
        <v>1.0979999999999999</v>
      </c>
      <c r="J2391" s="253" t="inlineStr">
        <is>
          <t xml:space="preserve">1*1.2*0.3*3.05</t>
        </is>
      </c>
    </row>
    <row r="2392">
      <c r="C2392" s="246" t="inlineStr">
        <is>
          <t xml:space="preserve">COL-02D x15 - column (5th to 6th), ht 3.05</t>
        </is>
      </c>
      <c r="D2392" s="248">
        <v>15</v>
      </c>
      <c r="E2392" s="247">
        <v>1.2</v>
      </c>
      <c r="F2392" s="247">
        <v>0.3</v>
      </c>
      <c r="G2392" s="247">
        <v>3.05</v>
      </c>
      <c r="H2392" s="249">
        <f>PRODUCT(D2392:G2392)</f>
        <v>16.47</v>
      </c>
      <c r="J2392" s="253" t="inlineStr">
        <is>
          <t xml:space="preserve">15*1.2*0.3*3.05</t>
        </is>
      </c>
    </row>
    <row r="2393">
      <c r="C2393" s="246" t="inlineStr">
        <is>
          <t xml:space="preserve">SWC-01A x1 - column (5th to 6th), ht 3.05</t>
        </is>
      </c>
      <c r="D2393" s="248">
        <v>1</v>
      </c>
      <c r="E2393" s="247">
        <f>2.85*0.25+0.825*0.25</f>
        <v>0.91875</v>
      </c>
      <c r="F2393" s="247">
        <v>3.05</v>
      </c>
      <c r="H2393" s="249">
        <f>PRODUCT(D2393:G2393)</f>
        <v>2.8021874999999996</v>
      </c>
      <c r="J2393" s="253" t="inlineStr">
        <is>
          <t xml:space="preserve">1*(2.85*0.25+0.825*0.25)*3.05</t>
        </is>
      </c>
    </row>
    <row r="2394">
      <c r="C2394" s="250" t="inlineStr">
        <is>
          <t xml:space="preserve">Total carried to BOQ  5TH FLR item C</t>
        </is>
      </c>
      <c r="D2394" s="250" t="inlineStr">
        <is>
          <t xml:space="preserve"/>
        </is>
      </c>
      <c r="E2394" s="250" t="inlineStr">
        <is>
          <t xml:space="preserve"/>
        </is>
      </c>
      <c r="F2394" s="250" t="inlineStr">
        <is>
          <t xml:space="preserve"/>
        </is>
      </c>
      <c r="G2394" s="250" t="inlineStr">
        <is>
          <t xml:space="preserve"/>
        </is>
      </c>
      <c r="H2394" s="251">
        <f>SUM(H2385:H2393)</f>
        <v>40.545937499999994</v>
      </c>
      <c r="I2394" s="252" t="inlineStr">
        <is>
          <t xml:space="preserve">m3</t>
        </is>
      </c>
    </row>
    <row r="2395">
      <c r="A2395" s="243" t="inlineStr">
        <is>
          <t xml:space="preserve">5TH FLR</t>
        </is>
      </c>
      <c r="B2395" s="243" t="inlineStr">
        <is>
          <t xml:space="preserve">D</t>
        </is>
      </c>
      <c r="C2395" s="244" t="inlineStr">
        <is>
          <t xml:space="preserve">Concrete wall - shear walls to main &amp; emergency stair cores, 250mm thick</t>
        </is>
      </c>
      <c r="I2395" s="245" t="inlineStr">
        <is>
          <t xml:space="preserve">m3</t>
        </is>
      </c>
      <c r="K2395" s="256" t="inlineStr">
        <is>
          <t xml:space="preserve">'5TH FLR '!C40</t>
        </is>
      </c>
    </row>
    <row r="2396">
      <c r="C2396" s="246" t="inlineStr">
        <is>
          <t xml:space="preserve">Fifth floor (+17500) - main stair core walls (22.05 m run): run x ht x 250 thk</t>
        </is>
      </c>
      <c r="E2396" s="247">
        <v>22.05</v>
      </c>
      <c r="F2396" s="247">
        <v>3.05</v>
      </c>
      <c r="G2396" s="247">
        <v>0.25</v>
      </c>
      <c r="H2396" s="249">
        <f>PRODUCT(D2396:G2396)</f>
        <v>16.813125</v>
      </c>
      <c r="J2396" s="253" t="inlineStr">
        <is>
          <t xml:space="preserve">22.05*3.05*0.25</t>
        </is>
      </c>
    </row>
    <row r="2397">
      <c r="C2397" s="246" t="inlineStr">
        <is>
          <t xml:space="preserve">Fifth floor (+17500) - emergency stair core walls (25.57 m run): run x ht x 250 thk</t>
        </is>
      </c>
      <c r="E2397" s="247">
        <v>25.57</v>
      </c>
      <c r="F2397" s="247">
        <v>3.05</v>
      </c>
      <c r="G2397" s="247">
        <v>0.25</v>
      </c>
      <c r="H2397" s="249">
        <f>PRODUCT(D2397:G2397)</f>
        <v>19.497125</v>
      </c>
      <c r="J2397" s="253" t="inlineStr">
        <is>
          <t xml:space="preserve">25.57*3.05*0.25</t>
        </is>
      </c>
    </row>
    <row r="2398">
      <c r="C2398" s="250" t="inlineStr">
        <is>
          <t xml:space="preserve">Total carried to BOQ  5TH FLR item D</t>
        </is>
      </c>
      <c r="D2398" s="250" t="inlineStr">
        <is>
          <t xml:space="preserve"/>
        </is>
      </c>
      <c r="E2398" s="250" t="inlineStr">
        <is>
          <t xml:space="preserve"/>
        </is>
      </c>
      <c r="F2398" s="250" t="inlineStr">
        <is>
          <t xml:space="preserve"/>
        </is>
      </c>
      <c r="G2398" s="250" t="inlineStr">
        <is>
          <t xml:space="preserve"/>
        </is>
      </c>
      <c r="H2398" s="251">
        <f>SUM(H2396:H2397)</f>
        <v>36.310249999999996</v>
      </c>
      <c r="I2398" s="252" t="inlineStr">
        <is>
          <t xml:space="preserve">m3</t>
        </is>
      </c>
    </row>
    <row r="2399">
      <c r="A2399" s="243" t="inlineStr">
        <is>
          <t xml:space="preserve">5TH FLR</t>
        </is>
      </c>
      <c r="B2399" s="243" t="inlineStr">
        <is>
          <t xml:space="preserve">E</t>
        </is>
      </c>
      <c r="C2399" s="244" t="inlineStr">
        <is>
          <t xml:space="preserve">Concrete wall - lift walls, 250mm thick</t>
        </is>
      </c>
      <c r="I2399" s="245" t="inlineStr">
        <is>
          <t xml:space="preserve">m3</t>
        </is>
      </c>
      <c r="K2399" s="256" t="inlineStr">
        <is>
          <t xml:space="preserve">'5TH FLR '!C42</t>
        </is>
      </c>
    </row>
    <row r="2400">
      <c r="C2400" s="246" t="inlineStr">
        <is>
          <t xml:space="preserve">Fifth floor (+17500) - lift core walls (21.825 m run): run x ht x 250 thk</t>
        </is>
      </c>
      <c r="E2400" s="247">
        <v>21.825</v>
      </c>
      <c r="F2400" s="247">
        <v>3.05</v>
      </c>
      <c r="G2400" s="247">
        <v>0.25</v>
      </c>
      <c r="H2400" s="249">
        <f>PRODUCT(D2400:G2400)</f>
        <v>16.6415625</v>
      </c>
      <c r="J2400" s="253" t="inlineStr">
        <is>
          <t xml:space="preserve">21.825*3.05*0.25</t>
        </is>
      </c>
    </row>
    <row r="2401">
      <c r="C2401" s="250" t="inlineStr">
        <is>
          <t xml:space="preserve">Total carried to BOQ  5TH FLR item E</t>
        </is>
      </c>
      <c r="D2401" s="250" t="inlineStr">
        <is>
          <t xml:space="preserve"/>
        </is>
      </c>
      <c r="E2401" s="250" t="inlineStr">
        <is>
          <t xml:space="preserve"/>
        </is>
      </c>
      <c r="F2401" s="250" t="inlineStr">
        <is>
          <t xml:space="preserve"/>
        </is>
      </c>
      <c r="G2401" s="250" t="inlineStr">
        <is>
          <t xml:space="preserve"/>
        </is>
      </c>
      <c r="H2401" s="251">
        <f>SUM(H2400:H2400)</f>
        <v>16.6415625</v>
      </c>
      <c r="I2401" s="252" t="inlineStr">
        <is>
          <t xml:space="preserve">m3</t>
        </is>
      </c>
    </row>
    <row r="2402">
      <c r="A2402" s="243" t="inlineStr">
        <is>
          <t xml:space="preserve">5TH FLR</t>
        </is>
      </c>
      <c r="B2402" s="243" t="inlineStr">
        <is>
          <t xml:space="preserve">F</t>
        </is>
      </c>
      <c r="C2402" s="244" t="inlineStr">
        <is>
          <t xml:space="preserve">Stairs</t>
        </is>
      </c>
      <c r="I2402" s="245" t="inlineStr">
        <is>
          <t xml:space="preserve">m3</t>
        </is>
      </c>
      <c r="K2402" s="256" t="inlineStr">
        <is>
          <t xml:space="preserve">'5TH FLR '!C44</t>
        </is>
      </c>
    </row>
    <row r="2403">
      <c r="C2403" s="246" t="inlineStr">
        <is>
          <t xml:space="preserve">Fifth floor (+17500) - Main stair flight (storey ht 3.3) - flights: 2.966 m3 per 3.3 m storey x (storey ht / 3.3)</t>
        </is>
      </c>
      <c r="E2403" s="247">
        <v>2.966</v>
      </c>
      <c r="F2403" s="247">
        <f>3.3/3.3</f>
        <v>1.0</v>
      </c>
      <c r="H2403" s="249">
        <f>PRODUCT(D2403:G2403)</f>
        <v>2.966</v>
      </c>
      <c r="J2403" s="253" t="inlineStr">
        <is>
          <t xml:space="preserve">2.966*3.3/3.3</t>
        </is>
      </c>
    </row>
    <row r="2404">
      <c r="C2404" s="246" t="inlineStr">
        <is>
          <t xml:space="preserve">Fifth floor (+17500) - Main stair flight (storey ht 3.3) - landings</t>
        </is>
      </c>
      <c r="H2404" s="247">
        <v>2.625</v>
      </c>
      <c r="J2404" s="253" t="inlineStr">
        <is>
          <t xml:space="preserve">2.625</t>
        </is>
      </c>
    </row>
    <row r="2405">
      <c r="C2405" s="246" t="inlineStr">
        <is>
          <t xml:space="preserve">Fifth floor (+17500) - Emergency stair flight (storey ht 3.3) - flights: 2.966 m3 per 3.3 m storey x (storey ht / 3.3)</t>
        </is>
      </c>
      <c r="E2405" s="247">
        <v>2.966</v>
      </c>
      <c r="F2405" s="247">
        <f>3.3/3.3</f>
        <v>1.0</v>
      </c>
      <c r="H2405" s="249">
        <f>PRODUCT(D2405:G2405)</f>
        <v>2.966</v>
      </c>
      <c r="J2405" s="253" t="inlineStr">
        <is>
          <t xml:space="preserve">2.966*3.3/3.3</t>
        </is>
      </c>
    </row>
    <row r="2406">
      <c r="C2406" s="246" t="inlineStr">
        <is>
          <t xml:space="preserve">Fifth floor (+17500) - Emergency stair flight (storey ht 3.3) - landings</t>
        </is>
      </c>
      <c r="H2406" s="247">
        <v>2.625</v>
      </c>
      <c r="J2406" s="253" t="inlineStr">
        <is>
          <t xml:space="preserve">2.625</t>
        </is>
      </c>
    </row>
    <row r="2407">
      <c r="C2407" s="250" t="inlineStr">
        <is>
          <t xml:space="preserve">Total carried to BOQ  5TH FLR item F</t>
        </is>
      </c>
      <c r="D2407" s="250" t="inlineStr">
        <is>
          <t xml:space="preserve"/>
        </is>
      </c>
      <c r="E2407" s="250" t="inlineStr">
        <is>
          <t xml:space="preserve"/>
        </is>
      </c>
      <c r="F2407" s="250" t="inlineStr">
        <is>
          <t xml:space="preserve"/>
        </is>
      </c>
      <c r="G2407" s="250" t="inlineStr">
        <is>
          <t xml:space="preserve"/>
        </is>
      </c>
      <c r="H2407" s="251">
        <f>SUM(H2403:H2406)</f>
        <v>11.182</v>
      </c>
      <c r="I2407" s="252" t="inlineStr">
        <is>
          <t xml:space="preserve">m3</t>
        </is>
      </c>
    </row>
    <row r="2408">
      <c r="A2408" s="243" t="inlineStr">
        <is>
          <t xml:space="preserve">5TH FLR</t>
        </is>
      </c>
      <c r="B2408" s="243" t="inlineStr">
        <is>
          <t xml:space="preserve">G</t>
        </is>
      </c>
      <c r="C2408" s="244" t="inlineStr">
        <is>
          <t xml:space="preserve">Lintels 150 x 225mm over door and window openings</t>
        </is>
      </c>
      <c r="I2408" s="245" t="inlineStr">
        <is>
          <t xml:space="preserve">m3</t>
        </is>
      </c>
      <c r="K2408" s="256" t="inlineStr">
        <is>
          <t xml:space="preserve">'5TH FLR '!C46</t>
        </is>
      </c>
    </row>
    <row r="2409">
      <c r="C2409" s="246" t="inlineStr">
        <is>
          <t xml:space="preserve">Lintel over D2 (7 nr, 1x2.2): nr x (width + 2 x 150 bearing) x 150 x 225</t>
        </is>
      </c>
      <c r="D2409" s="248">
        <v>7</v>
      </c>
      <c r="E2409" s="247">
        <f>1+0.3</f>
        <v>1.3</v>
      </c>
      <c r="F2409" s="247">
        <v>0.15</v>
      </c>
      <c r="G2409" s="247">
        <v>0.225</v>
      </c>
      <c r="H2409" s="249">
        <f>PRODUCT(D2409:G2409)</f>
        <v>0.307125</v>
      </c>
      <c r="J2409" s="253" t="inlineStr">
        <is>
          <t xml:space="preserve">7*(1+0.3)*0.15*0.225</t>
        </is>
      </c>
    </row>
    <row r="2410">
      <c r="C2410" s="246" t="inlineStr">
        <is>
          <t xml:space="preserve">Lintel over D3 (15 nr, 0.9x2.2): nr x (width + 2 x 150 bearing) x 150 x 225</t>
        </is>
      </c>
      <c r="D2410" s="248">
        <v>15</v>
      </c>
      <c r="E2410" s="247">
        <f>0.9+0.3</f>
        <v>1.2</v>
      </c>
      <c r="F2410" s="247">
        <v>0.15</v>
      </c>
      <c r="G2410" s="247">
        <v>0.225</v>
      </c>
      <c r="H2410" s="249">
        <f>PRODUCT(D2410:G2410)</f>
        <v>0.6074999999999999</v>
      </c>
      <c r="J2410" s="253" t="inlineStr">
        <is>
          <t xml:space="preserve">15*(0.9+0.3)*0.15*0.225</t>
        </is>
      </c>
    </row>
    <row r="2411">
      <c r="C2411" s="246" t="inlineStr">
        <is>
          <t xml:space="preserve">Lintel over D6 (20 nr, 0.75x2.2): nr x (width + 2 x 150 bearing) x 150 x 225</t>
        </is>
      </c>
      <c r="D2411" s="248">
        <v>20</v>
      </c>
      <c r="E2411" s="247">
        <f>0.75+0.3</f>
        <v>1.05</v>
      </c>
      <c r="F2411" s="247">
        <v>0.15</v>
      </c>
      <c r="G2411" s="247">
        <v>0.225</v>
      </c>
      <c r="H2411" s="249">
        <f>PRODUCT(D2411:G2411)</f>
        <v>0.70875</v>
      </c>
      <c r="J2411" s="253" t="inlineStr">
        <is>
          <t xml:space="preserve">20*(0.75+0.3)*0.15*0.225</t>
        </is>
      </c>
    </row>
    <row r="2412">
      <c r="C2412" s="246" t="inlineStr">
        <is>
          <t xml:space="preserve">Lintel over D7 (1 nr, 0.7x2.2): nr x (width + 2 x 150 bearing) x 150 x 225</t>
        </is>
      </c>
      <c r="D2412" s="248">
        <v>1</v>
      </c>
      <c r="E2412" s="247">
        <f>0.7+0.3</f>
        <v>1.0</v>
      </c>
      <c r="F2412" s="247">
        <v>0.15</v>
      </c>
      <c r="G2412" s="247">
        <v>0.225</v>
      </c>
      <c r="H2412" s="249">
        <f>PRODUCT(D2412:G2412)</f>
        <v>0.03375</v>
      </c>
      <c r="J2412" s="253" t="inlineStr">
        <is>
          <t xml:space="preserve">1*(0.7+0.3)*0.15*0.225</t>
        </is>
      </c>
    </row>
    <row r="2413">
      <c r="C2413" s="246" t="inlineStr">
        <is>
          <t xml:space="preserve">Lintel over D8 (3 nr, 1.2x2.2): nr x (width + 2 x 150 bearing) x 150 x 225</t>
        </is>
      </c>
      <c r="D2413" s="248">
        <v>3</v>
      </c>
      <c r="E2413" s="247">
        <f>1.2+0.3</f>
        <v>1.5</v>
      </c>
      <c r="F2413" s="247">
        <v>0.15</v>
      </c>
      <c r="G2413" s="247">
        <v>0.225</v>
      </c>
      <c r="H2413" s="249">
        <f>PRODUCT(D2413:G2413)</f>
        <v>0.15187499999999998</v>
      </c>
      <c r="J2413" s="253" t="inlineStr">
        <is>
          <t xml:space="preserve">3*(1.2+0.3)*0.15*0.225</t>
        </is>
      </c>
    </row>
    <row r="2414">
      <c r="C2414" s="246" t="inlineStr">
        <is>
          <t xml:space="preserve">Lintel over ED1 (3 nr, 1x2.2): nr x (width + 2 x 150 bearing) x 150 x 225</t>
        </is>
      </c>
      <c r="D2414" s="248">
        <v>3</v>
      </c>
      <c r="E2414" s="247">
        <f>1+0.3</f>
        <v>1.3</v>
      </c>
      <c r="F2414" s="247">
        <v>0.15</v>
      </c>
      <c r="G2414" s="247">
        <v>0.225</v>
      </c>
      <c r="H2414" s="249">
        <f>PRODUCT(D2414:G2414)</f>
        <v>0.13162500000000002</v>
      </c>
      <c r="J2414" s="253" t="inlineStr">
        <is>
          <t xml:space="preserve">3*(1+0.3)*0.15*0.225</t>
        </is>
      </c>
    </row>
    <row r="2415">
      <c r="C2415" s="246" t="inlineStr">
        <is>
          <t xml:space="preserve">Lintel over ED2 (3 nr, 1x2.2): nr x (width + 2 x 150 bearing) x 150 x 225</t>
        </is>
      </c>
      <c r="D2415" s="248">
        <v>3</v>
      </c>
      <c r="E2415" s="247">
        <f>1+0.3</f>
        <v>1.3</v>
      </c>
      <c r="F2415" s="247">
        <v>0.15</v>
      </c>
      <c r="G2415" s="247">
        <v>0.225</v>
      </c>
      <c r="H2415" s="249">
        <f>PRODUCT(D2415:G2415)</f>
        <v>0.13162500000000002</v>
      </c>
      <c r="J2415" s="253" t="inlineStr">
        <is>
          <t xml:space="preserve">3*(1+0.3)*0.15*0.225</t>
        </is>
      </c>
    </row>
    <row r="2416">
      <c r="C2416" s="246" t="inlineStr">
        <is>
          <t xml:space="preserve">Lintel over D9 (1 nr, 0.9x2.2): nr x (width + 2 x 150 bearing) x 150 x 225</t>
        </is>
      </c>
      <c r="D2416" s="248">
        <v>1</v>
      </c>
      <c r="E2416" s="247">
        <f>0.9+0.3</f>
        <v>1.2</v>
      </c>
      <c r="F2416" s="247">
        <v>0.15</v>
      </c>
      <c r="G2416" s="247">
        <v>0.225</v>
      </c>
      <c r="H2416" s="249">
        <f>PRODUCT(D2416:G2416)</f>
        <v>0.0405</v>
      </c>
      <c r="J2416" s="253" t="inlineStr">
        <is>
          <t xml:space="preserve">1*(0.9+0.3)*0.15*0.225</t>
        </is>
      </c>
    </row>
    <row r="2417">
      <c r="C2417" s="246" t="inlineStr">
        <is>
          <t xml:space="preserve">Lintel over FD1 (1 nr, 1.5x2.2): nr x (width + 2 x 150 bearing) x 150 x 225</t>
        </is>
      </c>
      <c r="D2417" s="248">
        <v>1</v>
      </c>
      <c r="E2417" s="247">
        <f>1.5+0.3</f>
        <v>1.8</v>
      </c>
      <c r="F2417" s="247">
        <v>0.15</v>
      </c>
      <c r="G2417" s="247">
        <v>0.225</v>
      </c>
      <c r="H2417" s="249">
        <f>PRODUCT(D2417:G2417)</f>
        <v>0.060750000000000005</v>
      </c>
      <c r="J2417" s="253" t="inlineStr">
        <is>
          <t xml:space="preserve">1*(1.5+0.3)*0.15*0.225</t>
        </is>
      </c>
    </row>
    <row r="2418">
      <c r="C2418" s="246" t="inlineStr">
        <is>
          <t xml:space="preserve">Lintel over M1 (2 nr, 0.9x2.2): nr x (width + 2 x 150 bearing) x 150 x 225</t>
        </is>
      </c>
      <c r="D2418" s="248">
        <v>2</v>
      </c>
      <c r="E2418" s="247">
        <f>0.9+0.3</f>
        <v>1.2</v>
      </c>
      <c r="F2418" s="247">
        <v>0.15</v>
      </c>
      <c r="G2418" s="247">
        <v>0.225</v>
      </c>
      <c r="H2418" s="249">
        <f>PRODUCT(D2418:G2418)</f>
        <v>0.081</v>
      </c>
      <c r="J2418" s="253" t="inlineStr">
        <is>
          <t xml:space="preserve">2*(0.9+0.3)*0.15*0.225</t>
        </is>
      </c>
    </row>
    <row r="2419">
      <c r="C2419" s="246" t="inlineStr">
        <is>
          <t xml:space="preserve">Lintel over M2 (5 nr, 0.75x2.2): nr x (width + 2 x 150 bearing) x 150 x 225</t>
        </is>
      </c>
      <c r="D2419" s="248">
        <v>5</v>
      </c>
      <c r="E2419" s="247">
        <f>0.75+0.3</f>
        <v>1.05</v>
      </c>
      <c r="F2419" s="247">
        <v>0.15</v>
      </c>
      <c r="G2419" s="247">
        <v>0.225</v>
      </c>
      <c r="H2419" s="249">
        <f>PRODUCT(D2419:G2419)</f>
        <v>0.1771875</v>
      </c>
      <c r="J2419" s="253" t="inlineStr">
        <is>
          <t xml:space="preserve">5*(0.75+0.3)*0.15*0.225</t>
        </is>
      </c>
    </row>
    <row r="2420">
      <c r="C2420" s="246" t="inlineStr">
        <is>
          <t xml:space="preserve">Lintel over M3 (1 nr, 0.45x2.2): nr x (width + 2 x 150 bearing) x 150 x 225</t>
        </is>
      </c>
      <c r="D2420" s="248">
        <v>1</v>
      </c>
      <c r="E2420" s="247">
        <f>0.45+0.3</f>
        <v>0.75</v>
      </c>
      <c r="F2420" s="247">
        <v>0.15</v>
      </c>
      <c r="G2420" s="247">
        <v>0.225</v>
      </c>
      <c r="H2420" s="249">
        <f>PRODUCT(D2420:G2420)</f>
        <v>0.025312499999999998</v>
      </c>
      <c r="J2420" s="253" t="inlineStr">
        <is>
          <t xml:space="preserve">1*(0.45+0.3)*0.15*0.225</t>
        </is>
      </c>
    </row>
    <row r="2421">
      <c r="C2421" s="246" t="inlineStr">
        <is>
          <t xml:space="preserve">Lintel over M5 (3 nr, 0.6x2.2): nr x (width + 2 x 150 bearing) x 150 x 225</t>
        </is>
      </c>
      <c r="D2421" s="248">
        <v>3</v>
      </c>
      <c r="E2421" s="247">
        <f>0.6+0.3</f>
        <v>0.8999999999999999</v>
      </c>
      <c r="F2421" s="247">
        <v>0.15</v>
      </c>
      <c r="G2421" s="247">
        <v>0.225</v>
      </c>
      <c r="H2421" s="249">
        <f>PRODUCT(D2421:G2421)</f>
        <v>0.091125</v>
      </c>
      <c r="J2421" s="253" t="inlineStr">
        <is>
          <t xml:space="preserve">3*(0.6+0.3)*0.15*0.225</t>
        </is>
      </c>
    </row>
    <row r="2422">
      <c r="C2422" s="246" t="inlineStr">
        <is>
          <t xml:space="preserve">Lintel over SD1 (1 nr, 3x2.2): nr x (width + 2 x 150 bearing) x 150 x 225</t>
        </is>
      </c>
      <c r="D2422" s="248">
        <v>1</v>
      </c>
      <c r="E2422" s="247">
        <f>3+0.3</f>
        <v>3.3</v>
      </c>
      <c r="F2422" s="247">
        <v>0.15</v>
      </c>
      <c r="G2422" s="247">
        <v>0.225</v>
      </c>
      <c r="H2422" s="249">
        <f>PRODUCT(D2422:G2422)</f>
        <v>0.11137499999999999</v>
      </c>
      <c r="J2422" s="253" t="inlineStr">
        <is>
          <t xml:space="preserve">1*(3+0.3)*0.15*0.225</t>
        </is>
      </c>
    </row>
    <row r="2423">
      <c r="C2423" s="246" t="inlineStr">
        <is>
          <t xml:space="preserve">Lintel over SD2 (3 nr, 1.6x2.2): nr x (width + 2 x 150 bearing) x 150 x 225</t>
        </is>
      </c>
      <c r="D2423" s="248">
        <v>3</v>
      </c>
      <c r="E2423" s="247">
        <f>1.6+0.3</f>
        <v>1.9000000000000001</v>
      </c>
      <c r="F2423" s="247">
        <v>0.15</v>
      </c>
      <c r="G2423" s="247">
        <v>0.225</v>
      </c>
      <c r="H2423" s="249">
        <f>PRODUCT(D2423:G2423)</f>
        <v>0.192375</v>
      </c>
      <c r="J2423" s="253" t="inlineStr">
        <is>
          <t xml:space="preserve">3*(1.6+0.3)*0.15*0.225</t>
        </is>
      </c>
    </row>
    <row r="2424">
      <c r="C2424" s="246" t="inlineStr">
        <is>
          <t xml:space="preserve">Lintel over SD3 (2 nr, 1.3x2.2): nr x (width + 2 x 150 bearing) x 150 x 225</t>
        </is>
      </c>
      <c r="D2424" s="248">
        <v>2</v>
      </c>
      <c r="E2424" s="247">
        <f>1.3+0.3</f>
        <v>1.6</v>
      </c>
      <c r="F2424" s="247">
        <v>0.15</v>
      </c>
      <c r="G2424" s="247">
        <v>0.225</v>
      </c>
      <c r="H2424" s="249">
        <f>PRODUCT(D2424:G2424)</f>
        <v>0.108</v>
      </c>
      <c r="J2424" s="253" t="inlineStr">
        <is>
          <t xml:space="preserve">2*(1.3+0.3)*0.15*0.225</t>
        </is>
      </c>
    </row>
    <row r="2425">
      <c r="C2425" s="246" t="inlineStr">
        <is>
          <t xml:space="preserve">Lintel over SD4 (4 nr, 1.8x2.2): nr x (width + 2 x 150 bearing) x 150 x 225</t>
        </is>
      </c>
      <c r="D2425" s="248">
        <v>4</v>
      </c>
      <c r="E2425" s="247">
        <f>1.8+0.3</f>
        <v>2.1</v>
      </c>
      <c r="F2425" s="247">
        <v>0.15</v>
      </c>
      <c r="G2425" s="247">
        <v>0.225</v>
      </c>
      <c r="H2425" s="249">
        <f>PRODUCT(D2425:G2425)</f>
        <v>0.28350000000000003</v>
      </c>
      <c r="J2425" s="253" t="inlineStr">
        <is>
          <t xml:space="preserve">4*(1.8+0.3)*0.15*0.225</t>
        </is>
      </c>
    </row>
    <row r="2426">
      <c r="C2426" s="246" t="inlineStr">
        <is>
          <t xml:space="preserve">Lintel over SD5 (1 nr, 1.2x2.2): nr x (width + 2 x 150 bearing) x 150 x 225</t>
        </is>
      </c>
      <c r="D2426" s="248">
        <v>1</v>
      </c>
      <c r="E2426" s="247">
        <f>1.2+0.3</f>
        <v>1.5</v>
      </c>
      <c r="F2426" s="247">
        <v>0.15</v>
      </c>
      <c r="G2426" s="247">
        <v>0.225</v>
      </c>
      <c r="H2426" s="249">
        <f>PRODUCT(D2426:G2426)</f>
        <v>0.050624999999999996</v>
      </c>
      <c r="J2426" s="253" t="inlineStr">
        <is>
          <t xml:space="preserve">1*(1.2+0.3)*0.15*0.225</t>
        </is>
      </c>
    </row>
    <row r="2427">
      <c r="C2427" s="246" t="inlineStr">
        <is>
          <t xml:space="preserve">Lintel over W2 (6 nr, 1.8x1.3): nr x (width + 2 x 150 bearing) x 150 x 225</t>
        </is>
      </c>
      <c r="D2427" s="248">
        <v>6</v>
      </c>
      <c r="E2427" s="247">
        <f>1.8+0.3</f>
        <v>2.1</v>
      </c>
      <c r="F2427" s="247">
        <v>0.15</v>
      </c>
      <c r="G2427" s="247">
        <v>0.225</v>
      </c>
      <c r="H2427" s="249">
        <f>PRODUCT(D2427:G2427)</f>
        <v>0.42525</v>
      </c>
      <c r="J2427" s="253" t="inlineStr">
        <is>
          <t xml:space="preserve">6*(1.8+0.3)*0.15*0.225</t>
        </is>
      </c>
    </row>
    <row r="2428">
      <c r="C2428" s="246" t="inlineStr">
        <is>
          <t xml:space="preserve">Lintel over W4 (10 nr, 0.9x1.3): nr x (width + 2 x 150 bearing) x 150 x 225</t>
        </is>
      </c>
      <c r="D2428" s="248">
        <v>10</v>
      </c>
      <c r="E2428" s="247">
        <f>0.9+0.3</f>
        <v>1.2</v>
      </c>
      <c r="F2428" s="247">
        <v>0.15</v>
      </c>
      <c r="G2428" s="247">
        <v>0.225</v>
      </c>
      <c r="H2428" s="249">
        <f>PRODUCT(D2428:G2428)</f>
        <v>0.40499999999999997</v>
      </c>
      <c r="J2428" s="253" t="inlineStr">
        <is>
          <t xml:space="preserve">10*(0.9+0.3)*0.15*0.225</t>
        </is>
      </c>
    </row>
    <row r="2429">
      <c r="C2429" s="246" t="inlineStr">
        <is>
          <t xml:space="preserve">Lintel over W7 (1 nr, 1.8x1.6): nr x (width + 2 x 150 bearing) x 150 x 225</t>
        </is>
      </c>
      <c r="D2429" s="248">
        <v>1</v>
      </c>
      <c r="E2429" s="247">
        <f>1.8+0.3</f>
        <v>2.1</v>
      </c>
      <c r="F2429" s="247">
        <v>0.15</v>
      </c>
      <c r="G2429" s="247">
        <v>0.225</v>
      </c>
      <c r="H2429" s="249">
        <f>PRODUCT(D2429:G2429)</f>
        <v>0.07087500000000001</v>
      </c>
      <c r="J2429" s="253" t="inlineStr">
        <is>
          <t xml:space="preserve">1*(1.8+0.3)*0.15*0.225</t>
        </is>
      </c>
    </row>
    <row r="2430">
      <c r="C2430" s="246" t="inlineStr">
        <is>
          <t xml:space="preserve">Lintel over W8 (3 nr, 1.2x1.9): nr x (width + 2 x 150 bearing) x 150 x 225</t>
        </is>
      </c>
      <c r="D2430" s="248">
        <v>3</v>
      </c>
      <c r="E2430" s="247">
        <f>1.2+0.3</f>
        <v>1.5</v>
      </c>
      <c r="F2430" s="247">
        <v>0.15</v>
      </c>
      <c r="G2430" s="247">
        <v>0.225</v>
      </c>
      <c r="H2430" s="249">
        <f>PRODUCT(D2430:G2430)</f>
        <v>0.15187499999999998</v>
      </c>
      <c r="J2430" s="253" t="inlineStr">
        <is>
          <t xml:space="preserve">3*(1.2+0.3)*0.15*0.225</t>
        </is>
      </c>
    </row>
    <row r="2431">
      <c r="C2431" s="246" t="inlineStr">
        <is>
          <t xml:space="preserve">Lintel over W9 (8 nr, 1.2x1.15): nr x (width + 2 x 150 bearing) x 150 x 225</t>
        </is>
      </c>
      <c r="D2431" s="248">
        <v>8</v>
      </c>
      <c r="E2431" s="247">
        <f>1.2+0.3</f>
        <v>1.5</v>
      </c>
      <c r="F2431" s="247">
        <v>0.15</v>
      </c>
      <c r="G2431" s="247">
        <v>0.225</v>
      </c>
      <c r="H2431" s="249">
        <f>PRODUCT(D2431:G2431)</f>
        <v>0.40499999999999997</v>
      </c>
      <c r="J2431" s="253" t="inlineStr">
        <is>
          <t xml:space="preserve">8*(1.2+0.3)*0.15*0.225</t>
        </is>
      </c>
    </row>
    <row r="2432">
      <c r="C2432" s="246" t="inlineStr">
        <is>
          <t xml:space="preserve">Lintel over W10 (1 nr, 1.2x1.2): nr x (width + 2 x 150 bearing) x 150 x 225</t>
        </is>
      </c>
      <c r="D2432" s="248">
        <v>1</v>
      </c>
      <c r="E2432" s="247">
        <f>1.2+0.3</f>
        <v>1.5</v>
      </c>
      <c r="F2432" s="247">
        <v>0.15</v>
      </c>
      <c r="G2432" s="247">
        <v>0.225</v>
      </c>
      <c r="H2432" s="249">
        <f>PRODUCT(D2432:G2432)</f>
        <v>0.050624999999999996</v>
      </c>
      <c r="J2432" s="253" t="inlineStr">
        <is>
          <t xml:space="preserve">1*(1.2+0.3)*0.15*0.225</t>
        </is>
      </c>
    </row>
    <row r="2433">
      <c r="C2433" s="246" t="inlineStr">
        <is>
          <t xml:space="preserve">Lintel over W11 (6 nr, 1.5x1.3): nr x (width + 2 x 150 bearing) x 150 x 225</t>
        </is>
      </c>
      <c r="D2433" s="248">
        <v>6</v>
      </c>
      <c r="E2433" s="247">
        <f>1.5+0.3</f>
        <v>1.8</v>
      </c>
      <c r="F2433" s="247">
        <v>0.15</v>
      </c>
      <c r="G2433" s="247">
        <v>0.225</v>
      </c>
      <c r="H2433" s="249">
        <f>PRODUCT(D2433:G2433)</f>
        <v>0.36450000000000005</v>
      </c>
      <c r="J2433" s="253" t="inlineStr">
        <is>
          <t xml:space="preserve">6*(1.5+0.3)*0.15*0.225</t>
        </is>
      </c>
    </row>
    <row r="2434">
      <c r="C2434" s="246" t="inlineStr">
        <is>
          <t xml:space="preserve">Lintel over W12 (3 nr, 1.5x1.15): nr x (width + 2 x 150 bearing) x 150 x 225</t>
        </is>
      </c>
      <c r="D2434" s="248">
        <v>3</v>
      </c>
      <c r="E2434" s="247">
        <f>1.5+0.3</f>
        <v>1.8</v>
      </c>
      <c r="F2434" s="247">
        <v>0.15</v>
      </c>
      <c r="G2434" s="247">
        <v>0.225</v>
      </c>
      <c r="H2434" s="249">
        <f>PRODUCT(D2434:G2434)</f>
        <v>0.18225000000000002</v>
      </c>
      <c r="J2434" s="253" t="inlineStr">
        <is>
          <t xml:space="preserve">3*(1.5+0.3)*0.15*0.225</t>
        </is>
      </c>
    </row>
    <row r="2435">
      <c r="C2435" s="246" t="inlineStr">
        <is>
          <t xml:space="preserve">Lintel over W13 (1 nr, 2.4x1.3): nr x (width + 2 x 150 bearing) x 150 x 225</t>
        </is>
      </c>
      <c r="D2435" s="248">
        <v>1</v>
      </c>
      <c r="E2435" s="247">
        <f>2.4+0.3</f>
        <v>2.6999999999999997</v>
      </c>
      <c r="F2435" s="247">
        <v>0.15</v>
      </c>
      <c r="G2435" s="247">
        <v>0.225</v>
      </c>
      <c r="H2435" s="249">
        <f>PRODUCT(D2435:G2435)</f>
        <v>0.091125</v>
      </c>
      <c r="J2435" s="253" t="inlineStr">
        <is>
          <t xml:space="preserve">1*(2.4+0.3)*0.15*0.225</t>
        </is>
      </c>
    </row>
    <row r="2436">
      <c r="C2436" s="246" t="inlineStr">
        <is>
          <t xml:space="preserve">Lintel over W15 (1 nr, 3x1.6): nr x (width + 2 x 150 bearing) x 150 x 225</t>
        </is>
      </c>
      <c r="D2436" s="248">
        <v>1</v>
      </c>
      <c r="E2436" s="247">
        <f>3+0.3</f>
        <v>3.3</v>
      </c>
      <c r="F2436" s="247">
        <v>0.15</v>
      </c>
      <c r="G2436" s="247">
        <v>0.225</v>
      </c>
      <c r="H2436" s="249">
        <f>PRODUCT(D2436:G2436)</f>
        <v>0.11137499999999999</v>
      </c>
      <c r="J2436" s="253" t="inlineStr">
        <is>
          <t xml:space="preserve">1*(3+0.3)*0.15*0.225</t>
        </is>
      </c>
    </row>
    <row r="2437">
      <c r="C2437" s="246" t="inlineStr">
        <is>
          <t xml:space="preserve">Lintel over W17 (3 nr, 1.8x1.9): nr x (width + 2 x 150 bearing) x 150 x 225</t>
        </is>
      </c>
      <c r="D2437" s="248">
        <v>3</v>
      </c>
      <c r="E2437" s="247">
        <f>1.8+0.3</f>
        <v>2.1</v>
      </c>
      <c r="F2437" s="247">
        <v>0.15</v>
      </c>
      <c r="G2437" s="247">
        <v>0.225</v>
      </c>
      <c r="H2437" s="249">
        <f>PRODUCT(D2437:G2437)</f>
        <v>0.212625</v>
      </c>
      <c r="J2437" s="253" t="inlineStr">
        <is>
          <t xml:space="preserve">3*(1.8+0.3)*0.15*0.225</t>
        </is>
      </c>
    </row>
    <row r="2438">
      <c r="C2438" s="246" t="inlineStr">
        <is>
          <t xml:space="preserve">Lintel over W18 (1 nr, 0.75x1.3): nr x (width + 2 x 150 bearing) x 150 x 225</t>
        </is>
      </c>
      <c r="D2438" s="248">
        <v>1</v>
      </c>
      <c r="E2438" s="247">
        <f>0.75+0.3</f>
        <v>1.05</v>
      </c>
      <c r="F2438" s="247">
        <v>0.15</v>
      </c>
      <c r="G2438" s="247">
        <v>0.225</v>
      </c>
      <c r="H2438" s="249">
        <f>PRODUCT(D2438:G2438)</f>
        <v>0.035437500000000004</v>
      </c>
      <c r="J2438" s="253" t="inlineStr">
        <is>
          <t xml:space="preserve">1*(0.75+0.3)*0.15*0.225</t>
        </is>
      </c>
    </row>
    <row r="2439">
      <c r="C2439" s="246" t="inlineStr">
        <is>
          <t xml:space="preserve">Lintel over W20 (1 nr, 1.45x1.9): nr x (width + 2 x 150 bearing) x 150 x 225</t>
        </is>
      </c>
      <c r="D2439" s="248">
        <v>1</v>
      </c>
      <c r="E2439" s="247">
        <f>1.45+0.3</f>
        <v>1.75</v>
      </c>
      <c r="F2439" s="247">
        <v>0.15</v>
      </c>
      <c r="G2439" s="247">
        <v>0.225</v>
      </c>
      <c r="H2439" s="249">
        <f>PRODUCT(D2439:G2439)</f>
        <v>0.059062500000000004</v>
      </c>
      <c r="J2439" s="253" t="inlineStr">
        <is>
          <t xml:space="preserve">1*(1.45+0.3)*0.15*0.225</t>
        </is>
      </c>
    </row>
    <row r="2440">
      <c r="C2440" s="246" t="inlineStr">
        <is>
          <t xml:space="preserve">Lintel over HW1 (12 nr, 0.9x0.6): nr x (width + 2 x 150 bearing) x 150 x 225</t>
        </is>
      </c>
      <c r="D2440" s="248">
        <v>12</v>
      </c>
      <c r="E2440" s="247">
        <f>0.9+0.3</f>
        <v>1.2</v>
      </c>
      <c r="F2440" s="247">
        <v>0.15</v>
      </c>
      <c r="G2440" s="247">
        <v>0.225</v>
      </c>
      <c r="H2440" s="249">
        <f>PRODUCT(D2440:G2440)</f>
        <v>0.48599999999999993</v>
      </c>
      <c r="J2440" s="253" t="inlineStr">
        <is>
          <t xml:space="preserve">12*(0.9+0.3)*0.15*0.225</t>
        </is>
      </c>
    </row>
    <row r="2441">
      <c r="C2441" s="246" t="inlineStr">
        <is>
          <t xml:space="preserve">Lintel over HW2 (4 nr, 0.75x0.6): nr x (width + 2 x 150 bearing) x 150 x 225</t>
        </is>
      </c>
      <c r="D2441" s="248">
        <v>4</v>
      </c>
      <c r="E2441" s="247">
        <f>0.75+0.3</f>
        <v>1.05</v>
      </c>
      <c r="F2441" s="247">
        <v>0.15</v>
      </c>
      <c r="G2441" s="247">
        <v>0.225</v>
      </c>
      <c r="H2441" s="249">
        <f>PRODUCT(D2441:G2441)</f>
        <v>0.14175000000000001</v>
      </c>
      <c r="J2441" s="253" t="inlineStr">
        <is>
          <t xml:space="preserve">4*(0.75+0.3)*0.15*0.225</t>
        </is>
      </c>
    </row>
    <row r="2442">
      <c r="C2442" s="246" t="inlineStr">
        <is>
          <t xml:space="preserve">Lintel over HW3 (1 nr, 0.6x0.6): nr x (width + 2 x 150 bearing) x 150 x 225</t>
        </is>
      </c>
      <c r="D2442" s="248">
        <v>1</v>
      </c>
      <c r="E2442" s="247">
        <f>0.6+0.3</f>
        <v>0.8999999999999999</v>
      </c>
      <c r="F2442" s="247">
        <v>0.15</v>
      </c>
      <c r="G2442" s="247">
        <v>0.225</v>
      </c>
      <c r="H2442" s="249">
        <f>PRODUCT(D2442:G2442)</f>
        <v>0.030374999999999996</v>
      </c>
      <c r="J2442" s="253" t="inlineStr">
        <is>
          <t xml:space="preserve">1*(0.6+0.3)*0.15*0.225</t>
        </is>
      </c>
    </row>
    <row r="2443">
      <c r="C2443" s="246" t="inlineStr">
        <is>
          <t xml:space="preserve">Lintel over HW4 (1 nr, 1.2x0.6): nr x (width + 2 x 150 bearing) x 150 x 225</t>
        </is>
      </c>
      <c r="D2443" s="248">
        <v>1</v>
      </c>
      <c r="E2443" s="247">
        <f>1.2+0.3</f>
        <v>1.5</v>
      </c>
      <c r="F2443" s="247">
        <v>0.15</v>
      </c>
      <c r="G2443" s="247">
        <v>0.225</v>
      </c>
      <c r="H2443" s="249">
        <f>PRODUCT(D2443:G2443)</f>
        <v>0.050624999999999996</v>
      </c>
      <c r="J2443" s="253" t="inlineStr">
        <is>
          <t xml:space="preserve">1*(1.2+0.3)*0.15*0.225</t>
        </is>
      </c>
    </row>
    <row r="2444">
      <c r="C2444" s="250" t="inlineStr">
        <is>
          <t xml:space="preserve">Total carried to BOQ  5TH FLR item G</t>
        </is>
      </c>
      <c r="D2444" s="250" t="inlineStr">
        <is>
          <t xml:space="preserve"/>
        </is>
      </c>
      <c r="E2444" s="250" t="inlineStr">
        <is>
          <t xml:space="preserve"/>
        </is>
      </c>
      <c r="F2444" s="250" t="inlineStr">
        <is>
          <t xml:space="preserve"/>
        </is>
      </c>
      <c r="G2444" s="250" t="inlineStr">
        <is>
          <t xml:space="preserve"/>
        </is>
      </c>
      <c r="H2444" s="251">
        <f>SUM(H2409:H2443)</f>
        <v>6.567750000000001</v>
      </c>
      <c r="I2444" s="252" t="inlineStr">
        <is>
          <t xml:space="preserve">m3</t>
        </is>
      </c>
    </row>
    <row r="2445">
      <c r="C2445" s="242" t="inlineStr">
        <is>
          <t xml:space="preserve">E20 FORMWORK - Formwork as described to:</t>
        </is>
      </c>
    </row>
    <row r="2446">
      <c r="A2446" s="243" t="inlineStr">
        <is>
          <t xml:space="preserve">5TH FLR</t>
        </is>
      </c>
      <c r="B2446" s="243" t="inlineStr">
        <is>
          <t xml:space="preserve">H</t>
        </is>
      </c>
      <c r="C2446" s="244" t="inlineStr">
        <is>
          <t xml:space="preserve">Soffits of suspended slab</t>
        </is>
      </c>
      <c r="I2446" s="245" t="inlineStr">
        <is>
          <t xml:space="preserve">m2</t>
        </is>
      </c>
      <c r="K2446" s="256" t="inlineStr">
        <is>
          <t xml:space="preserve">'5TH FLR '!C49</t>
        </is>
      </c>
    </row>
    <row r="2447">
      <c r="C2447" s="246" t="inlineStr">
        <is>
          <t xml:space="preserve">Fifth floor (+17500) - Slab soffit: measured area</t>
        </is>
      </c>
      <c r="H2447" s="247">
        <v>1134.6</v>
      </c>
      <c r="J2447" s="253" t="inlineStr">
        <is>
          <t xml:space="preserve">1134.6</t>
        </is>
      </c>
    </row>
    <row r="2448">
      <c r="C2448" s="250" t="inlineStr">
        <is>
          <t xml:space="preserve">Total carried to BOQ  5TH FLR item H</t>
        </is>
      </c>
      <c r="D2448" s="250" t="inlineStr">
        <is>
          <t xml:space="preserve"/>
        </is>
      </c>
      <c r="E2448" s="250" t="inlineStr">
        <is>
          <t xml:space="preserve"/>
        </is>
      </c>
      <c r="F2448" s="250" t="inlineStr">
        <is>
          <t xml:space="preserve"/>
        </is>
      </c>
      <c r="G2448" s="250" t="inlineStr">
        <is>
          <t xml:space="preserve"/>
        </is>
      </c>
      <c r="H2448" s="251">
        <f>SUM(H2447:H2447)</f>
        <v>1134.6</v>
      </c>
      <c r="I2448" s="252" t="inlineStr">
        <is>
          <t xml:space="preserve">m2</t>
        </is>
      </c>
    </row>
    <row r="2449">
      <c r="A2449" s="243" t="inlineStr">
        <is>
          <t xml:space="preserve">5TH FLR</t>
        </is>
      </c>
      <c r="B2449" s="243" t="inlineStr">
        <is>
          <t xml:space="preserve">J</t>
        </is>
      </c>
      <c r="C2449" s="244" t="inlineStr">
        <is>
          <t xml:space="preserve">Edges of suspended slab 250mm high</t>
        </is>
      </c>
      <c r="I2449" s="245" t="inlineStr">
        <is>
          <t xml:space="preserve">m</t>
        </is>
      </c>
      <c r="K2449" s="256" t="inlineStr">
        <is>
          <t xml:space="preserve">'5TH FLR '!C51</t>
        </is>
      </c>
    </row>
    <row r="2450">
      <c r="C2450" s="246" t="inlineStr">
        <is>
          <t xml:space="preserve">Fifth floor (+17500) - Slab edge: measured perimeter</t>
        </is>
      </c>
      <c r="H2450" s="247">
        <v>294.6</v>
      </c>
      <c r="J2450" s="253" t="inlineStr">
        <is>
          <t xml:space="preserve">294.6</t>
        </is>
      </c>
    </row>
    <row r="2451">
      <c r="C2451" s="250" t="inlineStr">
        <is>
          <t xml:space="preserve">Total carried to BOQ  5TH FLR item J</t>
        </is>
      </c>
      <c r="D2451" s="250" t="inlineStr">
        <is>
          <t xml:space="preserve"/>
        </is>
      </c>
      <c r="E2451" s="250" t="inlineStr">
        <is>
          <t xml:space="preserve"/>
        </is>
      </c>
      <c r="F2451" s="250" t="inlineStr">
        <is>
          <t xml:space="preserve"/>
        </is>
      </c>
      <c r="G2451" s="250" t="inlineStr">
        <is>
          <t xml:space="preserve"/>
        </is>
      </c>
      <c r="H2451" s="251">
        <f>SUM(H2450:H2450)</f>
        <v>294.6</v>
      </c>
      <c r="I2451" s="252" t="inlineStr">
        <is>
          <t xml:space="preserve">m</t>
        </is>
      </c>
    </row>
    <row r="2452">
      <c r="A2452" s="243" t="inlineStr">
        <is>
          <t xml:space="preserve">5TH FLR</t>
        </is>
      </c>
      <c r="B2452" s="243" t="inlineStr">
        <is>
          <t xml:space="preserve">K</t>
        </is>
      </c>
      <c r="C2452" s="244" t="inlineStr">
        <is>
          <t xml:space="preserve">Sides and soffits of beams</t>
        </is>
      </c>
      <c r="I2452" s="245" t="inlineStr">
        <is>
          <t xml:space="preserve">m2</t>
        </is>
      </c>
      <c r="K2452" s="256" t="inlineStr">
        <is>
          <t xml:space="preserve">'5TH FLR '!C53</t>
        </is>
      </c>
    </row>
    <row r="2453">
      <c r="C2453" s="246" t="inlineStr">
        <is>
          <t xml:space="preserve">Fifth floor (+17500) - beam sides &amp; soffit (300 wide): length x girth</t>
        </is>
      </c>
      <c r="E2453" s="247">
        <v>166.8</v>
      </c>
      <c r="F2453" s="247">
        <f>2*0.35+0.3</f>
        <v>1.0</v>
      </c>
      <c r="H2453" s="249">
        <f>PRODUCT(D2453:G2453)</f>
        <v>166.8</v>
      </c>
      <c r="J2453" s="253" t="inlineStr">
        <is>
          <t xml:space="preserve">166.8*(2*0.35+0.3)</t>
        </is>
      </c>
    </row>
    <row r="2454">
      <c r="C2454" s="246" t="inlineStr">
        <is>
          <t xml:space="preserve">Fifth floor (+17500) - beam sides &amp; soffit (200 wide): length x girth</t>
        </is>
      </c>
      <c r="E2454" s="247">
        <v>33.1</v>
      </c>
      <c r="F2454" s="247">
        <f>2*0.35+0.2</f>
        <v>0.8999999999999999</v>
      </c>
      <c r="H2454" s="249">
        <f>PRODUCT(D2454:G2454)</f>
        <v>29.79</v>
      </c>
      <c r="J2454" s="253" t="inlineStr">
        <is>
          <t xml:space="preserve">33.1*(2*0.35+0.2)</t>
        </is>
      </c>
    </row>
    <row r="2455">
      <c r="C2455" s="250" t="inlineStr">
        <is>
          <t xml:space="preserve">Total carried to BOQ  5TH FLR item K</t>
        </is>
      </c>
      <c r="D2455" s="250" t="inlineStr">
        <is>
          <t xml:space="preserve"/>
        </is>
      </c>
      <c r="E2455" s="250" t="inlineStr">
        <is>
          <t xml:space="preserve"/>
        </is>
      </c>
      <c r="F2455" s="250" t="inlineStr">
        <is>
          <t xml:space="preserve"/>
        </is>
      </c>
      <c r="G2455" s="250" t="inlineStr">
        <is>
          <t xml:space="preserve"/>
        </is>
      </c>
      <c r="H2455" s="251">
        <f>SUM(H2453:H2454)</f>
        <v>196.59</v>
      </c>
      <c r="I2455" s="252" t="inlineStr">
        <is>
          <t xml:space="preserve">m2</t>
        </is>
      </c>
    </row>
    <row r="2456">
      <c r="A2456" s="243" t="inlineStr">
        <is>
          <t xml:space="preserve">5TH FLR</t>
        </is>
      </c>
      <c r="B2456" s="243" t="inlineStr">
        <is>
          <t xml:space="preserve">L</t>
        </is>
      </c>
      <c r="C2456" s="244" t="inlineStr">
        <is>
          <t xml:space="preserve">Columns</t>
        </is>
      </c>
      <c r="I2456" s="245" t="inlineStr">
        <is>
          <t xml:space="preserve">m2</t>
        </is>
      </c>
      <c r="K2456" s="256" t="inlineStr">
        <is>
          <t xml:space="preserve">'5TH FLR '!C55</t>
        </is>
      </c>
    </row>
    <row r="2457">
      <c r="C2457" s="246" t="inlineStr">
        <is>
          <t xml:space="preserve">COL-01A x5 - column sides (5th to 6th), ht 3.05</t>
        </is>
      </c>
      <c r="D2457" s="248">
        <v>5</v>
      </c>
      <c r="E2457" s="247">
        <f>2*(0.75+0.5)</f>
        <v>2.5</v>
      </c>
      <c r="F2457" s="247">
        <v>3.05</v>
      </c>
      <c r="H2457" s="249">
        <f>PRODUCT(D2457:G2457)</f>
        <v>38.125</v>
      </c>
      <c r="J2457" s="253" t="inlineStr">
        <is>
          <t xml:space="preserve">5*2*(0.75+0.5)*3.05</t>
        </is>
      </c>
    </row>
    <row r="2458">
      <c r="C2458" s="246" t="inlineStr">
        <is>
          <t xml:space="preserve">COL-01B x1 - column sides (5th to 6th), ht 3.05</t>
        </is>
      </c>
      <c r="D2458" s="248">
        <v>1</v>
      </c>
      <c r="E2458" s="247">
        <f>2*(0.75+0.5)</f>
        <v>2.5</v>
      </c>
      <c r="F2458" s="247">
        <v>3.05</v>
      </c>
      <c r="H2458" s="249">
        <f>PRODUCT(D2458:G2458)</f>
        <v>7.625</v>
      </c>
      <c r="J2458" s="253" t="inlineStr">
        <is>
          <t xml:space="preserve">1*2*(0.75+0.5)*3.05</t>
        </is>
      </c>
    </row>
    <row r="2459">
      <c r="C2459" s="246" t="inlineStr">
        <is>
          <t xml:space="preserve">COL-01C x2 - column sides (5th to 6th), ht 3.05</t>
        </is>
      </c>
      <c r="D2459" s="248">
        <v>2</v>
      </c>
      <c r="E2459" s="247">
        <f>2*(0.75+0.5)</f>
        <v>2.5</v>
      </c>
      <c r="F2459" s="247">
        <v>3.05</v>
      </c>
      <c r="H2459" s="249">
        <f>PRODUCT(D2459:G2459)</f>
        <v>15.25</v>
      </c>
      <c r="J2459" s="253" t="inlineStr">
        <is>
          <t xml:space="preserve">2*2*(0.75+0.5)*3.05</t>
        </is>
      </c>
    </row>
    <row r="2460">
      <c r="C2460" s="246" t="inlineStr">
        <is>
          <t xml:space="preserve">COL-01D x1 - column sides (5th to 6th), ht 3.05</t>
        </is>
      </c>
      <c r="D2460" s="248">
        <v>1</v>
      </c>
      <c r="E2460" s="247">
        <f>2*(0.75+0.5)</f>
        <v>2.5</v>
      </c>
      <c r="F2460" s="247">
        <v>3.05</v>
      </c>
      <c r="H2460" s="249">
        <f>PRODUCT(D2460:G2460)</f>
        <v>7.625</v>
      </c>
      <c r="J2460" s="253" t="inlineStr">
        <is>
          <t xml:space="preserve">1*2*(0.75+0.5)*3.05</t>
        </is>
      </c>
    </row>
    <row r="2461">
      <c r="C2461" s="246" t="inlineStr">
        <is>
          <t xml:space="preserve">COL-02A x3 - column sides (5th to 6th), ht 3.05</t>
        </is>
      </c>
      <c r="D2461" s="248">
        <v>3</v>
      </c>
      <c r="E2461" s="247">
        <f>2*(1.2+0.3)</f>
        <v>3.0</v>
      </c>
      <c r="F2461" s="247">
        <v>3.05</v>
      </c>
      <c r="H2461" s="249">
        <f>PRODUCT(D2461:G2461)</f>
        <v>27.45</v>
      </c>
      <c r="J2461" s="253" t="inlineStr">
        <is>
          <t xml:space="preserve">3*2*(1.2+0.3)*3.05</t>
        </is>
      </c>
    </row>
    <row r="2462">
      <c r="C2462" s="246" t="inlineStr">
        <is>
          <t xml:space="preserve">COL-02B x6 - column sides (5th to 6th), ht 3.05</t>
        </is>
      </c>
      <c r="D2462" s="248">
        <v>6</v>
      </c>
      <c r="E2462" s="247">
        <f>2*(1.2+0.3)</f>
        <v>3.0</v>
      </c>
      <c r="F2462" s="247">
        <v>3.05</v>
      </c>
      <c r="H2462" s="249">
        <f>PRODUCT(D2462:G2462)</f>
        <v>54.9</v>
      </c>
      <c r="J2462" s="253" t="inlineStr">
        <is>
          <t xml:space="preserve">6*2*(1.2+0.3)*3.05</t>
        </is>
      </c>
    </row>
    <row r="2463">
      <c r="C2463" s="246" t="inlineStr">
        <is>
          <t xml:space="preserve">COL-02C x1 - column sides (5th to 6th), ht 3.05</t>
        </is>
      </c>
      <c r="D2463" s="248">
        <v>1</v>
      </c>
      <c r="E2463" s="247">
        <f>2*(1.2+0.3)</f>
        <v>3.0</v>
      </c>
      <c r="F2463" s="247">
        <v>3.05</v>
      </c>
      <c r="H2463" s="249">
        <f>PRODUCT(D2463:G2463)</f>
        <v>9.149999999999999</v>
      </c>
      <c r="J2463" s="253" t="inlineStr">
        <is>
          <t xml:space="preserve">1*2*(1.2+0.3)*3.05</t>
        </is>
      </c>
    </row>
    <row r="2464">
      <c r="C2464" s="246" t="inlineStr">
        <is>
          <t xml:space="preserve">COL-02D x15 - column sides (5th to 6th), ht 3.05</t>
        </is>
      </c>
      <c r="D2464" s="248">
        <v>15</v>
      </c>
      <c r="E2464" s="247">
        <f>2*(1.2+0.3)</f>
        <v>3.0</v>
      </c>
      <c r="F2464" s="247">
        <v>3.05</v>
      </c>
      <c r="H2464" s="249">
        <f>PRODUCT(D2464:G2464)</f>
        <v>137.25</v>
      </c>
      <c r="J2464" s="253" t="inlineStr">
        <is>
          <t xml:space="preserve">15*2*(1.2+0.3)*3.05</t>
        </is>
      </c>
    </row>
    <row r="2465">
      <c r="C2465" s="246" t="inlineStr">
        <is>
          <t xml:space="preserve">SWC-01A x1 - column sides (5th to 6th), ht 3.05</t>
        </is>
      </c>
      <c r="D2465" s="248">
        <v>1</v>
      </c>
      <c r="E2465" s="247">
        <f>2*(2.85+1.075)</f>
        <v>7.85</v>
      </c>
      <c r="F2465" s="247">
        <v>3.05</v>
      </c>
      <c r="H2465" s="249">
        <f>PRODUCT(D2465:G2465)</f>
        <v>23.9425</v>
      </c>
      <c r="J2465" s="253" t="inlineStr">
        <is>
          <t xml:space="preserve">1*2*(2.85+1.075)*3.05</t>
        </is>
      </c>
    </row>
    <row r="2466">
      <c r="C2466" s="250" t="inlineStr">
        <is>
          <t xml:space="preserve">Total carried to BOQ  5TH FLR item L</t>
        </is>
      </c>
      <c r="D2466" s="250" t="inlineStr">
        <is>
          <t xml:space="preserve"/>
        </is>
      </c>
      <c r="E2466" s="250" t="inlineStr">
        <is>
          <t xml:space="preserve"/>
        </is>
      </c>
      <c r="F2466" s="250" t="inlineStr">
        <is>
          <t xml:space="preserve"/>
        </is>
      </c>
      <c r="G2466" s="250" t="inlineStr">
        <is>
          <t xml:space="preserve"/>
        </is>
      </c>
      <c r="H2466" s="251">
        <f>SUM(H2457:H2465)</f>
        <v>321.3175</v>
      </c>
      <c r="I2466" s="252" t="inlineStr">
        <is>
          <t xml:space="preserve">m2</t>
        </is>
      </c>
    </row>
    <row r="2467">
      <c r="A2467" s="243" t="inlineStr">
        <is>
          <t xml:space="preserve">5TH FLR</t>
        </is>
      </c>
      <c r="B2467" s="243" t="inlineStr">
        <is>
          <t xml:space="preserve">M</t>
        </is>
      </c>
      <c r="C2467" s="244" t="inlineStr">
        <is>
          <t xml:space="preserve">Concrete wall (both faces)</t>
        </is>
      </c>
      <c r="I2467" s="245" t="inlineStr">
        <is>
          <t xml:space="preserve">m2</t>
        </is>
      </c>
      <c r="K2467" s="256" t="inlineStr">
        <is>
          <t xml:space="preserve">'5TH FLR '!C57</t>
        </is>
      </c>
    </row>
    <row r="2468">
      <c r="C2468" s="246" t="inlineStr">
        <is>
          <t xml:space="preserve">Fifth floor (+17500) - main stair core walls (22.05 m run) (both faces)</t>
        </is>
      </c>
      <c r="D2468" s="248">
        <v>2</v>
      </c>
      <c r="E2468" s="247">
        <v>22.05</v>
      </c>
      <c r="F2468" s="247">
        <v>3.05</v>
      </c>
      <c r="H2468" s="249">
        <f>PRODUCT(D2468:G2468)</f>
        <v>134.505</v>
      </c>
      <c r="J2468" s="253" t="inlineStr">
        <is>
          <t xml:space="preserve">2*22.05*3.05</t>
        </is>
      </c>
    </row>
    <row r="2469">
      <c r="C2469" s="246" t="inlineStr">
        <is>
          <t xml:space="preserve">Fifth floor (+17500) - lift core walls (21.825 m run) (both faces)</t>
        </is>
      </c>
      <c r="D2469" s="248">
        <v>2</v>
      </c>
      <c r="E2469" s="247">
        <v>21.825</v>
      </c>
      <c r="F2469" s="247">
        <v>3.05</v>
      </c>
      <c r="H2469" s="249">
        <f>PRODUCT(D2469:G2469)</f>
        <v>133.1325</v>
      </c>
      <c r="J2469" s="253" t="inlineStr">
        <is>
          <t xml:space="preserve">2*21.825*3.05</t>
        </is>
      </c>
    </row>
    <row r="2470">
      <c r="C2470" s="246" t="inlineStr">
        <is>
          <t xml:space="preserve">Fifth floor (+17500) - emergency stair core walls (25.57 m run) (both faces)</t>
        </is>
      </c>
      <c r="D2470" s="248">
        <v>2</v>
      </c>
      <c r="E2470" s="247">
        <v>25.57</v>
      </c>
      <c r="F2470" s="247">
        <v>3.05</v>
      </c>
      <c r="H2470" s="249">
        <f>PRODUCT(D2470:G2470)</f>
        <v>155.977</v>
      </c>
      <c r="J2470" s="253" t="inlineStr">
        <is>
          <t xml:space="preserve">2*25.57*3.05</t>
        </is>
      </c>
    </row>
    <row r="2471">
      <c r="C2471" s="250" t="inlineStr">
        <is>
          <t xml:space="preserve">Total carried to BOQ  5TH FLR item M</t>
        </is>
      </c>
      <c r="D2471" s="250" t="inlineStr">
        <is>
          <t xml:space="preserve"/>
        </is>
      </c>
      <c r="E2471" s="250" t="inlineStr">
        <is>
          <t xml:space="preserve"/>
        </is>
      </c>
      <c r="F2471" s="250" t="inlineStr">
        <is>
          <t xml:space="preserve"/>
        </is>
      </c>
      <c r="G2471" s="250" t="inlineStr">
        <is>
          <t xml:space="preserve"/>
        </is>
      </c>
      <c r="H2471" s="251">
        <f>SUM(H2468:H2470)</f>
        <v>423.6145</v>
      </c>
      <c r="I2471" s="252" t="inlineStr">
        <is>
          <t xml:space="preserve">m2</t>
        </is>
      </c>
    </row>
    <row r="2472">
      <c r="A2472" s="243" t="inlineStr">
        <is>
          <t xml:space="preserve">5TH FLR</t>
        </is>
      </c>
      <c r="B2472" s="243" t="inlineStr">
        <is>
          <t xml:space="preserve">N</t>
        </is>
      </c>
      <c r="C2472" s="244" t="inlineStr">
        <is>
          <t xml:space="preserve">Soffits of stair flights, landings and risers</t>
        </is>
      </c>
      <c r="I2472" s="245" t="inlineStr">
        <is>
          <t xml:space="preserve">m2</t>
        </is>
      </c>
      <c r="K2472" s="256" t="inlineStr">
        <is>
          <t xml:space="preserve">'5TH FLR '!C59</t>
        </is>
      </c>
    </row>
    <row r="2473">
      <c r="C2473" s="246" t="inlineStr">
        <is>
          <t xml:space="preserve">Fifth floor (+17500) - Main stair flight (storey ht 3.3) - flight soffits: 2 x 3.424 x 1.8</t>
        </is>
      </c>
      <c r="D2473" s="248">
        <v>2</v>
      </c>
      <c r="E2473" s="247">
        <v>3.424</v>
      </c>
      <c r="F2473" s="247">
        <v>1.8</v>
      </c>
      <c r="H2473" s="249">
        <f>PRODUCT(D2473:G2473)</f>
        <v>12.3264</v>
      </c>
      <c r="J2473" s="253" t="inlineStr">
        <is>
          <t xml:space="preserve">2*3.424*1.8</t>
        </is>
      </c>
    </row>
    <row r="2474">
      <c r="C2474" s="246" t="inlineStr">
        <is>
          <t xml:space="preserve">Fifth floor (+17500) - Main stair flight (storey ht 3.3) - landing soffits</t>
        </is>
      </c>
      <c r="H2474" s="247">
        <v>15.0</v>
      </c>
      <c r="J2474" s="253" t="inlineStr">
        <is>
          <t xml:space="preserve">15.0</t>
        </is>
      </c>
    </row>
    <row r="2475">
      <c r="C2475" s="246" t="inlineStr">
        <is>
          <t xml:space="preserve">Fifth floor (+17500) - Main stair flight (storey ht 3.3) - risers: 22 x 0.15 x 1.8</t>
        </is>
      </c>
      <c r="D2475" s="248">
        <v>22</v>
      </c>
      <c r="E2475" s="247">
        <v>0.15</v>
      </c>
      <c r="F2475" s="247">
        <v>1.8</v>
      </c>
      <c r="H2475" s="249">
        <f>PRODUCT(D2475:G2475)</f>
        <v>5.9399999999999995</v>
      </c>
      <c r="J2475" s="253" t="inlineStr">
        <is>
          <t xml:space="preserve">22*0.15*1.8</t>
        </is>
      </c>
    </row>
    <row r="2476">
      <c r="C2476" s="246" t="inlineStr">
        <is>
          <t xml:space="preserve">Fifth floor (+17500) - Emergency stair flight (storey ht 3.3) - flight soffits: 2 x 3.424 x 1.8</t>
        </is>
      </c>
      <c r="D2476" s="248">
        <v>2</v>
      </c>
      <c r="E2476" s="247">
        <v>3.424</v>
      </c>
      <c r="F2476" s="247">
        <v>1.8</v>
      </c>
      <c r="H2476" s="249">
        <f>PRODUCT(D2476:G2476)</f>
        <v>12.3264</v>
      </c>
      <c r="J2476" s="253" t="inlineStr">
        <is>
          <t xml:space="preserve">2*3.424*1.8</t>
        </is>
      </c>
    </row>
    <row r="2477">
      <c r="C2477" s="246" t="inlineStr">
        <is>
          <t xml:space="preserve">Fifth floor (+17500) - Emergency stair flight (storey ht 3.3) - landing soffits</t>
        </is>
      </c>
      <c r="H2477" s="247">
        <v>15.0</v>
      </c>
      <c r="J2477" s="253" t="inlineStr">
        <is>
          <t xml:space="preserve">15.0</t>
        </is>
      </c>
    </row>
    <row r="2478">
      <c r="C2478" s="246" t="inlineStr">
        <is>
          <t xml:space="preserve">Fifth floor (+17500) - Emergency stair flight (storey ht 3.3) - risers: 22 x 0.15 x 1.8</t>
        </is>
      </c>
      <c r="D2478" s="248">
        <v>22</v>
      </c>
      <c r="E2478" s="247">
        <v>0.15</v>
      </c>
      <c r="F2478" s="247">
        <v>1.8</v>
      </c>
      <c r="H2478" s="249">
        <f>PRODUCT(D2478:G2478)</f>
        <v>5.9399999999999995</v>
      </c>
      <c r="J2478" s="253" t="inlineStr">
        <is>
          <t xml:space="preserve">22*0.15*1.8</t>
        </is>
      </c>
    </row>
    <row r="2479">
      <c r="C2479" s="250" t="inlineStr">
        <is>
          <t xml:space="preserve">Total carried to BOQ  5TH FLR item N</t>
        </is>
      </c>
      <c r="D2479" s="250" t="inlineStr">
        <is>
          <t xml:space="preserve"/>
        </is>
      </c>
      <c r="E2479" s="250" t="inlineStr">
        <is>
          <t xml:space="preserve"/>
        </is>
      </c>
      <c r="F2479" s="250" t="inlineStr">
        <is>
          <t xml:space="preserve"/>
        </is>
      </c>
      <c r="G2479" s="250" t="inlineStr">
        <is>
          <t xml:space="preserve"/>
        </is>
      </c>
      <c r="H2479" s="251">
        <f>SUM(H2473:H2478)</f>
        <v>66.5328</v>
      </c>
      <c r="I2479" s="252" t="inlineStr">
        <is>
          <t xml:space="preserve">m2</t>
        </is>
      </c>
    </row>
    <row r="2480">
      <c r="A2480" s="243" t="inlineStr">
        <is>
          <t xml:space="preserve">5TH FLR</t>
        </is>
      </c>
      <c r="B2480" s="243" t="inlineStr">
        <is>
          <t xml:space="preserve">P</t>
        </is>
      </c>
      <c r="C2480" s="244" t="inlineStr">
        <is>
          <t xml:space="preserve">Side and soffits of lintel / coping</t>
        </is>
      </c>
      <c r="I2480" s="245" t="inlineStr">
        <is>
          <t xml:space="preserve">m2</t>
        </is>
      </c>
      <c r="K2480" s="256" t="inlineStr">
        <is>
          <t xml:space="preserve">'5TH FLR '!C61</t>
        </is>
      </c>
    </row>
    <row r="2481">
      <c r="C2481" s="246" t="inlineStr">
        <is>
          <t xml:space="preserve">Lintel formwork over D2 (7 nr, 1x2.2): nr x (width + 2 x 150 bearing) x girth 0.60</t>
        </is>
      </c>
      <c r="D2481" s="248">
        <v>7</v>
      </c>
      <c r="E2481" s="247">
        <f>1+0.3</f>
        <v>1.3</v>
      </c>
      <c r="F2481" s="247">
        <f>2*0.225+0.15</f>
        <v>0.6</v>
      </c>
      <c r="H2481" s="249">
        <f>PRODUCT(D2481:G2481)</f>
        <v>5.46</v>
      </c>
      <c r="J2481" s="253" t="inlineStr">
        <is>
          <t xml:space="preserve">7*(1+0.3)*(2*0.225+0.15)</t>
        </is>
      </c>
    </row>
    <row r="2482">
      <c r="C2482" s="246" t="inlineStr">
        <is>
          <t xml:space="preserve">Lintel formwork over D3 (15 nr, 0.9x2.2): nr x (width + 2 x 150 bearing) x girth 0.60</t>
        </is>
      </c>
      <c r="D2482" s="248">
        <v>15</v>
      </c>
      <c r="E2482" s="247">
        <f>0.9+0.3</f>
        <v>1.2</v>
      </c>
      <c r="F2482" s="247">
        <f>2*0.225+0.15</f>
        <v>0.6</v>
      </c>
      <c r="H2482" s="249">
        <f>PRODUCT(D2482:G2482)</f>
        <v>10.799999999999999</v>
      </c>
      <c r="J2482" s="253" t="inlineStr">
        <is>
          <t xml:space="preserve">15*(0.9+0.3)*(2*0.225+0.15)</t>
        </is>
      </c>
    </row>
    <row r="2483">
      <c r="C2483" s="246" t="inlineStr">
        <is>
          <t xml:space="preserve">Lintel formwork over D6 (20 nr, 0.75x2.2): nr x (width + 2 x 150 bearing) x girth 0.60</t>
        </is>
      </c>
      <c r="D2483" s="248">
        <v>20</v>
      </c>
      <c r="E2483" s="247">
        <f>0.75+0.3</f>
        <v>1.05</v>
      </c>
      <c r="F2483" s="247">
        <f>2*0.225+0.15</f>
        <v>0.6</v>
      </c>
      <c r="H2483" s="249">
        <f>PRODUCT(D2483:G2483)</f>
        <v>12.6</v>
      </c>
      <c r="J2483" s="253" t="inlineStr">
        <is>
          <t xml:space="preserve">20*(0.75+0.3)*(2*0.225+0.15)</t>
        </is>
      </c>
    </row>
    <row r="2484">
      <c r="C2484" s="246" t="inlineStr">
        <is>
          <t xml:space="preserve">Lintel formwork over D7 (1 nr, 0.7x2.2): nr x (width + 2 x 150 bearing) x girth 0.60</t>
        </is>
      </c>
      <c r="D2484" s="248">
        <v>1</v>
      </c>
      <c r="E2484" s="247">
        <f>0.7+0.3</f>
        <v>1.0</v>
      </c>
      <c r="F2484" s="247">
        <f>2*0.225+0.15</f>
        <v>0.6</v>
      </c>
      <c r="H2484" s="249">
        <f>PRODUCT(D2484:G2484)</f>
        <v>0.6</v>
      </c>
      <c r="J2484" s="253" t="inlineStr">
        <is>
          <t xml:space="preserve">1*(0.7+0.3)*(2*0.225+0.15)</t>
        </is>
      </c>
    </row>
    <row r="2485">
      <c r="C2485" s="246" t="inlineStr">
        <is>
          <t xml:space="preserve">Lintel formwork over D8 (3 nr, 1.2x2.2): nr x (width + 2 x 150 bearing) x girth 0.60</t>
        </is>
      </c>
      <c r="D2485" s="248">
        <v>3</v>
      </c>
      <c r="E2485" s="247">
        <f>1.2+0.3</f>
        <v>1.5</v>
      </c>
      <c r="F2485" s="247">
        <f>2*0.225+0.15</f>
        <v>0.6</v>
      </c>
      <c r="H2485" s="249">
        <f>PRODUCT(D2485:G2485)</f>
        <v>2.6999999999999997</v>
      </c>
      <c r="J2485" s="253" t="inlineStr">
        <is>
          <t xml:space="preserve">3*(1.2+0.3)*(2*0.225+0.15)</t>
        </is>
      </c>
    </row>
    <row r="2486">
      <c r="C2486" s="246" t="inlineStr">
        <is>
          <t xml:space="preserve">Lintel formwork over ED1 (3 nr, 1x2.2): nr x (width + 2 x 150 bearing) x girth 0.60</t>
        </is>
      </c>
      <c r="D2486" s="248">
        <v>3</v>
      </c>
      <c r="E2486" s="247">
        <f>1+0.3</f>
        <v>1.3</v>
      </c>
      <c r="F2486" s="247">
        <f>2*0.225+0.15</f>
        <v>0.6</v>
      </c>
      <c r="H2486" s="249">
        <f>PRODUCT(D2486:G2486)</f>
        <v>2.3400000000000003</v>
      </c>
      <c r="J2486" s="253" t="inlineStr">
        <is>
          <t xml:space="preserve">3*(1+0.3)*(2*0.225+0.15)</t>
        </is>
      </c>
    </row>
    <row r="2487">
      <c r="C2487" s="246" t="inlineStr">
        <is>
          <t xml:space="preserve">Lintel formwork over ED2 (3 nr, 1x2.2): nr x (width + 2 x 150 bearing) x girth 0.60</t>
        </is>
      </c>
      <c r="D2487" s="248">
        <v>3</v>
      </c>
      <c r="E2487" s="247">
        <f>1+0.3</f>
        <v>1.3</v>
      </c>
      <c r="F2487" s="247">
        <f>2*0.225+0.15</f>
        <v>0.6</v>
      </c>
      <c r="H2487" s="249">
        <f>PRODUCT(D2487:G2487)</f>
        <v>2.3400000000000003</v>
      </c>
      <c r="J2487" s="253" t="inlineStr">
        <is>
          <t xml:space="preserve">3*(1+0.3)*(2*0.225+0.15)</t>
        </is>
      </c>
    </row>
    <row r="2488">
      <c r="C2488" s="246" t="inlineStr">
        <is>
          <t xml:space="preserve">Lintel formwork over D9 (1 nr, 0.9x2.2): nr x (width + 2 x 150 bearing) x girth 0.60</t>
        </is>
      </c>
      <c r="D2488" s="248">
        <v>1</v>
      </c>
      <c r="E2488" s="247">
        <f>0.9+0.3</f>
        <v>1.2</v>
      </c>
      <c r="F2488" s="247">
        <f>2*0.225+0.15</f>
        <v>0.6</v>
      </c>
      <c r="H2488" s="249">
        <f>PRODUCT(D2488:G2488)</f>
        <v>0.72</v>
      </c>
      <c r="J2488" s="253" t="inlineStr">
        <is>
          <t xml:space="preserve">1*(0.9+0.3)*(2*0.225+0.15)</t>
        </is>
      </c>
    </row>
    <row r="2489">
      <c r="C2489" s="246" t="inlineStr">
        <is>
          <t xml:space="preserve">Lintel formwork over FD1 (1 nr, 1.5x2.2): nr x (width + 2 x 150 bearing) x girth 0.60</t>
        </is>
      </c>
      <c r="D2489" s="248">
        <v>1</v>
      </c>
      <c r="E2489" s="247">
        <f>1.5+0.3</f>
        <v>1.8</v>
      </c>
      <c r="F2489" s="247">
        <f>2*0.225+0.15</f>
        <v>0.6</v>
      </c>
      <c r="H2489" s="249">
        <f>PRODUCT(D2489:G2489)</f>
        <v>1.08</v>
      </c>
      <c r="J2489" s="253" t="inlineStr">
        <is>
          <t xml:space="preserve">1*(1.5+0.3)*(2*0.225+0.15)</t>
        </is>
      </c>
    </row>
    <row r="2490">
      <c r="C2490" s="246" t="inlineStr">
        <is>
          <t xml:space="preserve">Lintel formwork over M1 (2 nr, 0.9x2.2): nr x (width + 2 x 150 bearing) x girth 0.60</t>
        </is>
      </c>
      <c r="D2490" s="248">
        <v>2</v>
      </c>
      <c r="E2490" s="247">
        <f>0.9+0.3</f>
        <v>1.2</v>
      </c>
      <c r="F2490" s="247">
        <f>2*0.225+0.15</f>
        <v>0.6</v>
      </c>
      <c r="H2490" s="249">
        <f>PRODUCT(D2490:G2490)</f>
        <v>1.44</v>
      </c>
      <c r="J2490" s="253" t="inlineStr">
        <is>
          <t xml:space="preserve">2*(0.9+0.3)*(2*0.225+0.15)</t>
        </is>
      </c>
    </row>
    <row r="2491">
      <c r="C2491" s="246" t="inlineStr">
        <is>
          <t xml:space="preserve">Lintel formwork over M2 (5 nr, 0.75x2.2): nr x (width + 2 x 150 bearing) x girth 0.60</t>
        </is>
      </c>
      <c r="D2491" s="248">
        <v>5</v>
      </c>
      <c r="E2491" s="247">
        <f>0.75+0.3</f>
        <v>1.05</v>
      </c>
      <c r="F2491" s="247">
        <f>2*0.225+0.15</f>
        <v>0.6</v>
      </c>
      <c r="H2491" s="249">
        <f>PRODUCT(D2491:G2491)</f>
        <v>3.15</v>
      </c>
      <c r="J2491" s="253" t="inlineStr">
        <is>
          <t xml:space="preserve">5*(0.75+0.3)*(2*0.225+0.15)</t>
        </is>
      </c>
    </row>
    <row r="2492">
      <c r="C2492" s="246" t="inlineStr">
        <is>
          <t xml:space="preserve">Lintel formwork over M3 (1 nr, 0.45x2.2): nr x (width + 2 x 150 bearing) x girth 0.60</t>
        </is>
      </c>
      <c r="D2492" s="248">
        <v>1</v>
      </c>
      <c r="E2492" s="247">
        <f>0.45+0.3</f>
        <v>0.75</v>
      </c>
      <c r="F2492" s="247">
        <f>2*0.225+0.15</f>
        <v>0.6</v>
      </c>
      <c r="H2492" s="249">
        <f>PRODUCT(D2492:G2492)</f>
        <v>0.44999999999999996</v>
      </c>
      <c r="J2492" s="253" t="inlineStr">
        <is>
          <t xml:space="preserve">1*(0.45+0.3)*(2*0.225+0.15)</t>
        </is>
      </c>
    </row>
    <row r="2493">
      <c r="C2493" s="246" t="inlineStr">
        <is>
          <t xml:space="preserve">Lintel formwork over M5 (3 nr, 0.6x2.2): nr x (width + 2 x 150 bearing) x girth 0.60</t>
        </is>
      </c>
      <c r="D2493" s="248">
        <v>3</v>
      </c>
      <c r="E2493" s="247">
        <f>0.6+0.3</f>
        <v>0.8999999999999999</v>
      </c>
      <c r="F2493" s="247">
        <f>2*0.225+0.15</f>
        <v>0.6</v>
      </c>
      <c r="H2493" s="249">
        <f>PRODUCT(D2493:G2493)</f>
        <v>1.6199999999999999</v>
      </c>
      <c r="J2493" s="253" t="inlineStr">
        <is>
          <t xml:space="preserve">3*(0.6+0.3)*(2*0.225+0.15)</t>
        </is>
      </c>
    </row>
    <row r="2494">
      <c r="C2494" s="246" t="inlineStr">
        <is>
          <t xml:space="preserve">Lintel formwork over SD1 (1 nr, 3x2.2): nr x (width + 2 x 150 bearing) x girth 0.60</t>
        </is>
      </c>
      <c r="D2494" s="248">
        <v>1</v>
      </c>
      <c r="E2494" s="247">
        <f>3+0.3</f>
        <v>3.3</v>
      </c>
      <c r="F2494" s="247">
        <f>2*0.225+0.15</f>
        <v>0.6</v>
      </c>
      <c r="H2494" s="249">
        <f>PRODUCT(D2494:G2494)</f>
        <v>1.9799999999999998</v>
      </c>
      <c r="J2494" s="253" t="inlineStr">
        <is>
          <t xml:space="preserve">1*(3+0.3)*(2*0.225+0.15)</t>
        </is>
      </c>
    </row>
    <row r="2495">
      <c r="C2495" s="246" t="inlineStr">
        <is>
          <t xml:space="preserve">Lintel formwork over SD2 (3 nr, 1.6x2.2): nr x (width + 2 x 150 bearing) x girth 0.60</t>
        </is>
      </c>
      <c r="D2495" s="248">
        <v>3</v>
      </c>
      <c r="E2495" s="247">
        <f>1.6+0.3</f>
        <v>1.9000000000000001</v>
      </c>
      <c r="F2495" s="247">
        <f>2*0.225+0.15</f>
        <v>0.6</v>
      </c>
      <c r="H2495" s="249">
        <f>PRODUCT(D2495:G2495)</f>
        <v>3.42</v>
      </c>
      <c r="J2495" s="253" t="inlineStr">
        <is>
          <t xml:space="preserve">3*(1.6+0.3)*(2*0.225+0.15)</t>
        </is>
      </c>
    </row>
    <row r="2496">
      <c r="C2496" s="246" t="inlineStr">
        <is>
          <t xml:space="preserve">Lintel formwork over SD3 (2 nr, 1.3x2.2): nr x (width + 2 x 150 bearing) x girth 0.60</t>
        </is>
      </c>
      <c r="D2496" s="248">
        <v>2</v>
      </c>
      <c r="E2496" s="247">
        <f>1.3+0.3</f>
        <v>1.6</v>
      </c>
      <c r="F2496" s="247">
        <f>2*0.225+0.15</f>
        <v>0.6</v>
      </c>
      <c r="H2496" s="249">
        <f>PRODUCT(D2496:G2496)</f>
        <v>1.92</v>
      </c>
      <c r="J2496" s="253" t="inlineStr">
        <is>
          <t xml:space="preserve">2*(1.3+0.3)*(2*0.225+0.15)</t>
        </is>
      </c>
    </row>
    <row r="2497">
      <c r="C2497" s="246" t="inlineStr">
        <is>
          <t xml:space="preserve">Lintel formwork over SD4 (4 nr, 1.8x2.2): nr x (width + 2 x 150 bearing) x girth 0.60</t>
        </is>
      </c>
      <c r="D2497" s="248">
        <v>4</v>
      </c>
      <c r="E2497" s="247">
        <f>1.8+0.3</f>
        <v>2.1</v>
      </c>
      <c r="F2497" s="247">
        <f>2*0.225+0.15</f>
        <v>0.6</v>
      </c>
      <c r="H2497" s="249">
        <f>PRODUCT(D2497:G2497)</f>
        <v>5.04</v>
      </c>
      <c r="J2497" s="253" t="inlineStr">
        <is>
          <t xml:space="preserve">4*(1.8+0.3)*(2*0.225+0.15)</t>
        </is>
      </c>
    </row>
    <row r="2498">
      <c r="C2498" s="246" t="inlineStr">
        <is>
          <t xml:space="preserve">Lintel formwork over SD5 (1 nr, 1.2x2.2): nr x (width + 2 x 150 bearing) x girth 0.60</t>
        </is>
      </c>
      <c r="D2498" s="248">
        <v>1</v>
      </c>
      <c r="E2498" s="247">
        <f>1.2+0.3</f>
        <v>1.5</v>
      </c>
      <c r="F2498" s="247">
        <f>2*0.225+0.15</f>
        <v>0.6</v>
      </c>
      <c r="H2498" s="249">
        <f>PRODUCT(D2498:G2498)</f>
        <v>0.8999999999999999</v>
      </c>
      <c r="J2498" s="253" t="inlineStr">
        <is>
          <t xml:space="preserve">1*(1.2+0.3)*(2*0.225+0.15)</t>
        </is>
      </c>
    </row>
    <row r="2499">
      <c r="C2499" s="246" t="inlineStr">
        <is>
          <t xml:space="preserve">Lintel formwork over W2 (6 nr, 1.8x1.3): nr x (width + 2 x 150 bearing) x girth 0.60</t>
        </is>
      </c>
      <c r="D2499" s="248">
        <v>6</v>
      </c>
      <c r="E2499" s="247">
        <f>1.8+0.3</f>
        <v>2.1</v>
      </c>
      <c r="F2499" s="247">
        <f>2*0.225+0.15</f>
        <v>0.6</v>
      </c>
      <c r="H2499" s="249">
        <f>PRODUCT(D2499:G2499)</f>
        <v>7.5600000000000005</v>
      </c>
      <c r="J2499" s="253" t="inlineStr">
        <is>
          <t xml:space="preserve">6*(1.8+0.3)*(2*0.225+0.15)</t>
        </is>
      </c>
    </row>
    <row r="2500">
      <c r="C2500" s="246" t="inlineStr">
        <is>
          <t xml:space="preserve">Lintel formwork over W4 (10 nr, 0.9x1.3): nr x (width + 2 x 150 bearing) x girth 0.60</t>
        </is>
      </c>
      <c r="D2500" s="248">
        <v>10</v>
      </c>
      <c r="E2500" s="247">
        <f>0.9+0.3</f>
        <v>1.2</v>
      </c>
      <c r="F2500" s="247">
        <f>2*0.225+0.15</f>
        <v>0.6</v>
      </c>
      <c r="H2500" s="249">
        <f>PRODUCT(D2500:G2500)</f>
        <v>7.199999999999999</v>
      </c>
      <c r="J2500" s="253" t="inlineStr">
        <is>
          <t xml:space="preserve">10*(0.9+0.3)*(2*0.225+0.15)</t>
        </is>
      </c>
    </row>
    <row r="2501">
      <c r="C2501" s="246" t="inlineStr">
        <is>
          <t xml:space="preserve">Lintel formwork over W7 (1 nr, 1.8x1.6): nr x (width + 2 x 150 bearing) x girth 0.60</t>
        </is>
      </c>
      <c r="D2501" s="248">
        <v>1</v>
      </c>
      <c r="E2501" s="247">
        <f>1.8+0.3</f>
        <v>2.1</v>
      </c>
      <c r="F2501" s="247">
        <f>2*0.225+0.15</f>
        <v>0.6</v>
      </c>
      <c r="H2501" s="249">
        <f>PRODUCT(D2501:G2501)</f>
        <v>1.26</v>
      </c>
      <c r="J2501" s="253" t="inlineStr">
        <is>
          <t xml:space="preserve">1*(1.8+0.3)*(2*0.225+0.15)</t>
        </is>
      </c>
    </row>
    <row r="2502">
      <c r="C2502" s="246" t="inlineStr">
        <is>
          <t xml:space="preserve">Lintel formwork over W8 (3 nr, 1.2x1.9): nr x (width + 2 x 150 bearing) x girth 0.60</t>
        </is>
      </c>
      <c r="D2502" s="248">
        <v>3</v>
      </c>
      <c r="E2502" s="247">
        <f>1.2+0.3</f>
        <v>1.5</v>
      </c>
      <c r="F2502" s="247">
        <f>2*0.225+0.15</f>
        <v>0.6</v>
      </c>
      <c r="H2502" s="249">
        <f>PRODUCT(D2502:G2502)</f>
        <v>2.6999999999999997</v>
      </c>
      <c r="J2502" s="253" t="inlineStr">
        <is>
          <t xml:space="preserve">3*(1.2+0.3)*(2*0.225+0.15)</t>
        </is>
      </c>
    </row>
    <row r="2503">
      <c r="C2503" s="246" t="inlineStr">
        <is>
          <t xml:space="preserve">Lintel formwork over W9 (8 nr, 1.2x1.15): nr x (width + 2 x 150 bearing) x girth 0.60</t>
        </is>
      </c>
      <c r="D2503" s="248">
        <v>8</v>
      </c>
      <c r="E2503" s="247">
        <f>1.2+0.3</f>
        <v>1.5</v>
      </c>
      <c r="F2503" s="247">
        <f>2*0.225+0.15</f>
        <v>0.6</v>
      </c>
      <c r="H2503" s="249">
        <f>PRODUCT(D2503:G2503)</f>
        <v>7.199999999999999</v>
      </c>
      <c r="J2503" s="253" t="inlineStr">
        <is>
          <t xml:space="preserve">8*(1.2+0.3)*(2*0.225+0.15)</t>
        </is>
      </c>
    </row>
    <row r="2504">
      <c r="C2504" s="246" t="inlineStr">
        <is>
          <t xml:space="preserve">Lintel formwork over W10 (1 nr, 1.2x1.2): nr x (width + 2 x 150 bearing) x girth 0.60</t>
        </is>
      </c>
      <c r="D2504" s="248">
        <v>1</v>
      </c>
      <c r="E2504" s="247">
        <f>1.2+0.3</f>
        <v>1.5</v>
      </c>
      <c r="F2504" s="247">
        <f>2*0.225+0.15</f>
        <v>0.6</v>
      </c>
      <c r="H2504" s="249">
        <f>PRODUCT(D2504:G2504)</f>
        <v>0.8999999999999999</v>
      </c>
      <c r="J2504" s="253" t="inlineStr">
        <is>
          <t xml:space="preserve">1*(1.2+0.3)*(2*0.225+0.15)</t>
        </is>
      </c>
    </row>
    <row r="2505">
      <c r="C2505" s="246" t="inlineStr">
        <is>
          <t xml:space="preserve">Lintel formwork over W11 (6 nr, 1.5x1.3): nr x (width + 2 x 150 bearing) x girth 0.60</t>
        </is>
      </c>
      <c r="D2505" s="248">
        <v>6</v>
      </c>
      <c r="E2505" s="247">
        <f>1.5+0.3</f>
        <v>1.8</v>
      </c>
      <c r="F2505" s="247">
        <f>2*0.225+0.15</f>
        <v>0.6</v>
      </c>
      <c r="H2505" s="249">
        <f>PRODUCT(D2505:G2505)</f>
        <v>6.48</v>
      </c>
      <c r="J2505" s="253" t="inlineStr">
        <is>
          <t xml:space="preserve">6*(1.5+0.3)*(2*0.225+0.15)</t>
        </is>
      </c>
    </row>
    <row r="2506">
      <c r="C2506" s="246" t="inlineStr">
        <is>
          <t xml:space="preserve">Lintel formwork over W12 (3 nr, 1.5x1.15): nr x (width + 2 x 150 bearing) x girth 0.60</t>
        </is>
      </c>
      <c r="D2506" s="248">
        <v>3</v>
      </c>
      <c r="E2506" s="247">
        <f>1.5+0.3</f>
        <v>1.8</v>
      </c>
      <c r="F2506" s="247">
        <f>2*0.225+0.15</f>
        <v>0.6</v>
      </c>
      <c r="H2506" s="249">
        <f>PRODUCT(D2506:G2506)</f>
        <v>3.24</v>
      </c>
      <c r="J2506" s="253" t="inlineStr">
        <is>
          <t xml:space="preserve">3*(1.5+0.3)*(2*0.225+0.15)</t>
        </is>
      </c>
    </row>
    <row r="2507">
      <c r="C2507" s="246" t="inlineStr">
        <is>
          <t xml:space="preserve">Lintel formwork over W13 (1 nr, 2.4x1.3): nr x (width + 2 x 150 bearing) x girth 0.60</t>
        </is>
      </c>
      <c r="D2507" s="248">
        <v>1</v>
      </c>
      <c r="E2507" s="247">
        <f>2.4+0.3</f>
        <v>2.6999999999999997</v>
      </c>
      <c r="F2507" s="247">
        <f>2*0.225+0.15</f>
        <v>0.6</v>
      </c>
      <c r="H2507" s="249">
        <f>PRODUCT(D2507:G2507)</f>
        <v>1.6199999999999999</v>
      </c>
      <c r="J2507" s="253" t="inlineStr">
        <is>
          <t xml:space="preserve">1*(2.4+0.3)*(2*0.225+0.15)</t>
        </is>
      </c>
    </row>
    <row r="2508">
      <c r="C2508" s="246" t="inlineStr">
        <is>
          <t xml:space="preserve">Lintel formwork over W15 (1 nr, 3x1.6): nr x (width + 2 x 150 bearing) x girth 0.60</t>
        </is>
      </c>
      <c r="D2508" s="248">
        <v>1</v>
      </c>
      <c r="E2508" s="247">
        <f>3+0.3</f>
        <v>3.3</v>
      </c>
      <c r="F2508" s="247">
        <f>2*0.225+0.15</f>
        <v>0.6</v>
      </c>
      <c r="H2508" s="249">
        <f>PRODUCT(D2508:G2508)</f>
        <v>1.9799999999999998</v>
      </c>
      <c r="J2508" s="253" t="inlineStr">
        <is>
          <t xml:space="preserve">1*(3+0.3)*(2*0.225+0.15)</t>
        </is>
      </c>
    </row>
    <row r="2509">
      <c r="C2509" s="246" t="inlineStr">
        <is>
          <t xml:space="preserve">Lintel formwork over W17 (3 nr, 1.8x1.9): nr x (width + 2 x 150 bearing) x girth 0.60</t>
        </is>
      </c>
      <c r="D2509" s="248">
        <v>3</v>
      </c>
      <c r="E2509" s="247">
        <f>1.8+0.3</f>
        <v>2.1</v>
      </c>
      <c r="F2509" s="247">
        <f>2*0.225+0.15</f>
        <v>0.6</v>
      </c>
      <c r="H2509" s="249">
        <f>PRODUCT(D2509:G2509)</f>
        <v>3.7800000000000002</v>
      </c>
      <c r="J2509" s="253" t="inlineStr">
        <is>
          <t xml:space="preserve">3*(1.8+0.3)*(2*0.225+0.15)</t>
        </is>
      </c>
    </row>
    <row r="2510">
      <c r="C2510" s="246" t="inlineStr">
        <is>
          <t xml:space="preserve">Lintel formwork over W18 (1 nr, 0.75x1.3): nr x (width + 2 x 150 bearing) x girth 0.60</t>
        </is>
      </c>
      <c r="D2510" s="248">
        <v>1</v>
      </c>
      <c r="E2510" s="247">
        <f>0.75+0.3</f>
        <v>1.05</v>
      </c>
      <c r="F2510" s="247">
        <f>2*0.225+0.15</f>
        <v>0.6</v>
      </c>
      <c r="H2510" s="249">
        <f>PRODUCT(D2510:G2510)</f>
        <v>0.63</v>
      </c>
      <c r="J2510" s="253" t="inlineStr">
        <is>
          <t xml:space="preserve">1*(0.75+0.3)*(2*0.225+0.15)</t>
        </is>
      </c>
    </row>
    <row r="2511">
      <c r="C2511" s="246" t="inlineStr">
        <is>
          <t xml:space="preserve">Lintel formwork over W20 (1 nr, 1.45x1.9): nr x (width + 2 x 150 bearing) x girth 0.60</t>
        </is>
      </c>
      <c r="D2511" s="248">
        <v>1</v>
      </c>
      <c r="E2511" s="247">
        <f>1.45+0.3</f>
        <v>1.75</v>
      </c>
      <c r="F2511" s="247">
        <f>2*0.225+0.15</f>
        <v>0.6</v>
      </c>
      <c r="H2511" s="249">
        <f>PRODUCT(D2511:G2511)</f>
        <v>1.05</v>
      </c>
      <c r="J2511" s="253" t="inlineStr">
        <is>
          <t xml:space="preserve">1*(1.45+0.3)*(2*0.225+0.15)</t>
        </is>
      </c>
    </row>
    <row r="2512">
      <c r="C2512" s="246" t="inlineStr">
        <is>
          <t xml:space="preserve">Lintel formwork over HW1 (12 nr, 0.9x0.6): nr x (width + 2 x 150 bearing) x girth 0.60</t>
        </is>
      </c>
      <c r="D2512" s="248">
        <v>12</v>
      </c>
      <c r="E2512" s="247">
        <f>0.9+0.3</f>
        <v>1.2</v>
      </c>
      <c r="F2512" s="247">
        <f>2*0.225+0.15</f>
        <v>0.6</v>
      </c>
      <c r="H2512" s="249">
        <f>PRODUCT(D2512:G2512)</f>
        <v>8.639999999999999</v>
      </c>
      <c r="J2512" s="253" t="inlineStr">
        <is>
          <t xml:space="preserve">12*(0.9+0.3)*(2*0.225+0.15)</t>
        </is>
      </c>
    </row>
    <row r="2513">
      <c r="C2513" s="246" t="inlineStr">
        <is>
          <t xml:space="preserve">Lintel formwork over HW2 (4 nr, 0.75x0.6): nr x (width + 2 x 150 bearing) x girth 0.60</t>
        </is>
      </c>
      <c r="D2513" s="248">
        <v>4</v>
      </c>
      <c r="E2513" s="247">
        <f>0.75+0.3</f>
        <v>1.05</v>
      </c>
      <c r="F2513" s="247">
        <f>2*0.225+0.15</f>
        <v>0.6</v>
      </c>
      <c r="H2513" s="249">
        <f>PRODUCT(D2513:G2513)</f>
        <v>2.52</v>
      </c>
      <c r="J2513" s="253" t="inlineStr">
        <is>
          <t xml:space="preserve">4*(0.75+0.3)*(2*0.225+0.15)</t>
        </is>
      </c>
    </row>
    <row r="2514">
      <c r="C2514" s="246" t="inlineStr">
        <is>
          <t xml:space="preserve">Lintel formwork over HW3 (1 nr, 0.6x0.6): nr x (width + 2 x 150 bearing) x girth 0.60</t>
        </is>
      </c>
      <c r="D2514" s="248">
        <v>1</v>
      </c>
      <c r="E2514" s="247">
        <f>0.6+0.3</f>
        <v>0.8999999999999999</v>
      </c>
      <c r="F2514" s="247">
        <f>2*0.225+0.15</f>
        <v>0.6</v>
      </c>
      <c r="H2514" s="249">
        <f>PRODUCT(D2514:G2514)</f>
        <v>0.5399999999999999</v>
      </c>
      <c r="J2514" s="253" t="inlineStr">
        <is>
          <t xml:space="preserve">1*(0.6+0.3)*(2*0.225+0.15)</t>
        </is>
      </c>
    </row>
    <row r="2515">
      <c r="C2515" s="246" t="inlineStr">
        <is>
          <t xml:space="preserve">Lintel formwork over HW4 (1 nr, 1.2x0.6): nr x (width + 2 x 150 bearing) x girth 0.60</t>
        </is>
      </c>
      <c r="D2515" s="248">
        <v>1</v>
      </c>
      <c r="E2515" s="247">
        <f>1.2+0.3</f>
        <v>1.5</v>
      </c>
      <c r="F2515" s="247">
        <f>2*0.225+0.15</f>
        <v>0.6</v>
      </c>
      <c r="H2515" s="249">
        <f>PRODUCT(D2515:G2515)</f>
        <v>0.8999999999999999</v>
      </c>
      <c r="J2515" s="253" t="inlineStr">
        <is>
          <t xml:space="preserve">1*(1.2+0.3)*(2*0.225+0.15)</t>
        </is>
      </c>
    </row>
    <row r="2516">
      <c r="C2516" s="250" t="inlineStr">
        <is>
          <t xml:space="preserve">Total carried to BOQ  5TH FLR item P</t>
        </is>
      </c>
      <c r="D2516" s="250" t="inlineStr">
        <is>
          <t xml:space="preserve"/>
        </is>
      </c>
      <c r="E2516" s="250" t="inlineStr">
        <is>
          <t xml:space="preserve"/>
        </is>
      </c>
      <c r="F2516" s="250" t="inlineStr">
        <is>
          <t xml:space="preserve"/>
        </is>
      </c>
      <c r="G2516" s="250" t="inlineStr">
        <is>
          <t xml:space="preserve"/>
        </is>
      </c>
      <c r="H2516" s="251">
        <f>SUM(H2481:H2515)</f>
        <v>116.76000000000003</v>
      </c>
      <c r="I2516" s="252" t="inlineStr">
        <is>
          <t xml:space="preserve">m2</t>
        </is>
      </c>
    </row>
    <row r="2517">
      <c r="C2517" s="242" t="inlineStr">
        <is>
          <t xml:space="preserve">E30 REINFORCEMENT - High tensile yield round bar reinforcement (standard) to BS 4449:</t>
        </is>
      </c>
    </row>
    <row r="2518">
      <c r="A2518" s="243" t="inlineStr">
        <is>
          <t xml:space="preserve">5TH FLR</t>
        </is>
      </c>
      <c r="B2518" s="243" t="inlineStr">
        <is>
          <t xml:space="preserve">Q</t>
        </is>
      </c>
      <c r="C2518" s="244" t="inlineStr">
        <is>
          <t xml:space="preserve">10mm diameter in columns</t>
        </is>
      </c>
      <c r="I2518" s="245" t="inlineStr">
        <is>
          <t xml:space="preserve">t</t>
        </is>
      </c>
      <c r="K2518" s="256" t="inlineStr">
        <is>
          <t xml:space="preserve">'5TH FLR '!C64</t>
        </is>
      </c>
    </row>
    <row r="2519">
      <c r="C2519" s="246" t="inlineStr">
        <is>
          <t xml:space="preserve">Fifth floor (+17500) - Columns, Y10 (from reinforcement take-off / BBS)</t>
        </is>
      </c>
      <c r="H2519" s="247">
        <v>4.551</v>
      </c>
      <c r="J2519" s="253" t="inlineStr">
        <is>
          <t xml:space="preserve">4.551</t>
        </is>
      </c>
    </row>
    <row r="2520">
      <c r="C2520" s="250" t="inlineStr">
        <is>
          <t xml:space="preserve">Total carried to BOQ  5TH FLR item Q</t>
        </is>
      </c>
      <c r="D2520" s="250" t="inlineStr">
        <is>
          <t xml:space="preserve"/>
        </is>
      </c>
      <c r="E2520" s="250" t="inlineStr">
        <is>
          <t xml:space="preserve"/>
        </is>
      </c>
      <c r="F2520" s="250" t="inlineStr">
        <is>
          <t xml:space="preserve"/>
        </is>
      </c>
      <c r="G2520" s="250" t="inlineStr">
        <is>
          <t xml:space="preserve"/>
        </is>
      </c>
      <c r="H2520" s="251">
        <f>SUM(H2519:H2519)</f>
        <v>4.551</v>
      </c>
      <c r="I2520" s="252" t="inlineStr">
        <is>
          <t xml:space="preserve">t</t>
        </is>
      </c>
    </row>
    <row r="2521">
      <c r="A2521" s="243" t="inlineStr">
        <is>
          <t xml:space="preserve">5TH FLR</t>
        </is>
      </c>
      <c r="B2521" s="243" t="inlineStr">
        <is>
          <t xml:space="preserve">R</t>
        </is>
      </c>
      <c r="C2521" s="244" t="inlineStr">
        <is>
          <t xml:space="preserve">20mm diameter in columns</t>
        </is>
      </c>
      <c r="I2521" s="245" t="inlineStr">
        <is>
          <t xml:space="preserve">t</t>
        </is>
      </c>
      <c r="K2521" s="256" t="inlineStr">
        <is>
          <t xml:space="preserve">'5TH FLR '!C66</t>
        </is>
      </c>
    </row>
    <row r="2522">
      <c r="C2522" s="246" t="inlineStr">
        <is>
          <t xml:space="preserve">Fifth floor (+17500) - Columns, Y20 (from reinforcement take-off / BBS)</t>
        </is>
      </c>
      <c r="H2522" s="247">
        <v>7.133</v>
      </c>
      <c r="J2522" s="253" t="inlineStr">
        <is>
          <t xml:space="preserve">7.133</t>
        </is>
      </c>
    </row>
    <row r="2523">
      <c r="C2523" s="250" t="inlineStr">
        <is>
          <t xml:space="preserve">Total carried to BOQ  5TH FLR item R</t>
        </is>
      </c>
      <c r="D2523" s="250" t="inlineStr">
        <is>
          <t xml:space="preserve"/>
        </is>
      </c>
      <c r="E2523" s="250" t="inlineStr">
        <is>
          <t xml:space="preserve"/>
        </is>
      </c>
      <c r="F2523" s="250" t="inlineStr">
        <is>
          <t xml:space="preserve"/>
        </is>
      </c>
      <c r="G2523" s="250" t="inlineStr">
        <is>
          <t xml:space="preserve"/>
        </is>
      </c>
      <c r="H2523" s="251">
        <f>SUM(H2522:H2522)</f>
        <v>7.133</v>
      </c>
      <c r="I2523" s="252" t="inlineStr">
        <is>
          <t xml:space="preserve">t</t>
        </is>
      </c>
    </row>
    <row r="2524">
      <c r="A2524" s="243" t="inlineStr">
        <is>
          <t xml:space="preserve">5TH FLR</t>
        </is>
      </c>
      <c r="B2524" s="243" t="inlineStr">
        <is>
          <t xml:space="preserve">S</t>
        </is>
      </c>
      <c r="C2524" s="244" t="inlineStr">
        <is>
          <t xml:space="preserve">10mm diameter in beams (links)</t>
        </is>
      </c>
      <c r="I2524" s="245" t="inlineStr">
        <is>
          <t xml:space="preserve">t</t>
        </is>
      </c>
      <c r="K2524" s="256" t="inlineStr">
        <is>
          <t xml:space="preserve">'5TH FLR '!C68</t>
        </is>
      </c>
    </row>
    <row r="2525">
      <c r="C2525" s="246" t="inlineStr">
        <is>
          <t xml:space="preserve">Fifth floor (+17500) - Beams, Y10 (from reinforcement take-off / BBS)</t>
        </is>
      </c>
      <c r="H2525" s="247">
        <v>1.806</v>
      </c>
      <c r="J2525" s="253" t="inlineStr">
        <is>
          <t xml:space="preserve">1.806</t>
        </is>
      </c>
    </row>
    <row r="2526">
      <c r="C2526" s="250" t="inlineStr">
        <is>
          <t xml:space="preserve">Total carried to BOQ  5TH FLR item S</t>
        </is>
      </c>
      <c r="D2526" s="250" t="inlineStr">
        <is>
          <t xml:space="preserve"/>
        </is>
      </c>
      <c r="E2526" s="250" t="inlineStr">
        <is>
          <t xml:space="preserve"/>
        </is>
      </c>
      <c r="F2526" s="250" t="inlineStr">
        <is>
          <t xml:space="preserve"/>
        </is>
      </c>
      <c r="G2526" s="250" t="inlineStr">
        <is>
          <t xml:space="preserve"/>
        </is>
      </c>
      <c r="H2526" s="251">
        <f>SUM(H2525:H2525)</f>
        <v>1.806</v>
      </c>
      <c r="I2526" s="252" t="inlineStr">
        <is>
          <t xml:space="preserve">t</t>
        </is>
      </c>
    </row>
    <row r="2527">
      <c r="A2527" s="243" t="inlineStr">
        <is>
          <t xml:space="preserve">5TH FLR</t>
        </is>
      </c>
      <c r="B2527" s="243" t="inlineStr">
        <is>
          <t xml:space="preserve">T</t>
        </is>
      </c>
      <c r="C2527" s="244" t="inlineStr">
        <is>
          <t xml:space="preserve">16mm diameter in beams</t>
        </is>
      </c>
      <c r="I2527" s="245" t="inlineStr">
        <is>
          <t xml:space="preserve">t</t>
        </is>
      </c>
      <c r="K2527" s="256" t="inlineStr">
        <is>
          <t xml:space="preserve">'5TH FLR '!C70</t>
        </is>
      </c>
    </row>
    <row r="2528">
      <c r="C2528" s="246" t="inlineStr">
        <is>
          <t xml:space="preserve">Fifth floor (+17500) - Beams, Y16 (from reinforcement take-off / BBS)</t>
        </is>
      </c>
      <c r="H2528" s="247">
        <v>1.248</v>
      </c>
      <c r="J2528" s="253" t="inlineStr">
        <is>
          <t xml:space="preserve">1.248</t>
        </is>
      </c>
    </row>
    <row r="2529">
      <c r="C2529" s="250" t="inlineStr">
        <is>
          <t xml:space="preserve">Total carried to BOQ  5TH FLR item T</t>
        </is>
      </c>
      <c r="D2529" s="250" t="inlineStr">
        <is>
          <t xml:space="preserve"/>
        </is>
      </c>
      <c r="E2529" s="250" t="inlineStr">
        <is>
          <t xml:space="preserve"/>
        </is>
      </c>
      <c r="F2529" s="250" t="inlineStr">
        <is>
          <t xml:space="preserve"/>
        </is>
      </c>
      <c r="G2529" s="250" t="inlineStr">
        <is>
          <t xml:space="preserve"/>
        </is>
      </c>
      <c r="H2529" s="251">
        <f>SUM(H2528:H2528)</f>
        <v>1.248</v>
      </c>
      <c r="I2529" s="252" t="inlineStr">
        <is>
          <t xml:space="preserve">t</t>
        </is>
      </c>
    </row>
    <row r="2530">
      <c r="A2530" s="243" t="inlineStr">
        <is>
          <t xml:space="preserve">5TH FLR</t>
        </is>
      </c>
      <c r="B2530" s="243" t="inlineStr">
        <is>
          <t xml:space="preserve">U</t>
        </is>
      </c>
      <c r="C2530" s="244" t="inlineStr">
        <is>
          <t xml:space="preserve">20mm diameter in beams</t>
        </is>
      </c>
      <c r="I2530" s="245" t="inlineStr">
        <is>
          <t xml:space="preserve">t</t>
        </is>
      </c>
      <c r="K2530" s="256" t="inlineStr">
        <is>
          <t xml:space="preserve">'5TH FLR '!C72</t>
        </is>
      </c>
    </row>
    <row r="2531">
      <c r="C2531" s="246" t="inlineStr">
        <is>
          <t xml:space="preserve">Fifth floor (+17500) - Beams, Y20 (from reinforcement take-off / BBS)</t>
        </is>
      </c>
      <c r="H2531" s="247">
        <v>2.135</v>
      </c>
      <c r="J2531" s="253" t="inlineStr">
        <is>
          <t xml:space="preserve">2.135</t>
        </is>
      </c>
    </row>
    <row r="2532">
      <c r="C2532" s="250" t="inlineStr">
        <is>
          <t xml:space="preserve">Total carried to BOQ  5TH FLR item U</t>
        </is>
      </c>
      <c r="D2532" s="250" t="inlineStr">
        <is>
          <t xml:space="preserve"/>
        </is>
      </c>
      <c r="E2532" s="250" t="inlineStr">
        <is>
          <t xml:space="preserve"/>
        </is>
      </c>
      <c r="F2532" s="250" t="inlineStr">
        <is>
          <t xml:space="preserve"/>
        </is>
      </c>
      <c r="G2532" s="250" t="inlineStr">
        <is>
          <t xml:space="preserve"/>
        </is>
      </c>
      <c r="H2532" s="251">
        <f>SUM(H2531:H2531)</f>
        <v>2.135</v>
      </c>
      <c r="I2532" s="252" t="inlineStr">
        <is>
          <t xml:space="preserve">t</t>
        </is>
      </c>
    </row>
    <row r="2533">
      <c r="A2533" s="243" t="inlineStr">
        <is>
          <t xml:space="preserve">5TH FLR</t>
        </is>
      </c>
      <c r="B2533" s="243" t="inlineStr">
        <is>
          <t xml:space="preserve">V</t>
        </is>
      </c>
      <c r="C2533" s="244" t="inlineStr">
        <is>
          <t xml:space="preserve">25mm diameter in beams</t>
        </is>
      </c>
      <c r="I2533" s="245" t="inlineStr">
        <is>
          <t xml:space="preserve">t</t>
        </is>
      </c>
      <c r="K2533" s="256" t="inlineStr">
        <is>
          <t xml:space="preserve">'5TH FLR '!C74</t>
        </is>
      </c>
    </row>
    <row r="2534">
      <c r="C2534" s="246" t="inlineStr">
        <is>
          <t xml:space="preserve">Fifth floor (+17500) - Beams, Y25 (from reinforcement take-off / BBS)</t>
        </is>
      </c>
      <c r="H2534" s="247">
        <v>5.507</v>
      </c>
      <c r="J2534" s="253" t="inlineStr">
        <is>
          <t xml:space="preserve">5.507</t>
        </is>
      </c>
    </row>
    <row r="2535">
      <c r="C2535" s="250" t="inlineStr">
        <is>
          <t xml:space="preserve">Total carried to BOQ  5TH FLR item V</t>
        </is>
      </c>
      <c r="D2535" s="250" t="inlineStr">
        <is>
          <t xml:space="preserve"/>
        </is>
      </c>
      <c r="E2535" s="250" t="inlineStr">
        <is>
          <t xml:space="preserve"/>
        </is>
      </c>
      <c r="F2535" s="250" t="inlineStr">
        <is>
          <t xml:space="preserve"/>
        </is>
      </c>
      <c r="G2535" s="250" t="inlineStr">
        <is>
          <t xml:space="preserve"/>
        </is>
      </c>
      <c r="H2535" s="251">
        <f>SUM(H2534:H2534)</f>
        <v>5.507</v>
      </c>
      <c r="I2535" s="252" t="inlineStr">
        <is>
          <t xml:space="preserve">t</t>
        </is>
      </c>
    </row>
    <row r="2536">
      <c r="A2536" s="243" t="inlineStr">
        <is>
          <t xml:space="preserve">5TH FLR</t>
        </is>
      </c>
      <c r="B2536" s="243" t="inlineStr">
        <is>
          <t xml:space="preserve">W</t>
        </is>
      </c>
      <c r="C2536" s="244" t="inlineStr">
        <is>
          <t xml:space="preserve">10mm diameter in shear &amp; lift walls (links)</t>
        </is>
      </c>
      <c r="I2536" s="245" t="inlineStr">
        <is>
          <t xml:space="preserve">t</t>
        </is>
      </c>
      <c r="K2536" s="256" t="inlineStr">
        <is>
          <t xml:space="preserve">'5TH FLR '!C76</t>
        </is>
      </c>
    </row>
    <row r="2537">
      <c r="C2537" s="246" t="inlineStr">
        <is>
          <t xml:space="preserve">Fifth floor (+17500) - Shear Walls, Y10 (from reinforcement take-off / BBS)</t>
        </is>
      </c>
      <c r="H2537" s="247">
        <v>1.442</v>
      </c>
      <c r="J2537" s="253" t="inlineStr">
        <is>
          <t xml:space="preserve">1.442</t>
        </is>
      </c>
    </row>
    <row r="2538">
      <c r="C2538" s="246" t="inlineStr">
        <is>
          <t xml:space="preserve">Fifth floor (+17500) - Lift Walls, Y10 (from reinforcement take-off / BBS)</t>
        </is>
      </c>
      <c r="H2538" s="247">
        <v>0.636</v>
      </c>
      <c r="J2538" s="253" t="inlineStr">
        <is>
          <t xml:space="preserve">0.636</t>
        </is>
      </c>
    </row>
    <row r="2539">
      <c r="C2539" s="250" t="inlineStr">
        <is>
          <t xml:space="preserve">Total carried to BOQ  5TH FLR item W</t>
        </is>
      </c>
      <c r="D2539" s="250" t="inlineStr">
        <is>
          <t xml:space="preserve"/>
        </is>
      </c>
      <c r="E2539" s="250" t="inlineStr">
        <is>
          <t xml:space="preserve"/>
        </is>
      </c>
      <c r="F2539" s="250" t="inlineStr">
        <is>
          <t xml:space="preserve"/>
        </is>
      </c>
      <c r="G2539" s="250" t="inlineStr">
        <is>
          <t xml:space="preserve"/>
        </is>
      </c>
      <c r="H2539" s="251">
        <f>SUM(H2537:H2538)</f>
        <v>2.078</v>
      </c>
      <c r="I2539" s="252" t="inlineStr">
        <is>
          <t xml:space="preserve">t</t>
        </is>
      </c>
    </row>
    <row r="2540">
      <c r="A2540" s="243" t="inlineStr">
        <is>
          <t xml:space="preserve">5TH FLR</t>
        </is>
      </c>
      <c r="B2540" s="243" t="inlineStr">
        <is>
          <t xml:space="preserve">X</t>
        </is>
      </c>
      <c r="C2540" s="244" t="inlineStr">
        <is>
          <t xml:space="preserve">12mm diameter in shear, lift &amp; ramp walls</t>
        </is>
      </c>
      <c r="I2540" s="245" t="inlineStr">
        <is>
          <t xml:space="preserve">t</t>
        </is>
      </c>
      <c r="K2540" s="256" t="inlineStr">
        <is>
          <t xml:space="preserve">'5TH FLR '!C78</t>
        </is>
      </c>
    </row>
    <row r="2541">
      <c r="C2541" s="246" t="inlineStr">
        <is>
          <t xml:space="preserve">Fifth floor (+17500) - Shear Walls, Y12 (from reinforcement take-off / BBS)</t>
        </is>
      </c>
      <c r="H2541" s="247">
        <v>1.917</v>
      </c>
      <c r="J2541" s="253" t="inlineStr">
        <is>
          <t xml:space="preserve">1.917</t>
        </is>
      </c>
    </row>
    <row r="2542">
      <c r="C2542" s="246" t="inlineStr">
        <is>
          <t xml:space="preserve">Fifth floor (+17500) - Lift Walls, Y12 (from reinforcement take-off / BBS)</t>
        </is>
      </c>
      <c r="H2542" s="247">
        <v>0.866</v>
      </c>
      <c r="J2542" s="253" t="inlineStr">
        <is>
          <t xml:space="preserve">0.866</t>
        </is>
      </c>
    </row>
    <row r="2543">
      <c r="C2543" s="250" t="inlineStr">
        <is>
          <t xml:space="preserve">Total carried to BOQ  5TH FLR item X</t>
        </is>
      </c>
      <c r="D2543" s="250" t="inlineStr">
        <is>
          <t xml:space="preserve"/>
        </is>
      </c>
      <c r="E2543" s="250" t="inlineStr">
        <is>
          <t xml:space="preserve"/>
        </is>
      </c>
      <c r="F2543" s="250" t="inlineStr">
        <is>
          <t xml:space="preserve"/>
        </is>
      </c>
      <c r="G2543" s="250" t="inlineStr">
        <is>
          <t xml:space="preserve"/>
        </is>
      </c>
      <c r="H2543" s="251">
        <f>SUM(H2541:H2542)</f>
        <v>2.783</v>
      </c>
      <c r="I2543" s="252" t="inlineStr">
        <is>
          <t xml:space="preserve">t</t>
        </is>
      </c>
    </row>
    <row r="2544">
      <c r="A2544" s="243" t="inlineStr">
        <is>
          <t xml:space="preserve">5TH FLR</t>
        </is>
      </c>
      <c r="B2544" s="243" t="inlineStr">
        <is>
          <t xml:space="preserve">Y</t>
        </is>
      </c>
      <c r="C2544" s="244" t="inlineStr">
        <is>
          <t xml:space="preserve">20mm diameter in shear &amp; lift walls</t>
        </is>
      </c>
      <c r="I2544" s="245" t="inlineStr">
        <is>
          <t xml:space="preserve">t</t>
        </is>
      </c>
      <c r="K2544" s="256" t="inlineStr">
        <is>
          <t xml:space="preserve">'5TH FLR '!C80</t>
        </is>
      </c>
    </row>
    <row r="2545">
      <c r="C2545" s="246" t="inlineStr">
        <is>
          <t xml:space="preserve">Fifth floor (+17500) - Shear Walls, Y20 (from reinforcement take-off / BBS)</t>
        </is>
      </c>
      <c r="H2545" s="247">
        <v>6.904</v>
      </c>
      <c r="J2545" s="253" t="inlineStr">
        <is>
          <t xml:space="preserve">6.904</t>
        </is>
      </c>
    </row>
    <row r="2546">
      <c r="C2546" s="246" t="inlineStr">
        <is>
          <t xml:space="preserve">Fifth floor (+17500) - Lift Walls, Y20 (from reinforcement take-off / BBS)</t>
        </is>
      </c>
      <c r="H2546" s="247">
        <v>3.32</v>
      </c>
      <c r="J2546" s="253" t="inlineStr">
        <is>
          <t xml:space="preserve">3.320</t>
        </is>
      </c>
    </row>
    <row r="2547">
      <c r="C2547" s="250" t="inlineStr">
        <is>
          <t xml:space="preserve">Total carried to BOQ  5TH FLR item Y</t>
        </is>
      </c>
      <c r="D2547" s="250" t="inlineStr">
        <is>
          <t xml:space="preserve"/>
        </is>
      </c>
      <c r="E2547" s="250" t="inlineStr">
        <is>
          <t xml:space="preserve"/>
        </is>
      </c>
      <c r="F2547" s="250" t="inlineStr">
        <is>
          <t xml:space="preserve"/>
        </is>
      </c>
      <c r="G2547" s="250" t="inlineStr">
        <is>
          <t xml:space="preserve"/>
        </is>
      </c>
      <c r="H2547" s="251">
        <f>SUM(H2545:H2546)</f>
        <v>10.224</v>
      </c>
      <c r="I2547" s="252" t="inlineStr">
        <is>
          <t xml:space="preserve">t</t>
        </is>
      </c>
    </row>
    <row r="2548">
      <c r="A2548" s="243" t="inlineStr">
        <is>
          <t xml:space="preserve">5TH FLR</t>
        </is>
      </c>
      <c r="B2548" s="243" t="inlineStr">
        <is>
          <t xml:space="preserve">Z</t>
        </is>
      </c>
      <c r="C2548" s="244" t="inlineStr">
        <is>
          <t xml:space="preserve">12mm diameter in stairs</t>
        </is>
      </c>
      <c r="I2548" s="245" t="inlineStr">
        <is>
          <t xml:space="preserve">t</t>
        </is>
      </c>
      <c r="K2548" s="256" t="inlineStr">
        <is>
          <t xml:space="preserve">'5TH FLR '!C82</t>
        </is>
      </c>
    </row>
    <row r="2549">
      <c r="C2549" s="246" t="inlineStr">
        <is>
          <t xml:space="preserve">Fifth floor (+17500) - Staircases, Y12 (from reinforcement take-off / BBS)</t>
        </is>
      </c>
      <c r="H2549" s="247">
        <v>0.88</v>
      </c>
      <c r="J2549" s="253" t="inlineStr">
        <is>
          <t xml:space="preserve">0.880</t>
        </is>
      </c>
    </row>
    <row r="2550">
      <c r="C2550" s="250" t="inlineStr">
        <is>
          <t xml:space="preserve">Total carried to BOQ  5TH FLR item Z</t>
        </is>
      </c>
      <c r="D2550" s="250" t="inlineStr">
        <is>
          <t xml:space="preserve"/>
        </is>
      </c>
      <c r="E2550" s="250" t="inlineStr">
        <is>
          <t xml:space="preserve"/>
        </is>
      </c>
      <c r="F2550" s="250" t="inlineStr">
        <is>
          <t xml:space="preserve"/>
        </is>
      </c>
      <c r="G2550" s="250" t="inlineStr">
        <is>
          <t xml:space="preserve"/>
        </is>
      </c>
      <c r="H2550" s="251">
        <f>SUM(H2549:H2549)</f>
        <v>0.88</v>
      </c>
      <c r="I2550" s="252" t="inlineStr">
        <is>
          <t xml:space="preserve">t</t>
        </is>
      </c>
    </row>
    <row r="2551">
      <c r="A2551" s="243" t="inlineStr">
        <is>
          <t xml:space="preserve">5TH FLR</t>
        </is>
      </c>
      <c r="B2551" s="243" t="inlineStr">
        <is>
          <t xml:space="preserve">A</t>
        </is>
      </c>
      <c r="C2551" s="244" t="inlineStr">
        <is>
          <t xml:space="preserve">16mm diameter in stairs</t>
        </is>
      </c>
      <c r="I2551" s="245" t="inlineStr">
        <is>
          <t xml:space="preserve">t</t>
        </is>
      </c>
      <c r="K2551" s="256" t="inlineStr">
        <is>
          <t xml:space="preserve">'5TH FLR '!C84</t>
        </is>
      </c>
    </row>
    <row r="2552">
      <c r="C2552" s="246" t="inlineStr">
        <is>
          <t xml:space="preserve">Fifth floor (+17500) - Staircases, Y16 (from reinforcement take-off / BBS)</t>
        </is>
      </c>
      <c r="H2552" s="247">
        <v>1.434</v>
      </c>
      <c r="J2552" s="253" t="inlineStr">
        <is>
          <t xml:space="preserve">1.434</t>
        </is>
      </c>
    </row>
    <row r="2553">
      <c r="C2553" s="250" t="inlineStr">
        <is>
          <t xml:space="preserve">Total carried to BOQ  5TH FLR item A</t>
        </is>
      </c>
      <c r="D2553" s="250" t="inlineStr">
        <is>
          <t xml:space="preserve"/>
        </is>
      </c>
      <c r="E2553" s="250" t="inlineStr">
        <is>
          <t xml:space="preserve"/>
        </is>
      </c>
      <c r="F2553" s="250" t="inlineStr">
        <is>
          <t xml:space="preserve"/>
        </is>
      </c>
      <c r="G2553" s="250" t="inlineStr">
        <is>
          <t xml:space="preserve"/>
        </is>
      </c>
      <c r="H2553" s="251">
        <f>SUM(H2552:H2552)</f>
        <v>1.434</v>
      </c>
      <c r="I2553" s="252" t="inlineStr">
        <is>
          <t xml:space="preserve">t</t>
        </is>
      </c>
    </row>
    <row r="2554">
      <c r="A2554" s="243" t="inlineStr">
        <is>
          <t xml:space="preserve">5TH FLR</t>
        </is>
      </c>
      <c r="B2554" s="243" t="inlineStr">
        <is>
          <t xml:space="preserve">B</t>
        </is>
      </c>
      <c r="C2554" s="244" t="inlineStr">
        <is>
          <t xml:space="preserve">12mm diameter for suspended slab</t>
        </is>
      </c>
      <c r="I2554" s="245" t="inlineStr">
        <is>
          <t xml:space="preserve">t</t>
        </is>
      </c>
      <c r="K2554" s="256" t="inlineStr">
        <is>
          <t xml:space="preserve">'5TH FLR '!C86</t>
        </is>
      </c>
    </row>
    <row r="2555">
      <c r="C2555" s="246" t="inlineStr">
        <is>
          <t xml:space="preserve">Fifth floor (+17500) - Floor Slabs, Y12 (from reinforcement take-off / BBS)</t>
        </is>
      </c>
      <c r="H2555" s="247">
        <v>49.804</v>
      </c>
      <c r="J2555" s="253" t="inlineStr">
        <is>
          <t xml:space="preserve">49.804</t>
        </is>
      </c>
    </row>
    <row r="2556">
      <c r="C2556" s="250" t="inlineStr">
        <is>
          <t xml:space="preserve">Total carried to BOQ  5TH FLR item B</t>
        </is>
      </c>
      <c r="D2556" s="250" t="inlineStr">
        <is>
          <t xml:space="preserve"/>
        </is>
      </c>
      <c r="E2556" s="250" t="inlineStr">
        <is>
          <t xml:space="preserve"/>
        </is>
      </c>
      <c r="F2556" s="250" t="inlineStr">
        <is>
          <t xml:space="preserve"/>
        </is>
      </c>
      <c r="G2556" s="250" t="inlineStr">
        <is>
          <t xml:space="preserve"/>
        </is>
      </c>
      <c r="H2556" s="251">
        <f>SUM(H2555:H2555)</f>
        <v>49.804</v>
      </c>
      <c r="I2556" s="252" t="inlineStr">
        <is>
          <t xml:space="preserve">t</t>
        </is>
      </c>
    </row>
    <row r="2557">
      <c r="A2557" s="243" t="inlineStr">
        <is>
          <t xml:space="preserve">5TH FLR</t>
        </is>
      </c>
      <c r="B2557" s="243" t="inlineStr">
        <is>
          <t xml:space="preserve">C</t>
        </is>
      </c>
      <c r="C2557" s="244" t="inlineStr">
        <is>
          <t xml:space="preserve">16mm diameter for suspended slab</t>
        </is>
      </c>
      <c r="I2557" s="245" t="inlineStr">
        <is>
          <t xml:space="preserve">t</t>
        </is>
      </c>
      <c r="K2557" s="256" t="inlineStr">
        <is>
          <t xml:space="preserve">'5TH FLR '!C88</t>
        </is>
      </c>
    </row>
    <row r="2558">
      <c r="C2558" s="246" t="inlineStr">
        <is>
          <t xml:space="preserve">Fifth floor (+17500) - Floor Slabs, Y16 (from reinforcement take-off / BBS)</t>
        </is>
      </c>
      <c r="H2558" s="247">
        <v>0.151</v>
      </c>
      <c r="J2558" s="253" t="inlineStr">
        <is>
          <t xml:space="preserve">0.151</t>
        </is>
      </c>
    </row>
    <row r="2559">
      <c r="C2559" s="250" t="inlineStr">
        <is>
          <t xml:space="preserve">Total carried to BOQ  5TH FLR item C</t>
        </is>
      </c>
      <c r="D2559" s="250" t="inlineStr">
        <is>
          <t xml:space="preserve"/>
        </is>
      </c>
      <c r="E2559" s="250" t="inlineStr">
        <is>
          <t xml:space="preserve"/>
        </is>
      </c>
      <c r="F2559" s="250" t="inlineStr">
        <is>
          <t xml:space="preserve"/>
        </is>
      </c>
      <c r="G2559" s="250" t="inlineStr">
        <is>
          <t xml:space="preserve"/>
        </is>
      </c>
      <c r="H2559" s="251">
        <f>SUM(H2558:H2558)</f>
        <v>0.151</v>
      </c>
      <c r="I2559" s="252" t="inlineStr">
        <is>
          <t xml:space="preserve">t</t>
        </is>
      </c>
    </row>
    <row r="2560">
      <c r="C2560" s="242" t="inlineStr">
        <is>
          <t xml:space="preserve">ELEMENT NO. 2: MASONRY</t>
        </is>
      </c>
    </row>
    <row r="2561">
      <c r="C2561" s="242" t="inlineStr">
        <is>
          <t xml:space="preserve">F10 BRICK/BLOCK WALL - Solid sandcrete blockwork in cement and sand (1:4) mortar as described in:</t>
        </is>
      </c>
    </row>
    <row r="2562">
      <c r="A2562" s="243" t="inlineStr">
        <is>
          <t xml:space="preserve">5TH FLR</t>
        </is>
      </c>
      <c r="B2562" s="243" t="inlineStr">
        <is>
          <t xml:space="preserve">A</t>
        </is>
      </c>
      <c r="C2562" s="244" t="inlineStr">
        <is>
          <t xml:space="preserve">150mm thick wall</t>
        </is>
      </c>
      <c r="I2562" s="245" t="inlineStr">
        <is>
          <t xml:space="preserve">m2</t>
        </is>
      </c>
      <c r="K2562" s="256" t="inlineStr">
        <is>
          <t xml:space="preserve">'5TH FLR '!C97</t>
        </is>
      </c>
    </row>
    <row r="2563">
      <c r="C2563" s="246" t="inlineStr">
        <is>
          <t xml:space="preserve">Fifth floor - 150 blockwork: wall length x storey ht</t>
        </is>
      </c>
      <c r="E2563" s="247">
        <v>447.7</v>
      </c>
      <c r="F2563" s="247">
        <v>3.05</v>
      </c>
      <c r="H2563" s="249">
        <f>PRODUCT(D2563:G2563)</f>
        <v>1365.485</v>
      </c>
      <c r="J2563" s="253" t="inlineStr">
        <is>
          <t xml:space="preserve">447.7*3.05</t>
        </is>
      </c>
    </row>
    <row r="2564">
      <c r="C2564" s="246" t="inlineStr">
        <is>
          <t xml:space="preserve">Walling over opening D2 (7 nr, 1x2.2): nr x width x (3.05 - opening ht) x thickness share</t>
        </is>
      </c>
      <c r="D2564" s="248">
        <v>7</v>
      </c>
      <c r="E2564" s="247">
        <v>1</v>
      </c>
      <c r="F2564" s="247">
        <f>3.05-2.2</f>
        <v>0.8499999999999996</v>
      </c>
      <c r="G2564" s="247">
        <v>0.901</v>
      </c>
      <c r="H2564" s="249">
        <f>PRODUCT(D2564:G2564)</f>
        <v>5.360949999999998</v>
      </c>
      <c r="J2564" s="253" t="inlineStr">
        <is>
          <t xml:space="preserve">7*1*(3.05-2.2)*0.901</t>
        </is>
      </c>
    </row>
    <row r="2565">
      <c r="C2565" s="246" t="inlineStr">
        <is>
          <t xml:space="preserve">Walling over opening D3 (15 nr, 0.9x2.2): nr x width x (3.05 - opening ht) x thickness share</t>
        </is>
      </c>
      <c r="D2565" s="248">
        <v>15</v>
      </c>
      <c r="E2565" s="247">
        <v>0.9</v>
      </c>
      <c r="F2565" s="247">
        <f>3.05-2.2</f>
        <v>0.8499999999999996</v>
      </c>
      <c r="G2565" s="247">
        <v>0.901</v>
      </c>
      <c r="H2565" s="249">
        <f>PRODUCT(D2565:G2565)</f>
        <v>10.338974999999996</v>
      </c>
      <c r="J2565" s="253" t="inlineStr">
        <is>
          <t xml:space="preserve">15*0.9*(3.05-2.2)*0.901</t>
        </is>
      </c>
    </row>
    <row r="2566">
      <c r="C2566" s="246" t="inlineStr">
        <is>
          <t xml:space="preserve">Walling over opening D6 (20 nr, 0.75x2.2): nr x width x (3.05 - opening ht) x thickness share</t>
        </is>
      </c>
      <c r="D2566" s="248">
        <v>20</v>
      </c>
      <c r="E2566" s="247">
        <v>0.75</v>
      </c>
      <c r="F2566" s="247">
        <f>3.05-2.2</f>
        <v>0.8499999999999996</v>
      </c>
      <c r="G2566" s="247">
        <v>0.901</v>
      </c>
      <c r="H2566" s="249">
        <f>PRODUCT(D2566:G2566)</f>
        <v>11.487749999999995</v>
      </c>
      <c r="J2566" s="253" t="inlineStr">
        <is>
          <t xml:space="preserve">20*0.75*(3.05-2.2)*0.901</t>
        </is>
      </c>
    </row>
    <row r="2567">
      <c r="C2567" s="246" t="inlineStr">
        <is>
          <t xml:space="preserve">Walling over opening D7 (1 nr, 0.7x2.2): nr x width x (3.05 - opening ht) x thickness share</t>
        </is>
      </c>
      <c r="D2567" s="248">
        <v>1</v>
      </c>
      <c r="E2567" s="247">
        <v>0.7</v>
      </c>
      <c r="F2567" s="247">
        <f>3.05-2.2</f>
        <v>0.8499999999999996</v>
      </c>
      <c r="G2567" s="247">
        <v>0.901</v>
      </c>
      <c r="H2567" s="249">
        <f>PRODUCT(D2567:G2567)</f>
        <v>0.5360949999999998</v>
      </c>
      <c r="J2567" s="253" t="inlineStr">
        <is>
          <t xml:space="preserve">1*0.7*(3.05-2.2)*0.901</t>
        </is>
      </c>
    </row>
    <row r="2568">
      <c r="C2568" s="246" t="inlineStr">
        <is>
          <t xml:space="preserve">Walling over opening D8 (3 nr, 1.2x2.2): nr x width x (3.05 - opening ht) x thickness share</t>
        </is>
      </c>
      <c r="D2568" s="248">
        <v>3</v>
      </c>
      <c r="E2568" s="247">
        <v>1.2</v>
      </c>
      <c r="F2568" s="247">
        <f>3.05-2.2</f>
        <v>0.8499999999999996</v>
      </c>
      <c r="G2568" s="247">
        <v>0.901</v>
      </c>
      <c r="H2568" s="249">
        <f>PRODUCT(D2568:G2568)</f>
        <v>2.7570599999999987</v>
      </c>
      <c r="J2568" s="253" t="inlineStr">
        <is>
          <t xml:space="preserve">3*1.2*(3.05-2.2)*0.901</t>
        </is>
      </c>
    </row>
    <row r="2569">
      <c r="C2569" s="246" t="inlineStr">
        <is>
          <t xml:space="preserve">Walling over opening ED1 (3 nr, 1x2.2): nr x width x (3.05 - opening ht) x thickness share</t>
        </is>
      </c>
      <c r="D2569" s="248">
        <v>3</v>
      </c>
      <c r="E2569" s="247">
        <v>1</v>
      </c>
      <c r="F2569" s="247">
        <f>3.05-2.2</f>
        <v>0.8499999999999996</v>
      </c>
      <c r="G2569" s="247">
        <v>0.901</v>
      </c>
      <c r="H2569" s="249">
        <f>PRODUCT(D2569:G2569)</f>
        <v>2.2975499999999993</v>
      </c>
      <c r="J2569" s="253" t="inlineStr">
        <is>
          <t xml:space="preserve">3*1*(3.05-2.2)*0.901</t>
        </is>
      </c>
    </row>
    <row r="2570">
      <c r="C2570" s="246" t="inlineStr">
        <is>
          <t xml:space="preserve">Walling over opening ED2 (3 nr, 1x2.2): nr x width x (3.05 - opening ht) x thickness share</t>
        </is>
      </c>
      <c r="D2570" s="248">
        <v>3</v>
      </c>
      <c r="E2570" s="247">
        <v>1</v>
      </c>
      <c r="F2570" s="247">
        <f>3.05-2.2</f>
        <v>0.8499999999999996</v>
      </c>
      <c r="G2570" s="247">
        <v>0.901</v>
      </c>
      <c r="H2570" s="249">
        <f>PRODUCT(D2570:G2570)</f>
        <v>2.2975499999999993</v>
      </c>
      <c r="J2570" s="253" t="inlineStr">
        <is>
          <t xml:space="preserve">3*1*(3.05-2.2)*0.901</t>
        </is>
      </c>
    </row>
    <row r="2571">
      <c r="C2571" s="246" t="inlineStr">
        <is>
          <t xml:space="preserve">Walling over opening D9 (1 nr, 0.9x2.2): nr x width x (3.05 - opening ht) x thickness share</t>
        </is>
      </c>
      <c r="D2571" s="248">
        <v>1</v>
      </c>
      <c r="E2571" s="247">
        <v>0.9</v>
      </c>
      <c r="F2571" s="247">
        <f>3.05-2.2</f>
        <v>0.8499999999999996</v>
      </c>
      <c r="G2571" s="247">
        <v>0.901</v>
      </c>
      <c r="H2571" s="249">
        <f>PRODUCT(D2571:G2571)</f>
        <v>0.6892649999999997</v>
      </c>
      <c r="J2571" s="253" t="inlineStr">
        <is>
          <t xml:space="preserve">1*0.9*(3.05-2.2)*0.901</t>
        </is>
      </c>
    </row>
    <row r="2572">
      <c r="C2572" s="246" t="inlineStr">
        <is>
          <t xml:space="preserve">Walling over opening FD1 (1 nr, 1.5x2.2): nr x width x (3.05 - opening ht) x thickness share</t>
        </is>
      </c>
      <c r="D2572" s="248">
        <v>1</v>
      </c>
      <c r="E2572" s="247">
        <v>1.5</v>
      </c>
      <c r="F2572" s="247">
        <f>3.05-2.2</f>
        <v>0.8499999999999996</v>
      </c>
      <c r="G2572" s="247">
        <v>0.901</v>
      </c>
      <c r="H2572" s="249">
        <f>PRODUCT(D2572:G2572)</f>
        <v>1.1487749999999997</v>
      </c>
      <c r="J2572" s="253" t="inlineStr">
        <is>
          <t xml:space="preserve">1*1.5*(3.05-2.2)*0.901</t>
        </is>
      </c>
    </row>
    <row r="2573">
      <c r="C2573" s="246" t="inlineStr">
        <is>
          <t xml:space="preserve">Walling over opening M1 (2 nr, 0.9x2.2): nr x width x (3.05 - opening ht) x thickness share</t>
        </is>
      </c>
      <c r="D2573" s="248">
        <v>2</v>
      </c>
      <c r="E2573" s="247">
        <v>0.9</v>
      </c>
      <c r="F2573" s="247">
        <f>3.05-2.2</f>
        <v>0.8499999999999996</v>
      </c>
      <c r="G2573" s="247">
        <v>0.901</v>
      </c>
      <c r="H2573" s="249">
        <f>PRODUCT(D2573:G2573)</f>
        <v>1.3785299999999994</v>
      </c>
      <c r="J2573" s="253" t="inlineStr">
        <is>
          <t xml:space="preserve">2*0.9*(3.05-2.2)*0.901</t>
        </is>
      </c>
    </row>
    <row r="2574">
      <c r="C2574" s="246" t="inlineStr">
        <is>
          <t xml:space="preserve">Walling over opening M2 (5 nr, 0.75x2.2): nr x width x (3.05 - opening ht) x thickness share</t>
        </is>
      </c>
      <c r="D2574" s="248">
        <v>5</v>
      </c>
      <c r="E2574" s="247">
        <v>0.75</v>
      </c>
      <c r="F2574" s="247">
        <f>3.05-2.2</f>
        <v>0.8499999999999996</v>
      </c>
      <c r="G2574" s="247">
        <v>0.901</v>
      </c>
      <c r="H2574" s="249">
        <f>PRODUCT(D2574:G2574)</f>
        <v>2.8719374999999987</v>
      </c>
      <c r="J2574" s="253" t="inlineStr">
        <is>
          <t xml:space="preserve">5*0.75*(3.05-2.2)*0.901</t>
        </is>
      </c>
    </row>
    <row r="2575">
      <c r="C2575" s="246" t="inlineStr">
        <is>
          <t xml:space="preserve">Walling over opening M3 (1 nr, 0.45x2.2): nr x width x (3.05 - opening ht) x thickness share</t>
        </is>
      </c>
      <c r="D2575" s="248">
        <v>1</v>
      </c>
      <c r="E2575" s="247">
        <v>0.45</v>
      </c>
      <c r="F2575" s="247">
        <f>3.05-2.2</f>
        <v>0.8499999999999996</v>
      </c>
      <c r="G2575" s="247">
        <v>0.901</v>
      </c>
      <c r="H2575" s="249">
        <f>PRODUCT(D2575:G2575)</f>
        <v>0.34463249999999984</v>
      </c>
      <c r="J2575" s="253" t="inlineStr">
        <is>
          <t xml:space="preserve">1*0.45*(3.05-2.2)*0.901</t>
        </is>
      </c>
    </row>
    <row r="2576">
      <c r="C2576" s="246" t="inlineStr">
        <is>
          <t xml:space="preserve">Walling over opening M5 (3 nr, 0.6x2.2): nr x width x (3.05 - opening ht) x thickness share</t>
        </is>
      </c>
      <c r="D2576" s="248">
        <v>3</v>
      </c>
      <c r="E2576" s="247">
        <v>0.6</v>
      </c>
      <c r="F2576" s="247">
        <f>3.05-2.2</f>
        <v>0.8499999999999996</v>
      </c>
      <c r="G2576" s="247">
        <v>0.901</v>
      </c>
      <c r="H2576" s="249">
        <f>PRODUCT(D2576:G2576)</f>
        <v>1.3785299999999994</v>
      </c>
      <c r="J2576" s="253" t="inlineStr">
        <is>
          <t xml:space="preserve">3*0.6*(3.05-2.2)*0.901</t>
        </is>
      </c>
    </row>
    <row r="2577">
      <c r="C2577" s="246" t="inlineStr">
        <is>
          <t xml:space="preserve">Walling over opening SD1 (1 nr, 3x2.2): nr x width x (3.05 - opening ht) x thickness share</t>
        </is>
      </c>
      <c r="D2577" s="248">
        <v>1</v>
      </c>
      <c r="E2577" s="247">
        <v>3</v>
      </c>
      <c r="F2577" s="247">
        <f>3.05-2.2</f>
        <v>0.8499999999999996</v>
      </c>
      <c r="G2577" s="247">
        <v>0.901</v>
      </c>
      <c r="H2577" s="249">
        <f>PRODUCT(D2577:G2577)</f>
        <v>2.2975499999999993</v>
      </c>
      <c r="J2577" s="253" t="inlineStr">
        <is>
          <t xml:space="preserve">1*3*(3.05-2.2)*0.901</t>
        </is>
      </c>
    </row>
    <row r="2578">
      <c r="C2578" s="246" t="inlineStr">
        <is>
          <t xml:space="preserve">Walling over opening SD2 (3 nr, 1.6x2.2): nr x width x (3.05 - opening ht) x thickness share</t>
        </is>
      </c>
      <c r="D2578" s="248">
        <v>3</v>
      </c>
      <c r="E2578" s="247">
        <v>1.6</v>
      </c>
      <c r="F2578" s="247">
        <f>3.05-2.2</f>
        <v>0.8499999999999996</v>
      </c>
      <c r="G2578" s="247">
        <v>0.901</v>
      </c>
      <c r="H2578" s="249">
        <f>PRODUCT(D2578:G2578)</f>
        <v>3.6760799999999993</v>
      </c>
      <c r="J2578" s="253" t="inlineStr">
        <is>
          <t xml:space="preserve">3*1.6*(3.05-2.2)*0.901</t>
        </is>
      </c>
    </row>
    <row r="2579">
      <c r="C2579" s="246" t="inlineStr">
        <is>
          <t xml:space="preserve">Walling over opening SD3 (2 nr, 1.3x2.2): nr x width x (3.05 - opening ht) x thickness share</t>
        </is>
      </c>
      <c r="D2579" s="248">
        <v>2</v>
      </c>
      <c r="E2579" s="247">
        <v>1.3</v>
      </c>
      <c r="F2579" s="247">
        <f>3.05-2.2</f>
        <v>0.8499999999999996</v>
      </c>
      <c r="G2579" s="247">
        <v>0.901</v>
      </c>
      <c r="H2579" s="249">
        <f>PRODUCT(D2579:G2579)</f>
        <v>1.9912099999999993</v>
      </c>
      <c r="J2579" s="253" t="inlineStr">
        <is>
          <t xml:space="preserve">2*1.3*(3.05-2.2)*0.901</t>
        </is>
      </c>
    </row>
    <row r="2580">
      <c r="C2580" s="246" t="inlineStr">
        <is>
          <t xml:space="preserve">Walling over opening SD4 (4 nr, 1.8x2.2): nr x width x (3.05 - opening ht) x thickness share</t>
        </is>
      </c>
      <c r="D2580" s="248">
        <v>4</v>
      </c>
      <c r="E2580" s="247">
        <v>1.8</v>
      </c>
      <c r="F2580" s="247">
        <f>3.05-2.2</f>
        <v>0.8499999999999996</v>
      </c>
      <c r="G2580" s="247">
        <v>0.901</v>
      </c>
      <c r="H2580" s="249">
        <f>PRODUCT(D2580:G2580)</f>
        <v>5.5141199999999975</v>
      </c>
      <c r="J2580" s="253" t="inlineStr">
        <is>
          <t xml:space="preserve">4*1.8*(3.05-2.2)*0.901</t>
        </is>
      </c>
    </row>
    <row r="2581">
      <c r="C2581" s="246" t="inlineStr">
        <is>
          <t xml:space="preserve">Walling over opening SD5 (1 nr, 1.2x2.2): nr x width x (3.05 - opening ht) x thickness share</t>
        </is>
      </c>
      <c r="D2581" s="248">
        <v>1</v>
      </c>
      <c r="E2581" s="247">
        <v>1.2</v>
      </c>
      <c r="F2581" s="247">
        <f>3.05-2.2</f>
        <v>0.8499999999999996</v>
      </c>
      <c r="G2581" s="247">
        <v>0.901</v>
      </c>
      <c r="H2581" s="249">
        <f>PRODUCT(D2581:G2581)</f>
        <v>0.9190199999999996</v>
      </c>
      <c r="J2581" s="253" t="inlineStr">
        <is>
          <t xml:space="preserve">1*1.2*(3.05-2.2)*0.901</t>
        </is>
      </c>
    </row>
    <row r="2582">
      <c r="C2582" s="246" t="inlineStr">
        <is>
          <t xml:space="preserve">Walling over opening W2 (6 nr, 1.8x1.3): nr x width x (3.05 - opening ht) x thickness share</t>
        </is>
      </c>
      <c r="D2582" s="248">
        <v>6</v>
      </c>
      <c r="E2582" s="247">
        <v>1.8</v>
      </c>
      <c r="F2582" s="247">
        <f>3.05-1.3</f>
        <v>1.7499999999999998</v>
      </c>
      <c r="G2582" s="247">
        <v>0.901</v>
      </c>
      <c r="H2582" s="249">
        <f>PRODUCT(D2582:G2582)</f>
        <v>17.0289</v>
      </c>
      <c r="J2582" s="253" t="inlineStr">
        <is>
          <t xml:space="preserve">6*1.8*(3.05-1.3)*0.901</t>
        </is>
      </c>
    </row>
    <row r="2583">
      <c r="C2583" s="246" t="inlineStr">
        <is>
          <t xml:space="preserve">Walling over opening W4 (10 nr, 0.9x1.3): nr x width x (3.05 - opening ht) x thickness share</t>
        </is>
      </c>
      <c r="D2583" s="248">
        <v>10</v>
      </c>
      <c r="E2583" s="247">
        <v>0.9</v>
      </c>
      <c r="F2583" s="247">
        <f>3.05-1.3</f>
        <v>1.7499999999999998</v>
      </c>
      <c r="G2583" s="247">
        <v>0.901</v>
      </c>
      <c r="H2583" s="249">
        <f>PRODUCT(D2583:G2583)</f>
        <v>14.19075</v>
      </c>
      <c r="J2583" s="253" t="inlineStr">
        <is>
          <t xml:space="preserve">10*0.9*(3.05-1.3)*0.901</t>
        </is>
      </c>
    </row>
    <row r="2584">
      <c r="C2584" s="246" t="inlineStr">
        <is>
          <t xml:space="preserve">Walling over opening W7 (1 nr, 1.8x1.6): nr x width x (3.05 - opening ht) x thickness share</t>
        </is>
      </c>
      <c r="D2584" s="248">
        <v>1</v>
      </c>
      <c r="E2584" s="247">
        <v>1.8</v>
      </c>
      <c r="F2584" s="247">
        <f>3.05-1.6</f>
        <v>1.4499999999999997</v>
      </c>
      <c r="G2584" s="247">
        <v>0.901</v>
      </c>
      <c r="H2584" s="249">
        <f>PRODUCT(D2584:G2584)</f>
        <v>2.3516099999999995</v>
      </c>
      <c r="J2584" s="253" t="inlineStr">
        <is>
          <t xml:space="preserve">1*1.8*(3.05-1.6)*0.901</t>
        </is>
      </c>
    </row>
    <row r="2585">
      <c r="C2585" s="246" t="inlineStr">
        <is>
          <t xml:space="preserve">Walling over opening W8 (3 nr, 1.2x1.9): nr x width x (3.05 - opening ht) x thickness share</t>
        </is>
      </c>
      <c r="D2585" s="248">
        <v>3</v>
      </c>
      <c r="E2585" s="247">
        <v>1.2</v>
      </c>
      <c r="F2585" s="247">
        <f>3.05-1.9</f>
        <v>1.15</v>
      </c>
      <c r="G2585" s="247">
        <v>0.901</v>
      </c>
      <c r="H2585" s="249">
        <f>PRODUCT(D2585:G2585)</f>
        <v>3.73014</v>
      </c>
      <c r="J2585" s="253" t="inlineStr">
        <is>
          <t xml:space="preserve">3*1.2*(3.05-1.9)*0.901</t>
        </is>
      </c>
    </row>
    <row r="2586">
      <c r="C2586" s="246" t="inlineStr">
        <is>
          <t xml:space="preserve">Walling over opening W9 (8 nr, 1.2x1.15): nr x width x (3.05 - opening ht) x thickness share</t>
        </is>
      </c>
      <c r="D2586" s="248">
        <v>8</v>
      </c>
      <c r="E2586" s="247">
        <v>1.2</v>
      </c>
      <c r="F2586" s="247">
        <f>3.05-1.15</f>
        <v>1.9</v>
      </c>
      <c r="G2586" s="247">
        <v>0.901</v>
      </c>
      <c r="H2586" s="249">
        <f>PRODUCT(D2586:G2586)</f>
        <v>16.43424</v>
      </c>
      <c r="J2586" s="253" t="inlineStr">
        <is>
          <t xml:space="preserve">8*1.2*(3.05-1.15)*0.901</t>
        </is>
      </c>
    </row>
    <row r="2587">
      <c r="C2587" s="246" t="inlineStr">
        <is>
          <t xml:space="preserve">Walling over opening W10 (1 nr, 1.2x1.2): nr x width x (3.05 - opening ht) x thickness share</t>
        </is>
      </c>
      <c r="D2587" s="248">
        <v>1</v>
      </c>
      <c r="E2587" s="247">
        <v>1.2</v>
      </c>
      <c r="F2587" s="247">
        <f>3.05-1.2</f>
        <v>1.8499999999999999</v>
      </c>
      <c r="G2587" s="247">
        <v>0.901</v>
      </c>
      <c r="H2587" s="249">
        <f>PRODUCT(D2587:G2587)</f>
        <v>2.0002199999999997</v>
      </c>
      <c r="J2587" s="253" t="inlineStr">
        <is>
          <t xml:space="preserve">1*1.2*(3.05-1.2)*0.901</t>
        </is>
      </c>
    </row>
    <row r="2588">
      <c r="C2588" s="246" t="inlineStr">
        <is>
          <t xml:space="preserve">Walling over opening W11 (6 nr, 1.5x1.3): nr x width x (3.05 - opening ht) x thickness share</t>
        </is>
      </c>
      <c r="D2588" s="248">
        <v>6</v>
      </c>
      <c r="E2588" s="247">
        <v>1.5</v>
      </c>
      <c r="F2588" s="247">
        <f>3.05-1.3</f>
        <v>1.7499999999999998</v>
      </c>
      <c r="G2588" s="247">
        <v>0.901</v>
      </c>
      <c r="H2588" s="249">
        <f>PRODUCT(D2588:G2588)</f>
        <v>14.19075</v>
      </c>
      <c r="J2588" s="253" t="inlineStr">
        <is>
          <t xml:space="preserve">6*1.5*(3.05-1.3)*0.901</t>
        </is>
      </c>
    </row>
    <row r="2589">
      <c r="C2589" s="246" t="inlineStr">
        <is>
          <t xml:space="preserve">Walling over opening W12 (3 nr, 1.5x1.15): nr x width x (3.05 - opening ht) x thickness share</t>
        </is>
      </c>
      <c r="D2589" s="248">
        <v>3</v>
      </c>
      <c r="E2589" s="247">
        <v>1.5</v>
      </c>
      <c r="F2589" s="247">
        <f>3.05-1.15</f>
        <v>1.9</v>
      </c>
      <c r="G2589" s="247">
        <v>0.901</v>
      </c>
      <c r="H2589" s="249">
        <f>PRODUCT(D2589:G2589)</f>
        <v>7.703549999999999</v>
      </c>
      <c r="J2589" s="253" t="inlineStr">
        <is>
          <t xml:space="preserve">3*1.5*(3.05-1.15)*0.901</t>
        </is>
      </c>
    </row>
    <row r="2590">
      <c r="C2590" s="246" t="inlineStr">
        <is>
          <t xml:space="preserve">Walling over opening W13 (1 nr, 2.4x1.3): nr x width x (3.05 - opening ht) x thickness share</t>
        </is>
      </c>
      <c r="D2590" s="248">
        <v>1</v>
      </c>
      <c r="E2590" s="247">
        <v>2.4</v>
      </c>
      <c r="F2590" s="247">
        <f>3.05-1.3</f>
        <v>1.7499999999999998</v>
      </c>
      <c r="G2590" s="247">
        <v>0.901</v>
      </c>
      <c r="H2590" s="249">
        <f>PRODUCT(D2590:G2590)</f>
        <v>3.7841999999999993</v>
      </c>
      <c r="J2590" s="253" t="inlineStr">
        <is>
          <t xml:space="preserve">1*2.4*(3.05-1.3)*0.901</t>
        </is>
      </c>
    </row>
    <row r="2591">
      <c r="C2591" s="246" t="inlineStr">
        <is>
          <t xml:space="preserve">Walling over opening W15 (1 nr, 3x1.6): nr x width x (3.05 - opening ht) x thickness share</t>
        </is>
      </c>
      <c r="D2591" s="248">
        <v>1</v>
      </c>
      <c r="E2591" s="247">
        <v>3</v>
      </c>
      <c r="F2591" s="247">
        <f>3.05-1.6</f>
        <v>1.4499999999999997</v>
      </c>
      <c r="G2591" s="247">
        <v>0.901</v>
      </c>
      <c r="H2591" s="249">
        <f>PRODUCT(D2591:G2591)</f>
        <v>3.9193499999999997</v>
      </c>
      <c r="J2591" s="253" t="inlineStr">
        <is>
          <t xml:space="preserve">1*3*(3.05-1.6)*0.901</t>
        </is>
      </c>
    </row>
    <row r="2592">
      <c r="C2592" s="246" t="inlineStr">
        <is>
          <t xml:space="preserve">Walling over opening W17 (3 nr, 1.8x1.9): nr x width x (3.05 - opening ht) x thickness share</t>
        </is>
      </c>
      <c r="D2592" s="248">
        <v>3</v>
      </c>
      <c r="E2592" s="247">
        <v>1.8</v>
      </c>
      <c r="F2592" s="247">
        <f>3.05-1.9</f>
        <v>1.15</v>
      </c>
      <c r="G2592" s="247">
        <v>0.901</v>
      </c>
      <c r="H2592" s="249">
        <f>PRODUCT(D2592:G2592)</f>
        <v>5.59521</v>
      </c>
      <c r="J2592" s="253" t="inlineStr">
        <is>
          <t xml:space="preserve">3*1.8*(3.05-1.9)*0.901</t>
        </is>
      </c>
    </row>
    <row r="2593">
      <c r="C2593" s="246" t="inlineStr">
        <is>
          <t xml:space="preserve">Walling over opening W18 (1 nr, 0.75x1.3): nr x width x (3.05 - opening ht) x thickness share</t>
        </is>
      </c>
      <c r="D2593" s="248">
        <v>1</v>
      </c>
      <c r="E2593" s="247">
        <v>0.75</v>
      </c>
      <c r="F2593" s="247">
        <f>3.05-1.3</f>
        <v>1.7499999999999998</v>
      </c>
      <c r="G2593" s="247">
        <v>0.901</v>
      </c>
      <c r="H2593" s="249">
        <f>PRODUCT(D2593:G2593)</f>
        <v>1.1825624999999997</v>
      </c>
      <c r="J2593" s="253" t="inlineStr">
        <is>
          <t xml:space="preserve">1*0.75*(3.05-1.3)*0.901</t>
        </is>
      </c>
    </row>
    <row r="2594">
      <c r="C2594" s="246" t="inlineStr">
        <is>
          <t xml:space="preserve">Walling over opening W20 (1 nr, 1.45x1.9): nr x width x (3.05 - opening ht) x thickness share</t>
        </is>
      </c>
      <c r="D2594" s="248">
        <v>1</v>
      </c>
      <c r="E2594" s="247">
        <v>1.45</v>
      </c>
      <c r="F2594" s="247">
        <f>3.05-1.9</f>
        <v>1.15</v>
      </c>
      <c r="G2594" s="247">
        <v>0.901</v>
      </c>
      <c r="H2594" s="249">
        <f>PRODUCT(D2594:G2594)</f>
        <v>1.5024174999999997</v>
      </c>
      <c r="J2594" s="253" t="inlineStr">
        <is>
          <t xml:space="preserve">1*1.45*(3.05-1.9)*0.901</t>
        </is>
      </c>
    </row>
    <row r="2595">
      <c r="C2595" s="246" t="inlineStr">
        <is>
          <t xml:space="preserve">Walling over opening HW1 (12 nr, 0.9x0.6): nr x width x (3.05 - opening ht) x thickness share</t>
        </is>
      </c>
      <c r="D2595" s="248">
        <v>12</v>
      </c>
      <c r="E2595" s="247">
        <v>0.9</v>
      </c>
      <c r="F2595" s="247">
        <f>3.05-0.6</f>
        <v>2.4499999999999997</v>
      </c>
      <c r="G2595" s="247">
        <v>0.901</v>
      </c>
      <c r="H2595" s="249">
        <f>PRODUCT(D2595:G2595)</f>
        <v>23.840459999999997</v>
      </c>
      <c r="J2595" s="253" t="inlineStr">
        <is>
          <t xml:space="preserve">12*0.9*(3.05-0.6)*0.901</t>
        </is>
      </c>
    </row>
    <row r="2596">
      <c r="C2596" s="246" t="inlineStr">
        <is>
          <t xml:space="preserve">Walling over opening HW2 (4 nr, 0.75x0.6): nr x width x (3.05 - opening ht) x thickness share</t>
        </is>
      </c>
      <c r="D2596" s="248">
        <v>4</v>
      </c>
      <c r="E2596" s="247">
        <v>0.75</v>
      </c>
      <c r="F2596" s="247">
        <f>3.05-0.6</f>
        <v>2.4499999999999997</v>
      </c>
      <c r="G2596" s="247">
        <v>0.901</v>
      </c>
      <c r="H2596" s="249">
        <f>PRODUCT(D2596:G2596)</f>
        <v>6.62235</v>
      </c>
      <c r="J2596" s="253" t="inlineStr">
        <is>
          <t xml:space="preserve">4*0.75*(3.05-0.6)*0.901</t>
        </is>
      </c>
    </row>
    <row r="2597">
      <c r="C2597" s="246" t="inlineStr">
        <is>
          <t xml:space="preserve">Walling over opening HW3 (1 nr, 0.6x0.6): nr x width x (3.05 - opening ht) x thickness share</t>
        </is>
      </c>
      <c r="D2597" s="248">
        <v>1</v>
      </c>
      <c r="E2597" s="247">
        <v>0.6</v>
      </c>
      <c r="F2597" s="247">
        <f>3.05-0.6</f>
        <v>2.4499999999999997</v>
      </c>
      <c r="G2597" s="247">
        <v>0.901</v>
      </c>
      <c r="H2597" s="249">
        <f>PRODUCT(D2597:G2597)</f>
        <v>1.3244699999999998</v>
      </c>
      <c r="J2597" s="253" t="inlineStr">
        <is>
          <t xml:space="preserve">1*0.6*(3.05-0.6)*0.901</t>
        </is>
      </c>
    </row>
    <row r="2598">
      <c r="C2598" s="246" t="inlineStr">
        <is>
          <t xml:space="preserve">Walling over opening HW4 (1 nr, 1.2x0.6): nr x width x (3.05 - opening ht) x thickness share</t>
        </is>
      </c>
      <c r="D2598" s="248">
        <v>1</v>
      </c>
      <c r="E2598" s="247">
        <v>1.2</v>
      </c>
      <c r="F2598" s="247">
        <f>3.05-0.6</f>
        <v>2.4499999999999997</v>
      </c>
      <c r="G2598" s="247">
        <v>0.901</v>
      </c>
      <c r="H2598" s="249">
        <f>PRODUCT(D2598:G2598)</f>
        <v>2.6489399999999996</v>
      </c>
      <c r="J2598" s="253" t="inlineStr">
        <is>
          <t xml:space="preserve">1*1.2*(3.05-0.6)*0.901</t>
        </is>
      </c>
    </row>
    <row r="2599">
      <c r="C2599" s="250" t="inlineStr">
        <is>
          <t xml:space="preserve">Total carried to BOQ  5TH FLR item A</t>
        </is>
      </c>
      <c r="D2599" s="250" t="inlineStr">
        <is>
          <t xml:space="preserve"/>
        </is>
      </c>
      <c r="E2599" s="250" t="inlineStr">
        <is>
          <t xml:space="preserve"/>
        </is>
      </c>
      <c r="F2599" s="250" t="inlineStr">
        <is>
          <t xml:space="preserve"/>
        </is>
      </c>
      <c r="G2599" s="250" t="inlineStr">
        <is>
          <t xml:space="preserve"/>
        </is>
      </c>
      <c r="H2599" s="251">
        <f>SUM(H2563:H2598)</f>
        <v>1550.820699999999</v>
      </c>
      <c r="I2599" s="252" t="inlineStr">
        <is>
          <t xml:space="preserve">m2</t>
        </is>
      </c>
    </row>
    <row r="2600">
      <c r="A2600" s="243" t="inlineStr">
        <is>
          <t xml:space="preserve">5TH FLR</t>
        </is>
      </c>
      <c r="B2600" s="243" t="inlineStr">
        <is>
          <t xml:space="preserve">B</t>
        </is>
      </c>
      <c r="C2600" s="244" t="inlineStr">
        <is>
          <t xml:space="preserve">200mm thick wall</t>
        </is>
      </c>
      <c r="I2600" s="245" t="inlineStr">
        <is>
          <t xml:space="preserve">m2</t>
        </is>
      </c>
      <c r="K2600" s="256" t="inlineStr">
        <is>
          <t xml:space="preserve">'5TH FLR '!C99</t>
        </is>
      </c>
    </row>
    <row r="2601">
      <c r="C2601" s="246" t="inlineStr">
        <is>
          <t xml:space="preserve">Fifth floor - 200 blockwork: wall length x storey ht</t>
        </is>
      </c>
      <c r="E2601" s="247">
        <v>49.2</v>
      </c>
      <c r="F2601" s="247">
        <v>3.05</v>
      </c>
      <c r="H2601" s="249">
        <f>PRODUCT(D2601:G2601)</f>
        <v>150.06</v>
      </c>
      <c r="J2601" s="253" t="inlineStr">
        <is>
          <t xml:space="preserve">49.2*3.05</t>
        </is>
      </c>
    </row>
    <row r="2602">
      <c r="C2602" s="246" t="inlineStr">
        <is>
          <t xml:space="preserve">Walling over opening D2 (7 nr, 1x2.2): nr x width x (3.05 - opening ht) x thickness share</t>
        </is>
      </c>
      <c r="D2602" s="248">
        <v>7</v>
      </c>
      <c r="E2602" s="247">
        <v>1</v>
      </c>
      <c r="F2602" s="247">
        <f>3.05-2.2</f>
        <v>0.8499999999999996</v>
      </c>
      <c r="G2602" s="247">
        <v>0.099</v>
      </c>
      <c r="H2602" s="249">
        <f>PRODUCT(D2602:G2602)</f>
        <v>0.5890499999999997</v>
      </c>
      <c r="J2602" s="253" t="inlineStr">
        <is>
          <t xml:space="preserve">7*1*(3.05-2.2)*0.099</t>
        </is>
      </c>
    </row>
    <row r="2603">
      <c r="C2603" s="246" t="inlineStr">
        <is>
          <t xml:space="preserve">Walling over opening D3 (15 nr, 0.9x2.2): nr x width x (3.05 - opening ht) x thickness share</t>
        </is>
      </c>
      <c r="D2603" s="248">
        <v>15</v>
      </c>
      <c r="E2603" s="247">
        <v>0.9</v>
      </c>
      <c r="F2603" s="247">
        <f>3.05-2.2</f>
        <v>0.8499999999999996</v>
      </c>
      <c r="G2603" s="247">
        <v>0.099</v>
      </c>
      <c r="H2603" s="249">
        <f>PRODUCT(D2603:G2603)</f>
        <v>1.1360249999999994</v>
      </c>
      <c r="J2603" s="253" t="inlineStr">
        <is>
          <t xml:space="preserve">15*0.9*(3.05-2.2)*0.099</t>
        </is>
      </c>
    </row>
    <row r="2604">
      <c r="C2604" s="246" t="inlineStr">
        <is>
          <t xml:space="preserve">Walling over opening D6 (20 nr, 0.75x2.2): nr x width x (3.05 - opening ht) x thickness share</t>
        </is>
      </c>
      <c r="D2604" s="248">
        <v>20</v>
      </c>
      <c r="E2604" s="247">
        <v>0.75</v>
      </c>
      <c r="F2604" s="247">
        <f>3.05-2.2</f>
        <v>0.8499999999999996</v>
      </c>
      <c r="G2604" s="247">
        <v>0.099</v>
      </c>
      <c r="H2604" s="249">
        <f>PRODUCT(D2604:G2604)</f>
        <v>1.2622499999999994</v>
      </c>
      <c r="J2604" s="253" t="inlineStr">
        <is>
          <t xml:space="preserve">20*0.75*(3.05-2.2)*0.099</t>
        </is>
      </c>
    </row>
    <row r="2605">
      <c r="C2605" s="246" t="inlineStr">
        <is>
          <t xml:space="preserve">Walling over opening D7 (1 nr, 0.7x2.2): nr x width x (3.05 - opening ht) x thickness share</t>
        </is>
      </c>
      <c r="D2605" s="248">
        <v>1</v>
      </c>
      <c r="E2605" s="247">
        <v>0.7</v>
      </c>
      <c r="F2605" s="247">
        <f>3.05-2.2</f>
        <v>0.8499999999999996</v>
      </c>
      <c r="G2605" s="247">
        <v>0.099</v>
      </c>
      <c r="H2605" s="249">
        <f>PRODUCT(D2605:G2605)</f>
        <v>0.05890499999999998</v>
      </c>
      <c r="J2605" s="253" t="inlineStr">
        <is>
          <t xml:space="preserve">1*0.7*(3.05-2.2)*0.099</t>
        </is>
      </c>
    </row>
    <row r="2606">
      <c r="C2606" s="246" t="inlineStr">
        <is>
          <t xml:space="preserve">Walling over opening D8 (3 nr, 1.2x2.2): nr x width x (3.05 - opening ht) x thickness share</t>
        </is>
      </c>
      <c r="D2606" s="248">
        <v>3</v>
      </c>
      <c r="E2606" s="247">
        <v>1.2</v>
      </c>
      <c r="F2606" s="247">
        <f>3.05-2.2</f>
        <v>0.8499999999999996</v>
      </c>
      <c r="G2606" s="247">
        <v>0.099</v>
      </c>
      <c r="H2606" s="249">
        <f>PRODUCT(D2606:G2606)</f>
        <v>0.3029399999999998</v>
      </c>
      <c r="J2606" s="253" t="inlineStr">
        <is>
          <t xml:space="preserve">3*1.2*(3.05-2.2)*0.099</t>
        </is>
      </c>
    </row>
    <row r="2607">
      <c r="C2607" s="246" t="inlineStr">
        <is>
          <t xml:space="preserve">Walling over opening ED1 (3 nr, 1x2.2): nr x width x (3.05 - opening ht) x thickness share</t>
        </is>
      </c>
      <c r="D2607" s="248">
        <v>3</v>
      </c>
      <c r="E2607" s="247">
        <v>1</v>
      </c>
      <c r="F2607" s="247">
        <f>3.05-2.2</f>
        <v>0.8499999999999996</v>
      </c>
      <c r="G2607" s="247">
        <v>0.099</v>
      </c>
      <c r="H2607" s="249">
        <f>PRODUCT(D2607:G2607)</f>
        <v>0.2524499999999999</v>
      </c>
      <c r="J2607" s="253" t="inlineStr">
        <is>
          <t xml:space="preserve">3*1*(3.05-2.2)*0.099</t>
        </is>
      </c>
    </row>
    <row r="2608">
      <c r="C2608" s="246" t="inlineStr">
        <is>
          <t xml:space="preserve">Walling over opening ED2 (3 nr, 1x2.2): nr x width x (3.05 - opening ht) x thickness share</t>
        </is>
      </c>
      <c r="D2608" s="248">
        <v>3</v>
      </c>
      <c r="E2608" s="247">
        <v>1</v>
      </c>
      <c r="F2608" s="247">
        <f>3.05-2.2</f>
        <v>0.8499999999999996</v>
      </c>
      <c r="G2608" s="247">
        <v>0.099</v>
      </c>
      <c r="H2608" s="249">
        <f>PRODUCT(D2608:G2608)</f>
        <v>0.2524499999999999</v>
      </c>
      <c r="J2608" s="253" t="inlineStr">
        <is>
          <t xml:space="preserve">3*1*(3.05-2.2)*0.099</t>
        </is>
      </c>
    </row>
    <row r="2609">
      <c r="C2609" s="246" t="inlineStr">
        <is>
          <t xml:space="preserve">Walling over opening D9 (1 nr, 0.9x2.2): nr x width x (3.05 - opening ht) x thickness share</t>
        </is>
      </c>
      <c r="D2609" s="248">
        <v>1</v>
      </c>
      <c r="E2609" s="247">
        <v>0.9</v>
      </c>
      <c r="F2609" s="247">
        <f>3.05-2.2</f>
        <v>0.8499999999999996</v>
      </c>
      <c r="G2609" s="247">
        <v>0.099</v>
      </c>
      <c r="H2609" s="249">
        <f>PRODUCT(D2609:G2609)</f>
        <v>0.07573499999999997</v>
      </c>
      <c r="J2609" s="253" t="inlineStr">
        <is>
          <t xml:space="preserve">1*0.9*(3.05-2.2)*0.099</t>
        </is>
      </c>
    </row>
    <row r="2610">
      <c r="C2610" s="246" t="inlineStr">
        <is>
          <t xml:space="preserve">Walling over opening FD1 (1 nr, 1.5x2.2): nr x width x (3.05 - opening ht) x thickness share</t>
        </is>
      </c>
      <c r="D2610" s="248">
        <v>1</v>
      </c>
      <c r="E2610" s="247">
        <v>1.5</v>
      </c>
      <c r="F2610" s="247">
        <f>3.05-2.2</f>
        <v>0.8499999999999996</v>
      </c>
      <c r="G2610" s="247">
        <v>0.099</v>
      </c>
      <c r="H2610" s="249">
        <f>PRODUCT(D2610:G2610)</f>
        <v>0.12622499999999995</v>
      </c>
      <c r="J2610" s="253" t="inlineStr">
        <is>
          <t xml:space="preserve">1*1.5*(3.05-2.2)*0.099</t>
        </is>
      </c>
    </row>
    <row r="2611">
      <c r="C2611" s="246" t="inlineStr">
        <is>
          <t xml:space="preserve">Walling over opening M1 (2 nr, 0.9x2.2): nr x width x (3.05 - opening ht) x thickness share</t>
        </is>
      </c>
      <c r="D2611" s="248">
        <v>2</v>
      </c>
      <c r="E2611" s="247">
        <v>0.9</v>
      </c>
      <c r="F2611" s="247">
        <f>3.05-2.2</f>
        <v>0.8499999999999996</v>
      </c>
      <c r="G2611" s="247">
        <v>0.099</v>
      </c>
      <c r="H2611" s="249">
        <f>PRODUCT(D2611:G2611)</f>
        <v>0.15146999999999994</v>
      </c>
      <c r="J2611" s="253" t="inlineStr">
        <is>
          <t xml:space="preserve">2*0.9*(3.05-2.2)*0.099</t>
        </is>
      </c>
    </row>
    <row r="2612">
      <c r="C2612" s="246" t="inlineStr">
        <is>
          <t xml:space="preserve">Walling over opening M2 (5 nr, 0.75x2.2): nr x width x (3.05 - opening ht) x thickness share</t>
        </is>
      </c>
      <c r="D2612" s="248">
        <v>5</v>
      </c>
      <c r="E2612" s="247">
        <v>0.75</v>
      </c>
      <c r="F2612" s="247">
        <f>3.05-2.2</f>
        <v>0.8499999999999996</v>
      </c>
      <c r="G2612" s="247">
        <v>0.099</v>
      </c>
      <c r="H2612" s="249">
        <f>PRODUCT(D2612:G2612)</f>
        <v>0.31556249999999986</v>
      </c>
      <c r="J2612" s="253" t="inlineStr">
        <is>
          <t xml:space="preserve">5*0.75*(3.05-2.2)*0.099</t>
        </is>
      </c>
    </row>
    <row r="2613">
      <c r="C2613" s="246" t="inlineStr">
        <is>
          <t xml:space="preserve">Walling over opening M3 (1 nr, 0.45x2.2): nr x width x (3.05 - opening ht) x thickness share</t>
        </is>
      </c>
      <c r="D2613" s="248">
        <v>1</v>
      </c>
      <c r="E2613" s="247">
        <v>0.45</v>
      </c>
      <c r="F2613" s="247">
        <f>3.05-2.2</f>
        <v>0.8499999999999996</v>
      </c>
      <c r="G2613" s="247">
        <v>0.099</v>
      </c>
      <c r="H2613" s="249">
        <f>PRODUCT(D2613:G2613)</f>
        <v>0.037867499999999985</v>
      </c>
      <c r="J2613" s="253" t="inlineStr">
        <is>
          <t xml:space="preserve">1*0.45*(3.05-2.2)*0.099</t>
        </is>
      </c>
    </row>
    <row r="2614">
      <c r="C2614" s="246" t="inlineStr">
        <is>
          <t xml:space="preserve">Walling over opening M5 (3 nr, 0.6x2.2): nr x width x (3.05 - opening ht) x thickness share</t>
        </is>
      </c>
      <c r="D2614" s="248">
        <v>3</v>
      </c>
      <c r="E2614" s="247">
        <v>0.6</v>
      </c>
      <c r="F2614" s="247">
        <f>3.05-2.2</f>
        <v>0.8499999999999996</v>
      </c>
      <c r="G2614" s="247">
        <v>0.099</v>
      </c>
      <c r="H2614" s="249">
        <f>PRODUCT(D2614:G2614)</f>
        <v>0.1514699999999999</v>
      </c>
      <c r="J2614" s="253" t="inlineStr">
        <is>
          <t xml:space="preserve">3*0.6*(3.05-2.2)*0.099</t>
        </is>
      </c>
    </row>
    <row r="2615">
      <c r="C2615" s="246" t="inlineStr">
        <is>
          <t xml:space="preserve">Walling over opening SD1 (1 nr, 3x2.2): nr x width x (3.05 - opening ht) x thickness share</t>
        </is>
      </c>
      <c r="D2615" s="248">
        <v>1</v>
      </c>
      <c r="E2615" s="247">
        <v>3</v>
      </c>
      <c r="F2615" s="247">
        <f>3.05-2.2</f>
        <v>0.8499999999999996</v>
      </c>
      <c r="G2615" s="247">
        <v>0.099</v>
      </c>
      <c r="H2615" s="249">
        <f>PRODUCT(D2615:G2615)</f>
        <v>0.2524499999999999</v>
      </c>
      <c r="J2615" s="253" t="inlineStr">
        <is>
          <t xml:space="preserve">1*3*(3.05-2.2)*0.099</t>
        </is>
      </c>
    </row>
    <row r="2616">
      <c r="C2616" s="246" t="inlineStr">
        <is>
          <t xml:space="preserve">Walling over opening SD2 (3 nr, 1.6x2.2): nr x width x (3.05 - opening ht) x thickness share</t>
        </is>
      </c>
      <c r="D2616" s="248">
        <v>3</v>
      </c>
      <c r="E2616" s="247">
        <v>1.6</v>
      </c>
      <c r="F2616" s="247">
        <f>3.05-2.2</f>
        <v>0.8499999999999996</v>
      </c>
      <c r="G2616" s="247">
        <v>0.099</v>
      </c>
      <c r="H2616" s="249">
        <f>PRODUCT(D2616:G2616)</f>
        <v>0.40391999999999995</v>
      </c>
      <c r="J2616" s="253" t="inlineStr">
        <is>
          <t xml:space="preserve">3*1.6*(3.05-2.2)*0.099</t>
        </is>
      </c>
    </row>
    <row r="2617">
      <c r="C2617" s="246" t="inlineStr">
        <is>
          <t xml:space="preserve">Walling over opening SD3 (2 nr, 1.3x2.2): nr x width x (3.05 - opening ht) x thickness share</t>
        </is>
      </c>
      <c r="D2617" s="248">
        <v>2</v>
      </c>
      <c r="E2617" s="247">
        <v>1.3</v>
      </c>
      <c r="F2617" s="247">
        <f>3.05-2.2</f>
        <v>0.8499999999999996</v>
      </c>
      <c r="G2617" s="247">
        <v>0.099</v>
      </c>
      <c r="H2617" s="249">
        <f>PRODUCT(D2617:G2617)</f>
        <v>0.21878999999999993</v>
      </c>
      <c r="J2617" s="253" t="inlineStr">
        <is>
          <t xml:space="preserve">2*1.3*(3.05-2.2)*0.099</t>
        </is>
      </c>
    </row>
    <row r="2618">
      <c r="C2618" s="246" t="inlineStr">
        <is>
          <t xml:space="preserve">Walling over opening SD4 (4 nr, 1.8x2.2): nr x width x (3.05 - opening ht) x thickness share</t>
        </is>
      </c>
      <c r="D2618" s="248">
        <v>4</v>
      </c>
      <c r="E2618" s="247">
        <v>1.8</v>
      </c>
      <c r="F2618" s="247">
        <f>3.05-2.2</f>
        <v>0.8499999999999996</v>
      </c>
      <c r="G2618" s="247">
        <v>0.099</v>
      </c>
      <c r="H2618" s="249">
        <f>PRODUCT(D2618:G2618)</f>
        <v>0.6058799999999998</v>
      </c>
      <c r="J2618" s="253" t="inlineStr">
        <is>
          <t xml:space="preserve">4*1.8*(3.05-2.2)*0.099</t>
        </is>
      </c>
    </row>
    <row r="2619">
      <c r="C2619" s="246" t="inlineStr">
        <is>
          <t xml:space="preserve">Walling over opening SD5 (1 nr, 1.2x2.2): nr x width x (3.05 - opening ht) x thickness share</t>
        </is>
      </c>
      <c r="D2619" s="248">
        <v>1</v>
      </c>
      <c r="E2619" s="247">
        <v>1.2</v>
      </c>
      <c r="F2619" s="247">
        <f>3.05-2.2</f>
        <v>0.8499999999999996</v>
      </c>
      <c r="G2619" s="247">
        <v>0.099</v>
      </c>
      <c r="H2619" s="249">
        <f>PRODUCT(D2619:G2619)</f>
        <v>0.10097999999999996</v>
      </c>
      <c r="J2619" s="253" t="inlineStr">
        <is>
          <t xml:space="preserve">1*1.2*(3.05-2.2)*0.099</t>
        </is>
      </c>
    </row>
    <row r="2620">
      <c r="C2620" s="246" t="inlineStr">
        <is>
          <t xml:space="preserve">Walling over opening W2 (6 nr, 1.8x1.3): nr x width x (3.05 - opening ht) x thickness share</t>
        </is>
      </c>
      <c r="D2620" s="248">
        <v>6</v>
      </c>
      <c r="E2620" s="247">
        <v>1.8</v>
      </c>
      <c r="F2620" s="247">
        <f>3.05-1.3</f>
        <v>1.7499999999999998</v>
      </c>
      <c r="G2620" s="247">
        <v>0.099</v>
      </c>
      <c r="H2620" s="249">
        <f>PRODUCT(D2620:G2620)</f>
        <v>1.8711</v>
      </c>
      <c r="J2620" s="253" t="inlineStr">
        <is>
          <t xml:space="preserve">6*1.8*(3.05-1.3)*0.099</t>
        </is>
      </c>
    </row>
    <row r="2621">
      <c r="C2621" s="246" t="inlineStr">
        <is>
          <t xml:space="preserve">Walling over opening W4 (10 nr, 0.9x1.3): nr x width x (3.05 - opening ht) x thickness share</t>
        </is>
      </c>
      <c r="D2621" s="248">
        <v>10</v>
      </c>
      <c r="E2621" s="247">
        <v>0.9</v>
      </c>
      <c r="F2621" s="247">
        <f>3.05-1.3</f>
        <v>1.7499999999999998</v>
      </c>
      <c r="G2621" s="247">
        <v>0.099</v>
      </c>
      <c r="H2621" s="249">
        <f>PRODUCT(D2621:G2621)</f>
        <v>1.5592499999999998</v>
      </c>
      <c r="J2621" s="253" t="inlineStr">
        <is>
          <t xml:space="preserve">10*0.9*(3.05-1.3)*0.099</t>
        </is>
      </c>
    </row>
    <row r="2622">
      <c r="C2622" s="246" t="inlineStr">
        <is>
          <t xml:space="preserve">Walling over opening W7 (1 nr, 1.8x1.6): nr x width x (3.05 - opening ht) x thickness share</t>
        </is>
      </c>
      <c r="D2622" s="248">
        <v>1</v>
      </c>
      <c r="E2622" s="247">
        <v>1.8</v>
      </c>
      <c r="F2622" s="247">
        <f>3.05-1.6</f>
        <v>1.4499999999999997</v>
      </c>
      <c r="G2622" s="247">
        <v>0.099</v>
      </c>
      <c r="H2622" s="249">
        <f>PRODUCT(D2622:G2622)</f>
        <v>0.25838999999999995</v>
      </c>
      <c r="J2622" s="253" t="inlineStr">
        <is>
          <t xml:space="preserve">1*1.8*(3.05-1.6)*0.099</t>
        </is>
      </c>
    </row>
    <row r="2623">
      <c r="C2623" s="246" t="inlineStr">
        <is>
          <t xml:space="preserve">Walling over opening W8 (3 nr, 1.2x1.9): nr x width x (3.05 - opening ht) x thickness share</t>
        </is>
      </c>
      <c r="D2623" s="248">
        <v>3</v>
      </c>
      <c r="E2623" s="247">
        <v>1.2</v>
      </c>
      <c r="F2623" s="247">
        <f>3.05-1.9</f>
        <v>1.15</v>
      </c>
      <c r="G2623" s="247">
        <v>0.099</v>
      </c>
      <c r="H2623" s="249">
        <f>PRODUCT(D2623:G2623)</f>
        <v>0.40986</v>
      </c>
      <c r="J2623" s="253" t="inlineStr">
        <is>
          <t xml:space="preserve">3*1.2*(3.05-1.9)*0.099</t>
        </is>
      </c>
    </row>
    <row r="2624">
      <c r="C2624" s="246" t="inlineStr">
        <is>
          <t xml:space="preserve">Walling over opening W9 (8 nr, 1.2x1.15): nr x width x (3.05 - opening ht) x thickness share</t>
        </is>
      </c>
      <c r="D2624" s="248">
        <v>8</v>
      </c>
      <c r="E2624" s="247">
        <v>1.2</v>
      </c>
      <c r="F2624" s="247">
        <f>3.05-1.15</f>
        <v>1.9</v>
      </c>
      <c r="G2624" s="247">
        <v>0.099</v>
      </c>
      <c r="H2624" s="249">
        <f>PRODUCT(D2624:G2624)</f>
        <v>1.80576</v>
      </c>
      <c r="J2624" s="253" t="inlineStr">
        <is>
          <t xml:space="preserve">8*1.2*(3.05-1.15)*0.099</t>
        </is>
      </c>
    </row>
    <row r="2625">
      <c r="C2625" s="246" t="inlineStr">
        <is>
          <t xml:space="preserve">Walling over opening W10 (1 nr, 1.2x1.2): nr x width x (3.05 - opening ht) x thickness share</t>
        </is>
      </c>
      <c r="D2625" s="248">
        <v>1</v>
      </c>
      <c r="E2625" s="247">
        <v>1.2</v>
      </c>
      <c r="F2625" s="247">
        <f>3.05-1.2</f>
        <v>1.8499999999999999</v>
      </c>
      <c r="G2625" s="247">
        <v>0.099</v>
      </c>
      <c r="H2625" s="249">
        <f>PRODUCT(D2625:G2625)</f>
        <v>0.21977999999999998</v>
      </c>
      <c r="J2625" s="253" t="inlineStr">
        <is>
          <t xml:space="preserve">1*1.2*(3.05-1.2)*0.099</t>
        </is>
      </c>
    </row>
    <row r="2626">
      <c r="C2626" s="246" t="inlineStr">
        <is>
          <t xml:space="preserve">Walling over opening W11 (6 nr, 1.5x1.3): nr x width x (3.05 - opening ht) x thickness share</t>
        </is>
      </c>
      <c r="D2626" s="248">
        <v>6</v>
      </c>
      <c r="E2626" s="247">
        <v>1.5</v>
      </c>
      <c r="F2626" s="247">
        <f>3.05-1.3</f>
        <v>1.7499999999999998</v>
      </c>
      <c r="G2626" s="247">
        <v>0.099</v>
      </c>
      <c r="H2626" s="249">
        <f>PRODUCT(D2626:G2626)</f>
        <v>1.5592499999999998</v>
      </c>
      <c r="J2626" s="253" t="inlineStr">
        <is>
          <t xml:space="preserve">6*1.5*(3.05-1.3)*0.099</t>
        </is>
      </c>
    </row>
    <row r="2627">
      <c r="C2627" s="246" t="inlineStr">
        <is>
          <t xml:space="preserve">Walling over opening W12 (3 nr, 1.5x1.15): nr x width x (3.05 - opening ht) x thickness share</t>
        </is>
      </c>
      <c r="D2627" s="248">
        <v>3</v>
      </c>
      <c r="E2627" s="247">
        <v>1.5</v>
      </c>
      <c r="F2627" s="247">
        <f>3.05-1.15</f>
        <v>1.9</v>
      </c>
      <c r="G2627" s="247">
        <v>0.099</v>
      </c>
      <c r="H2627" s="249">
        <f>PRODUCT(D2627:G2627)</f>
        <v>0.8464499999999999</v>
      </c>
      <c r="J2627" s="253" t="inlineStr">
        <is>
          <t xml:space="preserve">3*1.5*(3.05-1.15)*0.099</t>
        </is>
      </c>
    </row>
    <row r="2628">
      <c r="C2628" s="246" t="inlineStr">
        <is>
          <t xml:space="preserve">Walling over opening W13 (1 nr, 2.4x1.3): nr x width x (3.05 - opening ht) x thickness share</t>
        </is>
      </c>
      <c r="D2628" s="248">
        <v>1</v>
      </c>
      <c r="E2628" s="247">
        <v>2.4</v>
      </c>
      <c r="F2628" s="247">
        <f>3.05-1.3</f>
        <v>1.7499999999999998</v>
      </c>
      <c r="G2628" s="247">
        <v>0.099</v>
      </c>
      <c r="H2628" s="249">
        <f>PRODUCT(D2628:G2628)</f>
        <v>0.41579999999999995</v>
      </c>
      <c r="J2628" s="253" t="inlineStr">
        <is>
          <t xml:space="preserve">1*2.4*(3.05-1.3)*0.099</t>
        </is>
      </c>
    </row>
    <row r="2629">
      <c r="C2629" s="246" t="inlineStr">
        <is>
          <t xml:space="preserve">Walling over opening W15 (1 nr, 3x1.6): nr x width x (3.05 - opening ht) x thickness share</t>
        </is>
      </c>
      <c r="D2629" s="248">
        <v>1</v>
      </c>
      <c r="E2629" s="247">
        <v>3</v>
      </c>
      <c r="F2629" s="247">
        <f>3.05-1.6</f>
        <v>1.4499999999999997</v>
      </c>
      <c r="G2629" s="247">
        <v>0.099</v>
      </c>
      <c r="H2629" s="249">
        <f>PRODUCT(D2629:G2629)</f>
        <v>0.43065</v>
      </c>
      <c r="J2629" s="253" t="inlineStr">
        <is>
          <t xml:space="preserve">1*3*(3.05-1.6)*0.099</t>
        </is>
      </c>
    </row>
    <row r="2630">
      <c r="C2630" s="246" t="inlineStr">
        <is>
          <t xml:space="preserve">Walling over opening W17 (3 nr, 1.8x1.9): nr x width x (3.05 - opening ht) x thickness share</t>
        </is>
      </c>
      <c r="D2630" s="248">
        <v>3</v>
      </c>
      <c r="E2630" s="247">
        <v>1.8</v>
      </c>
      <c r="F2630" s="247">
        <f>3.05-1.9</f>
        <v>1.15</v>
      </c>
      <c r="G2630" s="247">
        <v>0.099</v>
      </c>
      <c r="H2630" s="249">
        <f>PRODUCT(D2630:G2630)</f>
        <v>0.6147900000000001</v>
      </c>
      <c r="J2630" s="253" t="inlineStr">
        <is>
          <t xml:space="preserve">3*1.8*(3.05-1.9)*0.099</t>
        </is>
      </c>
    </row>
    <row r="2631">
      <c r="C2631" s="246" t="inlineStr">
        <is>
          <t xml:space="preserve">Walling over opening W18 (1 nr, 0.75x1.3): nr x width x (3.05 - opening ht) x thickness share</t>
        </is>
      </c>
      <c r="D2631" s="248">
        <v>1</v>
      </c>
      <c r="E2631" s="247">
        <v>0.75</v>
      </c>
      <c r="F2631" s="247">
        <f>3.05-1.3</f>
        <v>1.7499999999999998</v>
      </c>
      <c r="G2631" s="247">
        <v>0.099</v>
      </c>
      <c r="H2631" s="249">
        <f>PRODUCT(D2631:G2631)</f>
        <v>0.12993749999999998</v>
      </c>
      <c r="J2631" s="253" t="inlineStr">
        <is>
          <t xml:space="preserve">1*0.75*(3.05-1.3)*0.099</t>
        </is>
      </c>
    </row>
    <row r="2632">
      <c r="C2632" s="246" t="inlineStr">
        <is>
          <t xml:space="preserve">Walling over opening W20 (1 nr, 1.45x1.9): nr x width x (3.05 - opening ht) x thickness share</t>
        </is>
      </c>
      <c r="D2632" s="248">
        <v>1</v>
      </c>
      <c r="E2632" s="247">
        <v>1.45</v>
      </c>
      <c r="F2632" s="247">
        <f>3.05-1.9</f>
        <v>1.15</v>
      </c>
      <c r="G2632" s="247">
        <v>0.099</v>
      </c>
      <c r="H2632" s="249">
        <f>PRODUCT(D2632:G2632)</f>
        <v>0.1650825</v>
      </c>
      <c r="J2632" s="253" t="inlineStr">
        <is>
          <t xml:space="preserve">1*1.45*(3.05-1.9)*0.099</t>
        </is>
      </c>
    </row>
    <row r="2633">
      <c r="C2633" s="246" t="inlineStr">
        <is>
          <t xml:space="preserve">Walling over opening HW1 (12 nr, 0.9x0.6): nr x width x (3.05 - opening ht) x thickness share</t>
        </is>
      </c>
      <c r="D2633" s="248">
        <v>12</v>
      </c>
      <c r="E2633" s="247">
        <v>0.9</v>
      </c>
      <c r="F2633" s="247">
        <f>3.05-0.6</f>
        <v>2.4499999999999997</v>
      </c>
      <c r="G2633" s="247">
        <v>0.099</v>
      </c>
      <c r="H2633" s="249">
        <f>PRODUCT(D2633:G2633)</f>
        <v>2.6195399999999998</v>
      </c>
      <c r="J2633" s="253" t="inlineStr">
        <is>
          <t xml:space="preserve">12*0.9*(3.05-0.6)*0.099</t>
        </is>
      </c>
    </row>
    <row r="2634">
      <c r="C2634" s="246" t="inlineStr">
        <is>
          <t xml:space="preserve">Walling over opening HW2 (4 nr, 0.75x0.6): nr x width x (3.05 - opening ht) x thickness share</t>
        </is>
      </c>
      <c r="D2634" s="248">
        <v>4</v>
      </c>
      <c r="E2634" s="247">
        <v>0.75</v>
      </c>
      <c r="F2634" s="247">
        <f>3.05-0.6</f>
        <v>2.4499999999999997</v>
      </c>
      <c r="G2634" s="247">
        <v>0.099</v>
      </c>
      <c r="H2634" s="249">
        <f>PRODUCT(D2634:G2634)</f>
        <v>0.72765</v>
      </c>
      <c r="J2634" s="253" t="inlineStr">
        <is>
          <t xml:space="preserve">4*0.75*(3.05-0.6)*0.099</t>
        </is>
      </c>
    </row>
    <row r="2635">
      <c r="C2635" s="246" t="inlineStr">
        <is>
          <t xml:space="preserve">Walling over opening HW3 (1 nr, 0.6x0.6): nr x width x (3.05 - opening ht) x thickness share</t>
        </is>
      </c>
      <c r="D2635" s="248">
        <v>1</v>
      </c>
      <c r="E2635" s="247">
        <v>0.6</v>
      </c>
      <c r="F2635" s="247">
        <f>3.05-0.6</f>
        <v>2.4499999999999997</v>
      </c>
      <c r="G2635" s="247">
        <v>0.099</v>
      </c>
      <c r="H2635" s="249">
        <f>PRODUCT(D2635:G2635)</f>
        <v>0.14553</v>
      </c>
      <c r="J2635" s="253" t="inlineStr">
        <is>
          <t xml:space="preserve">1*0.6*(3.05-0.6)*0.099</t>
        </is>
      </c>
    </row>
    <row r="2636">
      <c r="C2636" s="246" t="inlineStr">
        <is>
          <t xml:space="preserve">Walling over opening HW4 (1 nr, 1.2x0.6): nr x width x (3.05 - opening ht) x thickness share</t>
        </is>
      </c>
      <c r="D2636" s="248">
        <v>1</v>
      </c>
      <c r="E2636" s="247">
        <v>1.2</v>
      </c>
      <c r="F2636" s="247">
        <f>3.05-0.6</f>
        <v>2.4499999999999997</v>
      </c>
      <c r="G2636" s="247">
        <v>0.099</v>
      </c>
      <c r="H2636" s="249">
        <f>PRODUCT(D2636:G2636)</f>
        <v>0.29106</v>
      </c>
      <c r="J2636" s="253" t="inlineStr">
        <is>
          <t xml:space="preserve">1*1.2*(3.05-0.6)*0.099</t>
        </is>
      </c>
    </row>
    <row r="2637">
      <c r="C2637" s="250" t="inlineStr">
        <is>
          <t xml:space="preserve">Total carried to BOQ  5TH FLR item B</t>
        </is>
      </c>
      <c r="D2637" s="250" t="inlineStr">
        <is>
          <t xml:space="preserve"/>
        </is>
      </c>
      <c r="E2637" s="250" t="inlineStr">
        <is>
          <t xml:space="preserve"/>
        </is>
      </c>
      <c r="F2637" s="250" t="inlineStr">
        <is>
          <t xml:space="preserve"/>
        </is>
      </c>
      <c r="G2637" s="250" t="inlineStr">
        <is>
          <t xml:space="preserve"/>
        </is>
      </c>
      <c r="H2637" s="251">
        <f>SUM(H2601:H2636)</f>
        <v>170.42430000000002</v>
      </c>
      <c r="I2637" s="252" t="inlineStr">
        <is>
          <t xml:space="preserve">m2</t>
        </is>
      </c>
    </row>
    <row r="2638">
      <c r="C2638" s="242" t="inlineStr">
        <is>
          <t xml:space="preserve">ELEMENT NO. 4: WINDOWS/DOORS</t>
        </is>
      </c>
    </row>
    <row r="2639">
      <c r="C2639" s="242" t="inlineStr">
        <is>
          <t xml:space="preserve">L20 DOORS - Supply and fix the following door assemblies complete with frames, ironmongery sets to steel doors and all accessories:</t>
        </is>
      </c>
    </row>
    <row r="2640" ht="32.2" customHeight="1">
      <c r="A2640" s="243" t="inlineStr">
        <is>
          <t xml:space="preserve">5TH FLR</t>
        </is>
      </c>
      <c r="B2640" s="243" t="inlineStr">
        <is>
          <t xml:space="preserve">A</t>
        </is>
      </c>
      <c r="C2640" s="244" t="inlineStr">
        <is>
          <t xml:space="preserve">1000mm x 2200mm 1-hour fire-rated galvanised steel single-leaf security door assembly (D2)</t>
        </is>
      </c>
      <c r="I2640" s="245" t="inlineStr">
        <is>
          <t xml:space="preserve">nr</t>
        </is>
      </c>
      <c r="K2640" s="256" t="inlineStr">
        <is>
          <t xml:space="preserve">'5TH FLR '!C107</t>
        </is>
      </c>
    </row>
    <row r="2641">
      <c r="C2641" s="246" t="inlineStr">
        <is>
          <t xml:space="preserve">Fifth floor - D2</t>
        </is>
      </c>
      <c r="H2641" s="247">
        <v>7</v>
      </c>
      <c r="J2641" s="253" t="inlineStr">
        <is>
          <t xml:space="preserve">7</t>
        </is>
      </c>
    </row>
    <row r="2642">
      <c r="C2642" s="250" t="inlineStr">
        <is>
          <t xml:space="preserve">Total carried to BOQ  5TH FLR item A</t>
        </is>
      </c>
      <c r="D2642" s="250" t="inlineStr">
        <is>
          <t xml:space="preserve"/>
        </is>
      </c>
      <c r="E2642" s="250" t="inlineStr">
        <is>
          <t xml:space="preserve"/>
        </is>
      </c>
      <c r="F2642" s="250" t="inlineStr">
        <is>
          <t xml:space="preserve"/>
        </is>
      </c>
      <c r="G2642" s="250" t="inlineStr">
        <is>
          <t xml:space="preserve"/>
        </is>
      </c>
      <c r="H2642" s="251">
        <f>SUM(H2641:H2641)</f>
        <v>7</v>
      </c>
      <c r="I2642" s="252" t="inlineStr">
        <is>
          <t xml:space="preserve">nr</t>
        </is>
      </c>
    </row>
    <row r="2643">
      <c r="A2643" s="243" t="inlineStr">
        <is>
          <t xml:space="preserve">5TH FLR</t>
        </is>
      </c>
      <c r="B2643" s="243" t="inlineStr">
        <is>
          <t xml:space="preserve">B</t>
        </is>
      </c>
      <c r="C2643" s="244" t="inlineStr">
        <is>
          <t xml:space="preserve">900mm x 2200mm single leaf timber panel door (D3)</t>
        </is>
      </c>
      <c r="I2643" s="245" t="inlineStr">
        <is>
          <t xml:space="preserve">nr</t>
        </is>
      </c>
      <c r="K2643" s="256" t="inlineStr">
        <is>
          <t xml:space="preserve">'5TH FLR '!C109</t>
        </is>
      </c>
    </row>
    <row r="2644">
      <c r="C2644" s="246" t="inlineStr">
        <is>
          <t xml:space="preserve">Fifth floor - D3/D4 doors</t>
        </is>
      </c>
      <c r="H2644" s="247">
        <v>15</v>
      </c>
      <c r="J2644" s="253" t="inlineStr">
        <is>
          <t xml:space="preserve">15</t>
        </is>
      </c>
    </row>
    <row r="2645">
      <c r="C2645" s="250" t="inlineStr">
        <is>
          <t xml:space="preserve">Total carried to BOQ  5TH FLR item B</t>
        </is>
      </c>
      <c r="D2645" s="250" t="inlineStr">
        <is>
          <t xml:space="preserve"/>
        </is>
      </c>
      <c r="E2645" s="250" t="inlineStr">
        <is>
          <t xml:space="preserve"/>
        </is>
      </c>
      <c r="F2645" s="250" t="inlineStr">
        <is>
          <t xml:space="preserve"/>
        </is>
      </c>
      <c r="G2645" s="250" t="inlineStr">
        <is>
          <t xml:space="preserve"/>
        </is>
      </c>
      <c r="H2645" s="251">
        <f>SUM(H2644:H2644)</f>
        <v>15</v>
      </c>
      <c r="I2645" s="252" t="inlineStr">
        <is>
          <t xml:space="preserve">nr</t>
        </is>
      </c>
    </row>
    <row r="2646">
      <c r="A2646" s="243" t="inlineStr">
        <is>
          <t xml:space="preserve">5TH FLR</t>
        </is>
      </c>
      <c r="B2646" s="243" t="inlineStr">
        <is>
          <t xml:space="preserve">C</t>
        </is>
      </c>
      <c r="C2646" s="244" t="inlineStr">
        <is>
          <t xml:space="preserve">750mm x 2200mm single leaf timber flush door (D6)</t>
        </is>
      </c>
      <c r="I2646" s="245" t="inlineStr">
        <is>
          <t xml:space="preserve">nr</t>
        </is>
      </c>
      <c r="K2646" s="256" t="inlineStr">
        <is>
          <t xml:space="preserve">'5TH FLR '!C111</t>
        </is>
      </c>
    </row>
    <row r="2647">
      <c r="C2647" s="246" t="inlineStr">
        <is>
          <t xml:space="preserve">Fifth floor - D6 doors</t>
        </is>
      </c>
      <c r="H2647" s="247">
        <v>20</v>
      </c>
      <c r="J2647" s="253" t="inlineStr">
        <is>
          <t xml:space="preserve">20</t>
        </is>
      </c>
    </row>
    <row r="2648">
      <c r="C2648" s="250" t="inlineStr">
        <is>
          <t xml:space="preserve">Total carried to BOQ  5TH FLR item C</t>
        </is>
      </c>
      <c r="D2648" s="250" t="inlineStr">
        <is>
          <t xml:space="preserve"/>
        </is>
      </c>
      <c r="E2648" s="250" t="inlineStr">
        <is>
          <t xml:space="preserve"/>
        </is>
      </c>
      <c r="F2648" s="250" t="inlineStr">
        <is>
          <t xml:space="preserve"/>
        </is>
      </c>
      <c r="G2648" s="250" t="inlineStr">
        <is>
          <t xml:space="preserve"/>
        </is>
      </c>
      <c r="H2648" s="251">
        <f>SUM(H2647:H2647)</f>
        <v>20</v>
      </c>
      <c r="I2648" s="252" t="inlineStr">
        <is>
          <t xml:space="preserve">nr</t>
        </is>
      </c>
    </row>
    <row r="2649">
      <c r="A2649" s="243" t="inlineStr">
        <is>
          <t xml:space="preserve">5TH FLR</t>
        </is>
      </c>
      <c r="B2649" s="243" t="inlineStr">
        <is>
          <t xml:space="preserve">D</t>
        </is>
      </c>
      <c r="C2649" s="244" t="inlineStr">
        <is>
          <t xml:space="preserve">700mm x 2200mm single-leaf 2-hour fire-rated galvanised steel door (D7)</t>
        </is>
      </c>
      <c r="I2649" s="245" t="inlineStr">
        <is>
          <t xml:space="preserve">nr</t>
        </is>
      </c>
      <c r="K2649" s="256" t="inlineStr">
        <is>
          <t xml:space="preserve">'5TH FLR '!C113</t>
        </is>
      </c>
    </row>
    <row r="2650">
      <c r="C2650" s="246" t="inlineStr">
        <is>
          <t xml:space="preserve">Fifth floor - HW4</t>
        </is>
      </c>
      <c r="H2650" s="247">
        <v>1</v>
      </c>
      <c r="J2650" s="253" t="inlineStr">
        <is>
          <t xml:space="preserve">1</t>
        </is>
      </c>
    </row>
    <row r="2651">
      <c r="C2651" s="250" t="inlineStr">
        <is>
          <t xml:space="preserve">Total carried to BOQ  5TH FLR item D</t>
        </is>
      </c>
      <c r="D2651" s="250" t="inlineStr">
        <is>
          <t xml:space="preserve"/>
        </is>
      </c>
      <c r="E2651" s="250" t="inlineStr">
        <is>
          <t xml:space="preserve"/>
        </is>
      </c>
      <c r="F2651" s="250" t="inlineStr">
        <is>
          <t xml:space="preserve"/>
        </is>
      </c>
      <c r="G2651" s="250" t="inlineStr">
        <is>
          <t xml:space="preserve"/>
        </is>
      </c>
      <c r="H2651" s="251">
        <f>SUM(H2650:H2650)</f>
        <v>1</v>
      </c>
      <c r="I2651" s="252" t="inlineStr">
        <is>
          <t xml:space="preserve">nr</t>
        </is>
      </c>
    </row>
    <row r="2652" ht="32.2" customHeight="1">
      <c r="A2652" s="243" t="inlineStr">
        <is>
          <t xml:space="preserve">5TH FLR</t>
        </is>
      </c>
      <c r="B2652" s="243" t="inlineStr">
        <is>
          <t xml:space="preserve">E</t>
        </is>
      </c>
      <c r="C2652" s="244" t="inlineStr">
        <is>
          <t xml:space="preserve">1200mm x 2200mm 1-hour fire-rated leaf-and-a-half galvanised steel security door assembly (D8)</t>
        </is>
      </c>
      <c r="I2652" s="245" t="inlineStr">
        <is>
          <t xml:space="preserve">nr</t>
        </is>
      </c>
      <c r="K2652" s="256" t="inlineStr">
        <is>
          <t xml:space="preserve">'5TH FLR '!C115</t>
        </is>
      </c>
    </row>
    <row r="2653">
      <c r="C2653" s="246" t="inlineStr">
        <is>
          <t xml:space="preserve">Fifth floor - W17</t>
        </is>
      </c>
      <c r="H2653" s="247">
        <v>3</v>
      </c>
      <c r="J2653" s="253" t="inlineStr">
        <is>
          <t xml:space="preserve">3</t>
        </is>
      </c>
    </row>
    <row r="2654">
      <c r="C2654" s="250" t="inlineStr">
        <is>
          <t xml:space="preserve">Total carried to BOQ  5TH FLR item E</t>
        </is>
      </c>
      <c r="D2654" s="250" t="inlineStr">
        <is>
          <t xml:space="preserve"/>
        </is>
      </c>
      <c r="E2654" s="250" t="inlineStr">
        <is>
          <t xml:space="preserve"/>
        </is>
      </c>
      <c r="F2654" s="250" t="inlineStr">
        <is>
          <t xml:space="preserve"/>
        </is>
      </c>
      <c r="G2654" s="250" t="inlineStr">
        <is>
          <t xml:space="preserve"/>
        </is>
      </c>
      <c r="H2654" s="251">
        <f>SUM(H2653:H2653)</f>
        <v>3</v>
      </c>
      <c r="I2654" s="252" t="inlineStr">
        <is>
          <t xml:space="preserve">nr</t>
        </is>
      </c>
    </row>
    <row r="2655" ht="32.2" customHeight="1">
      <c r="A2655" s="243" t="inlineStr">
        <is>
          <t xml:space="preserve">5TH FLR</t>
        </is>
      </c>
      <c r="B2655" s="243" t="inlineStr">
        <is>
          <t xml:space="preserve">F</t>
        </is>
      </c>
      <c r="C2655" s="244" t="inlineStr">
        <is>
          <t xml:space="preserve">1000mm x 2200mm 1-hour fire-rated galvanised steel single-leaf security door assembly - emergency stairs (ED1)</t>
        </is>
      </c>
      <c r="I2655" s="245" t="inlineStr">
        <is>
          <t xml:space="preserve">nr</t>
        </is>
      </c>
      <c r="K2655" s="256" t="inlineStr">
        <is>
          <t xml:space="preserve">'5TH FLR '!C117</t>
        </is>
      </c>
    </row>
    <row r="2656">
      <c r="C2656" s="246" t="inlineStr">
        <is>
          <t xml:space="preserve">Fifth floor - W17</t>
        </is>
      </c>
      <c r="H2656" s="247">
        <v>3</v>
      </c>
      <c r="J2656" s="253" t="inlineStr">
        <is>
          <t xml:space="preserve">3</t>
        </is>
      </c>
    </row>
    <row r="2657">
      <c r="C2657" s="250" t="inlineStr">
        <is>
          <t xml:space="preserve">Total carried to BOQ  5TH FLR item F</t>
        </is>
      </c>
      <c r="D2657" s="250" t="inlineStr">
        <is>
          <t xml:space="preserve"/>
        </is>
      </c>
      <c r="E2657" s="250" t="inlineStr">
        <is>
          <t xml:space="preserve"/>
        </is>
      </c>
      <c r="F2657" s="250" t="inlineStr">
        <is>
          <t xml:space="preserve"/>
        </is>
      </c>
      <c r="G2657" s="250" t="inlineStr">
        <is>
          <t xml:space="preserve"/>
        </is>
      </c>
      <c r="H2657" s="251">
        <f>SUM(H2656:H2656)</f>
        <v>3</v>
      </c>
      <c r="I2657" s="252" t="inlineStr">
        <is>
          <t xml:space="preserve">nr</t>
        </is>
      </c>
    </row>
    <row r="2658" ht="32.2" customHeight="1">
      <c r="A2658" s="243" t="inlineStr">
        <is>
          <t xml:space="preserve">5TH FLR</t>
        </is>
      </c>
      <c r="B2658" s="243" t="inlineStr">
        <is>
          <t xml:space="preserve">G</t>
        </is>
      </c>
      <c r="C2658" s="244" t="inlineStr">
        <is>
          <t xml:space="preserve">1000mm x 2200mm 1-hour fire-rated galvanised steel single-leaf security door with translucent glass panel (ED2)</t>
        </is>
      </c>
      <c r="I2658" s="245" t="inlineStr">
        <is>
          <t xml:space="preserve">nr</t>
        </is>
      </c>
      <c r="K2658" s="256" t="inlineStr">
        <is>
          <t xml:space="preserve">'5TH FLR '!C119</t>
        </is>
      </c>
    </row>
    <row r="2659">
      <c r="C2659" s="246" t="inlineStr">
        <is>
          <t xml:space="preserve">Fifth floor - W17</t>
        </is>
      </c>
      <c r="H2659" s="247">
        <v>3</v>
      </c>
      <c r="J2659" s="253" t="inlineStr">
        <is>
          <t xml:space="preserve">3</t>
        </is>
      </c>
    </row>
    <row r="2660">
      <c r="C2660" s="250" t="inlineStr">
        <is>
          <t xml:space="preserve">Total carried to BOQ  5TH FLR item G</t>
        </is>
      </c>
      <c r="D2660" s="250" t="inlineStr">
        <is>
          <t xml:space="preserve"/>
        </is>
      </c>
      <c r="E2660" s="250" t="inlineStr">
        <is>
          <t xml:space="preserve"/>
        </is>
      </c>
      <c r="F2660" s="250" t="inlineStr">
        <is>
          <t xml:space="preserve"/>
        </is>
      </c>
      <c r="G2660" s="250" t="inlineStr">
        <is>
          <t xml:space="preserve"/>
        </is>
      </c>
      <c r="H2660" s="251">
        <f>SUM(H2659:H2659)</f>
        <v>3</v>
      </c>
      <c r="I2660" s="252" t="inlineStr">
        <is>
          <t xml:space="preserve">nr</t>
        </is>
      </c>
    </row>
    <row r="2661" ht="32.2" customHeight="1">
      <c r="A2661" s="243" t="inlineStr">
        <is>
          <t xml:space="preserve">5TH FLR</t>
        </is>
      </c>
      <c r="B2661" s="243" t="inlineStr">
        <is>
          <t xml:space="preserve">H</t>
        </is>
      </c>
      <c r="C2661" s="244" t="inlineStr">
        <is>
          <t xml:space="preserve">900mm x 2200mm 1-hour fire-rated galvanised steel single-leaf security door assembly (D9)</t>
        </is>
      </c>
      <c r="I2661" s="245" t="inlineStr">
        <is>
          <t xml:space="preserve">nr</t>
        </is>
      </c>
      <c r="K2661" s="256" t="inlineStr">
        <is>
          <t xml:space="preserve">'5TH FLR '!C121</t>
        </is>
      </c>
    </row>
    <row r="2662">
      <c r="C2662" s="246" t="inlineStr">
        <is>
          <t xml:space="preserve">Fifth floor - HW4</t>
        </is>
      </c>
      <c r="H2662" s="247">
        <v>1</v>
      </c>
      <c r="J2662" s="253" t="inlineStr">
        <is>
          <t xml:space="preserve">1</t>
        </is>
      </c>
    </row>
    <row r="2663">
      <c r="C2663" s="250" t="inlineStr">
        <is>
          <t xml:space="preserve">Total carried to BOQ  5TH FLR item H</t>
        </is>
      </c>
      <c r="D2663" s="250" t="inlineStr">
        <is>
          <t xml:space="preserve"/>
        </is>
      </c>
      <c r="E2663" s="250" t="inlineStr">
        <is>
          <t xml:space="preserve"/>
        </is>
      </c>
      <c r="F2663" s="250" t="inlineStr">
        <is>
          <t xml:space="preserve"/>
        </is>
      </c>
      <c r="G2663" s="250" t="inlineStr">
        <is>
          <t xml:space="preserve"/>
        </is>
      </c>
      <c r="H2663" s="251">
        <f>SUM(H2662:H2662)</f>
        <v>1</v>
      </c>
      <c r="I2663" s="252" t="inlineStr">
        <is>
          <t xml:space="preserve">nr</t>
        </is>
      </c>
    </row>
    <row r="2664">
      <c r="A2664" s="243" t="inlineStr">
        <is>
          <t xml:space="preserve">5TH FLR</t>
        </is>
      </c>
      <c r="B2664" s="243" t="inlineStr">
        <is>
          <t xml:space="preserve">J</t>
        </is>
      </c>
      <c r="C2664" s="244" t="inlineStr">
        <is>
          <t xml:space="preserve">1500mm x 2200mm timber bi-fold door (FD1)</t>
        </is>
      </c>
      <c r="I2664" s="245" t="inlineStr">
        <is>
          <t xml:space="preserve">nr</t>
        </is>
      </c>
      <c r="K2664" s="256" t="inlineStr">
        <is>
          <t xml:space="preserve">'5TH FLR '!C123</t>
        </is>
      </c>
    </row>
    <row r="2665">
      <c r="C2665" s="246" t="inlineStr">
        <is>
          <t xml:space="preserve">Fifth floor - HW4</t>
        </is>
      </c>
      <c r="H2665" s="247">
        <v>1</v>
      </c>
      <c r="J2665" s="253" t="inlineStr">
        <is>
          <t xml:space="preserve">1</t>
        </is>
      </c>
    </row>
    <row r="2666">
      <c r="C2666" s="250" t="inlineStr">
        <is>
          <t xml:space="preserve">Total carried to BOQ  5TH FLR item J</t>
        </is>
      </c>
      <c r="D2666" s="250" t="inlineStr">
        <is>
          <t xml:space="preserve"/>
        </is>
      </c>
      <c r="E2666" s="250" t="inlineStr">
        <is>
          <t xml:space="preserve"/>
        </is>
      </c>
      <c r="F2666" s="250" t="inlineStr">
        <is>
          <t xml:space="preserve"/>
        </is>
      </c>
      <c r="G2666" s="250" t="inlineStr">
        <is>
          <t xml:space="preserve"/>
        </is>
      </c>
      <c r="H2666" s="251">
        <f>SUM(H2665:H2665)</f>
        <v>1</v>
      </c>
      <c r="I2666" s="252" t="inlineStr">
        <is>
          <t xml:space="preserve">nr</t>
        </is>
      </c>
    </row>
    <row r="2667">
      <c r="A2667" s="243" t="inlineStr">
        <is>
          <t xml:space="preserve">5TH FLR</t>
        </is>
      </c>
      <c r="B2667" s="243" t="inlineStr">
        <is>
          <t xml:space="preserve">K</t>
        </is>
      </c>
      <c r="C2667" s="244" t="inlineStr">
        <is>
          <t xml:space="preserve">900mm x 2200mm screw-fixed galvanised steel service access panel (M1)</t>
        </is>
      </c>
      <c r="I2667" s="245" t="inlineStr">
        <is>
          <t xml:space="preserve">nr</t>
        </is>
      </c>
      <c r="K2667" s="256" t="inlineStr">
        <is>
          <t xml:space="preserve">'5TH FLR '!C125</t>
        </is>
      </c>
    </row>
    <row r="2668">
      <c r="C2668" s="246" t="inlineStr">
        <is>
          <t xml:space="preserve">Fifth floor - SD3</t>
        </is>
      </c>
      <c r="H2668" s="247">
        <v>2</v>
      </c>
      <c r="J2668" s="253" t="inlineStr">
        <is>
          <t xml:space="preserve">2</t>
        </is>
      </c>
    </row>
    <row r="2669">
      <c r="C2669" s="250" t="inlineStr">
        <is>
          <t xml:space="preserve">Total carried to BOQ  5TH FLR item K</t>
        </is>
      </c>
      <c r="D2669" s="250" t="inlineStr">
        <is>
          <t xml:space="preserve"/>
        </is>
      </c>
      <c r="E2669" s="250" t="inlineStr">
        <is>
          <t xml:space="preserve"/>
        </is>
      </c>
      <c r="F2669" s="250" t="inlineStr">
        <is>
          <t xml:space="preserve"/>
        </is>
      </c>
      <c r="G2669" s="250" t="inlineStr">
        <is>
          <t xml:space="preserve"/>
        </is>
      </c>
      <c r="H2669" s="251">
        <f>SUM(H2668:H2668)</f>
        <v>2</v>
      </c>
      <c r="I2669" s="252" t="inlineStr">
        <is>
          <t xml:space="preserve">nr</t>
        </is>
      </c>
    </row>
    <row r="2670">
      <c r="A2670" s="243" t="inlineStr">
        <is>
          <t xml:space="preserve">5TH FLR</t>
        </is>
      </c>
      <c r="B2670" s="243" t="inlineStr">
        <is>
          <t xml:space="preserve">L</t>
        </is>
      </c>
      <c r="C2670" s="244" t="inlineStr">
        <is>
          <t xml:space="preserve">750mm x 2200mm screw-fixed galvanised steel service access panel (M2)</t>
        </is>
      </c>
      <c r="I2670" s="245" t="inlineStr">
        <is>
          <t xml:space="preserve">nr</t>
        </is>
      </c>
      <c r="K2670" s="256" t="inlineStr">
        <is>
          <t xml:space="preserve">'5TH FLR '!C127</t>
        </is>
      </c>
    </row>
    <row r="2671">
      <c r="C2671" s="246" t="inlineStr">
        <is>
          <t xml:space="preserve">Fifth floor - M2</t>
        </is>
      </c>
      <c r="H2671" s="247">
        <v>5</v>
      </c>
      <c r="J2671" s="253" t="inlineStr">
        <is>
          <t xml:space="preserve">5</t>
        </is>
      </c>
    </row>
    <row r="2672">
      <c r="C2672" s="250" t="inlineStr">
        <is>
          <t xml:space="preserve">Total carried to BOQ  5TH FLR item L</t>
        </is>
      </c>
      <c r="D2672" s="250" t="inlineStr">
        <is>
          <t xml:space="preserve"/>
        </is>
      </c>
      <c r="E2672" s="250" t="inlineStr">
        <is>
          <t xml:space="preserve"/>
        </is>
      </c>
      <c r="F2672" s="250" t="inlineStr">
        <is>
          <t xml:space="preserve"/>
        </is>
      </c>
      <c r="G2672" s="250" t="inlineStr">
        <is>
          <t xml:space="preserve"/>
        </is>
      </c>
      <c r="H2672" s="251">
        <f>SUM(H2671:H2671)</f>
        <v>5</v>
      </c>
      <c r="I2672" s="252" t="inlineStr">
        <is>
          <t xml:space="preserve">nr</t>
        </is>
      </c>
    </row>
    <row r="2673">
      <c r="A2673" s="243" t="inlineStr">
        <is>
          <t xml:space="preserve">5TH FLR</t>
        </is>
      </c>
      <c r="B2673" s="243" t="inlineStr">
        <is>
          <t xml:space="preserve">M</t>
        </is>
      </c>
      <c r="C2673" s="244" t="inlineStr">
        <is>
          <t xml:space="preserve">450mm x 2200mm screw-fixed galvanised steel service access panel (M3)</t>
        </is>
      </c>
      <c r="I2673" s="245" t="inlineStr">
        <is>
          <t xml:space="preserve">nr</t>
        </is>
      </c>
      <c r="K2673" s="256" t="inlineStr">
        <is>
          <t xml:space="preserve">'5TH FLR '!C129</t>
        </is>
      </c>
    </row>
    <row r="2674">
      <c r="C2674" s="246" t="inlineStr">
        <is>
          <t xml:space="preserve">Fifth floor - HW4</t>
        </is>
      </c>
      <c r="H2674" s="247">
        <v>1</v>
      </c>
      <c r="J2674" s="253" t="inlineStr">
        <is>
          <t xml:space="preserve">1</t>
        </is>
      </c>
    </row>
    <row r="2675">
      <c r="C2675" s="250" t="inlineStr">
        <is>
          <t xml:space="preserve">Total carried to BOQ  5TH FLR item M</t>
        </is>
      </c>
      <c r="D2675" s="250" t="inlineStr">
        <is>
          <t xml:space="preserve"/>
        </is>
      </c>
      <c r="E2675" s="250" t="inlineStr">
        <is>
          <t xml:space="preserve"/>
        </is>
      </c>
      <c r="F2675" s="250" t="inlineStr">
        <is>
          <t xml:space="preserve"/>
        </is>
      </c>
      <c r="G2675" s="250" t="inlineStr">
        <is>
          <t xml:space="preserve"/>
        </is>
      </c>
      <c r="H2675" s="251">
        <f>SUM(H2674:H2674)</f>
        <v>1</v>
      </c>
      <c r="I2675" s="252" t="inlineStr">
        <is>
          <t xml:space="preserve">nr</t>
        </is>
      </c>
    </row>
    <row r="2676">
      <c r="A2676" s="243" t="inlineStr">
        <is>
          <t xml:space="preserve">5TH FLR</t>
        </is>
      </c>
      <c r="B2676" s="243" t="inlineStr">
        <is>
          <t xml:space="preserve">N</t>
        </is>
      </c>
      <c r="C2676" s="244" t="inlineStr">
        <is>
          <t xml:space="preserve">600mm x 2200mm screw-fixed galvanised steel service access panel (M5)</t>
        </is>
      </c>
      <c r="I2676" s="245" t="inlineStr">
        <is>
          <t xml:space="preserve">nr</t>
        </is>
      </c>
      <c r="K2676" s="256" t="inlineStr">
        <is>
          <t xml:space="preserve">'5TH FLR '!C131</t>
        </is>
      </c>
    </row>
    <row r="2677">
      <c r="C2677" s="246" t="inlineStr">
        <is>
          <t xml:space="preserve">Fifth floor - W17</t>
        </is>
      </c>
      <c r="H2677" s="247">
        <v>3</v>
      </c>
      <c r="J2677" s="253" t="inlineStr">
        <is>
          <t xml:space="preserve">3</t>
        </is>
      </c>
    </row>
    <row r="2678">
      <c r="C2678" s="250" t="inlineStr">
        <is>
          <t xml:space="preserve">Total carried to BOQ  5TH FLR item N</t>
        </is>
      </c>
      <c r="D2678" s="250" t="inlineStr">
        <is>
          <t xml:space="preserve"/>
        </is>
      </c>
      <c r="E2678" s="250" t="inlineStr">
        <is>
          <t xml:space="preserve"/>
        </is>
      </c>
      <c r="F2678" s="250" t="inlineStr">
        <is>
          <t xml:space="preserve"/>
        </is>
      </c>
      <c r="G2678" s="250" t="inlineStr">
        <is>
          <t xml:space="preserve"/>
        </is>
      </c>
      <c r="H2678" s="251">
        <f>SUM(H2677:H2677)</f>
        <v>3</v>
      </c>
      <c r="I2678" s="252" t="inlineStr">
        <is>
          <t xml:space="preserve">nr</t>
        </is>
      </c>
    </row>
    <row r="2679" ht="32.2" customHeight="1">
      <c r="A2679" s="243" t="inlineStr">
        <is>
          <t xml:space="preserve">5TH FLR</t>
        </is>
      </c>
      <c r="B2679" s="243" t="inlineStr">
        <is>
          <t xml:space="preserve">P</t>
        </is>
      </c>
      <c r="C2679" s="244" t="inlineStr">
        <is>
          <t xml:space="preserve">3000mm x 2200mm 3-panel galvanised steel framed tempered glass sliding door (SD1)</t>
        </is>
      </c>
      <c r="I2679" s="245" t="inlineStr">
        <is>
          <t xml:space="preserve">nr</t>
        </is>
      </c>
      <c r="K2679" s="256" t="inlineStr">
        <is>
          <t xml:space="preserve">'5TH FLR '!C133</t>
        </is>
      </c>
    </row>
    <row r="2680">
      <c r="C2680" s="246" t="inlineStr">
        <is>
          <t xml:space="preserve">Fifth floor - HW4</t>
        </is>
      </c>
      <c r="H2680" s="247">
        <v>1</v>
      </c>
      <c r="J2680" s="253" t="inlineStr">
        <is>
          <t xml:space="preserve">1</t>
        </is>
      </c>
    </row>
    <row r="2681">
      <c r="C2681" s="250" t="inlineStr">
        <is>
          <t xml:space="preserve">Total carried to BOQ  5TH FLR item P</t>
        </is>
      </c>
      <c r="D2681" s="250" t="inlineStr">
        <is>
          <t xml:space="preserve"/>
        </is>
      </c>
      <c r="E2681" s="250" t="inlineStr">
        <is>
          <t xml:space="preserve"/>
        </is>
      </c>
      <c r="F2681" s="250" t="inlineStr">
        <is>
          <t xml:space="preserve"/>
        </is>
      </c>
      <c r="G2681" s="250" t="inlineStr">
        <is>
          <t xml:space="preserve"/>
        </is>
      </c>
      <c r="H2681" s="251">
        <f>SUM(H2680:H2680)</f>
        <v>1</v>
      </c>
      <c r="I2681" s="252" t="inlineStr">
        <is>
          <t xml:space="preserve">nr</t>
        </is>
      </c>
    </row>
    <row r="2682" ht="32.2" customHeight="1">
      <c r="A2682" s="243" t="inlineStr">
        <is>
          <t xml:space="preserve">5TH FLR</t>
        </is>
      </c>
      <c r="B2682" s="243" t="inlineStr">
        <is>
          <t xml:space="preserve">Q</t>
        </is>
      </c>
      <c r="C2682" s="244" t="inlineStr">
        <is>
          <t xml:space="preserve">1600mm x 2200mm 2-panel galvanised steel framed tempered glass sliding door (SD2)</t>
        </is>
      </c>
      <c r="I2682" s="245" t="inlineStr">
        <is>
          <t xml:space="preserve">nr</t>
        </is>
      </c>
      <c r="K2682" s="256" t="inlineStr">
        <is>
          <t xml:space="preserve">'5TH FLR '!C135</t>
        </is>
      </c>
    </row>
    <row r="2683">
      <c r="C2683" s="246" t="inlineStr">
        <is>
          <t xml:space="preserve">Fifth floor - W17</t>
        </is>
      </c>
      <c r="H2683" s="247">
        <v>3</v>
      </c>
      <c r="J2683" s="253" t="inlineStr">
        <is>
          <t xml:space="preserve">3</t>
        </is>
      </c>
    </row>
    <row r="2684">
      <c r="C2684" s="250" t="inlineStr">
        <is>
          <t xml:space="preserve">Total carried to BOQ  5TH FLR item Q</t>
        </is>
      </c>
      <c r="D2684" s="250" t="inlineStr">
        <is>
          <t xml:space="preserve"/>
        </is>
      </c>
      <c r="E2684" s="250" t="inlineStr">
        <is>
          <t xml:space="preserve"/>
        </is>
      </c>
      <c r="F2684" s="250" t="inlineStr">
        <is>
          <t xml:space="preserve"/>
        </is>
      </c>
      <c r="G2684" s="250" t="inlineStr">
        <is>
          <t xml:space="preserve"/>
        </is>
      </c>
      <c r="H2684" s="251">
        <f>SUM(H2683:H2683)</f>
        <v>3</v>
      </c>
      <c r="I2684" s="252" t="inlineStr">
        <is>
          <t xml:space="preserve">nr</t>
        </is>
      </c>
    </row>
    <row r="2685" ht="32.2" customHeight="1">
      <c r="A2685" s="243" t="inlineStr">
        <is>
          <t xml:space="preserve">5TH FLR</t>
        </is>
      </c>
      <c r="B2685" s="243" t="inlineStr">
        <is>
          <t xml:space="preserve">R</t>
        </is>
      </c>
      <c r="C2685" s="244" t="inlineStr">
        <is>
          <t xml:space="preserve">1300mm x 2200mm 2-panel galvanised steel framed tempered glass sliding door (SD3)</t>
        </is>
      </c>
      <c r="I2685" s="245" t="inlineStr">
        <is>
          <t xml:space="preserve">nr</t>
        </is>
      </c>
      <c r="K2685" s="256" t="inlineStr">
        <is>
          <t xml:space="preserve">'5TH FLR '!C137</t>
        </is>
      </c>
    </row>
    <row r="2686">
      <c r="C2686" s="246" t="inlineStr">
        <is>
          <t xml:space="preserve">Fifth floor - SD3</t>
        </is>
      </c>
      <c r="H2686" s="247">
        <v>2</v>
      </c>
      <c r="J2686" s="253" t="inlineStr">
        <is>
          <t xml:space="preserve">2</t>
        </is>
      </c>
    </row>
    <row r="2687">
      <c r="C2687" s="250" t="inlineStr">
        <is>
          <t xml:space="preserve">Total carried to BOQ  5TH FLR item R</t>
        </is>
      </c>
      <c r="D2687" s="250" t="inlineStr">
        <is>
          <t xml:space="preserve"/>
        </is>
      </c>
      <c r="E2687" s="250" t="inlineStr">
        <is>
          <t xml:space="preserve"/>
        </is>
      </c>
      <c r="F2687" s="250" t="inlineStr">
        <is>
          <t xml:space="preserve"/>
        </is>
      </c>
      <c r="G2687" s="250" t="inlineStr">
        <is>
          <t xml:space="preserve"/>
        </is>
      </c>
      <c r="H2687" s="251">
        <f>SUM(H2686:H2686)</f>
        <v>2</v>
      </c>
      <c r="I2687" s="252" t="inlineStr">
        <is>
          <t xml:space="preserve">nr</t>
        </is>
      </c>
    </row>
    <row r="2688" ht="32.2" customHeight="1">
      <c r="A2688" s="243" t="inlineStr">
        <is>
          <t xml:space="preserve">5TH FLR</t>
        </is>
      </c>
      <c r="B2688" s="243" t="inlineStr">
        <is>
          <t xml:space="preserve">S</t>
        </is>
      </c>
      <c r="C2688" s="244" t="inlineStr">
        <is>
          <t xml:space="preserve">1800mm x 2200mm 2-panel galvanised steel framed tempered glass sliding door (SD4)</t>
        </is>
      </c>
      <c r="I2688" s="245" t="inlineStr">
        <is>
          <t xml:space="preserve">nr</t>
        </is>
      </c>
      <c r="K2688" s="256" t="inlineStr">
        <is>
          <t xml:space="preserve">'5TH FLR '!C141</t>
        </is>
      </c>
    </row>
    <row r="2689">
      <c r="C2689" s="246" t="inlineStr">
        <is>
          <t xml:space="preserve">Fifth floor - HW2</t>
        </is>
      </c>
      <c r="H2689" s="247">
        <v>4</v>
      </c>
      <c r="J2689" s="253" t="inlineStr">
        <is>
          <t xml:space="preserve">4</t>
        </is>
      </c>
    </row>
    <row r="2690">
      <c r="C2690" s="250" t="inlineStr">
        <is>
          <t xml:space="preserve">Total carried to BOQ  5TH FLR item S</t>
        </is>
      </c>
      <c r="D2690" s="250" t="inlineStr">
        <is>
          <t xml:space="preserve"/>
        </is>
      </c>
      <c r="E2690" s="250" t="inlineStr">
        <is>
          <t xml:space="preserve"/>
        </is>
      </c>
      <c r="F2690" s="250" t="inlineStr">
        <is>
          <t xml:space="preserve"/>
        </is>
      </c>
      <c r="G2690" s="250" t="inlineStr">
        <is>
          <t xml:space="preserve"/>
        </is>
      </c>
      <c r="H2690" s="251">
        <f>SUM(H2689:H2689)</f>
        <v>4</v>
      </c>
      <c r="I2690" s="252" t="inlineStr">
        <is>
          <t xml:space="preserve">nr</t>
        </is>
      </c>
    </row>
    <row r="2691" ht="32.2" customHeight="1">
      <c r="A2691" s="243" t="inlineStr">
        <is>
          <t xml:space="preserve">5TH FLR</t>
        </is>
      </c>
      <c r="B2691" s="243" t="inlineStr">
        <is>
          <t xml:space="preserve">T</t>
        </is>
      </c>
      <c r="C2691" s="244" t="inlineStr">
        <is>
          <t xml:space="preserve">1200mm x 2200mm 2-panel galvanised steel framed tempered glass sliding door (SD5)</t>
        </is>
      </c>
      <c r="I2691" s="245" t="inlineStr">
        <is>
          <t xml:space="preserve">nr</t>
        </is>
      </c>
      <c r="K2691" s="256" t="inlineStr">
        <is>
          <t xml:space="preserve">'5TH FLR '!C143</t>
        </is>
      </c>
    </row>
    <row r="2692">
      <c r="C2692" s="246" t="inlineStr">
        <is>
          <t xml:space="preserve">Fifth floor - HW4</t>
        </is>
      </c>
      <c r="H2692" s="247">
        <v>1</v>
      </c>
      <c r="J2692" s="253" t="inlineStr">
        <is>
          <t xml:space="preserve">1</t>
        </is>
      </c>
    </row>
    <row r="2693">
      <c r="C2693" s="250" t="inlineStr">
        <is>
          <t xml:space="preserve">Total carried to BOQ  5TH FLR item T</t>
        </is>
      </c>
      <c r="D2693" s="250" t="inlineStr">
        <is>
          <t xml:space="preserve"/>
        </is>
      </c>
      <c r="E2693" s="250" t="inlineStr">
        <is>
          <t xml:space="preserve"/>
        </is>
      </c>
      <c r="F2693" s="250" t="inlineStr">
        <is>
          <t xml:space="preserve"/>
        </is>
      </c>
      <c r="G2693" s="250" t="inlineStr">
        <is>
          <t xml:space="preserve"/>
        </is>
      </c>
      <c r="H2693" s="251">
        <f>SUM(H2692:H2692)</f>
        <v>1</v>
      </c>
      <c r="I2693" s="252" t="inlineStr">
        <is>
          <t xml:space="preserve">nr</t>
        </is>
      </c>
    </row>
    <row r="2694">
      <c r="A2694" s="243" t="inlineStr">
        <is>
          <t xml:space="preserve">5TH FLR</t>
        </is>
      </c>
      <c r="B2694" s="243" t="inlineStr">
        <is>
          <t xml:space="preserve">U</t>
        </is>
      </c>
      <c r="C2694" s="244" t="inlineStr">
        <is>
          <t xml:space="preserve">50mm x 150mm frames (to timber doors)</t>
        </is>
      </c>
      <c r="I2694" s="245" t="inlineStr">
        <is>
          <t xml:space="preserve">m</t>
        </is>
      </c>
      <c r="K2694" s="256" t="inlineStr">
        <is>
          <t xml:space="preserve">'5TH FLR '!C145</t>
        </is>
      </c>
    </row>
    <row r="2695">
      <c r="C2695" s="246" t="inlineStr">
        <is>
          <t xml:space="preserve">Door : nr x (2 x ht + width)</t>
        </is>
      </c>
      <c r="D2695" s="248">
        <v>15</v>
      </c>
      <c r="E2695" s="247">
        <f>2*2.2+0.9</f>
        <v>5.300000000000001</v>
      </c>
      <c r="H2695" s="249">
        <f>PRODUCT(D2695:G2695)</f>
        <v>79.50000000000001</v>
      </c>
      <c r="J2695" s="253" t="inlineStr">
        <is>
          <t xml:space="preserve">15*(2*2.2+0.9)</t>
        </is>
      </c>
    </row>
    <row r="2696">
      <c r="C2696" s="246" t="inlineStr">
        <is>
          <t xml:space="preserve">Door : nr x (2 x ht + width)</t>
        </is>
      </c>
      <c r="D2696" s="248">
        <v>20</v>
      </c>
      <c r="E2696" s="247">
        <f>2*2.2+0.75</f>
        <v>5.15</v>
      </c>
      <c r="H2696" s="249">
        <f>PRODUCT(D2696:G2696)</f>
        <v>103.0</v>
      </c>
      <c r="J2696" s="253" t="inlineStr">
        <is>
          <t xml:space="preserve">20*(2*2.2+0.75)</t>
        </is>
      </c>
    </row>
    <row r="2697">
      <c r="C2697" s="246" t="inlineStr">
        <is>
          <t xml:space="preserve">Door : nr x (2 x ht + width)</t>
        </is>
      </c>
      <c r="D2697" s="248">
        <v>1</v>
      </c>
      <c r="E2697" s="247">
        <f>2*2.2+1.5</f>
        <v>5.9</v>
      </c>
      <c r="H2697" s="249">
        <f>PRODUCT(D2697:G2697)</f>
        <v>5.9</v>
      </c>
      <c r="J2697" s="253" t="inlineStr">
        <is>
          <t xml:space="preserve">1*(2*2.2+1.5)</t>
        </is>
      </c>
    </row>
    <row r="2698">
      <c r="C2698" s="250" t="inlineStr">
        <is>
          <t xml:space="preserve">Total carried to BOQ  5TH FLR item U</t>
        </is>
      </c>
      <c r="D2698" s="250" t="inlineStr">
        <is>
          <t xml:space="preserve"/>
        </is>
      </c>
      <c r="E2698" s="250" t="inlineStr">
        <is>
          <t xml:space="preserve"/>
        </is>
      </c>
      <c r="F2698" s="250" t="inlineStr">
        <is>
          <t xml:space="preserve"/>
        </is>
      </c>
      <c r="G2698" s="250" t="inlineStr">
        <is>
          <t xml:space="preserve"/>
        </is>
      </c>
      <c r="H2698" s="251">
        <f>SUM(H2695:H2697)</f>
        <v>188.4</v>
      </c>
      <c r="I2698" s="252" t="inlineStr">
        <is>
          <t xml:space="preserve">m</t>
        </is>
      </c>
    </row>
    <row r="2699">
      <c r="A2699" s="243" t="inlineStr">
        <is>
          <t xml:space="preserve">5TH FLR</t>
        </is>
      </c>
      <c r="B2699" s="243" t="inlineStr">
        <is>
          <t xml:space="preserve">V</t>
        </is>
      </c>
      <c r="C2699" s="244" t="inlineStr">
        <is>
          <t xml:space="preserve">50mm x 12mm door stop</t>
        </is>
      </c>
      <c r="I2699" s="245" t="inlineStr">
        <is>
          <t xml:space="preserve">m</t>
        </is>
      </c>
      <c r="K2699" s="256" t="inlineStr">
        <is>
          <t xml:space="preserve">'5TH FLR '!C147</t>
        </is>
      </c>
    </row>
    <row r="2700">
      <c r="C2700" s="246" t="inlineStr">
        <is>
          <t xml:space="preserve">Door : nr x (2 x ht + width)</t>
        </is>
      </c>
      <c r="D2700" s="248">
        <v>15</v>
      </c>
      <c r="E2700" s="247">
        <f>2*2.2+0.9</f>
        <v>5.300000000000001</v>
      </c>
      <c r="H2700" s="249">
        <f>PRODUCT(D2700:G2700)</f>
        <v>79.50000000000001</v>
      </c>
      <c r="J2700" s="253" t="inlineStr">
        <is>
          <t xml:space="preserve">15*(2*2.2+0.9)</t>
        </is>
      </c>
    </row>
    <row r="2701">
      <c r="C2701" s="246" t="inlineStr">
        <is>
          <t xml:space="preserve">Door : nr x (2 x ht + width)</t>
        </is>
      </c>
      <c r="D2701" s="248">
        <v>20</v>
      </c>
      <c r="E2701" s="247">
        <f>2*2.2+0.75</f>
        <v>5.15</v>
      </c>
      <c r="H2701" s="249">
        <f>PRODUCT(D2701:G2701)</f>
        <v>103.0</v>
      </c>
      <c r="J2701" s="253" t="inlineStr">
        <is>
          <t xml:space="preserve">20*(2*2.2+0.75)</t>
        </is>
      </c>
    </row>
    <row r="2702">
      <c r="C2702" s="246" t="inlineStr">
        <is>
          <t xml:space="preserve">Door : nr x (2 x ht + width)</t>
        </is>
      </c>
      <c r="D2702" s="248">
        <v>1</v>
      </c>
      <c r="E2702" s="247">
        <f>2*2.2+1.5</f>
        <v>5.9</v>
      </c>
      <c r="H2702" s="249">
        <f>PRODUCT(D2702:G2702)</f>
        <v>5.9</v>
      </c>
      <c r="J2702" s="253" t="inlineStr">
        <is>
          <t xml:space="preserve">1*(2*2.2+1.5)</t>
        </is>
      </c>
    </row>
    <row r="2703">
      <c r="C2703" s="250" t="inlineStr">
        <is>
          <t xml:space="preserve">Total carried to BOQ  5TH FLR item V</t>
        </is>
      </c>
      <c r="D2703" s="250" t="inlineStr">
        <is>
          <t xml:space="preserve"/>
        </is>
      </c>
      <c r="E2703" s="250" t="inlineStr">
        <is>
          <t xml:space="preserve"/>
        </is>
      </c>
      <c r="F2703" s="250" t="inlineStr">
        <is>
          <t xml:space="preserve"/>
        </is>
      </c>
      <c r="G2703" s="250" t="inlineStr">
        <is>
          <t xml:space="preserve"/>
        </is>
      </c>
      <c r="H2703" s="251">
        <f>SUM(H2700:H2702)</f>
        <v>188.4</v>
      </c>
      <c r="I2703" s="252" t="inlineStr">
        <is>
          <t xml:space="preserve">m</t>
        </is>
      </c>
    </row>
    <row r="2704">
      <c r="C2704" s="242" t="inlineStr">
        <is>
          <t xml:space="preserve">Ironmongery - Supply and fix the following approved ironmongery to hardwood with accompanying patented screws:</t>
        </is>
      </c>
    </row>
    <row r="2705">
      <c r="A2705" s="243" t="inlineStr">
        <is>
          <t xml:space="preserve">5TH FLR</t>
        </is>
      </c>
      <c r="B2705" s="243" t="inlineStr">
        <is>
          <t xml:space="preserve">W</t>
        </is>
      </c>
      <c r="C2705" s="244" t="inlineStr">
        <is>
          <t xml:space="preserve">Pair 100mm brass butt hinges</t>
        </is>
      </c>
      <c r="I2705" s="245" t="inlineStr">
        <is>
          <t xml:space="preserve">pr</t>
        </is>
      </c>
      <c r="K2705" s="256" t="inlineStr">
        <is>
          <t xml:space="preserve">'5TH FLR '!C150</t>
        </is>
      </c>
    </row>
    <row r="2706">
      <c r="C2706" s="246" t="inlineStr">
        <is>
          <t xml:space="preserve">Fifth floor - Timber door leaves x 1.5 pairs</t>
        </is>
      </c>
      <c r="H2706" s="247">
        <v>53</v>
      </c>
      <c r="J2706" s="253" t="inlineStr">
        <is>
          <t xml:space="preserve">53</t>
        </is>
      </c>
    </row>
    <row r="2707">
      <c r="C2707" s="250" t="inlineStr">
        <is>
          <t xml:space="preserve">Total carried to BOQ  5TH FLR item W</t>
        </is>
      </c>
      <c r="D2707" s="250" t="inlineStr">
        <is>
          <t xml:space="preserve"/>
        </is>
      </c>
      <c r="E2707" s="250" t="inlineStr">
        <is>
          <t xml:space="preserve"/>
        </is>
      </c>
      <c r="F2707" s="250" t="inlineStr">
        <is>
          <t xml:space="preserve"/>
        </is>
      </c>
      <c r="G2707" s="250" t="inlineStr">
        <is>
          <t xml:space="preserve"/>
        </is>
      </c>
      <c r="H2707" s="251">
        <f>SUM(H2706:H2706)</f>
        <v>53</v>
      </c>
      <c r="I2707" s="252" t="inlineStr">
        <is>
          <t xml:space="preserve">pr</t>
        </is>
      </c>
    </row>
    <row r="2708">
      <c r="A2708" s="243" t="inlineStr">
        <is>
          <t xml:space="preserve">5TH FLR</t>
        </is>
      </c>
      <c r="B2708" s="243" t="inlineStr">
        <is>
          <t xml:space="preserve">X</t>
        </is>
      </c>
      <c r="C2708" s="244" t="inlineStr">
        <is>
          <t xml:space="preserve">Ordinary locks</t>
        </is>
      </c>
      <c r="I2708" s="245" t="inlineStr">
        <is>
          <t xml:space="preserve">nr</t>
        </is>
      </c>
      <c r="K2708" s="256" t="inlineStr">
        <is>
          <t xml:space="preserve">'5TH FLR '!C152</t>
        </is>
      </c>
    </row>
    <row r="2709">
      <c r="C2709" s="246" t="inlineStr">
        <is>
          <t xml:space="preserve">Fifth floor - D3/D4 doors</t>
        </is>
      </c>
      <c r="H2709" s="247">
        <v>15</v>
      </c>
      <c r="J2709" s="253" t="inlineStr">
        <is>
          <t xml:space="preserve">15</t>
        </is>
      </c>
    </row>
    <row r="2710">
      <c r="C2710" s="250" t="inlineStr">
        <is>
          <t xml:space="preserve">Total carried to BOQ  5TH FLR item X</t>
        </is>
      </c>
      <c r="D2710" s="250" t="inlineStr">
        <is>
          <t xml:space="preserve"/>
        </is>
      </c>
      <c r="E2710" s="250" t="inlineStr">
        <is>
          <t xml:space="preserve"/>
        </is>
      </c>
      <c r="F2710" s="250" t="inlineStr">
        <is>
          <t xml:space="preserve"/>
        </is>
      </c>
      <c r="G2710" s="250" t="inlineStr">
        <is>
          <t xml:space="preserve"/>
        </is>
      </c>
      <c r="H2710" s="251">
        <f>SUM(H2709:H2709)</f>
        <v>15</v>
      </c>
      <c r="I2710" s="252" t="inlineStr">
        <is>
          <t xml:space="preserve">nr</t>
        </is>
      </c>
    </row>
    <row r="2711">
      <c r="A2711" s="243" t="inlineStr">
        <is>
          <t xml:space="preserve">5TH FLR</t>
        </is>
      </c>
      <c r="B2711" s="243" t="inlineStr">
        <is>
          <t xml:space="preserve">Y</t>
        </is>
      </c>
      <c r="C2711" s="244" t="inlineStr">
        <is>
          <t xml:space="preserve">Approved high quality mortice indicator lock</t>
        </is>
      </c>
      <c r="I2711" s="245" t="inlineStr">
        <is>
          <t xml:space="preserve">nr</t>
        </is>
      </c>
      <c r="K2711" s="256" t="inlineStr">
        <is>
          <t xml:space="preserve">'5TH FLR '!C154</t>
        </is>
      </c>
    </row>
    <row r="2712">
      <c r="C2712" s="246" t="inlineStr">
        <is>
          <t xml:space="preserve">Fifth floor - D6 doors</t>
        </is>
      </c>
      <c r="H2712" s="247">
        <v>20</v>
      </c>
      <c r="J2712" s="253" t="inlineStr">
        <is>
          <t xml:space="preserve">20</t>
        </is>
      </c>
    </row>
    <row r="2713">
      <c r="C2713" s="250" t="inlineStr">
        <is>
          <t xml:space="preserve">Total carried to BOQ  5TH FLR item Y</t>
        </is>
      </c>
      <c r="D2713" s="250" t="inlineStr">
        <is>
          <t xml:space="preserve"/>
        </is>
      </c>
      <c r="E2713" s="250" t="inlineStr">
        <is>
          <t xml:space="preserve"/>
        </is>
      </c>
      <c r="F2713" s="250" t="inlineStr">
        <is>
          <t xml:space="preserve"/>
        </is>
      </c>
      <c r="G2713" s="250" t="inlineStr">
        <is>
          <t xml:space="preserve"/>
        </is>
      </c>
      <c r="H2713" s="251">
        <f>SUM(H2712:H2712)</f>
        <v>20</v>
      </c>
      <c r="I2713" s="252" t="inlineStr">
        <is>
          <t xml:space="preserve">nr</t>
        </is>
      </c>
    </row>
    <row r="2714">
      <c r="C2714"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2715">
      <c r="A2715" s="243" t="inlineStr">
        <is>
          <t xml:space="preserve">5TH FLR</t>
        </is>
      </c>
      <c r="B2715" s="243" t="inlineStr">
        <is>
          <t xml:space="preserve">Z</t>
        </is>
      </c>
      <c r="C2715" s="244" t="inlineStr">
        <is>
          <t xml:space="preserve">2 bay alu. framed glass sliding window 1800mm x 1300mm (W2)</t>
        </is>
      </c>
      <c r="I2715" s="245" t="inlineStr">
        <is>
          <t xml:space="preserve">nr</t>
        </is>
      </c>
      <c r="K2715" s="256" t="inlineStr">
        <is>
          <t xml:space="preserve">'5TH FLR '!C157</t>
        </is>
      </c>
    </row>
    <row r="2716">
      <c r="C2716" s="246" t="inlineStr">
        <is>
          <t xml:space="preserve">Fifth floor - W11</t>
        </is>
      </c>
      <c r="H2716" s="247">
        <v>6</v>
      </c>
      <c r="J2716" s="253" t="inlineStr">
        <is>
          <t xml:space="preserve">6</t>
        </is>
      </c>
    </row>
    <row r="2717">
      <c r="C2717" s="250" t="inlineStr">
        <is>
          <t xml:space="preserve">Total carried to BOQ  5TH FLR item Z</t>
        </is>
      </c>
      <c r="D2717" s="250" t="inlineStr">
        <is>
          <t xml:space="preserve"/>
        </is>
      </c>
      <c r="E2717" s="250" t="inlineStr">
        <is>
          <t xml:space="preserve"/>
        </is>
      </c>
      <c r="F2717" s="250" t="inlineStr">
        <is>
          <t xml:space="preserve"/>
        </is>
      </c>
      <c r="G2717" s="250" t="inlineStr">
        <is>
          <t xml:space="preserve"/>
        </is>
      </c>
      <c r="H2717" s="251">
        <f>SUM(H2716:H2716)</f>
        <v>6</v>
      </c>
      <c r="I2717" s="252" t="inlineStr">
        <is>
          <t xml:space="preserve">nr</t>
        </is>
      </c>
    </row>
    <row r="2718">
      <c r="A2718" s="243" t="inlineStr">
        <is>
          <t xml:space="preserve">5TH FLR</t>
        </is>
      </c>
      <c r="B2718" s="243" t="inlineStr">
        <is>
          <t xml:space="preserve">A</t>
        </is>
      </c>
      <c r="C2718" s="244" t="inlineStr">
        <is>
          <t xml:space="preserve">1 bay alu. framed glass awning window 900mm x 1300mm (W4)</t>
        </is>
      </c>
      <c r="I2718" s="245" t="inlineStr">
        <is>
          <t xml:space="preserve">nr</t>
        </is>
      </c>
      <c r="K2718" s="256" t="inlineStr">
        <is>
          <t xml:space="preserve">'5TH FLR '!C159</t>
        </is>
      </c>
    </row>
    <row r="2719">
      <c r="C2719" s="246" t="inlineStr">
        <is>
          <t xml:space="preserve">Fifth floor - W4</t>
        </is>
      </c>
      <c r="H2719" s="247">
        <v>10</v>
      </c>
      <c r="J2719" s="253" t="inlineStr">
        <is>
          <t xml:space="preserve">10</t>
        </is>
      </c>
    </row>
    <row r="2720">
      <c r="C2720" s="250" t="inlineStr">
        <is>
          <t xml:space="preserve">Total carried to BOQ  5TH FLR item A</t>
        </is>
      </c>
      <c r="D2720" s="250" t="inlineStr">
        <is>
          <t xml:space="preserve"/>
        </is>
      </c>
      <c r="E2720" s="250" t="inlineStr">
        <is>
          <t xml:space="preserve"/>
        </is>
      </c>
      <c r="F2720" s="250" t="inlineStr">
        <is>
          <t xml:space="preserve"/>
        </is>
      </c>
      <c r="G2720" s="250" t="inlineStr">
        <is>
          <t xml:space="preserve"/>
        </is>
      </c>
      <c r="H2720" s="251">
        <f>SUM(H2719:H2719)</f>
        <v>10</v>
      </c>
      <c r="I2720" s="252" t="inlineStr">
        <is>
          <t xml:space="preserve">nr</t>
        </is>
      </c>
    </row>
    <row r="2721">
      <c r="A2721" s="243" t="inlineStr">
        <is>
          <t xml:space="preserve">5TH FLR</t>
        </is>
      </c>
      <c r="B2721" s="243" t="inlineStr">
        <is>
          <t xml:space="preserve">B</t>
        </is>
      </c>
      <c r="C2721" s="244" t="inlineStr">
        <is>
          <t xml:space="preserve">2 bay alu. framed glass sliding window 1800mm x 1600mm (W7)</t>
        </is>
      </c>
      <c r="I2721" s="245" t="inlineStr">
        <is>
          <t xml:space="preserve">nr</t>
        </is>
      </c>
      <c r="K2721" s="256" t="inlineStr">
        <is>
          <t xml:space="preserve">'5TH FLR '!C161</t>
        </is>
      </c>
    </row>
    <row r="2722">
      <c r="C2722" s="246" t="inlineStr">
        <is>
          <t xml:space="preserve">Fifth floor - HW4</t>
        </is>
      </c>
      <c r="H2722" s="247">
        <v>1</v>
      </c>
      <c r="J2722" s="253" t="inlineStr">
        <is>
          <t xml:space="preserve">1</t>
        </is>
      </c>
    </row>
    <row r="2723">
      <c r="C2723" s="250" t="inlineStr">
        <is>
          <t xml:space="preserve">Total carried to BOQ  5TH FLR item B</t>
        </is>
      </c>
      <c r="D2723" s="250" t="inlineStr">
        <is>
          <t xml:space="preserve"/>
        </is>
      </c>
      <c r="E2723" s="250" t="inlineStr">
        <is>
          <t xml:space="preserve"/>
        </is>
      </c>
      <c r="F2723" s="250" t="inlineStr">
        <is>
          <t xml:space="preserve"/>
        </is>
      </c>
      <c r="G2723" s="250" t="inlineStr">
        <is>
          <t xml:space="preserve"/>
        </is>
      </c>
      <c r="H2723" s="251">
        <f>SUM(H2722:H2722)</f>
        <v>1</v>
      </c>
      <c r="I2723" s="252" t="inlineStr">
        <is>
          <t xml:space="preserve">nr</t>
        </is>
      </c>
    </row>
    <row r="2724">
      <c r="A2724" s="243" t="inlineStr">
        <is>
          <t xml:space="preserve">5TH FLR</t>
        </is>
      </c>
      <c r="B2724" s="243" t="inlineStr">
        <is>
          <t xml:space="preserve">C</t>
        </is>
      </c>
      <c r="C2724" s="244" t="inlineStr">
        <is>
          <t xml:space="preserve">1 x 3 bay alu. framed glass awning window 1200mm x 1900mm (W8)</t>
        </is>
      </c>
      <c r="I2724" s="245" t="inlineStr">
        <is>
          <t xml:space="preserve">nr</t>
        </is>
      </c>
      <c r="K2724" s="256" t="inlineStr">
        <is>
          <t xml:space="preserve">'5TH FLR '!C163</t>
        </is>
      </c>
    </row>
    <row r="2725">
      <c r="C2725" s="246" t="inlineStr">
        <is>
          <t xml:space="preserve">Fifth floor - W17</t>
        </is>
      </c>
      <c r="H2725" s="247">
        <v>3</v>
      </c>
      <c r="J2725" s="253" t="inlineStr">
        <is>
          <t xml:space="preserve">3</t>
        </is>
      </c>
    </row>
    <row r="2726">
      <c r="C2726" s="250" t="inlineStr">
        <is>
          <t xml:space="preserve">Total carried to BOQ  5TH FLR item C</t>
        </is>
      </c>
      <c r="D2726" s="250" t="inlineStr">
        <is>
          <t xml:space="preserve"/>
        </is>
      </c>
      <c r="E2726" s="250" t="inlineStr">
        <is>
          <t xml:space="preserve"/>
        </is>
      </c>
      <c r="F2726" s="250" t="inlineStr">
        <is>
          <t xml:space="preserve"/>
        </is>
      </c>
      <c r="G2726" s="250" t="inlineStr">
        <is>
          <t xml:space="preserve"/>
        </is>
      </c>
      <c r="H2726" s="251">
        <f>SUM(H2725:H2725)</f>
        <v>3</v>
      </c>
      <c r="I2726" s="252" t="inlineStr">
        <is>
          <t xml:space="preserve">nr</t>
        </is>
      </c>
    </row>
    <row r="2727">
      <c r="A2727" s="243" t="inlineStr">
        <is>
          <t xml:space="preserve">5TH FLR</t>
        </is>
      </c>
      <c r="B2727" s="243" t="inlineStr">
        <is>
          <t xml:space="preserve">D</t>
        </is>
      </c>
      <c r="C2727" s="244" t="inlineStr">
        <is>
          <t xml:space="preserve">2 bay alu. framed glass sliding window 1200mm x 1150mm (W9)</t>
        </is>
      </c>
      <c r="I2727" s="245" t="inlineStr">
        <is>
          <t xml:space="preserve">nr</t>
        </is>
      </c>
      <c r="K2727" s="256" t="inlineStr">
        <is>
          <t xml:space="preserve">'5TH FLR '!C165</t>
        </is>
      </c>
    </row>
    <row r="2728">
      <c r="C2728" s="246" t="inlineStr">
        <is>
          <t xml:space="preserve">Fifth floor - W9</t>
        </is>
      </c>
      <c r="H2728" s="247">
        <v>8</v>
      </c>
      <c r="J2728" s="253" t="inlineStr">
        <is>
          <t xml:space="preserve">8</t>
        </is>
      </c>
    </row>
    <row r="2729">
      <c r="C2729" s="250" t="inlineStr">
        <is>
          <t xml:space="preserve">Total carried to BOQ  5TH FLR item D</t>
        </is>
      </c>
      <c r="D2729" s="250" t="inlineStr">
        <is>
          <t xml:space="preserve"/>
        </is>
      </c>
      <c r="E2729" s="250" t="inlineStr">
        <is>
          <t xml:space="preserve"/>
        </is>
      </c>
      <c r="F2729" s="250" t="inlineStr">
        <is>
          <t xml:space="preserve"/>
        </is>
      </c>
      <c r="G2729" s="250" t="inlineStr">
        <is>
          <t xml:space="preserve"/>
        </is>
      </c>
      <c r="H2729" s="251">
        <f>SUM(H2728:H2728)</f>
        <v>8</v>
      </c>
      <c r="I2729" s="252" t="inlineStr">
        <is>
          <t xml:space="preserve">nr</t>
        </is>
      </c>
    </row>
    <row r="2730">
      <c r="A2730" s="243" t="inlineStr">
        <is>
          <t xml:space="preserve">5TH FLR</t>
        </is>
      </c>
      <c r="B2730" s="243" t="inlineStr">
        <is>
          <t xml:space="preserve">E</t>
        </is>
      </c>
      <c r="C2730" s="244" t="inlineStr">
        <is>
          <t xml:space="preserve">2 bay alu. framed glass sliding window 1200mm x 1200mm (W10)</t>
        </is>
      </c>
      <c r="I2730" s="245" t="inlineStr">
        <is>
          <t xml:space="preserve">nr</t>
        </is>
      </c>
      <c r="K2730" s="256" t="inlineStr">
        <is>
          <t xml:space="preserve">'5TH FLR '!C167</t>
        </is>
      </c>
    </row>
    <row r="2731">
      <c r="C2731" s="246" t="inlineStr">
        <is>
          <t xml:space="preserve">Fifth floor - HW4</t>
        </is>
      </c>
      <c r="H2731" s="247">
        <v>1</v>
      </c>
      <c r="J2731" s="253" t="inlineStr">
        <is>
          <t xml:space="preserve">1</t>
        </is>
      </c>
    </row>
    <row r="2732">
      <c r="C2732" s="250" t="inlineStr">
        <is>
          <t xml:space="preserve">Total carried to BOQ  5TH FLR item E</t>
        </is>
      </c>
      <c r="D2732" s="250" t="inlineStr">
        <is>
          <t xml:space="preserve"/>
        </is>
      </c>
      <c r="E2732" s="250" t="inlineStr">
        <is>
          <t xml:space="preserve"/>
        </is>
      </c>
      <c r="F2732" s="250" t="inlineStr">
        <is>
          <t xml:space="preserve"/>
        </is>
      </c>
      <c r="G2732" s="250" t="inlineStr">
        <is>
          <t xml:space="preserve"/>
        </is>
      </c>
      <c r="H2732" s="251">
        <f>SUM(H2731:H2731)</f>
        <v>1</v>
      </c>
      <c r="I2732" s="252" t="inlineStr">
        <is>
          <t xml:space="preserve">nr</t>
        </is>
      </c>
    </row>
    <row r="2733">
      <c r="A2733" s="243" t="inlineStr">
        <is>
          <t xml:space="preserve">5TH FLR</t>
        </is>
      </c>
      <c r="B2733" s="243" t="inlineStr">
        <is>
          <t xml:space="preserve">F</t>
        </is>
      </c>
      <c r="C2733" s="244" t="inlineStr">
        <is>
          <t xml:space="preserve">2 bay alu. framed glass sliding window 1500mm x 1300mm (W11)</t>
        </is>
      </c>
      <c r="I2733" s="245" t="inlineStr">
        <is>
          <t xml:space="preserve">nr</t>
        </is>
      </c>
      <c r="K2733" s="256" t="inlineStr">
        <is>
          <t xml:space="preserve">'5TH FLR '!C169</t>
        </is>
      </c>
    </row>
    <row r="2734">
      <c r="C2734" s="246" t="inlineStr">
        <is>
          <t xml:space="preserve">Fifth floor - W11</t>
        </is>
      </c>
      <c r="H2734" s="247">
        <v>6</v>
      </c>
      <c r="J2734" s="253" t="inlineStr">
        <is>
          <t xml:space="preserve">6</t>
        </is>
      </c>
    </row>
    <row r="2735">
      <c r="C2735" s="250" t="inlineStr">
        <is>
          <t xml:space="preserve">Total carried to BOQ  5TH FLR item F</t>
        </is>
      </c>
      <c r="D2735" s="250" t="inlineStr">
        <is>
          <t xml:space="preserve"/>
        </is>
      </c>
      <c r="E2735" s="250" t="inlineStr">
        <is>
          <t xml:space="preserve"/>
        </is>
      </c>
      <c r="F2735" s="250" t="inlineStr">
        <is>
          <t xml:space="preserve"/>
        </is>
      </c>
      <c r="G2735" s="250" t="inlineStr">
        <is>
          <t xml:space="preserve"/>
        </is>
      </c>
      <c r="H2735" s="251">
        <f>SUM(H2734:H2734)</f>
        <v>6</v>
      </c>
      <c r="I2735" s="252" t="inlineStr">
        <is>
          <t xml:space="preserve">nr</t>
        </is>
      </c>
    </row>
    <row r="2736">
      <c r="A2736" s="243" t="inlineStr">
        <is>
          <t xml:space="preserve">5TH FLR</t>
        </is>
      </c>
      <c r="B2736" s="243" t="inlineStr">
        <is>
          <t xml:space="preserve">G</t>
        </is>
      </c>
      <c r="C2736" s="244" t="inlineStr">
        <is>
          <t xml:space="preserve">2 bay alu. framed glass sliding window 1500mm x 1150mm (W12)</t>
        </is>
      </c>
      <c r="I2736" s="245" t="inlineStr">
        <is>
          <t xml:space="preserve">nr</t>
        </is>
      </c>
      <c r="K2736" s="256" t="inlineStr">
        <is>
          <t xml:space="preserve">'5TH FLR '!C171</t>
        </is>
      </c>
    </row>
    <row r="2737">
      <c r="C2737" s="246" t="inlineStr">
        <is>
          <t xml:space="preserve">Fifth floor - W17</t>
        </is>
      </c>
      <c r="H2737" s="247">
        <v>3</v>
      </c>
      <c r="J2737" s="253" t="inlineStr">
        <is>
          <t xml:space="preserve">3</t>
        </is>
      </c>
    </row>
    <row r="2738">
      <c r="C2738" s="250" t="inlineStr">
        <is>
          <t xml:space="preserve">Total carried to BOQ  5TH FLR item G</t>
        </is>
      </c>
      <c r="D2738" s="250" t="inlineStr">
        <is>
          <t xml:space="preserve"/>
        </is>
      </c>
      <c r="E2738" s="250" t="inlineStr">
        <is>
          <t xml:space="preserve"/>
        </is>
      </c>
      <c r="F2738" s="250" t="inlineStr">
        <is>
          <t xml:space="preserve"/>
        </is>
      </c>
      <c r="G2738" s="250" t="inlineStr">
        <is>
          <t xml:space="preserve"/>
        </is>
      </c>
      <c r="H2738" s="251">
        <f>SUM(H2737:H2737)</f>
        <v>3</v>
      </c>
      <c r="I2738" s="252" t="inlineStr">
        <is>
          <t xml:space="preserve">nr</t>
        </is>
      </c>
    </row>
    <row r="2739">
      <c r="A2739" s="243" t="inlineStr">
        <is>
          <t xml:space="preserve">5TH FLR</t>
        </is>
      </c>
      <c r="B2739" s="243" t="inlineStr">
        <is>
          <t xml:space="preserve">H</t>
        </is>
      </c>
      <c r="C2739" s="244" t="inlineStr">
        <is>
          <t xml:space="preserve">3 bay alu. framed glass awning window 2400mm x 1300mm (W13)</t>
        </is>
      </c>
      <c r="I2739" s="245" t="inlineStr">
        <is>
          <t xml:space="preserve">nr</t>
        </is>
      </c>
      <c r="K2739" s="256" t="inlineStr">
        <is>
          <t xml:space="preserve">'5TH FLR '!C173</t>
        </is>
      </c>
    </row>
    <row r="2740">
      <c r="C2740" s="246" t="inlineStr">
        <is>
          <t xml:space="preserve">Fifth floor - HW4</t>
        </is>
      </c>
      <c r="H2740" s="247">
        <v>1</v>
      </c>
      <c r="J2740" s="253" t="inlineStr">
        <is>
          <t xml:space="preserve">1</t>
        </is>
      </c>
    </row>
    <row r="2741">
      <c r="C2741" s="250" t="inlineStr">
        <is>
          <t xml:space="preserve">Total carried to BOQ  5TH FLR item H</t>
        </is>
      </c>
      <c r="D2741" s="250" t="inlineStr">
        <is>
          <t xml:space="preserve"/>
        </is>
      </c>
      <c r="E2741" s="250" t="inlineStr">
        <is>
          <t xml:space="preserve"/>
        </is>
      </c>
      <c r="F2741" s="250" t="inlineStr">
        <is>
          <t xml:space="preserve"/>
        </is>
      </c>
      <c r="G2741" s="250" t="inlineStr">
        <is>
          <t xml:space="preserve"/>
        </is>
      </c>
      <c r="H2741" s="251">
        <f>SUM(H2740:H2740)</f>
        <v>1</v>
      </c>
      <c r="I2741" s="252" t="inlineStr">
        <is>
          <t xml:space="preserve">nr</t>
        </is>
      </c>
    </row>
    <row r="2742">
      <c r="A2742" s="243" t="inlineStr">
        <is>
          <t xml:space="preserve">5TH FLR</t>
        </is>
      </c>
      <c r="B2742" s="243" t="inlineStr">
        <is>
          <t xml:space="preserve">J</t>
        </is>
      </c>
      <c r="C2742" s="244" t="inlineStr">
        <is>
          <t xml:space="preserve">3 bay alu. framed glass sliding window 3000mm x 1600mm (W15)</t>
        </is>
      </c>
      <c r="I2742" s="245" t="inlineStr">
        <is>
          <t xml:space="preserve">nr</t>
        </is>
      </c>
      <c r="K2742" s="256" t="inlineStr">
        <is>
          <t xml:space="preserve">'5TH FLR '!C177</t>
        </is>
      </c>
    </row>
    <row r="2743">
      <c r="C2743" s="246" t="inlineStr">
        <is>
          <t xml:space="preserve">Fifth floor - HW4</t>
        </is>
      </c>
      <c r="H2743" s="247">
        <v>1</v>
      </c>
      <c r="J2743" s="253" t="inlineStr">
        <is>
          <t xml:space="preserve">1</t>
        </is>
      </c>
    </row>
    <row r="2744">
      <c r="C2744" s="250" t="inlineStr">
        <is>
          <t xml:space="preserve">Total carried to BOQ  5TH FLR item J</t>
        </is>
      </c>
      <c r="D2744" s="250" t="inlineStr">
        <is>
          <t xml:space="preserve"/>
        </is>
      </c>
      <c r="E2744" s="250" t="inlineStr">
        <is>
          <t xml:space="preserve"/>
        </is>
      </c>
      <c r="F2744" s="250" t="inlineStr">
        <is>
          <t xml:space="preserve"/>
        </is>
      </c>
      <c r="G2744" s="250" t="inlineStr">
        <is>
          <t xml:space="preserve"/>
        </is>
      </c>
      <c r="H2744" s="251">
        <f>SUM(H2743:H2743)</f>
        <v>1</v>
      </c>
      <c r="I2744" s="252" t="inlineStr">
        <is>
          <t xml:space="preserve">nr</t>
        </is>
      </c>
    </row>
    <row r="2745">
      <c r="A2745" s="243" t="inlineStr">
        <is>
          <t xml:space="preserve">5TH FLR</t>
        </is>
      </c>
      <c r="B2745" s="243" t="inlineStr">
        <is>
          <t xml:space="preserve">K</t>
        </is>
      </c>
      <c r="C2745" s="244" t="inlineStr">
        <is>
          <t xml:space="preserve">2 x 3 alu. framed glass awning window 1800mm x 1900mm (W17)</t>
        </is>
      </c>
      <c r="I2745" s="245" t="inlineStr">
        <is>
          <t xml:space="preserve">nr</t>
        </is>
      </c>
      <c r="K2745" s="256" t="inlineStr">
        <is>
          <t xml:space="preserve">'5TH FLR '!C179</t>
        </is>
      </c>
    </row>
    <row r="2746">
      <c r="C2746" s="246" t="inlineStr">
        <is>
          <t xml:space="preserve">Fifth floor - W17</t>
        </is>
      </c>
      <c r="H2746" s="247">
        <v>3</v>
      </c>
      <c r="J2746" s="253" t="inlineStr">
        <is>
          <t xml:space="preserve">3</t>
        </is>
      </c>
    </row>
    <row r="2747">
      <c r="C2747" s="250" t="inlineStr">
        <is>
          <t xml:space="preserve">Total carried to BOQ  5TH FLR item K</t>
        </is>
      </c>
      <c r="D2747" s="250" t="inlineStr">
        <is>
          <t xml:space="preserve"/>
        </is>
      </c>
      <c r="E2747" s="250" t="inlineStr">
        <is>
          <t xml:space="preserve"/>
        </is>
      </c>
      <c r="F2747" s="250" t="inlineStr">
        <is>
          <t xml:space="preserve"/>
        </is>
      </c>
      <c r="G2747" s="250" t="inlineStr">
        <is>
          <t xml:space="preserve"/>
        </is>
      </c>
      <c r="H2747" s="251">
        <f>SUM(H2746:H2746)</f>
        <v>3</v>
      </c>
      <c r="I2747" s="252" t="inlineStr">
        <is>
          <t xml:space="preserve">nr</t>
        </is>
      </c>
    </row>
    <row r="2748">
      <c r="A2748" s="243" t="inlineStr">
        <is>
          <t xml:space="preserve">5TH FLR</t>
        </is>
      </c>
      <c r="B2748" s="243" t="inlineStr">
        <is>
          <t xml:space="preserve">L</t>
        </is>
      </c>
      <c r="C2748" s="244" t="inlineStr">
        <is>
          <t xml:space="preserve">1 bay alu. framed glass awning window 750mm x 1300mm (W18)</t>
        </is>
      </c>
      <c r="I2748" s="245" t="inlineStr">
        <is>
          <t xml:space="preserve">nr</t>
        </is>
      </c>
      <c r="K2748" s="256" t="inlineStr">
        <is>
          <t xml:space="preserve">'5TH FLR '!C181</t>
        </is>
      </c>
    </row>
    <row r="2749">
      <c r="C2749" s="246" t="inlineStr">
        <is>
          <t xml:space="preserve">Fifth floor - HW4</t>
        </is>
      </c>
      <c r="H2749" s="247">
        <v>1</v>
      </c>
      <c r="J2749" s="253" t="inlineStr">
        <is>
          <t xml:space="preserve">1</t>
        </is>
      </c>
    </row>
    <row r="2750">
      <c r="C2750" s="250" t="inlineStr">
        <is>
          <t xml:space="preserve">Total carried to BOQ  5TH FLR item L</t>
        </is>
      </c>
      <c r="D2750" s="250" t="inlineStr">
        <is>
          <t xml:space="preserve"/>
        </is>
      </c>
      <c r="E2750" s="250" t="inlineStr">
        <is>
          <t xml:space="preserve"/>
        </is>
      </c>
      <c r="F2750" s="250" t="inlineStr">
        <is>
          <t xml:space="preserve"/>
        </is>
      </c>
      <c r="G2750" s="250" t="inlineStr">
        <is>
          <t xml:space="preserve"/>
        </is>
      </c>
      <c r="H2750" s="251">
        <f>SUM(H2749:H2749)</f>
        <v>1</v>
      </c>
      <c r="I2750" s="252" t="inlineStr">
        <is>
          <t xml:space="preserve">nr</t>
        </is>
      </c>
    </row>
    <row r="2751">
      <c r="A2751" s="243" t="inlineStr">
        <is>
          <t xml:space="preserve">5TH FLR</t>
        </is>
      </c>
      <c r="B2751" s="243" t="inlineStr">
        <is>
          <t xml:space="preserve">M</t>
        </is>
      </c>
      <c r="C2751" s="244" t="inlineStr">
        <is>
          <t xml:space="preserve">2 x 3 alu. framed glass awning window 1450mm x 1900mm (W20)</t>
        </is>
      </c>
      <c r="I2751" s="245" t="inlineStr">
        <is>
          <t xml:space="preserve">nr</t>
        </is>
      </c>
      <c r="K2751" s="256" t="inlineStr">
        <is>
          <t xml:space="preserve">'5TH FLR '!C183</t>
        </is>
      </c>
    </row>
    <row r="2752">
      <c r="C2752" s="246" t="inlineStr">
        <is>
          <t xml:space="preserve">Fifth floor - HW4</t>
        </is>
      </c>
      <c r="H2752" s="247">
        <v>1</v>
      </c>
      <c r="J2752" s="253" t="inlineStr">
        <is>
          <t xml:space="preserve">1</t>
        </is>
      </c>
    </row>
    <row r="2753">
      <c r="C2753" s="250" t="inlineStr">
        <is>
          <t xml:space="preserve">Total carried to BOQ  5TH FLR item M</t>
        </is>
      </c>
      <c r="D2753" s="250" t="inlineStr">
        <is>
          <t xml:space="preserve"/>
        </is>
      </c>
      <c r="E2753" s="250" t="inlineStr">
        <is>
          <t xml:space="preserve"/>
        </is>
      </c>
      <c r="F2753" s="250" t="inlineStr">
        <is>
          <t xml:space="preserve"/>
        </is>
      </c>
      <c r="G2753" s="250" t="inlineStr">
        <is>
          <t xml:space="preserve"/>
        </is>
      </c>
      <c r="H2753" s="251">
        <f>SUM(H2752:H2752)</f>
        <v>1</v>
      </c>
      <c r="I2753" s="252" t="inlineStr">
        <is>
          <t xml:space="preserve">nr</t>
        </is>
      </c>
    </row>
    <row r="2754">
      <c r="A2754" s="243" t="inlineStr">
        <is>
          <t xml:space="preserve">5TH FLR</t>
        </is>
      </c>
      <c r="B2754" s="243" t="inlineStr">
        <is>
          <t xml:space="preserve">N</t>
        </is>
      </c>
      <c r="C2754" s="244" t="inlineStr">
        <is>
          <t xml:space="preserve">2 bay alu. framed glass sliding window 900mm x 600mm (HW1)</t>
        </is>
      </c>
      <c r="I2754" s="245" t="inlineStr">
        <is>
          <t xml:space="preserve">nr</t>
        </is>
      </c>
      <c r="K2754" s="256" t="inlineStr">
        <is>
          <t xml:space="preserve">'5TH FLR '!C185</t>
        </is>
      </c>
    </row>
    <row r="2755">
      <c r="C2755" s="246" t="inlineStr">
        <is>
          <t xml:space="preserve">Fifth floor - HW1</t>
        </is>
      </c>
      <c r="H2755" s="247">
        <v>12</v>
      </c>
      <c r="J2755" s="253" t="inlineStr">
        <is>
          <t xml:space="preserve">12</t>
        </is>
      </c>
    </row>
    <row r="2756">
      <c r="C2756" s="250" t="inlineStr">
        <is>
          <t xml:space="preserve">Total carried to BOQ  5TH FLR item N</t>
        </is>
      </c>
      <c r="D2756" s="250" t="inlineStr">
        <is>
          <t xml:space="preserve"/>
        </is>
      </c>
      <c r="E2756" s="250" t="inlineStr">
        <is>
          <t xml:space="preserve"/>
        </is>
      </c>
      <c r="F2756" s="250" t="inlineStr">
        <is>
          <t xml:space="preserve"/>
        </is>
      </c>
      <c r="G2756" s="250" t="inlineStr">
        <is>
          <t xml:space="preserve"/>
        </is>
      </c>
      <c r="H2756" s="251">
        <f>SUM(H2755:H2755)</f>
        <v>12</v>
      </c>
      <c r="I2756" s="252" t="inlineStr">
        <is>
          <t xml:space="preserve">nr</t>
        </is>
      </c>
    </row>
    <row r="2757">
      <c r="A2757" s="243" t="inlineStr">
        <is>
          <t xml:space="preserve">5TH FLR</t>
        </is>
      </c>
      <c r="B2757" s="243" t="inlineStr">
        <is>
          <t xml:space="preserve">P</t>
        </is>
      </c>
      <c r="C2757" s="244" t="inlineStr">
        <is>
          <t xml:space="preserve">2 bay alu. framed glass sliding window 750mm x 600mm (HW2)</t>
        </is>
      </c>
      <c r="I2757" s="245" t="inlineStr">
        <is>
          <t xml:space="preserve">nr</t>
        </is>
      </c>
      <c r="K2757" s="256" t="inlineStr">
        <is>
          <t xml:space="preserve">'5TH FLR '!C187</t>
        </is>
      </c>
    </row>
    <row r="2758">
      <c r="C2758" s="246" t="inlineStr">
        <is>
          <t xml:space="preserve">Fifth floor - HW2</t>
        </is>
      </c>
      <c r="H2758" s="247">
        <v>4</v>
      </c>
      <c r="J2758" s="253" t="inlineStr">
        <is>
          <t xml:space="preserve">4</t>
        </is>
      </c>
    </row>
    <row r="2759">
      <c r="C2759" s="250" t="inlineStr">
        <is>
          <t xml:space="preserve">Total carried to BOQ  5TH FLR item P</t>
        </is>
      </c>
      <c r="D2759" s="250" t="inlineStr">
        <is>
          <t xml:space="preserve"/>
        </is>
      </c>
      <c r="E2759" s="250" t="inlineStr">
        <is>
          <t xml:space="preserve"/>
        </is>
      </c>
      <c r="F2759" s="250" t="inlineStr">
        <is>
          <t xml:space="preserve"/>
        </is>
      </c>
      <c r="G2759" s="250" t="inlineStr">
        <is>
          <t xml:space="preserve"/>
        </is>
      </c>
      <c r="H2759" s="251">
        <f>SUM(H2758:H2758)</f>
        <v>4</v>
      </c>
      <c r="I2759" s="252" t="inlineStr">
        <is>
          <t xml:space="preserve">nr</t>
        </is>
      </c>
    </row>
    <row r="2760">
      <c r="A2760" s="243" t="inlineStr">
        <is>
          <t xml:space="preserve">5TH FLR</t>
        </is>
      </c>
      <c r="B2760" s="243" t="inlineStr">
        <is>
          <t xml:space="preserve">Q</t>
        </is>
      </c>
      <c r="C2760" s="244" t="inlineStr">
        <is>
          <t xml:space="preserve">2 bay alu. framed glass sliding window 600mm x 600mm (HW3)</t>
        </is>
      </c>
      <c r="I2760" s="245" t="inlineStr">
        <is>
          <t xml:space="preserve">nr</t>
        </is>
      </c>
      <c r="K2760" s="256" t="inlineStr">
        <is>
          <t xml:space="preserve">'5TH FLR '!C189</t>
        </is>
      </c>
    </row>
    <row r="2761">
      <c r="C2761" s="246" t="inlineStr">
        <is>
          <t xml:space="preserve">Fifth floor - HW4</t>
        </is>
      </c>
      <c r="H2761" s="247">
        <v>1</v>
      </c>
      <c r="J2761" s="253" t="inlineStr">
        <is>
          <t xml:space="preserve">1</t>
        </is>
      </c>
    </row>
    <row r="2762">
      <c r="C2762" s="250" t="inlineStr">
        <is>
          <t xml:space="preserve">Total carried to BOQ  5TH FLR item Q</t>
        </is>
      </c>
      <c r="D2762" s="250" t="inlineStr">
        <is>
          <t xml:space="preserve"/>
        </is>
      </c>
      <c r="E2762" s="250" t="inlineStr">
        <is>
          <t xml:space="preserve"/>
        </is>
      </c>
      <c r="F2762" s="250" t="inlineStr">
        <is>
          <t xml:space="preserve"/>
        </is>
      </c>
      <c r="G2762" s="250" t="inlineStr">
        <is>
          <t xml:space="preserve"/>
        </is>
      </c>
      <c r="H2762" s="251">
        <f>SUM(H2761:H2761)</f>
        <v>1</v>
      </c>
      <c r="I2762" s="252" t="inlineStr">
        <is>
          <t xml:space="preserve">nr</t>
        </is>
      </c>
    </row>
    <row r="2763">
      <c r="A2763" s="243" t="inlineStr">
        <is>
          <t xml:space="preserve">5TH FLR</t>
        </is>
      </c>
      <c r="B2763" s="243" t="inlineStr">
        <is>
          <t xml:space="preserve">R</t>
        </is>
      </c>
      <c r="C2763" s="244" t="inlineStr">
        <is>
          <t xml:space="preserve">2 bay alu. framed glass sliding window 1200mm x 600mm (HW4)</t>
        </is>
      </c>
      <c r="I2763" s="245" t="inlineStr">
        <is>
          <t xml:space="preserve">nr</t>
        </is>
      </c>
      <c r="K2763" s="256" t="inlineStr">
        <is>
          <t xml:space="preserve">'5TH FLR '!C191</t>
        </is>
      </c>
    </row>
    <row r="2764">
      <c r="C2764" s="246" t="inlineStr">
        <is>
          <t xml:space="preserve">Fifth floor - HW4</t>
        </is>
      </c>
      <c r="H2764" s="247">
        <v>1</v>
      </c>
      <c r="J2764" s="253" t="inlineStr">
        <is>
          <t xml:space="preserve">1</t>
        </is>
      </c>
    </row>
    <row r="2765">
      <c r="C2765" s="250" t="inlineStr">
        <is>
          <t xml:space="preserve">Total carried to BOQ  5TH FLR item R</t>
        </is>
      </c>
      <c r="D2765" s="250" t="inlineStr">
        <is>
          <t xml:space="preserve"/>
        </is>
      </c>
      <c r="E2765" s="250" t="inlineStr">
        <is>
          <t xml:space="preserve"/>
        </is>
      </c>
      <c r="F2765" s="250" t="inlineStr">
        <is>
          <t xml:space="preserve"/>
        </is>
      </c>
      <c r="G2765" s="250" t="inlineStr">
        <is>
          <t xml:space="preserve"/>
        </is>
      </c>
      <c r="H2765" s="251">
        <f>SUM(H2764:H2764)</f>
        <v>1</v>
      </c>
      <c r="I2765" s="252" t="inlineStr">
        <is>
          <t xml:space="preserve">nr</t>
        </is>
      </c>
    </row>
    <row r="2766">
      <c r="C2766" s="242" t="inlineStr">
        <is>
          <t xml:space="preserve">ELEMENT NO. 5: FLOOR FINISHES</t>
        </is>
      </c>
    </row>
    <row r="2767">
      <c r="C2767" s="242" t="inlineStr">
        <is>
          <t xml:space="preserve">M10/M40 FLOOR FINISHES</t>
        </is>
      </c>
    </row>
    <row r="2768" ht="32.2" customHeight="1">
      <c r="A2768" s="243" t="inlineStr">
        <is>
          <t xml:space="preserve">5TH FLR</t>
        </is>
      </c>
      <c r="B2768" s="243" t="inlineStr">
        <is>
          <t xml:space="preserve">A</t>
        </is>
      </c>
      <c r="C2768" s="244" t="inlineStr">
        <is>
          <t xml:space="preserve">25mm cement and sand (1:3) screeded finish laid level on concrete and finished smooth with steel trowel</t>
        </is>
      </c>
      <c r="I2768" s="245" t="inlineStr">
        <is>
          <t xml:space="preserve">m2</t>
        </is>
      </c>
      <c r="K2768" s="256" t="inlineStr">
        <is>
          <t xml:space="preserve">'5TH FLR '!C199</t>
        </is>
      </c>
    </row>
    <row r="2769">
      <c r="C2769" s="246" t="inlineStr">
        <is>
          <t xml:space="preserve">Fifth floor - Tiled floor areas (measured)</t>
        </is>
      </c>
      <c r="H2769" s="247">
        <v>850.7</v>
      </c>
      <c r="J2769" s="253" t="inlineStr">
        <is>
          <t xml:space="preserve">850.7</t>
        </is>
      </c>
    </row>
    <row r="2770">
      <c r="C2770" s="250" t="inlineStr">
        <is>
          <t xml:space="preserve">Total carried to BOQ  5TH FLR item A</t>
        </is>
      </c>
      <c r="D2770" s="250" t="inlineStr">
        <is>
          <t xml:space="preserve"/>
        </is>
      </c>
      <c r="E2770" s="250" t="inlineStr">
        <is>
          <t xml:space="preserve"/>
        </is>
      </c>
      <c r="F2770" s="250" t="inlineStr">
        <is>
          <t xml:space="preserve"/>
        </is>
      </c>
      <c r="G2770" s="250" t="inlineStr">
        <is>
          <t xml:space="preserve"/>
        </is>
      </c>
      <c r="H2770" s="251">
        <f>SUM(H2769:H2769)</f>
        <v>850.7</v>
      </c>
      <c r="I2770" s="252" t="inlineStr">
        <is>
          <t xml:space="preserve">m2</t>
        </is>
      </c>
    </row>
    <row r="2771" ht="32.2" customHeight="1">
      <c r="A2771" s="243" t="inlineStr">
        <is>
          <t xml:space="preserve">5TH FLR</t>
        </is>
      </c>
      <c r="B2771" s="243" t="inlineStr">
        <is>
          <t xml:space="preserve">B</t>
        </is>
      </c>
      <c r="C2771" s="244" t="inlineStr">
        <is>
          <t xml:space="preserve">12mm cement and sand (1:4) screeded bed laid level on concrete floor to receive floor tiles</t>
        </is>
      </c>
      <c r="I2771" s="245" t="inlineStr">
        <is>
          <t xml:space="preserve">m2</t>
        </is>
      </c>
      <c r="K2771" s="256" t="inlineStr">
        <is>
          <t xml:space="preserve">'5TH FLR '!C201</t>
        </is>
      </c>
    </row>
    <row r="2772">
      <c r="C2772" s="246" t="inlineStr">
        <is>
          <t xml:space="preserve">Fifth floor - Tiled floor areas (measured)</t>
        </is>
      </c>
      <c r="H2772" s="247">
        <v>850.7</v>
      </c>
      <c r="J2772" s="253" t="inlineStr">
        <is>
          <t xml:space="preserve">850.7</t>
        </is>
      </c>
    </row>
    <row r="2773">
      <c r="C2773" s="246" t="inlineStr">
        <is>
          <t xml:space="preserve">Stair finishes (treads, risers, landings) - flights: 2 x 1.8 x 3.0</t>
        </is>
      </c>
      <c r="D2773" s="248">
        <v>2</v>
      </c>
      <c r="E2773" s="247">
        <v>1.8</v>
      </c>
      <c r="F2773" s="247">
        <v>3.0</v>
      </c>
      <c r="H2773" s="249">
        <f>PRODUCT(D2773:G2773)</f>
        <v>10.8</v>
      </c>
      <c r="J2773" s="253" t="inlineStr">
        <is>
          <t xml:space="preserve">2*1.8*3.0</t>
        </is>
      </c>
    </row>
    <row r="2774">
      <c r="C2774" s="246" t="inlineStr">
        <is>
          <t xml:space="preserve">Stair finishes (treads, risers, landings) - risers: 22 x 0.15 x 1.8</t>
        </is>
      </c>
      <c r="D2774" s="248">
        <v>22</v>
      </c>
      <c r="E2774" s="247">
        <v>0.15</v>
      </c>
      <c r="F2774" s="247">
        <v>1.8</v>
      </c>
      <c r="H2774" s="249">
        <f>PRODUCT(D2774:G2774)</f>
        <v>5.9399999999999995</v>
      </c>
      <c r="J2774" s="253" t="inlineStr">
        <is>
          <t xml:space="preserve">22*0.15*1.8</t>
        </is>
      </c>
    </row>
    <row r="2775">
      <c r="C2775" s="246" t="inlineStr">
        <is>
          <t xml:space="preserve">Stair finishes (treads, risers, landings) - floor landing 2.2 x 3.75</t>
        </is>
      </c>
      <c r="E2775" s="247">
        <v>2.2</v>
      </c>
      <c r="F2775" s="247">
        <v>3.75</v>
      </c>
      <c r="H2775" s="249">
        <f>PRODUCT(D2775:G2775)</f>
        <v>8.25</v>
      </c>
      <c r="J2775" s="253" t="inlineStr">
        <is>
          <t xml:space="preserve">2.2*3.75</t>
        </is>
      </c>
    </row>
    <row r="2776">
      <c r="C2776" s="246" t="inlineStr">
        <is>
          <t xml:space="preserve">Stair finishes (treads, risers, landings) - half landing 1.8 x 3.75</t>
        </is>
      </c>
      <c r="E2776" s="247">
        <v>1.8</v>
      </c>
      <c r="F2776" s="247">
        <v>3.75</v>
      </c>
      <c r="H2776" s="249">
        <f>PRODUCT(D2776:G2776)</f>
        <v>6.75</v>
      </c>
      <c r="J2776" s="253" t="inlineStr">
        <is>
          <t xml:space="preserve">1.8*3.75</t>
        </is>
      </c>
    </row>
    <row r="2777">
      <c r="C2777" s="246" t="inlineStr">
        <is>
          <t xml:space="preserve">Stair finishes (treads, risers, landings) - flights: 2 x 1.8 x 3.0</t>
        </is>
      </c>
      <c r="D2777" s="248">
        <v>2</v>
      </c>
      <c r="E2777" s="247">
        <v>1.8</v>
      </c>
      <c r="F2777" s="247">
        <v>3.0</v>
      </c>
      <c r="H2777" s="249">
        <f>PRODUCT(D2777:G2777)</f>
        <v>10.8</v>
      </c>
      <c r="J2777" s="253" t="inlineStr">
        <is>
          <t xml:space="preserve">2*1.8*3.0</t>
        </is>
      </c>
    </row>
    <row r="2778">
      <c r="C2778" s="246" t="inlineStr">
        <is>
          <t xml:space="preserve">Stair finishes (treads, risers, landings) - risers: 22 x 0.15 x 1.8</t>
        </is>
      </c>
      <c r="D2778" s="248">
        <v>22</v>
      </c>
      <c r="E2778" s="247">
        <v>0.15</v>
      </c>
      <c r="F2778" s="247">
        <v>1.8</v>
      </c>
      <c r="H2778" s="249">
        <f>PRODUCT(D2778:G2778)</f>
        <v>5.9399999999999995</v>
      </c>
      <c r="J2778" s="253" t="inlineStr">
        <is>
          <t xml:space="preserve">22*0.15*1.8</t>
        </is>
      </c>
    </row>
    <row r="2779">
      <c r="C2779" s="246" t="inlineStr">
        <is>
          <t xml:space="preserve">Stair finishes (treads, risers, landings) - floor landing 2.2 x 3.75</t>
        </is>
      </c>
      <c r="E2779" s="247">
        <v>2.2</v>
      </c>
      <c r="F2779" s="247">
        <v>3.75</v>
      </c>
      <c r="H2779" s="249">
        <f>PRODUCT(D2779:G2779)</f>
        <v>8.25</v>
      </c>
      <c r="J2779" s="253" t="inlineStr">
        <is>
          <t xml:space="preserve">2.2*3.75</t>
        </is>
      </c>
    </row>
    <row r="2780">
      <c r="C2780" s="246" t="inlineStr">
        <is>
          <t xml:space="preserve">Stair finishes (treads, risers, landings) - half landing 1.8 x 3.75</t>
        </is>
      </c>
      <c r="E2780" s="247">
        <v>1.8</v>
      </c>
      <c r="F2780" s="247">
        <v>3.75</v>
      </c>
      <c r="H2780" s="249">
        <f>PRODUCT(D2780:G2780)</f>
        <v>6.75</v>
      </c>
      <c r="J2780" s="253" t="inlineStr">
        <is>
          <t xml:space="preserve">1.8*3.75</t>
        </is>
      </c>
    </row>
    <row r="2781">
      <c r="C2781" s="250" t="inlineStr">
        <is>
          <t xml:space="preserve">Total carried to BOQ  5TH FLR item B</t>
        </is>
      </c>
      <c r="D2781" s="250" t="inlineStr">
        <is>
          <t xml:space="preserve"/>
        </is>
      </c>
      <c r="E2781" s="250" t="inlineStr">
        <is>
          <t xml:space="preserve"/>
        </is>
      </c>
      <c r="F2781" s="250" t="inlineStr">
        <is>
          <t xml:space="preserve"/>
        </is>
      </c>
      <c r="G2781" s="250" t="inlineStr">
        <is>
          <t xml:space="preserve"/>
        </is>
      </c>
      <c r="H2781" s="251">
        <f>SUM(H2772:H2780)</f>
        <v>914.1800000000001</v>
      </c>
      <c r="I2781" s="252" t="inlineStr">
        <is>
          <t xml:space="preserve">m2</t>
        </is>
      </c>
    </row>
    <row r="2782" ht="32.2" customHeight="1">
      <c r="A2782" s="243" t="inlineStr">
        <is>
          <t xml:space="preserve">5TH FLR</t>
        </is>
      </c>
      <c r="B2782" s="243" t="inlineStr">
        <is>
          <t xml:space="preserve">C</t>
        </is>
      </c>
      <c r="C2782" s="244" t="inlineStr">
        <is>
          <t xml:space="preserve">400x400mm non-slip porcelain floor tiles to washrooms &amp; WCs, adhesive, grout and cutting</t>
        </is>
      </c>
      <c r="I2782" s="245" t="inlineStr">
        <is>
          <t xml:space="preserve">m2</t>
        </is>
      </c>
      <c r="K2782" s="256" t="inlineStr">
        <is>
          <t xml:space="preserve">'5TH FLR '!C203</t>
        </is>
      </c>
    </row>
    <row r="2783">
      <c r="C2783" s="246" t="inlineStr">
        <is>
          <t xml:space="preserve">Fifth floor - Washroom ceiling areas (measured)</t>
        </is>
      </c>
      <c r="H2783" s="247">
        <v>56.0</v>
      </c>
      <c r="J2783" s="253" t="inlineStr">
        <is>
          <t xml:space="preserve">56.0</t>
        </is>
      </c>
    </row>
    <row r="2784">
      <c r="C2784" s="250" t="inlineStr">
        <is>
          <t xml:space="preserve">Total carried to BOQ  5TH FLR item C</t>
        </is>
      </c>
      <c r="D2784" s="250" t="inlineStr">
        <is>
          <t xml:space="preserve"/>
        </is>
      </c>
      <c r="E2784" s="250" t="inlineStr">
        <is>
          <t xml:space="preserve"/>
        </is>
      </c>
      <c r="F2784" s="250" t="inlineStr">
        <is>
          <t xml:space="preserve"/>
        </is>
      </c>
      <c r="G2784" s="250" t="inlineStr">
        <is>
          <t xml:space="preserve"/>
        </is>
      </c>
      <c r="H2784" s="251">
        <f>SUM(H2783:H2783)</f>
        <v>56.0</v>
      </c>
      <c r="I2784" s="252" t="inlineStr">
        <is>
          <t xml:space="preserve">m2</t>
        </is>
      </c>
    </row>
    <row r="2785" ht="32.2" customHeight="1">
      <c r="A2785" s="243" t="inlineStr">
        <is>
          <t xml:space="preserve">5TH FLR</t>
        </is>
      </c>
      <c r="B2785" s="243" t="inlineStr">
        <is>
          <t xml:space="preserve">D</t>
        </is>
      </c>
      <c r="C2785" s="244" t="inlineStr">
        <is>
          <t xml:space="preserve">500x500mm matte R11 porcelain tiles to staircases (treads, risers and landings)</t>
        </is>
      </c>
      <c r="I2785" s="245" t="inlineStr">
        <is>
          <t xml:space="preserve">m2</t>
        </is>
      </c>
      <c r="K2785" s="256" t="inlineStr">
        <is>
          <t xml:space="preserve">'5TH FLR '!C205</t>
        </is>
      </c>
    </row>
    <row r="2786">
      <c r="C2786" s="246" t="inlineStr">
        <is>
          <t xml:space="preserve">Fifth floor (+17500) - Main stair flight (storey ht 3.3) - flights: 2 x 1.8 x 3.0</t>
        </is>
      </c>
      <c r="D2786" s="248">
        <v>2</v>
      </c>
      <c r="E2786" s="247">
        <v>1.8</v>
      </c>
      <c r="F2786" s="247">
        <v>3.0</v>
      </c>
      <c r="H2786" s="249">
        <f>PRODUCT(D2786:G2786)</f>
        <v>10.8</v>
      </c>
      <c r="J2786" s="253" t="inlineStr">
        <is>
          <t xml:space="preserve">2*1.8*3.0</t>
        </is>
      </c>
    </row>
    <row r="2787">
      <c r="C2787" s="246" t="inlineStr">
        <is>
          <t xml:space="preserve">Fifth floor (+17500) - Main stair flight (storey ht 3.3) - risers: 22 x 0.15 x 1.8</t>
        </is>
      </c>
      <c r="D2787" s="248">
        <v>22</v>
      </c>
      <c r="E2787" s="247">
        <v>0.15</v>
      </c>
      <c r="F2787" s="247">
        <v>1.8</v>
      </c>
      <c r="H2787" s="249">
        <f>PRODUCT(D2787:G2787)</f>
        <v>5.9399999999999995</v>
      </c>
      <c r="J2787" s="253" t="inlineStr">
        <is>
          <t xml:space="preserve">22*0.15*1.8</t>
        </is>
      </c>
    </row>
    <row r="2788">
      <c r="C2788" s="246" t="inlineStr">
        <is>
          <t xml:space="preserve">Fifth floor (+17500) - Main stair flight (storey ht 3.3) - floor landing 2.2 x 3.75</t>
        </is>
      </c>
      <c r="E2788" s="247">
        <v>2.2</v>
      </c>
      <c r="F2788" s="247">
        <v>3.75</v>
      </c>
      <c r="H2788" s="249">
        <f>PRODUCT(D2788:G2788)</f>
        <v>8.25</v>
      </c>
      <c r="J2788" s="253" t="inlineStr">
        <is>
          <t xml:space="preserve">2.2*3.75</t>
        </is>
      </c>
    </row>
    <row r="2789">
      <c r="C2789" s="246" t="inlineStr">
        <is>
          <t xml:space="preserve">Fifth floor (+17500) - Main stair flight (storey ht 3.3) - half landing 1.8 x 3.75</t>
        </is>
      </c>
      <c r="E2789" s="247">
        <v>1.8</v>
      </c>
      <c r="F2789" s="247">
        <v>3.75</v>
      </c>
      <c r="H2789" s="249">
        <f>PRODUCT(D2789:G2789)</f>
        <v>6.75</v>
      </c>
      <c r="J2789" s="253" t="inlineStr">
        <is>
          <t xml:space="preserve">1.8*3.75</t>
        </is>
      </c>
    </row>
    <row r="2790">
      <c r="C2790" s="246" t="inlineStr">
        <is>
          <t xml:space="preserve">Fifth floor (+17500) - Emergency stair flight (storey ht 3.3) - flights: 2 x 1.8 x 3.0</t>
        </is>
      </c>
      <c r="D2790" s="248">
        <v>2</v>
      </c>
      <c r="E2790" s="247">
        <v>1.8</v>
      </c>
      <c r="F2790" s="247">
        <v>3.0</v>
      </c>
      <c r="H2790" s="249">
        <f>PRODUCT(D2790:G2790)</f>
        <v>10.8</v>
      </c>
      <c r="J2790" s="253" t="inlineStr">
        <is>
          <t xml:space="preserve">2*1.8*3.0</t>
        </is>
      </c>
    </row>
    <row r="2791">
      <c r="C2791" s="246" t="inlineStr">
        <is>
          <t xml:space="preserve">Fifth floor (+17500) - Emergency stair flight (storey ht 3.3) - risers: 22 x 0.15 x 1.8</t>
        </is>
      </c>
      <c r="D2791" s="248">
        <v>22</v>
      </c>
      <c r="E2791" s="247">
        <v>0.15</v>
      </c>
      <c r="F2791" s="247">
        <v>1.8</v>
      </c>
      <c r="H2791" s="249">
        <f>PRODUCT(D2791:G2791)</f>
        <v>5.9399999999999995</v>
      </c>
      <c r="J2791" s="253" t="inlineStr">
        <is>
          <t xml:space="preserve">22*0.15*1.8</t>
        </is>
      </c>
    </row>
    <row r="2792">
      <c r="C2792" s="246" t="inlineStr">
        <is>
          <t xml:space="preserve">Fifth floor (+17500) - Emergency stair flight (storey ht 3.3) - floor landing 2.2 x 3.75</t>
        </is>
      </c>
      <c r="E2792" s="247">
        <v>2.2</v>
      </c>
      <c r="F2792" s="247">
        <v>3.75</v>
      </c>
      <c r="H2792" s="249">
        <f>PRODUCT(D2792:G2792)</f>
        <v>8.25</v>
      </c>
      <c r="J2792" s="253" t="inlineStr">
        <is>
          <t xml:space="preserve">2.2*3.75</t>
        </is>
      </c>
    </row>
    <row r="2793">
      <c r="C2793" s="246" t="inlineStr">
        <is>
          <t xml:space="preserve">Fifth floor (+17500) - Emergency stair flight (storey ht 3.3) - half landing 1.8 x 3.75</t>
        </is>
      </c>
      <c r="E2793" s="247">
        <v>1.8</v>
      </c>
      <c r="F2793" s="247">
        <v>3.75</v>
      </c>
      <c r="H2793" s="249">
        <f>PRODUCT(D2793:G2793)</f>
        <v>6.75</v>
      </c>
      <c r="J2793" s="253" t="inlineStr">
        <is>
          <t xml:space="preserve">1.8*3.75</t>
        </is>
      </c>
    </row>
    <row r="2794">
      <c r="C2794" s="250" t="inlineStr">
        <is>
          <t xml:space="preserve">Total carried to BOQ  5TH FLR item D</t>
        </is>
      </c>
      <c r="D2794" s="250" t="inlineStr">
        <is>
          <t xml:space="preserve"/>
        </is>
      </c>
      <c r="E2794" s="250" t="inlineStr">
        <is>
          <t xml:space="preserve"/>
        </is>
      </c>
      <c r="F2794" s="250" t="inlineStr">
        <is>
          <t xml:space="preserve"/>
        </is>
      </c>
      <c r="G2794" s="250" t="inlineStr">
        <is>
          <t xml:space="preserve"/>
        </is>
      </c>
      <c r="H2794" s="251">
        <f>SUM(H2786:H2793)</f>
        <v>63.480000000000004</v>
      </c>
      <c r="I2794" s="252" t="inlineStr">
        <is>
          <t xml:space="preserve">m2</t>
        </is>
      </c>
    </row>
    <row r="2795" ht="32.2" customHeight="1">
      <c r="A2795" s="243" t="inlineStr">
        <is>
          <t xml:space="preserve">5TH FLR</t>
        </is>
      </c>
      <c r="B2795" s="243" t="inlineStr">
        <is>
          <t xml:space="preserve">E</t>
        </is>
      </c>
      <c r="C2795" s="244" t="inlineStr">
        <is>
          <t xml:space="preserve">600x600mm semi-polished porcelain floor tiles to habitable rooms, shops &amp; offices</t>
        </is>
      </c>
      <c r="I2795" s="245" t="inlineStr">
        <is>
          <t xml:space="preserve">m2</t>
        </is>
      </c>
      <c r="K2795" s="256" t="inlineStr">
        <is>
          <t xml:space="preserve">'5TH FLR '!C207</t>
        </is>
      </c>
    </row>
    <row r="2796">
      <c r="C2796" s="246" t="inlineStr">
        <is>
          <t xml:space="preserve">Fifth floor - Habitable rooms (measured)</t>
        </is>
      </c>
      <c r="H2796" s="247">
        <v>534.9</v>
      </c>
      <c r="J2796" s="253" t="inlineStr">
        <is>
          <t xml:space="preserve">534.9</t>
        </is>
      </c>
    </row>
    <row r="2797">
      <c r="C2797" s="250" t="inlineStr">
        <is>
          <t xml:space="preserve">Total carried to BOQ  5TH FLR item E</t>
        </is>
      </c>
      <c r="D2797" s="250" t="inlineStr">
        <is>
          <t xml:space="preserve"/>
        </is>
      </c>
      <c r="E2797" s="250" t="inlineStr">
        <is>
          <t xml:space="preserve"/>
        </is>
      </c>
      <c r="F2797" s="250" t="inlineStr">
        <is>
          <t xml:space="preserve"/>
        </is>
      </c>
      <c r="G2797" s="250" t="inlineStr">
        <is>
          <t xml:space="preserve"/>
        </is>
      </c>
      <c r="H2797" s="251">
        <f>SUM(H2796:H2796)</f>
        <v>534.9</v>
      </c>
      <c r="I2797" s="252" t="inlineStr">
        <is>
          <t xml:space="preserve">m2</t>
        </is>
      </c>
    </row>
    <row r="2798" ht="32.2" customHeight="1">
      <c r="A2798" s="243" t="inlineStr">
        <is>
          <t xml:space="preserve">5TH FLR</t>
        </is>
      </c>
      <c r="B2798" s="243" t="inlineStr">
        <is>
          <t xml:space="preserve">F</t>
        </is>
      </c>
      <c r="C2798" s="244" t="inlineStr">
        <is>
          <t xml:space="preserve">600x1200mm semi-polished porcelain floor tiles to stair/lift lobbies &amp; reception</t>
        </is>
      </c>
      <c r="I2798" s="245" t="inlineStr">
        <is>
          <t xml:space="preserve">m2</t>
        </is>
      </c>
      <c r="K2798" s="256" t="inlineStr">
        <is>
          <t xml:space="preserve">'5TH FLR '!C209</t>
        </is>
      </c>
    </row>
    <row r="2799">
      <c r="C2799" s="246" t="inlineStr">
        <is>
          <t xml:space="preserve">Fifth floor - Lobbies (measured)</t>
        </is>
      </c>
      <c r="H2799" s="247">
        <v>33.8</v>
      </c>
      <c r="J2799" s="253" t="inlineStr">
        <is>
          <t xml:space="preserve">33.8</t>
        </is>
      </c>
    </row>
    <row r="2800">
      <c r="C2800" s="250" t="inlineStr">
        <is>
          <t xml:space="preserve">Total carried to BOQ  5TH FLR item F</t>
        </is>
      </c>
      <c r="D2800" s="250" t="inlineStr">
        <is>
          <t xml:space="preserve"/>
        </is>
      </c>
      <c r="E2800" s="250" t="inlineStr">
        <is>
          <t xml:space="preserve"/>
        </is>
      </c>
      <c r="F2800" s="250" t="inlineStr">
        <is>
          <t xml:space="preserve"/>
        </is>
      </c>
      <c r="G2800" s="250" t="inlineStr">
        <is>
          <t xml:space="preserve"/>
        </is>
      </c>
      <c r="H2800" s="251">
        <f>SUM(H2799:H2799)</f>
        <v>33.8</v>
      </c>
      <c r="I2800" s="252" t="inlineStr">
        <is>
          <t xml:space="preserve">m2</t>
        </is>
      </c>
    </row>
    <row r="2801" ht="32.2" customHeight="1">
      <c r="A2801" s="243" t="inlineStr">
        <is>
          <t xml:space="preserve">5TH FLR</t>
        </is>
      </c>
      <c r="B2801" s="243" t="inlineStr">
        <is>
          <t xml:space="preserve">G</t>
        </is>
      </c>
      <c r="C2801" s="244" t="inlineStr">
        <is>
          <t xml:space="preserve">600x600mm non-slip R11 porcelain tiles to corridors, terraces, verandah &amp; service areas</t>
        </is>
      </c>
      <c r="I2801" s="245" t="inlineStr">
        <is>
          <t xml:space="preserve">m2</t>
        </is>
      </c>
      <c r="K2801" s="256" t="inlineStr">
        <is>
          <t xml:space="preserve">'5TH FLR '!C211</t>
        </is>
      </c>
    </row>
    <row r="2802">
      <c r="C2802" s="246" t="inlineStr">
        <is>
          <t xml:space="preserve">Fifth floor - Corridors/terraces/service (measured)</t>
        </is>
      </c>
      <c r="H2802" s="247">
        <v>225.9</v>
      </c>
      <c r="J2802" s="253" t="inlineStr">
        <is>
          <t xml:space="preserve">225.9</t>
        </is>
      </c>
    </row>
    <row r="2803">
      <c r="C2803" s="250" t="inlineStr">
        <is>
          <t xml:space="preserve">Total carried to BOQ  5TH FLR item G</t>
        </is>
      </c>
      <c r="D2803" s="250" t="inlineStr">
        <is>
          <t xml:space="preserve"/>
        </is>
      </c>
      <c r="E2803" s="250" t="inlineStr">
        <is>
          <t xml:space="preserve"/>
        </is>
      </c>
      <c r="F2803" s="250" t="inlineStr">
        <is>
          <t xml:space="preserve"/>
        </is>
      </c>
      <c r="G2803" s="250" t="inlineStr">
        <is>
          <t xml:space="preserve"/>
        </is>
      </c>
      <c r="H2803" s="251">
        <f>SUM(H2802:H2802)</f>
        <v>225.9</v>
      </c>
      <c r="I2803" s="252" t="inlineStr">
        <is>
          <t xml:space="preserve">m2</t>
        </is>
      </c>
    </row>
    <row r="2804">
      <c r="C2804" s="242" t="inlineStr">
        <is>
          <t xml:space="preserve">ELEMENT NO. 6: WALL FINISHES</t>
        </is>
      </c>
    </row>
    <row r="2805">
      <c r="C2805" s="242" t="inlineStr">
        <is>
          <t xml:space="preserve">M20 PLASTERED/RENDERED COATINGS - 12.5mm cement and sand (1:3) rendering as described on blockwork or concrete to:</t>
        </is>
      </c>
    </row>
    <row r="2806">
      <c r="A2806" s="243" t="inlineStr">
        <is>
          <t xml:space="preserve">5TH FLR</t>
        </is>
      </c>
      <c r="B2806" s="243" t="inlineStr">
        <is>
          <t xml:space="preserve">A</t>
        </is>
      </c>
      <c r="C2806" s="244" t="inlineStr">
        <is>
          <t xml:space="preserve">Interior walls</t>
        </is>
      </c>
      <c r="I2806" s="245" t="inlineStr">
        <is>
          <t xml:space="preserve">m2</t>
        </is>
      </c>
      <c r="K2806" s="256" t="inlineStr">
        <is>
          <t xml:space="preserve">'5TH FLR '!C220</t>
        </is>
      </c>
    </row>
    <row r="2807">
      <c r="C2807" s="246" t="inlineStr">
        <is>
          <t xml:space="preserve">block wall faces: 2 x (150 + 200 block runs) x ht</t>
        </is>
      </c>
      <c r="D2807" s="248">
        <v>2</v>
      </c>
      <c r="E2807" s="247">
        <f>447.7+49.2</f>
        <v>496.9</v>
      </c>
      <c r="F2807" s="247">
        <v>3.05</v>
      </c>
      <c r="H2807" s="249">
        <f>PRODUCT(D2807:G2807)</f>
        <v>3031.0899999999997</v>
      </c>
      <c r="J2807" s="253" t="inlineStr">
        <is>
          <t xml:space="preserve">2*(447.7+49.2)*3.05</t>
        </is>
      </c>
    </row>
    <row r="2808">
      <c r="C2808" s="246" t="inlineStr">
        <is>
          <t xml:space="preserve">RC wall faces: 2 x RC wall run x ht</t>
        </is>
      </c>
      <c r="D2808" s="248">
        <v>2</v>
      </c>
      <c r="E2808" s="247">
        <v>67.8</v>
      </c>
      <c r="F2808" s="247">
        <v>3.05</v>
      </c>
      <c r="H2808" s="249">
        <f>PRODUCT(D2808:G2808)</f>
        <v>413.58</v>
      </c>
      <c r="J2808" s="253" t="inlineStr">
        <is>
          <t xml:space="preserve">2*67.8*3.05</t>
        </is>
      </c>
    </row>
    <row r="2809">
      <c r="C2809" s="246" t="inlineStr">
        <is>
          <t xml:space="preserve">Ddt lift/stair shaft inner faces 16.8 m x ht</t>
        </is>
      </c>
      <c r="E2809" s="247">
        <v>16.8</v>
      </c>
      <c r="F2809" s="247">
        <v>3.05</v>
      </c>
      <c r="H2809" s="249">
        <f>-PRODUCT(D2809:G2809)</f>
        <v>-51.24</v>
      </c>
      <c r="J2809" s="253" t="inlineStr">
        <is>
          <t xml:space="preserve">-16.8*3.05</t>
        </is>
      </c>
    </row>
    <row r="2810">
      <c r="C2810" s="246" t="inlineStr">
        <is>
          <t xml:space="preserve">Ddt external face of perimeter wall (rendered externally)</t>
        </is>
      </c>
      <c r="E2810" s="247">
        <v>224.2</v>
      </c>
      <c r="F2810" s="247">
        <v>3.05</v>
      </c>
      <c r="H2810" s="249">
        <f>-PRODUCT(D2810:G2810)</f>
        <v>-683.81</v>
      </c>
      <c r="J2810" s="253" t="inlineStr">
        <is>
          <t xml:space="preserve">-224.2*3.05</t>
        </is>
      </c>
    </row>
    <row r="2811">
      <c r="C2811" s="246" t="inlineStr">
        <is>
          <t xml:space="preserve">Ddt washroom walls (measured separately)</t>
        </is>
      </c>
      <c r="E2811" s="247">
        <f>56.0/3.8</f>
        <v>14.73684210526316</v>
      </c>
      <c r="F2811" s="247">
        <v>8.0</v>
      </c>
      <c r="G2811" s="247">
        <v>3.05</v>
      </c>
      <c r="H2811" s="249">
        <f>-PRODUCT(D2811:G2811)</f>
        <v>-359.57894736842104</v>
      </c>
      <c r="J2811" s="253" t="inlineStr">
        <is>
          <t xml:space="preserve">-56.0/3.8*8.0*3.05</t>
        </is>
      </c>
    </row>
    <row r="2812">
      <c r="C2812" s="246" t="inlineStr">
        <is>
          <t xml:space="preserve">Ddt opening D2 (7 nr, 1x2.2) - both faces</t>
        </is>
      </c>
      <c r="D2812" s="248">
        <f>2*7</f>
        <v>14</v>
      </c>
      <c r="E2812" s="247">
        <v>1</v>
      </c>
      <c r="F2812" s="247">
        <v>2.2</v>
      </c>
      <c r="H2812" s="249">
        <f>-PRODUCT(D2812:G2812)</f>
        <v>-30.800000000000004</v>
      </c>
      <c r="J2812" s="253" t="inlineStr">
        <is>
          <t xml:space="preserve">-2*7*1*2.2</t>
        </is>
      </c>
    </row>
    <row r="2813">
      <c r="C2813" s="246" t="inlineStr">
        <is>
          <t xml:space="preserve">Ddt opening D3 (15 nr, 0.9x2.2) - both faces</t>
        </is>
      </c>
      <c r="D2813" s="248">
        <f>2*15</f>
        <v>30</v>
      </c>
      <c r="E2813" s="247">
        <v>0.9</v>
      </c>
      <c r="F2813" s="247">
        <v>2.2</v>
      </c>
      <c r="H2813" s="249">
        <f>-PRODUCT(D2813:G2813)</f>
        <v>-59.400000000000006</v>
      </c>
      <c r="J2813" s="253" t="inlineStr">
        <is>
          <t xml:space="preserve">-2*15*0.9*2.2</t>
        </is>
      </c>
    </row>
    <row r="2814">
      <c r="C2814" s="246" t="inlineStr">
        <is>
          <t xml:space="preserve">Ddt opening D6 (20 nr, 0.75x2.2) - both faces</t>
        </is>
      </c>
      <c r="D2814" s="248">
        <f>2*20</f>
        <v>40</v>
      </c>
      <c r="E2814" s="247">
        <v>0.75</v>
      </c>
      <c r="F2814" s="247">
        <v>2.2</v>
      </c>
      <c r="H2814" s="249">
        <f>-PRODUCT(D2814:G2814)</f>
        <v>-66.0</v>
      </c>
      <c r="J2814" s="253" t="inlineStr">
        <is>
          <t xml:space="preserve">-2*20*0.75*2.2</t>
        </is>
      </c>
    </row>
    <row r="2815">
      <c r="C2815" s="246" t="inlineStr">
        <is>
          <t xml:space="preserve">Ddt opening D7 (1 nr, 0.7x2.2) - both faces</t>
        </is>
      </c>
      <c r="D2815" s="248">
        <f>2*1</f>
        <v>2</v>
      </c>
      <c r="E2815" s="247">
        <v>0.7</v>
      </c>
      <c r="F2815" s="247">
        <v>2.2</v>
      </c>
      <c r="H2815" s="249">
        <f>-PRODUCT(D2815:G2815)</f>
        <v>-3.08</v>
      </c>
      <c r="J2815" s="253" t="inlineStr">
        <is>
          <t xml:space="preserve">-2*1*0.7*2.2</t>
        </is>
      </c>
    </row>
    <row r="2816">
      <c r="C2816" s="246" t="inlineStr">
        <is>
          <t xml:space="preserve">Ddt opening D8 (3 nr, 1.2x2.2) - both faces</t>
        </is>
      </c>
      <c r="D2816" s="248">
        <f>2*3</f>
        <v>6</v>
      </c>
      <c r="E2816" s="247">
        <v>1.2</v>
      </c>
      <c r="F2816" s="247">
        <v>2.2</v>
      </c>
      <c r="H2816" s="249">
        <f>-PRODUCT(D2816:G2816)</f>
        <v>-15.84</v>
      </c>
      <c r="J2816" s="253" t="inlineStr">
        <is>
          <t xml:space="preserve">-2*3*1.2*2.2</t>
        </is>
      </c>
    </row>
    <row r="2817">
      <c r="C2817" s="246" t="inlineStr">
        <is>
          <t xml:space="preserve">Ddt opening ED1 (3 nr, 1x2.2) - both faces</t>
        </is>
      </c>
      <c r="D2817" s="248">
        <f>2*3</f>
        <v>6</v>
      </c>
      <c r="E2817" s="247">
        <v>1</v>
      </c>
      <c r="F2817" s="247">
        <v>2.2</v>
      </c>
      <c r="H2817" s="249">
        <f>-PRODUCT(D2817:G2817)</f>
        <v>-13.200000000000001</v>
      </c>
      <c r="J2817" s="253" t="inlineStr">
        <is>
          <t xml:space="preserve">-2*3*1*2.2</t>
        </is>
      </c>
    </row>
    <row r="2818">
      <c r="C2818" s="246" t="inlineStr">
        <is>
          <t xml:space="preserve">Ddt opening ED2 (3 nr, 1x2.2) - both faces</t>
        </is>
      </c>
      <c r="D2818" s="248">
        <f>2*3</f>
        <v>6</v>
      </c>
      <c r="E2818" s="247">
        <v>1</v>
      </c>
      <c r="F2818" s="247">
        <v>2.2</v>
      </c>
      <c r="H2818" s="249">
        <f>-PRODUCT(D2818:G2818)</f>
        <v>-13.200000000000001</v>
      </c>
      <c r="J2818" s="253" t="inlineStr">
        <is>
          <t xml:space="preserve">-2*3*1*2.2</t>
        </is>
      </c>
    </row>
    <row r="2819">
      <c r="C2819" s="246" t="inlineStr">
        <is>
          <t xml:space="preserve">Ddt opening D9 (1 nr, 0.9x2.2) - both faces</t>
        </is>
      </c>
      <c r="D2819" s="248">
        <f>2*1</f>
        <v>2</v>
      </c>
      <c r="E2819" s="247">
        <v>0.9</v>
      </c>
      <c r="F2819" s="247">
        <v>2.2</v>
      </c>
      <c r="H2819" s="249">
        <f>-PRODUCT(D2819:G2819)</f>
        <v>-3.9600000000000004</v>
      </c>
      <c r="J2819" s="253" t="inlineStr">
        <is>
          <t xml:space="preserve">-2*1*0.9*2.2</t>
        </is>
      </c>
    </row>
    <row r="2820">
      <c r="C2820" s="246" t="inlineStr">
        <is>
          <t xml:space="preserve">Ddt opening FD1 (1 nr, 1.5x2.2) - both faces</t>
        </is>
      </c>
      <c r="D2820" s="248">
        <f>2*1</f>
        <v>2</v>
      </c>
      <c r="E2820" s="247">
        <v>1.5</v>
      </c>
      <c r="F2820" s="247">
        <v>2.2</v>
      </c>
      <c r="H2820" s="249">
        <f>-PRODUCT(D2820:G2820)</f>
        <v>-6.6000000000000005</v>
      </c>
      <c r="J2820" s="253" t="inlineStr">
        <is>
          <t xml:space="preserve">-2*1*1.5*2.2</t>
        </is>
      </c>
    </row>
    <row r="2821">
      <c r="C2821" s="246" t="inlineStr">
        <is>
          <t xml:space="preserve">Ddt opening M1 (2 nr, 0.9x2.2) - both faces</t>
        </is>
      </c>
      <c r="D2821" s="248">
        <f>2*2</f>
        <v>4</v>
      </c>
      <c r="E2821" s="247">
        <v>0.9</v>
      </c>
      <c r="F2821" s="247">
        <v>2.2</v>
      </c>
      <c r="H2821" s="249">
        <f>-PRODUCT(D2821:G2821)</f>
        <v>-7.920000000000001</v>
      </c>
      <c r="J2821" s="253" t="inlineStr">
        <is>
          <t xml:space="preserve">-2*2*0.9*2.2</t>
        </is>
      </c>
    </row>
    <row r="2822">
      <c r="C2822" s="246" t="inlineStr">
        <is>
          <t xml:space="preserve">Ddt opening M2 (5 nr, 0.75x2.2) - both faces</t>
        </is>
      </c>
      <c r="D2822" s="248">
        <f>2*5</f>
        <v>10</v>
      </c>
      <c r="E2822" s="247">
        <v>0.75</v>
      </c>
      <c r="F2822" s="247">
        <v>2.2</v>
      </c>
      <c r="H2822" s="249">
        <f>-PRODUCT(D2822:G2822)</f>
        <v>-16.5</v>
      </c>
      <c r="J2822" s="253" t="inlineStr">
        <is>
          <t xml:space="preserve">-2*5*0.75*2.2</t>
        </is>
      </c>
    </row>
    <row r="2823">
      <c r="C2823" s="246" t="inlineStr">
        <is>
          <t xml:space="preserve">Ddt opening M3 (1 nr, 0.45x2.2) - both faces</t>
        </is>
      </c>
      <c r="D2823" s="248">
        <f>2*1</f>
        <v>2</v>
      </c>
      <c r="E2823" s="247">
        <v>0.45</v>
      </c>
      <c r="F2823" s="247">
        <v>2.2</v>
      </c>
      <c r="H2823" s="249">
        <f>-PRODUCT(D2823:G2823)</f>
        <v>-1.9800000000000002</v>
      </c>
      <c r="J2823" s="253" t="inlineStr">
        <is>
          <t xml:space="preserve">-2*1*0.45*2.2</t>
        </is>
      </c>
    </row>
    <row r="2824">
      <c r="C2824" s="246" t="inlineStr">
        <is>
          <t xml:space="preserve">Ddt opening M5 (3 nr, 0.6x2.2) - both faces</t>
        </is>
      </c>
      <c r="D2824" s="248">
        <f>2*3</f>
        <v>6</v>
      </c>
      <c r="E2824" s="247">
        <v>0.6</v>
      </c>
      <c r="F2824" s="247">
        <v>2.2</v>
      </c>
      <c r="H2824" s="249">
        <f>-PRODUCT(D2824:G2824)</f>
        <v>-7.92</v>
      </c>
      <c r="J2824" s="253" t="inlineStr">
        <is>
          <t xml:space="preserve">-2*3*0.6*2.2</t>
        </is>
      </c>
    </row>
    <row r="2825">
      <c r="C2825" s="246" t="inlineStr">
        <is>
          <t xml:space="preserve">Ddt opening SD1 (1 nr, 3x2.2) - both faces</t>
        </is>
      </c>
      <c r="D2825" s="248">
        <f>2*1</f>
        <v>2</v>
      </c>
      <c r="E2825" s="247">
        <v>3</v>
      </c>
      <c r="F2825" s="247">
        <v>2.2</v>
      </c>
      <c r="H2825" s="249">
        <f>-PRODUCT(D2825:G2825)</f>
        <v>-13.200000000000001</v>
      </c>
      <c r="J2825" s="253" t="inlineStr">
        <is>
          <t xml:space="preserve">-2*1*3*2.2</t>
        </is>
      </c>
    </row>
    <row r="2826">
      <c r="C2826" s="246" t="inlineStr">
        <is>
          <t xml:space="preserve">Ddt opening SD2 (3 nr, 1.6x2.2) - both faces</t>
        </is>
      </c>
      <c r="D2826" s="248">
        <f>2*3</f>
        <v>6</v>
      </c>
      <c r="E2826" s="247">
        <v>1.6</v>
      </c>
      <c r="F2826" s="247">
        <v>2.2</v>
      </c>
      <c r="H2826" s="249">
        <f>-PRODUCT(D2826:G2826)</f>
        <v>-21.120000000000005</v>
      </c>
      <c r="J2826" s="253" t="inlineStr">
        <is>
          <t xml:space="preserve">-2*3*1.6*2.2</t>
        </is>
      </c>
    </row>
    <row r="2827">
      <c r="C2827" s="246" t="inlineStr">
        <is>
          <t xml:space="preserve">Ddt opening SD3 (2 nr, 1.3x2.2) - both faces</t>
        </is>
      </c>
      <c r="D2827" s="248">
        <f>2*2</f>
        <v>4</v>
      </c>
      <c r="E2827" s="247">
        <v>1.3</v>
      </c>
      <c r="F2827" s="247">
        <v>2.2</v>
      </c>
      <c r="H2827" s="249">
        <f>-PRODUCT(D2827:G2827)</f>
        <v>-11.440000000000001</v>
      </c>
      <c r="J2827" s="253" t="inlineStr">
        <is>
          <t xml:space="preserve">-2*2*1.3*2.2</t>
        </is>
      </c>
    </row>
    <row r="2828">
      <c r="C2828" s="246" t="inlineStr">
        <is>
          <t xml:space="preserve">Ddt opening SD4 (4 nr, 1.8x2.2) - both faces</t>
        </is>
      </c>
      <c r="D2828" s="248">
        <f>2*4</f>
        <v>8</v>
      </c>
      <c r="E2828" s="247">
        <v>1.8</v>
      </c>
      <c r="F2828" s="247">
        <v>2.2</v>
      </c>
      <c r="H2828" s="249">
        <f>-PRODUCT(D2828:G2828)</f>
        <v>-31.680000000000003</v>
      </c>
      <c r="J2828" s="253" t="inlineStr">
        <is>
          <t xml:space="preserve">-2*4*1.8*2.2</t>
        </is>
      </c>
    </row>
    <row r="2829">
      <c r="C2829" s="246" t="inlineStr">
        <is>
          <t xml:space="preserve">Ddt opening SD5 (1 nr, 1.2x2.2) - both faces</t>
        </is>
      </c>
      <c r="D2829" s="248">
        <f>2*1</f>
        <v>2</v>
      </c>
      <c r="E2829" s="247">
        <v>1.2</v>
      </c>
      <c r="F2829" s="247">
        <v>2.2</v>
      </c>
      <c r="H2829" s="249">
        <f>-PRODUCT(D2829:G2829)</f>
        <v>-5.28</v>
      </c>
      <c r="J2829" s="253" t="inlineStr">
        <is>
          <t xml:space="preserve">-2*1*1.2*2.2</t>
        </is>
      </c>
    </row>
    <row r="2830">
      <c r="C2830" s="246" t="inlineStr">
        <is>
          <t xml:space="preserve">Ddt opening W2 (6 nr, 1.8x1.3)</t>
        </is>
      </c>
      <c r="D2830" s="248">
        <v>6</v>
      </c>
      <c r="E2830" s="247">
        <v>1.8</v>
      </c>
      <c r="F2830" s="247">
        <v>1.3</v>
      </c>
      <c r="H2830" s="249">
        <f>-PRODUCT(D2830:G2830)</f>
        <v>-14.040000000000001</v>
      </c>
      <c r="J2830" s="253" t="inlineStr">
        <is>
          <t xml:space="preserve">-6*1.8*1.3</t>
        </is>
      </c>
    </row>
    <row r="2831">
      <c r="C2831" s="246" t="inlineStr">
        <is>
          <t xml:space="preserve">Ddt opening W4 (10 nr, 0.9x1.3)</t>
        </is>
      </c>
      <c r="D2831" s="248">
        <v>10</v>
      </c>
      <c r="E2831" s="247">
        <v>0.9</v>
      </c>
      <c r="F2831" s="247">
        <v>1.3</v>
      </c>
      <c r="H2831" s="249">
        <f>-PRODUCT(D2831:G2831)</f>
        <v>-11.700000000000001</v>
      </c>
      <c r="J2831" s="253" t="inlineStr">
        <is>
          <t xml:space="preserve">-10*0.9*1.3</t>
        </is>
      </c>
    </row>
    <row r="2832">
      <c r="C2832" s="246" t="inlineStr">
        <is>
          <t xml:space="preserve">Ddt opening W7 (1 nr, 1.8x1.6)</t>
        </is>
      </c>
      <c r="D2832" s="248">
        <v>1</v>
      </c>
      <c r="E2832" s="247">
        <v>1.8</v>
      </c>
      <c r="F2832" s="247">
        <v>1.6</v>
      </c>
      <c r="H2832" s="249">
        <f>-PRODUCT(D2832:G2832)</f>
        <v>-2.8800000000000003</v>
      </c>
      <c r="J2832" s="253" t="inlineStr">
        <is>
          <t xml:space="preserve">-1*1.8*1.6</t>
        </is>
      </c>
    </row>
    <row r="2833">
      <c r="C2833" s="246" t="inlineStr">
        <is>
          <t xml:space="preserve">Ddt opening W8 (3 nr, 1.2x1.9)</t>
        </is>
      </c>
      <c r="D2833" s="248">
        <v>3</v>
      </c>
      <c r="E2833" s="247">
        <v>1.2</v>
      </c>
      <c r="F2833" s="247">
        <v>1.9</v>
      </c>
      <c r="H2833" s="249">
        <f>-PRODUCT(D2833:G2833)</f>
        <v>-6.839999999999999</v>
      </c>
      <c r="J2833" s="253" t="inlineStr">
        <is>
          <t xml:space="preserve">-3*1.2*1.9</t>
        </is>
      </c>
    </row>
    <row r="2834">
      <c r="C2834" s="246" t="inlineStr">
        <is>
          <t xml:space="preserve">Ddt opening W9 (8 nr, 1.2x1.15)</t>
        </is>
      </c>
      <c r="D2834" s="248">
        <v>8</v>
      </c>
      <c r="E2834" s="247">
        <v>1.2</v>
      </c>
      <c r="F2834" s="247">
        <v>1.15</v>
      </c>
      <c r="H2834" s="249">
        <f>-PRODUCT(D2834:G2834)</f>
        <v>-11.04</v>
      </c>
      <c r="J2834" s="253" t="inlineStr">
        <is>
          <t xml:space="preserve">-8*1.2*1.15</t>
        </is>
      </c>
    </row>
    <row r="2835">
      <c r="C2835" s="246" t="inlineStr">
        <is>
          <t xml:space="preserve">Ddt opening W10 (1 nr, 1.2x1.2)</t>
        </is>
      </c>
      <c r="D2835" s="248">
        <v>1</v>
      </c>
      <c r="E2835" s="247">
        <v>1.2</v>
      </c>
      <c r="F2835" s="247">
        <v>1.2</v>
      </c>
      <c r="H2835" s="249">
        <f>-PRODUCT(D2835:G2835)</f>
        <v>-1.44</v>
      </c>
      <c r="J2835" s="253" t="inlineStr">
        <is>
          <t xml:space="preserve">-1*1.2*1.2</t>
        </is>
      </c>
    </row>
    <row r="2836">
      <c r="C2836" s="246" t="inlineStr">
        <is>
          <t xml:space="preserve">Ddt opening W11 (6 nr, 1.5x1.3)</t>
        </is>
      </c>
      <c r="D2836" s="248">
        <v>6</v>
      </c>
      <c r="E2836" s="247">
        <v>1.5</v>
      </c>
      <c r="F2836" s="247">
        <v>1.3</v>
      </c>
      <c r="H2836" s="249">
        <f>-PRODUCT(D2836:G2836)</f>
        <v>-11.700000000000001</v>
      </c>
      <c r="J2836" s="253" t="inlineStr">
        <is>
          <t xml:space="preserve">-6*1.5*1.3</t>
        </is>
      </c>
    </row>
    <row r="2837">
      <c r="C2837" s="246" t="inlineStr">
        <is>
          <t xml:space="preserve">Ddt opening W12 (3 nr, 1.5x1.15)</t>
        </is>
      </c>
      <c r="D2837" s="248">
        <v>3</v>
      </c>
      <c r="E2837" s="247">
        <v>1.5</v>
      </c>
      <c r="F2837" s="247">
        <v>1.15</v>
      </c>
      <c r="H2837" s="249">
        <f>-PRODUCT(D2837:G2837)</f>
        <v>-5.175</v>
      </c>
      <c r="J2837" s="253" t="inlineStr">
        <is>
          <t xml:space="preserve">-3*1.5*1.15</t>
        </is>
      </c>
    </row>
    <row r="2838">
      <c r="C2838" s="246" t="inlineStr">
        <is>
          <t xml:space="preserve">Ddt opening W13 (1 nr, 2.4x1.3)</t>
        </is>
      </c>
      <c r="D2838" s="248">
        <v>1</v>
      </c>
      <c r="E2838" s="247">
        <v>2.4</v>
      </c>
      <c r="F2838" s="247">
        <v>1.3</v>
      </c>
      <c r="H2838" s="249">
        <f>-PRODUCT(D2838:G2838)</f>
        <v>-3.12</v>
      </c>
      <c r="J2838" s="253" t="inlineStr">
        <is>
          <t xml:space="preserve">-1*2.4*1.3</t>
        </is>
      </c>
    </row>
    <row r="2839">
      <c r="C2839" s="246" t="inlineStr">
        <is>
          <t xml:space="preserve">Ddt opening W15 (1 nr, 3x1.6)</t>
        </is>
      </c>
      <c r="D2839" s="248">
        <v>1</v>
      </c>
      <c r="E2839" s="247">
        <v>3</v>
      </c>
      <c r="F2839" s="247">
        <v>1.6</v>
      </c>
      <c r="H2839" s="249">
        <f>-PRODUCT(D2839:G2839)</f>
        <v>-4.800000000000001</v>
      </c>
      <c r="J2839" s="253" t="inlineStr">
        <is>
          <t xml:space="preserve">-1*3*1.6</t>
        </is>
      </c>
    </row>
    <row r="2840">
      <c r="C2840" s="246" t="inlineStr">
        <is>
          <t xml:space="preserve">Ddt opening W17 (3 nr, 1.8x1.9)</t>
        </is>
      </c>
      <c r="D2840" s="248">
        <v>3</v>
      </c>
      <c r="E2840" s="247">
        <v>1.8</v>
      </c>
      <c r="F2840" s="247">
        <v>1.9</v>
      </c>
      <c r="H2840" s="249">
        <f>-PRODUCT(D2840:G2840)</f>
        <v>-10.26</v>
      </c>
      <c r="J2840" s="253" t="inlineStr">
        <is>
          <t xml:space="preserve">-3*1.8*1.9</t>
        </is>
      </c>
    </row>
    <row r="2841">
      <c r="C2841" s="246" t="inlineStr">
        <is>
          <t xml:space="preserve">Ddt opening W18 (1 nr, 0.75x1.3)</t>
        </is>
      </c>
      <c r="D2841" s="248">
        <v>1</v>
      </c>
      <c r="E2841" s="247">
        <v>0.75</v>
      </c>
      <c r="F2841" s="247">
        <v>1.3</v>
      </c>
      <c r="H2841" s="249">
        <f>-PRODUCT(D2841:G2841)</f>
        <v>-0.9750000000000001</v>
      </c>
      <c r="J2841" s="253" t="inlineStr">
        <is>
          <t xml:space="preserve">-1*0.75*1.3</t>
        </is>
      </c>
    </row>
    <row r="2842">
      <c r="C2842" s="246" t="inlineStr">
        <is>
          <t xml:space="preserve">Ddt opening W20 (1 nr, 1.45x1.9)</t>
        </is>
      </c>
      <c r="D2842" s="248">
        <v>1</v>
      </c>
      <c r="E2842" s="247">
        <v>1.45</v>
      </c>
      <c r="F2842" s="247">
        <v>1.9</v>
      </c>
      <c r="H2842" s="249">
        <f>-PRODUCT(D2842:G2842)</f>
        <v>-2.755</v>
      </c>
      <c r="J2842" s="253" t="inlineStr">
        <is>
          <t xml:space="preserve">-1*1.45*1.9</t>
        </is>
      </c>
    </row>
    <row r="2843">
      <c r="C2843" s="246" t="inlineStr">
        <is>
          <t xml:space="preserve">Ddt opening HW1 (12 nr, 0.9x0.6)</t>
        </is>
      </c>
      <c r="D2843" s="248">
        <v>12</v>
      </c>
      <c r="E2843" s="247">
        <v>0.9</v>
      </c>
      <c r="F2843" s="247">
        <v>0.6</v>
      </c>
      <c r="H2843" s="249">
        <f>-PRODUCT(D2843:G2843)</f>
        <v>-6.48</v>
      </c>
      <c r="J2843" s="253" t="inlineStr">
        <is>
          <t xml:space="preserve">-12*0.9*0.6</t>
        </is>
      </c>
    </row>
    <row r="2844">
      <c r="C2844" s="246" t="inlineStr">
        <is>
          <t xml:space="preserve">Ddt opening HW2 (4 nr, 0.75x0.6)</t>
        </is>
      </c>
      <c r="D2844" s="248">
        <v>4</v>
      </c>
      <c r="E2844" s="247">
        <v>0.75</v>
      </c>
      <c r="F2844" s="247">
        <v>0.6</v>
      </c>
      <c r="H2844" s="249">
        <f>-PRODUCT(D2844:G2844)</f>
        <v>-1.7999999999999998</v>
      </c>
      <c r="J2844" s="253" t="inlineStr">
        <is>
          <t xml:space="preserve">-4*0.75*0.6</t>
        </is>
      </c>
    </row>
    <row r="2845">
      <c r="C2845" s="246" t="inlineStr">
        <is>
          <t xml:space="preserve">Ddt opening HW3 (1 nr, 0.6x0.6)</t>
        </is>
      </c>
      <c r="D2845" s="248">
        <v>1</v>
      </c>
      <c r="E2845" s="247">
        <v>0.6</v>
      </c>
      <c r="F2845" s="247">
        <v>0.6</v>
      </c>
      <c r="H2845" s="249">
        <f>-PRODUCT(D2845:G2845)</f>
        <v>-0.36</v>
      </c>
      <c r="J2845" s="253" t="inlineStr">
        <is>
          <t xml:space="preserve">-1*0.6*0.6</t>
        </is>
      </c>
    </row>
    <row r="2846">
      <c r="C2846" s="246" t="inlineStr">
        <is>
          <t xml:space="preserve">Ddt opening HW4 (1 nr, 1.2x0.6)</t>
        </is>
      </c>
      <c r="D2846" s="248">
        <v>1</v>
      </c>
      <c r="E2846" s="247">
        <v>1.2</v>
      </c>
      <c r="F2846" s="247">
        <v>0.6</v>
      </c>
      <c r="H2846" s="249">
        <f>-PRODUCT(D2846:G2846)</f>
        <v>-0.72</v>
      </c>
      <c r="J2846" s="253" t="inlineStr">
        <is>
          <t xml:space="preserve">-1*1.2*0.6</t>
        </is>
      </c>
    </row>
    <row r="2847">
      <c r="C2847" s="250" t="inlineStr">
        <is>
          <t xml:space="preserve">Total carried to BOQ  5TH FLR item A</t>
        </is>
      </c>
      <c r="D2847" s="250" t="inlineStr">
        <is>
          <t xml:space="preserve"/>
        </is>
      </c>
      <c r="E2847" s="250" t="inlineStr">
        <is>
          <t xml:space="preserve"/>
        </is>
      </c>
      <c r="F2847" s="250" t="inlineStr">
        <is>
          <t xml:space="preserve"/>
        </is>
      </c>
      <c r="G2847" s="250" t="inlineStr">
        <is>
          <t xml:space="preserve"/>
        </is>
      </c>
      <c r="H2847" s="251">
        <f>SUM(H2807:H2846)</f>
        <v>1924.8360526315794</v>
      </c>
      <c r="I2847" s="252" t="inlineStr">
        <is>
          <t xml:space="preserve">m2</t>
        </is>
      </c>
    </row>
    <row r="2848">
      <c r="A2848" s="243" t="inlineStr">
        <is>
          <t xml:space="preserve">5TH FLR</t>
        </is>
      </c>
      <c r="B2848" s="243" t="inlineStr">
        <is>
          <t xml:space="preserve">B</t>
        </is>
      </c>
      <c r="C2848" s="244" t="inlineStr">
        <is>
          <t xml:space="preserve">Interior partitions and washrooms</t>
        </is>
      </c>
      <c r="I2848" s="245" t="inlineStr">
        <is>
          <t xml:space="preserve">m2</t>
        </is>
      </c>
      <c r="K2848" s="256" t="inlineStr">
        <is>
          <t xml:space="preserve">'5TH FLR '!C222</t>
        </is>
      </c>
    </row>
    <row r="2849">
      <c r="C2849" s="246" t="inlineStr">
        <is>
          <t xml:space="preserve">washroom walls: (wet area / 3.8 m2 per WC) x 8.0 m girth x ht</t>
        </is>
      </c>
      <c r="E2849" s="247">
        <f>56.0/3.8</f>
        <v>14.73684210526316</v>
      </c>
      <c r="F2849" s="247">
        <v>8.0</v>
      </c>
      <c r="G2849" s="247">
        <v>3.05</v>
      </c>
      <c r="H2849" s="249">
        <f>PRODUCT(D2849:G2849)</f>
        <v>359.57894736842104</v>
      </c>
      <c r="J2849" s="253" t="inlineStr">
        <is>
          <t xml:space="preserve">56.0/3.8*8.0*3.05</t>
        </is>
      </c>
    </row>
    <row r="2850">
      <c r="C2850" s="246" t="inlineStr">
        <is>
          <t xml:space="preserve">Ddt washroom doors: nr x 0.75 x 2.2</t>
        </is>
      </c>
      <c r="E2850" s="247">
        <f>56.0/3.8</f>
        <v>14.73684210526316</v>
      </c>
      <c r="F2850" s="247">
        <v>0.75</v>
      </c>
      <c r="G2850" s="247">
        <v>2.2</v>
      </c>
      <c r="H2850" s="249">
        <f>-PRODUCT(D2850:G2850)</f>
        <v>-24.315789473684216</v>
      </c>
      <c r="J2850" s="253" t="inlineStr">
        <is>
          <t xml:space="preserve">-56.0/3.8*0.75*2.2</t>
        </is>
      </c>
    </row>
    <row r="2851">
      <c r="C2851" s="250" t="inlineStr">
        <is>
          <t xml:space="preserve">Total carried to BOQ  5TH FLR item B</t>
        </is>
      </c>
      <c r="D2851" s="250" t="inlineStr">
        <is>
          <t xml:space="preserve"/>
        </is>
      </c>
      <c r="E2851" s="250" t="inlineStr">
        <is>
          <t xml:space="preserve"/>
        </is>
      </c>
      <c r="F2851" s="250" t="inlineStr">
        <is>
          <t xml:space="preserve"/>
        </is>
      </c>
      <c r="G2851" s="250" t="inlineStr">
        <is>
          <t xml:space="preserve"/>
        </is>
      </c>
      <c r="H2851" s="251">
        <f>SUM(H2849:H2850)</f>
        <v>335.2631578947368</v>
      </c>
      <c r="I2851" s="252" t="inlineStr">
        <is>
          <t xml:space="preserve">m2</t>
        </is>
      </c>
    </row>
    <row r="2852">
      <c r="A2852" s="243" t="inlineStr">
        <is>
          <t xml:space="preserve">5TH FLR</t>
        </is>
      </c>
      <c r="B2852" s="243" t="inlineStr">
        <is>
          <t xml:space="preserve">C</t>
        </is>
      </c>
      <c r="C2852" s="244" t="inlineStr">
        <is>
          <t xml:space="preserve">External walls</t>
        </is>
      </c>
      <c r="I2852" s="245" t="inlineStr">
        <is>
          <t xml:space="preserve">m2</t>
        </is>
      </c>
      <c r="K2852" s="256" t="inlineStr">
        <is>
          <t xml:space="preserve">'5TH FLR '!C224</t>
        </is>
      </c>
    </row>
    <row r="2853">
      <c r="C2853" s="246" t="inlineStr">
        <is>
          <t xml:space="preserve">External perimeter x storey ht</t>
        </is>
      </c>
      <c r="E2853" s="247">
        <v>224.2</v>
      </c>
      <c r="F2853" s="247">
        <v>3.3</v>
      </c>
      <c r="H2853" s="249">
        <f>PRODUCT(D2853:G2853)</f>
        <v>739.8599999999999</v>
      </c>
      <c r="J2853" s="253" t="inlineStr">
        <is>
          <t xml:space="preserve">224.2*3.3</t>
        </is>
      </c>
    </row>
    <row r="2854">
      <c r="C2854" s="246" t="inlineStr">
        <is>
          <t xml:space="preserve">Ddt window W2 (6 nr, 1.8x1.3)</t>
        </is>
      </c>
      <c r="D2854" s="248">
        <v>6</v>
      </c>
      <c r="E2854" s="247">
        <v>1.8</v>
      </c>
      <c r="F2854" s="247">
        <v>1.3</v>
      </c>
      <c r="H2854" s="249">
        <f>-PRODUCT(D2854:G2854)</f>
        <v>-14.040000000000001</v>
      </c>
      <c r="J2854" s="253" t="inlineStr">
        <is>
          <t xml:space="preserve">-6*1.8*1.3</t>
        </is>
      </c>
    </row>
    <row r="2855">
      <c r="C2855" s="246" t="inlineStr">
        <is>
          <t xml:space="preserve">Ddt window W4 (10 nr, 0.9x1.3)</t>
        </is>
      </c>
      <c r="D2855" s="248">
        <v>10</v>
      </c>
      <c r="E2855" s="247">
        <v>0.9</v>
      </c>
      <c r="F2855" s="247">
        <v>1.3</v>
      </c>
      <c r="H2855" s="249">
        <f>-PRODUCT(D2855:G2855)</f>
        <v>-11.700000000000001</v>
      </c>
      <c r="J2855" s="253" t="inlineStr">
        <is>
          <t xml:space="preserve">-10*0.9*1.3</t>
        </is>
      </c>
    </row>
    <row r="2856">
      <c r="C2856" s="246" t="inlineStr">
        <is>
          <t xml:space="preserve">Ddt window W7 (1 nr, 1.8x1.6)</t>
        </is>
      </c>
      <c r="D2856" s="248">
        <v>1</v>
      </c>
      <c r="E2856" s="247">
        <v>1.8</v>
      </c>
      <c r="F2856" s="247">
        <v>1.6</v>
      </c>
      <c r="H2856" s="249">
        <f>-PRODUCT(D2856:G2856)</f>
        <v>-2.8800000000000003</v>
      </c>
      <c r="J2856" s="253" t="inlineStr">
        <is>
          <t xml:space="preserve">-1*1.8*1.6</t>
        </is>
      </c>
    </row>
    <row r="2857">
      <c r="C2857" s="246" t="inlineStr">
        <is>
          <t xml:space="preserve">Ddt window W8 (3 nr, 1.2x1.9)</t>
        </is>
      </c>
      <c r="D2857" s="248">
        <v>3</v>
      </c>
      <c r="E2857" s="247">
        <v>1.2</v>
      </c>
      <c r="F2857" s="247">
        <v>1.9</v>
      </c>
      <c r="H2857" s="249">
        <f>-PRODUCT(D2857:G2857)</f>
        <v>-6.839999999999999</v>
      </c>
      <c r="J2857" s="253" t="inlineStr">
        <is>
          <t xml:space="preserve">-3*1.2*1.9</t>
        </is>
      </c>
    </row>
    <row r="2858">
      <c r="C2858" s="246" t="inlineStr">
        <is>
          <t xml:space="preserve">Ddt window W9 (8 nr, 1.2x1.15)</t>
        </is>
      </c>
      <c r="D2858" s="248">
        <v>8</v>
      </c>
      <c r="E2858" s="247">
        <v>1.2</v>
      </c>
      <c r="F2858" s="247">
        <v>1.15</v>
      </c>
      <c r="H2858" s="249">
        <f>-PRODUCT(D2858:G2858)</f>
        <v>-11.04</v>
      </c>
      <c r="J2858" s="253" t="inlineStr">
        <is>
          <t xml:space="preserve">-8*1.2*1.15</t>
        </is>
      </c>
    </row>
    <row r="2859">
      <c r="C2859" s="246" t="inlineStr">
        <is>
          <t xml:space="preserve">Ddt window W10 (1 nr, 1.2x1.2)</t>
        </is>
      </c>
      <c r="D2859" s="248">
        <v>1</v>
      </c>
      <c r="E2859" s="247">
        <v>1.2</v>
      </c>
      <c r="F2859" s="247">
        <v>1.2</v>
      </c>
      <c r="H2859" s="249">
        <f>-PRODUCT(D2859:G2859)</f>
        <v>-1.44</v>
      </c>
      <c r="J2859" s="253" t="inlineStr">
        <is>
          <t xml:space="preserve">-1*1.2*1.2</t>
        </is>
      </c>
    </row>
    <row r="2860">
      <c r="C2860" s="246" t="inlineStr">
        <is>
          <t xml:space="preserve">Ddt window W11 (6 nr, 1.5x1.3)</t>
        </is>
      </c>
      <c r="D2860" s="248">
        <v>6</v>
      </c>
      <c r="E2860" s="247">
        <v>1.5</v>
      </c>
      <c r="F2860" s="247">
        <v>1.3</v>
      </c>
      <c r="H2860" s="249">
        <f>-PRODUCT(D2860:G2860)</f>
        <v>-11.700000000000001</v>
      </c>
      <c r="J2860" s="253" t="inlineStr">
        <is>
          <t xml:space="preserve">-6*1.5*1.3</t>
        </is>
      </c>
    </row>
    <row r="2861">
      <c r="C2861" s="246" t="inlineStr">
        <is>
          <t xml:space="preserve">Ddt window W12 (3 nr, 1.5x1.15)</t>
        </is>
      </c>
      <c r="D2861" s="248">
        <v>3</v>
      </c>
      <c r="E2861" s="247">
        <v>1.5</v>
      </c>
      <c r="F2861" s="247">
        <v>1.15</v>
      </c>
      <c r="H2861" s="249">
        <f>-PRODUCT(D2861:G2861)</f>
        <v>-5.175</v>
      </c>
      <c r="J2861" s="253" t="inlineStr">
        <is>
          <t xml:space="preserve">-3*1.5*1.15</t>
        </is>
      </c>
    </row>
    <row r="2862">
      <c r="C2862" s="246" t="inlineStr">
        <is>
          <t xml:space="preserve">Ddt window W13 (1 nr, 2.4x1.3)</t>
        </is>
      </c>
      <c r="D2862" s="248">
        <v>1</v>
      </c>
      <c r="E2862" s="247">
        <v>2.4</v>
      </c>
      <c r="F2862" s="247">
        <v>1.3</v>
      </c>
      <c r="H2862" s="249">
        <f>-PRODUCT(D2862:G2862)</f>
        <v>-3.12</v>
      </c>
      <c r="J2862" s="253" t="inlineStr">
        <is>
          <t xml:space="preserve">-1*2.4*1.3</t>
        </is>
      </c>
    </row>
    <row r="2863">
      <c r="C2863" s="246" t="inlineStr">
        <is>
          <t xml:space="preserve">Ddt window W15 (1 nr, 3x1.6)</t>
        </is>
      </c>
      <c r="D2863" s="248">
        <v>1</v>
      </c>
      <c r="E2863" s="247">
        <v>3</v>
      </c>
      <c r="F2863" s="247">
        <v>1.6</v>
      </c>
      <c r="H2863" s="249">
        <f>-PRODUCT(D2863:G2863)</f>
        <v>-4.800000000000001</v>
      </c>
      <c r="J2863" s="253" t="inlineStr">
        <is>
          <t xml:space="preserve">-1*3*1.6</t>
        </is>
      </c>
    </row>
    <row r="2864">
      <c r="C2864" s="246" t="inlineStr">
        <is>
          <t xml:space="preserve">Ddt window W17 (3 nr, 1.8x1.9)</t>
        </is>
      </c>
      <c r="D2864" s="248">
        <v>3</v>
      </c>
      <c r="E2864" s="247">
        <v>1.8</v>
      </c>
      <c r="F2864" s="247">
        <v>1.9</v>
      </c>
      <c r="H2864" s="249">
        <f>-PRODUCT(D2864:G2864)</f>
        <v>-10.26</v>
      </c>
      <c r="J2864" s="253" t="inlineStr">
        <is>
          <t xml:space="preserve">-3*1.8*1.9</t>
        </is>
      </c>
    </row>
    <row r="2865">
      <c r="C2865" s="246" t="inlineStr">
        <is>
          <t xml:space="preserve">Ddt window W18 (1 nr, 0.75x1.3)</t>
        </is>
      </c>
      <c r="D2865" s="248">
        <v>1</v>
      </c>
      <c r="E2865" s="247">
        <v>0.75</v>
      </c>
      <c r="F2865" s="247">
        <v>1.3</v>
      </c>
      <c r="H2865" s="249">
        <f>-PRODUCT(D2865:G2865)</f>
        <v>-0.9750000000000001</v>
      </c>
      <c r="J2865" s="253" t="inlineStr">
        <is>
          <t xml:space="preserve">-1*0.75*1.3</t>
        </is>
      </c>
    </row>
    <row r="2866">
      <c r="C2866" s="246" t="inlineStr">
        <is>
          <t xml:space="preserve">Ddt window W20 (1 nr, 1.45x1.9)</t>
        </is>
      </c>
      <c r="D2866" s="248">
        <v>1</v>
      </c>
      <c r="E2866" s="247">
        <v>1.45</v>
      </c>
      <c r="F2866" s="247">
        <v>1.9</v>
      </c>
      <c r="H2866" s="249">
        <f>-PRODUCT(D2866:G2866)</f>
        <v>-2.755</v>
      </c>
      <c r="J2866" s="253" t="inlineStr">
        <is>
          <t xml:space="preserve">-1*1.45*1.9</t>
        </is>
      </c>
    </row>
    <row r="2867">
      <c r="C2867" s="246" t="inlineStr">
        <is>
          <t xml:space="preserve">Ddt window HW1 (12 nr, 0.9x0.6)</t>
        </is>
      </c>
      <c r="D2867" s="248">
        <v>12</v>
      </c>
      <c r="E2867" s="247">
        <v>0.9</v>
      </c>
      <c r="F2867" s="247">
        <v>0.6</v>
      </c>
      <c r="H2867" s="249">
        <f>-PRODUCT(D2867:G2867)</f>
        <v>-6.48</v>
      </c>
      <c r="J2867" s="253" t="inlineStr">
        <is>
          <t xml:space="preserve">-12*0.9*0.6</t>
        </is>
      </c>
    </row>
    <row r="2868">
      <c r="C2868" s="246" t="inlineStr">
        <is>
          <t xml:space="preserve">Ddt window HW2 (4 nr, 0.75x0.6)</t>
        </is>
      </c>
      <c r="D2868" s="248">
        <v>4</v>
      </c>
      <c r="E2868" s="247">
        <v>0.75</v>
      </c>
      <c r="F2868" s="247">
        <v>0.6</v>
      </c>
      <c r="H2868" s="249">
        <f>-PRODUCT(D2868:G2868)</f>
        <v>-1.7999999999999998</v>
      </c>
      <c r="J2868" s="253" t="inlineStr">
        <is>
          <t xml:space="preserve">-4*0.75*0.6</t>
        </is>
      </c>
    </row>
    <row r="2869">
      <c r="C2869" s="246" t="inlineStr">
        <is>
          <t xml:space="preserve">Ddt window HW3 (1 nr, 0.6x0.6)</t>
        </is>
      </c>
      <c r="D2869" s="248">
        <v>1</v>
      </c>
      <c r="E2869" s="247">
        <v>0.6</v>
      </c>
      <c r="F2869" s="247">
        <v>0.6</v>
      </c>
      <c r="H2869" s="249">
        <f>-PRODUCT(D2869:G2869)</f>
        <v>-0.36</v>
      </c>
      <c r="J2869" s="253" t="inlineStr">
        <is>
          <t xml:space="preserve">-1*0.6*0.6</t>
        </is>
      </c>
    </row>
    <row r="2870">
      <c r="C2870" s="246" t="inlineStr">
        <is>
          <t xml:space="preserve">Ddt window HW4 (1 nr, 1.2x0.6)</t>
        </is>
      </c>
      <c r="D2870" s="248">
        <v>1</v>
      </c>
      <c r="E2870" s="247">
        <v>1.2</v>
      </c>
      <c r="F2870" s="247">
        <v>0.6</v>
      </c>
      <c r="H2870" s="249">
        <f>-PRODUCT(D2870:G2870)</f>
        <v>-0.72</v>
      </c>
      <c r="J2870" s="253" t="inlineStr">
        <is>
          <t xml:space="preserve">-1*1.2*0.6</t>
        </is>
      </c>
    </row>
    <row r="2871">
      <c r="C2871" s="250" t="inlineStr">
        <is>
          <t xml:space="preserve">Total carried to BOQ  5TH FLR item C</t>
        </is>
      </c>
      <c r="D2871" s="250" t="inlineStr">
        <is>
          <t xml:space="preserve"/>
        </is>
      </c>
      <c r="E2871" s="250" t="inlineStr">
        <is>
          <t xml:space="preserve"/>
        </is>
      </c>
      <c r="F2871" s="250" t="inlineStr">
        <is>
          <t xml:space="preserve"/>
        </is>
      </c>
      <c r="G2871" s="250" t="inlineStr">
        <is>
          <t xml:space="preserve"/>
        </is>
      </c>
      <c r="H2871" s="251">
        <f>SUM(H2853:H2870)</f>
        <v>643.7749999999999</v>
      </c>
      <c r="I2871" s="252" t="inlineStr">
        <is>
          <t xml:space="preserve">m2</t>
        </is>
      </c>
    </row>
    <row r="2872">
      <c r="A2872" s="243" t="inlineStr">
        <is>
          <t xml:space="preserve">5TH FLR</t>
        </is>
      </c>
      <c r="B2872" s="243" t="inlineStr">
        <is>
          <t xml:space="preserve">D</t>
        </is>
      </c>
      <c r="C2872" s="244" t="inlineStr">
        <is>
          <t xml:space="preserve">12mm cement and sand (1:4) screeded backing to receive wall tiles</t>
        </is>
      </c>
      <c r="I2872" s="245" t="inlineStr">
        <is>
          <t xml:space="preserve">m2</t>
        </is>
      </c>
      <c r="K2872" s="256" t="inlineStr">
        <is>
          <t xml:space="preserve">'5TH FLR '!C226</t>
        </is>
      </c>
    </row>
    <row r="2873">
      <c r="C2873" s="246" t="inlineStr">
        <is>
          <t xml:space="preserve">washroom walls: (wet area / 3.8 m2 per WC) x 8.0 m girth x ht</t>
        </is>
      </c>
      <c r="E2873" s="247">
        <f>56.0/3.8</f>
        <v>14.73684210526316</v>
      </c>
      <c r="F2873" s="247">
        <v>8.0</v>
      </c>
      <c r="G2873" s="247">
        <v>2.4</v>
      </c>
      <c r="H2873" s="249">
        <f>PRODUCT(D2873:G2873)</f>
        <v>282.94736842105266</v>
      </c>
      <c r="J2873" s="253" t="inlineStr">
        <is>
          <t xml:space="preserve">56.0/3.8*8.0*2.4</t>
        </is>
      </c>
    </row>
    <row r="2874">
      <c r="C2874" s="246" t="inlineStr">
        <is>
          <t xml:space="preserve">Ddt washroom doors: nr x 0.75 x 2.2</t>
        </is>
      </c>
      <c r="E2874" s="247">
        <f>56.0/3.8</f>
        <v>14.73684210526316</v>
      </c>
      <c r="F2874" s="247">
        <v>0.75</v>
      </c>
      <c r="G2874" s="247">
        <v>2.2</v>
      </c>
      <c r="H2874" s="249">
        <f>-PRODUCT(D2874:G2874)</f>
        <v>-24.315789473684216</v>
      </c>
      <c r="J2874" s="253" t="inlineStr">
        <is>
          <t xml:space="preserve">-56.0/3.8*0.75*2.2</t>
        </is>
      </c>
    </row>
    <row r="2875">
      <c r="C2875" s="250" t="inlineStr">
        <is>
          <t xml:space="preserve">Total carried to BOQ  5TH FLR item D</t>
        </is>
      </c>
      <c r="D2875" s="250" t="inlineStr">
        <is>
          <t xml:space="preserve"/>
        </is>
      </c>
      <c r="E2875" s="250" t="inlineStr">
        <is>
          <t xml:space="preserve"/>
        </is>
      </c>
      <c r="F2875" s="250" t="inlineStr">
        <is>
          <t xml:space="preserve"/>
        </is>
      </c>
      <c r="G2875" s="250" t="inlineStr">
        <is>
          <t xml:space="preserve"/>
        </is>
      </c>
      <c r="H2875" s="251">
        <f>SUM(H2873:H2874)</f>
        <v>258.63157894736844</v>
      </c>
      <c r="I2875" s="252" t="inlineStr">
        <is>
          <t xml:space="preserve">m2</t>
        </is>
      </c>
    </row>
    <row r="2876" ht="32.2" customHeight="1">
      <c r="A2876" s="243" t="inlineStr">
        <is>
          <t xml:space="preserve">5TH FLR</t>
        </is>
      </c>
      <c r="B2876" s="243" t="inlineStr">
        <is>
          <t xml:space="preserve">E</t>
        </is>
      </c>
      <c r="C2876" s="244" t="inlineStr">
        <is>
          <t xml:space="preserve">Ceramic/porcelain wall tiles to washrooms to 2.4m high, adhesive &amp; grout (type TBC)</t>
        </is>
      </c>
      <c r="I2876" s="245" t="inlineStr">
        <is>
          <t xml:space="preserve">m2</t>
        </is>
      </c>
      <c r="K2876" s="256" t="inlineStr">
        <is>
          <t xml:space="preserve">'5TH FLR '!C228</t>
        </is>
      </c>
    </row>
    <row r="2877">
      <c r="C2877" s="246" t="inlineStr">
        <is>
          <t xml:space="preserve">washroom walls: (wet area / 3.8 m2 per WC) x 8.0 m girth x ht</t>
        </is>
      </c>
      <c r="E2877" s="247">
        <f>56.0/3.8</f>
        <v>14.73684210526316</v>
      </c>
      <c r="F2877" s="247">
        <v>8.0</v>
      </c>
      <c r="G2877" s="247">
        <v>2.4</v>
      </c>
      <c r="H2877" s="249">
        <f>PRODUCT(D2877:G2877)</f>
        <v>282.94736842105266</v>
      </c>
      <c r="J2877" s="253" t="inlineStr">
        <is>
          <t xml:space="preserve">56.0/3.8*8.0*2.4</t>
        </is>
      </c>
    </row>
    <row r="2878">
      <c r="C2878" s="246" t="inlineStr">
        <is>
          <t xml:space="preserve">Ddt washroom doors: nr x 0.75 x 2.2</t>
        </is>
      </c>
      <c r="E2878" s="247">
        <f>56.0/3.8</f>
        <v>14.73684210526316</v>
      </c>
      <c r="F2878" s="247">
        <v>0.75</v>
      </c>
      <c r="G2878" s="247">
        <v>2.2</v>
      </c>
      <c r="H2878" s="249">
        <f>-PRODUCT(D2878:G2878)</f>
        <v>-24.315789473684216</v>
      </c>
      <c r="J2878" s="253" t="inlineStr">
        <is>
          <t xml:space="preserve">-56.0/3.8*0.75*2.2</t>
        </is>
      </c>
    </row>
    <row r="2879">
      <c r="C2879" s="250" t="inlineStr">
        <is>
          <t xml:space="preserve">Total carried to BOQ  5TH FLR item E</t>
        </is>
      </c>
      <c r="D2879" s="250" t="inlineStr">
        <is>
          <t xml:space="preserve"/>
        </is>
      </c>
      <c r="E2879" s="250" t="inlineStr">
        <is>
          <t xml:space="preserve"/>
        </is>
      </c>
      <c r="F2879" s="250" t="inlineStr">
        <is>
          <t xml:space="preserve"/>
        </is>
      </c>
      <c r="G2879" s="250" t="inlineStr">
        <is>
          <t xml:space="preserve"/>
        </is>
      </c>
      <c r="H2879" s="251">
        <f>SUM(H2877:H2878)</f>
        <v>258.63157894736844</v>
      </c>
      <c r="I2879" s="252" t="inlineStr">
        <is>
          <t xml:space="preserve">m2</t>
        </is>
      </c>
    </row>
    <row r="2880">
      <c r="C2880" s="242" t="inlineStr">
        <is>
          <t xml:space="preserve">ELEMENT NO. 7: PAINTING AND DECORATING</t>
        </is>
      </c>
    </row>
    <row r="2881">
      <c r="C2881" s="242" t="inlineStr">
        <is>
          <t xml:space="preserve">M60 PAINTING - Prepare and apply two undercoats and finishing coat of emulsion paint on:</t>
        </is>
      </c>
    </row>
    <row r="2882">
      <c r="A2882" s="243" t="inlineStr">
        <is>
          <t xml:space="preserve">5TH FLR</t>
        </is>
      </c>
      <c r="B2882" s="243" t="inlineStr">
        <is>
          <t xml:space="preserve">A</t>
        </is>
      </c>
      <c r="C2882" s="244" t="inlineStr">
        <is>
          <t xml:space="preserve">Interior walls</t>
        </is>
      </c>
      <c r="I2882" s="245" t="inlineStr">
        <is>
          <t xml:space="preserve">m2</t>
        </is>
      </c>
      <c r="K2882" s="256" t="inlineStr">
        <is>
          <t xml:space="preserve">'5TH FLR '!C237</t>
        </is>
      </c>
    </row>
    <row r="2883">
      <c r="C2883" s="246" t="inlineStr">
        <is>
          <t xml:space="preserve">block wall faces: 2 x (150 + 200 block runs) x ht</t>
        </is>
      </c>
      <c r="D2883" s="248">
        <v>2</v>
      </c>
      <c r="E2883" s="247">
        <f>447.7+49.2</f>
        <v>496.9</v>
      </c>
      <c r="F2883" s="247">
        <v>3.05</v>
      </c>
      <c r="H2883" s="249">
        <f>PRODUCT(D2883:G2883)</f>
        <v>3031.0899999999997</v>
      </c>
      <c r="J2883" s="253" t="inlineStr">
        <is>
          <t xml:space="preserve">2*(447.7+49.2)*3.05</t>
        </is>
      </c>
    </row>
    <row r="2884">
      <c r="C2884" s="246" t="inlineStr">
        <is>
          <t xml:space="preserve">RC wall faces: 2 x RC wall run x ht</t>
        </is>
      </c>
      <c r="D2884" s="248">
        <v>2</v>
      </c>
      <c r="E2884" s="247">
        <v>67.8</v>
      </c>
      <c r="F2884" s="247">
        <v>3.05</v>
      </c>
      <c r="H2884" s="249">
        <f>PRODUCT(D2884:G2884)</f>
        <v>413.58</v>
      </c>
      <c r="J2884" s="253" t="inlineStr">
        <is>
          <t xml:space="preserve">2*67.8*3.05</t>
        </is>
      </c>
    </row>
    <row r="2885">
      <c r="C2885" s="246" t="inlineStr">
        <is>
          <t xml:space="preserve">Ddt lift/stair shaft inner faces 16.8 m x ht</t>
        </is>
      </c>
      <c r="E2885" s="247">
        <v>16.8</v>
      </c>
      <c r="F2885" s="247">
        <v>3.05</v>
      </c>
      <c r="H2885" s="249">
        <f>-PRODUCT(D2885:G2885)</f>
        <v>-51.24</v>
      </c>
      <c r="J2885" s="253" t="inlineStr">
        <is>
          <t xml:space="preserve">-16.8*3.05</t>
        </is>
      </c>
    </row>
    <row r="2886">
      <c r="C2886" s="246" t="inlineStr">
        <is>
          <t xml:space="preserve">Ddt external face of perimeter wall (rendered externally)</t>
        </is>
      </c>
      <c r="E2886" s="247">
        <v>224.2</v>
      </c>
      <c r="F2886" s="247">
        <v>3.05</v>
      </c>
      <c r="H2886" s="249">
        <f>-PRODUCT(D2886:G2886)</f>
        <v>-683.81</v>
      </c>
      <c r="J2886" s="253" t="inlineStr">
        <is>
          <t xml:space="preserve">-224.2*3.05</t>
        </is>
      </c>
    </row>
    <row r="2887">
      <c r="C2887" s="246" t="inlineStr">
        <is>
          <t xml:space="preserve">Ddt washroom walls (measured separately)</t>
        </is>
      </c>
      <c r="E2887" s="247">
        <f>56.0/3.8</f>
        <v>14.73684210526316</v>
      </c>
      <c r="F2887" s="247">
        <v>8.0</v>
      </c>
      <c r="G2887" s="247">
        <v>3.05</v>
      </c>
      <c r="H2887" s="249">
        <f>-PRODUCT(D2887:G2887)</f>
        <v>-359.57894736842104</v>
      </c>
      <c r="J2887" s="253" t="inlineStr">
        <is>
          <t xml:space="preserve">-56.0/3.8*8.0*3.05</t>
        </is>
      </c>
    </row>
    <row r="2888">
      <c r="C2888" s="246" t="inlineStr">
        <is>
          <t xml:space="preserve">Ddt opening D2 (7 nr, 1x2.2) - both faces</t>
        </is>
      </c>
      <c r="D2888" s="248">
        <f>2*7</f>
        <v>14</v>
      </c>
      <c r="E2888" s="247">
        <v>1</v>
      </c>
      <c r="F2888" s="247">
        <v>2.2</v>
      </c>
      <c r="H2888" s="249">
        <f>-PRODUCT(D2888:G2888)</f>
        <v>-30.800000000000004</v>
      </c>
      <c r="J2888" s="253" t="inlineStr">
        <is>
          <t xml:space="preserve">-2*7*1*2.2</t>
        </is>
      </c>
    </row>
    <row r="2889">
      <c r="C2889" s="246" t="inlineStr">
        <is>
          <t xml:space="preserve">Ddt opening D3 (15 nr, 0.9x2.2) - both faces</t>
        </is>
      </c>
      <c r="D2889" s="248">
        <f>2*15</f>
        <v>30</v>
      </c>
      <c r="E2889" s="247">
        <v>0.9</v>
      </c>
      <c r="F2889" s="247">
        <v>2.2</v>
      </c>
      <c r="H2889" s="249">
        <f>-PRODUCT(D2889:G2889)</f>
        <v>-59.400000000000006</v>
      </c>
      <c r="J2889" s="253" t="inlineStr">
        <is>
          <t xml:space="preserve">-2*15*0.9*2.2</t>
        </is>
      </c>
    </row>
    <row r="2890">
      <c r="C2890" s="246" t="inlineStr">
        <is>
          <t xml:space="preserve">Ddt opening D6 (20 nr, 0.75x2.2) - both faces</t>
        </is>
      </c>
      <c r="D2890" s="248">
        <f>2*20</f>
        <v>40</v>
      </c>
      <c r="E2890" s="247">
        <v>0.75</v>
      </c>
      <c r="F2890" s="247">
        <v>2.2</v>
      </c>
      <c r="H2890" s="249">
        <f>-PRODUCT(D2890:G2890)</f>
        <v>-66.0</v>
      </c>
      <c r="J2890" s="253" t="inlineStr">
        <is>
          <t xml:space="preserve">-2*20*0.75*2.2</t>
        </is>
      </c>
    </row>
    <row r="2891">
      <c r="C2891" s="246" t="inlineStr">
        <is>
          <t xml:space="preserve">Ddt opening D7 (1 nr, 0.7x2.2) - both faces</t>
        </is>
      </c>
      <c r="D2891" s="248">
        <f>2*1</f>
        <v>2</v>
      </c>
      <c r="E2891" s="247">
        <v>0.7</v>
      </c>
      <c r="F2891" s="247">
        <v>2.2</v>
      </c>
      <c r="H2891" s="249">
        <f>-PRODUCT(D2891:G2891)</f>
        <v>-3.08</v>
      </c>
      <c r="J2891" s="253" t="inlineStr">
        <is>
          <t xml:space="preserve">-2*1*0.7*2.2</t>
        </is>
      </c>
    </row>
    <row r="2892">
      <c r="C2892" s="246" t="inlineStr">
        <is>
          <t xml:space="preserve">Ddt opening D8 (3 nr, 1.2x2.2) - both faces</t>
        </is>
      </c>
      <c r="D2892" s="248">
        <f>2*3</f>
        <v>6</v>
      </c>
      <c r="E2892" s="247">
        <v>1.2</v>
      </c>
      <c r="F2892" s="247">
        <v>2.2</v>
      </c>
      <c r="H2892" s="249">
        <f>-PRODUCT(D2892:G2892)</f>
        <v>-15.84</v>
      </c>
      <c r="J2892" s="253" t="inlineStr">
        <is>
          <t xml:space="preserve">-2*3*1.2*2.2</t>
        </is>
      </c>
    </row>
    <row r="2893">
      <c r="C2893" s="246" t="inlineStr">
        <is>
          <t xml:space="preserve">Ddt opening ED1 (3 nr, 1x2.2) - both faces</t>
        </is>
      </c>
      <c r="D2893" s="248">
        <f>2*3</f>
        <v>6</v>
      </c>
      <c r="E2893" s="247">
        <v>1</v>
      </c>
      <c r="F2893" s="247">
        <v>2.2</v>
      </c>
      <c r="H2893" s="249">
        <f>-PRODUCT(D2893:G2893)</f>
        <v>-13.200000000000001</v>
      </c>
      <c r="J2893" s="253" t="inlineStr">
        <is>
          <t xml:space="preserve">-2*3*1*2.2</t>
        </is>
      </c>
    </row>
    <row r="2894">
      <c r="C2894" s="246" t="inlineStr">
        <is>
          <t xml:space="preserve">Ddt opening ED2 (3 nr, 1x2.2) - both faces</t>
        </is>
      </c>
      <c r="D2894" s="248">
        <f>2*3</f>
        <v>6</v>
      </c>
      <c r="E2894" s="247">
        <v>1</v>
      </c>
      <c r="F2894" s="247">
        <v>2.2</v>
      </c>
      <c r="H2894" s="249">
        <f>-PRODUCT(D2894:G2894)</f>
        <v>-13.200000000000001</v>
      </c>
      <c r="J2894" s="253" t="inlineStr">
        <is>
          <t xml:space="preserve">-2*3*1*2.2</t>
        </is>
      </c>
    </row>
    <row r="2895">
      <c r="C2895" s="246" t="inlineStr">
        <is>
          <t xml:space="preserve">Ddt opening D9 (1 nr, 0.9x2.2) - both faces</t>
        </is>
      </c>
      <c r="D2895" s="248">
        <f>2*1</f>
        <v>2</v>
      </c>
      <c r="E2895" s="247">
        <v>0.9</v>
      </c>
      <c r="F2895" s="247">
        <v>2.2</v>
      </c>
      <c r="H2895" s="249">
        <f>-PRODUCT(D2895:G2895)</f>
        <v>-3.9600000000000004</v>
      </c>
      <c r="J2895" s="253" t="inlineStr">
        <is>
          <t xml:space="preserve">-2*1*0.9*2.2</t>
        </is>
      </c>
    </row>
    <row r="2896">
      <c r="C2896" s="246" t="inlineStr">
        <is>
          <t xml:space="preserve">Ddt opening FD1 (1 nr, 1.5x2.2) - both faces</t>
        </is>
      </c>
      <c r="D2896" s="248">
        <f>2*1</f>
        <v>2</v>
      </c>
      <c r="E2896" s="247">
        <v>1.5</v>
      </c>
      <c r="F2896" s="247">
        <v>2.2</v>
      </c>
      <c r="H2896" s="249">
        <f>-PRODUCT(D2896:G2896)</f>
        <v>-6.6000000000000005</v>
      </c>
      <c r="J2896" s="253" t="inlineStr">
        <is>
          <t xml:space="preserve">-2*1*1.5*2.2</t>
        </is>
      </c>
    </row>
    <row r="2897">
      <c r="C2897" s="246" t="inlineStr">
        <is>
          <t xml:space="preserve">Ddt opening M1 (2 nr, 0.9x2.2) - both faces</t>
        </is>
      </c>
      <c r="D2897" s="248">
        <f>2*2</f>
        <v>4</v>
      </c>
      <c r="E2897" s="247">
        <v>0.9</v>
      </c>
      <c r="F2897" s="247">
        <v>2.2</v>
      </c>
      <c r="H2897" s="249">
        <f>-PRODUCT(D2897:G2897)</f>
        <v>-7.920000000000001</v>
      </c>
      <c r="J2897" s="253" t="inlineStr">
        <is>
          <t xml:space="preserve">-2*2*0.9*2.2</t>
        </is>
      </c>
    </row>
    <row r="2898">
      <c r="C2898" s="246" t="inlineStr">
        <is>
          <t xml:space="preserve">Ddt opening M2 (5 nr, 0.75x2.2) - both faces</t>
        </is>
      </c>
      <c r="D2898" s="248">
        <f>2*5</f>
        <v>10</v>
      </c>
      <c r="E2898" s="247">
        <v>0.75</v>
      </c>
      <c r="F2898" s="247">
        <v>2.2</v>
      </c>
      <c r="H2898" s="249">
        <f>-PRODUCT(D2898:G2898)</f>
        <v>-16.5</v>
      </c>
      <c r="J2898" s="253" t="inlineStr">
        <is>
          <t xml:space="preserve">-2*5*0.75*2.2</t>
        </is>
      </c>
    </row>
    <row r="2899">
      <c r="C2899" s="246" t="inlineStr">
        <is>
          <t xml:space="preserve">Ddt opening M3 (1 nr, 0.45x2.2) - both faces</t>
        </is>
      </c>
      <c r="D2899" s="248">
        <f>2*1</f>
        <v>2</v>
      </c>
      <c r="E2899" s="247">
        <v>0.45</v>
      </c>
      <c r="F2899" s="247">
        <v>2.2</v>
      </c>
      <c r="H2899" s="249">
        <f>-PRODUCT(D2899:G2899)</f>
        <v>-1.9800000000000002</v>
      </c>
      <c r="J2899" s="253" t="inlineStr">
        <is>
          <t xml:space="preserve">-2*1*0.45*2.2</t>
        </is>
      </c>
    </row>
    <row r="2900">
      <c r="C2900" s="246" t="inlineStr">
        <is>
          <t xml:space="preserve">Ddt opening M5 (3 nr, 0.6x2.2) - both faces</t>
        </is>
      </c>
      <c r="D2900" s="248">
        <f>2*3</f>
        <v>6</v>
      </c>
      <c r="E2900" s="247">
        <v>0.6</v>
      </c>
      <c r="F2900" s="247">
        <v>2.2</v>
      </c>
      <c r="H2900" s="249">
        <f>-PRODUCT(D2900:G2900)</f>
        <v>-7.92</v>
      </c>
      <c r="J2900" s="253" t="inlineStr">
        <is>
          <t xml:space="preserve">-2*3*0.6*2.2</t>
        </is>
      </c>
    </row>
    <row r="2901">
      <c r="C2901" s="246" t="inlineStr">
        <is>
          <t xml:space="preserve">Ddt opening SD1 (1 nr, 3x2.2) - both faces</t>
        </is>
      </c>
      <c r="D2901" s="248">
        <f>2*1</f>
        <v>2</v>
      </c>
      <c r="E2901" s="247">
        <v>3</v>
      </c>
      <c r="F2901" s="247">
        <v>2.2</v>
      </c>
      <c r="H2901" s="249">
        <f>-PRODUCT(D2901:G2901)</f>
        <v>-13.200000000000001</v>
      </c>
      <c r="J2901" s="253" t="inlineStr">
        <is>
          <t xml:space="preserve">-2*1*3*2.2</t>
        </is>
      </c>
    </row>
    <row r="2902">
      <c r="C2902" s="246" t="inlineStr">
        <is>
          <t xml:space="preserve">Ddt opening SD2 (3 nr, 1.6x2.2) - both faces</t>
        </is>
      </c>
      <c r="D2902" s="248">
        <f>2*3</f>
        <v>6</v>
      </c>
      <c r="E2902" s="247">
        <v>1.6</v>
      </c>
      <c r="F2902" s="247">
        <v>2.2</v>
      </c>
      <c r="H2902" s="249">
        <f>-PRODUCT(D2902:G2902)</f>
        <v>-21.120000000000005</v>
      </c>
      <c r="J2902" s="253" t="inlineStr">
        <is>
          <t xml:space="preserve">-2*3*1.6*2.2</t>
        </is>
      </c>
    </row>
    <row r="2903">
      <c r="C2903" s="246" t="inlineStr">
        <is>
          <t xml:space="preserve">Ddt opening SD3 (2 nr, 1.3x2.2) - both faces</t>
        </is>
      </c>
      <c r="D2903" s="248">
        <f>2*2</f>
        <v>4</v>
      </c>
      <c r="E2903" s="247">
        <v>1.3</v>
      </c>
      <c r="F2903" s="247">
        <v>2.2</v>
      </c>
      <c r="H2903" s="249">
        <f>-PRODUCT(D2903:G2903)</f>
        <v>-11.440000000000001</v>
      </c>
      <c r="J2903" s="253" t="inlineStr">
        <is>
          <t xml:space="preserve">-2*2*1.3*2.2</t>
        </is>
      </c>
    </row>
    <row r="2904">
      <c r="C2904" s="246" t="inlineStr">
        <is>
          <t xml:space="preserve">Ddt opening SD4 (4 nr, 1.8x2.2) - both faces</t>
        </is>
      </c>
      <c r="D2904" s="248">
        <f>2*4</f>
        <v>8</v>
      </c>
      <c r="E2904" s="247">
        <v>1.8</v>
      </c>
      <c r="F2904" s="247">
        <v>2.2</v>
      </c>
      <c r="H2904" s="249">
        <f>-PRODUCT(D2904:G2904)</f>
        <v>-31.680000000000003</v>
      </c>
      <c r="J2904" s="253" t="inlineStr">
        <is>
          <t xml:space="preserve">-2*4*1.8*2.2</t>
        </is>
      </c>
    </row>
    <row r="2905">
      <c r="C2905" s="246" t="inlineStr">
        <is>
          <t xml:space="preserve">Ddt opening SD5 (1 nr, 1.2x2.2) - both faces</t>
        </is>
      </c>
      <c r="D2905" s="248">
        <f>2*1</f>
        <v>2</v>
      </c>
      <c r="E2905" s="247">
        <v>1.2</v>
      </c>
      <c r="F2905" s="247">
        <v>2.2</v>
      </c>
      <c r="H2905" s="249">
        <f>-PRODUCT(D2905:G2905)</f>
        <v>-5.28</v>
      </c>
      <c r="J2905" s="253" t="inlineStr">
        <is>
          <t xml:space="preserve">-2*1*1.2*2.2</t>
        </is>
      </c>
    </row>
    <row r="2906">
      <c r="C2906" s="246" t="inlineStr">
        <is>
          <t xml:space="preserve">Ddt opening W2 (6 nr, 1.8x1.3)</t>
        </is>
      </c>
      <c r="D2906" s="248">
        <v>6</v>
      </c>
      <c r="E2906" s="247">
        <v>1.8</v>
      </c>
      <c r="F2906" s="247">
        <v>1.3</v>
      </c>
      <c r="H2906" s="249">
        <f>-PRODUCT(D2906:G2906)</f>
        <v>-14.040000000000001</v>
      </c>
      <c r="J2906" s="253" t="inlineStr">
        <is>
          <t xml:space="preserve">-6*1.8*1.3</t>
        </is>
      </c>
    </row>
    <row r="2907">
      <c r="C2907" s="246" t="inlineStr">
        <is>
          <t xml:space="preserve">Ddt opening W4 (10 nr, 0.9x1.3)</t>
        </is>
      </c>
      <c r="D2907" s="248">
        <v>10</v>
      </c>
      <c r="E2907" s="247">
        <v>0.9</v>
      </c>
      <c r="F2907" s="247">
        <v>1.3</v>
      </c>
      <c r="H2907" s="249">
        <f>-PRODUCT(D2907:G2907)</f>
        <v>-11.700000000000001</v>
      </c>
      <c r="J2907" s="253" t="inlineStr">
        <is>
          <t xml:space="preserve">-10*0.9*1.3</t>
        </is>
      </c>
    </row>
    <row r="2908">
      <c r="C2908" s="246" t="inlineStr">
        <is>
          <t xml:space="preserve">Ddt opening W7 (1 nr, 1.8x1.6)</t>
        </is>
      </c>
      <c r="D2908" s="248">
        <v>1</v>
      </c>
      <c r="E2908" s="247">
        <v>1.8</v>
      </c>
      <c r="F2908" s="247">
        <v>1.6</v>
      </c>
      <c r="H2908" s="249">
        <f>-PRODUCT(D2908:G2908)</f>
        <v>-2.8800000000000003</v>
      </c>
      <c r="J2908" s="253" t="inlineStr">
        <is>
          <t xml:space="preserve">-1*1.8*1.6</t>
        </is>
      </c>
    </row>
    <row r="2909">
      <c r="C2909" s="246" t="inlineStr">
        <is>
          <t xml:space="preserve">Ddt opening W8 (3 nr, 1.2x1.9)</t>
        </is>
      </c>
      <c r="D2909" s="248">
        <v>3</v>
      </c>
      <c r="E2909" s="247">
        <v>1.2</v>
      </c>
      <c r="F2909" s="247">
        <v>1.9</v>
      </c>
      <c r="H2909" s="249">
        <f>-PRODUCT(D2909:G2909)</f>
        <v>-6.839999999999999</v>
      </c>
      <c r="J2909" s="253" t="inlineStr">
        <is>
          <t xml:space="preserve">-3*1.2*1.9</t>
        </is>
      </c>
    </row>
    <row r="2910">
      <c r="C2910" s="246" t="inlineStr">
        <is>
          <t xml:space="preserve">Ddt opening W9 (8 nr, 1.2x1.15)</t>
        </is>
      </c>
      <c r="D2910" s="248">
        <v>8</v>
      </c>
      <c r="E2910" s="247">
        <v>1.2</v>
      </c>
      <c r="F2910" s="247">
        <v>1.15</v>
      </c>
      <c r="H2910" s="249">
        <f>-PRODUCT(D2910:G2910)</f>
        <v>-11.04</v>
      </c>
      <c r="J2910" s="253" t="inlineStr">
        <is>
          <t xml:space="preserve">-8*1.2*1.15</t>
        </is>
      </c>
    </row>
    <row r="2911">
      <c r="C2911" s="246" t="inlineStr">
        <is>
          <t xml:space="preserve">Ddt opening W10 (1 nr, 1.2x1.2)</t>
        </is>
      </c>
      <c r="D2911" s="248">
        <v>1</v>
      </c>
      <c r="E2911" s="247">
        <v>1.2</v>
      </c>
      <c r="F2911" s="247">
        <v>1.2</v>
      </c>
      <c r="H2911" s="249">
        <f>-PRODUCT(D2911:G2911)</f>
        <v>-1.44</v>
      </c>
      <c r="J2911" s="253" t="inlineStr">
        <is>
          <t xml:space="preserve">-1*1.2*1.2</t>
        </is>
      </c>
    </row>
    <row r="2912">
      <c r="C2912" s="246" t="inlineStr">
        <is>
          <t xml:space="preserve">Ddt opening W11 (6 nr, 1.5x1.3)</t>
        </is>
      </c>
      <c r="D2912" s="248">
        <v>6</v>
      </c>
      <c r="E2912" s="247">
        <v>1.5</v>
      </c>
      <c r="F2912" s="247">
        <v>1.3</v>
      </c>
      <c r="H2912" s="249">
        <f>-PRODUCT(D2912:G2912)</f>
        <v>-11.700000000000001</v>
      </c>
      <c r="J2912" s="253" t="inlineStr">
        <is>
          <t xml:space="preserve">-6*1.5*1.3</t>
        </is>
      </c>
    </row>
    <row r="2913">
      <c r="C2913" s="246" t="inlineStr">
        <is>
          <t xml:space="preserve">Ddt opening W12 (3 nr, 1.5x1.15)</t>
        </is>
      </c>
      <c r="D2913" s="248">
        <v>3</v>
      </c>
      <c r="E2913" s="247">
        <v>1.5</v>
      </c>
      <c r="F2913" s="247">
        <v>1.15</v>
      </c>
      <c r="H2913" s="249">
        <f>-PRODUCT(D2913:G2913)</f>
        <v>-5.175</v>
      </c>
      <c r="J2913" s="253" t="inlineStr">
        <is>
          <t xml:space="preserve">-3*1.5*1.15</t>
        </is>
      </c>
    </row>
    <row r="2914">
      <c r="C2914" s="246" t="inlineStr">
        <is>
          <t xml:space="preserve">Ddt opening W13 (1 nr, 2.4x1.3)</t>
        </is>
      </c>
      <c r="D2914" s="248">
        <v>1</v>
      </c>
      <c r="E2914" s="247">
        <v>2.4</v>
      </c>
      <c r="F2914" s="247">
        <v>1.3</v>
      </c>
      <c r="H2914" s="249">
        <f>-PRODUCT(D2914:G2914)</f>
        <v>-3.12</v>
      </c>
      <c r="J2914" s="253" t="inlineStr">
        <is>
          <t xml:space="preserve">-1*2.4*1.3</t>
        </is>
      </c>
    </row>
    <row r="2915">
      <c r="C2915" s="246" t="inlineStr">
        <is>
          <t xml:space="preserve">Ddt opening W15 (1 nr, 3x1.6)</t>
        </is>
      </c>
      <c r="D2915" s="248">
        <v>1</v>
      </c>
      <c r="E2915" s="247">
        <v>3</v>
      </c>
      <c r="F2915" s="247">
        <v>1.6</v>
      </c>
      <c r="H2915" s="249">
        <f>-PRODUCT(D2915:G2915)</f>
        <v>-4.800000000000001</v>
      </c>
      <c r="J2915" s="253" t="inlineStr">
        <is>
          <t xml:space="preserve">-1*3*1.6</t>
        </is>
      </c>
    </row>
    <row r="2916">
      <c r="C2916" s="246" t="inlineStr">
        <is>
          <t xml:space="preserve">Ddt opening W17 (3 nr, 1.8x1.9)</t>
        </is>
      </c>
      <c r="D2916" s="248">
        <v>3</v>
      </c>
      <c r="E2916" s="247">
        <v>1.8</v>
      </c>
      <c r="F2916" s="247">
        <v>1.9</v>
      </c>
      <c r="H2916" s="249">
        <f>-PRODUCT(D2916:G2916)</f>
        <v>-10.26</v>
      </c>
      <c r="J2916" s="253" t="inlineStr">
        <is>
          <t xml:space="preserve">-3*1.8*1.9</t>
        </is>
      </c>
    </row>
    <row r="2917">
      <c r="C2917" s="246" t="inlineStr">
        <is>
          <t xml:space="preserve">Ddt opening W18 (1 nr, 0.75x1.3)</t>
        </is>
      </c>
      <c r="D2917" s="248">
        <v>1</v>
      </c>
      <c r="E2917" s="247">
        <v>0.75</v>
      </c>
      <c r="F2917" s="247">
        <v>1.3</v>
      </c>
      <c r="H2917" s="249">
        <f>-PRODUCT(D2917:G2917)</f>
        <v>-0.9750000000000001</v>
      </c>
      <c r="J2917" s="253" t="inlineStr">
        <is>
          <t xml:space="preserve">-1*0.75*1.3</t>
        </is>
      </c>
    </row>
    <row r="2918">
      <c r="C2918" s="246" t="inlineStr">
        <is>
          <t xml:space="preserve">Ddt opening W20 (1 nr, 1.45x1.9)</t>
        </is>
      </c>
      <c r="D2918" s="248">
        <v>1</v>
      </c>
      <c r="E2918" s="247">
        <v>1.45</v>
      </c>
      <c r="F2918" s="247">
        <v>1.9</v>
      </c>
      <c r="H2918" s="249">
        <f>-PRODUCT(D2918:G2918)</f>
        <v>-2.755</v>
      </c>
      <c r="J2918" s="253" t="inlineStr">
        <is>
          <t xml:space="preserve">-1*1.45*1.9</t>
        </is>
      </c>
    </row>
    <row r="2919">
      <c r="C2919" s="246" t="inlineStr">
        <is>
          <t xml:space="preserve">Ddt opening HW1 (12 nr, 0.9x0.6)</t>
        </is>
      </c>
      <c r="D2919" s="248">
        <v>12</v>
      </c>
      <c r="E2919" s="247">
        <v>0.9</v>
      </c>
      <c r="F2919" s="247">
        <v>0.6</v>
      </c>
      <c r="H2919" s="249">
        <f>-PRODUCT(D2919:G2919)</f>
        <v>-6.48</v>
      </c>
      <c r="J2919" s="253" t="inlineStr">
        <is>
          <t xml:space="preserve">-12*0.9*0.6</t>
        </is>
      </c>
    </row>
    <row r="2920">
      <c r="C2920" s="246" t="inlineStr">
        <is>
          <t xml:space="preserve">Ddt opening HW2 (4 nr, 0.75x0.6)</t>
        </is>
      </c>
      <c r="D2920" s="248">
        <v>4</v>
      </c>
      <c r="E2920" s="247">
        <v>0.75</v>
      </c>
      <c r="F2920" s="247">
        <v>0.6</v>
      </c>
      <c r="H2920" s="249">
        <f>-PRODUCT(D2920:G2920)</f>
        <v>-1.7999999999999998</v>
      </c>
      <c r="J2920" s="253" t="inlineStr">
        <is>
          <t xml:space="preserve">-4*0.75*0.6</t>
        </is>
      </c>
    </row>
    <row r="2921">
      <c r="C2921" s="246" t="inlineStr">
        <is>
          <t xml:space="preserve">Ddt opening HW3 (1 nr, 0.6x0.6)</t>
        </is>
      </c>
      <c r="D2921" s="248">
        <v>1</v>
      </c>
      <c r="E2921" s="247">
        <v>0.6</v>
      </c>
      <c r="F2921" s="247">
        <v>0.6</v>
      </c>
      <c r="H2921" s="249">
        <f>-PRODUCT(D2921:G2921)</f>
        <v>-0.36</v>
      </c>
      <c r="J2921" s="253" t="inlineStr">
        <is>
          <t xml:space="preserve">-1*0.6*0.6</t>
        </is>
      </c>
    </row>
    <row r="2922">
      <c r="C2922" s="246" t="inlineStr">
        <is>
          <t xml:space="preserve">Ddt opening HW4 (1 nr, 1.2x0.6)</t>
        </is>
      </c>
      <c r="D2922" s="248">
        <v>1</v>
      </c>
      <c r="E2922" s="247">
        <v>1.2</v>
      </c>
      <c r="F2922" s="247">
        <v>0.6</v>
      </c>
      <c r="H2922" s="249">
        <f>-PRODUCT(D2922:G2922)</f>
        <v>-0.72</v>
      </c>
      <c r="J2922" s="253" t="inlineStr">
        <is>
          <t xml:space="preserve">-1*1.2*0.6</t>
        </is>
      </c>
    </row>
    <row r="2923">
      <c r="C2923" s="250" t="inlineStr">
        <is>
          <t xml:space="preserve">Total carried to BOQ  5TH FLR item A</t>
        </is>
      </c>
      <c r="D2923" s="250" t="inlineStr">
        <is>
          <t xml:space="preserve"/>
        </is>
      </c>
      <c r="E2923" s="250" t="inlineStr">
        <is>
          <t xml:space="preserve"/>
        </is>
      </c>
      <c r="F2923" s="250" t="inlineStr">
        <is>
          <t xml:space="preserve"/>
        </is>
      </c>
      <c r="G2923" s="250" t="inlineStr">
        <is>
          <t xml:space="preserve"/>
        </is>
      </c>
      <c r="H2923" s="251">
        <f>SUM(H2883:H2922)</f>
        <v>1924.8360526315794</v>
      </c>
      <c r="I2923" s="252" t="inlineStr">
        <is>
          <t xml:space="preserve">m2</t>
        </is>
      </c>
    </row>
    <row r="2924">
      <c r="A2924" s="243" t="inlineStr">
        <is>
          <t xml:space="preserve">5TH FLR</t>
        </is>
      </c>
      <c r="B2924" s="243" t="inlineStr">
        <is>
          <t xml:space="preserve">B</t>
        </is>
      </c>
      <c r="C2924" s="244" t="inlineStr">
        <is>
          <t xml:space="preserve">Interior partitions and washrooms (above wall tiling)</t>
        </is>
      </c>
      <c r="I2924" s="245" t="inlineStr">
        <is>
          <t xml:space="preserve">m2</t>
        </is>
      </c>
      <c r="K2924" s="256" t="inlineStr">
        <is>
          <t xml:space="preserve">'5TH FLR '!C239</t>
        </is>
      </c>
    </row>
    <row r="2925">
      <c r="C2925" s="246" t="inlineStr">
        <is>
          <t xml:space="preserve">washroom walls: (wet area / 3.8 m2 per WC) x 8.0 m girth x ht</t>
        </is>
      </c>
      <c r="E2925" s="247">
        <f>56.0/3.8</f>
        <v>14.73684210526316</v>
      </c>
      <c r="F2925" s="247">
        <v>8.0</v>
      </c>
      <c r="G2925" s="247">
        <v>3.05</v>
      </c>
      <c r="H2925" s="249">
        <f>PRODUCT(D2925:G2925)</f>
        <v>359.57894736842104</v>
      </c>
      <c r="J2925" s="253" t="inlineStr">
        <is>
          <t xml:space="preserve">56.0/3.8*8.0*3.05</t>
        </is>
      </c>
    </row>
    <row r="2926">
      <c r="C2926" s="246" t="inlineStr">
        <is>
          <t xml:space="preserve">Ddt washroom doors: nr x 0.75 x 2.2</t>
        </is>
      </c>
      <c r="E2926" s="247">
        <f>56.0/3.8</f>
        <v>14.73684210526316</v>
      </c>
      <c r="F2926" s="247">
        <v>0.75</v>
      </c>
      <c r="G2926" s="247">
        <v>2.2</v>
      </c>
      <c r="H2926" s="249">
        <f>-PRODUCT(D2926:G2926)</f>
        <v>-24.315789473684216</v>
      </c>
      <c r="J2926" s="253" t="inlineStr">
        <is>
          <t xml:space="preserve">-56.0/3.8*0.75*2.2</t>
        </is>
      </c>
    </row>
    <row r="2927">
      <c r="C2927" s="246" t="inlineStr">
        <is>
          <t xml:space="preserve">Ddt washroom walls: (wet area / 3.8 m2 per WC) x 8.0 m girth x ht</t>
        </is>
      </c>
      <c r="E2927" s="247">
        <f>56.0/3.8</f>
        <v>14.73684210526316</v>
      </c>
      <c r="F2927" s="247">
        <v>8.0</v>
      </c>
      <c r="G2927" s="247">
        <v>2.4</v>
      </c>
      <c r="H2927" s="249">
        <f>-PRODUCT(D2927:G2927)</f>
        <v>-282.94736842105266</v>
      </c>
      <c r="J2927" s="253" t="inlineStr">
        <is>
          <t xml:space="preserve">-56.0/3.8*8.0*2.4</t>
        </is>
      </c>
    </row>
    <row r="2928">
      <c r="C2928" s="246" t="inlineStr">
        <is>
          <t xml:space="preserve">washroom doors: nr x 0.75 x 2.2</t>
        </is>
      </c>
      <c r="E2928" s="247">
        <f>56.0/3.8</f>
        <v>14.73684210526316</v>
      </c>
      <c r="F2928" s="247">
        <v>0.75</v>
      </c>
      <c r="G2928" s="247">
        <v>2.2</v>
      </c>
      <c r="H2928" s="249">
        <f>PRODUCT(D2928:G2928)</f>
        <v>24.315789473684216</v>
      </c>
      <c r="J2928" s="253" t="inlineStr">
        <is>
          <t xml:space="preserve">56.0/3.8*0.75*2.2</t>
        </is>
      </c>
    </row>
    <row r="2929">
      <c r="C2929" s="250" t="inlineStr">
        <is>
          <t xml:space="preserve">Total carried to BOQ  5TH FLR item B</t>
        </is>
      </c>
      <c r="D2929" s="250" t="inlineStr">
        <is>
          <t xml:space="preserve"/>
        </is>
      </c>
      <c r="E2929" s="250" t="inlineStr">
        <is>
          <t xml:space="preserve"/>
        </is>
      </c>
      <c r="F2929" s="250" t="inlineStr">
        <is>
          <t xml:space="preserve"/>
        </is>
      </c>
      <c r="G2929" s="250" t="inlineStr">
        <is>
          <t xml:space="preserve"/>
        </is>
      </c>
      <c r="H2929" s="251">
        <f>SUM(H2925:H2928)</f>
        <v>76.63157894736838</v>
      </c>
      <c r="I2929" s="252" t="inlineStr">
        <is>
          <t xml:space="preserve">m2</t>
        </is>
      </c>
    </row>
    <row r="2930">
      <c r="A2930" s="243" t="inlineStr">
        <is>
          <t xml:space="preserve">5TH FLR</t>
        </is>
      </c>
      <c r="B2930" s="243" t="inlineStr">
        <is>
          <t xml:space="preserve">C</t>
        </is>
      </c>
      <c r="C2930" s="244" t="inlineStr">
        <is>
          <t xml:space="preserve">Exterior walls</t>
        </is>
      </c>
      <c r="I2930" s="245" t="inlineStr">
        <is>
          <t xml:space="preserve">m2</t>
        </is>
      </c>
      <c r="K2930" s="256" t="inlineStr">
        <is>
          <t xml:space="preserve">'5TH FLR '!C241</t>
        </is>
      </c>
    </row>
    <row r="2931">
      <c r="C2931" s="246" t="inlineStr">
        <is>
          <t xml:space="preserve">External perimeter x storey ht</t>
        </is>
      </c>
      <c r="E2931" s="247">
        <v>224.2</v>
      </c>
      <c r="F2931" s="247">
        <v>3.3</v>
      </c>
      <c r="H2931" s="249">
        <f>PRODUCT(D2931:G2931)</f>
        <v>739.8599999999999</v>
      </c>
      <c r="J2931" s="253" t="inlineStr">
        <is>
          <t xml:space="preserve">224.2*3.3</t>
        </is>
      </c>
    </row>
    <row r="2932">
      <c r="C2932" s="246" t="inlineStr">
        <is>
          <t xml:space="preserve">Ddt window W2 (6 nr, 1.8x1.3)</t>
        </is>
      </c>
      <c r="D2932" s="248">
        <v>6</v>
      </c>
      <c r="E2932" s="247">
        <v>1.8</v>
      </c>
      <c r="F2932" s="247">
        <v>1.3</v>
      </c>
      <c r="H2932" s="249">
        <f>-PRODUCT(D2932:G2932)</f>
        <v>-14.040000000000001</v>
      </c>
      <c r="J2932" s="253" t="inlineStr">
        <is>
          <t xml:space="preserve">-6*1.8*1.3</t>
        </is>
      </c>
    </row>
    <row r="2933">
      <c r="C2933" s="246" t="inlineStr">
        <is>
          <t xml:space="preserve">Ddt window W4 (10 nr, 0.9x1.3)</t>
        </is>
      </c>
      <c r="D2933" s="248">
        <v>10</v>
      </c>
      <c r="E2933" s="247">
        <v>0.9</v>
      </c>
      <c r="F2933" s="247">
        <v>1.3</v>
      </c>
      <c r="H2933" s="249">
        <f>-PRODUCT(D2933:G2933)</f>
        <v>-11.700000000000001</v>
      </c>
      <c r="J2933" s="253" t="inlineStr">
        <is>
          <t xml:space="preserve">-10*0.9*1.3</t>
        </is>
      </c>
    </row>
    <row r="2934">
      <c r="C2934" s="246" t="inlineStr">
        <is>
          <t xml:space="preserve">Ddt window W7 (1 nr, 1.8x1.6)</t>
        </is>
      </c>
      <c r="D2934" s="248">
        <v>1</v>
      </c>
      <c r="E2934" s="247">
        <v>1.8</v>
      </c>
      <c r="F2934" s="247">
        <v>1.6</v>
      </c>
      <c r="H2934" s="249">
        <f>-PRODUCT(D2934:G2934)</f>
        <v>-2.8800000000000003</v>
      </c>
      <c r="J2934" s="253" t="inlineStr">
        <is>
          <t xml:space="preserve">-1*1.8*1.6</t>
        </is>
      </c>
    </row>
    <row r="2935">
      <c r="C2935" s="246" t="inlineStr">
        <is>
          <t xml:space="preserve">Ddt window W8 (3 nr, 1.2x1.9)</t>
        </is>
      </c>
      <c r="D2935" s="248">
        <v>3</v>
      </c>
      <c r="E2935" s="247">
        <v>1.2</v>
      </c>
      <c r="F2935" s="247">
        <v>1.9</v>
      </c>
      <c r="H2935" s="249">
        <f>-PRODUCT(D2935:G2935)</f>
        <v>-6.839999999999999</v>
      </c>
      <c r="J2935" s="253" t="inlineStr">
        <is>
          <t xml:space="preserve">-3*1.2*1.9</t>
        </is>
      </c>
    </row>
    <row r="2936">
      <c r="C2936" s="246" t="inlineStr">
        <is>
          <t xml:space="preserve">Ddt window W9 (8 nr, 1.2x1.15)</t>
        </is>
      </c>
      <c r="D2936" s="248">
        <v>8</v>
      </c>
      <c r="E2936" s="247">
        <v>1.2</v>
      </c>
      <c r="F2936" s="247">
        <v>1.15</v>
      </c>
      <c r="H2936" s="249">
        <f>-PRODUCT(D2936:G2936)</f>
        <v>-11.04</v>
      </c>
      <c r="J2936" s="253" t="inlineStr">
        <is>
          <t xml:space="preserve">-8*1.2*1.15</t>
        </is>
      </c>
    </row>
    <row r="2937">
      <c r="C2937" s="246" t="inlineStr">
        <is>
          <t xml:space="preserve">Ddt window W10 (1 nr, 1.2x1.2)</t>
        </is>
      </c>
      <c r="D2937" s="248">
        <v>1</v>
      </c>
      <c r="E2937" s="247">
        <v>1.2</v>
      </c>
      <c r="F2937" s="247">
        <v>1.2</v>
      </c>
      <c r="H2937" s="249">
        <f>-PRODUCT(D2937:G2937)</f>
        <v>-1.44</v>
      </c>
      <c r="J2937" s="253" t="inlineStr">
        <is>
          <t xml:space="preserve">-1*1.2*1.2</t>
        </is>
      </c>
    </row>
    <row r="2938">
      <c r="C2938" s="246" t="inlineStr">
        <is>
          <t xml:space="preserve">Ddt window W11 (6 nr, 1.5x1.3)</t>
        </is>
      </c>
      <c r="D2938" s="248">
        <v>6</v>
      </c>
      <c r="E2938" s="247">
        <v>1.5</v>
      </c>
      <c r="F2938" s="247">
        <v>1.3</v>
      </c>
      <c r="H2938" s="249">
        <f>-PRODUCT(D2938:G2938)</f>
        <v>-11.700000000000001</v>
      </c>
      <c r="J2938" s="253" t="inlineStr">
        <is>
          <t xml:space="preserve">-6*1.5*1.3</t>
        </is>
      </c>
    </row>
    <row r="2939">
      <c r="C2939" s="246" t="inlineStr">
        <is>
          <t xml:space="preserve">Ddt window W12 (3 nr, 1.5x1.15)</t>
        </is>
      </c>
      <c r="D2939" s="248">
        <v>3</v>
      </c>
      <c r="E2939" s="247">
        <v>1.5</v>
      </c>
      <c r="F2939" s="247">
        <v>1.15</v>
      </c>
      <c r="H2939" s="249">
        <f>-PRODUCT(D2939:G2939)</f>
        <v>-5.175</v>
      </c>
      <c r="J2939" s="253" t="inlineStr">
        <is>
          <t xml:space="preserve">-3*1.5*1.15</t>
        </is>
      </c>
    </row>
    <row r="2940">
      <c r="C2940" s="246" t="inlineStr">
        <is>
          <t xml:space="preserve">Ddt window W13 (1 nr, 2.4x1.3)</t>
        </is>
      </c>
      <c r="D2940" s="248">
        <v>1</v>
      </c>
      <c r="E2940" s="247">
        <v>2.4</v>
      </c>
      <c r="F2940" s="247">
        <v>1.3</v>
      </c>
      <c r="H2940" s="249">
        <f>-PRODUCT(D2940:G2940)</f>
        <v>-3.12</v>
      </c>
      <c r="J2940" s="253" t="inlineStr">
        <is>
          <t xml:space="preserve">-1*2.4*1.3</t>
        </is>
      </c>
    </row>
    <row r="2941">
      <c r="C2941" s="246" t="inlineStr">
        <is>
          <t xml:space="preserve">Ddt window W15 (1 nr, 3x1.6)</t>
        </is>
      </c>
      <c r="D2941" s="248">
        <v>1</v>
      </c>
      <c r="E2941" s="247">
        <v>3</v>
      </c>
      <c r="F2941" s="247">
        <v>1.6</v>
      </c>
      <c r="H2941" s="249">
        <f>-PRODUCT(D2941:G2941)</f>
        <v>-4.800000000000001</v>
      </c>
      <c r="J2941" s="253" t="inlineStr">
        <is>
          <t xml:space="preserve">-1*3*1.6</t>
        </is>
      </c>
    </row>
    <row r="2942">
      <c r="C2942" s="246" t="inlineStr">
        <is>
          <t xml:space="preserve">Ddt window W17 (3 nr, 1.8x1.9)</t>
        </is>
      </c>
      <c r="D2942" s="248">
        <v>3</v>
      </c>
      <c r="E2942" s="247">
        <v>1.8</v>
      </c>
      <c r="F2942" s="247">
        <v>1.9</v>
      </c>
      <c r="H2942" s="249">
        <f>-PRODUCT(D2942:G2942)</f>
        <v>-10.26</v>
      </c>
      <c r="J2942" s="253" t="inlineStr">
        <is>
          <t xml:space="preserve">-3*1.8*1.9</t>
        </is>
      </c>
    </row>
    <row r="2943">
      <c r="C2943" s="246" t="inlineStr">
        <is>
          <t xml:space="preserve">Ddt window W18 (1 nr, 0.75x1.3)</t>
        </is>
      </c>
      <c r="D2943" s="248">
        <v>1</v>
      </c>
      <c r="E2943" s="247">
        <v>0.75</v>
      </c>
      <c r="F2943" s="247">
        <v>1.3</v>
      </c>
      <c r="H2943" s="249">
        <f>-PRODUCT(D2943:G2943)</f>
        <v>-0.9750000000000001</v>
      </c>
      <c r="J2943" s="253" t="inlineStr">
        <is>
          <t xml:space="preserve">-1*0.75*1.3</t>
        </is>
      </c>
    </row>
    <row r="2944">
      <c r="C2944" s="246" t="inlineStr">
        <is>
          <t xml:space="preserve">Ddt window W20 (1 nr, 1.45x1.9)</t>
        </is>
      </c>
      <c r="D2944" s="248">
        <v>1</v>
      </c>
      <c r="E2944" s="247">
        <v>1.45</v>
      </c>
      <c r="F2944" s="247">
        <v>1.9</v>
      </c>
      <c r="H2944" s="249">
        <f>-PRODUCT(D2944:G2944)</f>
        <v>-2.755</v>
      </c>
      <c r="J2944" s="253" t="inlineStr">
        <is>
          <t xml:space="preserve">-1*1.45*1.9</t>
        </is>
      </c>
    </row>
    <row r="2945">
      <c r="C2945" s="246" t="inlineStr">
        <is>
          <t xml:space="preserve">Ddt window HW1 (12 nr, 0.9x0.6)</t>
        </is>
      </c>
      <c r="D2945" s="248">
        <v>12</v>
      </c>
      <c r="E2945" s="247">
        <v>0.9</v>
      </c>
      <c r="F2945" s="247">
        <v>0.6</v>
      </c>
      <c r="H2945" s="249">
        <f>-PRODUCT(D2945:G2945)</f>
        <v>-6.48</v>
      </c>
      <c r="J2945" s="253" t="inlineStr">
        <is>
          <t xml:space="preserve">-12*0.9*0.6</t>
        </is>
      </c>
    </row>
    <row r="2946">
      <c r="C2946" s="246" t="inlineStr">
        <is>
          <t xml:space="preserve">Ddt window HW2 (4 nr, 0.75x0.6)</t>
        </is>
      </c>
      <c r="D2946" s="248">
        <v>4</v>
      </c>
      <c r="E2946" s="247">
        <v>0.75</v>
      </c>
      <c r="F2946" s="247">
        <v>0.6</v>
      </c>
      <c r="H2946" s="249">
        <f>-PRODUCT(D2946:G2946)</f>
        <v>-1.7999999999999998</v>
      </c>
      <c r="J2946" s="253" t="inlineStr">
        <is>
          <t xml:space="preserve">-4*0.75*0.6</t>
        </is>
      </c>
    </row>
    <row r="2947">
      <c r="C2947" s="246" t="inlineStr">
        <is>
          <t xml:space="preserve">Ddt window HW3 (1 nr, 0.6x0.6)</t>
        </is>
      </c>
      <c r="D2947" s="248">
        <v>1</v>
      </c>
      <c r="E2947" s="247">
        <v>0.6</v>
      </c>
      <c r="F2947" s="247">
        <v>0.6</v>
      </c>
      <c r="H2947" s="249">
        <f>-PRODUCT(D2947:G2947)</f>
        <v>-0.36</v>
      </c>
      <c r="J2947" s="253" t="inlineStr">
        <is>
          <t xml:space="preserve">-1*0.6*0.6</t>
        </is>
      </c>
    </row>
    <row r="2948">
      <c r="C2948" s="246" t="inlineStr">
        <is>
          <t xml:space="preserve">Ddt window HW4 (1 nr, 1.2x0.6)</t>
        </is>
      </c>
      <c r="D2948" s="248">
        <v>1</v>
      </c>
      <c r="E2948" s="247">
        <v>1.2</v>
      </c>
      <c r="F2948" s="247">
        <v>0.6</v>
      </c>
      <c r="H2948" s="249">
        <f>-PRODUCT(D2948:G2948)</f>
        <v>-0.72</v>
      </c>
      <c r="J2948" s="253" t="inlineStr">
        <is>
          <t xml:space="preserve">-1*1.2*0.6</t>
        </is>
      </c>
    </row>
    <row r="2949">
      <c r="C2949" s="250" t="inlineStr">
        <is>
          <t xml:space="preserve">Total carried to BOQ  5TH FLR item C</t>
        </is>
      </c>
      <c r="D2949" s="250" t="inlineStr">
        <is>
          <t xml:space="preserve"/>
        </is>
      </c>
      <c r="E2949" s="250" t="inlineStr">
        <is>
          <t xml:space="preserve"/>
        </is>
      </c>
      <c r="F2949" s="250" t="inlineStr">
        <is>
          <t xml:space="preserve"/>
        </is>
      </c>
      <c r="G2949" s="250" t="inlineStr">
        <is>
          <t xml:space="preserve"/>
        </is>
      </c>
      <c r="H2949" s="251">
        <f>SUM(H2931:H2948)</f>
        <v>643.7749999999999</v>
      </c>
      <c r="I2949" s="252" t="inlineStr">
        <is>
          <t xml:space="preserve">m2</t>
        </is>
      </c>
    </row>
    <row r="2950">
      <c r="A2950" s="243" t="inlineStr">
        <is>
          <t xml:space="preserve">5TH FLR</t>
        </is>
      </c>
      <c r="B2950" s="243" t="inlineStr">
        <is>
          <t xml:space="preserve">D</t>
        </is>
      </c>
      <c r="C2950" s="244" t="inlineStr">
        <is>
          <t xml:space="preserve">Soffit of plaster board ceilings</t>
        </is>
      </c>
      <c r="I2950" s="245" t="inlineStr">
        <is>
          <t xml:space="preserve">m2</t>
        </is>
      </c>
      <c r="K2950" s="256" t="inlineStr">
        <is>
          <t xml:space="preserve">'5TH FLR '!C243</t>
        </is>
      </c>
    </row>
    <row r="2951">
      <c r="C2951" s="246" t="inlineStr">
        <is>
          <t xml:space="preserve">Fifth floor - Ceiling areas (measured)</t>
        </is>
      </c>
      <c r="H2951" s="247">
        <v>794.7</v>
      </c>
      <c r="J2951" s="253" t="inlineStr">
        <is>
          <t xml:space="preserve">794.7</t>
        </is>
      </c>
    </row>
    <row r="2952">
      <c r="C2952" s="250" t="inlineStr">
        <is>
          <t xml:space="preserve">Total carried to BOQ  5TH FLR item D</t>
        </is>
      </c>
      <c r="D2952" s="250" t="inlineStr">
        <is>
          <t xml:space="preserve"/>
        </is>
      </c>
      <c r="E2952" s="250" t="inlineStr">
        <is>
          <t xml:space="preserve"/>
        </is>
      </c>
      <c r="F2952" s="250" t="inlineStr">
        <is>
          <t xml:space="preserve"/>
        </is>
      </c>
      <c r="G2952" s="250" t="inlineStr">
        <is>
          <t xml:space="preserve"/>
        </is>
      </c>
      <c r="H2952" s="251">
        <f>SUM(H2951:H2951)</f>
        <v>794.7</v>
      </c>
      <c r="I2952" s="252" t="inlineStr">
        <is>
          <t xml:space="preserve">m2</t>
        </is>
      </c>
    </row>
    <row r="2953">
      <c r="A2953" s="243" t="inlineStr">
        <is>
          <t xml:space="preserve">5TH FLR</t>
        </is>
      </c>
      <c r="B2953" s="243" t="inlineStr">
        <is>
          <t xml:space="preserve">E</t>
        </is>
      </c>
      <c r="C2953" s="244" t="inlineStr">
        <is>
          <t xml:space="preserve">Soffit of plaster board ceilings for washrooms</t>
        </is>
      </c>
      <c r="I2953" s="245" t="inlineStr">
        <is>
          <t xml:space="preserve">m2</t>
        </is>
      </c>
      <c r="K2953" s="256" t="inlineStr">
        <is>
          <t xml:space="preserve">'5TH FLR '!C245</t>
        </is>
      </c>
    </row>
    <row r="2954">
      <c r="C2954" s="246" t="inlineStr">
        <is>
          <t xml:space="preserve">Fifth floor - Washroom ceiling areas (measured)</t>
        </is>
      </c>
      <c r="H2954" s="247">
        <v>56.0</v>
      </c>
      <c r="J2954" s="253" t="inlineStr">
        <is>
          <t xml:space="preserve">56.0</t>
        </is>
      </c>
    </row>
    <row r="2955">
      <c r="C2955" s="250" t="inlineStr">
        <is>
          <t xml:space="preserve">Total carried to BOQ  5TH FLR item E</t>
        </is>
      </c>
      <c r="D2955" s="250" t="inlineStr">
        <is>
          <t xml:space="preserve"/>
        </is>
      </c>
      <c r="E2955" s="250" t="inlineStr">
        <is>
          <t xml:space="preserve"/>
        </is>
      </c>
      <c r="F2955" s="250" t="inlineStr">
        <is>
          <t xml:space="preserve"/>
        </is>
      </c>
      <c r="G2955" s="250" t="inlineStr">
        <is>
          <t xml:space="preserve"/>
        </is>
      </c>
      <c r="H2955" s="251">
        <f>SUM(H2954:H2954)</f>
        <v>56.0</v>
      </c>
      <c r="I2955" s="252" t="inlineStr">
        <is>
          <t xml:space="preserve">m2</t>
        </is>
      </c>
    </row>
    <row r="2956" ht="32.2" customHeight="1">
      <c r="A2956" s="243" t="inlineStr">
        <is>
          <t xml:space="preserve">5TH FLR</t>
        </is>
      </c>
      <c r="B2956" s="243" t="inlineStr">
        <is>
          <t xml:space="preserve">F</t>
        </is>
      </c>
      <c r="C2956" s="244" t="inlineStr">
        <is>
          <t xml:space="preserve">Knot, prime, stop and apply two undercoats and one finishing coat of gloss oil paint on general surfaces of woodwork</t>
        </is>
      </c>
      <c r="I2956" s="245" t="inlineStr">
        <is>
          <t xml:space="preserve">m2</t>
        </is>
      </c>
      <c r="K2956" s="256" t="inlineStr">
        <is>
          <t xml:space="preserve">'5TH FLR '!C247</t>
        </is>
      </c>
    </row>
    <row r="2957">
      <c r="C2957" s="246" t="inlineStr">
        <is>
          <t xml:space="preserve">Door leaf D3 (15 nr, 0.9x2.2): nr x w x h x 2 faces</t>
        </is>
      </c>
      <c r="D2957" s="248">
        <v>15</v>
      </c>
      <c r="E2957" s="247">
        <v>0.9</v>
      </c>
      <c r="F2957" s="247">
        <v>2.2</v>
      </c>
      <c r="G2957" s="247">
        <v>2</v>
      </c>
      <c r="H2957" s="249">
        <f>PRODUCT(D2957:G2957)</f>
        <v>59.400000000000006</v>
      </c>
      <c r="J2957" s="253" t="inlineStr">
        <is>
          <t xml:space="preserve">15*0.9*2.2*2</t>
        </is>
      </c>
    </row>
    <row r="2958">
      <c r="C2958" s="246" t="inlineStr">
        <is>
          <t xml:space="preserve">Door leaf D6 (20 nr, 0.75x2.2): nr x w x h x 2 faces</t>
        </is>
      </c>
      <c r="D2958" s="248">
        <v>20</v>
      </c>
      <c r="E2958" s="247">
        <v>0.75</v>
      </c>
      <c r="F2958" s="247">
        <v>2.2</v>
      </c>
      <c r="G2958" s="247">
        <v>2</v>
      </c>
      <c r="H2958" s="249">
        <f>PRODUCT(D2958:G2958)</f>
        <v>66.0</v>
      </c>
      <c r="J2958" s="253" t="inlineStr">
        <is>
          <t xml:space="preserve">20*0.75*2.2*2</t>
        </is>
      </c>
    </row>
    <row r="2959">
      <c r="C2959" s="246" t="inlineStr">
        <is>
          <t xml:space="preserve">Door leaf FD1 (1 nr, 1.5x2.2): nr x w x h x 2 faces</t>
        </is>
      </c>
      <c r="D2959" s="248">
        <v>1</v>
      </c>
      <c r="E2959" s="247">
        <v>1.5</v>
      </c>
      <c r="F2959" s="247">
        <v>2.2</v>
      </c>
      <c r="G2959" s="247">
        <v>2</v>
      </c>
      <c r="H2959" s="249">
        <f>PRODUCT(D2959:G2959)</f>
        <v>6.6000000000000005</v>
      </c>
      <c r="J2959" s="253" t="inlineStr">
        <is>
          <t xml:space="preserve">1*1.5*2.2*2</t>
        </is>
      </c>
    </row>
    <row r="2960">
      <c r="C2960" s="246" t="inlineStr">
        <is>
          <t xml:space="preserve">15*(2*2.2+0.9)*0.25</t>
        </is>
      </c>
      <c r="D2960" s="248">
        <v>15</v>
      </c>
      <c r="E2960" s="247">
        <f>2*2.2+0.9</f>
        <v>5.300000000000001</v>
      </c>
      <c r="F2960" s="247">
        <v>0.25</v>
      </c>
      <c r="H2960" s="249">
        <f>PRODUCT(D2960:G2960)</f>
        <v>19.875000000000004</v>
      </c>
      <c r="J2960" s="253" t="inlineStr">
        <is>
          <t xml:space="preserve">15*(2*2.2+0.9)*0.25</t>
        </is>
      </c>
    </row>
    <row r="2961">
      <c r="C2961" s="246" t="inlineStr">
        <is>
          <t xml:space="preserve">20*(2*2.2+0.75)*0.25</t>
        </is>
      </c>
      <c r="D2961" s="248">
        <v>20</v>
      </c>
      <c r="E2961" s="247">
        <f>2*2.2+0.75</f>
        <v>5.15</v>
      </c>
      <c r="F2961" s="247">
        <v>0.25</v>
      </c>
      <c r="H2961" s="249">
        <f>PRODUCT(D2961:G2961)</f>
        <v>25.75</v>
      </c>
      <c r="J2961" s="253" t="inlineStr">
        <is>
          <t xml:space="preserve">20*(2*2.2+0.75)*0.25</t>
        </is>
      </c>
    </row>
    <row r="2962">
      <c r="C2962" s="246" t="inlineStr">
        <is>
          <t xml:space="preserve">1*(2*2.2+1.5)*0.25</t>
        </is>
      </c>
      <c r="D2962" s="248">
        <v>1</v>
      </c>
      <c r="E2962" s="247">
        <f>2*2.2+1.5</f>
        <v>5.9</v>
      </c>
      <c r="F2962" s="247">
        <v>0.25</v>
      </c>
      <c r="H2962" s="249">
        <f>PRODUCT(D2962:G2962)</f>
        <v>1.475</v>
      </c>
      <c r="J2962" s="253" t="inlineStr">
        <is>
          <t xml:space="preserve">1*(2*2.2+1.5)*0.25</t>
        </is>
      </c>
    </row>
    <row r="2963">
      <c r="C2963" s="250" t="inlineStr">
        <is>
          <t xml:space="preserve">Total carried to BOQ  5TH FLR item F</t>
        </is>
      </c>
      <c r="D2963" s="250" t="inlineStr">
        <is>
          <t xml:space="preserve"/>
        </is>
      </c>
      <c r="E2963" s="250" t="inlineStr">
        <is>
          <t xml:space="preserve"/>
        </is>
      </c>
      <c r="F2963" s="250" t="inlineStr">
        <is>
          <t xml:space="preserve"/>
        </is>
      </c>
      <c r="G2963" s="250" t="inlineStr">
        <is>
          <t xml:space="preserve"/>
        </is>
      </c>
      <c r="H2963" s="251">
        <f>SUM(H2957:H2962)</f>
        <v>179.1</v>
      </c>
      <c r="I2963" s="252" t="inlineStr">
        <is>
          <t xml:space="preserve">m2</t>
        </is>
      </c>
    </row>
    <row r="2964" ht="32.2" customHeight="1">
      <c r="A2964" s="243" t="inlineStr">
        <is>
          <t xml:space="preserve">5TH FLR</t>
        </is>
      </c>
      <c r="B2964" s="243" t="inlineStr">
        <is>
          <t xml:space="preserve">G</t>
        </is>
      </c>
      <c r="C2964" s="244" t="inlineStr">
        <is>
          <t xml:space="preserve">Prepare and apply one coat of aluminium primer on mild steel burglar-proof bars (measured over window opening area)</t>
        </is>
      </c>
      <c r="I2964" s="245" t="inlineStr">
        <is>
          <t xml:space="preserve">m2</t>
        </is>
      </c>
      <c r="K2964" s="256" t="inlineStr">
        <is>
          <t xml:space="preserve">'5TH FLR '!C249</t>
        </is>
      </c>
    </row>
    <row r="2965">
      <c r="C2965" s="246" t="inlineStr">
        <is>
          <t xml:space="preserve">Window W2 (6 nr, 1.8x1.3): nr x w x h</t>
        </is>
      </c>
      <c r="D2965" s="248">
        <v>6</v>
      </c>
      <c r="E2965" s="247">
        <v>1.8</v>
      </c>
      <c r="F2965" s="247">
        <v>1.3</v>
      </c>
      <c r="H2965" s="249">
        <f>PRODUCT(D2965:G2965)</f>
        <v>14.040000000000001</v>
      </c>
      <c r="J2965" s="253" t="inlineStr">
        <is>
          <t xml:space="preserve">6*1.8*1.3</t>
        </is>
      </c>
    </row>
    <row r="2966">
      <c r="C2966" s="246" t="inlineStr">
        <is>
          <t xml:space="preserve">Window W4 (10 nr, 0.9x1.3): nr x w x h</t>
        </is>
      </c>
      <c r="D2966" s="248">
        <v>10</v>
      </c>
      <c r="E2966" s="247">
        <v>0.9</v>
      </c>
      <c r="F2966" s="247">
        <v>1.3</v>
      </c>
      <c r="H2966" s="249">
        <f>PRODUCT(D2966:G2966)</f>
        <v>11.700000000000001</v>
      </c>
      <c r="J2966" s="253" t="inlineStr">
        <is>
          <t xml:space="preserve">10*0.9*1.3</t>
        </is>
      </c>
    </row>
    <row r="2967">
      <c r="C2967" s="246" t="inlineStr">
        <is>
          <t xml:space="preserve">Window W7 (1 nr, 1.8x1.6): nr x w x h</t>
        </is>
      </c>
      <c r="D2967" s="248">
        <v>1</v>
      </c>
      <c r="E2967" s="247">
        <v>1.8</v>
      </c>
      <c r="F2967" s="247">
        <v>1.6</v>
      </c>
      <c r="H2967" s="249">
        <f>PRODUCT(D2967:G2967)</f>
        <v>2.8800000000000003</v>
      </c>
      <c r="J2967" s="253" t="inlineStr">
        <is>
          <t xml:space="preserve">1*1.8*1.6</t>
        </is>
      </c>
    </row>
    <row r="2968">
      <c r="C2968" s="246" t="inlineStr">
        <is>
          <t xml:space="preserve">Window W8 (3 nr, 1.2x1.9): nr x w x h</t>
        </is>
      </c>
      <c r="D2968" s="248">
        <v>3</v>
      </c>
      <c r="E2968" s="247">
        <v>1.2</v>
      </c>
      <c r="F2968" s="247">
        <v>1.9</v>
      </c>
      <c r="H2968" s="249">
        <f>PRODUCT(D2968:G2968)</f>
        <v>6.839999999999999</v>
      </c>
      <c r="J2968" s="253" t="inlineStr">
        <is>
          <t xml:space="preserve">3*1.2*1.9</t>
        </is>
      </c>
    </row>
    <row r="2969">
      <c r="C2969" s="246" t="inlineStr">
        <is>
          <t xml:space="preserve">Window W9 (8 nr, 1.2x1.15): nr x w x h</t>
        </is>
      </c>
      <c r="D2969" s="248">
        <v>8</v>
      </c>
      <c r="E2969" s="247">
        <v>1.2</v>
      </c>
      <c r="F2969" s="247">
        <v>1.15</v>
      </c>
      <c r="H2969" s="249">
        <f>PRODUCT(D2969:G2969)</f>
        <v>11.04</v>
      </c>
      <c r="J2969" s="253" t="inlineStr">
        <is>
          <t xml:space="preserve">8*1.2*1.15</t>
        </is>
      </c>
    </row>
    <row r="2970">
      <c r="C2970" s="246" t="inlineStr">
        <is>
          <t xml:space="preserve">Window W10 (1 nr, 1.2x1.2): nr x w x h</t>
        </is>
      </c>
      <c r="D2970" s="248">
        <v>1</v>
      </c>
      <c r="E2970" s="247">
        <v>1.2</v>
      </c>
      <c r="F2970" s="247">
        <v>1.2</v>
      </c>
      <c r="H2970" s="249">
        <f>PRODUCT(D2970:G2970)</f>
        <v>1.44</v>
      </c>
      <c r="J2970" s="253" t="inlineStr">
        <is>
          <t xml:space="preserve">1*1.2*1.2</t>
        </is>
      </c>
    </row>
    <row r="2971">
      <c r="C2971" s="246" t="inlineStr">
        <is>
          <t xml:space="preserve">Window W11 (6 nr, 1.5x1.3): nr x w x h</t>
        </is>
      </c>
      <c r="D2971" s="248">
        <v>6</v>
      </c>
      <c r="E2971" s="247">
        <v>1.5</v>
      </c>
      <c r="F2971" s="247">
        <v>1.3</v>
      </c>
      <c r="H2971" s="249">
        <f>PRODUCT(D2971:G2971)</f>
        <v>11.700000000000001</v>
      </c>
      <c r="J2971" s="253" t="inlineStr">
        <is>
          <t xml:space="preserve">6*1.5*1.3</t>
        </is>
      </c>
    </row>
    <row r="2972">
      <c r="C2972" s="246" t="inlineStr">
        <is>
          <t xml:space="preserve">Window W12 (3 nr, 1.5x1.15): nr x w x h</t>
        </is>
      </c>
      <c r="D2972" s="248">
        <v>3</v>
      </c>
      <c r="E2972" s="247">
        <v>1.5</v>
      </c>
      <c r="F2972" s="247">
        <v>1.15</v>
      </c>
      <c r="H2972" s="249">
        <f>PRODUCT(D2972:G2972)</f>
        <v>5.175</v>
      </c>
      <c r="J2972" s="253" t="inlineStr">
        <is>
          <t xml:space="preserve">3*1.5*1.15</t>
        </is>
      </c>
    </row>
    <row r="2973">
      <c r="C2973" s="246" t="inlineStr">
        <is>
          <t xml:space="preserve">Window W13 (1 nr, 2.4x1.3): nr x w x h</t>
        </is>
      </c>
      <c r="D2973" s="248">
        <v>1</v>
      </c>
      <c r="E2973" s="247">
        <v>2.4</v>
      </c>
      <c r="F2973" s="247">
        <v>1.3</v>
      </c>
      <c r="H2973" s="249">
        <f>PRODUCT(D2973:G2973)</f>
        <v>3.12</v>
      </c>
      <c r="J2973" s="253" t="inlineStr">
        <is>
          <t xml:space="preserve">1*2.4*1.3</t>
        </is>
      </c>
    </row>
    <row r="2974">
      <c r="C2974" s="246" t="inlineStr">
        <is>
          <t xml:space="preserve">Window W15 (1 nr, 3x1.6): nr x w x h</t>
        </is>
      </c>
      <c r="D2974" s="248">
        <v>1</v>
      </c>
      <c r="E2974" s="247">
        <v>3</v>
      </c>
      <c r="F2974" s="247">
        <v>1.6</v>
      </c>
      <c r="H2974" s="249">
        <f>PRODUCT(D2974:G2974)</f>
        <v>4.800000000000001</v>
      </c>
      <c r="J2974" s="253" t="inlineStr">
        <is>
          <t xml:space="preserve">1*3*1.6</t>
        </is>
      </c>
    </row>
    <row r="2975">
      <c r="C2975" s="246" t="inlineStr">
        <is>
          <t xml:space="preserve">Window W17 (3 nr, 1.8x1.9): nr x w x h</t>
        </is>
      </c>
      <c r="D2975" s="248">
        <v>3</v>
      </c>
      <c r="E2975" s="247">
        <v>1.8</v>
      </c>
      <c r="F2975" s="247">
        <v>1.9</v>
      </c>
      <c r="H2975" s="249">
        <f>PRODUCT(D2975:G2975)</f>
        <v>10.26</v>
      </c>
      <c r="J2975" s="253" t="inlineStr">
        <is>
          <t xml:space="preserve">3*1.8*1.9</t>
        </is>
      </c>
    </row>
    <row r="2976">
      <c r="C2976" s="246" t="inlineStr">
        <is>
          <t xml:space="preserve">Window W18 (1 nr, 0.75x1.3): nr x w x h</t>
        </is>
      </c>
      <c r="D2976" s="248">
        <v>1</v>
      </c>
      <c r="E2976" s="247">
        <v>0.75</v>
      </c>
      <c r="F2976" s="247">
        <v>1.3</v>
      </c>
      <c r="H2976" s="249">
        <f>PRODUCT(D2976:G2976)</f>
        <v>0.9750000000000001</v>
      </c>
      <c r="J2976" s="253" t="inlineStr">
        <is>
          <t xml:space="preserve">1*0.75*1.3</t>
        </is>
      </c>
    </row>
    <row r="2977">
      <c r="C2977" s="246" t="inlineStr">
        <is>
          <t xml:space="preserve">Window W20 (1 nr, 1.45x1.9): nr x w x h</t>
        </is>
      </c>
      <c r="D2977" s="248">
        <v>1</v>
      </c>
      <c r="E2977" s="247">
        <v>1.45</v>
      </c>
      <c r="F2977" s="247">
        <v>1.9</v>
      </c>
      <c r="H2977" s="249">
        <f>PRODUCT(D2977:G2977)</f>
        <v>2.755</v>
      </c>
      <c r="J2977" s="253" t="inlineStr">
        <is>
          <t xml:space="preserve">1*1.45*1.9</t>
        </is>
      </c>
    </row>
    <row r="2978">
      <c r="C2978" s="246" t="inlineStr">
        <is>
          <t xml:space="preserve">Window HW1 (12 nr, 0.9x0.6): nr x w x h</t>
        </is>
      </c>
      <c r="D2978" s="248">
        <v>12</v>
      </c>
      <c r="E2978" s="247">
        <v>0.9</v>
      </c>
      <c r="F2978" s="247">
        <v>0.6</v>
      </c>
      <c r="H2978" s="249">
        <f>PRODUCT(D2978:G2978)</f>
        <v>6.48</v>
      </c>
      <c r="J2978" s="253" t="inlineStr">
        <is>
          <t xml:space="preserve">12*0.9*0.6</t>
        </is>
      </c>
    </row>
    <row r="2979">
      <c r="C2979" s="246" t="inlineStr">
        <is>
          <t xml:space="preserve">Window HW2 (4 nr, 0.75x0.6): nr x w x h</t>
        </is>
      </c>
      <c r="D2979" s="248">
        <v>4</v>
      </c>
      <c r="E2979" s="247">
        <v>0.75</v>
      </c>
      <c r="F2979" s="247">
        <v>0.6</v>
      </c>
      <c r="H2979" s="249">
        <f>PRODUCT(D2979:G2979)</f>
        <v>1.7999999999999998</v>
      </c>
      <c r="J2979" s="253" t="inlineStr">
        <is>
          <t xml:space="preserve">4*0.75*0.6</t>
        </is>
      </c>
    </row>
    <row r="2980">
      <c r="C2980" s="246" t="inlineStr">
        <is>
          <t xml:space="preserve">Window HW3 (1 nr, 0.6x0.6): nr x w x h</t>
        </is>
      </c>
      <c r="D2980" s="248">
        <v>1</v>
      </c>
      <c r="E2980" s="247">
        <v>0.6</v>
      </c>
      <c r="F2980" s="247">
        <v>0.6</v>
      </c>
      <c r="H2980" s="249">
        <f>PRODUCT(D2980:G2980)</f>
        <v>0.36</v>
      </c>
      <c r="J2980" s="253" t="inlineStr">
        <is>
          <t xml:space="preserve">1*0.6*0.6</t>
        </is>
      </c>
    </row>
    <row r="2981">
      <c r="C2981" s="246" t="inlineStr">
        <is>
          <t xml:space="preserve">Window HW4 (1 nr, 1.2x0.6): nr x w x h</t>
        </is>
      </c>
      <c r="D2981" s="248">
        <v>1</v>
      </c>
      <c r="E2981" s="247">
        <v>1.2</v>
      </c>
      <c r="F2981" s="247">
        <v>0.6</v>
      </c>
      <c r="H2981" s="249">
        <f>PRODUCT(D2981:G2981)</f>
        <v>0.72</v>
      </c>
      <c r="J2981" s="253" t="inlineStr">
        <is>
          <t xml:space="preserve">1*1.2*0.6</t>
        </is>
      </c>
    </row>
    <row r="2982">
      <c r="C2982" s="250" t="inlineStr">
        <is>
          <t xml:space="preserve">Total carried to BOQ  5TH FLR item G</t>
        </is>
      </c>
      <c r="D2982" s="250" t="inlineStr">
        <is>
          <t xml:space="preserve"/>
        </is>
      </c>
      <c r="E2982" s="250" t="inlineStr">
        <is>
          <t xml:space="preserve"/>
        </is>
      </c>
      <c r="F2982" s="250" t="inlineStr">
        <is>
          <t xml:space="preserve"/>
        </is>
      </c>
      <c r="G2982" s="250" t="inlineStr">
        <is>
          <t xml:space="preserve"/>
        </is>
      </c>
      <c r="H2982" s="251">
        <f>SUM(H2965:H2981)</f>
        <v>96.085</v>
      </c>
      <c r="I2982" s="252" t="inlineStr">
        <is>
          <t xml:space="preserve">m2</t>
        </is>
      </c>
    </row>
    <row r="2983">
      <c r="C2983" s="242" t="inlineStr">
        <is>
          <t xml:space="preserve">Doors and windows: schedules ARCH-501/502 give building totals only (no tags on plans); quantities are allocated to floors pro-rata to measured habitable / washroom areas. Building totals equal the schedules.</t>
        </is>
      </c>
    </row>
    <row r="2984"/>
    <row r="2985" ht="21" customHeight="1">
      <c r="A2985" s="241" t="inlineStr">
        <is>
          <t xml:space="preserve">BILL NR. 9 - SIXTH FLOOR  -  SIXTH FLOOR</t>
        </is>
      </c>
      <c r="B2985" s="241" t="inlineStr">
        <is>
          <t xml:space="preserve"/>
        </is>
      </c>
      <c r="C2985" s="241" t="inlineStr">
        <is>
          <t xml:space="preserve"/>
        </is>
      </c>
      <c r="D2985" s="241" t="inlineStr">
        <is>
          <t xml:space="preserve"/>
        </is>
      </c>
      <c r="E2985" s="241" t="inlineStr">
        <is>
          <t xml:space="preserve"/>
        </is>
      </c>
      <c r="F2985" s="241" t="inlineStr">
        <is>
          <t xml:space="preserve"/>
        </is>
      </c>
      <c r="G2985" s="241" t="inlineStr">
        <is>
          <t xml:space="preserve"/>
        </is>
      </c>
      <c r="H2985" s="241" t="inlineStr">
        <is>
          <t xml:space="preserve"/>
        </is>
      </c>
      <c r="I2985" s="241" t="inlineStr">
        <is>
          <t xml:space="preserve"/>
        </is>
      </c>
      <c r="J2985" s="241" t="inlineStr">
        <is>
          <t xml:space="preserve"/>
        </is>
      </c>
      <c r="K2985" s="241" t="inlineStr">
        <is>
          <t xml:space="preserve"/>
        </is>
      </c>
    </row>
    <row r="2986">
      <c r="C2986" s="242" t="inlineStr">
        <is>
          <t xml:space="preserve">ELEMENT NO. 1: IN SITU CONCRETE/LARGE PRECAST CONCRETE</t>
        </is>
      </c>
    </row>
    <row r="2987">
      <c r="C2987" s="242" t="inlineStr">
        <is>
          <t xml:space="preserve">Vibrated in-situ concrete C40 as described in:</t>
        </is>
      </c>
    </row>
    <row r="2988">
      <c r="A2988" s="243" t="inlineStr">
        <is>
          <t xml:space="preserve">6TH FLR</t>
        </is>
      </c>
      <c r="B2988" s="243" t="inlineStr">
        <is>
          <t xml:space="preserve">A</t>
        </is>
      </c>
      <c r="C2988" s="244" t="inlineStr">
        <is>
          <t xml:space="preserve">Suspended slab 250mm thick</t>
        </is>
      </c>
      <c r="I2988" s="245" t="inlineStr">
        <is>
          <t xml:space="preserve">m3</t>
        </is>
      </c>
      <c r="K2988" s="256" t="inlineStr">
        <is>
          <t xml:space="preserve">'6TH FLR  '!C34</t>
        </is>
      </c>
    </row>
    <row r="2989">
      <c r="C2989" s="246" t="inlineStr">
        <is>
          <t xml:space="preserve">Sixth floor (+20800) - Suspended slab: measured area x 250 thk</t>
        </is>
      </c>
      <c r="E2989" s="247">
        <v>1134.6</v>
      </c>
      <c r="F2989" s="247">
        <v>0.25</v>
      </c>
      <c r="H2989" s="249">
        <f>PRODUCT(D2989:G2989)</f>
        <v>283.65</v>
      </c>
      <c r="J2989" s="253" t="inlineStr">
        <is>
          <t xml:space="preserve">1134.6*0.25</t>
        </is>
      </c>
    </row>
    <row r="2990">
      <c r="C2990" s="250" t="inlineStr">
        <is>
          <t xml:space="preserve">Total carried to BOQ  6TH FLR item A</t>
        </is>
      </c>
      <c r="D2990" s="250" t="inlineStr">
        <is>
          <t xml:space="preserve"/>
        </is>
      </c>
      <c r="E2990" s="250" t="inlineStr">
        <is>
          <t xml:space="preserve"/>
        </is>
      </c>
      <c r="F2990" s="250" t="inlineStr">
        <is>
          <t xml:space="preserve"/>
        </is>
      </c>
      <c r="G2990" s="250" t="inlineStr">
        <is>
          <t xml:space="preserve"/>
        </is>
      </c>
      <c r="H2990" s="251">
        <f>SUM(H2989:H2989)</f>
        <v>283.65</v>
      </c>
      <c r="I2990" s="252" t="inlineStr">
        <is>
          <t xml:space="preserve">m3</t>
        </is>
      </c>
    </row>
    <row r="2991">
      <c r="A2991" s="243" t="inlineStr">
        <is>
          <t xml:space="preserve">6TH FLR</t>
        </is>
      </c>
      <c r="B2991" s="243" t="inlineStr">
        <is>
          <t xml:space="preserve">B</t>
        </is>
      </c>
      <c r="C2991" s="244" t="inlineStr">
        <is>
          <t xml:space="preserve">Beams (downstands below slab)</t>
        </is>
      </c>
      <c r="I2991" s="245" t="inlineStr">
        <is>
          <t xml:space="preserve">m3</t>
        </is>
      </c>
      <c r="K2991" s="256" t="inlineStr">
        <is>
          <t xml:space="preserve">'6TH FLR  '!C36</t>
        </is>
      </c>
    </row>
    <row r="2992">
      <c r="C2992" s="246" t="inlineStr">
        <is>
          <t xml:space="preserve">Sixth floor (+20800) - 300 wide beams: length x width x depth</t>
        </is>
      </c>
      <c r="E2992" s="247">
        <v>166.8</v>
      </c>
      <c r="F2992" s="247">
        <v>0.3</v>
      </c>
      <c r="G2992" s="247">
        <v>0.35</v>
      </c>
      <c r="H2992" s="249">
        <f>PRODUCT(D2992:G2992)</f>
        <v>17.514</v>
      </c>
      <c r="J2992" s="253" t="inlineStr">
        <is>
          <t xml:space="preserve">166.8*0.3*0.35</t>
        </is>
      </c>
    </row>
    <row r="2993">
      <c r="C2993" s="246" t="inlineStr">
        <is>
          <t xml:space="preserve">Sixth floor (+20800) - 200 wide beams: length x width x depth</t>
        </is>
      </c>
      <c r="E2993" s="247">
        <v>33.1</v>
      </c>
      <c r="F2993" s="247">
        <v>0.2</v>
      </c>
      <c r="G2993" s="247">
        <v>0.35</v>
      </c>
      <c r="H2993" s="249">
        <f>PRODUCT(D2993:G2993)</f>
        <v>2.317</v>
      </c>
      <c r="J2993" s="253" t="inlineStr">
        <is>
          <t xml:space="preserve">33.1*0.2*0.35</t>
        </is>
      </c>
    </row>
    <row r="2994">
      <c r="C2994" s="250" t="inlineStr">
        <is>
          <t xml:space="preserve">Total carried to BOQ  6TH FLR item B</t>
        </is>
      </c>
      <c r="D2994" s="250" t="inlineStr">
        <is>
          <t xml:space="preserve"/>
        </is>
      </c>
      <c r="E2994" s="250" t="inlineStr">
        <is>
          <t xml:space="preserve"/>
        </is>
      </c>
      <c r="F2994" s="250" t="inlineStr">
        <is>
          <t xml:space="preserve"/>
        </is>
      </c>
      <c r="G2994" s="250" t="inlineStr">
        <is>
          <t xml:space="preserve"/>
        </is>
      </c>
      <c r="H2994" s="251">
        <f>SUM(H2992:H2993)</f>
        <v>19.831</v>
      </c>
      <c r="I2994" s="252" t="inlineStr">
        <is>
          <t xml:space="preserve">m3</t>
        </is>
      </c>
    </row>
    <row r="2995">
      <c r="A2995" s="243" t="inlineStr">
        <is>
          <t xml:space="preserve">6TH FLR</t>
        </is>
      </c>
      <c r="B2995" s="243" t="inlineStr">
        <is>
          <t xml:space="preserve">C</t>
        </is>
      </c>
      <c r="C2995" s="244" t="inlineStr">
        <is>
          <t xml:space="preserve">Columns</t>
        </is>
      </c>
      <c r="I2995" s="245" t="inlineStr">
        <is>
          <t xml:space="preserve">m3</t>
        </is>
      </c>
      <c r="K2995" s="256" t="inlineStr">
        <is>
          <t xml:space="preserve">'6TH FLR  '!C38</t>
        </is>
      </c>
    </row>
    <row r="2996">
      <c r="C2996" s="246" t="inlineStr">
        <is>
          <t xml:space="preserve">COL-01A x5 - column (6th to 7th), ht 3.05</t>
        </is>
      </c>
      <c r="D2996" s="248">
        <v>5</v>
      </c>
      <c r="E2996" s="247">
        <v>0.75</v>
      </c>
      <c r="F2996" s="247">
        <v>0.5</v>
      </c>
      <c r="G2996" s="247">
        <v>3.05</v>
      </c>
      <c r="H2996" s="249">
        <f>PRODUCT(D2996:G2996)</f>
        <v>5.71875</v>
      </c>
      <c r="J2996" s="253" t="inlineStr">
        <is>
          <t xml:space="preserve">5*0.75*0.5*3.05</t>
        </is>
      </c>
    </row>
    <row r="2997">
      <c r="C2997" s="246" t="inlineStr">
        <is>
          <t xml:space="preserve">COL-01B x1 - column (6th to 7th), ht 3.05</t>
        </is>
      </c>
      <c r="D2997" s="248">
        <v>1</v>
      </c>
      <c r="E2997" s="247">
        <v>0.75</v>
      </c>
      <c r="F2997" s="247">
        <v>0.5</v>
      </c>
      <c r="G2997" s="247">
        <v>3.05</v>
      </c>
      <c r="H2997" s="249">
        <f>PRODUCT(D2997:G2997)</f>
        <v>1.1437499999999998</v>
      </c>
      <c r="J2997" s="253" t="inlineStr">
        <is>
          <t xml:space="preserve">1*0.75*0.5*3.05</t>
        </is>
      </c>
    </row>
    <row r="2998">
      <c r="C2998" s="246" t="inlineStr">
        <is>
          <t xml:space="preserve">COL-01C x2 - column (6th to 7th), ht 3.05</t>
        </is>
      </c>
      <c r="D2998" s="248">
        <v>2</v>
      </c>
      <c r="E2998" s="247">
        <v>0.75</v>
      </c>
      <c r="F2998" s="247">
        <v>0.5</v>
      </c>
      <c r="G2998" s="247">
        <v>3.05</v>
      </c>
      <c r="H2998" s="249">
        <f>PRODUCT(D2998:G2998)</f>
        <v>2.2874999999999996</v>
      </c>
      <c r="J2998" s="253" t="inlineStr">
        <is>
          <t xml:space="preserve">2*0.75*0.5*3.05</t>
        </is>
      </c>
    </row>
    <row r="2999">
      <c r="C2999" s="246" t="inlineStr">
        <is>
          <t xml:space="preserve">COL-01D x1 - column (6th to 7th), ht 3.05</t>
        </is>
      </c>
      <c r="D2999" s="248">
        <v>1</v>
      </c>
      <c r="E2999" s="247">
        <v>0.75</v>
      </c>
      <c r="F2999" s="247">
        <v>0.5</v>
      </c>
      <c r="G2999" s="247">
        <v>3.05</v>
      </c>
      <c r="H2999" s="249">
        <f>PRODUCT(D2999:G2999)</f>
        <v>1.1437499999999998</v>
      </c>
      <c r="J2999" s="253" t="inlineStr">
        <is>
          <t xml:space="preserve">1*0.75*0.5*3.05</t>
        </is>
      </c>
    </row>
    <row r="3000">
      <c r="C3000" s="246" t="inlineStr">
        <is>
          <t xml:space="preserve">COL-02A x3 - column (6th to 7th), ht 3.05</t>
        </is>
      </c>
      <c r="D3000" s="248">
        <v>3</v>
      </c>
      <c r="E3000" s="247">
        <v>1.2</v>
      </c>
      <c r="F3000" s="247">
        <v>0.3</v>
      </c>
      <c r="G3000" s="247">
        <v>3.05</v>
      </c>
      <c r="H3000" s="249">
        <f>PRODUCT(D3000:G3000)</f>
        <v>3.293999999999999</v>
      </c>
      <c r="J3000" s="253" t="inlineStr">
        <is>
          <t xml:space="preserve">3*1.2*0.3*3.05</t>
        </is>
      </c>
    </row>
    <row r="3001">
      <c r="C3001" s="246" t="inlineStr">
        <is>
          <t xml:space="preserve">COL-02B x6 - column (6th to 7th), ht 3.05</t>
        </is>
      </c>
      <c r="D3001" s="248">
        <v>6</v>
      </c>
      <c r="E3001" s="247">
        <v>1.2</v>
      </c>
      <c r="F3001" s="247">
        <v>0.3</v>
      </c>
      <c r="G3001" s="247">
        <v>3.05</v>
      </c>
      <c r="H3001" s="249">
        <f>PRODUCT(D3001:G3001)</f>
        <v>6.587999999999998</v>
      </c>
      <c r="J3001" s="253" t="inlineStr">
        <is>
          <t xml:space="preserve">6*1.2*0.3*3.05</t>
        </is>
      </c>
    </row>
    <row r="3002">
      <c r="C3002" s="246" t="inlineStr">
        <is>
          <t xml:space="preserve">COL-02C x1 - column (6th to 7th), ht 3.05</t>
        </is>
      </c>
      <c r="D3002" s="248">
        <v>1</v>
      </c>
      <c r="E3002" s="247">
        <v>1.2</v>
      </c>
      <c r="F3002" s="247">
        <v>0.3</v>
      </c>
      <c r="G3002" s="247">
        <v>3.05</v>
      </c>
      <c r="H3002" s="249">
        <f>PRODUCT(D3002:G3002)</f>
        <v>1.0979999999999999</v>
      </c>
      <c r="J3002" s="253" t="inlineStr">
        <is>
          <t xml:space="preserve">1*1.2*0.3*3.05</t>
        </is>
      </c>
    </row>
    <row r="3003">
      <c r="C3003" s="246" t="inlineStr">
        <is>
          <t xml:space="preserve">COL-02D x15 - column (6th to 7th), ht 3.05</t>
        </is>
      </c>
      <c r="D3003" s="248">
        <v>15</v>
      </c>
      <c r="E3003" s="247">
        <v>1.2</v>
      </c>
      <c r="F3003" s="247">
        <v>0.3</v>
      </c>
      <c r="G3003" s="247">
        <v>3.05</v>
      </c>
      <c r="H3003" s="249">
        <f>PRODUCT(D3003:G3003)</f>
        <v>16.47</v>
      </c>
      <c r="J3003" s="253" t="inlineStr">
        <is>
          <t xml:space="preserve">15*1.2*0.3*3.05</t>
        </is>
      </c>
    </row>
    <row r="3004">
      <c r="C3004" s="246" t="inlineStr">
        <is>
          <t xml:space="preserve">SWC-01A x1 - column (6th to 7th), ht 3.05</t>
        </is>
      </c>
      <c r="D3004" s="248">
        <v>1</v>
      </c>
      <c r="E3004" s="247">
        <f>2.85*0.25+0.825*0.25</f>
        <v>0.91875</v>
      </c>
      <c r="F3004" s="247">
        <v>3.05</v>
      </c>
      <c r="H3004" s="249">
        <f>PRODUCT(D3004:G3004)</f>
        <v>2.8021874999999996</v>
      </c>
      <c r="J3004" s="253" t="inlineStr">
        <is>
          <t xml:space="preserve">1*(2.85*0.25+0.825*0.25)*3.05</t>
        </is>
      </c>
    </row>
    <row r="3005">
      <c r="C3005" s="250" t="inlineStr">
        <is>
          <t xml:space="preserve">Total carried to BOQ  6TH FLR item C</t>
        </is>
      </c>
      <c r="D3005" s="250" t="inlineStr">
        <is>
          <t xml:space="preserve"/>
        </is>
      </c>
      <c r="E3005" s="250" t="inlineStr">
        <is>
          <t xml:space="preserve"/>
        </is>
      </c>
      <c r="F3005" s="250" t="inlineStr">
        <is>
          <t xml:space="preserve"/>
        </is>
      </c>
      <c r="G3005" s="250" t="inlineStr">
        <is>
          <t xml:space="preserve"/>
        </is>
      </c>
      <c r="H3005" s="251">
        <f>SUM(H2996:H3004)</f>
        <v>40.545937499999994</v>
      </c>
      <c r="I3005" s="252" t="inlineStr">
        <is>
          <t xml:space="preserve">m3</t>
        </is>
      </c>
    </row>
    <row r="3006">
      <c r="A3006" s="243" t="inlineStr">
        <is>
          <t xml:space="preserve">6TH FLR</t>
        </is>
      </c>
      <c r="B3006" s="243" t="inlineStr">
        <is>
          <t xml:space="preserve">D</t>
        </is>
      </c>
      <c r="C3006" s="244" t="inlineStr">
        <is>
          <t xml:space="preserve">Concrete wall - shear walls to main &amp; emergency stair cores, 250mm thick</t>
        </is>
      </c>
      <c r="I3006" s="245" t="inlineStr">
        <is>
          <t xml:space="preserve">m3</t>
        </is>
      </c>
      <c r="K3006" s="256" t="inlineStr">
        <is>
          <t xml:space="preserve">'6TH FLR  '!C40</t>
        </is>
      </c>
    </row>
    <row r="3007">
      <c r="C3007" s="246" t="inlineStr">
        <is>
          <t xml:space="preserve">Sixth floor (+20800) - main stair core walls (22.05 m run): run x ht x 250 thk</t>
        </is>
      </c>
      <c r="E3007" s="247">
        <v>22.05</v>
      </c>
      <c r="F3007" s="247">
        <v>3.05</v>
      </c>
      <c r="G3007" s="247">
        <v>0.25</v>
      </c>
      <c r="H3007" s="249">
        <f>PRODUCT(D3007:G3007)</f>
        <v>16.813125</v>
      </c>
      <c r="J3007" s="253" t="inlineStr">
        <is>
          <t xml:space="preserve">22.05*3.05*0.25</t>
        </is>
      </c>
    </row>
    <row r="3008">
      <c r="C3008" s="246" t="inlineStr">
        <is>
          <t xml:space="preserve">Sixth floor (+20800) - emergency stair core walls (25.57 m run): run x ht x 250 thk</t>
        </is>
      </c>
      <c r="E3008" s="247">
        <v>25.57</v>
      </c>
      <c r="F3008" s="247">
        <v>3.05</v>
      </c>
      <c r="G3008" s="247">
        <v>0.25</v>
      </c>
      <c r="H3008" s="249">
        <f>PRODUCT(D3008:G3008)</f>
        <v>19.497125</v>
      </c>
      <c r="J3008" s="253" t="inlineStr">
        <is>
          <t xml:space="preserve">25.57*3.05*0.25</t>
        </is>
      </c>
    </row>
    <row r="3009">
      <c r="C3009" s="250" t="inlineStr">
        <is>
          <t xml:space="preserve">Total carried to BOQ  6TH FLR item D</t>
        </is>
      </c>
      <c r="D3009" s="250" t="inlineStr">
        <is>
          <t xml:space="preserve"/>
        </is>
      </c>
      <c r="E3009" s="250" t="inlineStr">
        <is>
          <t xml:space="preserve"/>
        </is>
      </c>
      <c r="F3009" s="250" t="inlineStr">
        <is>
          <t xml:space="preserve"/>
        </is>
      </c>
      <c r="G3009" s="250" t="inlineStr">
        <is>
          <t xml:space="preserve"/>
        </is>
      </c>
      <c r="H3009" s="251">
        <f>SUM(H3007:H3008)</f>
        <v>36.310249999999996</v>
      </c>
      <c r="I3009" s="252" t="inlineStr">
        <is>
          <t xml:space="preserve">m3</t>
        </is>
      </c>
    </row>
    <row r="3010">
      <c r="A3010" s="243" t="inlineStr">
        <is>
          <t xml:space="preserve">6TH FLR</t>
        </is>
      </c>
      <c r="B3010" s="243" t="inlineStr">
        <is>
          <t xml:space="preserve">E</t>
        </is>
      </c>
      <c r="C3010" s="244" t="inlineStr">
        <is>
          <t xml:space="preserve">Concrete wall - lift walls, 250mm thick</t>
        </is>
      </c>
      <c r="I3010" s="245" t="inlineStr">
        <is>
          <t xml:space="preserve">m3</t>
        </is>
      </c>
      <c r="K3010" s="256" t="inlineStr">
        <is>
          <t xml:space="preserve">'6TH FLR  '!C42</t>
        </is>
      </c>
    </row>
    <row r="3011">
      <c r="C3011" s="246" t="inlineStr">
        <is>
          <t xml:space="preserve">Sixth floor (+20800) - lift core walls (21.825 m run): run x ht x 250 thk</t>
        </is>
      </c>
      <c r="E3011" s="247">
        <v>21.825</v>
      </c>
      <c r="F3011" s="247">
        <v>3.05</v>
      </c>
      <c r="G3011" s="247">
        <v>0.25</v>
      </c>
      <c r="H3011" s="249">
        <f>PRODUCT(D3011:G3011)</f>
        <v>16.6415625</v>
      </c>
      <c r="J3011" s="253" t="inlineStr">
        <is>
          <t xml:space="preserve">21.825*3.05*0.25</t>
        </is>
      </c>
    </row>
    <row r="3012">
      <c r="C3012" s="250" t="inlineStr">
        <is>
          <t xml:space="preserve">Total carried to BOQ  6TH FLR item E</t>
        </is>
      </c>
      <c r="D3012" s="250" t="inlineStr">
        <is>
          <t xml:space="preserve"/>
        </is>
      </c>
      <c r="E3012" s="250" t="inlineStr">
        <is>
          <t xml:space="preserve"/>
        </is>
      </c>
      <c r="F3012" s="250" t="inlineStr">
        <is>
          <t xml:space="preserve"/>
        </is>
      </c>
      <c r="G3012" s="250" t="inlineStr">
        <is>
          <t xml:space="preserve"/>
        </is>
      </c>
      <c r="H3012" s="251">
        <f>SUM(H3011:H3011)</f>
        <v>16.6415625</v>
      </c>
      <c r="I3012" s="252" t="inlineStr">
        <is>
          <t xml:space="preserve">m3</t>
        </is>
      </c>
    </row>
    <row r="3013">
      <c r="A3013" s="243" t="inlineStr">
        <is>
          <t xml:space="preserve">6TH FLR</t>
        </is>
      </c>
      <c r="B3013" s="243" t="inlineStr">
        <is>
          <t xml:space="preserve">F</t>
        </is>
      </c>
      <c r="C3013" s="244" t="inlineStr">
        <is>
          <t xml:space="preserve">Stairs</t>
        </is>
      </c>
      <c r="I3013" s="245" t="inlineStr">
        <is>
          <t xml:space="preserve">m3</t>
        </is>
      </c>
      <c r="K3013" s="256" t="inlineStr">
        <is>
          <t xml:space="preserve">'6TH FLR  '!C44</t>
        </is>
      </c>
    </row>
    <row r="3014">
      <c r="C3014" s="246" t="inlineStr">
        <is>
          <t xml:space="preserve">Sixth floor (+20800) - Main stair flight (storey ht 3.3) - flights: 2.966 m3 per 3.3 m storey x (storey ht / 3.3)</t>
        </is>
      </c>
      <c r="E3014" s="247">
        <v>2.966</v>
      </c>
      <c r="F3014" s="247">
        <f>3.3/3.3</f>
        <v>1.0</v>
      </c>
      <c r="H3014" s="249">
        <f>PRODUCT(D3014:G3014)</f>
        <v>2.966</v>
      </c>
      <c r="J3014" s="253" t="inlineStr">
        <is>
          <t xml:space="preserve">2.966*3.3/3.3</t>
        </is>
      </c>
    </row>
    <row r="3015">
      <c r="C3015" s="246" t="inlineStr">
        <is>
          <t xml:space="preserve">Sixth floor (+20800) - Main stair flight (storey ht 3.3) - landings</t>
        </is>
      </c>
      <c r="H3015" s="247">
        <v>2.625</v>
      </c>
      <c r="J3015" s="253" t="inlineStr">
        <is>
          <t xml:space="preserve">2.625</t>
        </is>
      </c>
    </row>
    <row r="3016">
      <c r="C3016" s="246" t="inlineStr">
        <is>
          <t xml:space="preserve">Sixth floor (+20800) - Emergency stair flight (storey ht 3.3) - flights: 2.966 m3 per 3.3 m storey x (storey ht / 3.3)</t>
        </is>
      </c>
      <c r="E3016" s="247">
        <v>2.966</v>
      </c>
      <c r="F3016" s="247">
        <f>3.3/3.3</f>
        <v>1.0</v>
      </c>
      <c r="H3016" s="249">
        <f>PRODUCT(D3016:G3016)</f>
        <v>2.966</v>
      </c>
      <c r="J3016" s="253" t="inlineStr">
        <is>
          <t xml:space="preserve">2.966*3.3/3.3</t>
        </is>
      </c>
    </row>
    <row r="3017">
      <c r="C3017" s="246" t="inlineStr">
        <is>
          <t xml:space="preserve">Sixth floor (+20800) - Emergency stair flight (storey ht 3.3) - landings</t>
        </is>
      </c>
      <c r="H3017" s="247">
        <v>2.625</v>
      </c>
      <c r="J3017" s="253" t="inlineStr">
        <is>
          <t xml:space="preserve">2.625</t>
        </is>
      </c>
    </row>
    <row r="3018">
      <c r="C3018" s="250" t="inlineStr">
        <is>
          <t xml:space="preserve">Total carried to BOQ  6TH FLR item F</t>
        </is>
      </c>
      <c r="D3018" s="250" t="inlineStr">
        <is>
          <t xml:space="preserve"/>
        </is>
      </c>
      <c r="E3018" s="250" t="inlineStr">
        <is>
          <t xml:space="preserve"/>
        </is>
      </c>
      <c r="F3018" s="250" t="inlineStr">
        <is>
          <t xml:space="preserve"/>
        </is>
      </c>
      <c r="G3018" s="250" t="inlineStr">
        <is>
          <t xml:space="preserve"/>
        </is>
      </c>
      <c r="H3018" s="251">
        <f>SUM(H3014:H3017)</f>
        <v>11.182</v>
      </c>
      <c r="I3018" s="252" t="inlineStr">
        <is>
          <t xml:space="preserve">m3</t>
        </is>
      </c>
    </row>
    <row r="3019">
      <c r="A3019" s="243" t="inlineStr">
        <is>
          <t xml:space="preserve">6TH FLR</t>
        </is>
      </c>
      <c r="B3019" s="243" t="inlineStr">
        <is>
          <t xml:space="preserve">G</t>
        </is>
      </c>
      <c r="C3019" s="244" t="inlineStr">
        <is>
          <t xml:space="preserve">Lintels 150 x 225mm over door and window openings</t>
        </is>
      </c>
      <c r="I3019" s="245" t="inlineStr">
        <is>
          <t xml:space="preserve">m3</t>
        </is>
      </c>
      <c r="K3019" s="256" t="inlineStr">
        <is>
          <t xml:space="preserve">'6TH FLR  '!C46</t>
        </is>
      </c>
    </row>
    <row r="3020">
      <c r="C3020" s="246" t="inlineStr">
        <is>
          <t xml:space="preserve">Lintel over D2 (8 nr, 1x2.2): nr x (width + 2 x 150 bearing) x 150 x 225</t>
        </is>
      </c>
      <c r="D3020" s="248">
        <v>8</v>
      </c>
      <c r="E3020" s="247">
        <f>1+0.3</f>
        <v>1.3</v>
      </c>
      <c r="F3020" s="247">
        <v>0.15</v>
      </c>
      <c r="G3020" s="247">
        <v>0.225</v>
      </c>
      <c r="H3020" s="249">
        <f>PRODUCT(D3020:G3020)</f>
        <v>0.35100000000000003</v>
      </c>
      <c r="J3020" s="253" t="inlineStr">
        <is>
          <t xml:space="preserve">8*(1+0.3)*0.15*0.225</t>
        </is>
      </c>
    </row>
    <row r="3021">
      <c r="C3021" s="246" t="inlineStr">
        <is>
          <t xml:space="preserve">Lintel over D3 (15 nr, 0.9x2.2): nr x (width + 2 x 150 bearing) x 150 x 225</t>
        </is>
      </c>
      <c r="D3021" s="248">
        <v>15</v>
      </c>
      <c r="E3021" s="247">
        <f>0.9+0.3</f>
        <v>1.2</v>
      </c>
      <c r="F3021" s="247">
        <v>0.15</v>
      </c>
      <c r="G3021" s="247">
        <v>0.225</v>
      </c>
      <c r="H3021" s="249">
        <f>PRODUCT(D3021:G3021)</f>
        <v>0.6074999999999999</v>
      </c>
      <c r="J3021" s="253" t="inlineStr">
        <is>
          <t xml:space="preserve">15*(0.9+0.3)*0.15*0.225</t>
        </is>
      </c>
    </row>
    <row r="3022">
      <c r="C3022" s="246" t="inlineStr">
        <is>
          <t xml:space="preserve">Lintel over D6 (21 nr, 0.75x2.2): nr x (width + 2 x 150 bearing) x 150 x 225</t>
        </is>
      </c>
      <c r="D3022" s="248">
        <v>21</v>
      </c>
      <c r="E3022" s="247">
        <f>0.75+0.3</f>
        <v>1.05</v>
      </c>
      <c r="F3022" s="247">
        <v>0.15</v>
      </c>
      <c r="G3022" s="247">
        <v>0.225</v>
      </c>
      <c r="H3022" s="249">
        <f>PRODUCT(D3022:G3022)</f>
        <v>0.7441875</v>
      </c>
      <c r="J3022" s="253" t="inlineStr">
        <is>
          <t xml:space="preserve">21*(0.75+0.3)*0.15*0.225</t>
        </is>
      </c>
    </row>
    <row r="3023">
      <c r="C3023" s="246" t="inlineStr">
        <is>
          <t xml:space="preserve">Lintel over D7 (1 nr, 0.7x2.2): nr x (width + 2 x 150 bearing) x 150 x 225</t>
        </is>
      </c>
      <c r="D3023" s="248">
        <v>1</v>
      </c>
      <c r="E3023" s="247">
        <f>0.7+0.3</f>
        <v>1.0</v>
      </c>
      <c r="F3023" s="247">
        <v>0.15</v>
      </c>
      <c r="G3023" s="247">
        <v>0.225</v>
      </c>
      <c r="H3023" s="249">
        <f>PRODUCT(D3023:G3023)</f>
        <v>0.03375</v>
      </c>
      <c r="J3023" s="253" t="inlineStr">
        <is>
          <t xml:space="preserve">1*(0.7+0.3)*0.15*0.225</t>
        </is>
      </c>
    </row>
    <row r="3024">
      <c r="C3024" s="246" t="inlineStr">
        <is>
          <t xml:space="preserve">Lintel over D8 (3 nr, 1.2x2.2): nr x (width + 2 x 150 bearing) x 150 x 225</t>
        </is>
      </c>
      <c r="D3024" s="248">
        <v>3</v>
      </c>
      <c r="E3024" s="247">
        <f>1.2+0.3</f>
        <v>1.5</v>
      </c>
      <c r="F3024" s="247">
        <v>0.15</v>
      </c>
      <c r="G3024" s="247">
        <v>0.225</v>
      </c>
      <c r="H3024" s="249">
        <f>PRODUCT(D3024:G3024)</f>
        <v>0.15187499999999998</v>
      </c>
      <c r="J3024" s="253" t="inlineStr">
        <is>
          <t xml:space="preserve">3*(1.2+0.3)*0.15*0.225</t>
        </is>
      </c>
    </row>
    <row r="3025">
      <c r="C3025" s="246" t="inlineStr">
        <is>
          <t xml:space="preserve">Lintel over ED1 (3 nr, 1x2.2): nr x (width + 2 x 150 bearing) x 150 x 225</t>
        </is>
      </c>
      <c r="D3025" s="248">
        <v>3</v>
      </c>
      <c r="E3025" s="247">
        <f>1+0.3</f>
        <v>1.3</v>
      </c>
      <c r="F3025" s="247">
        <v>0.15</v>
      </c>
      <c r="G3025" s="247">
        <v>0.225</v>
      </c>
      <c r="H3025" s="249">
        <f>PRODUCT(D3025:G3025)</f>
        <v>0.13162500000000002</v>
      </c>
      <c r="J3025" s="253" t="inlineStr">
        <is>
          <t xml:space="preserve">3*(1+0.3)*0.15*0.225</t>
        </is>
      </c>
    </row>
    <row r="3026">
      <c r="C3026" s="246" t="inlineStr">
        <is>
          <t xml:space="preserve">Lintel over ED2 (3 nr, 1x2.2): nr x (width + 2 x 150 bearing) x 150 x 225</t>
        </is>
      </c>
      <c r="D3026" s="248">
        <v>3</v>
      </c>
      <c r="E3026" s="247">
        <f>1+0.3</f>
        <v>1.3</v>
      </c>
      <c r="F3026" s="247">
        <v>0.15</v>
      </c>
      <c r="G3026" s="247">
        <v>0.225</v>
      </c>
      <c r="H3026" s="249">
        <f>PRODUCT(D3026:G3026)</f>
        <v>0.13162500000000002</v>
      </c>
      <c r="J3026" s="253" t="inlineStr">
        <is>
          <t xml:space="preserve">3*(1+0.3)*0.15*0.225</t>
        </is>
      </c>
    </row>
    <row r="3027">
      <c r="C3027" s="246" t="inlineStr">
        <is>
          <t xml:space="preserve">Lintel over D9 (1 nr, 0.9x2.2): nr x (width + 2 x 150 bearing) x 150 x 225</t>
        </is>
      </c>
      <c r="D3027" s="248">
        <v>1</v>
      </c>
      <c r="E3027" s="247">
        <f>0.9+0.3</f>
        <v>1.2</v>
      </c>
      <c r="F3027" s="247">
        <v>0.15</v>
      </c>
      <c r="G3027" s="247">
        <v>0.225</v>
      </c>
      <c r="H3027" s="249">
        <f>PRODUCT(D3027:G3027)</f>
        <v>0.0405</v>
      </c>
      <c r="J3027" s="253" t="inlineStr">
        <is>
          <t xml:space="preserve">1*(0.9+0.3)*0.15*0.225</t>
        </is>
      </c>
    </row>
    <row r="3028">
      <c r="C3028" s="246" t="inlineStr">
        <is>
          <t xml:space="preserve">Lintel over FD1 (1 nr, 1.5x2.2): nr x (width + 2 x 150 bearing) x 150 x 225</t>
        </is>
      </c>
      <c r="D3028" s="248">
        <v>1</v>
      </c>
      <c r="E3028" s="247">
        <f>1.5+0.3</f>
        <v>1.8</v>
      </c>
      <c r="F3028" s="247">
        <v>0.15</v>
      </c>
      <c r="G3028" s="247">
        <v>0.225</v>
      </c>
      <c r="H3028" s="249">
        <f>PRODUCT(D3028:G3028)</f>
        <v>0.060750000000000005</v>
      </c>
      <c r="J3028" s="253" t="inlineStr">
        <is>
          <t xml:space="preserve">1*(1.5+0.3)*0.15*0.225</t>
        </is>
      </c>
    </row>
    <row r="3029">
      <c r="C3029" s="246" t="inlineStr">
        <is>
          <t xml:space="preserve">Lintel over M1 (2 nr, 0.9x2.2): nr x (width + 2 x 150 bearing) x 150 x 225</t>
        </is>
      </c>
      <c r="D3029" s="248">
        <v>2</v>
      </c>
      <c r="E3029" s="247">
        <f>0.9+0.3</f>
        <v>1.2</v>
      </c>
      <c r="F3029" s="247">
        <v>0.15</v>
      </c>
      <c r="G3029" s="247">
        <v>0.225</v>
      </c>
      <c r="H3029" s="249">
        <f>PRODUCT(D3029:G3029)</f>
        <v>0.081</v>
      </c>
      <c r="J3029" s="253" t="inlineStr">
        <is>
          <t xml:space="preserve">2*(0.9+0.3)*0.15*0.225</t>
        </is>
      </c>
    </row>
    <row r="3030">
      <c r="C3030" s="246" t="inlineStr">
        <is>
          <t xml:space="preserve">Lintel over M2 (5 nr, 0.75x2.2): nr x (width + 2 x 150 bearing) x 150 x 225</t>
        </is>
      </c>
      <c r="D3030" s="248">
        <v>5</v>
      </c>
      <c r="E3030" s="247">
        <f>0.75+0.3</f>
        <v>1.05</v>
      </c>
      <c r="F3030" s="247">
        <v>0.15</v>
      </c>
      <c r="G3030" s="247">
        <v>0.225</v>
      </c>
      <c r="H3030" s="249">
        <f>PRODUCT(D3030:G3030)</f>
        <v>0.1771875</v>
      </c>
      <c r="J3030" s="253" t="inlineStr">
        <is>
          <t xml:space="preserve">5*(0.75+0.3)*0.15*0.225</t>
        </is>
      </c>
    </row>
    <row r="3031">
      <c r="C3031" s="246" t="inlineStr">
        <is>
          <t xml:space="preserve">Lintel over M3 (1 nr, 0.45x2.2): nr x (width + 2 x 150 bearing) x 150 x 225</t>
        </is>
      </c>
      <c r="D3031" s="248">
        <v>1</v>
      </c>
      <c r="E3031" s="247">
        <f>0.45+0.3</f>
        <v>0.75</v>
      </c>
      <c r="F3031" s="247">
        <v>0.15</v>
      </c>
      <c r="G3031" s="247">
        <v>0.225</v>
      </c>
      <c r="H3031" s="249">
        <f>PRODUCT(D3031:G3031)</f>
        <v>0.025312499999999998</v>
      </c>
      <c r="J3031" s="253" t="inlineStr">
        <is>
          <t xml:space="preserve">1*(0.45+0.3)*0.15*0.225</t>
        </is>
      </c>
    </row>
    <row r="3032">
      <c r="C3032" s="246" t="inlineStr">
        <is>
          <t xml:space="preserve">Lintel over M5 (3 nr, 0.6x2.2): nr x (width + 2 x 150 bearing) x 150 x 225</t>
        </is>
      </c>
      <c r="D3032" s="248">
        <v>3</v>
      </c>
      <c r="E3032" s="247">
        <f>0.6+0.3</f>
        <v>0.8999999999999999</v>
      </c>
      <c r="F3032" s="247">
        <v>0.15</v>
      </c>
      <c r="G3032" s="247">
        <v>0.225</v>
      </c>
      <c r="H3032" s="249">
        <f>PRODUCT(D3032:G3032)</f>
        <v>0.091125</v>
      </c>
      <c r="J3032" s="253" t="inlineStr">
        <is>
          <t xml:space="preserve">3*(0.6+0.3)*0.15*0.225</t>
        </is>
      </c>
    </row>
    <row r="3033">
      <c r="C3033" s="246" t="inlineStr">
        <is>
          <t xml:space="preserve">Lintel over SD1 (1 nr, 3x2.2): nr x (width + 2 x 150 bearing) x 150 x 225</t>
        </is>
      </c>
      <c r="D3033" s="248">
        <v>1</v>
      </c>
      <c r="E3033" s="247">
        <f>3+0.3</f>
        <v>3.3</v>
      </c>
      <c r="F3033" s="247">
        <v>0.15</v>
      </c>
      <c r="G3033" s="247">
        <v>0.225</v>
      </c>
      <c r="H3033" s="249">
        <f>PRODUCT(D3033:G3033)</f>
        <v>0.11137499999999999</v>
      </c>
      <c r="J3033" s="253" t="inlineStr">
        <is>
          <t xml:space="preserve">1*(3+0.3)*0.15*0.225</t>
        </is>
      </c>
    </row>
    <row r="3034">
      <c r="C3034" s="246" t="inlineStr">
        <is>
          <t xml:space="preserve">Lintel over SD2 (4 nr, 1.6x2.2): nr x (width + 2 x 150 bearing) x 150 x 225</t>
        </is>
      </c>
      <c r="D3034" s="248">
        <v>4</v>
      </c>
      <c r="E3034" s="247">
        <f>1.6+0.3</f>
        <v>1.9000000000000001</v>
      </c>
      <c r="F3034" s="247">
        <v>0.15</v>
      </c>
      <c r="G3034" s="247">
        <v>0.225</v>
      </c>
      <c r="H3034" s="249">
        <f>PRODUCT(D3034:G3034)</f>
        <v>0.25650000000000006</v>
      </c>
      <c r="J3034" s="253" t="inlineStr">
        <is>
          <t xml:space="preserve">4*(1.6+0.3)*0.15*0.225</t>
        </is>
      </c>
    </row>
    <row r="3035">
      <c r="C3035" s="246" t="inlineStr">
        <is>
          <t xml:space="preserve">Lintel over SD3 (2 nr, 1.3x2.2): nr x (width + 2 x 150 bearing) x 150 x 225</t>
        </is>
      </c>
      <c r="D3035" s="248">
        <v>2</v>
      </c>
      <c r="E3035" s="247">
        <f>1.3+0.3</f>
        <v>1.6</v>
      </c>
      <c r="F3035" s="247">
        <v>0.15</v>
      </c>
      <c r="G3035" s="247">
        <v>0.225</v>
      </c>
      <c r="H3035" s="249">
        <f>PRODUCT(D3035:G3035)</f>
        <v>0.108</v>
      </c>
      <c r="J3035" s="253" t="inlineStr">
        <is>
          <t xml:space="preserve">2*(1.3+0.3)*0.15*0.225</t>
        </is>
      </c>
    </row>
    <row r="3036">
      <c r="C3036" s="246" t="inlineStr">
        <is>
          <t xml:space="preserve">Lintel over SD4 (4 nr, 1.8x2.2): nr x (width + 2 x 150 bearing) x 150 x 225</t>
        </is>
      </c>
      <c r="D3036" s="248">
        <v>4</v>
      </c>
      <c r="E3036" s="247">
        <f>1.8+0.3</f>
        <v>2.1</v>
      </c>
      <c r="F3036" s="247">
        <v>0.15</v>
      </c>
      <c r="G3036" s="247">
        <v>0.225</v>
      </c>
      <c r="H3036" s="249">
        <f>PRODUCT(D3036:G3036)</f>
        <v>0.28350000000000003</v>
      </c>
      <c r="J3036" s="253" t="inlineStr">
        <is>
          <t xml:space="preserve">4*(1.8+0.3)*0.15*0.225</t>
        </is>
      </c>
    </row>
    <row r="3037">
      <c r="C3037" s="246" t="inlineStr">
        <is>
          <t xml:space="preserve">Lintel over SD5 (1 nr, 1.2x2.2): nr x (width + 2 x 150 bearing) x 150 x 225</t>
        </is>
      </c>
      <c r="D3037" s="248">
        <v>1</v>
      </c>
      <c r="E3037" s="247">
        <f>1.2+0.3</f>
        <v>1.5</v>
      </c>
      <c r="F3037" s="247">
        <v>0.15</v>
      </c>
      <c r="G3037" s="247">
        <v>0.225</v>
      </c>
      <c r="H3037" s="249">
        <f>PRODUCT(D3037:G3037)</f>
        <v>0.050624999999999996</v>
      </c>
      <c r="J3037" s="253" t="inlineStr">
        <is>
          <t xml:space="preserve">1*(1.2+0.3)*0.15*0.225</t>
        </is>
      </c>
    </row>
    <row r="3038">
      <c r="C3038" s="246" t="inlineStr">
        <is>
          <t xml:space="preserve">Lintel over W2 (6 nr, 1.8x1.3): nr x (width + 2 x 150 bearing) x 150 x 225</t>
        </is>
      </c>
      <c r="D3038" s="248">
        <v>6</v>
      </c>
      <c r="E3038" s="247">
        <f>1.8+0.3</f>
        <v>2.1</v>
      </c>
      <c r="F3038" s="247">
        <v>0.15</v>
      </c>
      <c r="G3038" s="247">
        <v>0.225</v>
      </c>
      <c r="H3038" s="249">
        <f>PRODUCT(D3038:G3038)</f>
        <v>0.42525</v>
      </c>
      <c r="J3038" s="253" t="inlineStr">
        <is>
          <t xml:space="preserve">6*(1.8+0.3)*0.15*0.225</t>
        </is>
      </c>
    </row>
    <row r="3039">
      <c r="C3039" s="246" t="inlineStr">
        <is>
          <t xml:space="preserve">Lintel over W4 (10 nr, 0.9x1.3): nr x (width + 2 x 150 bearing) x 150 x 225</t>
        </is>
      </c>
      <c r="D3039" s="248">
        <v>10</v>
      </c>
      <c r="E3039" s="247">
        <f>0.9+0.3</f>
        <v>1.2</v>
      </c>
      <c r="F3039" s="247">
        <v>0.15</v>
      </c>
      <c r="G3039" s="247">
        <v>0.225</v>
      </c>
      <c r="H3039" s="249">
        <f>PRODUCT(D3039:G3039)</f>
        <v>0.40499999999999997</v>
      </c>
      <c r="J3039" s="253" t="inlineStr">
        <is>
          <t xml:space="preserve">10*(0.9+0.3)*0.15*0.225</t>
        </is>
      </c>
    </row>
    <row r="3040">
      <c r="C3040" s="246" t="inlineStr">
        <is>
          <t xml:space="preserve">Lintel over W7 (2 nr, 1.8x1.6): nr x (width + 2 x 150 bearing) x 150 x 225</t>
        </is>
      </c>
      <c r="D3040" s="248">
        <v>2</v>
      </c>
      <c r="E3040" s="247">
        <f>1.8+0.3</f>
        <v>2.1</v>
      </c>
      <c r="F3040" s="247">
        <v>0.15</v>
      </c>
      <c r="G3040" s="247">
        <v>0.225</v>
      </c>
      <c r="H3040" s="249">
        <f>PRODUCT(D3040:G3040)</f>
        <v>0.14175000000000001</v>
      </c>
      <c r="J3040" s="253" t="inlineStr">
        <is>
          <t xml:space="preserve">2*(1.8+0.3)*0.15*0.225</t>
        </is>
      </c>
    </row>
    <row r="3041">
      <c r="C3041" s="246" t="inlineStr">
        <is>
          <t xml:space="preserve">Lintel over W8 (3 nr, 1.2x1.9): nr x (width + 2 x 150 bearing) x 150 x 225</t>
        </is>
      </c>
      <c r="D3041" s="248">
        <v>3</v>
      </c>
      <c r="E3041" s="247">
        <f>1.2+0.3</f>
        <v>1.5</v>
      </c>
      <c r="F3041" s="247">
        <v>0.15</v>
      </c>
      <c r="G3041" s="247">
        <v>0.225</v>
      </c>
      <c r="H3041" s="249">
        <f>PRODUCT(D3041:G3041)</f>
        <v>0.15187499999999998</v>
      </c>
      <c r="J3041" s="253" t="inlineStr">
        <is>
          <t xml:space="preserve">3*(1.2+0.3)*0.15*0.225</t>
        </is>
      </c>
    </row>
    <row r="3042">
      <c r="C3042" s="246" t="inlineStr">
        <is>
          <t xml:space="preserve">Lintel over W9 (8 nr, 1.2x1.15): nr x (width + 2 x 150 bearing) x 150 x 225</t>
        </is>
      </c>
      <c r="D3042" s="248">
        <v>8</v>
      </c>
      <c r="E3042" s="247">
        <f>1.2+0.3</f>
        <v>1.5</v>
      </c>
      <c r="F3042" s="247">
        <v>0.15</v>
      </c>
      <c r="G3042" s="247">
        <v>0.225</v>
      </c>
      <c r="H3042" s="249">
        <f>PRODUCT(D3042:G3042)</f>
        <v>0.40499999999999997</v>
      </c>
      <c r="J3042" s="253" t="inlineStr">
        <is>
          <t xml:space="preserve">8*(1.2+0.3)*0.15*0.225</t>
        </is>
      </c>
    </row>
    <row r="3043">
      <c r="C3043" s="246" t="inlineStr">
        <is>
          <t xml:space="preserve">Lintel over W10 (1 nr, 1.2x1.2): nr x (width + 2 x 150 bearing) x 150 x 225</t>
        </is>
      </c>
      <c r="D3043" s="248">
        <v>1</v>
      </c>
      <c r="E3043" s="247">
        <f>1.2+0.3</f>
        <v>1.5</v>
      </c>
      <c r="F3043" s="247">
        <v>0.15</v>
      </c>
      <c r="G3043" s="247">
        <v>0.225</v>
      </c>
      <c r="H3043" s="249">
        <f>PRODUCT(D3043:G3043)</f>
        <v>0.050624999999999996</v>
      </c>
      <c r="J3043" s="253" t="inlineStr">
        <is>
          <t xml:space="preserve">1*(1.2+0.3)*0.15*0.225</t>
        </is>
      </c>
    </row>
    <row r="3044">
      <c r="C3044" s="246" t="inlineStr">
        <is>
          <t xml:space="preserve">Lintel over W11 (6 nr, 1.5x1.3): nr x (width + 2 x 150 bearing) x 150 x 225</t>
        </is>
      </c>
      <c r="D3044" s="248">
        <v>6</v>
      </c>
      <c r="E3044" s="247">
        <f>1.5+0.3</f>
        <v>1.8</v>
      </c>
      <c r="F3044" s="247">
        <v>0.15</v>
      </c>
      <c r="G3044" s="247">
        <v>0.225</v>
      </c>
      <c r="H3044" s="249">
        <f>PRODUCT(D3044:G3044)</f>
        <v>0.36450000000000005</v>
      </c>
      <c r="J3044" s="253" t="inlineStr">
        <is>
          <t xml:space="preserve">6*(1.5+0.3)*0.15*0.225</t>
        </is>
      </c>
    </row>
    <row r="3045">
      <c r="C3045" s="246" t="inlineStr">
        <is>
          <t xml:space="preserve">Lintel over W12 (4 nr, 1.5x1.15): nr x (width + 2 x 150 bearing) x 150 x 225</t>
        </is>
      </c>
      <c r="D3045" s="248">
        <v>4</v>
      </c>
      <c r="E3045" s="247">
        <f>1.5+0.3</f>
        <v>1.8</v>
      </c>
      <c r="F3045" s="247">
        <v>0.15</v>
      </c>
      <c r="G3045" s="247">
        <v>0.225</v>
      </c>
      <c r="H3045" s="249">
        <f>PRODUCT(D3045:G3045)</f>
        <v>0.24300000000000002</v>
      </c>
      <c r="J3045" s="253" t="inlineStr">
        <is>
          <t xml:space="preserve">4*(1.5+0.3)*0.15*0.225</t>
        </is>
      </c>
    </row>
    <row r="3046">
      <c r="C3046" s="246" t="inlineStr">
        <is>
          <t xml:space="preserve">Lintel over W13 (1 nr, 2.4x1.3): nr x (width + 2 x 150 bearing) x 150 x 225</t>
        </is>
      </c>
      <c r="D3046" s="248">
        <v>1</v>
      </c>
      <c r="E3046" s="247">
        <f>2.4+0.3</f>
        <v>2.6999999999999997</v>
      </c>
      <c r="F3046" s="247">
        <v>0.15</v>
      </c>
      <c r="G3046" s="247">
        <v>0.225</v>
      </c>
      <c r="H3046" s="249">
        <f>PRODUCT(D3046:G3046)</f>
        <v>0.091125</v>
      </c>
      <c r="J3046" s="253" t="inlineStr">
        <is>
          <t xml:space="preserve">1*(2.4+0.3)*0.15*0.225</t>
        </is>
      </c>
    </row>
    <row r="3047">
      <c r="C3047" s="246" t="inlineStr">
        <is>
          <t xml:space="preserve">Lintel over W15 (1 nr, 3x1.6): nr x (width + 2 x 150 bearing) x 150 x 225</t>
        </is>
      </c>
      <c r="D3047" s="248">
        <v>1</v>
      </c>
      <c r="E3047" s="247">
        <f>3+0.3</f>
        <v>3.3</v>
      </c>
      <c r="F3047" s="247">
        <v>0.15</v>
      </c>
      <c r="G3047" s="247">
        <v>0.225</v>
      </c>
      <c r="H3047" s="249">
        <f>PRODUCT(D3047:G3047)</f>
        <v>0.11137499999999999</v>
      </c>
      <c r="J3047" s="253" t="inlineStr">
        <is>
          <t xml:space="preserve">1*(3+0.3)*0.15*0.225</t>
        </is>
      </c>
    </row>
    <row r="3048">
      <c r="C3048" s="246" t="inlineStr">
        <is>
          <t xml:space="preserve">Lintel over W17 (3 nr, 1.8x1.9): nr x (width + 2 x 150 bearing) x 150 x 225</t>
        </is>
      </c>
      <c r="D3048" s="248">
        <v>3</v>
      </c>
      <c r="E3048" s="247">
        <f>1.8+0.3</f>
        <v>2.1</v>
      </c>
      <c r="F3048" s="247">
        <v>0.15</v>
      </c>
      <c r="G3048" s="247">
        <v>0.225</v>
      </c>
      <c r="H3048" s="249">
        <f>PRODUCT(D3048:G3048)</f>
        <v>0.212625</v>
      </c>
      <c r="J3048" s="253" t="inlineStr">
        <is>
          <t xml:space="preserve">3*(1.8+0.3)*0.15*0.225</t>
        </is>
      </c>
    </row>
    <row r="3049">
      <c r="C3049" s="246" t="inlineStr">
        <is>
          <t xml:space="preserve">Lintel over W18 (1 nr, 0.75x1.3): nr x (width + 2 x 150 bearing) x 150 x 225</t>
        </is>
      </c>
      <c r="D3049" s="248">
        <v>1</v>
      </c>
      <c r="E3049" s="247">
        <f>0.75+0.3</f>
        <v>1.05</v>
      </c>
      <c r="F3049" s="247">
        <v>0.15</v>
      </c>
      <c r="G3049" s="247">
        <v>0.225</v>
      </c>
      <c r="H3049" s="249">
        <f>PRODUCT(D3049:G3049)</f>
        <v>0.035437500000000004</v>
      </c>
      <c r="J3049" s="253" t="inlineStr">
        <is>
          <t xml:space="preserve">1*(0.75+0.3)*0.15*0.225</t>
        </is>
      </c>
    </row>
    <row r="3050">
      <c r="C3050" s="246" t="inlineStr">
        <is>
          <t xml:space="preserve">Lintel over W20 (1 nr, 1.45x1.9): nr x (width + 2 x 150 bearing) x 150 x 225</t>
        </is>
      </c>
      <c r="D3050" s="248">
        <v>1</v>
      </c>
      <c r="E3050" s="247">
        <f>1.45+0.3</f>
        <v>1.75</v>
      </c>
      <c r="F3050" s="247">
        <v>0.15</v>
      </c>
      <c r="G3050" s="247">
        <v>0.225</v>
      </c>
      <c r="H3050" s="249">
        <f>PRODUCT(D3050:G3050)</f>
        <v>0.059062500000000004</v>
      </c>
      <c r="J3050" s="253" t="inlineStr">
        <is>
          <t xml:space="preserve">1*(1.45+0.3)*0.15*0.225</t>
        </is>
      </c>
    </row>
    <row r="3051">
      <c r="C3051" s="246" t="inlineStr">
        <is>
          <t xml:space="preserve">Lintel over HW1 (13 nr, 0.9x0.6): nr x (width + 2 x 150 bearing) x 150 x 225</t>
        </is>
      </c>
      <c r="D3051" s="248">
        <v>13</v>
      </c>
      <c r="E3051" s="247">
        <f>0.9+0.3</f>
        <v>1.2</v>
      </c>
      <c r="F3051" s="247">
        <v>0.15</v>
      </c>
      <c r="G3051" s="247">
        <v>0.225</v>
      </c>
      <c r="H3051" s="249">
        <f>PRODUCT(D3051:G3051)</f>
        <v>0.5265</v>
      </c>
      <c r="J3051" s="253" t="inlineStr">
        <is>
          <t xml:space="preserve">13*(0.9+0.3)*0.15*0.225</t>
        </is>
      </c>
    </row>
    <row r="3052">
      <c r="C3052" s="246" t="inlineStr">
        <is>
          <t xml:space="preserve">Lintel over HW2 (5 nr, 0.75x0.6): nr x (width + 2 x 150 bearing) x 150 x 225</t>
        </is>
      </c>
      <c r="D3052" s="248">
        <v>5</v>
      </c>
      <c r="E3052" s="247">
        <f>0.75+0.3</f>
        <v>1.05</v>
      </c>
      <c r="F3052" s="247">
        <v>0.15</v>
      </c>
      <c r="G3052" s="247">
        <v>0.225</v>
      </c>
      <c r="H3052" s="249">
        <f>PRODUCT(D3052:G3052)</f>
        <v>0.1771875</v>
      </c>
      <c r="J3052" s="253" t="inlineStr">
        <is>
          <t xml:space="preserve">5*(0.75+0.3)*0.15*0.225</t>
        </is>
      </c>
    </row>
    <row r="3053">
      <c r="C3053" s="246" t="inlineStr">
        <is>
          <t xml:space="preserve">Lintel over HW3 (2 nr, 0.6x0.6): nr x (width + 2 x 150 bearing) x 150 x 225</t>
        </is>
      </c>
      <c r="D3053" s="248">
        <v>2</v>
      </c>
      <c r="E3053" s="247">
        <f>0.6+0.3</f>
        <v>0.8999999999999999</v>
      </c>
      <c r="F3053" s="247">
        <v>0.15</v>
      </c>
      <c r="G3053" s="247">
        <v>0.225</v>
      </c>
      <c r="H3053" s="249">
        <f>PRODUCT(D3053:G3053)</f>
        <v>0.06074999999999999</v>
      </c>
      <c r="J3053" s="253" t="inlineStr">
        <is>
          <t xml:space="preserve">2*(0.6+0.3)*0.15*0.225</t>
        </is>
      </c>
    </row>
    <row r="3054">
      <c r="C3054" s="246" t="inlineStr">
        <is>
          <t xml:space="preserve">Lintel over HW4 (2 nr, 1.2x0.6): nr x (width + 2 x 150 bearing) x 150 x 225</t>
        </is>
      </c>
      <c r="D3054" s="248">
        <v>2</v>
      </c>
      <c r="E3054" s="247">
        <f>1.2+0.3</f>
        <v>1.5</v>
      </c>
      <c r="F3054" s="247">
        <v>0.15</v>
      </c>
      <c r="G3054" s="247">
        <v>0.225</v>
      </c>
      <c r="H3054" s="249">
        <f>PRODUCT(D3054:G3054)</f>
        <v>0.10124999999999999</v>
      </c>
      <c r="J3054" s="253" t="inlineStr">
        <is>
          <t xml:space="preserve">2*(1.2+0.3)*0.15*0.225</t>
        </is>
      </c>
    </row>
    <row r="3055">
      <c r="C3055" s="250" t="inlineStr">
        <is>
          <t xml:space="preserve">Total carried to BOQ  6TH FLR item G</t>
        </is>
      </c>
      <c r="D3055" s="250" t="inlineStr">
        <is>
          <t xml:space="preserve"/>
        </is>
      </c>
      <c r="E3055" s="250" t="inlineStr">
        <is>
          <t xml:space="preserve"/>
        </is>
      </c>
      <c r="F3055" s="250" t="inlineStr">
        <is>
          <t xml:space="preserve"/>
        </is>
      </c>
      <c r="G3055" s="250" t="inlineStr">
        <is>
          <t xml:space="preserve"/>
        </is>
      </c>
      <c r="H3055" s="251">
        <f>SUM(H3020:H3054)</f>
        <v>6.999749999999999</v>
      </c>
      <c r="I3055" s="252" t="inlineStr">
        <is>
          <t xml:space="preserve">m3</t>
        </is>
      </c>
    </row>
    <row r="3056">
      <c r="C3056" s="242" t="inlineStr">
        <is>
          <t xml:space="preserve">E20 FORMWORK - Formwork as described to:</t>
        </is>
      </c>
    </row>
    <row r="3057">
      <c r="A3057" s="243" t="inlineStr">
        <is>
          <t xml:space="preserve">6TH FLR</t>
        </is>
      </c>
      <c r="B3057" s="243" t="inlineStr">
        <is>
          <t xml:space="preserve">H</t>
        </is>
      </c>
      <c r="C3057" s="244" t="inlineStr">
        <is>
          <t xml:space="preserve">Soffits of suspended slab</t>
        </is>
      </c>
      <c r="I3057" s="245" t="inlineStr">
        <is>
          <t xml:space="preserve">m2</t>
        </is>
      </c>
      <c r="K3057" s="256" t="inlineStr">
        <is>
          <t xml:space="preserve">'6TH FLR  '!C49</t>
        </is>
      </c>
    </row>
    <row r="3058">
      <c r="C3058" s="246" t="inlineStr">
        <is>
          <t xml:space="preserve">Sixth floor (+20800) - Slab soffit: measured area</t>
        </is>
      </c>
      <c r="H3058" s="247">
        <v>1134.6</v>
      </c>
      <c r="J3058" s="253" t="inlineStr">
        <is>
          <t xml:space="preserve">1134.6</t>
        </is>
      </c>
    </row>
    <row r="3059">
      <c r="C3059" s="250" t="inlineStr">
        <is>
          <t xml:space="preserve">Total carried to BOQ  6TH FLR item H</t>
        </is>
      </c>
      <c r="D3059" s="250" t="inlineStr">
        <is>
          <t xml:space="preserve"/>
        </is>
      </c>
      <c r="E3059" s="250" t="inlineStr">
        <is>
          <t xml:space="preserve"/>
        </is>
      </c>
      <c r="F3059" s="250" t="inlineStr">
        <is>
          <t xml:space="preserve"/>
        </is>
      </c>
      <c r="G3059" s="250" t="inlineStr">
        <is>
          <t xml:space="preserve"/>
        </is>
      </c>
      <c r="H3059" s="251">
        <f>SUM(H3058:H3058)</f>
        <v>1134.6</v>
      </c>
      <c r="I3059" s="252" t="inlineStr">
        <is>
          <t xml:space="preserve">m2</t>
        </is>
      </c>
    </row>
    <row r="3060">
      <c r="A3060" s="243" t="inlineStr">
        <is>
          <t xml:space="preserve">6TH FLR</t>
        </is>
      </c>
      <c r="B3060" s="243" t="inlineStr">
        <is>
          <t xml:space="preserve">J</t>
        </is>
      </c>
      <c r="C3060" s="244" t="inlineStr">
        <is>
          <t xml:space="preserve">Edges of suspended slab 250mm high</t>
        </is>
      </c>
      <c r="I3060" s="245" t="inlineStr">
        <is>
          <t xml:space="preserve">m</t>
        </is>
      </c>
      <c r="K3060" s="256" t="inlineStr">
        <is>
          <t xml:space="preserve">'6TH FLR  '!C51</t>
        </is>
      </c>
    </row>
    <row r="3061">
      <c r="C3061" s="246" t="inlineStr">
        <is>
          <t xml:space="preserve">Sixth floor (+20800) - Slab edge: measured perimeter</t>
        </is>
      </c>
      <c r="H3061" s="247">
        <v>294.6</v>
      </c>
      <c r="J3061" s="253" t="inlineStr">
        <is>
          <t xml:space="preserve">294.6</t>
        </is>
      </c>
    </row>
    <row r="3062">
      <c r="C3062" s="250" t="inlineStr">
        <is>
          <t xml:space="preserve">Total carried to BOQ  6TH FLR item J</t>
        </is>
      </c>
      <c r="D3062" s="250" t="inlineStr">
        <is>
          <t xml:space="preserve"/>
        </is>
      </c>
      <c r="E3062" s="250" t="inlineStr">
        <is>
          <t xml:space="preserve"/>
        </is>
      </c>
      <c r="F3062" s="250" t="inlineStr">
        <is>
          <t xml:space="preserve"/>
        </is>
      </c>
      <c r="G3062" s="250" t="inlineStr">
        <is>
          <t xml:space="preserve"/>
        </is>
      </c>
      <c r="H3062" s="251">
        <f>SUM(H3061:H3061)</f>
        <v>294.6</v>
      </c>
      <c r="I3062" s="252" t="inlineStr">
        <is>
          <t xml:space="preserve">m</t>
        </is>
      </c>
    </row>
    <row r="3063">
      <c r="A3063" s="243" t="inlineStr">
        <is>
          <t xml:space="preserve">6TH FLR</t>
        </is>
      </c>
      <c r="B3063" s="243" t="inlineStr">
        <is>
          <t xml:space="preserve">K</t>
        </is>
      </c>
      <c r="C3063" s="244" t="inlineStr">
        <is>
          <t xml:space="preserve">Sides and soffits of beams</t>
        </is>
      </c>
      <c r="I3063" s="245" t="inlineStr">
        <is>
          <t xml:space="preserve">m2</t>
        </is>
      </c>
      <c r="K3063" s="256" t="inlineStr">
        <is>
          <t xml:space="preserve">'6TH FLR  '!C53</t>
        </is>
      </c>
    </row>
    <row r="3064">
      <c r="C3064" s="246" t="inlineStr">
        <is>
          <t xml:space="preserve">Sixth floor (+20800) - beam sides &amp; soffit (300 wide): length x girth</t>
        </is>
      </c>
      <c r="E3064" s="247">
        <v>166.8</v>
      </c>
      <c r="F3064" s="247">
        <f>2*0.35+0.3</f>
        <v>1.0</v>
      </c>
      <c r="H3064" s="249">
        <f>PRODUCT(D3064:G3064)</f>
        <v>166.8</v>
      </c>
      <c r="J3064" s="253" t="inlineStr">
        <is>
          <t xml:space="preserve">166.8*(2*0.35+0.3)</t>
        </is>
      </c>
    </row>
    <row r="3065">
      <c r="C3065" s="246" t="inlineStr">
        <is>
          <t xml:space="preserve">Sixth floor (+20800) - beam sides &amp; soffit (200 wide): length x girth</t>
        </is>
      </c>
      <c r="E3065" s="247">
        <v>33.1</v>
      </c>
      <c r="F3065" s="247">
        <f>2*0.35+0.2</f>
        <v>0.8999999999999999</v>
      </c>
      <c r="H3065" s="249">
        <f>PRODUCT(D3065:G3065)</f>
        <v>29.79</v>
      </c>
      <c r="J3065" s="253" t="inlineStr">
        <is>
          <t xml:space="preserve">33.1*(2*0.35+0.2)</t>
        </is>
      </c>
    </row>
    <row r="3066">
      <c r="C3066" s="250" t="inlineStr">
        <is>
          <t xml:space="preserve">Total carried to BOQ  6TH FLR item K</t>
        </is>
      </c>
      <c r="D3066" s="250" t="inlineStr">
        <is>
          <t xml:space="preserve"/>
        </is>
      </c>
      <c r="E3066" s="250" t="inlineStr">
        <is>
          <t xml:space="preserve"/>
        </is>
      </c>
      <c r="F3066" s="250" t="inlineStr">
        <is>
          <t xml:space="preserve"/>
        </is>
      </c>
      <c r="G3066" s="250" t="inlineStr">
        <is>
          <t xml:space="preserve"/>
        </is>
      </c>
      <c r="H3066" s="251">
        <f>SUM(H3064:H3065)</f>
        <v>196.59</v>
      </c>
      <c r="I3066" s="252" t="inlineStr">
        <is>
          <t xml:space="preserve">m2</t>
        </is>
      </c>
    </row>
    <row r="3067">
      <c r="A3067" s="243" t="inlineStr">
        <is>
          <t xml:space="preserve">6TH FLR</t>
        </is>
      </c>
      <c r="B3067" s="243" t="inlineStr">
        <is>
          <t xml:space="preserve">L</t>
        </is>
      </c>
      <c r="C3067" s="244" t="inlineStr">
        <is>
          <t xml:space="preserve">Columns</t>
        </is>
      </c>
      <c r="I3067" s="245" t="inlineStr">
        <is>
          <t xml:space="preserve">m2</t>
        </is>
      </c>
      <c r="K3067" s="256" t="inlineStr">
        <is>
          <t xml:space="preserve">'6TH FLR  '!C55</t>
        </is>
      </c>
    </row>
    <row r="3068">
      <c r="C3068" s="246" t="inlineStr">
        <is>
          <t xml:space="preserve">COL-01A x5 - column sides (6th to 7th), ht 3.05</t>
        </is>
      </c>
      <c r="D3068" s="248">
        <v>5</v>
      </c>
      <c r="E3068" s="247">
        <f>2*(0.75+0.5)</f>
        <v>2.5</v>
      </c>
      <c r="F3068" s="247">
        <v>3.05</v>
      </c>
      <c r="H3068" s="249">
        <f>PRODUCT(D3068:G3068)</f>
        <v>38.125</v>
      </c>
      <c r="J3068" s="253" t="inlineStr">
        <is>
          <t xml:space="preserve">5*2*(0.75+0.5)*3.05</t>
        </is>
      </c>
    </row>
    <row r="3069">
      <c r="C3069" s="246" t="inlineStr">
        <is>
          <t xml:space="preserve">COL-01B x1 - column sides (6th to 7th), ht 3.05</t>
        </is>
      </c>
      <c r="D3069" s="248">
        <v>1</v>
      </c>
      <c r="E3069" s="247">
        <f>2*(0.75+0.5)</f>
        <v>2.5</v>
      </c>
      <c r="F3069" s="247">
        <v>3.05</v>
      </c>
      <c r="H3069" s="249">
        <f>PRODUCT(D3069:G3069)</f>
        <v>7.625</v>
      </c>
      <c r="J3069" s="253" t="inlineStr">
        <is>
          <t xml:space="preserve">1*2*(0.75+0.5)*3.05</t>
        </is>
      </c>
    </row>
    <row r="3070">
      <c r="C3070" s="246" t="inlineStr">
        <is>
          <t xml:space="preserve">COL-01C x2 - column sides (6th to 7th), ht 3.05</t>
        </is>
      </c>
      <c r="D3070" s="248">
        <v>2</v>
      </c>
      <c r="E3070" s="247">
        <f>2*(0.75+0.5)</f>
        <v>2.5</v>
      </c>
      <c r="F3070" s="247">
        <v>3.05</v>
      </c>
      <c r="H3070" s="249">
        <f>PRODUCT(D3070:G3070)</f>
        <v>15.25</v>
      </c>
      <c r="J3070" s="253" t="inlineStr">
        <is>
          <t xml:space="preserve">2*2*(0.75+0.5)*3.05</t>
        </is>
      </c>
    </row>
    <row r="3071">
      <c r="C3071" s="246" t="inlineStr">
        <is>
          <t xml:space="preserve">COL-01D x1 - column sides (6th to 7th), ht 3.05</t>
        </is>
      </c>
      <c r="D3071" s="248">
        <v>1</v>
      </c>
      <c r="E3071" s="247">
        <f>2*(0.75+0.5)</f>
        <v>2.5</v>
      </c>
      <c r="F3071" s="247">
        <v>3.05</v>
      </c>
      <c r="H3071" s="249">
        <f>PRODUCT(D3071:G3071)</f>
        <v>7.625</v>
      </c>
      <c r="J3071" s="253" t="inlineStr">
        <is>
          <t xml:space="preserve">1*2*(0.75+0.5)*3.05</t>
        </is>
      </c>
    </row>
    <row r="3072">
      <c r="C3072" s="246" t="inlineStr">
        <is>
          <t xml:space="preserve">COL-02A x3 - column sides (6th to 7th), ht 3.05</t>
        </is>
      </c>
      <c r="D3072" s="248">
        <v>3</v>
      </c>
      <c r="E3072" s="247">
        <f>2*(1.2+0.3)</f>
        <v>3.0</v>
      </c>
      <c r="F3072" s="247">
        <v>3.05</v>
      </c>
      <c r="H3072" s="249">
        <f>PRODUCT(D3072:G3072)</f>
        <v>27.45</v>
      </c>
      <c r="J3072" s="253" t="inlineStr">
        <is>
          <t xml:space="preserve">3*2*(1.2+0.3)*3.05</t>
        </is>
      </c>
    </row>
    <row r="3073">
      <c r="C3073" s="246" t="inlineStr">
        <is>
          <t xml:space="preserve">COL-02B x6 - column sides (6th to 7th), ht 3.05</t>
        </is>
      </c>
      <c r="D3073" s="248">
        <v>6</v>
      </c>
      <c r="E3073" s="247">
        <f>2*(1.2+0.3)</f>
        <v>3.0</v>
      </c>
      <c r="F3073" s="247">
        <v>3.05</v>
      </c>
      <c r="H3073" s="249">
        <f>PRODUCT(D3073:G3073)</f>
        <v>54.9</v>
      </c>
      <c r="J3073" s="253" t="inlineStr">
        <is>
          <t xml:space="preserve">6*2*(1.2+0.3)*3.05</t>
        </is>
      </c>
    </row>
    <row r="3074">
      <c r="C3074" s="246" t="inlineStr">
        <is>
          <t xml:space="preserve">COL-02C x1 - column sides (6th to 7th), ht 3.05</t>
        </is>
      </c>
      <c r="D3074" s="248">
        <v>1</v>
      </c>
      <c r="E3074" s="247">
        <f>2*(1.2+0.3)</f>
        <v>3.0</v>
      </c>
      <c r="F3074" s="247">
        <v>3.05</v>
      </c>
      <c r="H3074" s="249">
        <f>PRODUCT(D3074:G3074)</f>
        <v>9.149999999999999</v>
      </c>
      <c r="J3074" s="253" t="inlineStr">
        <is>
          <t xml:space="preserve">1*2*(1.2+0.3)*3.05</t>
        </is>
      </c>
    </row>
    <row r="3075">
      <c r="C3075" s="246" t="inlineStr">
        <is>
          <t xml:space="preserve">COL-02D x15 - column sides (6th to 7th), ht 3.05</t>
        </is>
      </c>
      <c r="D3075" s="248">
        <v>15</v>
      </c>
      <c r="E3075" s="247">
        <f>2*(1.2+0.3)</f>
        <v>3.0</v>
      </c>
      <c r="F3075" s="247">
        <v>3.05</v>
      </c>
      <c r="H3075" s="249">
        <f>PRODUCT(D3075:G3075)</f>
        <v>137.25</v>
      </c>
      <c r="J3075" s="253" t="inlineStr">
        <is>
          <t xml:space="preserve">15*2*(1.2+0.3)*3.05</t>
        </is>
      </c>
    </row>
    <row r="3076">
      <c r="C3076" s="246" t="inlineStr">
        <is>
          <t xml:space="preserve">SWC-01A x1 - column sides (6th to 7th), ht 3.05</t>
        </is>
      </c>
      <c r="D3076" s="248">
        <v>1</v>
      </c>
      <c r="E3076" s="247">
        <f>2*(2.85+1.075)</f>
        <v>7.85</v>
      </c>
      <c r="F3076" s="247">
        <v>3.05</v>
      </c>
      <c r="H3076" s="249">
        <f>PRODUCT(D3076:G3076)</f>
        <v>23.9425</v>
      </c>
      <c r="J3076" s="253" t="inlineStr">
        <is>
          <t xml:space="preserve">1*2*(2.85+1.075)*3.05</t>
        </is>
      </c>
    </row>
    <row r="3077">
      <c r="C3077" s="250" t="inlineStr">
        <is>
          <t xml:space="preserve">Total carried to BOQ  6TH FLR item L</t>
        </is>
      </c>
      <c r="D3077" s="250" t="inlineStr">
        <is>
          <t xml:space="preserve"/>
        </is>
      </c>
      <c r="E3077" s="250" t="inlineStr">
        <is>
          <t xml:space="preserve"/>
        </is>
      </c>
      <c r="F3077" s="250" t="inlineStr">
        <is>
          <t xml:space="preserve"/>
        </is>
      </c>
      <c r="G3077" s="250" t="inlineStr">
        <is>
          <t xml:space="preserve"/>
        </is>
      </c>
      <c r="H3077" s="251">
        <f>SUM(H3068:H3076)</f>
        <v>321.3175</v>
      </c>
      <c r="I3077" s="252" t="inlineStr">
        <is>
          <t xml:space="preserve">m2</t>
        </is>
      </c>
    </row>
    <row r="3078">
      <c r="A3078" s="243" t="inlineStr">
        <is>
          <t xml:space="preserve">6TH FLR</t>
        </is>
      </c>
      <c r="B3078" s="243" t="inlineStr">
        <is>
          <t xml:space="preserve">M</t>
        </is>
      </c>
      <c r="C3078" s="244" t="inlineStr">
        <is>
          <t xml:space="preserve">Concrete wall (both faces)</t>
        </is>
      </c>
      <c r="I3078" s="245" t="inlineStr">
        <is>
          <t xml:space="preserve">m2</t>
        </is>
      </c>
      <c r="K3078" s="256" t="inlineStr">
        <is>
          <t xml:space="preserve">'6TH FLR  '!C57</t>
        </is>
      </c>
    </row>
    <row r="3079">
      <c r="C3079" s="246" t="inlineStr">
        <is>
          <t xml:space="preserve">Sixth floor (+20800) - main stair core walls (22.05 m run) (both faces)</t>
        </is>
      </c>
      <c r="D3079" s="248">
        <v>2</v>
      </c>
      <c r="E3079" s="247">
        <v>22.05</v>
      </c>
      <c r="F3079" s="247">
        <v>3.05</v>
      </c>
      <c r="H3079" s="249">
        <f>PRODUCT(D3079:G3079)</f>
        <v>134.505</v>
      </c>
      <c r="J3079" s="253" t="inlineStr">
        <is>
          <t xml:space="preserve">2*22.05*3.05</t>
        </is>
      </c>
    </row>
    <row r="3080">
      <c r="C3080" s="246" t="inlineStr">
        <is>
          <t xml:space="preserve">Sixth floor (+20800) - lift core walls (21.825 m run) (both faces)</t>
        </is>
      </c>
      <c r="D3080" s="248">
        <v>2</v>
      </c>
      <c r="E3080" s="247">
        <v>21.825</v>
      </c>
      <c r="F3080" s="247">
        <v>3.05</v>
      </c>
      <c r="H3080" s="249">
        <f>PRODUCT(D3080:G3080)</f>
        <v>133.1325</v>
      </c>
      <c r="J3080" s="253" t="inlineStr">
        <is>
          <t xml:space="preserve">2*21.825*3.05</t>
        </is>
      </c>
    </row>
    <row r="3081">
      <c r="C3081" s="246" t="inlineStr">
        <is>
          <t xml:space="preserve">Sixth floor (+20800) - emergency stair core walls (25.57 m run) (both faces)</t>
        </is>
      </c>
      <c r="D3081" s="248">
        <v>2</v>
      </c>
      <c r="E3081" s="247">
        <v>25.57</v>
      </c>
      <c r="F3081" s="247">
        <v>3.05</v>
      </c>
      <c r="H3081" s="249">
        <f>PRODUCT(D3081:G3081)</f>
        <v>155.977</v>
      </c>
      <c r="J3081" s="253" t="inlineStr">
        <is>
          <t xml:space="preserve">2*25.57*3.05</t>
        </is>
      </c>
    </row>
    <row r="3082">
      <c r="C3082" s="250" t="inlineStr">
        <is>
          <t xml:space="preserve">Total carried to BOQ  6TH FLR item M</t>
        </is>
      </c>
      <c r="D3082" s="250" t="inlineStr">
        <is>
          <t xml:space="preserve"/>
        </is>
      </c>
      <c r="E3082" s="250" t="inlineStr">
        <is>
          <t xml:space="preserve"/>
        </is>
      </c>
      <c r="F3082" s="250" t="inlineStr">
        <is>
          <t xml:space="preserve"/>
        </is>
      </c>
      <c r="G3082" s="250" t="inlineStr">
        <is>
          <t xml:space="preserve"/>
        </is>
      </c>
      <c r="H3082" s="251">
        <f>SUM(H3079:H3081)</f>
        <v>423.6145</v>
      </c>
      <c r="I3082" s="252" t="inlineStr">
        <is>
          <t xml:space="preserve">m2</t>
        </is>
      </c>
    </row>
    <row r="3083">
      <c r="A3083" s="243" t="inlineStr">
        <is>
          <t xml:space="preserve">6TH FLR</t>
        </is>
      </c>
      <c r="B3083" s="243" t="inlineStr">
        <is>
          <t xml:space="preserve">N</t>
        </is>
      </c>
      <c r="C3083" s="244" t="inlineStr">
        <is>
          <t xml:space="preserve">Soffits of stair flights, landings and risers</t>
        </is>
      </c>
      <c r="I3083" s="245" t="inlineStr">
        <is>
          <t xml:space="preserve">m2</t>
        </is>
      </c>
      <c r="K3083" s="256" t="inlineStr">
        <is>
          <t xml:space="preserve">'6TH FLR  '!C59</t>
        </is>
      </c>
    </row>
    <row r="3084">
      <c r="C3084" s="246" t="inlineStr">
        <is>
          <t xml:space="preserve">Sixth floor (+20800) - Main stair flight (storey ht 3.3) - flight soffits: 2 x 3.424 x 1.8</t>
        </is>
      </c>
      <c r="D3084" s="248">
        <v>2</v>
      </c>
      <c r="E3084" s="247">
        <v>3.424</v>
      </c>
      <c r="F3084" s="247">
        <v>1.8</v>
      </c>
      <c r="H3084" s="249">
        <f>PRODUCT(D3084:G3084)</f>
        <v>12.3264</v>
      </c>
      <c r="J3084" s="253" t="inlineStr">
        <is>
          <t xml:space="preserve">2*3.424*1.8</t>
        </is>
      </c>
    </row>
    <row r="3085">
      <c r="C3085" s="246" t="inlineStr">
        <is>
          <t xml:space="preserve">Sixth floor (+20800) - Main stair flight (storey ht 3.3) - landing soffits</t>
        </is>
      </c>
      <c r="H3085" s="247">
        <v>15.0</v>
      </c>
      <c r="J3085" s="253" t="inlineStr">
        <is>
          <t xml:space="preserve">15.0</t>
        </is>
      </c>
    </row>
    <row r="3086">
      <c r="C3086" s="246" t="inlineStr">
        <is>
          <t xml:space="preserve">Sixth floor (+20800) - Main stair flight (storey ht 3.3) - risers: 22 x 0.15 x 1.8</t>
        </is>
      </c>
      <c r="D3086" s="248">
        <v>22</v>
      </c>
      <c r="E3086" s="247">
        <v>0.15</v>
      </c>
      <c r="F3086" s="247">
        <v>1.8</v>
      </c>
      <c r="H3086" s="249">
        <f>PRODUCT(D3086:G3086)</f>
        <v>5.9399999999999995</v>
      </c>
      <c r="J3086" s="253" t="inlineStr">
        <is>
          <t xml:space="preserve">22*0.15*1.8</t>
        </is>
      </c>
    </row>
    <row r="3087">
      <c r="C3087" s="246" t="inlineStr">
        <is>
          <t xml:space="preserve">Sixth floor (+20800) - Emergency stair flight (storey ht 3.3) - flight soffits: 2 x 3.424 x 1.8</t>
        </is>
      </c>
      <c r="D3087" s="248">
        <v>2</v>
      </c>
      <c r="E3087" s="247">
        <v>3.424</v>
      </c>
      <c r="F3087" s="247">
        <v>1.8</v>
      </c>
      <c r="H3087" s="249">
        <f>PRODUCT(D3087:G3087)</f>
        <v>12.3264</v>
      </c>
      <c r="J3087" s="253" t="inlineStr">
        <is>
          <t xml:space="preserve">2*3.424*1.8</t>
        </is>
      </c>
    </row>
    <row r="3088">
      <c r="C3088" s="246" t="inlineStr">
        <is>
          <t xml:space="preserve">Sixth floor (+20800) - Emergency stair flight (storey ht 3.3) - landing soffits</t>
        </is>
      </c>
      <c r="H3088" s="247">
        <v>15.0</v>
      </c>
      <c r="J3088" s="253" t="inlineStr">
        <is>
          <t xml:space="preserve">15.0</t>
        </is>
      </c>
    </row>
    <row r="3089">
      <c r="C3089" s="246" t="inlineStr">
        <is>
          <t xml:space="preserve">Sixth floor (+20800) - Emergency stair flight (storey ht 3.3) - risers: 22 x 0.15 x 1.8</t>
        </is>
      </c>
      <c r="D3089" s="248">
        <v>22</v>
      </c>
      <c r="E3089" s="247">
        <v>0.15</v>
      </c>
      <c r="F3089" s="247">
        <v>1.8</v>
      </c>
      <c r="H3089" s="249">
        <f>PRODUCT(D3089:G3089)</f>
        <v>5.9399999999999995</v>
      </c>
      <c r="J3089" s="253" t="inlineStr">
        <is>
          <t xml:space="preserve">22*0.15*1.8</t>
        </is>
      </c>
    </row>
    <row r="3090">
      <c r="C3090" s="250" t="inlineStr">
        <is>
          <t xml:space="preserve">Total carried to BOQ  6TH FLR item N</t>
        </is>
      </c>
      <c r="D3090" s="250" t="inlineStr">
        <is>
          <t xml:space="preserve"/>
        </is>
      </c>
      <c r="E3090" s="250" t="inlineStr">
        <is>
          <t xml:space="preserve"/>
        </is>
      </c>
      <c r="F3090" s="250" t="inlineStr">
        <is>
          <t xml:space="preserve"/>
        </is>
      </c>
      <c r="G3090" s="250" t="inlineStr">
        <is>
          <t xml:space="preserve"/>
        </is>
      </c>
      <c r="H3090" s="251">
        <f>SUM(H3084:H3089)</f>
        <v>66.5328</v>
      </c>
      <c r="I3090" s="252" t="inlineStr">
        <is>
          <t xml:space="preserve">m2</t>
        </is>
      </c>
    </row>
    <row r="3091">
      <c r="A3091" s="243" t="inlineStr">
        <is>
          <t xml:space="preserve">6TH FLR</t>
        </is>
      </c>
      <c r="B3091" s="243" t="inlineStr">
        <is>
          <t xml:space="preserve">P</t>
        </is>
      </c>
      <c r="C3091" s="244" t="inlineStr">
        <is>
          <t xml:space="preserve">Side and soffits of lintel / coping</t>
        </is>
      </c>
      <c r="I3091" s="245" t="inlineStr">
        <is>
          <t xml:space="preserve">m2</t>
        </is>
      </c>
      <c r="K3091" s="256" t="inlineStr">
        <is>
          <t xml:space="preserve">'6TH FLR  '!C61</t>
        </is>
      </c>
    </row>
    <row r="3092">
      <c r="C3092" s="246" t="inlineStr">
        <is>
          <t xml:space="preserve">Lintel formwork over D2 (8 nr, 1x2.2): nr x (width + 2 x 150 bearing) x girth 0.60</t>
        </is>
      </c>
      <c r="D3092" s="248">
        <v>8</v>
      </c>
      <c r="E3092" s="247">
        <f>1+0.3</f>
        <v>1.3</v>
      </c>
      <c r="F3092" s="247">
        <f>2*0.225+0.15</f>
        <v>0.6</v>
      </c>
      <c r="H3092" s="249">
        <f>PRODUCT(D3092:G3092)</f>
        <v>6.24</v>
      </c>
      <c r="J3092" s="253" t="inlineStr">
        <is>
          <t xml:space="preserve">8*(1+0.3)*(2*0.225+0.15)</t>
        </is>
      </c>
    </row>
    <row r="3093">
      <c r="C3093" s="246" t="inlineStr">
        <is>
          <t xml:space="preserve">Lintel formwork over D3 (15 nr, 0.9x2.2): nr x (width + 2 x 150 bearing) x girth 0.60</t>
        </is>
      </c>
      <c r="D3093" s="248">
        <v>15</v>
      </c>
      <c r="E3093" s="247">
        <f>0.9+0.3</f>
        <v>1.2</v>
      </c>
      <c r="F3093" s="247">
        <f>2*0.225+0.15</f>
        <v>0.6</v>
      </c>
      <c r="H3093" s="249">
        <f>PRODUCT(D3093:G3093)</f>
        <v>10.799999999999999</v>
      </c>
      <c r="J3093" s="253" t="inlineStr">
        <is>
          <t xml:space="preserve">15*(0.9+0.3)*(2*0.225+0.15)</t>
        </is>
      </c>
    </row>
    <row r="3094">
      <c r="C3094" s="246" t="inlineStr">
        <is>
          <t xml:space="preserve">Lintel formwork over D6 (21 nr, 0.75x2.2): nr x (width + 2 x 150 bearing) x girth 0.60</t>
        </is>
      </c>
      <c r="D3094" s="248">
        <v>21</v>
      </c>
      <c r="E3094" s="247">
        <f>0.75+0.3</f>
        <v>1.05</v>
      </c>
      <c r="F3094" s="247">
        <f>2*0.225+0.15</f>
        <v>0.6</v>
      </c>
      <c r="H3094" s="249">
        <f>PRODUCT(D3094:G3094)</f>
        <v>13.23</v>
      </c>
      <c r="J3094" s="253" t="inlineStr">
        <is>
          <t xml:space="preserve">21*(0.75+0.3)*(2*0.225+0.15)</t>
        </is>
      </c>
    </row>
    <row r="3095">
      <c r="C3095" s="246" t="inlineStr">
        <is>
          <t xml:space="preserve">Lintel formwork over D7 (1 nr, 0.7x2.2): nr x (width + 2 x 150 bearing) x girth 0.60</t>
        </is>
      </c>
      <c r="D3095" s="248">
        <v>1</v>
      </c>
      <c r="E3095" s="247">
        <f>0.7+0.3</f>
        <v>1.0</v>
      </c>
      <c r="F3095" s="247">
        <f>2*0.225+0.15</f>
        <v>0.6</v>
      </c>
      <c r="H3095" s="249">
        <f>PRODUCT(D3095:G3095)</f>
        <v>0.6</v>
      </c>
      <c r="J3095" s="253" t="inlineStr">
        <is>
          <t xml:space="preserve">1*(0.7+0.3)*(2*0.225+0.15)</t>
        </is>
      </c>
    </row>
    <row r="3096">
      <c r="C3096" s="246" t="inlineStr">
        <is>
          <t xml:space="preserve">Lintel formwork over D8 (3 nr, 1.2x2.2): nr x (width + 2 x 150 bearing) x girth 0.60</t>
        </is>
      </c>
      <c r="D3096" s="248">
        <v>3</v>
      </c>
      <c r="E3096" s="247">
        <f>1.2+0.3</f>
        <v>1.5</v>
      </c>
      <c r="F3096" s="247">
        <f>2*0.225+0.15</f>
        <v>0.6</v>
      </c>
      <c r="H3096" s="249">
        <f>PRODUCT(D3096:G3096)</f>
        <v>2.6999999999999997</v>
      </c>
      <c r="J3096" s="253" t="inlineStr">
        <is>
          <t xml:space="preserve">3*(1.2+0.3)*(2*0.225+0.15)</t>
        </is>
      </c>
    </row>
    <row r="3097">
      <c r="C3097" s="246" t="inlineStr">
        <is>
          <t xml:space="preserve">Lintel formwork over ED1 (3 nr, 1x2.2): nr x (width + 2 x 150 bearing) x girth 0.60</t>
        </is>
      </c>
      <c r="D3097" s="248">
        <v>3</v>
      </c>
      <c r="E3097" s="247">
        <f>1+0.3</f>
        <v>1.3</v>
      </c>
      <c r="F3097" s="247">
        <f>2*0.225+0.15</f>
        <v>0.6</v>
      </c>
      <c r="H3097" s="249">
        <f>PRODUCT(D3097:G3097)</f>
        <v>2.3400000000000003</v>
      </c>
      <c r="J3097" s="253" t="inlineStr">
        <is>
          <t xml:space="preserve">3*(1+0.3)*(2*0.225+0.15)</t>
        </is>
      </c>
    </row>
    <row r="3098">
      <c r="C3098" s="246" t="inlineStr">
        <is>
          <t xml:space="preserve">Lintel formwork over ED2 (3 nr, 1x2.2): nr x (width + 2 x 150 bearing) x girth 0.60</t>
        </is>
      </c>
      <c r="D3098" s="248">
        <v>3</v>
      </c>
      <c r="E3098" s="247">
        <f>1+0.3</f>
        <v>1.3</v>
      </c>
      <c r="F3098" s="247">
        <f>2*0.225+0.15</f>
        <v>0.6</v>
      </c>
      <c r="H3098" s="249">
        <f>PRODUCT(D3098:G3098)</f>
        <v>2.3400000000000003</v>
      </c>
      <c r="J3098" s="253" t="inlineStr">
        <is>
          <t xml:space="preserve">3*(1+0.3)*(2*0.225+0.15)</t>
        </is>
      </c>
    </row>
    <row r="3099">
      <c r="C3099" s="246" t="inlineStr">
        <is>
          <t xml:space="preserve">Lintel formwork over D9 (1 nr, 0.9x2.2): nr x (width + 2 x 150 bearing) x girth 0.60</t>
        </is>
      </c>
      <c r="D3099" s="248">
        <v>1</v>
      </c>
      <c r="E3099" s="247">
        <f>0.9+0.3</f>
        <v>1.2</v>
      </c>
      <c r="F3099" s="247">
        <f>2*0.225+0.15</f>
        <v>0.6</v>
      </c>
      <c r="H3099" s="249">
        <f>PRODUCT(D3099:G3099)</f>
        <v>0.72</v>
      </c>
      <c r="J3099" s="253" t="inlineStr">
        <is>
          <t xml:space="preserve">1*(0.9+0.3)*(2*0.225+0.15)</t>
        </is>
      </c>
    </row>
    <row r="3100">
      <c r="C3100" s="246" t="inlineStr">
        <is>
          <t xml:space="preserve">Lintel formwork over FD1 (1 nr, 1.5x2.2): nr x (width + 2 x 150 bearing) x girth 0.60</t>
        </is>
      </c>
      <c r="D3100" s="248">
        <v>1</v>
      </c>
      <c r="E3100" s="247">
        <f>1.5+0.3</f>
        <v>1.8</v>
      </c>
      <c r="F3100" s="247">
        <f>2*0.225+0.15</f>
        <v>0.6</v>
      </c>
      <c r="H3100" s="249">
        <f>PRODUCT(D3100:G3100)</f>
        <v>1.08</v>
      </c>
      <c r="J3100" s="253" t="inlineStr">
        <is>
          <t xml:space="preserve">1*(1.5+0.3)*(2*0.225+0.15)</t>
        </is>
      </c>
    </row>
    <row r="3101">
      <c r="C3101" s="246" t="inlineStr">
        <is>
          <t xml:space="preserve">Lintel formwork over M1 (2 nr, 0.9x2.2): nr x (width + 2 x 150 bearing) x girth 0.60</t>
        </is>
      </c>
      <c r="D3101" s="248">
        <v>2</v>
      </c>
      <c r="E3101" s="247">
        <f>0.9+0.3</f>
        <v>1.2</v>
      </c>
      <c r="F3101" s="247">
        <f>2*0.225+0.15</f>
        <v>0.6</v>
      </c>
      <c r="H3101" s="249">
        <f>PRODUCT(D3101:G3101)</f>
        <v>1.44</v>
      </c>
      <c r="J3101" s="253" t="inlineStr">
        <is>
          <t xml:space="preserve">2*(0.9+0.3)*(2*0.225+0.15)</t>
        </is>
      </c>
    </row>
    <row r="3102">
      <c r="C3102" s="246" t="inlineStr">
        <is>
          <t xml:space="preserve">Lintel formwork over M2 (5 nr, 0.75x2.2): nr x (width + 2 x 150 bearing) x girth 0.60</t>
        </is>
      </c>
      <c r="D3102" s="248">
        <v>5</v>
      </c>
      <c r="E3102" s="247">
        <f>0.75+0.3</f>
        <v>1.05</v>
      </c>
      <c r="F3102" s="247">
        <f>2*0.225+0.15</f>
        <v>0.6</v>
      </c>
      <c r="H3102" s="249">
        <f>PRODUCT(D3102:G3102)</f>
        <v>3.15</v>
      </c>
      <c r="J3102" s="253" t="inlineStr">
        <is>
          <t xml:space="preserve">5*(0.75+0.3)*(2*0.225+0.15)</t>
        </is>
      </c>
    </row>
    <row r="3103">
      <c r="C3103" s="246" t="inlineStr">
        <is>
          <t xml:space="preserve">Lintel formwork over M3 (1 nr, 0.45x2.2): nr x (width + 2 x 150 bearing) x girth 0.60</t>
        </is>
      </c>
      <c r="D3103" s="248">
        <v>1</v>
      </c>
      <c r="E3103" s="247">
        <f>0.45+0.3</f>
        <v>0.75</v>
      </c>
      <c r="F3103" s="247">
        <f>2*0.225+0.15</f>
        <v>0.6</v>
      </c>
      <c r="H3103" s="249">
        <f>PRODUCT(D3103:G3103)</f>
        <v>0.44999999999999996</v>
      </c>
      <c r="J3103" s="253" t="inlineStr">
        <is>
          <t xml:space="preserve">1*(0.45+0.3)*(2*0.225+0.15)</t>
        </is>
      </c>
    </row>
    <row r="3104">
      <c r="C3104" s="246" t="inlineStr">
        <is>
          <t xml:space="preserve">Lintel formwork over M5 (3 nr, 0.6x2.2): nr x (width + 2 x 150 bearing) x girth 0.60</t>
        </is>
      </c>
      <c r="D3104" s="248">
        <v>3</v>
      </c>
      <c r="E3104" s="247">
        <f>0.6+0.3</f>
        <v>0.8999999999999999</v>
      </c>
      <c r="F3104" s="247">
        <f>2*0.225+0.15</f>
        <v>0.6</v>
      </c>
      <c r="H3104" s="249">
        <f>PRODUCT(D3104:G3104)</f>
        <v>1.6199999999999999</v>
      </c>
      <c r="J3104" s="253" t="inlineStr">
        <is>
          <t xml:space="preserve">3*(0.6+0.3)*(2*0.225+0.15)</t>
        </is>
      </c>
    </row>
    <row r="3105">
      <c r="C3105" s="246" t="inlineStr">
        <is>
          <t xml:space="preserve">Lintel formwork over SD1 (1 nr, 3x2.2): nr x (width + 2 x 150 bearing) x girth 0.60</t>
        </is>
      </c>
      <c r="D3105" s="248">
        <v>1</v>
      </c>
      <c r="E3105" s="247">
        <f>3+0.3</f>
        <v>3.3</v>
      </c>
      <c r="F3105" s="247">
        <f>2*0.225+0.15</f>
        <v>0.6</v>
      </c>
      <c r="H3105" s="249">
        <f>PRODUCT(D3105:G3105)</f>
        <v>1.9799999999999998</v>
      </c>
      <c r="J3105" s="253" t="inlineStr">
        <is>
          <t xml:space="preserve">1*(3+0.3)*(2*0.225+0.15)</t>
        </is>
      </c>
    </row>
    <row r="3106">
      <c r="C3106" s="246" t="inlineStr">
        <is>
          <t xml:space="preserve">Lintel formwork over SD2 (4 nr, 1.6x2.2): nr x (width + 2 x 150 bearing) x girth 0.60</t>
        </is>
      </c>
      <c r="D3106" s="248">
        <v>4</v>
      </c>
      <c r="E3106" s="247">
        <f>1.6+0.3</f>
        <v>1.9000000000000001</v>
      </c>
      <c r="F3106" s="247">
        <f>2*0.225+0.15</f>
        <v>0.6</v>
      </c>
      <c r="H3106" s="249">
        <f>PRODUCT(D3106:G3106)</f>
        <v>4.5600000000000005</v>
      </c>
      <c r="J3106" s="253" t="inlineStr">
        <is>
          <t xml:space="preserve">4*(1.6+0.3)*(2*0.225+0.15)</t>
        </is>
      </c>
    </row>
    <row r="3107">
      <c r="C3107" s="246" t="inlineStr">
        <is>
          <t xml:space="preserve">Lintel formwork over SD3 (2 nr, 1.3x2.2): nr x (width + 2 x 150 bearing) x girth 0.60</t>
        </is>
      </c>
      <c r="D3107" s="248">
        <v>2</v>
      </c>
      <c r="E3107" s="247">
        <f>1.3+0.3</f>
        <v>1.6</v>
      </c>
      <c r="F3107" s="247">
        <f>2*0.225+0.15</f>
        <v>0.6</v>
      </c>
      <c r="H3107" s="249">
        <f>PRODUCT(D3107:G3107)</f>
        <v>1.92</v>
      </c>
      <c r="J3107" s="253" t="inlineStr">
        <is>
          <t xml:space="preserve">2*(1.3+0.3)*(2*0.225+0.15)</t>
        </is>
      </c>
    </row>
    <row r="3108">
      <c r="C3108" s="246" t="inlineStr">
        <is>
          <t xml:space="preserve">Lintel formwork over SD4 (4 nr, 1.8x2.2): nr x (width + 2 x 150 bearing) x girth 0.60</t>
        </is>
      </c>
      <c r="D3108" s="248">
        <v>4</v>
      </c>
      <c r="E3108" s="247">
        <f>1.8+0.3</f>
        <v>2.1</v>
      </c>
      <c r="F3108" s="247">
        <f>2*0.225+0.15</f>
        <v>0.6</v>
      </c>
      <c r="H3108" s="249">
        <f>PRODUCT(D3108:G3108)</f>
        <v>5.04</v>
      </c>
      <c r="J3108" s="253" t="inlineStr">
        <is>
          <t xml:space="preserve">4*(1.8+0.3)*(2*0.225+0.15)</t>
        </is>
      </c>
    </row>
    <row r="3109">
      <c r="C3109" s="246" t="inlineStr">
        <is>
          <t xml:space="preserve">Lintel formwork over SD5 (1 nr, 1.2x2.2): nr x (width + 2 x 150 bearing) x girth 0.60</t>
        </is>
      </c>
      <c r="D3109" s="248">
        <v>1</v>
      </c>
      <c r="E3109" s="247">
        <f>1.2+0.3</f>
        <v>1.5</v>
      </c>
      <c r="F3109" s="247">
        <f>2*0.225+0.15</f>
        <v>0.6</v>
      </c>
      <c r="H3109" s="249">
        <f>PRODUCT(D3109:G3109)</f>
        <v>0.8999999999999999</v>
      </c>
      <c r="J3109" s="253" t="inlineStr">
        <is>
          <t xml:space="preserve">1*(1.2+0.3)*(2*0.225+0.15)</t>
        </is>
      </c>
    </row>
    <row r="3110">
      <c r="C3110" s="246" t="inlineStr">
        <is>
          <t xml:space="preserve">Lintel formwork over W2 (6 nr, 1.8x1.3): nr x (width + 2 x 150 bearing) x girth 0.60</t>
        </is>
      </c>
      <c r="D3110" s="248">
        <v>6</v>
      </c>
      <c r="E3110" s="247">
        <f>1.8+0.3</f>
        <v>2.1</v>
      </c>
      <c r="F3110" s="247">
        <f>2*0.225+0.15</f>
        <v>0.6</v>
      </c>
      <c r="H3110" s="249">
        <f>PRODUCT(D3110:G3110)</f>
        <v>7.5600000000000005</v>
      </c>
      <c r="J3110" s="253" t="inlineStr">
        <is>
          <t xml:space="preserve">6*(1.8+0.3)*(2*0.225+0.15)</t>
        </is>
      </c>
    </row>
    <row r="3111">
      <c r="C3111" s="246" t="inlineStr">
        <is>
          <t xml:space="preserve">Lintel formwork over W4 (10 nr, 0.9x1.3): nr x (width + 2 x 150 bearing) x girth 0.60</t>
        </is>
      </c>
      <c r="D3111" s="248">
        <v>10</v>
      </c>
      <c r="E3111" s="247">
        <f>0.9+0.3</f>
        <v>1.2</v>
      </c>
      <c r="F3111" s="247">
        <f>2*0.225+0.15</f>
        <v>0.6</v>
      </c>
      <c r="H3111" s="249">
        <f>PRODUCT(D3111:G3111)</f>
        <v>7.199999999999999</v>
      </c>
      <c r="J3111" s="253" t="inlineStr">
        <is>
          <t xml:space="preserve">10*(0.9+0.3)*(2*0.225+0.15)</t>
        </is>
      </c>
    </row>
    <row r="3112">
      <c r="C3112" s="246" t="inlineStr">
        <is>
          <t xml:space="preserve">Lintel formwork over W7 (2 nr, 1.8x1.6): nr x (width + 2 x 150 bearing) x girth 0.60</t>
        </is>
      </c>
      <c r="D3112" s="248">
        <v>2</v>
      </c>
      <c r="E3112" s="247">
        <f>1.8+0.3</f>
        <v>2.1</v>
      </c>
      <c r="F3112" s="247">
        <f>2*0.225+0.15</f>
        <v>0.6</v>
      </c>
      <c r="H3112" s="249">
        <f>PRODUCT(D3112:G3112)</f>
        <v>2.52</v>
      </c>
      <c r="J3112" s="253" t="inlineStr">
        <is>
          <t xml:space="preserve">2*(1.8+0.3)*(2*0.225+0.15)</t>
        </is>
      </c>
    </row>
    <row r="3113">
      <c r="C3113" s="246" t="inlineStr">
        <is>
          <t xml:space="preserve">Lintel formwork over W8 (3 nr, 1.2x1.9): nr x (width + 2 x 150 bearing) x girth 0.60</t>
        </is>
      </c>
      <c r="D3113" s="248">
        <v>3</v>
      </c>
      <c r="E3113" s="247">
        <f>1.2+0.3</f>
        <v>1.5</v>
      </c>
      <c r="F3113" s="247">
        <f>2*0.225+0.15</f>
        <v>0.6</v>
      </c>
      <c r="H3113" s="249">
        <f>PRODUCT(D3113:G3113)</f>
        <v>2.6999999999999997</v>
      </c>
      <c r="J3113" s="253" t="inlineStr">
        <is>
          <t xml:space="preserve">3*(1.2+0.3)*(2*0.225+0.15)</t>
        </is>
      </c>
    </row>
    <row r="3114">
      <c r="C3114" s="246" t="inlineStr">
        <is>
          <t xml:space="preserve">Lintel formwork over W9 (8 nr, 1.2x1.15): nr x (width + 2 x 150 bearing) x girth 0.60</t>
        </is>
      </c>
      <c r="D3114" s="248">
        <v>8</v>
      </c>
      <c r="E3114" s="247">
        <f>1.2+0.3</f>
        <v>1.5</v>
      </c>
      <c r="F3114" s="247">
        <f>2*0.225+0.15</f>
        <v>0.6</v>
      </c>
      <c r="H3114" s="249">
        <f>PRODUCT(D3114:G3114)</f>
        <v>7.199999999999999</v>
      </c>
      <c r="J3114" s="253" t="inlineStr">
        <is>
          <t xml:space="preserve">8*(1.2+0.3)*(2*0.225+0.15)</t>
        </is>
      </c>
    </row>
    <row r="3115">
      <c r="C3115" s="246" t="inlineStr">
        <is>
          <t xml:space="preserve">Lintel formwork over W10 (1 nr, 1.2x1.2): nr x (width + 2 x 150 bearing) x girth 0.60</t>
        </is>
      </c>
      <c r="D3115" s="248">
        <v>1</v>
      </c>
      <c r="E3115" s="247">
        <f>1.2+0.3</f>
        <v>1.5</v>
      </c>
      <c r="F3115" s="247">
        <f>2*0.225+0.15</f>
        <v>0.6</v>
      </c>
      <c r="H3115" s="249">
        <f>PRODUCT(D3115:G3115)</f>
        <v>0.8999999999999999</v>
      </c>
      <c r="J3115" s="253" t="inlineStr">
        <is>
          <t xml:space="preserve">1*(1.2+0.3)*(2*0.225+0.15)</t>
        </is>
      </c>
    </row>
    <row r="3116">
      <c r="C3116" s="246" t="inlineStr">
        <is>
          <t xml:space="preserve">Lintel formwork over W11 (6 nr, 1.5x1.3): nr x (width + 2 x 150 bearing) x girth 0.60</t>
        </is>
      </c>
      <c r="D3116" s="248">
        <v>6</v>
      </c>
      <c r="E3116" s="247">
        <f>1.5+0.3</f>
        <v>1.8</v>
      </c>
      <c r="F3116" s="247">
        <f>2*0.225+0.15</f>
        <v>0.6</v>
      </c>
      <c r="H3116" s="249">
        <f>PRODUCT(D3116:G3116)</f>
        <v>6.48</v>
      </c>
      <c r="J3116" s="253" t="inlineStr">
        <is>
          <t xml:space="preserve">6*(1.5+0.3)*(2*0.225+0.15)</t>
        </is>
      </c>
    </row>
    <row r="3117">
      <c r="C3117" s="246" t="inlineStr">
        <is>
          <t xml:space="preserve">Lintel formwork over W12 (4 nr, 1.5x1.15): nr x (width + 2 x 150 bearing) x girth 0.60</t>
        </is>
      </c>
      <c r="D3117" s="248">
        <v>4</v>
      </c>
      <c r="E3117" s="247">
        <f>1.5+0.3</f>
        <v>1.8</v>
      </c>
      <c r="F3117" s="247">
        <f>2*0.225+0.15</f>
        <v>0.6</v>
      </c>
      <c r="H3117" s="249">
        <f>PRODUCT(D3117:G3117)</f>
        <v>4.32</v>
      </c>
      <c r="J3117" s="253" t="inlineStr">
        <is>
          <t xml:space="preserve">4*(1.5+0.3)*(2*0.225+0.15)</t>
        </is>
      </c>
    </row>
    <row r="3118">
      <c r="C3118" s="246" t="inlineStr">
        <is>
          <t xml:space="preserve">Lintel formwork over W13 (1 nr, 2.4x1.3): nr x (width + 2 x 150 bearing) x girth 0.60</t>
        </is>
      </c>
      <c r="D3118" s="248">
        <v>1</v>
      </c>
      <c r="E3118" s="247">
        <f>2.4+0.3</f>
        <v>2.6999999999999997</v>
      </c>
      <c r="F3118" s="247">
        <f>2*0.225+0.15</f>
        <v>0.6</v>
      </c>
      <c r="H3118" s="249">
        <f>PRODUCT(D3118:G3118)</f>
        <v>1.6199999999999999</v>
      </c>
      <c r="J3118" s="253" t="inlineStr">
        <is>
          <t xml:space="preserve">1*(2.4+0.3)*(2*0.225+0.15)</t>
        </is>
      </c>
    </row>
    <row r="3119">
      <c r="C3119" s="246" t="inlineStr">
        <is>
          <t xml:space="preserve">Lintel formwork over W15 (1 nr, 3x1.6): nr x (width + 2 x 150 bearing) x girth 0.60</t>
        </is>
      </c>
      <c r="D3119" s="248">
        <v>1</v>
      </c>
      <c r="E3119" s="247">
        <f>3+0.3</f>
        <v>3.3</v>
      </c>
      <c r="F3119" s="247">
        <f>2*0.225+0.15</f>
        <v>0.6</v>
      </c>
      <c r="H3119" s="249">
        <f>PRODUCT(D3119:G3119)</f>
        <v>1.9799999999999998</v>
      </c>
      <c r="J3119" s="253" t="inlineStr">
        <is>
          <t xml:space="preserve">1*(3+0.3)*(2*0.225+0.15)</t>
        </is>
      </c>
    </row>
    <row r="3120">
      <c r="C3120" s="246" t="inlineStr">
        <is>
          <t xml:space="preserve">Lintel formwork over W17 (3 nr, 1.8x1.9): nr x (width + 2 x 150 bearing) x girth 0.60</t>
        </is>
      </c>
      <c r="D3120" s="248">
        <v>3</v>
      </c>
      <c r="E3120" s="247">
        <f>1.8+0.3</f>
        <v>2.1</v>
      </c>
      <c r="F3120" s="247">
        <f>2*0.225+0.15</f>
        <v>0.6</v>
      </c>
      <c r="H3120" s="249">
        <f>PRODUCT(D3120:G3120)</f>
        <v>3.7800000000000002</v>
      </c>
      <c r="J3120" s="253" t="inlineStr">
        <is>
          <t xml:space="preserve">3*(1.8+0.3)*(2*0.225+0.15)</t>
        </is>
      </c>
    </row>
    <row r="3121">
      <c r="C3121" s="246" t="inlineStr">
        <is>
          <t xml:space="preserve">Lintel formwork over W18 (1 nr, 0.75x1.3): nr x (width + 2 x 150 bearing) x girth 0.60</t>
        </is>
      </c>
      <c r="D3121" s="248">
        <v>1</v>
      </c>
      <c r="E3121" s="247">
        <f>0.75+0.3</f>
        <v>1.05</v>
      </c>
      <c r="F3121" s="247">
        <f>2*0.225+0.15</f>
        <v>0.6</v>
      </c>
      <c r="H3121" s="249">
        <f>PRODUCT(D3121:G3121)</f>
        <v>0.63</v>
      </c>
      <c r="J3121" s="253" t="inlineStr">
        <is>
          <t xml:space="preserve">1*(0.75+0.3)*(2*0.225+0.15)</t>
        </is>
      </c>
    </row>
    <row r="3122">
      <c r="C3122" s="246" t="inlineStr">
        <is>
          <t xml:space="preserve">Lintel formwork over W20 (1 nr, 1.45x1.9): nr x (width + 2 x 150 bearing) x girth 0.60</t>
        </is>
      </c>
      <c r="D3122" s="248">
        <v>1</v>
      </c>
      <c r="E3122" s="247">
        <f>1.45+0.3</f>
        <v>1.75</v>
      </c>
      <c r="F3122" s="247">
        <f>2*0.225+0.15</f>
        <v>0.6</v>
      </c>
      <c r="H3122" s="249">
        <f>PRODUCT(D3122:G3122)</f>
        <v>1.05</v>
      </c>
      <c r="J3122" s="253" t="inlineStr">
        <is>
          <t xml:space="preserve">1*(1.45+0.3)*(2*0.225+0.15)</t>
        </is>
      </c>
    </row>
    <row r="3123">
      <c r="C3123" s="246" t="inlineStr">
        <is>
          <t xml:space="preserve">Lintel formwork over HW1 (13 nr, 0.9x0.6): nr x (width + 2 x 150 bearing) x girth 0.60</t>
        </is>
      </c>
      <c r="D3123" s="248">
        <v>13</v>
      </c>
      <c r="E3123" s="247">
        <f>0.9+0.3</f>
        <v>1.2</v>
      </c>
      <c r="F3123" s="247">
        <f>2*0.225+0.15</f>
        <v>0.6</v>
      </c>
      <c r="H3123" s="249">
        <f>PRODUCT(D3123:G3123)</f>
        <v>9.36</v>
      </c>
      <c r="J3123" s="253" t="inlineStr">
        <is>
          <t xml:space="preserve">13*(0.9+0.3)*(2*0.225+0.15)</t>
        </is>
      </c>
    </row>
    <row r="3124">
      <c r="C3124" s="246" t="inlineStr">
        <is>
          <t xml:space="preserve">Lintel formwork over HW2 (5 nr, 0.75x0.6): nr x (width + 2 x 150 bearing) x girth 0.60</t>
        </is>
      </c>
      <c r="D3124" s="248">
        <v>5</v>
      </c>
      <c r="E3124" s="247">
        <f>0.75+0.3</f>
        <v>1.05</v>
      </c>
      <c r="F3124" s="247">
        <f>2*0.225+0.15</f>
        <v>0.6</v>
      </c>
      <c r="H3124" s="249">
        <f>PRODUCT(D3124:G3124)</f>
        <v>3.15</v>
      </c>
      <c r="J3124" s="253" t="inlineStr">
        <is>
          <t xml:space="preserve">5*(0.75+0.3)*(2*0.225+0.15)</t>
        </is>
      </c>
    </row>
    <row r="3125">
      <c r="C3125" s="246" t="inlineStr">
        <is>
          <t xml:space="preserve">Lintel formwork over HW3 (2 nr, 0.6x0.6): nr x (width + 2 x 150 bearing) x girth 0.60</t>
        </is>
      </c>
      <c r="D3125" s="248">
        <v>2</v>
      </c>
      <c r="E3125" s="247">
        <f>0.6+0.3</f>
        <v>0.8999999999999999</v>
      </c>
      <c r="F3125" s="247">
        <f>2*0.225+0.15</f>
        <v>0.6</v>
      </c>
      <c r="H3125" s="249">
        <f>PRODUCT(D3125:G3125)</f>
        <v>1.0799999999999998</v>
      </c>
      <c r="J3125" s="253" t="inlineStr">
        <is>
          <t xml:space="preserve">2*(0.6+0.3)*(2*0.225+0.15)</t>
        </is>
      </c>
    </row>
    <row r="3126">
      <c r="C3126" s="246" t="inlineStr">
        <is>
          <t xml:space="preserve">Lintel formwork over HW4 (2 nr, 1.2x0.6): nr x (width + 2 x 150 bearing) x girth 0.60</t>
        </is>
      </c>
      <c r="D3126" s="248">
        <v>2</v>
      </c>
      <c r="E3126" s="247">
        <f>1.2+0.3</f>
        <v>1.5</v>
      </c>
      <c r="F3126" s="247">
        <f>2*0.225+0.15</f>
        <v>0.6</v>
      </c>
      <c r="H3126" s="249">
        <f>PRODUCT(D3126:G3126)</f>
        <v>1.7999999999999998</v>
      </c>
      <c r="J3126" s="253" t="inlineStr">
        <is>
          <t xml:space="preserve">2*(1.2+0.3)*(2*0.225+0.15)</t>
        </is>
      </c>
    </row>
    <row r="3127">
      <c r="C3127" s="250" t="inlineStr">
        <is>
          <t xml:space="preserve">Total carried to BOQ  6TH FLR item P</t>
        </is>
      </c>
      <c r="D3127" s="250" t="inlineStr">
        <is>
          <t xml:space="preserve"/>
        </is>
      </c>
      <c r="E3127" s="250" t="inlineStr">
        <is>
          <t xml:space="preserve"/>
        </is>
      </c>
      <c r="F3127" s="250" t="inlineStr">
        <is>
          <t xml:space="preserve"/>
        </is>
      </c>
      <c r="G3127" s="250" t="inlineStr">
        <is>
          <t xml:space="preserve"/>
        </is>
      </c>
      <c r="H3127" s="251">
        <f>SUM(H3092:H3126)</f>
        <v>124.44000000000001</v>
      </c>
      <c r="I3127" s="252" t="inlineStr">
        <is>
          <t xml:space="preserve">m2</t>
        </is>
      </c>
    </row>
    <row r="3128">
      <c r="C3128" s="242" t="inlineStr">
        <is>
          <t xml:space="preserve">E30 REINFORCEMENT - High tensile yield round bar reinforcement (standard) to BS 4449:</t>
        </is>
      </c>
    </row>
    <row r="3129">
      <c r="A3129" s="243" t="inlineStr">
        <is>
          <t xml:space="preserve">6TH FLR</t>
        </is>
      </c>
      <c r="B3129" s="243" t="inlineStr">
        <is>
          <t xml:space="preserve">Q</t>
        </is>
      </c>
      <c r="C3129" s="244" t="inlineStr">
        <is>
          <t xml:space="preserve">10mm diameter in columns</t>
        </is>
      </c>
      <c r="I3129" s="245" t="inlineStr">
        <is>
          <t xml:space="preserve">t</t>
        </is>
      </c>
      <c r="K3129" s="256" t="inlineStr">
        <is>
          <t xml:space="preserve">'6TH FLR  '!C64</t>
        </is>
      </c>
    </row>
    <row r="3130">
      <c r="C3130" s="246" t="inlineStr">
        <is>
          <t xml:space="preserve">Sixth floor (+20800) - Columns, Y10 (from reinforcement take-off / BBS)</t>
        </is>
      </c>
      <c r="H3130" s="247">
        <v>4.551</v>
      </c>
      <c r="J3130" s="253" t="inlineStr">
        <is>
          <t xml:space="preserve">4.551</t>
        </is>
      </c>
    </row>
    <row r="3131">
      <c r="C3131" s="250" t="inlineStr">
        <is>
          <t xml:space="preserve">Total carried to BOQ  6TH FLR item Q</t>
        </is>
      </c>
      <c r="D3131" s="250" t="inlineStr">
        <is>
          <t xml:space="preserve"/>
        </is>
      </c>
      <c r="E3131" s="250" t="inlineStr">
        <is>
          <t xml:space="preserve"/>
        </is>
      </c>
      <c r="F3131" s="250" t="inlineStr">
        <is>
          <t xml:space="preserve"/>
        </is>
      </c>
      <c r="G3131" s="250" t="inlineStr">
        <is>
          <t xml:space="preserve"/>
        </is>
      </c>
      <c r="H3131" s="251">
        <f>SUM(H3130:H3130)</f>
        <v>4.551</v>
      </c>
      <c r="I3131" s="252" t="inlineStr">
        <is>
          <t xml:space="preserve">t</t>
        </is>
      </c>
    </row>
    <row r="3132">
      <c r="A3132" s="243" t="inlineStr">
        <is>
          <t xml:space="preserve">6TH FLR</t>
        </is>
      </c>
      <c r="B3132" s="243" t="inlineStr">
        <is>
          <t xml:space="preserve">R</t>
        </is>
      </c>
      <c r="C3132" s="244" t="inlineStr">
        <is>
          <t xml:space="preserve">20mm diameter in columns</t>
        </is>
      </c>
      <c r="I3132" s="245" t="inlineStr">
        <is>
          <t xml:space="preserve">t</t>
        </is>
      </c>
      <c r="K3132" s="256" t="inlineStr">
        <is>
          <t xml:space="preserve">'6TH FLR  '!C66</t>
        </is>
      </c>
    </row>
    <row r="3133">
      <c r="C3133" s="246" t="inlineStr">
        <is>
          <t xml:space="preserve">Sixth floor (+20800) - Columns, Y20 (from reinforcement take-off / BBS)</t>
        </is>
      </c>
      <c r="H3133" s="247">
        <v>7.133</v>
      </c>
      <c r="J3133" s="253" t="inlineStr">
        <is>
          <t xml:space="preserve">7.133</t>
        </is>
      </c>
    </row>
    <row r="3134">
      <c r="C3134" s="250" t="inlineStr">
        <is>
          <t xml:space="preserve">Total carried to BOQ  6TH FLR item R</t>
        </is>
      </c>
      <c r="D3134" s="250" t="inlineStr">
        <is>
          <t xml:space="preserve"/>
        </is>
      </c>
      <c r="E3134" s="250" t="inlineStr">
        <is>
          <t xml:space="preserve"/>
        </is>
      </c>
      <c r="F3134" s="250" t="inlineStr">
        <is>
          <t xml:space="preserve"/>
        </is>
      </c>
      <c r="G3134" s="250" t="inlineStr">
        <is>
          <t xml:space="preserve"/>
        </is>
      </c>
      <c r="H3134" s="251">
        <f>SUM(H3133:H3133)</f>
        <v>7.133</v>
      </c>
      <c r="I3134" s="252" t="inlineStr">
        <is>
          <t xml:space="preserve">t</t>
        </is>
      </c>
    </row>
    <row r="3135">
      <c r="A3135" s="243" t="inlineStr">
        <is>
          <t xml:space="preserve">6TH FLR</t>
        </is>
      </c>
      <c r="B3135" s="243" t="inlineStr">
        <is>
          <t xml:space="preserve">S</t>
        </is>
      </c>
      <c r="C3135" s="244" t="inlineStr">
        <is>
          <t xml:space="preserve">10mm diameter in beams (links)</t>
        </is>
      </c>
      <c r="I3135" s="245" t="inlineStr">
        <is>
          <t xml:space="preserve">t</t>
        </is>
      </c>
      <c r="K3135" s="256" t="inlineStr">
        <is>
          <t xml:space="preserve">'6TH FLR  '!C68</t>
        </is>
      </c>
    </row>
    <row r="3136">
      <c r="C3136" s="246" t="inlineStr">
        <is>
          <t xml:space="preserve">Sixth floor (+20800) - Beams, Y10 (from reinforcement take-off / BBS)</t>
        </is>
      </c>
      <c r="H3136" s="247">
        <v>1.806</v>
      </c>
      <c r="J3136" s="253" t="inlineStr">
        <is>
          <t xml:space="preserve">1.806</t>
        </is>
      </c>
    </row>
    <row r="3137">
      <c r="C3137" s="250" t="inlineStr">
        <is>
          <t xml:space="preserve">Total carried to BOQ  6TH FLR item S</t>
        </is>
      </c>
      <c r="D3137" s="250" t="inlineStr">
        <is>
          <t xml:space="preserve"/>
        </is>
      </c>
      <c r="E3137" s="250" t="inlineStr">
        <is>
          <t xml:space="preserve"/>
        </is>
      </c>
      <c r="F3137" s="250" t="inlineStr">
        <is>
          <t xml:space="preserve"/>
        </is>
      </c>
      <c r="G3137" s="250" t="inlineStr">
        <is>
          <t xml:space="preserve"/>
        </is>
      </c>
      <c r="H3137" s="251">
        <f>SUM(H3136:H3136)</f>
        <v>1.806</v>
      </c>
      <c r="I3137" s="252" t="inlineStr">
        <is>
          <t xml:space="preserve">t</t>
        </is>
      </c>
    </row>
    <row r="3138">
      <c r="A3138" s="243" t="inlineStr">
        <is>
          <t xml:space="preserve">6TH FLR</t>
        </is>
      </c>
      <c r="B3138" s="243" t="inlineStr">
        <is>
          <t xml:space="preserve">T</t>
        </is>
      </c>
      <c r="C3138" s="244" t="inlineStr">
        <is>
          <t xml:space="preserve">16mm diameter in beams</t>
        </is>
      </c>
      <c r="I3138" s="245" t="inlineStr">
        <is>
          <t xml:space="preserve">t</t>
        </is>
      </c>
      <c r="K3138" s="256" t="inlineStr">
        <is>
          <t xml:space="preserve">'6TH FLR  '!C70</t>
        </is>
      </c>
    </row>
    <row r="3139">
      <c r="C3139" s="246" t="inlineStr">
        <is>
          <t xml:space="preserve">Sixth floor (+20800) - Beams, Y16 (from reinforcement take-off / BBS)</t>
        </is>
      </c>
      <c r="H3139" s="247">
        <v>1.248</v>
      </c>
      <c r="J3139" s="253" t="inlineStr">
        <is>
          <t xml:space="preserve">1.248</t>
        </is>
      </c>
    </row>
    <row r="3140">
      <c r="C3140" s="250" t="inlineStr">
        <is>
          <t xml:space="preserve">Total carried to BOQ  6TH FLR item T</t>
        </is>
      </c>
      <c r="D3140" s="250" t="inlineStr">
        <is>
          <t xml:space="preserve"/>
        </is>
      </c>
      <c r="E3140" s="250" t="inlineStr">
        <is>
          <t xml:space="preserve"/>
        </is>
      </c>
      <c r="F3140" s="250" t="inlineStr">
        <is>
          <t xml:space="preserve"/>
        </is>
      </c>
      <c r="G3140" s="250" t="inlineStr">
        <is>
          <t xml:space="preserve"/>
        </is>
      </c>
      <c r="H3140" s="251">
        <f>SUM(H3139:H3139)</f>
        <v>1.248</v>
      </c>
      <c r="I3140" s="252" t="inlineStr">
        <is>
          <t xml:space="preserve">t</t>
        </is>
      </c>
    </row>
    <row r="3141">
      <c r="A3141" s="243" t="inlineStr">
        <is>
          <t xml:space="preserve">6TH FLR</t>
        </is>
      </c>
      <c r="B3141" s="243" t="inlineStr">
        <is>
          <t xml:space="preserve">U</t>
        </is>
      </c>
      <c r="C3141" s="244" t="inlineStr">
        <is>
          <t xml:space="preserve">20mm diameter in beams</t>
        </is>
      </c>
      <c r="I3141" s="245" t="inlineStr">
        <is>
          <t xml:space="preserve">t</t>
        </is>
      </c>
      <c r="K3141" s="256" t="inlineStr">
        <is>
          <t xml:space="preserve">'6TH FLR  '!C72</t>
        </is>
      </c>
    </row>
    <row r="3142">
      <c r="C3142" s="246" t="inlineStr">
        <is>
          <t xml:space="preserve">Sixth floor (+20800) - Beams, Y20 (from reinforcement take-off / BBS)</t>
        </is>
      </c>
      <c r="H3142" s="247">
        <v>2.135</v>
      </c>
      <c r="J3142" s="253" t="inlineStr">
        <is>
          <t xml:space="preserve">2.135</t>
        </is>
      </c>
    </row>
    <row r="3143">
      <c r="C3143" s="250" t="inlineStr">
        <is>
          <t xml:space="preserve">Total carried to BOQ  6TH FLR item U</t>
        </is>
      </c>
      <c r="D3143" s="250" t="inlineStr">
        <is>
          <t xml:space="preserve"/>
        </is>
      </c>
      <c r="E3143" s="250" t="inlineStr">
        <is>
          <t xml:space="preserve"/>
        </is>
      </c>
      <c r="F3143" s="250" t="inlineStr">
        <is>
          <t xml:space="preserve"/>
        </is>
      </c>
      <c r="G3143" s="250" t="inlineStr">
        <is>
          <t xml:space="preserve"/>
        </is>
      </c>
      <c r="H3143" s="251">
        <f>SUM(H3142:H3142)</f>
        <v>2.135</v>
      </c>
      <c r="I3143" s="252" t="inlineStr">
        <is>
          <t xml:space="preserve">t</t>
        </is>
      </c>
    </row>
    <row r="3144">
      <c r="A3144" s="243" t="inlineStr">
        <is>
          <t xml:space="preserve">6TH FLR</t>
        </is>
      </c>
      <c r="B3144" s="243" t="inlineStr">
        <is>
          <t xml:space="preserve">V</t>
        </is>
      </c>
      <c r="C3144" s="244" t="inlineStr">
        <is>
          <t xml:space="preserve">25mm diameter in beams</t>
        </is>
      </c>
      <c r="I3144" s="245" t="inlineStr">
        <is>
          <t xml:space="preserve">t</t>
        </is>
      </c>
      <c r="K3144" s="256" t="inlineStr">
        <is>
          <t xml:space="preserve">'6TH FLR  '!C74</t>
        </is>
      </c>
    </row>
    <row r="3145">
      <c r="C3145" s="246" t="inlineStr">
        <is>
          <t xml:space="preserve">Sixth floor (+20800) - Beams, Y25 (from reinforcement take-off / BBS)</t>
        </is>
      </c>
      <c r="H3145" s="247">
        <v>5.507</v>
      </c>
      <c r="J3145" s="253" t="inlineStr">
        <is>
          <t xml:space="preserve">5.507</t>
        </is>
      </c>
    </row>
    <row r="3146">
      <c r="C3146" s="250" t="inlineStr">
        <is>
          <t xml:space="preserve">Total carried to BOQ  6TH FLR item V</t>
        </is>
      </c>
      <c r="D3146" s="250" t="inlineStr">
        <is>
          <t xml:space="preserve"/>
        </is>
      </c>
      <c r="E3146" s="250" t="inlineStr">
        <is>
          <t xml:space="preserve"/>
        </is>
      </c>
      <c r="F3146" s="250" t="inlineStr">
        <is>
          <t xml:space="preserve"/>
        </is>
      </c>
      <c r="G3146" s="250" t="inlineStr">
        <is>
          <t xml:space="preserve"/>
        </is>
      </c>
      <c r="H3146" s="251">
        <f>SUM(H3145:H3145)</f>
        <v>5.507</v>
      </c>
      <c r="I3146" s="252" t="inlineStr">
        <is>
          <t xml:space="preserve">t</t>
        </is>
      </c>
    </row>
    <row r="3147">
      <c r="A3147" s="243" t="inlineStr">
        <is>
          <t xml:space="preserve">6TH FLR</t>
        </is>
      </c>
      <c r="B3147" s="243" t="inlineStr">
        <is>
          <t xml:space="preserve">W</t>
        </is>
      </c>
      <c r="C3147" s="244" t="inlineStr">
        <is>
          <t xml:space="preserve">10mm diameter in shear &amp; lift walls (links)</t>
        </is>
      </c>
      <c r="I3147" s="245" t="inlineStr">
        <is>
          <t xml:space="preserve">t</t>
        </is>
      </c>
      <c r="K3147" s="256" t="inlineStr">
        <is>
          <t xml:space="preserve">'6TH FLR  '!C76</t>
        </is>
      </c>
    </row>
    <row r="3148">
      <c r="C3148" s="246" t="inlineStr">
        <is>
          <t xml:space="preserve">Sixth floor (+20800) - Shear Walls, Y10 (from reinforcement take-off / BBS)</t>
        </is>
      </c>
      <c r="H3148" s="247">
        <v>1.442</v>
      </c>
      <c r="J3148" s="253" t="inlineStr">
        <is>
          <t xml:space="preserve">1.442</t>
        </is>
      </c>
    </row>
    <row r="3149">
      <c r="C3149" s="246" t="inlineStr">
        <is>
          <t xml:space="preserve">Sixth floor (+20800) - Lift Walls, Y10 (from reinforcement take-off / BBS)</t>
        </is>
      </c>
      <c r="H3149" s="247">
        <v>0.636</v>
      </c>
      <c r="J3149" s="253" t="inlineStr">
        <is>
          <t xml:space="preserve">0.636</t>
        </is>
      </c>
    </row>
    <row r="3150">
      <c r="C3150" s="250" t="inlineStr">
        <is>
          <t xml:space="preserve">Total carried to BOQ  6TH FLR item W</t>
        </is>
      </c>
      <c r="D3150" s="250" t="inlineStr">
        <is>
          <t xml:space="preserve"/>
        </is>
      </c>
      <c r="E3150" s="250" t="inlineStr">
        <is>
          <t xml:space="preserve"/>
        </is>
      </c>
      <c r="F3150" s="250" t="inlineStr">
        <is>
          <t xml:space="preserve"/>
        </is>
      </c>
      <c r="G3150" s="250" t="inlineStr">
        <is>
          <t xml:space="preserve"/>
        </is>
      </c>
      <c r="H3150" s="251">
        <f>SUM(H3148:H3149)</f>
        <v>2.078</v>
      </c>
      <c r="I3150" s="252" t="inlineStr">
        <is>
          <t xml:space="preserve">t</t>
        </is>
      </c>
    </row>
    <row r="3151">
      <c r="A3151" s="243" t="inlineStr">
        <is>
          <t xml:space="preserve">6TH FLR</t>
        </is>
      </c>
      <c r="B3151" s="243" t="inlineStr">
        <is>
          <t xml:space="preserve">X</t>
        </is>
      </c>
      <c r="C3151" s="244" t="inlineStr">
        <is>
          <t xml:space="preserve">12mm diameter in shear, lift &amp; ramp walls</t>
        </is>
      </c>
      <c r="I3151" s="245" t="inlineStr">
        <is>
          <t xml:space="preserve">t</t>
        </is>
      </c>
      <c r="K3151" s="256" t="inlineStr">
        <is>
          <t xml:space="preserve">'6TH FLR  '!C78</t>
        </is>
      </c>
    </row>
    <row r="3152">
      <c r="C3152" s="246" t="inlineStr">
        <is>
          <t xml:space="preserve">Sixth floor (+20800) - Shear Walls, Y12 (from reinforcement take-off / BBS)</t>
        </is>
      </c>
      <c r="H3152" s="247">
        <v>1.917</v>
      </c>
      <c r="J3152" s="253" t="inlineStr">
        <is>
          <t xml:space="preserve">1.917</t>
        </is>
      </c>
    </row>
    <row r="3153">
      <c r="C3153" s="246" t="inlineStr">
        <is>
          <t xml:space="preserve">Sixth floor (+20800) - Lift Walls, Y12 (from reinforcement take-off / BBS)</t>
        </is>
      </c>
      <c r="H3153" s="247">
        <v>0.866</v>
      </c>
      <c r="J3153" s="253" t="inlineStr">
        <is>
          <t xml:space="preserve">0.866</t>
        </is>
      </c>
    </row>
    <row r="3154">
      <c r="C3154" s="250" t="inlineStr">
        <is>
          <t xml:space="preserve">Total carried to BOQ  6TH FLR item X</t>
        </is>
      </c>
      <c r="D3154" s="250" t="inlineStr">
        <is>
          <t xml:space="preserve"/>
        </is>
      </c>
      <c r="E3154" s="250" t="inlineStr">
        <is>
          <t xml:space="preserve"/>
        </is>
      </c>
      <c r="F3154" s="250" t="inlineStr">
        <is>
          <t xml:space="preserve"/>
        </is>
      </c>
      <c r="G3154" s="250" t="inlineStr">
        <is>
          <t xml:space="preserve"/>
        </is>
      </c>
      <c r="H3154" s="251">
        <f>SUM(H3152:H3153)</f>
        <v>2.783</v>
      </c>
      <c r="I3154" s="252" t="inlineStr">
        <is>
          <t xml:space="preserve">t</t>
        </is>
      </c>
    </row>
    <row r="3155">
      <c r="A3155" s="243" t="inlineStr">
        <is>
          <t xml:space="preserve">6TH FLR</t>
        </is>
      </c>
      <c r="B3155" s="243" t="inlineStr">
        <is>
          <t xml:space="preserve">Y</t>
        </is>
      </c>
      <c r="C3155" s="244" t="inlineStr">
        <is>
          <t xml:space="preserve">20mm diameter in shear &amp; lift walls</t>
        </is>
      </c>
      <c r="I3155" s="245" t="inlineStr">
        <is>
          <t xml:space="preserve">t</t>
        </is>
      </c>
      <c r="K3155" s="256" t="inlineStr">
        <is>
          <t xml:space="preserve">'6TH FLR  '!C80</t>
        </is>
      </c>
    </row>
    <row r="3156">
      <c r="C3156" s="246" t="inlineStr">
        <is>
          <t xml:space="preserve">Sixth floor (+20800) - Shear Walls, Y20 (from reinforcement take-off / BBS)</t>
        </is>
      </c>
      <c r="H3156" s="247">
        <v>6.904</v>
      </c>
      <c r="J3156" s="253" t="inlineStr">
        <is>
          <t xml:space="preserve">6.904</t>
        </is>
      </c>
    </row>
    <row r="3157">
      <c r="C3157" s="246" t="inlineStr">
        <is>
          <t xml:space="preserve">Sixth floor (+20800) - Lift Walls, Y20 (from reinforcement take-off / BBS)</t>
        </is>
      </c>
      <c r="H3157" s="247">
        <v>3.32</v>
      </c>
      <c r="J3157" s="253" t="inlineStr">
        <is>
          <t xml:space="preserve">3.320</t>
        </is>
      </c>
    </row>
    <row r="3158">
      <c r="C3158" s="250" t="inlineStr">
        <is>
          <t xml:space="preserve">Total carried to BOQ  6TH FLR item Y</t>
        </is>
      </c>
      <c r="D3158" s="250" t="inlineStr">
        <is>
          <t xml:space="preserve"/>
        </is>
      </c>
      <c r="E3158" s="250" t="inlineStr">
        <is>
          <t xml:space="preserve"/>
        </is>
      </c>
      <c r="F3158" s="250" t="inlineStr">
        <is>
          <t xml:space="preserve"/>
        </is>
      </c>
      <c r="G3158" s="250" t="inlineStr">
        <is>
          <t xml:space="preserve"/>
        </is>
      </c>
      <c r="H3158" s="251">
        <f>SUM(H3156:H3157)</f>
        <v>10.224</v>
      </c>
      <c r="I3158" s="252" t="inlineStr">
        <is>
          <t xml:space="preserve">t</t>
        </is>
      </c>
    </row>
    <row r="3159">
      <c r="A3159" s="243" t="inlineStr">
        <is>
          <t xml:space="preserve">6TH FLR</t>
        </is>
      </c>
      <c r="B3159" s="243" t="inlineStr">
        <is>
          <t xml:space="preserve">Z</t>
        </is>
      </c>
      <c r="C3159" s="244" t="inlineStr">
        <is>
          <t xml:space="preserve">12mm diameter in stairs</t>
        </is>
      </c>
      <c r="I3159" s="245" t="inlineStr">
        <is>
          <t xml:space="preserve">t</t>
        </is>
      </c>
      <c r="K3159" s="256" t="inlineStr">
        <is>
          <t xml:space="preserve">'6TH FLR  '!C82</t>
        </is>
      </c>
    </row>
    <row r="3160">
      <c r="C3160" s="246" t="inlineStr">
        <is>
          <t xml:space="preserve">Sixth floor (+20800) - Staircases, Y12 (from reinforcement take-off / BBS)</t>
        </is>
      </c>
      <c r="H3160" s="247">
        <v>0.88</v>
      </c>
      <c r="J3160" s="253" t="inlineStr">
        <is>
          <t xml:space="preserve">0.880</t>
        </is>
      </c>
    </row>
    <row r="3161">
      <c r="C3161" s="250" t="inlineStr">
        <is>
          <t xml:space="preserve">Total carried to BOQ  6TH FLR item Z</t>
        </is>
      </c>
      <c r="D3161" s="250" t="inlineStr">
        <is>
          <t xml:space="preserve"/>
        </is>
      </c>
      <c r="E3161" s="250" t="inlineStr">
        <is>
          <t xml:space="preserve"/>
        </is>
      </c>
      <c r="F3161" s="250" t="inlineStr">
        <is>
          <t xml:space="preserve"/>
        </is>
      </c>
      <c r="G3161" s="250" t="inlineStr">
        <is>
          <t xml:space="preserve"/>
        </is>
      </c>
      <c r="H3161" s="251">
        <f>SUM(H3160:H3160)</f>
        <v>0.88</v>
      </c>
      <c r="I3161" s="252" t="inlineStr">
        <is>
          <t xml:space="preserve">t</t>
        </is>
      </c>
    </row>
    <row r="3162">
      <c r="A3162" s="243" t="inlineStr">
        <is>
          <t xml:space="preserve">6TH FLR</t>
        </is>
      </c>
      <c r="B3162" s="243" t="inlineStr">
        <is>
          <t xml:space="preserve">A</t>
        </is>
      </c>
      <c r="C3162" s="244" t="inlineStr">
        <is>
          <t xml:space="preserve">16mm diameter in stairs</t>
        </is>
      </c>
      <c r="I3162" s="245" t="inlineStr">
        <is>
          <t xml:space="preserve">t</t>
        </is>
      </c>
      <c r="K3162" s="256" t="inlineStr">
        <is>
          <t xml:space="preserve">'6TH FLR  '!C84</t>
        </is>
      </c>
    </row>
    <row r="3163">
      <c r="C3163" s="246" t="inlineStr">
        <is>
          <t xml:space="preserve">Sixth floor (+20800) - Staircases, Y16 (from reinforcement take-off / BBS)</t>
        </is>
      </c>
      <c r="H3163" s="247">
        <v>1.434</v>
      </c>
      <c r="J3163" s="253" t="inlineStr">
        <is>
          <t xml:space="preserve">1.434</t>
        </is>
      </c>
    </row>
    <row r="3164">
      <c r="C3164" s="250" t="inlineStr">
        <is>
          <t xml:space="preserve">Total carried to BOQ  6TH FLR item A</t>
        </is>
      </c>
      <c r="D3164" s="250" t="inlineStr">
        <is>
          <t xml:space="preserve"/>
        </is>
      </c>
      <c r="E3164" s="250" t="inlineStr">
        <is>
          <t xml:space="preserve"/>
        </is>
      </c>
      <c r="F3164" s="250" t="inlineStr">
        <is>
          <t xml:space="preserve"/>
        </is>
      </c>
      <c r="G3164" s="250" t="inlineStr">
        <is>
          <t xml:space="preserve"/>
        </is>
      </c>
      <c r="H3164" s="251">
        <f>SUM(H3163:H3163)</f>
        <v>1.434</v>
      </c>
      <c r="I3164" s="252" t="inlineStr">
        <is>
          <t xml:space="preserve">t</t>
        </is>
      </c>
    </row>
    <row r="3165">
      <c r="A3165" s="243" t="inlineStr">
        <is>
          <t xml:space="preserve">6TH FLR</t>
        </is>
      </c>
      <c r="B3165" s="243" t="inlineStr">
        <is>
          <t xml:space="preserve">B</t>
        </is>
      </c>
      <c r="C3165" s="244" t="inlineStr">
        <is>
          <t xml:space="preserve">12mm diameter for suspended slab</t>
        </is>
      </c>
      <c r="I3165" s="245" t="inlineStr">
        <is>
          <t xml:space="preserve">t</t>
        </is>
      </c>
      <c r="K3165" s="256" t="inlineStr">
        <is>
          <t xml:space="preserve">'6TH FLR  '!C86</t>
        </is>
      </c>
    </row>
    <row r="3166">
      <c r="C3166" s="246" t="inlineStr">
        <is>
          <t xml:space="preserve">Sixth floor (+20800) - Floor Slabs, Y12 (from reinforcement take-off / BBS)</t>
        </is>
      </c>
      <c r="H3166" s="247">
        <v>49.804</v>
      </c>
      <c r="J3166" s="253" t="inlineStr">
        <is>
          <t xml:space="preserve">49.804</t>
        </is>
      </c>
    </row>
    <row r="3167">
      <c r="C3167" s="250" t="inlineStr">
        <is>
          <t xml:space="preserve">Total carried to BOQ  6TH FLR item B</t>
        </is>
      </c>
      <c r="D3167" s="250" t="inlineStr">
        <is>
          <t xml:space="preserve"/>
        </is>
      </c>
      <c r="E3167" s="250" t="inlineStr">
        <is>
          <t xml:space="preserve"/>
        </is>
      </c>
      <c r="F3167" s="250" t="inlineStr">
        <is>
          <t xml:space="preserve"/>
        </is>
      </c>
      <c r="G3167" s="250" t="inlineStr">
        <is>
          <t xml:space="preserve"/>
        </is>
      </c>
      <c r="H3167" s="251">
        <f>SUM(H3166:H3166)</f>
        <v>49.804</v>
      </c>
      <c r="I3167" s="252" t="inlineStr">
        <is>
          <t xml:space="preserve">t</t>
        </is>
      </c>
    </row>
    <row r="3168">
      <c r="A3168" s="243" t="inlineStr">
        <is>
          <t xml:space="preserve">6TH FLR</t>
        </is>
      </c>
      <c r="B3168" s="243" t="inlineStr">
        <is>
          <t xml:space="preserve">C</t>
        </is>
      </c>
      <c r="C3168" s="244" t="inlineStr">
        <is>
          <t xml:space="preserve">16mm diameter for suspended slab</t>
        </is>
      </c>
      <c r="I3168" s="245" t="inlineStr">
        <is>
          <t xml:space="preserve">t</t>
        </is>
      </c>
      <c r="K3168" s="256" t="inlineStr">
        <is>
          <t xml:space="preserve">'6TH FLR  '!C88</t>
        </is>
      </c>
    </row>
    <row r="3169">
      <c r="C3169" s="246" t="inlineStr">
        <is>
          <t xml:space="preserve">Sixth floor (+20800) - Floor Slabs, Y16 (from reinforcement take-off / BBS)</t>
        </is>
      </c>
      <c r="H3169" s="247">
        <v>0.151</v>
      </c>
      <c r="J3169" s="253" t="inlineStr">
        <is>
          <t xml:space="preserve">0.151</t>
        </is>
      </c>
    </row>
    <row r="3170">
      <c r="C3170" s="250" t="inlineStr">
        <is>
          <t xml:space="preserve">Total carried to BOQ  6TH FLR item C</t>
        </is>
      </c>
      <c r="D3170" s="250" t="inlineStr">
        <is>
          <t xml:space="preserve"/>
        </is>
      </c>
      <c r="E3170" s="250" t="inlineStr">
        <is>
          <t xml:space="preserve"/>
        </is>
      </c>
      <c r="F3170" s="250" t="inlineStr">
        <is>
          <t xml:space="preserve"/>
        </is>
      </c>
      <c r="G3170" s="250" t="inlineStr">
        <is>
          <t xml:space="preserve"/>
        </is>
      </c>
      <c r="H3170" s="251">
        <f>SUM(H3169:H3169)</f>
        <v>0.151</v>
      </c>
      <c r="I3170" s="252" t="inlineStr">
        <is>
          <t xml:space="preserve">t</t>
        </is>
      </c>
    </row>
    <row r="3171">
      <c r="C3171" s="242" t="inlineStr">
        <is>
          <t xml:space="preserve">ELEMENT NO. 2: MASONRY</t>
        </is>
      </c>
    </row>
    <row r="3172">
      <c r="C3172" s="242" t="inlineStr">
        <is>
          <t xml:space="preserve">F10 BRICK/BLOCK WALL - Solid sandcrete blockwork in cement and sand (1:4) mortar as described in:</t>
        </is>
      </c>
    </row>
    <row r="3173">
      <c r="A3173" s="243" t="inlineStr">
        <is>
          <t xml:space="preserve">6TH FLR</t>
        </is>
      </c>
      <c r="B3173" s="243" t="inlineStr">
        <is>
          <t xml:space="preserve">A</t>
        </is>
      </c>
      <c r="C3173" s="244" t="inlineStr">
        <is>
          <t xml:space="preserve">150mm thick wall</t>
        </is>
      </c>
      <c r="I3173" s="245" t="inlineStr">
        <is>
          <t xml:space="preserve">m2</t>
        </is>
      </c>
      <c r="K3173" s="256" t="inlineStr">
        <is>
          <t xml:space="preserve">'6TH FLR  '!C97</t>
        </is>
      </c>
    </row>
    <row r="3174">
      <c r="C3174" s="246" t="inlineStr">
        <is>
          <t xml:space="preserve">Sixth floor - 150 blockwork: wall length x storey ht</t>
        </is>
      </c>
      <c r="E3174" s="247">
        <v>465.9</v>
      </c>
      <c r="F3174" s="247">
        <v>3.05</v>
      </c>
      <c r="H3174" s="249">
        <f>PRODUCT(D3174:G3174)</f>
        <v>1420.995</v>
      </c>
      <c r="J3174" s="253" t="inlineStr">
        <is>
          <t xml:space="preserve">465.9*3.05</t>
        </is>
      </c>
    </row>
    <row r="3175">
      <c r="C3175" s="246" t="inlineStr">
        <is>
          <t xml:space="preserve">Walling over opening D2 (8 nr, 1x2.2): nr x width x (3.05 - opening ht) x thickness share</t>
        </is>
      </c>
      <c r="D3175" s="248">
        <v>8</v>
      </c>
      <c r="E3175" s="247">
        <v>1</v>
      </c>
      <c r="F3175" s="247">
        <f>3.05-2.2</f>
        <v>0.8499999999999996</v>
      </c>
      <c r="G3175" s="247">
        <v>0.903</v>
      </c>
      <c r="H3175" s="249">
        <f>PRODUCT(D3175:G3175)</f>
        <v>6.140399999999998</v>
      </c>
      <c r="J3175" s="253" t="inlineStr">
        <is>
          <t xml:space="preserve">8*1*(3.05-2.2)*0.903</t>
        </is>
      </c>
    </row>
    <row r="3176">
      <c r="C3176" s="246" t="inlineStr">
        <is>
          <t xml:space="preserve">Walling over opening D3 (15 nr, 0.9x2.2): nr x width x (3.05 - opening ht) x thickness share</t>
        </is>
      </c>
      <c r="D3176" s="248">
        <v>15</v>
      </c>
      <c r="E3176" s="247">
        <v>0.9</v>
      </c>
      <c r="F3176" s="247">
        <f>3.05-2.2</f>
        <v>0.8499999999999996</v>
      </c>
      <c r="G3176" s="247">
        <v>0.903</v>
      </c>
      <c r="H3176" s="249">
        <f>PRODUCT(D3176:G3176)</f>
        <v>10.361924999999996</v>
      </c>
      <c r="J3176" s="253" t="inlineStr">
        <is>
          <t xml:space="preserve">15*0.9*(3.05-2.2)*0.903</t>
        </is>
      </c>
    </row>
    <row r="3177">
      <c r="C3177" s="246" t="inlineStr">
        <is>
          <t xml:space="preserve">Walling over opening D6 (21 nr, 0.75x2.2): nr x width x (3.05 - opening ht) x thickness share</t>
        </is>
      </c>
      <c r="D3177" s="248">
        <v>21</v>
      </c>
      <c r="E3177" s="247">
        <v>0.75</v>
      </c>
      <c r="F3177" s="247">
        <f>3.05-2.2</f>
        <v>0.8499999999999996</v>
      </c>
      <c r="G3177" s="247">
        <v>0.903</v>
      </c>
      <c r="H3177" s="249">
        <f>PRODUCT(D3177:G3177)</f>
        <v>12.088912499999996</v>
      </c>
      <c r="J3177" s="253" t="inlineStr">
        <is>
          <t xml:space="preserve">21*0.75*(3.05-2.2)*0.903</t>
        </is>
      </c>
    </row>
    <row r="3178">
      <c r="C3178" s="246" t="inlineStr">
        <is>
          <t xml:space="preserve">Walling over opening D7 (1 nr, 0.7x2.2): nr x width x (3.05 - opening ht) x thickness share</t>
        </is>
      </c>
      <c r="D3178" s="248">
        <v>1</v>
      </c>
      <c r="E3178" s="247">
        <v>0.7</v>
      </c>
      <c r="F3178" s="247">
        <f>3.05-2.2</f>
        <v>0.8499999999999996</v>
      </c>
      <c r="G3178" s="247">
        <v>0.903</v>
      </c>
      <c r="H3178" s="249">
        <f>PRODUCT(D3178:G3178)</f>
        <v>0.5372849999999998</v>
      </c>
      <c r="J3178" s="253" t="inlineStr">
        <is>
          <t xml:space="preserve">1*0.7*(3.05-2.2)*0.903</t>
        </is>
      </c>
    </row>
    <row r="3179">
      <c r="C3179" s="246" t="inlineStr">
        <is>
          <t xml:space="preserve">Walling over opening D8 (3 nr, 1.2x2.2): nr x width x (3.05 - opening ht) x thickness share</t>
        </is>
      </c>
      <c r="D3179" s="248">
        <v>3</v>
      </c>
      <c r="E3179" s="247">
        <v>1.2</v>
      </c>
      <c r="F3179" s="247">
        <f>3.05-2.2</f>
        <v>0.8499999999999996</v>
      </c>
      <c r="G3179" s="247">
        <v>0.903</v>
      </c>
      <c r="H3179" s="249">
        <f>PRODUCT(D3179:G3179)</f>
        <v>2.7631799999999984</v>
      </c>
      <c r="J3179" s="253" t="inlineStr">
        <is>
          <t xml:space="preserve">3*1.2*(3.05-2.2)*0.903</t>
        </is>
      </c>
    </row>
    <row r="3180">
      <c r="C3180" s="246" t="inlineStr">
        <is>
          <t xml:space="preserve">Walling over opening ED1 (3 nr, 1x2.2): nr x width x (3.05 - opening ht) x thickness share</t>
        </is>
      </c>
      <c r="D3180" s="248">
        <v>3</v>
      </c>
      <c r="E3180" s="247">
        <v>1</v>
      </c>
      <c r="F3180" s="247">
        <f>3.05-2.2</f>
        <v>0.8499999999999996</v>
      </c>
      <c r="G3180" s="247">
        <v>0.903</v>
      </c>
      <c r="H3180" s="249">
        <f>PRODUCT(D3180:G3180)</f>
        <v>2.302649999999999</v>
      </c>
      <c r="J3180" s="253" t="inlineStr">
        <is>
          <t xml:space="preserve">3*1*(3.05-2.2)*0.903</t>
        </is>
      </c>
    </row>
    <row r="3181">
      <c r="C3181" s="246" t="inlineStr">
        <is>
          <t xml:space="preserve">Walling over opening ED2 (3 nr, 1x2.2): nr x width x (3.05 - opening ht) x thickness share</t>
        </is>
      </c>
      <c r="D3181" s="248">
        <v>3</v>
      </c>
      <c r="E3181" s="247">
        <v>1</v>
      </c>
      <c r="F3181" s="247">
        <f>3.05-2.2</f>
        <v>0.8499999999999996</v>
      </c>
      <c r="G3181" s="247">
        <v>0.903</v>
      </c>
      <c r="H3181" s="249">
        <f>PRODUCT(D3181:G3181)</f>
        <v>2.302649999999999</v>
      </c>
      <c r="J3181" s="253" t="inlineStr">
        <is>
          <t xml:space="preserve">3*1*(3.05-2.2)*0.903</t>
        </is>
      </c>
    </row>
    <row r="3182">
      <c r="C3182" s="246" t="inlineStr">
        <is>
          <t xml:space="preserve">Walling over opening D9 (1 nr, 0.9x2.2): nr x width x (3.05 - opening ht) x thickness share</t>
        </is>
      </c>
      <c r="D3182" s="248">
        <v>1</v>
      </c>
      <c r="E3182" s="247">
        <v>0.9</v>
      </c>
      <c r="F3182" s="247">
        <f>3.05-2.2</f>
        <v>0.8499999999999996</v>
      </c>
      <c r="G3182" s="247">
        <v>0.903</v>
      </c>
      <c r="H3182" s="249">
        <f>PRODUCT(D3182:G3182)</f>
        <v>0.6907949999999997</v>
      </c>
      <c r="J3182" s="253" t="inlineStr">
        <is>
          <t xml:space="preserve">1*0.9*(3.05-2.2)*0.903</t>
        </is>
      </c>
    </row>
    <row r="3183">
      <c r="C3183" s="246" t="inlineStr">
        <is>
          <t xml:space="preserve">Walling over opening FD1 (1 nr, 1.5x2.2): nr x width x (3.05 - opening ht) x thickness share</t>
        </is>
      </c>
      <c r="D3183" s="248">
        <v>1</v>
      </c>
      <c r="E3183" s="247">
        <v>1.5</v>
      </c>
      <c r="F3183" s="247">
        <f>3.05-2.2</f>
        <v>0.8499999999999996</v>
      </c>
      <c r="G3183" s="247">
        <v>0.903</v>
      </c>
      <c r="H3183" s="249">
        <f>PRODUCT(D3183:G3183)</f>
        <v>1.1513249999999995</v>
      </c>
      <c r="J3183" s="253" t="inlineStr">
        <is>
          <t xml:space="preserve">1*1.5*(3.05-2.2)*0.903</t>
        </is>
      </c>
    </row>
    <row r="3184">
      <c r="C3184" s="246" t="inlineStr">
        <is>
          <t xml:space="preserve">Walling over opening M1 (2 nr, 0.9x2.2): nr x width x (3.05 - opening ht) x thickness share</t>
        </is>
      </c>
      <c r="D3184" s="248">
        <v>2</v>
      </c>
      <c r="E3184" s="247">
        <v>0.9</v>
      </c>
      <c r="F3184" s="247">
        <f>3.05-2.2</f>
        <v>0.8499999999999996</v>
      </c>
      <c r="G3184" s="247">
        <v>0.903</v>
      </c>
      <c r="H3184" s="249">
        <f>PRODUCT(D3184:G3184)</f>
        <v>1.3815899999999994</v>
      </c>
      <c r="J3184" s="253" t="inlineStr">
        <is>
          <t xml:space="preserve">2*0.9*(3.05-2.2)*0.903</t>
        </is>
      </c>
    </row>
    <row r="3185">
      <c r="C3185" s="246" t="inlineStr">
        <is>
          <t xml:space="preserve">Walling over opening M2 (5 nr, 0.75x2.2): nr x width x (3.05 - opening ht) x thickness share</t>
        </is>
      </c>
      <c r="D3185" s="248">
        <v>5</v>
      </c>
      <c r="E3185" s="247">
        <v>0.75</v>
      </c>
      <c r="F3185" s="247">
        <f>3.05-2.2</f>
        <v>0.8499999999999996</v>
      </c>
      <c r="G3185" s="247">
        <v>0.903</v>
      </c>
      <c r="H3185" s="249">
        <f>PRODUCT(D3185:G3185)</f>
        <v>2.878312499999999</v>
      </c>
      <c r="J3185" s="253" t="inlineStr">
        <is>
          <t xml:space="preserve">5*0.75*(3.05-2.2)*0.903</t>
        </is>
      </c>
    </row>
    <row r="3186">
      <c r="C3186" s="246" t="inlineStr">
        <is>
          <t xml:space="preserve">Walling over opening M3 (1 nr, 0.45x2.2): nr x width x (3.05 - opening ht) x thickness share</t>
        </is>
      </c>
      <c r="D3186" s="248">
        <v>1</v>
      </c>
      <c r="E3186" s="247">
        <v>0.45</v>
      </c>
      <c r="F3186" s="247">
        <f>3.05-2.2</f>
        <v>0.8499999999999996</v>
      </c>
      <c r="G3186" s="247">
        <v>0.903</v>
      </c>
      <c r="H3186" s="249">
        <f>PRODUCT(D3186:G3186)</f>
        <v>0.34539749999999986</v>
      </c>
      <c r="J3186" s="253" t="inlineStr">
        <is>
          <t xml:space="preserve">1*0.45*(3.05-2.2)*0.903</t>
        </is>
      </c>
    </row>
    <row r="3187">
      <c r="C3187" s="246" t="inlineStr">
        <is>
          <t xml:space="preserve">Walling over opening M5 (3 nr, 0.6x2.2): nr x width x (3.05 - opening ht) x thickness share</t>
        </is>
      </c>
      <c r="D3187" s="248">
        <v>3</v>
      </c>
      <c r="E3187" s="247">
        <v>0.6</v>
      </c>
      <c r="F3187" s="247">
        <f>3.05-2.2</f>
        <v>0.8499999999999996</v>
      </c>
      <c r="G3187" s="247">
        <v>0.903</v>
      </c>
      <c r="H3187" s="249">
        <f>PRODUCT(D3187:G3187)</f>
        <v>1.3815899999999992</v>
      </c>
      <c r="J3187" s="253" t="inlineStr">
        <is>
          <t xml:space="preserve">3*0.6*(3.05-2.2)*0.903</t>
        </is>
      </c>
    </row>
    <row r="3188">
      <c r="C3188" s="246" t="inlineStr">
        <is>
          <t xml:space="preserve">Walling over opening SD1 (1 nr, 3x2.2): nr x width x (3.05 - opening ht) x thickness share</t>
        </is>
      </c>
      <c r="D3188" s="248">
        <v>1</v>
      </c>
      <c r="E3188" s="247">
        <v>3</v>
      </c>
      <c r="F3188" s="247">
        <f>3.05-2.2</f>
        <v>0.8499999999999996</v>
      </c>
      <c r="G3188" s="247">
        <v>0.903</v>
      </c>
      <c r="H3188" s="249">
        <f>PRODUCT(D3188:G3188)</f>
        <v>2.302649999999999</v>
      </c>
      <c r="J3188" s="253" t="inlineStr">
        <is>
          <t xml:space="preserve">1*3*(3.05-2.2)*0.903</t>
        </is>
      </c>
    </row>
    <row r="3189">
      <c r="C3189" s="246" t="inlineStr">
        <is>
          <t xml:space="preserve">Walling over opening SD2 (4 nr, 1.6x2.2): nr x width x (3.05 - opening ht) x thickness share</t>
        </is>
      </c>
      <c r="D3189" s="248">
        <v>4</v>
      </c>
      <c r="E3189" s="247">
        <v>1.6</v>
      </c>
      <c r="F3189" s="247">
        <f>3.05-2.2</f>
        <v>0.8499999999999996</v>
      </c>
      <c r="G3189" s="247">
        <v>0.903</v>
      </c>
      <c r="H3189" s="249">
        <f>PRODUCT(D3189:G3189)</f>
        <v>4.9123199999999985</v>
      </c>
      <c r="J3189" s="253" t="inlineStr">
        <is>
          <t xml:space="preserve">4*1.6*(3.05-2.2)*0.903</t>
        </is>
      </c>
    </row>
    <row r="3190">
      <c r="C3190" s="246" t="inlineStr">
        <is>
          <t xml:space="preserve">Walling over opening SD3 (2 nr, 1.3x2.2): nr x width x (3.05 - opening ht) x thickness share</t>
        </is>
      </c>
      <c r="D3190" s="248">
        <v>2</v>
      </c>
      <c r="E3190" s="247">
        <v>1.3</v>
      </c>
      <c r="F3190" s="247">
        <f>3.05-2.2</f>
        <v>0.8499999999999996</v>
      </c>
      <c r="G3190" s="247">
        <v>0.903</v>
      </c>
      <c r="H3190" s="249">
        <f>PRODUCT(D3190:G3190)</f>
        <v>1.9956299999999991</v>
      </c>
      <c r="J3190" s="253" t="inlineStr">
        <is>
          <t xml:space="preserve">2*1.3*(3.05-2.2)*0.903</t>
        </is>
      </c>
    </row>
    <row r="3191">
      <c r="C3191" s="246" t="inlineStr">
        <is>
          <t xml:space="preserve">Walling over opening SD4 (4 nr, 1.8x2.2): nr x width x (3.05 - opening ht) x thickness share</t>
        </is>
      </c>
      <c r="D3191" s="248">
        <v>4</v>
      </c>
      <c r="E3191" s="247">
        <v>1.8</v>
      </c>
      <c r="F3191" s="247">
        <f>3.05-2.2</f>
        <v>0.8499999999999996</v>
      </c>
      <c r="G3191" s="247">
        <v>0.903</v>
      </c>
      <c r="H3191" s="249">
        <f>PRODUCT(D3191:G3191)</f>
        <v>5.526359999999998</v>
      </c>
      <c r="J3191" s="253" t="inlineStr">
        <is>
          <t xml:space="preserve">4*1.8*(3.05-2.2)*0.903</t>
        </is>
      </c>
    </row>
    <row r="3192">
      <c r="C3192" s="246" t="inlineStr">
        <is>
          <t xml:space="preserve">Walling over opening SD5 (1 nr, 1.2x2.2): nr x width x (3.05 - opening ht) x thickness share</t>
        </is>
      </c>
      <c r="D3192" s="248">
        <v>1</v>
      </c>
      <c r="E3192" s="247">
        <v>1.2</v>
      </c>
      <c r="F3192" s="247">
        <f>3.05-2.2</f>
        <v>0.8499999999999996</v>
      </c>
      <c r="G3192" s="247">
        <v>0.903</v>
      </c>
      <c r="H3192" s="249">
        <f>PRODUCT(D3192:G3192)</f>
        <v>0.9210599999999997</v>
      </c>
      <c r="J3192" s="253" t="inlineStr">
        <is>
          <t xml:space="preserve">1*1.2*(3.05-2.2)*0.903</t>
        </is>
      </c>
    </row>
    <row r="3193">
      <c r="C3193" s="246" t="inlineStr">
        <is>
          <t xml:space="preserve">Walling over opening W2 (6 nr, 1.8x1.3): nr x width x (3.05 - opening ht) x thickness share</t>
        </is>
      </c>
      <c r="D3193" s="248">
        <v>6</v>
      </c>
      <c r="E3193" s="247">
        <v>1.8</v>
      </c>
      <c r="F3193" s="247">
        <f>3.05-1.3</f>
        <v>1.7499999999999998</v>
      </c>
      <c r="G3193" s="247">
        <v>0.903</v>
      </c>
      <c r="H3193" s="249">
        <f>PRODUCT(D3193:G3193)</f>
        <v>17.0667</v>
      </c>
      <c r="J3193" s="253" t="inlineStr">
        <is>
          <t xml:space="preserve">6*1.8*(3.05-1.3)*0.903</t>
        </is>
      </c>
    </row>
    <row r="3194">
      <c r="C3194" s="246" t="inlineStr">
        <is>
          <t xml:space="preserve">Walling over opening W4 (10 nr, 0.9x1.3): nr x width x (3.05 - opening ht) x thickness share</t>
        </is>
      </c>
      <c r="D3194" s="248">
        <v>10</v>
      </c>
      <c r="E3194" s="247">
        <v>0.9</v>
      </c>
      <c r="F3194" s="247">
        <f>3.05-1.3</f>
        <v>1.7499999999999998</v>
      </c>
      <c r="G3194" s="247">
        <v>0.903</v>
      </c>
      <c r="H3194" s="249">
        <f>PRODUCT(D3194:G3194)</f>
        <v>14.222249999999999</v>
      </c>
      <c r="J3194" s="253" t="inlineStr">
        <is>
          <t xml:space="preserve">10*0.9*(3.05-1.3)*0.903</t>
        </is>
      </c>
    </row>
    <row r="3195">
      <c r="C3195" s="246" t="inlineStr">
        <is>
          <t xml:space="preserve">Walling over opening W7 (2 nr, 1.8x1.6): nr x width x (3.05 - opening ht) x thickness share</t>
        </is>
      </c>
      <c r="D3195" s="248">
        <v>2</v>
      </c>
      <c r="E3195" s="247">
        <v>1.8</v>
      </c>
      <c r="F3195" s="247">
        <f>3.05-1.6</f>
        <v>1.4499999999999997</v>
      </c>
      <c r="G3195" s="247">
        <v>0.903</v>
      </c>
      <c r="H3195" s="249">
        <f>PRODUCT(D3195:G3195)</f>
        <v>4.713659999999999</v>
      </c>
      <c r="J3195" s="253" t="inlineStr">
        <is>
          <t xml:space="preserve">2*1.8*(3.05-1.6)*0.903</t>
        </is>
      </c>
    </row>
    <row r="3196">
      <c r="C3196" s="246" t="inlineStr">
        <is>
          <t xml:space="preserve">Walling over opening W8 (3 nr, 1.2x1.9): nr x width x (3.05 - opening ht) x thickness share</t>
        </is>
      </c>
      <c r="D3196" s="248">
        <v>3</v>
      </c>
      <c r="E3196" s="247">
        <v>1.2</v>
      </c>
      <c r="F3196" s="247">
        <f>3.05-1.9</f>
        <v>1.15</v>
      </c>
      <c r="G3196" s="247">
        <v>0.903</v>
      </c>
      <c r="H3196" s="249">
        <f>PRODUCT(D3196:G3196)</f>
        <v>3.7384199999999996</v>
      </c>
      <c r="J3196" s="253" t="inlineStr">
        <is>
          <t xml:space="preserve">3*1.2*(3.05-1.9)*0.903</t>
        </is>
      </c>
    </row>
    <row r="3197">
      <c r="C3197" s="246" t="inlineStr">
        <is>
          <t xml:space="preserve">Walling over opening W9 (8 nr, 1.2x1.15): nr x width x (3.05 - opening ht) x thickness share</t>
        </is>
      </c>
      <c r="D3197" s="248">
        <v>8</v>
      </c>
      <c r="E3197" s="247">
        <v>1.2</v>
      </c>
      <c r="F3197" s="247">
        <f>3.05-1.15</f>
        <v>1.9</v>
      </c>
      <c r="G3197" s="247">
        <v>0.903</v>
      </c>
      <c r="H3197" s="249">
        <f>PRODUCT(D3197:G3197)</f>
        <v>16.47072</v>
      </c>
      <c r="J3197" s="253" t="inlineStr">
        <is>
          <t xml:space="preserve">8*1.2*(3.05-1.15)*0.903</t>
        </is>
      </c>
    </row>
    <row r="3198">
      <c r="C3198" s="246" t="inlineStr">
        <is>
          <t xml:space="preserve">Walling over opening W10 (1 nr, 1.2x1.2): nr x width x (3.05 - opening ht) x thickness share</t>
        </is>
      </c>
      <c r="D3198" s="248">
        <v>1</v>
      </c>
      <c r="E3198" s="247">
        <v>1.2</v>
      </c>
      <c r="F3198" s="247">
        <f>3.05-1.2</f>
        <v>1.8499999999999999</v>
      </c>
      <c r="G3198" s="247">
        <v>0.903</v>
      </c>
      <c r="H3198" s="249">
        <f>PRODUCT(D3198:G3198)</f>
        <v>2.00466</v>
      </c>
      <c r="J3198" s="253" t="inlineStr">
        <is>
          <t xml:space="preserve">1*1.2*(3.05-1.2)*0.903</t>
        </is>
      </c>
    </row>
    <row r="3199">
      <c r="C3199" s="246" t="inlineStr">
        <is>
          <t xml:space="preserve">Walling over opening W11 (6 nr, 1.5x1.3): nr x width x (3.05 - opening ht) x thickness share</t>
        </is>
      </c>
      <c r="D3199" s="248">
        <v>6</v>
      </c>
      <c r="E3199" s="247">
        <v>1.5</v>
      </c>
      <c r="F3199" s="247">
        <f>3.05-1.3</f>
        <v>1.7499999999999998</v>
      </c>
      <c r="G3199" s="247">
        <v>0.903</v>
      </c>
      <c r="H3199" s="249">
        <f>PRODUCT(D3199:G3199)</f>
        <v>14.222249999999999</v>
      </c>
      <c r="J3199" s="253" t="inlineStr">
        <is>
          <t xml:space="preserve">6*1.5*(3.05-1.3)*0.903</t>
        </is>
      </c>
    </row>
    <row r="3200">
      <c r="C3200" s="246" t="inlineStr">
        <is>
          <t xml:space="preserve">Walling over opening W12 (4 nr, 1.5x1.15): nr x width x (3.05 - opening ht) x thickness share</t>
        </is>
      </c>
      <c r="D3200" s="248">
        <v>4</v>
      </c>
      <c r="E3200" s="247">
        <v>1.5</v>
      </c>
      <c r="F3200" s="247">
        <f>3.05-1.15</f>
        <v>1.9</v>
      </c>
      <c r="G3200" s="247">
        <v>0.903</v>
      </c>
      <c r="H3200" s="249">
        <f>PRODUCT(D3200:G3200)</f>
        <v>10.294199999999998</v>
      </c>
      <c r="J3200" s="253" t="inlineStr">
        <is>
          <t xml:space="preserve">4*1.5*(3.05-1.15)*0.903</t>
        </is>
      </c>
    </row>
    <row r="3201">
      <c r="C3201" s="246" t="inlineStr">
        <is>
          <t xml:space="preserve">Walling over opening W13 (1 nr, 2.4x1.3): nr x width x (3.05 - opening ht) x thickness share</t>
        </is>
      </c>
      <c r="D3201" s="248">
        <v>1</v>
      </c>
      <c r="E3201" s="247">
        <v>2.4</v>
      </c>
      <c r="F3201" s="247">
        <f>3.05-1.3</f>
        <v>1.7499999999999998</v>
      </c>
      <c r="G3201" s="247">
        <v>0.903</v>
      </c>
      <c r="H3201" s="249">
        <f>PRODUCT(D3201:G3201)</f>
        <v>3.7925999999999993</v>
      </c>
      <c r="J3201" s="253" t="inlineStr">
        <is>
          <t xml:space="preserve">1*2.4*(3.05-1.3)*0.903</t>
        </is>
      </c>
    </row>
    <row r="3202">
      <c r="C3202" s="246" t="inlineStr">
        <is>
          <t xml:space="preserve">Walling over opening W15 (1 nr, 3x1.6): nr x width x (3.05 - opening ht) x thickness share</t>
        </is>
      </c>
      <c r="D3202" s="248">
        <v>1</v>
      </c>
      <c r="E3202" s="247">
        <v>3</v>
      </c>
      <c r="F3202" s="247">
        <f>3.05-1.6</f>
        <v>1.4499999999999997</v>
      </c>
      <c r="G3202" s="247">
        <v>0.903</v>
      </c>
      <c r="H3202" s="249">
        <f>PRODUCT(D3202:G3202)</f>
        <v>3.92805</v>
      </c>
      <c r="J3202" s="253" t="inlineStr">
        <is>
          <t xml:space="preserve">1*3*(3.05-1.6)*0.903</t>
        </is>
      </c>
    </row>
    <row r="3203">
      <c r="C3203" s="246" t="inlineStr">
        <is>
          <t xml:space="preserve">Walling over opening W17 (3 nr, 1.8x1.9): nr x width x (3.05 - opening ht) x thickness share</t>
        </is>
      </c>
      <c r="D3203" s="248">
        <v>3</v>
      </c>
      <c r="E3203" s="247">
        <v>1.8</v>
      </c>
      <c r="F3203" s="247">
        <f>3.05-1.9</f>
        <v>1.15</v>
      </c>
      <c r="G3203" s="247">
        <v>0.903</v>
      </c>
      <c r="H3203" s="249">
        <f>PRODUCT(D3203:G3203)</f>
        <v>5.60763</v>
      </c>
      <c r="J3203" s="253" t="inlineStr">
        <is>
          <t xml:space="preserve">3*1.8*(3.05-1.9)*0.903</t>
        </is>
      </c>
    </row>
    <row r="3204">
      <c r="C3204" s="246" t="inlineStr">
        <is>
          <t xml:space="preserve">Walling over opening W18 (1 nr, 0.75x1.3): nr x width x (3.05 - opening ht) x thickness share</t>
        </is>
      </c>
      <c r="D3204" s="248">
        <v>1</v>
      </c>
      <c r="E3204" s="247">
        <v>0.75</v>
      </c>
      <c r="F3204" s="247">
        <f>3.05-1.3</f>
        <v>1.7499999999999998</v>
      </c>
      <c r="G3204" s="247">
        <v>0.903</v>
      </c>
      <c r="H3204" s="249">
        <f>PRODUCT(D3204:G3204)</f>
        <v>1.1851874999999998</v>
      </c>
      <c r="J3204" s="253" t="inlineStr">
        <is>
          <t xml:space="preserve">1*0.75*(3.05-1.3)*0.903</t>
        </is>
      </c>
    </row>
    <row r="3205">
      <c r="C3205" s="246" t="inlineStr">
        <is>
          <t xml:space="preserve">Walling over opening W20 (1 nr, 1.45x1.9): nr x width x (3.05 - opening ht) x thickness share</t>
        </is>
      </c>
      <c r="D3205" s="248">
        <v>1</v>
      </c>
      <c r="E3205" s="247">
        <v>1.45</v>
      </c>
      <c r="F3205" s="247">
        <f>3.05-1.9</f>
        <v>1.15</v>
      </c>
      <c r="G3205" s="247">
        <v>0.903</v>
      </c>
      <c r="H3205" s="249">
        <f>PRODUCT(D3205:G3205)</f>
        <v>1.5057524999999998</v>
      </c>
      <c r="J3205" s="253" t="inlineStr">
        <is>
          <t xml:space="preserve">1*1.45*(3.05-1.9)*0.903</t>
        </is>
      </c>
    </row>
    <row r="3206">
      <c r="C3206" s="246" t="inlineStr">
        <is>
          <t xml:space="preserve">Walling over opening HW1 (13 nr, 0.9x0.6): nr x width x (3.05 - opening ht) x thickness share</t>
        </is>
      </c>
      <c r="D3206" s="248">
        <v>13</v>
      </c>
      <c r="E3206" s="247">
        <v>0.9</v>
      </c>
      <c r="F3206" s="247">
        <f>3.05-0.6</f>
        <v>2.4499999999999997</v>
      </c>
      <c r="G3206" s="247">
        <v>0.903</v>
      </c>
      <c r="H3206" s="249">
        <f>PRODUCT(D3206:G3206)</f>
        <v>25.884495</v>
      </c>
      <c r="J3206" s="253" t="inlineStr">
        <is>
          <t xml:space="preserve">13*0.9*(3.05-0.6)*0.903</t>
        </is>
      </c>
    </row>
    <row r="3207">
      <c r="C3207" s="246" t="inlineStr">
        <is>
          <t xml:space="preserve">Walling over opening HW2 (5 nr, 0.75x0.6): nr x width x (3.05 - opening ht) x thickness share</t>
        </is>
      </c>
      <c r="D3207" s="248">
        <v>5</v>
      </c>
      <c r="E3207" s="247">
        <v>0.75</v>
      </c>
      <c r="F3207" s="247">
        <f>3.05-0.6</f>
        <v>2.4499999999999997</v>
      </c>
      <c r="G3207" s="247">
        <v>0.903</v>
      </c>
      <c r="H3207" s="249">
        <f>PRODUCT(D3207:G3207)</f>
        <v>8.296312499999999</v>
      </c>
      <c r="J3207" s="253" t="inlineStr">
        <is>
          <t xml:space="preserve">5*0.75*(3.05-0.6)*0.903</t>
        </is>
      </c>
    </row>
    <row r="3208">
      <c r="C3208" s="246" t="inlineStr">
        <is>
          <t xml:space="preserve">Walling over opening HW3 (2 nr, 0.6x0.6): nr x width x (3.05 - opening ht) x thickness share</t>
        </is>
      </c>
      <c r="D3208" s="248">
        <v>2</v>
      </c>
      <c r="E3208" s="247">
        <v>0.6</v>
      </c>
      <c r="F3208" s="247">
        <f>3.05-0.6</f>
        <v>2.4499999999999997</v>
      </c>
      <c r="G3208" s="247">
        <v>0.903</v>
      </c>
      <c r="H3208" s="249">
        <f>PRODUCT(D3208:G3208)</f>
        <v>2.6548199999999995</v>
      </c>
      <c r="J3208" s="253" t="inlineStr">
        <is>
          <t xml:space="preserve">2*0.6*(3.05-0.6)*0.903</t>
        </is>
      </c>
    </row>
    <row r="3209">
      <c r="C3209" s="246" t="inlineStr">
        <is>
          <t xml:space="preserve">Walling over opening HW4 (2 nr, 1.2x0.6): nr x width x (3.05 - opening ht) x thickness share</t>
        </is>
      </c>
      <c r="D3209" s="248">
        <v>2</v>
      </c>
      <c r="E3209" s="247">
        <v>1.2</v>
      </c>
      <c r="F3209" s="247">
        <f>3.05-0.6</f>
        <v>2.4499999999999997</v>
      </c>
      <c r="G3209" s="247">
        <v>0.903</v>
      </c>
      <c r="H3209" s="249">
        <f>PRODUCT(D3209:G3209)</f>
        <v>5.309639999999999</v>
      </c>
      <c r="J3209" s="253" t="inlineStr">
        <is>
          <t xml:space="preserve">2*1.2*(3.05-0.6)*0.903</t>
        </is>
      </c>
    </row>
    <row r="3210">
      <c r="C3210" s="250" t="inlineStr">
        <is>
          <t xml:space="preserve">Total carried to BOQ  6TH FLR item A</t>
        </is>
      </c>
      <c r="D3210" s="250" t="inlineStr">
        <is>
          <t xml:space="preserve"/>
        </is>
      </c>
      <c r="E3210" s="250" t="inlineStr">
        <is>
          <t xml:space="preserve"/>
        </is>
      </c>
      <c r="F3210" s="250" t="inlineStr">
        <is>
          <t xml:space="preserve"/>
        </is>
      </c>
      <c r="G3210" s="250" t="inlineStr">
        <is>
          <t xml:space="preserve"/>
        </is>
      </c>
      <c r="H3210" s="251">
        <f>SUM(H3174:H3209)</f>
        <v>1621.87638</v>
      </c>
      <c r="I3210" s="252" t="inlineStr">
        <is>
          <t xml:space="preserve">m2</t>
        </is>
      </c>
    </row>
    <row r="3211">
      <c r="A3211" s="243" t="inlineStr">
        <is>
          <t xml:space="preserve">6TH FLR</t>
        </is>
      </c>
      <c r="B3211" s="243" t="inlineStr">
        <is>
          <t xml:space="preserve">B</t>
        </is>
      </c>
      <c r="C3211" s="244" t="inlineStr">
        <is>
          <t xml:space="preserve">200mm thick wall</t>
        </is>
      </c>
      <c r="I3211" s="245" t="inlineStr">
        <is>
          <t xml:space="preserve">m2</t>
        </is>
      </c>
      <c r="K3211" s="256" t="inlineStr">
        <is>
          <t xml:space="preserve">'6TH FLR  '!C99</t>
        </is>
      </c>
    </row>
    <row r="3212">
      <c r="C3212" s="246" t="inlineStr">
        <is>
          <t xml:space="preserve">Sixth floor - 200 blockwork: wall length x storey ht</t>
        </is>
      </c>
      <c r="E3212" s="247">
        <v>50.0</v>
      </c>
      <c r="F3212" s="247">
        <v>3.05</v>
      </c>
      <c r="H3212" s="249">
        <f>PRODUCT(D3212:G3212)</f>
        <v>152.5</v>
      </c>
      <c r="J3212" s="253" t="inlineStr">
        <is>
          <t xml:space="preserve">50.0*3.05</t>
        </is>
      </c>
    </row>
    <row r="3213">
      <c r="C3213" s="246" t="inlineStr">
        <is>
          <t xml:space="preserve">Walling over opening D2 (8 nr, 1x2.2): nr x width x (3.05 - opening ht) x thickness share</t>
        </is>
      </c>
      <c r="D3213" s="248">
        <v>8</v>
      </c>
      <c r="E3213" s="247">
        <v>1</v>
      </c>
      <c r="F3213" s="247">
        <f>3.05-2.2</f>
        <v>0.8499999999999996</v>
      </c>
      <c r="G3213" s="247">
        <v>0.097</v>
      </c>
      <c r="H3213" s="249">
        <f>PRODUCT(D3213:G3213)</f>
        <v>0.6595999999999997</v>
      </c>
      <c r="J3213" s="253" t="inlineStr">
        <is>
          <t xml:space="preserve">8*1*(3.05-2.2)*0.097</t>
        </is>
      </c>
    </row>
    <row r="3214">
      <c r="C3214" s="246" t="inlineStr">
        <is>
          <t xml:space="preserve">Walling over opening D3 (15 nr, 0.9x2.2): nr x width x (3.05 - opening ht) x thickness share</t>
        </is>
      </c>
      <c r="D3214" s="248">
        <v>15</v>
      </c>
      <c r="E3214" s="247">
        <v>0.9</v>
      </c>
      <c r="F3214" s="247">
        <f>3.05-2.2</f>
        <v>0.8499999999999996</v>
      </c>
      <c r="G3214" s="247">
        <v>0.097</v>
      </c>
      <c r="H3214" s="249">
        <f>PRODUCT(D3214:G3214)</f>
        <v>1.1130749999999996</v>
      </c>
      <c r="J3214" s="253" t="inlineStr">
        <is>
          <t xml:space="preserve">15*0.9*(3.05-2.2)*0.097</t>
        </is>
      </c>
    </row>
    <row r="3215">
      <c r="C3215" s="246" t="inlineStr">
        <is>
          <t xml:space="preserve">Walling over opening D6 (21 nr, 0.75x2.2): nr x width x (3.05 - opening ht) x thickness share</t>
        </is>
      </c>
      <c r="D3215" s="248">
        <v>21</v>
      </c>
      <c r="E3215" s="247">
        <v>0.75</v>
      </c>
      <c r="F3215" s="247">
        <f>3.05-2.2</f>
        <v>0.8499999999999996</v>
      </c>
      <c r="G3215" s="247">
        <v>0.097</v>
      </c>
      <c r="H3215" s="249">
        <f>PRODUCT(D3215:G3215)</f>
        <v>1.2985874999999996</v>
      </c>
      <c r="J3215" s="253" t="inlineStr">
        <is>
          <t xml:space="preserve">21*0.75*(3.05-2.2)*0.097</t>
        </is>
      </c>
    </row>
    <row r="3216">
      <c r="C3216" s="246" t="inlineStr">
        <is>
          <t xml:space="preserve">Walling over opening D7 (1 nr, 0.7x2.2): nr x width x (3.05 - opening ht) x thickness share</t>
        </is>
      </c>
      <c r="D3216" s="248">
        <v>1</v>
      </c>
      <c r="E3216" s="247">
        <v>0.7</v>
      </c>
      <c r="F3216" s="247">
        <f>3.05-2.2</f>
        <v>0.8499999999999996</v>
      </c>
      <c r="G3216" s="247">
        <v>0.097</v>
      </c>
      <c r="H3216" s="249">
        <f>PRODUCT(D3216:G3216)</f>
        <v>0.057714999999999975</v>
      </c>
      <c r="J3216" s="253" t="inlineStr">
        <is>
          <t xml:space="preserve">1*0.7*(3.05-2.2)*0.097</t>
        </is>
      </c>
    </row>
    <row r="3217">
      <c r="C3217" s="246" t="inlineStr">
        <is>
          <t xml:space="preserve">Walling over opening D8 (3 nr, 1.2x2.2): nr x width x (3.05 - opening ht) x thickness share</t>
        </is>
      </c>
      <c r="D3217" s="248">
        <v>3</v>
      </c>
      <c r="E3217" s="247">
        <v>1.2</v>
      </c>
      <c r="F3217" s="247">
        <f>3.05-2.2</f>
        <v>0.8499999999999996</v>
      </c>
      <c r="G3217" s="247">
        <v>0.097</v>
      </c>
      <c r="H3217" s="249">
        <f>PRODUCT(D3217:G3217)</f>
        <v>0.29681999999999986</v>
      </c>
      <c r="J3217" s="253" t="inlineStr">
        <is>
          <t xml:space="preserve">3*1.2*(3.05-2.2)*0.097</t>
        </is>
      </c>
    </row>
    <row r="3218">
      <c r="C3218" s="246" t="inlineStr">
        <is>
          <t xml:space="preserve">Walling over opening ED1 (3 nr, 1x2.2): nr x width x (3.05 - opening ht) x thickness share</t>
        </is>
      </c>
      <c r="D3218" s="248">
        <v>3</v>
      </c>
      <c r="E3218" s="247">
        <v>1</v>
      </c>
      <c r="F3218" s="247">
        <f>3.05-2.2</f>
        <v>0.8499999999999996</v>
      </c>
      <c r="G3218" s="247">
        <v>0.097</v>
      </c>
      <c r="H3218" s="249">
        <f>PRODUCT(D3218:G3218)</f>
        <v>0.2473499999999999</v>
      </c>
      <c r="J3218" s="253" t="inlineStr">
        <is>
          <t xml:space="preserve">3*1*(3.05-2.2)*0.097</t>
        </is>
      </c>
    </row>
    <row r="3219">
      <c r="C3219" s="246" t="inlineStr">
        <is>
          <t xml:space="preserve">Walling over opening ED2 (3 nr, 1x2.2): nr x width x (3.05 - opening ht) x thickness share</t>
        </is>
      </c>
      <c r="D3219" s="248">
        <v>3</v>
      </c>
      <c r="E3219" s="247">
        <v>1</v>
      </c>
      <c r="F3219" s="247">
        <f>3.05-2.2</f>
        <v>0.8499999999999996</v>
      </c>
      <c r="G3219" s="247">
        <v>0.097</v>
      </c>
      <c r="H3219" s="249">
        <f>PRODUCT(D3219:G3219)</f>
        <v>0.2473499999999999</v>
      </c>
      <c r="J3219" s="253" t="inlineStr">
        <is>
          <t xml:space="preserve">3*1*(3.05-2.2)*0.097</t>
        </is>
      </c>
    </row>
    <row r="3220">
      <c r="C3220" s="246" t="inlineStr">
        <is>
          <t xml:space="preserve">Walling over opening D9 (1 nr, 0.9x2.2): nr x width x (3.05 - opening ht) x thickness share</t>
        </is>
      </c>
      <c r="D3220" s="248">
        <v>1</v>
      </c>
      <c r="E3220" s="247">
        <v>0.9</v>
      </c>
      <c r="F3220" s="247">
        <f>3.05-2.2</f>
        <v>0.8499999999999996</v>
      </c>
      <c r="G3220" s="247">
        <v>0.097</v>
      </c>
      <c r="H3220" s="249">
        <f>PRODUCT(D3220:G3220)</f>
        <v>0.07420499999999997</v>
      </c>
      <c r="J3220" s="253" t="inlineStr">
        <is>
          <t xml:space="preserve">1*0.9*(3.05-2.2)*0.097</t>
        </is>
      </c>
    </row>
    <row r="3221">
      <c r="C3221" s="246" t="inlineStr">
        <is>
          <t xml:space="preserve">Walling over opening FD1 (1 nr, 1.5x2.2): nr x width x (3.05 - opening ht) x thickness share</t>
        </is>
      </c>
      <c r="D3221" s="248">
        <v>1</v>
      </c>
      <c r="E3221" s="247">
        <v>1.5</v>
      </c>
      <c r="F3221" s="247">
        <f>3.05-2.2</f>
        <v>0.8499999999999996</v>
      </c>
      <c r="G3221" s="247">
        <v>0.097</v>
      </c>
      <c r="H3221" s="249">
        <f>PRODUCT(D3221:G3221)</f>
        <v>0.12367499999999995</v>
      </c>
      <c r="J3221" s="253" t="inlineStr">
        <is>
          <t xml:space="preserve">1*1.5*(3.05-2.2)*0.097</t>
        </is>
      </c>
    </row>
    <row r="3222">
      <c r="C3222" s="246" t="inlineStr">
        <is>
          <t xml:space="preserve">Walling over opening M1 (2 nr, 0.9x2.2): nr x width x (3.05 - opening ht) x thickness share</t>
        </is>
      </c>
      <c r="D3222" s="248">
        <v>2</v>
      </c>
      <c r="E3222" s="247">
        <v>0.9</v>
      </c>
      <c r="F3222" s="247">
        <f>3.05-2.2</f>
        <v>0.8499999999999996</v>
      </c>
      <c r="G3222" s="247">
        <v>0.097</v>
      </c>
      <c r="H3222" s="249">
        <f>PRODUCT(D3222:G3222)</f>
        <v>0.14840999999999993</v>
      </c>
      <c r="J3222" s="253" t="inlineStr">
        <is>
          <t xml:space="preserve">2*0.9*(3.05-2.2)*0.097</t>
        </is>
      </c>
    </row>
    <row r="3223">
      <c r="C3223" s="246" t="inlineStr">
        <is>
          <t xml:space="preserve">Walling over opening M2 (5 nr, 0.75x2.2): nr x width x (3.05 - opening ht) x thickness share</t>
        </is>
      </c>
      <c r="D3223" s="248">
        <v>5</v>
      </c>
      <c r="E3223" s="247">
        <v>0.75</v>
      </c>
      <c r="F3223" s="247">
        <f>3.05-2.2</f>
        <v>0.8499999999999996</v>
      </c>
      <c r="G3223" s="247">
        <v>0.097</v>
      </c>
      <c r="H3223" s="249">
        <f>PRODUCT(D3223:G3223)</f>
        <v>0.3091874999999999</v>
      </c>
      <c r="J3223" s="253" t="inlineStr">
        <is>
          <t xml:space="preserve">5*0.75*(3.05-2.2)*0.097</t>
        </is>
      </c>
    </row>
    <row r="3224">
      <c r="C3224" s="246" t="inlineStr">
        <is>
          <t xml:space="preserve">Walling over opening M3 (1 nr, 0.45x2.2): nr x width x (3.05 - opening ht) x thickness share</t>
        </is>
      </c>
      <c r="D3224" s="248">
        <v>1</v>
      </c>
      <c r="E3224" s="247">
        <v>0.45</v>
      </c>
      <c r="F3224" s="247">
        <f>3.05-2.2</f>
        <v>0.8499999999999996</v>
      </c>
      <c r="G3224" s="247">
        <v>0.097</v>
      </c>
      <c r="H3224" s="249">
        <f>PRODUCT(D3224:G3224)</f>
        <v>0.03710249999999998</v>
      </c>
      <c r="J3224" s="253" t="inlineStr">
        <is>
          <t xml:space="preserve">1*0.45*(3.05-2.2)*0.097</t>
        </is>
      </c>
    </row>
    <row r="3225">
      <c r="C3225" s="246" t="inlineStr">
        <is>
          <t xml:space="preserve">Walling over opening M5 (3 nr, 0.6x2.2): nr x width x (3.05 - opening ht) x thickness share</t>
        </is>
      </c>
      <c r="D3225" s="248">
        <v>3</v>
      </c>
      <c r="E3225" s="247">
        <v>0.6</v>
      </c>
      <c r="F3225" s="247">
        <f>3.05-2.2</f>
        <v>0.8499999999999996</v>
      </c>
      <c r="G3225" s="247">
        <v>0.097</v>
      </c>
      <c r="H3225" s="249">
        <f>PRODUCT(D3225:G3225)</f>
        <v>0.14840999999999993</v>
      </c>
      <c r="J3225" s="253" t="inlineStr">
        <is>
          <t xml:space="preserve">3*0.6*(3.05-2.2)*0.097</t>
        </is>
      </c>
    </row>
    <row r="3226">
      <c r="C3226" s="246" t="inlineStr">
        <is>
          <t xml:space="preserve">Walling over opening SD1 (1 nr, 3x2.2): nr x width x (3.05 - opening ht) x thickness share</t>
        </is>
      </c>
      <c r="D3226" s="248">
        <v>1</v>
      </c>
      <c r="E3226" s="247">
        <v>3</v>
      </c>
      <c r="F3226" s="247">
        <f>3.05-2.2</f>
        <v>0.8499999999999996</v>
      </c>
      <c r="G3226" s="247">
        <v>0.097</v>
      </c>
      <c r="H3226" s="249">
        <f>PRODUCT(D3226:G3226)</f>
        <v>0.2473499999999999</v>
      </c>
      <c r="J3226" s="253" t="inlineStr">
        <is>
          <t xml:space="preserve">1*3*(3.05-2.2)*0.097</t>
        </is>
      </c>
    </row>
    <row r="3227">
      <c r="C3227" s="246" t="inlineStr">
        <is>
          <t xml:space="preserve">Walling over opening SD2 (4 nr, 1.6x2.2): nr x width x (3.05 - opening ht) x thickness share</t>
        </is>
      </c>
      <c r="D3227" s="248">
        <v>4</v>
      </c>
      <c r="E3227" s="247">
        <v>1.6</v>
      </c>
      <c r="F3227" s="247">
        <f>3.05-2.2</f>
        <v>0.8499999999999996</v>
      </c>
      <c r="G3227" s="247">
        <v>0.097</v>
      </c>
      <c r="H3227" s="249">
        <f>PRODUCT(D3227:G3227)</f>
        <v>0.5276799999999998</v>
      </c>
      <c r="J3227" s="253" t="inlineStr">
        <is>
          <t xml:space="preserve">4*1.6*(3.05-2.2)*0.097</t>
        </is>
      </c>
    </row>
    <row r="3228">
      <c r="C3228" s="246" t="inlineStr">
        <is>
          <t xml:space="preserve">Walling over opening SD3 (2 nr, 1.3x2.2): nr x width x (3.05 - opening ht) x thickness share</t>
        </is>
      </c>
      <c r="D3228" s="248">
        <v>2</v>
      </c>
      <c r="E3228" s="247">
        <v>1.3</v>
      </c>
      <c r="F3228" s="247">
        <f>3.05-2.2</f>
        <v>0.8499999999999996</v>
      </c>
      <c r="G3228" s="247">
        <v>0.097</v>
      </c>
      <c r="H3228" s="249">
        <f>PRODUCT(D3228:G3228)</f>
        <v>0.21436999999999992</v>
      </c>
      <c r="J3228" s="253" t="inlineStr">
        <is>
          <t xml:space="preserve">2*1.3*(3.05-2.2)*0.097</t>
        </is>
      </c>
    </row>
    <row r="3229">
      <c r="C3229" s="246" t="inlineStr">
        <is>
          <t xml:space="preserve">Walling over opening SD4 (4 nr, 1.8x2.2): nr x width x (3.05 - opening ht) x thickness share</t>
        </is>
      </c>
      <c r="D3229" s="248">
        <v>4</v>
      </c>
      <c r="E3229" s="247">
        <v>1.8</v>
      </c>
      <c r="F3229" s="247">
        <f>3.05-2.2</f>
        <v>0.8499999999999996</v>
      </c>
      <c r="G3229" s="247">
        <v>0.097</v>
      </c>
      <c r="H3229" s="249">
        <f>PRODUCT(D3229:G3229)</f>
        <v>0.5936399999999997</v>
      </c>
      <c r="J3229" s="253" t="inlineStr">
        <is>
          <t xml:space="preserve">4*1.8*(3.05-2.2)*0.097</t>
        </is>
      </c>
    </row>
    <row r="3230">
      <c r="C3230" s="246" t="inlineStr">
        <is>
          <t xml:space="preserve">Walling over opening SD5 (1 nr, 1.2x2.2): nr x width x (3.05 - opening ht) x thickness share</t>
        </is>
      </c>
      <c r="D3230" s="248">
        <v>1</v>
      </c>
      <c r="E3230" s="247">
        <v>1.2</v>
      </c>
      <c r="F3230" s="247">
        <f>3.05-2.2</f>
        <v>0.8499999999999996</v>
      </c>
      <c r="G3230" s="247">
        <v>0.097</v>
      </c>
      <c r="H3230" s="249">
        <f>PRODUCT(D3230:G3230)</f>
        <v>0.09893999999999996</v>
      </c>
      <c r="J3230" s="253" t="inlineStr">
        <is>
          <t xml:space="preserve">1*1.2*(3.05-2.2)*0.097</t>
        </is>
      </c>
    </row>
    <row r="3231">
      <c r="C3231" s="246" t="inlineStr">
        <is>
          <t xml:space="preserve">Walling over opening W2 (6 nr, 1.8x1.3): nr x width x (3.05 - opening ht) x thickness share</t>
        </is>
      </c>
      <c r="D3231" s="248">
        <v>6</v>
      </c>
      <c r="E3231" s="247">
        <v>1.8</v>
      </c>
      <c r="F3231" s="247">
        <f>3.05-1.3</f>
        <v>1.7499999999999998</v>
      </c>
      <c r="G3231" s="247">
        <v>0.097</v>
      </c>
      <c r="H3231" s="249">
        <f>PRODUCT(D3231:G3231)</f>
        <v>1.8333</v>
      </c>
      <c r="J3231" s="253" t="inlineStr">
        <is>
          <t xml:space="preserve">6*1.8*(3.05-1.3)*0.097</t>
        </is>
      </c>
    </row>
    <row r="3232">
      <c r="C3232" s="246" t="inlineStr">
        <is>
          <t xml:space="preserve">Walling over opening W4 (10 nr, 0.9x1.3): nr x width x (3.05 - opening ht) x thickness share</t>
        </is>
      </c>
      <c r="D3232" s="248">
        <v>10</v>
      </c>
      <c r="E3232" s="247">
        <v>0.9</v>
      </c>
      <c r="F3232" s="247">
        <f>3.05-1.3</f>
        <v>1.7499999999999998</v>
      </c>
      <c r="G3232" s="247">
        <v>0.097</v>
      </c>
      <c r="H3232" s="249">
        <f>PRODUCT(D3232:G3232)</f>
        <v>1.52775</v>
      </c>
      <c r="J3232" s="253" t="inlineStr">
        <is>
          <t xml:space="preserve">10*0.9*(3.05-1.3)*0.097</t>
        </is>
      </c>
    </row>
    <row r="3233">
      <c r="C3233" s="246" t="inlineStr">
        <is>
          <t xml:space="preserve">Walling over opening W7 (2 nr, 1.8x1.6): nr x width x (3.05 - opening ht) x thickness share</t>
        </is>
      </c>
      <c r="D3233" s="248">
        <v>2</v>
      </c>
      <c r="E3233" s="247">
        <v>1.8</v>
      </c>
      <c r="F3233" s="247">
        <f>3.05-1.6</f>
        <v>1.4499999999999997</v>
      </c>
      <c r="G3233" s="247">
        <v>0.097</v>
      </c>
      <c r="H3233" s="249">
        <f>PRODUCT(D3233:G3233)</f>
        <v>0.5063399999999999</v>
      </c>
      <c r="J3233" s="253" t="inlineStr">
        <is>
          <t xml:space="preserve">2*1.8*(3.05-1.6)*0.097</t>
        </is>
      </c>
    </row>
    <row r="3234">
      <c r="C3234" s="246" t="inlineStr">
        <is>
          <t xml:space="preserve">Walling over opening W8 (3 nr, 1.2x1.9): nr x width x (3.05 - opening ht) x thickness share</t>
        </is>
      </c>
      <c r="D3234" s="248">
        <v>3</v>
      </c>
      <c r="E3234" s="247">
        <v>1.2</v>
      </c>
      <c r="F3234" s="247">
        <f>3.05-1.9</f>
        <v>1.15</v>
      </c>
      <c r="G3234" s="247">
        <v>0.097</v>
      </c>
      <c r="H3234" s="249">
        <f>PRODUCT(D3234:G3234)</f>
        <v>0.40158</v>
      </c>
      <c r="J3234" s="253" t="inlineStr">
        <is>
          <t xml:space="preserve">3*1.2*(3.05-1.9)*0.097</t>
        </is>
      </c>
    </row>
    <row r="3235">
      <c r="C3235" s="246" t="inlineStr">
        <is>
          <t xml:space="preserve">Walling over opening W9 (8 nr, 1.2x1.15): nr x width x (3.05 - opening ht) x thickness share</t>
        </is>
      </c>
      <c r="D3235" s="248">
        <v>8</v>
      </c>
      <c r="E3235" s="247">
        <v>1.2</v>
      </c>
      <c r="F3235" s="247">
        <f>3.05-1.15</f>
        <v>1.9</v>
      </c>
      <c r="G3235" s="247">
        <v>0.097</v>
      </c>
      <c r="H3235" s="249">
        <f>PRODUCT(D3235:G3235)</f>
        <v>1.76928</v>
      </c>
      <c r="J3235" s="253" t="inlineStr">
        <is>
          <t xml:space="preserve">8*1.2*(3.05-1.15)*0.097</t>
        </is>
      </c>
    </row>
    <row r="3236">
      <c r="C3236" s="246" t="inlineStr">
        <is>
          <t xml:space="preserve">Walling over opening W10 (1 nr, 1.2x1.2): nr x width x (3.05 - opening ht) x thickness share</t>
        </is>
      </c>
      <c r="D3236" s="248">
        <v>1</v>
      </c>
      <c r="E3236" s="247">
        <v>1.2</v>
      </c>
      <c r="F3236" s="247">
        <f>3.05-1.2</f>
        <v>1.8499999999999999</v>
      </c>
      <c r="G3236" s="247">
        <v>0.097</v>
      </c>
      <c r="H3236" s="249">
        <f>PRODUCT(D3236:G3236)</f>
        <v>0.21533999999999998</v>
      </c>
      <c r="J3236" s="253" t="inlineStr">
        <is>
          <t xml:space="preserve">1*1.2*(3.05-1.2)*0.097</t>
        </is>
      </c>
    </row>
    <row r="3237">
      <c r="C3237" s="246" t="inlineStr">
        <is>
          <t xml:space="preserve">Walling over opening W11 (6 nr, 1.5x1.3): nr x width x (3.05 - opening ht) x thickness share</t>
        </is>
      </c>
      <c r="D3237" s="248">
        <v>6</v>
      </c>
      <c r="E3237" s="247">
        <v>1.5</v>
      </c>
      <c r="F3237" s="247">
        <f>3.05-1.3</f>
        <v>1.7499999999999998</v>
      </c>
      <c r="G3237" s="247">
        <v>0.097</v>
      </c>
      <c r="H3237" s="249">
        <f>PRODUCT(D3237:G3237)</f>
        <v>1.52775</v>
      </c>
      <c r="J3237" s="253" t="inlineStr">
        <is>
          <t xml:space="preserve">6*1.5*(3.05-1.3)*0.097</t>
        </is>
      </c>
    </row>
    <row r="3238">
      <c r="C3238" s="246" t="inlineStr">
        <is>
          <t xml:space="preserve">Walling over opening W12 (4 nr, 1.5x1.15): nr x width x (3.05 - opening ht) x thickness share</t>
        </is>
      </c>
      <c r="D3238" s="248">
        <v>4</v>
      </c>
      <c r="E3238" s="247">
        <v>1.5</v>
      </c>
      <c r="F3238" s="247">
        <f>3.05-1.15</f>
        <v>1.9</v>
      </c>
      <c r="G3238" s="247">
        <v>0.097</v>
      </c>
      <c r="H3238" s="249">
        <f>PRODUCT(D3238:G3238)</f>
        <v>1.1058</v>
      </c>
      <c r="J3238" s="253" t="inlineStr">
        <is>
          <t xml:space="preserve">4*1.5*(3.05-1.15)*0.097</t>
        </is>
      </c>
    </row>
    <row r="3239">
      <c r="C3239" s="246" t="inlineStr">
        <is>
          <t xml:space="preserve">Walling over opening W13 (1 nr, 2.4x1.3): nr x width x (3.05 - opening ht) x thickness share</t>
        </is>
      </c>
      <c r="D3239" s="248">
        <v>1</v>
      </c>
      <c r="E3239" s="247">
        <v>2.4</v>
      </c>
      <c r="F3239" s="247">
        <f>3.05-1.3</f>
        <v>1.7499999999999998</v>
      </c>
      <c r="G3239" s="247">
        <v>0.097</v>
      </c>
      <c r="H3239" s="249">
        <f>PRODUCT(D3239:G3239)</f>
        <v>0.40739999999999993</v>
      </c>
      <c r="J3239" s="253" t="inlineStr">
        <is>
          <t xml:space="preserve">1*2.4*(3.05-1.3)*0.097</t>
        </is>
      </c>
    </row>
    <row r="3240">
      <c r="C3240" s="246" t="inlineStr">
        <is>
          <t xml:space="preserve">Walling over opening W15 (1 nr, 3x1.6): nr x width x (3.05 - opening ht) x thickness share</t>
        </is>
      </c>
      <c r="D3240" s="248">
        <v>1</v>
      </c>
      <c r="E3240" s="247">
        <v>3</v>
      </c>
      <c r="F3240" s="247">
        <f>3.05-1.6</f>
        <v>1.4499999999999997</v>
      </c>
      <c r="G3240" s="247">
        <v>0.097</v>
      </c>
      <c r="H3240" s="249">
        <f>PRODUCT(D3240:G3240)</f>
        <v>0.42195</v>
      </c>
      <c r="J3240" s="253" t="inlineStr">
        <is>
          <t xml:space="preserve">1*3*(3.05-1.6)*0.097</t>
        </is>
      </c>
    </row>
    <row r="3241">
      <c r="C3241" s="246" t="inlineStr">
        <is>
          <t xml:space="preserve">Walling over opening W17 (3 nr, 1.8x1.9): nr x width x (3.05 - opening ht) x thickness share</t>
        </is>
      </c>
      <c r="D3241" s="248">
        <v>3</v>
      </c>
      <c r="E3241" s="247">
        <v>1.8</v>
      </c>
      <c r="F3241" s="247">
        <f>3.05-1.9</f>
        <v>1.15</v>
      </c>
      <c r="G3241" s="247">
        <v>0.097</v>
      </c>
      <c r="H3241" s="249">
        <f>PRODUCT(D3241:G3241)</f>
        <v>0.60237</v>
      </c>
      <c r="J3241" s="253" t="inlineStr">
        <is>
          <t xml:space="preserve">3*1.8*(3.05-1.9)*0.097</t>
        </is>
      </c>
    </row>
    <row r="3242">
      <c r="C3242" s="246" t="inlineStr">
        <is>
          <t xml:space="preserve">Walling over opening W18 (1 nr, 0.75x1.3): nr x width x (3.05 - opening ht) x thickness share</t>
        </is>
      </c>
      <c r="D3242" s="248">
        <v>1</v>
      </c>
      <c r="E3242" s="247">
        <v>0.75</v>
      </c>
      <c r="F3242" s="247">
        <f>3.05-1.3</f>
        <v>1.7499999999999998</v>
      </c>
      <c r="G3242" s="247">
        <v>0.097</v>
      </c>
      <c r="H3242" s="249">
        <f>PRODUCT(D3242:G3242)</f>
        <v>0.1273125</v>
      </c>
      <c r="J3242" s="253" t="inlineStr">
        <is>
          <t xml:space="preserve">1*0.75*(3.05-1.3)*0.097</t>
        </is>
      </c>
    </row>
    <row r="3243">
      <c r="C3243" s="246" t="inlineStr">
        <is>
          <t xml:space="preserve">Walling over opening W20 (1 nr, 1.45x1.9): nr x width x (3.05 - opening ht) x thickness share</t>
        </is>
      </c>
      <c r="D3243" s="248">
        <v>1</v>
      </c>
      <c r="E3243" s="247">
        <v>1.45</v>
      </c>
      <c r="F3243" s="247">
        <f>3.05-1.9</f>
        <v>1.15</v>
      </c>
      <c r="G3243" s="247">
        <v>0.097</v>
      </c>
      <c r="H3243" s="249">
        <f>PRODUCT(D3243:G3243)</f>
        <v>0.1617475</v>
      </c>
      <c r="J3243" s="253" t="inlineStr">
        <is>
          <t xml:space="preserve">1*1.45*(3.05-1.9)*0.097</t>
        </is>
      </c>
    </row>
    <row r="3244">
      <c r="C3244" s="246" t="inlineStr">
        <is>
          <t xml:space="preserve">Walling over opening HW1 (13 nr, 0.9x0.6): nr x width x (3.05 - opening ht) x thickness share</t>
        </is>
      </c>
      <c r="D3244" s="248">
        <v>13</v>
      </c>
      <c r="E3244" s="247">
        <v>0.9</v>
      </c>
      <c r="F3244" s="247">
        <f>3.05-0.6</f>
        <v>2.4499999999999997</v>
      </c>
      <c r="G3244" s="247">
        <v>0.097</v>
      </c>
      <c r="H3244" s="249">
        <f>PRODUCT(D3244:G3244)</f>
        <v>2.780505</v>
      </c>
      <c r="J3244" s="253" t="inlineStr">
        <is>
          <t xml:space="preserve">13*0.9*(3.05-0.6)*0.097</t>
        </is>
      </c>
    </row>
    <row r="3245">
      <c r="C3245" s="246" t="inlineStr">
        <is>
          <t xml:space="preserve">Walling over opening HW2 (5 nr, 0.75x0.6): nr x width x (3.05 - opening ht) x thickness share</t>
        </is>
      </c>
      <c r="D3245" s="248">
        <v>5</v>
      </c>
      <c r="E3245" s="247">
        <v>0.75</v>
      </c>
      <c r="F3245" s="247">
        <f>3.05-0.6</f>
        <v>2.4499999999999997</v>
      </c>
      <c r="G3245" s="247">
        <v>0.097</v>
      </c>
      <c r="H3245" s="249">
        <f>PRODUCT(D3245:G3245)</f>
        <v>0.8911874999999998</v>
      </c>
      <c r="J3245" s="253" t="inlineStr">
        <is>
          <t xml:space="preserve">5*0.75*(3.05-0.6)*0.097</t>
        </is>
      </c>
    </row>
    <row r="3246">
      <c r="C3246" s="246" t="inlineStr">
        <is>
          <t xml:space="preserve">Walling over opening HW3 (2 nr, 0.6x0.6): nr x width x (3.05 - opening ht) x thickness share</t>
        </is>
      </c>
      <c r="D3246" s="248">
        <v>2</v>
      </c>
      <c r="E3246" s="247">
        <v>0.6</v>
      </c>
      <c r="F3246" s="247">
        <f>3.05-0.6</f>
        <v>2.4499999999999997</v>
      </c>
      <c r="G3246" s="247">
        <v>0.097</v>
      </c>
      <c r="H3246" s="249">
        <f>PRODUCT(D3246:G3246)</f>
        <v>0.28517999999999993</v>
      </c>
      <c r="J3246" s="253" t="inlineStr">
        <is>
          <t xml:space="preserve">2*0.6*(3.05-0.6)*0.097</t>
        </is>
      </c>
    </row>
    <row r="3247">
      <c r="C3247" s="246" t="inlineStr">
        <is>
          <t xml:space="preserve">Walling over opening HW4 (2 nr, 1.2x0.6): nr x width x (3.05 - opening ht) x thickness share</t>
        </is>
      </c>
      <c r="D3247" s="248">
        <v>2</v>
      </c>
      <c r="E3247" s="247">
        <v>1.2</v>
      </c>
      <c r="F3247" s="247">
        <f>3.05-0.6</f>
        <v>2.4499999999999997</v>
      </c>
      <c r="G3247" s="247">
        <v>0.097</v>
      </c>
      <c r="H3247" s="249">
        <f>PRODUCT(D3247:G3247)</f>
        <v>0.5703599999999999</v>
      </c>
      <c r="J3247" s="253" t="inlineStr">
        <is>
          <t xml:space="preserve">2*1.2*(3.05-0.6)*0.097</t>
        </is>
      </c>
    </row>
    <row r="3248">
      <c r="C3248" s="250" t="inlineStr">
        <is>
          <t xml:space="preserve">Total carried to BOQ  6TH FLR item B</t>
        </is>
      </c>
      <c r="D3248" s="250" t="inlineStr">
        <is>
          <t xml:space="preserve"/>
        </is>
      </c>
      <c r="E3248" s="250" t="inlineStr">
        <is>
          <t xml:space="preserve"/>
        </is>
      </c>
      <c r="F3248" s="250" t="inlineStr">
        <is>
          <t xml:space="preserve"/>
        </is>
      </c>
      <c r="G3248" s="250" t="inlineStr">
        <is>
          <t xml:space="preserve"/>
        </is>
      </c>
      <c r="H3248" s="251">
        <f>SUM(H3212:H3247)</f>
        <v>174.07862000000006</v>
      </c>
      <c r="I3248" s="252" t="inlineStr">
        <is>
          <t xml:space="preserve">m2</t>
        </is>
      </c>
    </row>
    <row r="3249">
      <c r="C3249" s="242" t="inlineStr">
        <is>
          <t xml:space="preserve">ELEMENT NO. 4: WINDOWS/DOORS</t>
        </is>
      </c>
    </row>
    <row r="3250">
      <c r="C3250" s="242" t="inlineStr">
        <is>
          <t xml:space="preserve">L20 DOORS - Supply and fix the following door assemblies complete with frames, ironmongery sets to steel doors and all accessories:</t>
        </is>
      </c>
    </row>
    <row r="3251" ht="32.2" customHeight="1">
      <c r="A3251" s="243" t="inlineStr">
        <is>
          <t xml:space="preserve">6TH FLR</t>
        </is>
      </c>
      <c r="B3251" s="243" t="inlineStr">
        <is>
          <t xml:space="preserve">A</t>
        </is>
      </c>
      <c r="C3251" s="244" t="inlineStr">
        <is>
          <t xml:space="preserve">1000mm x 2200mm 1-hour fire-rated galvanised steel single-leaf security door assembly (D2)</t>
        </is>
      </c>
      <c r="I3251" s="245" t="inlineStr">
        <is>
          <t xml:space="preserve">nr</t>
        </is>
      </c>
      <c r="K3251" s="256" t="inlineStr">
        <is>
          <t xml:space="preserve">'6TH FLR  '!C108</t>
        </is>
      </c>
    </row>
    <row r="3252">
      <c r="C3252" s="246" t="inlineStr">
        <is>
          <t xml:space="preserve">Sixth floor - W9</t>
        </is>
      </c>
      <c r="H3252" s="247">
        <v>8</v>
      </c>
      <c r="J3252" s="253" t="inlineStr">
        <is>
          <t xml:space="preserve">8</t>
        </is>
      </c>
    </row>
    <row r="3253">
      <c r="C3253" s="250" t="inlineStr">
        <is>
          <t xml:space="preserve">Total carried to BOQ  6TH FLR item A</t>
        </is>
      </c>
      <c r="D3253" s="250" t="inlineStr">
        <is>
          <t xml:space="preserve"/>
        </is>
      </c>
      <c r="E3253" s="250" t="inlineStr">
        <is>
          <t xml:space="preserve"/>
        </is>
      </c>
      <c r="F3253" s="250" t="inlineStr">
        <is>
          <t xml:space="preserve"/>
        </is>
      </c>
      <c r="G3253" s="250" t="inlineStr">
        <is>
          <t xml:space="preserve"/>
        </is>
      </c>
      <c r="H3253" s="251">
        <f>SUM(H3252:H3252)</f>
        <v>8</v>
      </c>
      <c r="I3253" s="252" t="inlineStr">
        <is>
          <t xml:space="preserve">nr</t>
        </is>
      </c>
    </row>
    <row r="3254">
      <c r="A3254" s="243" t="inlineStr">
        <is>
          <t xml:space="preserve">6TH FLR</t>
        </is>
      </c>
      <c r="B3254" s="243" t="inlineStr">
        <is>
          <t xml:space="preserve">B</t>
        </is>
      </c>
      <c r="C3254" s="244" t="inlineStr">
        <is>
          <t xml:space="preserve">900mm x 2200mm single leaf timber panel door (D3)</t>
        </is>
      </c>
      <c r="I3254" s="245" t="inlineStr">
        <is>
          <t xml:space="preserve">nr</t>
        </is>
      </c>
      <c r="K3254" s="256" t="inlineStr">
        <is>
          <t xml:space="preserve">'6TH FLR  '!C110</t>
        </is>
      </c>
    </row>
    <row r="3255">
      <c r="C3255" s="246" t="inlineStr">
        <is>
          <t xml:space="preserve">Sixth floor - D3/D4 doors</t>
        </is>
      </c>
      <c r="H3255" s="247">
        <v>15</v>
      </c>
      <c r="J3255" s="253" t="inlineStr">
        <is>
          <t xml:space="preserve">15</t>
        </is>
      </c>
    </row>
    <row r="3256">
      <c r="C3256" s="250" t="inlineStr">
        <is>
          <t xml:space="preserve">Total carried to BOQ  6TH FLR item B</t>
        </is>
      </c>
      <c r="D3256" s="250" t="inlineStr">
        <is>
          <t xml:space="preserve"/>
        </is>
      </c>
      <c r="E3256" s="250" t="inlineStr">
        <is>
          <t xml:space="preserve"/>
        </is>
      </c>
      <c r="F3256" s="250" t="inlineStr">
        <is>
          <t xml:space="preserve"/>
        </is>
      </c>
      <c r="G3256" s="250" t="inlineStr">
        <is>
          <t xml:space="preserve"/>
        </is>
      </c>
      <c r="H3256" s="251">
        <f>SUM(H3255:H3255)</f>
        <v>15</v>
      </c>
      <c r="I3256" s="252" t="inlineStr">
        <is>
          <t xml:space="preserve">nr</t>
        </is>
      </c>
    </row>
    <row r="3257">
      <c r="A3257" s="243" t="inlineStr">
        <is>
          <t xml:space="preserve">6TH FLR</t>
        </is>
      </c>
      <c r="B3257" s="243" t="inlineStr">
        <is>
          <t xml:space="preserve">C</t>
        </is>
      </c>
      <c r="C3257" s="244" t="inlineStr">
        <is>
          <t xml:space="preserve">750mm x 2200mm single leaf timber flush door (D6)</t>
        </is>
      </c>
      <c r="I3257" s="245" t="inlineStr">
        <is>
          <t xml:space="preserve">nr</t>
        </is>
      </c>
      <c r="K3257" s="256" t="inlineStr">
        <is>
          <t xml:space="preserve">'6TH FLR  '!C112</t>
        </is>
      </c>
    </row>
    <row r="3258">
      <c r="C3258" s="246" t="inlineStr">
        <is>
          <t xml:space="preserve">Sixth floor - D6 doors</t>
        </is>
      </c>
      <c r="H3258" s="247">
        <v>21</v>
      </c>
      <c r="J3258" s="253" t="inlineStr">
        <is>
          <t xml:space="preserve">21</t>
        </is>
      </c>
    </row>
    <row r="3259">
      <c r="C3259" s="250" t="inlineStr">
        <is>
          <t xml:space="preserve">Total carried to BOQ  6TH FLR item C</t>
        </is>
      </c>
      <c r="D3259" s="250" t="inlineStr">
        <is>
          <t xml:space="preserve"/>
        </is>
      </c>
      <c r="E3259" s="250" t="inlineStr">
        <is>
          <t xml:space="preserve"/>
        </is>
      </c>
      <c r="F3259" s="250" t="inlineStr">
        <is>
          <t xml:space="preserve"/>
        </is>
      </c>
      <c r="G3259" s="250" t="inlineStr">
        <is>
          <t xml:space="preserve"/>
        </is>
      </c>
      <c r="H3259" s="251">
        <f>SUM(H3258:H3258)</f>
        <v>21</v>
      </c>
      <c r="I3259" s="252" t="inlineStr">
        <is>
          <t xml:space="preserve">nr</t>
        </is>
      </c>
    </row>
    <row r="3260">
      <c r="A3260" s="243" t="inlineStr">
        <is>
          <t xml:space="preserve">6TH FLR</t>
        </is>
      </c>
      <c r="B3260" s="243" t="inlineStr">
        <is>
          <t xml:space="preserve">D</t>
        </is>
      </c>
      <c r="C3260" s="244" t="inlineStr">
        <is>
          <t xml:space="preserve">700mm x 2200mm single-leaf 2-hour fire-rated galvanised steel door (D7)</t>
        </is>
      </c>
      <c r="I3260" s="245" t="inlineStr">
        <is>
          <t xml:space="preserve">nr</t>
        </is>
      </c>
      <c r="K3260" s="256" t="inlineStr">
        <is>
          <t xml:space="preserve">'6TH FLR  '!C114</t>
        </is>
      </c>
    </row>
    <row r="3261">
      <c r="C3261" s="246" t="inlineStr">
        <is>
          <t xml:space="preserve">Sixth floor - W20</t>
        </is>
      </c>
      <c r="H3261" s="247">
        <v>1</v>
      </c>
      <c r="J3261" s="253" t="inlineStr">
        <is>
          <t xml:space="preserve">1</t>
        </is>
      </c>
    </row>
    <row r="3262">
      <c r="C3262" s="250" t="inlineStr">
        <is>
          <t xml:space="preserve">Total carried to BOQ  6TH FLR item D</t>
        </is>
      </c>
      <c r="D3262" s="250" t="inlineStr">
        <is>
          <t xml:space="preserve"/>
        </is>
      </c>
      <c r="E3262" s="250" t="inlineStr">
        <is>
          <t xml:space="preserve"/>
        </is>
      </c>
      <c r="F3262" s="250" t="inlineStr">
        <is>
          <t xml:space="preserve"/>
        </is>
      </c>
      <c r="G3262" s="250" t="inlineStr">
        <is>
          <t xml:space="preserve"/>
        </is>
      </c>
      <c r="H3262" s="251">
        <f>SUM(H3261:H3261)</f>
        <v>1</v>
      </c>
      <c r="I3262" s="252" t="inlineStr">
        <is>
          <t xml:space="preserve">nr</t>
        </is>
      </c>
    </row>
    <row r="3263" ht="32.2" customHeight="1">
      <c r="A3263" s="243" t="inlineStr">
        <is>
          <t xml:space="preserve">6TH FLR</t>
        </is>
      </c>
      <c r="B3263" s="243" t="inlineStr">
        <is>
          <t xml:space="preserve">E</t>
        </is>
      </c>
      <c r="C3263" s="244" t="inlineStr">
        <is>
          <t xml:space="preserve">1200mm x 2200mm 1-hour fire-rated leaf-and-a-half galvanised steel security door assembly (D8)</t>
        </is>
      </c>
      <c r="I3263" s="245" t="inlineStr">
        <is>
          <t xml:space="preserve">nr</t>
        </is>
      </c>
      <c r="K3263" s="256" t="inlineStr">
        <is>
          <t xml:space="preserve">'6TH FLR  '!C116</t>
        </is>
      </c>
    </row>
    <row r="3264">
      <c r="C3264" s="246" t="inlineStr">
        <is>
          <t xml:space="preserve">Sixth floor - W17</t>
        </is>
      </c>
      <c r="H3264" s="247">
        <v>3</v>
      </c>
      <c r="J3264" s="253" t="inlineStr">
        <is>
          <t xml:space="preserve">3</t>
        </is>
      </c>
    </row>
    <row r="3265">
      <c r="C3265" s="250" t="inlineStr">
        <is>
          <t xml:space="preserve">Total carried to BOQ  6TH FLR item E</t>
        </is>
      </c>
      <c r="D3265" s="250" t="inlineStr">
        <is>
          <t xml:space="preserve"/>
        </is>
      </c>
      <c r="E3265" s="250" t="inlineStr">
        <is>
          <t xml:space="preserve"/>
        </is>
      </c>
      <c r="F3265" s="250" t="inlineStr">
        <is>
          <t xml:space="preserve"/>
        </is>
      </c>
      <c r="G3265" s="250" t="inlineStr">
        <is>
          <t xml:space="preserve"/>
        </is>
      </c>
      <c r="H3265" s="251">
        <f>SUM(H3264:H3264)</f>
        <v>3</v>
      </c>
      <c r="I3265" s="252" t="inlineStr">
        <is>
          <t xml:space="preserve">nr</t>
        </is>
      </c>
    </row>
    <row r="3266" ht="32.2" customHeight="1">
      <c r="A3266" s="243" t="inlineStr">
        <is>
          <t xml:space="preserve">6TH FLR</t>
        </is>
      </c>
      <c r="B3266" s="243" t="inlineStr">
        <is>
          <t xml:space="preserve">F</t>
        </is>
      </c>
      <c r="C3266" s="244" t="inlineStr">
        <is>
          <t xml:space="preserve">1000mm x 2200mm 1-hour fire-rated galvanised steel single-leaf security door assembly - emergency stairs (ED1)</t>
        </is>
      </c>
      <c r="I3266" s="245" t="inlineStr">
        <is>
          <t xml:space="preserve">nr</t>
        </is>
      </c>
      <c r="K3266" s="256" t="inlineStr">
        <is>
          <t xml:space="preserve">'6TH FLR  '!C118</t>
        </is>
      </c>
    </row>
    <row r="3267">
      <c r="C3267" s="246" t="inlineStr">
        <is>
          <t xml:space="preserve">Sixth floor - W17</t>
        </is>
      </c>
      <c r="H3267" s="247">
        <v>3</v>
      </c>
      <c r="J3267" s="253" t="inlineStr">
        <is>
          <t xml:space="preserve">3</t>
        </is>
      </c>
    </row>
    <row r="3268">
      <c r="C3268" s="250" t="inlineStr">
        <is>
          <t xml:space="preserve">Total carried to BOQ  6TH FLR item F</t>
        </is>
      </c>
      <c r="D3268" s="250" t="inlineStr">
        <is>
          <t xml:space="preserve"/>
        </is>
      </c>
      <c r="E3268" s="250" t="inlineStr">
        <is>
          <t xml:space="preserve"/>
        </is>
      </c>
      <c r="F3268" s="250" t="inlineStr">
        <is>
          <t xml:space="preserve"/>
        </is>
      </c>
      <c r="G3268" s="250" t="inlineStr">
        <is>
          <t xml:space="preserve"/>
        </is>
      </c>
      <c r="H3268" s="251">
        <f>SUM(H3267:H3267)</f>
        <v>3</v>
      </c>
      <c r="I3268" s="252" t="inlineStr">
        <is>
          <t xml:space="preserve">nr</t>
        </is>
      </c>
    </row>
    <row r="3269" ht="32.2" customHeight="1">
      <c r="A3269" s="243" t="inlineStr">
        <is>
          <t xml:space="preserve">6TH FLR</t>
        </is>
      </c>
      <c r="B3269" s="243" t="inlineStr">
        <is>
          <t xml:space="preserve">G</t>
        </is>
      </c>
      <c r="C3269" s="244" t="inlineStr">
        <is>
          <t xml:space="preserve">1000mm x 2200mm 1-hour fire-rated galvanised steel single-leaf security door with translucent glass panel (ED2)</t>
        </is>
      </c>
      <c r="I3269" s="245" t="inlineStr">
        <is>
          <t xml:space="preserve">nr</t>
        </is>
      </c>
      <c r="K3269" s="256" t="inlineStr">
        <is>
          <t xml:space="preserve">'6TH FLR  '!C120</t>
        </is>
      </c>
    </row>
    <row r="3270">
      <c r="C3270" s="246" t="inlineStr">
        <is>
          <t xml:space="preserve">Sixth floor - W17</t>
        </is>
      </c>
      <c r="H3270" s="247">
        <v>3</v>
      </c>
      <c r="J3270" s="253" t="inlineStr">
        <is>
          <t xml:space="preserve">3</t>
        </is>
      </c>
    </row>
    <row r="3271">
      <c r="C3271" s="250" t="inlineStr">
        <is>
          <t xml:space="preserve">Total carried to BOQ  6TH FLR item G</t>
        </is>
      </c>
      <c r="D3271" s="250" t="inlineStr">
        <is>
          <t xml:space="preserve"/>
        </is>
      </c>
      <c r="E3271" s="250" t="inlineStr">
        <is>
          <t xml:space="preserve"/>
        </is>
      </c>
      <c r="F3271" s="250" t="inlineStr">
        <is>
          <t xml:space="preserve"/>
        </is>
      </c>
      <c r="G3271" s="250" t="inlineStr">
        <is>
          <t xml:space="preserve"/>
        </is>
      </c>
      <c r="H3271" s="251">
        <f>SUM(H3270:H3270)</f>
        <v>3</v>
      </c>
      <c r="I3271" s="252" t="inlineStr">
        <is>
          <t xml:space="preserve">nr</t>
        </is>
      </c>
    </row>
    <row r="3272" ht="32.2" customHeight="1">
      <c r="A3272" s="243" t="inlineStr">
        <is>
          <t xml:space="preserve">6TH FLR</t>
        </is>
      </c>
      <c r="B3272" s="243" t="inlineStr">
        <is>
          <t xml:space="preserve">H</t>
        </is>
      </c>
      <c r="C3272" s="244" t="inlineStr">
        <is>
          <t xml:space="preserve">900mm x 2200mm 1-hour fire-rated galvanised steel single-leaf security door assembly (D9)</t>
        </is>
      </c>
      <c r="I3272" s="245" t="inlineStr">
        <is>
          <t xml:space="preserve">nr</t>
        </is>
      </c>
      <c r="K3272" s="256" t="inlineStr">
        <is>
          <t xml:space="preserve">'6TH FLR  '!C122</t>
        </is>
      </c>
    </row>
    <row r="3273">
      <c r="C3273" s="246" t="inlineStr">
        <is>
          <t xml:space="preserve">Sixth floor - W20</t>
        </is>
      </c>
      <c r="H3273" s="247">
        <v>1</v>
      </c>
      <c r="J3273" s="253" t="inlineStr">
        <is>
          <t xml:space="preserve">1</t>
        </is>
      </c>
    </row>
    <row r="3274">
      <c r="C3274" s="250" t="inlineStr">
        <is>
          <t xml:space="preserve">Total carried to BOQ  6TH FLR item H</t>
        </is>
      </c>
      <c r="D3274" s="250" t="inlineStr">
        <is>
          <t xml:space="preserve"/>
        </is>
      </c>
      <c r="E3274" s="250" t="inlineStr">
        <is>
          <t xml:space="preserve"/>
        </is>
      </c>
      <c r="F3274" s="250" t="inlineStr">
        <is>
          <t xml:space="preserve"/>
        </is>
      </c>
      <c r="G3274" s="250" t="inlineStr">
        <is>
          <t xml:space="preserve"/>
        </is>
      </c>
      <c r="H3274" s="251">
        <f>SUM(H3273:H3273)</f>
        <v>1</v>
      </c>
      <c r="I3274" s="252" t="inlineStr">
        <is>
          <t xml:space="preserve">nr</t>
        </is>
      </c>
    </row>
    <row r="3275">
      <c r="A3275" s="243" t="inlineStr">
        <is>
          <t xml:space="preserve">6TH FLR</t>
        </is>
      </c>
      <c r="B3275" s="243" t="inlineStr">
        <is>
          <t xml:space="preserve">J</t>
        </is>
      </c>
      <c r="C3275" s="244" t="inlineStr">
        <is>
          <t xml:space="preserve">1500mm x 2200mm timber bi-fold door (FD1)</t>
        </is>
      </c>
      <c r="I3275" s="245" t="inlineStr">
        <is>
          <t xml:space="preserve">nr</t>
        </is>
      </c>
      <c r="K3275" s="256" t="inlineStr">
        <is>
          <t xml:space="preserve">'6TH FLR  '!C124</t>
        </is>
      </c>
    </row>
    <row r="3276">
      <c r="C3276" s="246" t="inlineStr">
        <is>
          <t xml:space="preserve">Sixth floor - W20</t>
        </is>
      </c>
      <c r="H3276" s="247">
        <v>1</v>
      </c>
      <c r="J3276" s="253" t="inlineStr">
        <is>
          <t xml:space="preserve">1</t>
        </is>
      </c>
    </row>
    <row r="3277">
      <c r="C3277" s="250" t="inlineStr">
        <is>
          <t xml:space="preserve">Total carried to BOQ  6TH FLR item J</t>
        </is>
      </c>
      <c r="D3277" s="250" t="inlineStr">
        <is>
          <t xml:space="preserve"/>
        </is>
      </c>
      <c r="E3277" s="250" t="inlineStr">
        <is>
          <t xml:space="preserve"/>
        </is>
      </c>
      <c r="F3277" s="250" t="inlineStr">
        <is>
          <t xml:space="preserve"/>
        </is>
      </c>
      <c r="G3277" s="250" t="inlineStr">
        <is>
          <t xml:space="preserve"/>
        </is>
      </c>
      <c r="H3277" s="251">
        <f>SUM(H3276:H3276)</f>
        <v>1</v>
      </c>
      <c r="I3277" s="252" t="inlineStr">
        <is>
          <t xml:space="preserve">nr</t>
        </is>
      </c>
    </row>
    <row r="3278">
      <c r="A3278" s="243" t="inlineStr">
        <is>
          <t xml:space="preserve">6TH FLR</t>
        </is>
      </c>
      <c r="B3278" s="243" t="inlineStr">
        <is>
          <t xml:space="preserve">K</t>
        </is>
      </c>
      <c r="C3278" s="244" t="inlineStr">
        <is>
          <t xml:space="preserve">900mm x 2200mm screw-fixed galvanised steel service access panel (M1)</t>
        </is>
      </c>
      <c r="I3278" s="245" t="inlineStr">
        <is>
          <t xml:space="preserve">nr</t>
        </is>
      </c>
      <c r="K3278" s="256" t="inlineStr">
        <is>
          <t xml:space="preserve">'6TH FLR  '!C126</t>
        </is>
      </c>
    </row>
    <row r="3279">
      <c r="C3279" s="246" t="inlineStr">
        <is>
          <t xml:space="preserve">Sixth floor - HW4</t>
        </is>
      </c>
      <c r="H3279" s="247">
        <v>2</v>
      </c>
      <c r="J3279" s="253" t="inlineStr">
        <is>
          <t xml:space="preserve">2</t>
        </is>
      </c>
    </row>
    <row r="3280">
      <c r="C3280" s="250" t="inlineStr">
        <is>
          <t xml:space="preserve">Total carried to BOQ  6TH FLR item K</t>
        </is>
      </c>
      <c r="D3280" s="250" t="inlineStr">
        <is>
          <t xml:space="preserve"/>
        </is>
      </c>
      <c r="E3280" s="250" t="inlineStr">
        <is>
          <t xml:space="preserve"/>
        </is>
      </c>
      <c r="F3280" s="250" t="inlineStr">
        <is>
          <t xml:space="preserve"/>
        </is>
      </c>
      <c r="G3280" s="250" t="inlineStr">
        <is>
          <t xml:space="preserve"/>
        </is>
      </c>
      <c r="H3280" s="251">
        <f>SUM(H3279:H3279)</f>
        <v>2</v>
      </c>
      <c r="I3280" s="252" t="inlineStr">
        <is>
          <t xml:space="preserve">nr</t>
        </is>
      </c>
    </row>
    <row r="3281">
      <c r="A3281" s="243" t="inlineStr">
        <is>
          <t xml:space="preserve">6TH FLR</t>
        </is>
      </c>
      <c r="B3281" s="243" t="inlineStr">
        <is>
          <t xml:space="preserve">L</t>
        </is>
      </c>
      <c r="C3281" s="244" t="inlineStr">
        <is>
          <t xml:space="preserve">750mm x 2200mm screw-fixed galvanised steel service access panel (M2)</t>
        </is>
      </c>
      <c r="I3281" s="245" t="inlineStr">
        <is>
          <t xml:space="preserve">nr</t>
        </is>
      </c>
      <c r="K3281" s="256" t="inlineStr">
        <is>
          <t xml:space="preserve">'6TH FLR  '!C128</t>
        </is>
      </c>
    </row>
    <row r="3282">
      <c r="C3282" s="246" t="inlineStr">
        <is>
          <t xml:space="preserve">Sixth floor - HW2</t>
        </is>
      </c>
      <c r="H3282" s="247">
        <v>5</v>
      </c>
      <c r="J3282" s="253" t="inlineStr">
        <is>
          <t xml:space="preserve">5</t>
        </is>
      </c>
    </row>
    <row r="3283">
      <c r="C3283" s="250" t="inlineStr">
        <is>
          <t xml:space="preserve">Total carried to BOQ  6TH FLR item L</t>
        </is>
      </c>
      <c r="D3283" s="250" t="inlineStr">
        <is>
          <t xml:space="preserve"/>
        </is>
      </c>
      <c r="E3283" s="250" t="inlineStr">
        <is>
          <t xml:space="preserve"/>
        </is>
      </c>
      <c r="F3283" s="250" t="inlineStr">
        <is>
          <t xml:space="preserve"/>
        </is>
      </c>
      <c r="G3283" s="250" t="inlineStr">
        <is>
          <t xml:space="preserve"/>
        </is>
      </c>
      <c r="H3283" s="251">
        <f>SUM(H3282:H3282)</f>
        <v>5</v>
      </c>
      <c r="I3283" s="252" t="inlineStr">
        <is>
          <t xml:space="preserve">nr</t>
        </is>
      </c>
    </row>
    <row r="3284">
      <c r="A3284" s="243" t="inlineStr">
        <is>
          <t xml:space="preserve">6TH FLR</t>
        </is>
      </c>
      <c r="B3284" s="243" t="inlineStr">
        <is>
          <t xml:space="preserve">M</t>
        </is>
      </c>
      <c r="C3284" s="244" t="inlineStr">
        <is>
          <t xml:space="preserve">450mm x 2200mm screw-fixed galvanised steel service access panel (M3)</t>
        </is>
      </c>
      <c r="I3284" s="245" t="inlineStr">
        <is>
          <t xml:space="preserve">nr</t>
        </is>
      </c>
      <c r="K3284" s="256" t="inlineStr">
        <is>
          <t xml:space="preserve">'6TH FLR  '!C130</t>
        </is>
      </c>
    </row>
    <row r="3285">
      <c r="C3285" s="246" t="inlineStr">
        <is>
          <t xml:space="preserve">Sixth floor - W20</t>
        </is>
      </c>
      <c r="H3285" s="247">
        <v>1</v>
      </c>
      <c r="J3285" s="253" t="inlineStr">
        <is>
          <t xml:space="preserve">1</t>
        </is>
      </c>
    </row>
    <row r="3286">
      <c r="C3286" s="250" t="inlineStr">
        <is>
          <t xml:space="preserve">Total carried to BOQ  6TH FLR item M</t>
        </is>
      </c>
      <c r="D3286" s="250" t="inlineStr">
        <is>
          <t xml:space="preserve"/>
        </is>
      </c>
      <c r="E3286" s="250" t="inlineStr">
        <is>
          <t xml:space="preserve"/>
        </is>
      </c>
      <c r="F3286" s="250" t="inlineStr">
        <is>
          <t xml:space="preserve"/>
        </is>
      </c>
      <c r="G3286" s="250" t="inlineStr">
        <is>
          <t xml:space="preserve"/>
        </is>
      </c>
      <c r="H3286" s="251">
        <f>SUM(H3285:H3285)</f>
        <v>1</v>
      </c>
      <c r="I3286" s="252" t="inlineStr">
        <is>
          <t xml:space="preserve">nr</t>
        </is>
      </c>
    </row>
    <row r="3287">
      <c r="A3287" s="243" t="inlineStr">
        <is>
          <t xml:space="preserve">6TH FLR</t>
        </is>
      </c>
      <c r="B3287" s="243" t="inlineStr">
        <is>
          <t xml:space="preserve">N</t>
        </is>
      </c>
      <c r="C3287" s="244" t="inlineStr">
        <is>
          <t xml:space="preserve">600mm x 2200mm screw-fixed galvanised steel service access panel (M5)</t>
        </is>
      </c>
      <c r="I3287" s="245" t="inlineStr">
        <is>
          <t xml:space="preserve">nr</t>
        </is>
      </c>
      <c r="K3287" s="256" t="inlineStr">
        <is>
          <t xml:space="preserve">'6TH FLR  '!C132</t>
        </is>
      </c>
    </row>
    <row r="3288">
      <c r="C3288" s="246" t="inlineStr">
        <is>
          <t xml:space="preserve">Sixth floor - W17</t>
        </is>
      </c>
      <c r="H3288" s="247">
        <v>3</v>
      </c>
      <c r="J3288" s="253" t="inlineStr">
        <is>
          <t xml:space="preserve">3</t>
        </is>
      </c>
    </row>
    <row r="3289">
      <c r="C3289" s="250" t="inlineStr">
        <is>
          <t xml:space="preserve">Total carried to BOQ  6TH FLR item N</t>
        </is>
      </c>
      <c r="D3289" s="250" t="inlineStr">
        <is>
          <t xml:space="preserve"/>
        </is>
      </c>
      <c r="E3289" s="250" t="inlineStr">
        <is>
          <t xml:space="preserve"/>
        </is>
      </c>
      <c r="F3289" s="250" t="inlineStr">
        <is>
          <t xml:space="preserve"/>
        </is>
      </c>
      <c r="G3289" s="250" t="inlineStr">
        <is>
          <t xml:space="preserve"/>
        </is>
      </c>
      <c r="H3289" s="251">
        <f>SUM(H3288:H3288)</f>
        <v>3</v>
      </c>
      <c r="I3289" s="252" t="inlineStr">
        <is>
          <t xml:space="preserve">nr</t>
        </is>
      </c>
    </row>
    <row r="3290" ht="32.2" customHeight="1">
      <c r="A3290" s="243" t="inlineStr">
        <is>
          <t xml:space="preserve">6TH FLR</t>
        </is>
      </c>
      <c r="B3290" s="243" t="inlineStr">
        <is>
          <t xml:space="preserve">P</t>
        </is>
      </c>
      <c r="C3290" s="244" t="inlineStr">
        <is>
          <t xml:space="preserve">3000mm x 2200mm 3-panel galvanised steel framed tempered glass sliding door (SD1)</t>
        </is>
      </c>
      <c r="I3290" s="245" t="inlineStr">
        <is>
          <t xml:space="preserve">nr</t>
        </is>
      </c>
      <c r="K3290" s="256" t="inlineStr">
        <is>
          <t xml:space="preserve">'6TH FLR  '!C134</t>
        </is>
      </c>
    </row>
    <row r="3291">
      <c r="C3291" s="246" t="inlineStr">
        <is>
          <t xml:space="preserve">Sixth floor - W20</t>
        </is>
      </c>
      <c r="H3291" s="247">
        <v>1</v>
      </c>
      <c r="J3291" s="253" t="inlineStr">
        <is>
          <t xml:space="preserve">1</t>
        </is>
      </c>
    </row>
    <row r="3292">
      <c r="C3292" s="250" t="inlineStr">
        <is>
          <t xml:space="preserve">Total carried to BOQ  6TH FLR item P</t>
        </is>
      </c>
      <c r="D3292" s="250" t="inlineStr">
        <is>
          <t xml:space="preserve"/>
        </is>
      </c>
      <c r="E3292" s="250" t="inlineStr">
        <is>
          <t xml:space="preserve"/>
        </is>
      </c>
      <c r="F3292" s="250" t="inlineStr">
        <is>
          <t xml:space="preserve"/>
        </is>
      </c>
      <c r="G3292" s="250" t="inlineStr">
        <is>
          <t xml:space="preserve"/>
        </is>
      </c>
      <c r="H3292" s="251">
        <f>SUM(H3291:H3291)</f>
        <v>1</v>
      </c>
      <c r="I3292" s="252" t="inlineStr">
        <is>
          <t xml:space="preserve">nr</t>
        </is>
      </c>
    </row>
    <row r="3293" ht="32.2" customHeight="1">
      <c r="A3293" s="243" t="inlineStr">
        <is>
          <t xml:space="preserve">6TH FLR</t>
        </is>
      </c>
      <c r="B3293" s="243" t="inlineStr">
        <is>
          <t xml:space="preserve">Q</t>
        </is>
      </c>
      <c r="C3293" s="244" t="inlineStr">
        <is>
          <t xml:space="preserve">1600mm x 2200mm 2-panel galvanised steel framed tempered glass sliding door (SD2)</t>
        </is>
      </c>
      <c r="I3293" s="245" t="inlineStr">
        <is>
          <t xml:space="preserve">nr</t>
        </is>
      </c>
      <c r="K3293" s="256" t="inlineStr">
        <is>
          <t xml:space="preserve">'6TH FLR  '!C136</t>
        </is>
      </c>
    </row>
    <row r="3294">
      <c r="C3294" s="246" t="inlineStr">
        <is>
          <t xml:space="preserve">Sixth floor - W12</t>
        </is>
      </c>
      <c r="H3294" s="247">
        <v>4</v>
      </c>
      <c r="J3294" s="253" t="inlineStr">
        <is>
          <t xml:space="preserve">4</t>
        </is>
      </c>
    </row>
    <row r="3295">
      <c r="C3295" s="250" t="inlineStr">
        <is>
          <t xml:space="preserve">Total carried to BOQ  6TH FLR item Q</t>
        </is>
      </c>
      <c r="D3295" s="250" t="inlineStr">
        <is>
          <t xml:space="preserve"/>
        </is>
      </c>
      <c r="E3295" s="250" t="inlineStr">
        <is>
          <t xml:space="preserve"/>
        </is>
      </c>
      <c r="F3295" s="250" t="inlineStr">
        <is>
          <t xml:space="preserve"/>
        </is>
      </c>
      <c r="G3295" s="250" t="inlineStr">
        <is>
          <t xml:space="preserve"/>
        </is>
      </c>
      <c r="H3295" s="251">
        <f>SUM(H3294:H3294)</f>
        <v>4</v>
      </c>
      <c r="I3295" s="252" t="inlineStr">
        <is>
          <t xml:space="preserve">nr</t>
        </is>
      </c>
    </row>
    <row r="3296" ht="32.2" customHeight="1">
      <c r="A3296" s="243" t="inlineStr">
        <is>
          <t xml:space="preserve">6TH FLR</t>
        </is>
      </c>
      <c r="B3296" s="243" t="inlineStr">
        <is>
          <t xml:space="preserve">R</t>
        </is>
      </c>
      <c r="C3296" s="244" t="inlineStr">
        <is>
          <t xml:space="preserve">1300mm x 2200mm 2-panel galvanised steel framed tempered glass sliding door (SD3)</t>
        </is>
      </c>
      <c r="I3296" s="245" t="inlineStr">
        <is>
          <t xml:space="preserve">nr</t>
        </is>
      </c>
      <c r="K3296" s="256" t="inlineStr">
        <is>
          <t xml:space="preserve">'6TH FLR  '!C138</t>
        </is>
      </c>
    </row>
    <row r="3297">
      <c r="C3297" s="246" t="inlineStr">
        <is>
          <t xml:space="preserve">Sixth floor - HW4</t>
        </is>
      </c>
      <c r="H3297" s="247">
        <v>2</v>
      </c>
      <c r="J3297" s="253" t="inlineStr">
        <is>
          <t xml:space="preserve">2</t>
        </is>
      </c>
    </row>
    <row r="3298">
      <c r="C3298" s="250" t="inlineStr">
        <is>
          <t xml:space="preserve">Total carried to BOQ  6TH FLR item R</t>
        </is>
      </c>
      <c r="D3298" s="250" t="inlineStr">
        <is>
          <t xml:space="preserve"/>
        </is>
      </c>
      <c r="E3298" s="250" t="inlineStr">
        <is>
          <t xml:space="preserve"/>
        </is>
      </c>
      <c r="F3298" s="250" t="inlineStr">
        <is>
          <t xml:space="preserve"/>
        </is>
      </c>
      <c r="G3298" s="250" t="inlineStr">
        <is>
          <t xml:space="preserve"/>
        </is>
      </c>
      <c r="H3298" s="251">
        <f>SUM(H3297:H3297)</f>
        <v>2</v>
      </c>
      <c r="I3298" s="252" t="inlineStr">
        <is>
          <t xml:space="preserve">nr</t>
        </is>
      </c>
    </row>
    <row r="3299" ht="32.2" customHeight="1">
      <c r="A3299" s="243" t="inlineStr">
        <is>
          <t xml:space="preserve">6TH FLR</t>
        </is>
      </c>
      <c r="B3299" s="243" t="inlineStr">
        <is>
          <t xml:space="preserve">S</t>
        </is>
      </c>
      <c r="C3299" s="244" t="inlineStr">
        <is>
          <t xml:space="preserve">1800mm x 2200mm 2-panel galvanised steel framed tempered glass sliding door (SD4)</t>
        </is>
      </c>
      <c r="I3299" s="245" t="inlineStr">
        <is>
          <t xml:space="preserve">nr</t>
        </is>
      </c>
      <c r="K3299" s="256" t="inlineStr">
        <is>
          <t xml:space="preserve">'6TH FLR  '!C140</t>
        </is>
      </c>
    </row>
    <row r="3300">
      <c r="C3300" s="246" t="inlineStr">
        <is>
          <t xml:space="preserve">Sixth floor - W12</t>
        </is>
      </c>
      <c r="H3300" s="247">
        <v>4</v>
      </c>
      <c r="J3300" s="253" t="inlineStr">
        <is>
          <t xml:space="preserve">4</t>
        </is>
      </c>
    </row>
    <row r="3301">
      <c r="C3301" s="250" t="inlineStr">
        <is>
          <t xml:space="preserve">Total carried to BOQ  6TH FLR item S</t>
        </is>
      </c>
      <c r="D3301" s="250" t="inlineStr">
        <is>
          <t xml:space="preserve"/>
        </is>
      </c>
      <c r="E3301" s="250" t="inlineStr">
        <is>
          <t xml:space="preserve"/>
        </is>
      </c>
      <c r="F3301" s="250" t="inlineStr">
        <is>
          <t xml:space="preserve"/>
        </is>
      </c>
      <c r="G3301" s="250" t="inlineStr">
        <is>
          <t xml:space="preserve"/>
        </is>
      </c>
      <c r="H3301" s="251">
        <f>SUM(H3300:H3300)</f>
        <v>4</v>
      </c>
      <c r="I3301" s="252" t="inlineStr">
        <is>
          <t xml:space="preserve">nr</t>
        </is>
      </c>
    </row>
    <row r="3302" ht="32.2" customHeight="1">
      <c r="A3302" s="243" t="inlineStr">
        <is>
          <t xml:space="preserve">6TH FLR</t>
        </is>
      </c>
      <c r="B3302" s="243" t="inlineStr">
        <is>
          <t xml:space="preserve">T</t>
        </is>
      </c>
      <c r="C3302" s="244" t="inlineStr">
        <is>
          <t xml:space="preserve">1200mm x 2200mm 2-panel galvanised steel framed tempered glass sliding door (SD5)</t>
        </is>
      </c>
      <c r="I3302" s="245" t="inlineStr">
        <is>
          <t xml:space="preserve">nr</t>
        </is>
      </c>
      <c r="K3302" s="256" t="inlineStr">
        <is>
          <t xml:space="preserve">'6TH FLR  '!C142</t>
        </is>
      </c>
    </row>
    <row r="3303">
      <c r="C3303" s="246" t="inlineStr">
        <is>
          <t xml:space="preserve">Sixth floor - W20</t>
        </is>
      </c>
      <c r="H3303" s="247">
        <v>1</v>
      </c>
      <c r="J3303" s="253" t="inlineStr">
        <is>
          <t xml:space="preserve">1</t>
        </is>
      </c>
    </row>
    <row r="3304">
      <c r="C3304" s="250" t="inlineStr">
        <is>
          <t xml:space="preserve">Total carried to BOQ  6TH FLR item T</t>
        </is>
      </c>
      <c r="D3304" s="250" t="inlineStr">
        <is>
          <t xml:space="preserve"/>
        </is>
      </c>
      <c r="E3304" s="250" t="inlineStr">
        <is>
          <t xml:space="preserve"/>
        </is>
      </c>
      <c r="F3304" s="250" t="inlineStr">
        <is>
          <t xml:space="preserve"/>
        </is>
      </c>
      <c r="G3304" s="250" t="inlineStr">
        <is>
          <t xml:space="preserve"/>
        </is>
      </c>
      <c r="H3304" s="251">
        <f>SUM(H3303:H3303)</f>
        <v>1</v>
      </c>
      <c r="I3304" s="252" t="inlineStr">
        <is>
          <t xml:space="preserve">nr</t>
        </is>
      </c>
    </row>
    <row r="3305">
      <c r="A3305" s="243" t="inlineStr">
        <is>
          <t xml:space="preserve">6TH FLR</t>
        </is>
      </c>
      <c r="B3305" s="243" t="inlineStr">
        <is>
          <t xml:space="preserve">U</t>
        </is>
      </c>
      <c r="C3305" s="244" t="inlineStr">
        <is>
          <t xml:space="preserve">50mm x 150mm frames (to timber doors)</t>
        </is>
      </c>
      <c r="I3305" s="245" t="inlineStr">
        <is>
          <t xml:space="preserve">m</t>
        </is>
      </c>
      <c r="K3305" s="256" t="inlineStr">
        <is>
          <t xml:space="preserve">'6TH FLR  '!C144</t>
        </is>
      </c>
    </row>
    <row r="3306">
      <c r="C3306" s="246" t="inlineStr">
        <is>
          <t xml:space="preserve">Door : nr x (2 x ht + width)</t>
        </is>
      </c>
      <c r="D3306" s="248">
        <v>15</v>
      </c>
      <c r="E3306" s="247">
        <f>2*2.2+0.9</f>
        <v>5.300000000000001</v>
      </c>
      <c r="H3306" s="249">
        <f>PRODUCT(D3306:G3306)</f>
        <v>79.50000000000001</v>
      </c>
      <c r="J3306" s="253" t="inlineStr">
        <is>
          <t xml:space="preserve">15*(2*2.2+0.9)</t>
        </is>
      </c>
    </row>
    <row r="3307">
      <c r="C3307" s="246" t="inlineStr">
        <is>
          <t xml:space="preserve">Door : nr x (2 x ht + width)</t>
        </is>
      </c>
      <c r="D3307" s="248">
        <v>21</v>
      </c>
      <c r="E3307" s="247">
        <f>2*2.2+0.75</f>
        <v>5.15</v>
      </c>
      <c r="H3307" s="249">
        <f>PRODUCT(D3307:G3307)</f>
        <v>108.15</v>
      </c>
      <c r="J3307" s="253" t="inlineStr">
        <is>
          <t xml:space="preserve">21*(2*2.2+0.75)</t>
        </is>
      </c>
    </row>
    <row r="3308">
      <c r="C3308" s="246" t="inlineStr">
        <is>
          <t xml:space="preserve">Door : nr x (2 x ht + width)</t>
        </is>
      </c>
      <c r="D3308" s="248">
        <v>1</v>
      </c>
      <c r="E3308" s="247">
        <f>2*2.2+1.5</f>
        <v>5.9</v>
      </c>
      <c r="H3308" s="249">
        <f>PRODUCT(D3308:G3308)</f>
        <v>5.9</v>
      </c>
      <c r="J3308" s="253" t="inlineStr">
        <is>
          <t xml:space="preserve">1*(2*2.2+1.5)</t>
        </is>
      </c>
    </row>
    <row r="3309">
      <c r="C3309" s="250" t="inlineStr">
        <is>
          <t xml:space="preserve">Total carried to BOQ  6TH FLR item U</t>
        </is>
      </c>
      <c r="D3309" s="250" t="inlineStr">
        <is>
          <t xml:space="preserve"/>
        </is>
      </c>
      <c r="E3309" s="250" t="inlineStr">
        <is>
          <t xml:space="preserve"/>
        </is>
      </c>
      <c r="F3309" s="250" t="inlineStr">
        <is>
          <t xml:space="preserve"/>
        </is>
      </c>
      <c r="G3309" s="250" t="inlineStr">
        <is>
          <t xml:space="preserve"/>
        </is>
      </c>
      <c r="H3309" s="251">
        <f>SUM(H3306:H3308)</f>
        <v>193.55000000000004</v>
      </c>
      <c r="I3309" s="252" t="inlineStr">
        <is>
          <t xml:space="preserve">m</t>
        </is>
      </c>
    </row>
    <row r="3310">
      <c r="A3310" s="243" t="inlineStr">
        <is>
          <t xml:space="preserve">6TH FLR</t>
        </is>
      </c>
      <c r="B3310" s="243" t="inlineStr">
        <is>
          <t xml:space="preserve">V</t>
        </is>
      </c>
      <c r="C3310" s="244" t="inlineStr">
        <is>
          <t xml:space="preserve">50mm x 12mm door stop</t>
        </is>
      </c>
      <c r="I3310" s="245" t="inlineStr">
        <is>
          <t xml:space="preserve">m</t>
        </is>
      </c>
      <c r="K3310" s="256" t="inlineStr">
        <is>
          <t xml:space="preserve">'6TH FLR  '!C146</t>
        </is>
      </c>
    </row>
    <row r="3311">
      <c r="C3311" s="246" t="inlineStr">
        <is>
          <t xml:space="preserve">Door : nr x (2 x ht + width)</t>
        </is>
      </c>
      <c r="D3311" s="248">
        <v>15</v>
      </c>
      <c r="E3311" s="247">
        <f>2*2.2+0.9</f>
        <v>5.300000000000001</v>
      </c>
      <c r="H3311" s="249">
        <f>PRODUCT(D3311:G3311)</f>
        <v>79.50000000000001</v>
      </c>
      <c r="J3311" s="253" t="inlineStr">
        <is>
          <t xml:space="preserve">15*(2*2.2+0.9)</t>
        </is>
      </c>
    </row>
    <row r="3312">
      <c r="C3312" s="246" t="inlineStr">
        <is>
          <t xml:space="preserve">Door : nr x (2 x ht + width)</t>
        </is>
      </c>
      <c r="D3312" s="248">
        <v>21</v>
      </c>
      <c r="E3312" s="247">
        <f>2*2.2+0.75</f>
        <v>5.15</v>
      </c>
      <c r="H3312" s="249">
        <f>PRODUCT(D3312:G3312)</f>
        <v>108.15</v>
      </c>
      <c r="J3312" s="253" t="inlineStr">
        <is>
          <t xml:space="preserve">21*(2*2.2+0.75)</t>
        </is>
      </c>
    </row>
    <row r="3313">
      <c r="C3313" s="246" t="inlineStr">
        <is>
          <t xml:space="preserve">Door : nr x (2 x ht + width)</t>
        </is>
      </c>
      <c r="D3313" s="248">
        <v>1</v>
      </c>
      <c r="E3313" s="247">
        <f>2*2.2+1.5</f>
        <v>5.9</v>
      </c>
      <c r="H3313" s="249">
        <f>PRODUCT(D3313:G3313)</f>
        <v>5.9</v>
      </c>
      <c r="J3313" s="253" t="inlineStr">
        <is>
          <t xml:space="preserve">1*(2*2.2+1.5)</t>
        </is>
      </c>
    </row>
    <row r="3314">
      <c r="C3314" s="250" t="inlineStr">
        <is>
          <t xml:space="preserve">Total carried to BOQ  6TH FLR item V</t>
        </is>
      </c>
      <c r="D3314" s="250" t="inlineStr">
        <is>
          <t xml:space="preserve"/>
        </is>
      </c>
      <c r="E3314" s="250" t="inlineStr">
        <is>
          <t xml:space="preserve"/>
        </is>
      </c>
      <c r="F3314" s="250" t="inlineStr">
        <is>
          <t xml:space="preserve"/>
        </is>
      </c>
      <c r="G3314" s="250" t="inlineStr">
        <is>
          <t xml:space="preserve"/>
        </is>
      </c>
      <c r="H3314" s="251">
        <f>SUM(H3311:H3313)</f>
        <v>193.55000000000004</v>
      </c>
      <c r="I3314" s="252" t="inlineStr">
        <is>
          <t xml:space="preserve">m</t>
        </is>
      </c>
    </row>
    <row r="3315">
      <c r="C3315" s="242" t="inlineStr">
        <is>
          <t xml:space="preserve">Ironmongery - Supply and fix the following approved ironmongery to hardwood with accompanying patented screws:</t>
        </is>
      </c>
    </row>
    <row r="3316">
      <c r="A3316" s="243" t="inlineStr">
        <is>
          <t xml:space="preserve">6TH FLR</t>
        </is>
      </c>
      <c r="B3316" s="243" t="inlineStr">
        <is>
          <t xml:space="preserve">W</t>
        </is>
      </c>
      <c r="C3316" s="244" t="inlineStr">
        <is>
          <t xml:space="preserve">Pair 100mm brass butt hinges</t>
        </is>
      </c>
      <c r="I3316" s="245" t="inlineStr">
        <is>
          <t xml:space="preserve">pr</t>
        </is>
      </c>
      <c r="K3316" s="256" t="inlineStr">
        <is>
          <t xml:space="preserve">'6TH FLR  '!C150</t>
        </is>
      </c>
    </row>
    <row r="3317">
      <c r="C3317" s="246" t="inlineStr">
        <is>
          <t xml:space="preserve">Sixth floor - Timber door leaves x 1.5 pairs</t>
        </is>
      </c>
      <c r="H3317" s="247">
        <v>54</v>
      </c>
      <c r="J3317" s="253" t="inlineStr">
        <is>
          <t xml:space="preserve">54</t>
        </is>
      </c>
    </row>
    <row r="3318">
      <c r="C3318" s="250" t="inlineStr">
        <is>
          <t xml:space="preserve">Total carried to BOQ  6TH FLR item W</t>
        </is>
      </c>
      <c r="D3318" s="250" t="inlineStr">
        <is>
          <t xml:space="preserve"/>
        </is>
      </c>
      <c r="E3318" s="250" t="inlineStr">
        <is>
          <t xml:space="preserve"/>
        </is>
      </c>
      <c r="F3318" s="250" t="inlineStr">
        <is>
          <t xml:space="preserve"/>
        </is>
      </c>
      <c r="G3318" s="250" t="inlineStr">
        <is>
          <t xml:space="preserve"/>
        </is>
      </c>
      <c r="H3318" s="251">
        <f>SUM(H3317:H3317)</f>
        <v>54</v>
      </c>
      <c r="I3318" s="252" t="inlineStr">
        <is>
          <t xml:space="preserve">pr</t>
        </is>
      </c>
    </row>
    <row r="3319">
      <c r="A3319" s="243" t="inlineStr">
        <is>
          <t xml:space="preserve">6TH FLR</t>
        </is>
      </c>
      <c r="B3319" s="243" t="inlineStr">
        <is>
          <t xml:space="preserve">X</t>
        </is>
      </c>
      <c r="C3319" s="244" t="inlineStr">
        <is>
          <t xml:space="preserve">Ordinary locks</t>
        </is>
      </c>
      <c r="I3319" s="245" t="inlineStr">
        <is>
          <t xml:space="preserve">nr</t>
        </is>
      </c>
      <c r="K3319" s="256" t="inlineStr">
        <is>
          <t xml:space="preserve">'6TH FLR  '!C152</t>
        </is>
      </c>
    </row>
    <row r="3320">
      <c r="C3320" s="246" t="inlineStr">
        <is>
          <t xml:space="preserve">Sixth floor - D3/D4 doors</t>
        </is>
      </c>
      <c r="H3320" s="247">
        <v>15</v>
      </c>
      <c r="J3320" s="253" t="inlineStr">
        <is>
          <t xml:space="preserve">15</t>
        </is>
      </c>
    </row>
    <row r="3321">
      <c r="C3321" s="250" t="inlineStr">
        <is>
          <t xml:space="preserve">Total carried to BOQ  6TH FLR item X</t>
        </is>
      </c>
      <c r="D3321" s="250" t="inlineStr">
        <is>
          <t xml:space="preserve"/>
        </is>
      </c>
      <c r="E3321" s="250" t="inlineStr">
        <is>
          <t xml:space="preserve"/>
        </is>
      </c>
      <c r="F3321" s="250" t="inlineStr">
        <is>
          <t xml:space="preserve"/>
        </is>
      </c>
      <c r="G3321" s="250" t="inlineStr">
        <is>
          <t xml:space="preserve"/>
        </is>
      </c>
      <c r="H3321" s="251">
        <f>SUM(H3320:H3320)</f>
        <v>15</v>
      </c>
      <c r="I3321" s="252" t="inlineStr">
        <is>
          <t xml:space="preserve">nr</t>
        </is>
      </c>
    </row>
    <row r="3322">
      <c r="A3322" s="243" t="inlineStr">
        <is>
          <t xml:space="preserve">6TH FLR</t>
        </is>
      </c>
      <c r="B3322" s="243" t="inlineStr">
        <is>
          <t xml:space="preserve">Y</t>
        </is>
      </c>
      <c r="C3322" s="244" t="inlineStr">
        <is>
          <t xml:space="preserve">Approved high quality mortice indicator lock</t>
        </is>
      </c>
      <c r="I3322" s="245" t="inlineStr">
        <is>
          <t xml:space="preserve">nr</t>
        </is>
      </c>
      <c r="K3322" s="256" t="inlineStr">
        <is>
          <t xml:space="preserve">'6TH FLR  '!C154</t>
        </is>
      </c>
    </row>
    <row r="3323">
      <c r="C3323" s="246" t="inlineStr">
        <is>
          <t xml:space="preserve">Sixth floor - D6 doors</t>
        </is>
      </c>
      <c r="H3323" s="247">
        <v>21</v>
      </c>
      <c r="J3323" s="253" t="inlineStr">
        <is>
          <t xml:space="preserve">21</t>
        </is>
      </c>
    </row>
    <row r="3324">
      <c r="C3324" s="250" t="inlineStr">
        <is>
          <t xml:space="preserve">Total carried to BOQ  6TH FLR item Y</t>
        </is>
      </c>
      <c r="D3324" s="250" t="inlineStr">
        <is>
          <t xml:space="preserve"/>
        </is>
      </c>
      <c r="E3324" s="250" t="inlineStr">
        <is>
          <t xml:space="preserve"/>
        </is>
      </c>
      <c r="F3324" s="250" t="inlineStr">
        <is>
          <t xml:space="preserve"/>
        </is>
      </c>
      <c r="G3324" s="250" t="inlineStr">
        <is>
          <t xml:space="preserve"/>
        </is>
      </c>
      <c r="H3324" s="251">
        <f>SUM(H3323:H3323)</f>
        <v>21</v>
      </c>
      <c r="I3324" s="252" t="inlineStr">
        <is>
          <t xml:space="preserve">nr</t>
        </is>
      </c>
    </row>
    <row r="3325">
      <c r="C3325"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3326">
      <c r="A3326" s="243" t="inlineStr">
        <is>
          <t xml:space="preserve">6TH FLR</t>
        </is>
      </c>
      <c r="B3326" s="243" t="inlineStr">
        <is>
          <t xml:space="preserve">Z</t>
        </is>
      </c>
      <c r="C3326" s="244" t="inlineStr">
        <is>
          <t xml:space="preserve">2 bay alu. framed glass sliding window 1800mm x 1300mm (W2)</t>
        </is>
      </c>
      <c r="I3326" s="245" t="inlineStr">
        <is>
          <t xml:space="preserve">nr</t>
        </is>
      </c>
      <c r="K3326" s="256" t="inlineStr">
        <is>
          <t xml:space="preserve">'6TH FLR  '!C157</t>
        </is>
      </c>
    </row>
    <row r="3327">
      <c r="C3327" s="246" t="inlineStr">
        <is>
          <t xml:space="preserve">Sixth floor - W11</t>
        </is>
      </c>
      <c r="H3327" s="247">
        <v>6</v>
      </c>
      <c r="J3327" s="253" t="inlineStr">
        <is>
          <t xml:space="preserve">6</t>
        </is>
      </c>
    </row>
    <row r="3328">
      <c r="C3328" s="250" t="inlineStr">
        <is>
          <t xml:space="preserve">Total carried to BOQ  6TH FLR item Z</t>
        </is>
      </c>
      <c r="D3328" s="250" t="inlineStr">
        <is>
          <t xml:space="preserve"/>
        </is>
      </c>
      <c r="E3328" s="250" t="inlineStr">
        <is>
          <t xml:space="preserve"/>
        </is>
      </c>
      <c r="F3328" s="250" t="inlineStr">
        <is>
          <t xml:space="preserve"/>
        </is>
      </c>
      <c r="G3328" s="250" t="inlineStr">
        <is>
          <t xml:space="preserve"/>
        </is>
      </c>
      <c r="H3328" s="251">
        <f>SUM(H3327:H3327)</f>
        <v>6</v>
      </c>
      <c r="I3328" s="252" t="inlineStr">
        <is>
          <t xml:space="preserve">nr</t>
        </is>
      </c>
    </row>
    <row r="3329">
      <c r="A3329" s="243" t="inlineStr">
        <is>
          <t xml:space="preserve">6TH FLR</t>
        </is>
      </c>
      <c r="B3329" s="243" t="inlineStr">
        <is>
          <t xml:space="preserve">A</t>
        </is>
      </c>
      <c r="C3329" s="244" t="inlineStr">
        <is>
          <t xml:space="preserve">1 bay alu. framed glass awning window 900mm x 1300mm (W4)</t>
        </is>
      </c>
      <c r="I3329" s="245" t="inlineStr">
        <is>
          <t xml:space="preserve">nr</t>
        </is>
      </c>
      <c r="K3329" s="256" t="inlineStr">
        <is>
          <t xml:space="preserve">'6TH FLR  '!C159</t>
        </is>
      </c>
    </row>
    <row r="3330">
      <c r="C3330" s="246" t="inlineStr">
        <is>
          <t xml:space="preserve">Sixth floor - W4</t>
        </is>
      </c>
      <c r="H3330" s="247">
        <v>10</v>
      </c>
      <c r="J3330" s="253" t="inlineStr">
        <is>
          <t xml:space="preserve">10</t>
        </is>
      </c>
    </row>
    <row r="3331">
      <c r="C3331" s="250" t="inlineStr">
        <is>
          <t xml:space="preserve">Total carried to BOQ  6TH FLR item A</t>
        </is>
      </c>
      <c r="D3331" s="250" t="inlineStr">
        <is>
          <t xml:space="preserve"/>
        </is>
      </c>
      <c r="E3331" s="250" t="inlineStr">
        <is>
          <t xml:space="preserve"/>
        </is>
      </c>
      <c r="F3331" s="250" t="inlineStr">
        <is>
          <t xml:space="preserve"/>
        </is>
      </c>
      <c r="G3331" s="250" t="inlineStr">
        <is>
          <t xml:space="preserve"/>
        </is>
      </c>
      <c r="H3331" s="251">
        <f>SUM(H3330:H3330)</f>
        <v>10</v>
      </c>
      <c r="I3331" s="252" t="inlineStr">
        <is>
          <t xml:space="preserve">nr</t>
        </is>
      </c>
    </row>
    <row r="3332">
      <c r="A3332" s="243" t="inlineStr">
        <is>
          <t xml:space="preserve">6TH FLR</t>
        </is>
      </c>
      <c r="B3332" s="243" t="inlineStr">
        <is>
          <t xml:space="preserve">B</t>
        </is>
      </c>
      <c r="C3332" s="244" t="inlineStr">
        <is>
          <t xml:space="preserve">2 bay alu. framed glass sliding window 1800mm x 1600mm (W7)</t>
        </is>
      </c>
      <c r="I3332" s="245" t="inlineStr">
        <is>
          <t xml:space="preserve">nr</t>
        </is>
      </c>
      <c r="K3332" s="256" t="inlineStr">
        <is>
          <t xml:space="preserve">'6TH FLR  '!C161</t>
        </is>
      </c>
    </row>
    <row r="3333">
      <c r="C3333" s="246" t="inlineStr">
        <is>
          <t xml:space="preserve">Sixth floor - HW4</t>
        </is>
      </c>
      <c r="H3333" s="247">
        <v>2</v>
      </c>
      <c r="J3333" s="253" t="inlineStr">
        <is>
          <t xml:space="preserve">2</t>
        </is>
      </c>
    </row>
    <row r="3334">
      <c r="C3334" s="250" t="inlineStr">
        <is>
          <t xml:space="preserve">Total carried to BOQ  6TH FLR item B</t>
        </is>
      </c>
      <c r="D3334" s="250" t="inlineStr">
        <is>
          <t xml:space="preserve"/>
        </is>
      </c>
      <c r="E3334" s="250" t="inlineStr">
        <is>
          <t xml:space="preserve"/>
        </is>
      </c>
      <c r="F3334" s="250" t="inlineStr">
        <is>
          <t xml:space="preserve"/>
        </is>
      </c>
      <c r="G3334" s="250" t="inlineStr">
        <is>
          <t xml:space="preserve"/>
        </is>
      </c>
      <c r="H3334" s="251">
        <f>SUM(H3333:H3333)</f>
        <v>2</v>
      </c>
      <c r="I3334" s="252" t="inlineStr">
        <is>
          <t xml:space="preserve">nr</t>
        </is>
      </c>
    </row>
    <row r="3335">
      <c r="A3335" s="243" t="inlineStr">
        <is>
          <t xml:space="preserve">6TH FLR</t>
        </is>
      </c>
      <c r="B3335" s="243" t="inlineStr">
        <is>
          <t xml:space="preserve">C</t>
        </is>
      </c>
      <c r="C3335" s="244" t="inlineStr">
        <is>
          <t xml:space="preserve">1 x 3 bay alu. framed glass awning window 1200mm x 1900mm (W8)</t>
        </is>
      </c>
      <c r="I3335" s="245" t="inlineStr">
        <is>
          <t xml:space="preserve">nr</t>
        </is>
      </c>
      <c r="K3335" s="256" t="inlineStr">
        <is>
          <t xml:space="preserve">'6TH FLR  '!C163</t>
        </is>
      </c>
    </row>
    <row r="3336">
      <c r="C3336" s="246" t="inlineStr">
        <is>
          <t xml:space="preserve">Sixth floor - W17</t>
        </is>
      </c>
      <c r="H3336" s="247">
        <v>3</v>
      </c>
      <c r="J3336" s="253" t="inlineStr">
        <is>
          <t xml:space="preserve">3</t>
        </is>
      </c>
    </row>
    <row r="3337">
      <c r="C3337" s="250" t="inlineStr">
        <is>
          <t xml:space="preserve">Total carried to BOQ  6TH FLR item C</t>
        </is>
      </c>
      <c r="D3337" s="250" t="inlineStr">
        <is>
          <t xml:space="preserve"/>
        </is>
      </c>
      <c r="E3337" s="250" t="inlineStr">
        <is>
          <t xml:space="preserve"/>
        </is>
      </c>
      <c r="F3337" s="250" t="inlineStr">
        <is>
          <t xml:space="preserve"/>
        </is>
      </c>
      <c r="G3337" s="250" t="inlineStr">
        <is>
          <t xml:space="preserve"/>
        </is>
      </c>
      <c r="H3337" s="251">
        <f>SUM(H3336:H3336)</f>
        <v>3</v>
      </c>
      <c r="I3337" s="252" t="inlineStr">
        <is>
          <t xml:space="preserve">nr</t>
        </is>
      </c>
    </row>
    <row r="3338">
      <c r="A3338" s="243" t="inlineStr">
        <is>
          <t xml:space="preserve">6TH FLR</t>
        </is>
      </c>
      <c r="B3338" s="243" t="inlineStr">
        <is>
          <t xml:space="preserve">D</t>
        </is>
      </c>
      <c r="C3338" s="244" t="inlineStr">
        <is>
          <t xml:space="preserve">2 bay alu. framed glass sliding window 1200mm x 1150mm (W9)</t>
        </is>
      </c>
      <c r="I3338" s="245" t="inlineStr">
        <is>
          <t xml:space="preserve">nr</t>
        </is>
      </c>
      <c r="K3338" s="256" t="inlineStr">
        <is>
          <t xml:space="preserve">'6TH FLR  '!C165</t>
        </is>
      </c>
    </row>
    <row r="3339">
      <c r="C3339" s="246" t="inlineStr">
        <is>
          <t xml:space="preserve">Sixth floor - W9</t>
        </is>
      </c>
      <c r="H3339" s="247">
        <v>8</v>
      </c>
      <c r="J3339" s="253" t="inlineStr">
        <is>
          <t xml:space="preserve">8</t>
        </is>
      </c>
    </row>
    <row r="3340">
      <c r="C3340" s="250" t="inlineStr">
        <is>
          <t xml:space="preserve">Total carried to BOQ  6TH FLR item D</t>
        </is>
      </c>
      <c r="D3340" s="250" t="inlineStr">
        <is>
          <t xml:space="preserve"/>
        </is>
      </c>
      <c r="E3340" s="250" t="inlineStr">
        <is>
          <t xml:space="preserve"/>
        </is>
      </c>
      <c r="F3340" s="250" t="inlineStr">
        <is>
          <t xml:space="preserve"/>
        </is>
      </c>
      <c r="G3340" s="250" t="inlineStr">
        <is>
          <t xml:space="preserve"/>
        </is>
      </c>
      <c r="H3340" s="251">
        <f>SUM(H3339:H3339)</f>
        <v>8</v>
      </c>
      <c r="I3340" s="252" t="inlineStr">
        <is>
          <t xml:space="preserve">nr</t>
        </is>
      </c>
    </row>
    <row r="3341">
      <c r="A3341" s="243" t="inlineStr">
        <is>
          <t xml:space="preserve">6TH FLR</t>
        </is>
      </c>
      <c r="B3341" s="243" t="inlineStr">
        <is>
          <t xml:space="preserve">E</t>
        </is>
      </c>
      <c r="C3341" s="244" t="inlineStr">
        <is>
          <t xml:space="preserve">2 bay alu. framed glass sliding window 1200mm x 1200mm (W10)</t>
        </is>
      </c>
      <c r="I3341" s="245" t="inlineStr">
        <is>
          <t xml:space="preserve">nr</t>
        </is>
      </c>
      <c r="K3341" s="256" t="inlineStr">
        <is>
          <t xml:space="preserve">'6TH FLR  '!C167</t>
        </is>
      </c>
    </row>
    <row r="3342">
      <c r="C3342" s="246" t="inlineStr">
        <is>
          <t xml:space="preserve">Sixth floor - W20</t>
        </is>
      </c>
      <c r="H3342" s="247">
        <v>1</v>
      </c>
      <c r="J3342" s="253" t="inlineStr">
        <is>
          <t xml:space="preserve">1</t>
        </is>
      </c>
    </row>
    <row r="3343">
      <c r="C3343" s="250" t="inlineStr">
        <is>
          <t xml:space="preserve">Total carried to BOQ  6TH FLR item E</t>
        </is>
      </c>
      <c r="D3343" s="250" t="inlineStr">
        <is>
          <t xml:space="preserve"/>
        </is>
      </c>
      <c r="E3343" s="250" t="inlineStr">
        <is>
          <t xml:space="preserve"/>
        </is>
      </c>
      <c r="F3343" s="250" t="inlineStr">
        <is>
          <t xml:space="preserve"/>
        </is>
      </c>
      <c r="G3343" s="250" t="inlineStr">
        <is>
          <t xml:space="preserve"/>
        </is>
      </c>
      <c r="H3343" s="251">
        <f>SUM(H3342:H3342)</f>
        <v>1</v>
      </c>
      <c r="I3343" s="252" t="inlineStr">
        <is>
          <t xml:space="preserve">nr</t>
        </is>
      </c>
    </row>
    <row r="3344">
      <c r="A3344" s="243" t="inlineStr">
        <is>
          <t xml:space="preserve">6TH FLR</t>
        </is>
      </c>
      <c r="B3344" s="243" t="inlineStr">
        <is>
          <t xml:space="preserve">F</t>
        </is>
      </c>
      <c r="C3344" s="244" t="inlineStr">
        <is>
          <t xml:space="preserve">2 bay alu. framed glass sliding window 1500mm x 1300mm (W11)</t>
        </is>
      </c>
      <c r="I3344" s="245" t="inlineStr">
        <is>
          <t xml:space="preserve">nr</t>
        </is>
      </c>
      <c r="K3344" s="256" t="inlineStr">
        <is>
          <t xml:space="preserve">'6TH FLR  '!C169</t>
        </is>
      </c>
    </row>
    <row r="3345">
      <c r="C3345" s="246" t="inlineStr">
        <is>
          <t xml:space="preserve">Sixth floor - W11</t>
        </is>
      </c>
      <c r="H3345" s="247">
        <v>6</v>
      </c>
      <c r="J3345" s="253" t="inlineStr">
        <is>
          <t xml:space="preserve">6</t>
        </is>
      </c>
    </row>
    <row r="3346">
      <c r="C3346" s="250" t="inlineStr">
        <is>
          <t xml:space="preserve">Total carried to BOQ  6TH FLR item F</t>
        </is>
      </c>
      <c r="D3346" s="250" t="inlineStr">
        <is>
          <t xml:space="preserve"/>
        </is>
      </c>
      <c r="E3346" s="250" t="inlineStr">
        <is>
          <t xml:space="preserve"/>
        </is>
      </c>
      <c r="F3346" s="250" t="inlineStr">
        <is>
          <t xml:space="preserve"/>
        </is>
      </c>
      <c r="G3346" s="250" t="inlineStr">
        <is>
          <t xml:space="preserve"/>
        </is>
      </c>
      <c r="H3346" s="251">
        <f>SUM(H3345:H3345)</f>
        <v>6</v>
      </c>
      <c r="I3346" s="252" t="inlineStr">
        <is>
          <t xml:space="preserve">nr</t>
        </is>
      </c>
    </row>
    <row r="3347">
      <c r="A3347" s="243" t="inlineStr">
        <is>
          <t xml:space="preserve">6TH FLR</t>
        </is>
      </c>
      <c r="B3347" s="243" t="inlineStr">
        <is>
          <t xml:space="preserve">G</t>
        </is>
      </c>
      <c r="C3347" s="244" t="inlineStr">
        <is>
          <t xml:space="preserve">2 bay alu. framed glass sliding window 1500mm x 1150mm (W12)</t>
        </is>
      </c>
      <c r="I3347" s="245" t="inlineStr">
        <is>
          <t xml:space="preserve">nr</t>
        </is>
      </c>
      <c r="K3347" s="256" t="inlineStr">
        <is>
          <t xml:space="preserve">'6TH FLR  '!C171</t>
        </is>
      </c>
    </row>
    <row r="3348">
      <c r="C3348" s="246" t="inlineStr">
        <is>
          <t xml:space="preserve">Sixth floor - W12</t>
        </is>
      </c>
      <c r="H3348" s="247">
        <v>4</v>
      </c>
      <c r="J3348" s="253" t="inlineStr">
        <is>
          <t xml:space="preserve">4</t>
        </is>
      </c>
    </row>
    <row r="3349">
      <c r="C3349" s="250" t="inlineStr">
        <is>
          <t xml:space="preserve">Total carried to BOQ  6TH FLR item G</t>
        </is>
      </c>
      <c r="D3349" s="250" t="inlineStr">
        <is>
          <t xml:space="preserve"/>
        </is>
      </c>
      <c r="E3349" s="250" t="inlineStr">
        <is>
          <t xml:space="preserve"/>
        </is>
      </c>
      <c r="F3349" s="250" t="inlineStr">
        <is>
          <t xml:space="preserve"/>
        </is>
      </c>
      <c r="G3349" s="250" t="inlineStr">
        <is>
          <t xml:space="preserve"/>
        </is>
      </c>
      <c r="H3349" s="251">
        <f>SUM(H3348:H3348)</f>
        <v>4</v>
      </c>
      <c r="I3349" s="252" t="inlineStr">
        <is>
          <t xml:space="preserve">nr</t>
        </is>
      </c>
    </row>
    <row r="3350">
      <c r="A3350" s="243" t="inlineStr">
        <is>
          <t xml:space="preserve">6TH FLR</t>
        </is>
      </c>
      <c r="B3350" s="243" t="inlineStr">
        <is>
          <t xml:space="preserve">H</t>
        </is>
      </c>
      <c r="C3350" s="244" t="inlineStr">
        <is>
          <t xml:space="preserve">3 bay alu. framed glass awning window 2400mm x 1300mm (W13)</t>
        </is>
      </c>
      <c r="I3350" s="245" t="inlineStr">
        <is>
          <t xml:space="preserve">nr</t>
        </is>
      </c>
      <c r="K3350" s="256" t="inlineStr">
        <is>
          <t xml:space="preserve">'6TH FLR  '!C173</t>
        </is>
      </c>
    </row>
    <row r="3351">
      <c r="C3351" s="246" t="inlineStr">
        <is>
          <t xml:space="preserve">Sixth floor - W20</t>
        </is>
      </c>
      <c r="H3351" s="247">
        <v>1</v>
      </c>
      <c r="J3351" s="253" t="inlineStr">
        <is>
          <t xml:space="preserve">1</t>
        </is>
      </c>
    </row>
    <row r="3352">
      <c r="C3352" s="250" t="inlineStr">
        <is>
          <t xml:space="preserve">Total carried to BOQ  6TH FLR item H</t>
        </is>
      </c>
      <c r="D3352" s="250" t="inlineStr">
        <is>
          <t xml:space="preserve"/>
        </is>
      </c>
      <c r="E3352" s="250" t="inlineStr">
        <is>
          <t xml:space="preserve"/>
        </is>
      </c>
      <c r="F3352" s="250" t="inlineStr">
        <is>
          <t xml:space="preserve"/>
        </is>
      </c>
      <c r="G3352" s="250" t="inlineStr">
        <is>
          <t xml:space="preserve"/>
        </is>
      </c>
      <c r="H3352" s="251">
        <f>SUM(H3351:H3351)</f>
        <v>1</v>
      </c>
      <c r="I3352" s="252" t="inlineStr">
        <is>
          <t xml:space="preserve">nr</t>
        </is>
      </c>
    </row>
    <row r="3353">
      <c r="A3353" s="243" t="inlineStr">
        <is>
          <t xml:space="preserve">6TH FLR</t>
        </is>
      </c>
      <c r="B3353" s="243" t="inlineStr">
        <is>
          <t xml:space="preserve">J</t>
        </is>
      </c>
      <c r="C3353" s="244" t="inlineStr">
        <is>
          <t xml:space="preserve">3 bay alu. framed glass sliding window 3000mm x 1600mm (W15)</t>
        </is>
      </c>
      <c r="I3353" s="245" t="inlineStr">
        <is>
          <t xml:space="preserve">nr</t>
        </is>
      </c>
      <c r="K3353" s="256" t="inlineStr">
        <is>
          <t xml:space="preserve">'6TH FLR  '!C175</t>
        </is>
      </c>
    </row>
    <row r="3354">
      <c r="C3354" s="246" t="inlineStr">
        <is>
          <t xml:space="preserve">Sixth floor - W20</t>
        </is>
      </c>
      <c r="H3354" s="247">
        <v>1</v>
      </c>
      <c r="J3354" s="253" t="inlineStr">
        <is>
          <t xml:space="preserve">1</t>
        </is>
      </c>
    </row>
    <row r="3355">
      <c r="C3355" s="250" t="inlineStr">
        <is>
          <t xml:space="preserve">Total carried to BOQ  6TH FLR item J</t>
        </is>
      </c>
      <c r="D3355" s="250" t="inlineStr">
        <is>
          <t xml:space="preserve"/>
        </is>
      </c>
      <c r="E3355" s="250" t="inlineStr">
        <is>
          <t xml:space="preserve"/>
        </is>
      </c>
      <c r="F3355" s="250" t="inlineStr">
        <is>
          <t xml:space="preserve"/>
        </is>
      </c>
      <c r="G3355" s="250" t="inlineStr">
        <is>
          <t xml:space="preserve"/>
        </is>
      </c>
      <c r="H3355" s="251">
        <f>SUM(H3354:H3354)</f>
        <v>1</v>
      </c>
      <c r="I3355" s="252" t="inlineStr">
        <is>
          <t xml:space="preserve">nr</t>
        </is>
      </c>
    </row>
    <row r="3356">
      <c r="A3356" s="243" t="inlineStr">
        <is>
          <t xml:space="preserve">6TH FLR</t>
        </is>
      </c>
      <c r="B3356" s="243" t="inlineStr">
        <is>
          <t xml:space="preserve">K</t>
        </is>
      </c>
      <c r="C3356" s="244" t="inlineStr">
        <is>
          <t xml:space="preserve">2 x 3 alu. framed glass awning window 1800mm x 1900mm (W17)</t>
        </is>
      </c>
      <c r="I3356" s="245" t="inlineStr">
        <is>
          <t xml:space="preserve">nr</t>
        </is>
      </c>
      <c r="K3356" s="256" t="inlineStr">
        <is>
          <t xml:space="preserve">'6TH FLR  '!C177</t>
        </is>
      </c>
    </row>
    <row r="3357">
      <c r="C3357" s="246" t="inlineStr">
        <is>
          <t xml:space="preserve">Sixth floor - W17</t>
        </is>
      </c>
      <c r="H3357" s="247">
        <v>3</v>
      </c>
      <c r="J3357" s="253" t="inlineStr">
        <is>
          <t xml:space="preserve">3</t>
        </is>
      </c>
    </row>
    <row r="3358">
      <c r="C3358" s="250" t="inlineStr">
        <is>
          <t xml:space="preserve">Total carried to BOQ  6TH FLR item K</t>
        </is>
      </c>
      <c r="D3358" s="250" t="inlineStr">
        <is>
          <t xml:space="preserve"/>
        </is>
      </c>
      <c r="E3358" s="250" t="inlineStr">
        <is>
          <t xml:space="preserve"/>
        </is>
      </c>
      <c r="F3358" s="250" t="inlineStr">
        <is>
          <t xml:space="preserve"/>
        </is>
      </c>
      <c r="G3358" s="250" t="inlineStr">
        <is>
          <t xml:space="preserve"/>
        </is>
      </c>
      <c r="H3358" s="251">
        <f>SUM(H3357:H3357)</f>
        <v>3</v>
      </c>
      <c r="I3358" s="252" t="inlineStr">
        <is>
          <t xml:space="preserve">nr</t>
        </is>
      </c>
    </row>
    <row r="3359">
      <c r="A3359" s="243" t="inlineStr">
        <is>
          <t xml:space="preserve">6TH FLR</t>
        </is>
      </c>
      <c r="B3359" s="243" t="inlineStr">
        <is>
          <t xml:space="preserve">L</t>
        </is>
      </c>
      <c r="C3359" s="244" t="inlineStr">
        <is>
          <t xml:space="preserve">1 bay alu. framed glass awning window 750mm x 1300mm (W18)</t>
        </is>
      </c>
      <c r="I3359" s="245" t="inlineStr">
        <is>
          <t xml:space="preserve">nr</t>
        </is>
      </c>
      <c r="K3359" s="256" t="inlineStr">
        <is>
          <t xml:space="preserve">'6TH FLR  '!C179</t>
        </is>
      </c>
    </row>
    <row r="3360">
      <c r="C3360" s="246" t="inlineStr">
        <is>
          <t xml:space="preserve">Sixth floor - W20</t>
        </is>
      </c>
      <c r="H3360" s="247">
        <v>1</v>
      </c>
      <c r="J3360" s="253" t="inlineStr">
        <is>
          <t xml:space="preserve">1</t>
        </is>
      </c>
    </row>
    <row r="3361">
      <c r="C3361" s="250" t="inlineStr">
        <is>
          <t xml:space="preserve">Total carried to BOQ  6TH FLR item L</t>
        </is>
      </c>
      <c r="D3361" s="250" t="inlineStr">
        <is>
          <t xml:space="preserve"/>
        </is>
      </c>
      <c r="E3361" s="250" t="inlineStr">
        <is>
          <t xml:space="preserve"/>
        </is>
      </c>
      <c r="F3361" s="250" t="inlineStr">
        <is>
          <t xml:space="preserve"/>
        </is>
      </c>
      <c r="G3361" s="250" t="inlineStr">
        <is>
          <t xml:space="preserve"/>
        </is>
      </c>
      <c r="H3361" s="251">
        <f>SUM(H3360:H3360)</f>
        <v>1</v>
      </c>
      <c r="I3361" s="252" t="inlineStr">
        <is>
          <t xml:space="preserve">nr</t>
        </is>
      </c>
    </row>
    <row r="3362">
      <c r="A3362" s="243" t="inlineStr">
        <is>
          <t xml:space="preserve">6TH FLR</t>
        </is>
      </c>
      <c r="B3362" s="243" t="inlineStr">
        <is>
          <t xml:space="preserve">M</t>
        </is>
      </c>
      <c r="C3362" s="244" t="inlineStr">
        <is>
          <t xml:space="preserve">2 x 3 alu. framed glass awning window 1450mm x 1900mm (W20)</t>
        </is>
      </c>
      <c r="I3362" s="245" t="inlineStr">
        <is>
          <t xml:space="preserve">nr</t>
        </is>
      </c>
      <c r="K3362" s="256" t="inlineStr">
        <is>
          <t xml:space="preserve">'6TH FLR  '!C181</t>
        </is>
      </c>
    </row>
    <row r="3363">
      <c r="C3363" s="246" t="inlineStr">
        <is>
          <t xml:space="preserve">Sixth floor - W20</t>
        </is>
      </c>
      <c r="H3363" s="247">
        <v>1</v>
      </c>
      <c r="J3363" s="253" t="inlineStr">
        <is>
          <t xml:space="preserve">1</t>
        </is>
      </c>
    </row>
    <row r="3364">
      <c r="C3364" s="250" t="inlineStr">
        <is>
          <t xml:space="preserve">Total carried to BOQ  6TH FLR item M</t>
        </is>
      </c>
      <c r="D3364" s="250" t="inlineStr">
        <is>
          <t xml:space="preserve"/>
        </is>
      </c>
      <c r="E3364" s="250" t="inlineStr">
        <is>
          <t xml:space="preserve"/>
        </is>
      </c>
      <c r="F3364" s="250" t="inlineStr">
        <is>
          <t xml:space="preserve"/>
        </is>
      </c>
      <c r="G3364" s="250" t="inlineStr">
        <is>
          <t xml:space="preserve"/>
        </is>
      </c>
      <c r="H3364" s="251">
        <f>SUM(H3363:H3363)</f>
        <v>1</v>
      </c>
      <c r="I3364" s="252" t="inlineStr">
        <is>
          <t xml:space="preserve">nr</t>
        </is>
      </c>
    </row>
    <row r="3365">
      <c r="A3365" s="243" t="inlineStr">
        <is>
          <t xml:space="preserve">6TH FLR</t>
        </is>
      </c>
      <c r="B3365" s="243" t="inlineStr">
        <is>
          <t xml:space="preserve">N</t>
        </is>
      </c>
      <c r="C3365" s="244" t="inlineStr">
        <is>
          <t xml:space="preserve">2 bay alu. framed glass sliding window 900mm x 600mm (HW1)</t>
        </is>
      </c>
      <c r="I3365" s="245" t="inlineStr">
        <is>
          <t xml:space="preserve">nr</t>
        </is>
      </c>
      <c r="K3365" s="256" t="inlineStr">
        <is>
          <t xml:space="preserve">'6TH FLR  '!C183</t>
        </is>
      </c>
    </row>
    <row r="3366">
      <c r="C3366" s="246" t="inlineStr">
        <is>
          <t xml:space="preserve">Sixth floor - HW1</t>
        </is>
      </c>
      <c r="H3366" s="247">
        <v>13</v>
      </c>
      <c r="J3366" s="253" t="inlineStr">
        <is>
          <t xml:space="preserve">13</t>
        </is>
      </c>
    </row>
    <row r="3367">
      <c r="C3367" s="250" t="inlineStr">
        <is>
          <t xml:space="preserve">Total carried to BOQ  6TH FLR item N</t>
        </is>
      </c>
      <c r="D3367" s="250" t="inlineStr">
        <is>
          <t xml:space="preserve"/>
        </is>
      </c>
      <c r="E3367" s="250" t="inlineStr">
        <is>
          <t xml:space="preserve"/>
        </is>
      </c>
      <c r="F3367" s="250" t="inlineStr">
        <is>
          <t xml:space="preserve"/>
        </is>
      </c>
      <c r="G3367" s="250" t="inlineStr">
        <is>
          <t xml:space="preserve"/>
        </is>
      </c>
      <c r="H3367" s="251">
        <f>SUM(H3366:H3366)</f>
        <v>13</v>
      </c>
      <c r="I3367" s="252" t="inlineStr">
        <is>
          <t xml:space="preserve">nr</t>
        </is>
      </c>
    </row>
    <row r="3368">
      <c r="A3368" s="243" t="inlineStr">
        <is>
          <t xml:space="preserve">6TH FLR</t>
        </is>
      </c>
      <c r="B3368" s="243" t="inlineStr">
        <is>
          <t xml:space="preserve">P</t>
        </is>
      </c>
      <c r="C3368" s="244" t="inlineStr">
        <is>
          <t xml:space="preserve">2 bay alu. framed glass sliding window 750mm x 600mm (HW2)</t>
        </is>
      </c>
      <c r="I3368" s="245" t="inlineStr">
        <is>
          <t xml:space="preserve">nr</t>
        </is>
      </c>
      <c r="K3368" s="256" t="inlineStr">
        <is>
          <t xml:space="preserve">'6TH FLR  '!C185</t>
        </is>
      </c>
    </row>
    <row r="3369">
      <c r="C3369" s="246" t="inlineStr">
        <is>
          <t xml:space="preserve">Sixth floor - HW2</t>
        </is>
      </c>
      <c r="H3369" s="247">
        <v>5</v>
      </c>
      <c r="J3369" s="253" t="inlineStr">
        <is>
          <t xml:space="preserve">5</t>
        </is>
      </c>
    </row>
    <row r="3370">
      <c r="C3370" s="250" t="inlineStr">
        <is>
          <t xml:space="preserve">Total carried to BOQ  6TH FLR item P</t>
        </is>
      </c>
      <c r="D3370" s="250" t="inlineStr">
        <is>
          <t xml:space="preserve"/>
        </is>
      </c>
      <c r="E3370" s="250" t="inlineStr">
        <is>
          <t xml:space="preserve"/>
        </is>
      </c>
      <c r="F3370" s="250" t="inlineStr">
        <is>
          <t xml:space="preserve"/>
        </is>
      </c>
      <c r="G3370" s="250" t="inlineStr">
        <is>
          <t xml:space="preserve"/>
        </is>
      </c>
      <c r="H3370" s="251">
        <f>SUM(H3369:H3369)</f>
        <v>5</v>
      </c>
      <c r="I3370" s="252" t="inlineStr">
        <is>
          <t xml:space="preserve">nr</t>
        </is>
      </c>
    </row>
    <row r="3371">
      <c r="A3371" s="243" t="inlineStr">
        <is>
          <t xml:space="preserve">6TH FLR</t>
        </is>
      </c>
      <c r="B3371" s="243" t="inlineStr">
        <is>
          <t xml:space="preserve">Q</t>
        </is>
      </c>
      <c r="C3371" s="244" t="inlineStr">
        <is>
          <t xml:space="preserve">2 bay alu. framed glass sliding window 600mm x 600mm (HW3)</t>
        </is>
      </c>
      <c r="I3371" s="245" t="inlineStr">
        <is>
          <t xml:space="preserve">nr</t>
        </is>
      </c>
      <c r="K3371" s="256" t="inlineStr">
        <is>
          <t xml:space="preserve">'6TH FLR  '!C187</t>
        </is>
      </c>
    </row>
    <row r="3372">
      <c r="C3372" s="246" t="inlineStr">
        <is>
          <t xml:space="preserve">Sixth floor - HW4</t>
        </is>
      </c>
      <c r="H3372" s="247">
        <v>2</v>
      </c>
      <c r="J3372" s="253" t="inlineStr">
        <is>
          <t xml:space="preserve">2</t>
        </is>
      </c>
    </row>
    <row r="3373">
      <c r="C3373" s="250" t="inlineStr">
        <is>
          <t xml:space="preserve">Total carried to BOQ  6TH FLR item Q</t>
        </is>
      </c>
      <c r="D3373" s="250" t="inlineStr">
        <is>
          <t xml:space="preserve"/>
        </is>
      </c>
      <c r="E3373" s="250" t="inlineStr">
        <is>
          <t xml:space="preserve"/>
        </is>
      </c>
      <c r="F3373" s="250" t="inlineStr">
        <is>
          <t xml:space="preserve"/>
        </is>
      </c>
      <c r="G3373" s="250" t="inlineStr">
        <is>
          <t xml:space="preserve"/>
        </is>
      </c>
      <c r="H3373" s="251">
        <f>SUM(H3372:H3372)</f>
        <v>2</v>
      </c>
      <c r="I3373" s="252" t="inlineStr">
        <is>
          <t xml:space="preserve">nr</t>
        </is>
      </c>
    </row>
    <row r="3374">
      <c r="A3374" s="243" t="inlineStr">
        <is>
          <t xml:space="preserve">6TH FLR</t>
        </is>
      </c>
      <c r="B3374" s="243" t="inlineStr">
        <is>
          <t xml:space="preserve">R</t>
        </is>
      </c>
      <c r="C3374" s="244" t="inlineStr">
        <is>
          <t xml:space="preserve">2 bay alu. framed glass sliding window 1200mm x 600mm (HW4)</t>
        </is>
      </c>
      <c r="I3374" s="245" t="inlineStr">
        <is>
          <t xml:space="preserve">nr</t>
        </is>
      </c>
      <c r="K3374" s="256" t="inlineStr">
        <is>
          <t xml:space="preserve">'6TH FLR  '!C189</t>
        </is>
      </c>
    </row>
    <row r="3375">
      <c r="C3375" s="246" t="inlineStr">
        <is>
          <t xml:space="preserve">Sixth floor - HW4</t>
        </is>
      </c>
      <c r="H3375" s="247">
        <v>2</v>
      </c>
      <c r="J3375" s="253" t="inlineStr">
        <is>
          <t xml:space="preserve">2</t>
        </is>
      </c>
    </row>
    <row r="3376">
      <c r="C3376" s="250" t="inlineStr">
        <is>
          <t xml:space="preserve">Total carried to BOQ  6TH FLR item R</t>
        </is>
      </c>
      <c r="D3376" s="250" t="inlineStr">
        <is>
          <t xml:space="preserve"/>
        </is>
      </c>
      <c r="E3376" s="250" t="inlineStr">
        <is>
          <t xml:space="preserve"/>
        </is>
      </c>
      <c r="F3376" s="250" t="inlineStr">
        <is>
          <t xml:space="preserve"/>
        </is>
      </c>
      <c r="G3376" s="250" t="inlineStr">
        <is>
          <t xml:space="preserve"/>
        </is>
      </c>
      <c r="H3376" s="251">
        <f>SUM(H3375:H3375)</f>
        <v>2</v>
      </c>
      <c r="I3376" s="252" t="inlineStr">
        <is>
          <t xml:space="preserve">nr</t>
        </is>
      </c>
    </row>
    <row r="3377">
      <c r="C3377" s="242" t="inlineStr">
        <is>
          <t xml:space="preserve">ELEMENT NO. 5: FLOOR FINISHES</t>
        </is>
      </c>
    </row>
    <row r="3378">
      <c r="C3378" s="242" t="inlineStr">
        <is>
          <t xml:space="preserve">M10/M40 FLOOR FINISHES</t>
        </is>
      </c>
    </row>
    <row r="3379" ht="32.2" customHeight="1">
      <c r="A3379" s="243" t="inlineStr">
        <is>
          <t xml:space="preserve">6TH FLR</t>
        </is>
      </c>
      <c r="B3379" s="243" t="inlineStr">
        <is>
          <t xml:space="preserve">A</t>
        </is>
      </c>
      <c r="C3379" s="244" t="inlineStr">
        <is>
          <t xml:space="preserve">25mm cement and sand (1:3) screeded finish laid level on concrete and finished smooth with steel trowel</t>
        </is>
      </c>
      <c r="I3379" s="245" t="inlineStr">
        <is>
          <t xml:space="preserve">m2</t>
        </is>
      </c>
      <c r="K3379" s="256" t="inlineStr">
        <is>
          <t xml:space="preserve">'6TH FLR  '!C197</t>
        </is>
      </c>
    </row>
    <row r="3380">
      <c r="C3380" s="246" t="inlineStr">
        <is>
          <t xml:space="preserve">Sixth floor - Tiled floor areas (measured)</t>
        </is>
      </c>
      <c r="H3380" s="247">
        <v>872.1</v>
      </c>
      <c r="J3380" s="253" t="inlineStr">
        <is>
          <t xml:space="preserve">872.1</t>
        </is>
      </c>
    </row>
    <row r="3381">
      <c r="C3381" s="250" t="inlineStr">
        <is>
          <t xml:space="preserve">Total carried to BOQ  6TH FLR item A</t>
        </is>
      </c>
      <c r="D3381" s="250" t="inlineStr">
        <is>
          <t xml:space="preserve"/>
        </is>
      </c>
      <c r="E3381" s="250" t="inlineStr">
        <is>
          <t xml:space="preserve"/>
        </is>
      </c>
      <c r="F3381" s="250" t="inlineStr">
        <is>
          <t xml:space="preserve"/>
        </is>
      </c>
      <c r="G3381" s="250" t="inlineStr">
        <is>
          <t xml:space="preserve"/>
        </is>
      </c>
      <c r="H3381" s="251">
        <f>SUM(H3380:H3380)</f>
        <v>872.1</v>
      </c>
      <c r="I3381" s="252" t="inlineStr">
        <is>
          <t xml:space="preserve">m2</t>
        </is>
      </c>
    </row>
    <row r="3382" ht="32.2" customHeight="1">
      <c r="A3382" s="243" t="inlineStr">
        <is>
          <t xml:space="preserve">6TH FLR</t>
        </is>
      </c>
      <c r="B3382" s="243" t="inlineStr">
        <is>
          <t xml:space="preserve">B</t>
        </is>
      </c>
      <c r="C3382" s="244" t="inlineStr">
        <is>
          <t xml:space="preserve">12mm cement and sand (1:4) screeded bed laid level on concrete floor to receive floor tiles</t>
        </is>
      </c>
      <c r="I3382" s="245" t="inlineStr">
        <is>
          <t xml:space="preserve">m2</t>
        </is>
      </c>
      <c r="K3382" s="256" t="inlineStr">
        <is>
          <t xml:space="preserve">'6TH FLR  '!C199</t>
        </is>
      </c>
    </row>
    <row r="3383">
      <c r="C3383" s="246" t="inlineStr">
        <is>
          <t xml:space="preserve">Sixth floor - Tiled floor areas (measured)</t>
        </is>
      </c>
      <c r="H3383" s="247">
        <v>872.1</v>
      </c>
      <c r="J3383" s="253" t="inlineStr">
        <is>
          <t xml:space="preserve">872.1</t>
        </is>
      </c>
    </row>
    <row r="3384">
      <c r="C3384" s="246" t="inlineStr">
        <is>
          <t xml:space="preserve">Stair finishes (treads, risers, landings) - flights: 2 x 1.8 x 3.0</t>
        </is>
      </c>
      <c r="D3384" s="248">
        <v>2</v>
      </c>
      <c r="E3384" s="247">
        <v>1.8</v>
      </c>
      <c r="F3384" s="247">
        <v>3.0</v>
      </c>
      <c r="H3384" s="249">
        <f>PRODUCT(D3384:G3384)</f>
        <v>10.8</v>
      </c>
      <c r="J3384" s="253" t="inlineStr">
        <is>
          <t xml:space="preserve">2*1.8*3.0</t>
        </is>
      </c>
    </row>
    <row r="3385">
      <c r="C3385" s="246" t="inlineStr">
        <is>
          <t xml:space="preserve">Stair finishes (treads, risers, landings) - risers: 22 x 0.15 x 1.8</t>
        </is>
      </c>
      <c r="D3385" s="248">
        <v>22</v>
      </c>
      <c r="E3385" s="247">
        <v>0.15</v>
      </c>
      <c r="F3385" s="247">
        <v>1.8</v>
      </c>
      <c r="H3385" s="249">
        <f>PRODUCT(D3385:G3385)</f>
        <v>5.9399999999999995</v>
      </c>
      <c r="J3385" s="253" t="inlineStr">
        <is>
          <t xml:space="preserve">22*0.15*1.8</t>
        </is>
      </c>
    </row>
    <row r="3386">
      <c r="C3386" s="246" t="inlineStr">
        <is>
          <t xml:space="preserve">Stair finishes (treads, risers, landings) - floor landing 2.2 x 3.75</t>
        </is>
      </c>
      <c r="E3386" s="247">
        <v>2.2</v>
      </c>
      <c r="F3386" s="247">
        <v>3.75</v>
      </c>
      <c r="H3386" s="249">
        <f>PRODUCT(D3386:G3386)</f>
        <v>8.25</v>
      </c>
      <c r="J3386" s="253" t="inlineStr">
        <is>
          <t xml:space="preserve">2.2*3.75</t>
        </is>
      </c>
    </row>
    <row r="3387">
      <c r="C3387" s="246" t="inlineStr">
        <is>
          <t xml:space="preserve">Stair finishes (treads, risers, landings) - half landing 1.8 x 3.75</t>
        </is>
      </c>
      <c r="E3387" s="247">
        <v>1.8</v>
      </c>
      <c r="F3387" s="247">
        <v>3.75</v>
      </c>
      <c r="H3387" s="249">
        <f>PRODUCT(D3387:G3387)</f>
        <v>6.75</v>
      </c>
      <c r="J3387" s="253" t="inlineStr">
        <is>
          <t xml:space="preserve">1.8*3.75</t>
        </is>
      </c>
    </row>
    <row r="3388">
      <c r="C3388" s="246" t="inlineStr">
        <is>
          <t xml:space="preserve">Stair finishes (treads, risers, landings) - flights: 2 x 1.8 x 3.0</t>
        </is>
      </c>
      <c r="D3388" s="248">
        <v>2</v>
      </c>
      <c r="E3388" s="247">
        <v>1.8</v>
      </c>
      <c r="F3388" s="247">
        <v>3.0</v>
      </c>
      <c r="H3388" s="249">
        <f>PRODUCT(D3388:G3388)</f>
        <v>10.8</v>
      </c>
      <c r="J3388" s="253" t="inlineStr">
        <is>
          <t xml:space="preserve">2*1.8*3.0</t>
        </is>
      </c>
    </row>
    <row r="3389">
      <c r="C3389" s="246" t="inlineStr">
        <is>
          <t xml:space="preserve">Stair finishes (treads, risers, landings) - risers: 22 x 0.15 x 1.8</t>
        </is>
      </c>
      <c r="D3389" s="248">
        <v>22</v>
      </c>
      <c r="E3389" s="247">
        <v>0.15</v>
      </c>
      <c r="F3389" s="247">
        <v>1.8</v>
      </c>
      <c r="H3389" s="249">
        <f>PRODUCT(D3389:G3389)</f>
        <v>5.9399999999999995</v>
      </c>
      <c r="J3389" s="253" t="inlineStr">
        <is>
          <t xml:space="preserve">22*0.15*1.8</t>
        </is>
      </c>
    </row>
    <row r="3390">
      <c r="C3390" s="246" t="inlineStr">
        <is>
          <t xml:space="preserve">Stair finishes (treads, risers, landings) - floor landing 2.2 x 3.75</t>
        </is>
      </c>
      <c r="E3390" s="247">
        <v>2.2</v>
      </c>
      <c r="F3390" s="247">
        <v>3.75</v>
      </c>
      <c r="H3390" s="249">
        <f>PRODUCT(D3390:G3390)</f>
        <v>8.25</v>
      </c>
      <c r="J3390" s="253" t="inlineStr">
        <is>
          <t xml:space="preserve">2.2*3.75</t>
        </is>
      </c>
    </row>
    <row r="3391">
      <c r="C3391" s="246" t="inlineStr">
        <is>
          <t xml:space="preserve">Stair finishes (treads, risers, landings) - half landing 1.8 x 3.75</t>
        </is>
      </c>
      <c r="E3391" s="247">
        <v>1.8</v>
      </c>
      <c r="F3391" s="247">
        <v>3.75</v>
      </c>
      <c r="H3391" s="249">
        <f>PRODUCT(D3391:G3391)</f>
        <v>6.75</v>
      </c>
      <c r="J3391" s="253" t="inlineStr">
        <is>
          <t xml:space="preserve">1.8*3.75</t>
        </is>
      </c>
    </row>
    <row r="3392">
      <c r="C3392" s="250" t="inlineStr">
        <is>
          <t xml:space="preserve">Total carried to BOQ  6TH FLR item B</t>
        </is>
      </c>
      <c r="D3392" s="250" t="inlineStr">
        <is>
          <t xml:space="preserve"/>
        </is>
      </c>
      <c r="E3392" s="250" t="inlineStr">
        <is>
          <t xml:space="preserve"/>
        </is>
      </c>
      <c r="F3392" s="250" t="inlineStr">
        <is>
          <t xml:space="preserve"/>
        </is>
      </c>
      <c r="G3392" s="250" t="inlineStr">
        <is>
          <t xml:space="preserve"/>
        </is>
      </c>
      <c r="H3392" s="251">
        <f>SUM(H3383:H3391)</f>
        <v>935.58</v>
      </c>
      <c r="I3392" s="252" t="inlineStr">
        <is>
          <t xml:space="preserve">m2</t>
        </is>
      </c>
    </row>
    <row r="3393" ht="32.2" customHeight="1">
      <c r="A3393" s="243" t="inlineStr">
        <is>
          <t xml:space="preserve">6TH FLR</t>
        </is>
      </c>
      <c r="B3393" s="243" t="inlineStr">
        <is>
          <t xml:space="preserve">C</t>
        </is>
      </c>
      <c r="C3393" s="244" t="inlineStr">
        <is>
          <t xml:space="preserve">400x400mm non-slip porcelain floor tiles to washrooms &amp; WCs, adhesive, grout and cutting</t>
        </is>
      </c>
      <c r="I3393" s="245" t="inlineStr">
        <is>
          <t xml:space="preserve">m2</t>
        </is>
      </c>
      <c r="K3393" s="256" t="inlineStr">
        <is>
          <t xml:space="preserve">'6TH FLR  '!C201</t>
        </is>
      </c>
    </row>
    <row r="3394">
      <c r="C3394" s="246" t="inlineStr">
        <is>
          <t xml:space="preserve">Sixth floor - Washroom ceiling areas (measured)</t>
        </is>
      </c>
      <c r="H3394" s="247">
        <v>61.4</v>
      </c>
      <c r="J3394" s="253" t="inlineStr">
        <is>
          <t xml:space="preserve">61.4</t>
        </is>
      </c>
    </row>
    <row r="3395">
      <c r="C3395" s="250" t="inlineStr">
        <is>
          <t xml:space="preserve">Total carried to BOQ  6TH FLR item C</t>
        </is>
      </c>
      <c r="D3395" s="250" t="inlineStr">
        <is>
          <t xml:space="preserve"/>
        </is>
      </c>
      <c r="E3395" s="250" t="inlineStr">
        <is>
          <t xml:space="preserve"/>
        </is>
      </c>
      <c r="F3395" s="250" t="inlineStr">
        <is>
          <t xml:space="preserve"/>
        </is>
      </c>
      <c r="G3395" s="250" t="inlineStr">
        <is>
          <t xml:space="preserve"/>
        </is>
      </c>
      <c r="H3395" s="251">
        <f>SUM(H3394:H3394)</f>
        <v>61.4</v>
      </c>
      <c r="I3395" s="252" t="inlineStr">
        <is>
          <t xml:space="preserve">m2</t>
        </is>
      </c>
    </row>
    <row r="3396" ht="32.2" customHeight="1">
      <c r="A3396" s="243" t="inlineStr">
        <is>
          <t xml:space="preserve">6TH FLR</t>
        </is>
      </c>
      <c r="B3396" s="243" t="inlineStr">
        <is>
          <t xml:space="preserve">D</t>
        </is>
      </c>
      <c r="C3396" s="244" t="inlineStr">
        <is>
          <t xml:space="preserve">500x500mm matte R11 porcelain tiles to staircases (treads, risers and landings)</t>
        </is>
      </c>
      <c r="I3396" s="245" t="inlineStr">
        <is>
          <t xml:space="preserve">m2</t>
        </is>
      </c>
      <c r="K3396" s="256" t="inlineStr">
        <is>
          <t xml:space="preserve">'6TH FLR  '!C203</t>
        </is>
      </c>
    </row>
    <row r="3397">
      <c r="C3397" s="246" t="inlineStr">
        <is>
          <t xml:space="preserve">Sixth floor (+20800) - Main stair flight (storey ht 3.3) - flights: 2 x 1.8 x 3.0</t>
        </is>
      </c>
      <c r="D3397" s="248">
        <v>2</v>
      </c>
      <c r="E3397" s="247">
        <v>1.8</v>
      </c>
      <c r="F3397" s="247">
        <v>3.0</v>
      </c>
      <c r="H3397" s="249">
        <f>PRODUCT(D3397:G3397)</f>
        <v>10.8</v>
      </c>
      <c r="J3397" s="253" t="inlineStr">
        <is>
          <t xml:space="preserve">2*1.8*3.0</t>
        </is>
      </c>
    </row>
    <row r="3398">
      <c r="C3398" s="246" t="inlineStr">
        <is>
          <t xml:space="preserve">Sixth floor (+20800) - Main stair flight (storey ht 3.3) - risers: 22 x 0.15 x 1.8</t>
        </is>
      </c>
      <c r="D3398" s="248">
        <v>22</v>
      </c>
      <c r="E3398" s="247">
        <v>0.15</v>
      </c>
      <c r="F3398" s="247">
        <v>1.8</v>
      </c>
      <c r="H3398" s="249">
        <f>PRODUCT(D3398:G3398)</f>
        <v>5.9399999999999995</v>
      </c>
      <c r="J3398" s="253" t="inlineStr">
        <is>
          <t xml:space="preserve">22*0.15*1.8</t>
        </is>
      </c>
    </row>
    <row r="3399">
      <c r="C3399" s="246" t="inlineStr">
        <is>
          <t xml:space="preserve">Sixth floor (+20800) - Main stair flight (storey ht 3.3) - floor landing 2.2 x 3.75</t>
        </is>
      </c>
      <c r="E3399" s="247">
        <v>2.2</v>
      </c>
      <c r="F3399" s="247">
        <v>3.75</v>
      </c>
      <c r="H3399" s="249">
        <f>PRODUCT(D3399:G3399)</f>
        <v>8.25</v>
      </c>
      <c r="J3399" s="253" t="inlineStr">
        <is>
          <t xml:space="preserve">2.2*3.75</t>
        </is>
      </c>
    </row>
    <row r="3400">
      <c r="C3400" s="246" t="inlineStr">
        <is>
          <t xml:space="preserve">Sixth floor (+20800) - Main stair flight (storey ht 3.3) - half landing 1.8 x 3.75</t>
        </is>
      </c>
      <c r="E3400" s="247">
        <v>1.8</v>
      </c>
      <c r="F3400" s="247">
        <v>3.75</v>
      </c>
      <c r="H3400" s="249">
        <f>PRODUCT(D3400:G3400)</f>
        <v>6.75</v>
      </c>
      <c r="J3400" s="253" t="inlineStr">
        <is>
          <t xml:space="preserve">1.8*3.75</t>
        </is>
      </c>
    </row>
    <row r="3401">
      <c r="C3401" s="246" t="inlineStr">
        <is>
          <t xml:space="preserve">Sixth floor (+20800) - Emergency stair flight (storey ht 3.3) - flights: 2 x 1.8 x 3.0</t>
        </is>
      </c>
      <c r="D3401" s="248">
        <v>2</v>
      </c>
      <c r="E3401" s="247">
        <v>1.8</v>
      </c>
      <c r="F3401" s="247">
        <v>3.0</v>
      </c>
      <c r="H3401" s="249">
        <f>PRODUCT(D3401:G3401)</f>
        <v>10.8</v>
      </c>
      <c r="J3401" s="253" t="inlineStr">
        <is>
          <t xml:space="preserve">2*1.8*3.0</t>
        </is>
      </c>
    </row>
    <row r="3402">
      <c r="C3402" s="246" t="inlineStr">
        <is>
          <t xml:space="preserve">Sixth floor (+20800) - Emergency stair flight (storey ht 3.3) - risers: 22 x 0.15 x 1.8</t>
        </is>
      </c>
      <c r="D3402" s="248">
        <v>22</v>
      </c>
      <c r="E3402" s="247">
        <v>0.15</v>
      </c>
      <c r="F3402" s="247">
        <v>1.8</v>
      </c>
      <c r="H3402" s="249">
        <f>PRODUCT(D3402:G3402)</f>
        <v>5.9399999999999995</v>
      </c>
      <c r="J3402" s="253" t="inlineStr">
        <is>
          <t xml:space="preserve">22*0.15*1.8</t>
        </is>
      </c>
    </row>
    <row r="3403">
      <c r="C3403" s="246" t="inlineStr">
        <is>
          <t xml:space="preserve">Sixth floor (+20800) - Emergency stair flight (storey ht 3.3) - floor landing 2.2 x 3.75</t>
        </is>
      </c>
      <c r="E3403" s="247">
        <v>2.2</v>
      </c>
      <c r="F3403" s="247">
        <v>3.75</v>
      </c>
      <c r="H3403" s="249">
        <f>PRODUCT(D3403:G3403)</f>
        <v>8.25</v>
      </c>
      <c r="J3403" s="253" t="inlineStr">
        <is>
          <t xml:space="preserve">2.2*3.75</t>
        </is>
      </c>
    </row>
    <row r="3404">
      <c r="C3404" s="246" t="inlineStr">
        <is>
          <t xml:space="preserve">Sixth floor (+20800) - Emergency stair flight (storey ht 3.3) - half landing 1.8 x 3.75</t>
        </is>
      </c>
      <c r="E3404" s="247">
        <v>1.8</v>
      </c>
      <c r="F3404" s="247">
        <v>3.75</v>
      </c>
      <c r="H3404" s="249">
        <f>PRODUCT(D3404:G3404)</f>
        <v>6.75</v>
      </c>
      <c r="J3404" s="253" t="inlineStr">
        <is>
          <t xml:space="preserve">1.8*3.75</t>
        </is>
      </c>
    </row>
    <row r="3405">
      <c r="C3405" s="250" t="inlineStr">
        <is>
          <t xml:space="preserve">Total carried to BOQ  6TH FLR item D</t>
        </is>
      </c>
      <c r="D3405" s="250" t="inlineStr">
        <is>
          <t xml:space="preserve"/>
        </is>
      </c>
      <c r="E3405" s="250" t="inlineStr">
        <is>
          <t xml:space="preserve"/>
        </is>
      </c>
      <c r="F3405" s="250" t="inlineStr">
        <is>
          <t xml:space="preserve"/>
        </is>
      </c>
      <c r="G3405" s="250" t="inlineStr">
        <is>
          <t xml:space="preserve"/>
        </is>
      </c>
      <c r="H3405" s="251">
        <f>SUM(H3397:H3404)</f>
        <v>63.480000000000004</v>
      </c>
      <c r="I3405" s="252" t="inlineStr">
        <is>
          <t xml:space="preserve">m2</t>
        </is>
      </c>
    </row>
    <row r="3406" ht="32.2" customHeight="1">
      <c r="A3406" s="243" t="inlineStr">
        <is>
          <t xml:space="preserve">6TH FLR</t>
        </is>
      </c>
      <c r="B3406" s="243" t="inlineStr">
        <is>
          <t xml:space="preserve">E</t>
        </is>
      </c>
      <c r="C3406" s="244" t="inlineStr">
        <is>
          <t xml:space="preserve">600x600mm semi-polished porcelain floor tiles to habitable rooms, shops &amp; offices</t>
        </is>
      </c>
      <c r="I3406" s="245" t="inlineStr">
        <is>
          <t xml:space="preserve">m2</t>
        </is>
      </c>
      <c r="K3406" s="256" t="inlineStr">
        <is>
          <t xml:space="preserve">'6TH FLR  '!C205</t>
        </is>
      </c>
    </row>
    <row r="3407">
      <c r="C3407" s="246" t="inlineStr">
        <is>
          <t xml:space="preserve">Sixth floor - Habitable rooms (measured)</t>
        </is>
      </c>
      <c r="H3407" s="247">
        <v>546.6</v>
      </c>
      <c r="J3407" s="253" t="inlineStr">
        <is>
          <t xml:space="preserve">546.6</t>
        </is>
      </c>
    </row>
    <row r="3408">
      <c r="C3408" s="250" t="inlineStr">
        <is>
          <t xml:space="preserve">Total carried to BOQ  6TH FLR item E</t>
        </is>
      </c>
      <c r="D3408" s="250" t="inlineStr">
        <is>
          <t xml:space="preserve"/>
        </is>
      </c>
      <c r="E3408" s="250" t="inlineStr">
        <is>
          <t xml:space="preserve"/>
        </is>
      </c>
      <c r="F3408" s="250" t="inlineStr">
        <is>
          <t xml:space="preserve"/>
        </is>
      </c>
      <c r="G3408" s="250" t="inlineStr">
        <is>
          <t xml:space="preserve"/>
        </is>
      </c>
      <c r="H3408" s="251">
        <f>SUM(H3407:H3407)</f>
        <v>546.6</v>
      </c>
      <c r="I3408" s="252" t="inlineStr">
        <is>
          <t xml:space="preserve">m2</t>
        </is>
      </c>
    </row>
    <row r="3409" ht="32.2" customHeight="1">
      <c r="A3409" s="243" t="inlineStr">
        <is>
          <t xml:space="preserve">6TH FLR</t>
        </is>
      </c>
      <c r="B3409" s="243" t="inlineStr">
        <is>
          <t xml:space="preserve">F</t>
        </is>
      </c>
      <c r="C3409" s="244" t="inlineStr">
        <is>
          <t xml:space="preserve">600x1200mm semi-polished porcelain floor tiles to stair/lift lobbies &amp; reception</t>
        </is>
      </c>
      <c r="I3409" s="245" t="inlineStr">
        <is>
          <t xml:space="preserve">m2</t>
        </is>
      </c>
      <c r="K3409" s="256" t="inlineStr">
        <is>
          <t xml:space="preserve">'6TH FLR  '!C207</t>
        </is>
      </c>
    </row>
    <row r="3410">
      <c r="C3410" s="246" t="inlineStr">
        <is>
          <t xml:space="preserve">Sixth floor - Lobbies (measured)</t>
        </is>
      </c>
      <c r="H3410" s="247">
        <v>33.9</v>
      </c>
      <c r="J3410" s="253" t="inlineStr">
        <is>
          <t xml:space="preserve">33.9</t>
        </is>
      </c>
    </row>
    <row r="3411">
      <c r="C3411" s="250" t="inlineStr">
        <is>
          <t xml:space="preserve">Total carried to BOQ  6TH FLR item F</t>
        </is>
      </c>
      <c r="D3411" s="250" t="inlineStr">
        <is>
          <t xml:space="preserve"/>
        </is>
      </c>
      <c r="E3411" s="250" t="inlineStr">
        <is>
          <t xml:space="preserve"/>
        </is>
      </c>
      <c r="F3411" s="250" t="inlineStr">
        <is>
          <t xml:space="preserve"/>
        </is>
      </c>
      <c r="G3411" s="250" t="inlineStr">
        <is>
          <t xml:space="preserve"/>
        </is>
      </c>
      <c r="H3411" s="251">
        <f>SUM(H3410:H3410)</f>
        <v>33.9</v>
      </c>
      <c r="I3411" s="252" t="inlineStr">
        <is>
          <t xml:space="preserve">m2</t>
        </is>
      </c>
    </row>
    <row r="3412" ht="32.2" customHeight="1">
      <c r="A3412" s="243" t="inlineStr">
        <is>
          <t xml:space="preserve">6TH FLR</t>
        </is>
      </c>
      <c r="B3412" s="243" t="inlineStr">
        <is>
          <t xml:space="preserve">G</t>
        </is>
      </c>
      <c r="C3412" s="244" t="inlineStr">
        <is>
          <t xml:space="preserve">600x600mm non-slip R11 porcelain tiles to corridors, terraces, verandah &amp; service areas</t>
        </is>
      </c>
      <c r="I3412" s="245" t="inlineStr">
        <is>
          <t xml:space="preserve">m2</t>
        </is>
      </c>
      <c r="K3412" s="256" t="inlineStr">
        <is>
          <t xml:space="preserve">'6TH FLR  '!C209</t>
        </is>
      </c>
    </row>
    <row r="3413">
      <c r="C3413" s="246" t="inlineStr">
        <is>
          <t xml:space="preserve">Sixth floor - Corridors/terraces/service (measured)</t>
        </is>
      </c>
      <c r="H3413" s="247">
        <v>230.3</v>
      </c>
      <c r="J3413" s="253" t="inlineStr">
        <is>
          <t xml:space="preserve">230.3</t>
        </is>
      </c>
    </row>
    <row r="3414">
      <c r="C3414" s="250" t="inlineStr">
        <is>
          <t xml:space="preserve">Total carried to BOQ  6TH FLR item G</t>
        </is>
      </c>
      <c r="D3414" s="250" t="inlineStr">
        <is>
          <t xml:space="preserve"/>
        </is>
      </c>
      <c r="E3414" s="250" t="inlineStr">
        <is>
          <t xml:space="preserve"/>
        </is>
      </c>
      <c r="F3414" s="250" t="inlineStr">
        <is>
          <t xml:space="preserve"/>
        </is>
      </c>
      <c r="G3414" s="250" t="inlineStr">
        <is>
          <t xml:space="preserve"/>
        </is>
      </c>
      <c r="H3414" s="251">
        <f>SUM(H3413:H3413)</f>
        <v>230.3</v>
      </c>
      <c r="I3414" s="252" t="inlineStr">
        <is>
          <t xml:space="preserve">m2</t>
        </is>
      </c>
    </row>
    <row r="3415">
      <c r="C3415" s="242" t="inlineStr">
        <is>
          <t xml:space="preserve">ELEMENT NO. 6: WALL FINISHES</t>
        </is>
      </c>
    </row>
    <row r="3416">
      <c r="C3416" s="242" t="inlineStr">
        <is>
          <t xml:space="preserve">M20 PLASTERED/RENDERED COATINGS - 12.5mm cement and sand (1:3) rendering as described on blockwork or concrete to:</t>
        </is>
      </c>
    </row>
    <row r="3417">
      <c r="A3417" s="243" t="inlineStr">
        <is>
          <t xml:space="preserve">6TH FLR</t>
        </is>
      </c>
      <c r="B3417" s="243" t="inlineStr">
        <is>
          <t xml:space="preserve">A</t>
        </is>
      </c>
      <c r="C3417" s="244" t="inlineStr">
        <is>
          <t xml:space="preserve">Interior walls</t>
        </is>
      </c>
      <c r="I3417" s="245" t="inlineStr">
        <is>
          <t xml:space="preserve">m2</t>
        </is>
      </c>
      <c r="K3417" s="256" t="inlineStr">
        <is>
          <t xml:space="preserve">'6TH FLR  '!C217</t>
        </is>
      </c>
    </row>
    <row r="3418">
      <c r="C3418" s="246" t="inlineStr">
        <is>
          <t xml:space="preserve">block wall faces: 2 x (150 + 200 block runs) x ht</t>
        </is>
      </c>
      <c r="D3418" s="248">
        <v>2</v>
      </c>
      <c r="E3418" s="247">
        <f>465.9+50.0</f>
        <v>515.9</v>
      </c>
      <c r="F3418" s="247">
        <v>3.05</v>
      </c>
      <c r="H3418" s="249">
        <f>PRODUCT(D3418:G3418)</f>
        <v>3146.99</v>
      </c>
      <c r="J3418" s="253" t="inlineStr">
        <is>
          <t xml:space="preserve">2*(465.9+50.0)*3.05</t>
        </is>
      </c>
    </row>
    <row r="3419">
      <c r="C3419" s="246" t="inlineStr">
        <is>
          <t xml:space="preserve">RC wall faces: 2 x RC wall run x ht</t>
        </is>
      </c>
      <c r="D3419" s="248">
        <v>2</v>
      </c>
      <c r="E3419" s="247">
        <v>64.6</v>
      </c>
      <c r="F3419" s="247">
        <v>3.05</v>
      </c>
      <c r="H3419" s="249">
        <f>PRODUCT(D3419:G3419)</f>
        <v>394.05999999999995</v>
      </c>
      <c r="J3419" s="253" t="inlineStr">
        <is>
          <t xml:space="preserve">2*64.6*3.05</t>
        </is>
      </c>
    </row>
    <row r="3420">
      <c r="C3420" s="246" t="inlineStr">
        <is>
          <t xml:space="preserve">Ddt lift/stair shaft inner faces 16.8 m x ht</t>
        </is>
      </c>
      <c r="E3420" s="247">
        <v>16.8</v>
      </c>
      <c r="F3420" s="247">
        <v>3.05</v>
      </c>
      <c r="H3420" s="249">
        <f>-PRODUCT(D3420:G3420)</f>
        <v>-51.24</v>
      </c>
      <c r="J3420" s="253" t="inlineStr">
        <is>
          <t xml:space="preserve">-16.8*3.05</t>
        </is>
      </c>
    </row>
    <row r="3421">
      <c r="C3421" s="246" t="inlineStr">
        <is>
          <t xml:space="preserve">Ddt external face of perimeter wall (rendered externally)</t>
        </is>
      </c>
      <c r="E3421" s="247">
        <v>224.2</v>
      </c>
      <c r="F3421" s="247">
        <v>3.05</v>
      </c>
      <c r="H3421" s="249">
        <f>-PRODUCT(D3421:G3421)</f>
        <v>-683.81</v>
      </c>
      <c r="J3421" s="253" t="inlineStr">
        <is>
          <t xml:space="preserve">-224.2*3.05</t>
        </is>
      </c>
    </row>
    <row r="3422">
      <c r="C3422" s="246" t="inlineStr">
        <is>
          <t xml:space="preserve">Ddt washroom walls (measured separately)</t>
        </is>
      </c>
      <c r="E3422" s="247">
        <f>61.4/3.8</f>
        <v>16.157894736842106</v>
      </c>
      <c r="F3422" s="247">
        <v>8.0</v>
      </c>
      <c r="G3422" s="247">
        <v>3.05</v>
      </c>
      <c r="H3422" s="249">
        <f>-PRODUCT(D3422:G3422)</f>
        <v>-394.2526315789474</v>
      </c>
      <c r="J3422" s="253" t="inlineStr">
        <is>
          <t xml:space="preserve">-61.4/3.8*8.0*3.05</t>
        </is>
      </c>
    </row>
    <row r="3423">
      <c r="C3423" s="246" t="inlineStr">
        <is>
          <t xml:space="preserve">Ddt opening D2 (8 nr, 1x2.2) - both faces</t>
        </is>
      </c>
      <c r="D3423" s="248">
        <f>2*8</f>
        <v>16</v>
      </c>
      <c r="E3423" s="247">
        <v>1</v>
      </c>
      <c r="F3423" s="247">
        <v>2.2</v>
      </c>
      <c r="H3423" s="249">
        <f>-PRODUCT(D3423:G3423)</f>
        <v>-35.2</v>
      </c>
      <c r="J3423" s="253" t="inlineStr">
        <is>
          <t xml:space="preserve">-2*8*1*2.2</t>
        </is>
      </c>
    </row>
    <row r="3424">
      <c r="C3424" s="246" t="inlineStr">
        <is>
          <t xml:space="preserve">Ddt opening D3 (15 nr, 0.9x2.2) - both faces</t>
        </is>
      </c>
      <c r="D3424" s="248">
        <f>2*15</f>
        <v>30</v>
      </c>
      <c r="E3424" s="247">
        <v>0.9</v>
      </c>
      <c r="F3424" s="247">
        <v>2.2</v>
      </c>
      <c r="H3424" s="249">
        <f>-PRODUCT(D3424:G3424)</f>
        <v>-59.400000000000006</v>
      </c>
      <c r="J3424" s="253" t="inlineStr">
        <is>
          <t xml:space="preserve">-2*15*0.9*2.2</t>
        </is>
      </c>
    </row>
    <row r="3425">
      <c r="C3425" s="246" t="inlineStr">
        <is>
          <t xml:space="preserve">Ddt opening D6 (21 nr, 0.75x2.2) - both faces</t>
        </is>
      </c>
      <c r="D3425" s="248">
        <f>2*21</f>
        <v>42</v>
      </c>
      <c r="E3425" s="247">
        <v>0.75</v>
      </c>
      <c r="F3425" s="247">
        <v>2.2</v>
      </c>
      <c r="H3425" s="249">
        <f>-PRODUCT(D3425:G3425)</f>
        <v>-69.30000000000001</v>
      </c>
      <c r="J3425" s="253" t="inlineStr">
        <is>
          <t xml:space="preserve">-2*21*0.75*2.2</t>
        </is>
      </c>
    </row>
    <row r="3426">
      <c r="C3426" s="246" t="inlineStr">
        <is>
          <t xml:space="preserve">Ddt opening D7 (1 nr, 0.7x2.2) - both faces</t>
        </is>
      </c>
      <c r="D3426" s="248">
        <f>2*1</f>
        <v>2</v>
      </c>
      <c r="E3426" s="247">
        <v>0.7</v>
      </c>
      <c r="F3426" s="247">
        <v>2.2</v>
      </c>
      <c r="H3426" s="249">
        <f>-PRODUCT(D3426:G3426)</f>
        <v>-3.08</v>
      </c>
      <c r="J3426" s="253" t="inlineStr">
        <is>
          <t xml:space="preserve">-2*1*0.7*2.2</t>
        </is>
      </c>
    </row>
    <row r="3427">
      <c r="C3427" s="246" t="inlineStr">
        <is>
          <t xml:space="preserve">Ddt opening D8 (3 nr, 1.2x2.2) - both faces</t>
        </is>
      </c>
      <c r="D3427" s="248">
        <f>2*3</f>
        <v>6</v>
      </c>
      <c r="E3427" s="247">
        <v>1.2</v>
      </c>
      <c r="F3427" s="247">
        <v>2.2</v>
      </c>
      <c r="H3427" s="249">
        <f>-PRODUCT(D3427:G3427)</f>
        <v>-15.84</v>
      </c>
      <c r="J3427" s="253" t="inlineStr">
        <is>
          <t xml:space="preserve">-2*3*1.2*2.2</t>
        </is>
      </c>
    </row>
    <row r="3428">
      <c r="C3428" s="246" t="inlineStr">
        <is>
          <t xml:space="preserve">Ddt opening ED1 (3 nr, 1x2.2) - both faces</t>
        </is>
      </c>
      <c r="D3428" s="248">
        <f>2*3</f>
        <v>6</v>
      </c>
      <c r="E3428" s="247">
        <v>1</v>
      </c>
      <c r="F3428" s="247">
        <v>2.2</v>
      </c>
      <c r="H3428" s="249">
        <f>-PRODUCT(D3428:G3428)</f>
        <v>-13.200000000000001</v>
      </c>
      <c r="J3428" s="253" t="inlineStr">
        <is>
          <t xml:space="preserve">-2*3*1*2.2</t>
        </is>
      </c>
    </row>
    <row r="3429">
      <c r="C3429" s="246" t="inlineStr">
        <is>
          <t xml:space="preserve">Ddt opening ED2 (3 nr, 1x2.2) - both faces</t>
        </is>
      </c>
      <c r="D3429" s="248">
        <f>2*3</f>
        <v>6</v>
      </c>
      <c r="E3429" s="247">
        <v>1</v>
      </c>
      <c r="F3429" s="247">
        <v>2.2</v>
      </c>
      <c r="H3429" s="249">
        <f>-PRODUCT(D3429:G3429)</f>
        <v>-13.200000000000001</v>
      </c>
      <c r="J3429" s="253" t="inlineStr">
        <is>
          <t xml:space="preserve">-2*3*1*2.2</t>
        </is>
      </c>
    </row>
    <row r="3430">
      <c r="C3430" s="246" t="inlineStr">
        <is>
          <t xml:space="preserve">Ddt opening D9 (1 nr, 0.9x2.2) - both faces</t>
        </is>
      </c>
      <c r="D3430" s="248">
        <f>2*1</f>
        <v>2</v>
      </c>
      <c r="E3430" s="247">
        <v>0.9</v>
      </c>
      <c r="F3430" s="247">
        <v>2.2</v>
      </c>
      <c r="H3430" s="249">
        <f>-PRODUCT(D3430:G3430)</f>
        <v>-3.9600000000000004</v>
      </c>
      <c r="J3430" s="253" t="inlineStr">
        <is>
          <t xml:space="preserve">-2*1*0.9*2.2</t>
        </is>
      </c>
    </row>
    <row r="3431">
      <c r="C3431" s="246" t="inlineStr">
        <is>
          <t xml:space="preserve">Ddt opening FD1 (1 nr, 1.5x2.2) - both faces</t>
        </is>
      </c>
      <c r="D3431" s="248">
        <f>2*1</f>
        <v>2</v>
      </c>
      <c r="E3431" s="247">
        <v>1.5</v>
      </c>
      <c r="F3431" s="247">
        <v>2.2</v>
      </c>
      <c r="H3431" s="249">
        <f>-PRODUCT(D3431:G3431)</f>
        <v>-6.6000000000000005</v>
      </c>
      <c r="J3431" s="253" t="inlineStr">
        <is>
          <t xml:space="preserve">-2*1*1.5*2.2</t>
        </is>
      </c>
    </row>
    <row r="3432">
      <c r="C3432" s="246" t="inlineStr">
        <is>
          <t xml:space="preserve">Ddt opening M1 (2 nr, 0.9x2.2) - both faces</t>
        </is>
      </c>
      <c r="D3432" s="248">
        <f>2*2</f>
        <v>4</v>
      </c>
      <c r="E3432" s="247">
        <v>0.9</v>
      </c>
      <c r="F3432" s="247">
        <v>2.2</v>
      </c>
      <c r="H3432" s="249">
        <f>-PRODUCT(D3432:G3432)</f>
        <v>-7.920000000000001</v>
      </c>
      <c r="J3432" s="253" t="inlineStr">
        <is>
          <t xml:space="preserve">-2*2*0.9*2.2</t>
        </is>
      </c>
    </row>
    <row r="3433">
      <c r="C3433" s="246" t="inlineStr">
        <is>
          <t xml:space="preserve">Ddt opening M2 (5 nr, 0.75x2.2) - both faces</t>
        </is>
      </c>
      <c r="D3433" s="248">
        <f>2*5</f>
        <v>10</v>
      </c>
      <c r="E3433" s="247">
        <v>0.75</v>
      </c>
      <c r="F3433" s="247">
        <v>2.2</v>
      </c>
      <c r="H3433" s="249">
        <f>-PRODUCT(D3433:G3433)</f>
        <v>-16.5</v>
      </c>
      <c r="J3433" s="253" t="inlineStr">
        <is>
          <t xml:space="preserve">-2*5*0.75*2.2</t>
        </is>
      </c>
    </row>
    <row r="3434">
      <c r="C3434" s="246" t="inlineStr">
        <is>
          <t xml:space="preserve">Ddt opening M3 (1 nr, 0.45x2.2) - both faces</t>
        </is>
      </c>
      <c r="D3434" s="248">
        <f>2*1</f>
        <v>2</v>
      </c>
      <c r="E3434" s="247">
        <v>0.45</v>
      </c>
      <c r="F3434" s="247">
        <v>2.2</v>
      </c>
      <c r="H3434" s="249">
        <f>-PRODUCT(D3434:G3434)</f>
        <v>-1.9800000000000002</v>
      </c>
      <c r="J3434" s="253" t="inlineStr">
        <is>
          <t xml:space="preserve">-2*1*0.45*2.2</t>
        </is>
      </c>
    </row>
    <row r="3435">
      <c r="C3435" s="246" t="inlineStr">
        <is>
          <t xml:space="preserve">Ddt opening M5 (3 nr, 0.6x2.2) - both faces</t>
        </is>
      </c>
      <c r="D3435" s="248">
        <f>2*3</f>
        <v>6</v>
      </c>
      <c r="E3435" s="247">
        <v>0.6</v>
      </c>
      <c r="F3435" s="247">
        <v>2.2</v>
      </c>
      <c r="H3435" s="249">
        <f>-PRODUCT(D3435:G3435)</f>
        <v>-7.92</v>
      </c>
      <c r="J3435" s="253" t="inlineStr">
        <is>
          <t xml:space="preserve">-2*3*0.6*2.2</t>
        </is>
      </c>
    </row>
    <row r="3436">
      <c r="C3436" s="246" t="inlineStr">
        <is>
          <t xml:space="preserve">Ddt opening SD1 (1 nr, 3x2.2) - both faces</t>
        </is>
      </c>
      <c r="D3436" s="248">
        <f>2*1</f>
        <v>2</v>
      </c>
      <c r="E3436" s="247">
        <v>3</v>
      </c>
      <c r="F3436" s="247">
        <v>2.2</v>
      </c>
      <c r="H3436" s="249">
        <f>-PRODUCT(D3436:G3436)</f>
        <v>-13.200000000000001</v>
      </c>
      <c r="J3436" s="253" t="inlineStr">
        <is>
          <t xml:space="preserve">-2*1*3*2.2</t>
        </is>
      </c>
    </row>
    <row r="3437">
      <c r="C3437" s="246" t="inlineStr">
        <is>
          <t xml:space="preserve">Ddt opening SD2 (4 nr, 1.6x2.2) - both faces</t>
        </is>
      </c>
      <c r="D3437" s="248">
        <f>2*4</f>
        <v>8</v>
      </c>
      <c r="E3437" s="247">
        <v>1.6</v>
      </c>
      <c r="F3437" s="247">
        <v>2.2</v>
      </c>
      <c r="H3437" s="249">
        <f>-PRODUCT(D3437:G3437)</f>
        <v>-28.160000000000004</v>
      </c>
      <c r="J3437" s="253" t="inlineStr">
        <is>
          <t xml:space="preserve">-2*4*1.6*2.2</t>
        </is>
      </c>
    </row>
    <row r="3438">
      <c r="C3438" s="246" t="inlineStr">
        <is>
          <t xml:space="preserve">Ddt opening SD3 (2 nr, 1.3x2.2) - both faces</t>
        </is>
      </c>
      <c r="D3438" s="248">
        <f>2*2</f>
        <v>4</v>
      </c>
      <c r="E3438" s="247">
        <v>1.3</v>
      </c>
      <c r="F3438" s="247">
        <v>2.2</v>
      </c>
      <c r="H3438" s="249">
        <f>-PRODUCT(D3438:G3438)</f>
        <v>-11.440000000000001</v>
      </c>
      <c r="J3438" s="253" t="inlineStr">
        <is>
          <t xml:space="preserve">-2*2*1.3*2.2</t>
        </is>
      </c>
    </row>
    <row r="3439">
      <c r="C3439" s="246" t="inlineStr">
        <is>
          <t xml:space="preserve">Ddt opening SD4 (4 nr, 1.8x2.2) - both faces</t>
        </is>
      </c>
      <c r="D3439" s="248">
        <f>2*4</f>
        <v>8</v>
      </c>
      <c r="E3439" s="247">
        <v>1.8</v>
      </c>
      <c r="F3439" s="247">
        <v>2.2</v>
      </c>
      <c r="H3439" s="249">
        <f>-PRODUCT(D3439:G3439)</f>
        <v>-31.680000000000003</v>
      </c>
      <c r="J3439" s="253" t="inlineStr">
        <is>
          <t xml:space="preserve">-2*4*1.8*2.2</t>
        </is>
      </c>
    </row>
    <row r="3440">
      <c r="C3440" s="246" t="inlineStr">
        <is>
          <t xml:space="preserve">Ddt opening SD5 (1 nr, 1.2x2.2) - both faces</t>
        </is>
      </c>
      <c r="D3440" s="248">
        <f>2*1</f>
        <v>2</v>
      </c>
      <c r="E3440" s="247">
        <v>1.2</v>
      </c>
      <c r="F3440" s="247">
        <v>2.2</v>
      </c>
      <c r="H3440" s="249">
        <f>-PRODUCT(D3440:G3440)</f>
        <v>-5.28</v>
      </c>
      <c r="J3440" s="253" t="inlineStr">
        <is>
          <t xml:space="preserve">-2*1*1.2*2.2</t>
        </is>
      </c>
    </row>
    <row r="3441">
      <c r="C3441" s="246" t="inlineStr">
        <is>
          <t xml:space="preserve">Ddt opening W2 (6 nr, 1.8x1.3)</t>
        </is>
      </c>
      <c r="D3441" s="248">
        <v>6</v>
      </c>
      <c r="E3441" s="247">
        <v>1.8</v>
      </c>
      <c r="F3441" s="247">
        <v>1.3</v>
      </c>
      <c r="H3441" s="249">
        <f>-PRODUCT(D3441:G3441)</f>
        <v>-14.040000000000001</v>
      </c>
      <c r="J3441" s="253" t="inlineStr">
        <is>
          <t xml:space="preserve">-6*1.8*1.3</t>
        </is>
      </c>
    </row>
    <row r="3442">
      <c r="C3442" s="246" t="inlineStr">
        <is>
          <t xml:space="preserve">Ddt opening W4 (10 nr, 0.9x1.3)</t>
        </is>
      </c>
      <c r="D3442" s="248">
        <v>10</v>
      </c>
      <c r="E3442" s="247">
        <v>0.9</v>
      </c>
      <c r="F3442" s="247">
        <v>1.3</v>
      </c>
      <c r="H3442" s="249">
        <f>-PRODUCT(D3442:G3442)</f>
        <v>-11.700000000000001</v>
      </c>
      <c r="J3442" s="253" t="inlineStr">
        <is>
          <t xml:space="preserve">-10*0.9*1.3</t>
        </is>
      </c>
    </row>
    <row r="3443">
      <c r="C3443" s="246" t="inlineStr">
        <is>
          <t xml:space="preserve">Ddt opening W7 (2 nr, 1.8x1.6)</t>
        </is>
      </c>
      <c r="D3443" s="248">
        <v>2</v>
      </c>
      <c r="E3443" s="247">
        <v>1.8</v>
      </c>
      <c r="F3443" s="247">
        <v>1.6</v>
      </c>
      <c r="H3443" s="249">
        <f>-PRODUCT(D3443:G3443)</f>
        <v>-5.760000000000001</v>
      </c>
      <c r="J3443" s="253" t="inlineStr">
        <is>
          <t xml:space="preserve">-2*1.8*1.6</t>
        </is>
      </c>
    </row>
    <row r="3444">
      <c r="C3444" s="246" t="inlineStr">
        <is>
          <t xml:space="preserve">Ddt opening W8 (3 nr, 1.2x1.9)</t>
        </is>
      </c>
      <c r="D3444" s="248">
        <v>3</v>
      </c>
      <c r="E3444" s="247">
        <v>1.2</v>
      </c>
      <c r="F3444" s="247">
        <v>1.9</v>
      </c>
      <c r="H3444" s="249">
        <f>-PRODUCT(D3444:G3444)</f>
        <v>-6.839999999999999</v>
      </c>
      <c r="J3444" s="253" t="inlineStr">
        <is>
          <t xml:space="preserve">-3*1.2*1.9</t>
        </is>
      </c>
    </row>
    <row r="3445">
      <c r="C3445" s="246" t="inlineStr">
        <is>
          <t xml:space="preserve">Ddt opening W9 (8 nr, 1.2x1.15)</t>
        </is>
      </c>
      <c r="D3445" s="248">
        <v>8</v>
      </c>
      <c r="E3445" s="247">
        <v>1.2</v>
      </c>
      <c r="F3445" s="247">
        <v>1.15</v>
      </c>
      <c r="H3445" s="249">
        <f>-PRODUCT(D3445:G3445)</f>
        <v>-11.04</v>
      </c>
      <c r="J3445" s="253" t="inlineStr">
        <is>
          <t xml:space="preserve">-8*1.2*1.15</t>
        </is>
      </c>
    </row>
    <row r="3446">
      <c r="C3446" s="246" t="inlineStr">
        <is>
          <t xml:space="preserve">Ddt opening W10 (1 nr, 1.2x1.2)</t>
        </is>
      </c>
      <c r="D3446" s="248">
        <v>1</v>
      </c>
      <c r="E3446" s="247">
        <v>1.2</v>
      </c>
      <c r="F3446" s="247">
        <v>1.2</v>
      </c>
      <c r="H3446" s="249">
        <f>-PRODUCT(D3446:G3446)</f>
        <v>-1.44</v>
      </c>
      <c r="J3446" s="253" t="inlineStr">
        <is>
          <t xml:space="preserve">-1*1.2*1.2</t>
        </is>
      </c>
    </row>
    <row r="3447">
      <c r="C3447" s="246" t="inlineStr">
        <is>
          <t xml:space="preserve">Ddt opening W11 (6 nr, 1.5x1.3)</t>
        </is>
      </c>
      <c r="D3447" s="248">
        <v>6</v>
      </c>
      <c r="E3447" s="247">
        <v>1.5</v>
      </c>
      <c r="F3447" s="247">
        <v>1.3</v>
      </c>
      <c r="H3447" s="249">
        <f>-PRODUCT(D3447:G3447)</f>
        <v>-11.700000000000001</v>
      </c>
      <c r="J3447" s="253" t="inlineStr">
        <is>
          <t xml:space="preserve">-6*1.5*1.3</t>
        </is>
      </c>
    </row>
    <row r="3448">
      <c r="C3448" s="246" t="inlineStr">
        <is>
          <t xml:space="preserve">Ddt opening W12 (4 nr, 1.5x1.15)</t>
        </is>
      </c>
      <c r="D3448" s="248">
        <v>4</v>
      </c>
      <c r="E3448" s="247">
        <v>1.5</v>
      </c>
      <c r="F3448" s="247">
        <v>1.15</v>
      </c>
      <c r="H3448" s="249">
        <f>-PRODUCT(D3448:G3448)</f>
        <v>-6.8999999999999995</v>
      </c>
      <c r="J3448" s="253" t="inlineStr">
        <is>
          <t xml:space="preserve">-4*1.5*1.15</t>
        </is>
      </c>
    </row>
    <row r="3449">
      <c r="C3449" s="246" t="inlineStr">
        <is>
          <t xml:space="preserve">Ddt opening W13 (1 nr, 2.4x1.3)</t>
        </is>
      </c>
      <c r="D3449" s="248">
        <v>1</v>
      </c>
      <c r="E3449" s="247">
        <v>2.4</v>
      </c>
      <c r="F3449" s="247">
        <v>1.3</v>
      </c>
      <c r="H3449" s="249">
        <f>-PRODUCT(D3449:G3449)</f>
        <v>-3.12</v>
      </c>
      <c r="J3449" s="253" t="inlineStr">
        <is>
          <t xml:space="preserve">-1*2.4*1.3</t>
        </is>
      </c>
    </row>
    <row r="3450">
      <c r="C3450" s="246" t="inlineStr">
        <is>
          <t xml:space="preserve">Ddt opening W15 (1 nr, 3x1.6)</t>
        </is>
      </c>
      <c r="D3450" s="248">
        <v>1</v>
      </c>
      <c r="E3450" s="247">
        <v>3</v>
      </c>
      <c r="F3450" s="247">
        <v>1.6</v>
      </c>
      <c r="H3450" s="249">
        <f>-PRODUCT(D3450:G3450)</f>
        <v>-4.800000000000001</v>
      </c>
      <c r="J3450" s="253" t="inlineStr">
        <is>
          <t xml:space="preserve">-1*3*1.6</t>
        </is>
      </c>
    </row>
    <row r="3451">
      <c r="C3451" s="246" t="inlineStr">
        <is>
          <t xml:space="preserve">Ddt opening W17 (3 nr, 1.8x1.9)</t>
        </is>
      </c>
      <c r="D3451" s="248">
        <v>3</v>
      </c>
      <c r="E3451" s="247">
        <v>1.8</v>
      </c>
      <c r="F3451" s="247">
        <v>1.9</v>
      </c>
      <c r="H3451" s="249">
        <f>-PRODUCT(D3451:G3451)</f>
        <v>-10.26</v>
      </c>
      <c r="J3451" s="253" t="inlineStr">
        <is>
          <t xml:space="preserve">-3*1.8*1.9</t>
        </is>
      </c>
    </row>
    <row r="3452">
      <c r="C3452" s="246" t="inlineStr">
        <is>
          <t xml:space="preserve">Ddt opening W18 (1 nr, 0.75x1.3)</t>
        </is>
      </c>
      <c r="D3452" s="248">
        <v>1</v>
      </c>
      <c r="E3452" s="247">
        <v>0.75</v>
      </c>
      <c r="F3452" s="247">
        <v>1.3</v>
      </c>
      <c r="H3452" s="249">
        <f>-PRODUCT(D3452:G3452)</f>
        <v>-0.9750000000000001</v>
      </c>
      <c r="J3452" s="253" t="inlineStr">
        <is>
          <t xml:space="preserve">-1*0.75*1.3</t>
        </is>
      </c>
    </row>
    <row r="3453">
      <c r="C3453" s="246" t="inlineStr">
        <is>
          <t xml:space="preserve">Ddt opening W20 (1 nr, 1.45x1.9)</t>
        </is>
      </c>
      <c r="D3453" s="248">
        <v>1</v>
      </c>
      <c r="E3453" s="247">
        <v>1.45</v>
      </c>
      <c r="F3453" s="247">
        <v>1.9</v>
      </c>
      <c r="H3453" s="249">
        <f>-PRODUCT(D3453:G3453)</f>
        <v>-2.755</v>
      </c>
      <c r="J3453" s="253" t="inlineStr">
        <is>
          <t xml:space="preserve">-1*1.45*1.9</t>
        </is>
      </c>
    </row>
    <row r="3454">
      <c r="C3454" s="246" t="inlineStr">
        <is>
          <t xml:space="preserve">Ddt opening HW1 (13 nr, 0.9x0.6)</t>
        </is>
      </c>
      <c r="D3454" s="248">
        <v>13</v>
      </c>
      <c r="E3454" s="247">
        <v>0.9</v>
      </c>
      <c r="F3454" s="247">
        <v>0.6</v>
      </c>
      <c r="H3454" s="249">
        <f>-PRODUCT(D3454:G3454)</f>
        <v>-7.0200000000000005</v>
      </c>
      <c r="J3454" s="253" t="inlineStr">
        <is>
          <t xml:space="preserve">-13*0.9*0.6</t>
        </is>
      </c>
    </row>
    <row r="3455">
      <c r="C3455" s="246" t="inlineStr">
        <is>
          <t xml:space="preserve">Ddt opening HW2 (5 nr, 0.75x0.6)</t>
        </is>
      </c>
      <c r="D3455" s="248">
        <v>5</v>
      </c>
      <c r="E3455" s="247">
        <v>0.75</v>
      </c>
      <c r="F3455" s="247">
        <v>0.6</v>
      </c>
      <c r="H3455" s="249">
        <f>-PRODUCT(D3455:G3455)</f>
        <v>-2.25</v>
      </c>
      <c r="J3455" s="253" t="inlineStr">
        <is>
          <t xml:space="preserve">-5*0.75*0.6</t>
        </is>
      </c>
    </row>
    <row r="3456">
      <c r="C3456" s="246" t="inlineStr">
        <is>
          <t xml:space="preserve">Ddt opening HW3 (2 nr, 0.6x0.6)</t>
        </is>
      </c>
      <c r="D3456" s="248">
        <v>2</v>
      </c>
      <c r="E3456" s="247">
        <v>0.6</v>
      </c>
      <c r="F3456" s="247">
        <v>0.6</v>
      </c>
      <c r="H3456" s="249">
        <f>-PRODUCT(D3456:G3456)</f>
        <v>-0.72</v>
      </c>
      <c r="J3456" s="253" t="inlineStr">
        <is>
          <t xml:space="preserve">-2*0.6*0.6</t>
        </is>
      </c>
    </row>
    <row r="3457">
      <c r="C3457" s="246" t="inlineStr">
        <is>
          <t xml:space="preserve">Ddt opening HW4 (2 nr, 1.2x0.6)</t>
        </is>
      </c>
      <c r="D3457" s="248">
        <v>2</v>
      </c>
      <c r="E3457" s="247">
        <v>1.2</v>
      </c>
      <c r="F3457" s="247">
        <v>0.6</v>
      </c>
      <c r="H3457" s="249">
        <f>-PRODUCT(D3457:G3457)</f>
        <v>-1.44</v>
      </c>
      <c r="J3457" s="253" t="inlineStr">
        <is>
          <t xml:space="preserve">-2*1.2*0.6</t>
        </is>
      </c>
    </row>
    <row r="3458">
      <c r="C3458" s="250" t="inlineStr">
        <is>
          <t xml:space="preserve">Total carried to BOQ  6TH FLR item A</t>
        </is>
      </c>
      <c r="D3458" s="250" t="inlineStr">
        <is>
          <t xml:space="preserve"/>
        </is>
      </c>
      <c r="E3458" s="250" t="inlineStr">
        <is>
          <t xml:space="preserve"/>
        </is>
      </c>
      <c r="F3458" s="250" t="inlineStr">
        <is>
          <t xml:space="preserve"/>
        </is>
      </c>
      <c r="G3458" s="250" t="inlineStr">
        <is>
          <t xml:space="preserve"/>
        </is>
      </c>
      <c r="H3458" s="251">
        <f>SUM(H3418:H3457)</f>
        <v>1965.127368421053</v>
      </c>
      <c r="I3458" s="252" t="inlineStr">
        <is>
          <t xml:space="preserve">m2</t>
        </is>
      </c>
    </row>
    <row r="3459">
      <c r="A3459" s="243" t="inlineStr">
        <is>
          <t xml:space="preserve">6TH FLR</t>
        </is>
      </c>
      <c r="B3459" s="243" t="inlineStr">
        <is>
          <t xml:space="preserve">B</t>
        </is>
      </c>
      <c r="C3459" s="244" t="inlineStr">
        <is>
          <t xml:space="preserve">Interior partitions and washrooms</t>
        </is>
      </c>
      <c r="I3459" s="245" t="inlineStr">
        <is>
          <t xml:space="preserve">m2</t>
        </is>
      </c>
      <c r="K3459" s="256" t="inlineStr">
        <is>
          <t xml:space="preserve">'6TH FLR  '!C219</t>
        </is>
      </c>
    </row>
    <row r="3460">
      <c r="C3460" s="246" t="inlineStr">
        <is>
          <t xml:space="preserve">washroom walls: (wet area / 3.8 m2 per WC) x 8.0 m girth x ht</t>
        </is>
      </c>
      <c r="E3460" s="247">
        <f>61.4/3.8</f>
        <v>16.157894736842106</v>
      </c>
      <c r="F3460" s="247">
        <v>8.0</v>
      </c>
      <c r="G3460" s="247">
        <v>3.05</v>
      </c>
      <c r="H3460" s="249">
        <f>PRODUCT(D3460:G3460)</f>
        <v>394.2526315789474</v>
      </c>
      <c r="J3460" s="253" t="inlineStr">
        <is>
          <t xml:space="preserve">61.4/3.8*8.0*3.05</t>
        </is>
      </c>
    </row>
    <row r="3461">
      <c r="C3461" s="246" t="inlineStr">
        <is>
          <t xml:space="preserve">Ddt washroom doors: nr x 0.75 x 2.2</t>
        </is>
      </c>
      <c r="E3461" s="247">
        <f>61.4/3.8</f>
        <v>16.157894736842106</v>
      </c>
      <c r="F3461" s="247">
        <v>0.75</v>
      </c>
      <c r="G3461" s="247">
        <v>2.2</v>
      </c>
      <c r="H3461" s="249">
        <f>-PRODUCT(D3461:G3461)</f>
        <v>-26.660526315789475</v>
      </c>
      <c r="J3461" s="253" t="inlineStr">
        <is>
          <t xml:space="preserve">-61.4/3.8*0.75*2.2</t>
        </is>
      </c>
    </row>
    <row r="3462">
      <c r="C3462" s="250" t="inlineStr">
        <is>
          <t xml:space="preserve">Total carried to BOQ  6TH FLR item B</t>
        </is>
      </c>
      <c r="D3462" s="250" t="inlineStr">
        <is>
          <t xml:space="preserve"/>
        </is>
      </c>
      <c r="E3462" s="250" t="inlineStr">
        <is>
          <t xml:space="preserve"/>
        </is>
      </c>
      <c r="F3462" s="250" t="inlineStr">
        <is>
          <t xml:space="preserve"/>
        </is>
      </c>
      <c r="G3462" s="250" t="inlineStr">
        <is>
          <t xml:space="preserve"/>
        </is>
      </c>
      <c r="H3462" s="251">
        <f>SUM(H3460:H3461)</f>
        <v>367.5921052631579</v>
      </c>
      <c r="I3462" s="252" t="inlineStr">
        <is>
          <t xml:space="preserve">m2</t>
        </is>
      </c>
    </row>
    <row r="3463">
      <c r="A3463" s="243" t="inlineStr">
        <is>
          <t xml:space="preserve">6TH FLR</t>
        </is>
      </c>
      <c r="B3463" s="243" t="inlineStr">
        <is>
          <t xml:space="preserve">C</t>
        </is>
      </c>
      <c r="C3463" s="244" t="inlineStr">
        <is>
          <t xml:space="preserve">External walls</t>
        </is>
      </c>
      <c r="I3463" s="245" t="inlineStr">
        <is>
          <t xml:space="preserve">m2</t>
        </is>
      </c>
      <c r="K3463" s="256" t="inlineStr">
        <is>
          <t xml:space="preserve">'6TH FLR  '!C221</t>
        </is>
      </c>
    </row>
    <row r="3464">
      <c r="C3464" s="246" t="inlineStr">
        <is>
          <t xml:space="preserve">External perimeter x storey ht</t>
        </is>
      </c>
      <c r="E3464" s="247">
        <v>224.2</v>
      </c>
      <c r="F3464" s="247">
        <v>3.3</v>
      </c>
      <c r="H3464" s="249">
        <f>PRODUCT(D3464:G3464)</f>
        <v>739.8599999999999</v>
      </c>
      <c r="J3464" s="253" t="inlineStr">
        <is>
          <t xml:space="preserve">224.2*3.3</t>
        </is>
      </c>
    </row>
    <row r="3465">
      <c r="C3465" s="246" t="inlineStr">
        <is>
          <t xml:space="preserve">Ddt window W2 (6 nr, 1.8x1.3)</t>
        </is>
      </c>
      <c r="D3465" s="248">
        <v>6</v>
      </c>
      <c r="E3465" s="247">
        <v>1.8</v>
      </c>
      <c r="F3465" s="247">
        <v>1.3</v>
      </c>
      <c r="H3465" s="249">
        <f>-PRODUCT(D3465:G3465)</f>
        <v>-14.040000000000001</v>
      </c>
      <c r="J3465" s="253" t="inlineStr">
        <is>
          <t xml:space="preserve">-6*1.8*1.3</t>
        </is>
      </c>
    </row>
    <row r="3466">
      <c r="C3466" s="246" t="inlineStr">
        <is>
          <t xml:space="preserve">Ddt window W4 (10 nr, 0.9x1.3)</t>
        </is>
      </c>
      <c r="D3466" s="248">
        <v>10</v>
      </c>
      <c r="E3466" s="247">
        <v>0.9</v>
      </c>
      <c r="F3466" s="247">
        <v>1.3</v>
      </c>
      <c r="H3466" s="249">
        <f>-PRODUCT(D3466:G3466)</f>
        <v>-11.700000000000001</v>
      </c>
      <c r="J3466" s="253" t="inlineStr">
        <is>
          <t xml:space="preserve">-10*0.9*1.3</t>
        </is>
      </c>
    </row>
    <row r="3467">
      <c r="C3467" s="246" t="inlineStr">
        <is>
          <t xml:space="preserve">Ddt window W7 (2 nr, 1.8x1.6)</t>
        </is>
      </c>
      <c r="D3467" s="248">
        <v>2</v>
      </c>
      <c r="E3467" s="247">
        <v>1.8</v>
      </c>
      <c r="F3467" s="247">
        <v>1.6</v>
      </c>
      <c r="H3467" s="249">
        <f>-PRODUCT(D3467:G3467)</f>
        <v>-5.760000000000001</v>
      </c>
      <c r="J3467" s="253" t="inlineStr">
        <is>
          <t xml:space="preserve">-2*1.8*1.6</t>
        </is>
      </c>
    </row>
    <row r="3468">
      <c r="C3468" s="246" t="inlineStr">
        <is>
          <t xml:space="preserve">Ddt window W8 (3 nr, 1.2x1.9)</t>
        </is>
      </c>
      <c r="D3468" s="248">
        <v>3</v>
      </c>
      <c r="E3468" s="247">
        <v>1.2</v>
      </c>
      <c r="F3468" s="247">
        <v>1.9</v>
      </c>
      <c r="H3468" s="249">
        <f>-PRODUCT(D3468:G3468)</f>
        <v>-6.839999999999999</v>
      </c>
      <c r="J3468" s="253" t="inlineStr">
        <is>
          <t xml:space="preserve">-3*1.2*1.9</t>
        </is>
      </c>
    </row>
    <row r="3469">
      <c r="C3469" s="246" t="inlineStr">
        <is>
          <t xml:space="preserve">Ddt window W9 (8 nr, 1.2x1.15)</t>
        </is>
      </c>
      <c r="D3469" s="248">
        <v>8</v>
      </c>
      <c r="E3469" s="247">
        <v>1.2</v>
      </c>
      <c r="F3469" s="247">
        <v>1.15</v>
      </c>
      <c r="H3469" s="249">
        <f>-PRODUCT(D3469:G3469)</f>
        <v>-11.04</v>
      </c>
      <c r="J3469" s="253" t="inlineStr">
        <is>
          <t xml:space="preserve">-8*1.2*1.15</t>
        </is>
      </c>
    </row>
    <row r="3470">
      <c r="C3470" s="246" t="inlineStr">
        <is>
          <t xml:space="preserve">Ddt window W10 (1 nr, 1.2x1.2)</t>
        </is>
      </c>
      <c r="D3470" s="248">
        <v>1</v>
      </c>
      <c r="E3470" s="247">
        <v>1.2</v>
      </c>
      <c r="F3470" s="247">
        <v>1.2</v>
      </c>
      <c r="H3470" s="249">
        <f>-PRODUCT(D3470:G3470)</f>
        <v>-1.44</v>
      </c>
      <c r="J3470" s="253" t="inlineStr">
        <is>
          <t xml:space="preserve">-1*1.2*1.2</t>
        </is>
      </c>
    </row>
    <row r="3471">
      <c r="C3471" s="246" t="inlineStr">
        <is>
          <t xml:space="preserve">Ddt window W11 (6 nr, 1.5x1.3)</t>
        </is>
      </c>
      <c r="D3471" s="248">
        <v>6</v>
      </c>
      <c r="E3471" s="247">
        <v>1.5</v>
      </c>
      <c r="F3471" s="247">
        <v>1.3</v>
      </c>
      <c r="H3471" s="249">
        <f>-PRODUCT(D3471:G3471)</f>
        <v>-11.700000000000001</v>
      </c>
      <c r="J3471" s="253" t="inlineStr">
        <is>
          <t xml:space="preserve">-6*1.5*1.3</t>
        </is>
      </c>
    </row>
    <row r="3472">
      <c r="C3472" s="246" t="inlineStr">
        <is>
          <t xml:space="preserve">Ddt window W12 (4 nr, 1.5x1.15)</t>
        </is>
      </c>
      <c r="D3472" s="248">
        <v>4</v>
      </c>
      <c r="E3472" s="247">
        <v>1.5</v>
      </c>
      <c r="F3472" s="247">
        <v>1.15</v>
      </c>
      <c r="H3472" s="249">
        <f>-PRODUCT(D3472:G3472)</f>
        <v>-6.8999999999999995</v>
      </c>
      <c r="J3472" s="253" t="inlineStr">
        <is>
          <t xml:space="preserve">-4*1.5*1.15</t>
        </is>
      </c>
    </row>
    <row r="3473">
      <c r="C3473" s="246" t="inlineStr">
        <is>
          <t xml:space="preserve">Ddt window W13 (1 nr, 2.4x1.3)</t>
        </is>
      </c>
      <c r="D3473" s="248">
        <v>1</v>
      </c>
      <c r="E3473" s="247">
        <v>2.4</v>
      </c>
      <c r="F3473" s="247">
        <v>1.3</v>
      </c>
      <c r="H3473" s="249">
        <f>-PRODUCT(D3473:G3473)</f>
        <v>-3.12</v>
      </c>
      <c r="J3473" s="253" t="inlineStr">
        <is>
          <t xml:space="preserve">-1*2.4*1.3</t>
        </is>
      </c>
    </row>
    <row r="3474">
      <c r="C3474" s="246" t="inlineStr">
        <is>
          <t xml:space="preserve">Ddt window W15 (1 nr, 3x1.6)</t>
        </is>
      </c>
      <c r="D3474" s="248">
        <v>1</v>
      </c>
      <c r="E3474" s="247">
        <v>3</v>
      </c>
      <c r="F3474" s="247">
        <v>1.6</v>
      </c>
      <c r="H3474" s="249">
        <f>-PRODUCT(D3474:G3474)</f>
        <v>-4.800000000000001</v>
      </c>
      <c r="J3474" s="253" t="inlineStr">
        <is>
          <t xml:space="preserve">-1*3*1.6</t>
        </is>
      </c>
    </row>
    <row r="3475">
      <c r="C3475" s="246" t="inlineStr">
        <is>
          <t xml:space="preserve">Ddt window W17 (3 nr, 1.8x1.9)</t>
        </is>
      </c>
      <c r="D3475" s="248">
        <v>3</v>
      </c>
      <c r="E3475" s="247">
        <v>1.8</v>
      </c>
      <c r="F3475" s="247">
        <v>1.9</v>
      </c>
      <c r="H3475" s="249">
        <f>-PRODUCT(D3475:G3475)</f>
        <v>-10.26</v>
      </c>
      <c r="J3475" s="253" t="inlineStr">
        <is>
          <t xml:space="preserve">-3*1.8*1.9</t>
        </is>
      </c>
    </row>
    <row r="3476">
      <c r="C3476" s="246" t="inlineStr">
        <is>
          <t xml:space="preserve">Ddt window W18 (1 nr, 0.75x1.3)</t>
        </is>
      </c>
      <c r="D3476" s="248">
        <v>1</v>
      </c>
      <c r="E3476" s="247">
        <v>0.75</v>
      </c>
      <c r="F3476" s="247">
        <v>1.3</v>
      </c>
      <c r="H3476" s="249">
        <f>-PRODUCT(D3476:G3476)</f>
        <v>-0.9750000000000001</v>
      </c>
      <c r="J3476" s="253" t="inlineStr">
        <is>
          <t xml:space="preserve">-1*0.75*1.3</t>
        </is>
      </c>
    </row>
    <row r="3477">
      <c r="C3477" s="246" t="inlineStr">
        <is>
          <t xml:space="preserve">Ddt window W20 (1 nr, 1.45x1.9)</t>
        </is>
      </c>
      <c r="D3477" s="248">
        <v>1</v>
      </c>
      <c r="E3477" s="247">
        <v>1.45</v>
      </c>
      <c r="F3477" s="247">
        <v>1.9</v>
      </c>
      <c r="H3477" s="249">
        <f>-PRODUCT(D3477:G3477)</f>
        <v>-2.755</v>
      </c>
      <c r="J3477" s="253" t="inlineStr">
        <is>
          <t xml:space="preserve">-1*1.45*1.9</t>
        </is>
      </c>
    </row>
    <row r="3478">
      <c r="C3478" s="246" t="inlineStr">
        <is>
          <t xml:space="preserve">Ddt window HW1 (13 nr, 0.9x0.6)</t>
        </is>
      </c>
      <c r="D3478" s="248">
        <v>13</v>
      </c>
      <c r="E3478" s="247">
        <v>0.9</v>
      </c>
      <c r="F3478" s="247">
        <v>0.6</v>
      </c>
      <c r="H3478" s="249">
        <f>-PRODUCT(D3478:G3478)</f>
        <v>-7.0200000000000005</v>
      </c>
      <c r="J3478" s="253" t="inlineStr">
        <is>
          <t xml:space="preserve">-13*0.9*0.6</t>
        </is>
      </c>
    </row>
    <row r="3479">
      <c r="C3479" s="246" t="inlineStr">
        <is>
          <t xml:space="preserve">Ddt window HW2 (5 nr, 0.75x0.6)</t>
        </is>
      </c>
      <c r="D3479" s="248">
        <v>5</v>
      </c>
      <c r="E3479" s="247">
        <v>0.75</v>
      </c>
      <c r="F3479" s="247">
        <v>0.6</v>
      </c>
      <c r="H3479" s="249">
        <f>-PRODUCT(D3479:G3479)</f>
        <v>-2.25</v>
      </c>
      <c r="J3479" s="253" t="inlineStr">
        <is>
          <t xml:space="preserve">-5*0.75*0.6</t>
        </is>
      </c>
    </row>
    <row r="3480">
      <c r="C3480" s="246" t="inlineStr">
        <is>
          <t xml:space="preserve">Ddt window HW3 (2 nr, 0.6x0.6)</t>
        </is>
      </c>
      <c r="D3480" s="248">
        <v>2</v>
      </c>
      <c r="E3480" s="247">
        <v>0.6</v>
      </c>
      <c r="F3480" s="247">
        <v>0.6</v>
      </c>
      <c r="H3480" s="249">
        <f>-PRODUCT(D3480:G3480)</f>
        <v>-0.72</v>
      </c>
      <c r="J3480" s="253" t="inlineStr">
        <is>
          <t xml:space="preserve">-2*0.6*0.6</t>
        </is>
      </c>
    </row>
    <row r="3481">
      <c r="C3481" s="246" t="inlineStr">
        <is>
          <t xml:space="preserve">Ddt window HW4 (2 nr, 1.2x0.6)</t>
        </is>
      </c>
      <c r="D3481" s="248">
        <v>2</v>
      </c>
      <c r="E3481" s="247">
        <v>1.2</v>
      </c>
      <c r="F3481" s="247">
        <v>0.6</v>
      </c>
      <c r="H3481" s="249">
        <f>-PRODUCT(D3481:G3481)</f>
        <v>-1.44</v>
      </c>
      <c r="J3481" s="253" t="inlineStr">
        <is>
          <t xml:space="preserve">-2*1.2*0.6</t>
        </is>
      </c>
    </row>
    <row r="3482">
      <c r="C3482" s="250" t="inlineStr">
        <is>
          <t xml:space="preserve">Total carried to BOQ  6TH FLR item C</t>
        </is>
      </c>
      <c r="D3482" s="250" t="inlineStr">
        <is>
          <t xml:space="preserve"/>
        </is>
      </c>
      <c r="E3482" s="250" t="inlineStr">
        <is>
          <t xml:space="preserve"/>
        </is>
      </c>
      <c r="F3482" s="250" t="inlineStr">
        <is>
          <t xml:space="preserve"/>
        </is>
      </c>
      <c r="G3482" s="250" t="inlineStr">
        <is>
          <t xml:space="preserve"/>
        </is>
      </c>
      <c r="H3482" s="251">
        <f>SUM(H3464:H3481)</f>
        <v>637.0999999999998</v>
      </c>
      <c r="I3482" s="252" t="inlineStr">
        <is>
          <t xml:space="preserve">m2</t>
        </is>
      </c>
    </row>
    <row r="3483">
      <c r="A3483" s="243" t="inlineStr">
        <is>
          <t xml:space="preserve">6TH FLR</t>
        </is>
      </c>
      <c r="B3483" s="243" t="inlineStr">
        <is>
          <t xml:space="preserve">D</t>
        </is>
      </c>
      <c r="C3483" s="244" t="inlineStr">
        <is>
          <t xml:space="preserve">12mm cement and sand (1:4) screeded backing to receive wall tiles</t>
        </is>
      </c>
      <c r="I3483" s="245" t="inlineStr">
        <is>
          <t xml:space="preserve">m2</t>
        </is>
      </c>
      <c r="K3483" s="256" t="inlineStr">
        <is>
          <t xml:space="preserve">'6TH FLR  '!C223</t>
        </is>
      </c>
    </row>
    <row r="3484">
      <c r="C3484" s="246" t="inlineStr">
        <is>
          <t xml:space="preserve">washroom walls: (wet area / 3.8 m2 per WC) x 8.0 m girth x ht</t>
        </is>
      </c>
      <c r="E3484" s="247">
        <f>61.4/3.8</f>
        <v>16.157894736842106</v>
      </c>
      <c r="F3484" s="247">
        <v>8.0</v>
      </c>
      <c r="G3484" s="247">
        <v>2.4</v>
      </c>
      <c r="H3484" s="249">
        <f>PRODUCT(D3484:G3484)</f>
        <v>310.2315789473684</v>
      </c>
      <c r="J3484" s="253" t="inlineStr">
        <is>
          <t xml:space="preserve">61.4/3.8*8.0*2.4</t>
        </is>
      </c>
    </row>
    <row r="3485">
      <c r="C3485" s="246" t="inlineStr">
        <is>
          <t xml:space="preserve">Ddt washroom doors: nr x 0.75 x 2.2</t>
        </is>
      </c>
      <c r="E3485" s="247">
        <f>61.4/3.8</f>
        <v>16.157894736842106</v>
      </c>
      <c r="F3485" s="247">
        <v>0.75</v>
      </c>
      <c r="G3485" s="247">
        <v>2.2</v>
      </c>
      <c r="H3485" s="249">
        <f>-PRODUCT(D3485:G3485)</f>
        <v>-26.660526315789475</v>
      </c>
      <c r="J3485" s="253" t="inlineStr">
        <is>
          <t xml:space="preserve">-61.4/3.8*0.75*2.2</t>
        </is>
      </c>
    </row>
    <row r="3486">
      <c r="C3486" s="250" t="inlineStr">
        <is>
          <t xml:space="preserve">Total carried to BOQ  6TH FLR item D</t>
        </is>
      </c>
      <c r="D3486" s="250" t="inlineStr">
        <is>
          <t xml:space="preserve"/>
        </is>
      </c>
      <c r="E3486" s="250" t="inlineStr">
        <is>
          <t xml:space="preserve"/>
        </is>
      </c>
      <c r="F3486" s="250" t="inlineStr">
        <is>
          <t xml:space="preserve"/>
        </is>
      </c>
      <c r="G3486" s="250" t="inlineStr">
        <is>
          <t xml:space="preserve"/>
        </is>
      </c>
      <c r="H3486" s="251">
        <f>SUM(H3484:H3485)</f>
        <v>283.57105263157894</v>
      </c>
      <c r="I3486" s="252" t="inlineStr">
        <is>
          <t xml:space="preserve">m2</t>
        </is>
      </c>
    </row>
    <row r="3487" ht="32.2" customHeight="1">
      <c r="A3487" s="243" t="inlineStr">
        <is>
          <t xml:space="preserve">6TH FLR</t>
        </is>
      </c>
      <c r="B3487" s="243" t="inlineStr">
        <is>
          <t xml:space="preserve">E</t>
        </is>
      </c>
      <c r="C3487" s="244" t="inlineStr">
        <is>
          <t xml:space="preserve">Ceramic/porcelain wall tiles to washrooms to 2.4m high, adhesive &amp; grout (type TBC)</t>
        </is>
      </c>
      <c r="I3487" s="245" t="inlineStr">
        <is>
          <t xml:space="preserve">m2</t>
        </is>
      </c>
      <c r="K3487" s="256" t="inlineStr">
        <is>
          <t xml:space="preserve">'6TH FLR  '!C225</t>
        </is>
      </c>
    </row>
    <row r="3488">
      <c r="C3488" s="246" t="inlineStr">
        <is>
          <t xml:space="preserve">washroom walls: (wet area / 3.8 m2 per WC) x 8.0 m girth x ht</t>
        </is>
      </c>
      <c r="E3488" s="247">
        <f>61.4/3.8</f>
        <v>16.157894736842106</v>
      </c>
      <c r="F3488" s="247">
        <v>8.0</v>
      </c>
      <c r="G3488" s="247">
        <v>2.4</v>
      </c>
      <c r="H3488" s="249">
        <f>PRODUCT(D3488:G3488)</f>
        <v>310.2315789473684</v>
      </c>
      <c r="J3488" s="253" t="inlineStr">
        <is>
          <t xml:space="preserve">61.4/3.8*8.0*2.4</t>
        </is>
      </c>
    </row>
    <row r="3489">
      <c r="C3489" s="246" t="inlineStr">
        <is>
          <t xml:space="preserve">Ddt washroom doors: nr x 0.75 x 2.2</t>
        </is>
      </c>
      <c r="E3489" s="247">
        <f>61.4/3.8</f>
        <v>16.157894736842106</v>
      </c>
      <c r="F3489" s="247">
        <v>0.75</v>
      </c>
      <c r="G3489" s="247">
        <v>2.2</v>
      </c>
      <c r="H3489" s="249">
        <f>-PRODUCT(D3489:G3489)</f>
        <v>-26.660526315789475</v>
      </c>
      <c r="J3489" s="253" t="inlineStr">
        <is>
          <t xml:space="preserve">-61.4/3.8*0.75*2.2</t>
        </is>
      </c>
    </row>
    <row r="3490">
      <c r="C3490" s="250" t="inlineStr">
        <is>
          <t xml:space="preserve">Total carried to BOQ  6TH FLR item E</t>
        </is>
      </c>
      <c r="D3490" s="250" t="inlineStr">
        <is>
          <t xml:space="preserve"/>
        </is>
      </c>
      <c r="E3490" s="250" t="inlineStr">
        <is>
          <t xml:space="preserve"/>
        </is>
      </c>
      <c r="F3490" s="250" t="inlineStr">
        <is>
          <t xml:space="preserve"/>
        </is>
      </c>
      <c r="G3490" s="250" t="inlineStr">
        <is>
          <t xml:space="preserve"/>
        </is>
      </c>
      <c r="H3490" s="251">
        <f>SUM(H3488:H3489)</f>
        <v>283.57105263157894</v>
      </c>
      <c r="I3490" s="252" t="inlineStr">
        <is>
          <t xml:space="preserve">m2</t>
        </is>
      </c>
    </row>
    <row r="3491">
      <c r="C3491" s="242" t="inlineStr">
        <is>
          <t xml:space="preserve">ELEMENT NO. 7: PAINTING AND DECORATING</t>
        </is>
      </c>
    </row>
    <row r="3492">
      <c r="C3492" s="242" t="inlineStr">
        <is>
          <t xml:space="preserve">M60 PAINTING - Prepare and apply two undercoats and finishing coat of emulsion paint on:</t>
        </is>
      </c>
    </row>
    <row r="3493">
      <c r="A3493" s="243" t="inlineStr">
        <is>
          <t xml:space="preserve">6TH FLR</t>
        </is>
      </c>
      <c r="B3493" s="243" t="inlineStr">
        <is>
          <t xml:space="preserve">A</t>
        </is>
      </c>
      <c r="C3493" s="244" t="inlineStr">
        <is>
          <t xml:space="preserve">Interior walls</t>
        </is>
      </c>
      <c r="I3493" s="245" t="inlineStr">
        <is>
          <t xml:space="preserve">m2</t>
        </is>
      </c>
      <c r="K3493" s="256" t="inlineStr">
        <is>
          <t xml:space="preserve">'6TH FLR  '!C233</t>
        </is>
      </c>
    </row>
    <row r="3494">
      <c r="C3494" s="246" t="inlineStr">
        <is>
          <t xml:space="preserve">block wall faces: 2 x (150 + 200 block runs) x ht</t>
        </is>
      </c>
      <c r="D3494" s="248">
        <v>2</v>
      </c>
      <c r="E3494" s="247">
        <f>465.9+50.0</f>
        <v>515.9</v>
      </c>
      <c r="F3494" s="247">
        <v>3.05</v>
      </c>
      <c r="H3494" s="249">
        <f>PRODUCT(D3494:G3494)</f>
        <v>3146.99</v>
      </c>
      <c r="J3494" s="253" t="inlineStr">
        <is>
          <t xml:space="preserve">2*(465.9+50.0)*3.05</t>
        </is>
      </c>
    </row>
    <row r="3495">
      <c r="C3495" s="246" t="inlineStr">
        <is>
          <t xml:space="preserve">RC wall faces: 2 x RC wall run x ht</t>
        </is>
      </c>
      <c r="D3495" s="248">
        <v>2</v>
      </c>
      <c r="E3495" s="247">
        <v>64.6</v>
      </c>
      <c r="F3495" s="247">
        <v>3.05</v>
      </c>
      <c r="H3495" s="249">
        <f>PRODUCT(D3495:G3495)</f>
        <v>394.05999999999995</v>
      </c>
      <c r="J3495" s="253" t="inlineStr">
        <is>
          <t xml:space="preserve">2*64.6*3.05</t>
        </is>
      </c>
    </row>
    <row r="3496">
      <c r="C3496" s="246" t="inlineStr">
        <is>
          <t xml:space="preserve">Ddt lift/stair shaft inner faces 16.8 m x ht</t>
        </is>
      </c>
      <c r="E3496" s="247">
        <v>16.8</v>
      </c>
      <c r="F3496" s="247">
        <v>3.05</v>
      </c>
      <c r="H3496" s="249">
        <f>-PRODUCT(D3496:G3496)</f>
        <v>-51.24</v>
      </c>
      <c r="J3496" s="253" t="inlineStr">
        <is>
          <t xml:space="preserve">-16.8*3.05</t>
        </is>
      </c>
    </row>
    <row r="3497">
      <c r="C3497" s="246" t="inlineStr">
        <is>
          <t xml:space="preserve">Ddt external face of perimeter wall (rendered externally)</t>
        </is>
      </c>
      <c r="E3497" s="247">
        <v>224.2</v>
      </c>
      <c r="F3497" s="247">
        <v>3.05</v>
      </c>
      <c r="H3497" s="249">
        <f>-PRODUCT(D3497:G3497)</f>
        <v>-683.81</v>
      </c>
      <c r="J3497" s="253" t="inlineStr">
        <is>
          <t xml:space="preserve">-224.2*3.05</t>
        </is>
      </c>
    </row>
    <row r="3498">
      <c r="C3498" s="246" t="inlineStr">
        <is>
          <t xml:space="preserve">Ddt washroom walls (measured separately)</t>
        </is>
      </c>
      <c r="E3498" s="247">
        <f>61.4/3.8</f>
        <v>16.157894736842106</v>
      </c>
      <c r="F3498" s="247">
        <v>8.0</v>
      </c>
      <c r="G3498" s="247">
        <v>3.05</v>
      </c>
      <c r="H3498" s="249">
        <f>-PRODUCT(D3498:G3498)</f>
        <v>-394.2526315789474</v>
      </c>
      <c r="J3498" s="253" t="inlineStr">
        <is>
          <t xml:space="preserve">-61.4/3.8*8.0*3.05</t>
        </is>
      </c>
    </row>
    <row r="3499">
      <c r="C3499" s="246" t="inlineStr">
        <is>
          <t xml:space="preserve">Ddt opening D2 (8 nr, 1x2.2) - both faces</t>
        </is>
      </c>
      <c r="D3499" s="248">
        <f>2*8</f>
        <v>16</v>
      </c>
      <c r="E3499" s="247">
        <v>1</v>
      </c>
      <c r="F3499" s="247">
        <v>2.2</v>
      </c>
      <c r="H3499" s="249">
        <f>-PRODUCT(D3499:G3499)</f>
        <v>-35.2</v>
      </c>
      <c r="J3499" s="253" t="inlineStr">
        <is>
          <t xml:space="preserve">-2*8*1*2.2</t>
        </is>
      </c>
    </row>
    <row r="3500">
      <c r="C3500" s="246" t="inlineStr">
        <is>
          <t xml:space="preserve">Ddt opening D3 (15 nr, 0.9x2.2) - both faces</t>
        </is>
      </c>
      <c r="D3500" s="248">
        <f>2*15</f>
        <v>30</v>
      </c>
      <c r="E3500" s="247">
        <v>0.9</v>
      </c>
      <c r="F3500" s="247">
        <v>2.2</v>
      </c>
      <c r="H3500" s="249">
        <f>-PRODUCT(D3500:G3500)</f>
        <v>-59.400000000000006</v>
      </c>
      <c r="J3500" s="253" t="inlineStr">
        <is>
          <t xml:space="preserve">-2*15*0.9*2.2</t>
        </is>
      </c>
    </row>
    <row r="3501">
      <c r="C3501" s="246" t="inlineStr">
        <is>
          <t xml:space="preserve">Ddt opening D6 (21 nr, 0.75x2.2) - both faces</t>
        </is>
      </c>
      <c r="D3501" s="248">
        <f>2*21</f>
        <v>42</v>
      </c>
      <c r="E3501" s="247">
        <v>0.75</v>
      </c>
      <c r="F3501" s="247">
        <v>2.2</v>
      </c>
      <c r="H3501" s="249">
        <f>-PRODUCT(D3501:G3501)</f>
        <v>-69.30000000000001</v>
      </c>
      <c r="J3501" s="253" t="inlineStr">
        <is>
          <t xml:space="preserve">-2*21*0.75*2.2</t>
        </is>
      </c>
    </row>
    <row r="3502">
      <c r="C3502" s="246" t="inlineStr">
        <is>
          <t xml:space="preserve">Ddt opening D7 (1 nr, 0.7x2.2) - both faces</t>
        </is>
      </c>
      <c r="D3502" s="248">
        <f>2*1</f>
        <v>2</v>
      </c>
      <c r="E3502" s="247">
        <v>0.7</v>
      </c>
      <c r="F3502" s="247">
        <v>2.2</v>
      </c>
      <c r="H3502" s="249">
        <f>-PRODUCT(D3502:G3502)</f>
        <v>-3.08</v>
      </c>
      <c r="J3502" s="253" t="inlineStr">
        <is>
          <t xml:space="preserve">-2*1*0.7*2.2</t>
        </is>
      </c>
    </row>
    <row r="3503">
      <c r="C3503" s="246" t="inlineStr">
        <is>
          <t xml:space="preserve">Ddt opening D8 (3 nr, 1.2x2.2) - both faces</t>
        </is>
      </c>
      <c r="D3503" s="248">
        <f>2*3</f>
        <v>6</v>
      </c>
      <c r="E3503" s="247">
        <v>1.2</v>
      </c>
      <c r="F3503" s="247">
        <v>2.2</v>
      </c>
      <c r="H3503" s="249">
        <f>-PRODUCT(D3503:G3503)</f>
        <v>-15.84</v>
      </c>
      <c r="J3503" s="253" t="inlineStr">
        <is>
          <t xml:space="preserve">-2*3*1.2*2.2</t>
        </is>
      </c>
    </row>
    <row r="3504">
      <c r="C3504" s="246" t="inlineStr">
        <is>
          <t xml:space="preserve">Ddt opening ED1 (3 nr, 1x2.2) - both faces</t>
        </is>
      </c>
      <c r="D3504" s="248">
        <f>2*3</f>
        <v>6</v>
      </c>
      <c r="E3504" s="247">
        <v>1</v>
      </c>
      <c r="F3504" s="247">
        <v>2.2</v>
      </c>
      <c r="H3504" s="249">
        <f>-PRODUCT(D3504:G3504)</f>
        <v>-13.200000000000001</v>
      </c>
      <c r="J3504" s="253" t="inlineStr">
        <is>
          <t xml:space="preserve">-2*3*1*2.2</t>
        </is>
      </c>
    </row>
    <row r="3505">
      <c r="C3505" s="246" t="inlineStr">
        <is>
          <t xml:space="preserve">Ddt opening ED2 (3 nr, 1x2.2) - both faces</t>
        </is>
      </c>
      <c r="D3505" s="248">
        <f>2*3</f>
        <v>6</v>
      </c>
      <c r="E3505" s="247">
        <v>1</v>
      </c>
      <c r="F3505" s="247">
        <v>2.2</v>
      </c>
      <c r="H3505" s="249">
        <f>-PRODUCT(D3505:G3505)</f>
        <v>-13.200000000000001</v>
      </c>
      <c r="J3505" s="253" t="inlineStr">
        <is>
          <t xml:space="preserve">-2*3*1*2.2</t>
        </is>
      </c>
    </row>
    <row r="3506">
      <c r="C3506" s="246" t="inlineStr">
        <is>
          <t xml:space="preserve">Ddt opening D9 (1 nr, 0.9x2.2) - both faces</t>
        </is>
      </c>
      <c r="D3506" s="248">
        <f>2*1</f>
        <v>2</v>
      </c>
      <c r="E3506" s="247">
        <v>0.9</v>
      </c>
      <c r="F3506" s="247">
        <v>2.2</v>
      </c>
      <c r="H3506" s="249">
        <f>-PRODUCT(D3506:G3506)</f>
        <v>-3.9600000000000004</v>
      </c>
      <c r="J3506" s="253" t="inlineStr">
        <is>
          <t xml:space="preserve">-2*1*0.9*2.2</t>
        </is>
      </c>
    </row>
    <row r="3507">
      <c r="C3507" s="246" t="inlineStr">
        <is>
          <t xml:space="preserve">Ddt opening FD1 (1 nr, 1.5x2.2) - both faces</t>
        </is>
      </c>
      <c r="D3507" s="248">
        <f>2*1</f>
        <v>2</v>
      </c>
      <c r="E3507" s="247">
        <v>1.5</v>
      </c>
      <c r="F3507" s="247">
        <v>2.2</v>
      </c>
      <c r="H3507" s="249">
        <f>-PRODUCT(D3507:G3507)</f>
        <v>-6.6000000000000005</v>
      </c>
      <c r="J3507" s="253" t="inlineStr">
        <is>
          <t xml:space="preserve">-2*1*1.5*2.2</t>
        </is>
      </c>
    </row>
    <row r="3508">
      <c r="C3508" s="246" t="inlineStr">
        <is>
          <t xml:space="preserve">Ddt opening M1 (2 nr, 0.9x2.2) - both faces</t>
        </is>
      </c>
      <c r="D3508" s="248">
        <f>2*2</f>
        <v>4</v>
      </c>
      <c r="E3508" s="247">
        <v>0.9</v>
      </c>
      <c r="F3508" s="247">
        <v>2.2</v>
      </c>
      <c r="H3508" s="249">
        <f>-PRODUCT(D3508:G3508)</f>
        <v>-7.920000000000001</v>
      </c>
      <c r="J3508" s="253" t="inlineStr">
        <is>
          <t xml:space="preserve">-2*2*0.9*2.2</t>
        </is>
      </c>
    </row>
    <row r="3509">
      <c r="C3509" s="246" t="inlineStr">
        <is>
          <t xml:space="preserve">Ddt opening M2 (5 nr, 0.75x2.2) - both faces</t>
        </is>
      </c>
      <c r="D3509" s="248">
        <f>2*5</f>
        <v>10</v>
      </c>
      <c r="E3509" s="247">
        <v>0.75</v>
      </c>
      <c r="F3509" s="247">
        <v>2.2</v>
      </c>
      <c r="H3509" s="249">
        <f>-PRODUCT(D3509:G3509)</f>
        <v>-16.5</v>
      </c>
      <c r="J3509" s="253" t="inlineStr">
        <is>
          <t xml:space="preserve">-2*5*0.75*2.2</t>
        </is>
      </c>
    </row>
    <row r="3510">
      <c r="C3510" s="246" t="inlineStr">
        <is>
          <t xml:space="preserve">Ddt opening M3 (1 nr, 0.45x2.2) - both faces</t>
        </is>
      </c>
      <c r="D3510" s="248">
        <f>2*1</f>
        <v>2</v>
      </c>
      <c r="E3510" s="247">
        <v>0.45</v>
      </c>
      <c r="F3510" s="247">
        <v>2.2</v>
      </c>
      <c r="H3510" s="249">
        <f>-PRODUCT(D3510:G3510)</f>
        <v>-1.9800000000000002</v>
      </c>
      <c r="J3510" s="253" t="inlineStr">
        <is>
          <t xml:space="preserve">-2*1*0.45*2.2</t>
        </is>
      </c>
    </row>
    <row r="3511">
      <c r="C3511" s="246" t="inlineStr">
        <is>
          <t xml:space="preserve">Ddt opening M5 (3 nr, 0.6x2.2) - both faces</t>
        </is>
      </c>
      <c r="D3511" s="248">
        <f>2*3</f>
        <v>6</v>
      </c>
      <c r="E3511" s="247">
        <v>0.6</v>
      </c>
      <c r="F3511" s="247">
        <v>2.2</v>
      </c>
      <c r="H3511" s="249">
        <f>-PRODUCT(D3511:G3511)</f>
        <v>-7.92</v>
      </c>
      <c r="J3511" s="253" t="inlineStr">
        <is>
          <t xml:space="preserve">-2*3*0.6*2.2</t>
        </is>
      </c>
    </row>
    <row r="3512">
      <c r="C3512" s="246" t="inlineStr">
        <is>
          <t xml:space="preserve">Ddt opening SD1 (1 nr, 3x2.2) - both faces</t>
        </is>
      </c>
      <c r="D3512" s="248">
        <f>2*1</f>
        <v>2</v>
      </c>
      <c r="E3512" s="247">
        <v>3</v>
      </c>
      <c r="F3512" s="247">
        <v>2.2</v>
      </c>
      <c r="H3512" s="249">
        <f>-PRODUCT(D3512:G3512)</f>
        <v>-13.200000000000001</v>
      </c>
      <c r="J3512" s="253" t="inlineStr">
        <is>
          <t xml:space="preserve">-2*1*3*2.2</t>
        </is>
      </c>
    </row>
    <row r="3513">
      <c r="C3513" s="246" t="inlineStr">
        <is>
          <t xml:space="preserve">Ddt opening SD2 (4 nr, 1.6x2.2) - both faces</t>
        </is>
      </c>
      <c r="D3513" s="248">
        <f>2*4</f>
        <v>8</v>
      </c>
      <c r="E3513" s="247">
        <v>1.6</v>
      </c>
      <c r="F3513" s="247">
        <v>2.2</v>
      </c>
      <c r="H3513" s="249">
        <f>-PRODUCT(D3513:G3513)</f>
        <v>-28.160000000000004</v>
      </c>
      <c r="J3513" s="253" t="inlineStr">
        <is>
          <t xml:space="preserve">-2*4*1.6*2.2</t>
        </is>
      </c>
    </row>
    <row r="3514">
      <c r="C3514" s="246" t="inlineStr">
        <is>
          <t xml:space="preserve">Ddt opening SD3 (2 nr, 1.3x2.2) - both faces</t>
        </is>
      </c>
      <c r="D3514" s="248">
        <f>2*2</f>
        <v>4</v>
      </c>
      <c r="E3514" s="247">
        <v>1.3</v>
      </c>
      <c r="F3514" s="247">
        <v>2.2</v>
      </c>
      <c r="H3514" s="249">
        <f>-PRODUCT(D3514:G3514)</f>
        <v>-11.440000000000001</v>
      </c>
      <c r="J3514" s="253" t="inlineStr">
        <is>
          <t xml:space="preserve">-2*2*1.3*2.2</t>
        </is>
      </c>
    </row>
    <row r="3515">
      <c r="C3515" s="246" t="inlineStr">
        <is>
          <t xml:space="preserve">Ddt opening SD4 (4 nr, 1.8x2.2) - both faces</t>
        </is>
      </c>
      <c r="D3515" s="248">
        <f>2*4</f>
        <v>8</v>
      </c>
      <c r="E3515" s="247">
        <v>1.8</v>
      </c>
      <c r="F3515" s="247">
        <v>2.2</v>
      </c>
      <c r="H3515" s="249">
        <f>-PRODUCT(D3515:G3515)</f>
        <v>-31.680000000000003</v>
      </c>
      <c r="J3515" s="253" t="inlineStr">
        <is>
          <t xml:space="preserve">-2*4*1.8*2.2</t>
        </is>
      </c>
    </row>
    <row r="3516">
      <c r="C3516" s="246" t="inlineStr">
        <is>
          <t xml:space="preserve">Ddt opening SD5 (1 nr, 1.2x2.2) - both faces</t>
        </is>
      </c>
      <c r="D3516" s="248">
        <f>2*1</f>
        <v>2</v>
      </c>
      <c r="E3516" s="247">
        <v>1.2</v>
      </c>
      <c r="F3516" s="247">
        <v>2.2</v>
      </c>
      <c r="H3516" s="249">
        <f>-PRODUCT(D3516:G3516)</f>
        <v>-5.28</v>
      </c>
      <c r="J3516" s="253" t="inlineStr">
        <is>
          <t xml:space="preserve">-2*1*1.2*2.2</t>
        </is>
      </c>
    </row>
    <row r="3517">
      <c r="C3517" s="246" t="inlineStr">
        <is>
          <t xml:space="preserve">Ddt opening W2 (6 nr, 1.8x1.3)</t>
        </is>
      </c>
      <c r="D3517" s="248">
        <v>6</v>
      </c>
      <c r="E3517" s="247">
        <v>1.8</v>
      </c>
      <c r="F3517" s="247">
        <v>1.3</v>
      </c>
      <c r="H3517" s="249">
        <f>-PRODUCT(D3517:G3517)</f>
        <v>-14.040000000000001</v>
      </c>
      <c r="J3517" s="253" t="inlineStr">
        <is>
          <t xml:space="preserve">-6*1.8*1.3</t>
        </is>
      </c>
    </row>
    <row r="3518">
      <c r="C3518" s="246" t="inlineStr">
        <is>
          <t xml:space="preserve">Ddt opening W4 (10 nr, 0.9x1.3)</t>
        </is>
      </c>
      <c r="D3518" s="248">
        <v>10</v>
      </c>
      <c r="E3518" s="247">
        <v>0.9</v>
      </c>
      <c r="F3518" s="247">
        <v>1.3</v>
      </c>
      <c r="H3518" s="249">
        <f>-PRODUCT(D3518:G3518)</f>
        <v>-11.700000000000001</v>
      </c>
      <c r="J3518" s="253" t="inlineStr">
        <is>
          <t xml:space="preserve">-10*0.9*1.3</t>
        </is>
      </c>
    </row>
    <row r="3519">
      <c r="C3519" s="246" t="inlineStr">
        <is>
          <t xml:space="preserve">Ddt opening W7 (2 nr, 1.8x1.6)</t>
        </is>
      </c>
      <c r="D3519" s="248">
        <v>2</v>
      </c>
      <c r="E3519" s="247">
        <v>1.8</v>
      </c>
      <c r="F3519" s="247">
        <v>1.6</v>
      </c>
      <c r="H3519" s="249">
        <f>-PRODUCT(D3519:G3519)</f>
        <v>-5.760000000000001</v>
      </c>
      <c r="J3519" s="253" t="inlineStr">
        <is>
          <t xml:space="preserve">-2*1.8*1.6</t>
        </is>
      </c>
    </row>
    <row r="3520">
      <c r="C3520" s="246" t="inlineStr">
        <is>
          <t xml:space="preserve">Ddt opening W8 (3 nr, 1.2x1.9)</t>
        </is>
      </c>
      <c r="D3520" s="248">
        <v>3</v>
      </c>
      <c r="E3520" s="247">
        <v>1.2</v>
      </c>
      <c r="F3520" s="247">
        <v>1.9</v>
      </c>
      <c r="H3520" s="249">
        <f>-PRODUCT(D3520:G3520)</f>
        <v>-6.839999999999999</v>
      </c>
      <c r="J3520" s="253" t="inlineStr">
        <is>
          <t xml:space="preserve">-3*1.2*1.9</t>
        </is>
      </c>
    </row>
    <row r="3521">
      <c r="C3521" s="246" t="inlineStr">
        <is>
          <t xml:space="preserve">Ddt opening W9 (8 nr, 1.2x1.15)</t>
        </is>
      </c>
      <c r="D3521" s="248">
        <v>8</v>
      </c>
      <c r="E3521" s="247">
        <v>1.2</v>
      </c>
      <c r="F3521" s="247">
        <v>1.15</v>
      </c>
      <c r="H3521" s="249">
        <f>-PRODUCT(D3521:G3521)</f>
        <v>-11.04</v>
      </c>
      <c r="J3521" s="253" t="inlineStr">
        <is>
          <t xml:space="preserve">-8*1.2*1.15</t>
        </is>
      </c>
    </row>
    <row r="3522">
      <c r="C3522" s="246" t="inlineStr">
        <is>
          <t xml:space="preserve">Ddt opening W10 (1 nr, 1.2x1.2)</t>
        </is>
      </c>
      <c r="D3522" s="248">
        <v>1</v>
      </c>
      <c r="E3522" s="247">
        <v>1.2</v>
      </c>
      <c r="F3522" s="247">
        <v>1.2</v>
      </c>
      <c r="H3522" s="249">
        <f>-PRODUCT(D3522:G3522)</f>
        <v>-1.44</v>
      </c>
      <c r="J3522" s="253" t="inlineStr">
        <is>
          <t xml:space="preserve">-1*1.2*1.2</t>
        </is>
      </c>
    </row>
    <row r="3523">
      <c r="C3523" s="246" t="inlineStr">
        <is>
          <t xml:space="preserve">Ddt opening W11 (6 nr, 1.5x1.3)</t>
        </is>
      </c>
      <c r="D3523" s="248">
        <v>6</v>
      </c>
      <c r="E3523" s="247">
        <v>1.5</v>
      </c>
      <c r="F3523" s="247">
        <v>1.3</v>
      </c>
      <c r="H3523" s="249">
        <f>-PRODUCT(D3523:G3523)</f>
        <v>-11.700000000000001</v>
      </c>
      <c r="J3523" s="253" t="inlineStr">
        <is>
          <t xml:space="preserve">-6*1.5*1.3</t>
        </is>
      </c>
    </row>
    <row r="3524">
      <c r="C3524" s="246" t="inlineStr">
        <is>
          <t xml:space="preserve">Ddt opening W12 (4 nr, 1.5x1.15)</t>
        </is>
      </c>
      <c r="D3524" s="248">
        <v>4</v>
      </c>
      <c r="E3524" s="247">
        <v>1.5</v>
      </c>
      <c r="F3524" s="247">
        <v>1.15</v>
      </c>
      <c r="H3524" s="249">
        <f>-PRODUCT(D3524:G3524)</f>
        <v>-6.8999999999999995</v>
      </c>
      <c r="J3524" s="253" t="inlineStr">
        <is>
          <t xml:space="preserve">-4*1.5*1.15</t>
        </is>
      </c>
    </row>
    <row r="3525">
      <c r="C3525" s="246" t="inlineStr">
        <is>
          <t xml:space="preserve">Ddt opening W13 (1 nr, 2.4x1.3)</t>
        </is>
      </c>
      <c r="D3525" s="248">
        <v>1</v>
      </c>
      <c r="E3525" s="247">
        <v>2.4</v>
      </c>
      <c r="F3525" s="247">
        <v>1.3</v>
      </c>
      <c r="H3525" s="249">
        <f>-PRODUCT(D3525:G3525)</f>
        <v>-3.12</v>
      </c>
      <c r="J3525" s="253" t="inlineStr">
        <is>
          <t xml:space="preserve">-1*2.4*1.3</t>
        </is>
      </c>
    </row>
    <row r="3526">
      <c r="C3526" s="246" t="inlineStr">
        <is>
          <t xml:space="preserve">Ddt opening W15 (1 nr, 3x1.6)</t>
        </is>
      </c>
      <c r="D3526" s="248">
        <v>1</v>
      </c>
      <c r="E3526" s="247">
        <v>3</v>
      </c>
      <c r="F3526" s="247">
        <v>1.6</v>
      </c>
      <c r="H3526" s="249">
        <f>-PRODUCT(D3526:G3526)</f>
        <v>-4.800000000000001</v>
      </c>
      <c r="J3526" s="253" t="inlineStr">
        <is>
          <t xml:space="preserve">-1*3*1.6</t>
        </is>
      </c>
    </row>
    <row r="3527">
      <c r="C3527" s="246" t="inlineStr">
        <is>
          <t xml:space="preserve">Ddt opening W17 (3 nr, 1.8x1.9)</t>
        </is>
      </c>
      <c r="D3527" s="248">
        <v>3</v>
      </c>
      <c r="E3527" s="247">
        <v>1.8</v>
      </c>
      <c r="F3527" s="247">
        <v>1.9</v>
      </c>
      <c r="H3527" s="249">
        <f>-PRODUCT(D3527:G3527)</f>
        <v>-10.26</v>
      </c>
      <c r="J3527" s="253" t="inlineStr">
        <is>
          <t xml:space="preserve">-3*1.8*1.9</t>
        </is>
      </c>
    </row>
    <row r="3528">
      <c r="C3528" s="246" t="inlineStr">
        <is>
          <t xml:space="preserve">Ddt opening W18 (1 nr, 0.75x1.3)</t>
        </is>
      </c>
      <c r="D3528" s="248">
        <v>1</v>
      </c>
      <c r="E3528" s="247">
        <v>0.75</v>
      </c>
      <c r="F3528" s="247">
        <v>1.3</v>
      </c>
      <c r="H3528" s="249">
        <f>-PRODUCT(D3528:G3528)</f>
        <v>-0.9750000000000001</v>
      </c>
      <c r="J3528" s="253" t="inlineStr">
        <is>
          <t xml:space="preserve">-1*0.75*1.3</t>
        </is>
      </c>
    </row>
    <row r="3529">
      <c r="C3529" s="246" t="inlineStr">
        <is>
          <t xml:space="preserve">Ddt opening W20 (1 nr, 1.45x1.9)</t>
        </is>
      </c>
      <c r="D3529" s="248">
        <v>1</v>
      </c>
      <c r="E3529" s="247">
        <v>1.45</v>
      </c>
      <c r="F3529" s="247">
        <v>1.9</v>
      </c>
      <c r="H3529" s="249">
        <f>-PRODUCT(D3529:G3529)</f>
        <v>-2.755</v>
      </c>
      <c r="J3529" s="253" t="inlineStr">
        <is>
          <t xml:space="preserve">-1*1.45*1.9</t>
        </is>
      </c>
    </row>
    <row r="3530">
      <c r="C3530" s="246" t="inlineStr">
        <is>
          <t xml:space="preserve">Ddt opening HW1 (13 nr, 0.9x0.6)</t>
        </is>
      </c>
      <c r="D3530" s="248">
        <v>13</v>
      </c>
      <c r="E3530" s="247">
        <v>0.9</v>
      </c>
      <c r="F3530" s="247">
        <v>0.6</v>
      </c>
      <c r="H3530" s="249">
        <f>-PRODUCT(D3530:G3530)</f>
        <v>-7.0200000000000005</v>
      </c>
      <c r="J3530" s="253" t="inlineStr">
        <is>
          <t xml:space="preserve">-13*0.9*0.6</t>
        </is>
      </c>
    </row>
    <row r="3531">
      <c r="C3531" s="246" t="inlineStr">
        <is>
          <t xml:space="preserve">Ddt opening HW2 (5 nr, 0.75x0.6)</t>
        </is>
      </c>
      <c r="D3531" s="248">
        <v>5</v>
      </c>
      <c r="E3531" s="247">
        <v>0.75</v>
      </c>
      <c r="F3531" s="247">
        <v>0.6</v>
      </c>
      <c r="H3531" s="249">
        <f>-PRODUCT(D3531:G3531)</f>
        <v>-2.25</v>
      </c>
      <c r="J3531" s="253" t="inlineStr">
        <is>
          <t xml:space="preserve">-5*0.75*0.6</t>
        </is>
      </c>
    </row>
    <row r="3532">
      <c r="C3532" s="246" t="inlineStr">
        <is>
          <t xml:space="preserve">Ddt opening HW3 (2 nr, 0.6x0.6)</t>
        </is>
      </c>
      <c r="D3532" s="248">
        <v>2</v>
      </c>
      <c r="E3532" s="247">
        <v>0.6</v>
      </c>
      <c r="F3532" s="247">
        <v>0.6</v>
      </c>
      <c r="H3532" s="249">
        <f>-PRODUCT(D3532:G3532)</f>
        <v>-0.72</v>
      </c>
      <c r="J3532" s="253" t="inlineStr">
        <is>
          <t xml:space="preserve">-2*0.6*0.6</t>
        </is>
      </c>
    </row>
    <row r="3533">
      <c r="C3533" s="246" t="inlineStr">
        <is>
          <t xml:space="preserve">Ddt opening HW4 (2 nr, 1.2x0.6)</t>
        </is>
      </c>
      <c r="D3533" s="248">
        <v>2</v>
      </c>
      <c r="E3533" s="247">
        <v>1.2</v>
      </c>
      <c r="F3533" s="247">
        <v>0.6</v>
      </c>
      <c r="H3533" s="249">
        <f>-PRODUCT(D3533:G3533)</f>
        <v>-1.44</v>
      </c>
      <c r="J3533" s="253" t="inlineStr">
        <is>
          <t xml:space="preserve">-2*1.2*0.6</t>
        </is>
      </c>
    </row>
    <row r="3534">
      <c r="C3534" s="250" t="inlineStr">
        <is>
          <t xml:space="preserve">Total carried to BOQ  6TH FLR item A</t>
        </is>
      </c>
      <c r="D3534" s="250" t="inlineStr">
        <is>
          <t xml:space="preserve"/>
        </is>
      </c>
      <c r="E3534" s="250" t="inlineStr">
        <is>
          <t xml:space="preserve"/>
        </is>
      </c>
      <c r="F3534" s="250" t="inlineStr">
        <is>
          <t xml:space="preserve"/>
        </is>
      </c>
      <c r="G3534" s="250" t="inlineStr">
        <is>
          <t xml:space="preserve"/>
        </is>
      </c>
      <c r="H3534" s="251">
        <f>SUM(H3494:H3533)</f>
        <v>1965.127368421053</v>
      </c>
      <c r="I3534" s="252" t="inlineStr">
        <is>
          <t xml:space="preserve">m2</t>
        </is>
      </c>
    </row>
    <row r="3535">
      <c r="A3535" s="243" t="inlineStr">
        <is>
          <t xml:space="preserve">6TH FLR</t>
        </is>
      </c>
      <c r="B3535" s="243" t="inlineStr">
        <is>
          <t xml:space="preserve">B</t>
        </is>
      </c>
      <c r="C3535" s="244" t="inlineStr">
        <is>
          <t xml:space="preserve">Interior partitions and washrooms (above wall tiling)</t>
        </is>
      </c>
      <c r="I3535" s="245" t="inlineStr">
        <is>
          <t xml:space="preserve">m2</t>
        </is>
      </c>
      <c r="K3535" s="256" t="inlineStr">
        <is>
          <t xml:space="preserve">'6TH FLR  '!C235</t>
        </is>
      </c>
    </row>
    <row r="3536">
      <c r="C3536" s="246" t="inlineStr">
        <is>
          <t xml:space="preserve">washroom walls: (wet area / 3.8 m2 per WC) x 8.0 m girth x ht</t>
        </is>
      </c>
      <c r="E3536" s="247">
        <f>61.4/3.8</f>
        <v>16.157894736842106</v>
      </c>
      <c r="F3536" s="247">
        <v>8.0</v>
      </c>
      <c r="G3536" s="247">
        <v>3.05</v>
      </c>
      <c r="H3536" s="249">
        <f>PRODUCT(D3536:G3536)</f>
        <v>394.2526315789474</v>
      </c>
      <c r="J3536" s="253" t="inlineStr">
        <is>
          <t xml:space="preserve">61.4/3.8*8.0*3.05</t>
        </is>
      </c>
    </row>
    <row r="3537">
      <c r="C3537" s="246" t="inlineStr">
        <is>
          <t xml:space="preserve">Ddt washroom doors: nr x 0.75 x 2.2</t>
        </is>
      </c>
      <c r="E3537" s="247">
        <f>61.4/3.8</f>
        <v>16.157894736842106</v>
      </c>
      <c r="F3537" s="247">
        <v>0.75</v>
      </c>
      <c r="G3537" s="247">
        <v>2.2</v>
      </c>
      <c r="H3537" s="249">
        <f>-PRODUCT(D3537:G3537)</f>
        <v>-26.660526315789475</v>
      </c>
      <c r="J3537" s="253" t="inlineStr">
        <is>
          <t xml:space="preserve">-61.4/3.8*0.75*2.2</t>
        </is>
      </c>
    </row>
    <row r="3538">
      <c r="C3538" s="246" t="inlineStr">
        <is>
          <t xml:space="preserve">Ddt washroom walls: (wet area / 3.8 m2 per WC) x 8.0 m girth x ht</t>
        </is>
      </c>
      <c r="E3538" s="247">
        <f>61.4/3.8</f>
        <v>16.157894736842106</v>
      </c>
      <c r="F3538" s="247">
        <v>8.0</v>
      </c>
      <c r="G3538" s="247">
        <v>2.4</v>
      </c>
      <c r="H3538" s="249">
        <f>-PRODUCT(D3538:G3538)</f>
        <v>-310.2315789473684</v>
      </c>
      <c r="J3538" s="253" t="inlineStr">
        <is>
          <t xml:space="preserve">-61.4/3.8*8.0*2.4</t>
        </is>
      </c>
    </row>
    <row r="3539">
      <c r="C3539" s="246" t="inlineStr">
        <is>
          <t xml:space="preserve">washroom doors: nr x 0.75 x 2.2</t>
        </is>
      </c>
      <c r="E3539" s="247">
        <f>61.4/3.8</f>
        <v>16.157894736842106</v>
      </c>
      <c r="F3539" s="247">
        <v>0.75</v>
      </c>
      <c r="G3539" s="247">
        <v>2.2</v>
      </c>
      <c r="H3539" s="249">
        <f>PRODUCT(D3539:G3539)</f>
        <v>26.660526315789475</v>
      </c>
      <c r="J3539" s="253" t="inlineStr">
        <is>
          <t xml:space="preserve">61.4/3.8*0.75*2.2</t>
        </is>
      </c>
    </row>
    <row r="3540">
      <c r="C3540" s="250" t="inlineStr">
        <is>
          <t xml:space="preserve">Total carried to BOQ  6TH FLR item B</t>
        </is>
      </c>
      <c r="D3540" s="250" t="inlineStr">
        <is>
          <t xml:space="preserve"/>
        </is>
      </c>
      <c r="E3540" s="250" t="inlineStr">
        <is>
          <t xml:space="preserve"/>
        </is>
      </c>
      <c r="F3540" s="250" t="inlineStr">
        <is>
          <t xml:space="preserve"/>
        </is>
      </c>
      <c r="G3540" s="250" t="inlineStr">
        <is>
          <t xml:space="preserve"/>
        </is>
      </c>
      <c r="H3540" s="251">
        <f>SUM(H3536:H3539)</f>
        <v>84.02105263157898</v>
      </c>
      <c r="I3540" s="252" t="inlineStr">
        <is>
          <t xml:space="preserve">m2</t>
        </is>
      </c>
    </row>
    <row r="3541">
      <c r="A3541" s="243" t="inlineStr">
        <is>
          <t xml:space="preserve">6TH FLR</t>
        </is>
      </c>
      <c r="B3541" s="243" t="inlineStr">
        <is>
          <t xml:space="preserve">C</t>
        </is>
      </c>
      <c r="C3541" s="244" t="inlineStr">
        <is>
          <t xml:space="preserve">Exterior walls</t>
        </is>
      </c>
      <c r="I3541" s="245" t="inlineStr">
        <is>
          <t xml:space="preserve">m2</t>
        </is>
      </c>
      <c r="K3541" s="256" t="inlineStr">
        <is>
          <t xml:space="preserve">'6TH FLR  '!C237</t>
        </is>
      </c>
    </row>
    <row r="3542">
      <c r="C3542" s="246" t="inlineStr">
        <is>
          <t xml:space="preserve">External perimeter x storey ht</t>
        </is>
      </c>
      <c r="E3542" s="247">
        <v>224.2</v>
      </c>
      <c r="F3542" s="247">
        <v>3.3</v>
      </c>
      <c r="H3542" s="249">
        <f>PRODUCT(D3542:G3542)</f>
        <v>739.8599999999999</v>
      </c>
      <c r="J3542" s="253" t="inlineStr">
        <is>
          <t xml:space="preserve">224.2*3.3</t>
        </is>
      </c>
    </row>
    <row r="3543">
      <c r="C3543" s="246" t="inlineStr">
        <is>
          <t xml:space="preserve">Ddt window W2 (6 nr, 1.8x1.3)</t>
        </is>
      </c>
      <c r="D3543" s="248">
        <v>6</v>
      </c>
      <c r="E3543" s="247">
        <v>1.8</v>
      </c>
      <c r="F3543" s="247">
        <v>1.3</v>
      </c>
      <c r="H3543" s="249">
        <f>-PRODUCT(D3543:G3543)</f>
        <v>-14.040000000000001</v>
      </c>
      <c r="J3543" s="253" t="inlineStr">
        <is>
          <t xml:space="preserve">-6*1.8*1.3</t>
        </is>
      </c>
    </row>
    <row r="3544">
      <c r="C3544" s="246" t="inlineStr">
        <is>
          <t xml:space="preserve">Ddt window W4 (10 nr, 0.9x1.3)</t>
        </is>
      </c>
      <c r="D3544" s="248">
        <v>10</v>
      </c>
      <c r="E3544" s="247">
        <v>0.9</v>
      </c>
      <c r="F3544" s="247">
        <v>1.3</v>
      </c>
      <c r="H3544" s="249">
        <f>-PRODUCT(D3544:G3544)</f>
        <v>-11.700000000000001</v>
      </c>
      <c r="J3544" s="253" t="inlineStr">
        <is>
          <t xml:space="preserve">-10*0.9*1.3</t>
        </is>
      </c>
    </row>
    <row r="3545">
      <c r="C3545" s="246" t="inlineStr">
        <is>
          <t xml:space="preserve">Ddt window W7 (2 nr, 1.8x1.6)</t>
        </is>
      </c>
      <c r="D3545" s="248">
        <v>2</v>
      </c>
      <c r="E3545" s="247">
        <v>1.8</v>
      </c>
      <c r="F3545" s="247">
        <v>1.6</v>
      </c>
      <c r="H3545" s="249">
        <f>-PRODUCT(D3545:G3545)</f>
        <v>-5.760000000000001</v>
      </c>
      <c r="J3545" s="253" t="inlineStr">
        <is>
          <t xml:space="preserve">-2*1.8*1.6</t>
        </is>
      </c>
    </row>
    <row r="3546">
      <c r="C3546" s="246" t="inlineStr">
        <is>
          <t xml:space="preserve">Ddt window W8 (3 nr, 1.2x1.9)</t>
        </is>
      </c>
      <c r="D3546" s="248">
        <v>3</v>
      </c>
      <c r="E3546" s="247">
        <v>1.2</v>
      </c>
      <c r="F3546" s="247">
        <v>1.9</v>
      </c>
      <c r="H3546" s="249">
        <f>-PRODUCT(D3546:G3546)</f>
        <v>-6.839999999999999</v>
      </c>
      <c r="J3546" s="253" t="inlineStr">
        <is>
          <t xml:space="preserve">-3*1.2*1.9</t>
        </is>
      </c>
    </row>
    <row r="3547">
      <c r="C3547" s="246" t="inlineStr">
        <is>
          <t xml:space="preserve">Ddt window W9 (8 nr, 1.2x1.15)</t>
        </is>
      </c>
      <c r="D3547" s="248">
        <v>8</v>
      </c>
      <c r="E3547" s="247">
        <v>1.2</v>
      </c>
      <c r="F3547" s="247">
        <v>1.15</v>
      </c>
      <c r="H3547" s="249">
        <f>-PRODUCT(D3547:G3547)</f>
        <v>-11.04</v>
      </c>
      <c r="J3547" s="253" t="inlineStr">
        <is>
          <t xml:space="preserve">-8*1.2*1.15</t>
        </is>
      </c>
    </row>
    <row r="3548">
      <c r="C3548" s="246" t="inlineStr">
        <is>
          <t xml:space="preserve">Ddt window W10 (1 nr, 1.2x1.2)</t>
        </is>
      </c>
      <c r="D3548" s="248">
        <v>1</v>
      </c>
      <c r="E3548" s="247">
        <v>1.2</v>
      </c>
      <c r="F3548" s="247">
        <v>1.2</v>
      </c>
      <c r="H3548" s="249">
        <f>-PRODUCT(D3548:G3548)</f>
        <v>-1.44</v>
      </c>
      <c r="J3548" s="253" t="inlineStr">
        <is>
          <t xml:space="preserve">-1*1.2*1.2</t>
        </is>
      </c>
    </row>
    <row r="3549">
      <c r="C3549" s="246" t="inlineStr">
        <is>
          <t xml:space="preserve">Ddt window W11 (6 nr, 1.5x1.3)</t>
        </is>
      </c>
      <c r="D3549" s="248">
        <v>6</v>
      </c>
      <c r="E3549" s="247">
        <v>1.5</v>
      </c>
      <c r="F3549" s="247">
        <v>1.3</v>
      </c>
      <c r="H3549" s="249">
        <f>-PRODUCT(D3549:G3549)</f>
        <v>-11.700000000000001</v>
      </c>
      <c r="J3549" s="253" t="inlineStr">
        <is>
          <t xml:space="preserve">-6*1.5*1.3</t>
        </is>
      </c>
    </row>
    <row r="3550">
      <c r="C3550" s="246" t="inlineStr">
        <is>
          <t xml:space="preserve">Ddt window W12 (4 nr, 1.5x1.15)</t>
        </is>
      </c>
      <c r="D3550" s="248">
        <v>4</v>
      </c>
      <c r="E3550" s="247">
        <v>1.5</v>
      </c>
      <c r="F3550" s="247">
        <v>1.15</v>
      </c>
      <c r="H3550" s="249">
        <f>-PRODUCT(D3550:G3550)</f>
        <v>-6.8999999999999995</v>
      </c>
      <c r="J3550" s="253" t="inlineStr">
        <is>
          <t xml:space="preserve">-4*1.5*1.15</t>
        </is>
      </c>
    </row>
    <row r="3551">
      <c r="C3551" s="246" t="inlineStr">
        <is>
          <t xml:space="preserve">Ddt window W13 (1 nr, 2.4x1.3)</t>
        </is>
      </c>
      <c r="D3551" s="248">
        <v>1</v>
      </c>
      <c r="E3551" s="247">
        <v>2.4</v>
      </c>
      <c r="F3551" s="247">
        <v>1.3</v>
      </c>
      <c r="H3551" s="249">
        <f>-PRODUCT(D3551:G3551)</f>
        <v>-3.12</v>
      </c>
      <c r="J3551" s="253" t="inlineStr">
        <is>
          <t xml:space="preserve">-1*2.4*1.3</t>
        </is>
      </c>
    </row>
    <row r="3552">
      <c r="C3552" s="246" t="inlineStr">
        <is>
          <t xml:space="preserve">Ddt window W15 (1 nr, 3x1.6)</t>
        </is>
      </c>
      <c r="D3552" s="248">
        <v>1</v>
      </c>
      <c r="E3552" s="247">
        <v>3</v>
      </c>
      <c r="F3552" s="247">
        <v>1.6</v>
      </c>
      <c r="H3552" s="249">
        <f>-PRODUCT(D3552:G3552)</f>
        <v>-4.800000000000001</v>
      </c>
      <c r="J3552" s="253" t="inlineStr">
        <is>
          <t xml:space="preserve">-1*3*1.6</t>
        </is>
      </c>
    </row>
    <row r="3553">
      <c r="C3553" s="246" t="inlineStr">
        <is>
          <t xml:space="preserve">Ddt window W17 (3 nr, 1.8x1.9)</t>
        </is>
      </c>
      <c r="D3553" s="248">
        <v>3</v>
      </c>
      <c r="E3553" s="247">
        <v>1.8</v>
      </c>
      <c r="F3553" s="247">
        <v>1.9</v>
      </c>
      <c r="H3553" s="249">
        <f>-PRODUCT(D3553:G3553)</f>
        <v>-10.26</v>
      </c>
      <c r="J3553" s="253" t="inlineStr">
        <is>
          <t xml:space="preserve">-3*1.8*1.9</t>
        </is>
      </c>
    </row>
    <row r="3554">
      <c r="C3554" s="246" t="inlineStr">
        <is>
          <t xml:space="preserve">Ddt window W18 (1 nr, 0.75x1.3)</t>
        </is>
      </c>
      <c r="D3554" s="248">
        <v>1</v>
      </c>
      <c r="E3554" s="247">
        <v>0.75</v>
      </c>
      <c r="F3554" s="247">
        <v>1.3</v>
      </c>
      <c r="H3554" s="249">
        <f>-PRODUCT(D3554:G3554)</f>
        <v>-0.9750000000000001</v>
      </c>
      <c r="J3554" s="253" t="inlineStr">
        <is>
          <t xml:space="preserve">-1*0.75*1.3</t>
        </is>
      </c>
    </row>
    <row r="3555">
      <c r="C3555" s="246" t="inlineStr">
        <is>
          <t xml:space="preserve">Ddt window W20 (1 nr, 1.45x1.9)</t>
        </is>
      </c>
      <c r="D3555" s="248">
        <v>1</v>
      </c>
      <c r="E3555" s="247">
        <v>1.45</v>
      </c>
      <c r="F3555" s="247">
        <v>1.9</v>
      </c>
      <c r="H3555" s="249">
        <f>-PRODUCT(D3555:G3555)</f>
        <v>-2.755</v>
      </c>
      <c r="J3555" s="253" t="inlineStr">
        <is>
          <t xml:space="preserve">-1*1.45*1.9</t>
        </is>
      </c>
    </row>
    <row r="3556">
      <c r="C3556" s="246" t="inlineStr">
        <is>
          <t xml:space="preserve">Ddt window HW1 (13 nr, 0.9x0.6)</t>
        </is>
      </c>
      <c r="D3556" s="248">
        <v>13</v>
      </c>
      <c r="E3556" s="247">
        <v>0.9</v>
      </c>
      <c r="F3556" s="247">
        <v>0.6</v>
      </c>
      <c r="H3556" s="249">
        <f>-PRODUCT(D3556:G3556)</f>
        <v>-7.0200000000000005</v>
      </c>
      <c r="J3556" s="253" t="inlineStr">
        <is>
          <t xml:space="preserve">-13*0.9*0.6</t>
        </is>
      </c>
    </row>
    <row r="3557">
      <c r="C3557" s="246" t="inlineStr">
        <is>
          <t xml:space="preserve">Ddt window HW2 (5 nr, 0.75x0.6)</t>
        </is>
      </c>
      <c r="D3557" s="248">
        <v>5</v>
      </c>
      <c r="E3557" s="247">
        <v>0.75</v>
      </c>
      <c r="F3557" s="247">
        <v>0.6</v>
      </c>
      <c r="H3557" s="249">
        <f>-PRODUCT(D3557:G3557)</f>
        <v>-2.25</v>
      </c>
      <c r="J3557" s="253" t="inlineStr">
        <is>
          <t xml:space="preserve">-5*0.75*0.6</t>
        </is>
      </c>
    </row>
    <row r="3558">
      <c r="C3558" s="246" t="inlineStr">
        <is>
          <t xml:space="preserve">Ddt window HW3 (2 nr, 0.6x0.6)</t>
        </is>
      </c>
      <c r="D3558" s="248">
        <v>2</v>
      </c>
      <c r="E3558" s="247">
        <v>0.6</v>
      </c>
      <c r="F3558" s="247">
        <v>0.6</v>
      </c>
      <c r="H3558" s="249">
        <f>-PRODUCT(D3558:G3558)</f>
        <v>-0.72</v>
      </c>
      <c r="J3558" s="253" t="inlineStr">
        <is>
          <t xml:space="preserve">-2*0.6*0.6</t>
        </is>
      </c>
    </row>
    <row r="3559">
      <c r="C3559" s="246" t="inlineStr">
        <is>
          <t xml:space="preserve">Ddt window HW4 (2 nr, 1.2x0.6)</t>
        </is>
      </c>
      <c r="D3559" s="248">
        <v>2</v>
      </c>
      <c r="E3559" s="247">
        <v>1.2</v>
      </c>
      <c r="F3559" s="247">
        <v>0.6</v>
      </c>
      <c r="H3559" s="249">
        <f>-PRODUCT(D3559:G3559)</f>
        <v>-1.44</v>
      </c>
      <c r="J3559" s="253" t="inlineStr">
        <is>
          <t xml:space="preserve">-2*1.2*0.6</t>
        </is>
      </c>
    </row>
    <row r="3560">
      <c r="C3560" s="250" t="inlineStr">
        <is>
          <t xml:space="preserve">Total carried to BOQ  6TH FLR item C</t>
        </is>
      </c>
      <c r="D3560" s="250" t="inlineStr">
        <is>
          <t xml:space="preserve"/>
        </is>
      </c>
      <c r="E3560" s="250" t="inlineStr">
        <is>
          <t xml:space="preserve"/>
        </is>
      </c>
      <c r="F3560" s="250" t="inlineStr">
        <is>
          <t xml:space="preserve"/>
        </is>
      </c>
      <c r="G3560" s="250" t="inlineStr">
        <is>
          <t xml:space="preserve"/>
        </is>
      </c>
      <c r="H3560" s="251">
        <f>SUM(H3542:H3559)</f>
        <v>637.0999999999998</v>
      </c>
      <c r="I3560" s="252" t="inlineStr">
        <is>
          <t xml:space="preserve">m2</t>
        </is>
      </c>
    </row>
    <row r="3561">
      <c r="A3561" s="243" t="inlineStr">
        <is>
          <t xml:space="preserve">6TH FLR</t>
        </is>
      </c>
      <c r="B3561" s="243" t="inlineStr">
        <is>
          <t xml:space="preserve">D</t>
        </is>
      </c>
      <c r="C3561" s="244" t="inlineStr">
        <is>
          <t xml:space="preserve">Soffit of plaster board ceilings</t>
        </is>
      </c>
      <c r="I3561" s="245" t="inlineStr">
        <is>
          <t xml:space="preserve">m2</t>
        </is>
      </c>
      <c r="K3561" s="256" t="inlineStr">
        <is>
          <t xml:space="preserve">'6TH FLR  '!C239</t>
        </is>
      </c>
    </row>
    <row r="3562">
      <c r="C3562" s="246" t="inlineStr">
        <is>
          <t xml:space="preserve">Sixth floor - Ceiling areas (measured)</t>
        </is>
      </c>
      <c r="H3562" s="247">
        <v>810.7</v>
      </c>
      <c r="J3562" s="253" t="inlineStr">
        <is>
          <t xml:space="preserve">810.7</t>
        </is>
      </c>
    </row>
    <row r="3563">
      <c r="C3563" s="250" t="inlineStr">
        <is>
          <t xml:space="preserve">Total carried to BOQ  6TH FLR item D</t>
        </is>
      </c>
      <c r="D3563" s="250" t="inlineStr">
        <is>
          <t xml:space="preserve"/>
        </is>
      </c>
      <c r="E3563" s="250" t="inlineStr">
        <is>
          <t xml:space="preserve"/>
        </is>
      </c>
      <c r="F3563" s="250" t="inlineStr">
        <is>
          <t xml:space="preserve"/>
        </is>
      </c>
      <c r="G3563" s="250" t="inlineStr">
        <is>
          <t xml:space="preserve"/>
        </is>
      </c>
      <c r="H3563" s="251">
        <f>SUM(H3562:H3562)</f>
        <v>810.7</v>
      </c>
      <c r="I3563" s="252" t="inlineStr">
        <is>
          <t xml:space="preserve">m2</t>
        </is>
      </c>
    </row>
    <row r="3564">
      <c r="A3564" s="243" t="inlineStr">
        <is>
          <t xml:space="preserve">6TH FLR</t>
        </is>
      </c>
      <c r="B3564" s="243" t="inlineStr">
        <is>
          <t xml:space="preserve">E</t>
        </is>
      </c>
      <c r="C3564" s="244" t="inlineStr">
        <is>
          <t xml:space="preserve">Soffit of plaster board ceilings for washrooms</t>
        </is>
      </c>
      <c r="I3564" s="245" t="inlineStr">
        <is>
          <t xml:space="preserve">m2</t>
        </is>
      </c>
      <c r="K3564" s="256" t="inlineStr">
        <is>
          <t xml:space="preserve">'6TH FLR  '!C241</t>
        </is>
      </c>
    </row>
    <row r="3565">
      <c r="C3565" s="246" t="inlineStr">
        <is>
          <t xml:space="preserve">Sixth floor - Washroom ceiling areas (measured)</t>
        </is>
      </c>
      <c r="H3565" s="247">
        <v>61.4</v>
      </c>
      <c r="J3565" s="253" t="inlineStr">
        <is>
          <t xml:space="preserve">61.4</t>
        </is>
      </c>
    </row>
    <row r="3566">
      <c r="C3566" s="250" t="inlineStr">
        <is>
          <t xml:space="preserve">Total carried to BOQ  6TH FLR item E</t>
        </is>
      </c>
      <c r="D3566" s="250" t="inlineStr">
        <is>
          <t xml:space="preserve"/>
        </is>
      </c>
      <c r="E3566" s="250" t="inlineStr">
        <is>
          <t xml:space="preserve"/>
        </is>
      </c>
      <c r="F3566" s="250" t="inlineStr">
        <is>
          <t xml:space="preserve"/>
        </is>
      </c>
      <c r="G3566" s="250" t="inlineStr">
        <is>
          <t xml:space="preserve"/>
        </is>
      </c>
      <c r="H3566" s="251">
        <f>SUM(H3565:H3565)</f>
        <v>61.4</v>
      </c>
      <c r="I3566" s="252" t="inlineStr">
        <is>
          <t xml:space="preserve">m2</t>
        </is>
      </c>
    </row>
    <row r="3567" ht="32.2" customHeight="1">
      <c r="A3567" s="243" t="inlineStr">
        <is>
          <t xml:space="preserve">6TH FLR</t>
        </is>
      </c>
      <c r="B3567" s="243" t="inlineStr">
        <is>
          <t xml:space="preserve">F</t>
        </is>
      </c>
      <c r="C3567" s="244" t="inlineStr">
        <is>
          <t xml:space="preserve">Knot, prime, stop and apply two undercoats and one finishing coat of gloss oil paint on general surfaces of woodwork</t>
        </is>
      </c>
      <c r="I3567" s="245" t="inlineStr">
        <is>
          <t xml:space="preserve">m2</t>
        </is>
      </c>
      <c r="K3567" s="256" t="inlineStr">
        <is>
          <t xml:space="preserve">'6TH FLR  '!C243</t>
        </is>
      </c>
    </row>
    <row r="3568">
      <c r="C3568" s="246" t="inlineStr">
        <is>
          <t xml:space="preserve">Door leaf D3 (15 nr, 0.9x2.2): nr x w x h x 2 faces</t>
        </is>
      </c>
      <c r="D3568" s="248">
        <v>15</v>
      </c>
      <c r="E3568" s="247">
        <v>0.9</v>
      </c>
      <c r="F3568" s="247">
        <v>2.2</v>
      </c>
      <c r="G3568" s="247">
        <v>2</v>
      </c>
      <c r="H3568" s="249">
        <f>PRODUCT(D3568:G3568)</f>
        <v>59.400000000000006</v>
      </c>
      <c r="J3568" s="253" t="inlineStr">
        <is>
          <t xml:space="preserve">15*0.9*2.2*2</t>
        </is>
      </c>
    </row>
    <row r="3569">
      <c r="C3569" s="246" t="inlineStr">
        <is>
          <t xml:space="preserve">Door leaf D6 (21 nr, 0.75x2.2): nr x w x h x 2 faces</t>
        </is>
      </c>
      <c r="D3569" s="248">
        <v>21</v>
      </c>
      <c r="E3569" s="247">
        <v>0.75</v>
      </c>
      <c r="F3569" s="247">
        <v>2.2</v>
      </c>
      <c r="G3569" s="247">
        <v>2</v>
      </c>
      <c r="H3569" s="249">
        <f>PRODUCT(D3569:G3569)</f>
        <v>69.30000000000001</v>
      </c>
      <c r="J3569" s="253" t="inlineStr">
        <is>
          <t xml:space="preserve">21*0.75*2.2*2</t>
        </is>
      </c>
    </row>
    <row r="3570">
      <c r="C3570" s="246" t="inlineStr">
        <is>
          <t xml:space="preserve">Door leaf FD1 (1 nr, 1.5x2.2): nr x w x h x 2 faces</t>
        </is>
      </c>
      <c r="D3570" s="248">
        <v>1</v>
      </c>
      <c r="E3570" s="247">
        <v>1.5</v>
      </c>
      <c r="F3570" s="247">
        <v>2.2</v>
      </c>
      <c r="G3570" s="247">
        <v>2</v>
      </c>
      <c r="H3570" s="249">
        <f>PRODUCT(D3570:G3570)</f>
        <v>6.6000000000000005</v>
      </c>
      <c r="J3570" s="253" t="inlineStr">
        <is>
          <t xml:space="preserve">1*1.5*2.2*2</t>
        </is>
      </c>
    </row>
    <row r="3571">
      <c r="C3571" s="246" t="inlineStr">
        <is>
          <t xml:space="preserve">15*(2*2.2+0.9)*0.25</t>
        </is>
      </c>
      <c r="D3571" s="248">
        <v>15</v>
      </c>
      <c r="E3571" s="247">
        <f>2*2.2+0.9</f>
        <v>5.300000000000001</v>
      </c>
      <c r="F3571" s="247">
        <v>0.25</v>
      </c>
      <c r="H3571" s="249">
        <f>PRODUCT(D3571:G3571)</f>
        <v>19.875000000000004</v>
      </c>
      <c r="J3571" s="253" t="inlineStr">
        <is>
          <t xml:space="preserve">15*(2*2.2+0.9)*0.25</t>
        </is>
      </c>
    </row>
    <row r="3572">
      <c r="C3572" s="246" t="inlineStr">
        <is>
          <t xml:space="preserve">21*(2*2.2+0.75)*0.25</t>
        </is>
      </c>
      <c r="D3572" s="248">
        <v>21</v>
      </c>
      <c r="E3572" s="247">
        <f>2*2.2+0.75</f>
        <v>5.15</v>
      </c>
      <c r="F3572" s="247">
        <v>0.25</v>
      </c>
      <c r="H3572" s="249">
        <f>PRODUCT(D3572:G3572)</f>
        <v>27.0375</v>
      </c>
      <c r="J3572" s="253" t="inlineStr">
        <is>
          <t xml:space="preserve">21*(2*2.2+0.75)*0.25</t>
        </is>
      </c>
    </row>
    <row r="3573">
      <c r="C3573" s="246" t="inlineStr">
        <is>
          <t xml:space="preserve">1*(2*2.2+1.5)*0.25</t>
        </is>
      </c>
      <c r="D3573" s="248">
        <v>1</v>
      </c>
      <c r="E3573" s="247">
        <f>2*2.2+1.5</f>
        <v>5.9</v>
      </c>
      <c r="F3573" s="247">
        <v>0.25</v>
      </c>
      <c r="H3573" s="249">
        <f>PRODUCT(D3573:G3573)</f>
        <v>1.475</v>
      </c>
      <c r="J3573" s="253" t="inlineStr">
        <is>
          <t xml:space="preserve">1*(2*2.2+1.5)*0.25</t>
        </is>
      </c>
    </row>
    <row r="3574">
      <c r="C3574" s="250" t="inlineStr">
        <is>
          <t xml:space="preserve">Total carried to BOQ  6TH FLR item F</t>
        </is>
      </c>
      <c r="D3574" s="250" t="inlineStr">
        <is>
          <t xml:space="preserve"/>
        </is>
      </c>
      <c r="E3574" s="250" t="inlineStr">
        <is>
          <t xml:space="preserve"/>
        </is>
      </c>
      <c r="F3574" s="250" t="inlineStr">
        <is>
          <t xml:space="preserve"/>
        </is>
      </c>
      <c r="G3574" s="250" t="inlineStr">
        <is>
          <t xml:space="preserve"/>
        </is>
      </c>
      <c r="H3574" s="251">
        <f>SUM(H3568:H3573)</f>
        <v>183.6875</v>
      </c>
      <c r="I3574" s="252" t="inlineStr">
        <is>
          <t xml:space="preserve">m2</t>
        </is>
      </c>
    </row>
    <row r="3575" ht="32.2" customHeight="1">
      <c r="A3575" s="243" t="inlineStr">
        <is>
          <t xml:space="preserve">6TH FLR</t>
        </is>
      </c>
      <c r="B3575" s="243" t="inlineStr">
        <is>
          <t xml:space="preserve">G</t>
        </is>
      </c>
      <c r="C3575" s="244" t="inlineStr">
        <is>
          <t xml:space="preserve">Prepare and apply one coat of aluminium primer on mild steel burglar-proof bars (measured over window opening area)</t>
        </is>
      </c>
      <c r="I3575" s="245" t="inlineStr">
        <is>
          <t xml:space="preserve">m2</t>
        </is>
      </c>
      <c r="K3575" s="256" t="inlineStr">
        <is>
          <t xml:space="preserve">'6TH FLR  '!C245</t>
        </is>
      </c>
    </row>
    <row r="3576">
      <c r="C3576" s="246" t="inlineStr">
        <is>
          <t xml:space="preserve">Window W2 (6 nr, 1.8x1.3): nr x w x h</t>
        </is>
      </c>
      <c r="D3576" s="248">
        <v>6</v>
      </c>
      <c r="E3576" s="247">
        <v>1.8</v>
      </c>
      <c r="F3576" s="247">
        <v>1.3</v>
      </c>
      <c r="H3576" s="249">
        <f>PRODUCT(D3576:G3576)</f>
        <v>14.040000000000001</v>
      </c>
      <c r="J3576" s="253" t="inlineStr">
        <is>
          <t xml:space="preserve">6*1.8*1.3</t>
        </is>
      </c>
    </row>
    <row r="3577">
      <c r="C3577" s="246" t="inlineStr">
        <is>
          <t xml:space="preserve">Window W4 (10 nr, 0.9x1.3): nr x w x h</t>
        </is>
      </c>
      <c r="D3577" s="248">
        <v>10</v>
      </c>
      <c r="E3577" s="247">
        <v>0.9</v>
      </c>
      <c r="F3577" s="247">
        <v>1.3</v>
      </c>
      <c r="H3577" s="249">
        <f>PRODUCT(D3577:G3577)</f>
        <v>11.700000000000001</v>
      </c>
      <c r="J3577" s="253" t="inlineStr">
        <is>
          <t xml:space="preserve">10*0.9*1.3</t>
        </is>
      </c>
    </row>
    <row r="3578">
      <c r="C3578" s="246" t="inlineStr">
        <is>
          <t xml:space="preserve">Window W7 (2 nr, 1.8x1.6): nr x w x h</t>
        </is>
      </c>
      <c r="D3578" s="248">
        <v>2</v>
      </c>
      <c r="E3578" s="247">
        <v>1.8</v>
      </c>
      <c r="F3578" s="247">
        <v>1.6</v>
      </c>
      <c r="H3578" s="249">
        <f>PRODUCT(D3578:G3578)</f>
        <v>5.760000000000001</v>
      </c>
      <c r="J3578" s="253" t="inlineStr">
        <is>
          <t xml:space="preserve">2*1.8*1.6</t>
        </is>
      </c>
    </row>
    <row r="3579">
      <c r="C3579" s="246" t="inlineStr">
        <is>
          <t xml:space="preserve">Window W8 (3 nr, 1.2x1.9): nr x w x h</t>
        </is>
      </c>
      <c r="D3579" s="248">
        <v>3</v>
      </c>
      <c r="E3579" s="247">
        <v>1.2</v>
      </c>
      <c r="F3579" s="247">
        <v>1.9</v>
      </c>
      <c r="H3579" s="249">
        <f>PRODUCT(D3579:G3579)</f>
        <v>6.839999999999999</v>
      </c>
      <c r="J3579" s="253" t="inlineStr">
        <is>
          <t xml:space="preserve">3*1.2*1.9</t>
        </is>
      </c>
    </row>
    <row r="3580">
      <c r="C3580" s="246" t="inlineStr">
        <is>
          <t xml:space="preserve">Window W9 (8 nr, 1.2x1.15): nr x w x h</t>
        </is>
      </c>
      <c r="D3580" s="248">
        <v>8</v>
      </c>
      <c r="E3580" s="247">
        <v>1.2</v>
      </c>
      <c r="F3580" s="247">
        <v>1.15</v>
      </c>
      <c r="H3580" s="249">
        <f>PRODUCT(D3580:G3580)</f>
        <v>11.04</v>
      </c>
      <c r="J3580" s="253" t="inlineStr">
        <is>
          <t xml:space="preserve">8*1.2*1.15</t>
        </is>
      </c>
    </row>
    <row r="3581">
      <c r="C3581" s="246" t="inlineStr">
        <is>
          <t xml:space="preserve">Window W10 (1 nr, 1.2x1.2): nr x w x h</t>
        </is>
      </c>
      <c r="D3581" s="248">
        <v>1</v>
      </c>
      <c r="E3581" s="247">
        <v>1.2</v>
      </c>
      <c r="F3581" s="247">
        <v>1.2</v>
      </c>
      <c r="H3581" s="249">
        <f>PRODUCT(D3581:G3581)</f>
        <v>1.44</v>
      </c>
      <c r="J3581" s="253" t="inlineStr">
        <is>
          <t xml:space="preserve">1*1.2*1.2</t>
        </is>
      </c>
    </row>
    <row r="3582">
      <c r="C3582" s="246" t="inlineStr">
        <is>
          <t xml:space="preserve">Window W11 (6 nr, 1.5x1.3): nr x w x h</t>
        </is>
      </c>
      <c r="D3582" s="248">
        <v>6</v>
      </c>
      <c r="E3582" s="247">
        <v>1.5</v>
      </c>
      <c r="F3582" s="247">
        <v>1.3</v>
      </c>
      <c r="H3582" s="249">
        <f>PRODUCT(D3582:G3582)</f>
        <v>11.700000000000001</v>
      </c>
      <c r="J3582" s="253" t="inlineStr">
        <is>
          <t xml:space="preserve">6*1.5*1.3</t>
        </is>
      </c>
    </row>
    <row r="3583">
      <c r="C3583" s="246" t="inlineStr">
        <is>
          <t xml:space="preserve">Window W12 (4 nr, 1.5x1.15): nr x w x h</t>
        </is>
      </c>
      <c r="D3583" s="248">
        <v>4</v>
      </c>
      <c r="E3583" s="247">
        <v>1.5</v>
      </c>
      <c r="F3583" s="247">
        <v>1.15</v>
      </c>
      <c r="H3583" s="249">
        <f>PRODUCT(D3583:G3583)</f>
        <v>6.8999999999999995</v>
      </c>
      <c r="J3583" s="253" t="inlineStr">
        <is>
          <t xml:space="preserve">4*1.5*1.15</t>
        </is>
      </c>
    </row>
    <row r="3584">
      <c r="C3584" s="246" t="inlineStr">
        <is>
          <t xml:space="preserve">Window W13 (1 nr, 2.4x1.3): nr x w x h</t>
        </is>
      </c>
      <c r="D3584" s="248">
        <v>1</v>
      </c>
      <c r="E3584" s="247">
        <v>2.4</v>
      </c>
      <c r="F3584" s="247">
        <v>1.3</v>
      </c>
      <c r="H3584" s="249">
        <f>PRODUCT(D3584:G3584)</f>
        <v>3.12</v>
      </c>
      <c r="J3584" s="253" t="inlineStr">
        <is>
          <t xml:space="preserve">1*2.4*1.3</t>
        </is>
      </c>
    </row>
    <row r="3585">
      <c r="C3585" s="246" t="inlineStr">
        <is>
          <t xml:space="preserve">Window W15 (1 nr, 3x1.6): nr x w x h</t>
        </is>
      </c>
      <c r="D3585" s="248">
        <v>1</v>
      </c>
      <c r="E3585" s="247">
        <v>3</v>
      </c>
      <c r="F3585" s="247">
        <v>1.6</v>
      </c>
      <c r="H3585" s="249">
        <f>PRODUCT(D3585:G3585)</f>
        <v>4.800000000000001</v>
      </c>
      <c r="J3585" s="253" t="inlineStr">
        <is>
          <t xml:space="preserve">1*3*1.6</t>
        </is>
      </c>
    </row>
    <row r="3586">
      <c r="C3586" s="246" t="inlineStr">
        <is>
          <t xml:space="preserve">Window W17 (3 nr, 1.8x1.9): nr x w x h</t>
        </is>
      </c>
      <c r="D3586" s="248">
        <v>3</v>
      </c>
      <c r="E3586" s="247">
        <v>1.8</v>
      </c>
      <c r="F3586" s="247">
        <v>1.9</v>
      </c>
      <c r="H3586" s="249">
        <f>PRODUCT(D3586:G3586)</f>
        <v>10.26</v>
      </c>
      <c r="J3586" s="253" t="inlineStr">
        <is>
          <t xml:space="preserve">3*1.8*1.9</t>
        </is>
      </c>
    </row>
    <row r="3587">
      <c r="C3587" s="246" t="inlineStr">
        <is>
          <t xml:space="preserve">Window W18 (1 nr, 0.75x1.3): nr x w x h</t>
        </is>
      </c>
      <c r="D3587" s="248">
        <v>1</v>
      </c>
      <c r="E3587" s="247">
        <v>0.75</v>
      </c>
      <c r="F3587" s="247">
        <v>1.3</v>
      </c>
      <c r="H3587" s="249">
        <f>PRODUCT(D3587:G3587)</f>
        <v>0.9750000000000001</v>
      </c>
      <c r="J3587" s="253" t="inlineStr">
        <is>
          <t xml:space="preserve">1*0.75*1.3</t>
        </is>
      </c>
    </row>
    <row r="3588">
      <c r="C3588" s="246" t="inlineStr">
        <is>
          <t xml:space="preserve">Window W20 (1 nr, 1.45x1.9): nr x w x h</t>
        </is>
      </c>
      <c r="D3588" s="248">
        <v>1</v>
      </c>
      <c r="E3588" s="247">
        <v>1.45</v>
      </c>
      <c r="F3588" s="247">
        <v>1.9</v>
      </c>
      <c r="H3588" s="249">
        <f>PRODUCT(D3588:G3588)</f>
        <v>2.755</v>
      </c>
      <c r="J3588" s="253" t="inlineStr">
        <is>
          <t xml:space="preserve">1*1.45*1.9</t>
        </is>
      </c>
    </row>
    <row r="3589">
      <c r="C3589" s="246" t="inlineStr">
        <is>
          <t xml:space="preserve">Window HW1 (13 nr, 0.9x0.6): nr x w x h</t>
        </is>
      </c>
      <c r="D3589" s="248">
        <v>13</v>
      </c>
      <c r="E3589" s="247">
        <v>0.9</v>
      </c>
      <c r="F3589" s="247">
        <v>0.6</v>
      </c>
      <c r="H3589" s="249">
        <f>PRODUCT(D3589:G3589)</f>
        <v>7.0200000000000005</v>
      </c>
      <c r="J3589" s="253" t="inlineStr">
        <is>
          <t xml:space="preserve">13*0.9*0.6</t>
        </is>
      </c>
    </row>
    <row r="3590">
      <c r="C3590" s="246" t="inlineStr">
        <is>
          <t xml:space="preserve">Window HW2 (5 nr, 0.75x0.6): nr x w x h</t>
        </is>
      </c>
      <c r="D3590" s="248">
        <v>5</v>
      </c>
      <c r="E3590" s="247">
        <v>0.75</v>
      </c>
      <c r="F3590" s="247">
        <v>0.6</v>
      </c>
      <c r="H3590" s="249">
        <f>PRODUCT(D3590:G3590)</f>
        <v>2.25</v>
      </c>
      <c r="J3590" s="253" t="inlineStr">
        <is>
          <t xml:space="preserve">5*0.75*0.6</t>
        </is>
      </c>
    </row>
    <row r="3591">
      <c r="C3591" s="246" t="inlineStr">
        <is>
          <t xml:space="preserve">Window HW3 (2 nr, 0.6x0.6): nr x w x h</t>
        </is>
      </c>
      <c r="D3591" s="248">
        <v>2</v>
      </c>
      <c r="E3591" s="247">
        <v>0.6</v>
      </c>
      <c r="F3591" s="247">
        <v>0.6</v>
      </c>
      <c r="H3591" s="249">
        <f>PRODUCT(D3591:G3591)</f>
        <v>0.72</v>
      </c>
      <c r="J3591" s="253" t="inlineStr">
        <is>
          <t xml:space="preserve">2*0.6*0.6</t>
        </is>
      </c>
    </row>
    <row r="3592">
      <c r="C3592" s="246" t="inlineStr">
        <is>
          <t xml:space="preserve">Window HW4 (2 nr, 1.2x0.6): nr x w x h</t>
        </is>
      </c>
      <c r="D3592" s="248">
        <v>2</v>
      </c>
      <c r="E3592" s="247">
        <v>1.2</v>
      </c>
      <c r="F3592" s="247">
        <v>0.6</v>
      </c>
      <c r="H3592" s="249">
        <f>PRODUCT(D3592:G3592)</f>
        <v>1.44</v>
      </c>
      <c r="J3592" s="253" t="inlineStr">
        <is>
          <t xml:space="preserve">2*1.2*0.6</t>
        </is>
      </c>
    </row>
    <row r="3593">
      <c r="C3593" s="250" t="inlineStr">
        <is>
          <t xml:space="preserve">Total carried to BOQ  6TH FLR item G</t>
        </is>
      </c>
      <c r="D3593" s="250" t="inlineStr">
        <is>
          <t xml:space="preserve"/>
        </is>
      </c>
      <c r="E3593" s="250" t="inlineStr">
        <is>
          <t xml:space="preserve"/>
        </is>
      </c>
      <c r="F3593" s="250" t="inlineStr">
        <is>
          <t xml:space="preserve"/>
        </is>
      </c>
      <c r="G3593" s="250" t="inlineStr">
        <is>
          <t xml:space="preserve"/>
        </is>
      </c>
      <c r="H3593" s="251">
        <f>SUM(H3576:H3592)</f>
        <v>102.75999999999999</v>
      </c>
      <c r="I3593" s="252" t="inlineStr">
        <is>
          <t xml:space="preserve">m2</t>
        </is>
      </c>
    </row>
    <row r="3594">
      <c r="C3594" s="242" t="inlineStr">
        <is>
          <t xml:space="preserve">Doors and windows: schedules ARCH-501/502 give building totals only (no tags on plans); quantities are allocated to floors pro-rata to measured habitable / washroom areas. Building totals equal the schedules.</t>
        </is>
      </c>
    </row>
    <row r="3595"/>
    <row r="3596" ht="21" customHeight="1">
      <c r="A3596" s="241" t="inlineStr">
        <is>
          <t xml:space="preserve">BILL NR. 10 - SEVENTH FLOOR  -  SEVENTH FLOOR</t>
        </is>
      </c>
      <c r="B3596" s="241" t="inlineStr">
        <is>
          <t xml:space="preserve"/>
        </is>
      </c>
      <c r="C3596" s="241" t="inlineStr">
        <is>
          <t xml:space="preserve"/>
        </is>
      </c>
      <c r="D3596" s="241" t="inlineStr">
        <is>
          <t xml:space="preserve"/>
        </is>
      </c>
      <c r="E3596" s="241" t="inlineStr">
        <is>
          <t xml:space="preserve"/>
        </is>
      </c>
      <c r="F3596" s="241" t="inlineStr">
        <is>
          <t xml:space="preserve"/>
        </is>
      </c>
      <c r="G3596" s="241" t="inlineStr">
        <is>
          <t xml:space="preserve"/>
        </is>
      </c>
      <c r="H3596" s="241" t="inlineStr">
        <is>
          <t xml:space="preserve"/>
        </is>
      </c>
      <c r="I3596" s="241" t="inlineStr">
        <is>
          <t xml:space="preserve"/>
        </is>
      </c>
      <c r="J3596" s="241" t="inlineStr">
        <is>
          <t xml:space="preserve"/>
        </is>
      </c>
      <c r="K3596" s="241" t="inlineStr">
        <is>
          <t xml:space="preserve"/>
        </is>
      </c>
    </row>
    <row r="3597">
      <c r="C3597" s="242" t="inlineStr">
        <is>
          <t xml:space="preserve">ELEMENT NO. 1: IN SITU CONCRETE/LARGE PRECAST CONCRETE</t>
        </is>
      </c>
    </row>
    <row r="3598">
      <c r="C3598" s="242" t="inlineStr">
        <is>
          <t xml:space="preserve">Vibrated in-situ concrete C40 as described in:</t>
        </is>
      </c>
    </row>
    <row r="3599">
      <c r="A3599" s="243" t="inlineStr">
        <is>
          <t xml:space="preserve">7TH FLR</t>
        </is>
      </c>
      <c r="B3599" s="243" t="inlineStr">
        <is>
          <t xml:space="preserve">A</t>
        </is>
      </c>
      <c r="C3599" s="244" t="inlineStr">
        <is>
          <t xml:space="preserve">Suspended slab 250mm thick</t>
        </is>
      </c>
      <c r="I3599" s="245" t="inlineStr">
        <is>
          <t xml:space="preserve">m3</t>
        </is>
      </c>
      <c r="K3599" s="256" t="inlineStr">
        <is>
          <t xml:space="preserve">'7TH FLR   '!C34</t>
        </is>
      </c>
    </row>
    <row r="3600">
      <c r="C3600" s="246" t="inlineStr">
        <is>
          <t xml:space="preserve">Seventh floor (+24100) - Suspended slab: measured area x 250 thk</t>
        </is>
      </c>
      <c r="E3600" s="247">
        <v>1134.6</v>
      </c>
      <c r="F3600" s="247">
        <v>0.25</v>
      </c>
      <c r="H3600" s="249">
        <f>PRODUCT(D3600:G3600)</f>
        <v>283.65</v>
      </c>
      <c r="J3600" s="253" t="inlineStr">
        <is>
          <t xml:space="preserve">1134.6*0.25</t>
        </is>
      </c>
    </row>
    <row r="3601">
      <c r="C3601" s="250" t="inlineStr">
        <is>
          <t xml:space="preserve">Total carried to BOQ  7TH FLR item A</t>
        </is>
      </c>
      <c r="D3601" s="250" t="inlineStr">
        <is>
          <t xml:space="preserve"/>
        </is>
      </c>
      <c r="E3601" s="250" t="inlineStr">
        <is>
          <t xml:space="preserve"/>
        </is>
      </c>
      <c r="F3601" s="250" t="inlineStr">
        <is>
          <t xml:space="preserve"/>
        </is>
      </c>
      <c r="G3601" s="250" t="inlineStr">
        <is>
          <t xml:space="preserve"/>
        </is>
      </c>
      <c r="H3601" s="251">
        <f>SUM(H3600:H3600)</f>
        <v>283.65</v>
      </c>
      <c r="I3601" s="252" t="inlineStr">
        <is>
          <t xml:space="preserve">m3</t>
        </is>
      </c>
    </row>
    <row r="3602">
      <c r="A3602" s="243" t="inlineStr">
        <is>
          <t xml:space="preserve">7TH FLR</t>
        </is>
      </c>
      <c r="B3602" s="243" t="inlineStr">
        <is>
          <t xml:space="preserve">B</t>
        </is>
      </c>
      <c r="C3602" s="244" t="inlineStr">
        <is>
          <t xml:space="preserve">Beams (downstands below slab)</t>
        </is>
      </c>
      <c r="I3602" s="245" t="inlineStr">
        <is>
          <t xml:space="preserve">m3</t>
        </is>
      </c>
      <c r="K3602" s="256" t="inlineStr">
        <is>
          <t xml:space="preserve">'7TH FLR   '!C36</t>
        </is>
      </c>
    </row>
    <row r="3603">
      <c r="C3603" s="246" t="inlineStr">
        <is>
          <t xml:space="preserve">Seventh floor (+24100) - 300 wide beams: length x width x depth</t>
        </is>
      </c>
      <c r="E3603" s="247">
        <v>166.8</v>
      </c>
      <c r="F3603" s="247">
        <v>0.3</v>
      </c>
      <c r="G3603" s="247">
        <v>0.35</v>
      </c>
      <c r="H3603" s="249">
        <f>PRODUCT(D3603:G3603)</f>
        <v>17.514</v>
      </c>
      <c r="J3603" s="253" t="inlineStr">
        <is>
          <t xml:space="preserve">166.8*0.3*0.35</t>
        </is>
      </c>
    </row>
    <row r="3604">
      <c r="C3604" s="246" t="inlineStr">
        <is>
          <t xml:space="preserve">Seventh floor (+24100) - 200 wide beams: length x width x depth</t>
        </is>
      </c>
      <c r="E3604" s="247">
        <v>33.1</v>
      </c>
      <c r="F3604" s="247">
        <v>0.2</v>
      </c>
      <c r="G3604" s="247">
        <v>0.35</v>
      </c>
      <c r="H3604" s="249">
        <f>PRODUCT(D3604:G3604)</f>
        <v>2.317</v>
      </c>
      <c r="J3604" s="253" t="inlineStr">
        <is>
          <t xml:space="preserve">33.1*0.2*0.35</t>
        </is>
      </c>
    </row>
    <row r="3605">
      <c r="C3605" s="250" t="inlineStr">
        <is>
          <t xml:space="preserve">Total carried to BOQ  7TH FLR item B</t>
        </is>
      </c>
      <c r="D3605" s="250" t="inlineStr">
        <is>
          <t xml:space="preserve"/>
        </is>
      </c>
      <c r="E3605" s="250" t="inlineStr">
        <is>
          <t xml:space="preserve"/>
        </is>
      </c>
      <c r="F3605" s="250" t="inlineStr">
        <is>
          <t xml:space="preserve"/>
        </is>
      </c>
      <c r="G3605" s="250" t="inlineStr">
        <is>
          <t xml:space="preserve"/>
        </is>
      </c>
      <c r="H3605" s="251">
        <f>SUM(H3603:H3604)</f>
        <v>19.831</v>
      </c>
      <c r="I3605" s="252" t="inlineStr">
        <is>
          <t xml:space="preserve">m3</t>
        </is>
      </c>
    </row>
    <row r="3606">
      <c r="A3606" s="243" t="inlineStr">
        <is>
          <t xml:space="preserve">7TH FLR</t>
        </is>
      </c>
      <c r="B3606" s="243" t="inlineStr">
        <is>
          <t xml:space="preserve">C</t>
        </is>
      </c>
      <c r="C3606" s="244" t="inlineStr">
        <is>
          <t xml:space="preserve">Columns</t>
        </is>
      </c>
      <c r="I3606" s="245" t="inlineStr">
        <is>
          <t xml:space="preserve">m3</t>
        </is>
      </c>
      <c r="K3606" s="256" t="inlineStr">
        <is>
          <t xml:space="preserve">'7TH FLR   '!C38</t>
        </is>
      </c>
    </row>
    <row r="3607">
      <c r="C3607" s="246" t="inlineStr">
        <is>
          <t xml:space="preserve">COL-01A x5 - column (7th to 8th), ht 3.05</t>
        </is>
      </c>
      <c r="D3607" s="248">
        <v>5</v>
      </c>
      <c r="E3607" s="247">
        <v>0.75</v>
      </c>
      <c r="F3607" s="247">
        <v>0.5</v>
      </c>
      <c r="G3607" s="247">
        <v>3.05</v>
      </c>
      <c r="H3607" s="249">
        <f>PRODUCT(D3607:G3607)</f>
        <v>5.71875</v>
      </c>
      <c r="J3607" s="253" t="inlineStr">
        <is>
          <t xml:space="preserve">5*0.75*0.5*3.05</t>
        </is>
      </c>
    </row>
    <row r="3608">
      <c r="C3608" s="246" t="inlineStr">
        <is>
          <t xml:space="preserve">COL-01B x1 - column (7th to 8th), ht 3.05</t>
        </is>
      </c>
      <c r="D3608" s="248">
        <v>1</v>
      </c>
      <c r="E3608" s="247">
        <v>0.75</v>
      </c>
      <c r="F3608" s="247">
        <v>0.5</v>
      </c>
      <c r="G3608" s="247">
        <v>3.05</v>
      </c>
      <c r="H3608" s="249">
        <f>PRODUCT(D3608:G3608)</f>
        <v>1.1437499999999998</v>
      </c>
      <c r="J3608" s="253" t="inlineStr">
        <is>
          <t xml:space="preserve">1*0.75*0.5*3.05</t>
        </is>
      </c>
    </row>
    <row r="3609">
      <c r="C3609" s="246" t="inlineStr">
        <is>
          <t xml:space="preserve">COL-01C x2 - column (7th to 8th), ht 3.05</t>
        </is>
      </c>
      <c r="D3609" s="248">
        <v>2</v>
      </c>
      <c r="E3609" s="247">
        <v>0.75</v>
      </c>
      <c r="F3609" s="247">
        <v>0.5</v>
      </c>
      <c r="G3609" s="247">
        <v>3.05</v>
      </c>
      <c r="H3609" s="249">
        <f>PRODUCT(D3609:G3609)</f>
        <v>2.2874999999999996</v>
      </c>
      <c r="J3609" s="253" t="inlineStr">
        <is>
          <t xml:space="preserve">2*0.75*0.5*3.05</t>
        </is>
      </c>
    </row>
    <row r="3610">
      <c r="C3610" s="246" t="inlineStr">
        <is>
          <t xml:space="preserve">COL-01D x1 - column (7th to 8th), ht 3.05</t>
        </is>
      </c>
      <c r="D3610" s="248">
        <v>1</v>
      </c>
      <c r="E3610" s="247">
        <v>0.75</v>
      </c>
      <c r="F3610" s="247">
        <v>0.5</v>
      </c>
      <c r="G3610" s="247">
        <v>3.05</v>
      </c>
      <c r="H3610" s="249">
        <f>PRODUCT(D3610:G3610)</f>
        <v>1.1437499999999998</v>
      </c>
      <c r="J3610" s="253" t="inlineStr">
        <is>
          <t xml:space="preserve">1*0.75*0.5*3.05</t>
        </is>
      </c>
    </row>
    <row r="3611">
      <c r="C3611" s="246" t="inlineStr">
        <is>
          <t xml:space="preserve">COL-02A x3 - column (7th to 8th), ht 3.05</t>
        </is>
      </c>
      <c r="D3611" s="248">
        <v>3</v>
      </c>
      <c r="E3611" s="247">
        <v>1.2</v>
      </c>
      <c r="F3611" s="247">
        <v>0.3</v>
      </c>
      <c r="G3611" s="247">
        <v>3.05</v>
      </c>
      <c r="H3611" s="249">
        <f>PRODUCT(D3611:G3611)</f>
        <v>3.293999999999999</v>
      </c>
      <c r="J3611" s="253" t="inlineStr">
        <is>
          <t xml:space="preserve">3*1.2*0.3*3.05</t>
        </is>
      </c>
    </row>
    <row r="3612">
      <c r="C3612" s="246" t="inlineStr">
        <is>
          <t xml:space="preserve">COL-02B x6 - column (7th to 8th), ht 3.05</t>
        </is>
      </c>
      <c r="D3612" s="248">
        <v>6</v>
      </c>
      <c r="E3612" s="247">
        <v>1.2</v>
      </c>
      <c r="F3612" s="247">
        <v>0.3</v>
      </c>
      <c r="G3612" s="247">
        <v>3.05</v>
      </c>
      <c r="H3612" s="249">
        <f>PRODUCT(D3612:G3612)</f>
        <v>6.587999999999998</v>
      </c>
      <c r="J3612" s="253" t="inlineStr">
        <is>
          <t xml:space="preserve">6*1.2*0.3*3.05</t>
        </is>
      </c>
    </row>
    <row r="3613">
      <c r="C3613" s="246" t="inlineStr">
        <is>
          <t xml:space="preserve">COL-02C x1 - column (7th to 8th), ht 3.05</t>
        </is>
      </c>
      <c r="D3613" s="248">
        <v>1</v>
      </c>
      <c r="E3613" s="247">
        <v>1.2</v>
      </c>
      <c r="F3613" s="247">
        <v>0.3</v>
      </c>
      <c r="G3613" s="247">
        <v>3.05</v>
      </c>
      <c r="H3613" s="249">
        <f>PRODUCT(D3613:G3613)</f>
        <v>1.0979999999999999</v>
      </c>
      <c r="J3613" s="253" t="inlineStr">
        <is>
          <t xml:space="preserve">1*1.2*0.3*3.05</t>
        </is>
      </c>
    </row>
    <row r="3614">
      <c r="C3614" s="246" t="inlineStr">
        <is>
          <t xml:space="preserve">COL-02D x15 - column (7th to 8th), ht 3.05</t>
        </is>
      </c>
      <c r="D3614" s="248">
        <v>15</v>
      </c>
      <c r="E3614" s="247">
        <v>1.2</v>
      </c>
      <c r="F3614" s="247">
        <v>0.3</v>
      </c>
      <c r="G3614" s="247">
        <v>3.05</v>
      </c>
      <c r="H3614" s="249">
        <f>PRODUCT(D3614:G3614)</f>
        <v>16.47</v>
      </c>
      <c r="J3614" s="253" t="inlineStr">
        <is>
          <t xml:space="preserve">15*1.2*0.3*3.05</t>
        </is>
      </c>
    </row>
    <row r="3615">
      <c r="C3615" s="246" t="inlineStr">
        <is>
          <t xml:space="preserve">SWC-01A x1 - column (7th to 8th), ht 3.05</t>
        </is>
      </c>
      <c r="D3615" s="248">
        <v>1</v>
      </c>
      <c r="E3615" s="247">
        <f>2.85*0.25+0.825*0.25</f>
        <v>0.91875</v>
      </c>
      <c r="F3615" s="247">
        <v>3.05</v>
      </c>
      <c r="H3615" s="249">
        <f>PRODUCT(D3615:G3615)</f>
        <v>2.8021874999999996</v>
      </c>
      <c r="J3615" s="253" t="inlineStr">
        <is>
          <t xml:space="preserve">1*(2.85*0.25+0.825*0.25)*3.05</t>
        </is>
      </c>
    </row>
    <row r="3616">
      <c r="C3616" s="250" t="inlineStr">
        <is>
          <t xml:space="preserve">Total carried to BOQ  7TH FLR item C</t>
        </is>
      </c>
      <c r="D3616" s="250" t="inlineStr">
        <is>
          <t xml:space="preserve"/>
        </is>
      </c>
      <c r="E3616" s="250" t="inlineStr">
        <is>
          <t xml:space="preserve"/>
        </is>
      </c>
      <c r="F3616" s="250" t="inlineStr">
        <is>
          <t xml:space="preserve"/>
        </is>
      </c>
      <c r="G3616" s="250" t="inlineStr">
        <is>
          <t xml:space="preserve"/>
        </is>
      </c>
      <c r="H3616" s="251">
        <f>SUM(H3607:H3615)</f>
        <v>40.545937499999994</v>
      </c>
      <c r="I3616" s="252" t="inlineStr">
        <is>
          <t xml:space="preserve">m3</t>
        </is>
      </c>
    </row>
    <row r="3617">
      <c r="A3617" s="243" t="inlineStr">
        <is>
          <t xml:space="preserve">7TH FLR</t>
        </is>
      </c>
      <c r="B3617" s="243" t="inlineStr">
        <is>
          <t xml:space="preserve">D</t>
        </is>
      </c>
      <c r="C3617" s="244" t="inlineStr">
        <is>
          <t xml:space="preserve">Concrete wall - shear walls to main &amp; emergency stair cores, 250mm thick</t>
        </is>
      </c>
      <c r="I3617" s="245" t="inlineStr">
        <is>
          <t xml:space="preserve">m3</t>
        </is>
      </c>
      <c r="K3617" s="256" t="inlineStr">
        <is>
          <t xml:space="preserve">'7TH FLR   '!C40</t>
        </is>
      </c>
    </row>
    <row r="3618">
      <c r="C3618" s="246" t="inlineStr">
        <is>
          <t xml:space="preserve">Seventh floor (+24100) - main stair core walls (22.05 m run): run x ht x 250 thk</t>
        </is>
      </c>
      <c r="E3618" s="247">
        <v>22.05</v>
      </c>
      <c r="F3618" s="247">
        <v>3.05</v>
      </c>
      <c r="G3618" s="247">
        <v>0.25</v>
      </c>
      <c r="H3618" s="249">
        <f>PRODUCT(D3618:G3618)</f>
        <v>16.813125</v>
      </c>
      <c r="J3618" s="253" t="inlineStr">
        <is>
          <t xml:space="preserve">22.05*3.05*0.25</t>
        </is>
      </c>
    </row>
    <row r="3619">
      <c r="C3619" s="246" t="inlineStr">
        <is>
          <t xml:space="preserve">Seventh floor (+24100) - emergency stair core walls (25.57 m run): run x ht x 250 thk</t>
        </is>
      </c>
      <c r="E3619" s="247">
        <v>25.57</v>
      </c>
      <c r="F3619" s="247">
        <v>3.05</v>
      </c>
      <c r="G3619" s="247">
        <v>0.25</v>
      </c>
      <c r="H3619" s="249">
        <f>PRODUCT(D3619:G3619)</f>
        <v>19.497125</v>
      </c>
      <c r="J3619" s="253" t="inlineStr">
        <is>
          <t xml:space="preserve">25.57*3.05*0.25</t>
        </is>
      </c>
    </row>
    <row r="3620">
      <c r="C3620" s="250" t="inlineStr">
        <is>
          <t xml:space="preserve">Total carried to BOQ  7TH FLR item D</t>
        </is>
      </c>
      <c r="D3620" s="250" t="inlineStr">
        <is>
          <t xml:space="preserve"/>
        </is>
      </c>
      <c r="E3620" s="250" t="inlineStr">
        <is>
          <t xml:space="preserve"/>
        </is>
      </c>
      <c r="F3620" s="250" t="inlineStr">
        <is>
          <t xml:space="preserve"/>
        </is>
      </c>
      <c r="G3620" s="250" t="inlineStr">
        <is>
          <t xml:space="preserve"/>
        </is>
      </c>
      <c r="H3620" s="251">
        <f>SUM(H3618:H3619)</f>
        <v>36.310249999999996</v>
      </c>
      <c r="I3620" s="252" t="inlineStr">
        <is>
          <t xml:space="preserve">m3</t>
        </is>
      </c>
    </row>
    <row r="3621">
      <c r="A3621" s="243" t="inlineStr">
        <is>
          <t xml:space="preserve">7TH FLR</t>
        </is>
      </c>
      <c r="B3621" s="243" t="inlineStr">
        <is>
          <t xml:space="preserve">E</t>
        </is>
      </c>
      <c r="C3621" s="244" t="inlineStr">
        <is>
          <t xml:space="preserve">Concrete wall - lift walls, 250mm thick</t>
        </is>
      </c>
      <c r="I3621" s="245" t="inlineStr">
        <is>
          <t xml:space="preserve">m3</t>
        </is>
      </c>
      <c r="K3621" s="256" t="inlineStr">
        <is>
          <t xml:space="preserve">'7TH FLR   '!C42</t>
        </is>
      </c>
    </row>
    <row r="3622">
      <c r="C3622" s="246" t="inlineStr">
        <is>
          <t xml:space="preserve">Seventh floor (+24100) - lift core walls (21.825 m run): run x ht x 250 thk</t>
        </is>
      </c>
      <c r="E3622" s="247">
        <v>21.825</v>
      </c>
      <c r="F3622" s="247">
        <v>3.05</v>
      </c>
      <c r="G3622" s="247">
        <v>0.25</v>
      </c>
      <c r="H3622" s="249">
        <f>PRODUCT(D3622:G3622)</f>
        <v>16.6415625</v>
      </c>
      <c r="J3622" s="253" t="inlineStr">
        <is>
          <t xml:space="preserve">21.825*3.05*0.25</t>
        </is>
      </c>
    </row>
    <row r="3623">
      <c r="C3623" s="250" t="inlineStr">
        <is>
          <t xml:space="preserve">Total carried to BOQ  7TH FLR item E</t>
        </is>
      </c>
      <c r="D3623" s="250" t="inlineStr">
        <is>
          <t xml:space="preserve"/>
        </is>
      </c>
      <c r="E3623" s="250" t="inlineStr">
        <is>
          <t xml:space="preserve"/>
        </is>
      </c>
      <c r="F3623" s="250" t="inlineStr">
        <is>
          <t xml:space="preserve"/>
        </is>
      </c>
      <c r="G3623" s="250" t="inlineStr">
        <is>
          <t xml:space="preserve"/>
        </is>
      </c>
      <c r="H3623" s="251">
        <f>SUM(H3622:H3622)</f>
        <v>16.6415625</v>
      </c>
      <c r="I3623" s="252" t="inlineStr">
        <is>
          <t xml:space="preserve">m3</t>
        </is>
      </c>
    </row>
    <row r="3624">
      <c r="A3624" s="243" t="inlineStr">
        <is>
          <t xml:space="preserve">7TH FLR</t>
        </is>
      </c>
      <c r="B3624" s="243" t="inlineStr">
        <is>
          <t xml:space="preserve">F</t>
        </is>
      </c>
      <c r="C3624" s="244" t="inlineStr">
        <is>
          <t xml:space="preserve">Stairs</t>
        </is>
      </c>
      <c r="I3624" s="245" t="inlineStr">
        <is>
          <t xml:space="preserve">m3</t>
        </is>
      </c>
      <c r="K3624" s="256" t="inlineStr">
        <is>
          <t xml:space="preserve">'7TH FLR   '!C44</t>
        </is>
      </c>
    </row>
    <row r="3625">
      <c r="C3625" s="246" t="inlineStr">
        <is>
          <t xml:space="preserve">Seventh floor (+24100) - Main stair flight (storey ht 3.3) - flights: 2.966 m3 per 3.3 m storey x (storey ht / 3.3)</t>
        </is>
      </c>
      <c r="E3625" s="247">
        <v>2.966</v>
      </c>
      <c r="F3625" s="247">
        <f>3.3/3.3</f>
        <v>1.0</v>
      </c>
      <c r="H3625" s="249">
        <f>PRODUCT(D3625:G3625)</f>
        <v>2.966</v>
      </c>
      <c r="J3625" s="253" t="inlineStr">
        <is>
          <t xml:space="preserve">2.966*3.3/3.3</t>
        </is>
      </c>
    </row>
    <row r="3626">
      <c r="C3626" s="246" t="inlineStr">
        <is>
          <t xml:space="preserve">Seventh floor (+24100) - Main stair flight (storey ht 3.3) - landings</t>
        </is>
      </c>
      <c r="H3626" s="247">
        <v>2.625</v>
      </c>
      <c r="J3626" s="253" t="inlineStr">
        <is>
          <t xml:space="preserve">2.625</t>
        </is>
      </c>
    </row>
    <row r="3627">
      <c r="C3627" s="246" t="inlineStr">
        <is>
          <t xml:space="preserve">Seventh floor (+24100) - Emergency stair flight (storey ht 3.3) - flights: 2.966 m3 per 3.3 m storey x (storey ht / 3.3)</t>
        </is>
      </c>
      <c r="E3627" s="247">
        <v>2.966</v>
      </c>
      <c r="F3627" s="247">
        <f>3.3/3.3</f>
        <v>1.0</v>
      </c>
      <c r="H3627" s="249">
        <f>PRODUCT(D3627:G3627)</f>
        <v>2.966</v>
      </c>
      <c r="J3627" s="253" t="inlineStr">
        <is>
          <t xml:space="preserve">2.966*3.3/3.3</t>
        </is>
      </c>
    </row>
    <row r="3628">
      <c r="C3628" s="246" t="inlineStr">
        <is>
          <t xml:space="preserve">Seventh floor (+24100) - Emergency stair flight (storey ht 3.3) - landings</t>
        </is>
      </c>
      <c r="H3628" s="247">
        <v>2.625</v>
      </c>
      <c r="J3628" s="253" t="inlineStr">
        <is>
          <t xml:space="preserve">2.625</t>
        </is>
      </c>
    </row>
    <row r="3629">
      <c r="C3629" s="250" t="inlineStr">
        <is>
          <t xml:space="preserve">Total carried to BOQ  7TH FLR item F</t>
        </is>
      </c>
      <c r="D3629" s="250" t="inlineStr">
        <is>
          <t xml:space="preserve"/>
        </is>
      </c>
      <c r="E3629" s="250" t="inlineStr">
        <is>
          <t xml:space="preserve"/>
        </is>
      </c>
      <c r="F3629" s="250" t="inlineStr">
        <is>
          <t xml:space="preserve"/>
        </is>
      </c>
      <c r="G3629" s="250" t="inlineStr">
        <is>
          <t xml:space="preserve"/>
        </is>
      </c>
      <c r="H3629" s="251">
        <f>SUM(H3625:H3628)</f>
        <v>11.182</v>
      </c>
      <c r="I3629" s="252" t="inlineStr">
        <is>
          <t xml:space="preserve">m3</t>
        </is>
      </c>
    </row>
    <row r="3630">
      <c r="A3630" s="243" t="inlineStr">
        <is>
          <t xml:space="preserve">7TH FLR</t>
        </is>
      </c>
      <c r="B3630" s="243" t="inlineStr">
        <is>
          <t xml:space="preserve">G</t>
        </is>
      </c>
      <c r="C3630" s="244" t="inlineStr">
        <is>
          <t xml:space="preserve">Lintels 150 x 225mm over door and window openings</t>
        </is>
      </c>
      <c r="I3630" s="245" t="inlineStr">
        <is>
          <t xml:space="preserve">m3</t>
        </is>
      </c>
      <c r="K3630" s="256" t="inlineStr">
        <is>
          <t xml:space="preserve">'7TH FLR   '!C46</t>
        </is>
      </c>
    </row>
    <row r="3631">
      <c r="C3631" s="246" t="inlineStr">
        <is>
          <t xml:space="preserve">Lintel over D2 (8 nr, 1x2.2): nr x (width + 2 x 150 bearing) x 150 x 225</t>
        </is>
      </c>
      <c r="D3631" s="248">
        <v>8</v>
      </c>
      <c r="E3631" s="247">
        <f>1+0.3</f>
        <v>1.3</v>
      </c>
      <c r="F3631" s="247">
        <v>0.15</v>
      </c>
      <c r="G3631" s="247">
        <v>0.225</v>
      </c>
      <c r="H3631" s="249">
        <f>PRODUCT(D3631:G3631)</f>
        <v>0.35100000000000003</v>
      </c>
      <c r="J3631" s="253" t="inlineStr">
        <is>
          <t xml:space="preserve">8*(1+0.3)*0.15*0.225</t>
        </is>
      </c>
    </row>
    <row r="3632">
      <c r="C3632" s="246" t="inlineStr">
        <is>
          <t xml:space="preserve">Lintel over D3 (15 nr, 0.9x2.2): nr x (width + 2 x 150 bearing) x 150 x 225</t>
        </is>
      </c>
      <c r="D3632" s="248">
        <v>15</v>
      </c>
      <c r="E3632" s="247">
        <f>0.9+0.3</f>
        <v>1.2</v>
      </c>
      <c r="F3632" s="247">
        <v>0.15</v>
      </c>
      <c r="G3632" s="247">
        <v>0.225</v>
      </c>
      <c r="H3632" s="249">
        <f>PRODUCT(D3632:G3632)</f>
        <v>0.6074999999999999</v>
      </c>
      <c r="J3632" s="253" t="inlineStr">
        <is>
          <t xml:space="preserve">15*(0.9+0.3)*0.15*0.225</t>
        </is>
      </c>
    </row>
    <row r="3633">
      <c r="C3633" s="246" t="inlineStr">
        <is>
          <t xml:space="preserve">Lintel over D6 (20 nr, 0.75x2.2): nr x (width + 2 x 150 bearing) x 150 x 225</t>
        </is>
      </c>
      <c r="D3633" s="248">
        <v>20</v>
      </c>
      <c r="E3633" s="247">
        <f>0.75+0.3</f>
        <v>1.05</v>
      </c>
      <c r="F3633" s="247">
        <v>0.15</v>
      </c>
      <c r="G3633" s="247">
        <v>0.225</v>
      </c>
      <c r="H3633" s="249">
        <f>PRODUCT(D3633:G3633)</f>
        <v>0.70875</v>
      </c>
      <c r="J3633" s="253" t="inlineStr">
        <is>
          <t xml:space="preserve">20*(0.75+0.3)*0.15*0.225</t>
        </is>
      </c>
    </row>
    <row r="3634">
      <c r="C3634" s="246" t="inlineStr">
        <is>
          <t xml:space="preserve">Lintel over D7 (1 nr, 0.7x2.2): nr x (width + 2 x 150 bearing) x 150 x 225</t>
        </is>
      </c>
      <c r="D3634" s="248">
        <v>1</v>
      </c>
      <c r="E3634" s="247">
        <f>0.7+0.3</f>
        <v>1.0</v>
      </c>
      <c r="F3634" s="247">
        <v>0.15</v>
      </c>
      <c r="G3634" s="247">
        <v>0.225</v>
      </c>
      <c r="H3634" s="249">
        <f>PRODUCT(D3634:G3634)</f>
        <v>0.03375</v>
      </c>
      <c r="J3634" s="253" t="inlineStr">
        <is>
          <t xml:space="preserve">1*(0.7+0.3)*0.15*0.225</t>
        </is>
      </c>
    </row>
    <row r="3635">
      <c r="C3635" s="246" t="inlineStr">
        <is>
          <t xml:space="preserve">Lintel over D8 (3 nr, 1.2x2.2): nr x (width + 2 x 150 bearing) x 150 x 225</t>
        </is>
      </c>
      <c r="D3635" s="248">
        <v>3</v>
      </c>
      <c r="E3635" s="247">
        <f>1.2+0.3</f>
        <v>1.5</v>
      </c>
      <c r="F3635" s="247">
        <v>0.15</v>
      </c>
      <c r="G3635" s="247">
        <v>0.225</v>
      </c>
      <c r="H3635" s="249">
        <f>PRODUCT(D3635:G3635)</f>
        <v>0.15187499999999998</v>
      </c>
      <c r="J3635" s="253" t="inlineStr">
        <is>
          <t xml:space="preserve">3*(1.2+0.3)*0.15*0.225</t>
        </is>
      </c>
    </row>
    <row r="3636">
      <c r="C3636" s="246" t="inlineStr">
        <is>
          <t xml:space="preserve">Lintel over ED1 (3 nr, 1x2.2): nr x (width + 2 x 150 bearing) x 150 x 225</t>
        </is>
      </c>
      <c r="D3636" s="248">
        <v>3</v>
      </c>
      <c r="E3636" s="247">
        <f>1+0.3</f>
        <v>1.3</v>
      </c>
      <c r="F3636" s="247">
        <v>0.15</v>
      </c>
      <c r="G3636" s="247">
        <v>0.225</v>
      </c>
      <c r="H3636" s="249">
        <f>PRODUCT(D3636:G3636)</f>
        <v>0.13162500000000002</v>
      </c>
      <c r="J3636" s="253" t="inlineStr">
        <is>
          <t xml:space="preserve">3*(1+0.3)*0.15*0.225</t>
        </is>
      </c>
    </row>
    <row r="3637">
      <c r="C3637" s="246" t="inlineStr">
        <is>
          <t xml:space="preserve">Lintel over ED2 (2 nr, 1x2.2): nr x (width + 2 x 150 bearing) x 150 x 225</t>
        </is>
      </c>
      <c r="D3637" s="248">
        <v>2</v>
      </c>
      <c r="E3637" s="247">
        <f>1+0.3</f>
        <v>1.3</v>
      </c>
      <c r="F3637" s="247">
        <v>0.15</v>
      </c>
      <c r="G3637" s="247">
        <v>0.225</v>
      </c>
      <c r="H3637" s="249">
        <f>PRODUCT(D3637:G3637)</f>
        <v>0.08775000000000001</v>
      </c>
      <c r="J3637" s="253" t="inlineStr">
        <is>
          <t xml:space="preserve">2*(1+0.3)*0.15*0.225</t>
        </is>
      </c>
    </row>
    <row r="3638">
      <c r="C3638" s="246" t="inlineStr">
        <is>
          <t xml:space="preserve">Lintel over D9 (1 nr, 0.9x2.2): nr x (width + 2 x 150 bearing) x 150 x 225</t>
        </is>
      </c>
      <c r="D3638" s="248">
        <v>1</v>
      </c>
      <c r="E3638" s="247">
        <f>0.9+0.3</f>
        <v>1.2</v>
      </c>
      <c r="F3638" s="247">
        <v>0.15</v>
      </c>
      <c r="G3638" s="247">
        <v>0.225</v>
      </c>
      <c r="H3638" s="249">
        <f>PRODUCT(D3638:G3638)</f>
        <v>0.0405</v>
      </c>
      <c r="J3638" s="253" t="inlineStr">
        <is>
          <t xml:space="preserve">1*(0.9+0.3)*0.15*0.225</t>
        </is>
      </c>
    </row>
    <row r="3639">
      <c r="C3639" s="246" t="inlineStr">
        <is>
          <t xml:space="preserve">Lintel over FD1 (1 nr, 1.5x2.2): nr x (width + 2 x 150 bearing) x 150 x 225</t>
        </is>
      </c>
      <c r="D3639" s="248">
        <v>1</v>
      </c>
      <c r="E3639" s="247">
        <f>1.5+0.3</f>
        <v>1.8</v>
      </c>
      <c r="F3639" s="247">
        <v>0.15</v>
      </c>
      <c r="G3639" s="247">
        <v>0.225</v>
      </c>
      <c r="H3639" s="249">
        <f>PRODUCT(D3639:G3639)</f>
        <v>0.060750000000000005</v>
      </c>
      <c r="J3639" s="253" t="inlineStr">
        <is>
          <t xml:space="preserve">1*(1.5+0.3)*0.15*0.225</t>
        </is>
      </c>
    </row>
    <row r="3640">
      <c r="C3640" s="246" t="inlineStr">
        <is>
          <t xml:space="preserve">Lintel over M1 (2 nr, 0.9x2.2): nr x (width + 2 x 150 bearing) x 150 x 225</t>
        </is>
      </c>
      <c r="D3640" s="248">
        <v>2</v>
      </c>
      <c r="E3640" s="247">
        <f>0.9+0.3</f>
        <v>1.2</v>
      </c>
      <c r="F3640" s="247">
        <v>0.15</v>
      </c>
      <c r="G3640" s="247">
        <v>0.225</v>
      </c>
      <c r="H3640" s="249">
        <f>PRODUCT(D3640:G3640)</f>
        <v>0.081</v>
      </c>
      <c r="J3640" s="253" t="inlineStr">
        <is>
          <t xml:space="preserve">2*(0.9+0.3)*0.15*0.225</t>
        </is>
      </c>
    </row>
    <row r="3641">
      <c r="C3641" s="246" t="inlineStr">
        <is>
          <t xml:space="preserve">Lintel over M2 (4 nr, 0.75x2.2): nr x (width + 2 x 150 bearing) x 150 x 225</t>
        </is>
      </c>
      <c r="D3641" s="248">
        <v>4</v>
      </c>
      <c r="E3641" s="247">
        <f>0.75+0.3</f>
        <v>1.05</v>
      </c>
      <c r="F3641" s="247">
        <v>0.15</v>
      </c>
      <c r="G3641" s="247">
        <v>0.225</v>
      </c>
      <c r="H3641" s="249">
        <f>PRODUCT(D3641:G3641)</f>
        <v>0.14175000000000001</v>
      </c>
      <c r="J3641" s="253" t="inlineStr">
        <is>
          <t xml:space="preserve">4*(0.75+0.3)*0.15*0.225</t>
        </is>
      </c>
    </row>
    <row r="3642">
      <c r="C3642" s="246" t="inlineStr">
        <is>
          <t xml:space="preserve">Lintel over M3 (1 nr, 0.45x2.2): nr x (width + 2 x 150 bearing) x 150 x 225</t>
        </is>
      </c>
      <c r="D3642" s="248">
        <v>1</v>
      </c>
      <c r="E3642" s="247">
        <f>0.45+0.3</f>
        <v>0.75</v>
      </c>
      <c r="F3642" s="247">
        <v>0.15</v>
      </c>
      <c r="G3642" s="247">
        <v>0.225</v>
      </c>
      <c r="H3642" s="249">
        <f>PRODUCT(D3642:G3642)</f>
        <v>0.025312499999999998</v>
      </c>
      <c r="J3642" s="253" t="inlineStr">
        <is>
          <t xml:space="preserve">1*(0.45+0.3)*0.15*0.225</t>
        </is>
      </c>
    </row>
    <row r="3643">
      <c r="C3643" s="246" t="inlineStr">
        <is>
          <t xml:space="preserve">Lintel over M5 (3 nr, 0.6x2.2): nr x (width + 2 x 150 bearing) x 150 x 225</t>
        </is>
      </c>
      <c r="D3643" s="248">
        <v>3</v>
      </c>
      <c r="E3643" s="247">
        <f>0.6+0.3</f>
        <v>0.8999999999999999</v>
      </c>
      <c r="F3643" s="247">
        <v>0.15</v>
      </c>
      <c r="G3643" s="247">
        <v>0.225</v>
      </c>
      <c r="H3643" s="249">
        <f>PRODUCT(D3643:G3643)</f>
        <v>0.091125</v>
      </c>
      <c r="J3643" s="253" t="inlineStr">
        <is>
          <t xml:space="preserve">3*(0.6+0.3)*0.15*0.225</t>
        </is>
      </c>
    </row>
    <row r="3644">
      <c r="C3644" s="246" t="inlineStr">
        <is>
          <t xml:space="preserve">Lintel over SD1 (1 nr, 3x2.2): nr x (width + 2 x 150 bearing) x 150 x 225</t>
        </is>
      </c>
      <c r="D3644" s="248">
        <v>1</v>
      </c>
      <c r="E3644" s="247">
        <f>3+0.3</f>
        <v>3.3</v>
      </c>
      <c r="F3644" s="247">
        <v>0.15</v>
      </c>
      <c r="G3644" s="247">
        <v>0.225</v>
      </c>
      <c r="H3644" s="249">
        <f>PRODUCT(D3644:G3644)</f>
        <v>0.11137499999999999</v>
      </c>
      <c r="J3644" s="253" t="inlineStr">
        <is>
          <t xml:space="preserve">1*(3+0.3)*0.15*0.225</t>
        </is>
      </c>
    </row>
    <row r="3645">
      <c r="C3645" s="246" t="inlineStr">
        <is>
          <t xml:space="preserve">Lintel over SD2 (4 nr, 1.6x2.2): nr x (width + 2 x 150 bearing) x 150 x 225</t>
        </is>
      </c>
      <c r="D3645" s="248">
        <v>4</v>
      </c>
      <c r="E3645" s="247">
        <f>1.6+0.3</f>
        <v>1.9000000000000001</v>
      </c>
      <c r="F3645" s="247">
        <v>0.15</v>
      </c>
      <c r="G3645" s="247">
        <v>0.225</v>
      </c>
      <c r="H3645" s="249">
        <f>PRODUCT(D3645:G3645)</f>
        <v>0.25650000000000006</v>
      </c>
      <c r="J3645" s="253" t="inlineStr">
        <is>
          <t xml:space="preserve">4*(1.6+0.3)*0.15*0.225</t>
        </is>
      </c>
    </row>
    <row r="3646">
      <c r="C3646" s="246" t="inlineStr">
        <is>
          <t xml:space="preserve">Lintel over SD3 (2 nr, 1.3x2.2): nr x (width + 2 x 150 bearing) x 150 x 225</t>
        </is>
      </c>
      <c r="D3646" s="248">
        <v>2</v>
      </c>
      <c r="E3646" s="247">
        <f>1.3+0.3</f>
        <v>1.6</v>
      </c>
      <c r="F3646" s="247">
        <v>0.15</v>
      </c>
      <c r="G3646" s="247">
        <v>0.225</v>
      </c>
      <c r="H3646" s="249">
        <f>PRODUCT(D3646:G3646)</f>
        <v>0.108</v>
      </c>
      <c r="J3646" s="253" t="inlineStr">
        <is>
          <t xml:space="preserve">2*(1.3+0.3)*0.15*0.225</t>
        </is>
      </c>
    </row>
    <row r="3647">
      <c r="C3647" s="246" t="inlineStr">
        <is>
          <t xml:space="preserve">Lintel over SD4 (4 nr, 1.8x2.2): nr x (width + 2 x 150 bearing) x 150 x 225</t>
        </is>
      </c>
      <c r="D3647" s="248">
        <v>4</v>
      </c>
      <c r="E3647" s="247">
        <f>1.8+0.3</f>
        <v>2.1</v>
      </c>
      <c r="F3647" s="247">
        <v>0.15</v>
      </c>
      <c r="G3647" s="247">
        <v>0.225</v>
      </c>
      <c r="H3647" s="249">
        <f>PRODUCT(D3647:G3647)</f>
        <v>0.28350000000000003</v>
      </c>
      <c r="J3647" s="253" t="inlineStr">
        <is>
          <t xml:space="preserve">4*(1.8+0.3)*0.15*0.225</t>
        </is>
      </c>
    </row>
    <row r="3648">
      <c r="C3648" s="246" t="inlineStr">
        <is>
          <t xml:space="preserve">Lintel over SD5 (1 nr, 1.2x2.2): nr x (width + 2 x 150 bearing) x 150 x 225</t>
        </is>
      </c>
      <c r="D3648" s="248">
        <v>1</v>
      </c>
      <c r="E3648" s="247">
        <f>1.2+0.3</f>
        <v>1.5</v>
      </c>
      <c r="F3648" s="247">
        <v>0.15</v>
      </c>
      <c r="G3648" s="247">
        <v>0.225</v>
      </c>
      <c r="H3648" s="249">
        <f>PRODUCT(D3648:G3648)</f>
        <v>0.050624999999999996</v>
      </c>
      <c r="J3648" s="253" t="inlineStr">
        <is>
          <t xml:space="preserve">1*(1.2+0.3)*0.15*0.225</t>
        </is>
      </c>
    </row>
    <row r="3649">
      <c r="C3649" s="246" t="inlineStr">
        <is>
          <t xml:space="preserve">Lintel over W2 (6 nr, 1.8x1.3): nr x (width + 2 x 150 bearing) x 150 x 225</t>
        </is>
      </c>
      <c r="D3649" s="248">
        <v>6</v>
      </c>
      <c r="E3649" s="247">
        <f>1.8+0.3</f>
        <v>2.1</v>
      </c>
      <c r="F3649" s="247">
        <v>0.15</v>
      </c>
      <c r="G3649" s="247">
        <v>0.225</v>
      </c>
      <c r="H3649" s="249">
        <f>PRODUCT(D3649:G3649)</f>
        <v>0.42525</v>
      </c>
      <c r="J3649" s="253" t="inlineStr">
        <is>
          <t xml:space="preserve">6*(1.8+0.3)*0.15*0.225</t>
        </is>
      </c>
    </row>
    <row r="3650">
      <c r="C3650" s="246" t="inlineStr">
        <is>
          <t xml:space="preserve">Lintel over W4 (10 nr, 0.9x1.3): nr x (width + 2 x 150 bearing) x 150 x 225</t>
        </is>
      </c>
      <c r="D3650" s="248">
        <v>10</v>
      </c>
      <c r="E3650" s="247">
        <f>0.9+0.3</f>
        <v>1.2</v>
      </c>
      <c r="F3650" s="247">
        <v>0.15</v>
      </c>
      <c r="G3650" s="247">
        <v>0.225</v>
      </c>
      <c r="H3650" s="249">
        <f>PRODUCT(D3650:G3650)</f>
        <v>0.40499999999999997</v>
      </c>
      <c r="J3650" s="253" t="inlineStr">
        <is>
          <t xml:space="preserve">10*(0.9+0.3)*0.15*0.225</t>
        </is>
      </c>
    </row>
    <row r="3651">
      <c r="C3651" s="246" t="inlineStr">
        <is>
          <t xml:space="preserve">Lintel over W7 (1 nr, 1.8x1.6): nr x (width + 2 x 150 bearing) x 150 x 225</t>
        </is>
      </c>
      <c r="D3651" s="248">
        <v>1</v>
      </c>
      <c r="E3651" s="247">
        <f>1.8+0.3</f>
        <v>2.1</v>
      </c>
      <c r="F3651" s="247">
        <v>0.15</v>
      </c>
      <c r="G3651" s="247">
        <v>0.225</v>
      </c>
      <c r="H3651" s="249">
        <f>PRODUCT(D3651:G3651)</f>
        <v>0.07087500000000001</v>
      </c>
      <c r="J3651" s="253" t="inlineStr">
        <is>
          <t xml:space="preserve">1*(1.8+0.3)*0.15*0.225</t>
        </is>
      </c>
    </row>
    <row r="3652">
      <c r="C3652" s="246" t="inlineStr">
        <is>
          <t xml:space="preserve">Lintel over W8 (3 nr, 1.2x1.9): nr x (width + 2 x 150 bearing) x 150 x 225</t>
        </is>
      </c>
      <c r="D3652" s="248">
        <v>3</v>
      </c>
      <c r="E3652" s="247">
        <f>1.2+0.3</f>
        <v>1.5</v>
      </c>
      <c r="F3652" s="247">
        <v>0.15</v>
      </c>
      <c r="G3652" s="247">
        <v>0.225</v>
      </c>
      <c r="H3652" s="249">
        <f>PRODUCT(D3652:G3652)</f>
        <v>0.15187499999999998</v>
      </c>
      <c r="J3652" s="253" t="inlineStr">
        <is>
          <t xml:space="preserve">3*(1.2+0.3)*0.15*0.225</t>
        </is>
      </c>
    </row>
    <row r="3653">
      <c r="C3653" s="246" t="inlineStr">
        <is>
          <t xml:space="preserve">Lintel over W9 (8 nr, 1.2x1.15): nr x (width + 2 x 150 bearing) x 150 x 225</t>
        </is>
      </c>
      <c r="D3653" s="248">
        <v>8</v>
      </c>
      <c r="E3653" s="247">
        <f>1.2+0.3</f>
        <v>1.5</v>
      </c>
      <c r="F3653" s="247">
        <v>0.15</v>
      </c>
      <c r="G3653" s="247">
        <v>0.225</v>
      </c>
      <c r="H3653" s="249">
        <f>PRODUCT(D3653:G3653)</f>
        <v>0.40499999999999997</v>
      </c>
      <c r="J3653" s="253" t="inlineStr">
        <is>
          <t xml:space="preserve">8*(1.2+0.3)*0.15*0.225</t>
        </is>
      </c>
    </row>
    <row r="3654">
      <c r="C3654" s="246" t="inlineStr">
        <is>
          <t xml:space="preserve">Lintel over W10 (1 nr, 1.2x1.2): nr x (width + 2 x 150 bearing) x 150 x 225</t>
        </is>
      </c>
      <c r="D3654" s="248">
        <v>1</v>
      </c>
      <c r="E3654" s="247">
        <f>1.2+0.3</f>
        <v>1.5</v>
      </c>
      <c r="F3654" s="247">
        <v>0.15</v>
      </c>
      <c r="G3654" s="247">
        <v>0.225</v>
      </c>
      <c r="H3654" s="249">
        <f>PRODUCT(D3654:G3654)</f>
        <v>0.050624999999999996</v>
      </c>
      <c r="J3654" s="253" t="inlineStr">
        <is>
          <t xml:space="preserve">1*(1.2+0.3)*0.15*0.225</t>
        </is>
      </c>
    </row>
    <row r="3655">
      <c r="C3655" s="246" t="inlineStr">
        <is>
          <t xml:space="preserve">Lintel over W11 (6 nr, 1.5x1.3): nr x (width + 2 x 150 bearing) x 150 x 225</t>
        </is>
      </c>
      <c r="D3655" s="248">
        <v>6</v>
      </c>
      <c r="E3655" s="247">
        <f>1.5+0.3</f>
        <v>1.8</v>
      </c>
      <c r="F3655" s="247">
        <v>0.15</v>
      </c>
      <c r="G3655" s="247">
        <v>0.225</v>
      </c>
      <c r="H3655" s="249">
        <f>PRODUCT(D3655:G3655)</f>
        <v>0.36450000000000005</v>
      </c>
      <c r="J3655" s="253" t="inlineStr">
        <is>
          <t xml:space="preserve">6*(1.5+0.3)*0.15*0.225</t>
        </is>
      </c>
    </row>
    <row r="3656">
      <c r="C3656" s="246" t="inlineStr">
        <is>
          <t xml:space="preserve">Lintel over W12 (3 nr, 1.5x1.15): nr x (width + 2 x 150 bearing) x 150 x 225</t>
        </is>
      </c>
      <c r="D3656" s="248">
        <v>3</v>
      </c>
      <c r="E3656" s="247">
        <f>1.5+0.3</f>
        <v>1.8</v>
      </c>
      <c r="F3656" s="247">
        <v>0.15</v>
      </c>
      <c r="G3656" s="247">
        <v>0.225</v>
      </c>
      <c r="H3656" s="249">
        <f>PRODUCT(D3656:G3656)</f>
        <v>0.18225000000000002</v>
      </c>
      <c r="J3656" s="253" t="inlineStr">
        <is>
          <t xml:space="preserve">3*(1.5+0.3)*0.15*0.225</t>
        </is>
      </c>
    </row>
    <row r="3657">
      <c r="C3657" s="246" t="inlineStr">
        <is>
          <t xml:space="preserve">Lintel over W13 (1 nr, 2.4x1.3): nr x (width + 2 x 150 bearing) x 150 x 225</t>
        </is>
      </c>
      <c r="D3657" s="248">
        <v>1</v>
      </c>
      <c r="E3657" s="247">
        <f>2.4+0.3</f>
        <v>2.6999999999999997</v>
      </c>
      <c r="F3657" s="247">
        <v>0.15</v>
      </c>
      <c r="G3657" s="247">
        <v>0.225</v>
      </c>
      <c r="H3657" s="249">
        <f>PRODUCT(D3657:G3657)</f>
        <v>0.091125</v>
      </c>
      <c r="J3657" s="253" t="inlineStr">
        <is>
          <t xml:space="preserve">1*(2.4+0.3)*0.15*0.225</t>
        </is>
      </c>
    </row>
    <row r="3658">
      <c r="C3658" s="246" t="inlineStr">
        <is>
          <t xml:space="preserve">Lintel over W15 (1 nr, 3x1.6): nr x (width + 2 x 150 bearing) x 150 x 225</t>
        </is>
      </c>
      <c r="D3658" s="248">
        <v>1</v>
      </c>
      <c r="E3658" s="247">
        <f>3+0.3</f>
        <v>3.3</v>
      </c>
      <c r="F3658" s="247">
        <v>0.15</v>
      </c>
      <c r="G3658" s="247">
        <v>0.225</v>
      </c>
      <c r="H3658" s="249">
        <f>PRODUCT(D3658:G3658)</f>
        <v>0.11137499999999999</v>
      </c>
      <c r="J3658" s="253" t="inlineStr">
        <is>
          <t xml:space="preserve">1*(3+0.3)*0.15*0.225</t>
        </is>
      </c>
    </row>
    <row r="3659">
      <c r="C3659" s="246" t="inlineStr">
        <is>
          <t xml:space="preserve">Lintel over W17 (3 nr, 1.8x1.9): nr x (width + 2 x 150 bearing) x 150 x 225</t>
        </is>
      </c>
      <c r="D3659" s="248">
        <v>3</v>
      </c>
      <c r="E3659" s="247">
        <f>1.8+0.3</f>
        <v>2.1</v>
      </c>
      <c r="F3659" s="247">
        <v>0.15</v>
      </c>
      <c r="G3659" s="247">
        <v>0.225</v>
      </c>
      <c r="H3659" s="249">
        <f>PRODUCT(D3659:G3659)</f>
        <v>0.212625</v>
      </c>
      <c r="J3659" s="253" t="inlineStr">
        <is>
          <t xml:space="preserve">3*(1.8+0.3)*0.15*0.225</t>
        </is>
      </c>
    </row>
    <row r="3660">
      <c r="C3660" s="246" t="inlineStr">
        <is>
          <t xml:space="preserve">Lintel over W18 (1 nr, 0.75x1.3): nr x (width + 2 x 150 bearing) x 150 x 225</t>
        </is>
      </c>
      <c r="D3660" s="248">
        <v>1</v>
      </c>
      <c r="E3660" s="247">
        <f>0.75+0.3</f>
        <v>1.05</v>
      </c>
      <c r="F3660" s="247">
        <v>0.15</v>
      </c>
      <c r="G3660" s="247">
        <v>0.225</v>
      </c>
      <c r="H3660" s="249">
        <f>PRODUCT(D3660:G3660)</f>
        <v>0.035437500000000004</v>
      </c>
      <c r="J3660" s="253" t="inlineStr">
        <is>
          <t xml:space="preserve">1*(0.75+0.3)*0.15*0.225</t>
        </is>
      </c>
    </row>
    <row r="3661">
      <c r="C3661" s="246" t="inlineStr">
        <is>
          <t xml:space="preserve">Lintel over W20 (1 nr, 1.45x1.9): nr x (width + 2 x 150 bearing) x 150 x 225</t>
        </is>
      </c>
      <c r="D3661" s="248">
        <v>1</v>
      </c>
      <c r="E3661" s="247">
        <f>1.45+0.3</f>
        <v>1.75</v>
      </c>
      <c r="F3661" s="247">
        <v>0.15</v>
      </c>
      <c r="G3661" s="247">
        <v>0.225</v>
      </c>
      <c r="H3661" s="249">
        <f>PRODUCT(D3661:G3661)</f>
        <v>0.059062500000000004</v>
      </c>
      <c r="J3661" s="253" t="inlineStr">
        <is>
          <t xml:space="preserve">1*(1.45+0.3)*0.15*0.225</t>
        </is>
      </c>
    </row>
    <row r="3662">
      <c r="C3662" s="246" t="inlineStr">
        <is>
          <t xml:space="preserve">Lintel over HW1 (12 nr, 0.9x0.6): nr x (width + 2 x 150 bearing) x 150 x 225</t>
        </is>
      </c>
      <c r="D3662" s="248">
        <v>12</v>
      </c>
      <c r="E3662" s="247">
        <f>0.9+0.3</f>
        <v>1.2</v>
      </c>
      <c r="F3662" s="247">
        <v>0.15</v>
      </c>
      <c r="G3662" s="247">
        <v>0.225</v>
      </c>
      <c r="H3662" s="249">
        <f>PRODUCT(D3662:G3662)</f>
        <v>0.48599999999999993</v>
      </c>
      <c r="J3662" s="253" t="inlineStr">
        <is>
          <t xml:space="preserve">12*(0.9+0.3)*0.15*0.225</t>
        </is>
      </c>
    </row>
    <row r="3663">
      <c r="C3663" s="246" t="inlineStr">
        <is>
          <t xml:space="preserve">Lintel over HW2 (5 nr, 0.75x0.6): nr x (width + 2 x 150 bearing) x 150 x 225</t>
        </is>
      </c>
      <c r="D3663" s="248">
        <v>5</v>
      </c>
      <c r="E3663" s="247">
        <f>0.75+0.3</f>
        <v>1.05</v>
      </c>
      <c r="F3663" s="247">
        <v>0.15</v>
      </c>
      <c r="G3663" s="247">
        <v>0.225</v>
      </c>
      <c r="H3663" s="249">
        <f>PRODUCT(D3663:G3663)</f>
        <v>0.1771875</v>
      </c>
      <c r="J3663" s="253" t="inlineStr">
        <is>
          <t xml:space="preserve">5*(0.75+0.3)*0.15*0.225</t>
        </is>
      </c>
    </row>
    <row r="3664">
      <c r="C3664" s="246" t="inlineStr">
        <is>
          <t xml:space="preserve">Lintel over HW3 (1 nr, 0.6x0.6): nr x (width + 2 x 150 bearing) x 150 x 225</t>
        </is>
      </c>
      <c r="D3664" s="248">
        <v>1</v>
      </c>
      <c r="E3664" s="247">
        <f>0.6+0.3</f>
        <v>0.8999999999999999</v>
      </c>
      <c r="F3664" s="247">
        <v>0.15</v>
      </c>
      <c r="G3664" s="247">
        <v>0.225</v>
      </c>
      <c r="H3664" s="249">
        <f>PRODUCT(D3664:G3664)</f>
        <v>0.030374999999999996</v>
      </c>
      <c r="J3664" s="253" t="inlineStr">
        <is>
          <t xml:space="preserve">1*(0.6+0.3)*0.15*0.225</t>
        </is>
      </c>
    </row>
    <row r="3665">
      <c r="C3665" s="246" t="inlineStr">
        <is>
          <t xml:space="preserve">Lintel over HW4 (1 nr, 1.2x0.6): nr x (width + 2 x 150 bearing) x 150 x 225</t>
        </is>
      </c>
      <c r="D3665" s="248">
        <v>1</v>
      </c>
      <c r="E3665" s="247">
        <f>1.2+0.3</f>
        <v>1.5</v>
      </c>
      <c r="F3665" s="247">
        <v>0.15</v>
      </c>
      <c r="G3665" s="247">
        <v>0.225</v>
      </c>
      <c r="H3665" s="249">
        <f>PRODUCT(D3665:G3665)</f>
        <v>0.050624999999999996</v>
      </c>
      <c r="J3665" s="253" t="inlineStr">
        <is>
          <t xml:space="preserve">1*(1.2+0.3)*0.15*0.225</t>
        </is>
      </c>
    </row>
    <row r="3666">
      <c r="C3666" s="250" t="inlineStr">
        <is>
          <t xml:space="preserve">Total carried to BOQ  7TH FLR item G</t>
        </is>
      </c>
      <c r="D3666" s="250" t="inlineStr">
        <is>
          <t xml:space="preserve"/>
        </is>
      </c>
      <c r="E3666" s="250" t="inlineStr">
        <is>
          <t xml:space="preserve"/>
        </is>
      </c>
      <c r="F3666" s="250" t="inlineStr">
        <is>
          <t xml:space="preserve"/>
        </is>
      </c>
      <c r="G3666" s="250" t="inlineStr">
        <is>
          <t xml:space="preserve"/>
        </is>
      </c>
      <c r="H3666" s="251">
        <f>SUM(H3631:H3665)</f>
        <v>6.631874999999999</v>
      </c>
      <c r="I3666" s="252" t="inlineStr">
        <is>
          <t xml:space="preserve">m3</t>
        </is>
      </c>
    </row>
    <row r="3667">
      <c r="C3667" s="242" t="inlineStr">
        <is>
          <t xml:space="preserve">E20 FORMWORK - Formwork as described to:</t>
        </is>
      </c>
    </row>
    <row r="3668">
      <c r="A3668" s="243" t="inlineStr">
        <is>
          <t xml:space="preserve">7TH FLR</t>
        </is>
      </c>
      <c r="B3668" s="243" t="inlineStr">
        <is>
          <t xml:space="preserve">H</t>
        </is>
      </c>
      <c r="C3668" s="244" t="inlineStr">
        <is>
          <t xml:space="preserve">Soffits of suspended slab</t>
        </is>
      </c>
      <c r="I3668" s="245" t="inlineStr">
        <is>
          <t xml:space="preserve">m2</t>
        </is>
      </c>
      <c r="K3668" s="256" t="inlineStr">
        <is>
          <t xml:space="preserve">'7TH FLR   '!C49</t>
        </is>
      </c>
    </row>
    <row r="3669">
      <c r="C3669" s="246" t="inlineStr">
        <is>
          <t xml:space="preserve">Seventh floor (+24100) - Slab soffit: measured area</t>
        </is>
      </c>
      <c r="H3669" s="247">
        <v>1134.6</v>
      </c>
      <c r="J3669" s="253" t="inlineStr">
        <is>
          <t xml:space="preserve">1134.6</t>
        </is>
      </c>
    </row>
    <row r="3670">
      <c r="C3670" s="250" t="inlineStr">
        <is>
          <t xml:space="preserve">Total carried to BOQ  7TH FLR item H</t>
        </is>
      </c>
      <c r="D3670" s="250" t="inlineStr">
        <is>
          <t xml:space="preserve"/>
        </is>
      </c>
      <c r="E3670" s="250" t="inlineStr">
        <is>
          <t xml:space="preserve"/>
        </is>
      </c>
      <c r="F3670" s="250" t="inlineStr">
        <is>
          <t xml:space="preserve"/>
        </is>
      </c>
      <c r="G3670" s="250" t="inlineStr">
        <is>
          <t xml:space="preserve"/>
        </is>
      </c>
      <c r="H3670" s="251">
        <f>SUM(H3669:H3669)</f>
        <v>1134.6</v>
      </c>
      <c r="I3670" s="252" t="inlineStr">
        <is>
          <t xml:space="preserve">m2</t>
        </is>
      </c>
    </row>
    <row r="3671">
      <c r="A3671" s="243" t="inlineStr">
        <is>
          <t xml:space="preserve">7TH FLR</t>
        </is>
      </c>
      <c r="B3671" s="243" t="inlineStr">
        <is>
          <t xml:space="preserve">J</t>
        </is>
      </c>
      <c r="C3671" s="244" t="inlineStr">
        <is>
          <t xml:space="preserve">Edges of suspended slab 250mm high</t>
        </is>
      </c>
      <c r="I3671" s="245" t="inlineStr">
        <is>
          <t xml:space="preserve">m</t>
        </is>
      </c>
      <c r="K3671" s="256" t="inlineStr">
        <is>
          <t xml:space="preserve">'7TH FLR   '!C51</t>
        </is>
      </c>
    </row>
    <row r="3672">
      <c r="C3672" s="246" t="inlineStr">
        <is>
          <t xml:space="preserve">Seventh floor (+24100) - Slab edge: measured perimeter</t>
        </is>
      </c>
      <c r="H3672" s="247">
        <v>294.6</v>
      </c>
      <c r="J3672" s="253" t="inlineStr">
        <is>
          <t xml:space="preserve">294.6</t>
        </is>
      </c>
    </row>
    <row r="3673">
      <c r="C3673" s="250" t="inlineStr">
        <is>
          <t xml:space="preserve">Total carried to BOQ  7TH FLR item J</t>
        </is>
      </c>
      <c r="D3673" s="250" t="inlineStr">
        <is>
          <t xml:space="preserve"/>
        </is>
      </c>
      <c r="E3673" s="250" t="inlineStr">
        <is>
          <t xml:space="preserve"/>
        </is>
      </c>
      <c r="F3673" s="250" t="inlineStr">
        <is>
          <t xml:space="preserve"/>
        </is>
      </c>
      <c r="G3673" s="250" t="inlineStr">
        <is>
          <t xml:space="preserve"/>
        </is>
      </c>
      <c r="H3673" s="251">
        <f>SUM(H3672:H3672)</f>
        <v>294.6</v>
      </c>
      <c r="I3673" s="252" t="inlineStr">
        <is>
          <t xml:space="preserve">m</t>
        </is>
      </c>
    </row>
    <row r="3674">
      <c r="A3674" s="243" t="inlineStr">
        <is>
          <t xml:space="preserve">7TH FLR</t>
        </is>
      </c>
      <c r="B3674" s="243" t="inlineStr">
        <is>
          <t xml:space="preserve">K</t>
        </is>
      </c>
      <c r="C3674" s="244" t="inlineStr">
        <is>
          <t xml:space="preserve">Sides and soffits of beams</t>
        </is>
      </c>
      <c r="I3674" s="245" t="inlineStr">
        <is>
          <t xml:space="preserve">m2</t>
        </is>
      </c>
      <c r="K3674" s="256" t="inlineStr">
        <is>
          <t xml:space="preserve">'7TH FLR   '!C53</t>
        </is>
      </c>
    </row>
    <row r="3675">
      <c r="C3675" s="246" t="inlineStr">
        <is>
          <t xml:space="preserve">Seventh floor (+24100) - beam sides &amp; soffit (300 wide): length x girth</t>
        </is>
      </c>
      <c r="E3675" s="247">
        <v>166.8</v>
      </c>
      <c r="F3675" s="247">
        <f>2*0.35+0.3</f>
        <v>1.0</v>
      </c>
      <c r="H3675" s="249">
        <f>PRODUCT(D3675:G3675)</f>
        <v>166.8</v>
      </c>
      <c r="J3675" s="253" t="inlineStr">
        <is>
          <t xml:space="preserve">166.8*(2*0.35+0.3)</t>
        </is>
      </c>
    </row>
    <row r="3676">
      <c r="C3676" s="246" t="inlineStr">
        <is>
          <t xml:space="preserve">Seventh floor (+24100) - beam sides &amp; soffit (200 wide): length x girth</t>
        </is>
      </c>
      <c r="E3676" s="247">
        <v>33.1</v>
      </c>
      <c r="F3676" s="247">
        <f>2*0.35+0.2</f>
        <v>0.8999999999999999</v>
      </c>
      <c r="H3676" s="249">
        <f>PRODUCT(D3676:G3676)</f>
        <v>29.79</v>
      </c>
      <c r="J3676" s="253" t="inlineStr">
        <is>
          <t xml:space="preserve">33.1*(2*0.35+0.2)</t>
        </is>
      </c>
    </row>
    <row r="3677">
      <c r="C3677" s="250" t="inlineStr">
        <is>
          <t xml:space="preserve">Total carried to BOQ  7TH FLR item K</t>
        </is>
      </c>
      <c r="D3677" s="250" t="inlineStr">
        <is>
          <t xml:space="preserve"/>
        </is>
      </c>
      <c r="E3677" s="250" t="inlineStr">
        <is>
          <t xml:space="preserve"/>
        </is>
      </c>
      <c r="F3677" s="250" t="inlineStr">
        <is>
          <t xml:space="preserve"/>
        </is>
      </c>
      <c r="G3677" s="250" t="inlineStr">
        <is>
          <t xml:space="preserve"/>
        </is>
      </c>
      <c r="H3677" s="251">
        <f>SUM(H3675:H3676)</f>
        <v>196.59</v>
      </c>
      <c r="I3677" s="252" t="inlineStr">
        <is>
          <t xml:space="preserve">m2</t>
        </is>
      </c>
    </row>
    <row r="3678">
      <c r="A3678" s="243" t="inlineStr">
        <is>
          <t xml:space="preserve">7TH FLR</t>
        </is>
      </c>
      <c r="B3678" s="243" t="inlineStr">
        <is>
          <t xml:space="preserve">L</t>
        </is>
      </c>
      <c r="C3678" s="244" t="inlineStr">
        <is>
          <t xml:space="preserve">Columns</t>
        </is>
      </c>
      <c r="I3678" s="245" t="inlineStr">
        <is>
          <t xml:space="preserve">m2</t>
        </is>
      </c>
      <c r="K3678" s="256" t="inlineStr">
        <is>
          <t xml:space="preserve">'7TH FLR   '!C55</t>
        </is>
      </c>
    </row>
    <row r="3679">
      <c r="C3679" s="246" t="inlineStr">
        <is>
          <t xml:space="preserve">COL-01A x5 - column sides (7th to 8th), ht 3.05</t>
        </is>
      </c>
      <c r="D3679" s="248">
        <v>5</v>
      </c>
      <c r="E3679" s="247">
        <f>2*(0.75+0.5)</f>
        <v>2.5</v>
      </c>
      <c r="F3679" s="247">
        <v>3.05</v>
      </c>
      <c r="H3679" s="249">
        <f>PRODUCT(D3679:G3679)</f>
        <v>38.125</v>
      </c>
      <c r="J3679" s="253" t="inlineStr">
        <is>
          <t xml:space="preserve">5*2*(0.75+0.5)*3.05</t>
        </is>
      </c>
    </row>
    <row r="3680">
      <c r="C3680" s="246" t="inlineStr">
        <is>
          <t xml:space="preserve">COL-01B x1 - column sides (7th to 8th), ht 3.05</t>
        </is>
      </c>
      <c r="D3680" s="248">
        <v>1</v>
      </c>
      <c r="E3680" s="247">
        <f>2*(0.75+0.5)</f>
        <v>2.5</v>
      </c>
      <c r="F3680" s="247">
        <v>3.05</v>
      </c>
      <c r="H3680" s="249">
        <f>PRODUCT(D3680:G3680)</f>
        <v>7.625</v>
      </c>
      <c r="J3680" s="253" t="inlineStr">
        <is>
          <t xml:space="preserve">1*2*(0.75+0.5)*3.05</t>
        </is>
      </c>
    </row>
    <row r="3681">
      <c r="C3681" s="246" t="inlineStr">
        <is>
          <t xml:space="preserve">COL-01C x2 - column sides (7th to 8th), ht 3.05</t>
        </is>
      </c>
      <c r="D3681" s="248">
        <v>2</v>
      </c>
      <c r="E3681" s="247">
        <f>2*(0.75+0.5)</f>
        <v>2.5</v>
      </c>
      <c r="F3681" s="247">
        <v>3.05</v>
      </c>
      <c r="H3681" s="249">
        <f>PRODUCT(D3681:G3681)</f>
        <v>15.25</v>
      </c>
      <c r="J3681" s="253" t="inlineStr">
        <is>
          <t xml:space="preserve">2*2*(0.75+0.5)*3.05</t>
        </is>
      </c>
    </row>
    <row r="3682">
      <c r="C3682" s="246" t="inlineStr">
        <is>
          <t xml:space="preserve">COL-01D x1 - column sides (7th to 8th), ht 3.05</t>
        </is>
      </c>
      <c r="D3682" s="248">
        <v>1</v>
      </c>
      <c r="E3682" s="247">
        <f>2*(0.75+0.5)</f>
        <v>2.5</v>
      </c>
      <c r="F3682" s="247">
        <v>3.05</v>
      </c>
      <c r="H3682" s="249">
        <f>PRODUCT(D3682:G3682)</f>
        <v>7.625</v>
      </c>
      <c r="J3682" s="253" t="inlineStr">
        <is>
          <t xml:space="preserve">1*2*(0.75+0.5)*3.05</t>
        </is>
      </c>
    </row>
    <row r="3683">
      <c r="C3683" s="246" t="inlineStr">
        <is>
          <t xml:space="preserve">COL-02A x3 - column sides (7th to 8th), ht 3.05</t>
        </is>
      </c>
      <c r="D3683" s="248">
        <v>3</v>
      </c>
      <c r="E3683" s="247">
        <f>2*(1.2+0.3)</f>
        <v>3.0</v>
      </c>
      <c r="F3683" s="247">
        <v>3.05</v>
      </c>
      <c r="H3683" s="249">
        <f>PRODUCT(D3683:G3683)</f>
        <v>27.45</v>
      </c>
      <c r="J3683" s="253" t="inlineStr">
        <is>
          <t xml:space="preserve">3*2*(1.2+0.3)*3.05</t>
        </is>
      </c>
    </row>
    <row r="3684">
      <c r="C3684" s="246" t="inlineStr">
        <is>
          <t xml:space="preserve">COL-02B x6 - column sides (7th to 8th), ht 3.05</t>
        </is>
      </c>
      <c r="D3684" s="248">
        <v>6</v>
      </c>
      <c r="E3684" s="247">
        <f>2*(1.2+0.3)</f>
        <v>3.0</v>
      </c>
      <c r="F3684" s="247">
        <v>3.05</v>
      </c>
      <c r="H3684" s="249">
        <f>PRODUCT(D3684:G3684)</f>
        <v>54.9</v>
      </c>
      <c r="J3684" s="253" t="inlineStr">
        <is>
          <t xml:space="preserve">6*2*(1.2+0.3)*3.05</t>
        </is>
      </c>
    </row>
    <row r="3685">
      <c r="C3685" s="246" t="inlineStr">
        <is>
          <t xml:space="preserve">COL-02C x1 - column sides (7th to 8th), ht 3.05</t>
        </is>
      </c>
      <c r="D3685" s="248">
        <v>1</v>
      </c>
      <c r="E3685" s="247">
        <f>2*(1.2+0.3)</f>
        <v>3.0</v>
      </c>
      <c r="F3685" s="247">
        <v>3.05</v>
      </c>
      <c r="H3685" s="249">
        <f>PRODUCT(D3685:G3685)</f>
        <v>9.149999999999999</v>
      </c>
      <c r="J3685" s="253" t="inlineStr">
        <is>
          <t xml:space="preserve">1*2*(1.2+0.3)*3.05</t>
        </is>
      </c>
    </row>
    <row r="3686">
      <c r="C3686" s="246" t="inlineStr">
        <is>
          <t xml:space="preserve">COL-02D x15 - column sides (7th to 8th), ht 3.05</t>
        </is>
      </c>
      <c r="D3686" s="248">
        <v>15</v>
      </c>
      <c r="E3686" s="247">
        <f>2*(1.2+0.3)</f>
        <v>3.0</v>
      </c>
      <c r="F3686" s="247">
        <v>3.05</v>
      </c>
      <c r="H3686" s="249">
        <f>PRODUCT(D3686:G3686)</f>
        <v>137.25</v>
      </c>
      <c r="J3686" s="253" t="inlineStr">
        <is>
          <t xml:space="preserve">15*2*(1.2+0.3)*3.05</t>
        </is>
      </c>
    </row>
    <row r="3687">
      <c r="C3687" s="246" t="inlineStr">
        <is>
          <t xml:space="preserve">SWC-01A x1 - column sides (7th to 8th), ht 3.05</t>
        </is>
      </c>
      <c r="D3687" s="248">
        <v>1</v>
      </c>
      <c r="E3687" s="247">
        <f>2*(2.85+1.075)</f>
        <v>7.85</v>
      </c>
      <c r="F3687" s="247">
        <v>3.05</v>
      </c>
      <c r="H3687" s="249">
        <f>PRODUCT(D3687:G3687)</f>
        <v>23.9425</v>
      </c>
      <c r="J3687" s="253" t="inlineStr">
        <is>
          <t xml:space="preserve">1*2*(2.85+1.075)*3.05</t>
        </is>
      </c>
    </row>
    <row r="3688">
      <c r="C3688" s="250" t="inlineStr">
        <is>
          <t xml:space="preserve">Total carried to BOQ  7TH FLR item L</t>
        </is>
      </c>
      <c r="D3688" s="250" t="inlineStr">
        <is>
          <t xml:space="preserve"/>
        </is>
      </c>
      <c r="E3688" s="250" t="inlineStr">
        <is>
          <t xml:space="preserve"/>
        </is>
      </c>
      <c r="F3688" s="250" t="inlineStr">
        <is>
          <t xml:space="preserve"/>
        </is>
      </c>
      <c r="G3688" s="250" t="inlineStr">
        <is>
          <t xml:space="preserve"/>
        </is>
      </c>
      <c r="H3688" s="251">
        <f>SUM(H3679:H3687)</f>
        <v>321.3175</v>
      </c>
      <c r="I3688" s="252" t="inlineStr">
        <is>
          <t xml:space="preserve">m2</t>
        </is>
      </c>
    </row>
    <row r="3689">
      <c r="A3689" s="243" t="inlineStr">
        <is>
          <t xml:space="preserve">7TH FLR</t>
        </is>
      </c>
      <c r="B3689" s="243" t="inlineStr">
        <is>
          <t xml:space="preserve">M</t>
        </is>
      </c>
      <c r="C3689" s="244" t="inlineStr">
        <is>
          <t xml:space="preserve">Concrete wall (both faces)</t>
        </is>
      </c>
      <c r="I3689" s="245" t="inlineStr">
        <is>
          <t xml:space="preserve">m2</t>
        </is>
      </c>
      <c r="K3689" s="256" t="inlineStr">
        <is>
          <t xml:space="preserve">'7TH FLR   '!C57</t>
        </is>
      </c>
    </row>
    <row r="3690">
      <c r="C3690" s="246" t="inlineStr">
        <is>
          <t xml:space="preserve">Seventh floor (+24100) - main stair core walls (22.05 m run) (both faces)</t>
        </is>
      </c>
      <c r="D3690" s="248">
        <v>2</v>
      </c>
      <c r="E3690" s="247">
        <v>22.05</v>
      </c>
      <c r="F3690" s="247">
        <v>3.05</v>
      </c>
      <c r="H3690" s="249">
        <f>PRODUCT(D3690:G3690)</f>
        <v>134.505</v>
      </c>
      <c r="J3690" s="253" t="inlineStr">
        <is>
          <t xml:space="preserve">2*22.05*3.05</t>
        </is>
      </c>
    </row>
    <row r="3691">
      <c r="C3691" s="246" t="inlineStr">
        <is>
          <t xml:space="preserve">Seventh floor (+24100) - lift core walls (21.825 m run) (both faces)</t>
        </is>
      </c>
      <c r="D3691" s="248">
        <v>2</v>
      </c>
      <c r="E3691" s="247">
        <v>21.825</v>
      </c>
      <c r="F3691" s="247">
        <v>3.05</v>
      </c>
      <c r="H3691" s="249">
        <f>PRODUCT(D3691:G3691)</f>
        <v>133.1325</v>
      </c>
      <c r="J3691" s="253" t="inlineStr">
        <is>
          <t xml:space="preserve">2*21.825*3.05</t>
        </is>
      </c>
    </row>
    <row r="3692">
      <c r="C3692" s="246" t="inlineStr">
        <is>
          <t xml:space="preserve">Seventh floor (+24100) - emergency stair core walls (25.57 m run) (both faces)</t>
        </is>
      </c>
      <c r="D3692" s="248">
        <v>2</v>
      </c>
      <c r="E3692" s="247">
        <v>25.57</v>
      </c>
      <c r="F3692" s="247">
        <v>3.05</v>
      </c>
      <c r="H3692" s="249">
        <f>PRODUCT(D3692:G3692)</f>
        <v>155.977</v>
      </c>
      <c r="J3692" s="253" t="inlineStr">
        <is>
          <t xml:space="preserve">2*25.57*3.05</t>
        </is>
      </c>
    </row>
    <row r="3693">
      <c r="C3693" s="250" t="inlineStr">
        <is>
          <t xml:space="preserve">Total carried to BOQ  7TH FLR item M</t>
        </is>
      </c>
      <c r="D3693" s="250" t="inlineStr">
        <is>
          <t xml:space="preserve"/>
        </is>
      </c>
      <c r="E3693" s="250" t="inlineStr">
        <is>
          <t xml:space="preserve"/>
        </is>
      </c>
      <c r="F3693" s="250" t="inlineStr">
        <is>
          <t xml:space="preserve"/>
        </is>
      </c>
      <c r="G3693" s="250" t="inlineStr">
        <is>
          <t xml:space="preserve"/>
        </is>
      </c>
      <c r="H3693" s="251">
        <f>SUM(H3690:H3692)</f>
        <v>423.6145</v>
      </c>
      <c r="I3693" s="252" t="inlineStr">
        <is>
          <t xml:space="preserve">m2</t>
        </is>
      </c>
    </row>
    <row r="3694">
      <c r="A3694" s="243" t="inlineStr">
        <is>
          <t xml:space="preserve">7TH FLR</t>
        </is>
      </c>
      <c r="B3694" s="243" t="inlineStr">
        <is>
          <t xml:space="preserve">N</t>
        </is>
      </c>
      <c r="C3694" s="244" t="inlineStr">
        <is>
          <t xml:space="preserve">Soffits of stair flights, landings and risers</t>
        </is>
      </c>
      <c r="I3694" s="245" t="inlineStr">
        <is>
          <t xml:space="preserve">m2</t>
        </is>
      </c>
      <c r="K3694" s="256" t="inlineStr">
        <is>
          <t xml:space="preserve">'7TH FLR   '!C59</t>
        </is>
      </c>
    </row>
    <row r="3695">
      <c r="C3695" s="246" t="inlineStr">
        <is>
          <t xml:space="preserve">Seventh floor (+24100) - Main stair flight (storey ht 3.3) - flight soffits: 2 x 3.424 x 1.8</t>
        </is>
      </c>
      <c r="D3695" s="248">
        <v>2</v>
      </c>
      <c r="E3695" s="247">
        <v>3.424</v>
      </c>
      <c r="F3695" s="247">
        <v>1.8</v>
      </c>
      <c r="H3695" s="249">
        <f>PRODUCT(D3695:G3695)</f>
        <v>12.3264</v>
      </c>
      <c r="J3695" s="253" t="inlineStr">
        <is>
          <t xml:space="preserve">2*3.424*1.8</t>
        </is>
      </c>
    </row>
    <row r="3696">
      <c r="C3696" s="246" t="inlineStr">
        <is>
          <t xml:space="preserve">Seventh floor (+24100) - Main stair flight (storey ht 3.3) - landing soffits</t>
        </is>
      </c>
      <c r="H3696" s="247">
        <v>15.0</v>
      </c>
      <c r="J3696" s="253" t="inlineStr">
        <is>
          <t xml:space="preserve">15.0</t>
        </is>
      </c>
    </row>
    <row r="3697">
      <c r="C3697" s="246" t="inlineStr">
        <is>
          <t xml:space="preserve">Seventh floor (+24100) - Main stair flight (storey ht 3.3) - risers: 22 x 0.15 x 1.8</t>
        </is>
      </c>
      <c r="D3697" s="248">
        <v>22</v>
      </c>
      <c r="E3697" s="247">
        <v>0.15</v>
      </c>
      <c r="F3697" s="247">
        <v>1.8</v>
      </c>
      <c r="H3697" s="249">
        <f>PRODUCT(D3697:G3697)</f>
        <v>5.9399999999999995</v>
      </c>
      <c r="J3697" s="253" t="inlineStr">
        <is>
          <t xml:space="preserve">22*0.15*1.8</t>
        </is>
      </c>
    </row>
    <row r="3698">
      <c r="C3698" s="246" t="inlineStr">
        <is>
          <t xml:space="preserve">Seventh floor (+24100) - Emergency stair flight (storey ht 3.3) - flight soffits: 2 x 3.424 x 1.8</t>
        </is>
      </c>
      <c r="D3698" s="248">
        <v>2</v>
      </c>
      <c r="E3698" s="247">
        <v>3.424</v>
      </c>
      <c r="F3698" s="247">
        <v>1.8</v>
      </c>
      <c r="H3698" s="249">
        <f>PRODUCT(D3698:G3698)</f>
        <v>12.3264</v>
      </c>
      <c r="J3698" s="253" t="inlineStr">
        <is>
          <t xml:space="preserve">2*3.424*1.8</t>
        </is>
      </c>
    </row>
    <row r="3699">
      <c r="C3699" s="246" t="inlineStr">
        <is>
          <t xml:space="preserve">Seventh floor (+24100) - Emergency stair flight (storey ht 3.3) - landing soffits</t>
        </is>
      </c>
      <c r="H3699" s="247">
        <v>15.0</v>
      </c>
      <c r="J3699" s="253" t="inlineStr">
        <is>
          <t xml:space="preserve">15.0</t>
        </is>
      </c>
    </row>
    <row r="3700">
      <c r="C3700" s="246" t="inlineStr">
        <is>
          <t xml:space="preserve">Seventh floor (+24100) - Emergency stair flight (storey ht 3.3) - risers: 22 x 0.15 x 1.8</t>
        </is>
      </c>
      <c r="D3700" s="248">
        <v>22</v>
      </c>
      <c r="E3700" s="247">
        <v>0.15</v>
      </c>
      <c r="F3700" s="247">
        <v>1.8</v>
      </c>
      <c r="H3700" s="249">
        <f>PRODUCT(D3700:G3700)</f>
        <v>5.9399999999999995</v>
      </c>
      <c r="J3700" s="253" t="inlineStr">
        <is>
          <t xml:space="preserve">22*0.15*1.8</t>
        </is>
      </c>
    </row>
    <row r="3701">
      <c r="C3701" s="250" t="inlineStr">
        <is>
          <t xml:space="preserve">Total carried to BOQ  7TH FLR item N</t>
        </is>
      </c>
      <c r="D3701" s="250" t="inlineStr">
        <is>
          <t xml:space="preserve"/>
        </is>
      </c>
      <c r="E3701" s="250" t="inlineStr">
        <is>
          <t xml:space="preserve"/>
        </is>
      </c>
      <c r="F3701" s="250" t="inlineStr">
        <is>
          <t xml:space="preserve"/>
        </is>
      </c>
      <c r="G3701" s="250" t="inlineStr">
        <is>
          <t xml:space="preserve"/>
        </is>
      </c>
      <c r="H3701" s="251">
        <f>SUM(H3695:H3700)</f>
        <v>66.5328</v>
      </c>
      <c r="I3701" s="252" t="inlineStr">
        <is>
          <t xml:space="preserve">m2</t>
        </is>
      </c>
    </row>
    <row r="3702">
      <c r="A3702" s="243" t="inlineStr">
        <is>
          <t xml:space="preserve">7TH FLR</t>
        </is>
      </c>
      <c r="B3702" s="243" t="inlineStr">
        <is>
          <t xml:space="preserve">P</t>
        </is>
      </c>
      <c r="C3702" s="244" t="inlineStr">
        <is>
          <t xml:space="preserve">Side and soffits of lintel / coping</t>
        </is>
      </c>
      <c r="I3702" s="245" t="inlineStr">
        <is>
          <t xml:space="preserve">m2</t>
        </is>
      </c>
      <c r="K3702" s="256" t="inlineStr">
        <is>
          <t xml:space="preserve">'7TH FLR   '!C61</t>
        </is>
      </c>
    </row>
    <row r="3703">
      <c r="C3703" s="246" t="inlineStr">
        <is>
          <t xml:space="preserve">Lintel formwork over D2 (8 nr, 1x2.2): nr x (width + 2 x 150 bearing) x girth 0.60</t>
        </is>
      </c>
      <c r="D3703" s="248">
        <v>8</v>
      </c>
      <c r="E3703" s="247">
        <f>1+0.3</f>
        <v>1.3</v>
      </c>
      <c r="F3703" s="247">
        <f>2*0.225+0.15</f>
        <v>0.6</v>
      </c>
      <c r="H3703" s="249">
        <f>PRODUCT(D3703:G3703)</f>
        <v>6.24</v>
      </c>
      <c r="J3703" s="253" t="inlineStr">
        <is>
          <t xml:space="preserve">8*(1+0.3)*(2*0.225+0.15)</t>
        </is>
      </c>
    </row>
    <row r="3704">
      <c r="C3704" s="246" t="inlineStr">
        <is>
          <t xml:space="preserve">Lintel formwork over D3 (15 nr, 0.9x2.2): nr x (width + 2 x 150 bearing) x girth 0.60</t>
        </is>
      </c>
      <c r="D3704" s="248">
        <v>15</v>
      </c>
      <c r="E3704" s="247">
        <f>0.9+0.3</f>
        <v>1.2</v>
      </c>
      <c r="F3704" s="247">
        <f>2*0.225+0.15</f>
        <v>0.6</v>
      </c>
      <c r="H3704" s="249">
        <f>PRODUCT(D3704:G3704)</f>
        <v>10.799999999999999</v>
      </c>
      <c r="J3704" s="253" t="inlineStr">
        <is>
          <t xml:space="preserve">15*(0.9+0.3)*(2*0.225+0.15)</t>
        </is>
      </c>
    </row>
    <row r="3705">
      <c r="C3705" s="246" t="inlineStr">
        <is>
          <t xml:space="preserve">Lintel formwork over D6 (20 nr, 0.75x2.2): nr x (width + 2 x 150 bearing) x girth 0.60</t>
        </is>
      </c>
      <c r="D3705" s="248">
        <v>20</v>
      </c>
      <c r="E3705" s="247">
        <f>0.75+0.3</f>
        <v>1.05</v>
      </c>
      <c r="F3705" s="247">
        <f>2*0.225+0.15</f>
        <v>0.6</v>
      </c>
      <c r="H3705" s="249">
        <f>PRODUCT(D3705:G3705)</f>
        <v>12.6</v>
      </c>
      <c r="J3705" s="253" t="inlineStr">
        <is>
          <t xml:space="preserve">20*(0.75+0.3)*(2*0.225+0.15)</t>
        </is>
      </c>
    </row>
    <row r="3706">
      <c r="C3706" s="246" t="inlineStr">
        <is>
          <t xml:space="preserve">Lintel formwork over D7 (1 nr, 0.7x2.2): nr x (width + 2 x 150 bearing) x girth 0.60</t>
        </is>
      </c>
      <c r="D3706" s="248">
        <v>1</v>
      </c>
      <c r="E3706" s="247">
        <f>0.7+0.3</f>
        <v>1.0</v>
      </c>
      <c r="F3706" s="247">
        <f>2*0.225+0.15</f>
        <v>0.6</v>
      </c>
      <c r="H3706" s="249">
        <f>PRODUCT(D3706:G3706)</f>
        <v>0.6</v>
      </c>
      <c r="J3706" s="253" t="inlineStr">
        <is>
          <t xml:space="preserve">1*(0.7+0.3)*(2*0.225+0.15)</t>
        </is>
      </c>
    </row>
    <row r="3707">
      <c r="C3707" s="246" t="inlineStr">
        <is>
          <t xml:space="preserve">Lintel formwork over D8 (3 nr, 1.2x2.2): nr x (width + 2 x 150 bearing) x girth 0.60</t>
        </is>
      </c>
      <c r="D3707" s="248">
        <v>3</v>
      </c>
      <c r="E3707" s="247">
        <f>1.2+0.3</f>
        <v>1.5</v>
      </c>
      <c r="F3707" s="247">
        <f>2*0.225+0.15</f>
        <v>0.6</v>
      </c>
      <c r="H3707" s="249">
        <f>PRODUCT(D3707:G3707)</f>
        <v>2.6999999999999997</v>
      </c>
      <c r="J3707" s="253" t="inlineStr">
        <is>
          <t xml:space="preserve">3*(1.2+0.3)*(2*0.225+0.15)</t>
        </is>
      </c>
    </row>
    <row r="3708">
      <c r="C3708" s="246" t="inlineStr">
        <is>
          <t xml:space="preserve">Lintel formwork over ED1 (3 nr, 1x2.2): nr x (width + 2 x 150 bearing) x girth 0.60</t>
        </is>
      </c>
      <c r="D3708" s="248">
        <v>3</v>
      </c>
      <c r="E3708" s="247">
        <f>1+0.3</f>
        <v>1.3</v>
      </c>
      <c r="F3708" s="247">
        <f>2*0.225+0.15</f>
        <v>0.6</v>
      </c>
      <c r="H3708" s="249">
        <f>PRODUCT(D3708:G3708)</f>
        <v>2.3400000000000003</v>
      </c>
      <c r="J3708" s="253" t="inlineStr">
        <is>
          <t xml:space="preserve">3*(1+0.3)*(2*0.225+0.15)</t>
        </is>
      </c>
    </row>
    <row r="3709">
      <c r="C3709" s="246" t="inlineStr">
        <is>
          <t xml:space="preserve">Lintel formwork over ED2 (2 nr, 1x2.2): nr x (width + 2 x 150 bearing) x girth 0.60</t>
        </is>
      </c>
      <c r="D3709" s="248">
        <v>2</v>
      </c>
      <c r="E3709" s="247">
        <f>1+0.3</f>
        <v>1.3</v>
      </c>
      <c r="F3709" s="247">
        <f>2*0.225+0.15</f>
        <v>0.6</v>
      </c>
      <c r="H3709" s="249">
        <f>PRODUCT(D3709:G3709)</f>
        <v>1.56</v>
      </c>
      <c r="J3709" s="253" t="inlineStr">
        <is>
          <t xml:space="preserve">2*(1+0.3)*(2*0.225+0.15)</t>
        </is>
      </c>
    </row>
    <row r="3710">
      <c r="C3710" s="246" t="inlineStr">
        <is>
          <t xml:space="preserve">Lintel formwork over D9 (1 nr, 0.9x2.2): nr x (width + 2 x 150 bearing) x girth 0.60</t>
        </is>
      </c>
      <c r="D3710" s="248">
        <v>1</v>
      </c>
      <c r="E3710" s="247">
        <f>0.9+0.3</f>
        <v>1.2</v>
      </c>
      <c r="F3710" s="247">
        <f>2*0.225+0.15</f>
        <v>0.6</v>
      </c>
      <c r="H3710" s="249">
        <f>PRODUCT(D3710:G3710)</f>
        <v>0.72</v>
      </c>
      <c r="J3710" s="253" t="inlineStr">
        <is>
          <t xml:space="preserve">1*(0.9+0.3)*(2*0.225+0.15)</t>
        </is>
      </c>
    </row>
    <row r="3711">
      <c r="C3711" s="246" t="inlineStr">
        <is>
          <t xml:space="preserve">Lintel formwork over FD1 (1 nr, 1.5x2.2): nr x (width + 2 x 150 bearing) x girth 0.60</t>
        </is>
      </c>
      <c r="D3711" s="248">
        <v>1</v>
      </c>
      <c r="E3711" s="247">
        <f>1.5+0.3</f>
        <v>1.8</v>
      </c>
      <c r="F3711" s="247">
        <f>2*0.225+0.15</f>
        <v>0.6</v>
      </c>
      <c r="H3711" s="249">
        <f>PRODUCT(D3711:G3711)</f>
        <v>1.08</v>
      </c>
      <c r="J3711" s="253" t="inlineStr">
        <is>
          <t xml:space="preserve">1*(1.5+0.3)*(2*0.225+0.15)</t>
        </is>
      </c>
    </row>
    <row r="3712">
      <c r="C3712" s="246" t="inlineStr">
        <is>
          <t xml:space="preserve">Lintel formwork over M1 (2 nr, 0.9x2.2): nr x (width + 2 x 150 bearing) x girth 0.60</t>
        </is>
      </c>
      <c r="D3712" s="248">
        <v>2</v>
      </c>
      <c r="E3712" s="247">
        <f>0.9+0.3</f>
        <v>1.2</v>
      </c>
      <c r="F3712" s="247">
        <f>2*0.225+0.15</f>
        <v>0.6</v>
      </c>
      <c r="H3712" s="249">
        <f>PRODUCT(D3712:G3712)</f>
        <v>1.44</v>
      </c>
      <c r="J3712" s="253" t="inlineStr">
        <is>
          <t xml:space="preserve">2*(0.9+0.3)*(2*0.225+0.15)</t>
        </is>
      </c>
    </row>
    <row r="3713">
      <c r="C3713" s="246" t="inlineStr">
        <is>
          <t xml:space="preserve">Lintel formwork over M2 (4 nr, 0.75x2.2): nr x (width + 2 x 150 bearing) x girth 0.60</t>
        </is>
      </c>
      <c r="D3713" s="248">
        <v>4</v>
      </c>
      <c r="E3713" s="247">
        <f>0.75+0.3</f>
        <v>1.05</v>
      </c>
      <c r="F3713" s="247">
        <f>2*0.225+0.15</f>
        <v>0.6</v>
      </c>
      <c r="H3713" s="249">
        <f>PRODUCT(D3713:G3713)</f>
        <v>2.52</v>
      </c>
      <c r="J3713" s="253" t="inlineStr">
        <is>
          <t xml:space="preserve">4*(0.75+0.3)*(2*0.225+0.15)</t>
        </is>
      </c>
    </row>
    <row r="3714">
      <c r="C3714" s="246" t="inlineStr">
        <is>
          <t xml:space="preserve">Lintel formwork over M3 (1 nr, 0.45x2.2): nr x (width + 2 x 150 bearing) x girth 0.60</t>
        </is>
      </c>
      <c r="D3714" s="248">
        <v>1</v>
      </c>
      <c r="E3714" s="247">
        <f>0.45+0.3</f>
        <v>0.75</v>
      </c>
      <c r="F3714" s="247">
        <f>2*0.225+0.15</f>
        <v>0.6</v>
      </c>
      <c r="H3714" s="249">
        <f>PRODUCT(D3714:G3714)</f>
        <v>0.44999999999999996</v>
      </c>
      <c r="J3714" s="253" t="inlineStr">
        <is>
          <t xml:space="preserve">1*(0.45+0.3)*(2*0.225+0.15)</t>
        </is>
      </c>
    </row>
    <row r="3715">
      <c r="C3715" s="246" t="inlineStr">
        <is>
          <t xml:space="preserve">Lintel formwork over M5 (3 nr, 0.6x2.2): nr x (width + 2 x 150 bearing) x girth 0.60</t>
        </is>
      </c>
      <c r="D3715" s="248">
        <v>3</v>
      </c>
      <c r="E3715" s="247">
        <f>0.6+0.3</f>
        <v>0.8999999999999999</v>
      </c>
      <c r="F3715" s="247">
        <f>2*0.225+0.15</f>
        <v>0.6</v>
      </c>
      <c r="H3715" s="249">
        <f>PRODUCT(D3715:G3715)</f>
        <v>1.6199999999999999</v>
      </c>
      <c r="J3715" s="253" t="inlineStr">
        <is>
          <t xml:space="preserve">3*(0.6+0.3)*(2*0.225+0.15)</t>
        </is>
      </c>
    </row>
    <row r="3716">
      <c r="C3716" s="246" t="inlineStr">
        <is>
          <t xml:space="preserve">Lintel formwork over SD1 (1 nr, 3x2.2): nr x (width + 2 x 150 bearing) x girth 0.60</t>
        </is>
      </c>
      <c r="D3716" s="248">
        <v>1</v>
      </c>
      <c r="E3716" s="247">
        <f>3+0.3</f>
        <v>3.3</v>
      </c>
      <c r="F3716" s="247">
        <f>2*0.225+0.15</f>
        <v>0.6</v>
      </c>
      <c r="H3716" s="249">
        <f>PRODUCT(D3716:G3716)</f>
        <v>1.9799999999999998</v>
      </c>
      <c r="J3716" s="253" t="inlineStr">
        <is>
          <t xml:space="preserve">1*(3+0.3)*(2*0.225+0.15)</t>
        </is>
      </c>
    </row>
    <row r="3717">
      <c r="C3717" s="246" t="inlineStr">
        <is>
          <t xml:space="preserve">Lintel formwork over SD2 (4 nr, 1.6x2.2): nr x (width + 2 x 150 bearing) x girth 0.60</t>
        </is>
      </c>
      <c r="D3717" s="248">
        <v>4</v>
      </c>
      <c r="E3717" s="247">
        <f>1.6+0.3</f>
        <v>1.9000000000000001</v>
      </c>
      <c r="F3717" s="247">
        <f>2*0.225+0.15</f>
        <v>0.6</v>
      </c>
      <c r="H3717" s="249">
        <f>PRODUCT(D3717:G3717)</f>
        <v>4.5600000000000005</v>
      </c>
      <c r="J3717" s="253" t="inlineStr">
        <is>
          <t xml:space="preserve">4*(1.6+0.3)*(2*0.225+0.15)</t>
        </is>
      </c>
    </row>
    <row r="3718">
      <c r="C3718" s="246" t="inlineStr">
        <is>
          <t xml:space="preserve">Lintel formwork over SD3 (2 nr, 1.3x2.2): nr x (width + 2 x 150 bearing) x girth 0.60</t>
        </is>
      </c>
      <c r="D3718" s="248">
        <v>2</v>
      </c>
      <c r="E3718" s="247">
        <f>1.3+0.3</f>
        <v>1.6</v>
      </c>
      <c r="F3718" s="247">
        <f>2*0.225+0.15</f>
        <v>0.6</v>
      </c>
      <c r="H3718" s="249">
        <f>PRODUCT(D3718:G3718)</f>
        <v>1.92</v>
      </c>
      <c r="J3718" s="253" t="inlineStr">
        <is>
          <t xml:space="preserve">2*(1.3+0.3)*(2*0.225+0.15)</t>
        </is>
      </c>
    </row>
    <row r="3719">
      <c r="C3719" s="246" t="inlineStr">
        <is>
          <t xml:space="preserve">Lintel formwork over SD4 (4 nr, 1.8x2.2): nr x (width + 2 x 150 bearing) x girth 0.60</t>
        </is>
      </c>
      <c r="D3719" s="248">
        <v>4</v>
      </c>
      <c r="E3719" s="247">
        <f>1.8+0.3</f>
        <v>2.1</v>
      </c>
      <c r="F3719" s="247">
        <f>2*0.225+0.15</f>
        <v>0.6</v>
      </c>
      <c r="H3719" s="249">
        <f>PRODUCT(D3719:G3719)</f>
        <v>5.04</v>
      </c>
      <c r="J3719" s="253" t="inlineStr">
        <is>
          <t xml:space="preserve">4*(1.8+0.3)*(2*0.225+0.15)</t>
        </is>
      </c>
    </row>
    <row r="3720">
      <c r="C3720" s="246" t="inlineStr">
        <is>
          <t xml:space="preserve">Lintel formwork over SD5 (1 nr, 1.2x2.2): nr x (width + 2 x 150 bearing) x girth 0.60</t>
        </is>
      </c>
      <c r="D3720" s="248">
        <v>1</v>
      </c>
      <c r="E3720" s="247">
        <f>1.2+0.3</f>
        <v>1.5</v>
      </c>
      <c r="F3720" s="247">
        <f>2*0.225+0.15</f>
        <v>0.6</v>
      </c>
      <c r="H3720" s="249">
        <f>PRODUCT(D3720:G3720)</f>
        <v>0.8999999999999999</v>
      </c>
      <c r="J3720" s="253" t="inlineStr">
        <is>
          <t xml:space="preserve">1*(1.2+0.3)*(2*0.225+0.15)</t>
        </is>
      </c>
    </row>
    <row r="3721">
      <c r="C3721" s="246" t="inlineStr">
        <is>
          <t xml:space="preserve">Lintel formwork over W2 (6 nr, 1.8x1.3): nr x (width + 2 x 150 bearing) x girth 0.60</t>
        </is>
      </c>
      <c r="D3721" s="248">
        <v>6</v>
      </c>
      <c r="E3721" s="247">
        <f>1.8+0.3</f>
        <v>2.1</v>
      </c>
      <c r="F3721" s="247">
        <f>2*0.225+0.15</f>
        <v>0.6</v>
      </c>
      <c r="H3721" s="249">
        <f>PRODUCT(D3721:G3721)</f>
        <v>7.5600000000000005</v>
      </c>
      <c r="J3721" s="253" t="inlineStr">
        <is>
          <t xml:space="preserve">6*(1.8+0.3)*(2*0.225+0.15)</t>
        </is>
      </c>
    </row>
    <row r="3722">
      <c r="C3722" s="246" t="inlineStr">
        <is>
          <t xml:space="preserve">Lintel formwork over W4 (10 nr, 0.9x1.3): nr x (width + 2 x 150 bearing) x girth 0.60</t>
        </is>
      </c>
      <c r="D3722" s="248">
        <v>10</v>
      </c>
      <c r="E3722" s="247">
        <f>0.9+0.3</f>
        <v>1.2</v>
      </c>
      <c r="F3722" s="247">
        <f>2*0.225+0.15</f>
        <v>0.6</v>
      </c>
      <c r="H3722" s="249">
        <f>PRODUCT(D3722:G3722)</f>
        <v>7.199999999999999</v>
      </c>
      <c r="J3722" s="253" t="inlineStr">
        <is>
          <t xml:space="preserve">10*(0.9+0.3)*(2*0.225+0.15)</t>
        </is>
      </c>
    </row>
    <row r="3723">
      <c r="C3723" s="246" t="inlineStr">
        <is>
          <t xml:space="preserve">Lintel formwork over W7 (1 nr, 1.8x1.6): nr x (width + 2 x 150 bearing) x girth 0.60</t>
        </is>
      </c>
      <c r="D3723" s="248">
        <v>1</v>
      </c>
      <c r="E3723" s="247">
        <f>1.8+0.3</f>
        <v>2.1</v>
      </c>
      <c r="F3723" s="247">
        <f>2*0.225+0.15</f>
        <v>0.6</v>
      </c>
      <c r="H3723" s="249">
        <f>PRODUCT(D3723:G3723)</f>
        <v>1.26</v>
      </c>
      <c r="J3723" s="253" t="inlineStr">
        <is>
          <t xml:space="preserve">1*(1.8+0.3)*(2*0.225+0.15)</t>
        </is>
      </c>
    </row>
    <row r="3724">
      <c r="C3724" s="246" t="inlineStr">
        <is>
          <t xml:space="preserve">Lintel formwork over W8 (3 nr, 1.2x1.9): nr x (width + 2 x 150 bearing) x girth 0.60</t>
        </is>
      </c>
      <c r="D3724" s="248">
        <v>3</v>
      </c>
      <c r="E3724" s="247">
        <f>1.2+0.3</f>
        <v>1.5</v>
      </c>
      <c r="F3724" s="247">
        <f>2*0.225+0.15</f>
        <v>0.6</v>
      </c>
      <c r="H3724" s="249">
        <f>PRODUCT(D3724:G3724)</f>
        <v>2.6999999999999997</v>
      </c>
      <c r="J3724" s="253" t="inlineStr">
        <is>
          <t xml:space="preserve">3*(1.2+0.3)*(2*0.225+0.15)</t>
        </is>
      </c>
    </row>
    <row r="3725">
      <c r="C3725" s="246" t="inlineStr">
        <is>
          <t xml:space="preserve">Lintel formwork over W9 (8 nr, 1.2x1.15): nr x (width + 2 x 150 bearing) x girth 0.60</t>
        </is>
      </c>
      <c r="D3725" s="248">
        <v>8</v>
      </c>
      <c r="E3725" s="247">
        <f>1.2+0.3</f>
        <v>1.5</v>
      </c>
      <c r="F3725" s="247">
        <f>2*0.225+0.15</f>
        <v>0.6</v>
      </c>
      <c r="H3725" s="249">
        <f>PRODUCT(D3725:G3725)</f>
        <v>7.199999999999999</v>
      </c>
      <c r="J3725" s="253" t="inlineStr">
        <is>
          <t xml:space="preserve">8*(1.2+0.3)*(2*0.225+0.15)</t>
        </is>
      </c>
    </row>
    <row r="3726">
      <c r="C3726" s="246" t="inlineStr">
        <is>
          <t xml:space="preserve">Lintel formwork over W10 (1 nr, 1.2x1.2): nr x (width + 2 x 150 bearing) x girth 0.60</t>
        </is>
      </c>
      <c r="D3726" s="248">
        <v>1</v>
      </c>
      <c r="E3726" s="247">
        <f>1.2+0.3</f>
        <v>1.5</v>
      </c>
      <c r="F3726" s="247">
        <f>2*0.225+0.15</f>
        <v>0.6</v>
      </c>
      <c r="H3726" s="249">
        <f>PRODUCT(D3726:G3726)</f>
        <v>0.8999999999999999</v>
      </c>
      <c r="J3726" s="253" t="inlineStr">
        <is>
          <t xml:space="preserve">1*(1.2+0.3)*(2*0.225+0.15)</t>
        </is>
      </c>
    </row>
    <row r="3727">
      <c r="C3727" s="246" t="inlineStr">
        <is>
          <t xml:space="preserve">Lintel formwork over W11 (6 nr, 1.5x1.3): nr x (width + 2 x 150 bearing) x girth 0.60</t>
        </is>
      </c>
      <c r="D3727" s="248">
        <v>6</v>
      </c>
      <c r="E3727" s="247">
        <f>1.5+0.3</f>
        <v>1.8</v>
      </c>
      <c r="F3727" s="247">
        <f>2*0.225+0.15</f>
        <v>0.6</v>
      </c>
      <c r="H3727" s="249">
        <f>PRODUCT(D3727:G3727)</f>
        <v>6.48</v>
      </c>
      <c r="J3727" s="253" t="inlineStr">
        <is>
          <t xml:space="preserve">6*(1.5+0.3)*(2*0.225+0.15)</t>
        </is>
      </c>
    </row>
    <row r="3728">
      <c r="C3728" s="246" t="inlineStr">
        <is>
          <t xml:space="preserve">Lintel formwork over W12 (3 nr, 1.5x1.15): nr x (width + 2 x 150 bearing) x girth 0.60</t>
        </is>
      </c>
      <c r="D3728" s="248">
        <v>3</v>
      </c>
      <c r="E3728" s="247">
        <f>1.5+0.3</f>
        <v>1.8</v>
      </c>
      <c r="F3728" s="247">
        <f>2*0.225+0.15</f>
        <v>0.6</v>
      </c>
      <c r="H3728" s="249">
        <f>PRODUCT(D3728:G3728)</f>
        <v>3.24</v>
      </c>
      <c r="J3728" s="253" t="inlineStr">
        <is>
          <t xml:space="preserve">3*(1.5+0.3)*(2*0.225+0.15)</t>
        </is>
      </c>
    </row>
    <row r="3729">
      <c r="C3729" s="246" t="inlineStr">
        <is>
          <t xml:space="preserve">Lintel formwork over W13 (1 nr, 2.4x1.3): nr x (width + 2 x 150 bearing) x girth 0.60</t>
        </is>
      </c>
      <c r="D3729" s="248">
        <v>1</v>
      </c>
      <c r="E3729" s="247">
        <f>2.4+0.3</f>
        <v>2.6999999999999997</v>
      </c>
      <c r="F3729" s="247">
        <f>2*0.225+0.15</f>
        <v>0.6</v>
      </c>
      <c r="H3729" s="249">
        <f>PRODUCT(D3729:G3729)</f>
        <v>1.6199999999999999</v>
      </c>
      <c r="J3729" s="253" t="inlineStr">
        <is>
          <t xml:space="preserve">1*(2.4+0.3)*(2*0.225+0.15)</t>
        </is>
      </c>
    </row>
    <row r="3730">
      <c r="C3730" s="246" t="inlineStr">
        <is>
          <t xml:space="preserve">Lintel formwork over W15 (1 nr, 3x1.6): nr x (width + 2 x 150 bearing) x girth 0.60</t>
        </is>
      </c>
      <c r="D3730" s="248">
        <v>1</v>
      </c>
      <c r="E3730" s="247">
        <f>3+0.3</f>
        <v>3.3</v>
      </c>
      <c r="F3730" s="247">
        <f>2*0.225+0.15</f>
        <v>0.6</v>
      </c>
      <c r="H3730" s="249">
        <f>PRODUCT(D3730:G3730)</f>
        <v>1.9799999999999998</v>
      </c>
      <c r="J3730" s="253" t="inlineStr">
        <is>
          <t xml:space="preserve">1*(3+0.3)*(2*0.225+0.15)</t>
        </is>
      </c>
    </row>
    <row r="3731">
      <c r="C3731" s="246" t="inlineStr">
        <is>
          <t xml:space="preserve">Lintel formwork over W17 (3 nr, 1.8x1.9): nr x (width + 2 x 150 bearing) x girth 0.60</t>
        </is>
      </c>
      <c r="D3731" s="248">
        <v>3</v>
      </c>
      <c r="E3731" s="247">
        <f>1.8+0.3</f>
        <v>2.1</v>
      </c>
      <c r="F3731" s="247">
        <f>2*0.225+0.15</f>
        <v>0.6</v>
      </c>
      <c r="H3731" s="249">
        <f>PRODUCT(D3731:G3731)</f>
        <v>3.7800000000000002</v>
      </c>
      <c r="J3731" s="253" t="inlineStr">
        <is>
          <t xml:space="preserve">3*(1.8+0.3)*(2*0.225+0.15)</t>
        </is>
      </c>
    </row>
    <row r="3732">
      <c r="C3732" s="246" t="inlineStr">
        <is>
          <t xml:space="preserve">Lintel formwork over W18 (1 nr, 0.75x1.3): nr x (width + 2 x 150 bearing) x girth 0.60</t>
        </is>
      </c>
      <c r="D3732" s="248">
        <v>1</v>
      </c>
      <c r="E3732" s="247">
        <f>0.75+0.3</f>
        <v>1.05</v>
      </c>
      <c r="F3732" s="247">
        <f>2*0.225+0.15</f>
        <v>0.6</v>
      </c>
      <c r="H3732" s="249">
        <f>PRODUCT(D3732:G3732)</f>
        <v>0.63</v>
      </c>
      <c r="J3732" s="253" t="inlineStr">
        <is>
          <t xml:space="preserve">1*(0.75+0.3)*(2*0.225+0.15)</t>
        </is>
      </c>
    </row>
    <row r="3733">
      <c r="C3733" s="246" t="inlineStr">
        <is>
          <t xml:space="preserve">Lintel formwork over W20 (1 nr, 1.45x1.9): nr x (width + 2 x 150 bearing) x girth 0.60</t>
        </is>
      </c>
      <c r="D3733" s="248">
        <v>1</v>
      </c>
      <c r="E3733" s="247">
        <f>1.45+0.3</f>
        <v>1.75</v>
      </c>
      <c r="F3733" s="247">
        <f>2*0.225+0.15</f>
        <v>0.6</v>
      </c>
      <c r="H3733" s="249">
        <f>PRODUCT(D3733:G3733)</f>
        <v>1.05</v>
      </c>
      <c r="J3733" s="253" t="inlineStr">
        <is>
          <t xml:space="preserve">1*(1.45+0.3)*(2*0.225+0.15)</t>
        </is>
      </c>
    </row>
    <row r="3734">
      <c r="C3734" s="246" t="inlineStr">
        <is>
          <t xml:space="preserve">Lintel formwork over HW1 (12 nr, 0.9x0.6): nr x (width + 2 x 150 bearing) x girth 0.60</t>
        </is>
      </c>
      <c r="D3734" s="248">
        <v>12</v>
      </c>
      <c r="E3734" s="247">
        <f>0.9+0.3</f>
        <v>1.2</v>
      </c>
      <c r="F3734" s="247">
        <f>2*0.225+0.15</f>
        <v>0.6</v>
      </c>
      <c r="H3734" s="249">
        <f>PRODUCT(D3734:G3734)</f>
        <v>8.639999999999999</v>
      </c>
      <c r="J3734" s="253" t="inlineStr">
        <is>
          <t xml:space="preserve">12*(0.9+0.3)*(2*0.225+0.15)</t>
        </is>
      </c>
    </row>
    <row r="3735">
      <c r="C3735" s="246" t="inlineStr">
        <is>
          <t xml:space="preserve">Lintel formwork over HW2 (5 nr, 0.75x0.6): nr x (width + 2 x 150 bearing) x girth 0.60</t>
        </is>
      </c>
      <c r="D3735" s="248">
        <v>5</v>
      </c>
      <c r="E3735" s="247">
        <f>0.75+0.3</f>
        <v>1.05</v>
      </c>
      <c r="F3735" s="247">
        <f>2*0.225+0.15</f>
        <v>0.6</v>
      </c>
      <c r="H3735" s="249">
        <f>PRODUCT(D3735:G3735)</f>
        <v>3.15</v>
      </c>
      <c r="J3735" s="253" t="inlineStr">
        <is>
          <t xml:space="preserve">5*(0.75+0.3)*(2*0.225+0.15)</t>
        </is>
      </c>
    </row>
    <row r="3736">
      <c r="C3736" s="246" t="inlineStr">
        <is>
          <t xml:space="preserve">Lintel formwork over HW3 (1 nr, 0.6x0.6): nr x (width + 2 x 150 bearing) x girth 0.60</t>
        </is>
      </c>
      <c r="D3736" s="248">
        <v>1</v>
      </c>
      <c r="E3736" s="247">
        <f>0.6+0.3</f>
        <v>0.8999999999999999</v>
      </c>
      <c r="F3736" s="247">
        <f>2*0.225+0.15</f>
        <v>0.6</v>
      </c>
      <c r="H3736" s="249">
        <f>PRODUCT(D3736:G3736)</f>
        <v>0.5399999999999999</v>
      </c>
      <c r="J3736" s="253" t="inlineStr">
        <is>
          <t xml:space="preserve">1*(0.6+0.3)*(2*0.225+0.15)</t>
        </is>
      </c>
    </row>
    <row r="3737">
      <c r="C3737" s="246" t="inlineStr">
        <is>
          <t xml:space="preserve">Lintel formwork over HW4 (1 nr, 1.2x0.6): nr x (width + 2 x 150 bearing) x girth 0.60</t>
        </is>
      </c>
      <c r="D3737" s="248">
        <v>1</v>
      </c>
      <c r="E3737" s="247">
        <f>1.2+0.3</f>
        <v>1.5</v>
      </c>
      <c r="F3737" s="247">
        <f>2*0.225+0.15</f>
        <v>0.6</v>
      </c>
      <c r="H3737" s="249">
        <f>PRODUCT(D3737:G3737)</f>
        <v>0.8999999999999999</v>
      </c>
      <c r="J3737" s="253" t="inlineStr">
        <is>
          <t xml:space="preserve">1*(1.2+0.3)*(2*0.225+0.15)</t>
        </is>
      </c>
    </row>
    <row r="3738">
      <c r="C3738" s="250" t="inlineStr">
        <is>
          <t xml:space="preserve">Total carried to BOQ  7TH FLR item P</t>
        </is>
      </c>
      <c r="D3738" s="250" t="inlineStr">
        <is>
          <t xml:space="preserve"/>
        </is>
      </c>
      <c r="E3738" s="250" t="inlineStr">
        <is>
          <t xml:space="preserve"/>
        </is>
      </c>
      <c r="F3738" s="250" t="inlineStr">
        <is>
          <t xml:space="preserve"/>
        </is>
      </c>
      <c r="G3738" s="250" t="inlineStr">
        <is>
          <t xml:space="preserve"/>
        </is>
      </c>
      <c r="H3738" s="251">
        <f>SUM(H3703:H3737)</f>
        <v>117.90000000000005</v>
      </c>
      <c r="I3738" s="252" t="inlineStr">
        <is>
          <t xml:space="preserve">m2</t>
        </is>
      </c>
    </row>
    <row r="3739">
      <c r="C3739" s="242" t="inlineStr">
        <is>
          <t xml:space="preserve">E30 REINFORCEMENT - High tensile yield round bar reinforcement (standard) to BS 4449:</t>
        </is>
      </c>
    </row>
    <row r="3740">
      <c r="A3740" s="243" t="inlineStr">
        <is>
          <t xml:space="preserve">7TH FLR</t>
        </is>
      </c>
      <c r="B3740" s="243" t="inlineStr">
        <is>
          <t xml:space="preserve">Q</t>
        </is>
      </c>
      <c r="C3740" s="244" t="inlineStr">
        <is>
          <t xml:space="preserve">10mm diameter in columns</t>
        </is>
      </c>
      <c r="I3740" s="245" t="inlineStr">
        <is>
          <t xml:space="preserve">t</t>
        </is>
      </c>
      <c r="K3740" s="256" t="inlineStr">
        <is>
          <t xml:space="preserve">'7TH FLR   '!C64</t>
        </is>
      </c>
    </row>
    <row r="3741">
      <c r="C3741" s="246" t="inlineStr">
        <is>
          <t xml:space="preserve">Seventh floor (+24100) - Columns, Y10 (from reinforcement take-off / BBS)</t>
        </is>
      </c>
      <c r="H3741" s="247">
        <v>4.551</v>
      </c>
      <c r="J3741" s="253" t="inlineStr">
        <is>
          <t xml:space="preserve">4.551</t>
        </is>
      </c>
    </row>
    <row r="3742">
      <c r="C3742" s="250" t="inlineStr">
        <is>
          <t xml:space="preserve">Total carried to BOQ  7TH FLR item Q</t>
        </is>
      </c>
      <c r="D3742" s="250" t="inlineStr">
        <is>
          <t xml:space="preserve"/>
        </is>
      </c>
      <c r="E3742" s="250" t="inlineStr">
        <is>
          <t xml:space="preserve"/>
        </is>
      </c>
      <c r="F3742" s="250" t="inlineStr">
        <is>
          <t xml:space="preserve"/>
        </is>
      </c>
      <c r="G3742" s="250" t="inlineStr">
        <is>
          <t xml:space="preserve"/>
        </is>
      </c>
      <c r="H3742" s="251">
        <f>SUM(H3741:H3741)</f>
        <v>4.551</v>
      </c>
      <c r="I3742" s="252" t="inlineStr">
        <is>
          <t xml:space="preserve">t</t>
        </is>
      </c>
    </row>
    <row r="3743">
      <c r="A3743" s="243" t="inlineStr">
        <is>
          <t xml:space="preserve">7TH FLR</t>
        </is>
      </c>
      <c r="B3743" s="243" t="inlineStr">
        <is>
          <t xml:space="preserve">R</t>
        </is>
      </c>
      <c r="C3743" s="244" t="inlineStr">
        <is>
          <t xml:space="preserve">20mm diameter in columns</t>
        </is>
      </c>
      <c r="I3743" s="245" t="inlineStr">
        <is>
          <t xml:space="preserve">t</t>
        </is>
      </c>
      <c r="K3743" s="256" t="inlineStr">
        <is>
          <t xml:space="preserve">'7TH FLR   '!C66</t>
        </is>
      </c>
    </row>
    <row r="3744">
      <c r="C3744" s="246" t="inlineStr">
        <is>
          <t xml:space="preserve">Seventh floor (+24100) - Columns, Y20 (from reinforcement take-off / BBS)</t>
        </is>
      </c>
      <c r="H3744" s="247">
        <v>7.133</v>
      </c>
      <c r="J3744" s="253" t="inlineStr">
        <is>
          <t xml:space="preserve">7.133</t>
        </is>
      </c>
    </row>
    <row r="3745">
      <c r="C3745" s="250" t="inlineStr">
        <is>
          <t xml:space="preserve">Total carried to BOQ  7TH FLR item R</t>
        </is>
      </c>
      <c r="D3745" s="250" t="inlineStr">
        <is>
          <t xml:space="preserve"/>
        </is>
      </c>
      <c r="E3745" s="250" t="inlineStr">
        <is>
          <t xml:space="preserve"/>
        </is>
      </c>
      <c r="F3745" s="250" t="inlineStr">
        <is>
          <t xml:space="preserve"/>
        </is>
      </c>
      <c r="G3745" s="250" t="inlineStr">
        <is>
          <t xml:space="preserve"/>
        </is>
      </c>
      <c r="H3745" s="251">
        <f>SUM(H3744:H3744)</f>
        <v>7.133</v>
      </c>
      <c r="I3745" s="252" t="inlineStr">
        <is>
          <t xml:space="preserve">t</t>
        </is>
      </c>
    </row>
    <row r="3746">
      <c r="A3746" s="243" t="inlineStr">
        <is>
          <t xml:space="preserve">7TH FLR</t>
        </is>
      </c>
      <c r="B3746" s="243" t="inlineStr">
        <is>
          <t xml:space="preserve">S</t>
        </is>
      </c>
      <c r="C3746" s="244" t="inlineStr">
        <is>
          <t xml:space="preserve">10mm diameter in beams (links)</t>
        </is>
      </c>
      <c r="I3746" s="245" t="inlineStr">
        <is>
          <t xml:space="preserve">t</t>
        </is>
      </c>
      <c r="K3746" s="256" t="inlineStr">
        <is>
          <t xml:space="preserve">'7TH FLR   '!C68</t>
        </is>
      </c>
    </row>
    <row r="3747">
      <c r="C3747" s="246" t="inlineStr">
        <is>
          <t xml:space="preserve">Seventh floor (+24100) - Beams, Y10 (from reinforcement take-off / BBS)</t>
        </is>
      </c>
      <c r="H3747" s="247">
        <v>1.806</v>
      </c>
      <c r="J3747" s="253" t="inlineStr">
        <is>
          <t xml:space="preserve">1.806</t>
        </is>
      </c>
    </row>
    <row r="3748">
      <c r="C3748" s="250" t="inlineStr">
        <is>
          <t xml:space="preserve">Total carried to BOQ  7TH FLR item S</t>
        </is>
      </c>
      <c r="D3748" s="250" t="inlineStr">
        <is>
          <t xml:space="preserve"/>
        </is>
      </c>
      <c r="E3748" s="250" t="inlineStr">
        <is>
          <t xml:space="preserve"/>
        </is>
      </c>
      <c r="F3748" s="250" t="inlineStr">
        <is>
          <t xml:space="preserve"/>
        </is>
      </c>
      <c r="G3748" s="250" t="inlineStr">
        <is>
          <t xml:space="preserve"/>
        </is>
      </c>
      <c r="H3748" s="251">
        <f>SUM(H3747:H3747)</f>
        <v>1.806</v>
      </c>
      <c r="I3748" s="252" t="inlineStr">
        <is>
          <t xml:space="preserve">t</t>
        </is>
      </c>
    </row>
    <row r="3749">
      <c r="A3749" s="243" t="inlineStr">
        <is>
          <t xml:space="preserve">7TH FLR</t>
        </is>
      </c>
      <c r="B3749" s="243" t="inlineStr">
        <is>
          <t xml:space="preserve">T</t>
        </is>
      </c>
      <c r="C3749" s="244" t="inlineStr">
        <is>
          <t xml:space="preserve">16mm diameter in beams</t>
        </is>
      </c>
      <c r="I3749" s="245" t="inlineStr">
        <is>
          <t xml:space="preserve">t</t>
        </is>
      </c>
      <c r="K3749" s="256" t="inlineStr">
        <is>
          <t xml:space="preserve">'7TH FLR   '!C70</t>
        </is>
      </c>
    </row>
    <row r="3750">
      <c r="C3750" s="246" t="inlineStr">
        <is>
          <t xml:space="preserve">Seventh floor (+24100) - Beams, Y16 (from reinforcement take-off / BBS)</t>
        </is>
      </c>
      <c r="H3750" s="247">
        <v>1.248</v>
      </c>
      <c r="J3750" s="253" t="inlineStr">
        <is>
          <t xml:space="preserve">1.248</t>
        </is>
      </c>
    </row>
    <row r="3751">
      <c r="C3751" s="250" t="inlineStr">
        <is>
          <t xml:space="preserve">Total carried to BOQ  7TH FLR item T</t>
        </is>
      </c>
      <c r="D3751" s="250" t="inlineStr">
        <is>
          <t xml:space="preserve"/>
        </is>
      </c>
      <c r="E3751" s="250" t="inlineStr">
        <is>
          <t xml:space="preserve"/>
        </is>
      </c>
      <c r="F3751" s="250" t="inlineStr">
        <is>
          <t xml:space="preserve"/>
        </is>
      </c>
      <c r="G3751" s="250" t="inlineStr">
        <is>
          <t xml:space="preserve"/>
        </is>
      </c>
      <c r="H3751" s="251">
        <f>SUM(H3750:H3750)</f>
        <v>1.248</v>
      </c>
      <c r="I3751" s="252" t="inlineStr">
        <is>
          <t xml:space="preserve">t</t>
        </is>
      </c>
    </row>
    <row r="3752">
      <c r="A3752" s="243" t="inlineStr">
        <is>
          <t xml:space="preserve">7TH FLR</t>
        </is>
      </c>
      <c r="B3752" s="243" t="inlineStr">
        <is>
          <t xml:space="preserve">U</t>
        </is>
      </c>
      <c r="C3752" s="244" t="inlineStr">
        <is>
          <t xml:space="preserve">20mm diameter in beams</t>
        </is>
      </c>
      <c r="I3752" s="245" t="inlineStr">
        <is>
          <t xml:space="preserve">t</t>
        </is>
      </c>
      <c r="K3752" s="256" t="inlineStr">
        <is>
          <t xml:space="preserve">'7TH FLR   '!C72</t>
        </is>
      </c>
    </row>
    <row r="3753">
      <c r="C3753" s="246" t="inlineStr">
        <is>
          <t xml:space="preserve">Seventh floor (+24100) - Beams, Y20 (from reinforcement take-off / BBS)</t>
        </is>
      </c>
      <c r="H3753" s="247">
        <v>2.135</v>
      </c>
      <c r="J3753" s="253" t="inlineStr">
        <is>
          <t xml:space="preserve">2.135</t>
        </is>
      </c>
    </row>
    <row r="3754">
      <c r="C3754" s="250" t="inlineStr">
        <is>
          <t xml:space="preserve">Total carried to BOQ  7TH FLR item U</t>
        </is>
      </c>
      <c r="D3754" s="250" t="inlineStr">
        <is>
          <t xml:space="preserve"/>
        </is>
      </c>
      <c r="E3754" s="250" t="inlineStr">
        <is>
          <t xml:space="preserve"/>
        </is>
      </c>
      <c r="F3754" s="250" t="inlineStr">
        <is>
          <t xml:space="preserve"/>
        </is>
      </c>
      <c r="G3754" s="250" t="inlineStr">
        <is>
          <t xml:space="preserve"/>
        </is>
      </c>
      <c r="H3754" s="251">
        <f>SUM(H3753:H3753)</f>
        <v>2.135</v>
      </c>
      <c r="I3754" s="252" t="inlineStr">
        <is>
          <t xml:space="preserve">t</t>
        </is>
      </c>
    </row>
    <row r="3755">
      <c r="A3755" s="243" t="inlineStr">
        <is>
          <t xml:space="preserve">7TH FLR</t>
        </is>
      </c>
      <c r="B3755" s="243" t="inlineStr">
        <is>
          <t xml:space="preserve">V</t>
        </is>
      </c>
      <c r="C3755" s="244" t="inlineStr">
        <is>
          <t xml:space="preserve">25mm diameter in beams</t>
        </is>
      </c>
      <c r="I3755" s="245" t="inlineStr">
        <is>
          <t xml:space="preserve">t</t>
        </is>
      </c>
      <c r="K3755" s="256" t="inlineStr">
        <is>
          <t xml:space="preserve">'7TH FLR   '!C74</t>
        </is>
      </c>
    </row>
    <row r="3756">
      <c r="C3756" s="246" t="inlineStr">
        <is>
          <t xml:space="preserve">Seventh floor (+24100) - Beams, Y25 (from reinforcement take-off / BBS)</t>
        </is>
      </c>
      <c r="H3756" s="247">
        <v>5.507</v>
      </c>
      <c r="J3756" s="253" t="inlineStr">
        <is>
          <t xml:space="preserve">5.507</t>
        </is>
      </c>
    </row>
    <row r="3757">
      <c r="C3757" s="250" t="inlineStr">
        <is>
          <t xml:space="preserve">Total carried to BOQ  7TH FLR item V</t>
        </is>
      </c>
      <c r="D3757" s="250" t="inlineStr">
        <is>
          <t xml:space="preserve"/>
        </is>
      </c>
      <c r="E3757" s="250" t="inlineStr">
        <is>
          <t xml:space="preserve"/>
        </is>
      </c>
      <c r="F3757" s="250" t="inlineStr">
        <is>
          <t xml:space="preserve"/>
        </is>
      </c>
      <c r="G3757" s="250" t="inlineStr">
        <is>
          <t xml:space="preserve"/>
        </is>
      </c>
      <c r="H3757" s="251">
        <f>SUM(H3756:H3756)</f>
        <v>5.507</v>
      </c>
      <c r="I3757" s="252" t="inlineStr">
        <is>
          <t xml:space="preserve">t</t>
        </is>
      </c>
    </row>
    <row r="3758">
      <c r="A3758" s="243" t="inlineStr">
        <is>
          <t xml:space="preserve">7TH FLR</t>
        </is>
      </c>
      <c r="B3758" s="243" t="inlineStr">
        <is>
          <t xml:space="preserve">W</t>
        </is>
      </c>
      <c r="C3758" s="244" t="inlineStr">
        <is>
          <t xml:space="preserve">10mm diameter in shear &amp; lift walls (links)</t>
        </is>
      </c>
      <c r="I3758" s="245" t="inlineStr">
        <is>
          <t xml:space="preserve">t</t>
        </is>
      </c>
      <c r="K3758" s="256" t="inlineStr">
        <is>
          <t xml:space="preserve">'7TH FLR   '!C76</t>
        </is>
      </c>
    </row>
    <row r="3759">
      <c r="C3759" s="246" t="inlineStr">
        <is>
          <t xml:space="preserve">Seventh floor (+24100) - Shear Walls, Y10 (from reinforcement take-off / BBS)</t>
        </is>
      </c>
      <c r="H3759" s="247">
        <v>1.442</v>
      </c>
      <c r="J3759" s="253" t="inlineStr">
        <is>
          <t xml:space="preserve">1.442</t>
        </is>
      </c>
    </row>
    <row r="3760">
      <c r="C3760" s="246" t="inlineStr">
        <is>
          <t xml:space="preserve">Seventh floor (+24100) - Lift Walls, Y10 (from reinforcement take-off / BBS)</t>
        </is>
      </c>
      <c r="H3760" s="247">
        <v>0.636</v>
      </c>
      <c r="J3760" s="253" t="inlineStr">
        <is>
          <t xml:space="preserve">0.636</t>
        </is>
      </c>
    </row>
    <row r="3761">
      <c r="C3761" s="250" t="inlineStr">
        <is>
          <t xml:space="preserve">Total carried to BOQ  7TH FLR item W</t>
        </is>
      </c>
      <c r="D3761" s="250" t="inlineStr">
        <is>
          <t xml:space="preserve"/>
        </is>
      </c>
      <c r="E3761" s="250" t="inlineStr">
        <is>
          <t xml:space="preserve"/>
        </is>
      </c>
      <c r="F3761" s="250" t="inlineStr">
        <is>
          <t xml:space="preserve"/>
        </is>
      </c>
      <c r="G3761" s="250" t="inlineStr">
        <is>
          <t xml:space="preserve"/>
        </is>
      </c>
      <c r="H3761" s="251">
        <f>SUM(H3759:H3760)</f>
        <v>2.078</v>
      </c>
      <c r="I3761" s="252" t="inlineStr">
        <is>
          <t xml:space="preserve">t</t>
        </is>
      </c>
    </row>
    <row r="3762">
      <c r="A3762" s="243" t="inlineStr">
        <is>
          <t xml:space="preserve">7TH FLR</t>
        </is>
      </c>
      <c r="B3762" s="243" t="inlineStr">
        <is>
          <t xml:space="preserve">X</t>
        </is>
      </c>
      <c r="C3762" s="244" t="inlineStr">
        <is>
          <t xml:space="preserve">12mm diameter in shear, lift &amp; ramp walls</t>
        </is>
      </c>
      <c r="I3762" s="245" t="inlineStr">
        <is>
          <t xml:space="preserve">t</t>
        </is>
      </c>
      <c r="K3762" s="256" t="inlineStr">
        <is>
          <t xml:space="preserve">'7TH FLR   '!C78</t>
        </is>
      </c>
    </row>
    <row r="3763">
      <c r="C3763" s="246" t="inlineStr">
        <is>
          <t xml:space="preserve">Seventh floor (+24100) - Shear Walls, Y12 (from reinforcement take-off / BBS)</t>
        </is>
      </c>
      <c r="H3763" s="247">
        <v>1.917</v>
      </c>
      <c r="J3763" s="253" t="inlineStr">
        <is>
          <t xml:space="preserve">1.917</t>
        </is>
      </c>
    </row>
    <row r="3764">
      <c r="C3764" s="246" t="inlineStr">
        <is>
          <t xml:space="preserve">Seventh floor (+24100) - Lift Walls, Y12 (from reinforcement take-off / BBS)</t>
        </is>
      </c>
      <c r="H3764" s="247">
        <v>0.866</v>
      </c>
      <c r="J3764" s="253" t="inlineStr">
        <is>
          <t xml:space="preserve">0.866</t>
        </is>
      </c>
    </row>
    <row r="3765">
      <c r="C3765" s="250" t="inlineStr">
        <is>
          <t xml:space="preserve">Total carried to BOQ  7TH FLR item X</t>
        </is>
      </c>
      <c r="D3765" s="250" t="inlineStr">
        <is>
          <t xml:space="preserve"/>
        </is>
      </c>
      <c r="E3765" s="250" t="inlineStr">
        <is>
          <t xml:space="preserve"/>
        </is>
      </c>
      <c r="F3765" s="250" t="inlineStr">
        <is>
          <t xml:space="preserve"/>
        </is>
      </c>
      <c r="G3765" s="250" t="inlineStr">
        <is>
          <t xml:space="preserve"/>
        </is>
      </c>
      <c r="H3765" s="251">
        <f>SUM(H3763:H3764)</f>
        <v>2.783</v>
      </c>
      <c r="I3765" s="252" t="inlineStr">
        <is>
          <t xml:space="preserve">t</t>
        </is>
      </c>
    </row>
    <row r="3766">
      <c r="A3766" s="243" t="inlineStr">
        <is>
          <t xml:space="preserve">7TH FLR</t>
        </is>
      </c>
      <c r="B3766" s="243" t="inlineStr">
        <is>
          <t xml:space="preserve">Y</t>
        </is>
      </c>
      <c r="C3766" s="244" t="inlineStr">
        <is>
          <t xml:space="preserve">20mm diameter in shear &amp; lift walls</t>
        </is>
      </c>
      <c r="I3766" s="245" t="inlineStr">
        <is>
          <t xml:space="preserve">t</t>
        </is>
      </c>
      <c r="K3766" s="256" t="inlineStr">
        <is>
          <t xml:space="preserve">'7TH FLR   '!C80</t>
        </is>
      </c>
    </row>
    <row r="3767">
      <c r="C3767" s="246" t="inlineStr">
        <is>
          <t xml:space="preserve">Seventh floor (+24100) - Shear Walls, Y20 (from reinforcement take-off / BBS)</t>
        </is>
      </c>
      <c r="H3767" s="247">
        <v>6.904</v>
      </c>
      <c r="J3767" s="253" t="inlineStr">
        <is>
          <t xml:space="preserve">6.904</t>
        </is>
      </c>
    </row>
    <row r="3768">
      <c r="C3768" s="246" t="inlineStr">
        <is>
          <t xml:space="preserve">Seventh floor (+24100) - Lift Walls, Y20 (from reinforcement take-off / BBS)</t>
        </is>
      </c>
      <c r="H3768" s="247">
        <v>3.32</v>
      </c>
      <c r="J3768" s="253" t="inlineStr">
        <is>
          <t xml:space="preserve">3.320</t>
        </is>
      </c>
    </row>
    <row r="3769">
      <c r="C3769" s="250" t="inlineStr">
        <is>
          <t xml:space="preserve">Total carried to BOQ  7TH FLR item Y</t>
        </is>
      </c>
      <c r="D3769" s="250" t="inlineStr">
        <is>
          <t xml:space="preserve"/>
        </is>
      </c>
      <c r="E3769" s="250" t="inlineStr">
        <is>
          <t xml:space="preserve"/>
        </is>
      </c>
      <c r="F3769" s="250" t="inlineStr">
        <is>
          <t xml:space="preserve"/>
        </is>
      </c>
      <c r="G3769" s="250" t="inlineStr">
        <is>
          <t xml:space="preserve"/>
        </is>
      </c>
      <c r="H3769" s="251">
        <f>SUM(H3767:H3768)</f>
        <v>10.224</v>
      </c>
      <c r="I3769" s="252" t="inlineStr">
        <is>
          <t xml:space="preserve">t</t>
        </is>
      </c>
    </row>
    <row r="3770">
      <c r="A3770" s="243" t="inlineStr">
        <is>
          <t xml:space="preserve">7TH FLR</t>
        </is>
      </c>
      <c r="B3770" s="243" t="inlineStr">
        <is>
          <t xml:space="preserve">Z</t>
        </is>
      </c>
      <c r="C3770" s="244" t="inlineStr">
        <is>
          <t xml:space="preserve">12mm diameter in stairs</t>
        </is>
      </c>
      <c r="I3770" s="245" t="inlineStr">
        <is>
          <t xml:space="preserve">t</t>
        </is>
      </c>
      <c r="K3770" s="256" t="inlineStr">
        <is>
          <t xml:space="preserve">'7TH FLR   '!C82</t>
        </is>
      </c>
    </row>
    <row r="3771">
      <c r="C3771" s="246" t="inlineStr">
        <is>
          <t xml:space="preserve">Seventh floor (+24100) - Staircases, Y12 (from reinforcement take-off / BBS)</t>
        </is>
      </c>
      <c r="H3771" s="247">
        <v>0.88</v>
      </c>
      <c r="J3771" s="253" t="inlineStr">
        <is>
          <t xml:space="preserve">0.880</t>
        </is>
      </c>
    </row>
    <row r="3772">
      <c r="C3772" s="250" t="inlineStr">
        <is>
          <t xml:space="preserve">Total carried to BOQ  7TH FLR item Z</t>
        </is>
      </c>
      <c r="D3772" s="250" t="inlineStr">
        <is>
          <t xml:space="preserve"/>
        </is>
      </c>
      <c r="E3772" s="250" t="inlineStr">
        <is>
          <t xml:space="preserve"/>
        </is>
      </c>
      <c r="F3772" s="250" t="inlineStr">
        <is>
          <t xml:space="preserve"/>
        </is>
      </c>
      <c r="G3772" s="250" t="inlineStr">
        <is>
          <t xml:space="preserve"/>
        </is>
      </c>
      <c r="H3772" s="251">
        <f>SUM(H3771:H3771)</f>
        <v>0.88</v>
      </c>
      <c r="I3772" s="252" t="inlineStr">
        <is>
          <t xml:space="preserve">t</t>
        </is>
      </c>
    </row>
    <row r="3773">
      <c r="A3773" s="243" t="inlineStr">
        <is>
          <t xml:space="preserve">7TH FLR</t>
        </is>
      </c>
      <c r="B3773" s="243" t="inlineStr">
        <is>
          <t xml:space="preserve">A</t>
        </is>
      </c>
      <c r="C3773" s="244" t="inlineStr">
        <is>
          <t xml:space="preserve">16mm diameter in stairs</t>
        </is>
      </c>
      <c r="I3773" s="245" t="inlineStr">
        <is>
          <t xml:space="preserve">t</t>
        </is>
      </c>
      <c r="K3773" s="256" t="inlineStr">
        <is>
          <t xml:space="preserve">'7TH FLR   '!C84</t>
        </is>
      </c>
    </row>
    <row r="3774">
      <c r="C3774" s="246" t="inlineStr">
        <is>
          <t xml:space="preserve">Seventh floor (+24100) - Staircases, Y16 (from reinforcement take-off / BBS)</t>
        </is>
      </c>
      <c r="H3774" s="247">
        <v>1.434</v>
      </c>
      <c r="J3774" s="253" t="inlineStr">
        <is>
          <t xml:space="preserve">1.434</t>
        </is>
      </c>
    </row>
    <row r="3775">
      <c r="C3775" s="250" t="inlineStr">
        <is>
          <t xml:space="preserve">Total carried to BOQ  7TH FLR item A</t>
        </is>
      </c>
      <c r="D3775" s="250" t="inlineStr">
        <is>
          <t xml:space="preserve"/>
        </is>
      </c>
      <c r="E3775" s="250" t="inlineStr">
        <is>
          <t xml:space="preserve"/>
        </is>
      </c>
      <c r="F3775" s="250" t="inlineStr">
        <is>
          <t xml:space="preserve"/>
        </is>
      </c>
      <c r="G3775" s="250" t="inlineStr">
        <is>
          <t xml:space="preserve"/>
        </is>
      </c>
      <c r="H3775" s="251">
        <f>SUM(H3774:H3774)</f>
        <v>1.434</v>
      </c>
      <c r="I3775" s="252" t="inlineStr">
        <is>
          <t xml:space="preserve">t</t>
        </is>
      </c>
    </row>
    <row r="3776">
      <c r="A3776" s="243" t="inlineStr">
        <is>
          <t xml:space="preserve">7TH FLR</t>
        </is>
      </c>
      <c r="B3776" s="243" t="inlineStr">
        <is>
          <t xml:space="preserve">B</t>
        </is>
      </c>
      <c r="C3776" s="244" t="inlineStr">
        <is>
          <t xml:space="preserve">12mm diameter for suspended slab</t>
        </is>
      </c>
      <c r="I3776" s="245" t="inlineStr">
        <is>
          <t xml:space="preserve">t</t>
        </is>
      </c>
      <c r="K3776" s="256" t="inlineStr">
        <is>
          <t xml:space="preserve">'7TH FLR   '!C86</t>
        </is>
      </c>
    </row>
    <row r="3777">
      <c r="C3777" s="246" t="inlineStr">
        <is>
          <t xml:space="preserve">Seventh floor (+24100) - Floor Slabs, Y12 (from reinforcement take-off / BBS)</t>
        </is>
      </c>
      <c r="H3777" s="247">
        <v>49.804</v>
      </c>
      <c r="J3777" s="253" t="inlineStr">
        <is>
          <t xml:space="preserve">49.804</t>
        </is>
      </c>
    </row>
    <row r="3778">
      <c r="C3778" s="250" t="inlineStr">
        <is>
          <t xml:space="preserve">Total carried to BOQ  7TH FLR item B</t>
        </is>
      </c>
      <c r="D3778" s="250" t="inlineStr">
        <is>
          <t xml:space="preserve"/>
        </is>
      </c>
      <c r="E3778" s="250" t="inlineStr">
        <is>
          <t xml:space="preserve"/>
        </is>
      </c>
      <c r="F3778" s="250" t="inlineStr">
        <is>
          <t xml:space="preserve"/>
        </is>
      </c>
      <c r="G3778" s="250" t="inlineStr">
        <is>
          <t xml:space="preserve"/>
        </is>
      </c>
      <c r="H3778" s="251">
        <f>SUM(H3777:H3777)</f>
        <v>49.804</v>
      </c>
      <c r="I3778" s="252" t="inlineStr">
        <is>
          <t xml:space="preserve">t</t>
        </is>
      </c>
    </row>
    <row r="3779">
      <c r="A3779" s="243" t="inlineStr">
        <is>
          <t xml:space="preserve">7TH FLR</t>
        </is>
      </c>
      <c r="B3779" s="243" t="inlineStr">
        <is>
          <t xml:space="preserve">C</t>
        </is>
      </c>
      <c r="C3779" s="244" t="inlineStr">
        <is>
          <t xml:space="preserve">16mm diameter for suspended slab</t>
        </is>
      </c>
      <c r="I3779" s="245" t="inlineStr">
        <is>
          <t xml:space="preserve">t</t>
        </is>
      </c>
      <c r="K3779" s="256" t="inlineStr">
        <is>
          <t xml:space="preserve">'7TH FLR   '!C88</t>
        </is>
      </c>
    </row>
    <row r="3780">
      <c r="C3780" s="246" t="inlineStr">
        <is>
          <t xml:space="preserve">Seventh floor (+24100) - Floor Slabs, Y16 (from reinforcement take-off / BBS)</t>
        </is>
      </c>
      <c r="H3780" s="247">
        <v>0.151</v>
      </c>
      <c r="J3780" s="253" t="inlineStr">
        <is>
          <t xml:space="preserve">0.151</t>
        </is>
      </c>
    </row>
    <row r="3781">
      <c r="C3781" s="250" t="inlineStr">
        <is>
          <t xml:space="preserve">Total carried to BOQ  7TH FLR item C</t>
        </is>
      </c>
      <c r="D3781" s="250" t="inlineStr">
        <is>
          <t xml:space="preserve"/>
        </is>
      </c>
      <c r="E3781" s="250" t="inlineStr">
        <is>
          <t xml:space="preserve"/>
        </is>
      </c>
      <c r="F3781" s="250" t="inlineStr">
        <is>
          <t xml:space="preserve"/>
        </is>
      </c>
      <c r="G3781" s="250" t="inlineStr">
        <is>
          <t xml:space="preserve"/>
        </is>
      </c>
      <c r="H3781" s="251">
        <f>SUM(H3780:H3780)</f>
        <v>0.151</v>
      </c>
      <c r="I3781" s="252" t="inlineStr">
        <is>
          <t xml:space="preserve">t</t>
        </is>
      </c>
    </row>
    <row r="3782">
      <c r="C3782" s="242" t="inlineStr">
        <is>
          <t xml:space="preserve">ELEMENT NO. 2: MASONRY</t>
        </is>
      </c>
    </row>
    <row r="3783">
      <c r="C3783" s="242" t="inlineStr">
        <is>
          <t xml:space="preserve">F10 BRICK/BLOCK WALL - Solid sandcrete blockwork in cement and sand (1:4) mortar as described in:</t>
        </is>
      </c>
    </row>
    <row r="3784">
      <c r="A3784" s="243" t="inlineStr">
        <is>
          <t xml:space="preserve">7TH FLR</t>
        </is>
      </c>
      <c r="B3784" s="243" t="inlineStr">
        <is>
          <t xml:space="preserve">A</t>
        </is>
      </c>
      <c r="C3784" s="244" t="inlineStr">
        <is>
          <t xml:space="preserve">150mm thick wall</t>
        </is>
      </c>
      <c r="I3784" s="245" t="inlineStr">
        <is>
          <t xml:space="preserve">m2</t>
        </is>
      </c>
      <c r="K3784" s="256" t="inlineStr">
        <is>
          <t xml:space="preserve">'7TH FLR   '!C97</t>
        </is>
      </c>
    </row>
    <row r="3785">
      <c r="C3785" s="246" t="inlineStr">
        <is>
          <t xml:space="preserve">Seventh floor - 150 blockwork: wall length x storey ht</t>
        </is>
      </c>
      <c r="E3785" s="247">
        <v>449.8</v>
      </c>
      <c r="F3785" s="247">
        <v>3.05</v>
      </c>
      <c r="H3785" s="249">
        <f>PRODUCT(D3785:G3785)</f>
        <v>1371.8899999999999</v>
      </c>
      <c r="J3785" s="253" t="inlineStr">
        <is>
          <t xml:space="preserve">449.8*3.05</t>
        </is>
      </c>
    </row>
    <row r="3786">
      <c r="C3786" s="246" t="inlineStr">
        <is>
          <t xml:space="preserve">Walling over opening D2 (8 nr, 1x2.2): nr x width x (3.05 - opening ht) x thickness share</t>
        </is>
      </c>
      <c r="D3786" s="248">
        <v>8</v>
      </c>
      <c r="E3786" s="247">
        <v>1</v>
      </c>
      <c r="F3786" s="247">
        <f>3.05-2.2</f>
        <v>0.8499999999999996</v>
      </c>
      <c r="G3786" s="247">
        <v>0.9</v>
      </c>
      <c r="H3786" s="249">
        <f>PRODUCT(D3786:G3786)</f>
        <v>6.119999999999997</v>
      </c>
      <c r="J3786" s="253" t="inlineStr">
        <is>
          <t xml:space="preserve">8*1*(3.05-2.2)*0.900</t>
        </is>
      </c>
    </row>
    <row r="3787">
      <c r="C3787" s="246" t="inlineStr">
        <is>
          <t xml:space="preserve">Walling over opening D3 (15 nr, 0.9x2.2): nr x width x (3.05 - opening ht) x thickness share</t>
        </is>
      </c>
      <c r="D3787" s="248">
        <v>15</v>
      </c>
      <c r="E3787" s="247">
        <v>0.9</v>
      </c>
      <c r="F3787" s="247">
        <f>3.05-2.2</f>
        <v>0.8499999999999996</v>
      </c>
      <c r="G3787" s="247">
        <v>0.9</v>
      </c>
      <c r="H3787" s="249">
        <f>PRODUCT(D3787:G3787)</f>
        <v>10.327499999999995</v>
      </c>
      <c r="J3787" s="253" t="inlineStr">
        <is>
          <t xml:space="preserve">15*0.9*(3.05-2.2)*0.900</t>
        </is>
      </c>
    </row>
    <row r="3788">
      <c r="C3788" s="246" t="inlineStr">
        <is>
          <t xml:space="preserve">Walling over opening D6 (20 nr, 0.75x2.2): nr x width x (3.05 - opening ht) x thickness share</t>
        </is>
      </c>
      <c r="D3788" s="248">
        <v>20</v>
      </c>
      <c r="E3788" s="247">
        <v>0.75</v>
      </c>
      <c r="F3788" s="247">
        <f>3.05-2.2</f>
        <v>0.8499999999999996</v>
      </c>
      <c r="G3788" s="247">
        <v>0.9</v>
      </c>
      <c r="H3788" s="249">
        <f>PRODUCT(D3788:G3788)</f>
        <v>11.474999999999996</v>
      </c>
      <c r="J3788" s="253" t="inlineStr">
        <is>
          <t xml:space="preserve">20*0.75*(3.05-2.2)*0.900</t>
        </is>
      </c>
    </row>
    <row r="3789">
      <c r="C3789" s="246" t="inlineStr">
        <is>
          <t xml:space="preserve">Walling over opening D7 (1 nr, 0.7x2.2): nr x width x (3.05 - opening ht) x thickness share</t>
        </is>
      </c>
      <c r="D3789" s="248">
        <v>1</v>
      </c>
      <c r="E3789" s="247">
        <v>0.7</v>
      </c>
      <c r="F3789" s="247">
        <f>3.05-2.2</f>
        <v>0.8499999999999996</v>
      </c>
      <c r="G3789" s="247">
        <v>0.9</v>
      </c>
      <c r="H3789" s="249">
        <f>PRODUCT(D3789:G3789)</f>
        <v>0.5354999999999998</v>
      </c>
      <c r="J3789" s="253" t="inlineStr">
        <is>
          <t xml:space="preserve">1*0.7*(3.05-2.2)*0.900</t>
        </is>
      </c>
    </row>
    <row r="3790">
      <c r="C3790" s="246" t="inlineStr">
        <is>
          <t xml:space="preserve">Walling over opening D8 (3 nr, 1.2x2.2): nr x width x (3.05 - opening ht) x thickness share</t>
        </is>
      </c>
      <c r="D3790" s="248">
        <v>3</v>
      </c>
      <c r="E3790" s="247">
        <v>1.2</v>
      </c>
      <c r="F3790" s="247">
        <f>3.05-2.2</f>
        <v>0.8499999999999996</v>
      </c>
      <c r="G3790" s="247">
        <v>0.9</v>
      </c>
      <c r="H3790" s="249">
        <f>PRODUCT(D3790:G3790)</f>
        <v>2.7539999999999987</v>
      </c>
      <c r="J3790" s="253" t="inlineStr">
        <is>
          <t xml:space="preserve">3*1.2*(3.05-2.2)*0.900</t>
        </is>
      </c>
    </row>
    <row r="3791">
      <c r="C3791" s="246" t="inlineStr">
        <is>
          <t xml:space="preserve">Walling over opening ED1 (3 nr, 1x2.2): nr x width x (3.05 - opening ht) x thickness share</t>
        </is>
      </c>
      <c r="D3791" s="248">
        <v>3</v>
      </c>
      <c r="E3791" s="247">
        <v>1</v>
      </c>
      <c r="F3791" s="247">
        <f>3.05-2.2</f>
        <v>0.8499999999999996</v>
      </c>
      <c r="G3791" s="247">
        <v>0.9</v>
      </c>
      <c r="H3791" s="249">
        <f>PRODUCT(D3791:G3791)</f>
        <v>2.294999999999999</v>
      </c>
      <c r="J3791" s="253" t="inlineStr">
        <is>
          <t xml:space="preserve">3*1*(3.05-2.2)*0.900</t>
        </is>
      </c>
    </row>
    <row r="3792">
      <c r="C3792" s="246" t="inlineStr">
        <is>
          <t xml:space="preserve">Walling over opening ED2 (2 nr, 1x2.2): nr x width x (3.05 - opening ht) x thickness share</t>
        </is>
      </c>
      <c r="D3792" s="248">
        <v>2</v>
      </c>
      <c r="E3792" s="247">
        <v>1</v>
      </c>
      <c r="F3792" s="247">
        <f>3.05-2.2</f>
        <v>0.8499999999999996</v>
      </c>
      <c r="G3792" s="247">
        <v>0.9</v>
      </c>
      <c r="H3792" s="249">
        <f>PRODUCT(D3792:G3792)</f>
        <v>1.5299999999999994</v>
      </c>
      <c r="J3792" s="253" t="inlineStr">
        <is>
          <t xml:space="preserve">2*1*(3.05-2.2)*0.900</t>
        </is>
      </c>
    </row>
    <row r="3793">
      <c r="C3793" s="246" t="inlineStr">
        <is>
          <t xml:space="preserve">Walling over opening D9 (1 nr, 0.9x2.2): nr x width x (3.05 - opening ht) x thickness share</t>
        </is>
      </c>
      <c r="D3793" s="248">
        <v>1</v>
      </c>
      <c r="E3793" s="247">
        <v>0.9</v>
      </c>
      <c r="F3793" s="247">
        <f>3.05-2.2</f>
        <v>0.8499999999999996</v>
      </c>
      <c r="G3793" s="247">
        <v>0.9</v>
      </c>
      <c r="H3793" s="249">
        <f>PRODUCT(D3793:G3793)</f>
        <v>0.6884999999999998</v>
      </c>
      <c r="J3793" s="253" t="inlineStr">
        <is>
          <t xml:space="preserve">1*0.9*(3.05-2.2)*0.900</t>
        </is>
      </c>
    </row>
    <row r="3794">
      <c r="C3794" s="246" t="inlineStr">
        <is>
          <t xml:space="preserve">Walling over opening FD1 (1 nr, 1.5x2.2): nr x width x (3.05 - opening ht) x thickness share</t>
        </is>
      </c>
      <c r="D3794" s="248">
        <v>1</v>
      </c>
      <c r="E3794" s="247">
        <v>1.5</v>
      </c>
      <c r="F3794" s="247">
        <f>3.05-2.2</f>
        <v>0.8499999999999996</v>
      </c>
      <c r="G3794" s="247">
        <v>0.9</v>
      </c>
      <c r="H3794" s="249">
        <f>PRODUCT(D3794:G3794)</f>
        <v>1.1474999999999995</v>
      </c>
      <c r="J3794" s="253" t="inlineStr">
        <is>
          <t xml:space="preserve">1*1.5*(3.05-2.2)*0.900</t>
        </is>
      </c>
    </row>
    <row r="3795">
      <c r="C3795" s="246" t="inlineStr">
        <is>
          <t xml:space="preserve">Walling over opening M1 (2 nr, 0.9x2.2): nr x width x (3.05 - opening ht) x thickness share</t>
        </is>
      </c>
      <c r="D3795" s="248">
        <v>2</v>
      </c>
      <c r="E3795" s="247">
        <v>0.9</v>
      </c>
      <c r="F3795" s="247">
        <f>3.05-2.2</f>
        <v>0.8499999999999996</v>
      </c>
      <c r="G3795" s="247">
        <v>0.9</v>
      </c>
      <c r="H3795" s="249">
        <f>PRODUCT(D3795:G3795)</f>
        <v>1.3769999999999996</v>
      </c>
      <c r="J3795" s="253" t="inlineStr">
        <is>
          <t xml:space="preserve">2*0.9*(3.05-2.2)*0.900</t>
        </is>
      </c>
    </row>
    <row r="3796">
      <c r="C3796" s="246" t="inlineStr">
        <is>
          <t xml:space="preserve">Walling over opening M2 (4 nr, 0.75x2.2): nr x width x (3.05 - opening ht) x thickness share</t>
        </is>
      </c>
      <c r="D3796" s="248">
        <v>4</v>
      </c>
      <c r="E3796" s="247">
        <v>0.75</v>
      </c>
      <c r="F3796" s="247">
        <f>3.05-2.2</f>
        <v>0.8499999999999996</v>
      </c>
      <c r="G3796" s="247">
        <v>0.9</v>
      </c>
      <c r="H3796" s="249">
        <f>PRODUCT(D3796:G3796)</f>
        <v>2.294999999999999</v>
      </c>
      <c r="J3796" s="253" t="inlineStr">
        <is>
          <t xml:space="preserve">4*0.75*(3.05-2.2)*0.900</t>
        </is>
      </c>
    </row>
    <row r="3797">
      <c r="C3797" s="246" t="inlineStr">
        <is>
          <t xml:space="preserve">Walling over opening M3 (1 nr, 0.45x2.2): nr x width x (3.05 - opening ht) x thickness share</t>
        </is>
      </c>
      <c r="D3797" s="248">
        <v>1</v>
      </c>
      <c r="E3797" s="247">
        <v>0.45</v>
      </c>
      <c r="F3797" s="247">
        <f>3.05-2.2</f>
        <v>0.8499999999999996</v>
      </c>
      <c r="G3797" s="247">
        <v>0.9</v>
      </c>
      <c r="H3797" s="249">
        <f>PRODUCT(D3797:G3797)</f>
        <v>0.3442499999999999</v>
      </c>
      <c r="J3797" s="253" t="inlineStr">
        <is>
          <t xml:space="preserve">1*0.45*(3.05-2.2)*0.900</t>
        </is>
      </c>
    </row>
    <row r="3798">
      <c r="C3798" s="246" t="inlineStr">
        <is>
          <t xml:space="preserve">Walling over opening M5 (3 nr, 0.6x2.2): nr x width x (3.05 - opening ht) x thickness share</t>
        </is>
      </c>
      <c r="D3798" s="248">
        <v>3</v>
      </c>
      <c r="E3798" s="247">
        <v>0.6</v>
      </c>
      <c r="F3798" s="247">
        <f>3.05-2.2</f>
        <v>0.8499999999999996</v>
      </c>
      <c r="G3798" s="247">
        <v>0.9</v>
      </c>
      <c r="H3798" s="249">
        <f>PRODUCT(D3798:G3798)</f>
        <v>1.3769999999999993</v>
      </c>
      <c r="J3798" s="253" t="inlineStr">
        <is>
          <t xml:space="preserve">3*0.6*(3.05-2.2)*0.900</t>
        </is>
      </c>
    </row>
    <row r="3799">
      <c r="C3799" s="246" t="inlineStr">
        <is>
          <t xml:space="preserve">Walling over opening SD1 (1 nr, 3x2.2): nr x width x (3.05 - opening ht) x thickness share</t>
        </is>
      </c>
      <c r="D3799" s="248">
        <v>1</v>
      </c>
      <c r="E3799" s="247">
        <v>3</v>
      </c>
      <c r="F3799" s="247">
        <f>3.05-2.2</f>
        <v>0.8499999999999996</v>
      </c>
      <c r="G3799" s="247">
        <v>0.9</v>
      </c>
      <c r="H3799" s="249">
        <f>PRODUCT(D3799:G3799)</f>
        <v>2.294999999999999</v>
      </c>
      <c r="J3799" s="253" t="inlineStr">
        <is>
          <t xml:space="preserve">1*3*(3.05-2.2)*0.900</t>
        </is>
      </c>
    </row>
    <row r="3800">
      <c r="C3800" s="246" t="inlineStr">
        <is>
          <t xml:space="preserve">Walling over opening SD2 (4 nr, 1.6x2.2): nr x width x (3.05 - opening ht) x thickness share</t>
        </is>
      </c>
      <c r="D3800" s="248">
        <v>4</v>
      </c>
      <c r="E3800" s="247">
        <v>1.6</v>
      </c>
      <c r="F3800" s="247">
        <f>3.05-2.2</f>
        <v>0.8499999999999996</v>
      </c>
      <c r="G3800" s="247">
        <v>0.9</v>
      </c>
      <c r="H3800" s="249">
        <f>PRODUCT(D3800:G3800)</f>
        <v>4.895999999999998</v>
      </c>
      <c r="J3800" s="253" t="inlineStr">
        <is>
          <t xml:space="preserve">4*1.6*(3.05-2.2)*0.900</t>
        </is>
      </c>
    </row>
    <row r="3801">
      <c r="C3801" s="246" t="inlineStr">
        <is>
          <t xml:space="preserve">Walling over opening SD3 (2 nr, 1.3x2.2): nr x width x (3.05 - opening ht) x thickness share</t>
        </is>
      </c>
      <c r="D3801" s="248">
        <v>2</v>
      </c>
      <c r="E3801" s="247">
        <v>1.3</v>
      </c>
      <c r="F3801" s="247">
        <f>3.05-2.2</f>
        <v>0.8499999999999996</v>
      </c>
      <c r="G3801" s="247">
        <v>0.9</v>
      </c>
      <c r="H3801" s="249">
        <f>PRODUCT(D3801:G3801)</f>
        <v>1.9889999999999992</v>
      </c>
      <c r="J3801" s="253" t="inlineStr">
        <is>
          <t xml:space="preserve">2*1.3*(3.05-2.2)*0.900</t>
        </is>
      </c>
    </row>
    <row r="3802">
      <c r="C3802" s="246" t="inlineStr">
        <is>
          <t xml:space="preserve">Walling over opening SD4 (4 nr, 1.8x2.2): nr x width x (3.05 - opening ht) x thickness share</t>
        </is>
      </c>
      <c r="D3802" s="248">
        <v>4</v>
      </c>
      <c r="E3802" s="247">
        <v>1.8</v>
      </c>
      <c r="F3802" s="247">
        <f>3.05-2.2</f>
        <v>0.8499999999999996</v>
      </c>
      <c r="G3802" s="247">
        <v>0.9</v>
      </c>
      <c r="H3802" s="249">
        <f>PRODUCT(D3802:G3802)</f>
        <v>5.507999999999998</v>
      </c>
      <c r="J3802" s="253" t="inlineStr">
        <is>
          <t xml:space="preserve">4*1.8*(3.05-2.2)*0.900</t>
        </is>
      </c>
    </row>
    <row r="3803">
      <c r="C3803" s="246" t="inlineStr">
        <is>
          <t xml:space="preserve">Walling over opening SD5 (1 nr, 1.2x2.2): nr x width x (3.05 - opening ht) x thickness share</t>
        </is>
      </c>
      <c r="D3803" s="248">
        <v>1</v>
      </c>
      <c r="E3803" s="247">
        <v>1.2</v>
      </c>
      <c r="F3803" s="247">
        <f>3.05-2.2</f>
        <v>0.8499999999999996</v>
      </c>
      <c r="G3803" s="247">
        <v>0.9</v>
      </c>
      <c r="H3803" s="249">
        <f>PRODUCT(D3803:G3803)</f>
        <v>0.9179999999999996</v>
      </c>
      <c r="J3803" s="253" t="inlineStr">
        <is>
          <t xml:space="preserve">1*1.2*(3.05-2.2)*0.900</t>
        </is>
      </c>
    </row>
    <row r="3804">
      <c r="C3804" s="246" t="inlineStr">
        <is>
          <t xml:space="preserve">Walling over opening W2 (6 nr, 1.8x1.3): nr x width x (3.05 - opening ht) x thickness share</t>
        </is>
      </c>
      <c r="D3804" s="248">
        <v>6</v>
      </c>
      <c r="E3804" s="247">
        <v>1.8</v>
      </c>
      <c r="F3804" s="247">
        <f>3.05-1.3</f>
        <v>1.7499999999999998</v>
      </c>
      <c r="G3804" s="247">
        <v>0.9</v>
      </c>
      <c r="H3804" s="249">
        <f>PRODUCT(D3804:G3804)</f>
        <v>17.009999999999998</v>
      </c>
      <c r="J3804" s="253" t="inlineStr">
        <is>
          <t xml:space="preserve">6*1.8*(3.05-1.3)*0.900</t>
        </is>
      </c>
    </row>
    <row r="3805">
      <c r="C3805" s="246" t="inlineStr">
        <is>
          <t xml:space="preserve">Walling over opening W4 (10 nr, 0.9x1.3): nr x width x (3.05 - opening ht) x thickness share</t>
        </is>
      </c>
      <c r="D3805" s="248">
        <v>10</v>
      </c>
      <c r="E3805" s="247">
        <v>0.9</v>
      </c>
      <c r="F3805" s="247">
        <f>3.05-1.3</f>
        <v>1.7499999999999998</v>
      </c>
      <c r="G3805" s="247">
        <v>0.9</v>
      </c>
      <c r="H3805" s="249">
        <f>PRODUCT(D3805:G3805)</f>
        <v>14.174999999999999</v>
      </c>
      <c r="J3805" s="253" t="inlineStr">
        <is>
          <t xml:space="preserve">10*0.9*(3.05-1.3)*0.900</t>
        </is>
      </c>
    </row>
    <row r="3806">
      <c r="C3806" s="246" t="inlineStr">
        <is>
          <t xml:space="preserve">Walling over opening W7 (1 nr, 1.8x1.6): nr x width x (3.05 - opening ht) x thickness share</t>
        </is>
      </c>
      <c r="D3806" s="248">
        <v>1</v>
      </c>
      <c r="E3806" s="247">
        <v>1.8</v>
      </c>
      <c r="F3806" s="247">
        <f>3.05-1.6</f>
        <v>1.4499999999999997</v>
      </c>
      <c r="G3806" s="247">
        <v>0.9</v>
      </c>
      <c r="H3806" s="249">
        <f>PRODUCT(D3806:G3806)</f>
        <v>2.3489999999999998</v>
      </c>
      <c r="J3806" s="253" t="inlineStr">
        <is>
          <t xml:space="preserve">1*1.8*(3.05-1.6)*0.900</t>
        </is>
      </c>
    </row>
    <row r="3807">
      <c r="C3807" s="246" t="inlineStr">
        <is>
          <t xml:space="preserve">Walling over opening W8 (3 nr, 1.2x1.9): nr x width x (3.05 - opening ht) x thickness share</t>
        </is>
      </c>
      <c r="D3807" s="248">
        <v>3</v>
      </c>
      <c r="E3807" s="247">
        <v>1.2</v>
      </c>
      <c r="F3807" s="247">
        <f>3.05-1.9</f>
        <v>1.15</v>
      </c>
      <c r="G3807" s="247">
        <v>0.9</v>
      </c>
      <c r="H3807" s="249">
        <f>PRODUCT(D3807:G3807)</f>
        <v>3.726</v>
      </c>
      <c r="J3807" s="253" t="inlineStr">
        <is>
          <t xml:space="preserve">3*1.2*(3.05-1.9)*0.900</t>
        </is>
      </c>
    </row>
    <row r="3808">
      <c r="C3808" s="246" t="inlineStr">
        <is>
          <t xml:space="preserve">Walling over opening W9 (8 nr, 1.2x1.15): nr x width x (3.05 - opening ht) x thickness share</t>
        </is>
      </c>
      <c r="D3808" s="248">
        <v>8</v>
      </c>
      <c r="E3808" s="247">
        <v>1.2</v>
      </c>
      <c r="F3808" s="247">
        <f>3.05-1.15</f>
        <v>1.9</v>
      </c>
      <c r="G3808" s="247">
        <v>0.9</v>
      </c>
      <c r="H3808" s="249">
        <f>PRODUCT(D3808:G3808)</f>
        <v>16.416</v>
      </c>
      <c r="J3808" s="253" t="inlineStr">
        <is>
          <t xml:space="preserve">8*1.2*(3.05-1.15)*0.900</t>
        </is>
      </c>
    </row>
    <row r="3809">
      <c r="C3809" s="246" t="inlineStr">
        <is>
          <t xml:space="preserve">Walling over opening W10 (1 nr, 1.2x1.2): nr x width x (3.05 - opening ht) x thickness share</t>
        </is>
      </c>
      <c r="D3809" s="248">
        <v>1</v>
      </c>
      <c r="E3809" s="247">
        <v>1.2</v>
      </c>
      <c r="F3809" s="247">
        <f>3.05-1.2</f>
        <v>1.8499999999999999</v>
      </c>
      <c r="G3809" s="247">
        <v>0.9</v>
      </c>
      <c r="H3809" s="249">
        <f>PRODUCT(D3809:G3809)</f>
        <v>1.9979999999999998</v>
      </c>
      <c r="J3809" s="253" t="inlineStr">
        <is>
          <t xml:space="preserve">1*1.2*(3.05-1.2)*0.900</t>
        </is>
      </c>
    </row>
    <row r="3810">
      <c r="C3810" s="246" t="inlineStr">
        <is>
          <t xml:space="preserve">Walling over opening W11 (6 nr, 1.5x1.3): nr x width x (3.05 - opening ht) x thickness share</t>
        </is>
      </c>
      <c r="D3810" s="248">
        <v>6</v>
      </c>
      <c r="E3810" s="247">
        <v>1.5</v>
      </c>
      <c r="F3810" s="247">
        <f>3.05-1.3</f>
        <v>1.7499999999999998</v>
      </c>
      <c r="G3810" s="247">
        <v>0.9</v>
      </c>
      <c r="H3810" s="249">
        <f>PRODUCT(D3810:G3810)</f>
        <v>14.174999999999999</v>
      </c>
      <c r="J3810" s="253" t="inlineStr">
        <is>
          <t xml:space="preserve">6*1.5*(3.05-1.3)*0.900</t>
        </is>
      </c>
    </row>
    <row r="3811">
      <c r="C3811" s="246" t="inlineStr">
        <is>
          <t xml:space="preserve">Walling over opening W12 (3 nr, 1.5x1.15): nr x width x (3.05 - opening ht) x thickness share</t>
        </is>
      </c>
      <c r="D3811" s="248">
        <v>3</v>
      </c>
      <c r="E3811" s="247">
        <v>1.5</v>
      </c>
      <c r="F3811" s="247">
        <f>3.05-1.15</f>
        <v>1.9</v>
      </c>
      <c r="G3811" s="247">
        <v>0.9</v>
      </c>
      <c r="H3811" s="249">
        <f>PRODUCT(D3811:G3811)</f>
        <v>7.694999999999999</v>
      </c>
      <c r="J3811" s="253" t="inlineStr">
        <is>
          <t xml:space="preserve">3*1.5*(3.05-1.15)*0.900</t>
        </is>
      </c>
    </row>
    <row r="3812">
      <c r="C3812" s="246" t="inlineStr">
        <is>
          <t xml:space="preserve">Walling over opening W13 (1 nr, 2.4x1.3): nr x width x (3.05 - opening ht) x thickness share</t>
        </is>
      </c>
      <c r="D3812" s="248">
        <v>1</v>
      </c>
      <c r="E3812" s="247">
        <v>2.4</v>
      </c>
      <c r="F3812" s="247">
        <f>3.05-1.3</f>
        <v>1.7499999999999998</v>
      </c>
      <c r="G3812" s="247">
        <v>0.9</v>
      </c>
      <c r="H3812" s="249">
        <f>PRODUCT(D3812:G3812)</f>
        <v>3.7799999999999994</v>
      </c>
      <c r="J3812" s="253" t="inlineStr">
        <is>
          <t xml:space="preserve">1*2.4*(3.05-1.3)*0.900</t>
        </is>
      </c>
    </row>
    <row r="3813">
      <c r="C3813" s="246" t="inlineStr">
        <is>
          <t xml:space="preserve">Walling over opening W15 (1 nr, 3x1.6): nr x width x (3.05 - opening ht) x thickness share</t>
        </is>
      </c>
      <c r="D3813" s="248">
        <v>1</v>
      </c>
      <c r="E3813" s="247">
        <v>3</v>
      </c>
      <c r="F3813" s="247">
        <f>3.05-1.6</f>
        <v>1.4499999999999997</v>
      </c>
      <c r="G3813" s="247">
        <v>0.9</v>
      </c>
      <c r="H3813" s="249">
        <f>PRODUCT(D3813:G3813)</f>
        <v>3.9149999999999996</v>
      </c>
      <c r="J3813" s="253" t="inlineStr">
        <is>
          <t xml:space="preserve">1*3*(3.05-1.6)*0.900</t>
        </is>
      </c>
    </row>
    <row r="3814">
      <c r="C3814" s="246" t="inlineStr">
        <is>
          <t xml:space="preserve">Walling over opening W17 (3 nr, 1.8x1.9): nr x width x (3.05 - opening ht) x thickness share</t>
        </is>
      </c>
      <c r="D3814" s="248">
        <v>3</v>
      </c>
      <c r="E3814" s="247">
        <v>1.8</v>
      </c>
      <c r="F3814" s="247">
        <f>3.05-1.9</f>
        <v>1.15</v>
      </c>
      <c r="G3814" s="247">
        <v>0.9</v>
      </c>
      <c r="H3814" s="249">
        <f>PRODUCT(D3814:G3814)</f>
        <v>5.589</v>
      </c>
      <c r="J3814" s="253" t="inlineStr">
        <is>
          <t xml:space="preserve">3*1.8*(3.05-1.9)*0.900</t>
        </is>
      </c>
    </row>
    <row r="3815">
      <c r="C3815" s="246" t="inlineStr">
        <is>
          <t xml:space="preserve">Walling over opening W18 (1 nr, 0.75x1.3): nr x width x (3.05 - opening ht) x thickness share</t>
        </is>
      </c>
      <c r="D3815" s="248">
        <v>1</v>
      </c>
      <c r="E3815" s="247">
        <v>0.75</v>
      </c>
      <c r="F3815" s="247">
        <f>3.05-1.3</f>
        <v>1.7499999999999998</v>
      </c>
      <c r="G3815" s="247">
        <v>0.9</v>
      </c>
      <c r="H3815" s="249">
        <f>PRODUCT(D3815:G3815)</f>
        <v>1.18125</v>
      </c>
      <c r="J3815" s="253" t="inlineStr">
        <is>
          <t xml:space="preserve">1*0.75*(3.05-1.3)*0.900</t>
        </is>
      </c>
    </row>
    <row r="3816">
      <c r="C3816" s="246" t="inlineStr">
        <is>
          <t xml:space="preserve">Walling over opening W20 (1 nr, 1.45x1.9): nr x width x (3.05 - opening ht) x thickness share</t>
        </is>
      </c>
      <c r="D3816" s="248">
        <v>1</v>
      </c>
      <c r="E3816" s="247">
        <v>1.45</v>
      </c>
      <c r="F3816" s="247">
        <f>3.05-1.9</f>
        <v>1.15</v>
      </c>
      <c r="G3816" s="247">
        <v>0.9</v>
      </c>
      <c r="H3816" s="249">
        <f>PRODUCT(D3816:G3816)</f>
        <v>1.5007499999999998</v>
      </c>
      <c r="J3816" s="253" t="inlineStr">
        <is>
          <t xml:space="preserve">1*1.45*(3.05-1.9)*0.900</t>
        </is>
      </c>
    </row>
    <row r="3817">
      <c r="C3817" s="246" t="inlineStr">
        <is>
          <t xml:space="preserve">Walling over opening HW1 (12 nr, 0.9x0.6): nr x width x (3.05 - opening ht) x thickness share</t>
        </is>
      </c>
      <c r="D3817" s="248">
        <v>12</v>
      </c>
      <c r="E3817" s="247">
        <v>0.9</v>
      </c>
      <c r="F3817" s="247">
        <f>3.05-0.6</f>
        <v>2.4499999999999997</v>
      </c>
      <c r="G3817" s="247">
        <v>0.9</v>
      </c>
      <c r="H3817" s="249">
        <f>PRODUCT(D3817:G3817)</f>
        <v>23.813999999999997</v>
      </c>
      <c r="J3817" s="253" t="inlineStr">
        <is>
          <t xml:space="preserve">12*0.9*(3.05-0.6)*0.900</t>
        </is>
      </c>
    </row>
    <row r="3818">
      <c r="C3818" s="246" t="inlineStr">
        <is>
          <t xml:space="preserve">Walling over opening HW2 (5 nr, 0.75x0.6): nr x width x (3.05 - opening ht) x thickness share</t>
        </is>
      </c>
      <c r="D3818" s="248">
        <v>5</v>
      </c>
      <c r="E3818" s="247">
        <v>0.75</v>
      </c>
      <c r="F3818" s="247">
        <f>3.05-0.6</f>
        <v>2.4499999999999997</v>
      </c>
      <c r="G3818" s="247">
        <v>0.9</v>
      </c>
      <c r="H3818" s="249">
        <f>PRODUCT(D3818:G3818)</f>
        <v>8.268749999999999</v>
      </c>
      <c r="J3818" s="253" t="inlineStr">
        <is>
          <t xml:space="preserve">5*0.75*(3.05-0.6)*0.900</t>
        </is>
      </c>
    </row>
    <row r="3819">
      <c r="C3819" s="246" t="inlineStr">
        <is>
          <t xml:space="preserve">Walling over opening HW3 (1 nr, 0.6x0.6): nr x width x (3.05 - opening ht) x thickness share</t>
        </is>
      </c>
      <c r="D3819" s="248">
        <v>1</v>
      </c>
      <c r="E3819" s="247">
        <v>0.6</v>
      </c>
      <c r="F3819" s="247">
        <f>3.05-0.6</f>
        <v>2.4499999999999997</v>
      </c>
      <c r="G3819" s="247">
        <v>0.9</v>
      </c>
      <c r="H3819" s="249">
        <f>PRODUCT(D3819:G3819)</f>
        <v>1.3229999999999997</v>
      </c>
      <c r="J3819" s="253" t="inlineStr">
        <is>
          <t xml:space="preserve">1*0.6*(3.05-0.6)*0.900</t>
        </is>
      </c>
    </row>
    <row r="3820">
      <c r="C3820" s="246" t="inlineStr">
        <is>
          <t xml:space="preserve">Walling over opening HW4 (1 nr, 1.2x0.6): nr x width x (3.05 - opening ht) x thickness share</t>
        </is>
      </c>
      <c r="D3820" s="248">
        <v>1</v>
      </c>
      <c r="E3820" s="247">
        <v>1.2</v>
      </c>
      <c r="F3820" s="247">
        <f>3.05-0.6</f>
        <v>2.4499999999999997</v>
      </c>
      <c r="G3820" s="247">
        <v>0.9</v>
      </c>
      <c r="H3820" s="249">
        <f>PRODUCT(D3820:G3820)</f>
        <v>2.6459999999999995</v>
      </c>
      <c r="J3820" s="253" t="inlineStr">
        <is>
          <t xml:space="preserve">1*1.2*(3.05-0.6)*0.900</t>
        </is>
      </c>
    </row>
    <row r="3821">
      <c r="C3821" s="250" t="inlineStr">
        <is>
          <t xml:space="preserve">Total carried to BOQ  7TH FLR item A</t>
        </is>
      </c>
      <c r="D3821" s="250" t="inlineStr">
        <is>
          <t xml:space="preserve"/>
        </is>
      </c>
      <c r="E3821" s="250" t="inlineStr">
        <is>
          <t xml:space="preserve"/>
        </is>
      </c>
      <c r="F3821" s="250" t="inlineStr">
        <is>
          <t xml:space="preserve"/>
        </is>
      </c>
      <c r="G3821" s="250" t="inlineStr">
        <is>
          <t xml:space="preserve"/>
        </is>
      </c>
      <c r="H3821" s="251">
        <f>SUM(H3785:H3820)</f>
        <v>1559.3239999999996</v>
      </c>
      <c r="I3821" s="252" t="inlineStr">
        <is>
          <t xml:space="preserve">m2</t>
        </is>
      </c>
    </row>
    <row r="3822">
      <c r="A3822" s="243" t="inlineStr">
        <is>
          <t xml:space="preserve">7TH FLR</t>
        </is>
      </c>
      <c r="B3822" s="243" t="inlineStr">
        <is>
          <t xml:space="preserve">B</t>
        </is>
      </c>
      <c r="C3822" s="244" t="inlineStr">
        <is>
          <t xml:space="preserve">200mm thick wall</t>
        </is>
      </c>
      <c r="I3822" s="245" t="inlineStr">
        <is>
          <t xml:space="preserve">m2</t>
        </is>
      </c>
      <c r="K3822" s="256" t="inlineStr">
        <is>
          <t xml:space="preserve">'7TH FLR   '!C99</t>
        </is>
      </c>
    </row>
    <row r="3823">
      <c r="C3823" s="246" t="inlineStr">
        <is>
          <t xml:space="preserve">Seventh floor - 200 blockwork: wall length x storey ht</t>
        </is>
      </c>
      <c r="E3823" s="247">
        <v>50.1</v>
      </c>
      <c r="F3823" s="247">
        <v>3.05</v>
      </c>
      <c r="H3823" s="249">
        <f>PRODUCT(D3823:G3823)</f>
        <v>152.805</v>
      </c>
      <c r="J3823" s="253" t="inlineStr">
        <is>
          <t xml:space="preserve">50.1*3.05</t>
        </is>
      </c>
    </row>
    <row r="3824">
      <c r="C3824" s="246" t="inlineStr">
        <is>
          <t xml:space="preserve">Walling over opening D2 (8 nr, 1x2.2): nr x width x (3.05 - opening ht) x thickness share</t>
        </is>
      </c>
      <c r="D3824" s="248">
        <v>8</v>
      </c>
      <c r="E3824" s="247">
        <v>1</v>
      </c>
      <c r="F3824" s="247">
        <f>3.05-2.2</f>
        <v>0.8499999999999996</v>
      </c>
      <c r="G3824" s="247">
        <v>0.1</v>
      </c>
      <c r="H3824" s="249">
        <f>PRODUCT(D3824:G3824)</f>
        <v>0.6799999999999997</v>
      </c>
      <c r="J3824" s="253" t="inlineStr">
        <is>
          <t xml:space="preserve">8*1*(3.05-2.2)*0.100</t>
        </is>
      </c>
    </row>
    <row r="3825">
      <c r="C3825" s="246" t="inlineStr">
        <is>
          <t xml:space="preserve">Walling over opening D3 (15 nr, 0.9x2.2): nr x width x (3.05 - opening ht) x thickness share</t>
        </is>
      </c>
      <c r="D3825" s="248">
        <v>15</v>
      </c>
      <c r="E3825" s="247">
        <v>0.9</v>
      </c>
      <c r="F3825" s="247">
        <f>3.05-2.2</f>
        <v>0.8499999999999996</v>
      </c>
      <c r="G3825" s="247">
        <v>0.1</v>
      </c>
      <c r="H3825" s="249">
        <f>PRODUCT(D3825:G3825)</f>
        <v>1.1474999999999995</v>
      </c>
      <c r="J3825" s="253" t="inlineStr">
        <is>
          <t xml:space="preserve">15*0.9*(3.05-2.2)*0.100</t>
        </is>
      </c>
    </row>
    <row r="3826">
      <c r="C3826" s="246" t="inlineStr">
        <is>
          <t xml:space="preserve">Walling over opening D6 (20 nr, 0.75x2.2): nr x width x (3.05 - opening ht) x thickness share</t>
        </is>
      </c>
      <c r="D3826" s="248">
        <v>20</v>
      </c>
      <c r="E3826" s="247">
        <v>0.75</v>
      </c>
      <c r="F3826" s="247">
        <f>3.05-2.2</f>
        <v>0.8499999999999996</v>
      </c>
      <c r="G3826" s="247">
        <v>0.1</v>
      </c>
      <c r="H3826" s="249">
        <f>PRODUCT(D3826:G3826)</f>
        <v>1.2749999999999995</v>
      </c>
      <c r="J3826" s="253" t="inlineStr">
        <is>
          <t xml:space="preserve">20*0.75*(3.05-2.2)*0.100</t>
        </is>
      </c>
    </row>
    <row r="3827">
      <c r="C3827" s="246" t="inlineStr">
        <is>
          <t xml:space="preserve">Walling over opening D7 (1 nr, 0.7x2.2): nr x width x (3.05 - opening ht) x thickness share</t>
        </is>
      </c>
      <c r="D3827" s="248">
        <v>1</v>
      </c>
      <c r="E3827" s="247">
        <v>0.7</v>
      </c>
      <c r="F3827" s="247">
        <f>3.05-2.2</f>
        <v>0.8499999999999996</v>
      </c>
      <c r="G3827" s="247">
        <v>0.1</v>
      </c>
      <c r="H3827" s="249">
        <f>PRODUCT(D3827:G3827)</f>
        <v>0.059499999999999977</v>
      </c>
      <c r="J3827" s="253" t="inlineStr">
        <is>
          <t xml:space="preserve">1*0.7*(3.05-2.2)*0.100</t>
        </is>
      </c>
    </row>
    <row r="3828">
      <c r="C3828" s="246" t="inlineStr">
        <is>
          <t xml:space="preserve">Walling over opening D8 (3 nr, 1.2x2.2): nr x width x (3.05 - opening ht) x thickness share</t>
        </is>
      </c>
      <c r="D3828" s="248">
        <v>3</v>
      </c>
      <c r="E3828" s="247">
        <v>1.2</v>
      </c>
      <c r="F3828" s="247">
        <f>3.05-2.2</f>
        <v>0.8499999999999996</v>
      </c>
      <c r="G3828" s="247">
        <v>0.1</v>
      </c>
      <c r="H3828" s="249">
        <f>PRODUCT(D3828:G3828)</f>
        <v>0.3059999999999998</v>
      </c>
      <c r="J3828" s="253" t="inlineStr">
        <is>
          <t xml:space="preserve">3*1.2*(3.05-2.2)*0.100</t>
        </is>
      </c>
    </row>
    <row r="3829">
      <c r="C3829" s="246" t="inlineStr">
        <is>
          <t xml:space="preserve">Walling over opening ED1 (3 nr, 1x2.2): nr x width x (3.05 - opening ht) x thickness share</t>
        </is>
      </c>
      <c r="D3829" s="248">
        <v>3</v>
      </c>
      <c r="E3829" s="247">
        <v>1</v>
      </c>
      <c r="F3829" s="247">
        <f>3.05-2.2</f>
        <v>0.8499999999999996</v>
      </c>
      <c r="G3829" s="247">
        <v>0.1</v>
      </c>
      <c r="H3829" s="249">
        <f>PRODUCT(D3829:G3829)</f>
        <v>0.2549999999999999</v>
      </c>
      <c r="J3829" s="253" t="inlineStr">
        <is>
          <t xml:space="preserve">3*1*(3.05-2.2)*0.100</t>
        </is>
      </c>
    </row>
    <row r="3830">
      <c r="C3830" s="246" t="inlineStr">
        <is>
          <t xml:space="preserve">Walling over opening ED2 (2 nr, 1x2.2): nr x width x (3.05 - opening ht) x thickness share</t>
        </is>
      </c>
      <c r="D3830" s="248">
        <v>2</v>
      </c>
      <c r="E3830" s="247">
        <v>1</v>
      </c>
      <c r="F3830" s="247">
        <f>3.05-2.2</f>
        <v>0.8499999999999996</v>
      </c>
      <c r="G3830" s="247">
        <v>0.1</v>
      </c>
      <c r="H3830" s="249">
        <f>PRODUCT(D3830:G3830)</f>
        <v>0.16999999999999993</v>
      </c>
      <c r="J3830" s="253" t="inlineStr">
        <is>
          <t xml:space="preserve">2*1*(3.05-2.2)*0.100</t>
        </is>
      </c>
    </row>
    <row r="3831">
      <c r="C3831" s="246" t="inlineStr">
        <is>
          <t xml:space="preserve">Walling over opening D9 (1 nr, 0.9x2.2): nr x width x (3.05 - opening ht) x thickness share</t>
        </is>
      </c>
      <c r="D3831" s="248">
        <v>1</v>
      </c>
      <c r="E3831" s="247">
        <v>0.9</v>
      </c>
      <c r="F3831" s="247">
        <f>3.05-2.2</f>
        <v>0.8499999999999996</v>
      </c>
      <c r="G3831" s="247">
        <v>0.1</v>
      </c>
      <c r="H3831" s="249">
        <f>PRODUCT(D3831:G3831)</f>
        <v>0.07649999999999997</v>
      </c>
      <c r="J3831" s="253" t="inlineStr">
        <is>
          <t xml:space="preserve">1*0.9*(3.05-2.2)*0.100</t>
        </is>
      </c>
    </row>
    <row r="3832">
      <c r="C3832" s="246" t="inlineStr">
        <is>
          <t xml:space="preserve">Walling over opening FD1 (1 nr, 1.5x2.2): nr x width x (3.05 - opening ht) x thickness share</t>
        </is>
      </c>
      <c r="D3832" s="248">
        <v>1</v>
      </c>
      <c r="E3832" s="247">
        <v>1.5</v>
      </c>
      <c r="F3832" s="247">
        <f>3.05-2.2</f>
        <v>0.8499999999999996</v>
      </c>
      <c r="G3832" s="247">
        <v>0.1</v>
      </c>
      <c r="H3832" s="249">
        <f>PRODUCT(D3832:G3832)</f>
        <v>0.12749999999999995</v>
      </c>
      <c r="J3832" s="253" t="inlineStr">
        <is>
          <t xml:space="preserve">1*1.5*(3.05-2.2)*0.100</t>
        </is>
      </c>
    </row>
    <row r="3833">
      <c r="C3833" s="246" t="inlineStr">
        <is>
          <t xml:space="preserve">Walling over opening M1 (2 nr, 0.9x2.2): nr x width x (3.05 - opening ht) x thickness share</t>
        </is>
      </c>
      <c r="D3833" s="248">
        <v>2</v>
      </c>
      <c r="E3833" s="247">
        <v>0.9</v>
      </c>
      <c r="F3833" s="247">
        <f>3.05-2.2</f>
        <v>0.8499999999999996</v>
      </c>
      <c r="G3833" s="247">
        <v>0.1</v>
      </c>
      <c r="H3833" s="249">
        <f>PRODUCT(D3833:G3833)</f>
        <v>0.15299999999999994</v>
      </c>
      <c r="J3833" s="253" t="inlineStr">
        <is>
          <t xml:space="preserve">2*0.9*(3.05-2.2)*0.100</t>
        </is>
      </c>
    </row>
    <row r="3834">
      <c r="C3834" s="246" t="inlineStr">
        <is>
          <t xml:space="preserve">Walling over opening M2 (4 nr, 0.75x2.2): nr x width x (3.05 - opening ht) x thickness share</t>
        </is>
      </c>
      <c r="D3834" s="248">
        <v>4</v>
      </c>
      <c r="E3834" s="247">
        <v>0.75</v>
      </c>
      <c r="F3834" s="247">
        <f>3.05-2.2</f>
        <v>0.8499999999999996</v>
      </c>
      <c r="G3834" s="247">
        <v>0.1</v>
      </c>
      <c r="H3834" s="249">
        <f>PRODUCT(D3834:G3834)</f>
        <v>0.2549999999999999</v>
      </c>
      <c r="J3834" s="253" t="inlineStr">
        <is>
          <t xml:space="preserve">4*0.75*(3.05-2.2)*0.100</t>
        </is>
      </c>
    </row>
    <row r="3835">
      <c r="C3835" s="246" t="inlineStr">
        <is>
          <t xml:space="preserve">Walling over opening M3 (1 nr, 0.45x2.2): nr x width x (3.05 - opening ht) x thickness share</t>
        </is>
      </c>
      <c r="D3835" s="248">
        <v>1</v>
      </c>
      <c r="E3835" s="247">
        <v>0.45</v>
      </c>
      <c r="F3835" s="247">
        <f>3.05-2.2</f>
        <v>0.8499999999999996</v>
      </c>
      <c r="G3835" s="247">
        <v>0.1</v>
      </c>
      <c r="H3835" s="249">
        <f>PRODUCT(D3835:G3835)</f>
        <v>0.038249999999999985</v>
      </c>
      <c r="J3835" s="253" t="inlineStr">
        <is>
          <t xml:space="preserve">1*0.45*(3.05-2.2)*0.100</t>
        </is>
      </c>
    </row>
    <row r="3836">
      <c r="C3836" s="246" t="inlineStr">
        <is>
          <t xml:space="preserve">Walling over opening M5 (3 nr, 0.6x2.2): nr x width x (3.05 - opening ht) x thickness share</t>
        </is>
      </c>
      <c r="D3836" s="248">
        <v>3</v>
      </c>
      <c r="E3836" s="247">
        <v>0.6</v>
      </c>
      <c r="F3836" s="247">
        <f>3.05-2.2</f>
        <v>0.8499999999999996</v>
      </c>
      <c r="G3836" s="247">
        <v>0.1</v>
      </c>
      <c r="H3836" s="249">
        <f>PRODUCT(D3836:G3836)</f>
        <v>0.1529999999999999</v>
      </c>
      <c r="J3836" s="253" t="inlineStr">
        <is>
          <t xml:space="preserve">3*0.6*(3.05-2.2)*0.100</t>
        </is>
      </c>
    </row>
    <row r="3837">
      <c r="C3837" s="246" t="inlineStr">
        <is>
          <t xml:space="preserve">Walling over opening SD1 (1 nr, 3x2.2): nr x width x (3.05 - opening ht) x thickness share</t>
        </is>
      </c>
      <c r="D3837" s="248">
        <v>1</v>
      </c>
      <c r="E3837" s="247">
        <v>3</v>
      </c>
      <c r="F3837" s="247">
        <f>3.05-2.2</f>
        <v>0.8499999999999996</v>
      </c>
      <c r="G3837" s="247">
        <v>0.1</v>
      </c>
      <c r="H3837" s="249">
        <f>PRODUCT(D3837:G3837)</f>
        <v>0.2549999999999999</v>
      </c>
      <c r="J3837" s="253" t="inlineStr">
        <is>
          <t xml:space="preserve">1*3*(3.05-2.2)*0.100</t>
        </is>
      </c>
    </row>
    <row r="3838">
      <c r="C3838" s="246" t="inlineStr">
        <is>
          <t xml:space="preserve">Walling over opening SD2 (4 nr, 1.6x2.2): nr x width x (3.05 - opening ht) x thickness share</t>
        </is>
      </c>
      <c r="D3838" s="248">
        <v>4</v>
      </c>
      <c r="E3838" s="247">
        <v>1.6</v>
      </c>
      <c r="F3838" s="247">
        <f>3.05-2.2</f>
        <v>0.8499999999999996</v>
      </c>
      <c r="G3838" s="247">
        <v>0.1</v>
      </c>
      <c r="H3838" s="249">
        <f>PRODUCT(D3838:G3838)</f>
        <v>0.5439999999999998</v>
      </c>
      <c r="J3838" s="253" t="inlineStr">
        <is>
          <t xml:space="preserve">4*1.6*(3.05-2.2)*0.100</t>
        </is>
      </c>
    </row>
    <row r="3839">
      <c r="C3839" s="246" t="inlineStr">
        <is>
          <t xml:space="preserve">Walling over opening SD3 (2 nr, 1.3x2.2): nr x width x (3.05 - opening ht) x thickness share</t>
        </is>
      </c>
      <c r="D3839" s="248">
        <v>2</v>
      </c>
      <c r="E3839" s="247">
        <v>1.3</v>
      </c>
      <c r="F3839" s="247">
        <f>3.05-2.2</f>
        <v>0.8499999999999996</v>
      </c>
      <c r="G3839" s="247">
        <v>0.1</v>
      </c>
      <c r="H3839" s="249">
        <f>PRODUCT(D3839:G3839)</f>
        <v>0.22099999999999992</v>
      </c>
      <c r="J3839" s="253" t="inlineStr">
        <is>
          <t xml:space="preserve">2*1.3*(3.05-2.2)*0.100</t>
        </is>
      </c>
    </row>
    <row r="3840">
      <c r="C3840" s="246" t="inlineStr">
        <is>
          <t xml:space="preserve">Walling over opening SD4 (4 nr, 1.8x2.2): nr x width x (3.05 - opening ht) x thickness share</t>
        </is>
      </c>
      <c r="D3840" s="248">
        <v>4</v>
      </c>
      <c r="E3840" s="247">
        <v>1.8</v>
      </c>
      <c r="F3840" s="247">
        <f>3.05-2.2</f>
        <v>0.8499999999999996</v>
      </c>
      <c r="G3840" s="247">
        <v>0.1</v>
      </c>
      <c r="H3840" s="249">
        <f>PRODUCT(D3840:G3840)</f>
        <v>0.6119999999999998</v>
      </c>
      <c r="J3840" s="253" t="inlineStr">
        <is>
          <t xml:space="preserve">4*1.8*(3.05-2.2)*0.100</t>
        </is>
      </c>
    </row>
    <row r="3841">
      <c r="C3841" s="246" t="inlineStr">
        <is>
          <t xml:space="preserve">Walling over opening SD5 (1 nr, 1.2x2.2): nr x width x (3.05 - opening ht) x thickness share</t>
        </is>
      </c>
      <c r="D3841" s="248">
        <v>1</v>
      </c>
      <c r="E3841" s="247">
        <v>1.2</v>
      </c>
      <c r="F3841" s="247">
        <f>3.05-2.2</f>
        <v>0.8499999999999996</v>
      </c>
      <c r="G3841" s="247">
        <v>0.1</v>
      </c>
      <c r="H3841" s="249">
        <f>PRODUCT(D3841:G3841)</f>
        <v>0.10199999999999997</v>
      </c>
      <c r="J3841" s="253" t="inlineStr">
        <is>
          <t xml:space="preserve">1*1.2*(3.05-2.2)*0.100</t>
        </is>
      </c>
    </row>
    <row r="3842">
      <c r="C3842" s="246" t="inlineStr">
        <is>
          <t xml:space="preserve">Walling over opening W2 (6 nr, 1.8x1.3): nr x width x (3.05 - opening ht) x thickness share</t>
        </is>
      </c>
      <c r="D3842" s="248">
        <v>6</v>
      </c>
      <c r="E3842" s="247">
        <v>1.8</v>
      </c>
      <c r="F3842" s="247">
        <f>3.05-1.3</f>
        <v>1.7499999999999998</v>
      </c>
      <c r="G3842" s="247">
        <v>0.1</v>
      </c>
      <c r="H3842" s="249">
        <f>PRODUCT(D3842:G3842)</f>
        <v>1.89</v>
      </c>
      <c r="J3842" s="253" t="inlineStr">
        <is>
          <t xml:space="preserve">6*1.8*(3.05-1.3)*0.100</t>
        </is>
      </c>
    </row>
    <row r="3843">
      <c r="C3843" s="246" t="inlineStr">
        <is>
          <t xml:space="preserve">Walling over opening W4 (10 nr, 0.9x1.3): nr x width x (3.05 - opening ht) x thickness share</t>
        </is>
      </c>
      <c r="D3843" s="248">
        <v>10</v>
      </c>
      <c r="E3843" s="247">
        <v>0.9</v>
      </c>
      <c r="F3843" s="247">
        <f>3.05-1.3</f>
        <v>1.7499999999999998</v>
      </c>
      <c r="G3843" s="247">
        <v>0.1</v>
      </c>
      <c r="H3843" s="249">
        <f>PRODUCT(D3843:G3843)</f>
        <v>1.575</v>
      </c>
      <c r="J3843" s="253" t="inlineStr">
        <is>
          <t xml:space="preserve">10*0.9*(3.05-1.3)*0.100</t>
        </is>
      </c>
    </row>
    <row r="3844">
      <c r="C3844" s="246" t="inlineStr">
        <is>
          <t xml:space="preserve">Walling over opening W7 (1 nr, 1.8x1.6): nr x width x (3.05 - opening ht) x thickness share</t>
        </is>
      </c>
      <c r="D3844" s="248">
        <v>1</v>
      </c>
      <c r="E3844" s="247">
        <v>1.8</v>
      </c>
      <c r="F3844" s="247">
        <f>3.05-1.6</f>
        <v>1.4499999999999997</v>
      </c>
      <c r="G3844" s="247">
        <v>0.1</v>
      </c>
      <c r="H3844" s="249">
        <f>PRODUCT(D3844:G3844)</f>
        <v>0.26099999999999995</v>
      </c>
      <c r="J3844" s="253" t="inlineStr">
        <is>
          <t xml:space="preserve">1*1.8*(3.05-1.6)*0.100</t>
        </is>
      </c>
    </row>
    <row r="3845">
      <c r="C3845" s="246" t="inlineStr">
        <is>
          <t xml:space="preserve">Walling over opening W8 (3 nr, 1.2x1.9): nr x width x (3.05 - opening ht) x thickness share</t>
        </is>
      </c>
      <c r="D3845" s="248">
        <v>3</v>
      </c>
      <c r="E3845" s="247">
        <v>1.2</v>
      </c>
      <c r="F3845" s="247">
        <f>3.05-1.9</f>
        <v>1.15</v>
      </c>
      <c r="G3845" s="247">
        <v>0.1</v>
      </c>
      <c r="H3845" s="249">
        <f>PRODUCT(D3845:G3845)</f>
        <v>0.414</v>
      </c>
      <c r="J3845" s="253" t="inlineStr">
        <is>
          <t xml:space="preserve">3*1.2*(3.05-1.9)*0.100</t>
        </is>
      </c>
    </row>
    <row r="3846">
      <c r="C3846" s="246" t="inlineStr">
        <is>
          <t xml:space="preserve">Walling over opening W9 (8 nr, 1.2x1.15): nr x width x (3.05 - opening ht) x thickness share</t>
        </is>
      </c>
      <c r="D3846" s="248">
        <v>8</v>
      </c>
      <c r="E3846" s="247">
        <v>1.2</v>
      </c>
      <c r="F3846" s="247">
        <f>3.05-1.15</f>
        <v>1.9</v>
      </c>
      <c r="G3846" s="247">
        <v>0.1</v>
      </c>
      <c r="H3846" s="249">
        <f>PRODUCT(D3846:G3846)</f>
        <v>1.8239999999999998</v>
      </c>
      <c r="J3846" s="253" t="inlineStr">
        <is>
          <t xml:space="preserve">8*1.2*(3.05-1.15)*0.100</t>
        </is>
      </c>
    </row>
    <row r="3847">
      <c r="C3847" s="246" t="inlineStr">
        <is>
          <t xml:space="preserve">Walling over opening W10 (1 nr, 1.2x1.2): nr x width x (3.05 - opening ht) x thickness share</t>
        </is>
      </c>
      <c r="D3847" s="248">
        <v>1</v>
      </c>
      <c r="E3847" s="247">
        <v>1.2</v>
      </c>
      <c r="F3847" s="247">
        <f>3.05-1.2</f>
        <v>1.8499999999999999</v>
      </c>
      <c r="G3847" s="247">
        <v>0.1</v>
      </c>
      <c r="H3847" s="249">
        <f>PRODUCT(D3847:G3847)</f>
        <v>0.22199999999999998</v>
      </c>
      <c r="J3847" s="253" t="inlineStr">
        <is>
          <t xml:space="preserve">1*1.2*(3.05-1.2)*0.100</t>
        </is>
      </c>
    </row>
    <row r="3848">
      <c r="C3848" s="246" t="inlineStr">
        <is>
          <t xml:space="preserve">Walling over opening W11 (6 nr, 1.5x1.3): nr x width x (3.05 - opening ht) x thickness share</t>
        </is>
      </c>
      <c r="D3848" s="248">
        <v>6</v>
      </c>
      <c r="E3848" s="247">
        <v>1.5</v>
      </c>
      <c r="F3848" s="247">
        <f>3.05-1.3</f>
        <v>1.7499999999999998</v>
      </c>
      <c r="G3848" s="247">
        <v>0.1</v>
      </c>
      <c r="H3848" s="249">
        <f>PRODUCT(D3848:G3848)</f>
        <v>1.575</v>
      </c>
      <c r="J3848" s="253" t="inlineStr">
        <is>
          <t xml:space="preserve">6*1.5*(3.05-1.3)*0.100</t>
        </is>
      </c>
    </row>
    <row r="3849">
      <c r="C3849" s="246" t="inlineStr">
        <is>
          <t xml:space="preserve">Walling over opening W12 (3 nr, 1.5x1.15): nr x width x (3.05 - opening ht) x thickness share</t>
        </is>
      </c>
      <c r="D3849" s="248">
        <v>3</v>
      </c>
      <c r="E3849" s="247">
        <v>1.5</v>
      </c>
      <c r="F3849" s="247">
        <f>3.05-1.15</f>
        <v>1.9</v>
      </c>
      <c r="G3849" s="247">
        <v>0.1</v>
      </c>
      <c r="H3849" s="249">
        <f>PRODUCT(D3849:G3849)</f>
        <v>0.855</v>
      </c>
      <c r="J3849" s="253" t="inlineStr">
        <is>
          <t xml:space="preserve">3*1.5*(3.05-1.15)*0.100</t>
        </is>
      </c>
    </row>
    <row r="3850">
      <c r="C3850" s="246" t="inlineStr">
        <is>
          <t xml:space="preserve">Walling over opening W13 (1 nr, 2.4x1.3): nr x width x (3.05 - opening ht) x thickness share</t>
        </is>
      </c>
      <c r="D3850" s="248">
        <v>1</v>
      </c>
      <c r="E3850" s="247">
        <v>2.4</v>
      </c>
      <c r="F3850" s="247">
        <f>3.05-1.3</f>
        <v>1.7499999999999998</v>
      </c>
      <c r="G3850" s="247">
        <v>0.1</v>
      </c>
      <c r="H3850" s="249">
        <f>PRODUCT(D3850:G3850)</f>
        <v>0.41999999999999993</v>
      </c>
      <c r="J3850" s="253" t="inlineStr">
        <is>
          <t xml:space="preserve">1*2.4*(3.05-1.3)*0.100</t>
        </is>
      </c>
    </row>
    <row r="3851">
      <c r="C3851" s="246" t="inlineStr">
        <is>
          <t xml:space="preserve">Walling over opening W15 (1 nr, 3x1.6): nr x width x (3.05 - opening ht) x thickness share</t>
        </is>
      </c>
      <c r="D3851" s="248">
        <v>1</v>
      </c>
      <c r="E3851" s="247">
        <v>3</v>
      </c>
      <c r="F3851" s="247">
        <f>3.05-1.6</f>
        <v>1.4499999999999997</v>
      </c>
      <c r="G3851" s="247">
        <v>0.1</v>
      </c>
      <c r="H3851" s="249">
        <f>PRODUCT(D3851:G3851)</f>
        <v>0.435</v>
      </c>
      <c r="J3851" s="253" t="inlineStr">
        <is>
          <t xml:space="preserve">1*3*(3.05-1.6)*0.100</t>
        </is>
      </c>
    </row>
    <row r="3852">
      <c r="C3852" s="246" t="inlineStr">
        <is>
          <t xml:space="preserve">Walling over opening W17 (3 nr, 1.8x1.9): nr x width x (3.05 - opening ht) x thickness share</t>
        </is>
      </c>
      <c r="D3852" s="248">
        <v>3</v>
      </c>
      <c r="E3852" s="247">
        <v>1.8</v>
      </c>
      <c r="F3852" s="247">
        <f>3.05-1.9</f>
        <v>1.15</v>
      </c>
      <c r="G3852" s="247">
        <v>0.1</v>
      </c>
      <c r="H3852" s="249">
        <f>PRODUCT(D3852:G3852)</f>
        <v>0.621</v>
      </c>
      <c r="J3852" s="253" t="inlineStr">
        <is>
          <t xml:space="preserve">3*1.8*(3.05-1.9)*0.100</t>
        </is>
      </c>
    </row>
    <row r="3853">
      <c r="C3853" s="246" t="inlineStr">
        <is>
          <t xml:space="preserve">Walling over opening W18 (1 nr, 0.75x1.3): nr x width x (3.05 - opening ht) x thickness share</t>
        </is>
      </c>
      <c r="D3853" s="248">
        <v>1</v>
      </c>
      <c r="E3853" s="247">
        <v>0.75</v>
      </c>
      <c r="F3853" s="247">
        <f>3.05-1.3</f>
        <v>1.7499999999999998</v>
      </c>
      <c r="G3853" s="247">
        <v>0.1</v>
      </c>
      <c r="H3853" s="249">
        <f>PRODUCT(D3853:G3853)</f>
        <v>0.13124999999999998</v>
      </c>
      <c r="J3853" s="253" t="inlineStr">
        <is>
          <t xml:space="preserve">1*0.75*(3.05-1.3)*0.100</t>
        </is>
      </c>
    </row>
    <row r="3854">
      <c r="C3854" s="246" t="inlineStr">
        <is>
          <t xml:space="preserve">Walling over opening W20 (1 nr, 1.45x1.9): nr x width x (3.05 - opening ht) x thickness share</t>
        </is>
      </c>
      <c r="D3854" s="248">
        <v>1</v>
      </c>
      <c r="E3854" s="247">
        <v>1.45</v>
      </c>
      <c r="F3854" s="247">
        <f>3.05-1.9</f>
        <v>1.15</v>
      </c>
      <c r="G3854" s="247">
        <v>0.1</v>
      </c>
      <c r="H3854" s="249">
        <f>PRODUCT(D3854:G3854)</f>
        <v>0.16674999999999998</v>
      </c>
      <c r="J3854" s="253" t="inlineStr">
        <is>
          <t xml:space="preserve">1*1.45*(3.05-1.9)*0.100</t>
        </is>
      </c>
    </row>
    <row r="3855">
      <c r="C3855" s="246" t="inlineStr">
        <is>
          <t xml:space="preserve">Walling over opening HW1 (12 nr, 0.9x0.6): nr x width x (3.05 - opening ht) x thickness share</t>
        </is>
      </c>
      <c r="D3855" s="248">
        <v>12</v>
      </c>
      <c r="E3855" s="247">
        <v>0.9</v>
      </c>
      <c r="F3855" s="247">
        <f>3.05-0.6</f>
        <v>2.4499999999999997</v>
      </c>
      <c r="G3855" s="247">
        <v>0.1</v>
      </c>
      <c r="H3855" s="249">
        <f>PRODUCT(D3855:G3855)</f>
        <v>2.646</v>
      </c>
      <c r="J3855" s="253" t="inlineStr">
        <is>
          <t xml:space="preserve">12*0.9*(3.05-0.6)*0.100</t>
        </is>
      </c>
    </row>
    <row r="3856">
      <c r="C3856" s="246" t="inlineStr">
        <is>
          <t xml:space="preserve">Walling over opening HW2 (5 nr, 0.75x0.6): nr x width x (3.05 - opening ht) x thickness share</t>
        </is>
      </c>
      <c r="D3856" s="248">
        <v>5</v>
      </c>
      <c r="E3856" s="247">
        <v>0.75</v>
      </c>
      <c r="F3856" s="247">
        <f>3.05-0.6</f>
        <v>2.4499999999999997</v>
      </c>
      <c r="G3856" s="247">
        <v>0.1</v>
      </c>
      <c r="H3856" s="249">
        <f>PRODUCT(D3856:G3856)</f>
        <v>0.9187499999999998</v>
      </c>
      <c r="J3856" s="253" t="inlineStr">
        <is>
          <t xml:space="preserve">5*0.75*(3.05-0.6)*0.100</t>
        </is>
      </c>
    </row>
    <row r="3857">
      <c r="C3857" s="246" t="inlineStr">
        <is>
          <t xml:space="preserve">Walling over opening HW3 (1 nr, 0.6x0.6): nr x width x (3.05 - opening ht) x thickness share</t>
        </is>
      </c>
      <c r="D3857" s="248">
        <v>1</v>
      </c>
      <c r="E3857" s="247">
        <v>0.6</v>
      </c>
      <c r="F3857" s="247">
        <f>3.05-0.6</f>
        <v>2.4499999999999997</v>
      </c>
      <c r="G3857" s="247">
        <v>0.1</v>
      </c>
      <c r="H3857" s="249">
        <f>PRODUCT(D3857:G3857)</f>
        <v>0.147</v>
      </c>
      <c r="J3857" s="253" t="inlineStr">
        <is>
          <t xml:space="preserve">1*0.6*(3.05-0.6)*0.100</t>
        </is>
      </c>
    </row>
    <row r="3858">
      <c r="C3858" s="246" t="inlineStr">
        <is>
          <t xml:space="preserve">Walling over opening HW4 (1 nr, 1.2x0.6): nr x width x (3.05 - opening ht) x thickness share</t>
        </is>
      </c>
      <c r="D3858" s="248">
        <v>1</v>
      </c>
      <c r="E3858" s="247">
        <v>1.2</v>
      </c>
      <c r="F3858" s="247">
        <f>3.05-0.6</f>
        <v>2.4499999999999997</v>
      </c>
      <c r="G3858" s="247">
        <v>0.1</v>
      </c>
      <c r="H3858" s="249">
        <f>PRODUCT(D3858:G3858)</f>
        <v>0.294</v>
      </c>
      <c r="J3858" s="253" t="inlineStr">
        <is>
          <t xml:space="preserve">1*1.2*(3.05-0.6)*0.100</t>
        </is>
      </c>
    </row>
    <row r="3859">
      <c r="C3859" s="250" t="inlineStr">
        <is>
          <t xml:space="preserve">Total carried to BOQ  7TH FLR item B</t>
        </is>
      </c>
      <c r="D3859" s="250" t="inlineStr">
        <is>
          <t xml:space="preserve"/>
        </is>
      </c>
      <c r="E3859" s="250" t="inlineStr">
        <is>
          <t xml:space="preserve"/>
        </is>
      </c>
      <c r="F3859" s="250" t="inlineStr">
        <is>
          <t xml:space="preserve"/>
        </is>
      </c>
      <c r="G3859" s="250" t="inlineStr">
        <is>
          <t xml:space="preserve"/>
        </is>
      </c>
      <c r="H3859" s="251">
        <f>SUM(H3823:H3858)</f>
        <v>173.63099999999997</v>
      </c>
      <c r="I3859" s="252" t="inlineStr">
        <is>
          <t xml:space="preserve">m2</t>
        </is>
      </c>
    </row>
    <row r="3860">
      <c r="C3860" s="242" t="inlineStr">
        <is>
          <t xml:space="preserve">ELEMENT NO. 4: WINDOWS/DOORS</t>
        </is>
      </c>
    </row>
    <row r="3861">
      <c r="C3861" s="242" t="inlineStr">
        <is>
          <t xml:space="preserve">L20 DOORS - Supply and fix the following door assemblies complete with frames, ironmongery sets to steel doors and all accessories:</t>
        </is>
      </c>
    </row>
    <row r="3862" ht="32.2" customHeight="1">
      <c r="A3862" s="243" t="inlineStr">
        <is>
          <t xml:space="preserve">7TH FLR</t>
        </is>
      </c>
      <c r="B3862" s="243" t="inlineStr">
        <is>
          <t xml:space="preserve">A</t>
        </is>
      </c>
      <c r="C3862" s="244" t="inlineStr">
        <is>
          <t xml:space="preserve">1000mm x 2200mm 1-hour fire-rated galvanised steel single-leaf security door assembly (D2)</t>
        </is>
      </c>
      <c r="I3862" s="245" t="inlineStr">
        <is>
          <t xml:space="preserve">nr</t>
        </is>
      </c>
      <c r="K3862" s="256" t="inlineStr">
        <is>
          <t xml:space="preserve">'7TH FLR   '!C108</t>
        </is>
      </c>
    </row>
    <row r="3863">
      <c r="C3863" s="246" t="inlineStr">
        <is>
          <t xml:space="preserve">Seventh floor - W9</t>
        </is>
      </c>
      <c r="H3863" s="247">
        <v>8</v>
      </c>
      <c r="J3863" s="253" t="inlineStr">
        <is>
          <t xml:space="preserve">8</t>
        </is>
      </c>
    </row>
    <row r="3864">
      <c r="C3864" s="250" t="inlineStr">
        <is>
          <t xml:space="preserve">Total carried to BOQ  7TH FLR item A</t>
        </is>
      </c>
      <c r="D3864" s="250" t="inlineStr">
        <is>
          <t xml:space="preserve"/>
        </is>
      </c>
      <c r="E3864" s="250" t="inlineStr">
        <is>
          <t xml:space="preserve"/>
        </is>
      </c>
      <c r="F3864" s="250" t="inlineStr">
        <is>
          <t xml:space="preserve"/>
        </is>
      </c>
      <c r="G3864" s="250" t="inlineStr">
        <is>
          <t xml:space="preserve"/>
        </is>
      </c>
      <c r="H3864" s="251">
        <f>SUM(H3863:H3863)</f>
        <v>8</v>
      </c>
      <c r="I3864" s="252" t="inlineStr">
        <is>
          <t xml:space="preserve">nr</t>
        </is>
      </c>
    </row>
    <row r="3865">
      <c r="A3865" s="243" t="inlineStr">
        <is>
          <t xml:space="preserve">7TH FLR</t>
        </is>
      </c>
      <c r="B3865" s="243" t="inlineStr">
        <is>
          <t xml:space="preserve">B</t>
        </is>
      </c>
      <c r="C3865" s="244" t="inlineStr">
        <is>
          <t xml:space="preserve">900mm x 2200mm single leaf timber panel door (D3)</t>
        </is>
      </c>
      <c r="I3865" s="245" t="inlineStr">
        <is>
          <t xml:space="preserve">nr</t>
        </is>
      </c>
      <c r="K3865" s="256" t="inlineStr">
        <is>
          <t xml:space="preserve">'7TH FLR   '!C110</t>
        </is>
      </c>
    </row>
    <row r="3866">
      <c r="C3866" s="246" t="inlineStr">
        <is>
          <t xml:space="preserve">Seventh floor - D3/D4 doors</t>
        </is>
      </c>
      <c r="H3866" s="247">
        <v>15</v>
      </c>
      <c r="J3866" s="253" t="inlineStr">
        <is>
          <t xml:space="preserve">15</t>
        </is>
      </c>
    </row>
    <row r="3867">
      <c r="C3867" s="250" t="inlineStr">
        <is>
          <t xml:space="preserve">Total carried to BOQ  7TH FLR item B</t>
        </is>
      </c>
      <c r="D3867" s="250" t="inlineStr">
        <is>
          <t xml:space="preserve"/>
        </is>
      </c>
      <c r="E3867" s="250" t="inlineStr">
        <is>
          <t xml:space="preserve"/>
        </is>
      </c>
      <c r="F3867" s="250" t="inlineStr">
        <is>
          <t xml:space="preserve"/>
        </is>
      </c>
      <c r="G3867" s="250" t="inlineStr">
        <is>
          <t xml:space="preserve"/>
        </is>
      </c>
      <c r="H3867" s="251">
        <f>SUM(H3866:H3866)</f>
        <v>15</v>
      </c>
      <c r="I3867" s="252" t="inlineStr">
        <is>
          <t xml:space="preserve">nr</t>
        </is>
      </c>
    </row>
    <row r="3868">
      <c r="A3868" s="243" t="inlineStr">
        <is>
          <t xml:space="preserve">7TH FLR</t>
        </is>
      </c>
      <c r="B3868" s="243" t="inlineStr">
        <is>
          <t xml:space="preserve">C</t>
        </is>
      </c>
      <c r="C3868" s="244" t="inlineStr">
        <is>
          <t xml:space="preserve">750mm x 2200mm single leaf timber flush door (D6)</t>
        </is>
      </c>
      <c r="I3868" s="245" t="inlineStr">
        <is>
          <t xml:space="preserve">nr</t>
        </is>
      </c>
      <c r="K3868" s="256" t="inlineStr">
        <is>
          <t xml:space="preserve">'7TH FLR   '!C112</t>
        </is>
      </c>
    </row>
    <row r="3869">
      <c r="C3869" s="246" t="inlineStr">
        <is>
          <t xml:space="preserve">Seventh floor - D6 doors</t>
        </is>
      </c>
      <c r="H3869" s="247">
        <v>20</v>
      </c>
      <c r="J3869" s="253" t="inlineStr">
        <is>
          <t xml:space="preserve">20</t>
        </is>
      </c>
    </row>
    <row r="3870">
      <c r="C3870" s="250" t="inlineStr">
        <is>
          <t xml:space="preserve">Total carried to BOQ  7TH FLR item C</t>
        </is>
      </c>
      <c r="D3870" s="250" t="inlineStr">
        <is>
          <t xml:space="preserve"/>
        </is>
      </c>
      <c r="E3870" s="250" t="inlineStr">
        <is>
          <t xml:space="preserve"/>
        </is>
      </c>
      <c r="F3870" s="250" t="inlineStr">
        <is>
          <t xml:space="preserve"/>
        </is>
      </c>
      <c r="G3870" s="250" t="inlineStr">
        <is>
          <t xml:space="preserve"/>
        </is>
      </c>
      <c r="H3870" s="251">
        <f>SUM(H3869:H3869)</f>
        <v>20</v>
      </c>
      <c r="I3870" s="252" t="inlineStr">
        <is>
          <t xml:space="preserve">nr</t>
        </is>
      </c>
    </row>
    <row r="3871">
      <c r="A3871" s="243" t="inlineStr">
        <is>
          <t xml:space="preserve">7TH FLR</t>
        </is>
      </c>
      <c r="B3871" s="243" t="inlineStr">
        <is>
          <t xml:space="preserve">D</t>
        </is>
      </c>
      <c r="C3871" s="244" t="inlineStr">
        <is>
          <t xml:space="preserve">700mm x 2200mm single-leaf 2-hour fire-rated galvanised steel door (D7)</t>
        </is>
      </c>
      <c r="I3871" s="245" t="inlineStr">
        <is>
          <t xml:space="preserve">nr</t>
        </is>
      </c>
      <c r="K3871" s="256" t="inlineStr">
        <is>
          <t xml:space="preserve">'7TH FLR   '!C114</t>
        </is>
      </c>
    </row>
    <row r="3872">
      <c r="C3872" s="246" t="inlineStr">
        <is>
          <t xml:space="preserve">Seventh floor - HW4</t>
        </is>
      </c>
      <c r="H3872" s="247">
        <v>1</v>
      </c>
      <c r="J3872" s="253" t="inlineStr">
        <is>
          <t xml:space="preserve">1</t>
        </is>
      </c>
    </row>
    <row r="3873">
      <c r="C3873" s="250" t="inlineStr">
        <is>
          <t xml:space="preserve">Total carried to BOQ  7TH FLR item D</t>
        </is>
      </c>
      <c r="D3873" s="250" t="inlineStr">
        <is>
          <t xml:space="preserve"/>
        </is>
      </c>
      <c r="E3873" s="250" t="inlineStr">
        <is>
          <t xml:space="preserve"/>
        </is>
      </c>
      <c r="F3873" s="250" t="inlineStr">
        <is>
          <t xml:space="preserve"/>
        </is>
      </c>
      <c r="G3873" s="250" t="inlineStr">
        <is>
          <t xml:space="preserve"/>
        </is>
      </c>
      <c r="H3873" s="251">
        <f>SUM(H3872:H3872)</f>
        <v>1</v>
      </c>
      <c r="I3873" s="252" t="inlineStr">
        <is>
          <t xml:space="preserve">nr</t>
        </is>
      </c>
    </row>
    <row r="3874" ht="32.2" customHeight="1">
      <c r="A3874" s="243" t="inlineStr">
        <is>
          <t xml:space="preserve">7TH FLR</t>
        </is>
      </c>
      <c r="B3874" s="243" t="inlineStr">
        <is>
          <t xml:space="preserve">E</t>
        </is>
      </c>
      <c r="C3874" s="244" t="inlineStr">
        <is>
          <t xml:space="preserve">1200mm x 2200mm 1-hour fire-rated leaf-and-a-half galvanised steel security door assembly (D8)</t>
        </is>
      </c>
      <c r="I3874" s="245" t="inlineStr">
        <is>
          <t xml:space="preserve">nr</t>
        </is>
      </c>
      <c r="K3874" s="256" t="inlineStr">
        <is>
          <t xml:space="preserve">'7TH FLR   '!C116</t>
        </is>
      </c>
    </row>
    <row r="3875">
      <c r="C3875" s="246" t="inlineStr">
        <is>
          <t xml:space="preserve">Seventh floor - W17</t>
        </is>
      </c>
      <c r="H3875" s="247">
        <v>3</v>
      </c>
      <c r="J3875" s="253" t="inlineStr">
        <is>
          <t xml:space="preserve">3</t>
        </is>
      </c>
    </row>
    <row r="3876">
      <c r="C3876" s="250" t="inlineStr">
        <is>
          <t xml:space="preserve">Total carried to BOQ  7TH FLR item E</t>
        </is>
      </c>
      <c r="D3876" s="250" t="inlineStr">
        <is>
          <t xml:space="preserve"/>
        </is>
      </c>
      <c r="E3876" s="250" t="inlineStr">
        <is>
          <t xml:space="preserve"/>
        </is>
      </c>
      <c r="F3876" s="250" t="inlineStr">
        <is>
          <t xml:space="preserve"/>
        </is>
      </c>
      <c r="G3876" s="250" t="inlineStr">
        <is>
          <t xml:space="preserve"/>
        </is>
      </c>
      <c r="H3876" s="251">
        <f>SUM(H3875:H3875)</f>
        <v>3</v>
      </c>
      <c r="I3876" s="252" t="inlineStr">
        <is>
          <t xml:space="preserve">nr</t>
        </is>
      </c>
    </row>
    <row r="3877" ht="32.2" customHeight="1">
      <c r="A3877" s="243" t="inlineStr">
        <is>
          <t xml:space="preserve">7TH FLR</t>
        </is>
      </c>
      <c r="B3877" s="243" t="inlineStr">
        <is>
          <t xml:space="preserve">F</t>
        </is>
      </c>
      <c r="C3877" s="244" t="inlineStr">
        <is>
          <t xml:space="preserve">1000mm x 2200mm 1-hour fire-rated galvanised steel single-leaf security door assembly - emergency stairs (ED1)</t>
        </is>
      </c>
      <c r="I3877" s="245" t="inlineStr">
        <is>
          <t xml:space="preserve">nr</t>
        </is>
      </c>
      <c r="K3877" s="256" t="inlineStr">
        <is>
          <t xml:space="preserve">'7TH FLR   '!C118</t>
        </is>
      </c>
    </row>
    <row r="3878">
      <c r="C3878" s="246" t="inlineStr">
        <is>
          <t xml:space="preserve">Seventh floor - W17</t>
        </is>
      </c>
      <c r="H3878" s="247">
        <v>3</v>
      </c>
      <c r="J3878" s="253" t="inlineStr">
        <is>
          <t xml:space="preserve">3</t>
        </is>
      </c>
    </row>
    <row r="3879">
      <c r="C3879" s="250" t="inlineStr">
        <is>
          <t xml:space="preserve">Total carried to BOQ  7TH FLR item F</t>
        </is>
      </c>
      <c r="D3879" s="250" t="inlineStr">
        <is>
          <t xml:space="preserve"/>
        </is>
      </c>
      <c r="E3879" s="250" t="inlineStr">
        <is>
          <t xml:space="preserve"/>
        </is>
      </c>
      <c r="F3879" s="250" t="inlineStr">
        <is>
          <t xml:space="preserve"/>
        </is>
      </c>
      <c r="G3879" s="250" t="inlineStr">
        <is>
          <t xml:space="preserve"/>
        </is>
      </c>
      <c r="H3879" s="251">
        <f>SUM(H3878:H3878)</f>
        <v>3</v>
      </c>
      <c r="I3879" s="252" t="inlineStr">
        <is>
          <t xml:space="preserve">nr</t>
        </is>
      </c>
    </row>
    <row r="3880" ht="32.2" customHeight="1">
      <c r="A3880" s="243" t="inlineStr">
        <is>
          <t xml:space="preserve">7TH FLR</t>
        </is>
      </c>
      <c r="B3880" s="243" t="inlineStr">
        <is>
          <t xml:space="preserve">G</t>
        </is>
      </c>
      <c r="C3880" s="244" t="inlineStr">
        <is>
          <t xml:space="preserve">1000mm x 2200mm 1-hour fire-rated galvanised steel single-leaf security door with translucent glass panel (ED2)</t>
        </is>
      </c>
      <c r="I3880" s="245" t="inlineStr">
        <is>
          <t xml:space="preserve">nr</t>
        </is>
      </c>
      <c r="K3880" s="256" t="inlineStr">
        <is>
          <t xml:space="preserve">'7TH FLR   '!C120</t>
        </is>
      </c>
    </row>
    <row r="3881">
      <c r="C3881" s="246" t="inlineStr">
        <is>
          <t xml:space="preserve">Seventh floor - SD3</t>
        </is>
      </c>
      <c r="H3881" s="247">
        <v>2</v>
      </c>
      <c r="J3881" s="253" t="inlineStr">
        <is>
          <t xml:space="preserve">2</t>
        </is>
      </c>
    </row>
    <row r="3882">
      <c r="C3882" s="250" t="inlineStr">
        <is>
          <t xml:space="preserve">Total carried to BOQ  7TH FLR item G</t>
        </is>
      </c>
      <c r="D3882" s="250" t="inlineStr">
        <is>
          <t xml:space="preserve"/>
        </is>
      </c>
      <c r="E3882" s="250" t="inlineStr">
        <is>
          <t xml:space="preserve"/>
        </is>
      </c>
      <c r="F3882" s="250" t="inlineStr">
        <is>
          <t xml:space="preserve"/>
        </is>
      </c>
      <c r="G3882" s="250" t="inlineStr">
        <is>
          <t xml:space="preserve"/>
        </is>
      </c>
      <c r="H3882" s="251">
        <f>SUM(H3881:H3881)</f>
        <v>2</v>
      </c>
      <c r="I3882" s="252" t="inlineStr">
        <is>
          <t xml:space="preserve">nr</t>
        </is>
      </c>
    </row>
    <row r="3883" ht="32.2" customHeight="1">
      <c r="A3883" s="243" t="inlineStr">
        <is>
          <t xml:space="preserve">7TH FLR</t>
        </is>
      </c>
      <c r="B3883" s="243" t="inlineStr">
        <is>
          <t xml:space="preserve">H</t>
        </is>
      </c>
      <c r="C3883" s="244" t="inlineStr">
        <is>
          <t xml:space="preserve">900mm x 2200mm 1-hour fire-rated galvanised steel single-leaf security door assembly (D9)</t>
        </is>
      </c>
      <c r="I3883" s="245" t="inlineStr">
        <is>
          <t xml:space="preserve">nr</t>
        </is>
      </c>
      <c r="K3883" s="256" t="inlineStr">
        <is>
          <t xml:space="preserve">'7TH FLR   '!C122</t>
        </is>
      </c>
    </row>
    <row r="3884">
      <c r="C3884" s="246" t="inlineStr">
        <is>
          <t xml:space="preserve">Seventh floor - HW4</t>
        </is>
      </c>
      <c r="H3884" s="247">
        <v>1</v>
      </c>
      <c r="J3884" s="253" t="inlineStr">
        <is>
          <t xml:space="preserve">1</t>
        </is>
      </c>
    </row>
    <row r="3885">
      <c r="C3885" s="250" t="inlineStr">
        <is>
          <t xml:space="preserve">Total carried to BOQ  7TH FLR item H</t>
        </is>
      </c>
      <c r="D3885" s="250" t="inlineStr">
        <is>
          <t xml:space="preserve"/>
        </is>
      </c>
      <c r="E3885" s="250" t="inlineStr">
        <is>
          <t xml:space="preserve"/>
        </is>
      </c>
      <c r="F3885" s="250" t="inlineStr">
        <is>
          <t xml:space="preserve"/>
        </is>
      </c>
      <c r="G3885" s="250" t="inlineStr">
        <is>
          <t xml:space="preserve"/>
        </is>
      </c>
      <c r="H3885" s="251">
        <f>SUM(H3884:H3884)</f>
        <v>1</v>
      </c>
      <c r="I3885" s="252" t="inlineStr">
        <is>
          <t xml:space="preserve">nr</t>
        </is>
      </c>
    </row>
    <row r="3886">
      <c r="A3886" s="243" t="inlineStr">
        <is>
          <t xml:space="preserve">7TH FLR</t>
        </is>
      </c>
      <c r="B3886" s="243" t="inlineStr">
        <is>
          <t xml:space="preserve">J</t>
        </is>
      </c>
      <c r="C3886" s="244" t="inlineStr">
        <is>
          <t xml:space="preserve">1500mm x 2200mm timber bi-fold door (FD1)</t>
        </is>
      </c>
      <c r="I3886" s="245" t="inlineStr">
        <is>
          <t xml:space="preserve">nr</t>
        </is>
      </c>
      <c r="K3886" s="256" t="inlineStr">
        <is>
          <t xml:space="preserve">'7TH FLR   '!C124</t>
        </is>
      </c>
    </row>
    <row r="3887">
      <c r="C3887" s="246" t="inlineStr">
        <is>
          <t xml:space="preserve">Seventh floor - HW4</t>
        </is>
      </c>
      <c r="H3887" s="247">
        <v>1</v>
      </c>
      <c r="J3887" s="253" t="inlineStr">
        <is>
          <t xml:space="preserve">1</t>
        </is>
      </c>
    </row>
    <row r="3888">
      <c r="C3888" s="250" t="inlineStr">
        <is>
          <t xml:space="preserve">Total carried to BOQ  7TH FLR item J</t>
        </is>
      </c>
      <c r="D3888" s="250" t="inlineStr">
        <is>
          <t xml:space="preserve"/>
        </is>
      </c>
      <c r="E3888" s="250" t="inlineStr">
        <is>
          <t xml:space="preserve"/>
        </is>
      </c>
      <c r="F3888" s="250" t="inlineStr">
        <is>
          <t xml:space="preserve"/>
        </is>
      </c>
      <c r="G3888" s="250" t="inlineStr">
        <is>
          <t xml:space="preserve"/>
        </is>
      </c>
      <c r="H3888" s="251">
        <f>SUM(H3887:H3887)</f>
        <v>1</v>
      </c>
      <c r="I3888" s="252" t="inlineStr">
        <is>
          <t xml:space="preserve">nr</t>
        </is>
      </c>
    </row>
    <row r="3889">
      <c r="A3889" s="243" t="inlineStr">
        <is>
          <t xml:space="preserve">7TH FLR</t>
        </is>
      </c>
      <c r="B3889" s="243" t="inlineStr">
        <is>
          <t xml:space="preserve">K</t>
        </is>
      </c>
      <c r="C3889" s="244" t="inlineStr">
        <is>
          <t xml:space="preserve">900mm x 2200mm screw-fixed galvanised steel service access panel (M1)</t>
        </is>
      </c>
      <c r="I3889" s="245" t="inlineStr">
        <is>
          <t xml:space="preserve">nr</t>
        </is>
      </c>
      <c r="K3889" s="256" t="inlineStr">
        <is>
          <t xml:space="preserve">'7TH FLR   '!C126</t>
        </is>
      </c>
    </row>
    <row r="3890">
      <c r="C3890" s="246" t="inlineStr">
        <is>
          <t xml:space="preserve">Seventh floor - SD3</t>
        </is>
      </c>
      <c r="H3890" s="247">
        <v>2</v>
      </c>
      <c r="J3890" s="253" t="inlineStr">
        <is>
          <t xml:space="preserve">2</t>
        </is>
      </c>
    </row>
    <row r="3891">
      <c r="C3891" s="250" t="inlineStr">
        <is>
          <t xml:space="preserve">Total carried to BOQ  7TH FLR item K</t>
        </is>
      </c>
      <c r="D3891" s="250" t="inlineStr">
        <is>
          <t xml:space="preserve"/>
        </is>
      </c>
      <c r="E3891" s="250" t="inlineStr">
        <is>
          <t xml:space="preserve"/>
        </is>
      </c>
      <c r="F3891" s="250" t="inlineStr">
        <is>
          <t xml:space="preserve"/>
        </is>
      </c>
      <c r="G3891" s="250" t="inlineStr">
        <is>
          <t xml:space="preserve"/>
        </is>
      </c>
      <c r="H3891" s="251">
        <f>SUM(H3890:H3890)</f>
        <v>2</v>
      </c>
      <c r="I3891" s="252" t="inlineStr">
        <is>
          <t xml:space="preserve">nr</t>
        </is>
      </c>
    </row>
    <row r="3892">
      <c r="A3892" s="243" t="inlineStr">
        <is>
          <t xml:space="preserve">7TH FLR</t>
        </is>
      </c>
      <c r="B3892" s="243" t="inlineStr">
        <is>
          <t xml:space="preserve">L</t>
        </is>
      </c>
      <c r="C3892" s="244" t="inlineStr">
        <is>
          <t xml:space="preserve">750mm x 2200mm screw-fixed galvanised steel service access panel (M2)</t>
        </is>
      </c>
      <c r="I3892" s="245" t="inlineStr">
        <is>
          <t xml:space="preserve">nr</t>
        </is>
      </c>
      <c r="K3892" s="256" t="inlineStr">
        <is>
          <t xml:space="preserve">'7TH FLR   '!C128</t>
        </is>
      </c>
    </row>
    <row r="3893">
      <c r="C3893" s="246" t="inlineStr">
        <is>
          <t xml:space="preserve">Seventh floor - SD4</t>
        </is>
      </c>
      <c r="H3893" s="247">
        <v>4</v>
      </c>
      <c r="J3893" s="253" t="inlineStr">
        <is>
          <t xml:space="preserve">4</t>
        </is>
      </c>
    </row>
    <row r="3894">
      <c r="C3894" s="250" t="inlineStr">
        <is>
          <t xml:space="preserve">Total carried to BOQ  7TH FLR item L</t>
        </is>
      </c>
      <c r="D3894" s="250" t="inlineStr">
        <is>
          <t xml:space="preserve"/>
        </is>
      </c>
      <c r="E3894" s="250" t="inlineStr">
        <is>
          <t xml:space="preserve"/>
        </is>
      </c>
      <c r="F3894" s="250" t="inlineStr">
        <is>
          <t xml:space="preserve"/>
        </is>
      </c>
      <c r="G3894" s="250" t="inlineStr">
        <is>
          <t xml:space="preserve"/>
        </is>
      </c>
      <c r="H3894" s="251">
        <f>SUM(H3893:H3893)</f>
        <v>4</v>
      </c>
      <c r="I3894" s="252" t="inlineStr">
        <is>
          <t xml:space="preserve">nr</t>
        </is>
      </c>
    </row>
    <row r="3895">
      <c r="A3895" s="243" t="inlineStr">
        <is>
          <t xml:space="preserve">7TH FLR</t>
        </is>
      </c>
      <c r="B3895" s="243" t="inlineStr">
        <is>
          <t xml:space="preserve">M</t>
        </is>
      </c>
      <c r="C3895" s="244" t="inlineStr">
        <is>
          <t xml:space="preserve">450mm x 2200mm screw-fixed galvanised steel service access panel (M3)</t>
        </is>
      </c>
      <c r="I3895" s="245" t="inlineStr">
        <is>
          <t xml:space="preserve">nr</t>
        </is>
      </c>
      <c r="K3895" s="256" t="inlineStr">
        <is>
          <t xml:space="preserve">'7TH FLR   '!C130</t>
        </is>
      </c>
    </row>
    <row r="3896">
      <c r="C3896" s="246" t="inlineStr">
        <is>
          <t xml:space="preserve">Seventh floor - HW4</t>
        </is>
      </c>
      <c r="H3896" s="247">
        <v>1</v>
      </c>
      <c r="J3896" s="253" t="inlineStr">
        <is>
          <t xml:space="preserve">1</t>
        </is>
      </c>
    </row>
    <row r="3897">
      <c r="C3897" s="250" t="inlineStr">
        <is>
          <t xml:space="preserve">Total carried to BOQ  7TH FLR item M</t>
        </is>
      </c>
      <c r="D3897" s="250" t="inlineStr">
        <is>
          <t xml:space="preserve"/>
        </is>
      </c>
      <c r="E3897" s="250" t="inlineStr">
        <is>
          <t xml:space="preserve"/>
        </is>
      </c>
      <c r="F3897" s="250" t="inlineStr">
        <is>
          <t xml:space="preserve"/>
        </is>
      </c>
      <c r="G3897" s="250" t="inlineStr">
        <is>
          <t xml:space="preserve"/>
        </is>
      </c>
      <c r="H3897" s="251">
        <f>SUM(H3896:H3896)</f>
        <v>1</v>
      </c>
      <c r="I3897" s="252" t="inlineStr">
        <is>
          <t xml:space="preserve">nr</t>
        </is>
      </c>
    </row>
    <row r="3898">
      <c r="A3898" s="243" t="inlineStr">
        <is>
          <t xml:space="preserve">7TH FLR</t>
        </is>
      </c>
      <c r="B3898" s="243" t="inlineStr">
        <is>
          <t xml:space="preserve">N</t>
        </is>
      </c>
      <c r="C3898" s="244" t="inlineStr">
        <is>
          <t xml:space="preserve">600mm x 2200mm screw-fixed galvanised steel service access panel (M5)</t>
        </is>
      </c>
      <c r="I3898" s="245" t="inlineStr">
        <is>
          <t xml:space="preserve">nr</t>
        </is>
      </c>
      <c r="K3898" s="256" t="inlineStr">
        <is>
          <t xml:space="preserve">'7TH FLR   '!C132</t>
        </is>
      </c>
    </row>
    <row r="3899">
      <c r="C3899" s="246" t="inlineStr">
        <is>
          <t xml:space="preserve">Seventh floor - W17</t>
        </is>
      </c>
      <c r="H3899" s="247">
        <v>3</v>
      </c>
      <c r="J3899" s="253" t="inlineStr">
        <is>
          <t xml:space="preserve">3</t>
        </is>
      </c>
    </row>
    <row r="3900">
      <c r="C3900" s="250" t="inlineStr">
        <is>
          <t xml:space="preserve">Total carried to BOQ  7TH FLR item N</t>
        </is>
      </c>
      <c r="D3900" s="250" t="inlineStr">
        <is>
          <t xml:space="preserve"/>
        </is>
      </c>
      <c r="E3900" s="250" t="inlineStr">
        <is>
          <t xml:space="preserve"/>
        </is>
      </c>
      <c r="F3900" s="250" t="inlineStr">
        <is>
          <t xml:space="preserve"/>
        </is>
      </c>
      <c r="G3900" s="250" t="inlineStr">
        <is>
          <t xml:space="preserve"/>
        </is>
      </c>
      <c r="H3900" s="251">
        <f>SUM(H3899:H3899)</f>
        <v>3</v>
      </c>
      <c r="I3900" s="252" t="inlineStr">
        <is>
          <t xml:space="preserve">nr</t>
        </is>
      </c>
    </row>
    <row r="3901" ht="32.2" customHeight="1">
      <c r="A3901" s="243" t="inlineStr">
        <is>
          <t xml:space="preserve">7TH FLR</t>
        </is>
      </c>
      <c r="B3901" s="243" t="inlineStr">
        <is>
          <t xml:space="preserve">P</t>
        </is>
      </c>
      <c r="C3901" s="244" t="inlineStr">
        <is>
          <t xml:space="preserve">3000mm x 2200mm 3-panel galvanised steel framed tempered glass sliding door (SD1)</t>
        </is>
      </c>
      <c r="I3901" s="245" t="inlineStr">
        <is>
          <t xml:space="preserve">nr</t>
        </is>
      </c>
      <c r="K3901" s="256" t="inlineStr">
        <is>
          <t xml:space="preserve">'7TH FLR   '!C134</t>
        </is>
      </c>
    </row>
    <row r="3902">
      <c r="C3902" s="246" t="inlineStr">
        <is>
          <t xml:space="preserve">Seventh floor - HW4</t>
        </is>
      </c>
      <c r="H3902" s="247">
        <v>1</v>
      </c>
      <c r="J3902" s="253" t="inlineStr">
        <is>
          <t xml:space="preserve">1</t>
        </is>
      </c>
    </row>
    <row r="3903">
      <c r="C3903" s="250" t="inlineStr">
        <is>
          <t xml:space="preserve">Total carried to BOQ  7TH FLR item P</t>
        </is>
      </c>
      <c r="D3903" s="250" t="inlineStr">
        <is>
          <t xml:space="preserve"/>
        </is>
      </c>
      <c r="E3903" s="250" t="inlineStr">
        <is>
          <t xml:space="preserve"/>
        </is>
      </c>
      <c r="F3903" s="250" t="inlineStr">
        <is>
          <t xml:space="preserve"/>
        </is>
      </c>
      <c r="G3903" s="250" t="inlineStr">
        <is>
          <t xml:space="preserve"/>
        </is>
      </c>
      <c r="H3903" s="251">
        <f>SUM(H3902:H3902)</f>
        <v>1</v>
      </c>
      <c r="I3903" s="252" t="inlineStr">
        <is>
          <t xml:space="preserve">nr</t>
        </is>
      </c>
    </row>
    <row r="3904" ht="32.2" customHeight="1">
      <c r="A3904" s="243" t="inlineStr">
        <is>
          <t xml:space="preserve">7TH FLR</t>
        </is>
      </c>
      <c r="B3904" s="243" t="inlineStr">
        <is>
          <t xml:space="preserve">Q</t>
        </is>
      </c>
      <c r="C3904" s="244" t="inlineStr">
        <is>
          <t xml:space="preserve">1600mm x 2200mm 2-panel galvanised steel framed tempered glass sliding door (SD2)</t>
        </is>
      </c>
      <c r="I3904" s="245" t="inlineStr">
        <is>
          <t xml:space="preserve">nr</t>
        </is>
      </c>
      <c r="K3904" s="256" t="inlineStr">
        <is>
          <t xml:space="preserve">'7TH FLR   '!C136</t>
        </is>
      </c>
    </row>
    <row r="3905">
      <c r="C3905" s="246" t="inlineStr">
        <is>
          <t xml:space="preserve">Seventh floor - SD4</t>
        </is>
      </c>
      <c r="H3905" s="247">
        <v>4</v>
      </c>
      <c r="J3905" s="253" t="inlineStr">
        <is>
          <t xml:space="preserve">4</t>
        </is>
      </c>
    </row>
    <row r="3906">
      <c r="C3906" s="250" t="inlineStr">
        <is>
          <t xml:space="preserve">Total carried to BOQ  7TH FLR item Q</t>
        </is>
      </c>
      <c r="D3906" s="250" t="inlineStr">
        <is>
          <t xml:space="preserve"/>
        </is>
      </c>
      <c r="E3906" s="250" t="inlineStr">
        <is>
          <t xml:space="preserve"/>
        </is>
      </c>
      <c r="F3906" s="250" t="inlineStr">
        <is>
          <t xml:space="preserve"/>
        </is>
      </c>
      <c r="G3906" s="250" t="inlineStr">
        <is>
          <t xml:space="preserve"/>
        </is>
      </c>
      <c r="H3906" s="251">
        <f>SUM(H3905:H3905)</f>
        <v>4</v>
      </c>
      <c r="I3906" s="252" t="inlineStr">
        <is>
          <t xml:space="preserve">nr</t>
        </is>
      </c>
    </row>
    <row r="3907" ht="32.2" customHeight="1">
      <c r="A3907" s="243" t="inlineStr">
        <is>
          <t xml:space="preserve">7TH FLR</t>
        </is>
      </c>
      <c r="B3907" s="243" t="inlineStr">
        <is>
          <t xml:space="preserve">R</t>
        </is>
      </c>
      <c r="C3907" s="244" t="inlineStr">
        <is>
          <t xml:space="preserve">1300mm x 2200mm 2-panel galvanised steel framed tempered glass sliding door (SD3)</t>
        </is>
      </c>
      <c r="I3907" s="245" t="inlineStr">
        <is>
          <t xml:space="preserve">nr</t>
        </is>
      </c>
      <c r="K3907" s="256" t="inlineStr">
        <is>
          <t xml:space="preserve">'7TH FLR   '!C138</t>
        </is>
      </c>
    </row>
    <row r="3908">
      <c r="C3908" s="246" t="inlineStr">
        <is>
          <t xml:space="preserve">Seventh floor - SD3</t>
        </is>
      </c>
      <c r="H3908" s="247">
        <v>2</v>
      </c>
      <c r="J3908" s="253" t="inlineStr">
        <is>
          <t xml:space="preserve">2</t>
        </is>
      </c>
    </row>
    <row r="3909">
      <c r="C3909" s="250" t="inlineStr">
        <is>
          <t xml:space="preserve">Total carried to BOQ  7TH FLR item R</t>
        </is>
      </c>
      <c r="D3909" s="250" t="inlineStr">
        <is>
          <t xml:space="preserve"/>
        </is>
      </c>
      <c r="E3909" s="250" t="inlineStr">
        <is>
          <t xml:space="preserve"/>
        </is>
      </c>
      <c r="F3909" s="250" t="inlineStr">
        <is>
          <t xml:space="preserve"/>
        </is>
      </c>
      <c r="G3909" s="250" t="inlineStr">
        <is>
          <t xml:space="preserve"/>
        </is>
      </c>
      <c r="H3909" s="251">
        <f>SUM(H3908:H3908)</f>
        <v>2</v>
      </c>
      <c r="I3909" s="252" t="inlineStr">
        <is>
          <t xml:space="preserve">nr</t>
        </is>
      </c>
    </row>
    <row r="3910" ht="32.2" customHeight="1">
      <c r="A3910" s="243" t="inlineStr">
        <is>
          <t xml:space="preserve">7TH FLR</t>
        </is>
      </c>
      <c r="B3910" s="243" t="inlineStr">
        <is>
          <t xml:space="preserve">S</t>
        </is>
      </c>
      <c r="C3910" s="244" t="inlineStr">
        <is>
          <t xml:space="preserve">1800mm x 2200mm 2-panel galvanised steel framed tempered glass sliding door (SD4)</t>
        </is>
      </c>
      <c r="I3910" s="245" t="inlineStr">
        <is>
          <t xml:space="preserve">nr</t>
        </is>
      </c>
      <c r="K3910" s="256" t="inlineStr">
        <is>
          <t xml:space="preserve">'7TH FLR   '!C140</t>
        </is>
      </c>
    </row>
    <row r="3911">
      <c r="C3911" s="246" t="inlineStr">
        <is>
          <t xml:space="preserve">Seventh floor - SD4</t>
        </is>
      </c>
      <c r="H3911" s="247">
        <v>4</v>
      </c>
      <c r="J3911" s="253" t="inlineStr">
        <is>
          <t xml:space="preserve">4</t>
        </is>
      </c>
    </row>
    <row r="3912">
      <c r="C3912" s="250" t="inlineStr">
        <is>
          <t xml:space="preserve">Total carried to BOQ  7TH FLR item S</t>
        </is>
      </c>
      <c r="D3912" s="250" t="inlineStr">
        <is>
          <t xml:space="preserve"/>
        </is>
      </c>
      <c r="E3912" s="250" t="inlineStr">
        <is>
          <t xml:space="preserve"/>
        </is>
      </c>
      <c r="F3912" s="250" t="inlineStr">
        <is>
          <t xml:space="preserve"/>
        </is>
      </c>
      <c r="G3912" s="250" t="inlineStr">
        <is>
          <t xml:space="preserve"/>
        </is>
      </c>
      <c r="H3912" s="251">
        <f>SUM(H3911:H3911)</f>
        <v>4</v>
      </c>
      <c r="I3912" s="252" t="inlineStr">
        <is>
          <t xml:space="preserve">nr</t>
        </is>
      </c>
    </row>
    <row r="3913" ht="32.2" customHeight="1">
      <c r="A3913" s="243" t="inlineStr">
        <is>
          <t xml:space="preserve">7TH FLR</t>
        </is>
      </c>
      <c r="B3913" s="243" t="inlineStr">
        <is>
          <t xml:space="preserve">T</t>
        </is>
      </c>
      <c r="C3913" s="244" t="inlineStr">
        <is>
          <t xml:space="preserve">1200mm x 2200mm 2-panel galvanised steel framed tempered glass sliding door (SD5)</t>
        </is>
      </c>
      <c r="I3913" s="245" t="inlineStr">
        <is>
          <t xml:space="preserve">nr</t>
        </is>
      </c>
      <c r="K3913" s="256" t="inlineStr">
        <is>
          <t xml:space="preserve">'7TH FLR   '!C142</t>
        </is>
      </c>
    </row>
    <row r="3914">
      <c r="C3914" s="246" t="inlineStr">
        <is>
          <t xml:space="preserve">Seventh floor - HW4</t>
        </is>
      </c>
      <c r="H3914" s="247">
        <v>1</v>
      </c>
      <c r="J3914" s="253" t="inlineStr">
        <is>
          <t xml:space="preserve">1</t>
        </is>
      </c>
    </row>
    <row r="3915">
      <c r="C3915" s="250" t="inlineStr">
        <is>
          <t xml:space="preserve">Total carried to BOQ  7TH FLR item T</t>
        </is>
      </c>
      <c r="D3915" s="250" t="inlineStr">
        <is>
          <t xml:space="preserve"/>
        </is>
      </c>
      <c r="E3915" s="250" t="inlineStr">
        <is>
          <t xml:space="preserve"/>
        </is>
      </c>
      <c r="F3915" s="250" t="inlineStr">
        <is>
          <t xml:space="preserve"/>
        </is>
      </c>
      <c r="G3915" s="250" t="inlineStr">
        <is>
          <t xml:space="preserve"/>
        </is>
      </c>
      <c r="H3915" s="251">
        <f>SUM(H3914:H3914)</f>
        <v>1</v>
      </c>
      <c r="I3915" s="252" t="inlineStr">
        <is>
          <t xml:space="preserve">nr</t>
        </is>
      </c>
    </row>
    <row r="3916">
      <c r="A3916" s="243" t="inlineStr">
        <is>
          <t xml:space="preserve">7TH FLR</t>
        </is>
      </c>
      <c r="B3916" s="243" t="inlineStr">
        <is>
          <t xml:space="preserve">U</t>
        </is>
      </c>
      <c r="C3916" s="244" t="inlineStr">
        <is>
          <t xml:space="preserve">50mm x 150mm frames (to timber doors)</t>
        </is>
      </c>
      <c r="I3916" s="245" t="inlineStr">
        <is>
          <t xml:space="preserve">m</t>
        </is>
      </c>
      <c r="K3916" s="256" t="inlineStr">
        <is>
          <t xml:space="preserve">'7TH FLR   '!C144</t>
        </is>
      </c>
    </row>
    <row r="3917">
      <c r="C3917" s="246" t="inlineStr">
        <is>
          <t xml:space="preserve">Door : nr x (2 x ht + width)</t>
        </is>
      </c>
      <c r="D3917" s="248">
        <v>15</v>
      </c>
      <c r="E3917" s="247">
        <f>2*2.2+0.9</f>
        <v>5.300000000000001</v>
      </c>
      <c r="H3917" s="249">
        <f>PRODUCT(D3917:G3917)</f>
        <v>79.50000000000001</v>
      </c>
      <c r="J3917" s="253" t="inlineStr">
        <is>
          <t xml:space="preserve">15*(2*2.2+0.9)</t>
        </is>
      </c>
    </row>
    <row r="3918">
      <c r="C3918" s="246" t="inlineStr">
        <is>
          <t xml:space="preserve">Door : nr x (2 x ht + width)</t>
        </is>
      </c>
      <c r="D3918" s="248">
        <v>20</v>
      </c>
      <c r="E3918" s="247">
        <f>2*2.2+0.75</f>
        <v>5.15</v>
      </c>
      <c r="H3918" s="249">
        <f>PRODUCT(D3918:G3918)</f>
        <v>103.0</v>
      </c>
      <c r="J3918" s="253" t="inlineStr">
        <is>
          <t xml:space="preserve">20*(2*2.2+0.75)</t>
        </is>
      </c>
    </row>
    <row r="3919">
      <c r="C3919" s="246" t="inlineStr">
        <is>
          <t xml:space="preserve">Door : nr x (2 x ht + width)</t>
        </is>
      </c>
      <c r="D3919" s="248">
        <v>1</v>
      </c>
      <c r="E3919" s="247">
        <f>2*2.2+1.5</f>
        <v>5.9</v>
      </c>
      <c r="H3919" s="249">
        <f>PRODUCT(D3919:G3919)</f>
        <v>5.9</v>
      </c>
      <c r="J3919" s="253" t="inlineStr">
        <is>
          <t xml:space="preserve">1*(2*2.2+1.5)</t>
        </is>
      </c>
    </row>
    <row r="3920">
      <c r="C3920" s="250" t="inlineStr">
        <is>
          <t xml:space="preserve">Total carried to BOQ  7TH FLR item U</t>
        </is>
      </c>
      <c r="D3920" s="250" t="inlineStr">
        <is>
          <t xml:space="preserve"/>
        </is>
      </c>
      <c r="E3920" s="250" t="inlineStr">
        <is>
          <t xml:space="preserve"/>
        </is>
      </c>
      <c r="F3920" s="250" t="inlineStr">
        <is>
          <t xml:space="preserve"/>
        </is>
      </c>
      <c r="G3920" s="250" t="inlineStr">
        <is>
          <t xml:space="preserve"/>
        </is>
      </c>
      <c r="H3920" s="251">
        <f>SUM(H3917:H3919)</f>
        <v>188.4</v>
      </c>
      <c r="I3920" s="252" t="inlineStr">
        <is>
          <t xml:space="preserve">m</t>
        </is>
      </c>
    </row>
    <row r="3921">
      <c r="A3921" s="243" t="inlineStr">
        <is>
          <t xml:space="preserve">7TH FLR</t>
        </is>
      </c>
      <c r="B3921" s="243" t="inlineStr">
        <is>
          <t xml:space="preserve">V</t>
        </is>
      </c>
      <c r="C3921" s="244" t="inlineStr">
        <is>
          <t xml:space="preserve">50mm x 12mm door stop</t>
        </is>
      </c>
      <c r="I3921" s="245" t="inlineStr">
        <is>
          <t xml:space="preserve">m</t>
        </is>
      </c>
      <c r="K3921" s="256" t="inlineStr">
        <is>
          <t xml:space="preserve">'7TH FLR   '!C146</t>
        </is>
      </c>
    </row>
    <row r="3922">
      <c r="C3922" s="246" t="inlineStr">
        <is>
          <t xml:space="preserve">Door : nr x (2 x ht + width)</t>
        </is>
      </c>
      <c r="D3922" s="248">
        <v>15</v>
      </c>
      <c r="E3922" s="247">
        <f>2*2.2+0.9</f>
        <v>5.300000000000001</v>
      </c>
      <c r="H3922" s="249">
        <f>PRODUCT(D3922:G3922)</f>
        <v>79.50000000000001</v>
      </c>
      <c r="J3922" s="253" t="inlineStr">
        <is>
          <t xml:space="preserve">15*(2*2.2+0.9)</t>
        </is>
      </c>
    </row>
    <row r="3923">
      <c r="C3923" s="246" t="inlineStr">
        <is>
          <t xml:space="preserve">Door : nr x (2 x ht + width)</t>
        </is>
      </c>
      <c r="D3923" s="248">
        <v>20</v>
      </c>
      <c r="E3923" s="247">
        <f>2*2.2+0.75</f>
        <v>5.15</v>
      </c>
      <c r="H3923" s="249">
        <f>PRODUCT(D3923:G3923)</f>
        <v>103.0</v>
      </c>
      <c r="J3923" s="253" t="inlineStr">
        <is>
          <t xml:space="preserve">20*(2*2.2+0.75)</t>
        </is>
      </c>
    </row>
    <row r="3924">
      <c r="C3924" s="246" t="inlineStr">
        <is>
          <t xml:space="preserve">Door : nr x (2 x ht + width)</t>
        </is>
      </c>
      <c r="D3924" s="248">
        <v>1</v>
      </c>
      <c r="E3924" s="247">
        <f>2*2.2+1.5</f>
        <v>5.9</v>
      </c>
      <c r="H3924" s="249">
        <f>PRODUCT(D3924:G3924)</f>
        <v>5.9</v>
      </c>
      <c r="J3924" s="253" t="inlineStr">
        <is>
          <t xml:space="preserve">1*(2*2.2+1.5)</t>
        </is>
      </c>
    </row>
    <row r="3925">
      <c r="C3925" s="250" t="inlineStr">
        <is>
          <t xml:space="preserve">Total carried to BOQ  7TH FLR item V</t>
        </is>
      </c>
      <c r="D3925" s="250" t="inlineStr">
        <is>
          <t xml:space="preserve"/>
        </is>
      </c>
      <c r="E3925" s="250" t="inlineStr">
        <is>
          <t xml:space="preserve"/>
        </is>
      </c>
      <c r="F3925" s="250" t="inlineStr">
        <is>
          <t xml:space="preserve"/>
        </is>
      </c>
      <c r="G3925" s="250" t="inlineStr">
        <is>
          <t xml:space="preserve"/>
        </is>
      </c>
      <c r="H3925" s="251">
        <f>SUM(H3922:H3924)</f>
        <v>188.4</v>
      </c>
      <c r="I3925" s="252" t="inlineStr">
        <is>
          <t xml:space="preserve">m</t>
        </is>
      </c>
    </row>
    <row r="3926">
      <c r="C3926" s="242" t="inlineStr">
        <is>
          <t xml:space="preserve">Ironmongery - Supply and fix the following approved ironmongery to hardwood with accompanying patented screws:</t>
        </is>
      </c>
    </row>
    <row r="3927">
      <c r="A3927" s="243" t="inlineStr">
        <is>
          <t xml:space="preserve">7TH FLR</t>
        </is>
      </c>
      <c r="B3927" s="243" t="inlineStr">
        <is>
          <t xml:space="preserve">W</t>
        </is>
      </c>
      <c r="C3927" s="244" t="inlineStr">
        <is>
          <t xml:space="preserve">Pair 100mm brass butt hinges</t>
        </is>
      </c>
      <c r="I3927" s="245" t="inlineStr">
        <is>
          <t xml:space="preserve">pr</t>
        </is>
      </c>
      <c r="K3927" s="256" t="inlineStr">
        <is>
          <t xml:space="preserve">'7TH FLR   '!C149</t>
        </is>
      </c>
    </row>
    <row r="3928">
      <c r="C3928" s="246" t="inlineStr">
        <is>
          <t xml:space="preserve">Seventh floor - Timber door leaves x 1.5 pairs</t>
        </is>
      </c>
      <c r="H3928" s="247">
        <v>53</v>
      </c>
      <c r="J3928" s="253" t="inlineStr">
        <is>
          <t xml:space="preserve">53</t>
        </is>
      </c>
    </row>
    <row r="3929">
      <c r="C3929" s="250" t="inlineStr">
        <is>
          <t xml:space="preserve">Total carried to BOQ  7TH FLR item W</t>
        </is>
      </c>
      <c r="D3929" s="250" t="inlineStr">
        <is>
          <t xml:space="preserve"/>
        </is>
      </c>
      <c r="E3929" s="250" t="inlineStr">
        <is>
          <t xml:space="preserve"/>
        </is>
      </c>
      <c r="F3929" s="250" t="inlineStr">
        <is>
          <t xml:space="preserve"/>
        </is>
      </c>
      <c r="G3929" s="250" t="inlineStr">
        <is>
          <t xml:space="preserve"/>
        </is>
      </c>
      <c r="H3929" s="251">
        <f>SUM(H3928:H3928)</f>
        <v>53</v>
      </c>
      <c r="I3929" s="252" t="inlineStr">
        <is>
          <t xml:space="preserve">pr</t>
        </is>
      </c>
    </row>
    <row r="3930">
      <c r="A3930" s="243" t="inlineStr">
        <is>
          <t xml:space="preserve">7TH FLR</t>
        </is>
      </c>
      <c r="B3930" s="243" t="inlineStr">
        <is>
          <t xml:space="preserve">X</t>
        </is>
      </c>
      <c r="C3930" s="244" t="inlineStr">
        <is>
          <t xml:space="preserve">Ordinary locks</t>
        </is>
      </c>
      <c r="I3930" s="245" t="inlineStr">
        <is>
          <t xml:space="preserve">nr</t>
        </is>
      </c>
      <c r="K3930" s="256" t="inlineStr">
        <is>
          <t xml:space="preserve">'7TH FLR   '!C151</t>
        </is>
      </c>
    </row>
    <row r="3931">
      <c r="C3931" s="246" t="inlineStr">
        <is>
          <t xml:space="preserve">Seventh floor - D3/D4 doors</t>
        </is>
      </c>
      <c r="H3931" s="247">
        <v>15</v>
      </c>
      <c r="J3931" s="253" t="inlineStr">
        <is>
          <t xml:space="preserve">15</t>
        </is>
      </c>
    </row>
    <row r="3932">
      <c r="C3932" s="250" t="inlineStr">
        <is>
          <t xml:space="preserve">Total carried to BOQ  7TH FLR item X</t>
        </is>
      </c>
      <c r="D3932" s="250" t="inlineStr">
        <is>
          <t xml:space="preserve"/>
        </is>
      </c>
      <c r="E3932" s="250" t="inlineStr">
        <is>
          <t xml:space="preserve"/>
        </is>
      </c>
      <c r="F3932" s="250" t="inlineStr">
        <is>
          <t xml:space="preserve"/>
        </is>
      </c>
      <c r="G3932" s="250" t="inlineStr">
        <is>
          <t xml:space="preserve"/>
        </is>
      </c>
      <c r="H3932" s="251">
        <f>SUM(H3931:H3931)</f>
        <v>15</v>
      </c>
      <c r="I3932" s="252" t="inlineStr">
        <is>
          <t xml:space="preserve">nr</t>
        </is>
      </c>
    </row>
    <row r="3933">
      <c r="A3933" s="243" t="inlineStr">
        <is>
          <t xml:space="preserve">7TH FLR</t>
        </is>
      </c>
      <c r="B3933" s="243" t="inlineStr">
        <is>
          <t xml:space="preserve">Y</t>
        </is>
      </c>
      <c r="C3933" s="244" t="inlineStr">
        <is>
          <t xml:space="preserve">Approved high quality mortice indicator lock</t>
        </is>
      </c>
      <c r="I3933" s="245" t="inlineStr">
        <is>
          <t xml:space="preserve">nr</t>
        </is>
      </c>
      <c r="K3933" s="256" t="inlineStr">
        <is>
          <t xml:space="preserve">'7TH FLR   '!C153</t>
        </is>
      </c>
    </row>
    <row r="3934">
      <c r="C3934" s="246" t="inlineStr">
        <is>
          <t xml:space="preserve">Seventh floor - D6 doors</t>
        </is>
      </c>
      <c r="H3934" s="247">
        <v>20</v>
      </c>
      <c r="J3934" s="253" t="inlineStr">
        <is>
          <t xml:space="preserve">20</t>
        </is>
      </c>
    </row>
    <row r="3935">
      <c r="C3935" s="250" t="inlineStr">
        <is>
          <t xml:space="preserve">Total carried to BOQ  7TH FLR item Y</t>
        </is>
      </c>
      <c r="D3935" s="250" t="inlineStr">
        <is>
          <t xml:space="preserve"/>
        </is>
      </c>
      <c r="E3935" s="250" t="inlineStr">
        <is>
          <t xml:space="preserve"/>
        </is>
      </c>
      <c r="F3935" s="250" t="inlineStr">
        <is>
          <t xml:space="preserve"/>
        </is>
      </c>
      <c r="G3935" s="250" t="inlineStr">
        <is>
          <t xml:space="preserve"/>
        </is>
      </c>
      <c r="H3935" s="251">
        <f>SUM(H3934:H3934)</f>
        <v>20</v>
      </c>
      <c r="I3935" s="252" t="inlineStr">
        <is>
          <t xml:space="preserve">nr</t>
        </is>
      </c>
    </row>
    <row r="3936">
      <c r="C3936"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3937">
      <c r="A3937" s="243" t="inlineStr">
        <is>
          <t xml:space="preserve">7TH FLR</t>
        </is>
      </c>
      <c r="B3937" s="243" t="inlineStr">
        <is>
          <t xml:space="preserve">Z</t>
        </is>
      </c>
      <c r="C3937" s="244" t="inlineStr">
        <is>
          <t xml:space="preserve">2 bay alu. framed glass sliding window 1800mm x 1300mm (W2)</t>
        </is>
      </c>
      <c r="I3937" s="245" t="inlineStr">
        <is>
          <t xml:space="preserve">nr</t>
        </is>
      </c>
      <c r="K3937" s="256" t="inlineStr">
        <is>
          <t xml:space="preserve">'7TH FLR   '!C157</t>
        </is>
      </c>
    </row>
    <row r="3938">
      <c r="C3938" s="246" t="inlineStr">
        <is>
          <t xml:space="preserve">Seventh floor - W11</t>
        </is>
      </c>
      <c r="H3938" s="247">
        <v>6</v>
      </c>
      <c r="J3938" s="253" t="inlineStr">
        <is>
          <t xml:space="preserve">6</t>
        </is>
      </c>
    </row>
    <row r="3939">
      <c r="C3939" s="250" t="inlineStr">
        <is>
          <t xml:space="preserve">Total carried to BOQ  7TH FLR item Z</t>
        </is>
      </c>
      <c r="D3939" s="250" t="inlineStr">
        <is>
          <t xml:space="preserve"/>
        </is>
      </c>
      <c r="E3939" s="250" t="inlineStr">
        <is>
          <t xml:space="preserve"/>
        </is>
      </c>
      <c r="F3939" s="250" t="inlineStr">
        <is>
          <t xml:space="preserve"/>
        </is>
      </c>
      <c r="G3939" s="250" t="inlineStr">
        <is>
          <t xml:space="preserve"/>
        </is>
      </c>
      <c r="H3939" s="251">
        <f>SUM(H3938:H3938)</f>
        <v>6</v>
      </c>
      <c r="I3939" s="252" t="inlineStr">
        <is>
          <t xml:space="preserve">nr</t>
        </is>
      </c>
    </row>
    <row r="3940">
      <c r="A3940" s="243" t="inlineStr">
        <is>
          <t xml:space="preserve">7TH FLR</t>
        </is>
      </c>
      <c r="B3940" s="243" t="inlineStr">
        <is>
          <t xml:space="preserve">A</t>
        </is>
      </c>
      <c r="C3940" s="244" t="inlineStr">
        <is>
          <t xml:space="preserve">1 bay alu. framed glass awning window 900mm x 1300mm (W4)</t>
        </is>
      </c>
      <c r="I3940" s="245" t="inlineStr">
        <is>
          <t xml:space="preserve">nr</t>
        </is>
      </c>
      <c r="K3940" s="256" t="inlineStr">
        <is>
          <t xml:space="preserve">'7TH FLR   '!C159</t>
        </is>
      </c>
    </row>
    <row r="3941">
      <c r="C3941" s="246" t="inlineStr">
        <is>
          <t xml:space="preserve">Seventh floor - W4</t>
        </is>
      </c>
      <c r="H3941" s="247">
        <v>10</v>
      </c>
      <c r="J3941" s="253" t="inlineStr">
        <is>
          <t xml:space="preserve">10</t>
        </is>
      </c>
    </row>
    <row r="3942">
      <c r="C3942" s="250" t="inlineStr">
        <is>
          <t xml:space="preserve">Total carried to BOQ  7TH FLR item A</t>
        </is>
      </c>
      <c r="D3942" s="250" t="inlineStr">
        <is>
          <t xml:space="preserve"/>
        </is>
      </c>
      <c r="E3942" s="250" t="inlineStr">
        <is>
          <t xml:space="preserve"/>
        </is>
      </c>
      <c r="F3942" s="250" t="inlineStr">
        <is>
          <t xml:space="preserve"/>
        </is>
      </c>
      <c r="G3942" s="250" t="inlineStr">
        <is>
          <t xml:space="preserve"/>
        </is>
      </c>
      <c r="H3942" s="251">
        <f>SUM(H3941:H3941)</f>
        <v>10</v>
      </c>
      <c r="I3942" s="252" t="inlineStr">
        <is>
          <t xml:space="preserve">nr</t>
        </is>
      </c>
    </row>
    <row r="3943">
      <c r="A3943" s="243" t="inlineStr">
        <is>
          <t xml:space="preserve">7TH FLR</t>
        </is>
      </c>
      <c r="B3943" s="243" t="inlineStr">
        <is>
          <t xml:space="preserve">B</t>
        </is>
      </c>
      <c r="C3943" s="244" t="inlineStr">
        <is>
          <t xml:space="preserve">2 bay alu. framed glass sliding window 1800mm x 1600mm (W7)</t>
        </is>
      </c>
      <c r="I3943" s="245" t="inlineStr">
        <is>
          <t xml:space="preserve">nr</t>
        </is>
      </c>
      <c r="K3943" s="256" t="inlineStr">
        <is>
          <t xml:space="preserve">'7TH FLR   '!C161</t>
        </is>
      </c>
    </row>
    <row r="3944">
      <c r="C3944" s="246" t="inlineStr">
        <is>
          <t xml:space="preserve">Seventh floor - HW4</t>
        </is>
      </c>
      <c r="H3944" s="247">
        <v>1</v>
      </c>
      <c r="J3944" s="253" t="inlineStr">
        <is>
          <t xml:space="preserve">1</t>
        </is>
      </c>
    </row>
    <row r="3945">
      <c r="C3945" s="250" t="inlineStr">
        <is>
          <t xml:space="preserve">Total carried to BOQ  7TH FLR item B</t>
        </is>
      </c>
      <c r="D3945" s="250" t="inlineStr">
        <is>
          <t xml:space="preserve"/>
        </is>
      </c>
      <c r="E3945" s="250" t="inlineStr">
        <is>
          <t xml:space="preserve"/>
        </is>
      </c>
      <c r="F3945" s="250" t="inlineStr">
        <is>
          <t xml:space="preserve"/>
        </is>
      </c>
      <c r="G3945" s="250" t="inlineStr">
        <is>
          <t xml:space="preserve"/>
        </is>
      </c>
      <c r="H3945" s="251">
        <f>SUM(H3944:H3944)</f>
        <v>1</v>
      </c>
      <c r="I3945" s="252" t="inlineStr">
        <is>
          <t xml:space="preserve">nr</t>
        </is>
      </c>
    </row>
    <row r="3946">
      <c r="A3946" s="243" t="inlineStr">
        <is>
          <t xml:space="preserve">7TH FLR</t>
        </is>
      </c>
      <c r="B3946" s="243" t="inlineStr">
        <is>
          <t xml:space="preserve">C</t>
        </is>
      </c>
      <c r="C3946" s="244" t="inlineStr">
        <is>
          <t xml:space="preserve">1 x 3 bay alu. framed glass awning window 1200mm x 1900mm (W8)</t>
        </is>
      </c>
      <c r="I3946" s="245" t="inlineStr">
        <is>
          <t xml:space="preserve">nr</t>
        </is>
      </c>
      <c r="K3946" s="256" t="inlineStr">
        <is>
          <t xml:space="preserve">'7TH FLR   '!C163</t>
        </is>
      </c>
    </row>
    <row r="3947">
      <c r="C3947" s="246" t="inlineStr">
        <is>
          <t xml:space="preserve">Seventh floor - W17</t>
        </is>
      </c>
      <c r="H3947" s="247">
        <v>3</v>
      </c>
      <c r="J3947" s="253" t="inlineStr">
        <is>
          <t xml:space="preserve">3</t>
        </is>
      </c>
    </row>
    <row r="3948">
      <c r="C3948" s="250" t="inlineStr">
        <is>
          <t xml:space="preserve">Total carried to BOQ  7TH FLR item C</t>
        </is>
      </c>
      <c r="D3948" s="250" t="inlineStr">
        <is>
          <t xml:space="preserve"/>
        </is>
      </c>
      <c r="E3948" s="250" t="inlineStr">
        <is>
          <t xml:space="preserve"/>
        </is>
      </c>
      <c r="F3948" s="250" t="inlineStr">
        <is>
          <t xml:space="preserve"/>
        </is>
      </c>
      <c r="G3948" s="250" t="inlineStr">
        <is>
          <t xml:space="preserve"/>
        </is>
      </c>
      <c r="H3948" s="251">
        <f>SUM(H3947:H3947)</f>
        <v>3</v>
      </c>
      <c r="I3948" s="252" t="inlineStr">
        <is>
          <t xml:space="preserve">nr</t>
        </is>
      </c>
    </row>
    <row r="3949">
      <c r="A3949" s="243" t="inlineStr">
        <is>
          <t xml:space="preserve">7TH FLR</t>
        </is>
      </c>
      <c r="B3949" s="243" t="inlineStr">
        <is>
          <t xml:space="preserve">D</t>
        </is>
      </c>
      <c r="C3949" s="244" t="inlineStr">
        <is>
          <t xml:space="preserve">2 bay alu. framed glass sliding window 1200mm x 1150mm (W9)</t>
        </is>
      </c>
      <c r="I3949" s="245" t="inlineStr">
        <is>
          <t xml:space="preserve">nr</t>
        </is>
      </c>
      <c r="K3949" s="256" t="inlineStr">
        <is>
          <t xml:space="preserve">'7TH FLR   '!C165</t>
        </is>
      </c>
    </row>
    <row r="3950">
      <c r="C3950" s="246" t="inlineStr">
        <is>
          <t xml:space="preserve">Seventh floor - W9</t>
        </is>
      </c>
      <c r="H3950" s="247">
        <v>8</v>
      </c>
      <c r="J3950" s="253" t="inlineStr">
        <is>
          <t xml:space="preserve">8</t>
        </is>
      </c>
    </row>
    <row r="3951">
      <c r="C3951" s="250" t="inlineStr">
        <is>
          <t xml:space="preserve">Total carried to BOQ  7TH FLR item D</t>
        </is>
      </c>
      <c r="D3951" s="250" t="inlineStr">
        <is>
          <t xml:space="preserve"/>
        </is>
      </c>
      <c r="E3951" s="250" t="inlineStr">
        <is>
          <t xml:space="preserve"/>
        </is>
      </c>
      <c r="F3951" s="250" t="inlineStr">
        <is>
          <t xml:space="preserve"/>
        </is>
      </c>
      <c r="G3951" s="250" t="inlineStr">
        <is>
          <t xml:space="preserve"/>
        </is>
      </c>
      <c r="H3951" s="251">
        <f>SUM(H3950:H3950)</f>
        <v>8</v>
      </c>
      <c r="I3951" s="252" t="inlineStr">
        <is>
          <t xml:space="preserve">nr</t>
        </is>
      </c>
    </row>
    <row r="3952">
      <c r="A3952" s="243" t="inlineStr">
        <is>
          <t xml:space="preserve">7TH FLR</t>
        </is>
      </c>
      <c r="B3952" s="243" t="inlineStr">
        <is>
          <t xml:space="preserve">E</t>
        </is>
      </c>
      <c r="C3952" s="244" t="inlineStr">
        <is>
          <t xml:space="preserve">2 bay alu. framed glass sliding window 1200mm x 1200mm (W10)</t>
        </is>
      </c>
      <c r="I3952" s="245" t="inlineStr">
        <is>
          <t xml:space="preserve">nr</t>
        </is>
      </c>
      <c r="K3952" s="256" t="inlineStr">
        <is>
          <t xml:space="preserve">'7TH FLR   '!C167</t>
        </is>
      </c>
    </row>
    <row r="3953">
      <c r="C3953" s="246" t="inlineStr">
        <is>
          <t xml:space="preserve">Seventh floor - HW4</t>
        </is>
      </c>
      <c r="H3953" s="247">
        <v>1</v>
      </c>
      <c r="J3953" s="253" t="inlineStr">
        <is>
          <t xml:space="preserve">1</t>
        </is>
      </c>
    </row>
    <row r="3954">
      <c r="C3954" s="250" t="inlineStr">
        <is>
          <t xml:space="preserve">Total carried to BOQ  7TH FLR item E</t>
        </is>
      </c>
      <c r="D3954" s="250" t="inlineStr">
        <is>
          <t xml:space="preserve"/>
        </is>
      </c>
      <c r="E3954" s="250" t="inlineStr">
        <is>
          <t xml:space="preserve"/>
        </is>
      </c>
      <c r="F3954" s="250" t="inlineStr">
        <is>
          <t xml:space="preserve"/>
        </is>
      </c>
      <c r="G3954" s="250" t="inlineStr">
        <is>
          <t xml:space="preserve"/>
        </is>
      </c>
      <c r="H3954" s="251">
        <f>SUM(H3953:H3953)</f>
        <v>1</v>
      </c>
      <c r="I3954" s="252" t="inlineStr">
        <is>
          <t xml:space="preserve">nr</t>
        </is>
      </c>
    </row>
    <row r="3955">
      <c r="A3955" s="243" t="inlineStr">
        <is>
          <t xml:space="preserve">7TH FLR</t>
        </is>
      </c>
      <c r="B3955" s="243" t="inlineStr">
        <is>
          <t xml:space="preserve">F</t>
        </is>
      </c>
      <c r="C3955" s="244" t="inlineStr">
        <is>
          <t xml:space="preserve">2 bay alu. framed glass sliding window 1500mm x 1300mm (W11)</t>
        </is>
      </c>
      <c r="I3955" s="245" t="inlineStr">
        <is>
          <t xml:space="preserve">nr</t>
        </is>
      </c>
      <c r="K3955" s="256" t="inlineStr">
        <is>
          <t xml:space="preserve">'7TH FLR   '!C169</t>
        </is>
      </c>
    </row>
    <row r="3956">
      <c r="C3956" s="246" t="inlineStr">
        <is>
          <t xml:space="preserve">Seventh floor - W11</t>
        </is>
      </c>
      <c r="H3956" s="247">
        <v>6</v>
      </c>
      <c r="J3956" s="253" t="inlineStr">
        <is>
          <t xml:space="preserve">6</t>
        </is>
      </c>
    </row>
    <row r="3957">
      <c r="C3957" s="250" t="inlineStr">
        <is>
          <t xml:space="preserve">Total carried to BOQ  7TH FLR item F</t>
        </is>
      </c>
      <c r="D3957" s="250" t="inlineStr">
        <is>
          <t xml:space="preserve"/>
        </is>
      </c>
      <c r="E3957" s="250" t="inlineStr">
        <is>
          <t xml:space="preserve"/>
        </is>
      </c>
      <c r="F3957" s="250" t="inlineStr">
        <is>
          <t xml:space="preserve"/>
        </is>
      </c>
      <c r="G3957" s="250" t="inlineStr">
        <is>
          <t xml:space="preserve"/>
        </is>
      </c>
      <c r="H3957" s="251">
        <f>SUM(H3956:H3956)</f>
        <v>6</v>
      </c>
      <c r="I3957" s="252" t="inlineStr">
        <is>
          <t xml:space="preserve">nr</t>
        </is>
      </c>
    </row>
    <row r="3958">
      <c r="A3958" s="243" t="inlineStr">
        <is>
          <t xml:space="preserve">7TH FLR</t>
        </is>
      </c>
      <c r="B3958" s="243" t="inlineStr">
        <is>
          <t xml:space="preserve">G</t>
        </is>
      </c>
      <c r="C3958" s="244" t="inlineStr">
        <is>
          <t xml:space="preserve">2 bay alu. framed glass sliding window 1500mm x 1150mm (W12)</t>
        </is>
      </c>
      <c r="I3958" s="245" t="inlineStr">
        <is>
          <t xml:space="preserve">nr</t>
        </is>
      </c>
      <c r="K3958" s="256" t="inlineStr">
        <is>
          <t xml:space="preserve">'7TH FLR   '!C171</t>
        </is>
      </c>
    </row>
    <row r="3959">
      <c r="C3959" s="246" t="inlineStr">
        <is>
          <t xml:space="preserve">Seventh floor - W17</t>
        </is>
      </c>
      <c r="H3959" s="247">
        <v>3</v>
      </c>
      <c r="J3959" s="253" t="inlineStr">
        <is>
          <t xml:space="preserve">3</t>
        </is>
      </c>
    </row>
    <row r="3960">
      <c r="C3960" s="250" t="inlineStr">
        <is>
          <t xml:space="preserve">Total carried to BOQ  7TH FLR item G</t>
        </is>
      </c>
      <c r="D3960" s="250" t="inlineStr">
        <is>
          <t xml:space="preserve"/>
        </is>
      </c>
      <c r="E3960" s="250" t="inlineStr">
        <is>
          <t xml:space="preserve"/>
        </is>
      </c>
      <c r="F3960" s="250" t="inlineStr">
        <is>
          <t xml:space="preserve"/>
        </is>
      </c>
      <c r="G3960" s="250" t="inlineStr">
        <is>
          <t xml:space="preserve"/>
        </is>
      </c>
      <c r="H3960" s="251">
        <f>SUM(H3959:H3959)</f>
        <v>3</v>
      </c>
      <c r="I3960" s="252" t="inlineStr">
        <is>
          <t xml:space="preserve">nr</t>
        </is>
      </c>
    </row>
    <row r="3961">
      <c r="A3961" s="243" t="inlineStr">
        <is>
          <t xml:space="preserve">7TH FLR</t>
        </is>
      </c>
      <c r="B3961" s="243" t="inlineStr">
        <is>
          <t xml:space="preserve">H</t>
        </is>
      </c>
      <c r="C3961" s="244" t="inlineStr">
        <is>
          <t xml:space="preserve">3 bay alu. framed glass awning window 2400mm x 1300mm (W13)</t>
        </is>
      </c>
      <c r="I3961" s="245" t="inlineStr">
        <is>
          <t xml:space="preserve">nr</t>
        </is>
      </c>
      <c r="K3961" s="256" t="inlineStr">
        <is>
          <t xml:space="preserve">'7TH FLR   '!C173</t>
        </is>
      </c>
    </row>
    <row r="3962">
      <c r="C3962" s="246" t="inlineStr">
        <is>
          <t xml:space="preserve">Seventh floor - HW4</t>
        </is>
      </c>
      <c r="H3962" s="247">
        <v>1</v>
      </c>
      <c r="J3962" s="253" t="inlineStr">
        <is>
          <t xml:space="preserve">1</t>
        </is>
      </c>
    </row>
    <row r="3963">
      <c r="C3963" s="250" t="inlineStr">
        <is>
          <t xml:space="preserve">Total carried to BOQ  7TH FLR item H</t>
        </is>
      </c>
      <c r="D3963" s="250" t="inlineStr">
        <is>
          <t xml:space="preserve"/>
        </is>
      </c>
      <c r="E3963" s="250" t="inlineStr">
        <is>
          <t xml:space="preserve"/>
        </is>
      </c>
      <c r="F3963" s="250" t="inlineStr">
        <is>
          <t xml:space="preserve"/>
        </is>
      </c>
      <c r="G3963" s="250" t="inlineStr">
        <is>
          <t xml:space="preserve"/>
        </is>
      </c>
      <c r="H3963" s="251">
        <f>SUM(H3962:H3962)</f>
        <v>1</v>
      </c>
      <c r="I3963" s="252" t="inlineStr">
        <is>
          <t xml:space="preserve">nr</t>
        </is>
      </c>
    </row>
    <row r="3964">
      <c r="A3964" s="243" t="inlineStr">
        <is>
          <t xml:space="preserve">7TH FLR</t>
        </is>
      </c>
      <c r="B3964" s="243" t="inlineStr">
        <is>
          <t xml:space="preserve">J</t>
        </is>
      </c>
      <c r="C3964" s="244" t="inlineStr">
        <is>
          <t xml:space="preserve">3 bay alu. framed glass sliding window 3000mm x 1600mm (W15)</t>
        </is>
      </c>
      <c r="I3964" s="245" t="inlineStr">
        <is>
          <t xml:space="preserve">nr</t>
        </is>
      </c>
      <c r="K3964" s="256" t="inlineStr">
        <is>
          <t xml:space="preserve">'7TH FLR   '!C175</t>
        </is>
      </c>
    </row>
    <row r="3965">
      <c r="C3965" s="246" t="inlineStr">
        <is>
          <t xml:space="preserve">Seventh floor - HW4</t>
        </is>
      </c>
      <c r="H3965" s="247">
        <v>1</v>
      </c>
      <c r="J3965" s="253" t="inlineStr">
        <is>
          <t xml:space="preserve">1</t>
        </is>
      </c>
    </row>
    <row r="3966">
      <c r="C3966" s="250" t="inlineStr">
        <is>
          <t xml:space="preserve">Total carried to BOQ  7TH FLR item J</t>
        </is>
      </c>
      <c r="D3966" s="250" t="inlineStr">
        <is>
          <t xml:space="preserve"/>
        </is>
      </c>
      <c r="E3966" s="250" t="inlineStr">
        <is>
          <t xml:space="preserve"/>
        </is>
      </c>
      <c r="F3966" s="250" t="inlineStr">
        <is>
          <t xml:space="preserve"/>
        </is>
      </c>
      <c r="G3966" s="250" t="inlineStr">
        <is>
          <t xml:space="preserve"/>
        </is>
      </c>
      <c r="H3966" s="251">
        <f>SUM(H3965:H3965)</f>
        <v>1</v>
      </c>
      <c r="I3966" s="252" t="inlineStr">
        <is>
          <t xml:space="preserve">nr</t>
        </is>
      </c>
    </row>
    <row r="3967">
      <c r="A3967" s="243" t="inlineStr">
        <is>
          <t xml:space="preserve">7TH FLR</t>
        </is>
      </c>
      <c r="B3967" s="243" t="inlineStr">
        <is>
          <t xml:space="preserve">K</t>
        </is>
      </c>
      <c r="C3967" s="244" t="inlineStr">
        <is>
          <t xml:space="preserve">2 x 3 alu. framed glass awning window 1800mm x 1900mm (W17)</t>
        </is>
      </c>
      <c r="I3967" s="245" t="inlineStr">
        <is>
          <t xml:space="preserve">nr</t>
        </is>
      </c>
      <c r="K3967" s="256" t="inlineStr">
        <is>
          <t xml:space="preserve">'7TH FLR   '!C177</t>
        </is>
      </c>
    </row>
    <row r="3968">
      <c r="C3968" s="246" t="inlineStr">
        <is>
          <t xml:space="preserve">Seventh floor - W17</t>
        </is>
      </c>
      <c r="H3968" s="247">
        <v>3</v>
      </c>
      <c r="J3968" s="253" t="inlineStr">
        <is>
          <t xml:space="preserve">3</t>
        </is>
      </c>
    </row>
    <row r="3969">
      <c r="C3969" s="250" t="inlineStr">
        <is>
          <t xml:space="preserve">Total carried to BOQ  7TH FLR item K</t>
        </is>
      </c>
      <c r="D3969" s="250" t="inlineStr">
        <is>
          <t xml:space="preserve"/>
        </is>
      </c>
      <c r="E3969" s="250" t="inlineStr">
        <is>
          <t xml:space="preserve"/>
        </is>
      </c>
      <c r="F3969" s="250" t="inlineStr">
        <is>
          <t xml:space="preserve"/>
        </is>
      </c>
      <c r="G3969" s="250" t="inlineStr">
        <is>
          <t xml:space="preserve"/>
        </is>
      </c>
      <c r="H3969" s="251">
        <f>SUM(H3968:H3968)</f>
        <v>3</v>
      </c>
      <c r="I3969" s="252" t="inlineStr">
        <is>
          <t xml:space="preserve">nr</t>
        </is>
      </c>
    </row>
    <row r="3970">
      <c r="A3970" s="243" t="inlineStr">
        <is>
          <t xml:space="preserve">7TH FLR</t>
        </is>
      </c>
      <c r="B3970" s="243" t="inlineStr">
        <is>
          <t xml:space="preserve">L</t>
        </is>
      </c>
      <c r="C3970" s="244" t="inlineStr">
        <is>
          <t xml:space="preserve">1 bay alu. framed glass awning window 750mm x 1300mm (W18)</t>
        </is>
      </c>
      <c r="I3970" s="245" t="inlineStr">
        <is>
          <t xml:space="preserve">nr</t>
        </is>
      </c>
      <c r="K3970" s="256" t="inlineStr">
        <is>
          <t xml:space="preserve">'7TH FLR   '!C179</t>
        </is>
      </c>
    </row>
    <row r="3971">
      <c r="C3971" s="246" t="inlineStr">
        <is>
          <t xml:space="preserve">Seventh floor - HW4</t>
        </is>
      </c>
      <c r="H3971" s="247">
        <v>1</v>
      </c>
      <c r="J3971" s="253" t="inlineStr">
        <is>
          <t xml:space="preserve">1</t>
        </is>
      </c>
    </row>
    <row r="3972">
      <c r="C3972" s="250" t="inlineStr">
        <is>
          <t xml:space="preserve">Total carried to BOQ  7TH FLR item L</t>
        </is>
      </c>
      <c r="D3972" s="250" t="inlineStr">
        <is>
          <t xml:space="preserve"/>
        </is>
      </c>
      <c r="E3972" s="250" t="inlineStr">
        <is>
          <t xml:space="preserve"/>
        </is>
      </c>
      <c r="F3972" s="250" t="inlineStr">
        <is>
          <t xml:space="preserve"/>
        </is>
      </c>
      <c r="G3972" s="250" t="inlineStr">
        <is>
          <t xml:space="preserve"/>
        </is>
      </c>
      <c r="H3972" s="251">
        <f>SUM(H3971:H3971)</f>
        <v>1</v>
      </c>
      <c r="I3972" s="252" t="inlineStr">
        <is>
          <t xml:space="preserve">nr</t>
        </is>
      </c>
    </row>
    <row r="3973">
      <c r="A3973" s="243" t="inlineStr">
        <is>
          <t xml:space="preserve">7TH FLR</t>
        </is>
      </c>
      <c r="B3973" s="243" t="inlineStr">
        <is>
          <t xml:space="preserve">M</t>
        </is>
      </c>
      <c r="C3973" s="244" t="inlineStr">
        <is>
          <t xml:space="preserve">2 x 3 alu. framed glass awning window 1450mm x 1900mm (W20)</t>
        </is>
      </c>
      <c r="I3973" s="245" t="inlineStr">
        <is>
          <t xml:space="preserve">nr</t>
        </is>
      </c>
      <c r="K3973" s="256" t="inlineStr">
        <is>
          <t xml:space="preserve">'7TH FLR   '!C181</t>
        </is>
      </c>
    </row>
    <row r="3974">
      <c r="C3974" s="246" t="inlineStr">
        <is>
          <t xml:space="preserve">Seventh floor - HW4</t>
        </is>
      </c>
      <c r="H3974" s="247">
        <v>1</v>
      </c>
      <c r="J3974" s="253" t="inlineStr">
        <is>
          <t xml:space="preserve">1</t>
        </is>
      </c>
    </row>
    <row r="3975">
      <c r="C3975" s="250" t="inlineStr">
        <is>
          <t xml:space="preserve">Total carried to BOQ  7TH FLR item M</t>
        </is>
      </c>
      <c r="D3975" s="250" t="inlineStr">
        <is>
          <t xml:space="preserve"/>
        </is>
      </c>
      <c r="E3975" s="250" t="inlineStr">
        <is>
          <t xml:space="preserve"/>
        </is>
      </c>
      <c r="F3975" s="250" t="inlineStr">
        <is>
          <t xml:space="preserve"/>
        </is>
      </c>
      <c r="G3975" s="250" t="inlineStr">
        <is>
          <t xml:space="preserve"/>
        </is>
      </c>
      <c r="H3975" s="251">
        <f>SUM(H3974:H3974)</f>
        <v>1</v>
      </c>
      <c r="I3975" s="252" t="inlineStr">
        <is>
          <t xml:space="preserve">nr</t>
        </is>
      </c>
    </row>
    <row r="3976">
      <c r="A3976" s="243" t="inlineStr">
        <is>
          <t xml:space="preserve">7TH FLR</t>
        </is>
      </c>
      <c r="B3976" s="243" t="inlineStr">
        <is>
          <t xml:space="preserve">N</t>
        </is>
      </c>
      <c r="C3976" s="244" t="inlineStr">
        <is>
          <t xml:space="preserve">2 bay alu. framed glass sliding window 900mm x 600mm (HW1)</t>
        </is>
      </c>
      <c r="I3976" s="245" t="inlineStr">
        <is>
          <t xml:space="preserve">nr</t>
        </is>
      </c>
      <c r="K3976" s="256" t="inlineStr">
        <is>
          <t xml:space="preserve">'7TH FLR   '!C183</t>
        </is>
      </c>
    </row>
    <row r="3977">
      <c r="C3977" s="246" t="inlineStr">
        <is>
          <t xml:space="preserve">Seventh floor - HW1</t>
        </is>
      </c>
      <c r="H3977" s="247">
        <v>12</v>
      </c>
      <c r="J3977" s="253" t="inlineStr">
        <is>
          <t xml:space="preserve">12</t>
        </is>
      </c>
    </row>
    <row r="3978">
      <c r="C3978" s="250" t="inlineStr">
        <is>
          <t xml:space="preserve">Total carried to BOQ  7TH FLR item N</t>
        </is>
      </c>
      <c r="D3978" s="250" t="inlineStr">
        <is>
          <t xml:space="preserve"/>
        </is>
      </c>
      <c r="E3978" s="250" t="inlineStr">
        <is>
          <t xml:space="preserve"/>
        </is>
      </c>
      <c r="F3978" s="250" t="inlineStr">
        <is>
          <t xml:space="preserve"/>
        </is>
      </c>
      <c r="G3978" s="250" t="inlineStr">
        <is>
          <t xml:space="preserve"/>
        </is>
      </c>
      <c r="H3978" s="251">
        <f>SUM(H3977:H3977)</f>
        <v>12</v>
      </c>
      <c r="I3978" s="252" t="inlineStr">
        <is>
          <t xml:space="preserve">nr</t>
        </is>
      </c>
    </row>
    <row r="3979">
      <c r="A3979" s="243" t="inlineStr">
        <is>
          <t xml:space="preserve">7TH FLR</t>
        </is>
      </c>
      <c r="B3979" s="243" t="inlineStr">
        <is>
          <t xml:space="preserve">P</t>
        </is>
      </c>
      <c r="C3979" s="244" t="inlineStr">
        <is>
          <t xml:space="preserve">2 bay alu. framed glass sliding window 750mm x 600mm (HW2)</t>
        </is>
      </c>
      <c r="I3979" s="245" t="inlineStr">
        <is>
          <t xml:space="preserve">nr</t>
        </is>
      </c>
      <c r="K3979" s="256" t="inlineStr">
        <is>
          <t xml:space="preserve">'7TH FLR   '!C185</t>
        </is>
      </c>
    </row>
    <row r="3980">
      <c r="C3980" s="246" t="inlineStr">
        <is>
          <t xml:space="preserve">Seventh floor - HW2</t>
        </is>
      </c>
      <c r="H3980" s="247">
        <v>5</v>
      </c>
      <c r="J3980" s="253" t="inlineStr">
        <is>
          <t xml:space="preserve">5</t>
        </is>
      </c>
    </row>
    <row r="3981">
      <c r="C3981" s="250" t="inlineStr">
        <is>
          <t xml:space="preserve">Total carried to BOQ  7TH FLR item P</t>
        </is>
      </c>
      <c r="D3981" s="250" t="inlineStr">
        <is>
          <t xml:space="preserve"/>
        </is>
      </c>
      <c r="E3981" s="250" t="inlineStr">
        <is>
          <t xml:space="preserve"/>
        </is>
      </c>
      <c r="F3981" s="250" t="inlineStr">
        <is>
          <t xml:space="preserve"/>
        </is>
      </c>
      <c r="G3981" s="250" t="inlineStr">
        <is>
          <t xml:space="preserve"/>
        </is>
      </c>
      <c r="H3981" s="251">
        <f>SUM(H3980:H3980)</f>
        <v>5</v>
      </c>
      <c r="I3981" s="252" t="inlineStr">
        <is>
          <t xml:space="preserve">nr</t>
        </is>
      </c>
    </row>
    <row r="3982">
      <c r="A3982" s="243" t="inlineStr">
        <is>
          <t xml:space="preserve">7TH FLR</t>
        </is>
      </c>
      <c r="B3982" s="243" t="inlineStr">
        <is>
          <t xml:space="preserve">Q</t>
        </is>
      </c>
      <c r="C3982" s="244" t="inlineStr">
        <is>
          <t xml:space="preserve">2 bay alu. framed glass sliding window 600mm x 600mm (HW3)</t>
        </is>
      </c>
      <c r="I3982" s="245" t="inlineStr">
        <is>
          <t xml:space="preserve">nr</t>
        </is>
      </c>
      <c r="K3982" s="256" t="inlineStr">
        <is>
          <t xml:space="preserve">'7TH FLR   '!C187</t>
        </is>
      </c>
    </row>
    <row r="3983">
      <c r="C3983" s="246" t="inlineStr">
        <is>
          <t xml:space="preserve">Seventh floor - HW4</t>
        </is>
      </c>
      <c r="H3983" s="247">
        <v>1</v>
      </c>
      <c r="J3983" s="253" t="inlineStr">
        <is>
          <t xml:space="preserve">1</t>
        </is>
      </c>
    </row>
    <row r="3984">
      <c r="C3984" s="250" t="inlineStr">
        <is>
          <t xml:space="preserve">Total carried to BOQ  7TH FLR item Q</t>
        </is>
      </c>
      <c r="D3984" s="250" t="inlineStr">
        <is>
          <t xml:space="preserve"/>
        </is>
      </c>
      <c r="E3984" s="250" t="inlineStr">
        <is>
          <t xml:space="preserve"/>
        </is>
      </c>
      <c r="F3984" s="250" t="inlineStr">
        <is>
          <t xml:space="preserve"/>
        </is>
      </c>
      <c r="G3984" s="250" t="inlineStr">
        <is>
          <t xml:space="preserve"/>
        </is>
      </c>
      <c r="H3984" s="251">
        <f>SUM(H3983:H3983)</f>
        <v>1</v>
      </c>
      <c r="I3984" s="252" t="inlineStr">
        <is>
          <t xml:space="preserve">nr</t>
        </is>
      </c>
    </row>
    <row r="3985">
      <c r="A3985" s="243" t="inlineStr">
        <is>
          <t xml:space="preserve">7TH FLR</t>
        </is>
      </c>
      <c r="B3985" s="243" t="inlineStr">
        <is>
          <t xml:space="preserve">R</t>
        </is>
      </c>
      <c r="C3985" s="244" t="inlineStr">
        <is>
          <t xml:space="preserve">2 bay alu. framed glass sliding window 1200mm x 600mm (HW4)</t>
        </is>
      </c>
      <c r="I3985" s="245" t="inlineStr">
        <is>
          <t xml:space="preserve">nr</t>
        </is>
      </c>
      <c r="K3985" s="256" t="inlineStr">
        <is>
          <t xml:space="preserve">'7TH FLR   '!C189</t>
        </is>
      </c>
    </row>
    <row r="3986">
      <c r="C3986" s="246" t="inlineStr">
        <is>
          <t xml:space="preserve">Seventh floor - HW4</t>
        </is>
      </c>
      <c r="H3986" s="247">
        <v>1</v>
      </c>
      <c r="J3986" s="253" t="inlineStr">
        <is>
          <t xml:space="preserve">1</t>
        </is>
      </c>
    </row>
    <row r="3987">
      <c r="C3987" s="250" t="inlineStr">
        <is>
          <t xml:space="preserve">Total carried to BOQ  7TH FLR item R</t>
        </is>
      </c>
      <c r="D3987" s="250" t="inlineStr">
        <is>
          <t xml:space="preserve"/>
        </is>
      </c>
      <c r="E3987" s="250" t="inlineStr">
        <is>
          <t xml:space="preserve"/>
        </is>
      </c>
      <c r="F3987" s="250" t="inlineStr">
        <is>
          <t xml:space="preserve"/>
        </is>
      </c>
      <c r="G3987" s="250" t="inlineStr">
        <is>
          <t xml:space="preserve"/>
        </is>
      </c>
      <c r="H3987" s="251">
        <f>SUM(H3986:H3986)</f>
        <v>1</v>
      </c>
      <c r="I3987" s="252" t="inlineStr">
        <is>
          <t xml:space="preserve">nr</t>
        </is>
      </c>
    </row>
    <row r="3988">
      <c r="C3988" s="242" t="inlineStr">
        <is>
          <t xml:space="preserve">ELEMENT NO. 5: FLOOR FINISHES</t>
        </is>
      </c>
    </row>
    <row r="3989">
      <c r="C3989" s="242" t="inlineStr">
        <is>
          <t xml:space="preserve">M10/M40 FLOOR FINISHES</t>
        </is>
      </c>
    </row>
    <row r="3990" ht="32.2" customHeight="1">
      <c r="A3990" s="243" t="inlineStr">
        <is>
          <t xml:space="preserve">7TH FLR</t>
        </is>
      </c>
      <c r="B3990" s="243" t="inlineStr">
        <is>
          <t xml:space="preserve">A</t>
        </is>
      </c>
      <c r="C3990" s="244" t="inlineStr">
        <is>
          <t xml:space="preserve">25mm cement and sand (1:3) screeded finish laid level on concrete and finished smooth with steel trowel</t>
        </is>
      </c>
      <c r="I3990" s="245" t="inlineStr">
        <is>
          <t xml:space="preserve">m2</t>
        </is>
      </c>
      <c r="K3990" s="256" t="inlineStr">
        <is>
          <t xml:space="preserve">'7TH FLR   '!C197</t>
        </is>
      </c>
    </row>
    <row r="3991">
      <c r="C3991" s="246" t="inlineStr">
        <is>
          <t xml:space="preserve">Seventh floor - Tiled floor areas (measured)</t>
        </is>
      </c>
      <c r="H3991" s="247">
        <v>863.1</v>
      </c>
      <c r="J3991" s="253" t="inlineStr">
        <is>
          <t xml:space="preserve">863.1</t>
        </is>
      </c>
    </row>
    <row r="3992">
      <c r="C3992" s="250" t="inlineStr">
        <is>
          <t xml:space="preserve">Total carried to BOQ  7TH FLR item A</t>
        </is>
      </c>
      <c r="D3992" s="250" t="inlineStr">
        <is>
          <t xml:space="preserve"/>
        </is>
      </c>
      <c r="E3992" s="250" t="inlineStr">
        <is>
          <t xml:space="preserve"/>
        </is>
      </c>
      <c r="F3992" s="250" t="inlineStr">
        <is>
          <t xml:space="preserve"/>
        </is>
      </c>
      <c r="G3992" s="250" t="inlineStr">
        <is>
          <t xml:space="preserve"/>
        </is>
      </c>
      <c r="H3992" s="251">
        <f>SUM(H3991:H3991)</f>
        <v>863.1</v>
      </c>
      <c r="I3992" s="252" t="inlineStr">
        <is>
          <t xml:space="preserve">m2</t>
        </is>
      </c>
    </row>
    <row r="3993" ht="32.2" customHeight="1">
      <c r="A3993" s="243" t="inlineStr">
        <is>
          <t xml:space="preserve">7TH FLR</t>
        </is>
      </c>
      <c r="B3993" s="243" t="inlineStr">
        <is>
          <t xml:space="preserve">B</t>
        </is>
      </c>
      <c r="C3993" s="244" t="inlineStr">
        <is>
          <t xml:space="preserve">12mm cement and sand (1:4) screeded bed laid level on concrete floor to receive floor tiles</t>
        </is>
      </c>
      <c r="I3993" s="245" t="inlineStr">
        <is>
          <t xml:space="preserve">m2</t>
        </is>
      </c>
      <c r="K3993" s="256" t="inlineStr">
        <is>
          <t xml:space="preserve">'7TH FLR   '!C199</t>
        </is>
      </c>
    </row>
    <row r="3994">
      <c r="C3994" s="246" t="inlineStr">
        <is>
          <t xml:space="preserve">Seventh floor - Tiled floor areas (measured)</t>
        </is>
      </c>
      <c r="H3994" s="247">
        <v>863.1</v>
      </c>
      <c r="J3994" s="253" t="inlineStr">
        <is>
          <t xml:space="preserve">863.1</t>
        </is>
      </c>
    </row>
    <row r="3995">
      <c r="C3995" s="246" t="inlineStr">
        <is>
          <t xml:space="preserve">Stair finishes (treads, risers, landings) - flights: 2 x 1.8 x 3.0</t>
        </is>
      </c>
      <c r="D3995" s="248">
        <v>2</v>
      </c>
      <c r="E3995" s="247">
        <v>1.8</v>
      </c>
      <c r="F3995" s="247">
        <v>3.0</v>
      </c>
      <c r="H3995" s="249">
        <f>PRODUCT(D3995:G3995)</f>
        <v>10.8</v>
      </c>
      <c r="J3995" s="253" t="inlineStr">
        <is>
          <t xml:space="preserve">2*1.8*3.0</t>
        </is>
      </c>
    </row>
    <row r="3996">
      <c r="C3996" s="246" t="inlineStr">
        <is>
          <t xml:space="preserve">Stair finishes (treads, risers, landings) - risers: 22 x 0.15 x 1.8</t>
        </is>
      </c>
      <c r="D3996" s="248">
        <v>22</v>
      </c>
      <c r="E3996" s="247">
        <v>0.15</v>
      </c>
      <c r="F3996" s="247">
        <v>1.8</v>
      </c>
      <c r="H3996" s="249">
        <f>PRODUCT(D3996:G3996)</f>
        <v>5.9399999999999995</v>
      </c>
      <c r="J3996" s="253" t="inlineStr">
        <is>
          <t xml:space="preserve">22*0.15*1.8</t>
        </is>
      </c>
    </row>
    <row r="3997">
      <c r="C3997" s="246" t="inlineStr">
        <is>
          <t xml:space="preserve">Stair finishes (treads, risers, landings) - floor landing 2.2 x 3.75</t>
        </is>
      </c>
      <c r="E3997" s="247">
        <v>2.2</v>
      </c>
      <c r="F3997" s="247">
        <v>3.75</v>
      </c>
      <c r="H3997" s="249">
        <f>PRODUCT(D3997:G3997)</f>
        <v>8.25</v>
      </c>
      <c r="J3997" s="253" t="inlineStr">
        <is>
          <t xml:space="preserve">2.2*3.75</t>
        </is>
      </c>
    </row>
    <row r="3998">
      <c r="C3998" s="246" t="inlineStr">
        <is>
          <t xml:space="preserve">Stair finishes (treads, risers, landings) - half landing 1.8 x 3.75</t>
        </is>
      </c>
      <c r="E3998" s="247">
        <v>1.8</v>
      </c>
      <c r="F3998" s="247">
        <v>3.75</v>
      </c>
      <c r="H3998" s="249">
        <f>PRODUCT(D3998:G3998)</f>
        <v>6.75</v>
      </c>
      <c r="J3998" s="253" t="inlineStr">
        <is>
          <t xml:space="preserve">1.8*3.75</t>
        </is>
      </c>
    </row>
    <row r="3999">
      <c r="C3999" s="246" t="inlineStr">
        <is>
          <t xml:space="preserve">Stair finishes (treads, risers, landings) - flights: 2 x 1.8 x 3.0</t>
        </is>
      </c>
      <c r="D3999" s="248">
        <v>2</v>
      </c>
      <c r="E3999" s="247">
        <v>1.8</v>
      </c>
      <c r="F3999" s="247">
        <v>3.0</v>
      </c>
      <c r="H3999" s="249">
        <f>PRODUCT(D3999:G3999)</f>
        <v>10.8</v>
      </c>
      <c r="J3999" s="253" t="inlineStr">
        <is>
          <t xml:space="preserve">2*1.8*3.0</t>
        </is>
      </c>
    </row>
    <row r="4000">
      <c r="C4000" s="246" t="inlineStr">
        <is>
          <t xml:space="preserve">Stair finishes (treads, risers, landings) - risers: 22 x 0.15 x 1.8</t>
        </is>
      </c>
      <c r="D4000" s="248">
        <v>22</v>
      </c>
      <c r="E4000" s="247">
        <v>0.15</v>
      </c>
      <c r="F4000" s="247">
        <v>1.8</v>
      </c>
      <c r="H4000" s="249">
        <f>PRODUCT(D4000:G4000)</f>
        <v>5.9399999999999995</v>
      </c>
      <c r="J4000" s="253" t="inlineStr">
        <is>
          <t xml:space="preserve">22*0.15*1.8</t>
        </is>
      </c>
    </row>
    <row r="4001">
      <c r="C4001" s="246" t="inlineStr">
        <is>
          <t xml:space="preserve">Stair finishes (treads, risers, landings) - floor landing 2.2 x 3.75</t>
        </is>
      </c>
      <c r="E4001" s="247">
        <v>2.2</v>
      </c>
      <c r="F4001" s="247">
        <v>3.75</v>
      </c>
      <c r="H4001" s="249">
        <f>PRODUCT(D4001:G4001)</f>
        <v>8.25</v>
      </c>
      <c r="J4001" s="253" t="inlineStr">
        <is>
          <t xml:space="preserve">2.2*3.75</t>
        </is>
      </c>
    </row>
    <row r="4002">
      <c r="C4002" s="246" t="inlineStr">
        <is>
          <t xml:space="preserve">Stair finishes (treads, risers, landings) - half landing 1.8 x 3.75</t>
        </is>
      </c>
      <c r="E4002" s="247">
        <v>1.8</v>
      </c>
      <c r="F4002" s="247">
        <v>3.75</v>
      </c>
      <c r="H4002" s="249">
        <f>PRODUCT(D4002:G4002)</f>
        <v>6.75</v>
      </c>
      <c r="J4002" s="253" t="inlineStr">
        <is>
          <t xml:space="preserve">1.8*3.75</t>
        </is>
      </c>
    </row>
    <row r="4003">
      <c r="C4003" s="250" t="inlineStr">
        <is>
          <t xml:space="preserve">Total carried to BOQ  7TH FLR item B</t>
        </is>
      </c>
      <c r="D4003" s="250" t="inlineStr">
        <is>
          <t xml:space="preserve"/>
        </is>
      </c>
      <c r="E4003" s="250" t="inlineStr">
        <is>
          <t xml:space="preserve"/>
        </is>
      </c>
      <c r="F4003" s="250" t="inlineStr">
        <is>
          <t xml:space="preserve"/>
        </is>
      </c>
      <c r="G4003" s="250" t="inlineStr">
        <is>
          <t xml:space="preserve"/>
        </is>
      </c>
      <c r="H4003" s="251">
        <f>SUM(H3994:H4002)</f>
        <v>926.58</v>
      </c>
      <c r="I4003" s="252" t="inlineStr">
        <is>
          <t xml:space="preserve">m2</t>
        </is>
      </c>
    </row>
    <row r="4004" ht="32.2" customHeight="1">
      <c r="A4004" s="243" t="inlineStr">
        <is>
          <t xml:space="preserve">7TH FLR</t>
        </is>
      </c>
      <c r="B4004" s="243" t="inlineStr">
        <is>
          <t xml:space="preserve">C</t>
        </is>
      </c>
      <c r="C4004" s="244" t="inlineStr">
        <is>
          <t xml:space="preserve">400x400mm non-slip porcelain floor tiles to washrooms &amp; WCs, adhesive, grout and cutting</t>
        </is>
      </c>
      <c r="I4004" s="245" t="inlineStr">
        <is>
          <t xml:space="preserve">m2</t>
        </is>
      </c>
      <c r="K4004" s="256" t="inlineStr">
        <is>
          <t xml:space="preserve">'7TH FLR   '!C201</t>
        </is>
      </c>
    </row>
    <row r="4005">
      <c r="C4005" s="246" t="inlineStr">
        <is>
          <t xml:space="preserve">Seventh floor - Washroom ceiling areas (measured)</t>
        </is>
      </c>
      <c r="H4005" s="247">
        <v>57.5</v>
      </c>
      <c r="J4005" s="253" t="inlineStr">
        <is>
          <t xml:space="preserve">57.5</t>
        </is>
      </c>
    </row>
    <row r="4006">
      <c r="C4006" s="250" t="inlineStr">
        <is>
          <t xml:space="preserve">Total carried to BOQ  7TH FLR item C</t>
        </is>
      </c>
      <c r="D4006" s="250" t="inlineStr">
        <is>
          <t xml:space="preserve"/>
        </is>
      </c>
      <c r="E4006" s="250" t="inlineStr">
        <is>
          <t xml:space="preserve"/>
        </is>
      </c>
      <c r="F4006" s="250" t="inlineStr">
        <is>
          <t xml:space="preserve"/>
        </is>
      </c>
      <c r="G4006" s="250" t="inlineStr">
        <is>
          <t xml:space="preserve"/>
        </is>
      </c>
      <c r="H4006" s="251">
        <f>SUM(H4005:H4005)</f>
        <v>57.5</v>
      </c>
      <c r="I4006" s="252" t="inlineStr">
        <is>
          <t xml:space="preserve">m2</t>
        </is>
      </c>
    </row>
    <row r="4007" ht="32.2" customHeight="1">
      <c r="A4007" s="243" t="inlineStr">
        <is>
          <t xml:space="preserve">7TH FLR</t>
        </is>
      </c>
      <c r="B4007" s="243" t="inlineStr">
        <is>
          <t xml:space="preserve">D</t>
        </is>
      </c>
      <c r="C4007" s="244" t="inlineStr">
        <is>
          <t xml:space="preserve">500x500mm matte R11 porcelain tiles to staircases (treads, risers and landings)</t>
        </is>
      </c>
      <c r="I4007" s="245" t="inlineStr">
        <is>
          <t xml:space="preserve">m2</t>
        </is>
      </c>
      <c r="K4007" s="256" t="inlineStr">
        <is>
          <t xml:space="preserve">'7TH FLR   '!C203</t>
        </is>
      </c>
    </row>
    <row r="4008">
      <c r="C4008" s="246" t="inlineStr">
        <is>
          <t xml:space="preserve">Seventh floor (+24100) - Main stair flight (storey ht 3.3) - flights: 2 x 1.8 x 3.0</t>
        </is>
      </c>
      <c r="D4008" s="248">
        <v>2</v>
      </c>
      <c r="E4008" s="247">
        <v>1.8</v>
      </c>
      <c r="F4008" s="247">
        <v>3.0</v>
      </c>
      <c r="H4008" s="249">
        <f>PRODUCT(D4008:G4008)</f>
        <v>10.8</v>
      </c>
      <c r="J4008" s="253" t="inlineStr">
        <is>
          <t xml:space="preserve">2*1.8*3.0</t>
        </is>
      </c>
    </row>
    <row r="4009">
      <c r="C4009" s="246" t="inlineStr">
        <is>
          <t xml:space="preserve">Seventh floor (+24100) - Main stair flight (storey ht 3.3) - risers: 22 x 0.15 x 1.8</t>
        </is>
      </c>
      <c r="D4009" s="248">
        <v>22</v>
      </c>
      <c r="E4009" s="247">
        <v>0.15</v>
      </c>
      <c r="F4009" s="247">
        <v>1.8</v>
      </c>
      <c r="H4009" s="249">
        <f>PRODUCT(D4009:G4009)</f>
        <v>5.9399999999999995</v>
      </c>
      <c r="J4009" s="253" t="inlineStr">
        <is>
          <t xml:space="preserve">22*0.15*1.8</t>
        </is>
      </c>
    </row>
    <row r="4010">
      <c r="C4010" s="246" t="inlineStr">
        <is>
          <t xml:space="preserve">Seventh floor (+24100) - Main stair flight (storey ht 3.3) - floor landing 2.2 x 3.75</t>
        </is>
      </c>
      <c r="E4010" s="247">
        <v>2.2</v>
      </c>
      <c r="F4010" s="247">
        <v>3.75</v>
      </c>
      <c r="H4010" s="249">
        <f>PRODUCT(D4010:G4010)</f>
        <v>8.25</v>
      </c>
      <c r="J4010" s="253" t="inlineStr">
        <is>
          <t xml:space="preserve">2.2*3.75</t>
        </is>
      </c>
    </row>
    <row r="4011">
      <c r="C4011" s="246" t="inlineStr">
        <is>
          <t xml:space="preserve">Seventh floor (+24100) - Main stair flight (storey ht 3.3) - half landing 1.8 x 3.75</t>
        </is>
      </c>
      <c r="E4011" s="247">
        <v>1.8</v>
      </c>
      <c r="F4011" s="247">
        <v>3.75</v>
      </c>
      <c r="H4011" s="249">
        <f>PRODUCT(D4011:G4011)</f>
        <v>6.75</v>
      </c>
      <c r="J4011" s="253" t="inlineStr">
        <is>
          <t xml:space="preserve">1.8*3.75</t>
        </is>
      </c>
    </row>
    <row r="4012">
      <c r="C4012" s="246" t="inlineStr">
        <is>
          <t xml:space="preserve">Seventh floor (+24100) - Emergency stair flight (storey ht 3.3) - flights: 2 x 1.8 x 3.0</t>
        </is>
      </c>
      <c r="D4012" s="248">
        <v>2</v>
      </c>
      <c r="E4012" s="247">
        <v>1.8</v>
      </c>
      <c r="F4012" s="247">
        <v>3.0</v>
      </c>
      <c r="H4012" s="249">
        <f>PRODUCT(D4012:G4012)</f>
        <v>10.8</v>
      </c>
      <c r="J4012" s="253" t="inlineStr">
        <is>
          <t xml:space="preserve">2*1.8*3.0</t>
        </is>
      </c>
    </row>
    <row r="4013">
      <c r="C4013" s="246" t="inlineStr">
        <is>
          <t xml:space="preserve">Seventh floor (+24100) - Emergency stair flight (storey ht 3.3) - risers: 22 x 0.15 x 1.8</t>
        </is>
      </c>
      <c r="D4013" s="248">
        <v>22</v>
      </c>
      <c r="E4013" s="247">
        <v>0.15</v>
      </c>
      <c r="F4013" s="247">
        <v>1.8</v>
      </c>
      <c r="H4013" s="249">
        <f>PRODUCT(D4013:G4013)</f>
        <v>5.9399999999999995</v>
      </c>
      <c r="J4013" s="253" t="inlineStr">
        <is>
          <t xml:space="preserve">22*0.15*1.8</t>
        </is>
      </c>
    </row>
    <row r="4014">
      <c r="C4014" s="246" t="inlineStr">
        <is>
          <t xml:space="preserve">Seventh floor (+24100) - Emergency stair flight (storey ht 3.3) - floor landing 2.2 x 3.75</t>
        </is>
      </c>
      <c r="E4014" s="247">
        <v>2.2</v>
      </c>
      <c r="F4014" s="247">
        <v>3.75</v>
      </c>
      <c r="H4014" s="249">
        <f>PRODUCT(D4014:G4014)</f>
        <v>8.25</v>
      </c>
      <c r="J4014" s="253" t="inlineStr">
        <is>
          <t xml:space="preserve">2.2*3.75</t>
        </is>
      </c>
    </row>
    <row r="4015">
      <c r="C4015" s="246" t="inlineStr">
        <is>
          <t xml:space="preserve">Seventh floor (+24100) - Emergency stair flight (storey ht 3.3) - half landing 1.8 x 3.75</t>
        </is>
      </c>
      <c r="E4015" s="247">
        <v>1.8</v>
      </c>
      <c r="F4015" s="247">
        <v>3.75</v>
      </c>
      <c r="H4015" s="249">
        <f>PRODUCT(D4015:G4015)</f>
        <v>6.75</v>
      </c>
      <c r="J4015" s="253" t="inlineStr">
        <is>
          <t xml:space="preserve">1.8*3.75</t>
        </is>
      </c>
    </row>
    <row r="4016">
      <c r="C4016" s="250" t="inlineStr">
        <is>
          <t xml:space="preserve">Total carried to BOQ  7TH FLR item D</t>
        </is>
      </c>
      <c r="D4016" s="250" t="inlineStr">
        <is>
          <t xml:space="preserve"/>
        </is>
      </c>
      <c r="E4016" s="250" t="inlineStr">
        <is>
          <t xml:space="preserve"/>
        </is>
      </c>
      <c r="F4016" s="250" t="inlineStr">
        <is>
          <t xml:space="preserve"/>
        </is>
      </c>
      <c r="G4016" s="250" t="inlineStr">
        <is>
          <t xml:space="preserve"/>
        </is>
      </c>
      <c r="H4016" s="251">
        <f>SUM(H4008:H4015)</f>
        <v>63.480000000000004</v>
      </c>
      <c r="I4016" s="252" t="inlineStr">
        <is>
          <t xml:space="preserve">m2</t>
        </is>
      </c>
    </row>
    <row r="4017" ht="32.2" customHeight="1">
      <c r="A4017" s="243" t="inlineStr">
        <is>
          <t xml:space="preserve">7TH FLR</t>
        </is>
      </c>
      <c r="B4017" s="243" t="inlineStr">
        <is>
          <t xml:space="preserve">E</t>
        </is>
      </c>
      <c r="C4017" s="244" t="inlineStr">
        <is>
          <t xml:space="preserve">600x600mm semi-polished porcelain floor tiles to habitable rooms, shops &amp; offices</t>
        </is>
      </c>
      <c r="I4017" s="245" t="inlineStr">
        <is>
          <t xml:space="preserve">m2</t>
        </is>
      </c>
      <c r="K4017" s="256" t="inlineStr">
        <is>
          <t xml:space="preserve">'7TH FLR   '!C205</t>
        </is>
      </c>
    </row>
    <row r="4018">
      <c r="C4018" s="246" t="inlineStr">
        <is>
          <t xml:space="preserve">Seventh floor - Habitable rooms (measured)</t>
        </is>
      </c>
      <c r="H4018" s="247">
        <v>535.8</v>
      </c>
      <c r="J4018" s="253" t="inlineStr">
        <is>
          <t xml:space="preserve">535.8</t>
        </is>
      </c>
    </row>
    <row r="4019">
      <c r="C4019" s="250" t="inlineStr">
        <is>
          <t xml:space="preserve">Total carried to BOQ  7TH FLR item E</t>
        </is>
      </c>
      <c r="D4019" s="250" t="inlineStr">
        <is>
          <t xml:space="preserve"/>
        </is>
      </c>
      <c r="E4019" s="250" t="inlineStr">
        <is>
          <t xml:space="preserve"/>
        </is>
      </c>
      <c r="F4019" s="250" t="inlineStr">
        <is>
          <t xml:space="preserve"/>
        </is>
      </c>
      <c r="G4019" s="250" t="inlineStr">
        <is>
          <t xml:space="preserve"/>
        </is>
      </c>
      <c r="H4019" s="251">
        <f>SUM(H4018:H4018)</f>
        <v>535.8</v>
      </c>
      <c r="I4019" s="252" t="inlineStr">
        <is>
          <t xml:space="preserve">m2</t>
        </is>
      </c>
    </row>
    <row r="4020" ht="32.2" customHeight="1">
      <c r="A4020" s="243" t="inlineStr">
        <is>
          <t xml:space="preserve">7TH FLR</t>
        </is>
      </c>
      <c r="B4020" s="243" t="inlineStr">
        <is>
          <t xml:space="preserve">F</t>
        </is>
      </c>
      <c r="C4020" s="244" t="inlineStr">
        <is>
          <t xml:space="preserve">600x1200mm semi-polished porcelain floor tiles to stair/lift lobbies &amp; reception</t>
        </is>
      </c>
      <c r="I4020" s="245" t="inlineStr">
        <is>
          <t xml:space="preserve">m2</t>
        </is>
      </c>
      <c r="K4020" s="256" t="inlineStr">
        <is>
          <t xml:space="preserve">'7TH FLR   '!C207</t>
        </is>
      </c>
    </row>
    <row r="4021">
      <c r="C4021" s="246" t="inlineStr">
        <is>
          <t xml:space="preserve">Seventh floor - Lobbies (measured)</t>
        </is>
      </c>
      <c r="H4021" s="247">
        <v>33.8</v>
      </c>
      <c r="J4021" s="253" t="inlineStr">
        <is>
          <t xml:space="preserve">33.8</t>
        </is>
      </c>
    </row>
    <row r="4022">
      <c r="C4022" s="250" t="inlineStr">
        <is>
          <t xml:space="preserve">Total carried to BOQ  7TH FLR item F</t>
        </is>
      </c>
      <c r="D4022" s="250" t="inlineStr">
        <is>
          <t xml:space="preserve"/>
        </is>
      </c>
      <c r="E4022" s="250" t="inlineStr">
        <is>
          <t xml:space="preserve"/>
        </is>
      </c>
      <c r="F4022" s="250" t="inlineStr">
        <is>
          <t xml:space="preserve"/>
        </is>
      </c>
      <c r="G4022" s="250" t="inlineStr">
        <is>
          <t xml:space="preserve"/>
        </is>
      </c>
      <c r="H4022" s="251">
        <f>SUM(H4021:H4021)</f>
        <v>33.8</v>
      </c>
      <c r="I4022" s="252" t="inlineStr">
        <is>
          <t xml:space="preserve">m2</t>
        </is>
      </c>
    </row>
    <row r="4023" ht="32.2" customHeight="1">
      <c r="A4023" s="243" t="inlineStr">
        <is>
          <t xml:space="preserve">7TH FLR</t>
        </is>
      </c>
      <c r="B4023" s="243" t="inlineStr">
        <is>
          <t xml:space="preserve">G</t>
        </is>
      </c>
      <c r="C4023" s="244" t="inlineStr">
        <is>
          <t xml:space="preserve">600x600mm non-slip R11 porcelain tiles to corridors, terraces, verandah &amp; service areas</t>
        </is>
      </c>
      <c r="I4023" s="245" t="inlineStr">
        <is>
          <t xml:space="preserve">m2</t>
        </is>
      </c>
      <c r="K4023" s="256" t="inlineStr">
        <is>
          <t xml:space="preserve">'7TH FLR   '!C209</t>
        </is>
      </c>
    </row>
    <row r="4024">
      <c r="C4024" s="246" t="inlineStr">
        <is>
          <t xml:space="preserve">Seventh floor - Corridors/terraces/service (measured)</t>
        </is>
      </c>
      <c r="H4024" s="247">
        <v>236.0</v>
      </c>
      <c r="J4024" s="253" t="inlineStr">
        <is>
          <t xml:space="preserve">236.0</t>
        </is>
      </c>
    </row>
    <row r="4025">
      <c r="C4025" s="250" t="inlineStr">
        <is>
          <t xml:space="preserve">Total carried to BOQ  7TH FLR item G</t>
        </is>
      </c>
      <c r="D4025" s="250" t="inlineStr">
        <is>
          <t xml:space="preserve"/>
        </is>
      </c>
      <c r="E4025" s="250" t="inlineStr">
        <is>
          <t xml:space="preserve"/>
        </is>
      </c>
      <c r="F4025" s="250" t="inlineStr">
        <is>
          <t xml:space="preserve"/>
        </is>
      </c>
      <c r="G4025" s="250" t="inlineStr">
        <is>
          <t xml:space="preserve"/>
        </is>
      </c>
      <c r="H4025" s="251">
        <f>SUM(H4024:H4024)</f>
        <v>236.0</v>
      </c>
      <c r="I4025" s="252" t="inlineStr">
        <is>
          <t xml:space="preserve">m2</t>
        </is>
      </c>
    </row>
    <row r="4026">
      <c r="C4026" s="242" t="inlineStr">
        <is>
          <t xml:space="preserve">ELEMENT NO. 6: WALL FINISHES</t>
        </is>
      </c>
    </row>
    <row r="4027">
      <c r="C4027" s="242" t="inlineStr">
        <is>
          <t xml:space="preserve">M20 PLASTERED/RENDERED COATINGS - 12.5mm cement and sand (1:3) rendering as described on blockwork or concrete to:</t>
        </is>
      </c>
    </row>
    <row r="4028">
      <c r="A4028" s="243" t="inlineStr">
        <is>
          <t xml:space="preserve">7TH FLR</t>
        </is>
      </c>
      <c r="B4028" s="243" t="inlineStr">
        <is>
          <t xml:space="preserve">A</t>
        </is>
      </c>
      <c r="C4028" s="244" t="inlineStr">
        <is>
          <t xml:space="preserve">Interior walls</t>
        </is>
      </c>
      <c r="I4028" s="245" t="inlineStr">
        <is>
          <t xml:space="preserve">m2</t>
        </is>
      </c>
      <c r="K4028" s="256" t="inlineStr">
        <is>
          <t xml:space="preserve">'7TH FLR   '!C217</t>
        </is>
      </c>
    </row>
    <row r="4029">
      <c r="C4029" s="246" t="inlineStr">
        <is>
          <t xml:space="preserve">block wall faces: 2 x (150 + 200 block runs) x ht</t>
        </is>
      </c>
      <c r="D4029" s="248">
        <v>2</v>
      </c>
      <c r="E4029" s="247">
        <f>449.8+50.1</f>
        <v>499.90000000000003</v>
      </c>
      <c r="F4029" s="247">
        <v>3.05</v>
      </c>
      <c r="H4029" s="249">
        <f>PRODUCT(D4029:G4029)</f>
        <v>3049.39</v>
      </c>
      <c r="J4029" s="253" t="inlineStr">
        <is>
          <t xml:space="preserve">2*(449.8+50.1)*3.05</t>
        </is>
      </c>
    </row>
    <row r="4030">
      <c r="C4030" s="246" t="inlineStr">
        <is>
          <t xml:space="preserve">RC wall faces: 2 x RC wall run x ht</t>
        </is>
      </c>
      <c r="D4030" s="248">
        <v>2</v>
      </c>
      <c r="E4030" s="247">
        <v>67.4</v>
      </c>
      <c r="F4030" s="247">
        <v>3.05</v>
      </c>
      <c r="H4030" s="249">
        <f>PRODUCT(D4030:G4030)</f>
        <v>411.14</v>
      </c>
      <c r="J4030" s="253" t="inlineStr">
        <is>
          <t xml:space="preserve">2*67.4*3.05</t>
        </is>
      </c>
    </row>
    <row r="4031">
      <c r="C4031" s="246" t="inlineStr">
        <is>
          <t xml:space="preserve">Ddt lift/stair shaft inner faces 16.8 m x ht</t>
        </is>
      </c>
      <c r="E4031" s="247">
        <v>16.8</v>
      </c>
      <c r="F4031" s="247">
        <v>3.05</v>
      </c>
      <c r="H4031" s="249">
        <f>-PRODUCT(D4031:G4031)</f>
        <v>-51.24</v>
      </c>
      <c r="J4031" s="253" t="inlineStr">
        <is>
          <t xml:space="preserve">-16.8*3.05</t>
        </is>
      </c>
    </row>
    <row r="4032">
      <c r="C4032" s="246" t="inlineStr">
        <is>
          <t xml:space="preserve">Ddt external face of perimeter wall (rendered externally)</t>
        </is>
      </c>
      <c r="E4032" s="247">
        <v>224.2</v>
      </c>
      <c r="F4032" s="247">
        <v>3.05</v>
      </c>
      <c r="H4032" s="249">
        <f>-PRODUCT(D4032:G4032)</f>
        <v>-683.81</v>
      </c>
      <c r="J4032" s="253" t="inlineStr">
        <is>
          <t xml:space="preserve">-224.2*3.05</t>
        </is>
      </c>
    </row>
    <row r="4033">
      <c r="C4033" s="246" t="inlineStr">
        <is>
          <t xml:space="preserve">Ddt washroom walls (measured separately)</t>
        </is>
      </c>
      <c r="E4033" s="247">
        <f>57.5/3.8</f>
        <v>15.131578947368421</v>
      </c>
      <c r="F4033" s="247">
        <v>8.0</v>
      </c>
      <c r="G4033" s="247">
        <v>3.05</v>
      </c>
      <c r="H4033" s="249">
        <f>-PRODUCT(D4033:G4033)</f>
        <v>-369.2105263157895</v>
      </c>
      <c r="J4033" s="253" t="inlineStr">
        <is>
          <t xml:space="preserve">-57.5/3.8*8.0*3.05</t>
        </is>
      </c>
    </row>
    <row r="4034">
      <c r="C4034" s="246" t="inlineStr">
        <is>
          <t xml:space="preserve">Ddt opening D2 (8 nr, 1x2.2) - both faces</t>
        </is>
      </c>
      <c r="D4034" s="248">
        <f>2*8</f>
        <v>16</v>
      </c>
      <c r="E4034" s="247">
        <v>1</v>
      </c>
      <c r="F4034" s="247">
        <v>2.2</v>
      </c>
      <c r="H4034" s="249">
        <f>-PRODUCT(D4034:G4034)</f>
        <v>-35.2</v>
      </c>
      <c r="J4034" s="253" t="inlineStr">
        <is>
          <t xml:space="preserve">-2*8*1*2.2</t>
        </is>
      </c>
    </row>
    <row r="4035">
      <c r="C4035" s="246" t="inlineStr">
        <is>
          <t xml:space="preserve">Ddt opening D3 (15 nr, 0.9x2.2) - both faces</t>
        </is>
      </c>
      <c r="D4035" s="248">
        <f>2*15</f>
        <v>30</v>
      </c>
      <c r="E4035" s="247">
        <v>0.9</v>
      </c>
      <c r="F4035" s="247">
        <v>2.2</v>
      </c>
      <c r="H4035" s="249">
        <f>-PRODUCT(D4035:G4035)</f>
        <v>-59.400000000000006</v>
      </c>
      <c r="J4035" s="253" t="inlineStr">
        <is>
          <t xml:space="preserve">-2*15*0.9*2.2</t>
        </is>
      </c>
    </row>
    <row r="4036">
      <c r="C4036" s="246" t="inlineStr">
        <is>
          <t xml:space="preserve">Ddt opening D6 (20 nr, 0.75x2.2) - both faces</t>
        </is>
      </c>
      <c r="D4036" s="248">
        <f>2*20</f>
        <v>40</v>
      </c>
      <c r="E4036" s="247">
        <v>0.75</v>
      </c>
      <c r="F4036" s="247">
        <v>2.2</v>
      </c>
      <c r="H4036" s="249">
        <f>-PRODUCT(D4036:G4036)</f>
        <v>-66.0</v>
      </c>
      <c r="J4036" s="253" t="inlineStr">
        <is>
          <t xml:space="preserve">-2*20*0.75*2.2</t>
        </is>
      </c>
    </row>
    <row r="4037">
      <c r="C4037" s="246" t="inlineStr">
        <is>
          <t xml:space="preserve">Ddt opening D7 (1 nr, 0.7x2.2) - both faces</t>
        </is>
      </c>
      <c r="D4037" s="248">
        <f>2*1</f>
        <v>2</v>
      </c>
      <c r="E4037" s="247">
        <v>0.7</v>
      </c>
      <c r="F4037" s="247">
        <v>2.2</v>
      </c>
      <c r="H4037" s="249">
        <f>-PRODUCT(D4037:G4037)</f>
        <v>-3.08</v>
      </c>
      <c r="J4037" s="253" t="inlineStr">
        <is>
          <t xml:space="preserve">-2*1*0.7*2.2</t>
        </is>
      </c>
    </row>
    <row r="4038">
      <c r="C4038" s="246" t="inlineStr">
        <is>
          <t xml:space="preserve">Ddt opening D8 (3 nr, 1.2x2.2) - both faces</t>
        </is>
      </c>
      <c r="D4038" s="248">
        <f>2*3</f>
        <v>6</v>
      </c>
      <c r="E4038" s="247">
        <v>1.2</v>
      </c>
      <c r="F4038" s="247">
        <v>2.2</v>
      </c>
      <c r="H4038" s="249">
        <f>-PRODUCT(D4038:G4038)</f>
        <v>-15.84</v>
      </c>
      <c r="J4038" s="253" t="inlineStr">
        <is>
          <t xml:space="preserve">-2*3*1.2*2.2</t>
        </is>
      </c>
    </row>
    <row r="4039">
      <c r="C4039" s="246" t="inlineStr">
        <is>
          <t xml:space="preserve">Ddt opening ED1 (3 nr, 1x2.2) - both faces</t>
        </is>
      </c>
      <c r="D4039" s="248">
        <f>2*3</f>
        <v>6</v>
      </c>
      <c r="E4039" s="247">
        <v>1</v>
      </c>
      <c r="F4039" s="247">
        <v>2.2</v>
      </c>
      <c r="H4039" s="249">
        <f>-PRODUCT(D4039:G4039)</f>
        <v>-13.200000000000001</v>
      </c>
      <c r="J4039" s="253" t="inlineStr">
        <is>
          <t xml:space="preserve">-2*3*1*2.2</t>
        </is>
      </c>
    </row>
    <row r="4040">
      <c r="C4040" s="246" t="inlineStr">
        <is>
          <t xml:space="preserve">Ddt opening ED2 (2 nr, 1x2.2) - both faces</t>
        </is>
      </c>
      <c r="D4040" s="248">
        <f>2*2</f>
        <v>4</v>
      </c>
      <c r="E4040" s="247">
        <v>1</v>
      </c>
      <c r="F4040" s="247">
        <v>2.2</v>
      </c>
      <c r="H4040" s="249">
        <f>-PRODUCT(D4040:G4040)</f>
        <v>-8.8</v>
      </c>
      <c r="J4040" s="253" t="inlineStr">
        <is>
          <t xml:space="preserve">-2*2*1*2.2</t>
        </is>
      </c>
    </row>
    <row r="4041">
      <c r="C4041" s="246" t="inlineStr">
        <is>
          <t xml:space="preserve">Ddt opening D9 (1 nr, 0.9x2.2) - both faces</t>
        </is>
      </c>
      <c r="D4041" s="248">
        <f>2*1</f>
        <v>2</v>
      </c>
      <c r="E4041" s="247">
        <v>0.9</v>
      </c>
      <c r="F4041" s="247">
        <v>2.2</v>
      </c>
      <c r="H4041" s="249">
        <f>-PRODUCT(D4041:G4041)</f>
        <v>-3.9600000000000004</v>
      </c>
      <c r="J4041" s="253" t="inlineStr">
        <is>
          <t xml:space="preserve">-2*1*0.9*2.2</t>
        </is>
      </c>
    </row>
    <row r="4042">
      <c r="C4042" s="246" t="inlineStr">
        <is>
          <t xml:space="preserve">Ddt opening FD1 (1 nr, 1.5x2.2) - both faces</t>
        </is>
      </c>
      <c r="D4042" s="248">
        <f>2*1</f>
        <v>2</v>
      </c>
      <c r="E4042" s="247">
        <v>1.5</v>
      </c>
      <c r="F4042" s="247">
        <v>2.2</v>
      </c>
      <c r="H4042" s="249">
        <f>-PRODUCT(D4042:G4042)</f>
        <v>-6.6000000000000005</v>
      </c>
      <c r="J4042" s="253" t="inlineStr">
        <is>
          <t xml:space="preserve">-2*1*1.5*2.2</t>
        </is>
      </c>
    </row>
    <row r="4043">
      <c r="C4043" s="246" t="inlineStr">
        <is>
          <t xml:space="preserve">Ddt opening M1 (2 nr, 0.9x2.2) - both faces</t>
        </is>
      </c>
      <c r="D4043" s="248">
        <f>2*2</f>
        <v>4</v>
      </c>
      <c r="E4043" s="247">
        <v>0.9</v>
      </c>
      <c r="F4043" s="247">
        <v>2.2</v>
      </c>
      <c r="H4043" s="249">
        <f>-PRODUCT(D4043:G4043)</f>
        <v>-7.920000000000001</v>
      </c>
      <c r="J4043" s="253" t="inlineStr">
        <is>
          <t xml:space="preserve">-2*2*0.9*2.2</t>
        </is>
      </c>
    </row>
    <row r="4044">
      <c r="C4044" s="246" t="inlineStr">
        <is>
          <t xml:space="preserve">Ddt opening M2 (4 nr, 0.75x2.2) - both faces</t>
        </is>
      </c>
      <c r="D4044" s="248">
        <f>2*4</f>
        <v>8</v>
      </c>
      <c r="E4044" s="247">
        <v>0.75</v>
      </c>
      <c r="F4044" s="247">
        <v>2.2</v>
      </c>
      <c r="H4044" s="249">
        <f>-PRODUCT(D4044:G4044)</f>
        <v>-13.200000000000001</v>
      </c>
      <c r="J4044" s="253" t="inlineStr">
        <is>
          <t xml:space="preserve">-2*4*0.75*2.2</t>
        </is>
      </c>
    </row>
    <row r="4045">
      <c r="C4045" s="246" t="inlineStr">
        <is>
          <t xml:space="preserve">Ddt opening M3 (1 nr, 0.45x2.2) - both faces</t>
        </is>
      </c>
      <c r="D4045" s="248">
        <f>2*1</f>
        <v>2</v>
      </c>
      <c r="E4045" s="247">
        <v>0.45</v>
      </c>
      <c r="F4045" s="247">
        <v>2.2</v>
      </c>
      <c r="H4045" s="249">
        <f>-PRODUCT(D4045:G4045)</f>
        <v>-1.9800000000000002</v>
      </c>
      <c r="J4045" s="253" t="inlineStr">
        <is>
          <t xml:space="preserve">-2*1*0.45*2.2</t>
        </is>
      </c>
    </row>
    <row r="4046">
      <c r="C4046" s="246" t="inlineStr">
        <is>
          <t xml:space="preserve">Ddt opening M5 (3 nr, 0.6x2.2) - both faces</t>
        </is>
      </c>
      <c r="D4046" s="248">
        <f>2*3</f>
        <v>6</v>
      </c>
      <c r="E4046" s="247">
        <v>0.6</v>
      </c>
      <c r="F4046" s="247">
        <v>2.2</v>
      </c>
      <c r="H4046" s="249">
        <f>-PRODUCT(D4046:G4046)</f>
        <v>-7.92</v>
      </c>
      <c r="J4046" s="253" t="inlineStr">
        <is>
          <t xml:space="preserve">-2*3*0.6*2.2</t>
        </is>
      </c>
    </row>
    <row r="4047">
      <c r="C4047" s="246" t="inlineStr">
        <is>
          <t xml:space="preserve">Ddt opening SD1 (1 nr, 3x2.2) - both faces</t>
        </is>
      </c>
      <c r="D4047" s="248">
        <f>2*1</f>
        <v>2</v>
      </c>
      <c r="E4047" s="247">
        <v>3</v>
      </c>
      <c r="F4047" s="247">
        <v>2.2</v>
      </c>
      <c r="H4047" s="249">
        <f>-PRODUCT(D4047:G4047)</f>
        <v>-13.200000000000001</v>
      </c>
      <c r="J4047" s="253" t="inlineStr">
        <is>
          <t xml:space="preserve">-2*1*3*2.2</t>
        </is>
      </c>
    </row>
    <row r="4048">
      <c r="C4048" s="246" t="inlineStr">
        <is>
          <t xml:space="preserve">Ddt opening SD2 (4 nr, 1.6x2.2) - both faces</t>
        </is>
      </c>
      <c r="D4048" s="248">
        <f>2*4</f>
        <v>8</v>
      </c>
      <c r="E4048" s="247">
        <v>1.6</v>
      </c>
      <c r="F4048" s="247">
        <v>2.2</v>
      </c>
      <c r="H4048" s="249">
        <f>-PRODUCT(D4048:G4048)</f>
        <v>-28.160000000000004</v>
      </c>
      <c r="J4048" s="253" t="inlineStr">
        <is>
          <t xml:space="preserve">-2*4*1.6*2.2</t>
        </is>
      </c>
    </row>
    <row r="4049">
      <c r="C4049" s="246" t="inlineStr">
        <is>
          <t xml:space="preserve">Ddt opening SD3 (2 nr, 1.3x2.2) - both faces</t>
        </is>
      </c>
      <c r="D4049" s="248">
        <f>2*2</f>
        <v>4</v>
      </c>
      <c r="E4049" s="247">
        <v>1.3</v>
      </c>
      <c r="F4049" s="247">
        <v>2.2</v>
      </c>
      <c r="H4049" s="249">
        <f>-PRODUCT(D4049:G4049)</f>
        <v>-11.440000000000001</v>
      </c>
      <c r="J4049" s="253" t="inlineStr">
        <is>
          <t xml:space="preserve">-2*2*1.3*2.2</t>
        </is>
      </c>
    </row>
    <row r="4050">
      <c r="C4050" s="246" t="inlineStr">
        <is>
          <t xml:space="preserve">Ddt opening SD4 (4 nr, 1.8x2.2) - both faces</t>
        </is>
      </c>
      <c r="D4050" s="248">
        <f>2*4</f>
        <v>8</v>
      </c>
      <c r="E4050" s="247">
        <v>1.8</v>
      </c>
      <c r="F4050" s="247">
        <v>2.2</v>
      </c>
      <c r="H4050" s="249">
        <f>-PRODUCT(D4050:G4050)</f>
        <v>-31.680000000000003</v>
      </c>
      <c r="J4050" s="253" t="inlineStr">
        <is>
          <t xml:space="preserve">-2*4*1.8*2.2</t>
        </is>
      </c>
    </row>
    <row r="4051">
      <c r="C4051" s="246" t="inlineStr">
        <is>
          <t xml:space="preserve">Ddt opening SD5 (1 nr, 1.2x2.2) - both faces</t>
        </is>
      </c>
      <c r="D4051" s="248">
        <f>2*1</f>
        <v>2</v>
      </c>
      <c r="E4051" s="247">
        <v>1.2</v>
      </c>
      <c r="F4051" s="247">
        <v>2.2</v>
      </c>
      <c r="H4051" s="249">
        <f>-PRODUCT(D4051:G4051)</f>
        <v>-5.28</v>
      </c>
      <c r="J4051" s="253" t="inlineStr">
        <is>
          <t xml:space="preserve">-2*1*1.2*2.2</t>
        </is>
      </c>
    </row>
    <row r="4052">
      <c r="C4052" s="246" t="inlineStr">
        <is>
          <t xml:space="preserve">Ddt opening W2 (6 nr, 1.8x1.3)</t>
        </is>
      </c>
      <c r="D4052" s="248">
        <v>6</v>
      </c>
      <c r="E4052" s="247">
        <v>1.8</v>
      </c>
      <c r="F4052" s="247">
        <v>1.3</v>
      </c>
      <c r="H4052" s="249">
        <f>-PRODUCT(D4052:G4052)</f>
        <v>-14.040000000000001</v>
      </c>
      <c r="J4052" s="253" t="inlineStr">
        <is>
          <t xml:space="preserve">-6*1.8*1.3</t>
        </is>
      </c>
    </row>
    <row r="4053">
      <c r="C4053" s="246" t="inlineStr">
        <is>
          <t xml:space="preserve">Ddt opening W4 (10 nr, 0.9x1.3)</t>
        </is>
      </c>
      <c r="D4053" s="248">
        <v>10</v>
      </c>
      <c r="E4053" s="247">
        <v>0.9</v>
      </c>
      <c r="F4053" s="247">
        <v>1.3</v>
      </c>
      <c r="H4053" s="249">
        <f>-PRODUCT(D4053:G4053)</f>
        <v>-11.700000000000001</v>
      </c>
      <c r="J4053" s="253" t="inlineStr">
        <is>
          <t xml:space="preserve">-10*0.9*1.3</t>
        </is>
      </c>
    </row>
    <row r="4054">
      <c r="C4054" s="246" t="inlineStr">
        <is>
          <t xml:space="preserve">Ddt opening W7 (1 nr, 1.8x1.6)</t>
        </is>
      </c>
      <c r="D4054" s="248">
        <v>1</v>
      </c>
      <c r="E4054" s="247">
        <v>1.8</v>
      </c>
      <c r="F4054" s="247">
        <v>1.6</v>
      </c>
      <c r="H4054" s="249">
        <f>-PRODUCT(D4054:G4054)</f>
        <v>-2.8800000000000003</v>
      </c>
      <c r="J4054" s="253" t="inlineStr">
        <is>
          <t xml:space="preserve">-1*1.8*1.6</t>
        </is>
      </c>
    </row>
    <row r="4055">
      <c r="C4055" s="246" t="inlineStr">
        <is>
          <t xml:space="preserve">Ddt opening W8 (3 nr, 1.2x1.9)</t>
        </is>
      </c>
      <c r="D4055" s="248">
        <v>3</v>
      </c>
      <c r="E4055" s="247">
        <v>1.2</v>
      </c>
      <c r="F4055" s="247">
        <v>1.9</v>
      </c>
      <c r="H4055" s="249">
        <f>-PRODUCT(D4055:G4055)</f>
        <v>-6.839999999999999</v>
      </c>
      <c r="J4055" s="253" t="inlineStr">
        <is>
          <t xml:space="preserve">-3*1.2*1.9</t>
        </is>
      </c>
    </row>
    <row r="4056">
      <c r="C4056" s="246" t="inlineStr">
        <is>
          <t xml:space="preserve">Ddt opening W9 (8 nr, 1.2x1.15)</t>
        </is>
      </c>
      <c r="D4056" s="248">
        <v>8</v>
      </c>
      <c r="E4056" s="247">
        <v>1.2</v>
      </c>
      <c r="F4056" s="247">
        <v>1.15</v>
      </c>
      <c r="H4056" s="249">
        <f>-PRODUCT(D4056:G4056)</f>
        <v>-11.04</v>
      </c>
      <c r="J4056" s="253" t="inlineStr">
        <is>
          <t xml:space="preserve">-8*1.2*1.15</t>
        </is>
      </c>
    </row>
    <row r="4057">
      <c r="C4057" s="246" t="inlineStr">
        <is>
          <t xml:space="preserve">Ddt opening W10 (1 nr, 1.2x1.2)</t>
        </is>
      </c>
      <c r="D4057" s="248">
        <v>1</v>
      </c>
      <c r="E4057" s="247">
        <v>1.2</v>
      </c>
      <c r="F4057" s="247">
        <v>1.2</v>
      </c>
      <c r="H4057" s="249">
        <f>-PRODUCT(D4057:G4057)</f>
        <v>-1.44</v>
      </c>
      <c r="J4057" s="253" t="inlineStr">
        <is>
          <t xml:space="preserve">-1*1.2*1.2</t>
        </is>
      </c>
    </row>
    <row r="4058">
      <c r="C4058" s="246" t="inlineStr">
        <is>
          <t xml:space="preserve">Ddt opening W11 (6 nr, 1.5x1.3)</t>
        </is>
      </c>
      <c r="D4058" s="248">
        <v>6</v>
      </c>
      <c r="E4058" s="247">
        <v>1.5</v>
      </c>
      <c r="F4058" s="247">
        <v>1.3</v>
      </c>
      <c r="H4058" s="249">
        <f>-PRODUCT(D4058:G4058)</f>
        <v>-11.700000000000001</v>
      </c>
      <c r="J4058" s="253" t="inlineStr">
        <is>
          <t xml:space="preserve">-6*1.5*1.3</t>
        </is>
      </c>
    </row>
    <row r="4059">
      <c r="C4059" s="246" t="inlineStr">
        <is>
          <t xml:space="preserve">Ddt opening W12 (3 nr, 1.5x1.15)</t>
        </is>
      </c>
      <c r="D4059" s="248">
        <v>3</v>
      </c>
      <c r="E4059" s="247">
        <v>1.5</v>
      </c>
      <c r="F4059" s="247">
        <v>1.15</v>
      </c>
      <c r="H4059" s="249">
        <f>-PRODUCT(D4059:G4059)</f>
        <v>-5.175</v>
      </c>
      <c r="J4059" s="253" t="inlineStr">
        <is>
          <t xml:space="preserve">-3*1.5*1.15</t>
        </is>
      </c>
    </row>
    <row r="4060">
      <c r="C4060" s="246" t="inlineStr">
        <is>
          <t xml:space="preserve">Ddt opening W13 (1 nr, 2.4x1.3)</t>
        </is>
      </c>
      <c r="D4060" s="248">
        <v>1</v>
      </c>
      <c r="E4060" s="247">
        <v>2.4</v>
      </c>
      <c r="F4060" s="247">
        <v>1.3</v>
      </c>
      <c r="H4060" s="249">
        <f>-PRODUCT(D4060:G4060)</f>
        <v>-3.12</v>
      </c>
      <c r="J4060" s="253" t="inlineStr">
        <is>
          <t xml:space="preserve">-1*2.4*1.3</t>
        </is>
      </c>
    </row>
    <row r="4061">
      <c r="C4061" s="246" t="inlineStr">
        <is>
          <t xml:space="preserve">Ddt opening W15 (1 nr, 3x1.6)</t>
        </is>
      </c>
      <c r="D4061" s="248">
        <v>1</v>
      </c>
      <c r="E4061" s="247">
        <v>3</v>
      </c>
      <c r="F4061" s="247">
        <v>1.6</v>
      </c>
      <c r="H4061" s="249">
        <f>-PRODUCT(D4061:G4061)</f>
        <v>-4.800000000000001</v>
      </c>
      <c r="J4061" s="253" t="inlineStr">
        <is>
          <t xml:space="preserve">-1*3*1.6</t>
        </is>
      </c>
    </row>
    <row r="4062">
      <c r="C4062" s="246" t="inlineStr">
        <is>
          <t xml:space="preserve">Ddt opening W17 (3 nr, 1.8x1.9)</t>
        </is>
      </c>
      <c r="D4062" s="248">
        <v>3</v>
      </c>
      <c r="E4062" s="247">
        <v>1.8</v>
      </c>
      <c r="F4062" s="247">
        <v>1.9</v>
      </c>
      <c r="H4062" s="249">
        <f>-PRODUCT(D4062:G4062)</f>
        <v>-10.26</v>
      </c>
      <c r="J4062" s="253" t="inlineStr">
        <is>
          <t xml:space="preserve">-3*1.8*1.9</t>
        </is>
      </c>
    </row>
    <row r="4063">
      <c r="C4063" s="246" t="inlineStr">
        <is>
          <t xml:space="preserve">Ddt opening W18 (1 nr, 0.75x1.3)</t>
        </is>
      </c>
      <c r="D4063" s="248">
        <v>1</v>
      </c>
      <c r="E4063" s="247">
        <v>0.75</v>
      </c>
      <c r="F4063" s="247">
        <v>1.3</v>
      </c>
      <c r="H4063" s="249">
        <f>-PRODUCT(D4063:G4063)</f>
        <v>-0.9750000000000001</v>
      </c>
      <c r="J4063" s="253" t="inlineStr">
        <is>
          <t xml:space="preserve">-1*0.75*1.3</t>
        </is>
      </c>
    </row>
    <row r="4064">
      <c r="C4064" s="246" t="inlineStr">
        <is>
          <t xml:space="preserve">Ddt opening W20 (1 nr, 1.45x1.9)</t>
        </is>
      </c>
      <c r="D4064" s="248">
        <v>1</v>
      </c>
      <c r="E4064" s="247">
        <v>1.45</v>
      </c>
      <c r="F4064" s="247">
        <v>1.9</v>
      </c>
      <c r="H4064" s="249">
        <f>-PRODUCT(D4064:G4064)</f>
        <v>-2.755</v>
      </c>
      <c r="J4064" s="253" t="inlineStr">
        <is>
          <t xml:space="preserve">-1*1.45*1.9</t>
        </is>
      </c>
    </row>
    <row r="4065">
      <c r="C4065" s="246" t="inlineStr">
        <is>
          <t xml:space="preserve">Ddt opening HW1 (12 nr, 0.9x0.6)</t>
        </is>
      </c>
      <c r="D4065" s="248">
        <v>12</v>
      </c>
      <c r="E4065" s="247">
        <v>0.9</v>
      </c>
      <c r="F4065" s="247">
        <v>0.6</v>
      </c>
      <c r="H4065" s="249">
        <f>-PRODUCT(D4065:G4065)</f>
        <v>-6.48</v>
      </c>
      <c r="J4065" s="253" t="inlineStr">
        <is>
          <t xml:space="preserve">-12*0.9*0.6</t>
        </is>
      </c>
    </row>
    <row r="4066">
      <c r="C4066" s="246" t="inlineStr">
        <is>
          <t xml:space="preserve">Ddt opening HW2 (5 nr, 0.75x0.6)</t>
        </is>
      </c>
      <c r="D4066" s="248">
        <v>5</v>
      </c>
      <c r="E4066" s="247">
        <v>0.75</v>
      </c>
      <c r="F4066" s="247">
        <v>0.6</v>
      </c>
      <c r="H4066" s="249">
        <f>-PRODUCT(D4066:G4066)</f>
        <v>-2.25</v>
      </c>
      <c r="J4066" s="253" t="inlineStr">
        <is>
          <t xml:space="preserve">-5*0.75*0.6</t>
        </is>
      </c>
    </row>
    <row r="4067">
      <c r="C4067" s="246" t="inlineStr">
        <is>
          <t xml:space="preserve">Ddt opening HW3 (1 nr, 0.6x0.6)</t>
        </is>
      </c>
      <c r="D4067" s="248">
        <v>1</v>
      </c>
      <c r="E4067" s="247">
        <v>0.6</v>
      </c>
      <c r="F4067" s="247">
        <v>0.6</v>
      </c>
      <c r="H4067" s="249">
        <f>-PRODUCT(D4067:G4067)</f>
        <v>-0.36</v>
      </c>
      <c r="J4067" s="253" t="inlineStr">
        <is>
          <t xml:space="preserve">-1*0.6*0.6</t>
        </is>
      </c>
    </row>
    <row r="4068">
      <c r="C4068" s="246" t="inlineStr">
        <is>
          <t xml:space="preserve">Ddt opening HW4 (1 nr, 1.2x0.6)</t>
        </is>
      </c>
      <c r="D4068" s="248">
        <v>1</v>
      </c>
      <c r="E4068" s="247">
        <v>1.2</v>
      </c>
      <c r="F4068" s="247">
        <v>0.6</v>
      </c>
      <c r="H4068" s="249">
        <f>-PRODUCT(D4068:G4068)</f>
        <v>-0.72</v>
      </c>
      <c r="J4068" s="253" t="inlineStr">
        <is>
          <t xml:space="preserve">-1*1.2*0.6</t>
        </is>
      </c>
    </row>
    <row r="4069">
      <c r="C4069" s="250" t="inlineStr">
        <is>
          <t xml:space="preserve">Total carried to BOQ  7TH FLR item A</t>
        </is>
      </c>
      <c r="D4069" s="250" t="inlineStr">
        <is>
          <t xml:space="preserve"/>
        </is>
      </c>
      <c r="E4069" s="250" t="inlineStr">
        <is>
          <t xml:space="preserve"/>
        </is>
      </c>
      <c r="F4069" s="250" t="inlineStr">
        <is>
          <t xml:space="preserve"/>
        </is>
      </c>
      <c r="G4069" s="250" t="inlineStr">
        <is>
          <t xml:space="preserve"/>
        </is>
      </c>
      <c r="H4069" s="251">
        <f>SUM(H4029:H4068)</f>
        <v>1926.874473684211</v>
      </c>
      <c r="I4069" s="252" t="inlineStr">
        <is>
          <t xml:space="preserve">m2</t>
        </is>
      </c>
    </row>
    <row r="4070">
      <c r="A4070" s="243" t="inlineStr">
        <is>
          <t xml:space="preserve">7TH FLR</t>
        </is>
      </c>
      <c r="B4070" s="243" t="inlineStr">
        <is>
          <t xml:space="preserve">B</t>
        </is>
      </c>
      <c r="C4070" s="244" t="inlineStr">
        <is>
          <t xml:space="preserve">Interior partitions and washrooms</t>
        </is>
      </c>
      <c r="I4070" s="245" t="inlineStr">
        <is>
          <t xml:space="preserve">m2</t>
        </is>
      </c>
      <c r="K4070" s="256" t="inlineStr">
        <is>
          <t xml:space="preserve">'7TH FLR   '!C219</t>
        </is>
      </c>
    </row>
    <row r="4071">
      <c r="C4071" s="246" t="inlineStr">
        <is>
          <t xml:space="preserve">washroom walls: (wet area / 3.8 m2 per WC) x 8.0 m girth x ht</t>
        </is>
      </c>
      <c r="E4071" s="247">
        <f>57.5/3.8</f>
        <v>15.131578947368421</v>
      </c>
      <c r="F4071" s="247">
        <v>8.0</v>
      </c>
      <c r="G4071" s="247">
        <v>3.05</v>
      </c>
      <c r="H4071" s="249">
        <f>PRODUCT(D4071:G4071)</f>
        <v>369.2105263157895</v>
      </c>
      <c r="J4071" s="253" t="inlineStr">
        <is>
          <t xml:space="preserve">57.5/3.8*8.0*3.05</t>
        </is>
      </c>
    </row>
    <row r="4072">
      <c r="C4072" s="246" t="inlineStr">
        <is>
          <t xml:space="preserve">Ddt washroom doors: nr x 0.75 x 2.2</t>
        </is>
      </c>
      <c r="E4072" s="247">
        <f>57.5/3.8</f>
        <v>15.131578947368421</v>
      </c>
      <c r="F4072" s="247">
        <v>0.75</v>
      </c>
      <c r="G4072" s="247">
        <v>2.2</v>
      </c>
      <c r="H4072" s="249">
        <f>-PRODUCT(D4072:G4072)</f>
        <v>-24.967105263157894</v>
      </c>
      <c r="J4072" s="253" t="inlineStr">
        <is>
          <t xml:space="preserve">-57.5/3.8*0.75*2.2</t>
        </is>
      </c>
    </row>
    <row r="4073">
      <c r="C4073" s="250" t="inlineStr">
        <is>
          <t xml:space="preserve">Total carried to BOQ  7TH FLR item B</t>
        </is>
      </c>
      <c r="D4073" s="250" t="inlineStr">
        <is>
          <t xml:space="preserve"/>
        </is>
      </c>
      <c r="E4073" s="250" t="inlineStr">
        <is>
          <t xml:space="preserve"/>
        </is>
      </c>
      <c r="F4073" s="250" t="inlineStr">
        <is>
          <t xml:space="preserve"/>
        </is>
      </c>
      <c r="G4073" s="250" t="inlineStr">
        <is>
          <t xml:space="preserve"/>
        </is>
      </c>
      <c r="H4073" s="251">
        <f>SUM(H4071:H4072)</f>
        <v>344.24342105263156</v>
      </c>
      <c r="I4073" s="252" t="inlineStr">
        <is>
          <t xml:space="preserve">m2</t>
        </is>
      </c>
    </row>
    <row r="4074">
      <c r="A4074" s="243" t="inlineStr">
        <is>
          <t xml:space="preserve">7TH FLR</t>
        </is>
      </c>
      <c r="B4074" s="243" t="inlineStr">
        <is>
          <t xml:space="preserve">C</t>
        </is>
      </c>
      <c r="C4074" s="244" t="inlineStr">
        <is>
          <t xml:space="preserve">External walls</t>
        </is>
      </c>
      <c r="I4074" s="245" t="inlineStr">
        <is>
          <t xml:space="preserve">m2</t>
        </is>
      </c>
      <c r="K4074" s="256" t="inlineStr">
        <is>
          <t xml:space="preserve">'7TH FLR   '!C221</t>
        </is>
      </c>
    </row>
    <row r="4075">
      <c r="C4075" s="246" t="inlineStr">
        <is>
          <t xml:space="preserve">External perimeter x storey ht</t>
        </is>
      </c>
      <c r="E4075" s="247">
        <v>224.2</v>
      </c>
      <c r="F4075" s="247">
        <v>3.3</v>
      </c>
      <c r="H4075" s="249">
        <f>PRODUCT(D4075:G4075)</f>
        <v>739.8599999999999</v>
      </c>
      <c r="J4075" s="253" t="inlineStr">
        <is>
          <t xml:space="preserve">224.2*3.3</t>
        </is>
      </c>
    </row>
    <row r="4076">
      <c r="C4076" s="246" t="inlineStr">
        <is>
          <t xml:space="preserve">Ddt window W2 (6 nr, 1.8x1.3)</t>
        </is>
      </c>
      <c r="D4076" s="248">
        <v>6</v>
      </c>
      <c r="E4076" s="247">
        <v>1.8</v>
      </c>
      <c r="F4076" s="247">
        <v>1.3</v>
      </c>
      <c r="H4076" s="249">
        <f>-PRODUCT(D4076:G4076)</f>
        <v>-14.040000000000001</v>
      </c>
      <c r="J4076" s="253" t="inlineStr">
        <is>
          <t xml:space="preserve">-6*1.8*1.3</t>
        </is>
      </c>
    </row>
    <row r="4077">
      <c r="C4077" s="246" t="inlineStr">
        <is>
          <t xml:space="preserve">Ddt window W4 (10 nr, 0.9x1.3)</t>
        </is>
      </c>
      <c r="D4077" s="248">
        <v>10</v>
      </c>
      <c r="E4077" s="247">
        <v>0.9</v>
      </c>
      <c r="F4077" s="247">
        <v>1.3</v>
      </c>
      <c r="H4077" s="249">
        <f>-PRODUCT(D4077:G4077)</f>
        <v>-11.700000000000001</v>
      </c>
      <c r="J4077" s="253" t="inlineStr">
        <is>
          <t xml:space="preserve">-10*0.9*1.3</t>
        </is>
      </c>
    </row>
    <row r="4078">
      <c r="C4078" s="246" t="inlineStr">
        <is>
          <t xml:space="preserve">Ddt window W7 (1 nr, 1.8x1.6)</t>
        </is>
      </c>
      <c r="D4078" s="248">
        <v>1</v>
      </c>
      <c r="E4078" s="247">
        <v>1.8</v>
      </c>
      <c r="F4078" s="247">
        <v>1.6</v>
      </c>
      <c r="H4078" s="249">
        <f>-PRODUCT(D4078:G4078)</f>
        <v>-2.8800000000000003</v>
      </c>
      <c r="J4078" s="253" t="inlineStr">
        <is>
          <t xml:space="preserve">-1*1.8*1.6</t>
        </is>
      </c>
    </row>
    <row r="4079">
      <c r="C4079" s="246" t="inlineStr">
        <is>
          <t xml:space="preserve">Ddt window W8 (3 nr, 1.2x1.9)</t>
        </is>
      </c>
      <c r="D4079" s="248">
        <v>3</v>
      </c>
      <c r="E4079" s="247">
        <v>1.2</v>
      </c>
      <c r="F4079" s="247">
        <v>1.9</v>
      </c>
      <c r="H4079" s="249">
        <f>-PRODUCT(D4079:G4079)</f>
        <v>-6.839999999999999</v>
      </c>
      <c r="J4079" s="253" t="inlineStr">
        <is>
          <t xml:space="preserve">-3*1.2*1.9</t>
        </is>
      </c>
    </row>
    <row r="4080">
      <c r="C4080" s="246" t="inlineStr">
        <is>
          <t xml:space="preserve">Ddt window W9 (8 nr, 1.2x1.15)</t>
        </is>
      </c>
      <c r="D4080" s="248">
        <v>8</v>
      </c>
      <c r="E4080" s="247">
        <v>1.2</v>
      </c>
      <c r="F4080" s="247">
        <v>1.15</v>
      </c>
      <c r="H4080" s="249">
        <f>-PRODUCT(D4080:G4080)</f>
        <v>-11.04</v>
      </c>
      <c r="J4080" s="253" t="inlineStr">
        <is>
          <t xml:space="preserve">-8*1.2*1.15</t>
        </is>
      </c>
    </row>
    <row r="4081">
      <c r="C4081" s="246" t="inlineStr">
        <is>
          <t xml:space="preserve">Ddt window W10 (1 nr, 1.2x1.2)</t>
        </is>
      </c>
      <c r="D4081" s="248">
        <v>1</v>
      </c>
      <c r="E4081" s="247">
        <v>1.2</v>
      </c>
      <c r="F4081" s="247">
        <v>1.2</v>
      </c>
      <c r="H4081" s="249">
        <f>-PRODUCT(D4081:G4081)</f>
        <v>-1.44</v>
      </c>
      <c r="J4081" s="253" t="inlineStr">
        <is>
          <t xml:space="preserve">-1*1.2*1.2</t>
        </is>
      </c>
    </row>
    <row r="4082">
      <c r="C4082" s="246" t="inlineStr">
        <is>
          <t xml:space="preserve">Ddt window W11 (6 nr, 1.5x1.3)</t>
        </is>
      </c>
      <c r="D4082" s="248">
        <v>6</v>
      </c>
      <c r="E4082" s="247">
        <v>1.5</v>
      </c>
      <c r="F4082" s="247">
        <v>1.3</v>
      </c>
      <c r="H4082" s="249">
        <f>-PRODUCT(D4082:G4082)</f>
        <v>-11.700000000000001</v>
      </c>
      <c r="J4082" s="253" t="inlineStr">
        <is>
          <t xml:space="preserve">-6*1.5*1.3</t>
        </is>
      </c>
    </row>
    <row r="4083">
      <c r="C4083" s="246" t="inlineStr">
        <is>
          <t xml:space="preserve">Ddt window W12 (3 nr, 1.5x1.15)</t>
        </is>
      </c>
      <c r="D4083" s="248">
        <v>3</v>
      </c>
      <c r="E4083" s="247">
        <v>1.5</v>
      </c>
      <c r="F4083" s="247">
        <v>1.15</v>
      </c>
      <c r="H4083" s="249">
        <f>-PRODUCT(D4083:G4083)</f>
        <v>-5.175</v>
      </c>
      <c r="J4083" s="253" t="inlineStr">
        <is>
          <t xml:space="preserve">-3*1.5*1.15</t>
        </is>
      </c>
    </row>
    <row r="4084">
      <c r="C4084" s="246" t="inlineStr">
        <is>
          <t xml:space="preserve">Ddt window W13 (1 nr, 2.4x1.3)</t>
        </is>
      </c>
      <c r="D4084" s="248">
        <v>1</v>
      </c>
      <c r="E4084" s="247">
        <v>2.4</v>
      </c>
      <c r="F4084" s="247">
        <v>1.3</v>
      </c>
      <c r="H4084" s="249">
        <f>-PRODUCT(D4084:G4084)</f>
        <v>-3.12</v>
      </c>
      <c r="J4084" s="253" t="inlineStr">
        <is>
          <t xml:space="preserve">-1*2.4*1.3</t>
        </is>
      </c>
    </row>
    <row r="4085">
      <c r="C4085" s="246" t="inlineStr">
        <is>
          <t xml:space="preserve">Ddt window W15 (1 nr, 3x1.6)</t>
        </is>
      </c>
      <c r="D4085" s="248">
        <v>1</v>
      </c>
      <c r="E4085" s="247">
        <v>3</v>
      </c>
      <c r="F4085" s="247">
        <v>1.6</v>
      </c>
      <c r="H4085" s="249">
        <f>-PRODUCT(D4085:G4085)</f>
        <v>-4.800000000000001</v>
      </c>
      <c r="J4085" s="253" t="inlineStr">
        <is>
          <t xml:space="preserve">-1*3*1.6</t>
        </is>
      </c>
    </row>
    <row r="4086">
      <c r="C4086" s="246" t="inlineStr">
        <is>
          <t xml:space="preserve">Ddt window W17 (3 nr, 1.8x1.9)</t>
        </is>
      </c>
      <c r="D4086" s="248">
        <v>3</v>
      </c>
      <c r="E4086" s="247">
        <v>1.8</v>
      </c>
      <c r="F4086" s="247">
        <v>1.9</v>
      </c>
      <c r="H4086" s="249">
        <f>-PRODUCT(D4086:G4086)</f>
        <v>-10.26</v>
      </c>
      <c r="J4086" s="253" t="inlineStr">
        <is>
          <t xml:space="preserve">-3*1.8*1.9</t>
        </is>
      </c>
    </row>
    <row r="4087">
      <c r="C4087" s="246" t="inlineStr">
        <is>
          <t xml:space="preserve">Ddt window W18 (1 nr, 0.75x1.3)</t>
        </is>
      </c>
      <c r="D4087" s="248">
        <v>1</v>
      </c>
      <c r="E4087" s="247">
        <v>0.75</v>
      </c>
      <c r="F4087" s="247">
        <v>1.3</v>
      </c>
      <c r="H4087" s="249">
        <f>-PRODUCT(D4087:G4087)</f>
        <v>-0.9750000000000001</v>
      </c>
      <c r="J4087" s="253" t="inlineStr">
        <is>
          <t xml:space="preserve">-1*0.75*1.3</t>
        </is>
      </c>
    </row>
    <row r="4088">
      <c r="C4088" s="246" t="inlineStr">
        <is>
          <t xml:space="preserve">Ddt window W20 (1 nr, 1.45x1.9)</t>
        </is>
      </c>
      <c r="D4088" s="248">
        <v>1</v>
      </c>
      <c r="E4088" s="247">
        <v>1.45</v>
      </c>
      <c r="F4088" s="247">
        <v>1.9</v>
      </c>
      <c r="H4088" s="249">
        <f>-PRODUCT(D4088:G4088)</f>
        <v>-2.755</v>
      </c>
      <c r="J4088" s="253" t="inlineStr">
        <is>
          <t xml:space="preserve">-1*1.45*1.9</t>
        </is>
      </c>
    </row>
    <row r="4089">
      <c r="C4089" s="246" t="inlineStr">
        <is>
          <t xml:space="preserve">Ddt window HW1 (12 nr, 0.9x0.6)</t>
        </is>
      </c>
      <c r="D4089" s="248">
        <v>12</v>
      </c>
      <c r="E4089" s="247">
        <v>0.9</v>
      </c>
      <c r="F4089" s="247">
        <v>0.6</v>
      </c>
      <c r="H4089" s="249">
        <f>-PRODUCT(D4089:G4089)</f>
        <v>-6.48</v>
      </c>
      <c r="J4089" s="253" t="inlineStr">
        <is>
          <t xml:space="preserve">-12*0.9*0.6</t>
        </is>
      </c>
    </row>
    <row r="4090">
      <c r="C4090" s="246" t="inlineStr">
        <is>
          <t xml:space="preserve">Ddt window HW2 (5 nr, 0.75x0.6)</t>
        </is>
      </c>
      <c r="D4090" s="248">
        <v>5</v>
      </c>
      <c r="E4090" s="247">
        <v>0.75</v>
      </c>
      <c r="F4090" s="247">
        <v>0.6</v>
      </c>
      <c r="H4090" s="249">
        <f>-PRODUCT(D4090:G4090)</f>
        <v>-2.25</v>
      </c>
      <c r="J4090" s="253" t="inlineStr">
        <is>
          <t xml:space="preserve">-5*0.75*0.6</t>
        </is>
      </c>
    </row>
    <row r="4091">
      <c r="C4091" s="246" t="inlineStr">
        <is>
          <t xml:space="preserve">Ddt window HW3 (1 nr, 0.6x0.6)</t>
        </is>
      </c>
      <c r="D4091" s="248">
        <v>1</v>
      </c>
      <c r="E4091" s="247">
        <v>0.6</v>
      </c>
      <c r="F4091" s="247">
        <v>0.6</v>
      </c>
      <c r="H4091" s="249">
        <f>-PRODUCT(D4091:G4091)</f>
        <v>-0.36</v>
      </c>
      <c r="J4091" s="253" t="inlineStr">
        <is>
          <t xml:space="preserve">-1*0.6*0.6</t>
        </is>
      </c>
    </row>
    <row r="4092">
      <c r="C4092" s="246" t="inlineStr">
        <is>
          <t xml:space="preserve">Ddt window HW4 (1 nr, 1.2x0.6)</t>
        </is>
      </c>
      <c r="D4092" s="248">
        <v>1</v>
      </c>
      <c r="E4092" s="247">
        <v>1.2</v>
      </c>
      <c r="F4092" s="247">
        <v>0.6</v>
      </c>
      <c r="H4092" s="249">
        <f>-PRODUCT(D4092:G4092)</f>
        <v>-0.72</v>
      </c>
      <c r="J4092" s="253" t="inlineStr">
        <is>
          <t xml:space="preserve">-1*1.2*0.6</t>
        </is>
      </c>
    </row>
    <row r="4093">
      <c r="C4093" s="250" t="inlineStr">
        <is>
          <t xml:space="preserve">Total carried to BOQ  7TH FLR item C</t>
        </is>
      </c>
      <c r="D4093" s="250" t="inlineStr">
        <is>
          <t xml:space="preserve"/>
        </is>
      </c>
      <c r="E4093" s="250" t="inlineStr">
        <is>
          <t xml:space="preserve"/>
        </is>
      </c>
      <c r="F4093" s="250" t="inlineStr">
        <is>
          <t xml:space="preserve"/>
        </is>
      </c>
      <c r="G4093" s="250" t="inlineStr">
        <is>
          <t xml:space="preserve"/>
        </is>
      </c>
      <c r="H4093" s="251">
        <f>SUM(H4075:H4092)</f>
        <v>643.3249999999998</v>
      </c>
      <c r="I4093" s="252" t="inlineStr">
        <is>
          <t xml:space="preserve">m2</t>
        </is>
      </c>
    </row>
    <row r="4094">
      <c r="A4094" s="243" t="inlineStr">
        <is>
          <t xml:space="preserve">7TH FLR</t>
        </is>
      </c>
      <c r="B4094" s="243" t="inlineStr">
        <is>
          <t xml:space="preserve">D</t>
        </is>
      </c>
      <c r="C4094" s="244" t="inlineStr">
        <is>
          <t xml:space="preserve">12mm cement and sand (1:4) screeded backing to receive wall tiles</t>
        </is>
      </c>
      <c r="I4094" s="245" t="inlineStr">
        <is>
          <t xml:space="preserve">m2</t>
        </is>
      </c>
      <c r="K4094" s="256" t="inlineStr">
        <is>
          <t xml:space="preserve">'7TH FLR   '!C223</t>
        </is>
      </c>
    </row>
    <row r="4095">
      <c r="C4095" s="246" t="inlineStr">
        <is>
          <t xml:space="preserve">washroom walls: (wet area / 3.8 m2 per WC) x 8.0 m girth x ht</t>
        </is>
      </c>
      <c r="E4095" s="247">
        <f>57.5/3.8</f>
        <v>15.131578947368421</v>
      </c>
      <c r="F4095" s="247">
        <v>8.0</v>
      </c>
      <c r="G4095" s="247">
        <v>2.4</v>
      </c>
      <c r="H4095" s="249">
        <f>PRODUCT(D4095:G4095)</f>
        <v>290.5263157894737</v>
      </c>
      <c r="J4095" s="253" t="inlineStr">
        <is>
          <t xml:space="preserve">57.5/3.8*8.0*2.4</t>
        </is>
      </c>
    </row>
    <row r="4096">
      <c r="C4096" s="246" t="inlineStr">
        <is>
          <t xml:space="preserve">Ddt washroom doors: nr x 0.75 x 2.2</t>
        </is>
      </c>
      <c r="E4096" s="247">
        <f>57.5/3.8</f>
        <v>15.131578947368421</v>
      </c>
      <c r="F4096" s="247">
        <v>0.75</v>
      </c>
      <c r="G4096" s="247">
        <v>2.2</v>
      </c>
      <c r="H4096" s="249">
        <f>-PRODUCT(D4096:G4096)</f>
        <v>-24.967105263157894</v>
      </c>
      <c r="J4096" s="253" t="inlineStr">
        <is>
          <t xml:space="preserve">-57.5/3.8*0.75*2.2</t>
        </is>
      </c>
    </row>
    <row r="4097">
      <c r="C4097" s="250" t="inlineStr">
        <is>
          <t xml:space="preserve">Total carried to BOQ  7TH FLR item D</t>
        </is>
      </c>
      <c r="D4097" s="250" t="inlineStr">
        <is>
          <t xml:space="preserve"/>
        </is>
      </c>
      <c r="E4097" s="250" t="inlineStr">
        <is>
          <t xml:space="preserve"/>
        </is>
      </c>
      <c r="F4097" s="250" t="inlineStr">
        <is>
          <t xml:space="preserve"/>
        </is>
      </c>
      <c r="G4097" s="250" t="inlineStr">
        <is>
          <t xml:space="preserve"/>
        </is>
      </c>
      <c r="H4097" s="251">
        <f>SUM(H4095:H4096)</f>
        <v>265.5592105263158</v>
      </c>
      <c r="I4097" s="252" t="inlineStr">
        <is>
          <t xml:space="preserve">m2</t>
        </is>
      </c>
    </row>
    <row r="4098" ht="32.2" customHeight="1">
      <c r="A4098" s="243" t="inlineStr">
        <is>
          <t xml:space="preserve">7TH FLR</t>
        </is>
      </c>
      <c r="B4098" s="243" t="inlineStr">
        <is>
          <t xml:space="preserve">E</t>
        </is>
      </c>
      <c r="C4098" s="244" t="inlineStr">
        <is>
          <t xml:space="preserve">Ceramic/porcelain wall tiles to washrooms to 2.4m high, adhesive &amp; grout (type TBC)</t>
        </is>
      </c>
      <c r="I4098" s="245" t="inlineStr">
        <is>
          <t xml:space="preserve">m2</t>
        </is>
      </c>
      <c r="K4098" s="256" t="inlineStr">
        <is>
          <t xml:space="preserve">'7TH FLR   '!C225</t>
        </is>
      </c>
    </row>
    <row r="4099">
      <c r="C4099" s="246" t="inlineStr">
        <is>
          <t xml:space="preserve">washroom walls: (wet area / 3.8 m2 per WC) x 8.0 m girth x ht</t>
        </is>
      </c>
      <c r="E4099" s="247">
        <f>57.5/3.8</f>
        <v>15.131578947368421</v>
      </c>
      <c r="F4099" s="247">
        <v>8.0</v>
      </c>
      <c r="G4099" s="247">
        <v>2.4</v>
      </c>
      <c r="H4099" s="249">
        <f>PRODUCT(D4099:G4099)</f>
        <v>290.5263157894737</v>
      </c>
      <c r="J4099" s="253" t="inlineStr">
        <is>
          <t xml:space="preserve">57.5/3.8*8.0*2.4</t>
        </is>
      </c>
    </row>
    <row r="4100">
      <c r="C4100" s="246" t="inlineStr">
        <is>
          <t xml:space="preserve">Ddt washroom doors: nr x 0.75 x 2.2</t>
        </is>
      </c>
      <c r="E4100" s="247">
        <f>57.5/3.8</f>
        <v>15.131578947368421</v>
      </c>
      <c r="F4100" s="247">
        <v>0.75</v>
      </c>
      <c r="G4100" s="247">
        <v>2.2</v>
      </c>
      <c r="H4100" s="249">
        <f>-PRODUCT(D4100:G4100)</f>
        <v>-24.967105263157894</v>
      </c>
      <c r="J4100" s="253" t="inlineStr">
        <is>
          <t xml:space="preserve">-57.5/3.8*0.75*2.2</t>
        </is>
      </c>
    </row>
    <row r="4101">
      <c r="C4101" s="250" t="inlineStr">
        <is>
          <t xml:space="preserve">Total carried to BOQ  7TH FLR item E</t>
        </is>
      </c>
      <c r="D4101" s="250" t="inlineStr">
        <is>
          <t xml:space="preserve"/>
        </is>
      </c>
      <c r="E4101" s="250" t="inlineStr">
        <is>
          <t xml:space="preserve"/>
        </is>
      </c>
      <c r="F4101" s="250" t="inlineStr">
        <is>
          <t xml:space="preserve"/>
        </is>
      </c>
      <c r="G4101" s="250" t="inlineStr">
        <is>
          <t xml:space="preserve"/>
        </is>
      </c>
      <c r="H4101" s="251">
        <f>SUM(H4099:H4100)</f>
        <v>265.5592105263158</v>
      </c>
      <c r="I4101" s="252" t="inlineStr">
        <is>
          <t xml:space="preserve">m2</t>
        </is>
      </c>
    </row>
    <row r="4102">
      <c r="C4102" s="242" t="inlineStr">
        <is>
          <t xml:space="preserve">ELEMENT NO. 7: PAINTING AND DECORATING</t>
        </is>
      </c>
    </row>
    <row r="4103">
      <c r="C4103" s="242" t="inlineStr">
        <is>
          <t xml:space="preserve">M60 PAINTING - Prepare and apply two undercoats and finishing coat of emulsion paint on:</t>
        </is>
      </c>
    </row>
    <row r="4104">
      <c r="A4104" s="243" t="inlineStr">
        <is>
          <t xml:space="preserve">7TH FLR</t>
        </is>
      </c>
      <c r="B4104" s="243" t="inlineStr">
        <is>
          <t xml:space="preserve">A</t>
        </is>
      </c>
      <c r="C4104" s="244" t="inlineStr">
        <is>
          <t xml:space="preserve">Interior walls</t>
        </is>
      </c>
      <c r="I4104" s="245" t="inlineStr">
        <is>
          <t xml:space="preserve">m2</t>
        </is>
      </c>
      <c r="K4104" s="256" t="inlineStr">
        <is>
          <t xml:space="preserve">'7TH FLR   '!C234</t>
        </is>
      </c>
    </row>
    <row r="4105">
      <c r="C4105" s="246" t="inlineStr">
        <is>
          <t xml:space="preserve">block wall faces: 2 x (150 + 200 block runs) x ht</t>
        </is>
      </c>
      <c r="D4105" s="248">
        <v>2</v>
      </c>
      <c r="E4105" s="247">
        <f>449.8+50.1</f>
        <v>499.90000000000003</v>
      </c>
      <c r="F4105" s="247">
        <v>3.05</v>
      </c>
      <c r="H4105" s="249">
        <f>PRODUCT(D4105:G4105)</f>
        <v>3049.39</v>
      </c>
      <c r="J4105" s="253" t="inlineStr">
        <is>
          <t xml:space="preserve">2*(449.8+50.1)*3.05</t>
        </is>
      </c>
    </row>
    <row r="4106">
      <c r="C4106" s="246" t="inlineStr">
        <is>
          <t xml:space="preserve">RC wall faces: 2 x RC wall run x ht</t>
        </is>
      </c>
      <c r="D4106" s="248">
        <v>2</v>
      </c>
      <c r="E4106" s="247">
        <v>67.4</v>
      </c>
      <c r="F4106" s="247">
        <v>3.05</v>
      </c>
      <c r="H4106" s="249">
        <f>PRODUCT(D4106:G4106)</f>
        <v>411.14</v>
      </c>
      <c r="J4106" s="253" t="inlineStr">
        <is>
          <t xml:space="preserve">2*67.4*3.05</t>
        </is>
      </c>
    </row>
    <row r="4107">
      <c r="C4107" s="246" t="inlineStr">
        <is>
          <t xml:space="preserve">Ddt lift/stair shaft inner faces 16.8 m x ht</t>
        </is>
      </c>
      <c r="E4107" s="247">
        <v>16.8</v>
      </c>
      <c r="F4107" s="247">
        <v>3.05</v>
      </c>
      <c r="H4107" s="249">
        <f>-PRODUCT(D4107:G4107)</f>
        <v>-51.24</v>
      </c>
      <c r="J4107" s="253" t="inlineStr">
        <is>
          <t xml:space="preserve">-16.8*3.05</t>
        </is>
      </c>
    </row>
    <row r="4108">
      <c r="C4108" s="246" t="inlineStr">
        <is>
          <t xml:space="preserve">Ddt external face of perimeter wall (rendered externally)</t>
        </is>
      </c>
      <c r="E4108" s="247">
        <v>224.2</v>
      </c>
      <c r="F4108" s="247">
        <v>3.05</v>
      </c>
      <c r="H4108" s="249">
        <f>-PRODUCT(D4108:G4108)</f>
        <v>-683.81</v>
      </c>
      <c r="J4108" s="253" t="inlineStr">
        <is>
          <t xml:space="preserve">-224.2*3.05</t>
        </is>
      </c>
    </row>
    <row r="4109">
      <c r="C4109" s="246" t="inlineStr">
        <is>
          <t xml:space="preserve">Ddt washroom walls (measured separately)</t>
        </is>
      </c>
      <c r="E4109" s="247">
        <f>57.5/3.8</f>
        <v>15.131578947368421</v>
      </c>
      <c r="F4109" s="247">
        <v>8.0</v>
      </c>
      <c r="G4109" s="247">
        <v>3.05</v>
      </c>
      <c r="H4109" s="249">
        <f>-PRODUCT(D4109:G4109)</f>
        <v>-369.2105263157895</v>
      </c>
      <c r="J4109" s="253" t="inlineStr">
        <is>
          <t xml:space="preserve">-57.5/3.8*8.0*3.05</t>
        </is>
      </c>
    </row>
    <row r="4110">
      <c r="C4110" s="246" t="inlineStr">
        <is>
          <t xml:space="preserve">Ddt opening D2 (8 nr, 1x2.2) - both faces</t>
        </is>
      </c>
      <c r="D4110" s="248">
        <f>2*8</f>
        <v>16</v>
      </c>
      <c r="E4110" s="247">
        <v>1</v>
      </c>
      <c r="F4110" s="247">
        <v>2.2</v>
      </c>
      <c r="H4110" s="249">
        <f>-PRODUCT(D4110:G4110)</f>
        <v>-35.2</v>
      </c>
      <c r="J4110" s="253" t="inlineStr">
        <is>
          <t xml:space="preserve">-2*8*1*2.2</t>
        </is>
      </c>
    </row>
    <row r="4111">
      <c r="C4111" s="246" t="inlineStr">
        <is>
          <t xml:space="preserve">Ddt opening D3 (15 nr, 0.9x2.2) - both faces</t>
        </is>
      </c>
      <c r="D4111" s="248">
        <f>2*15</f>
        <v>30</v>
      </c>
      <c r="E4111" s="247">
        <v>0.9</v>
      </c>
      <c r="F4111" s="247">
        <v>2.2</v>
      </c>
      <c r="H4111" s="249">
        <f>-PRODUCT(D4111:G4111)</f>
        <v>-59.400000000000006</v>
      </c>
      <c r="J4111" s="253" t="inlineStr">
        <is>
          <t xml:space="preserve">-2*15*0.9*2.2</t>
        </is>
      </c>
    </row>
    <row r="4112">
      <c r="C4112" s="246" t="inlineStr">
        <is>
          <t xml:space="preserve">Ddt opening D6 (20 nr, 0.75x2.2) - both faces</t>
        </is>
      </c>
      <c r="D4112" s="248">
        <f>2*20</f>
        <v>40</v>
      </c>
      <c r="E4112" s="247">
        <v>0.75</v>
      </c>
      <c r="F4112" s="247">
        <v>2.2</v>
      </c>
      <c r="H4112" s="249">
        <f>-PRODUCT(D4112:G4112)</f>
        <v>-66.0</v>
      </c>
      <c r="J4112" s="253" t="inlineStr">
        <is>
          <t xml:space="preserve">-2*20*0.75*2.2</t>
        </is>
      </c>
    </row>
    <row r="4113">
      <c r="C4113" s="246" t="inlineStr">
        <is>
          <t xml:space="preserve">Ddt opening D7 (1 nr, 0.7x2.2) - both faces</t>
        </is>
      </c>
      <c r="D4113" s="248">
        <f>2*1</f>
        <v>2</v>
      </c>
      <c r="E4113" s="247">
        <v>0.7</v>
      </c>
      <c r="F4113" s="247">
        <v>2.2</v>
      </c>
      <c r="H4113" s="249">
        <f>-PRODUCT(D4113:G4113)</f>
        <v>-3.08</v>
      </c>
      <c r="J4113" s="253" t="inlineStr">
        <is>
          <t xml:space="preserve">-2*1*0.7*2.2</t>
        </is>
      </c>
    </row>
    <row r="4114">
      <c r="C4114" s="246" t="inlineStr">
        <is>
          <t xml:space="preserve">Ddt opening D8 (3 nr, 1.2x2.2) - both faces</t>
        </is>
      </c>
      <c r="D4114" s="248">
        <f>2*3</f>
        <v>6</v>
      </c>
      <c r="E4114" s="247">
        <v>1.2</v>
      </c>
      <c r="F4114" s="247">
        <v>2.2</v>
      </c>
      <c r="H4114" s="249">
        <f>-PRODUCT(D4114:G4114)</f>
        <v>-15.84</v>
      </c>
      <c r="J4114" s="253" t="inlineStr">
        <is>
          <t xml:space="preserve">-2*3*1.2*2.2</t>
        </is>
      </c>
    </row>
    <row r="4115">
      <c r="C4115" s="246" t="inlineStr">
        <is>
          <t xml:space="preserve">Ddt opening ED1 (3 nr, 1x2.2) - both faces</t>
        </is>
      </c>
      <c r="D4115" s="248">
        <f>2*3</f>
        <v>6</v>
      </c>
      <c r="E4115" s="247">
        <v>1</v>
      </c>
      <c r="F4115" s="247">
        <v>2.2</v>
      </c>
      <c r="H4115" s="249">
        <f>-PRODUCT(D4115:G4115)</f>
        <v>-13.200000000000001</v>
      </c>
      <c r="J4115" s="253" t="inlineStr">
        <is>
          <t xml:space="preserve">-2*3*1*2.2</t>
        </is>
      </c>
    </row>
    <row r="4116">
      <c r="C4116" s="246" t="inlineStr">
        <is>
          <t xml:space="preserve">Ddt opening ED2 (2 nr, 1x2.2) - both faces</t>
        </is>
      </c>
      <c r="D4116" s="248">
        <f>2*2</f>
        <v>4</v>
      </c>
      <c r="E4116" s="247">
        <v>1</v>
      </c>
      <c r="F4116" s="247">
        <v>2.2</v>
      </c>
      <c r="H4116" s="249">
        <f>-PRODUCT(D4116:G4116)</f>
        <v>-8.8</v>
      </c>
      <c r="J4116" s="253" t="inlineStr">
        <is>
          <t xml:space="preserve">-2*2*1*2.2</t>
        </is>
      </c>
    </row>
    <row r="4117">
      <c r="C4117" s="246" t="inlineStr">
        <is>
          <t xml:space="preserve">Ddt opening D9 (1 nr, 0.9x2.2) - both faces</t>
        </is>
      </c>
      <c r="D4117" s="248">
        <f>2*1</f>
        <v>2</v>
      </c>
      <c r="E4117" s="247">
        <v>0.9</v>
      </c>
      <c r="F4117" s="247">
        <v>2.2</v>
      </c>
      <c r="H4117" s="249">
        <f>-PRODUCT(D4117:G4117)</f>
        <v>-3.9600000000000004</v>
      </c>
      <c r="J4117" s="253" t="inlineStr">
        <is>
          <t xml:space="preserve">-2*1*0.9*2.2</t>
        </is>
      </c>
    </row>
    <row r="4118">
      <c r="C4118" s="246" t="inlineStr">
        <is>
          <t xml:space="preserve">Ddt opening FD1 (1 nr, 1.5x2.2) - both faces</t>
        </is>
      </c>
      <c r="D4118" s="248">
        <f>2*1</f>
        <v>2</v>
      </c>
      <c r="E4118" s="247">
        <v>1.5</v>
      </c>
      <c r="F4118" s="247">
        <v>2.2</v>
      </c>
      <c r="H4118" s="249">
        <f>-PRODUCT(D4118:G4118)</f>
        <v>-6.6000000000000005</v>
      </c>
      <c r="J4118" s="253" t="inlineStr">
        <is>
          <t xml:space="preserve">-2*1*1.5*2.2</t>
        </is>
      </c>
    </row>
    <row r="4119">
      <c r="C4119" s="246" t="inlineStr">
        <is>
          <t xml:space="preserve">Ddt opening M1 (2 nr, 0.9x2.2) - both faces</t>
        </is>
      </c>
      <c r="D4119" s="248">
        <f>2*2</f>
        <v>4</v>
      </c>
      <c r="E4119" s="247">
        <v>0.9</v>
      </c>
      <c r="F4119" s="247">
        <v>2.2</v>
      </c>
      <c r="H4119" s="249">
        <f>-PRODUCT(D4119:G4119)</f>
        <v>-7.920000000000001</v>
      </c>
      <c r="J4119" s="253" t="inlineStr">
        <is>
          <t xml:space="preserve">-2*2*0.9*2.2</t>
        </is>
      </c>
    </row>
    <row r="4120">
      <c r="C4120" s="246" t="inlineStr">
        <is>
          <t xml:space="preserve">Ddt opening M2 (4 nr, 0.75x2.2) - both faces</t>
        </is>
      </c>
      <c r="D4120" s="248">
        <f>2*4</f>
        <v>8</v>
      </c>
      <c r="E4120" s="247">
        <v>0.75</v>
      </c>
      <c r="F4120" s="247">
        <v>2.2</v>
      </c>
      <c r="H4120" s="249">
        <f>-PRODUCT(D4120:G4120)</f>
        <v>-13.200000000000001</v>
      </c>
      <c r="J4120" s="253" t="inlineStr">
        <is>
          <t xml:space="preserve">-2*4*0.75*2.2</t>
        </is>
      </c>
    </row>
    <row r="4121">
      <c r="C4121" s="246" t="inlineStr">
        <is>
          <t xml:space="preserve">Ddt opening M3 (1 nr, 0.45x2.2) - both faces</t>
        </is>
      </c>
      <c r="D4121" s="248">
        <f>2*1</f>
        <v>2</v>
      </c>
      <c r="E4121" s="247">
        <v>0.45</v>
      </c>
      <c r="F4121" s="247">
        <v>2.2</v>
      </c>
      <c r="H4121" s="249">
        <f>-PRODUCT(D4121:G4121)</f>
        <v>-1.9800000000000002</v>
      </c>
      <c r="J4121" s="253" t="inlineStr">
        <is>
          <t xml:space="preserve">-2*1*0.45*2.2</t>
        </is>
      </c>
    </row>
    <row r="4122">
      <c r="C4122" s="246" t="inlineStr">
        <is>
          <t xml:space="preserve">Ddt opening M5 (3 nr, 0.6x2.2) - both faces</t>
        </is>
      </c>
      <c r="D4122" s="248">
        <f>2*3</f>
        <v>6</v>
      </c>
      <c r="E4122" s="247">
        <v>0.6</v>
      </c>
      <c r="F4122" s="247">
        <v>2.2</v>
      </c>
      <c r="H4122" s="249">
        <f>-PRODUCT(D4122:G4122)</f>
        <v>-7.92</v>
      </c>
      <c r="J4122" s="253" t="inlineStr">
        <is>
          <t xml:space="preserve">-2*3*0.6*2.2</t>
        </is>
      </c>
    </row>
    <row r="4123">
      <c r="C4123" s="246" t="inlineStr">
        <is>
          <t xml:space="preserve">Ddt opening SD1 (1 nr, 3x2.2) - both faces</t>
        </is>
      </c>
      <c r="D4123" s="248">
        <f>2*1</f>
        <v>2</v>
      </c>
      <c r="E4123" s="247">
        <v>3</v>
      </c>
      <c r="F4123" s="247">
        <v>2.2</v>
      </c>
      <c r="H4123" s="249">
        <f>-PRODUCT(D4123:G4123)</f>
        <v>-13.200000000000001</v>
      </c>
      <c r="J4123" s="253" t="inlineStr">
        <is>
          <t xml:space="preserve">-2*1*3*2.2</t>
        </is>
      </c>
    </row>
    <row r="4124">
      <c r="C4124" s="246" t="inlineStr">
        <is>
          <t xml:space="preserve">Ddt opening SD2 (4 nr, 1.6x2.2) - both faces</t>
        </is>
      </c>
      <c r="D4124" s="248">
        <f>2*4</f>
        <v>8</v>
      </c>
      <c r="E4124" s="247">
        <v>1.6</v>
      </c>
      <c r="F4124" s="247">
        <v>2.2</v>
      </c>
      <c r="H4124" s="249">
        <f>-PRODUCT(D4124:G4124)</f>
        <v>-28.160000000000004</v>
      </c>
      <c r="J4124" s="253" t="inlineStr">
        <is>
          <t xml:space="preserve">-2*4*1.6*2.2</t>
        </is>
      </c>
    </row>
    <row r="4125">
      <c r="C4125" s="246" t="inlineStr">
        <is>
          <t xml:space="preserve">Ddt opening SD3 (2 nr, 1.3x2.2) - both faces</t>
        </is>
      </c>
      <c r="D4125" s="248">
        <f>2*2</f>
        <v>4</v>
      </c>
      <c r="E4125" s="247">
        <v>1.3</v>
      </c>
      <c r="F4125" s="247">
        <v>2.2</v>
      </c>
      <c r="H4125" s="249">
        <f>-PRODUCT(D4125:G4125)</f>
        <v>-11.440000000000001</v>
      </c>
      <c r="J4125" s="253" t="inlineStr">
        <is>
          <t xml:space="preserve">-2*2*1.3*2.2</t>
        </is>
      </c>
    </row>
    <row r="4126">
      <c r="C4126" s="246" t="inlineStr">
        <is>
          <t xml:space="preserve">Ddt opening SD4 (4 nr, 1.8x2.2) - both faces</t>
        </is>
      </c>
      <c r="D4126" s="248">
        <f>2*4</f>
        <v>8</v>
      </c>
      <c r="E4126" s="247">
        <v>1.8</v>
      </c>
      <c r="F4126" s="247">
        <v>2.2</v>
      </c>
      <c r="H4126" s="249">
        <f>-PRODUCT(D4126:G4126)</f>
        <v>-31.680000000000003</v>
      </c>
      <c r="J4126" s="253" t="inlineStr">
        <is>
          <t xml:space="preserve">-2*4*1.8*2.2</t>
        </is>
      </c>
    </row>
    <row r="4127">
      <c r="C4127" s="246" t="inlineStr">
        <is>
          <t xml:space="preserve">Ddt opening SD5 (1 nr, 1.2x2.2) - both faces</t>
        </is>
      </c>
      <c r="D4127" s="248">
        <f>2*1</f>
        <v>2</v>
      </c>
      <c r="E4127" s="247">
        <v>1.2</v>
      </c>
      <c r="F4127" s="247">
        <v>2.2</v>
      </c>
      <c r="H4127" s="249">
        <f>-PRODUCT(D4127:G4127)</f>
        <v>-5.28</v>
      </c>
      <c r="J4127" s="253" t="inlineStr">
        <is>
          <t xml:space="preserve">-2*1*1.2*2.2</t>
        </is>
      </c>
    </row>
    <row r="4128">
      <c r="C4128" s="246" t="inlineStr">
        <is>
          <t xml:space="preserve">Ddt opening W2 (6 nr, 1.8x1.3)</t>
        </is>
      </c>
      <c r="D4128" s="248">
        <v>6</v>
      </c>
      <c r="E4128" s="247">
        <v>1.8</v>
      </c>
      <c r="F4128" s="247">
        <v>1.3</v>
      </c>
      <c r="H4128" s="249">
        <f>-PRODUCT(D4128:G4128)</f>
        <v>-14.040000000000001</v>
      </c>
      <c r="J4128" s="253" t="inlineStr">
        <is>
          <t xml:space="preserve">-6*1.8*1.3</t>
        </is>
      </c>
    </row>
    <row r="4129">
      <c r="C4129" s="246" t="inlineStr">
        <is>
          <t xml:space="preserve">Ddt opening W4 (10 nr, 0.9x1.3)</t>
        </is>
      </c>
      <c r="D4129" s="248">
        <v>10</v>
      </c>
      <c r="E4129" s="247">
        <v>0.9</v>
      </c>
      <c r="F4129" s="247">
        <v>1.3</v>
      </c>
      <c r="H4129" s="249">
        <f>-PRODUCT(D4129:G4129)</f>
        <v>-11.700000000000001</v>
      </c>
      <c r="J4129" s="253" t="inlineStr">
        <is>
          <t xml:space="preserve">-10*0.9*1.3</t>
        </is>
      </c>
    </row>
    <row r="4130">
      <c r="C4130" s="246" t="inlineStr">
        <is>
          <t xml:space="preserve">Ddt opening W7 (1 nr, 1.8x1.6)</t>
        </is>
      </c>
      <c r="D4130" s="248">
        <v>1</v>
      </c>
      <c r="E4130" s="247">
        <v>1.8</v>
      </c>
      <c r="F4130" s="247">
        <v>1.6</v>
      </c>
      <c r="H4130" s="249">
        <f>-PRODUCT(D4130:G4130)</f>
        <v>-2.8800000000000003</v>
      </c>
      <c r="J4130" s="253" t="inlineStr">
        <is>
          <t xml:space="preserve">-1*1.8*1.6</t>
        </is>
      </c>
    </row>
    <row r="4131">
      <c r="C4131" s="246" t="inlineStr">
        <is>
          <t xml:space="preserve">Ddt opening W8 (3 nr, 1.2x1.9)</t>
        </is>
      </c>
      <c r="D4131" s="248">
        <v>3</v>
      </c>
      <c r="E4131" s="247">
        <v>1.2</v>
      </c>
      <c r="F4131" s="247">
        <v>1.9</v>
      </c>
      <c r="H4131" s="249">
        <f>-PRODUCT(D4131:G4131)</f>
        <v>-6.839999999999999</v>
      </c>
      <c r="J4131" s="253" t="inlineStr">
        <is>
          <t xml:space="preserve">-3*1.2*1.9</t>
        </is>
      </c>
    </row>
    <row r="4132">
      <c r="C4132" s="246" t="inlineStr">
        <is>
          <t xml:space="preserve">Ddt opening W9 (8 nr, 1.2x1.15)</t>
        </is>
      </c>
      <c r="D4132" s="248">
        <v>8</v>
      </c>
      <c r="E4132" s="247">
        <v>1.2</v>
      </c>
      <c r="F4132" s="247">
        <v>1.15</v>
      </c>
      <c r="H4132" s="249">
        <f>-PRODUCT(D4132:G4132)</f>
        <v>-11.04</v>
      </c>
      <c r="J4132" s="253" t="inlineStr">
        <is>
          <t xml:space="preserve">-8*1.2*1.15</t>
        </is>
      </c>
    </row>
    <row r="4133">
      <c r="C4133" s="246" t="inlineStr">
        <is>
          <t xml:space="preserve">Ddt opening W10 (1 nr, 1.2x1.2)</t>
        </is>
      </c>
      <c r="D4133" s="248">
        <v>1</v>
      </c>
      <c r="E4133" s="247">
        <v>1.2</v>
      </c>
      <c r="F4133" s="247">
        <v>1.2</v>
      </c>
      <c r="H4133" s="249">
        <f>-PRODUCT(D4133:G4133)</f>
        <v>-1.44</v>
      </c>
      <c r="J4133" s="253" t="inlineStr">
        <is>
          <t xml:space="preserve">-1*1.2*1.2</t>
        </is>
      </c>
    </row>
    <row r="4134">
      <c r="C4134" s="246" t="inlineStr">
        <is>
          <t xml:space="preserve">Ddt opening W11 (6 nr, 1.5x1.3)</t>
        </is>
      </c>
      <c r="D4134" s="248">
        <v>6</v>
      </c>
      <c r="E4134" s="247">
        <v>1.5</v>
      </c>
      <c r="F4134" s="247">
        <v>1.3</v>
      </c>
      <c r="H4134" s="249">
        <f>-PRODUCT(D4134:G4134)</f>
        <v>-11.700000000000001</v>
      </c>
      <c r="J4134" s="253" t="inlineStr">
        <is>
          <t xml:space="preserve">-6*1.5*1.3</t>
        </is>
      </c>
    </row>
    <row r="4135">
      <c r="C4135" s="246" t="inlineStr">
        <is>
          <t xml:space="preserve">Ddt opening W12 (3 nr, 1.5x1.15)</t>
        </is>
      </c>
      <c r="D4135" s="248">
        <v>3</v>
      </c>
      <c r="E4135" s="247">
        <v>1.5</v>
      </c>
      <c r="F4135" s="247">
        <v>1.15</v>
      </c>
      <c r="H4135" s="249">
        <f>-PRODUCT(D4135:G4135)</f>
        <v>-5.175</v>
      </c>
      <c r="J4135" s="253" t="inlineStr">
        <is>
          <t xml:space="preserve">-3*1.5*1.15</t>
        </is>
      </c>
    </row>
    <row r="4136">
      <c r="C4136" s="246" t="inlineStr">
        <is>
          <t xml:space="preserve">Ddt opening W13 (1 nr, 2.4x1.3)</t>
        </is>
      </c>
      <c r="D4136" s="248">
        <v>1</v>
      </c>
      <c r="E4136" s="247">
        <v>2.4</v>
      </c>
      <c r="F4136" s="247">
        <v>1.3</v>
      </c>
      <c r="H4136" s="249">
        <f>-PRODUCT(D4136:G4136)</f>
        <v>-3.12</v>
      </c>
      <c r="J4136" s="253" t="inlineStr">
        <is>
          <t xml:space="preserve">-1*2.4*1.3</t>
        </is>
      </c>
    </row>
    <row r="4137">
      <c r="C4137" s="246" t="inlineStr">
        <is>
          <t xml:space="preserve">Ddt opening W15 (1 nr, 3x1.6)</t>
        </is>
      </c>
      <c r="D4137" s="248">
        <v>1</v>
      </c>
      <c r="E4137" s="247">
        <v>3</v>
      </c>
      <c r="F4137" s="247">
        <v>1.6</v>
      </c>
      <c r="H4137" s="249">
        <f>-PRODUCT(D4137:G4137)</f>
        <v>-4.800000000000001</v>
      </c>
      <c r="J4137" s="253" t="inlineStr">
        <is>
          <t xml:space="preserve">-1*3*1.6</t>
        </is>
      </c>
    </row>
    <row r="4138">
      <c r="C4138" s="246" t="inlineStr">
        <is>
          <t xml:space="preserve">Ddt opening W17 (3 nr, 1.8x1.9)</t>
        </is>
      </c>
      <c r="D4138" s="248">
        <v>3</v>
      </c>
      <c r="E4138" s="247">
        <v>1.8</v>
      </c>
      <c r="F4138" s="247">
        <v>1.9</v>
      </c>
      <c r="H4138" s="249">
        <f>-PRODUCT(D4138:G4138)</f>
        <v>-10.26</v>
      </c>
      <c r="J4138" s="253" t="inlineStr">
        <is>
          <t xml:space="preserve">-3*1.8*1.9</t>
        </is>
      </c>
    </row>
    <row r="4139">
      <c r="C4139" s="246" t="inlineStr">
        <is>
          <t xml:space="preserve">Ddt opening W18 (1 nr, 0.75x1.3)</t>
        </is>
      </c>
      <c r="D4139" s="248">
        <v>1</v>
      </c>
      <c r="E4139" s="247">
        <v>0.75</v>
      </c>
      <c r="F4139" s="247">
        <v>1.3</v>
      </c>
      <c r="H4139" s="249">
        <f>-PRODUCT(D4139:G4139)</f>
        <v>-0.9750000000000001</v>
      </c>
      <c r="J4139" s="253" t="inlineStr">
        <is>
          <t xml:space="preserve">-1*0.75*1.3</t>
        </is>
      </c>
    </row>
    <row r="4140">
      <c r="C4140" s="246" t="inlineStr">
        <is>
          <t xml:space="preserve">Ddt opening W20 (1 nr, 1.45x1.9)</t>
        </is>
      </c>
      <c r="D4140" s="248">
        <v>1</v>
      </c>
      <c r="E4140" s="247">
        <v>1.45</v>
      </c>
      <c r="F4140" s="247">
        <v>1.9</v>
      </c>
      <c r="H4140" s="249">
        <f>-PRODUCT(D4140:G4140)</f>
        <v>-2.755</v>
      </c>
      <c r="J4140" s="253" t="inlineStr">
        <is>
          <t xml:space="preserve">-1*1.45*1.9</t>
        </is>
      </c>
    </row>
    <row r="4141">
      <c r="C4141" s="246" t="inlineStr">
        <is>
          <t xml:space="preserve">Ddt opening HW1 (12 nr, 0.9x0.6)</t>
        </is>
      </c>
      <c r="D4141" s="248">
        <v>12</v>
      </c>
      <c r="E4141" s="247">
        <v>0.9</v>
      </c>
      <c r="F4141" s="247">
        <v>0.6</v>
      </c>
      <c r="H4141" s="249">
        <f>-PRODUCT(D4141:G4141)</f>
        <v>-6.48</v>
      </c>
      <c r="J4141" s="253" t="inlineStr">
        <is>
          <t xml:space="preserve">-12*0.9*0.6</t>
        </is>
      </c>
    </row>
    <row r="4142">
      <c r="C4142" s="246" t="inlineStr">
        <is>
          <t xml:space="preserve">Ddt opening HW2 (5 nr, 0.75x0.6)</t>
        </is>
      </c>
      <c r="D4142" s="248">
        <v>5</v>
      </c>
      <c r="E4142" s="247">
        <v>0.75</v>
      </c>
      <c r="F4142" s="247">
        <v>0.6</v>
      </c>
      <c r="H4142" s="249">
        <f>-PRODUCT(D4142:G4142)</f>
        <v>-2.25</v>
      </c>
      <c r="J4142" s="253" t="inlineStr">
        <is>
          <t xml:space="preserve">-5*0.75*0.6</t>
        </is>
      </c>
    </row>
    <row r="4143">
      <c r="C4143" s="246" t="inlineStr">
        <is>
          <t xml:space="preserve">Ddt opening HW3 (1 nr, 0.6x0.6)</t>
        </is>
      </c>
      <c r="D4143" s="248">
        <v>1</v>
      </c>
      <c r="E4143" s="247">
        <v>0.6</v>
      </c>
      <c r="F4143" s="247">
        <v>0.6</v>
      </c>
      <c r="H4143" s="249">
        <f>-PRODUCT(D4143:G4143)</f>
        <v>-0.36</v>
      </c>
      <c r="J4143" s="253" t="inlineStr">
        <is>
          <t xml:space="preserve">-1*0.6*0.6</t>
        </is>
      </c>
    </row>
    <row r="4144">
      <c r="C4144" s="246" t="inlineStr">
        <is>
          <t xml:space="preserve">Ddt opening HW4 (1 nr, 1.2x0.6)</t>
        </is>
      </c>
      <c r="D4144" s="248">
        <v>1</v>
      </c>
      <c r="E4144" s="247">
        <v>1.2</v>
      </c>
      <c r="F4144" s="247">
        <v>0.6</v>
      </c>
      <c r="H4144" s="249">
        <f>-PRODUCT(D4144:G4144)</f>
        <v>-0.72</v>
      </c>
      <c r="J4144" s="253" t="inlineStr">
        <is>
          <t xml:space="preserve">-1*1.2*0.6</t>
        </is>
      </c>
    </row>
    <row r="4145">
      <c r="C4145" s="250" t="inlineStr">
        <is>
          <t xml:space="preserve">Total carried to BOQ  7TH FLR item A</t>
        </is>
      </c>
      <c r="D4145" s="250" t="inlineStr">
        <is>
          <t xml:space="preserve"/>
        </is>
      </c>
      <c r="E4145" s="250" t="inlineStr">
        <is>
          <t xml:space="preserve"/>
        </is>
      </c>
      <c r="F4145" s="250" t="inlineStr">
        <is>
          <t xml:space="preserve"/>
        </is>
      </c>
      <c r="G4145" s="250" t="inlineStr">
        <is>
          <t xml:space="preserve"/>
        </is>
      </c>
      <c r="H4145" s="251">
        <f>SUM(H4105:H4144)</f>
        <v>1926.874473684211</v>
      </c>
      <c r="I4145" s="252" t="inlineStr">
        <is>
          <t xml:space="preserve">m2</t>
        </is>
      </c>
    </row>
    <row r="4146">
      <c r="A4146" s="243" t="inlineStr">
        <is>
          <t xml:space="preserve">7TH FLR</t>
        </is>
      </c>
      <c r="B4146" s="243" t="inlineStr">
        <is>
          <t xml:space="preserve">B</t>
        </is>
      </c>
      <c r="C4146" s="244" t="inlineStr">
        <is>
          <t xml:space="preserve">Interior partitions and washrooms (above wall tiling)</t>
        </is>
      </c>
      <c r="I4146" s="245" t="inlineStr">
        <is>
          <t xml:space="preserve">m2</t>
        </is>
      </c>
      <c r="K4146" s="256" t="inlineStr">
        <is>
          <t xml:space="preserve">'7TH FLR   '!C236</t>
        </is>
      </c>
    </row>
    <row r="4147">
      <c r="C4147" s="246" t="inlineStr">
        <is>
          <t xml:space="preserve">washroom walls: (wet area / 3.8 m2 per WC) x 8.0 m girth x ht</t>
        </is>
      </c>
      <c r="E4147" s="247">
        <f>57.5/3.8</f>
        <v>15.131578947368421</v>
      </c>
      <c r="F4147" s="247">
        <v>8.0</v>
      </c>
      <c r="G4147" s="247">
        <v>3.05</v>
      </c>
      <c r="H4147" s="249">
        <f>PRODUCT(D4147:G4147)</f>
        <v>369.2105263157895</v>
      </c>
      <c r="J4147" s="253" t="inlineStr">
        <is>
          <t xml:space="preserve">57.5/3.8*8.0*3.05</t>
        </is>
      </c>
    </row>
    <row r="4148">
      <c r="C4148" s="246" t="inlineStr">
        <is>
          <t xml:space="preserve">Ddt washroom doors: nr x 0.75 x 2.2</t>
        </is>
      </c>
      <c r="E4148" s="247">
        <f>57.5/3.8</f>
        <v>15.131578947368421</v>
      </c>
      <c r="F4148" s="247">
        <v>0.75</v>
      </c>
      <c r="G4148" s="247">
        <v>2.2</v>
      </c>
      <c r="H4148" s="249">
        <f>-PRODUCT(D4148:G4148)</f>
        <v>-24.967105263157894</v>
      </c>
      <c r="J4148" s="253" t="inlineStr">
        <is>
          <t xml:space="preserve">-57.5/3.8*0.75*2.2</t>
        </is>
      </c>
    </row>
    <row r="4149">
      <c r="C4149" s="246" t="inlineStr">
        <is>
          <t xml:space="preserve">Ddt washroom walls: (wet area / 3.8 m2 per WC) x 8.0 m girth x ht</t>
        </is>
      </c>
      <c r="E4149" s="247">
        <f>57.5/3.8</f>
        <v>15.131578947368421</v>
      </c>
      <c r="F4149" s="247">
        <v>8.0</v>
      </c>
      <c r="G4149" s="247">
        <v>2.4</v>
      </c>
      <c r="H4149" s="249">
        <f>-PRODUCT(D4149:G4149)</f>
        <v>-290.5263157894737</v>
      </c>
      <c r="J4149" s="253" t="inlineStr">
        <is>
          <t xml:space="preserve">-57.5/3.8*8.0*2.4</t>
        </is>
      </c>
    </row>
    <row r="4150">
      <c r="C4150" s="246" t="inlineStr">
        <is>
          <t xml:space="preserve">washroom doors: nr x 0.75 x 2.2</t>
        </is>
      </c>
      <c r="E4150" s="247">
        <f>57.5/3.8</f>
        <v>15.131578947368421</v>
      </c>
      <c r="F4150" s="247">
        <v>0.75</v>
      </c>
      <c r="G4150" s="247">
        <v>2.2</v>
      </c>
      <c r="H4150" s="249">
        <f>PRODUCT(D4150:G4150)</f>
        <v>24.967105263157894</v>
      </c>
      <c r="J4150" s="253" t="inlineStr">
        <is>
          <t xml:space="preserve">57.5/3.8*0.75*2.2</t>
        </is>
      </c>
    </row>
    <row r="4151">
      <c r="C4151" s="250" t="inlineStr">
        <is>
          <t xml:space="preserve">Total carried to BOQ  7TH FLR item B</t>
        </is>
      </c>
      <c r="D4151" s="250" t="inlineStr">
        <is>
          <t xml:space="preserve"/>
        </is>
      </c>
      <c r="E4151" s="250" t="inlineStr">
        <is>
          <t xml:space="preserve"/>
        </is>
      </c>
      <c r="F4151" s="250" t="inlineStr">
        <is>
          <t xml:space="preserve"/>
        </is>
      </c>
      <c r="G4151" s="250" t="inlineStr">
        <is>
          <t xml:space="preserve"/>
        </is>
      </c>
      <c r="H4151" s="251">
        <f>SUM(H4147:H4150)</f>
        <v>78.68421052631575</v>
      </c>
      <c r="I4151" s="252" t="inlineStr">
        <is>
          <t xml:space="preserve">m2</t>
        </is>
      </c>
    </row>
    <row r="4152">
      <c r="A4152" s="243" t="inlineStr">
        <is>
          <t xml:space="preserve">7TH FLR</t>
        </is>
      </c>
      <c r="B4152" s="243" t="inlineStr">
        <is>
          <t xml:space="preserve">C</t>
        </is>
      </c>
      <c r="C4152" s="244" t="inlineStr">
        <is>
          <t xml:space="preserve">Exterior walls</t>
        </is>
      </c>
      <c r="I4152" s="245" t="inlineStr">
        <is>
          <t xml:space="preserve">m2</t>
        </is>
      </c>
      <c r="K4152" s="256" t="inlineStr">
        <is>
          <t xml:space="preserve">'7TH FLR   '!C238</t>
        </is>
      </c>
    </row>
    <row r="4153">
      <c r="C4153" s="246" t="inlineStr">
        <is>
          <t xml:space="preserve">External perimeter x storey ht</t>
        </is>
      </c>
      <c r="E4153" s="247">
        <v>224.2</v>
      </c>
      <c r="F4153" s="247">
        <v>3.3</v>
      </c>
      <c r="H4153" s="249">
        <f>PRODUCT(D4153:G4153)</f>
        <v>739.8599999999999</v>
      </c>
      <c r="J4153" s="253" t="inlineStr">
        <is>
          <t xml:space="preserve">224.2*3.3</t>
        </is>
      </c>
    </row>
    <row r="4154">
      <c r="C4154" s="246" t="inlineStr">
        <is>
          <t xml:space="preserve">Ddt window W2 (6 nr, 1.8x1.3)</t>
        </is>
      </c>
      <c r="D4154" s="248">
        <v>6</v>
      </c>
      <c r="E4154" s="247">
        <v>1.8</v>
      </c>
      <c r="F4154" s="247">
        <v>1.3</v>
      </c>
      <c r="H4154" s="249">
        <f>-PRODUCT(D4154:G4154)</f>
        <v>-14.040000000000001</v>
      </c>
      <c r="J4154" s="253" t="inlineStr">
        <is>
          <t xml:space="preserve">-6*1.8*1.3</t>
        </is>
      </c>
    </row>
    <row r="4155">
      <c r="C4155" s="246" t="inlineStr">
        <is>
          <t xml:space="preserve">Ddt window W4 (10 nr, 0.9x1.3)</t>
        </is>
      </c>
      <c r="D4155" s="248">
        <v>10</v>
      </c>
      <c r="E4155" s="247">
        <v>0.9</v>
      </c>
      <c r="F4155" s="247">
        <v>1.3</v>
      </c>
      <c r="H4155" s="249">
        <f>-PRODUCT(D4155:G4155)</f>
        <v>-11.700000000000001</v>
      </c>
      <c r="J4155" s="253" t="inlineStr">
        <is>
          <t xml:space="preserve">-10*0.9*1.3</t>
        </is>
      </c>
    </row>
    <row r="4156">
      <c r="C4156" s="246" t="inlineStr">
        <is>
          <t xml:space="preserve">Ddt window W7 (1 nr, 1.8x1.6)</t>
        </is>
      </c>
      <c r="D4156" s="248">
        <v>1</v>
      </c>
      <c r="E4156" s="247">
        <v>1.8</v>
      </c>
      <c r="F4156" s="247">
        <v>1.6</v>
      </c>
      <c r="H4156" s="249">
        <f>-PRODUCT(D4156:G4156)</f>
        <v>-2.8800000000000003</v>
      </c>
      <c r="J4156" s="253" t="inlineStr">
        <is>
          <t xml:space="preserve">-1*1.8*1.6</t>
        </is>
      </c>
    </row>
    <row r="4157">
      <c r="C4157" s="246" t="inlineStr">
        <is>
          <t xml:space="preserve">Ddt window W8 (3 nr, 1.2x1.9)</t>
        </is>
      </c>
      <c r="D4157" s="248">
        <v>3</v>
      </c>
      <c r="E4157" s="247">
        <v>1.2</v>
      </c>
      <c r="F4157" s="247">
        <v>1.9</v>
      </c>
      <c r="H4157" s="249">
        <f>-PRODUCT(D4157:G4157)</f>
        <v>-6.839999999999999</v>
      </c>
      <c r="J4157" s="253" t="inlineStr">
        <is>
          <t xml:space="preserve">-3*1.2*1.9</t>
        </is>
      </c>
    </row>
    <row r="4158">
      <c r="C4158" s="246" t="inlineStr">
        <is>
          <t xml:space="preserve">Ddt window W9 (8 nr, 1.2x1.15)</t>
        </is>
      </c>
      <c r="D4158" s="248">
        <v>8</v>
      </c>
      <c r="E4158" s="247">
        <v>1.2</v>
      </c>
      <c r="F4158" s="247">
        <v>1.15</v>
      </c>
      <c r="H4158" s="249">
        <f>-PRODUCT(D4158:G4158)</f>
        <v>-11.04</v>
      </c>
      <c r="J4158" s="253" t="inlineStr">
        <is>
          <t xml:space="preserve">-8*1.2*1.15</t>
        </is>
      </c>
    </row>
    <row r="4159">
      <c r="C4159" s="246" t="inlineStr">
        <is>
          <t xml:space="preserve">Ddt window W10 (1 nr, 1.2x1.2)</t>
        </is>
      </c>
      <c r="D4159" s="248">
        <v>1</v>
      </c>
      <c r="E4159" s="247">
        <v>1.2</v>
      </c>
      <c r="F4159" s="247">
        <v>1.2</v>
      </c>
      <c r="H4159" s="249">
        <f>-PRODUCT(D4159:G4159)</f>
        <v>-1.44</v>
      </c>
      <c r="J4159" s="253" t="inlineStr">
        <is>
          <t xml:space="preserve">-1*1.2*1.2</t>
        </is>
      </c>
    </row>
    <row r="4160">
      <c r="C4160" s="246" t="inlineStr">
        <is>
          <t xml:space="preserve">Ddt window W11 (6 nr, 1.5x1.3)</t>
        </is>
      </c>
      <c r="D4160" s="248">
        <v>6</v>
      </c>
      <c r="E4160" s="247">
        <v>1.5</v>
      </c>
      <c r="F4160" s="247">
        <v>1.3</v>
      </c>
      <c r="H4160" s="249">
        <f>-PRODUCT(D4160:G4160)</f>
        <v>-11.700000000000001</v>
      </c>
      <c r="J4160" s="253" t="inlineStr">
        <is>
          <t xml:space="preserve">-6*1.5*1.3</t>
        </is>
      </c>
    </row>
    <row r="4161">
      <c r="C4161" s="246" t="inlineStr">
        <is>
          <t xml:space="preserve">Ddt window W12 (3 nr, 1.5x1.15)</t>
        </is>
      </c>
      <c r="D4161" s="248">
        <v>3</v>
      </c>
      <c r="E4161" s="247">
        <v>1.5</v>
      </c>
      <c r="F4161" s="247">
        <v>1.15</v>
      </c>
      <c r="H4161" s="249">
        <f>-PRODUCT(D4161:G4161)</f>
        <v>-5.175</v>
      </c>
      <c r="J4161" s="253" t="inlineStr">
        <is>
          <t xml:space="preserve">-3*1.5*1.15</t>
        </is>
      </c>
    </row>
    <row r="4162">
      <c r="C4162" s="246" t="inlineStr">
        <is>
          <t xml:space="preserve">Ddt window W13 (1 nr, 2.4x1.3)</t>
        </is>
      </c>
      <c r="D4162" s="248">
        <v>1</v>
      </c>
      <c r="E4162" s="247">
        <v>2.4</v>
      </c>
      <c r="F4162" s="247">
        <v>1.3</v>
      </c>
      <c r="H4162" s="249">
        <f>-PRODUCT(D4162:G4162)</f>
        <v>-3.12</v>
      </c>
      <c r="J4162" s="253" t="inlineStr">
        <is>
          <t xml:space="preserve">-1*2.4*1.3</t>
        </is>
      </c>
    </row>
    <row r="4163">
      <c r="C4163" s="246" t="inlineStr">
        <is>
          <t xml:space="preserve">Ddt window W15 (1 nr, 3x1.6)</t>
        </is>
      </c>
      <c r="D4163" s="248">
        <v>1</v>
      </c>
      <c r="E4163" s="247">
        <v>3</v>
      </c>
      <c r="F4163" s="247">
        <v>1.6</v>
      </c>
      <c r="H4163" s="249">
        <f>-PRODUCT(D4163:G4163)</f>
        <v>-4.800000000000001</v>
      </c>
      <c r="J4163" s="253" t="inlineStr">
        <is>
          <t xml:space="preserve">-1*3*1.6</t>
        </is>
      </c>
    </row>
    <row r="4164">
      <c r="C4164" s="246" t="inlineStr">
        <is>
          <t xml:space="preserve">Ddt window W17 (3 nr, 1.8x1.9)</t>
        </is>
      </c>
      <c r="D4164" s="248">
        <v>3</v>
      </c>
      <c r="E4164" s="247">
        <v>1.8</v>
      </c>
      <c r="F4164" s="247">
        <v>1.9</v>
      </c>
      <c r="H4164" s="249">
        <f>-PRODUCT(D4164:G4164)</f>
        <v>-10.26</v>
      </c>
      <c r="J4164" s="253" t="inlineStr">
        <is>
          <t xml:space="preserve">-3*1.8*1.9</t>
        </is>
      </c>
    </row>
    <row r="4165">
      <c r="C4165" s="246" t="inlineStr">
        <is>
          <t xml:space="preserve">Ddt window W18 (1 nr, 0.75x1.3)</t>
        </is>
      </c>
      <c r="D4165" s="248">
        <v>1</v>
      </c>
      <c r="E4165" s="247">
        <v>0.75</v>
      </c>
      <c r="F4165" s="247">
        <v>1.3</v>
      </c>
      <c r="H4165" s="249">
        <f>-PRODUCT(D4165:G4165)</f>
        <v>-0.9750000000000001</v>
      </c>
      <c r="J4165" s="253" t="inlineStr">
        <is>
          <t xml:space="preserve">-1*0.75*1.3</t>
        </is>
      </c>
    </row>
    <row r="4166">
      <c r="C4166" s="246" t="inlineStr">
        <is>
          <t xml:space="preserve">Ddt window W20 (1 nr, 1.45x1.9)</t>
        </is>
      </c>
      <c r="D4166" s="248">
        <v>1</v>
      </c>
      <c r="E4166" s="247">
        <v>1.45</v>
      </c>
      <c r="F4166" s="247">
        <v>1.9</v>
      </c>
      <c r="H4166" s="249">
        <f>-PRODUCT(D4166:G4166)</f>
        <v>-2.755</v>
      </c>
      <c r="J4166" s="253" t="inlineStr">
        <is>
          <t xml:space="preserve">-1*1.45*1.9</t>
        </is>
      </c>
    </row>
    <row r="4167">
      <c r="C4167" s="246" t="inlineStr">
        <is>
          <t xml:space="preserve">Ddt window HW1 (12 nr, 0.9x0.6)</t>
        </is>
      </c>
      <c r="D4167" s="248">
        <v>12</v>
      </c>
      <c r="E4167" s="247">
        <v>0.9</v>
      </c>
      <c r="F4167" s="247">
        <v>0.6</v>
      </c>
      <c r="H4167" s="249">
        <f>-PRODUCT(D4167:G4167)</f>
        <v>-6.48</v>
      </c>
      <c r="J4167" s="253" t="inlineStr">
        <is>
          <t xml:space="preserve">-12*0.9*0.6</t>
        </is>
      </c>
    </row>
    <row r="4168">
      <c r="C4168" s="246" t="inlineStr">
        <is>
          <t xml:space="preserve">Ddt window HW2 (5 nr, 0.75x0.6)</t>
        </is>
      </c>
      <c r="D4168" s="248">
        <v>5</v>
      </c>
      <c r="E4168" s="247">
        <v>0.75</v>
      </c>
      <c r="F4168" s="247">
        <v>0.6</v>
      </c>
      <c r="H4168" s="249">
        <f>-PRODUCT(D4168:G4168)</f>
        <v>-2.25</v>
      </c>
      <c r="J4168" s="253" t="inlineStr">
        <is>
          <t xml:space="preserve">-5*0.75*0.6</t>
        </is>
      </c>
    </row>
    <row r="4169">
      <c r="C4169" s="246" t="inlineStr">
        <is>
          <t xml:space="preserve">Ddt window HW3 (1 nr, 0.6x0.6)</t>
        </is>
      </c>
      <c r="D4169" s="248">
        <v>1</v>
      </c>
      <c r="E4169" s="247">
        <v>0.6</v>
      </c>
      <c r="F4169" s="247">
        <v>0.6</v>
      </c>
      <c r="H4169" s="249">
        <f>-PRODUCT(D4169:G4169)</f>
        <v>-0.36</v>
      </c>
      <c r="J4169" s="253" t="inlineStr">
        <is>
          <t xml:space="preserve">-1*0.6*0.6</t>
        </is>
      </c>
    </row>
    <row r="4170">
      <c r="C4170" s="246" t="inlineStr">
        <is>
          <t xml:space="preserve">Ddt window HW4 (1 nr, 1.2x0.6)</t>
        </is>
      </c>
      <c r="D4170" s="248">
        <v>1</v>
      </c>
      <c r="E4170" s="247">
        <v>1.2</v>
      </c>
      <c r="F4170" s="247">
        <v>0.6</v>
      </c>
      <c r="H4170" s="249">
        <f>-PRODUCT(D4170:G4170)</f>
        <v>-0.72</v>
      </c>
      <c r="J4170" s="253" t="inlineStr">
        <is>
          <t xml:space="preserve">-1*1.2*0.6</t>
        </is>
      </c>
    </row>
    <row r="4171">
      <c r="C4171" s="250" t="inlineStr">
        <is>
          <t xml:space="preserve">Total carried to BOQ  7TH FLR item C</t>
        </is>
      </c>
      <c r="D4171" s="250" t="inlineStr">
        <is>
          <t xml:space="preserve"/>
        </is>
      </c>
      <c r="E4171" s="250" t="inlineStr">
        <is>
          <t xml:space="preserve"/>
        </is>
      </c>
      <c r="F4171" s="250" t="inlineStr">
        <is>
          <t xml:space="preserve"/>
        </is>
      </c>
      <c r="G4171" s="250" t="inlineStr">
        <is>
          <t xml:space="preserve"/>
        </is>
      </c>
      <c r="H4171" s="251">
        <f>SUM(H4153:H4170)</f>
        <v>643.3249999999998</v>
      </c>
      <c r="I4171" s="252" t="inlineStr">
        <is>
          <t xml:space="preserve">m2</t>
        </is>
      </c>
    </row>
    <row r="4172">
      <c r="A4172" s="243" t="inlineStr">
        <is>
          <t xml:space="preserve">7TH FLR</t>
        </is>
      </c>
      <c r="B4172" s="243" t="inlineStr">
        <is>
          <t xml:space="preserve">D</t>
        </is>
      </c>
      <c r="C4172" s="244" t="inlineStr">
        <is>
          <t xml:space="preserve">Soffit of plaster board ceilings</t>
        </is>
      </c>
      <c r="I4172" s="245" t="inlineStr">
        <is>
          <t xml:space="preserve">m2</t>
        </is>
      </c>
      <c r="K4172" s="256" t="inlineStr">
        <is>
          <t xml:space="preserve">'7TH FLR   '!C240</t>
        </is>
      </c>
    </row>
    <row r="4173">
      <c r="C4173" s="246" t="inlineStr">
        <is>
          <t xml:space="preserve">Seventh floor - Ceiling areas (measured)</t>
        </is>
      </c>
      <c r="H4173" s="247">
        <v>805.7</v>
      </c>
      <c r="J4173" s="253" t="inlineStr">
        <is>
          <t xml:space="preserve">805.7</t>
        </is>
      </c>
    </row>
    <row r="4174">
      <c r="C4174" s="250" t="inlineStr">
        <is>
          <t xml:space="preserve">Total carried to BOQ  7TH FLR item D</t>
        </is>
      </c>
      <c r="D4174" s="250" t="inlineStr">
        <is>
          <t xml:space="preserve"/>
        </is>
      </c>
      <c r="E4174" s="250" t="inlineStr">
        <is>
          <t xml:space="preserve"/>
        </is>
      </c>
      <c r="F4174" s="250" t="inlineStr">
        <is>
          <t xml:space="preserve"/>
        </is>
      </c>
      <c r="G4174" s="250" t="inlineStr">
        <is>
          <t xml:space="preserve"/>
        </is>
      </c>
      <c r="H4174" s="251">
        <f>SUM(H4173:H4173)</f>
        <v>805.7</v>
      </c>
      <c r="I4174" s="252" t="inlineStr">
        <is>
          <t xml:space="preserve">m2</t>
        </is>
      </c>
    </row>
    <row r="4175">
      <c r="A4175" s="243" t="inlineStr">
        <is>
          <t xml:space="preserve">7TH FLR</t>
        </is>
      </c>
      <c r="B4175" s="243" t="inlineStr">
        <is>
          <t xml:space="preserve">E</t>
        </is>
      </c>
      <c r="C4175" s="244" t="inlineStr">
        <is>
          <t xml:space="preserve">Soffit of plaster board ceilings for washrooms</t>
        </is>
      </c>
      <c r="I4175" s="245" t="inlineStr">
        <is>
          <t xml:space="preserve">m2</t>
        </is>
      </c>
      <c r="K4175" s="256" t="inlineStr">
        <is>
          <t xml:space="preserve">'7TH FLR   '!C242</t>
        </is>
      </c>
    </row>
    <row r="4176">
      <c r="C4176" s="246" t="inlineStr">
        <is>
          <t xml:space="preserve">Seventh floor - Washroom ceiling areas (measured)</t>
        </is>
      </c>
      <c r="H4176" s="247">
        <v>57.5</v>
      </c>
      <c r="J4176" s="253" t="inlineStr">
        <is>
          <t xml:space="preserve">57.5</t>
        </is>
      </c>
    </row>
    <row r="4177">
      <c r="C4177" s="250" t="inlineStr">
        <is>
          <t xml:space="preserve">Total carried to BOQ  7TH FLR item E</t>
        </is>
      </c>
      <c r="D4177" s="250" t="inlineStr">
        <is>
          <t xml:space="preserve"/>
        </is>
      </c>
      <c r="E4177" s="250" t="inlineStr">
        <is>
          <t xml:space="preserve"/>
        </is>
      </c>
      <c r="F4177" s="250" t="inlineStr">
        <is>
          <t xml:space="preserve"/>
        </is>
      </c>
      <c r="G4177" s="250" t="inlineStr">
        <is>
          <t xml:space="preserve"/>
        </is>
      </c>
      <c r="H4177" s="251">
        <f>SUM(H4176:H4176)</f>
        <v>57.5</v>
      </c>
      <c r="I4177" s="252" t="inlineStr">
        <is>
          <t xml:space="preserve">m2</t>
        </is>
      </c>
    </row>
    <row r="4178" ht="32.2" customHeight="1">
      <c r="A4178" s="243" t="inlineStr">
        <is>
          <t xml:space="preserve">7TH FLR</t>
        </is>
      </c>
      <c r="B4178" s="243" t="inlineStr">
        <is>
          <t xml:space="preserve">F</t>
        </is>
      </c>
      <c r="C4178" s="244" t="inlineStr">
        <is>
          <t xml:space="preserve">Knot, prime, stop and apply two undercoats and one finishing coat of gloss oil paint on general surfaces of woodwork</t>
        </is>
      </c>
      <c r="I4178" s="245" t="inlineStr">
        <is>
          <t xml:space="preserve">m2</t>
        </is>
      </c>
      <c r="K4178" s="256" t="inlineStr">
        <is>
          <t xml:space="preserve">'7TH FLR   '!C244</t>
        </is>
      </c>
    </row>
    <row r="4179">
      <c r="C4179" s="246" t="inlineStr">
        <is>
          <t xml:space="preserve">Door leaf D3 (15 nr, 0.9x2.2): nr x w x h x 2 faces</t>
        </is>
      </c>
      <c r="D4179" s="248">
        <v>15</v>
      </c>
      <c r="E4179" s="247">
        <v>0.9</v>
      </c>
      <c r="F4179" s="247">
        <v>2.2</v>
      </c>
      <c r="G4179" s="247">
        <v>2</v>
      </c>
      <c r="H4179" s="249">
        <f>PRODUCT(D4179:G4179)</f>
        <v>59.400000000000006</v>
      </c>
      <c r="J4179" s="253" t="inlineStr">
        <is>
          <t xml:space="preserve">15*0.9*2.2*2</t>
        </is>
      </c>
    </row>
    <row r="4180">
      <c r="C4180" s="246" t="inlineStr">
        <is>
          <t xml:space="preserve">Door leaf D6 (20 nr, 0.75x2.2): nr x w x h x 2 faces</t>
        </is>
      </c>
      <c r="D4180" s="248">
        <v>20</v>
      </c>
      <c r="E4180" s="247">
        <v>0.75</v>
      </c>
      <c r="F4180" s="247">
        <v>2.2</v>
      </c>
      <c r="G4180" s="247">
        <v>2</v>
      </c>
      <c r="H4180" s="249">
        <f>PRODUCT(D4180:G4180)</f>
        <v>66.0</v>
      </c>
      <c r="J4180" s="253" t="inlineStr">
        <is>
          <t xml:space="preserve">20*0.75*2.2*2</t>
        </is>
      </c>
    </row>
    <row r="4181">
      <c r="C4181" s="246" t="inlineStr">
        <is>
          <t xml:space="preserve">Door leaf FD1 (1 nr, 1.5x2.2): nr x w x h x 2 faces</t>
        </is>
      </c>
      <c r="D4181" s="248">
        <v>1</v>
      </c>
      <c r="E4181" s="247">
        <v>1.5</v>
      </c>
      <c r="F4181" s="247">
        <v>2.2</v>
      </c>
      <c r="G4181" s="247">
        <v>2</v>
      </c>
      <c r="H4181" s="249">
        <f>PRODUCT(D4181:G4181)</f>
        <v>6.6000000000000005</v>
      </c>
      <c r="J4181" s="253" t="inlineStr">
        <is>
          <t xml:space="preserve">1*1.5*2.2*2</t>
        </is>
      </c>
    </row>
    <row r="4182">
      <c r="C4182" s="246" t="inlineStr">
        <is>
          <t xml:space="preserve">15*(2*2.2+0.9)*0.25</t>
        </is>
      </c>
      <c r="D4182" s="248">
        <v>15</v>
      </c>
      <c r="E4182" s="247">
        <f>2*2.2+0.9</f>
        <v>5.300000000000001</v>
      </c>
      <c r="F4182" s="247">
        <v>0.25</v>
      </c>
      <c r="H4182" s="249">
        <f>PRODUCT(D4182:G4182)</f>
        <v>19.875000000000004</v>
      </c>
      <c r="J4182" s="253" t="inlineStr">
        <is>
          <t xml:space="preserve">15*(2*2.2+0.9)*0.25</t>
        </is>
      </c>
    </row>
    <row r="4183">
      <c r="C4183" s="246" t="inlineStr">
        <is>
          <t xml:space="preserve">20*(2*2.2+0.75)*0.25</t>
        </is>
      </c>
      <c r="D4183" s="248">
        <v>20</v>
      </c>
      <c r="E4183" s="247">
        <f>2*2.2+0.75</f>
        <v>5.15</v>
      </c>
      <c r="F4183" s="247">
        <v>0.25</v>
      </c>
      <c r="H4183" s="249">
        <f>PRODUCT(D4183:G4183)</f>
        <v>25.75</v>
      </c>
      <c r="J4183" s="253" t="inlineStr">
        <is>
          <t xml:space="preserve">20*(2*2.2+0.75)*0.25</t>
        </is>
      </c>
    </row>
    <row r="4184">
      <c r="C4184" s="246" t="inlineStr">
        <is>
          <t xml:space="preserve">1*(2*2.2+1.5)*0.25</t>
        </is>
      </c>
      <c r="D4184" s="248">
        <v>1</v>
      </c>
      <c r="E4184" s="247">
        <f>2*2.2+1.5</f>
        <v>5.9</v>
      </c>
      <c r="F4184" s="247">
        <v>0.25</v>
      </c>
      <c r="H4184" s="249">
        <f>PRODUCT(D4184:G4184)</f>
        <v>1.475</v>
      </c>
      <c r="J4184" s="253" t="inlineStr">
        <is>
          <t xml:space="preserve">1*(2*2.2+1.5)*0.25</t>
        </is>
      </c>
    </row>
    <row r="4185">
      <c r="C4185" s="250" t="inlineStr">
        <is>
          <t xml:space="preserve">Total carried to BOQ  7TH FLR item F</t>
        </is>
      </c>
      <c r="D4185" s="250" t="inlineStr">
        <is>
          <t xml:space="preserve"/>
        </is>
      </c>
      <c r="E4185" s="250" t="inlineStr">
        <is>
          <t xml:space="preserve"/>
        </is>
      </c>
      <c r="F4185" s="250" t="inlineStr">
        <is>
          <t xml:space="preserve"/>
        </is>
      </c>
      <c r="G4185" s="250" t="inlineStr">
        <is>
          <t xml:space="preserve"/>
        </is>
      </c>
      <c r="H4185" s="251">
        <f>SUM(H4179:H4184)</f>
        <v>179.1</v>
      </c>
      <c r="I4185" s="252" t="inlineStr">
        <is>
          <t xml:space="preserve">m2</t>
        </is>
      </c>
    </row>
    <row r="4186" ht="32.2" customHeight="1">
      <c r="A4186" s="243" t="inlineStr">
        <is>
          <t xml:space="preserve">7TH FLR</t>
        </is>
      </c>
      <c r="B4186" s="243" t="inlineStr">
        <is>
          <t xml:space="preserve">G</t>
        </is>
      </c>
      <c r="C4186" s="244" t="inlineStr">
        <is>
          <t xml:space="preserve">Prepare and apply one coat of aluminium primer on mild steel burglar-proof bars (measured over window opening area)</t>
        </is>
      </c>
      <c r="I4186" s="245" t="inlineStr">
        <is>
          <t xml:space="preserve">m2</t>
        </is>
      </c>
      <c r="K4186" s="256" t="inlineStr">
        <is>
          <t xml:space="preserve">'7TH FLR   '!C246</t>
        </is>
      </c>
    </row>
    <row r="4187">
      <c r="C4187" s="246" t="inlineStr">
        <is>
          <t xml:space="preserve">Window W2 (6 nr, 1.8x1.3): nr x w x h</t>
        </is>
      </c>
      <c r="D4187" s="248">
        <v>6</v>
      </c>
      <c r="E4187" s="247">
        <v>1.8</v>
      </c>
      <c r="F4187" s="247">
        <v>1.3</v>
      </c>
      <c r="H4187" s="249">
        <f>PRODUCT(D4187:G4187)</f>
        <v>14.040000000000001</v>
      </c>
      <c r="J4187" s="253" t="inlineStr">
        <is>
          <t xml:space="preserve">6*1.8*1.3</t>
        </is>
      </c>
    </row>
    <row r="4188">
      <c r="C4188" s="246" t="inlineStr">
        <is>
          <t xml:space="preserve">Window W4 (10 nr, 0.9x1.3): nr x w x h</t>
        </is>
      </c>
      <c r="D4188" s="248">
        <v>10</v>
      </c>
      <c r="E4188" s="247">
        <v>0.9</v>
      </c>
      <c r="F4188" s="247">
        <v>1.3</v>
      </c>
      <c r="H4188" s="249">
        <f>PRODUCT(D4188:G4188)</f>
        <v>11.700000000000001</v>
      </c>
      <c r="J4188" s="253" t="inlineStr">
        <is>
          <t xml:space="preserve">10*0.9*1.3</t>
        </is>
      </c>
    </row>
    <row r="4189">
      <c r="C4189" s="246" t="inlineStr">
        <is>
          <t xml:space="preserve">Window W7 (1 nr, 1.8x1.6): nr x w x h</t>
        </is>
      </c>
      <c r="D4189" s="248">
        <v>1</v>
      </c>
      <c r="E4189" s="247">
        <v>1.8</v>
      </c>
      <c r="F4189" s="247">
        <v>1.6</v>
      </c>
      <c r="H4189" s="249">
        <f>PRODUCT(D4189:G4189)</f>
        <v>2.8800000000000003</v>
      </c>
      <c r="J4189" s="253" t="inlineStr">
        <is>
          <t xml:space="preserve">1*1.8*1.6</t>
        </is>
      </c>
    </row>
    <row r="4190">
      <c r="C4190" s="246" t="inlineStr">
        <is>
          <t xml:space="preserve">Window W8 (3 nr, 1.2x1.9): nr x w x h</t>
        </is>
      </c>
      <c r="D4190" s="248">
        <v>3</v>
      </c>
      <c r="E4190" s="247">
        <v>1.2</v>
      </c>
      <c r="F4190" s="247">
        <v>1.9</v>
      </c>
      <c r="H4190" s="249">
        <f>PRODUCT(D4190:G4190)</f>
        <v>6.839999999999999</v>
      </c>
      <c r="J4190" s="253" t="inlineStr">
        <is>
          <t xml:space="preserve">3*1.2*1.9</t>
        </is>
      </c>
    </row>
    <row r="4191">
      <c r="C4191" s="246" t="inlineStr">
        <is>
          <t xml:space="preserve">Window W9 (8 nr, 1.2x1.15): nr x w x h</t>
        </is>
      </c>
      <c r="D4191" s="248">
        <v>8</v>
      </c>
      <c r="E4191" s="247">
        <v>1.2</v>
      </c>
      <c r="F4191" s="247">
        <v>1.15</v>
      </c>
      <c r="H4191" s="249">
        <f>PRODUCT(D4191:G4191)</f>
        <v>11.04</v>
      </c>
      <c r="J4191" s="253" t="inlineStr">
        <is>
          <t xml:space="preserve">8*1.2*1.15</t>
        </is>
      </c>
    </row>
    <row r="4192">
      <c r="C4192" s="246" t="inlineStr">
        <is>
          <t xml:space="preserve">Window W10 (1 nr, 1.2x1.2): nr x w x h</t>
        </is>
      </c>
      <c r="D4192" s="248">
        <v>1</v>
      </c>
      <c r="E4192" s="247">
        <v>1.2</v>
      </c>
      <c r="F4192" s="247">
        <v>1.2</v>
      </c>
      <c r="H4192" s="249">
        <f>PRODUCT(D4192:G4192)</f>
        <v>1.44</v>
      </c>
      <c r="J4192" s="253" t="inlineStr">
        <is>
          <t xml:space="preserve">1*1.2*1.2</t>
        </is>
      </c>
    </row>
    <row r="4193">
      <c r="C4193" s="246" t="inlineStr">
        <is>
          <t xml:space="preserve">Window W11 (6 nr, 1.5x1.3): nr x w x h</t>
        </is>
      </c>
      <c r="D4193" s="248">
        <v>6</v>
      </c>
      <c r="E4193" s="247">
        <v>1.5</v>
      </c>
      <c r="F4193" s="247">
        <v>1.3</v>
      </c>
      <c r="H4193" s="249">
        <f>PRODUCT(D4193:G4193)</f>
        <v>11.700000000000001</v>
      </c>
      <c r="J4193" s="253" t="inlineStr">
        <is>
          <t xml:space="preserve">6*1.5*1.3</t>
        </is>
      </c>
    </row>
    <row r="4194">
      <c r="C4194" s="246" t="inlineStr">
        <is>
          <t xml:space="preserve">Window W12 (3 nr, 1.5x1.15): nr x w x h</t>
        </is>
      </c>
      <c r="D4194" s="248">
        <v>3</v>
      </c>
      <c r="E4194" s="247">
        <v>1.5</v>
      </c>
      <c r="F4194" s="247">
        <v>1.15</v>
      </c>
      <c r="H4194" s="249">
        <f>PRODUCT(D4194:G4194)</f>
        <v>5.175</v>
      </c>
      <c r="J4194" s="253" t="inlineStr">
        <is>
          <t xml:space="preserve">3*1.5*1.15</t>
        </is>
      </c>
    </row>
    <row r="4195">
      <c r="C4195" s="246" t="inlineStr">
        <is>
          <t xml:space="preserve">Window W13 (1 nr, 2.4x1.3): nr x w x h</t>
        </is>
      </c>
      <c r="D4195" s="248">
        <v>1</v>
      </c>
      <c r="E4195" s="247">
        <v>2.4</v>
      </c>
      <c r="F4195" s="247">
        <v>1.3</v>
      </c>
      <c r="H4195" s="249">
        <f>PRODUCT(D4195:G4195)</f>
        <v>3.12</v>
      </c>
      <c r="J4195" s="253" t="inlineStr">
        <is>
          <t xml:space="preserve">1*2.4*1.3</t>
        </is>
      </c>
    </row>
    <row r="4196">
      <c r="C4196" s="246" t="inlineStr">
        <is>
          <t xml:space="preserve">Window W15 (1 nr, 3x1.6): nr x w x h</t>
        </is>
      </c>
      <c r="D4196" s="248">
        <v>1</v>
      </c>
      <c r="E4196" s="247">
        <v>3</v>
      </c>
      <c r="F4196" s="247">
        <v>1.6</v>
      </c>
      <c r="H4196" s="249">
        <f>PRODUCT(D4196:G4196)</f>
        <v>4.800000000000001</v>
      </c>
      <c r="J4196" s="253" t="inlineStr">
        <is>
          <t xml:space="preserve">1*3*1.6</t>
        </is>
      </c>
    </row>
    <row r="4197">
      <c r="C4197" s="246" t="inlineStr">
        <is>
          <t xml:space="preserve">Window W17 (3 nr, 1.8x1.9): nr x w x h</t>
        </is>
      </c>
      <c r="D4197" s="248">
        <v>3</v>
      </c>
      <c r="E4197" s="247">
        <v>1.8</v>
      </c>
      <c r="F4197" s="247">
        <v>1.9</v>
      </c>
      <c r="H4197" s="249">
        <f>PRODUCT(D4197:G4197)</f>
        <v>10.26</v>
      </c>
      <c r="J4197" s="253" t="inlineStr">
        <is>
          <t xml:space="preserve">3*1.8*1.9</t>
        </is>
      </c>
    </row>
    <row r="4198">
      <c r="C4198" s="246" t="inlineStr">
        <is>
          <t xml:space="preserve">Window W18 (1 nr, 0.75x1.3): nr x w x h</t>
        </is>
      </c>
      <c r="D4198" s="248">
        <v>1</v>
      </c>
      <c r="E4198" s="247">
        <v>0.75</v>
      </c>
      <c r="F4198" s="247">
        <v>1.3</v>
      </c>
      <c r="H4198" s="249">
        <f>PRODUCT(D4198:G4198)</f>
        <v>0.9750000000000001</v>
      </c>
      <c r="J4198" s="253" t="inlineStr">
        <is>
          <t xml:space="preserve">1*0.75*1.3</t>
        </is>
      </c>
    </row>
    <row r="4199">
      <c r="C4199" s="246" t="inlineStr">
        <is>
          <t xml:space="preserve">Window W20 (1 nr, 1.45x1.9): nr x w x h</t>
        </is>
      </c>
      <c r="D4199" s="248">
        <v>1</v>
      </c>
      <c r="E4199" s="247">
        <v>1.45</v>
      </c>
      <c r="F4199" s="247">
        <v>1.9</v>
      </c>
      <c r="H4199" s="249">
        <f>PRODUCT(D4199:G4199)</f>
        <v>2.755</v>
      </c>
      <c r="J4199" s="253" t="inlineStr">
        <is>
          <t xml:space="preserve">1*1.45*1.9</t>
        </is>
      </c>
    </row>
    <row r="4200">
      <c r="C4200" s="246" t="inlineStr">
        <is>
          <t xml:space="preserve">Window HW1 (12 nr, 0.9x0.6): nr x w x h</t>
        </is>
      </c>
      <c r="D4200" s="248">
        <v>12</v>
      </c>
      <c r="E4200" s="247">
        <v>0.9</v>
      </c>
      <c r="F4200" s="247">
        <v>0.6</v>
      </c>
      <c r="H4200" s="249">
        <f>PRODUCT(D4200:G4200)</f>
        <v>6.48</v>
      </c>
      <c r="J4200" s="253" t="inlineStr">
        <is>
          <t xml:space="preserve">12*0.9*0.6</t>
        </is>
      </c>
    </row>
    <row r="4201">
      <c r="C4201" s="246" t="inlineStr">
        <is>
          <t xml:space="preserve">Window HW2 (5 nr, 0.75x0.6): nr x w x h</t>
        </is>
      </c>
      <c r="D4201" s="248">
        <v>5</v>
      </c>
      <c r="E4201" s="247">
        <v>0.75</v>
      </c>
      <c r="F4201" s="247">
        <v>0.6</v>
      </c>
      <c r="H4201" s="249">
        <f>PRODUCT(D4201:G4201)</f>
        <v>2.25</v>
      </c>
      <c r="J4201" s="253" t="inlineStr">
        <is>
          <t xml:space="preserve">5*0.75*0.6</t>
        </is>
      </c>
    </row>
    <row r="4202">
      <c r="C4202" s="246" t="inlineStr">
        <is>
          <t xml:space="preserve">Window HW3 (1 nr, 0.6x0.6): nr x w x h</t>
        </is>
      </c>
      <c r="D4202" s="248">
        <v>1</v>
      </c>
      <c r="E4202" s="247">
        <v>0.6</v>
      </c>
      <c r="F4202" s="247">
        <v>0.6</v>
      </c>
      <c r="H4202" s="249">
        <f>PRODUCT(D4202:G4202)</f>
        <v>0.36</v>
      </c>
      <c r="J4202" s="253" t="inlineStr">
        <is>
          <t xml:space="preserve">1*0.6*0.6</t>
        </is>
      </c>
    </row>
    <row r="4203">
      <c r="C4203" s="246" t="inlineStr">
        <is>
          <t xml:space="preserve">Window HW4 (1 nr, 1.2x0.6): nr x w x h</t>
        </is>
      </c>
      <c r="D4203" s="248">
        <v>1</v>
      </c>
      <c r="E4203" s="247">
        <v>1.2</v>
      </c>
      <c r="F4203" s="247">
        <v>0.6</v>
      </c>
      <c r="H4203" s="249">
        <f>PRODUCT(D4203:G4203)</f>
        <v>0.72</v>
      </c>
      <c r="J4203" s="253" t="inlineStr">
        <is>
          <t xml:space="preserve">1*1.2*0.6</t>
        </is>
      </c>
    </row>
    <row r="4204">
      <c r="C4204" s="250" t="inlineStr">
        <is>
          <t xml:space="preserve">Total carried to BOQ  7TH FLR item G</t>
        </is>
      </c>
      <c r="D4204" s="250" t="inlineStr">
        <is>
          <t xml:space="preserve"/>
        </is>
      </c>
      <c r="E4204" s="250" t="inlineStr">
        <is>
          <t xml:space="preserve"/>
        </is>
      </c>
      <c r="F4204" s="250" t="inlineStr">
        <is>
          <t xml:space="preserve"/>
        </is>
      </c>
      <c r="G4204" s="250" t="inlineStr">
        <is>
          <t xml:space="preserve"/>
        </is>
      </c>
      <c r="H4204" s="251">
        <f>SUM(H4187:H4203)</f>
        <v>96.535</v>
      </c>
      <c r="I4204" s="252" t="inlineStr">
        <is>
          <t xml:space="preserve">m2</t>
        </is>
      </c>
    </row>
    <row r="4205">
      <c r="C4205" s="242" t="inlineStr">
        <is>
          <t xml:space="preserve">Doors and windows: schedules ARCH-501/502 give building totals only (no tags on plans); quantities are allocated to floors pro-rata to measured habitable / washroom areas. Building totals equal the schedules.</t>
        </is>
      </c>
    </row>
    <row r="4206"/>
    <row r="4207" ht="21" customHeight="1">
      <c r="A4207" s="241" t="inlineStr">
        <is>
          <t xml:space="preserve">BILL NR. 11 - EIGHTH FLOOR  -  EIGHTH FLOOR</t>
        </is>
      </c>
      <c r="B4207" s="241" t="inlineStr">
        <is>
          <t xml:space="preserve"/>
        </is>
      </c>
      <c r="C4207" s="241" t="inlineStr">
        <is>
          <t xml:space="preserve"/>
        </is>
      </c>
      <c r="D4207" s="241" t="inlineStr">
        <is>
          <t xml:space="preserve"/>
        </is>
      </c>
      <c r="E4207" s="241" t="inlineStr">
        <is>
          <t xml:space="preserve"/>
        </is>
      </c>
      <c r="F4207" s="241" t="inlineStr">
        <is>
          <t xml:space="preserve"/>
        </is>
      </c>
      <c r="G4207" s="241" t="inlineStr">
        <is>
          <t xml:space="preserve"/>
        </is>
      </c>
      <c r="H4207" s="241" t="inlineStr">
        <is>
          <t xml:space="preserve"/>
        </is>
      </c>
      <c r="I4207" s="241" t="inlineStr">
        <is>
          <t xml:space="preserve"/>
        </is>
      </c>
      <c r="J4207" s="241" t="inlineStr">
        <is>
          <t xml:space="preserve"/>
        </is>
      </c>
      <c r="K4207" s="241" t="inlineStr">
        <is>
          <t xml:space="preserve"/>
        </is>
      </c>
    </row>
    <row r="4208">
      <c r="C4208" s="242" t="inlineStr">
        <is>
          <t xml:space="preserve">ELEMENT NO. 1: IN SITU CONCRETE/LARGE PRECAST CONCRETE</t>
        </is>
      </c>
    </row>
    <row r="4209">
      <c r="C4209" s="242" t="inlineStr">
        <is>
          <t xml:space="preserve">Vibrated in-situ concrete C40 as described in:</t>
        </is>
      </c>
    </row>
    <row r="4210">
      <c r="A4210" s="243" t="inlineStr">
        <is>
          <t xml:space="preserve">8TH FLR</t>
        </is>
      </c>
      <c r="B4210" s="243" t="inlineStr">
        <is>
          <t xml:space="preserve">A</t>
        </is>
      </c>
      <c r="C4210" s="244" t="inlineStr">
        <is>
          <t xml:space="preserve">Suspended slab 250mm thick</t>
        </is>
      </c>
      <c r="I4210" s="245" t="inlineStr">
        <is>
          <t xml:space="preserve">m3</t>
        </is>
      </c>
      <c r="K4210" s="256" t="inlineStr">
        <is>
          <t xml:space="preserve">'8TH FLR   '!C34</t>
        </is>
      </c>
    </row>
    <row r="4211">
      <c r="C4211" s="246" t="inlineStr">
        <is>
          <t xml:space="preserve">Eighth floor (+27400) - Suspended slab: measured area x 250 thk</t>
        </is>
      </c>
      <c r="E4211" s="247">
        <v>1134.6</v>
      </c>
      <c r="F4211" s="247">
        <v>0.25</v>
      </c>
      <c r="H4211" s="249">
        <f>PRODUCT(D4211:G4211)</f>
        <v>283.65</v>
      </c>
      <c r="J4211" s="253" t="inlineStr">
        <is>
          <t xml:space="preserve">1134.6*0.25</t>
        </is>
      </c>
    </row>
    <row r="4212">
      <c r="C4212" s="250" t="inlineStr">
        <is>
          <t xml:space="preserve">Total carried to BOQ  8TH FLR item A</t>
        </is>
      </c>
      <c r="D4212" s="250" t="inlineStr">
        <is>
          <t xml:space="preserve"/>
        </is>
      </c>
      <c r="E4212" s="250" t="inlineStr">
        <is>
          <t xml:space="preserve"/>
        </is>
      </c>
      <c r="F4212" s="250" t="inlineStr">
        <is>
          <t xml:space="preserve"/>
        </is>
      </c>
      <c r="G4212" s="250" t="inlineStr">
        <is>
          <t xml:space="preserve"/>
        </is>
      </c>
      <c r="H4212" s="251">
        <f>SUM(H4211:H4211)</f>
        <v>283.65</v>
      </c>
      <c r="I4212" s="252" t="inlineStr">
        <is>
          <t xml:space="preserve">m3</t>
        </is>
      </c>
    </row>
    <row r="4213">
      <c r="A4213" s="243" t="inlineStr">
        <is>
          <t xml:space="preserve">8TH FLR</t>
        </is>
      </c>
      <c r="B4213" s="243" t="inlineStr">
        <is>
          <t xml:space="preserve">B</t>
        </is>
      </c>
      <c r="C4213" s="244" t="inlineStr">
        <is>
          <t xml:space="preserve">Beams (downstands below slab)</t>
        </is>
      </c>
      <c r="I4213" s="245" t="inlineStr">
        <is>
          <t xml:space="preserve">m3</t>
        </is>
      </c>
      <c r="K4213" s="256" t="inlineStr">
        <is>
          <t xml:space="preserve">'8TH FLR   '!C36</t>
        </is>
      </c>
    </row>
    <row r="4214">
      <c r="C4214" s="246" t="inlineStr">
        <is>
          <t xml:space="preserve">Eighth floor (+27400) - 300 wide beams: length x width x depth</t>
        </is>
      </c>
      <c r="E4214" s="247">
        <v>166.8</v>
      </c>
      <c r="F4214" s="247">
        <v>0.3</v>
      </c>
      <c r="G4214" s="247">
        <v>0.35</v>
      </c>
      <c r="H4214" s="249">
        <f>PRODUCT(D4214:G4214)</f>
        <v>17.514</v>
      </c>
      <c r="J4214" s="253" t="inlineStr">
        <is>
          <t xml:space="preserve">166.8*0.3*0.35</t>
        </is>
      </c>
    </row>
    <row r="4215">
      <c r="C4215" s="246" t="inlineStr">
        <is>
          <t xml:space="preserve">Eighth floor (+27400) - 200 wide beams: length x width x depth</t>
        </is>
      </c>
      <c r="E4215" s="247">
        <v>33.1</v>
      </c>
      <c r="F4215" s="247">
        <v>0.2</v>
      </c>
      <c r="G4215" s="247">
        <v>0.35</v>
      </c>
      <c r="H4215" s="249">
        <f>PRODUCT(D4215:G4215)</f>
        <v>2.317</v>
      </c>
      <c r="J4215" s="253" t="inlineStr">
        <is>
          <t xml:space="preserve">33.1*0.2*0.35</t>
        </is>
      </c>
    </row>
    <row r="4216">
      <c r="C4216" s="250" t="inlineStr">
        <is>
          <t xml:space="preserve">Total carried to BOQ  8TH FLR item B</t>
        </is>
      </c>
      <c r="D4216" s="250" t="inlineStr">
        <is>
          <t xml:space="preserve"/>
        </is>
      </c>
      <c r="E4216" s="250" t="inlineStr">
        <is>
          <t xml:space="preserve"/>
        </is>
      </c>
      <c r="F4216" s="250" t="inlineStr">
        <is>
          <t xml:space="preserve"/>
        </is>
      </c>
      <c r="G4216" s="250" t="inlineStr">
        <is>
          <t xml:space="preserve"/>
        </is>
      </c>
      <c r="H4216" s="251">
        <f>SUM(H4214:H4215)</f>
        <v>19.831</v>
      </c>
      <c r="I4216" s="252" t="inlineStr">
        <is>
          <t xml:space="preserve">m3</t>
        </is>
      </c>
    </row>
    <row r="4217">
      <c r="A4217" s="243" t="inlineStr">
        <is>
          <t xml:space="preserve">8TH FLR</t>
        </is>
      </c>
      <c r="B4217" s="243" t="inlineStr">
        <is>
          <t xml:space="preserve">C</t>
        </is>
      </c>
      <c r="C4217" s="244" t="inlineStr">
        <is>
          <t xml:space="preserve">Columns</t>
        </is>
      </c>
      <c r="I4217" s="245" t="inlineStr">
        <is>
          <t xml:space="preserve">m3</t>
        </is>
      </c>
      <c r="K4217" s="256" t="inlineStr">
        <is>
          <t xml:space="preserve">'8TH FLR   '!C38</t>
        </is>
      </c>
    </row>
    <row r="4218">
      <c r="C4218" s="246" t="inlineStr">
        <is>
          <t xml:space="preserve">COL-01A x5 - column (8th to 9th), ht 3.05</t>
        </is>
      </c>
      <c r="D4218" s="248">
        <v>5</v>
      </c>
      <c r="E4218" s="247">
        <v>0.75</v>
      </c>
      <c r="F4218" s="247">
        <v>0.5</v>
      </c>
      <c r="G4218" s="247">
        <v>3.05</v>
      </c>
      <c r="H4218" s="249">
        <f>PRODUCT(D4218:G4218)</f>
        <v>5.71875</v>
      </c>
      <c r="J4218" s="253" t="inlineStr">
        <is>
          <t xml:space="preserve">5*0.75*0.5*3.05</t>
        </is>
      </c>
    </row>
    <row r="4219">
      <c r="C4219" s="246" t="inlineStr">
        <is>
          <t xml:space="preserve">COL-01B x1 - column (8th to 9th), ht 3.05</t>
        </is>
      </c>
      <c r="D4219" s="248">
        <v>1</v>
      </c>
      <c r="E4219" s="247">
        <v>0.75</v>
      </c>
      <c r="F4219" s="247">
        <v>0.5</v>
      </c>
      <c r="G4219" s="247">
        <v>3.05</v>
      </c>
      <c r="H4219" s="249">
        <f>PRODUCT(D4219:G4219)</f>
        <v>1.1437499999999998</v>
      </c>
      <c r="J4219" s="253" t="inlineStr">
        <is>
          <t xml:space="preserve">1*0.75*0.5*3.05</t>
        </is>
      </c>
    </row>
    <row r="4220">
      <c r="C4220" s="246" t="inlineStr">
        <is>
          <t xml:space="preserve">COL-01C x2 - column (8th to 9th), ht 3.05</t>
        </is>
      </c>
      <c r="D4220" s="248">
        <v>2</v>
      </c>
      <c r="E4220" s="247">
        <v>0.75</v>
      </c>
      <c r="F4220" s="247">
        <v>0.5</v>
      </c>
      <c r="G4220" s="247">
        <v>3.05</v>
      </c>
      <c r="H4220" s="249">
        <f>PRODUCT(D4220:G4220)</f>
        <v>2.2874999999999996</v>
      </c>
      <c r="J4220" s="253" t="inlineStr">
        <is>
          <t xml:space="preserve">2*0.75*0.5*3.05</t>
        </is>
      </c>
    </row>
    <row r="4221">
      <c r="C4221" s="246" t="inlineStr">
        <is>
          <t xml:space="preserve">COL-01D x1 - column (8th to 9th), ht 3.05</t>
        </is>
      </c>
      <c r="D4221" s="248">
        <v>1</v>
      </c>
      <c r="E4221" s="247">
        <v>0.75</v>
      </c>
      <c r="F4221" s="247">
        <v>0.5</v>
      </c>
      <c r="G4221" s="247">
        <v>3.05</v>
      </c>
      <c r="H4221" s="249">
        <f>PRODUCT(D4221:G4221)</f>
        <v>1.1437499999999998</v>
      </c>
      <c r="J4221" s="253" t="inlineStr">
        <is>
          <t xml:space="preserve">1*0.75*0.5*3.05</t>
        </is>
      </c>
    </row>
    <row r="4222">
      <c r="C4222" s="246" t="inlineStr">
        <is>
          <t xml:space="preserve">COL-02A x3 - column (8th to 9th), ht 3.05</t>
        </is>
      </c>
      <c r="D4222" s="248">
        <v>3</v>
      </c>
      <c r="E4222" s="247">
        <v>1.2</v>
      </c>
      <c r="F4222" s="247">
        <v>0.3</v>
      </c>
      <c r="G4222" s="247">
        <v>3.05</v>
      </c>
      <c r="H4222" s="249">
        <f>PRODUCT(D4222:G4222)</f>
        <v>3.293999999999999</v>
      </c>
      <c r="J4222" s="253" t="inlineStr">
        <is>
          <t xml:space="preserve">3*1.2*0.3*3.05</t>
        </is>
      </c>
    </row>
    <row r="4223">
      <c r="C4223" s="246" t="inlineStr">
        <is>
          <t xml:space="preserve">COL-02B x6 - column (8th to 9th), ht 3.05</t>
        </is>
      </c>
      <c r="D4223" s="248">
        <v>6</v>
      </c>
      <c r="E4223" s="247">
        <v>1.2</v>
      </c>
      <c r="F4223" s="247">
        <v>0.3</v>
      </c>
      <c r="G4223" s="247">
        <v>3.05</v>
      </c>
      <c r="H4223" s="249">
        <f>PRODUCT(D4223:G4223)</f>
        <v>6.587999999999998</v>
      </c>
      <c r="J4223" s="253" t="inlineStr">
        <is>
          <t xml:space="preserve">6*1.2*0.3*3.05</t>
        </is>
      </c>
    </row>
    <row r="4224">
      <c r="C4224" s="246" t="inlineStr">
        <is>
          <t xml:space="preserve">COL-02C x1 - column (8th to 9th), ht 3.05</t>
        </is>
      </c>
      <c r="D4224" s="248">
        <v>1</v>
      </c>
      <c r="E4224" s="247">
        <v>1.2</v>
      </c>
      <c r="F4224" s="247">
        <v>0.3</v>
      </c>
      <c r="G4224" s="247">
        <v>3.05</v>
      </c>
      <c r="H4224" s="249">
        <f>PRODUCT(D4224:G4224)</f>
        <v>1.0979999999999999</v>
      </c>
      <c r="J4224" s="253" t="inlineStr">
        <is>
          <t xml:space="preserve">1*1.2*0.3*3.05</t>
        </is>
      </c>
    </row>
    <row r="4225">
      <c r="C4225" s="246" t="inlineStr">
        <is>
          <t xml:space="preserve">COL-02D x15 - column (8th to 9th), ht 3.05</t>
        </is>
      </c>
      <c r="D4225" s="248">
        <v>15</v>
      </c>
      <c r="E4225" s="247">
        <v>1.2</v>
      </c>
      <c r="F4225" s="247">
        <v>0.3</v>
      </c>
      <c r="G4225" s="247">
        <v>3.05</v>
      </c>
      <c r="H4225" s="249">
        <f>PRODUCT(D4225:G4225)</f>
        <v>16.47</v>
      </c>
      <c r="J4225" s="253" t="inlineStr">
        <is>
          <t xml:space="preserve">15*1.2*0.3*3.05</t>
        </is>
      </c>
    </row>
    <row r="4226">
      <c r="C4226" s="246" t="inlineStr">
        <is>
          <t xml:space="preserve">SWC-01A x1 - column (8th to 9th), ht 3.05</t>
        </is>
      </c>
      <c r="D4226" s="248">
        <v>1</v>
      </c>
      <c r="E4226" s="247">
        <f>2.85*0.25+0.825*0.25</f>
        <v>0.91875</v>
      </c>
      <c r="F4226" s="247">
        <v>3.05</v>
      </c>
      <c r="H4226" s="249">
        <f>PRODUCT(D4226:G4226)</f>
        <v>2.8021874999999996</v>
      </c>
      <c r="J4226" s="253" t="inlineStr">
        <is>
          <t xml:space="preserve">1*(2.85*0.25+0.825*0.25)*3.05</t>
        </is>
      </c>
    </row>
    <row r="4227">
      <c r="C4227" s="250" t="inlineStr">
        <is>
          <t xml:space="preserve">Total carried to BOQ  8TH FLR item C</t>
        </is>
      </c>
      <c r="D4227" s="250" t="inlineStr">
        <is>
          <t xml:space="preserve"/>
        </is>
      </c>
      <c r="E4227" s="250" t="inlineStr">
        <is>
          <t xml:space="preserve"/>
        </is>
      </c>
      <c r="F4227" s="250" t="inlineStr">
        <is>
          <t xml:space="preserve"/>
        </is>
      </c>
      <c r="G4227" s="250" t="inlineStr">
        <is>
          <t xml:space="preserve"/>
        </is>
      </c>
      <c r="H4227" s="251">
        <f>SUM(H4218:H4226)</f>
        <v>40.545937499999994</v>
      </c>
      <c r="I4227" s="252" t="inlineStr">
        <is>
          <t xml:space="preserve">m3</t>
        </is>
      </c>
    </row>
    <row r="4228">
      <c r="A4228" s="243" t="inlineStr">
        <is>
          <t xml:space="preserve">8TH FLR</t>
        </is>
      </c>
      <c r="B4228" s="243" t="inlineStr">
        <is>
          <t xml:space="preserve">D</t>
        </is>
      </c>
      <c r="C4228" s="244" t="inlineStr">
        <is>
          <t xml:space="preserve">Concrete wall - shear walls to main &amp; emergency stair cores, 250mm thick</t>
        </is>
      </c>
      <c r="I4228" s="245" t="inlineStr">
        <is>
          <t xml:space="preserve">m3</t>
        </is>
      </c>
      <c r="K4228" s="256" t="inlineStr">
        <is>
          <t xml:space="preserve">'8TH FLR   '!C40</t>
        </is>
      </c>
    </row>
    <row r="4229">
      <c r="C4229" s="246" t="inlineStr">
        <is>
          <t xml:space="preserve">Eighth floor (+27400) - main stair core walls (22.05 m run): run x ht x 250 thk</t>
        </is>
      </c>
      <c r="E4229" s="247">
        <v>22.05</v>
      </c>
      <c r="F4229" s="247">
        <v>3.05</v>
      </c>
      <c r="G4229" s="247">
        <v>0.25</v>
      </c>
      <c r="H4229" s="249">
        <f>PRODUCT(D4229:G4229)</f>
        <v>16.813125</v>
      </c>
      <c r="J4229" s="253" t="inlineStr">
        <is>
          <t xml:space="preserve">22.05*3.05*0.25</t>
        </is>
      </c>
    </row>
    <row r="4230">
      <c r="C4230" s="246" t="inlineStr">
        <is>
          <t xml:space="preserve">Eighth floor (+27400) - emergency stair core walls (25.57 m run): run x ht x 250 thk</t>
        </is>
      </c>
      <c r="E4230" s="247">
        <v>25.57</v>
      </c>
      <c r="F4230" s="247">
        <v>3.05</v>
      </c>
      <c r="G4230" s="247">
        <v>0.25</v>
      </c>
      <c r="H4230" s="249">
        <f>PRODUCT(D4230:G4230)</f>
        <v>19.497125</v>
      </c>
      <c r="J4230" s="253" t="inlineStr">
        <is>
          <t xml:space="preserve">25.57*3.05*0.25</t>
        </is>
      </c>
    </row>
    <row r="4231">
      <c r="C4231" s="250" t="inlineStr">
        <is>
          <t xml:space="preserve">Total carried to BOQ  8TH FLR item D</t>
        </is>
      </c>
      <c r="D4231" s="250" t="inlineStr">
        <is>
          <t xml:space="preserve"/>
        </is>
      </c>
      <c r="E4231" s="250" t="inlineStr">
        <is>
          <t xml:space="preserve"/>
        </is>
      </c>
      <c r="F4231" s="250" t="inlineStr">
        <is>
          <t xml:space="preserve"/>
        </is>
      </c>
      <c r="G4231" s="250" t="inlineStr">
        <is>
          <t xml:space="preserve"/>
        </is>
      </c>
      <c r="H4231" s="251">
        <f>SUM(H4229:H4230)</f>
        <v>36.310249999999996</v>
      </c>
      <c r="I4231" s="252" t="inlineStr">
        <is>
          <t xml:space="preserve">m3</t>
        </is>
      </c>
    </row>
    <row r="4232">
      <c r="A4232" s="243" t="inlineStr">
        <is>
          <t xml:space="preserve">8TH FLR</t>
        </is>
      </c>
      <c r="B4232" s="243" t="inlineStr">
        <is>
          <t xml:space="preserve">E</t>
        </is>
      </c>
      <c r="C4232" s="244" t="inlineStr">
        <is>
          <t xml:space="preserve">Concrete wall - lift walls, 250mm thick</t>
        </is>
      </c>
      <c r="I4232" s="245" t="inlineStr">
        <is>
          <t xml:space="preserve">m3</t>
        </is>
      </c>
      <c r="K4232" s="256" t="inlineStr">
        <is>
          <t xml:space="preserve">'8TH FLR   '!C42</t>
        </is>
      </c>
    </row>
    <row r="4233">
      <c r="C4233" s="246" t="inlineStr">
        <is>
          <t xml:space="preserve">Eighth floor (+27400) - lift core walls (21.825 m run): run x ht x 250 thk</t>
        </is>
      </c>
      <c r="E4233" s="247">
        <v>21.825</v>
      </c>
      <c r="F4233" s="247">
        <v>3.05</v>
      </c>
      <c r="G4233" s="247">
        <v>0.25</v>
      </c>
      <c r="H4233" s="249">
        <f>PRODUCT(D4233:G4233)</f>
        <v>16.6415625</v>
      </c>
      <c r="J4233" s="253" t="inlineStr">
        <is>
          <t xml:space="preserve">21.825*3.05*0.25</t>
        </is>
      </c>
    </row>
    <row r="4234">
      <c r="C4234" s="250" t="inlineStr">
        <is>
          <t xml:space="preserve">Total carried to BOQ  8TH FLR item E</t>
        </is>
      </c>
      <c r="D4234" s="250" t="inlineStr">
        <is>
          <t xml:space="preserve"/>
        </is>
      </c>
      <c r="E4234" s="250" t="inlineStr">
        <is>
          <t xml:space="preserve"/>
        </is>
      </c>
      <c r="F4234" s="250" t="inlineStr">
        <is>
          <t xml:space="preserve"/>
        </is>
      </c>
      <c r="G4234" s="250" t="inlineStr">
        <is>
          <t xml:space="preserve"/>
        </is>
      </c>
      <c r="H4234" s="251">
        <f>SUM(H4233:H4233)</f>
        <v>16.6415625</v>
      </c>
      <c r="I4234" s="252" t="inlineStr">
        <is>
          <t xml:space="preserve">m3</t>
        </is>
      </c>
    </row>
    <row r="4235">
      <c r="A4235" s="243" t="inlineStr">
        <is>
          <t xml:space="preserve">8TH FLR</t>
        </is>
      </c>
      <c r="B4235" s="243" t="inlineStr">
        <is>
          <t xml:space="preserve">F</t>
        </is>
      </c>
      <c r="C4235" s="244" t="inlineStr">
        <is>
          <t xml:space="preserve">Stairs</t>
        </is>
      </c>
      <c r="I4235" s="245" t="inlineStr">
        <is>
          <t xml:space="preserve">m3</t>
        </is>
      </c>
      <c r="K4235" s="256" t="inlineStr">
        <is>
          <t xml:space="preserve">'8TH FLR   '!C44</t>
        </is>
      </c>
    </row>
    <row r="4236">
      <c r="C4236" s="246" t="inlineStr">
        <is>
          <t xml:space="preserve">Eighth floor (+27400) - Main stair flight (storey ht 3.3) - flights: 2.966 m3 per 3.3 m storey x (storey ht / 3.3)</t>
        </is>
      </c>
      <c r="E4236" s="247">
        <v>2.966</v>
      </c>
      <c r="F4236" s="247">
        <f>3.3/3.3</f>
        <v>1.0</v>
      </c>
      <c r="H4236" s="249">
        <f>PRODUCT(D4236:G4236)</f>
        <v>2.966</v>
      </c>
      <c r="J4236" s="253" t="inlineStr">
        <is>
          <t xml:space="preserve">2.966*3.3/3.3</t>
        </is>
      </c>
    </row>
    <row r="4237">
      <c r="C4237" s="246" t="inlineStr">
        <is>
          <t xml:space="preserve">Eighth floor (+27400) - Main stair flight (storey ht 3.3) - landings</t>
        </is>
      </c>
      <c r="H4237" s="247">
        <v>2.625</v>
      </c>
      <c r="J4237" s="253" t="inlineStr">
        <is>
          <t xml:space="preserve">2.625</t>
        </is>
      </c>
    </row>
    <row r="4238">
      <c r="C4238" s="246" t="inlineStr">
        <is>
          <t xml:space="preserve">Eighth floor (+27400) - Emergency stair flight (storey ht 3.3) - flights: 2.966 m3 per 3.3 m storey x (storey ht / 3.3)</t>
        </is>
      </c>
      <c r="E4238" s="247">
        <v>2.966</v>
      </c>
      <c r="F4238" s="247">
        <f>3.3/3.3</f>
        <v>1.0</v>
      </c>
      <c r="H4238" s="249">
        <f>PRODUCT(D4238:G4238)</f>
        <v>2.966</v>
      </c>
      <c r="J4238" s="253" t="inlineStr">
        <is>
          <t xml:space="preserve">2.966*3.3/3.3</t>
        </is>
      </c>
    </row>
    <row r="4239">
      <c r="C4239" s="246" t="inlineStr">
        <is>
          <t xml:space="preserve">Eighth floor (+27400) - Emergency stair flight (storey ht 3.3) - landings</t>
        </is>
      </c>
      <c r="H4239" s="247">
        <v>2.625</v>
      </c>
      <c r="J4239" s="253" t="inlineStr">
        <is>
          <t xml:space="preserve">2.625</t>
        </is>
      </c>
    </row>
    <row r="4240">
      <c r="C4240" s="250" t="inlineStr">
        <is>
          <t xml:space="preserve">Total carried to BOQ  8TH FLR item F</t>
        </is>
      </c>
      <c r="D4240" s="250" t="inlineStr">
        <is>
          <t xml:space="preserve"/>
        </is>
      </c>
      <c r="E4240" s="250" t="inlineStr">
        <is>
          <t xml:space="preserve"/>
        </is>
      </c>
      <c r="F4240" s="250" t="inlineStr">
        <is>
          <t xml:space="preserve"/>
        </is>
      </c>
      <c r="G4240" s="250" t="inlineStr">
        <is>
          <t xml:space="preserve"/>
        </is>
      </c>
      <c r="H4240" s="251">
        <f>SUM(H4236:H4239)</f>
        <v>11.182</v>
      </c>
      <c r="I4240" s="252" t="inlineStr">
        <is>
          <t xml:space="preserve">m3</t>
        </is>
      </c>
    </row>
    <row r="4241">
      <c r="A4241" s="243" t="inlineStr">
        <is>
          <t xml:space="preserve">8TH FLR</t>
        </is>
      </c>
      <c r="B4241" s="243" t="inlineStr">
        <is>
          <t xml:space="preserve">G</t>
        </is>
      </c>
      <c r="C4241" s="244" t="inlineStr">
        <is>
          <t xml:space="preserve">Lintels 150 x 225mm over door and window openings</t>
        </is>
      </c>
      <c r="I4241" s="245" t="inlineStr">
        <is>
          <t xml:space="preserve">m3</t>
        </is>
      </c>
      <c r="K4241" s="256" t="inlineStr">
        <is>
          <t xml:space="preserve">'8TH FLR   '!C46</t>
        </is>
      </c>
    </row>
    <row r="4242">
      <c r="C4242" s="246" t="inlineStr">
        <is>
          <t xml:space="preserve">Lintel over D2 (8 nr, 1x2.2): nr x (width + 2 x 150 bearing) x 150 x 225</t>
        </is>
      </c>
      <c r="D4242" s="248">
        <v>8</v>
      </c>
      <c r="E4242" s="247">
        <f>1+0.3</f>
        <v>1.3</v>
      </c>
      <c r="F4242" s="247">
        <v>0.15</v>
      </c>
      <c r="G4242" s="247">
        <v>0.225</v>
      </c>
      <c r="H4242" s="249">
        <f>PRODUCT(D4242:G4242)</f>
        <v>0.35100000000000003</v>
      </c>
      <c r="J4242" s="253" t="inlineStr">
        <is>
          <t xml:space="preserve">8*(1+0.3)*0.15*0.225</t>
        </is>
      </c>
    </row>
    <row r="4243">
      <c r="C4243" s="246" t="inlineStr">
        <is>
          <t xml:space="preserve">Lintel over D3 (15 nr, 0.9x2.2): nr x (width + 2 x 150 bearing) x 150 x 225</t>
        </is>
      </c>
      <c r="D4243" s="248">
        <v>15</v>
      </c>
      <c r="E4243" s="247">
        <f>0.9+0.3</f>
        <v>1.2</v>
      </c>
      <c r="F4243" s="247">
        <v>0.15</v>
      </c>
      <c r="G4243" s="247">
        <v>0.225</v>
      </c>
      <c r="H4243" s="249">
        <f>PRODUCT(D4243:G4243)</f>
        <v>0.6074999999999999</v>
      </c>
      <c r="J4243" s="253" t="inlineStr">
        <is>
          <t xml:space="preserve">15*(0.9+0.3)*0.15*0.225</t>
        </is>
      </c>
    </row>
    <row r="4244">
      <c r="C4244" s="246" t="inlineStr">
        <is>
          <t xml:space="preserve">Lintel over D6 (21 nr, 0.75x2.2): nr x (width + 2 x 150 bearing) x 150 x 225</t>
        </is>
      </c>
      <c r="D4244" s="248">
        <v>21</v>
      </c>
      <c r="E4244" s="247">
        <f>0.75+0.3</f>
        <v>1.05</v>
      </c>
      <c r="F4244" s="247">
        <v>0.15</v>
      </c>
      <c r="G4244" s="247">
        <v>0.225</v>
      </c>
      <c r="H4244" s="249">
        <f>PRODUCT(D4244:G4244)</f>
        <v>0.7441875</v>
      </c>
      <c r="J4244" s="253" t="inlineStr">
        <is>
          <t xml:space="preserve">21*(0.75+0.3)*0.15*0.225</t>
        </is>
      </c>
    </row>
    <row r="4245">
      <c r="C4245" s="246" t="inlineStr">
        <is>
          <t xml:space="preserve">Lintel over D7 (1 nr, 0.7x2.2): nr x (width + 2 x 150 bearing) x 150 x 225</t>
        </is>
      </c>
      <c r="D4245" s="248">
        <v>1</v>
      </c>
      <c r="E4245" s="247">
        <f>0.7+0.3</f>
        <v>1.0</v>
      </c>
      <c r="F4245" s="247">
        <v>0.15</v>
      </c>
      <c r="G4245" s="247">
        <v>0.225</v>
      </c>
      <c r="H4245" s="249">
        <f>PRODUCT(D4245:G4245)</f>
        <v>0.03375</v>
      </c>
      <c r="J4245" s="253" t="inlineStr">
        <is>
          <t xml:space="preserve">1*(0.7+0.3)*0.15*0.225</t>
        </is>
      </c>
    </row>
    <row r="4246">
      <c r="C4246" s="246" t="inlineStr">
        <is>
          <t xml:space="preserve">Lintel over D8 (2 nr, 1.2x2.2): nr x (width + 2 x 150 bearing) x 150 x 225</t>
        </is>
      </c>
      <c r="D4246" s="248">
        <v>2</v>
      </c>
      <c r="E4246" s="247">
        <f>1.2+0.3</f>
        <v>1.5</v>
      </c>
      <c r="F4246" s="247">
        <v>0.15</v>
      </c>
      <c r="G4246" s="247">
        <v>0.225</v>
      </c>
      <c r="H4246" s="249">
        <f>PRODUCT(D4246:G4246)</f>
        <v>0.10124999999999999</v>
      </c>
      <c r="J4246" s="253" t="inlineStr">
        <is>
          <t xml:space="preserve">2*(1.2+0.3)*0.15*0.225</t>
        </is>
      </c>
    </row>
    <row r="4247">
      <c r="C4247" s="246" t="inlineStr">
        <is>
          <t xml:space="preserve">Lintel over ED1 (3 nr, 1x2.2): nr x (width + 2 x 150 bearing) x 150 x 225</t>
        </is>
      </c>
      <c r="D4247" s="248">
        <v>3</v>
      </c>
      <c r="E4247" s="247">
        <f>1+0.3</f>
        <v>1.3</v>
      </c>
      <c r="F4247" s="247">
        <v>0.15</v>
      </c>
      <c r="G4247" s="247">
        <v>0.225</v>
      </c>
      <c r="H4247" s="249">
        <f>PRODUCT(D4247:G4247)</f>
        <v>0.13162500000000002</v>
      </c>
      <c r="J4247" s="253" t="inlineStr">
        <is>
          <t xml:space="preserve">3*(1+0.3)*0.15*0.225</t>
        </is>
      </c>
    </row>
    <row r="4248">
      <c r="C4248" s="246" t="inlineStr">
        <is>
          <t xml:space="preserve">Lintel over ED2 (2 nr, 1x2.2): nr x (width + 2 x 150 bearing) x 150 x 225</t>
        </is>
      </c>
      <c r="D4248" s="248">
        <v>2</v>
      </c>
      <c r="E4248" s="247">
        <f>1+0.3</f>
        <v>1.3</v>
      </c>
      <c r="F4248" s="247">
        <v>0.15</v>
      </c>
      <c r="G4248" s="247">
        <v>0.225</v>
      </c>
      <c r="H4248" s="249">
        <f>PRODUCT(D4248:G4248)</f>
        <v>0.08775000000000001</v>
      </c>
      <c r="J4248" s="253" t="inlineStr">
        <is>
          <t xml:space="preserve">2*(1+0.3)*0.15*0.225</t>
        </is>
      </c>
    </row>
    <row r="4249">
      <c r="C4249" s="246" t="inlineStr">
        <is>
          <t xml:space="preserve">Lintel over D9 (1 nr, 0.9x2.2): nr x (width + 2 x 150 bearing) x 150 x 225</t>
        </is>
      </c>
      <c r="D4249" s="248">
        <v>1</v>
      </c>
      <c r="E4249" s="247">
        <f>0.9+0.3</f>
        <v>1.2</v>
      </c>
      <c r="F4249" s="247">
        <v>0.15</v>
      </c>
      <c r="G4249" s="247">
        <v>0.225</v>
      </c>
      <c r="H4249" s="249">
        <f>PRODUCT(D4249:G4249)</f>
        <v>0.0405</v>
      </c>
      <c r="J4249" s="253" t="inlineStr">
        <is>
          <t xml:space="preserve">1*(0.9+0.3)*0.15*0.225</t>
        </is>
      </c>
    </row>
    <row r="4250">
      <c r="C4250" s="246" t="inlineStr">
        <is>
          <t xml:space="preserve">Lintel over FD1 (1 nr, 1.5x2.2): nr x (width + 2 x 150 bearing) x 150 x 225</t>
        </is>
      </c>
      <c r="D4250" s="248">
        <v>1</v>
      </c>
      <c r="E4250" s="247">
        <f>1.5+0.3</f>
        <v>1.8</v>
      </c>
      <c r="F4250" s="247">
        <v>0.15</v>
      </c>
      <c r="G4250" s="247">
        <v>0.225</v>
      </c>
      <c r="H4250" s="249">
        <f>PRODUCT(D4250:G4250)</f>
        <v>0.060750000000000005</v>
      </c>
      <c r="J4250" s="253" t="inlineStr">
        <is>
          <t xml:space="preserve">1*(1.5+0.3)*0.15*0.225</t>
        </is>
      </c>
    </row>
    <row r="4251">
      <c r="C4251" s="246" t="inlineStr">
        <is>
          <t xml:space="preserve">Lintel over M1 (2 nr, 0.9x2.2): nr x (width + 2 x 150 bearing) x 150 x 225</t>
        </is>
      </c>
      <c r="D4251" s="248">
        <v>2</v>
      </c>
      <c r="E4251" s="247">
        <f>0.9+0.3</f>
        <v>1.2</v>
      </c>
      <c r="F4251" s="247">
        <v>0.15</v>
      </c>
      <c r="G4251" s="247">
        <v>0.225</v>
      </c>
      <c r="H4251" s="249">
        <f>PRODUCT(D4251:G4251)</f>
        <v>0.081</v>
      </c>
      <c r="J4251" s="253" t="inlineStr">
        <is>
          <t xml:space="preserve">2*(0.9+0.3)*0.15*0.225</t>
        </is>
      </c>
    </row>
    <row r="4252">
      <c r="C4252" s="246" t="inlineStr">
        <is>
          <t xml:space="preserve">Lintel over M2 (4 nr, 0.75x2.2): nr x (width + 2 x 150 bearing) x 150 x 225</t>
        </is>
      </c>
      <c r="D4252" s="248">
        <v>4</v>
      </c>
      <c r="E4252" s="247">
        <f>0.75+0.3</f>
        <v>1.05</v>
      </c>
      <c r="F4252" s="247">
        <v>0.15</v>
      </c>
      <c r="G4252" s="247">
        <v>0.225</v>
      </c>
      <c r="H4252" s="249">
        <f>PRODUCT(D4252:G4252)</f>
        <v>0.14175000000000001</v>
      </c>
      <c r="J4252" s="253" t="inlineStr">
        <is>
          <t xml:space="preserve">4*(0.75+0.3)*0.15*0.225</t>
        </is>
      </c>
    </row>
    <row r="4253">
      <c r="C4253" s="246" t="inlineStr">
        <is>
          <t xml:space="preserve">Lintel over M3 (1 nr, 0.45x2.2): nr x (width + 2 x 150 bearing) x 150 x 225</t>
        </is>
      </c>
      <c r="D4253" s="248">
        <v>1</v>
      </c>
      <c r="E4253" s="247">
        <f>0.45+0.3</f>
        <v>0.75</v>
      </c>
      <c r="F4253" s="247">
        <v>0.15</v>
      </c>
      <c r="G4253" s="247">
        <v>0.225</v>
      </c>
      <c r="H4253" s="249">
        <f>PRODUCT(D4253:G4253)</f>
        <v>0.025312499999999998</v>
      </c>
      <c r="J4253" s="253" t="inlineStr">
        <is>
          <t xml:space="preserve">1*(0.45+0.3)*0.15*0.225</t>
        </is>
      </c>
    </row>
    <row r="4254">
      <c r="C4254" s="246" t="inlineStr">
        <is>
          <t xml:space="preserve">Lintel over M5 (3 nr, 0.6x2.2): nr x (width + 2 x 150 bearing) x 150 x 225</t>
        </is>
      </c>
      <c r="D4254" s="248">
        <v>3</v>
      </c>
      <c r="E4254" s="247">
        <f>0.6+0.3</f>
        <v>0.8999999999999999</v>
      </c>
      <c r="F4254" s="247">
        <v>0.15</v>
      </c>
      <c r="G4254" s="247">
        <v>0.225</v>
      </c>
      <c r="H4254" s="249">
        <f>PRODUCT(D4254:G4254)</f>
        <v>0.091125</v>
      </c>
      <c r="J4254" s="253" t="inlineStr">
        <is>
          <t xml:space="preserve">3*(0.6+0.3)*0.15*0.225</t>
        </is>
      </c>
    </row>
    <row r="4255">
      <c r="C4255" s="246" t="inlineStr">
        <is>
          <t xml:space="preserve">Lintel over SD1 (1 nr, 3x2.2): nr x (width + 2 x 150 bearing) x 150 x 225</t>
        </is>
      </c>
      <c r="D4255" s="248">
        <v>1</v>
      </c>
      <c r="E4255" s="247">
        <f>3+0.3</f>
        <v>3.3</v>
      </c>
      <c r="F4255" s="247">
        <v>0.15</v>
      </c>
      <c r="G4255" s="247">
        <v>0.225</v>
      </c>
      <c r="H4255" s="249">
        <f>PRODUCT(D4255:G4255)</f>
        <v>0.11137499999999999</v>
      </c>
      <c r="J4255" s="253" t="inlineStr">
        <is>
          <t xml:space="preserve">1*(3+0.3)*0.15*0.225</t>
        </is>
      </c>
    </row>
    <row r="4256">
      <c r="C4256" s="246" t="inlineStr">
        <is>
          <t xml:space="preserve">Lintel over SD2 (4 nr, 1.6x2.2): nr x (width + 2 x 150 bearing) x 150 x 225</t>
        </is>
      </c>
      <c r="D4256" s="248">
        <v>4</v>
      </c>
      <c r="E4256" s="247">
        <f>1.6+0.3</f>
        <v>1.9000000000000001</v>
      </c>
      <c r="F4256" s="247">
        <v>0.15</v>
      </c>
      <c r="G4256" s="247">
        <v>0.225</v>
      </c>
      <c r="H4256" s="249">
        <f>PRODUCT(D4256:G4256)</f>
        <v>0.25650000000000006</v>
      </c>
      <c r="J4256" s="253" t="inlineStr">
        <is>
          <t xml:space="preserve">4*(1.6+0.3)*0.15*0.225</t>
        </is>
      </c>
    </row>
    <row r="4257">
      <c r="C4257" s="246" t="inlineStr">
        <is>
          <t xml:space="preserve">Lintel over SD3 (2 nr, 1.3x2.2): nr x (width + 2 x 150 bearing) x 150 x 225</t>
        </is>
      </c>
      <c r="D4257" s="248">
        <v>2</v>
      </c>
      <c r="E4257" s="247">
        <f>1.3+0.3</f>
        <v>1.6</v>
      </c>
      <c r="F4257" s="247">
        <v>0.15</v>
      </c>
      <c r="G4257" s="247">
        <v>0.225</v>
      </c>
      <c r="H4257" s="249">
        <f>PRODUCT(D4257:G4257)</f>
        <v>0.108</v>
      </c>
      <c r="J4257" s="253" t="inlineStr">
        <is>
          <t xml:space="preserve">2*(1.3+0.3)*0.15*0.225</t>
        </is>
      </c>
    </row>
    <row r="4258">
      <c r="C4258" s="246" t="inlineStr">
        <is>
          <t xml:space="preserve">Lintel over SD4 (4 nr, 1.8x2.2): nr x (width + 2 x 150 bearing) x 150 x 225</t>
        </is>
      </c>
      <c r="D4258" s="248">
        <v>4</v>
      </c>
      <c r="E4258" s="247">
        <f>1.8+0.3</f>
        <v>2.1</v>
      </c>
      <c r="F4258" s="247">
        <v>0.15</v>
      </c>
      <c r="G4258" s="247">
        <v>0.225</v>
      </c>
      <c r="H4258" s="249">
        <f>PRODUCT(D4258:G4258)</f>
        <v>0.28350000000000003</v>
      </c>
      <c r="J4258" s="253" t="inlineStr">
        <is>
          <t xml:space="preserve">4*(1.8+0.3)*0.15*0.225</t>
        </is>
      </c>
    </row>
    <row r="4259">
      <c r="C4259" s="246" t="inlineStr">
        <is>
          <t xml:space="preserve">Lintel over SD5 (1 nr, 1.2x2.2): nr x (width + 2 x 150 bearing) x 150 x 225</t>
        </is>
      </c>
      <c r="D4259" s="248">
        <v>1</v>
      </c>
      <c r="E4259" s="247">
        <f>1.2+0.3</f>
        <v>1.5</v>
      </c>
      <c r="F4259" s="247">
        <v>0.15</v>
      </c>
      <c r="G4259" s="247">
        <v>0.225</v>
      </c>
      <c r="H4259" s="249">
        <f>PRODUCT(D4259:G4259)</f>
        <v>0.050624999999999996</v>
      </c>
      <c r="J4259" s="253" t="inlineStr">
        <is>
          <t xml:space="preserve">1*(1.2+0.3)*0.15*0.225</t>
        </is>
      </c>
    </row>
    <row r="4260">
      <c r="C4260" s="246" t="inlineStr">
        <is>
          <t xml:space="preserve">Lintel over W2 (6 nr, 1.8x1.3): nr x (width + 2 x 150 bearing) x 150 x 225</t>
        </is>
      </c>
      <c r="D4260" s="248">
        <v>6</v>
      </c>
      <c r="E4260" s="247">
        <f>1.8+0.3</f>
        <v>2.1</v>
      </c>
      <c r="F4260" s="247">
        <v>0.15</v>
      </c>
      <c r="G4260" s="247">
        <v>0.225</v>
      </c>
      <c r="H4260" s="249">
        <f>PRODUCT(D4260:G4260)</f>
        <v>0.42525</v>
      </c>
      <c r="J4260" s="253" t="inlineStr">
        <is>
          <t xml:space="preserve">6*(1.8+0.3)*0.15*0.225</t>
        </is>
      </c>
    </row>
    <row r="4261">
      <c r="C4261" s="246" t="inlineStr">
        <is>
          <t xml:space="preserve">Lintel over W4 (10 nr, 0.9x1.3): nr x (width + 2 x 150 bearing) x 150 x 225</t>
        </is>
      </c>
      <c r="D4261" s="248">
        <v>10</v>
      </c>
      <c r="E4261" s="247">
        <f>0.9+0.3</f>
        <v>1.2</v>
      </c>
      <c r="F4261" s="247">
        <v>0.15</v>
      </c>
      <c r="G4261" s="247">
        <v>0.225</v>
      </c>
      <c r="H4261" s="249">
        <f>PRODUCT(D4261:G4261)</f>
        <v>0.40499999999999997</v>
      </c>
      <c r="J4261" s="253" t="inlineStr">
        <is>
          <t xml:space="preserve">10*(0.9+0.3)*0.15*0.225</t>
        </is>
      </c>
    </row>
    <row r="4262">
      <c r="C4262" s="246" t="inlineStr">
        <is>
          <t xml:space="preserve">Lintel over W7 (2 nr, 1.8x1.6): nr x (width + 2 x 150 bearing) x 150 x 225</t>
        </is>
      </c>
      <c r="D4262" s="248">
        <v>2</v>
      </c>
      <c r="E4262" s="247">
        <f>1.8+0.3</f>
        <v>2.1</v>
      </c>
      <c r="F4262" s="247">
        <v>0.15</v>
      </c>
      <c r="G4262" s="247">
        <v>0.225</v>
      </c>
      <c r="H4262" s="249">
        <f>PRODUCT(D4262:G4262)</f>
        <v>0.14175000000000001</v>
      </c>
      <c r="J4262" s="253" t="inlineStr">
        <is>
          <t xml:space="preserve">2*(1.8+0.3)*0.15*0.225</t>
        </is>
      </c>
    </row>
    <row r="4263">
      <c r="C4263" s="246" t="inlineStr">
        <is>
          <t xml:space="preserve">Lintel over W8 (3 nr, 1.2x1.9): nr x (width + 2 x 150 bearing) x 150 x 225</t>
        </is>
      </c>
      <c r="D4263" s="248">
        <v>3</v>
      </c>
      <c r="E4263" s="247">
        <f>1.2+0.3</f>
        <v>1.5</v>
      </c>
      <c r="F4263" s="247">
        <v>0.15</v>
      </c>
      <c r="G4263" s="247">
        <v>0.225</v>
      </c>
      <c r="H4263" s="249">
        <f>PRODUCT(D4263:G4263)</f>
        <v>0.15187499999999998</v>
      </c>
      <c r="J4263" s="253" t="inlineStr">
        <is>
          <t xml:space="preserve">3*(1.2+0.3)*0.15*0.225</t>
        </is>
      </c>
    </row>
    <row r="4264">
      <c r="C4264" s="246" t="inlineStr">
        <is>
          <t xml:space="preserve">Lintel over W9 (8 nr, 1.2x1.15): nr x (width + 2 x 150 bearing) x 150 x 225</t>
        </is>
      </c>
      <c r="D4264" s="248">
        <v>8</v>
      </c>
      <c r="E4264" s="247">
        <f>1.2+0.3</f>
        <v>1.5</v>
      </c>
      <c r="F4264" s="247">
        <v>0.15</v>
      </c>
      <c r="G4264" s="247">
        <v>0.225</v>
      </c>
      <c r="H4264" s="249">
        <f>PRODUCT(D4264:G4264)</f>
        <v>0.40499999999999997</v>
      </c>
      <c r="J4264" s="253" t="inlineStr">
        <is>
          <t xml:space="preserve">8*(1.2+0.3)*0.15*0.225</t>
        </is>
      </c>
    </row>
    <row r="4265">
      <c r="C4265" s="246" t="inlineStr">
        <is>
          <t xml:space="preserve">Lintel over W10 (1 nr, 1.2x1.2): nr x (width + 2 x 150 bearing) x 150 x 225</t>
        </is>
      </c>
      <c r="D4265" s="248">
        <v>1</v>
      </c>
      <c r="E4265" s="247">
        <f>1.2+0.3</f>
        <v>1.5</v>
      </c>
      <c r="F4265" s="247">
        <v>0.15</v>
      </c>
      <c r="G4265" s="247">
        <v>0.225</v>
      </c>
      <c r="H4265" s="249">
        <f>PRODUCT(D4265:G4265)</f>
        <v>0.050624999999999996</v>
      </c>
      <c r="J4265" s="253" t="inlineStr">
        <is>
          <t xml:space="preserve">1*(1.2+0.3)*0.15*0.225</t>
        </is>
      </c>
    </row>
    <row r="4266">
      <c r="C4266" s="246" t="inlineStr">
        <is>
          <t xml:space="preserve">Lintel over W11 (6 nr, 1.5x1.3): nr x (width + 2 x 150 bearing) x 150 x 225</t>
        </is>
      </c>
      <c r="D4266" s="248">
        <v>6</v>
      </c>
      <c r="E4266" s="247">
        <f>1.5+0.3</f>
        <v>1.8</v>
      </c>
      <c r="F4266" s="247">
        <v>0.15</v>
      </c>
      <c r="G4266" s="247">
        <v>0.225</v>
      </c>
      <c r="H4266" s="249">
        <f>PRODUCT(D4266:G4266)</f>
        <v>0.36450000000000005</v>
      </c>
      <c r="J4266" s="253" t="inlineStr">
        <is>
          <t xml:space="preserve">6*(1.5+0.3)*0.15*0.225</t>
        </is>
      </c>
    </row>
    <row r="4267">
      <c r="C4267" s="246" t="inlineStr">
        <is>
          <t xml:space="preserve">Lintel over W12 (4 nr, 1.5x1.15): nr x (width + 2 x 150 bearing) x 150 x 225</t>
        </is>
      </c>
      <c r="D4267" s="248">
        <v>4</v>
      </c>
      <c r="E4267" s="247">
        <f>1.5+0.3</f>
        <v>1.8</v>
      </c>
      <c r="F4267" s="247">
        <v>0.15</v>
      </c>
      <c r="G4267" s="247">
        <v>0.225</v>
      </c>
      <c r="H4267" s="249">
        <f>PRODUCT(D4267:G4267)</f>
        <v>0.24300000000000002</v>
      </c>
      <c r="J4267" s="253" t="inlineStr">
        <is>
          <t xml:space="preserve">4*(1.5+0.3)*0.15*0.225</t>
        </is>
      </c>
    </row>
    <row r="4268">
      <c r="C4268" s="246" t="inlineStr">
        <is>
          <t xml:space="preserve">Lintel over W13 (1 nr, 2.4x1.3): nr x (width + 2 x 150 bearing) x 150 x 225</t>
        </is>
      </c>
      <c r="D4268" s="248">
        <v>1</v>
      </c>
      <c r="E4268" s="247">
        <f>2.4+0.3</f>
        <v>2.6999999999999997</v>
      </c>
      <c r="F4268" s="247">
        <v>0.15</v>
      </c>
      <c r="G4268" s="247">
        <v>0.225</v>
      </c>
      <c r="H4268" s="249">
        <f>PRODUCT(D4268:G4268)</f>
        <v>0.091125</v>
      </c>
      <c r="J4268" s="253" t="inlineStr">
        <is>
          <t xml:space="preserve">1*(2.4+0.3)*0.15*0.225</t>
        </is>
      </c>
    </row>
    <row r="4269">
      <c r="C4269" s="246" t="inlineStr">
        <is>
          <t xml:space="preserve">Lintel over W15 (1 nr, 3x1.6): nr x (width + 2 x 150 bearing) x 150 x 225</t>
        </is>
      </c>
      <c r="D4269" s="248">
        <v>1</v>
      </c>
      <c r="E4269" s="247">
        <f>3+0.3</f>
        <v>3.3</v>
      </c>
      <c r="F4269" s="247">
        <v>0.15</v>
      </c>
      <c r="G4269" s="247">
        <v>0.225</v>
      </c>
      <c r="H4269" s="249">
        <f>PRODUCT(D4269:G4269)</f>
        <v>0.11137499999999999</v>
      </c>
      <c r="J4269" s="253" t="inlineStr">
        <is>
          <t xml:space="preserve">1*(3+0.3)*0.15*0.225</t>
        </is>
      </c>
    </row>
    <row r="4270">
      <c r="C4270" s="246" t="inlineStr">
        <is>
          <t xml:space="preserve">Lintel over W17 (3 nr, 1.8x1.9): nr x (width + 2 x 150 bearing) x 150 x 225</t>
        </is>
      </c>
      <c r="D4270" s="248">
        <v>3</v>
      </c>
      <c r="E4270" s="247">
        <f>1.8+0.3</f>
        <v>2.1</v>
      </c>
      <c r="F4270" s="247">
        <v>0.15</v>
      </c>
      <c r="G4270" s="247">
        <v>0.225</v>
      </c>
      <c r="H4270" s="249">
        <f>PRODUCT(D4270:G4270)</f>
        <v>0.212625</v>
      </c>
      <c r="J4270" s="253" t="inlineStr">
        <is>
          <t xml:space="preserve">3*(1.8+0.3)*0.15*0.225</t>
        </is>
      </c>
    </row>
    <row r="4271">
      <c r="C4271" s="246" t="inlineStr">
        <is>
          <t xml:space="preserve">Lintel over W18 (1 nr, 0.75x1.3): nr x (width + 2 x 150 bearing) x 150 x 225</t>
        </is>
      </c>
      <c r="D4271" s="248">
        <v>1</v>
      </c>
      <c r="E4271" s="247">
        <f>0.75+0.3</f>
        <v>1.05</v>
      </c>
      <c r="F4271" s="247">
        <v>0.15</v>
      </c>
      <c r="G4271" s="247">
        <v>0.225</v>
      </c>
      <c r="H4271" s="249">
        <f>PRODUCT(D4271:G4271)</f>
        <v>0.035437500000000004</v>
      </c>
      <c r="J4271" s="253" t="inlineStr">
        <is>
          <t xml:space="preserve">1*(0.75+0.3)*0.15*0.225</t>
        </is>
      </c>
    </row>
    <row r="4272">
      <c r="C4272" s="246" t="inlineStr">
        <is>
          <t xml:space="preserve">Lintel over W20 (1 nr, 1.45x1.9): nr x (width + 2 x 150 bearing) x 150 x 225</t>
        </is>
      </c>
      <c r="D4272" s="248">
        <v>1</v>
      </c>
      <c r="E4272" s="247">
        <f>1.45+0.3</f>
        <v>1.75</v>
      </c>
      <c r="F4272" s="247">
        <v>0.15</v>
      </c>
      <c r="G4272" s="247">
        <v>0.225</v>
      </c>
      <c r="H4272" s="249">
        <f>PRODUCT(D4272:G4272)</f>
        <v>0.059062500000000004</v>
      </c>
      <c r="J4272" s="253" t="inlineStr">
        <is>
          <t xml:space="preserve">1*(1.45+0.3)*0.15*0.225</t>
        </is>
      </c>
    </row>
    <row r="4273">
      <c r="C4273" s="246" t="inlineStr">
        <is>
          <t xml:space="preserve">Lintel over HW1 (13 nr, 0.9x0.6): nr x (width + 2 x 150 bearing) x 150 x 225</t>
        </is>
      </c>
      <c r="D4273" s="248">
        <v>13</v>
      </c>
      <c r="E4273" s="247">
        <f>0.9+0.3</f>
        <v>1.2</v>
      </c>
      <c r="F4273" s="247">
        <v>0.15</v>
      </c>
      <c r="G4273" s="247">
        <v>0.225</v>
      </c>
      <c r="H4273" s="249">
        <f>PRODUCT(D4273:G4273)</f>
        <v>0.5265</v>
      </c>
      <c r="J4273" s="253" t="inlineStr">
        <is>
          <t xml:space="preserve">13*(0.9+0.3)*0.15*0.225</t>
        </is>
      </c>
    </row>
    <row r="4274">
      <c r="C4274" s="246" t="inlineStr">
        <is>
          <t xml:space="preserve">Lintel over HW2 (5 nr, 0.75x0.6): nr x (width + 2 x 150 bearing) x 150 x 225</t>
        </is>
      </c>
      <c r="D4274" s="248">
        <v>5</v>
      </c>
      <c r="E4274" s="247">
        <f>0.75+0.3</f>
        <v>1.05</v>
      </c>
      <c r="F4274" s="247">
        <v>0.15</v>
      </c>
      <c r="G4274" s="247">
        <v>0.225</v>
      </c>
      <c r="H4274" s="249">
        <f>PRODUCT(D4274:G4274)</f>
        <v>0.1771875</v>
      </c>
      <c r="J4274" s="253" t="inlineStr">
        <is>
          <t xml:space="preserve">5*(0.75+0.3)*0.15*0.225</t>
        </is>
      </c>
    </row>
    <row r="4275">
      <c r="C4275" s="246" t="inlineStr">
        <is>
          <t xml:space="preserve">Lintel over HW3 (2 nr, 0.6x0.6): nr x (width + 2 x 150 bearing) x 150 x 225</t>
        </is>
      </c>
      <c r="D4275" s="248">
        <v>2</v>
      </c>
      <c r="E4275" s="247">
        <f>0.6+0.3</f>
        <v>0.8999999999999999</v>
      </c>
      <c r="F4275" s="247">
        <v>0.15</v>
      </c>
      <c r="G4275" s="247">
        <v>0.225</v>
      </c>
      <c r="H4275" s="249">
        <f>PRODUCT(D4275:G4275)</f>
        <v>0.06074999999999999</v>
      </c>
      <c r="J4275" s="253" t="inlineStr">
        <is>
          <t xml:space="preserve">2*(0.6+0.3)*0.15*0.225</t>
        </is>
      </c>
    </row>
    <row r="4276">
      <c r="C4276" s="246" t="inlineStr">
        <is>
          <t xml:space="preserve">Lintel over HW4 (2 nr, 1.2x0.6): nr x (width + 2 x 150 bearing) x 150 x 225</t>
        </is>
      </c>
      <c r="D4276" s="248">
        <v>2</v>
      </c>
      <c r="E4276" s="247">
        <f>1.2+0.3</f>
        <v>1.5</v>
      </c>
      <c r="F4276" s="247">
        <v>0.15</v>
      </c>
      <c r="G4276" s="247">
        <v>0.225</v>
      </c>
      <c r="H4276" s="249">
        <f>PRODUCT(D4276:G4276)</f>
        <v>0.10124999999999999</v>
      </c>
      <c r="J4276" s="253" t="inlineStr">
        <is>
          <t xml:space="preserve">2*(1.2+0.3)*0.15*0.225</t>
        </is>
      </c>
    </row>
    <row r="4277">
      <c r="C4277" s="250" t="inlineStr">
        <is>
          <t xml:space="preserve">Total carried to BOQ  8TH FLR item G</t>
        </is>
      </c>
      <c r="D4277" s="250" t="inlineStr">
        <is>
          <t xml:space="preserve"/>
        </is>
      </c>
      <c r="E4277" s="250" t="inlineStr">
        <is>
          <t xml:space="preserve"/>
        </is>
      </c>
      <c r="F4277" s="250" t="inlineStr">
        <is>
          <t xml:space="preserve"/>
        </is>
      </c>
      <c r="G4277" s="250" t="inlineStr">
        <is>
          <t xml:space="preserve"/>
        </is>
      </c>
      <c r="H4277" s="251">
        <f>SUM(H4242:H4276)</f>
        <v>6.8698125</v>
      </c>
      <c r="I4277" s="252" t="inlineStr">
        <is>
          <t xml:space="preserve">m3</t>
        </is>
      </c>
    </row>
    <row r="4278">
      <c r="C4278" s="242" t="inlineStr">
        <is>
          <t xml:space="preserve">E20 FORMWORK - Formwork as described to:</t>
        </is>
      </c>
    </row>
    <row r="4279">
      <c r="A4279" s="243" t="inlineStr">
        <is>
          <t xml:space="preserve">8TH FLR</t>
        </is>
      </c>
      <c r="B4279" s="243" t="inlineStr">
        <is>
          <t xml:space="preserve">H</t>
        </is>
      </c>
      <c r="C4279" s="244" t="inlineStr">
        <is>
          <t xml:space="preserve">Soffits of suspended slab</t>
        </is>
      </c>
      <c r="I4279" s="245" t="inlineStr">
        <is>
          <t xml:space="preserve">m2</t>
        </is>
      </c>
      <c r="K4279" s="256" t="inlineStr">
        <is>
          <t xml:space="preserve">'8TH FLR   '!C49</t>
        </is>
      </c>
    </row>
    <row r="4280">
      <c r="C4280" s="246" t="inlineStr">
        <is>
          <t xml:space="preserve">Eighth floor (+27400) - Slab soffit: measured area</t>
        </is>
      </c>
      <c r="H4280" s="247">
        <v>1134.6</v>
      </c>
      <c r="J4280" s="253" t="inlineStr">
        <is>
          <t xml:space="preserve">1134.6</t>
        </is>
      </c>
    </row>
    <row r="4281">
      <c r="C4281" s="250" t="inlineStr">
        <is>
          <t xml:space="preserve">Total carried to BOQ  8TH FLR item H</t>
        </is>
      </c>
      <c r="D4281" s="250" t="inlineStr">
        <is>
          <t xml:space="preserve"/>
        </is>
      </c>
      <c r="E4281" s="250" t="inlineStr">
        <is>
          <t xml:space="preserve"/>
        </is>
      </c>
      <c r="F4281" s="250" t="inlineStr">
        <is>
          <t xml:space="preserve"/>
        </is>
      </c>
      <c r="G4281" s="250" t="inlineStr">
        <is>
          <t xml:space="preserve"/>
        </is>
      </c>
      <c r="H4281" s="251">
        <f>SUM(H4280:H4280)</f>
        <v>1134.6</v>
      </c>
      <c r="I4281" s="252" t="inlineStr">
        <is>
          <t xml:space="preserve">m2</t>
        </is>
      </c>
    </row>
    <row r="4282">
      <c r="A4282" s="243" t="inlineStr">
        <is>
          <t xml:space="preserve">8TH FLR</t>
        </is>
      </c>
      <c r="B4282" s="243" t="inlineStr">
        <is>
          <t xml:space="preserve">J</t>
        </is>
      </c>
      <c r="C4282" s="244" t="inlineStr">
        <is>
          <t xml:space="preserve">Edges of suspended slab 250mm high</t>
        </is>
      </c>
      <c r="I4282" s="245" t="inlineStr">
        <is>
          <t xml:space="preserve">m</t>
        </is>
      </c>
      <c r="K4282" s="256" t="inlineStr">
        <is>
          <t xml:space="preserve">'8TH FLR   '!C51</t>
        </is>
      </c>
    </row>
    <row r="4283">
      <c r="C4283" s="246" t="inlineStr">
        <is>
          <t xml:space="preserve">Eighth floor (+27400) - Slab edge: measured perimeter</t>
        </is>
      </c>
      <c r="H4283" s="247">
        <v>294.6</v>
      </c>
      <c r="J4283" s="253" t="inlineStr">
        <is>
          <t xml:space="preserve">294.6</t>
        </is>
      </c>
    </row>
    <row r="4284">
      <c r="C4284" s="250" t="inlineStr">
        <is>
          <t xml:space="preserve">Total carried to BOQ  8TH FLR item J</t>
        </is>
      </c>
      <c r="D4284" s="250" t="inlineStr">
        <is>
          <t xml:space="preserve"/>
        </is>
      </c>
      <c r="E4284" s="250" t="inlineStr">
        <is>
          <t xml:space="preserve"/>
        </is>
      </c>
      <c r="F4284" s="250" t="inlineStr">
        <is>
          <t xml:space="preserve"/>
        </is>
      </c>
      <c r="G4284" s="250" t="inlineStr">
        <is>
          <t xml:space="preserve"/>
        </is>
      </c>
      <c r="H4284" s="251">
        <f>SUM(H4283:H4283)</f>
        <v>294.6</v>
      </c>
      <c r="I4284" s="252" t="inlineStr">
        <is>
          <t xml:space="preserve">m</t>
        </is>
      </c>
    </row>
    <row r="4285">
      <c r="A4285" s="243" t="inlineStr">
        <is>
          <t xml:space="preserve">8TH FLR</t>
        </is>
      </c>
      <c r="B4285" s="243" t="inlineStr">
        <is>
          <t xml:space="preserve">K</t>
        </is>
      </c>
      <c r="C4285" s="244" t="inlineStr">
        <is>
          <t xml:space="preserve">Sides and soffits of beams</t>
        </is>
      </c>
      <c r="I4285" s="245" t="inlineStr">
        <is>
          <t xml:space="preserve">m2</t>
        </is>
      </c>
      <c r="K4285" s="256" t="inlineStr">
        <is>
          <t xml:space="preserve">'8TH FLR   '!C53</t>
        </is>
      </c>
    </row>
    <row r="4286">
      <c r="C4286" s="246" t="inlineStr">
        <is>
          <t xml:space="preserve">Eighth floor (+27400) - beam sides &amp; soffit (300 wide): length x girth</t>
        </is>
      </c>
      <c r="E4286" s="247">
        <v>166.8</v>
      </c>
      <c r="F4286" s="247">
        <f>2*0.35+0.3</f>
        <v>1.0</v>
      </c>
      <c r="H4286" s="249">
        <f>PRODUCT(D4286:G4286)</f>
        <v>166.8</v>
      </c>
      <c r="J4286" s="253" t="inlineStr">
        <is>
          <t xml:space="preserve">166.8*(2*0.35+0.3)</t>
        </is>
      </c>
    </row>
    <row r="4287">
      <c r="C4287" s="246" t="inlineStr">
        <is>
          <t xml:space="preserve">Eighth floor (+27400) - beam sides &amp; soffit (200 wide): length x girth</t>
        </is>
      </c>
      <c r="E4287" s="247">
        <v>33.1</v>
      </c>
      <c r="F4287" s="247">
        <f>2*0.35+0.2</f>
        <v>0.8999999999999999</v>
      </c>
      <c r="H4287" s="249">
        <f>PRODUCT(D4287:G4287)</f>
        <v>29.79</v>
      </c>
      <c r="J4287" s="253" t="inlineStr">
        <is>
          <t xml:space="preserve">33.1*(2*0.35+0.2)</t>
        </is>
      </c>
    </row>
    <row r="4288">
      <c r="C4288" s="250" t="inlineStr">
        <is>
          <t xml:space="preserve">Total carried to BOQ  8TH FLR item K</t>
        </is>
      </c>
      <c r="D4288" s="250" t="inlineStr">
        <is>
          <t xml:space="preserve"/>
        </is>
      </c>
      <c r="E4288" s="250" t="inlineStr">
        <is>
          <t xml:space="preserve"/>
        </is>
      </c>
      <c r="F4288" s="250" t="inlineStr">
        <is>
          <t xml:space="preserve"/>
        </is>
      </c>
      <c r="G4288" s="250" t="inlineStr">
        <is>
          <t xml:space="preserve"/>
        </is>
      </c>
      <c r="H4288" s="251">
        <f>SUM(H4286:H4287)</f>
        <v>196.59</v>
      </c>
      <c r="I4288" s="252" t="inlineStr">
        <is>
          <t xml:space="preserve">m2</t>
        </is>
      </c>
    </row>
    <row r="4289">
      <c r="A4289" s="243" t="inlineStr">
        <is>
          <t xml:space="preserve">8TH FLR</t>
        </is>
      </c>
      <c r="B4289" s="243" t="inlineStr">
        <is>
          <t xml:space="preserve">L</t>
        </is>
      </c>
      <c r="C4289" s="244" t="inlineStr">
        <is>
          <t xml:space="preserve">Columns</t>
        </is>
      </c>
      <c r="I4289" s="245" t="inlineStr">
        <is>
          <t xml:space="preserve">m2</t>
        </is>
      </c>
      <c r="K4289" s="256" t="inlineStr">
        <is>
          <t xml:space="preserve">'8TH FLR   '!C55</t>
        </is>
      </c>
    </row>
    <row r="4290">
      <c r="C4290" s="246" t="inlineStr">
        <is>
          <t xml:space="preserve">COL-01A x5 - column sides (8th to 9th), ht 3.05</t>
        </is>
      </c>
      <c r="D4290" s="248">
        <v>5</v>
      </c>
      <c r="E4290" s="247">
        <f>2*(0.75+0.5)</f>
        <v>2.5</v>
      </c>
      <c r="F4290" s="247">
        <v>3.05</v>
      </c>
      <c r="H4290" s="249">
        <f>PRODUCT(D4290:G4290)</f>
        <v>38.125</v>
      </c>
      <c r="J4290" s="253" t="inlineStr">
        <is>
          <t xml:space="preserve">5*2*(0.75+0.5)*3.05</t>
        </is>
      </c>
    </row>
    <row r="4291">
      <c r="C4291" s="246" t="inlineStr">
        <is>
          <t xml:space="preserve">COL-01B x1 - column sides (8th to 9th), ht 3.05</t>
        </is>
      </c>
      <c r="D4291" s="248">
        <v>1</v>
      </c>
      <c r="E4291" s="247">
        <f>2*(0.75+0.5)</f>
        <v>2.5</v>
      </c>
      <c r="F4291" s="247">
        <v>3.05</v>
      </c>
      <c r="H4291" s="249">
        <f>PRODUCT(D4291:G4291)</f>
        <v>7.625</v>
      </c>
      <c r="J4291" s="253" t="inlineStr">
        <is>
          <t xml:space="preserve">1*2*(0.75+0.5)*3.05</t>
        </is>
      </c>
    </row>
    <row r="4292">
      <c r="C4292" s="246" t="inlineStr">
        <is>
          <t xml:space="preserve">COL-01C x2 - column sides (8th to 9th), ht 3.05</t>
        </is>
      </c>
      <c r="D4292" s="248">
        <v>2</v>
      </c>
      <c r="E4292" s="247">
        <f>2*(0.75+0.5)</f>
        <v>2.5</v>
      </c>
      <c r="F4292" s="247">
        <v>3.05</v>
      </c>
      <c r="H4292" s="249">
        <f>PRODUCT(D4292:G4292)</f>
        <v>15.25</v>
      </c>
      <c r="J4292" s="253" t="inlineStr">
        <is>
          <t xml:space="preserve">2*2*(0.75+0.5)*3.05</t>
        </is>
      </c>
    </row>
    <row r="4293">
      <c r="C4293" s="246" t="inlineStr">
        <is>
          <t xml:space="preserve">COL-01D x1 - column sides (8th to 9th), ht 3.05</t>
        </is>
      </c>
      <c r="D4293" s="248">
        <v>1</v>
      </c>
      <c r="E4293" s="247">
        <f>2*(0.75+0.5)</f>
        <v>2.5</v>
      </c>
      <c r="F4293" s="247">
        <v>3.05</v>
      </c>
      <c r="H4293" s="249">
        <f>PRODUCT(D4293:G4293)</f>
        <v>7.625</v>
      </c>
      <c r="J4293" s="253" t="inlineStr">
        <is>
          <t xml:space="preserve">1*2*(0.75+0.5)*3.05</t>
        </is>
      </c>
    </row>
    <row r="4294">
      <c r="C4294" s="246" t="inlineStr">
        <is>
          <t xml:space="preserve">COL-02A x3 - column sides (8th to 9th), ht 3.05</t>
        </is>
      </c>
      <c r="D4294" s="248">
        <v>3</v>
      </c>
      <c r="E4294" s="247">
        <f>2*(1.2+0.3)</f>
        <v>3.0</v>
      </c>
      <c r="F4294" s="247">
        <v>3.05</v>
      </c>
      <c r="H4294" s="249">
        <f>PRODUCT(D4294:G4294)</f>
        <v>27.45</v>
      </c>
      <c r="J4294" s="253" t="inlineStr">
        <is>
          <t xml:space="preserve">3*2*(1.2+0.3)*3.05</t>
        </is>
      </c>
    </row>
    <row r="4295">
      <c r="C4295" s="246" t="inlineStr">
        <is>
          <t xml:space="preserve">COL-02B x6 - column sides (8th to 9th), ht 3.05</t>
        </is>
      </c>
      <c r="D4295" s="248">
        <v>6</v>
      </c>
      <c r="E4295" s="247">
        <f>2*(1.2+0.3)</f>
        <v>3.0</v>
      </c>
      <c r="F4295" s="247">
        <v>3.05</v>
      </c>
      <c r="H4295" s="249">
        <f>PRODUCT(D4295:G4295)</f>
        <v>54.9</v>
      </c>
      <c r="J4295" s="253" t="inlineStr">
        <is>
          <t xml:space="preserve">6*2*(1.2+0.3)*3.05</t>
        </is>
      </c>
    </row>
    <row r="4296">
      <c r="C4296" s="246" t="inlineStr">
        <is>
          <t xml:space="preserve">COL-02C x1 - column sides (8th to 9th), ht 3.05</t>
        </is>
      </c>
      <c r="D4296" s="248">
        <v>1</v>
      </c>
      <c r="E4296" s="247">
        <f>2*(1.2+0.3)</f>
        <v>3.0</v>
      </c>
      <c r="F4296" s="247">
        <v>3.05</v>
      </c>
      <c r="H4296" s="249">
        <f>PRODUCT(D4296:G4296)</f>
        <v>9.149999999999999</v>
      </c>
      <c r="J4296" s="253" t="inlineStr">
        <is>
          <t xml:space="preserve">1*2*(1.2+0.3)*3.05</t>
        </is>
      </c>
    </row>
    <row r="4297">
      <c r="C4297" s="246" t="inlineStr">
        <is>
          <t xml:space="preserve">COL-02D x15 - column sides (8th to 9th), ht 3.05</t>
        </is>
      </c>
      <c r="D4297" s="248">
        <v>15</v>
      </c>
      <c r="E4297" s="247">
        <f>2*(1.2+0.3)</f>
        <v>3.0</v>
      </c>
      <c r="F4297" s="247">
        <v>3.05</v>
      </c>
      <c r="H4297" s="249">
        <f>PRODUCT(D4297:G4297)</f>
        <v>137.25</v>
      </c>
      <c r="J4297" s="253" t="inlineStr">
        <is>
          <t xml:space="preserve">15*2*(1.2+0.3)*3.05</t>
        </is>
      </c>
    </row>
    <row r="4298">
      <c r="C4298" s="246" t="inlineStr">
        <is>
          <t xml:space="preserve">SWC-01A x1 - column sides (8th to 9th), ht 3.05</t>
        </is>
      </c>
      <c r="D4298" s="248">
        <v>1</v>
      </c>
      <c r="E4298" s="247">
        <f>2*(2.85+1.075)</f>
        <v>7.85</v>
      </c>
      <c r="F4298" s="247">
        <v>3.05</v>
      </c>
      <c r="H4298" s="249">
        <f>PRODUCT(D4298:G4298)</f>
        <v>23.9425</v>
      </c>
      <c r="J4298" s="253" t="inlineStr">
        <is>
          <t xml:space="preserve">1*2*(2.85+1.075)*3.05</t>
        </is>
      </c>
    </row>
    <row r="4299">
      <c r="C4299" s="250" t="inlineStr">
        <is>
          <t xml:space="preserve">Total carried to BOQ  8TH FLR item L</t>
        </is>
      </c>
      <c r="D4299" s="250" t="inlineStr">
        <is>
          <t xml:space="preserve"/>
        </is>
      </c>
      <c r="E4299" s="250" t="inlineStr">
        <is>
          <t xml:space="preserve"/>
        </is>
      </c>
      <c r="F4299" s="250" t="inlineStr">
        <is>
          <t xml:space="preserve"/>
        </is>
      </c>
      <c r="G4299" s="250" t="inlineStr">
        <is>
          <t xml:space="preserve"/>
        </is>
      </c>
      <c r="H4299" s="251">
        <f>SUM(H4290:H4298)</f>
        <v>321.3175</v>
      </c>
      <c r="I4299" s="252" t="inlineStr">
        <is>
          <t xml:space="preserve">m2</t>
        </is>
      </c>
    </row>
    <row r="4300">
      <c r="A4300" s="243" t="inlineStr">
        <is>
          <t xml:space="preserve">8TH FLR</t>
        </is>
      </c>
      <c r="B4300" s="243" t="inlineStr">
        <is>
          <t xml:space="preserve">M</t>
        </is>
      </c>
      <c r="C4300" s="244" t="inlineStr">
        <is>
          <t xml:space="preserve">Concrete wall (both faces)</t>
        </is>
      </c>
      <c r="I4300" s="245" t="inlineStr">
        <is>
          <t xml:space="preserve">m2</t>
        </is>
      </c>
      <c r="K4300" s="256" t="inlineStr">
        <is>
          <t xml:space="preserve">'8TH FLR   '!C57</t>
        </is>
      </c>
    </row>
    <row r="4301">
      <c r="C4301" s="246" t="inlineStr">
        <is>
          <t xml:space="preserve">Eighth floor (+27400) - main stair core walls (22.05 m run) (both faces)</t>
        </is>
      </c>
      <c r="D4301" s="248">
        <v>2</v>
      </c>
      <c r="E4301" s="247">
        <v>22.05</v>
      </c>
      <c r="F4301" s="247">
        <v>3.05</v>
      </c>
      <c r="H4301" s="249">
        <f>PRODUCT(D4301:G4301)</f>
        <v>134.505</v>
      </c>
      <c r="J4301" s="253" t="inlineStr">
        <is>
          <t xml:space="preserve">2*22.05*3.05</t>
        </is>
      </c>
    </row>
    <row r="4302">
      <c r="C4302" s="246" t="inlineStr">
        <is>
          <t xml:space="preserve">Eighth floor (+27400) - lift core walls (21.825 m run) (both faces)</t>
        </is>
      </c>
      <c r="D4302" s="248">
        <v>2</v>
      </c>
      <c r="E4302" s="247">
        <v>21.825</v>
      </c>
      <c r="F4302" s="247">
        <v>3.05</v>
      </c>
      <c r="H4302" s="249">
        <f>PRODUCT(D4302:G4302)</f>
        <v>133.1325</v>
      </c>
      <c r="J4302" s="253" t="inlineStr">
        <is>
          <t xml:space="preserve">2*21.825*3.05</t>
        </is>
      </c>
    </row>
    <row r="4303">
      <c r="C4303" s="246" t="inlineStr">
        <is>
          <t xml:space="preserve">Eighth floor (+27400) - emergency stair core walls (25.57 m run) (both faces)</t>
        </is>
      </c>
      <c r="D4303" s="248">
        <v>2</v>
      </c>
      <c r="E4303" s="247">
        <v>25.57</v>
      </c>
      <c r="F4303" s="247">
        <v>3.05</v>
      </c>
      <c r="H4303" s="249">
        <f>PRODUCT(D4303:G4303)</f>
        <v>155.977</v>
      </c>
      <c r="J4303" s="253" t="inlineStr">
        <is>
          <t xml:space="preserve">2*25.57*3.05</t>
        </is>
      </c>
    </row>
    <row r="4304">
      <c r="C4304" s="250" t="inlineStr">
        <is>
          <t xml:space="preserve">Total carried to BOQ  8TH FLR item M</t>
        </is>
      </c>
      <c r="D4304" s="250" t="inlineStr">
        <is>
          <t xml:space="preserve"/>
        </is>
      </c>
      <c r="E4304" s="250" t="inlineStr">
        <is>
          <t xml:space="preserve"/>
        </is>
      </c>
      <c r="F4304" s="250" t="inlineStr">
        <is>
          <t xml:space="preserve"/>
        </is>
      </c>
      <c r="G4304" s="250" t="inlineStr">
        <is>
          <t xml:space="preserve"/>
        </is>
      </c>
      <c r="H4304" s="251">
        <f>SUM(H4301:H4303)</f>
        <v>423.6145</v>
      </c>
      <c r="I4304" s="252" t="inlineStr">
        <is>
          <t xml:space="preserve">m2</t>
        </is>
      </c>
    </row>
    <row r="4305">
      <c r="A4305" s="243" t="inlineStr">
        <is>
          <t xml:space="preserve">8TH FLR</t>
        </is>
      </c>
      <c r="B4305" s="243" t="inlineStr">
        <is>
          <t xml:space="preserve">N</t>
        </is>
      </c>
      <c r="C4305" s="244" t="inlineStr">
        <is>
          <t xml:space="preserve">Soffits of stair flights, landings and risers</t>
        </is>
      </c>
      <c r="I4305" s="245" t="inlineStr">
        <is>
          <t xml:space="preserve">m2</t>
        </is>
      </c>
      <c r="K4305" s="256" t="inlineStr">
        <is>
          <t xml:space="preserve">'8TH FLR   '!C59</t>
        </is>
      </c>
    </row>
    <row r="4306">
      <c r="C4306" s="246" t="inlineStr">
        <is>
          <t xml:space="preserve">Eighth floor (+27400) - Main stair flight (storey ht 3.3) - flight soffits: 2 x 3.424 x 1.8</t>
        </is>
      </c>
      <c r="D4306" s="248">
        <v>2</v>
      </c>
      <c r="E4306" s="247">
        <v>3.424</v>
      </c>
      <c r="F4306" s="247">
        <v>1.8</v>
      </c>
      <c r="H4306" s="249">
        <f>PRODUCT(D4306:G4306)</f>
        <v>12.3264</v>
      </c>
      <c r="J4306" s="253" t="inlineStr">
        <is>
          <t xml:space="preserve">2*3.424*1.8</t>
        </is>
      </c>
    </row>
    <row r="4307">
      <c r="C4307" s="246" t="inlineStr">
        <is>
          <t xml:space="preserve">Eighth floor (+27400) - Main stair flight (storey ht 3.3) - landing soffits</t>
        </is>
      </c>
      <c r="H4307" s="247">
        <v>15.0</v>
      </c>
      <c r="J4307" s="253" t="inlineStr">
        <is>
          <t xml:space="preserve">15.0</t>
        </is>
      </c>
    </row>
    <row r="4308">
      <c r="C4308" s="246" t="inlineStr">
        <is>
          <t xml:space="preserve">Eighth floor (+27400) - Main stair flight (storey ht 3.3) - risers: 22 x 0.15 x 1.8</t>
        </is>
      </c>
      <c r="D4308" s="248">
        <v>22</v>
      </c>
      <c r="E4308" s="247">
        <v>0.15</v>
      </c>
      <c r="F4308" s="247">
        <v>1.8</v>
      </c>
      <c r="H4308" s="249">
        <f>PRODUCT(D4308:G4308)</f>
        <v>5.9399999999999995</v>
      </c>
      <c r="J4308" s="253" t="inlineStr">
        <is>
          <t xml:space="preserve">22*0.15*1.8</t>
        </is>
      </c>
    </row>
    <row r="4309">
      <c r="C4309" s="246" t="inlineStr">
        <is>
          <t xml:space="preserve">Eighth floor (+27400) - Emergency stair flight (storey ht 3.3) - flight soffits: 2 x 3.424 x 1.8</t>
        </is>
      </c>
      <c r="D4309" s="248">
        <v>2</v>
      </c>
      <c r="E4309" s="247">
        <v>3.424</v>
      </c>
      <c r="F4309" s="247">
        <v>1.8</v>
      </c>
      <c r="H4309" s="249">
        <f>PRODUCT(D4309:G4309)</f>
        <v>12.3264</v>
      </c>
      <c r="J4309" s="253" t="inlineStr">
        <is>
          <t xml:space="preserve">2*3.424*1.8</t>
        </is>
      </c>
    </row>
    <row r="4310">
      <c r="C4310" s="246" t="inlineStr">
        <is>
          <t xml:space="preserve">Eighth floor (+27400) - Emergency stair flight (storey ht 3.3) - landing soffits</t>
        </is>
      </c>
      <c r="H4310" s="247">
        <v>15.0</v>
      </c>
      <c r="J4310" s="253" t="inlineStr">
        <is>
          <t xml:space="preserve">15.0</t>
        </is>
      </c>
    </row>
    <row r="4311">
      <c r="C4311" s="246" t="inlineStr">
        <is>
          <t xml:space="preserve">Eighth floor (+27400) - Emergency stair flight (storey ht 3.3) - risers: 22 x 0.15 x 1.8</t>
        </is>
      </c>
      <c r="D4311" s="248">
        <v>22</v>
      </c>
      <c r="E4311" s="247">
        <v>0.15</v>
      </c>
      <c r="F4311" s="247">
        <v>1.8</v>
      </c>
      <c r="H4311" s="249">
        <f>PRODUCT(D4311:G4311)</f>
        <v>5.9399999999999995</v>
      </c>
      <c r="J4311" s="253" t="inlineStr">
        <is>
          <t xml:space="preserve">22*0.15*1.8</t>
        </is>
      </c>
    </row>
    <row r="4312">
      <c r="C4312" s="250" t="inlineStr">
        <is>
          <t xml:space="preserve">Total carried to BOQ  8TH FLR item N</t>
        </is>
      </c>
      <c r="D4312" s="250" t="inlineStr">
        <is>
          <t xml:space="preserve"/>
        </is>
      </c>
      <c r="E4312" s="250" t="inlineStr">
        <is>
          <t xml:space="preserve"/>
        </is>
      </c>
      <c r="F4312" s="250" t="inlineStr">
        <is>
          <t xml:space="preserve"/>
        </is>
      </c>
      <c r="G4312" s="250" t="inlineStr">
        <is>
          <t xml:space="preserve"/>
        </is>
      </c>
      <c r="H4312" s="251">
        <f>SUM(H4306:H4311)</f>
        <v>66.5328</v>
      </c>
      <c r="I4312" s="252" t="inlineStr">
        <is>
          <t xml:space="preserve">m2</t>
        </is>
      </c>
    </row>
    <row r="4313">
      <c r="A4313" s="243" t="inlineStr">
        <is>
          <t xml:space="preserve">8TH FLR</t>
        </is>
      </c>
      <c r="B4313" s="243" t="inlineStr">
        <is>
          <t xml:space="preserve">P</t>
        </is>
      </c>
      <c r="C4313" s="244" t="inlineStr">
        <is>
          <t xml:space="preserve">Side and soffits of lintel / coping</t>
        </is>
      </c>
      <c r="I4313" s="245" t="inlineStr">
        <is>
          <t xml:space="preserve">m2</t>
        </is>
      </c>
      <c r="K4313" s="256" t="inlineStr">
        <is>
          <t xml:space="preserve">'8TH FLR   '!C61</t>
        </is>
      </c>
    </row>
    <row r="4314">
      <c r="C4314" s="246" t="inlineStr">
        <is>
          <t xml:space="preserve">Lintel formwork over D2 (8 nr, 1x2.2): nr x (width + 2 x 150 bearing) x girth 0.60</t>
        </is>
      </c>
      <c r="D4314" s="248">
        <v>8</v>
      </c>
      <c r="E4314" s="247">
        <f>1+0.3</f>
        <v>1.3</v>
      </c>
      <c r="F4314" s="247">
        <f>2*0.225+0.15</f>
        <v>0.6</v>
      </c>
      <c r="H4314" s="249">
        <f>PRODUCT(D4314:G4314)</f>
        <v>6.24</v>
      </c>
      <c r="J4314" s="253" t="inlineStr">
        <is>
          <t xml:space="preserve">8*(1+0.3)*(2*0.225+0.15)</t>
        </is>
      </c>
    </row>
    <row r="4315">
      <c r="C4315" s="246" t="inlineStr">
        <is>
          <t xml:space="preserve">Lintel formwork over D3 (15 nr, 0.9x2.2): nr x (width + 2 x 150 bearing) x girth 0.60</t>
        </is>
      </c>
      <c r="D4315" s="248">
        <v>15</v>
      </c>
      <c r="E4315" s="247">
        <f>0.9+0.3</f>
        <v>1.2</v>
      </c>
      <c r="F4315" s="247">
        <f>2*0.225+0.15</f>
        <v>0.6</v>
      </c>
      <c r="H4315" s="249">
        <f>PRODUCT(D4315:G4315)</f>
        <v>10.799999999999999</v>
      </c>
      <c r="J4315" s="253" t="inlineStr">
        <is>
          <t xml:space="preserve">15*(0.9+0.3)*(2*0.225+0.15)</t>
        </is>
      </c>
    </row>
    <row r="4316">
      <c r="C4316" s="246" t="inlineStr">
        <is>
          <t xml:space="preserve">Lintel formwork over D6 (21 nr, 0.75x2.2): nr x (width + 2 x 150 bearing) x girth 0.60</t>
        </is>
      </c>
      <c r="D4316" s="248">
        <v>21</v>
      </c>
      <c r="E4316" s="247">
        <f>0.75+0.3</f>
        <v>1.05</v>
      </c>
      <c r="F4316" s="247">
        <f>2*0.225+0.15</f>
        <v>0.6</v>
      </c>
      <c r="H4316" s="249">
        <f>PRODUCT(D4316:G4316)</f>
        <v>13.23</v>
      </c>
      <c r="J4316" s="253" t="inlineStr">
        <is>
          <t xml:space="preserve">21*(0.75+0.3)*(2*0.225+0.15)</t>
        </is>
      </c>
    </row>
    <row r="4317">
      <c r="C4317" s="246" t="inlineStr">
        <is>
          <t xml:space="preserve">Lintel formwork over D7 (1 nr, 0.7x2.2): nr x (width + 2 x 150 bearing) x girth 0.60</t>
        </is>
      </c>
      <c r="D4317" s="248">
        <v>1</v>
      </c>
      <c r="E4317" s="247">
        <f>0.7+0.3</f>
        <v>1.0</v>
      </c>
      <c r="F4317" s="247">
        <f>2*0.225+0.15</f>
        <v>0.6</v>
      </c>
      <c r="H4317" s="249">
        <f>PRODUCT(D4317:G4317)</f>
        <v>0.6</v>
      </c>
      <c r="J4317" s="253" t="inlineStr">
        <is>
          <t xml:space="preserve">1*(0.7+0.3)*(2*0.225+0.15)</t>
        </is>
      </c>
    </row>
    <row r="4318">
      <c r="C4318" s="246" t="inlineStr">
        <is>
          <t xml:space="preserve">Lintel formwork over D8 (2 nr, 1.2x2.2): nr x (width + 2 x 150 bearing) x girth 0.60</t>
        </is>
      </c>
      <c r="D4318" s="248">
        <v>2</v>
      </c>
      <c r="E4318" s="247">
        <f>1.2+0.3</f>
        <v>1.5</v>
      </c>
      <c r="F4318" s="247">
        <f>2*0.225+0.15</f>
        <v>0.6</v>
      </c>
      <c r="H4318" s="249">
        <f>PRODUCT(D4318:G4318)</f>
        <v>1.7999999999999998</v>
      </c>
      <c r="J4318" s="253" t="inlineStr">
        <is>
          <t xml:space="preserve">2*(1.2+0.3)*(2*0.225+0.15)</t>
        </is>
      </c>
    </row>
    <row r="4319">
      <c r="C4319" s="246" t="inlineStr">
        <is>
          <t xml:space="preserve">Lintel formwork over ED1 (3 nr, 1x2.2): nr x (width + 2 x 150 bearing) x girth 0.60</t>
        </is>
      </c>
      <c r="D4319" s="248">
        <v>3</v>
      </c>
      <c r="E4319" s="247">
        <f>1+0.3</f>
        <v>1.3</v>
      </c>
      <c r="F4319" s="247">
        <f>2*0.225+0.15</f>
        <v>0.6</v>
      </c>
      <c r="H4319" s="249">
        <f>PRODUCT(D4319:G4319)</f>
        <v>2.3400000000000003</v>
      </c>
      <c r="J4319" s="253" t="inlineStr">
        <is>
          <t xml:space="preserve">3*(1+0.3)*(2*0.225+0.15)</t>
        </is>
      </c>
    </row>
    <row r="4320">
      <c r="C4320" s="246" t="inlineStr">
        <is>
          <t xml:space="preserve">Lintel formwork over ED2 (2 nr, 1x2.2): nr x (width + 2 x 150 bearing) x girth 0.60</t>
        </is>
      </c>
      <c r="D4320" s="248">
        <v>2</v>
      </c>
      <c r="E4320" s="247">
        <f>1+0.3</f>
        <v>1.3</v>
      </c>
      <c r="F4320" s="247">
        <f>2*0.225+0.15</f>
        <v>0.6</v>
      </c>
      <c r="H4320" s="249">
        <f>PRODUCT(D4320:G4320)</f>
        <v>1.56</v>
      </c>
      <c r="J4320" s="253" t="inlineStr">
        <is>
          <t xml:space="preserve">2*(1+0.3)*(2*0.225+0.15)</t>
        </is>
      </c>
    </row>
    <row r="4321">
      <c r="C4321" s="246" t="inlineStr">
        <is>
          <t xml:space="preserve">Lintel formwork over D9 (1 nr, 0.9x2.2): nr x (width + 2 x 150 bearing) x girth 0.60</t>
        </is>
      </c>
      <c r="D4321" s="248">
        <v>1</v>
      </c>
      <c r="E4321" s="247">
        <f>0.9+0.3</f>
        <v>1.2</v>
      </c>
      <c r="F4321" s="247">
        <f>2*0.225+0.15</f>
        <v>0.6</v>
      </c>
      <c r="H4321" s="249">
        <f>PRODUCT(D4321:G4321)</f>
        <v>0.72</v>
      </c>
      <c r="J4321" s="253" t="inlineStr">
        <is>
          <t xml:space="preserve">1*(0.9+0.3)*(2*0.225+0.15)</t>
        </is>
      </c>
    </row>
    <row r="4322">
      <c r="C4322" s="246" t="inlineStr">
        <is>
          <t xml:space="preserve">Lintel formwork over FD1 (1 nr, 1.5x2.2): nr x (width + 2 x 150 bearing) x girth 0.60</t>
        </is>
      </c>
      <c r="D4322" s="248">
        <v>1</v>
      </c>
      <c r="E4322" s="247">
        <f>1.5+0.3</f>
        <v>1.8</v>
      </c>
      <c r="F4322" s="247">
        <f>2*0.225+0.15</f>
        <v>0.6</v>
      </c>
      <c r="H4322" s="249">
        <f>PRODUCT(D4322:G4322)</f>
        <v>1.08</v>
      </c>
      <c r="J4322" s="253" t="inlineStr">
        <is>
          <t xml:space="preserve">1*(1.5+0.3)*(2*0.225+0.15)</t>
        </is>
      </c>
    </row>
    <row r="4323">
      <c r="C4323" s="246" t="inlineStr">
        <is>
          <t xml:space="preserve">Lintel formwork over M1 (2 nr, 0.9x2.2): nr x (width + 2 x 150 bearing) x girth 0.60</t>
        </is>
      </c>
      <c r="D4323" s="248">
        <v>2</v>
      </c>
      <c r="E4323" s="247">
        <f>0.9+0.3</f>
        <v>1.2</v>
      </c>
      <c r="F4323" s="247">
        <f>2*0.225+0.15</f>
        <v>0.6</v>
      </c>
      <c r="H4323" s="249">
        <f>PRODUCT(D4323:G4323)</f>
        <v>1.44</v>
      </c>
      <c r="J4323" s="253" t="inlineStr">
        <is>
          <t xml:space="preserve">2*(0.9+0.3)*(2*0.225+0.15)</t>
        </is>
      </c>
    </row>
    <row r="4324">
      <c r="C4324" s="246" t="inlineStr">
        <is>
          <t xml:space="preserve">Lintel formwork over M2 (4 nr, 0.75x2.2): nr x (width + 2 x 150 bearing) x girth 0.60</t>
        </is>
      </c>
      <c r="D4324" s="248">
        <v>4</v>
      </c>
      <c r="E4324" s="247">
        <f>0.75+0.3</f>
        <v>1.05</v>
      </c>
      <c r="F4324" s="247">
        <f>2*0.225+0.15</f>
        <v>0.6</v>
      </c>
      <c r="H4324" s="249">
        <f>PRODUCT(D4324:G4324)</f>
        <v>2.52</v>
      </c>
      <c r="J4324" s="253" t="inlineStr">
        <is>
          <t xml:space="preserve">4*(0.75+0.3)*(2*0.225+0.15)</t>
        </is>
      </c>
    </row>
    <row r="4325">
      <c r="C4325" s="246" t="inlineStr">
        <is>
          <t xml:space="preserve">Lintel formwork over M3 (1 nr, 0.45x2.2): nr x (width + 2 x 150 bearing) x girth 0.60</t>
        </is>
      </c>
      <c r="D4325" s="248">
        <v>1</v>
      </c>
      <c r="E4325" s="247">
        <f>0.45+0.3</f>
        <v>0.75</v>
      </c>
      <c r="F4325" s="247">
        <f>2*0.225+0.15</f>
        <v>0.6</v>
      </c>
      <c r="H4325" s="249">
        <f>PRODUCT(D4325:G4325)</f>
        <v>0.44999999999999996</v>
      </c>
      <c r="J4325" s="253" t="inlineStr">
        <is>
          <t xml:space="preserve">1*(0.45+0.3)*(2*0.225+0.15)</t>
        </is>
      </c>
    </row>
    <row r="4326">
      <c r="C4326" s="246" t="inlineStr">
        <is>
          <t xml:space="preserve">Lintel formwork over M5 (3 nr, 0.6x2.2): nr x (width + 2 x 150 bearing) x girth 0.60</t>
        </is>
      </c>
      <c r="D4326" s="248">
        <v>3</v>
      </c>
      <c r="E4326" s="247">
        <f>0.6+0.3</f>
        <v>0.8999999999999999</v>
      </c>
      <c r="F4326" s="247">
        <f>2*0.225+0.15</f>
        <v>0.6</v>
      </c>
      <c r="H4326" s="249">
        <f>PRODUCT(D4326:G4326)</f>
        <v>1.6199999999999999</v>
      </c>
      <c r="J4326" s="253" t="inlineStr">
        <is>
          <t xml:space="preserve">3*(0.6+0.3)*(2*0.225+0.15)</t>
        </is>
      </c>
    </row>
    <row r="4327">
      <c r="C4327" s="246" t="inlineStr">
        <is>
          <t xml:space="preserve">Lintel formwork over SD1 (1 nr, 3x2.2): nr x (width + 2 x 150 bearing) x girth 0.60</t>
        </is>
      </c>
      <c r="D4327" s="248">
        <v>1</v>
      </c>
      <c r="E4327" s="247">
        <f>3+0.3</f>
        <v>3.3</v>
      </c>
      <c r="F4327" s="247">
        <f>2*0.225+0.15</f>
        <v>0.6</v>
      </c>
      <c r="H4327" s="249">
        <f>PRODUCT(D4327:G4327)</f>
        <v>1.9799999999999998</v>
      </c>
      <c r="J4327" s="253" t="inlineStr">
        <is>
          <t xml:space="preserve">1*(3+0.3)*(2*0.225+0.15)</t>
        </is>
      </c>
    </row>
    <row r="4328">
      <c r="C4328" s="246" t="inlineStr">
        <is>
          <t xml:space="preserve">Lintel formwork over SD2 (4 nr, 1.6x2.2): nr x (width + 2 x 150 bearing) x girth 0.60</t>
        </is>
      </c>
      <c r="D4328" s="248">
        <v>4</v>
      </c>
      <c r="E4328" s="247">
        <f>1.6+0.3</f>
        <v>1.9000000000000001</v>
      </c>
      <c r="F4328" s="247">
        <f>2*0.225+0.15</f>
        <v>0.6</v>
      </c>
      <c r="H4328" s="249">
        <f>PRODUCT(D4328:G4328)</f>
        <v>4.5600000000000005</v>
      </c>
      <c r="J4328" s="253" t="inlineStr">
        <is>
          <t xml:space="preserve">4*(1.6+0.3)*(2*0.225+0.15)</t>
        </is>
      </c>
    </row>
    <row r="4329">
      <c r="C4329" s="246" t="inlineStr">
        <is>
          <t xml:space="preserve">Lintel formwork over SD3 (2 nr, 1.3x2.2): nr x (width + 2 x 150 bearing) x girth 0.60</t>
        </is>
      </c>
      <c r="D4329" s="248">
        <v>2</v>
      </c>
      <c r="E4329" s="247">
        <f>1.3+0.3</f>
        <v>1.6</v>
      </c>
      <c r="F4329" s="247">
        <f>2*0.225+0.15</f>
        <v>0.6</v>
      </c>
      <c r="H4329" s="249">
        <f>PRODUCT(D4329:G4329)</f>
        <v>1.92</v>
      </c>
      <c r="J4329" s="253" t="inlineStr">
        <is>
          <t xml:space="preserve">2*(1.3+0.3)*(2*0.225+0.15)</t>
        </is>
      </c>
    </row>
    <row r="4330">
      <c r="C4330" s="246" t="inlineStr">
        <is>
          <t xml:space="preserve">Lintel formwork over SD4 (4 nr, 1.8x2.2): nr x (width + 2 x 150 bearing) x girth 0.60</t>
        </is>
      </c>
      <c r="D4330" s="248">
        <v>4</v>
      </c>
      <c r="E4330" s="247">
        <f>1.8+0.3</f>
        <v>2.1</v>
      </c>
      <c r="F4330" s="247">
        <f>2*0.225+0.15</f>
        <v>0.6</v>
      </c>
      <c r="H4330" s="249">
        <f>PRODUCT(D4330:G4330)</f>
        <v>5.04</v>
      </c>
      <c r="J4330" s="253" t="inlineStr">
        <is>
          <t xml:space="preserve">4*(1.8+0.3)*(2*0.225+0.15)</t>
        </is>
      </c>
    </row>
    <row r="4331">
      <c r="C4331" s="246" t="inlineStr">
        <is>
          <t xml:space="preserve">Lintel formwork over SD5 (1 nr, 1.2x2.2): nr x (width + 2 x 150 bearing) x girth 0.60</t>
        </is>
      </c>
      <c r="D4331" s="248">
        <v>1</v>
      </c>
      <c r="E4331" s="247">
        <f>1.2+0.3</f>
        <v>1.5</v>
      </c>
      <c r="F4331" s="247">
        <f>2*0.225+0.15</f>
        <v>0.6</v>
      </c>
      <c r="H4331" s="249">
        <f>PRODUCT(D4331:G4331)</f>
        <v>0.8999999999999999</v>
      </c>
      <c r="J4331" s="253" t="inlineStr">
        <is>
          <t xml:space="preserve">1*(1.2+0.3)*(2*0.225+0.15)</t>
        </is>
      </c>
    </row>
    <row r="4332">
      <c r="C4332" s="246" t="inlineStr">
        <is>
          <t xml:space="preserve">Lintel formwork over W2 (6 nr, 1.8x1.3): nr x (width + 2 x 150 bearing) x girth 0.60</t>
        </is>
      </c>
      <c r="D4332" s="248">
        <v>6</v>
      </c>
      <c r="E4332" s="247">
        <f>1.8+0.3</f>
        <v>2.1</v>
      </c>
      <c r="F4332" s="247">
        <f>2*0.225+0.15</f>
        <v>0.6</v>
      </c>
      <c r="H4332" s="249">
        <f>PRODUCT(D4332:G4332)</f>
        <v>7.5600000000000005</v>
      </c>
      <c r="J4332" s="253" t="inlineStr">
        <is>
          <t xml:space="preserve">6*(1.8+0.3)*(2*0.225+0.15)</t>
        </is>
      </c>
    </row>
    <row r="4333">
      <c r="C4333" s="246" t="inlineStr">
        <is>
          <t xml:space="preserve">Lintel formwork over W4 (10 nr, 0.9x1.3): nr x (width + 2 x 150 bearing) x girth 0.60</t>
        </is>
      </c>
      <c r="D4333" s="248">
        <v>10</v>
      </c>
      <c r="E4333" s="247">
        <f>0.9+0.3</f>
        <v>1.2</v>
      </c>
      <c r="F4333" s="247">
        <f>2*0.225+0.15</f>
        <v>0.6</v>
      </c>
      <c r="H4333" s="249">
        <f>PRODUCT(D4333:G4333)</f>
        <v>7.199999999999999</v>
      </c>
      <c r="J4333" s="253" t="inlineStr">
        <is>
          <t xml:space="preserve">10*(0.9+0.3)*(2*0.225+0.15)</t>
        </is>
      </c>
    </row>
    <row r="4334">
      <c r="C4334" s="246" t="inlineStr">
        <is>
          <t xml:space="preserve">Lintel formwork over W7 (2 nr, 1.8x1.6): nr x (width + 2 x 150 bearing) x girth 0.60</t>
        </is>
      </c>
      <c r="D4334" s="248">
        <v>2</v>
      </c>
      <c r="E4334" s="247">
        <f>1.8+0.3</f>
        <v>2.1</v>
      </c>
      <c r="F4334" s="247">
        <f>2*0.225+0.15</f>
        <v>0.6</v>
      </c>
      <c r="H4334" s="249">
        <f>PRODUCT(D4334:G4334)</f>
        <v>2.52</v>
      </c>
      <c r="J4334" s="253" t="inlineStr">
        <is>
          <t xml:space="preserve">2*(1.8+0.3)*(2*0.225+0.15)</t>
        </is>
      </c>
    </row>
    <row r="4335">
      <c r="C4335" s="246" t="inlineStr">
        <is>
          <t xml:space="preserve">Lintel formwork over W8 (3 nr, 1.2x1.9): nr x (width + 2 x 150 bearing) x girth 0.60</t>
        </is>
      </c>
      <c r="D4335" s="248">
        <v>3</v>
      </c>
      <c r="E4335" s="247">
        <f>1.2+0.3</f>
        <v>1.5</v>
      </c>
      <c r="F4335" s="247">
        <f>2*0.225+0.15</f>
        <v>0.6</v>
      </c>
      <c r="H4335" s="249">
        <f>PRODUCT(D4335:G4335)</f>
        <v>2.6999999999999997</v>
      </c>
      <c r="J4335" s="253" t="inlineStr">
        <is>
          <t xml:space="preserve">3*(1.2+0.3)*(2*0.225+0.15)</t>
        </is>
      </c>
    </row>
    <row r="4336">
      <c r="C4336" s="246" t="inlineStr">
        <is>
          <t xml:space="preserve">Lintel formwork over W9 (8 nr, 1.2x1.15): nr x (width + 2 x 150 bearing) x girth 0.60</t>
        </is>
      </c>
      <c r="D4336" s="248">
        <v>8</v>
      </c>
      <c r="E4336" s="247">
        <f>1.2+0.3</f>
        <v>1.5</v>
      </c>
      <c r="F4336" s="247">
        <f>2*0.225+0.15</f>
        <v>0.6</v>
      </c>
      <c r="H4336" s="249">
        <f>PRODUCT(D4336:G4336)</f>
        <v>7.199999999999999</v>
      </c>
      <c r="J4336" s="253" t="inlineStr">
        <is>
          <t xml:space="preserve">8*(1.2+0.3)*(2*0.225+0.15)</t>
        </is>
      </c>
    </row>
    <row r="4337">
      <c r="C4337" s="246" t="inlineStr">
        <is>
          <t xml:space="preserve">Lintel formwork over W10 (1 nr, 1.2x1.2): nr x (width + 2 x 150 bearing) x girth 0.60</t>
        </is>
      </c>
      <c r="D4337" s="248">
        <v>1</v>
      </c>
      <c r="E4337" s="247">
        <f>1.2+0.3</f>
        <v>1.5</v>
      </c>
      <c r="F4337" s="247">
        <f>2*0.225+0.15</f>
        <v>0.6</v>
      </c>
      <c r="H4337" s="249">
        <f>PRODUCT(D4337:G4337)</f>
        <v>0.8999999999999999</v>
      </c>
      <c r="J4337" s="253" t="inlineStr">
        <is>
          <t xml:space="preserve">1*(1.2+0.3)*(2*0.225+0.15)</t>
        </is>
      </c>
    </row>
    <row r="4338">
      <c r="C4338" s="246" t="inlineStr">
        <is>
          <t xml:space="preserve">Lintel formwork over W11 (6 nr, 1.5x1.3): nr x (width + 2 x 150 bearing) x girth 0.60</t>
        </is>
      </c>
      <c r="D4338" s="248">
        <v>6</v>
      </c>
      <c r="E4338" s="247">
        <f>1.5+0.3</f>
        <v>1.8</v>
      </c>
      <c r="F4338" s="247">
        <f>2*0.225+0.15</f>
        <v>0.6</v>
      </c>
      <c r="H4338" s="249">
        <f>PRODUCT(D4338:G4338)</f>
        <v>6.48</v>
      </c>
      <c r="J4338" s="253" t="inlineStr">
        <is>
          <t xml:space="preserve">6*(1.5+0.3)*(2*0.225+0.15)</t>
        </is>
      </c>
    </row>
    <row r="4339">
      <c r="C4339" s="246" t="inlineStr">
        <is>
          <t xml:space="preserve">Lintel formwork over W12 (4 nr, 1.5x1.15): nr x (width + 2 x 150 bearing) x girth 0.60</t>
        </is>
      </c>
      <c r="D4339" s="248">
        <v>4</v>
      </c>
      <c r="E4339" s="247">
        <f>1.5+0.3</f>
        <v>1.8</v>
      </c>
      <c r="F4339" s="247">
        <f>2*0.225+0.15</f>
        <v>0.6</v>
      </c>
      <c r="H4339" s="249">
        <f>PRODUCT(D4339:G4339)</f>
        <v>4.32</v>
      </c>
      <c r="J4339" s="253" t="inlineStr">
        <is>
          <t xml:space="preserve">4*(1.5+0.3)*(2*0.225+0.15)</t>
        </is>
      </c>
    </row>
    <row r="4340">
      <c r="C4340" s="246" t="inlineStr">
        <is>
          <t xml:space="preserve">Lintel formwork over W13 (1 nr, 2.4x1.3): nr x (width + 2 x 150 bearing) x girth 0.60</t>
        </is>
      </c>
      <c r="D4340" s="248">
        <v>1</v>
      </c>
      <c r="E4340" s="247">
        <f>2.4+0.3</f>
        <v>2.6999999999999997</v>
      </c>
      <c r="F4340" s="247">
        <f>2*0.225+0.15</f>
        <v>0.6</v>
      </c>
      <c r="H4340" s="249">
        <f>PRODUCT(D4340:G4340)</f>
        <v>1.6199999999999999</v>
      </c>
      <c r="J4340" s="253" t="inlineStr">
        <is>
          <t xml:space="preserve">1*(2.4+0.3)*(2*0.225+0.15)</t>
        </is>
      </c>
    </row>
    <row r="4341">
      <c r="C4341" s="246" t="inlineStr">
        <is>
          <t xml:space="preserve">Lintel formwork over W15 (1 nr, 3x1.6): nr x (width + 2 x 150 bearing) x girth 0.60</t>
        </is>
      </c>
      <c r="D4341" s="248">
        <v>1</v>
      </c>
      <c r="E4341" s="247">
        <f>3+0.3</f>
        <v>3.3</v>
      </c>
      <c r="F4341" s="247">
        <f>2*0.225+0.15</f>
        <v>0.6</v>
      </c>
      <c r="H4341" s="249">
        <f>PRODUCT(D4341:G4341)</f>
        <v>1.9799999999999998</v>
      </c>
      <c r="J4341" s="253" t="inlineStr">
        <is>
          <t xml:space="preserve">1*(3+0.3)*(2*0.225+0.15)</t>
        </is>
      </c>
    </row>
    <row r="4342">
      <c r="C4342" s="246" t="inlineStr">
        <is>
          <t xml:space="preserve">Lintel formwork over W17 (3 nr, 1.8x1.9): nr x (width + 2 x 150 bearing) x girth 0.60</t>
        </is>
      </c>
      <c r="D4342" s="248">
        <v>3</v>
      </c>
      <c r="E4342" s="247">
        <f>1.8+0.3</f>
        <v>2.1</v>
      </c>
      <c r="F4342" s="247">
        <f>2*0.225+0.15</f>
        <v>0.6</v>
      </c>
      <c r="H4342" s="249">
        <f>PRODUCT(D4342:G4342)</f>
        <v>3.7800000000000002</v>
      </c>
      <c r="J4342" s="253" t="inlineStr">
        <is>
          <t xml:space="preserve">3*(1.8+0.3)*(2*0.225+0.15)</t>
        </is>
      </c>
    </row>
    <row r="4343">
      <c r="C4343" s="246" t="inlineStr">
        <is>
          <t xml:space="preserve">Lintel formwork over W18 (1 nr, 0.75x1.3): nr x (width + 2 x 150 bearing) x girth 0.60</t>
        </is>
      </c>
      <c r="D4343" s="248">
        <v>1</v>
      </c>
      <c r="E4343" s="247">
        <f>0.75+0.3</f>
        <v>1.05</v>
      </c>
      <c r="F4343" s="247">
        <f>2*0.225+0.15</f>
        <v>0.6</v>
      </c>
      <c r="H4343" s="249">
        <f>PRODUCT(D4343:G4343)</f>
        <v>0.63</v>
      </c>
      <c r="J4343" s="253" t="inlineStr">
        <is>
          <t xml:space="preserve">1*(0.75+0.3)*(2*0.225+0.15)</t>
        </is>
      </c>
    </row>
    <row r="4344">
      <c r="C4344" s="246" t="inlineStr">
        <is>
          <t xml:space="preserve">Lintel formwork over W20 (1 nr, 1.45x1.9): nr x (width + 2 x 150 bearing) x girth 0.60</t>
        </is>
      </c>
      <c r="D4344" s="248">
        <v>1</v>
      </c>
      <c r="E4344" s="247">
        <f>1.45+0.3</f>
        <v>1.75</v>
      </c>
      <c r="F4344" s="247">
        <f>2*0.225+0.15</f>
        <v>0.6</v>
      </c>
      <c r="H4344" s="249">
        <f>PRODUCT(D4344:G4344)</f>
        <v>1.05</v>
      </c>
      <c r="J4344" s="253" t="inlineStr">
        <is>
          <t xml:space="preserve">1*(1.45+0.3)*(2*0.225+0.15)</t>
        </is>
      </c>
    </row>
    <row r="4345">
      <c r="C4345" s="246" t="inlineStr">
        <is>
          <t xml:space="preserve">Lintel formwork over HW1 (13 nr, 0.9x0.6): nr x (width + 2 x 150 bearing) x girth 0.60</t>
        </is>
      </c>
      <c r="D4345" s="248">
        <v>13</v>
      </c>
      <c r="E4345" s="247">
        <f>0.9+0.3</f>
        <v>1.2</v>
      </c>
      <c r="F4345" s="247">
        <f>2*0.225+0.15</f>
        <v>0.6</v>
      </c>
      <c r="H4345" s="249">
        <f>PRODUCT(D4345:G4345)</f>
        <v>9.36</v>
      </c>
      <c r="J4345" s="253" t="inlineStr">
        <is>
          <t xml:space="preserve">13*(0.9+0.3)*(2*0.225+0.15)</t>
        </is>
      </c>
    </row>
    <row r="4346">
      <c r="C4346" s="246" t="inlineStr">
        <is>
          <t xml:space="preserve">Lintel formwork over HW2 (5 nr, 0.75x0.6): nr x (width + 2 x 150 bearing) x girth 0.60</t>
        </is>
      </c>
      <c r="D4346" s="248">
        <v>5</v>
      </c>
      <c r="E4346" s="247">
        <f>0.75+0.3</f>
        <v>1.05</v>
      </c>
      <c r="F4346" s="247">
        <f>2*0.225+0.15</f>
        <v>0.6</v>
      </c>
      <c r="H4346" s="249">
        <f>PRODUCT(D4346:G4346)</f>
        <v>3.15</v>
      </c>
      <c r="J4346" s="253" t="inlineStr">
        <is>
          <t xml:space="preserve">5*(0.75+0.3)*(2*0.225+0.15)</t>
        </is>
      </c>
    </row>
    <row r="4347">
      <c r="C4347" s="246" t="inlineStr">
        <is>
          <t xml:space="preserve">Lintel formwork over HW3 (2 nr, 0.6x0.6): nr x (width + 2 x 150 bearing) x girth 0.60</t>
        </is>
      </c>
      <c r="D4347" s="248">
        <v>2</v>
      </c>
      <c r="E4347" s="247">
        <f>0.6+0.3</f>
        <v>0.8999999999999999</v>
      </c>
      <c r="F4347" s="247">
        <f>2*0.225+0.15</f>
        <v>0.6</v>
      </c>
      <c r="H4347" s="249">
        <f>PRODUCT(D4347:G4347)</f>
        <v>1.0799999999999998</v>
      </c>
      <c r="J4347" s="253" t="inlineStr">
        <is>
          <t xml:space="preserve">2*(0.6+0.3)*(2*0.225+0.15)</t>
        </is>
      </c>
    </row>
    <row r="4348">
      <c r="C4348" s="246" t="inlineStr">
        <is>
          <t xml:space="preserve">Lintel formwork over HW4 (2 nr, 1.2x0.6): nr x (width + 2 x 150 bearing) x girth 0.60</t>
        </is>
      </c>
      <c r="D4348" s="248">
        <v>2</v>
      </c>
      <c r="E4348" s="247">
        <f>1.2+0.3</f>
        <v>1.5</v>
      </c>
      <c r="F4348" s="247">
        <f>2*0.225+0.15</f>
        <v>0.6</v>
      </c>
      <c r="H4348" s="249">
        <f>PRODUCT(D4348:G4348)</f>
        <v>1.7999999999999998</v>
      </c>
      <c r="J4348" s="253" t="inlineStr">
        <is>
          <t xml:space="preserve">2*(1.2+0.3)*(2*0.225+0.15)</t>
        </is>
      </c>
    </row>
    <row r="4349">
      <c r="C4349" s="250" t="inlineStr">
        <is>
          <t xml:space="preserve">Total carried to BOQ  8TH FLR item P</t>
        </is>
      </c>
      <c r="D4349" s="250" t="inlineStr">
        <is>
          <t xml:space="preserve"/>
        </is>
      </c>
      <c r="E4349" s="250" t="inlineStr">
        <is>
          <t xml:space="preserve"/>
        </is>
      </c>
      <c r="F4349" s="250" t="inlineStr">
        <is>
          <t xml:space="preserve"/>
        </is>
      </c>
      <c r="G4349" s="250" t="inlineStr">
        <is>
          <t xml:space="preserve"/>
        </is>
      </c>
      <c r="H4349" s="251">
        <f>SUM(H4314:H4348)</f>
        <v>122.13000000000001</v>
      </c>
      <c r="I4349" s="252" t="inlineStr">
        <is>
          <t xml:space="preserve">m2</t>
        </is>
      </c>
    </row>
    <row r="4350">
      <c r="C4350" s="242" t="inlineStr">
        <is>
          <t xml:space="preserve">E30 REINFORCEMENT - High tensile yield round bar reinforcement (standard) to BS 4449:</t>
        </is>
      </c>
    </row>
    <row r="4351">
      <c r="A4351" s="243" t="inlineStr">
        <is>
          <t xml:space="preserve">8TH FLR</t>
        </is>
      </c>
      <c r="B4351" s="243" t="inlineStr">
        <is>
          <t xml:space="preserve">Q</t>
        </is>
      </c>
      <c r="C4351" s="244" t="inlineStr">
        <is>
          <t xml:space="preserve">10mm diameter in columns</t>
        </is>
      </c>
      <c r="I4351" s="245" t="inlineStr">
        <is>
          <t xml:space="preserve">t</t>
        </is>
      </c>
      <c r="K4351" s="256" t="inlineStr">
        <is>
          <t xml:space="preserve">'8TH FLR   '!C66</t>
        </is>
      </c>
    </row>
    <row r="4352">
      <c r="C4352" s="246" t="inlineStr">
        <is>
          <t xml:space="preserve">Eighth floor (+27400) - Columns, Y10 (from reinforcement take-off / BBS)</t>
        </is>
      </c>
      <c r="H4352" s="247">
        <v>4.509</v>
      </c>
      <c r="J4352" s="253" t="inlineStr">
        <is>
          <t xml:space="preserve">4.509</t>
        </is>
      </c>
    </row>
    <row r="4353">
      <c r="C4353" s="250" t="inlineStr">
        <is>
          <t xml:space="preserve">Total carried to BOQ  8TH FLR item Q</t>
        </is>
      </c>
      <c r="D4353" s="250" t="inlineStr">
        <is>
          <t xml:space="preserve"/>
        </is>
      </c>
      <c r="E4353" s="250" t="inlineStr">
        <is>
          <t xml:space="preserve"/>
        </is>
      </c>
      <c r="F4353" s="250" t="inlineStr">
        <is>
          <t xml:space="preserve"/>
        </is>
      </c>
      <c r="G4353" s="250" t="inlineStr">
        <is>
          <t xml:space="preserve"/>
        </is>
      </c>
      <c r="H4353" s="251">
        <f>SUM(H4352:H4352)</f>
        <v>4.509</v>
      </c>
      <c r="I4353" s="252" t="inlineStr">
        <is>
          <t xml:space="preserve">t</t>
        </is>
      </c>
    </row>
    <row r="4354">
      <c r="A4354" s="243" t="inlineStr">
        <is>
          <t xml:space="preserve">8TH FLR</t>
        </is>
      </c>
      <c r="B4354" s="243" t="inlineStr">
        <is>
          <t xml:space="preserve">R</t>
        </is>
      </c>
      <c r="C4354" s="244" t="inlineStr">
        <is>
          <t xml:space="preserve">20mm diameter in columns</t>
        </is>
      </c>
      <c r="I4354" s="245" t="inlineStr">
        <is>
          <t xml:space="preserve">t</t>
        </is>
      </c>
      <c r="K4354" s="256" t="inlineStr">
        <is>
          <t xml:space="preserve">'8TH FLR   '!C68</t>
        </is>
      </c>
    </row>
    <row r="4355">
      <c r="C4355" s="246" t="inlineStr">
        <is>
          <t xml:space="preserve">Eighth floor (+27400) - Columns, Y20 (from reinforcement take-off / BBS)</t>
        </is>
      </c>
      <c r="H4355" s="247">
        <v>6.299</v>
      </c>
      <c r="J4355" s="253" t="inlineStr">
        <is>
          <t xml:space="preserve">6.299</t>
        </is>
      </c>
    </row>
    <row r="4356">
      <c r="C4356" s="250" t="inlineStr">
        <is>
          <t xml:space="preserve">Total carried to BOQ  8TH FLR item R</t>
        </is>
      </c>
      <c r="D4356" s="250" t="inlineStr">
        <is>
          <t xml:space="preserve"/>
        </is>
      </c>
      <c r="E4356" s="250" t="inlineStr">
        <is>
          <t xml:space="preserve"/>
        </is>
      </c>
      <c r="F4356" s="250" t="inlineStr">
        <is>
          <t xml:space="preserve"/>
        </is>
      </c>
      <c r="G4356" s="250" t="inlineStr">
        <is>
          <t xml:space="preserve"/>
        </is>
      </c>
      <c r="H4356" s="251">
        <f>SUM(H4355:H4355)</f>
        <v>6.299</v>
      </c>
      <c r="I4356" s="252" t="inlineStr">
        <is>
          <t xml:space="preserve">t</t>
        </is>
      </c>
    </row>
    <row r="4357">
      <c r="A4357" s="243" t="inlineStr">
        <is>
          <t xml:space="preserve">8TH FLR</t>
        </is>
      </c>
      <c r="B4357" s="243" t="inlineStr">
        <is>
          <t xml:space="preserve">S</t>
        </is>
      </c>
      <c r="C4357" s="244" t="inlineStr">
        <is>
          <t xml:space="preserve">25mm diameter in columns</t>
        </is>
      </c>
      <c r="I4357" s="245" t="inlineStr">
        <is>
          <t xml:space="preserve">t</t>
        </is>
      </c>
      <c r="K4357" s="256" t="inlineStr">
        <is>
          <t xml:space="preserve">'8TH FLR   '!C70</t>
        </is>
      </c>
    </row>
    <row r="4358">
      <c r="C4358" s="246" t="inlineStr">
        <is>
          <t xml:space="preserve">Eighth floor (+27400) - Columns, Y25 (from reinforcement take-off / BBS)</t>
        </is>
      </c>
      <c r="H4358" s="247">
        <v>0.624</v>
      </c>
      <c r="J4358" s="253" t="inlineStr">
        <is>
          <t xml:space="preserve">0.624</t>
        </is>
      </c>
    </row>
    <row r="4359">
      <c r="C4359" s="250" t="inlineStr">
        <is>
          <t xml:space="preserve">Total carried to BOQ  8TH FLR item S</t>
        </is>
      </c>
      <c r="D4359" s="250" t="inlineStr">
        <is>
          <t xml:space="preserve"/>
        </is>
      </c>
      <c r="E4359" s="250" t="inlineStr">
        <is>
          <t xml:space="preserve"/>
        </is>
      </c>
      <c r="F4359" s="250" t="inlineStr">
        <is>
          <t xml:space="preserve"/>
        </is>
      </c>
      <c r="G4359" s="250" t="inlineStr">
        <is>
          <t xml:space="preserve"/>
        </is>
      </c>
      <c r="H4359" s="251">
        <f>SUM(H4358:H4358)</f>
        <v>0.624</v>
      </c>
      <c r="I4359" s="252" t="inlineStr">
        <is>
          <t xml:space="preserve">t</t>
        </is>
      </c>
    </row>
    <row r="4360">
      <c r="A4360" s="243" t="inlineStr">
        <is>
          <t xml:space="preserve">8TH FLR</t>
        </is>
      </c>
      <c r="B4360" s="243" t="inlineStr">
        <is>
          <t xml:space="preserve">T</t>
        </is>
      </c>
      <c r="C4360" s="244" t="inlineStr">
        <is>
          <t xml:space="preserve">10mm diameter in beams (links)</t>
        </is>
      </c>
      <c r="I4360" s="245" t="inlineStr">
        <is>
          <t xml:space="preserve">t</t>
        </is>
      </c>
      <c r="K4360" s="256" t="inlineStr">
        <is>
          <t xml:space="preserve">'8TH FLR   '!C72</t>
        </is>
      </c>
    </row>
    <row r="4361">
      <c r="C4361" s="246" t="inlineStr">
        <is>
          <t xml:space="preserve">Eighth floor (+27400) - Beams, Y10 (from reinforcement take-off / BBS)</t>
        </is>
      </c>
      <c r="H4361" s="247">
        <v>1.806</v>
      </c>
      <c r="J4361" s="253" t="inlineStr">
        <is>
          <t xml:space="preserve">1.806</t>
        </is>
      </c>
    </row>
    <row r="4362">
      <c r="C4362" s="250" t="inlineStr">
        <is>
          <t xml:space="preserve">Total carried to BOQ  8TH FLR item T</t>
        </is>
      </c>
      <c r="D4362" s="250" t="inlineStr">
        <is>
          <t xml:space="preserve"/>
        </is>
      </c>
      <c r="E4362" s="250" t="inlineStr">
        <is>
          <t xml:space="preserve"/>
        </is>
      </c>
      <c r="F4362" s="250" t="inlineStr">
        <is>
          <t xml:space="preserve"/>
        </is>
      </c>
      <c r="G4362" s="250" t="inlineStr">
        <is>
          <t xml:space="preserve"/>
        </is>
      </c>
      <c r="H4362" s="251">
        <f>SUM(H4361:H4361)</f>
        <v>1.806</v>
      </c>
      <c r="I4362" s="252" t="inlineStr">
        <is>
          <t xml:space="preserve">t</t>
        </is>
      </c>
    </row>
    <row r="4363">
      <c r="A4363" s="243" t="inlineStr">
        <is>
          <t xml:space="preserve">8TH FLR</t>
        </is>
      </c>
      <c r="B4363" s="243" t="inlineStr">
        <is>
          <t xml:space="preserve">U</t>
        </is>
      </c>
      <c r="C4363" s="244" t="inlineStr">
        <is>
          <t xml:space="preserve">16mm diameter in beams</t>
        </is>
      </c>
      <c r="I4363" s="245" t="inlineStr">
        <is>
          <t xml:space="preserve">t</t>
        </is>
      </c>
      <c r="K4363" s="256" t="inlineStr">
        <is>
          <t xml:space="preserve">'8TH FLR   '!C74</t>
        </is>
      </c>
    </row>
    <row r="4364">
      <c r="C4364" s="246" t="inlineStr">
        <is>
          <t xml:space="preserve">Eighth floor (+27400) - Beams, Y16 (from reinforcement take-off / BBS)</t>
        </is>
      </c>
      <c r="H4364" s="247">
        <v>1.248</v>
      </c>
      <c r="J4364" s="253" t="inlineStr">
        <is>
          <t xml:space="preserve">1.248</t>
        </is>
      </c>
    </row>
    <row r="4365">
      <c r="C4365" s="250" t="inlineStr">
        <is>
          <t xml:space="preserve">Total carried to BOQ  8TH FLR item U</t>
        </is>
      </c>
      <c r="D4365" s="250" t="inlineStr">
        <is>
          <t xml:space="preserve"/>
        </is>
      </c>
      <c r="E4365" s="250" t="inlineStr">
        <is>
          <t xml:space="preserve"/>
        </is>
      </c>
      <c r="F4365" s="250" t="inlineStr">
        <is>
          <t xml:space="preserve"/>
        </is>
      </c>
      <c r="G4365" s="250" t="inlineStr">
        <is>
          <t xml:space="preserve"/>
        </is>
      </c>
      <c r="H4365" s="251">
        <f>SUM(H4364:H4364)</f>
        <v>1.248</v>
      </c>
      <c r="I4365" s="252" t="inlineStr">
        <is>
          <t xml:space="preserve">t</t>
        </is>
      </c>
    </row>
    <row r="4366">
      <c r="A4366" s="243" t="inlineStr">
        <is>
          <t xml:space="preserve">8TH FLR</t>
        </is>
      </c>
      <c r="B4366" s="243" t="inlineStr">
        <is>
          <t xml:space="preserve">V</t>
        </is>
      </c>
      <c r="C4366" s="244" t="inlineStr">
        <is>
          <t xml:space="preserve">20mm diameter in beams</t>
        </is>
      </c>
      <c r="I4366" s="245" t="inlineStr">
        <is>
          <t xml:space="preserve">t</t>
        </is>
      </c>
      <c r="K4366" s="256" t="inlineStr">
        <is>
          <t xml:space="preserve">'8TH FLR   '!C76</t>
        </is>
      </c>
    </row>
    <row r="4367">
      <c r="C4367" s="246" t="inlineStr">
        <is>
          <t xml:space="preserve">Eighth floor (+27400) - Beams, Y20 (from reinforcement take-off / BBS)</t>
        </is>
      </c>
      <c r="H4367" s="247">
        <v>2.135</v>
      </c>
      <c r="J4367" s="253" t="inlineStr">
        <is>
          <t xml:space="preserve">2.135</t>
        </is>
      </c>
    </row>
    <row r="4368">
      <c r="C4368" s="250" t="inlineStr">
        <is>
          <t xml:space="preserve">Total carried to BOQ  8TH FLR item V</t>
        </is>
      </c>
      <c r="D4368" s="250" t="inlineStr">
        <is>
          <t xml:space="preserve"/>
        </is>
      </c>
      <c r="E4368" s="250" t="inlineStr">
        <is>
          <t xml:space="preserve"/>
        </is>
      </c>
      <c r="F4368" s="250" t="inlineStr">
        <is>
          <t xml:space="preserve"/>
        </is>
      </c>
      <c r="G4368" s="250" t="inlineStr">
        <is>
          <t xml:space="preserve"/>
        </is>
      </c>
      <c r="H4368" s="251">
        <f>SUM(H4367:H4367)</f>
        <v>2.135</v>
      </c>
      <c r="I4368" s="252" t="inlineStr">
        <is>
          <t xml:space="preserve">t</t>
        </is>
      </c>
    </row>
    <row r="4369">
      <c r="A4369" s="243" t="inlineStr">
        <is>
          <t xml:space="preserve">8TH FLR</t>
        </is>
      </c>
      <c r="B4369" s="243" t="inlineStr">
        <is>
          <t xml:space="preserve">W</t>
        </is>
      </c>
      <c r="C4369" s="244" t="inlineStr">
        <is>
          <t xml:space="preserve">25mm diameter in beams</t>
        </is>
      </c>
      <c r="I4369" s="245" t="inlineStr">
        <is>
          <t xml:space="preserve">t</t>
        </is>
      </c>
      <c r="K4369" s="256" t="inlineStr">
        <is>
          <t xml:space="preserve">'8TH FLR   '!C78</t>
        </is>
      </c>
    </row>
    <row r="4370">
      <c r="C4370" s="246" t="inlineStr">
        <is>
          <t xml:space="preserve">Eighth floor (+27400) - Beams, Y25 (from reinforcement take-off / BBS)</t>
        </is>
      </c>
      <c r="H4370" s="247">
        <v>5.507</v>
      </c>
      <c r="J4370" s="253" t="inlineStr">
        <is>
          <t xml:space="preserve">5.507</t>
        </is>
      </c>
    </row>
    <row r="4371">
      <c r="C4371" s="250" t="inlineStr">
        <is>
          <t xml:space="preserve">Total carried to BOQ  8TH FLR item W</t>
        </is>
      </c>
      <c r="D4371" s="250" t="inlineStr">
        <is>
          <t xml:space="preserve"/>
        </is>
      </c>
      <c r="E4371" s="250" t="inlineStr">
        <is>
          <t xml:space="preserve"/>
        </is>
      </c>
      <c r="F4371" s="250" t="inlineStr">
        <is>
          <t xml:space="preserve"/>
        </is>
      </c>
      <c r="G4371" s="250" t="inlineStr">
        <is>
          <t xml:space="preserve"/>
        </is>
      </c>
      <c r="H4371" s="251">
        <f>SUM(H4370:H4370)</f>
        <v>5.507</v>
      </c>
      <c r="I4371" s="252" t="inlineStr">
        <is>
          <t xml:space="preserve">t</t>
        </is>
      </c>
    </row>
    <row r="4372">
      <c r="A4372" s="243" t="inlineStr">
        <is>
          <t xml:space="preserve">8TH FLR</t>
        </is>
      </c>
      <c r="B4372" s="243" t="inlineStr">
        <is>
          <t xml:space="preserve">X</t>
        </is>
      </c>
      <c r="C4372" s="244" t="inlineStr">
        <is>
          <t xml:space="preserve">10mm diameter in shear &amp; lift walls (links)</t>
        </is>
      </c>
      <c r="I4372" s="245" t="inlineStr">
        <is>
          <t xml:space="preserve">t</t>
        </is>
      </c>
      <c r="K4372" s="256" t="inlineStr">
        <is>
          <t xml:space="preserve">'8TH FLR   '!C80</t>
        </is>
      </c>
    </row>
    <row r="4373">
      <c r="C4373" s="246" t="inlineStr">
        <is>
          <t xml:space="preserve">Eighth floor (+27400) - Shear Walls, Y10 (from reinforcement take-off / BBS)</t>
        </is>
      </c>
      <c r="H4373" s="247">
        <v>1.442</v>
      </c>
      <c r="J4373" s="253" t="inlineStr">
        <is>
          <t xml:space="preserve">1.442</t>
        </is>
      </c>
    </row>
    <row r="4374">
      <c r="C4374" s="246" t="inlineStr">
        <is>
          <t xml:space="preserve">Eighth floor (+27400) - Lift Walls, Y10 (from reinforcement take-off / BBS)</t>
        </is>
      </c>
      <c r="H4374" s="247">
        <v>0.636</v>
      </c>
      <c r="J4374" s="253" t="inlineStr">
        <is>
          <t xml:space="preserve">0.636</t>
        </is>
      </c>
    </row>
    <row r="4375">
      <c r="C4375" s="250" t="inlineStr">
        <is>
          <t xml:space="preserve">Total carried to BOQ  8TH FLR item X</t>
        </is>
      </c>
      <c r="D4375" s="250" t="inlineStr">
        <is>
          <t xml:space="preserve"/>
        </is>
      </c>
      <c r="E4375" s="250" t="inlineStr">
        <is>
          <t xml:space="preserve"/>
        </is>
      </c>
      <c r="F4375" s="250" t="inlineStr">
        <is>
          <t xml:space="preserve"/>
        </is>
      </c>
      <c r="G4375" s="250" t="inlineStr">
        <is>
          <t xml:space="preserve"/>
        </is>
      </c>
      <c r="H4375" s="251">
        <f>SUM(H4373:H4374)</f>
        <v>2.078</v>
      </c>
      <c r="I4375" s="252" t="inlineStr">
        <is>
          <t xml:space="preserve">t</t>
        </is>
      </c>
    </row>
    <row r="4376">
      <c r="A4376" s="243" t="inlineStr">
        <is>
          <t xml:space="preserve">8TH FLR</t>
        </is>
      </c>
      <c r="B4376" s="243" t="inlineStr">
        <is>
          <t xml:space="preserve">Y</t>
        </is>
      </c>
      <c r="C4376" s="244" t="inlineStr">
        <is>
          <t xml:space="preserve">12mm diameter in shear, lift &amp; ramp walls</t>
        </is>
      </c>
      <c r="I4376" s="245" t="inlineStr">
        <is>
          <t xml:space="preserve">t</t>
        </is>
      </c>
      <c r="K4376" s="256" t="inlineStr">
        <is>
          <t xml:space="preserve">'8TH FLR   '!C82</t>
        </is>
      </c>
    </row>
    <row r="4377">
      <c r="C4377" s="246" t="inlineStr">
        <is>
          <t xml:space="preserve">Eighth floor (+27400) - Shear Walls, Y12 (from reinforcement take-off / BBS)</t>
        </is>
      </c>
      <c r="H4377" s="247">
        <v>1.917</v>
      </c>
      <c r="J4377" s="253" t="inlineStr">
        <is>
          <t xml:space="preserve">1.917</t>
        </is>
      </c>
    </row>
    <row r="4378">
      <c r="C4378" s="246" t="inlineStr">
        <is>
          <t xml:space="preserve">Eighth floor (+27400) - Lift Walls, Y12 (from reinforcement take-off / BBS)</t>
        </is>
      </c>
      <c r="H4378" s="247">
        <v>0.866</v>
      </c>
      <c r="J4378" s="253" t="inlineStr">
        <is>
          <t xml:space="preserve">0.866</t>
        </is>
      </c>
    </row>
    <row r="4379">
      <c r="C4379" s="250" t="inlineStr">
        <is>
          <t xml:space="preserve">Total carried to BOQ  8TH FLR item Y</t>
        </is>
      </c>
      <c r="D4379" s="250" t="inlineStr">
        <is>
          <t xml:space="preserve"/>
        </is>
      </c>
      <c r="E4379" s="250" t="inlineStr">
        <is>
          <t xml:space="preserve"/>
        </is>
      </c>
      <c r="F4379" s="250" t="inlineStr">
        <is>
          <t xml:space="preserve"/>
        </is>
      </c>
      <c r="G4379" s="250" t="inlineStr">
        <is>
          <t xml:space="preserve"/>
        </is>
      </c>
      <c r="H4379" s="251">
        <f>SUM(H4377:H4378)</f>
        <v>2.783</v>
      </c>
      <c r="I4379" s="252" t="inlineStr">
        <is>
          <t xml:space="preserve">t</t>
        </is>
      </c>
    </row>
    <row r="4380">
      <c r="A4380" s="243" t="inlineStr">
        <is>
          <t xml:space="preserve">8TH FLR</t>
        </is>
      </c>
      <c r="B4380" s="243" t="inlineStr">
        <is>
          <t xml:space="preserve">Z</t>
        </is>
      </c>
      <c r="C4380" s="244" t="inlineStr">
        <is>
          <t xml:space="preserve">20mm diameter in shear &amp; lift walls</t>
        </is>
      </c>
      <c r="I4380" s="245" t="inlineStr">
        <is>
          <t xml:space="preserve">t</t>
        </is>
      </c>
      <c r="K4380" s="256" t="inlineStr">
        <is>
          <t xml:space="preserve">'8TH FLR   '!C84</t>
        </is>
      </c>
    </row>
    <row r="4381">
      <c r="C4381" s="246" t="inlineStr">
        <is>
          <t xml:space="preserve">Eighth floor (+27400) - Shear Walls, Y20 (from reinforcement take-off / BBS)</t>
        </is>
      </c>
      <c r="H4381" s="247">
        <v>6.904</v>
      </c>
      <c r="J4381" s="253" t="inlineStr">
        <is>
          <t xml:space="preserve">6.904</t>
        </is>
      </c>
    </row>
    <row r="4382">
      <c r="C4382" s="246" t="inlineStr">
        <is>
          <t xml:space="preserve">Eighth floor (+27400) - Lift Walls, Y20 (from reinforcement take-off / BBS)</t>
        </is>
      </c>
      <c r="H4382" s="247">
        <v>3.32</v>
      </c>
      <c r="J4382" s="253" t="inlineStr">
        <is>
          <t xml:space="preserve">3.320</t>
        </is>
      </c>
    </row>
    <row r="4383">
      <c r="C4383" s="250" t="inlineStr">
        <is>
          <t xml:space="preserve">Total carried to BOQ  8TH FLR item Z</t>
        </is>
      </c>
      <c r="D4383" s="250" t="inlineStr">
        <is>
          <t xml:space="preserve"/>
        </is>
      </c>
      <c r="E4383" s="250" t="inlineStr">
        <is>
          <t xml:space="preserve"/>
        </is>
      </c>
      <c r="F4383" s="250" t="inlineStr">
        <is>
          <t xml:space="preserve"/>
        </is>
      </c>
      <c r="G4383" s="250" t="inlineStr">
        <is>
          <t xml:space="preserve"/>
        </is>
      </c>
      <c r="H4383" s="251">
        <f>SUM(H4381:H4382)</f>
        <v>10.224</v>
      </c>
      <c r="I4383" s="252" t="inlineStr">
        <is>
          <t xml:space="preserve">t</t>
        </is>
      </c>
    </row>
    <row r="4384">
      <c r="A4384" s="243" t="inlineStr">
        <is>
          <t xml:space="preserve">8TH FLR</t>
        </is>
      </c>
      <c r="B4384" s="243" t="inlineStr">
        <is>
          <t xml:space="preserve">A</t>
        </is>
      </c>
      <c r="C4384" s="244" t="inlineStr">
        <is>
          <t xml:space="preserve">12mm diameter in stairs</t>
        </is>
      </c>
      <c r="I4384" s="245" t="inlineStr">
        <is>
          <t xml:space="preserve">t</t>
        </is>
      </c>
      <c r="K4384" s="256" t="inlineStr">
        <is>
          <t xml:space="preserve">'8TH FLR   '!C86</t>
        </is>
      </c>
    </row>
    <row r="4385">
      <c r="C4385" s="246" t="inlineStr">
        <is>
          <t xml:space="preserve">Eighth floor (+27400) - Staircases, Y12 (from reinforcement take-off / BBS)</t>
        </is>
      </c>
      <c r="H4385" s="247">
        <v>0.88</v>
      </c>
      <c r="J4385" s="253" t="inlineStr">
        <is>
          <t xml:space="preserve">0.880</t>
        </is>
      </c>
    </row>
    <row r="4386">
      <c r="C4386" s="250" t="inlineStr">
        <is>
          <t xml:space="preserve">Total carried to BOQ  8TH FLR item A</t>
        </is>
      </c>
      <c r="D4386" s="250" t="inlineStr">
        <is>
          <t xml:space="preserve"/>
        </is>
      </c>
      <c r="E4386" s="250" t="inlineStr">
        <is>
          <t xml:space="preserve"/>
        </is>
      </c>
      <c r="F4386" s="250" t="inlineStr">
        <is>
          <t xml:space="preserve"/>
        </is>
      </c>
      <c r="G4386" s="250" t="inlineStr">
        <is>
          <t xml:space="preserve"/>
        </is>
      </c>
      <c r="H4386" s="251">
        <f>SUM(H4385:H4385)</f>
        <v>0.88</v>
      </c>
      <c r="I4386" s="252" t="inlineStr">
        <is>
          <t xml:space="preserve">t</t>
        </is>
      </c>
    </row>
    <row r="4387">
      <c r="A4387" s="243" t="inlineStr">
        <is>
          <t xml:space="preserve">8TH FLR</t>
        </is>
      </c>
      <c r="B4387" s="243" t="inlineStr">
        <is>
          <t xml:space="preserve">B</t>
        </is>
      </c>
      <c r="C4387" s="244" t="inlineStr">
        <is>
          <t xml:space="preserve">16mm diameter in stairs</t>
        </is>
      </c>
      <c r="I4387" s="245" t="inlineStr">
        <is>
          <t xml:space="preserve">t</t>
        </is>
      </c>
      <c r="K4387" s="256" t="inlineStr">
        <is>
          <t xml:space="preserve">'8TH FLR   '!C88</t>
        </is>
      </c>
    </row>
    <row r="4388">
      <c r="C4388" s="246" t="inlineStr">
        <is>
          <t xml:space="preserve">Eighth floor (+27400) - Staircases, Y16 (from reinforcement take-off / BBS)</t>
        </is>
      </c>
      <c r="H4388" s="247">
        <v>1.434</v>
      </c>
      <c r="J4388" s="253" t="inlineStr">
        <is>
          <t xml:space="preserve">1.434</t>
        </is>
      </c>
    </row>
    <row r="4389">
      <c r="C4389" s="250" t="inlineStr">
        <is>
          <t xml:space="preserve">Total carried to BOQ  8TH FLR item B</t>
        </is>
      </c>
      <c r="D4389" s="250" t="inlineStr">
        <is>
          <t xml:space="preserve"/>
        </is>
      </c>
      <c r="E4389" s="250" t="inlineStr">
        <is>
          <t xml:space="preserve"/>
        </is>
      </c>
      <c r="F4389" s="250" t="inlineStr">
        <is>
          <t xml:space="preserve"/>
        </is>
      </c>
      <c r="G4389" s="250" t="inlineStr">
        <is>
          <t xml:space="preserve"/>
        </is>
      </c>
      <c r="H4389" s="251">
        <f>SUM(H4388:H4388)</f>
        <v>1.434</v>
      </c>
      <c r="I4389" s="252" t="inlineStr">
        <is>
          <t xml:space="preserve">t</t>
        </is>
      </c>
    </row>
    <row r="4390">
      <c r="A4390" s="243" t="inlineStr">
        <is>
          <t xml:space="preserve">8TH FLR</t>
        </is>
      </c>
      <c r="B4390" s="243" t="inlineStr">
        <is>
          <t xml:space="preserve">C</t>
        </is>
      </c>
      <c r="C4390" s="244" t="inlineStr">
        <is>
          <t xml:space="preserve">12mm diameter for suspended slab</t>
        </is>
      </c>
      <c r="I4390" s="245" t="inlineStr">
        <is>
          <t xml:space="preserve">t</t>
        </is>
      </c>
      <c r="K4390" s="256" t="inlineStr">
        <is>
          <t xml:space="preserve">'8TH FLR   '!C90</t>
        </is>
      </c>
    </row>
    <row r="4391">
      <c r="C4391" s="246" t="inlineStr">
        <is>
          <t xml:space="preserve">Eighth floor (+27400) - Floor Slabs, Y12 (from reinforcement take-off / BBS)</t>
        </is>
      </c>
      <c r="H4391" s="247">
        <v>49.804</v>
      </c>
      <c r="J4391" s="253" t="inlineStr">
        <is>
          <t xml:space="preserve">49.804</t>
        </is>
      </c>
    </row>
    <row r="4392">
      <c r="C4392" s="250" t="inlineStr">
        <is>
          <t xml:space="preserve">Total carried to BOQ  8TH FLR item C</t>
        </is>
      </c>
      <c r="D4392" s="250" t="inlineStr">
        <is>
          <t xml:space="preserve"/>
        </is>
      </c>
      <c r="E4392" s="250" t="inlineStr">
        <is>
          <t xml:space="preserve"/>
        </is>
      </c>
      <c r="F4392" s="250" t="inlineStr">
        <is>
          <t xml:space="preserve"/>
        </is>
      </c>
      <c r="G4392" s="250" t="inlineStr">
        <is>
          <t xml:space="preserve"/>
        </is>
      </c>
      <c r="H4392" s="251">
        <f>SUM(H4391:H4391)</f>
        <v>49.804</v>
      </c>
      <c r="I4392" s="252" t="inlineStr">
        <is>
          <t xml:space="preserve">t</t>
        </is>
      </c>
    </row>
    <row r="4393">
      <c r="A4393" s="243" t="inlineStr">
        <is>
          <t xml:space="preserve">8TH FLR</t>
        </is>
      </c>
      <c r="B4393" s="243" t="inlineStr">
        <is>
          <t xml:space="preserve">D</t>
        </is>
      </c>
      <c r="C4393" s="244" t="inlineStr">
        <is>
          <t xml:space="preserve">16mm diameter for suspended slab</t>
        </is>
      </c>
      <c r="I4393" s="245" t="inlineStr">
        <is>
          <t xml:space="preserve">t</t>
        </is>
      </c>
      <c r="K4393" s="256" t="inlineStr">
        <is>
          <t xml:space="preserve">'8TH FLR   '!C92</t>
        </is>
      </c>
    </row>
    <row r="4394">
      <c r="C4394" s="246" t="inlineStr">
        <is>
          <t xml:space="preserve">Eighth floor (+27400) - Floor Slabs, Y16 (from reinforcement take-off / BBS)</t>
        </is>
      </c>
      <c r="H4394" s="247">
        <v>0.151</v>
      </c>
      <c r="J4394" s="253" t="inlineStr">
        <is>
          <t xml:space="preserve">0.151</t>
        </is>
      </c>
    </row>
    <row r="4395">
      <c r="C4395" s="250" t="inlineStr">
        <is>
          <t xml:space="preserve">Total carried to BOQ  8TH FLR item D</t>
        </is>
      </c>
      <c r="D4395" s="250" t="inlineStr">
        <is>
          <t xml:space="preserve"/>
        </is>
      </c>
      <c r="E4395" s="250" t="inlineStr">
        <is>
          <t xml:space="preserve"/>
        </is>
      </c>
      <c r="F4395" s="250" t="inlineStr">
        <is>
          <t xml:space="preserve"/>
        </is>
      </c>
      <c r="G4395" s="250" t="inlineStr">
        <is>
          <t xml:space="preserve"/>
        </is>
      </c>
      <c r="H4395" s="251">
        <f>SUM(H4394:H4394)</f>
        <v>0.151</v>
      </c>
      <c r="I4395" s="252" t="inlineStr">
        <is>
          <t xml:space="preserve">t</t>
        </is>
      </c>
    </row>
    <row r="4396">
      <c r="C4396" s="242" t="inlineStr">
        <is>
          <t xml:space="preserve">ELEMENT NO. 2: MASONRY</t>
        </is>
      </c>
    </row>
    <row r="4397">
      <c r="C4397" s="242" t="inlineStr">
        <is>
          <t xml:space="preserve">F10 BRICK/BLOCK WALL - Solid sandcrete blockwork in cement and sand (1:4) mortar as described in:</t>
        </is>
      </c>
    </row>
    <row r="4398">
      <c r="A4398" s="243" t="inlineStr">
        <is>
          <t xml:space="preserve">8TH FLR</t>
        </is>
      </c>
      <c r="B4398" s="243" t="inlineStr">
        <is>
          <t xml:space="preserve">A</t>
        </is>
      </c>
      <c r="C4398" s="244" t="inlineStr">
        <is>
          <t xml:space="preserve">150mm thick wall</t>
        </is>
      </c>
      <c r="I4398" s="245" t="inlineStr">
        <is>
          <t xml:space="preserve">m2</t>
        </is>
      </c>
      <c r="K4398" s="256" t="inlineStr">
        <is>
          <t xml:space="preserve">'8TH FLR   '!C101</t>
        </is>
      </c>
    </row>
    <row r="4399">
      <c r="C4399" s="246" t="inlineStr">
        <is>
          <t xml:space="preserve">Eighth floor - 150 blockwork: wall length x storey ht</t>
        </is>
      </c>
      <c r="E4399" s="247">
        <v>441.2</v>
      </c>
      <c r="F4399" s="247">
        <v>3.05</v>
      </c>
      <c r="H4399" s="249">
        <f>PRODUCT(D4399:G4399)</f>
        <v>1345.6599999999999</v>
      </c>
      <c r="J4399" s="253" t="inlineStr">
        <is>
          <t xml:space="preserve">441.2*3.05</t>
        </is>
      </c>
    </row>
    <row r="4400">
      <c r="C4400" s="246" t="inlineStr">
        <is>
          <t xml:space="preserve">Walling over opening D2 (8 nr, 1x2.2): nr x width x (3.05 - opening ht) x thickness share</t>
        </is>
      </c>
      <c r="D4400" s="248">
        <v>8</v>
      </c>
      <c r="E4400" s="247">
        <v>1</v>
      </c>
      <c r="F4400" s="247">
        <f>3.05-2.2</f>
        <v>0.8499999999999996</v>
      </c>
      <c r="G4400" s="247">
        <v>0.895</v>
      </c>
      <c r="H4400" s="249">
        <f>PRODUCT(D4400:G4400)</f>
        <v>6.085999999999998</v>
      </c>
      <c r="J4400" s="253" t="inlineStr">
        <is>
          <t xml:space="preserve">8*1*(3.05-2.2)*0.895</t>
        </is>
      </c>
    </row>
    <row r="4401">
      <c r="C4401" s="246" t="inlineStr">
        <is>
          <t xml:space="preserve">Walling over opening D3 (15 nr, 0.9x2.2): nr x width x (3.05 - opening ht) x thickness share</t>
        </is>
      </c>
      <c r="D4401" s="248">
        <v>15</v>
      </c>
      <c r="E4401" s="247">
        <v>0.9</v>
      </c>
      <c r="F4401" s="247">
        <f>3.05-2.2</f>
        <v>0.8499999999999996</v>
      </c>
      <c r="G4401" s="247">
        <v>0.895</v>
      </c>
      <c r="H4401" s="249">
        <f>PRODUCT(D4401:G4401)</f>
        <v>10.270124999999995</v>
      </c>
      <c r="J4401" s="253" t="inlineStr">
        <is>
          <t xml:space="preserve">15*0.9*(3.05-2.2)*0.895</t>
        </is>
      </c>
    </row>
    <row r="4402">
      <c r="C4402" s="246" t="inlineStr">
        <is>
          <t xml:space="preserve">Walling over opening D6 (21 nr, 0.75x2.2): nr x width x (3.05 - opening ht) x thickness share</t>
        </is>
      </c>
      <c r="D4402" s="248">
        <v>21</v>
      </c>
      <c r="E4402" s="247">
        <v>0.75</v>
      </c>
      <c r="F4402" s="247">
        <f>3.05-2.2</f>
        <v>0.8499999999999996</v>
      </c>
      <c r="G4402" s="247">
        <v>0.895</v>
      </c>
      <c r="H4402" s="249">
        <f>PRODUCT(D4402:G4402)</f>
        <v>11.981812499999995</v>
      </c>
      <c r="J4402" s="253" t="inlineStr">
        <is>
          <t xml:space="preserve">21*0.75*(3.05-2.2)*0.895</t>
        </is>
      </c>
    </row>
    <row r="4403">
      <c r="C4403" s="246" t="inlineStr">
        <is>
          <t xml:space="preserve">Walling over opening D7 (1 nr, 0.7x2.2): nr x width x (3.05 - opening ht) x thickness share</t>
        </is>
      </c>
      <c r="D4403" s="248">
        <v>1</v>
      </c>
      <c r="E4403" s="247">
        <v>0.7</v>
      </c>
      <c r="F4403" s="247">
        <f>3.05-2.2</f>
        <v>0.8499999999999996</v>
      </c>
      <c r="G4403" s="247">
        <v>0.895</v>
      </c>
      <c r="H4403" s="249">
        <f>PRODUCT(D4403:G4403)</f>
        <v>0.5325249999999998</v>
      </c>
      <c r="J4403" s="253" t="inlineStr">
        <is>
          <t xml:space="preserve">1*0.7*(3.05-2.2)*0.895</t>
        </is>
      </c>
    </row>
    <row r="4404">
      <c r="C4404" s="246" t="inlineStr">
        <is>
          <t xml:space="preserve">Walling over opening D8 (2 nr, 1.2x2.2): nr x width x (3.05 - opening ht) x thickness share</t>
        </is>
      </c>
      <c r="D4404" s="248">
        <v>2</v>
      </c>
      <c r="E4404" s="247">
        <v>1.2</v>
      </c>
      <c r="F4404" s="247">
        <f>3.05-2.2</f>
        <v>0.8499999999999996</v>
      </c>
      <c r="G4404" s="247">
        <v>0.895</v>
      </c>
      <c r="H4404" s="249">
        <f>PRODUCT(D4404:G4404)</f>
        <v>1.8257999999999992</v>
      </c>
      <c r="J4404" s="253" t="inlineStr">
        <is>
          <t xml:space="preserve">2*1.2*(3.05-2.2)*0.895</t>
        </is>
      </c>
    </row>
    <row r="4405">
      <c r="C4405" s="246" t="inlineStr">
        <is>
          <t xml:space="preserve">Walling over opening ED1 (3 nr, 1x2.2): nr x width x (3.05 - opening ht) x thickness share</t>
        </is>
      </c>
      <c r="D4405" s="248">
        <v>3</v>
      </c>
      <c r="E4405" s="247">
        <v>1</v>
      </c>
      <c r="F4405" s="247">
        <f>3.05-2.2</f>
        <v>0.8499999999999996</v>
      </c>
      <c r="G4405" s="247">
        <v>0.895</v>
      </c>
      <c r="H4405" s="249">
        <f>PRODUCT(D4405:G4405)</f>
        <v>2.282249999999999</v>
      </c>
      <c r="J4405" s="253" t="inlineStr">
        <is>
          <t xml:space="preserve">3*1*(3.05-2.2)*0.895</t>
        </is>
      </c>
    </row>
    <row r="4406">
      <c r="C4406" s="246" t="inlineStr">
        <is>
          <t xml:space="preserve">Walling over opening ED2 (2 nr, 1x2.2): nr x width x (3.05 - opening ht) x thickness share</t>
        </is>
      </c>
      <c r="D4406" s="248">
        <v>2</v>
      </c>
      <c r="E4406" s="247">
        <v>1</v>
      </c>
      <c r="F4406" s="247">
        <f>3.05-2.2</f>
        <v>0.8499999999999996</v>
      </c>
      <c r="G4406" s="247">
        <v>0.895</v>
      </c>
      <c r="H4406" s="249">
        <f>PRODUCT(D4406:G4406)</f>
        <v>1.5214999999999994</v>
      </c>
      <c r="J4406" s="253" t="inlineStr">
        <is>
          <t xml:space="preserve">2*1*(3.05-2.2)*0.895</t>
        </is>
      </c>
    </row>
    <row r="4407">
      <c r="C4407" s="246" t="inlineStr">
        <is>
          <t xml:space="preserve">Walling over opening D9 (1 nr, 0.9x2.2): nr x width x (3.05 - opening ht) x thickness share</t>
        </is>
      </c>
      <c r="D4407" s="248">
        <v>1</v>
      </c>
      <c r="E4407" s="247">
        <v>0.9</v>
      </c>
      <c r="F4407" s="247">
        <f>3.05-2.2</f>
        <v>0.8499999999999996</v>
      </c>
      <c r="G4407" s="247">
        <v>0.895</v>
      </c>
      <c r="H4407" s="249">
        <f>PRODUCT(D4407:G4407)</f>
        <v>0.6846749999999997</v>
      </c>
      <c r="J4407" s="253" t="inlineStr">
        <is>
          <t xml:space="preserve">1*0.9*(3.05-2.2)*0.895</t>
        </is>
      </c>
    </row>
    <row r="4408">
      <c r="C4408" s="246" t="inlineStr">
        <is>
          <t xml:space="preserve">Walling over opening FD1 (1 nr, 1.5x2.2): nr x width x (3.05 - opening ht) x thickness share</t>
        </is>
      </c>
      <c r="D4408" s="248">
        <v>1</v>
      </c>
      <c r="E4408" s="247">
        <v>1.5</v>
      </c>
      <c r="F4408" s="247">
        <f>3.05-2.2</f>
        <v>0.8499999999999996</v>
      </c>
      <c r="G4408" s="247">
        <v>0.895</v>
      </c>
      <c r="H4408" s="249">
        <f>PRODUCT(D4408:G4408)</f>
        <v>1.1411249999999995</v>
      </c>
      <c r="J4408" s="253" t="inlineStr">
        <is>
          <t xml:space="preserve">1*1.5*(3.05-2.2)*0.895</t>
        </is>
      </c>
    </row>
    <row r="4409">
      <c r="C4409" s="246" t="inlineStr">
        <is>
          <t xml:space="preserve">Walling over opening M1 (2 nr, 0.9x2.2): nr x width x (3.05 - opening ht) x thickness share</t>
        </is>
      </c>
      <c r="D4409" s="248">
        <v>2</v>
      </c>
      <c r="E4409" s="247">
        <v>0.9</v>
      </c>
      <c r="F4409" s="247">
        <f>3.05-2.2</f>
        <v>0.8499999999999996</v>
      </c>
      <c r="G4409" s="247">
        <v>0.895</v>
      </c>
      <c r="H4409" s="249">
        <f>PRODUCT(D4409:G4409)</f>
        <v>1.3693499999999994</v>
      </c>
      <c r="J4409" s="253" t="inlineStr">
        <is>
          <t xml:space="preserve">2*0.9*(3.05-2.2)*0.895</t>
        </is>
      </c>
    </row>
    <row r="4410">
      <c r="C4410" s="246" t="inlineStr">
        <is>
          <t xml:space="preserve">Walling over opening M2 (4 nr, 0.75x2.2): nr x width x (3.05 - opening ht) x thickness share</t>
        </is>
      </c>
      <c r="D4410" s="248">
        <v>4</v>
      </c>
      <c r="E4410" s="247">
        <v>0.75</v>
      </c>
      <c r="F4410" s="247">
        <f>3.05-2.2</f>
        <v>0.8499999999999996</v>
      </c>
      <c r="G4410" s="247">
        <v>0.895</v>
      </c>
      <c r="H4410" s="249">
        <f>PRODUCT(D4410:G4410)</f>
        <v>2.282249999999999</v>
      </c>
      <c r="J4410" s="253" t="inlineStr">
        <is>
          <t xml:space="preserve">4*0.75*(3.05-2.2)*0.895</t>
        </is>
      </c>
    </row>
    <row r="4411">
      <c r="C4411" s="246" t="inlineStr">
        <is>
          <t xml:space="preserve">Walling over opening M3 (1 nr, 0.45x2.2): nr x width x (3.05 - opening ht) x thickness share</t>
        </is>
      </c>
      <c r="D4411" s="248">
        <v>1</v>
      </c>
      <c r="E4411" s="247">
        <v>0.45</v>
      </c>
      <c r="F4411" s="247">
        <f>3.05-2.2</f>
        <v>0.8499999999999996</v>
      </c>
      <c r="G4411" s="247">
        <v>0.895</v>
      </c>
      <c r="H4411" s="249">
        <f>PRODUCT(D4411:G4411)</f>
        <v>0.34233749999999985</v>
      </c>
      <c r="J4411" s="253" t="inlineStr">
        <is>
          <t xml:space="preserve">1*0.45*(3.05-2.2)*0.895</t>
        </is>
      </c>
    </row>
    <row r="4412">
      <c r="C4412" s="246" t="inlineStr">
        <is>
          <t xml:space="preserve">Walling over opening M5 (3 nr, 0.6x2.2): nr x width x (3.05 - opening ht) x thickness share</t>
        </is>
      </c>
      <c r="D4412" s="248">
        <v>3</v>
      </c>
      <c r="E4412" s="247">
        <v>0.6</v>
      </c>
      <c r="F4412" s="247">
        <f>3.05-2.2</f>
        <v>0.8499999999999996</v>
      </c>
      <c r="G4412" s="247">
        <v>0.895</v>
      </c>
      <c r="H4412" s="249">
        <f>PRODUCT(D4412:G4412)</f>
        <v>1.3693499999999992</v>
      </c>
      <c r="J4412" s="253" t="inlineStr">
        <is>
          <t xml:space="preserve">3*0.6*(3.05-2.2)*0.895</t>
        </is>
      </c>
    </row>
    <row r="4413">
      <c r="C4413" s="246" t="inlineStr">
        <is>
          <t xml:space="preserve">Walling over opening SD1 (1 nr, 3x2.2): nr x width x (3.05 - opening ht) x thickness share</t>
        </is>
      </c>
      <c r="D4413" s="248">
        <v>1</v>
      </c>
      <c r="E4413" s="247">
        <v>3</v>
      </c>
      <c r="F4413" s="247">
        <f>3.05-2.2</f>
        <v>0.8499999999999996</v>
      </c>
      <c r="G4413" s="247">
        <v>0.895</v>
      </c>
      <c r="H4413" s="249">
        <f>PRODUCT(D4413:G4413)</f>
        <v>2.282249999999999</v>
      </c>
      <c r="J4413" s="253" t="inlineStr">
        <is>
          <t xml:space="preserve">1*3*(3.05-2.2)*0.895</t>
        </is>
      </c>
    </row>
    <row r="4414">
      <c r="C4414" s="246" t="inlineStr">
        <is>
          <t xml:space="preserve">Walling over opening SD2 (4 nr, 1.6x2.2): nr x width x (3.05 - opening ht) x thickness share</t>
        </is>
      </c>
      <c r="D4414" s="248">
        <v>4</v>
      </c>
      <c r="E4414" s="247">
        <v>1.6</v>
      </c>
      <c r="F4414" s="247">
        <f>3.05-2.2</f>
        <v>0.8499999999999996</v>
      </c>
      <c r="G4414" s="247">
        <v>0.895</v>
      </c>
      <c r="H4414" s="249">
        <f>PRODUCT(D4414:G4414)</f>
        <v>4.8687999999999985</v>
      </c>
      <c r="J4414" s="253" t="inlineStr">
        <is>
          <t xml:space="preserve">4*1.6*(3.05-2.2)*0.895</t>
        </is>
      </c>
    </row>
    <row r="4415">
      <c r="C4415" s="246" t="inlineStr">
        <is>
          <t xml:space="preserve">Walling over opening SD3 (2 nr, 1.3x2.2): nr x width x (3.05 - opening ht) x thickness share</t>
        </is>
      </c>
      <c r="D4415" s="248">
        <v>2</v>
      </c>
      <c r="E4415" s="247">
        <v>1.3</v>
      </c>
      <c r="F4415" s="247">
        <f>3.05-2.2</f>
        <v>0.8499999999999996</v>
      </c>
      <c r="G4415" s="247">
        <v>0.895</v>
      </c>
      <c r="H4415" s="249">
        <f>PRODUCT(D4415:G4415)</f>
        <v>1.9779499999999992</v>
      </c>
      <c r="J4415" s="253" t="inlineStr">
        <is>
          <t xml:space="preserve">2*1.3*(3.05-2.2)*0.895</t>
        </is>
      </c>
    </row>
    <row r="4416">
      <c r="C4416" s="246" t="inlineStr">
        <is>
          <t xml:space="preserve">Walling over opening SD4 (4 nr, 1.8x2.2): nr x width x (3.05 - opening ht) x thickness share</t>
        </is>
      </c>
      <c r="D4416" s="248">
        <v>4</v>
      </c>
      <c r="E4416" s="247">
        <v>1.8</v>
      </c>
      <c r="F4416" s="247">
        <f>3.05-2.2</f>
        <v>0.8499999999999996</v>
      </c>
      <c r="G4416" s="247">
        <v>0.895</v>
      </c>
      <c r="H4416" s="249">
        <f>PRODUCT(D4416:G4416)</f>
        <v>5.477399999999998</v>
      </c>
      <c r="J4416" s="253" t="inlineStr">
        <is>
          <t xml:space="preserve">4*1.8*(3.05-2.2)*0.895</t>
        </is>
      </c>
    </row>
    <row r="4417">
      <c r="C4417" s="246" t="inlineStr">
        <is>
          <t xml:space="preserve">Walling over opening SD5 (1 nr, 1.2x2.2): nr x width x (3.05 - opening ht) x thickness share</t>
        </is>
      </c>
      <c r="D4417" s="248">
        <v>1</v>
      </c>
      <c r="E4417" s="247">
        <v>1.2</v>
      </c>
      <c r="F4417" s="247">
        <f>3.05-2.2</f>
        <v>0.8499999999999996</v>
      </c>
      <c r="G4417" s="247">
        <v>0.895</v>
      </c>
      <c r="H4417" s="249">
        <f>PRODUCT(D4417:G4417)</f>
        <v>0.9128999999999996</v>
      </c>
      <c r="J4417" s="253" t="inlineStr">
        <is>
          <t xml:space="preserve">1*1.2*(3.05-2.2)*0.895</t>
        </is>
      </c>
    </row>
    <row r="4418">
      <c r="C4418" s="246" t="inlineStr">
        <is>
          <t xml:space="preserve">Walling over opening W2 (6 nr, 1.8x1.3): nr x width x (3.05 - opening ht) x thickness share</t>
        </is>
      </c>
      <c r="D4418" s="248">
        <v>6</v>
      </c>
      <c r="E4418" s="247">
        <v>1.8</v>
      </c>
      <c r="F4418" s="247">
        <f>3.05-1.3</f>
        <v>1.7499999999999998</v>
      </c>
      <c r="G4418" s="247">
        <v>0.895</v>
      </c>
      <c r="H4418" s="249">
        <f>PRODUCT(D4418:G4418)</f>
        <v>16.915499999999998</v>
      </c>
      <c r="J4418" s="253" t="inlineStr">
        <is>
          <t xml:space="preserve">6*1.8*(3.05-1.3)*0.895</t>
        </is>
      </c>
    </row>
    <row r="4419">
      <c r="C4419" s="246" t="inlineStr">
        <is>
          <t xml:space="preserve">Walling over opening W4 (10 nr, 0.9x1.3): nr x width x (3.05 - opening ht) x thickness share</t>
        </is>
      </c>
      <c r="D4419" s="248">
        <v>10</v>
      </c>
      <c r="E4419" s="247">
        <v>0.9</v>
      </c>
      <c r="F4419" s="247">
        <f>3.05-1.3</f>
        <v>1.7499999999999998</v>
      </c>
      <c r="G4419" s="247">
        <v>0.895</v>
      </c>
      <c r="H4419" s="249">
        <f>PRODUCT(D4419:G4419)</f>
        <v>14.09625</v>
      </c>
      <c r="J4419" s="253" t="inlineStr">
        <is>
          <t xml:space="preserve">10*0.9*(3.05-1.3)*0.895</t>
        </is>
      </c>
    </row>
    <row r="4420">
      <c r="C4420" s="246" t="inlineStr">
        <is>
          <t xml:space="preserve">Walling over opening W7 (2 nr, 1.8x1.6): nr x width x (3.05 - opening ht) x thickness share</t>
        </is>
      </c>
      <c r="D4420" s="248">
        <v>2</v>
      </c>
      <c r="E4420" s="247">
        <v>1.8</v>
      </c>
      <c r="F4420" s="247">
        <f>3.05-1.6</f>
        <v>1.4499999999999997</v>
      </c>
      <c r="G4420" s="247">
        <v>0.895</v>
      </c>
      <c r="H4420" s="249">
        <f>PRODUCT(D4420:G4420)</f>
        <v>4.671899999999999</v>
      </c>
      <c r="J4420" s="253" t="inlineStr">
        <is>
          <t xml:space="preserve">2*1.8*(3.05-1.6)*0.895</t>
        </is>
      </c>
    </row>
    <row r="4421">
      <c r="C4421" s="246" t="inlineStr">
        <is>
          <t xml:space="preserve">Walling over opening W8 (3 nr, 1.2x1.9): nr x width x (3.05 - opening ht) x thickness share</t>
        </is>
      </c>
      <c r="D4421" s="248">
        <v>3</v>
      </c>
      <c r="E4421" s="247">
        <v>1.2</v>
      </c>
      <c r="F4421" s="247">
        <f>3.05-1.9</f>
        <v>1.15</v>
      </c>
      <c r="G4421" s="247">
        <v>0.895</v>
      </c>
      <c r="H4421" s="249">
        <f>PRODUCT(D4421:G4421)</f>
        <v>3.7053</v>
      </c>
      <c r="J4421" s="253" t="inlineStr">
        <is>
          <t xml:space="preserve">3*1.2*(3.05-1.9)*0.895</t>
        </is>
      </c>
    </row>
    <row r="4422">
      <c r="C4422" s="246" t="inlineStr">
        <is>
          <t xml:space="preserve">Walling over opening W9 (8 nr, 1.2x1.15): nr x width x (3.05 - opening ht) x thickness share</t>
        </is>
      </c>
      <c r="D4422" s="248">
        <v>8</v>
      </c>
      <c r="E4422" s="247">
        <v>1.2</v>
      </c>
      <c r="F4422" s="247">
        <f>3.05-1.15</f>
        <v>1.9</v>
      </c>
      <c r="G4422" s="247">
        <v>0.895</v>
      </c>
      <c r="H4422" s="249">
        <f>PRODUCT(D4422:G4422)</f>
        <v>16.3248</v>
      </c>
      <c r="J4422" s="253" t="inlineStr">
        <is>
          <t xml:space="preserve">8*1.2*(3.05-1.15)*0.895</t>
        </is>
      </c>
    </row>
    <row r="4423">
      <c r="C4423" s="246" t="inlineStr">
        <is>
          <t xml:space="preserve">Walling over opening W10 (1 nr, 1.2x1.2): nr x width x (3.05 - opening ht) x thickness share</t>
        </is>
      </c>
      <c r="D4423" s="248">
        <v>1</v>
      </c>
      <c r="E4423" s="247">
        <v>1.2</v>
      </c>
      <c r="F4423" s="247">
        <f>3.05-1.2</f>
        <v>1.8499999999999999</v>
      </c>
      <c r="G4423" s="247">
        <v>0.895</v>
      </c>
      <c r="H4423" s="249">
        <f>PRODUCT(D4423:G4423)</f>
        <v>1.9868999999999999</v>
      </c>
      <c r="J4423" s="253" t="inlineStr">
        <is>
          <t xml:space="preserve">1*1.2*(3.05-1.2)*0.895</t>
        </is>
      </c>
    </row>
    <row r="4424">
      <c r="C4424" s="246" t="inlineStr">
        <is>
          <t xml:space="preserve">Walling over opening W11 (6 nr, 1.5x1.3): nr x width x (3.05 - opening ht) x thickness share</t>
        </is>
      </c>
      <c r="D4424" s="248">
        <v>6</v>
      </c>
      <c r="E4424" s="247">
        <v>1.5</v>
      </c>
      <c r="F4424" s="247">
        <f>3.05-1.3</f>
        <v>1.7499999999999998</v>
      </c>
      <c r="G4424" s="247">
        <v>0.895</v>
      </c>
      <c r="H4424" s="249">
        <f>PRODUCT(D4424:G4424)</f>
        <v>14.09625</v>
      </c>
      <c r="J4424" s="253" t="inlineStr">
        <is>
          <t xml:space="preserve">6*1.5*(3.05-1.3)*0.895</t>
        </is>
      </c>
    </row>
    <row r="4425">
      <c r="C4425" s="246" t="inlineStr">
        <is>
          <t xml:space="preserve">Walling over opening W12 (4 nr, 1.5x1.15): nr x width x (3.05 - opening ht) x thickness share</t>
        </is>
      </c>
      <c r="D4425" s="248">
        <v>4</v>
      </c>
      <c r="E4425" s="247">
        <v>1.5</v>
      </c>
      <c r="F4425" s="247">
        <f>3.05-1.15</f>
        <v>1.9</v>
      </c>
      <c r="G4425" s="247">
        <v>0.895</v>
      </c>
      <c r="H4425" s="249">
        <f>PRODUCT(D4425:G4425)</f>
        <v>10.203</v>
      </c>
      <c r="J4425" s="253" t="inlineStr">
        <is>
          <t xml:space="preserve">4*1.5*(3.05-1.15)*0.895</t>
        </is>
      </c>
    </row>
    <row r="4426">
      <c r="C4426" s="246" t="inlineStr">
        <is>
          <t xml:space="preserve">Walling over opening W13 (1 nr, 2.4x1.3): nr x width x (3.05 - opening ht) x thickness share</t>
        </is>
      </c>
      <c r="D4426" s="248">
        <v>1</v>
      </c>
      <c r="E4426" s="247">
        <v>2.4</v>
      </c>
      <c r="F4426" s="247">
        <f>3.05-1.3</f>
        <v>1.7499999999999998</v>
      </c>
      <c r="G4426" s="247">
        <v>0.895</v>
      </c>
      <c r="H4426" s="249">
        <f>PRODUCT(D4426:G4426)</f>
        <v>3.7589999999999995</v>
      </c>
      <c r="J4426" s="253" t="inlineStr">
        <is>
          <t xml:space="preserve">1*2.4*(3.05-1.3)*0.895</t>
        </is>
      </c>
    </row>
    <row r="4427">
      <c r="C4427" s="246" t="inlineStr">
        <is>
          <t xml:space="preserve">Walling over opening W15 (1 nr, 3x1.6): nr x width x (3.05 - opening ht) x thickness share</t>
        </is>
      </c>
      <c r="D4427" s="248">
        <v>1</v>
      </c>
      <c r="E4427" s="247">
        <v>3</v>
      </c>
      <c r="F4427" s="247">
        <f>3.05-1.6</f>
        <v>1.4499999999999997</v>
      </c>
      <c r="G4427" s="247">
        <v>0.895</v>
      </c>
      <c r="H4427" s="249">
        <f>PRODUCT(D4427:G4427)</f>
        <v>3.8932499999999997</v>
      </c>
      <c r="J4427" s="253" t="inlineStr">
        <is>
          <t xml:space="preserve">1*3*(3.05-1.6)*0.895</t>
        </is>
      </c>
    </row>
    <row r="4428">
      <c r="C4428" s="246" t="inlineStr">
        <is>
          <t xml:space="preserve">Walling over opening W17 (3 nr, 1.8x1.9): nr x width x (3.05 - opening ht) x thickness share</t>
        </is>
      </c>
      <c r="D4428" s="248">
        <v>3</v>
      </c>
      <c r="E4428" s="247">
        <v>1.8</v>
      </c>
      <c r="F4428" s="247">
        <f>3.05-1.9</f>
        <v>1.15</v>
      </c>
      <c r="G4428" s="247">
        <v>0.895</v>
      </c>
      <c r="H4428" s="249">
        <f>PRODUCT(D4428:G4428)</f>
        <v>5.55795</v>
      </c>
      <c r="J4428" s="253" t="inlineStr">
        <is>
          <t xml:space="preserve">3*1.8*(3.05-1.9)*0.895</t>
        </is>
      </c>
    </row>
    <row r="4429">
      <c r="C4429" s="246" t="inlineStr">
        <is>
          <t xml:space="preserve">Walling over opening W18 (1 nr, 0.75x1.3): nr x width x (3.05 - opening ht) x thickness share</t>
        </is>
      </c>
      <c r="D4429" s="248">
        <v>1</v>
      </c>
      <c r="E4429" s="247">
        <v>0.75</v>
      </c>
      <c r="F4429" s="247">
        <f>3.05-1.3</f>
        <v>1.7499999999999998</v>
      </c>
      <c r="G4429" s="247">
        <v>0.895</v>
      </c>
      <c r="H4429" s="249">
        <f>PRODUCT(D4429:G4429)</f>
        <v>1.1746874999999999</v>
      </c>
      <c r="J4429" s="253" t="inlineStr">
        <is>
          <t xml:space="preserve">1*0.75*(3.05-1.3)*0.895</t>
        </is>
      </c>
    </row>
    <row r="4430">
      <c r="C4430" s="246" t="inlineStr">
        <is>
          <t xml:space="preserve">Walling over opening W20 (1 nr, 1.45x1.9): nr x width x (3.05 - opening ht) x thickness share</t>
        </is>
      </c>
      <c r="D4430" s="248">
        <v>1</v>
      </c>
      <c r="E4430" s="247">
        <v>1.45</v>
      </c>
      <c r="F4430" s="247">
        <f>3.05-1.9</f>
        <v>1.15</v>
      </c>
      <c r="G4430" s="247">
        <v>0.895</v>
      </c>
      <c r="H4430" s="249">
        <f>PRODUCT(D4430:G4430)</f>
        <v>1.4924125</v>
      </c>
      <c r="J4430" s="253" t="inlineStr">
        <is>
          <t xml:space="preserve">1*1.45*(3.05-1.9)*0.895</t>
        </is>
      </c>
    </row>
    <row r="4431">
      <c r="C4431" s="246" t="inlineStr">
        <is>
          <t xml:space="preserve">Walling over opening HW1 (13 nr, 0.9x0.6): nr x width x (3.05 - opening ht) x thickness share</t>
        </is>
      </c>
      <c r="D4431" s="248">
        <v>13</v>
      </c>
      <c r="E4431" s="247">
        <v>0.9</v>
      </c>
      <c r="F4431" s="247">
        <f>3.05-0.6</f>
        <v>2.4499999999999997</v>
      </c>
      <c r="G4431" s="247">
        <v>0.895</v>
      </c>
      <c r="H4431" s="249">
        <f>PRODUCT(D4431:G4431)</f>
        <v>25.655175</v>
      </c>
      <c r="J4431" s="253" t="inlineStr">
        <is>
          <t xml:space="preserve">13*0.9*(3.05-0.6)*0.895</t>
        </is>
      </c>
    </row>
    <row r="4432">
      <c r="C4432" s="246" t="inlineStr">
        <is>
          <t xml:space="preserve">Walling over opening HW2 (5 nr, 0.75x0.6): nr x width x (3.05 - opening ht) x thickness share</t>
        </is>
      </c>
      <c r="D4432" s="248">
        <v>5</v>
      </c>
      <c r="E4432" s="247">
        <v>0.75</v>
      </c>
      <c r="F4432" s="247">
        <f>3.05-0.6</f>
        <v>2.4499999999999997</v>
      </c>
      <c r="G4432" s="247">
        <v>0.895</v>
      </c>
      <c r="H4432" s="249">
        <f>PRODUCT(D4432:G4432)</f>
        <v>8.222812499999998</v>
      </c>
      <c r="J4432" s="253" t="inlineStr">
        <is>
          <t xml:space="preserve">5*0.75*(3.05-0.6)*0.895</t>
        </is>
      </c>
    </row>
    <row r="4433">
      <c r="C4433" s="246" t="inlineStr">
        <is>
          <t xml:space="preserve">Walling over opening HW3 (2 nr, 0.6x0.6): nr x width x (3.05 - opening ht) x thickness share</t>
        </is>
      </c>
      <c r="D4433" s="248">
        <v>2</v>
      </c>
      <c r="E4433" s="247">
        <v>0.6</v>
      </c>
      <c r="F4433" s="247">
        <f>3.05-0.6</f>
        <v>2.4499999999999997</v>
      </c>
      <c r="G4433" s="247">
        <v>0.895</v>
      </c>
      <c r="H4433" s="249">
        <f>PRODUCT(D4433:G4433)</f>
        <v>2.6312999999999995</v>
      </c>
      <c r="J4433" s="253" t="inlineStr">
        <is>
          <t xml:space="preserve">2*0.6*(3.05-0.6)*0.895</t>
        </is>
      </c>
    </row>
    <row r="4434">
      <c r="C4434" s="246" t="inlineStr">
        <is>
          <t xml:space="preserve">Walling over opening HW4 (2 nr, 1.2x0.6): nr x width x (3.05 - opening ht) x thickness share</t>
        </is>
      </c>
      <c r="D4434" s="248">
        <v>2</v>
      </c>
      <c r="E4434" s="247">
        <v>1.2</v>
      </c>
      <c r="F4434" s="247">
        <f>3.05-0.6</f>
        <v>2.4499999999999997</v>
      </c>
      <c r="G4434" s="247">
        <v>0.895</v>
      </c>
      <c r="H4434" s="249">
        <f>PRODUCT(D4434:G4434)</f>
        <v>5.262599999999999</v>
      </c>
      <c r="J4434" s="253" t="inlineStr">
        <is>
          <t xml:space="preserve">2*1.2*(3.05-0.6)*0.895</t>
        </is>
      </c>
    </row>
    <row r="4435">
      <c r="C4435" s="250" t="inlineStr">
        <is>
          <t xml:space="preserve">Total carried to BOQ  8TH FLR item A</t>
        </is>
      </c>
      <c r="D4435" s="250" t="inlineStr">
        <is>
          <t xml:space="preserve"/>
        </is>
      </c>
      <c r="E4435" s="250" t="inlineStr">
        <is>
          <t xml:space="preserve"/>
        </is>
      </c>
      <c r="F4435" s="250" t="inlineStr">
        <is>
          <t xml:space="preserve"/>
        </is>
      </c>
      <c r="G4435" s="250" t="inlineStr">
        <is>
          <t xml:space="preserve"/>
        </is>
      </c>
      <c r="H4435" s="251">
        <f>SUM(H4399:H4434)</f>
        <v>1542.5174875000002</v>
      </c>
      <c r="I4435" s="252" t="inlineStr">
        <is>
          <t xml:space="preserve">m2</t>
        </is>
      </c>
    </row>
    <row r="4436">
      <c r="A4436" s="243" t="inlineStr">
        <is>
          <t xml:space="preserve">8TH FLR</t>
        </is>
      </c>
      <c r="B4436" s="243" t="inlineStr">
        <is>
          <t xml:space="preserve">B</t>
        </is>
      </c>
      <c r="C4436" s="244" t="inlineStr">
        <is>
          <t xml:space="preserve">200mm thick wall</t>
        </is>
      </c>
      <c r="I4436" s="245" t="inlineStr">
        <is>
          <t xml:space="preserve">m2</t>
        </is>
      </c>
      <c r="K4436" s="256" t="inlineStr">
        <is>
          <t xml:space="preserve">'8TH FLR   '!C103</t>
        </is>
      </c>
    </row>
    <row r="4437">
      <c r="C4437" s="246" t="inlineStr">
        <is>
          <t xml:space="preserve">Eighth floor - 200 blockwork: wall length x storey ht</t>
        </is>
      </c>
      <c r="E4437" s="247">
        <v>51.7</v>
      </c>
      <c r="F4437" s="247">
        <v>3.05</v>
      </c>
      <c r="H4437" s="249">
        <f>PRODUCT(D4437:G4437)</f>
        <v>157.685</v>
      </c>
      <c r="J4437" s="253" t="inlineStr">
        <is>
          <t xml:space="preserve">51.7*3.05</t>
        </is>
      </c>
    </row>
    <row r="4438">
      <c r="C4438" s="246" t="inlineStr">
        <is>
          <t xml:space="preserve">Walling over opening D2 (8 nr, 1x2.2): nr x width x (3.05 - opening ht) x thickness share</t>
        </is>
      </c>
      <c r="D4438" s="248">
        <v>8</v>
      </c>
      <c r="E4438" s="247">
        <v>1</v>
      </c>
      <c r="F4438" s="247">
        <f>3.05-2.2</f>
        <v>0.8499999999999996</v>
      </c>
      <c r="G4438" s="247">
        <v>0.105</v>
      </c>
      <c r="H4438" s="249">
        <f>PRODUCT(D4438:G4438)</f>
        <v>0.7139999999999996</v>
      </c>
      <c r="J4438" s="253" t="inlineStr">
        <is>
          <t xml:space="preserve">8*1*(3.05-2.2)*0.105</t>
        </is>
      </c>
    </row>
    <row r="4439">
      <c r="C4439" s="246" t="inlineStr">
        <is>
          <t xml:space="preserve">Walling over opening D3 (15 nr, 0.9x2.2): nr x width x (3.05 - opening ht) x thickness share</t>
        </is>
      </c>
      <c r="D4439" s="248">
        <v>15</v>
      </c>
      <c r="E4439" s="247">
        <v>0.9</v>
      </c>
      <c r="F4439" s="247">
        <f>3.05-2.2</f>
        <v>0.8499999999999996</v>
      </c>
      <c r="G4439" s="247">
        <v>0.105</v>
      </c>
      <c r="H4439" s="249">
        <f>PRODUCT(D4439:G4439)</f>
        <v>1.2048749999999993</v>
      </c>
      <c r="J4439" s="253" t="inlineStr">
        <is>
          <t xml:space="preserve">15*0.9*(3.05-2.2)*0.105</t>
        </is>
      </c>
    </row>
    <row r="4440">
      <c r="C4440" s="246" t="inlineStr">
        <is>
          <t xml:space="preserve">Walling over opening D6 (21 nr, 0.75x2.2): nr x width x (3.05 - opening ht) x thickness share</t>
        </is>
      </c>
      <c r="D4440" s="248">
        <v>21</v>
      </c>
      <c r="E4440" s="247">
        <v>0.75</v>
      </c>
      <c r="F4440" s="247">
        <f>3.05-2.2</f>
        <v>0.8499999999999996</v>
      </c>
      <c r="G4440" s="247">
        <v>0.105</v>
      </c>
      <c r="H4440" s="249">
        <f>PRODUCT(D4440:G4440)</f>
        <v>1.4056874999999993</v>
      </c>
      <c r="J4440" s="253" t="inlineStr">
        <is>
          <t xml:space="preserve">21*0.75*(3.05-2.2)*0.105</t>
        </is>
      </c>
    </row>
    <row r="4441">
      <c r="C4441" s="246" t="inlineStr">
        <is>
          <t xml:space="preserve">Walling over opening D7 (1 nr, 0.7x2.2): nr x width x (3.05 - opening ht) x thickness share</t>
        </is>
      </c>
      <c r="D4441" s="248">
        <v>1</v>
      </c>
      <c r="E4441" s="247">
        <v>0.7</v>
      </c>
      <c r="F4441" s="247">
        <f>3.05-2.2</f>
        <v>0.8499999999999996</v>
      </c>
      <c r="G4441" s="247">
        <v>0.105</v>
      </c>
      <c r="H4441" s="249">
        <f>PRODUCT(D4441:G4441)</f>
        <v>0.062474999999999975</v>
      </c>
      <c r="J4441" s="253" t="inlineStr">
        <is>
          <t xml:space="preserve">1*0.7*(3.05-2.2)*0.105</t>
        </is>
      </c>
    </row>
    <row r="4442">
      <c r="C4442" s="246" t="inlineStr">
        <is>
          <t xml:space="preserve">Walling over opening D8 (2 nr, 1.2x2.2): nr x width x (3.05 - opening ht) x thickness share</t>
        </is>
      </c>
      <c r="D4442" s="248">
        <v>2</v>
      </c>
      <c r="E4442" s="247">
        <v>1.2</v>
      </c>
      <c r="F4442" s="247">
        <f>3.05-2.2</f>
        <v>0.8499999999999996</v>
      </c>
      <c r="G4442" s="247">
        <v>0.105</v>
      </c>
      <c r="H4442" s="249">
        <f>PRODUCT(D4442:G4442)</f>
        <v>0.2141999999999999</v>
      </c>
      <c r="J4442" s="253" t="inlineStr">
        <is>
          <t xml:space="preserve">2*1.2*(3.05-2.2)*0.105</t>
        </is>
      </c>
    </row>
    <row r="4443">
      <c r="C4443" s="246" t="inlineStr">
        <is>
          <t xml:space="preserve">Walling over opening ED1 (3 nr, 1x2.2): nr x width x (3.05 - opening ht) x thickness share</t>
        </is>
      </c>
      <c r="D4443" s="248">
        <v>3</v>
      </c>
      <c r="E4443" s="247">
        <v>1</v>
      </c>
      <c r="F4443" s="247">
        <f>3.05-2.2</f>
        <v>0.8499999999999996</v>
      </c>
      <c r="G4443" s="247">
        <v>0.105</v>
      </c>
      <c r="H4443" s="249">
        <f>PRODUCT(D4443:G4443)</f>
        <v>0.2677499999999999</v>
      </c>
      <c r="J4443" s="253" t="inlineStr">
        <is>
          <t xml:space="preserve">3*1*(3.05-2.2)*0.105</t>
        </is>
      </c>
    </row>
    <row r="4444">
      <c r="C4444" s="246" t="inlineStr">
        <is>
          <t xml:space="preserve">Walling over opening ED2 (2 nr, 1x2.2): nr x width x (3.05 - opening ht) x thickness share</t>
        </is>
      </c>
      <c r="D4444" s="248">
        <v>2</v>
      </c>
      <c r="E4444" s="247">
        <v>1</v>
      </c>
      <c r="F4444" s="247">
        <f>3.05-2.2</f>
        <v>0.8499999999999996</v>
      </c>
      <c r="G4444" s="247">
        <v>0.105</v>
      </c>
      <c r="H4444" s="249">
        <f>PRODUCT(D4444:G4444)</f>
        <v>0.1784999999999999</v>
      </c>
      <c r="J4444" s="253" t="inlineStr">
        <is>
          <t xml:space="preserve">2*1*(3.05-2.2)*0.105</t>
        </is>
      </c>
    </row>
    <row r="4445">
      <c r="C4445" s="246" t="inlineStr">
        <is>
          <t xml:space="preserve">Walling over opening D9 (1 nr, 0.9x2.2): nr x width x (3.05 - opening ht) x thickness share</t>
        </is>
      </c>
      <c r="D4445" s="248">
        <v>1</v>
      </c>
      <c r="E4445" s="247">
        <v>0.9</v>
      </c>
      <c r="F4445" s="247">
        <f>3.05-2.2</f>
        <v>0.8499999999999996</v>
      </c>
      <c r="G4445" s="247">
        <v>0.105</v>
      </c>
      <c r="H4445" s="249">
        <f>PRODUCT(D4445:G4445)</f>
        <v>0.08032499999999997</v>
      </c>
      <c r="J4445" s="253" t="inlineStr">
        <is>
          <t xml:space="preserve">1*0.9*(3.05-2.2)*0.105</t>
        </is>
      </c>
    </row>
    <row r="4446">
      <c r="C4446" s="246" t="inlineStr">
        <is>
          <t xml:space="preserve">Walling over opening FD1 (1 nr, 1.5x2.2): nr x width x (3.05 - opening ht) x thickness share</t>
        </is>
      </c>
      <c r="D4446" s="248">
        <v>1</v>
      </c>
      <c r="E4446" s="247">
        <v>1.5</v>
      </c>
      <c r="F4446" s="247">
        <f>3.05-2.2</f>
        <v>0.8499999999999996</v>
      </c>
      <c r="G4446" s="247">
        <v>0.105</v>
      </c>
      <c r="H4446" s="249">
        <f>PRODUCT(D4446:G4446)</f>
        <v>0.13387499999999994</v>
      </c>
      <c r="J4446" s="253" t="inlineStr">
        <is>
          <t xml:space="preserve">1*1.5*(3.05-2.2)*0.105</t>
        </is>
      </c>
    </row>
    <row r="4447">
      <c r="C4447" s="246" t="inlineStr">
        <is>
          <t xml:space="preserve">Walling over opening M1 (2 nr, 0.9x2.2): nr x width x (3.05 - opening ht) x thickness share</t>
        </is>
      </c>
      <c r="D4447" s="248">
        <v>2</v>
      </c>
      <c r="E4447" s="247">
        <v>0.9</v>
      </c>
      <c r="F4447" s="247">
        <f>3.05-2.2</f>
        <v>0.8499999999999996</v>
      </c>
      <c r="G4447" s="247">
        <v>0.105</v>
      </c>
      <c r="H4447" s="249">
        <f>PRODUCT(D4447:G4447)</f>
        <v>0.16064999999999993</v>
      </c>
      <c r="J4447" s="253" t="inlineStr">
        <is>
          <t xml:space="preserve">2*0.9*(3.05-2.2)*0.105</t>
        </is>
      </c>
    </row>
    <row r="4448">
      <c r="C4448" s="246" t="inlineStr">
        <is>
          <t xml:space="preserve">Walling over opening M2 (4 nr, 0.75x2.2): nr x width x (3.05 - opening ht) x thickness share</t>
        </is>
      </c>
      <c r="D4448" s="248">
        <v>4</v>
      </c>
      <c r="E4448" s="247">
        <v>0.75</v>
      </c>
      <c r="F4448" s="247">
        <f>3.05-2.2</f>
        <v>0.8499999999999996</v>
      </c>
      <c r="G4448" s="247">
        <v>0.105</v>
      </c>
      <c r="H4448" s="249">
        <f>PRODUCT(D4448:G4448)</f>
        <v>0.2677499999999999</v>
      </c>
      <c r="J4448" s="253" t="inlineStr">
        <is>
          <t xml:space="preserve">4*0.75*(3.05-2.2)*0.105</t>
        </is>
      </c>
    </row>
    <row r="4449">
      <c r="C4449" s="246" t="inlineStr">
        <is>
          <t xml:space="preserve">Walling over opening M3 (1 nr, 0.45x2.2): nr x width x (3.05 - opening ht) x thickness share</t>
        </is>
      </c>
      <c r="D4449" s="248">
        <v>1</v>
      </c>
      <c r="E4449" s="247">
        <v>0.45</v>
      </c>
      <c r="F4449" s="247">
        <f>3.05-2.2</f>
        <v>0.8499999999999996</v>
      </c>
      <c r="G4449" s="247">
        <v>0.105</v>
      </c>
      <c r="H4449" s="249">
        <f>PRODUCT(D4449:G4449)</f>
        <v>0.04016249999999998</v>
      </c>
      <c r="J4449" s="253" t="inlineStr">
        <is>
          <t xml:space="preserve">1*0.45*(3.05-2.2)*0.105</t>
        </is>
      </c>
    </row>
    <row r="4450">
      <c r="C4450" s="246" t="inlineStr">
        <is>
          <t xml:space="preserve">Walling over opening M5 (3 nr, 0.6x2.2): nr x width x (3.05 - opening ht) x thickness share</t>
        </is>
      </c>
      <c r="D4450" s="248">
        <v>3</v>
      </c>
      <c r="E4450" s="247">
        <v>0.6</v>
      </c>
      <c r="F4450" s="247">
        <f>3.05-2.2</f>
        <v>0.8499999999999996</v>
      </c>
      <c r="G4450" s="247">
        <v>0.105</v>
      </c>
      <c r="H4450" s="249">
        <f>PRODUCT(D4450:G4450)</f>
        <v>0.1606499999999999</v>
      </c>
      <c r="J4450" s="253" t="inlineStr">
        <is>
          <t xml:space="preserve">3*0.6*(3.05-2.2)*0.105</t>
        </is>
      </c>
    </row>
    <row r="4451">
      <c r="C4451" s="246" t="inlineStr">
        <is>
          <t xml:space="preserve">Walling over opening SD1 (1 nr, 3x2.2): nr x width x (3.05 - opening ht) x thickness share</t>
        </is>
      </c>
      <c r="D4451" s="248">
        <v>1</v>
      </c>
      <c r="E4451" s="247">
        <v>3</v>
      </c>
      <c r="F4451" s="247">
        <f>3.05-2.2</f>
        <v>0.8499999999999996</v>
      </c>
      <c r="G4451" s="247">
        <v>0.105</v>
      </c>
      <c r="H4451" s="249">
        <f>PRODUCT(D4451:G4451)</f>
        <v>0.2677499999999999</v>
      </c>
      <c r="J4451" s="253" t="inlineStr">
        <is>
          <t xml:space="preserve">1*3*(3.05-2.2)*0.105</t>
        </is>
      </c>
    </row>
    <row r="4452">
      <c r="C4452" s="246" t="inlineStr">
        <is>
          <t xml:space="preserve">Walling over opening SD2 (4 nr, 1.6x2.2): nr x width x (3.05 - opening ht) x thickness share</t>
        </is>
      </c>
      <c r="D4452" s="248">
        <v>4</v>
      </c>
      <c r="E4452" s="247">
        <v>1.6</v>
      </c>
      <c r="F4452" s="247">
        <f>3.05-2.2</f>
        <v>0.8499999999999996</v>
      </c>
      <c r="G4452" s="247">
        <v>0.105</v>
      </c>
      <c r="H4452" s="249">
        <f>PRODUCT(D4452:G4452)</f>
        <v>0.5711999999999997</v>
      </c>
      <c r="J4452" s="253" t="inlineStr">
        <is>
          <t xml:space="preserve">4*1.6*(3.05-2.2)*0.105</t>
        </is>
      </c>
    </row>
    <row r="4453">
      <c r="C4453" s="246" t="inlineStr">
        <is>
          <t xml:space="preserve">Walling over opening SD3 (2 nr, 1.3x2.2): nr x width x (3.05 - opening ht) x thickness share</t>
        </is>
      </c>
      <c r="D4453" s="248">
        <v>2</v>
      </c>
      <c r="E4453" s="247">
        <v>1.3</v>
      </c>
      <c r="F4453" s="247">
        <f>3.05-2.2</f>
        <v>0.8499999999999996</v>
      </c>
      <c r="G4453" s="247">
        <v>0.105</v>
      </c>
      <c r="H4453" s="249">
        <f>PRODUCT(D4453:G4453)</f>
        <v>0.2320499999999999</v>
      </c>
      <c r="J4453" s="253" t="inlineStr">
        <is>
          <t xml:space="preserve">2*1.3*(3.05-2.2)*0.105</t>
        </is>
      </c>
    </row>
    <row r="4454">
      <c r="C4454" s="246" t="inlineStr">
        <is>
          <t xml:space="preserve">Walling over opening SD4 (4 nr, 1.8x2.2): nr x width x (3.05 - opening ht) x thickness share</t>
        </is>
      </c>
      <c r="D4454" s="248">
        <v>4</v>
      </c>
      <c r="E4454" s="247">
        <v>1.8</v>
      </c>
      <c r="F4454" s="247">
        <f>3.05-2.2</f>
        <v>0.8499999999999996</v>
      </c>
      <c r="G4454" s="247">
        <v>0.105</v>
      </c>
      <c r="H4454" s="249">
        <f>PRODUCT(D4454:G4454)</f>
        <v>0.6425999999999997</v>
      </c>
      <c r="J4454" s="253" t="inlineStr">
        <is>
          <t xml:space="preserve">4*1.8*(3.05-2.2)*0.105</t>
        </is>
      </c>
    </row>
    <row r="4455">
      <c r="C4455" s="246" t="inlineStr">
        <is>
          <t xml:space="preserve">Walling over opening SD5 (1 nr, 1.2x2.2): nr x width x (3.05 - opening ht) x thickness share</t>
        </is>
      </c>
      <c r="D4455" s="248">
        <v>1</v>
      </c>
      <c r="E4455" s="247">
        <v>1.2</v>
      </c>
      <c r="F4455" s="247">
        <f>3.05-2.2</f>
        <v>0.8499999999999996</v>
      </c>
      <c r="G4455" s="247">
        <v>0.105</v>
      </c>
      <c r="H4455" s="249">
        <f>PRODUCT(D4455:G4455)</f>
        <v>0.10709999999999995</v>
      </c>
      <c r="J4455" s="253" t="inlineStr">
        <is>
          <t xml:space="preserve">1*1.2*(3.05-2.2)*0.105</t>
        </is>
      </c>
    </row>
    <row r="4456">
      <c r="C4456" s="246" t="inlineStr">
        <is>
          <t xml:space="preserve">Walling over opening W2 (6 nr, 1.8x1.3): nr x width x (3.05 - opening ht) x thickness share</t>
        </is>
      </c>
      <c r="D4456" s="248">
        <v>6</v>
      </c>
      <c r="E4456" s="247">
        <v>1.8</v>
      </c>
      <c r="F4456" s="247">
        <f>3.05-1.3</f>
        <v>1.7499999999999998</v>
      </c>
      <c r="G4456" s="247">
        <v>0.105</v>
      </c>
      <c r="H4456" s="249">
        <f>PRODUCT(D4456:G4456)</f>
        <v>1.9844999999999997</v>
      </c>
      <c r="J4456" s="253" t="inlineStr">
        <is>
          <t xml:space="preserve">6*1.8*(3.05-1.3)*0.105</t>
        </is>
      </c>
    </row>
    <row r="4457">
      <c r="C4457" s="246" t="inlineStr">
        <is>
          <t xml:space="preserve">Walling over opening W4 (10 nr, 0.9x1.3): nr x width x (3.05 - opening ht) x thickness share</t>
        </is>
      </c>
      <c r="D4457" s="248">
        <v>10</v>
      </c>
      <c r="E4457" s="247">
        <v>0.9</v>
      </c>
      <c r="F4457" s="247">
        <f>3.05-1.3</f>
        <v>1.7499999999999998</v>
      </c>
      <c r="G4457" s="247">
        <v>0.105</v>
      </c>
      <c r="H4457" s="249">
        <f>PRODUCT(D4457:G4457)</f>
        <v>1.6537499999999998</v>
      </c>
      <c r="J4457" s="253" t="inlineStr">
        <is>
          <t xml:space="preserve">10*0.9*(3.05-1.3)*0.105</t>
        </is>
      </c>
    </row>
    <row r="4458">
      <c r="C4458" s="246" t="inlineStr">
        <is>
          <t xml:space="preserve">Walling over opening W7 (2 nr, 1.8x1.6): nr x width x (3.05 - opening ht) x thickness share</t>
        </is>
      </c>
      <c r="D4458" s="248">
        <v>2</v>
      </c>
      <c r="E4458" s="247">
        <v>1.8</v>
      </c>
      <c r="F4458" s="247">
        <f>3.05-1.6</f>
        <v>1.4499999999999997</v>
      </c>
      <c r="G4458" s="247">
        <v>0.105</v>
      </c>
      <c r="H4458" s="249">
        <f>PRODUCT(D4458:G4458)</f>
        <v>0.5480999999999998</v>
      </c>
      <c r="J4458" s="253" t="inlineStr">
        <is>
          <t xml:space="preserve">2*1.8*(3.05-1.6)*0.105</t>
        </is>
      </c>
    </row>
    <row r="4459">
      <c r="C4459" s="246" t="inlineStr">
        <is>
          <t xml:space="preserve">Walling over opening W8 (3 nr, 1.2x1.9): nr x width x (3.05 - opening ht) x thickness share</t>
        </is>
      </c>
      <c r="D4459" s="248">
        <v>3</v>
      </c>
      <c r="E4459" s="247">
        <v>1.2</v>
      </c>
      <c r="F4459" s="247">
        <f>3.05-1.9</f>
        <v>1.15</v>
      </c>
      <c r="G4459" s="247">
        <v>0.105</v>
      </c>
      <c r="H4459" s="249">
        <f>PRODUCT(D4459:G4459)</f>
        <v>0.4347</v>
      </c>
      <c r="J4459" s="253" t="inlineStr">
        <is>
          <t xml:space="preserve">3*1.2*(3.05-1.9)*0.105</t>
        </is>
      </c>
    </row>
    <row r="4460">
      <c r="C4460" s="246" t="inlineStr">
        <is>
          <t xml:space="preserve">Walling over opening W9 (8 nr, 1.2x1.15): nr x width x (3.05 - opening ht) x thickness share</t>
        </is>
      </c>
      <c r="D4460" s="248">
        <v>8</v>
      </c>
      <c r="E4460" s="247">
        <v>1.2</v>
      </c>
      <c r="F4460" s="247">
        <f>3.05-1.15</f>
        <v>1.9</v>
      </c>
      <c r="G4460" s="247">
        <v>0.105</v>
      </c>
      <c r="H4460" s="249">
        <f>PRODUCT(D4460:G4460)</f>
        <v>1.9151999999999998</v>
      </c>
      <c r="J4460" s="253" t="inlineStr">
        <is>
          <t xml:space="preserve">8*1.2*(3.05-1.15)*0.105</t>
        </is>
      </c>
    </row>
    <row r="4461">
      <c r="C4461" s="246" t="inlineStr">
        <is>
          <t xml:space="preserve">Walling over opening W10 (1 nr, 1.2x1.2): nr x width x (3.05 - opening ht) x thickness share</t>
        </is>
      </c>
      <c r="D4461" s="248">
        <v>1</v>
      </c>
      <c r="E4461" s="247">
        <v>1.2</v>
      </c>
      <c r="F4461" s="247">
        <f>3.05-1.2</f>
        <v>1.8499999999999999</v>
      </c>
      <c r="G4461" s="247">
        <v>0.105</v>
      </c>
      <c r="H4461" s="249">
        <f>PRODUCT(D4461:G4461)</f>
        <v>0.23309999999999997</v>
      </c>
      <c r="J4461" s="253" t="inlineStr">
        <is>
          <t xml:space="preserve">1*1.2*(3.05-1.2)*0.105</t>
        </is>
      </c>
    </row>
    <row r="4462">
      <c r="C4462" s="246" t="inlineStr">
        <is>
          <t xml:space="preserve">Walling over opening W11 (6 nr, 1.5x1.3): nr x width x (3.05 - opening ht) x thickness share</t>
        </is>
      </c>
      <c r="D4462" s="248">
        <v>6</v>
      </c>
      <c r="E4462" s="247">
        <v>1.5</v>
      </c>
      <c r="F4462" s="247">
        <f>3.05-1.3</f>
        <v>1.7499999999999998</v>
      </c>
      <c r="G4462" s="247">
        <v>0.105</v>
      </c>
      <c r="H4462" s="249">
        <f>PRODUCT(D4462:G4462)</f>
        <v>1.6537499999999998</v>
      </c>
      <c r="J4462" s="253" t="inlineStr">
        <is>
          <t xml:space="preserve">6*1.5*(3.05-1.3)*0.105</t>
        </is>
      </c>
    </row>
    <row r="4463">
      <c r="C4463" s="246" t="inlineStr">
        <is>
          <t xml:space="preserve">Walling over opening W12 (4 nr, 1.5x1.15): nr x width x (3.05 - opening ht) x thickness share</t>
        </is>
      </c>
      <c r="D4463" s="248">
        <v>4</v>
      </c>
      <c r="E4463" s="247">
        <v>1.5</v>
      </c>
      <c r="F4463" s="247">
        <f>3.05-1.15</f>
        <v>1.9</v>
      </c>
      <c r="G4463" s="247">
        <v>0.105</v>
      </c>
      <c r="H4463" s="249">
        <f>PRODUCT(D4463:G4463)</f>
        <v>1.1969999999999998</v>
      </c>
      <c r="J4463" s="253" t="inlineStr">
        <is>
          <t xml:space="preserve">4*1.5*(3.05-1.15)*0.105</t>
        </is>
      </c>
    </row>
    <row r="4464">
      <c r="C4464" s="246" t="inlineStr">
        <is>
          <t xml:space="preserve">Walling over opening W13 (1 nr, 2.4x1.3): nr x width x (3.05 - opening ht) x thickness share</t>
        </is>
      </c>
      <c r="D4464" s="248">
        <v>1</v>
      </c>
      <c r="E4464" s="247">
        <v>2.4</v>
      </c>
      <c r="F4464" s="247">
        <f>3.05-1.3</f>
        <v>1.7499999999999998</v>
      </c>
      <c r="G4464" s="247">
        <v>0.105</v>
      </c>
      <c r="H4464" s="249">
        <f>PRODUCT(D4464:G4464)</f>
        <v>0.4409999999999999</v>
      </c>
      <c r="J4464" s="253" t="inlineStr">
        <is>
          <t xml:space="preserve">1*2.4*(3.05-1.3)*0.105</t>
        </is>
      </c>
    </row>
    <row r="4465">
      <c r="C4465" s="246" t="inlineStr">
        <is>
          <t xml:space="preserve">Walling over opening W15 (1 nr, 3x1.6): nr x width x (3.05 - opening ht) x thickness share</t>
        </is>
      </c>
      <c r="D4465" s="248">
        <v>1</v>
      </c>
      <c r="E4465" s="247">
        <v>3</v>
      </c>
      <c r="F4465" s="247">
        <f>3.05-1.6</f>
        <v>1.4499999999999997</v>
      </c>
      <c r="G4465" s="247">
        <v>0.105</v>
      </c>
      <c r="H4465" s="249">
        <f>PRODUCT(D4465:G4465)</f>
        <v>0.45674999999999993</v>
      </c>
      <c r="J4465" s="253" t="inlineStr">
        <is>
          <t xml:space="preserve">1*3*(3.05-1.6)*0.105</t>
        </is>
      </c>
    </row>
    <row r="4466">
      <c r="C4466" s="246" t="inlineStr">
        <is>
          <t xml:space="preserve">Walling over opening W17 (3 nr, 1.8x1.9): nr x width x (3.05 - opening ht) x thickness share</t>
        </is>
      </c>
      <c r="D4466" s="248">
        <v>3</v>
      </c>
      <c r="E4466" s="247">
        <v>1.8</v>
      </c>
      <c r="F4466" s="247">
        <f>3.05-1.9</f>
        <v>1.15</v>
      </c>
      <c r="G4466" s="247">
        <v>0.105</v>
      </c>
      <c r="H4466" s="249">
        <f>PRODUCT(D4466:G4466)</f>
        <v>0.65205</v>
      </c>
      <c r="J4466" s="253" t="inlineStr">
        <is>
          <t xml:space="preserve">3*1.8*(3.05-1.9)*0.105</t>
        </is>
      </c>
    </row>
    <row r="4467">
      <c r="C4467" s="246" t="inlineStr">
        <is>
          <t xml:space="preserve">Walling over opening W18 (1 nr, 0.75x1.3): nr x width x (3.05 - opening ht) x thickness share</t>
        </is>
      </c>
      <c r="D4467" s="248">
        <v>1</v>
      </c>
      <c r="E4467" s="247">
        <v>0.75</v>
      </c>
      <c r="F4467" s="247">
        <f>3.05-1.3</f>
        <v>1.7499999999999998</v>
      </c>
      <c r="G4467" s="247">
        <v>0.105</v>
      </c>
      <c r="H4467" s="249">
        <f>PRODUCT(D4467:G4467)</f>
        <v>0.13781249999999998</v>
      </c>
      <c r="J4467" s="253" t="inlineStr">
        <is>
          <t xml:space="preserve">1*0.75*(3.05-1.3)*0.105</t>
        </is>
      </c>
    </row>
    <row r="4468">
      <c r="C4468" s="246" t="inlineStr">
        <is>
          <t xml:space="preserve">Walling over opening W20 (1 nr, 1.45x1.9): nr x width x (3.05 - opening ht) x thickness share</t>
        </is>
      </c>
      <c r="D4468" s="248">
        <v>1</v>
      </c>
      <c r="E4468" s="247">
        <v>1.45</v>
      </c>
      <c r="F4468" s="247">
        <f>3.05-1.9</f>
        <v>1.15</v>
      </c>
      <c r="G4468" s="247">
        <v>0.105</v>
      </c>
      <c r="H4468" s="249">
        <f>PRODUCT(D4468:G4468)</f>
        <v>0.17508749999999998</v>
      </c>
      <c r="J4468" s="253" t="inlineStr">
        <is>
          <t xml:space="preserve">1*1.45*(3.05-1.9)*0.105</t>
        </is>
      </c>
    </row>
    <row r="4469">
      <c r="C4469" s="246" t="inlineStr">
        <is>
          <t xml:space="preserve">Walling over opening HW1 (13 nr, 0.9x0.6): nr x width x (3.05 - opening ht) x thickness share</t>
        </is>
      </c>
      <c r="D4469" s="248">
        <v>13</v>
      </c>
      <c r="E4469" s="247">
        <v>0.9</v>
      </c>
      <c r="F4469" s="247">
        <f>3.05-0.6</f>
        <v>2.4499999999999997</v>
      </c>
      <c r="G4469" s="247">
        <v>0.105</v>
      </c>
      <c r="H4469" s="249">
        <f>PRODUCT(D4469:G4469)</f>
        <v>3.0098249999999998</v>
      </c>
      <c r="J4469" s="253" t="inlineStr">
        <is>
          <t xml:space="preserve">13*0.9*(3.05-0.6)*0.105</t>
        </is>
      </c>
    </row>
    <row r="4470">
      <c r="C4470" s="246" t="inlineStr">
        <is>
          <t xml:space="preserve">Walling over opening HW2 (5 nr, 0.75x0.6): nr x width x (3.05 - opening ht) x thickness share</t>
        </is>
      </c>
      <c r="D4470" s="248">
        <v>5</v>
      </c>
      <c r="E4470" s="247">
        <v>0.75</v>
      </c>
      <c r="F4470" s="247">
        <f>3.05-0.6</f>
        <v>2.4499999999999997</v>
      </c>
      <c r="G4470" s="247">
        <v>0.105</v>
      </c>
      <c r="H4470" s="249">
        <f>PRODUCT(D4470:G4470)</f>
        <v>0.9646874999999998</v>
      </c>
      <c r="J4470" s="253" t="inlineStr">
        <is>
          <t xml:space="preserve">5*0.75*(3.05-0.6)*0.105</t>
        </is>
      </c>
    </row>
    <row r="4471">
      <c r="C4471" s="246" t="inlineStr">
        <is>
          <t xml:space="preserve">Walling over opening HW3 (2 nr, 0.6x0.6): nr x width x (3.05 - opening ht) x thickness share</t>
        </is>
      </c>
      <c r="D4471" s="248">
        <v>2</v>
      </c>
      <c r="E4471" s="247">
        <v>0.6</v>
      </c>
      <c r="F4471" s="247">
        <f>3.05-0.6</f>
        <v>2.4499999999999997</v>
      </c>
      <c r="G4471" s="247">
        <v>0.105</v>
      </c>
      <c r="H4471" s="249">
        <f>PRODUCT(D4471:G4471)</f>
        <v>0.3086999999999999</v>
      </c>
      <c r="J4471" s="253" t="inlineStr">
        <is>
          <t xml:space="preserve">2*0.6*(3.05-0.6)*0.105</t>
        </is>
      </c>
    </row>
    <row r="4472">
      <c r="C4472" s="246" t="inlineStr">
        <is>
          <t xml:space="preserve">Walling over opening HW4 (2 nr, 1.2x0.6): nr x width x (3.05 - opening ht) x thickness share</t>
        </is>
      </c>
      <c r="D4472" s="248">
        <v>2</v>
      </c>
      <c r="E4472" s="247">
        <v>1.2</v>
      </c>
      <c r="F4472" s="247">
        <f>3.05-0.6</f>
        <v>2.4499999999999997</v>
      </c>
      <c r="G4472" s="247">
        <v>0.105</v>
      </c>
      <c r="H4472" s="249">
        <f>PRODUCT(D4472:G4472)</f>
        <v>0.6173999999999998</v>
      </c>
      <c r="J4472" s="253" t="inlineStr">
        <is>
          <t xml:space="preserve">2*1.2*(3.05-0.6)*0.105</t>
        </is>
      </c>
    </row>
    <row r="4473">
      <c r="C4473" s="250" t="inlineStr">
        <is>
          <t xml:space="preserve">Total carried to BOQ  8TH FLR item B</t>
        </is>
      </c>
      <c r="D4473" s="250" t="inlineStr">
        <is>
          <t xml:space="preserve"/>
        </is>
      </c>
      <c r="E4473" s="250" t="inlineStr">
        <is>
          <t xml:space="preserve"/>
        </is>
      </c>
      <c r="F4473" s="250" t="inlineStr">
        <is>
          <t xml:space="preserve"/>
        </is>
      </c>
      <c r="G4473" s="250" t="inlineStr">
        <is>
          <t xml:space="preserve"/>
        </is>
      </c>
      <c r="H4473" s="251">
        <f>SUM(H4437:H4472)</f>
        <v>180.7800125</v>
      </c>
      <c r="I4473" s="252" t="inlineStr">
        <is>
          <t xml:space="preserve">m2</t>
        </is>
      </c>
    </row>
    <row r="4474">
      <c r="C4474" s="242" t="inlineStr">
        <is>
          <t xml:space="preserve">ELEMENT NO. 4: WINDOWS/DOORS</t>
        </is>
      </c>
    </row>
    <row r="4475">
      <c r="C4475" s="242" t="inlineStr">
        <is>
          <t xml:space="preserve">L20 DOORS - Supply and fix the following door assemblies complete with frames, ironmongery sets to steel doors and all accessories:</t>
        </is>
      </c>
    </row>
    <row r="4476" ht="32.2" customHeight="1">
      <c r="A4476" s="243" t="inlineStr">
        <is>
          <t xml:space="preserve">8TH FLR</t>
        </is>
      </c>
      <c r="B4476" s="243" t="inlineStr">
        <is>
          <t xml:space="preserve">A</t>
        </is>
      </c>
      <c r="C4476" s="244" t="inlineStr">
        <is>
          <t xml:space="preserve">1000mm x 2200mm 1-hour fire-rated galvanised steel single-leaf security door assembly (D2)</t>
        </is>
      </c>
      <c r="I4476" s="245" t="inlineStr">
        <is>
          <t xml:space="preserve">nr</t>
        </is>
      </c>
      <c r="K4476" s="256" t="inlineStr">
        <is>
          <t xml:space="preserve">'8TH FLR   '!C111</t>
        </is>
      </c>
    </row>
    <row r="4477">
      <c r="C4477" s="246" t="inlineStr">
        <is>
          <t xml:space="preserve">Eighth floor - W9</t>
        </is>
      </c>
      <c r="H4477" s="247">
        <v>8</v>
      </c>
      <c r="J4477" s="253" t="inlineStr">
        <is>
          <t xml:space="preserve">8</t>
        </is>
      </c>
    </row>
    <row r="4478">
      <c r="C4478" s="250" t="inlineStr">
        <is>
          <t xml:space="preserve">Total carried to BOQ  8TH FLR item A</t>
        </is>
      </c>
      <c r="D4478" s="250" t="inlineStr">
        <is>
          <t xml:space="preserve"/>
        </is>
      </c>
      <c r="E4478" s="250" t="inlineStr">
        <is>
          <t xml:space="preserve"/>
        </is>
      </c>
      <c r="F4478" s="250" t="inlineStr">
        <is>
          <t xml:space="preserve"/>
        </is>
      </c>
      <c r="G4478" s="250" t="inlineStr">
        <is>
          <t xml:space="preserve"/>
        </is>
      </c>
      <c r="H4478" s="251">
        <f>SUM(H4477:H4477)</f>
        <v>8</v>
      </c>
      <c r="I4478" s="252" t="inlineStr">
        <is>
          <t xml:space="preserve">nr</t>
        </is>
      </c>
    </row>
    <row r="4479">
      <c r="A4479" s="243" t="inlineStr">
        <is>
          <t xml:space="preserve">8TH FLR</t>
        </is>
      </c>
      <c r="B4479" s="243" t="inlineStr">
        <is>
          <t xml:space="preserve">B</t>
        </is>
      </c>
      <c r="C4479" s="244" t="inlineStr">
        <is>
          <t xml:space="preserve">900mm x 2200mm single leaf timber panel door (D3)</t>
        </is>
      </c>
      <c r="I4479" s="245" t="inlineStr">
        <is>
          <t xml:space="preserve">nr</t>
        </is>
      </c>
      <c r="K4479" s="256" t="inlineStr">
        <is>
          <t xml:space="preserve">'8TH FLR   '!C113</t>
        </is>
      </c>
    </row>
    <row r="4480">
      <c r="C4480" s="246" t="inlineStr">
        <is>
          <t xml:space="preserve">Eighth floor - D3/D4 doors</t>
        </is>
      </c>
      <c r="H4480" s="247">
        <v>15</v>
      </c>
      <c r="J4480" s="253" t="inlineStr">
        <is>
          <t xml:space="preserve">15</t>
        </is>
      </c>
    </row>
    <row r="4481">
      <c r="C4481" s="250" t="inlineStr">
        <is>
          <t xml:space="preserve">Total carried to BOQ  8TH FLR item B</t>
        </is>
      </c>
      <c r="D4481" s="250" t="inlineStr">
        <is>
          <t xml:space="preserve"/>
        </is>
      </c>
      <c r="E4481" s="250" t="inlineStr">
        <is>
          <t xml:space="preserve"/>
        </is>
      </c>
      <c r="F4481" s="250" t="inlineStr">
        <is>
          <t xml:space="preserve"/>
        </is>
      </c>
      <c r="G4481" s="250" t="inlineStr">
        <is>
          <t xml:space="preserve"/>
        </is>
      </c>
      <c r="H4481" s="251">
        <f>SUM(H4480:H4480)</f>
        <v>15</v>
      </c>
      <c r="I4481" s="252" t="inlineStr">
        <is>
          <t xml:space="preserve">nr</t>
        </is>
      </c>
    </row>
    <row r="4482">
      <c r="A4482" s="243" t="inlineStr">
        <is>
          <t xml:space="preserve">8TH FLR</t>
        </is>
      </c>
      <c r="B4482" s="243" t="inlineStr">
        <is>
          <t xml:space="preserve">C</t>
        </is>
      </c>
      <c r="C4482" s="244" t="inlineStr">
        <is>
          <t xml:space="preserve">750mm x 2200mm single leaf timber flush door (D6)</t>
        </is>
      </c>
      <c r="I4482" s="245" t="inlineStr">
        <is>
          <t xml:space="preserve">nr</t>
        </is>
      </c>
      <c r="K4482" s="256" t="inlineStr">
        <is>
          <t xml:space="preserve">'8TH FLR   '!C115</t>
        </is>
      </c>
    </row>
    <row r="4483">
      <c r="C4483" s="246" t="inlineStr">
        <is>
          <t xml:space="preserve">Eighth floor - D6 doors</t>
        </is>
      </c>
      <c r="H4483" s="247">
        <v>21</v>
      </c>
      <c r="J4483" s="253" t="inlineStr">
        <is>
          <t xml:space="preserve">21</t>
        </is>
      </c>
    </row>
    <row r="4484">
      <c r="C4484" s="250" t="inlineStr">
        <is>
          <t xml:space="preserve">Total carried to BOQ  8TH FLR item C</t>
        </is>
      </c>
      <c r="D4484" s="250" t="inlineStr">
        <is>
          <t xml:space="preserve"/>
        </is>
      </c>
      <c r="E4484" s="250" t="inlineStr">
        <is>
          <t xml:space="preserve"/>
        </is>
      </c>
      <c r="F4484" s="250" t="inlineStr">
        <is>
          <t xml:space="preserve"/>
        </is>
      </c>
      <c r="G4484" s="250" t="inlineStr">
        <is>
          <t xml:space="preserve"/>
        </is>
      </c>
      <c r="H4484" s="251">
        <f>SUM(H4483:H4483)</f>
        <v>21</v>
      </c>
      <c r="I4484" s="252" t="inlineStr">
        <is>
          <t xml:space="preserve">nr</t>
        </is>
      </c>
    </row>
    <row r="4485">
      <c r="A4485" s="243" t="inlineStr">
        <is>
          <t xml:space="preserve">8TH FLR</t>
        </is>
      </c>
      <c r="B4485" s="243" t="inlineStr">
        <is>
          <t xml:space="preserve">D</t>
        </is>
      </c>
      <c r="C4485" s="244" t="inlineStr">
        <is>
          <t xml:space="preserve">700mm x 2200mm single-leaf 2-hour fire-rated galvanised steel door (D7)</t>
        </is>
      </c>
      <c r="I4485" s="245" t="inlineStr">
        <is>
          <t xml:space="preserve">nr</t>
        </is>
      </c>
      <c r="K4485" s="256" t="inlineStr">
        <is>
          <t xml:space="preserve">'8TH FLR   '!C117</t>
        </is>
      </c>
    </row>
    <row r="4486">
      <c r="C4486" s="246" t="inlineStr">
        <is>
          <t xml:space="preserve">Eighth floor - W20</t>
        </is>
      </c>
      <c r="H4486" s="247">
        <v>1</v>
      </c>
      <c r="J4486" s="253" t="inlineStr">
        <is>
          <t xml:space="preserve">1</t>
        </is>
      </c>
    </row>
    <row r="4487">
      <c r="C4487" s="250" t="inlineStr">
        <is>
          <t xml:space="preserve">Total carried to BOQ  8TH FLR item D</t>
        </is>
      </c>
      <c r="D4487" s="250" t="inlineStr">
        <is>
          <t xml:space="preserve"/>
        </is>
      </c>
      <c r="E4487" s="250" t="inlineStr">
        <is>
          <t xml:space="preserve"/>
        </is>
      </c>
      <c r="F4487" s="250" t="inlineStr">
        <is>
          <t xml:space="preserve"/>
        </is>
      </c>
      <c r="G4487" s="250" t="inlineStr">
        <is>
          <t xml:space="preserve"/>
        </is>
      </c>
      <c r="H4487" s="251">
        <f>SUM(H4486:H4486)</f>
        <v>1</v>
      </c>
      <c r="I4487" s="252" t="inlineStr">
        <is>
          <t xml:space="preserve">nr</t>
        </is>
      </c>
    </row>
    <row r="4488" ht="32.2" customHeight="1">
      <c r="A4488" s="243" t="inlineStr">
        <is>
          <t xml:space="preserve">8TH FLR</t>
        </is>
      </c>
      <c r="B4488" s="243" t="inlineStr">
        <is>
          <t xml:space="preserve">E</t>
        </is>
      </c>
      <c r="C4488" s="244" t="inlineStr">
        <is>
          <t xml:space="preserve">1200mm x 2200mm 1-hour fire-rated leaf-and-a-half galvanised steel security door assembly (D8)</t>
        </is>
      </c>
      <c r="I4488" s="245" t="inlineStr">
        <is>
          <t xml:space="preserve">nr</t>
        </is>
      </c>
      <c r="K4488" s="256" t="inlineStr">
        <is>
          <t xml:space="preserve">'8TH FLR   '!C119</t>
        </is>
      </c>
    </row>
    <row r="4489">
      <c r="C4489" s="246" t="inlineStr">
        <is>
          <t xml:space="preserve">Eighth floor - HW4</t>
        </is>
      </c>
      <c r="H4489" s="247">
        <v>2</v>
      </c>
      <c r="J4489" s="253" t="inlineStr">
        <is>
          <t xml:space="preserve">2</t>
        </is>
      </c>
    </row>
    <row r="4490">
      <c r="C4490" s="250" t="inlineStr">
        <is>
          <t xml:space="preserve">Total carried to BOQ  8TH FLR item E</t>
        </is>
      </c>
      <c r="D4490" s="250" t="inlineStr">
        <is>
          <t xml:space="preserve"/>
        </is>
      </c>
      <c r="E4490" s="250" t="inlineStr">
        <is>
          <t xml:space="preserve"/>
        </is>
      </c>
      <c r="F4490" s="250" t="inlineStr">
        <is>
          <t xml:space="preserve"/>
        </is>
      </c>
      <c r="G4490" s="250" t="inlineStr">
        <is>
          <t xml:space="preserve"/>
        </is>
      </c>
      <c r="H4490" s="251">
        <f>SUM(H4489:H4489)</f>
        <v>2</v>
      </c>
      <c r="I4490" s="252" t="inlineStr">
        <is>
          <t xml:space="preserve">nr</t>
        </is>
      </c>
    </row>
    <row r="4491" ht="32.2" customHeight="1">
      <c r="A4491" s="243" t="inlineStr">
        <is>
          <t xml:space="preserve">8TH FLR</t>
        </is>
      </c>
      <c r="B4491" s="243" t="inlineStr">
        <is>
          <t xml:space="preserve">F</t>
        </is>
      </c>
      <c r="C4491" s="244" t="inlineStr">
        <is>
          <t xml:space="preserve">1000mm x 2200mm 1-hour fire-rated galvanised steel single-leaf security door assembly - emergency stairs (ED1)</t>
        </is>
      </c>
      <c r="I4491" s="245" t="inlineStr">
        <is>
          <t xml:space="preserve">nr</t>
        </is>
      </c>
      <c r="K4491" s="256" t="inlineStr">
        <is>
          <t xml:space="preserve">'8TH FLR   '!C121</t>
        </is>
      </c>
    </row>
    <row r="4492">
      <c r="C4492" s="246" t="inlineStr">
        <is>
          <t xml:space="preserve">Eighth floor - W17</t>
        </is>
      </c>
      <c r="H4492" s="247">
        <v>3</v>
      </c>
      <c r="J4492" s="253" t="inlineStr">
        <is>
          <t xml:space="preserve">3</t>
        </is>
      </c>
    </row>
    <row r="4493">
      <c r="C4493" s="250" t="inlineStr">
        <is>
          <t xml:space="preserve">Total carried to BOQ  8TH FLR item F</t>
        </is>
      </c>
      <c r="D4493" s="250" t="inlineStr">
        <is>
          <t xml:space="preserve"/>
        </is>
      </c>
      <c r="E4493" s="250" t="inlineStr">
        <is>
          <t xml:space="preserve"/>
        </is>
      </c>
      <c r="F4493" s="250" t="inlineStr">
        <is>
          <t xml:space="preserve"/>
        </is>
      </c>
      <c r="G4493" s="250" t="inlineStr">
        <is>
          <t xml:space="preserve"/>
        </is>
      </c>
      <c r="H4493" s="251">
        <f>SUM(H4492:H4492)</f>
        <v>3</v>
      </c>
      <c r="I4493" s="252" t="inlineStr">
        <is>
          <t xml:space="preserve">nr</t>
        </is>
      </c>
    </row>
    <row r="4494" ht="32.2" customHeight="1">
      <c r="A4494" s="243" t="inlineStr">
        <is>
          <t xml:space="preserve">8TH FLR</t>
        </is>
      </c>
      <c r="B4494" s="243" t="inlineStr">
        <is>
          <t xml:space="preserve">G</t>
        </is>
      </c>
      <c r="C4494" s="244" t="inlineStr">
        <is>
          <t xml:space="preserve">1000mm x 2200mm 1-hour fire-rated galvanised steel single-leaf security door with translucent glass panel (ED2)</t>
        </is>
      </c>
      <c r="I4494" s="245" t="inlineStr">
        <is>
          <t xml:space="preserve">nr</t>
        </is>
      </c>
      <c r="K4494" s="256" t="inlineStr">
        <is>
          <t xml:space="preserve">'8TH FLR   '!C123</t>
        </is>
      </c>
    </row>
    <row r="4495">
      <c r="C4495" s="246" t="inlineStr">
        <is>
          <t xml:space="preserve">Eighth floor - HW4</t>
        </is>
      </c>
      <c r="H4495" s="247">
        <v>2</v>
      </c>
      <c r="J4495" s="253" t="inlineStr">
        <is>
          <t xml:space="preserve">2</t>
        </is>
      </c>
    </row>
    <row r="4496">
      <c r="C4496" s="250" t="inlineStr">
        <is>
          <t xml:space="preserve">Total carried to BOQ  8TH FLR item G</t>
        </is>
      </c>
      <c r="D4496" s="250" t="inlineStr">
        <is>
          <t xml:space="preserve"/>
        </is>
      </c>
      <c r="E4496" s="250" t="inlineStr">
        <is>
          <t xml:space="preserve"/>
        </is>
      </c>
      <c r="F4496" s="250" t="inlineStr">
        <is>
          <t xml:space="preserve"/>
        </is>
      </c>
      <c r="G4496" s="250" t="inlineStr">
        <is>
          <t xml:space="preserve"/>
        </is>
      </c>
      <c r="H4496" s="251">
        <f>SUM(H4495:H4495)</f>
        <v>2</v>
      </c>
      <c r="I4496" s="252" t="inlineStr">
        <is>
          <t xml:space="preserve">nr</t>
        </is>
      </c>
    </row>
    <row r="4497" ht="32.2" customHeight="1">
      <c r="A4497" s="243" t="inlineStr">
        <is>
          <t xml:space="preserve">8TH FLR</t>
        </is>
      </c>
      <c r="B4497" s="243" t="inlineStr">
        <is>
          <t xml:space="preserve">H</t>
        </is>
      </c>
      <c r="C4497" s="244" t="inlineStr">
        <is>
          <t xml:space="preserve">900mm x 2200mm 1-hour fire-rated galvanised steel single-leaf security door assembly (D9)</t>
        </is>
      </c>
      <c r="I4497" s="245" t="inlineStr">
        <is>
          <t xml:space="preserve">nr</t>
        </is>
      </c>
      <c r="K4497" s="256" t="inlineStr">
        <is>
          <t xml:space="preserve">'8TH FLR   '!C125</t>
        </is>
      </c>
    </row>
    <row r="4498">
      <c r="C4498" s="246" t="inlineStr">
        <is>
          <t xml:space="preserve">Eighth floor - W20</t>
        </is>
      </c>
      <c r="H4498" s="247">
        <v>1</v>
      </c>
      <c r="J4498" s="253" t="inlineStr">
        <is>
          <t xml:space="preserve">1</t>
        </is>
      </c>
    </row>
    <row r="4499">
      <c r="C4499" s="250" t="inlineStr">
        <is>
          <t xml:space="preserve">Total carried to BOQ  8TH FLR item H</t>
        </is>
      </c>
      <c r="D4499" s="250" t="inlineStr">
        <is>
          <t xml:space="preserve"/>
        </is>
      </c>
      <c r="E4499" s="250" t="inlineStr">
        <is>
          <t xml:space="preserve"/>
        </is>
      </c>
      <c r="F4499" s="250" t="inlineStr">
        <is>
          <t xml:space="preserve"/>
        </is>
      </c>
      <c r="G4499" s="250" t="inlineStr">
        <is>
          <t xml:space="preserve"/>
        </is>
      </c>
      <c r="H4499" s="251">
        <f>SUM(H4498:H4498)</f>
        <v>1</v>
      </c>
      <c r="I4499" s="252" t="inlineStr">
        <is>
          <t xml:space="preserve">nr</t>
        </is>
      </c>
    </row>
    <row r="4500">
      <c r="A4500" s="243" t="inlineStr">
        <is>
          <t xml:space="preserve">8TH FLR</t>
        </is>
      </c>
      <c r="B4500" s="243" t="inlineStr">
        <is>
          <t xml:space="preserve">J</t>
        </is>
      </c>
      <c r="C4500" s="244" t="inlineStr">
        <is>
          <t xml:space="preserve">1500mm x 2200mm timber bi-fold door (FD1)</t>
        </is>
      </c>
      <c r="I4500" s="245" t="inlineStr">
        <is>
          <t xml:space="preserve">nr</t>
        </is>
      </c>
      <c r="K4500" s="256" t="inlineStr">
        <is>
          <t xml:space="preserve">'8TH FLR   '!C127</t>
        </is>
      </c>
    </row>
    <row r="4501">
      <c r="C4501" s="246" t="inlineStr">
        <is>
          <t xml:space="preserve">Eighth floor - W20</t>
        </is>
      </c>
      <c r="H4501" s="247">
        <v>1</v>
      </c>
      <c r="J4501" s="253" t="inlineStr">
        <is>
          <t xml:space="preserve">1</t>
        </is>
      </c>
    </row>
    <row r="4502">
      <c r="C4502" s="250" t="inlineStr">
        <is>
          <t xml:space="preserve">Total carried to BOQ  8TH FLR item J</t>
        </is>
      </c>
      <c r="D4502" s="250" t="inlineStr">
        <is>
          <t xml:space="preserve"/>
        </is>
      </c>
      <c r="E4502" s="250" t="inlineStr">
        <is>
          <t xml:space="preserve"/>
        </is>
      </c>
      <c r="F4502" s="250" t="inlineStr">
        <is>
          <t xml:space="preserve"/>
        </is>
      </c>
      <c r="G4502" s="250" t="inlineStr">
        <is>
          <t xml:space="preserve"/>
        </is>
      </c>
      <c r="H4502" s="251">
        <f>SUM(H4501:H4501)</f>
        <v>1</v>
      </c>
      <c r="I4502" s="252" t="inlineStr">
        <is>
          <t xml:space="preserve">nr</t>
        </is>
      </c>
    </row>
    <row r="4503">
      <c r="A4503" s="243" t="inlineStr">
        <is>
          <t xml:space="preserve">8TH FLR</t>
        </is>
      </c>
      <c r="B4503" s="243" t="inlineStr">
        <is>
          <t xml:space="preserve">K</t>
        </is>
      </c>
      <c r="C4503" s="244" t="inlineStr">
        <is>
          <t xml:space="preserve">900mm x 2200mm screw-fixed galvanised steel service access panel (M1)</t>
        </is>
      </c>
      <c r="I4503" s="245" t="inlineStr">
        <is>
          <t xml:space="preserve">nr</t>
        </is>
      </c>
      <c r="K4503" s="256" t="inlineStr">
        <is>
          <t xml:space="preserve">'8TH FLR   '!C129</t>
        </is>
      </c>
    </row>
    <row r="4504">
      <c r="C4504" s="246" t="inlineStr">
        <is>
          <t xml:space="preserve">Eighth floor - HW4</t>
        </is>
      </c>
      <c r="H4504" s="247">
        <v>2</v>
      </c>
      <c r="J4504" s="253" t="inlineStr">
        <is>
          <t xml:space="preserve">2</t>
        </is>
      </c>
    </row>
    <row r="4505">
      <c r="C4505" s="250" t="inlineStr">
        <is>
          <t xml:space="preserve">Total carried to BOQ  8TH FLR item K</t>
        </is>
      </c>
      <c r="D4505" s="250" t="inlineStr">
        <is>
          <t xml:space="preserve"/>
        </is>
      </c>
      <c r="E4505" s="250" t="inlineStr">
        <is>
          <t xml:space="preserve"/>
        </is>
      </c>
      <c r="F4505" s="250" t="inlineStr">
        <is>
          <t xml:space="preserve"/>
        </is>
      </c>
      <c r="G4505" s="250" t="inlineStr">
        <is>
          <t xml:space="preserve"/>
        </is>
      </c>
      <c r="H4505" s="251">
        <f>SUM(H4504:H4504)</f>
        <v>2</v>
      </c>
      <c r="I4505" s="252" t="inlineStr">
        <is>
          <t xml:space="preserve">nr</t>
        </is>
      </c>
    </row>
    <row r="4506">
      <c r="A4506" s="243" t="inlineStr">
        <is>
          <t xml:space="preserve">8TH FLR</t>
        </is>
      </c>
      <c r="B4506" s="243" t="inlineStr">
        <is>
          <t xml:space="preserve">L</t>
        </is>
      </c>
      <c r="C4506" s="244" t="inlineStr">
        <is>
          <t xml:space="preserve">750mm x 2200mm screw-fixed galvanised steel service access panel (M2)</t>
        </is>
      </c>
      <c r="I4506" s="245" t="inlineStr">
        <is>
          <t xml:space="preserve">nr</t>
        </is>
      </c>
      <c r="K4506" s="256" t="inlineStr">
        <is>
          <t xml:space="preserve">'8TH FLR   '!C131</t>
        </is>
      </c>
    </row>
    <row r="4507">
      <c r="C4507" s="246" t="inlineStr">
        <is>
          <t xml:space="preserve">Eighth floor - W12</t>
        </is>
      </c>
      <c r="H4507" s="247">
        <v>4</v>
      </c>
      <c r="J4507" s="253" t="inlineStr">
        <is>
          <t xml:space="preserve">4</t>
        </is>
      </c>
    </row>
    <row r="4508">
      <c r="C4508" s="250" t="inlineStr">
        <is>
          <t xml:space="preserve">Total carried to BOQ  8TH FLR item L</t>
        </is>
      </c>
      <c r="D4508" s="250" t="inlineStr">
        <is>
          <t xml:space="preserve"/>
        </is>
      </c>
      <c r="E4508" s="250" t="inlineStr">
        <is>
          <t xml:space="preserve"/>
        </is>
      </c>
      <c r="F4508" s="250" t="inlineStr">
        <is>
          <t xml:space="preserve"/>
        </is>
      </c>
      <c r="G4508" s="250" t="inlineStr">
        <is>
          <t xml:space="preserve"/>
        </is>
      </c>
      <c r="H4508" s="251">
        <f>SUM(H4507:H4507)</f>
        <v>4</v>
      </c>
      <c r="I4508" s="252" t="inlineStr">
        <is>
          <t xml:space="preserve">nr</t>
        </is>
      </c>
    </row>
    <row r="4509">
      <c r="A4509" s="243" t="inlineStr">
        <is>
          <t xml:space="preserve">8TH FLR</t>
        </is>
      </c>
      <c r="B4509" s="243" t="inlineStr">
        <is>
          <t xml:space="preserve">M</t>
        </is>
      </c>
      <c r="C4509" s="244" t="inlineStr">
        <is>
          <t xml:space="preserve">450mm x 2200mm screw-fixed galvanised steel service access panel (M3)</t>
        </is>
      </c>
      <c r="I4509" s="245" t="inlineStr">
        <is>
          <t xml:space="preserve">nr</t>
        </is>
      </c>
      <c r="K4509" s="256" t="inlineStr">
        <is>
          <t xml:space="preserve">'8TH FLR   '!C133</t>
        </is>
      </c>
    </row>
    <row r="4510">
      <c r="C4510" s="246" t="inlineStr">
        <is>
          <t xml:space="preserve">Eighth floor - W20</t>
        </is>
      </c>
      <c r="H4510" s="247">
        <v>1</v>
      </c>
      <c r="J4510" s="253" t="inlineStr">
        <is>
          <t xml:space="preserve">1</t>
        </is>
      </c>
    </row>
    <row r="4511">
      <c r="C4511" s="250" t="inlineStr">
        <is>
          <t xml:space="preserve">Total carried to BOQ  8TH FLR item M</t>
        </is>
      </c>
      <c r="D4511" s="250" t="inlineStr">
        <is>
          <t xml:space="preserve"/>
        </is>
      </c>
      <c r="E4511" s="250" t="inlineStr">
        <is>
          <t xml:space="preserve"/>
        </is>
      </c>
      <c r="F4511" s="250" t="inlineStr">
        <is>
          <t xml:space="preserve"/>
        </is>
      </c>
      <c r="G4511" s="250" t="inlineStr">
        <is>
          <t xml:space="preserve"/>
        </is>
      </c>
      <c r="H4511" s="251">
        <f>SUM(H4510:H4510)</f>
        <v>1</v>
      </c>
      <c r="I4511" s="252" t="inlineStr">
        <is>
          <t xml:space="preserve">nr</t>
        </is>
      </c>
    </row>
    <row r="4512">
      <c r="A4512" s="243" t="inlineStr">
        <is>
          <t xml:space="preserve">8TH FLR</t>
        </is>
      </c>
      <c r="B4512" s="243" t="inlineStr">
        <is>
          <t xml:space="preserve">N</t>
        </is>
      </c>
      <c r="C4512" s="244" t="inlineStr">
        <is>
          <t xml:space="preserve">600mm x 2200mm screw-fixed galvanised steel service access panel (M5)</t>
        </is>
      </c>
      <c r="I4512" s="245" t="inlineStr">
        <is>
          <t xml:space="preserve">nr</t>
        </is>
      </c>
      <c r="K4512" s="256" t="inlineStr">
        <is>
          <t xml:space="preserve">'8TH FLR   '!C135</t>
        </is>
      </c>
    </row>
    <row r="4513">
      <c r="C4513" s="246" t="inlineStr">
        <is>
          <t xml:space="preserve">Eighth floor - W17</t>
        </is>
      </c>
      <c r="H4513" s="247">
        <v>3</v>
      </c>
      <c r="J4513" s="253" t="inlineStr">
        <is>
          <t xml:space="preserve">3</t>
        </is>
      </c>
    </row>
    <row r="4514">
      <c r="C4514" s="250" t="inlineStr">
        <is>
          <t xml:space="preserve">Total carried to BOQ  8TH FLR item N</t>
        </is>
      </c>
      <c r="D4514" s="250" t="inlineStr">
        <is>
          <t xml:space="preserve"/>
        </is>
      </c>
      <c r="E4514" s="250" t="inlineStr">
        <is>
          <t xml:space="preserve"/>
        </is>
      </c>
      <c r="F4514" s="250" t="inlineStr">
        <is>
          <t xml:space="preserve"/>
        </is>
      </c>
      <c r="G4514" s="250" t="inlineStr">
        <is>
          <t xml:space="preserve"/>
        </is>
      </c>
      <c r="H4514" s="251">
        <f>SUM(H4513:H4513)</f>
        <v>3</v>
      </c>
      <c r="I4514" s="252" t="inlineStr">
        <is>
          <t xml:space="preserve">nr</t>
        </is>
      </c>
    </row>
    <row r="4515" ht="32.2" customHeight="1">
      <c r="A4515" s="243" t="inlineStr">
        <is>
          <t xml:space="preserve">8TH FLR</t>
        </is>
      </c>
      <c r="B4515" s="243" t="inlineStr">
        <is>
          <t xml:space="preserve">P</t>
        </is>
      </c>
      <c r="C4515" s="244" t="inlineStr">
        <is>
          <t xml:space="preserve">3000mm x 2200mm 3-panel galvanised steel framed tempered glass sliding door (SD1)</t>
        </is>
      </c>
      <c r="I4515" s="245" t="inlineStr">
        <is>
          <t xml:space="preserve">nr</t>
        </is>
      </c>
      <c r="K4515" s="256" t="inlineStr">
        <is>
          <t xml:space="preserve">'8TH FLR   '!C137</t>
        </is>
      </c>
    </row>
    <row r="4516">
      <c r="C4516" s="246" t="inlineStr">
        <is>
          <t xml:space="preserve">Eighth floor - W20</t>
        </is>
      </c>
      <c r="H4516" s="247">
        <v>1</v>
      </c>
      <c r="J4516" s="253" t="inlineStr">
        <is>
          <t xml:space="preserve">1</t>
        </is>
      </c>
    </row>
    <row r="4517">
      <c r="C4517" s="250" t="inlineStr">
        <is>
          <t xml:space="preserve">Total carried to BOQ  8TH FLR item P</t>
        </is>
      </c>
      <c r="D4517" s="250" t="inlineStr">
        <is>
          <t xml:space="preserve"/>
        </is>
      </c>
      <c r="E4517" s="250" t="inlineStr">
        <is>
          <t xml:space="preserve"/>
        </is>
      </c>
      <c r="F4517" s="250" t="inlineStr">
        <is>
          <t xml:space="preserve"/>
        </is>
      </c>
      <c r="G4517" s="250" t="inlineStr">
        <is>
          <t xml:space="preserve"/>
        </is>
      </c>
      <c r="H4517" s="251">
        <f>SUM(H4516:H4516)</f>
        <v>1</v>
      </c>
      <c r="I4517" s="252" t="inlineStr">
        <is>
          <t xml:space="preserve">nr</t>
        </is>
      </c>
    </row>
    <row r="4518" ht="32.2" customHeight="1">
      <c r="A4518" s="243" t="inlineStr">
        <is>
          <t xml:space="preserve">8TH FLR</t>
        </is>
      </c>
      <c r="B4518" s="243" t="inlineStr">
        <is>
          <t xml:space="preserve">Q</t>
        </is>
      </c>
      <c r="C4518" s="244" t="inlineStr">
        <is>
          <t xml:space="preserve">1600mm x 2200mm 2-panel galvanised steel framed tempered glass sliding door (SD2)</t>
        </is>
      </c>
      <c r="I4518" s="245" t="inlineStr">
        <is>
          <t xml:space="preserve">nr</t>
        </is>
      </c>
      <c r="K4518" s="256" t="inlineStr">
        <is>
          <t xml:space="preserve">'8TH FLR   '!C139</t>
        </is>
      </c>
    </row>
    <row r="4519">
      <c r="C4519" s="246" t="inlineStr">
        <is>
          <t xml:space="preserve">Eighth floor - W12</t>
        </is>
      </c>
      <c r="H4519" s="247">
        <v>4</v>
      </c>
      <c r="J4519" s="253" t="inlineStr">
        <is>
          <t xml:space="preserve">4</t>
        </is>
      </c>
    </row>
    <row r="4520">
      <c r="C4520" s="250" t="inlineStr">
        <is>
          <t xml:space="preserve">Total carried to BOQ  8TH FLR item Q</t>
        </is>
      </c>
      <c r="D4520" s="250" t="inlineStr">
        <is>
          <t xml:space="preserve"/>
        </is>
      </c>
      <c r="E4520" s="250" t="inlineStr">
        <is>
          <t xml:space="preserve"/>
        </is>
      </c>
      <c r="F4520" s="250" t="inlineStr">
        <is>
          <t xml:space="preserve"/>
        </is>
      </c>
      <c r="G4520" s="250" t="inlineStr">
        <is>
          <t xml:space="preserve"/>
        </is>
      </c>
      <c r="H4520" s="251">
        <f>SUM(H4519:H4519)</f>
        <v>4</v>
      </c>
      <c r="I4520" s="252" t="inlineStr">
        <is>
          <t xml:space="preserve">nr</t>
        </is>
      </c>
    </row>
    <row r="4521" ht="32.2" customHeight="1">
      <c r="A4521" s="243" t="inlineStr">
        <is>
          <t xml:space="preserve">8TH FLR</t>
        </is>
      </c>
      <c r="B4521" s="243" t="inlineStr">
        <is>
          <t xml:space="preserve">R</t>
        </is>
      </c>
      <c r="C4521" s="244" t="inlineStr">
        <is>
          <t xml:space="preserve">1300mm x 2200mm 2-panel galvanised steel framed tempered glass sliding door (SD3)</t>
        </is>
      </c>
      <c r="I4521" s="245" t="inlineStr">
        <is>
          <t xml:space="preserve">nr</t>
        </is>
      </c>
      <c r="K4521" s="256" t="inlineStr">
        <is>
          <t xml:space="preserve">'8TH FLR   '!C141</t>
        </is>
      </c>
    </row>
    <row r="4522">
      <c r="C4522" s="246" t="inlineStr">
        <is>
          <t xml:space="preserve">Eighth floor - HW4</t>
        </is>
      </c>
      <c r="H4522" s="247">
        <v>2</v>
      </c>
      <c r="J4522" s="253" t="inlineStr">
        <is>
          <t xml:space="preserve">2</t>
        </is>
      </c>
    </row>
    <row r="4523">
      <c r="C4523" s="250" t="inlineStr">
        <is>
          <t xml:space="preserve">Total carried to BOQ  8TH FLR item R</t>
        </is>
      </c>
      <c r="D4523" s="250" t="inlineStr">
        <is>
          <t xml:space="preserve"/>
        </is>
      </c>
      <c r="E4523" s="250" t="inlineStr">
        <is>
          <t xml:space="preserve"/>
        </is>
      </c>
      <c r="F4523" s="250" t="inlineStr">
        <is>
          <t xml:space="preserve"/>
        </is>
      </c>
      <c r="G4523" s="250" t="inlineStr">
        <is>
          <t xml:space="preserve"/>
        </is>
      </c>
      <c r="H4523" s="251">
        <f>SUM(H4522:H4522)</f>
        <v>2</v>
      </c>
      <c r="I4523" s="252" t="inlineStr">
        <is>
          <t xml:space="preserve">nr</t>
        </is>
      </c>
    </row>
    <row r="4524" ht="32.2" customHeight="1">
      <c r="A4524" s="243" t="inlineStr">
        <is>
          <t xml:space="preserve">8TH FLR</t>
        </is>
      </c>
      <c r="B4524" s="243" t="inlineStr">
        <is>
          <t xml:space="preserve">S</t>
        </is>
      </c>
      <c r="C4524" s="244" t="inlineStr">
        <is>
          <t xml:space="preserve">1800mm x 2200mm 2-panel galvanised steel framed tempered glass sliding door (SD4)</t>
        </is>
      </c>
      <c r="I4524" s="245" t="inlineStr">
        <is>
          <t xml:space="preserve">nr</t>
        </is>
      </c>
      <c r="K4524" s="256" t="inlineStr">
        <is>
          <t xml:space="preserve">'8TH FLR   '!C143</t>
        </is>
      </c>
    </row>
    <row r="4525">
      <c r="C4525" s="246" t="inlineStr">
        <is>
          <t xml:space="preserve">Eighth floor - W12</t>
        </is>
      </c>
      <c r="H4525" s="247">
        <v>4</v>
      </c>
      <c r="J4525" s="253" t="inlineStr">
        <is>
          <t xml:space="preserve">4</t>
        </is>
      </c>
    </row>
    <row r="4526">
      <c r="C4526" s="250" t="inlineStr">
        <is>
          <t xml:space="preserve">Total carried to BOQ  8TH FLR item S</t>
        </is>
      </c>
      <c r="D4526" s="250" t="inlineStr">
        <is>
          <t xml:space="preserve"/>
        </is>
      </c>
      <c r="E4526" s="250" t="inlineStr">
        <is>
          <t xml:space="preserve"/>
        </is>
      </c>
      <c r="F4526" s="250" t="inlineStr">
        <is>
          <t xml:space="preserve"/>
        </is>
      </c>
      <c r="G4526" s="250" t="inlineStr">
        <is>
          <t xml:space="preserve"/>
        </is>
      </c>
      <c r="H4526" s="251">
        <f>SUM(H4525:H4525)</f>
        <v>4</v>
      </c>
      <c r="I4526" s="252" t="inlineStr">
        <is>
          <t xml:space="preserve">nr</t>
        </is>
      </c>
    </row>
    <row r="4527" ht="32.2" customHeight="1">
      <c r="A4527" s="243" t="inlineStr">
        <is>
          <t xml:space="preserve">8TH FLR</t>
        </is>
      </c>
      <c r="B4527" s="243" t="inlineStr">
        <is>
          <t xml:space="preserve">T</t>
        </is>
      </c>
      <c r="C4527" s="244" t="inlineStr">
        <is>
          <t xml:space="preserve">1200mm x 2200mm 2-panel galvanised steel framed tempered glass sliding door (SD5)</t>
        </is>
      </c>
      <c r="I4527" s="245" t="inlineStr">
        <is>
          <t xml:space="preserve">nr</t>
        </is>
      </c>
      <c r="K4527" s="256" t="inlineStr">
        <is>
          <t xml:space="preserve">'8TH FLR   '!C145</t>
        </is>
      </c>
    </row>
    <row r="4528">
      <c r="C4528" s="246" t="inlineStr">
        <is>
          <t xml:space="preserve">Eighth floor - W20</t>
        </is>
      </c>
      <c r="H4528" s="247">
        <v>1</v>
      </c>
      <c r="J4528" s="253" t="inlineStr">
        <is>
          <t xml:space="preserve">1</t>
        </is>
      </c>
    </row>
    <row r="4529">
      <c r="C4529" s="250" t="inlineStr">
        <is>
          <t xml:space="preserve">Total carried to BOQ  8TH FLR item T</t>
        </is>
      </c>
      <c r="D4529" s="250" t="inlineStr">
        <is>
          <t xml:space="preserve"/>
        </is>
      </c>
      <c r="E4529" s="250" t="inlineStr">
        <is>
          <t xml:space="preserve"/>
        </is>
      </c>
      <c r="F4529" s="250" t="inlineStr">
        <is>
          <t xml:space="preserve"/>
        </is>
      </c>
      <c r="G4529" s="250" t="inlineStr">
        <is>
          <t xml:space="preserve"/>
        </is>
      </c>
      <c r="H4529" s="251">
        <f>SUM(H4528:H4528)</f>
        <v>1</v>
      </c>
      <c r="I4529" s="252" t="inlineStr">
        <is>
          <t xml:space="preserve">nr</t>
        </is>
      </c>
    </row>
    <row r="4530">
      <c r="A4530" s="243" t="inlineStr">
        <is>
          <t xml:space="preserve">8TH FLR</t>
        </is>
      </c>
      <c r="B4530" s="243" t="inlineStr">
        <is>
          <t xml:space="preserve">U</t>
        </is>
      </c>
      <c r="C4530" s="244" t="inlineStr">
        <is>
          <t xml:space="preserve">50mm x 150mm frames (to timber doors)</t>
        </is>
      </c>
      <c r="I4530" s="245" t="inlineStr">
        <is>
          <t xml:space="preserve">m</t>
        </is>
      </c>
      <c r="K4530" s="256" t="inlineStr">
        <is>
          <t xml:space="preserve">'8TH FLR   '!C147</t>
        </is>
      </c>
    </row>
    <row r="4531">
      <c r="C4531" s="246" t="inlineStr">
        <is>
          <t xml:space="preserve">Door : nr x (2 x ht + width)</t>
        </is>
      </c>
      <c r="D4531" s="248">
        <v>15</v>
      </c>
      <c r="E4531" s="247">
        <f>2*2.2+0.9</f>
        <v>5.300000000000001</v>
      </c>
      <c r="H4531" s="249">
        <f>PRODUCT(D4531:G4531)</f>
        <v>79.50000000000001</v>
      </c>
      <c r="J4531" s="253" t="inlineStr">
        <is>
          <t xml:space="preserve">15*(2*2.2+0.9)</t>
        </is>
      </c>
    </row>
    <row r="4532">
      <c r="C4532" s="246" t="inlineStr">
        <is>
          <t xml:space="preserve">Door : nr x (2 x ht + width)</t>
        </is>
      </c>
      <c r="D4532" s="248">
        <v>21</v>
      </c>
      <c r="E4532" s="247">
        <f>2*2.2+0.75</f>
        <v>5.15</v>
      </c>
      <c r="H4532" s="249">
        <f>PRODUCT(D4532:G4532)</f>
        <v>108.15</v>
      </c>
      <c r="J4532" s="253" t="inlineStr">
        <is>
          <t xml:space="preserve">21*(2*2.2+0.75)</t>
        </is>
      </c>
    </row>
    <row r="4533">
      <c r="C4533" s="246" t="inlineStr">
        <is>
          <t xml:space="preserve">Door : nr x (2 x ht + width)</t>
        </is>
      </c>
      <c r="D4533" s="248">
        <v>1</v>
      </c>
      <c r="E4533" s="247">
        <f>2*2.2+1.5</f>
        <v>5.9</v>
      </c>
      <c r="H4533" s="249">
        <f>PRODUCT(D4533:G4533)</f>
        <v>5.9</v>
      </c>
      <c r="J4533" s="253" t="inlineStr">
        <is>
          <t xml:space="preserve">1*(2*2.2+1.5)</t>
        </is>
      </c>
    </row>
    <row r="4534">
      <c r="C4534" s="250" t="inlineStr">
        <is>
          <t xml:space="preserve">Total carried to BOQ  8TH FLR item U</t>
        </is>
      </c>
      <c r="D4534" s="250" t="inlineStr">
        <is>
          <t xml:space="preserve"/>
        </is>
      </c>
      <c r="E4534" s="250" t="inlineStr">
        <is>
          <t xml:space="preserve"/>
        </is>
      </c>
      <c r="F4534" s="250" t="inlineStr">
        <is>
          <t xml:space="preserve"/>
        </is>
      </c>
      <c r="G4534" s="250" t="inlineStr">
        <is>
          <t xml:space="preserve"/>
        </is>
      </c>
      <c r="H4534" s="251">
        <f>SUM(H4531:H4533)</f>
        <v>193.55000000000004</v>
      </c>
      <c r="I4534" s="252" t="inlineStr">
        <is>
          <t xml:space="preserve">m</t>
        </is>
      </c>
    </row>
    <row r="4535">
      <c r="A4535" s="243" t="inlineStr">
        <is>
          <t xml:space="preserve">8TH FLR</t>
        </is>
      </c>
      <c r="B4535" s="243" t="inlineStr">
        <is>
          <t xml:space="preserve">V</t>
        </is>
      </c>
      <c r="C4535" s="244" t="inlineStr">
        <is>
          <t xml:space="preserve">50mm x 12mm door stop</t>
        </is>
      </c>
      <c r="I4535" s="245" t="inlineStr">
        <is>
          <t xml:space="preserve">m</t>
        </is>
      </c>
      <c r="K4535" s="256" t="inlineStr">
        <is>
          <t xml:space="preserve">'8TH FLR   '!C149</t>
        </is>
      </c>
    </row>
    <row r="4536">
      <c r="C4536" s="246" t="inlineStr">
        <is>
          <t xml:space="preserve">Door : nr x (2 x ht + width)</t>
        </is>
      </c>
      <c r="D4536" s="248">
        <v>15</v>
      </c>
      <c r="E4536" s="247">
        <f>2*2.2+0.9</f>
        <v>5.300000000000001</v>
      </c>
      <c r="H4536" s="249">
        <f>PRODUCT(D4536:G4536)</f>
        <v>79.50000000000001</v>
      </c>
      <c r="J4536" s="253" t="inlineStr">
        <is>
          <t xml:space="preserve">15*(2*2.2+0.9)</t>
        </is>
      </c>
    </row>
    <row r="4537">
      <c r="C4537" s="246" t="inlineStr">
        <is>
          <t xml:space="preserve">Door : nr x (2 x ht + width)</t>
        </is>
      </c>
      <c r="D4537" s="248">
        <v>21</v>
      </c>
      <c r="E4537" s="247">
        <f>2*2.2+0.75</f>
        <v>5.15</v>
      </c>
      <c r="H4537" s="249">
        <f>PRODUCT(D4537:G4537)</f>
        <v>108.15</v>
      </c>
      <c r="J4537" s="253" t="inlineStr">
        <is>
          <t xml:space="preserve">21*(2*2.2+0.75)</t>
        </is>
      </c>
    </row>
    <row r="4538">
      <c r="C4538" s="246" t="inlineStr">
        <is>
          <t xml:space="preserve">Door : nr x (2 x ht + width)</t>
        </is>
      </c>
      <c r="D4538" s="248">
        <v>1</v>
      </c>
      <c r="E4538" s="247">
        <f>2*2.2+1.5</f>
        <v>5.9</v>
      </c>
      <c r="H4538" s="249">
        <f>PRODUCT(D4538:G4538)</f>
        <v>5.9</v>
      </c>
      <c r="J4538" s="253" t="inlineStr">
        <is>
          <t xml:space="preserve">1*(2*2.2+1.5)</t>
        </is>
      </c>
    </row>
    <row r="4539">
      <c r="C4539" s="250" t="inlineStr">
        <is>
          <t xml:space="preserve">Total carried to BOQ  8TH FLR item V</t>
        </is>
      </c>
      <c r="D4539" s="250" t="inlineStr">
        <is>
          <t xml:space="preserve"/>
        </is>
      </c>
      <c r="E4539" s="250" t="inlineStr">
        <is>
          <t xml:space="preserve"/>
        </is>
      </c>
      <c r="F4539" s="250" t="inlineStr">
        <is>
          <t xml:space="preserve"/>
        </is>
      </c>
      <c r="G4539" s="250" t="inlineStr">
        <is>
          <t xml:space="preserve"/>
        </is>
      </c>
      <c r="H4539" s="251">
        <f>SUM(H4536:H4538)</f>
        <v>193.55000000000004</v>
      </c>
      <c r="I4539" s="252" t="inlineStr">
        <is>
          <t xml:space="preserve">m</t>
        </is>
      </c>
    </row>
    <row r="4540">
      <c r="C4540" s="242" t="inlineStr">
        <is>
          <t xml:space="preserve">Ironmongery - Supply and fix the following approved ironmongery to hardwood with accompanying patented screws:</t>
        </is>
      </c>
    </row>
    <row r="4541">
      <c r="A4541" s="243" t="inlineStr">
        <is>
          <t xml:space="preserve">8TH FLR</t>
        </is>
      </c>
      <c r="B4541" s="243" t="inlineStr">
        <is>
          <t xml:space="preserve">W</t>
        </is>
      </c>
      <c r="C4541" s="244" t="inlineStr">
        <is>
          <t xml:space="preserve">Pair 100mm brass butt hinges</t>
        </is>
      </c>
      <c r="I4541" s="245" t="inlineStr">
        <is>
          <t xml:space="preserve">pr</t>
        </is>
      </c>
      <c r="K4541" s="256" t="inlineStr">
        <is>
          <t xml:space="preserve">'8TH FLR   '!C152</t>
        </is>
      </c>
    </row>
    <row r="4542">
      <c r="C4542" s="246" t="inlineStr">
        <is>
          <t xml:space="preserve">Eighth floor - Timber door leaves x 1.5 pairs</t>
        </is>
      </c>
      <c r="H4542" s="247">
        <v>54</v>
      </c>
      <c r="J4542" s="253" t="inlineStr">
        <is>
          <t xml:space="preserve">54</t>
        </is>
      </c>
    </row>
    <row r="4543">
      <c r="C4543" s="250" t="inlineStr">
        <is>
          <t xml:space="preserve">Total carried to BOQ  8TH FLR item W</t>
        </is>
      </c>
      <c r="D4543" s="250" t="inlineStr">
        <is>
          <t xml:space="preserve"/>
        </is>
      </c>
      <c r="E4543" s="250" t="inlineStr">
        <is>
          <t xml:space="preserve"/>
        </is>
      </c>
      <c r="F4543" s="250" t="inlineStr">
        <is>
          <t xml:space="preserve"/>
        </is>
      </c>
      <c r="G4543" s="250" t="inlineStr">
        <is>
          <t xml:space="preserve"/>
        </is>
      </c>
      <c r="H4543" s="251">
        <f>SUM(H4542:H4542)</f>
        <v>54</v>
      </c>
      <c r="I4543" s="252" t="inlineStr">
        <is>
          <t xml:space="preserve">pr</t>
        </is>
      </c>
    </row>
    <row r="4544">
      <c r="A4544" s="243" t="inlineStr">
        <is>
          <t xml:space="preserve">8TH FLR</t>
        </is>
      </c>
      <c r="B4544" s="243" t="inlineStr">
        <is>
          <t xml:space="preserve">X</t>
        </is>
      </c>
      <c r="C4544" s="244" t="inlineStr">
        <is>
          <t xml:space="preserve">Ordinary locks</t>
        </is>
      </c>
      <c r="I4544" s="245" t="inlineStr">
        <is>
          <t xml:space="preserve">nr</t>
        </is>
      </c>
      <c r="K4544" s="256" t="inlineStr">
        <is>
          <t xml:space="preserve">'8TH FLR   '!C154</t>
        </is>
      </c>
    </row>
    <row r="4545">
      <c r="C4545" s="246" t="inlineStr">
        <is>
          <t xml:space="preserve">Eighth floor - D3/D4 doors</t>
        </is>
      </c>
      <c r="H4545" s="247">
        <v>15</v>
      </c>
      <c r="J4545" s="253" t="inlineStr">
        <is>
          <t xml:space="preserve">15</t>
        </is>
      </c>
    </row>
    <row r="4546">
      <c r="C4546" s="250" t="inlineStr">
        <is>
          <t xml:space="preserve">Total carried to BOQ  8TH FLR item X</t>
        </is>
      </c>
      <c r="D4546" s="250" t="inlineStr">
        <is>
          <t xml:space="preserve"/>
        </is>
      </c>
      <c r="E4546" s="250" t="inlineStr">
        <is>
          <t xml:space="preserve"/>
        </is>
      </c>
      <c r="F4546" s="250" t="inlineStr">
        <is>
          <t xml:space="preserve"/>
        </is>
      </c>
      <c r="G4546" s="250" t="inlineStr">
        <is>
          <t xml:space="preserve"/>
        </is>
      </c>
      <c r="H4546" s="251">
        <f>SUM(H4545:H4545)</f>
        <v>15</v>
      </c>
      <c r="I4546" s="252" t="inlineStr">
        <is>
          <t xml:space="preserve">nr</t>
        </is>
      </c>
    </row>
    <row r="4547">
      <c r="A4547" s="243" t="inlineStr">
        <is>
          <t xml:space="preserve">8TH FLR</t>
        </is>
      </c>
      <c r="B4547" s="243" t="inlineStr">
        <is>
          <t xml:space="preserve">Y</t>
        </is>
      </c>
      <c r="C4547" s="244" t="inlineStr">
        <is>
          <t xml:space="preserve">Approved high quality mortice indicator lock</t>
        </is>
      </c>
      <c r="I4547" s="245" t="inlineStr">
        <is>
          <t xml:space="preserve">nr</t>
        </is>
      </c>
      <c r="K4547" s="256" t="inlineStr">
        <is>
          <t xml:space="preserve">'8TH FLR   '!C156</t>
        </is>
      </c>
    </row>
    <row r="4548">
      <c r="C4548" s="246" t="inlineStr">
        <is>
          <t xml:space="preserve">Eighth floor - D6 doors</t>
        </is>
      </c>
      <c r="H4548" s="247">
        <v>21</v>
      </c>
      <c r="J4548" s="253" t="inlineStr">
        <is>
          <t xml:space="preserve">21</t>
        </is>
      </c>
    </row>
    <row r="4549">
      <c r="C4549" s="250" t="inlineStr">
        <is>
          <t xml:space="preserve">Total carried to BOQ  8TH FLR item Y</t>
        </is>
      </c>
      <c r="D4549" s="250" t="inlineStr">
        <is>
          <t xml:space="preserve"/>
        </is>
      </c>
      <c r="E4549" s="250" t="inlineStr">
        <is>
          <t xml:space="preserve"/>
        </is>
      </c>
      <c r="F4549" s="250" t="inlineStr">
        <is>
          <t xml:space="preserve"/>
        </is>
      </c>
      <c r="G4549" s="250" t="inlineStr">
        <is>
          <t xml:space="preserve"/>
        </is>
      </c>
      <c r="H4549" s="251">
        <f>SUM(H4548:H4548)</f>
        <v>21</v>
      </c>
      <c r="I4549" s="252" t="inlineStr">
        <is>
          <t xml:space="preserve">nr</t>
        </is>
      </c>
    </row>
    <row r="4550">
      <c r="C4550"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4551">
      <c r="A4551" s="243" t="inlineStr">
        <is>
          <t xml:space="preserve">8TH FLR</t>
        </is>
      </c>
      <c r="B4551" s="243" t="inlineStr">
        <is>
          <t xml:space="preserve">Z</t>
        </is>
      </c>
      <c r="C4551" s="244" t="inlineStr">
        <is>
          <t xml:space="preserve">2 bay alu. framed glass sliding window 1800mm x 1300mm (W2)</t>
        </is>
      </c>
      <c r="I4551" s="245" t="inlineStr">
        <is>
          <t xml:space="preserve">nr</t>
        </is>
      </c>
      <c r="K4551" s="256" t="inlineStr">
        <is>
          <t xml:space="preserve">'8TH FLR   '!C161</t>
        </is>
      </c>
    </row>
    <row r="4552">
      <c r="C4552" s="246" t="inlineStr">
        <is>
          <t xml:space="preserve">Eighth floor - W11</t>
        </is>
      </c>
      <c r="H4552" s="247">
        <v>6</v>
      </c>
      <c r="J4552" s="253" t="inlineStr">
        <is>
          <t xml:space="preserve">6</t>
        </is>
      </c>
    </row>
    <row r="4553">
      <c r="C4553" s="250" t="inlineStr">
        <is>
          <t xml:space="preserve">Total carried to BOQ  8TH FLR item Z</t>
        </is>
      </c>
      <c r="D4553" s="250" t="inlineStr">
        <is>
          <t xml:space="preserve"/>
        </is>
      </c>
      <c r="E4553" s="250" t="inlineStr">
        <is>
          <t xml:space="preserve"/>
        </is>
      </c>
      <c r="F4553" s="250" t="inlineStr">
        <is>
          <t xml:space="preserve"/>
        </is>
      </c>
      <c r="G4553" s="250" t="inlineStr">
        <is>
          <t xml:space="preserve"/>
        </is>
      </c>
      <c r="H4553" s="251">
        <f>SUM(H4552:H4552)</f>
        <v>6</v>
      </c>
      <c r="I4553" s="252" t="inlineStr">
        <is>
          <t xml:space="preserve">nr</t>
        </is>
      </c>
    </row>
    <row r="4554">
      <c r="A4554" s="243" t="inlineStr">
        <is>
          <t xml:space="preserve">8TH FLR</t>
        </is>
      </c>
      <c r="B4554" s="243" t="inlineStr">
        <is>
          <t xml:space="preserve">A</t>
        </is>
      </c>
      <c r="C4554" s="244" t="inlineStr">
        <is>
          <t xml:space="preserve">1 bay alu. framed glass awning window 900mm x 1300mm (W4)</t>
        </is>
      </c>
      <c r="I4554" s="245" t="inlineStr">
        <is>
          <t xml:space="preserve">nr</t>
        </is>
      </c>
      <c r="K4554" s="256" t="inlineStr">
        <is>
          <t xml:space="preserve">'8TH FLR   '!C163</t>
        </is>
      </c>
    </row>
    <row r="4555">
      <c r="C4555" s="246" t="inlineStr">
        <is>
          <t xml:space="preserve">Eighth floor - W4</t>
        </is>
      </c>
      <c r="H4555" s="247">
        <v>10</v>
      </c>
      <c r="J4555" s="253" t="inlineStr">
        <is>
          <t xml:space="preserve">10</t>
        </is>
      </c>
    </row>
    <row r="4556">
      <c r="C4556" s="250" t="inlineStr">
        <is>
          <t xml:space="preserve">Total carried to BOQ  8TH FLR item A</t>
        </is>
      </c>
      <c r="D4556" s="250" t="inlineStr">
        <is>
          <t xml:space="preserve"/>
        </is>
      </c>
      <c r="E4556" s="250" t="inlineStr">
        <is>
          <t xml:space="preserve"/>
        </is>
      </c>
      <c r="F4556" s="250" t="inlineStr">
        <is>
          <t xml:space="preserve"/>
        </is>
      </c>
      <c r="G4556" s="250" t="inlineStr">
        <is>
          <t xml:space="preserve"/>
        </is>
      </c>
      <c r="H4556" s="251">
        <f>SUM(H4555:H4555)</f>
        <v>10</v>
      </c>
      <c r="I4556" s="252" t="inlineStr">
        <is>
          <t xml:space="preserve">nr</t>
        </is>
      </c>
    </row>
    <row r="4557">
      <c r="A4557" s="243" t="inlineStr">
        <is>
          <t xml:space="preserve">8TH FLR</t>
        </is>
      </c>
      <c r="B4557" s="243" t="inlineStr">
        <is>
          <t xml:space="preserve">B</t>
        </is>
      </c>
      <c r="C4557" s="244" t="inlineStr">
        <is>
          <t xml:space="preserve">2 bay alu. framed glass sliding window 1800mm x 1600mm (W7)</t>
        </is>
      </c>
      <c r="I4557" s="245" t="inlineStr">
        <is>
          <t xml:space="preserve">nr</t>
        </is>
      </c>
      <c r="K4557" s="256" t="inlineStr">
        <is>
          <t xml:space="preserve">'8TH FLR   '!C165</t>
        </is>
      </c>
    </row>
    <row r="4558">
      <c r="C4558" s="246" t="inlineStr">
        <is>
          <t xml:space="preserve">Eighth floor - HW4</t>
        </is>
      </c>
      <c r="H4558" s="247">
        <v>2</v>
      </c>
      <c r="J4558" s="253" t="inlineStr">
        <is>
          <t xml:space="preserve">2</t>
        </is>
      </c>
    </row>
    <row r="4559">
      <c r="C4559" s="250" t="inlineStr">
        <is>
          <t xml:space="preserve">Total carried to BOQ  8TH FLR item B</t>
        </is>
      </c>
      <c r="D4559" s="250" t="inlineStr">
        <is>
          <t xml:space="preserve"/>
        </is>
      </c>
      <c r="E4559" s="250" t="inlineStr">
        <is>
          <t xml:space="preserve"/>
        </is>
      </c>
      <c r="F4559" s="250" t="inlineStr">
        <is>
          <t xml:space="preserve"/>
        </is>
      </c>
      <c r="G4559" s="250" t="inlineStr">
        <is>
          <t xml:space="preserve"/>
        </is>
      </c>
      <c r="H4559" s="251">
        <f>SUM(H4558:H4558)</f>
        <v>2</v>
      </c>
      <c r="I4559" s="252" t="inlineStr">
        <is>
          <t xml:space="preserve">nr</t>
        </is>
      </c>
    </row>
    <row r="4560">
      <c r="A4560" s="243" t="inlineStr">
        <is>
          <t xml:space="preserve">8TH FLR</t>
        </is>
      </c>
      <c r="B4560" s="243" t="inlineStr">
        <is>
          <t xml:space="preserve">C</t>
        </is>
      </c>
      <c r="C4560" s="244" t="inlineStr">
        <is>
          <t xml:space="preserve">1 x 3 bay alu. framed glass awning window 1200mm x 1900mm (W8)</t>
        </is>
      </c>
      <c r="I4560" s="245" t="inlineStr">
        <is>
          <t xml:space="preserve">nr</t>
        </is>
      </c>
      <c r="K4560" s="256" t="inlineStr">
        <is>
          <t xml:space="preserve">'8TH FLR   '!C167</t>
        </is>
      </c>
    </row>
    <row r="4561">
      <c r="C4561" s="246" t="inlineStr">
        <is>
          <t xml:space="preserve">Eighth floor - W17</t>
        </is>
      </c>
      <c r="H4561" s="247">
        <v>3</v>
      </c>
      <c r="J4561" s="253" t="inlineStr">
        <is>
          <t xml:space="preserve">3</t>
        </is>
      </c>
    </row>
    <row r="4562">
      <c r="C4562" s="250" t="inlineStr">
        <is>
          <t xml:space="preserve">Total carried to BOQ  8TH FLR item C</t>
        </is>
      </c>
      <c r="D4562" s="250" t="inlineStr">
        <is>
          <t xml:space="preserve"/>
        </is>
      </c>
      <c r="E4562" s="250" t="inlineStr">
        <is>
          <t xml:space="preserve"/>
        </is>
      </c>
      <c r="F4562" s="250" t="inlineStr">
        <is>
          <t xml:space="preserve"/>
        </is>
      </c>
      <c r="G4562" s="250" t="inlineStr">
        <is>
          <t xml:space="preserve"/>
        </is>
      </c>
      <c r="H4562" s="251">
        <f>SUM(H4561:H4561)</f>
        <v>3</v>
      </c>
      <c r="I4562" s="252" t="inlineStr">
        <is>
          <t xml:space="preserve">nr</t>
        </is>
      </c>
    </row>
    <row r="4563">
      <c r="A4563" s="243" t="inlineStr">
        <is>
          <t xml:space="preserve">8TH FLR</t>
        </is>
      </c>
      <c r="B4563" s="243" t="inlineStr">
        <is>
          <t xml:space="preserve">D</t>
        </is>
      </c>
      <c r="C4563" s="244" t="inlineStr">
        <is>
          <t xml:space="preserve">2 bay alu. framed glass sliding window 1200mm x 1150mm (W9)</t>
        </is>
      </c>
      <c r="I4563" s="245" t="inlineStr">
        <is>
          <t xml:space="preserve">nr</t>
        </is>
      </c>
      <c r="K4563" s="256" t="inlineStr">
        <is>
          <t xml:space="preserve">'8TH FLR   '!C169</t>
        </is>
      </c>
    </row>
    <row r="4564">
      <c r="C4564" s="246" t="inlineStr">
        <is>
          <t xml:space="preserve">Eighth floor - W9</t>
        </is>
      </c>
      <c r="H4564" s="247">
        <v>8</v>
      </c>
      <c r="J4564" s="253" t="inlineStr">
        <is>
          <t xml:space="preserve">8</t>
        </is>
      </c>
    </row>
    <row r="4565">
      <c r="C4565" s="250" t="inlineStr">
        <is>
          <t xml:space="preserve">Total carried to BOQ  8TH FLR item D</t>
        </is>
      </c>
      <c r="D4565" s="250" t="inlineStr">
        <is>
          <t xml:space="preserve"/>
        </is>
      </c>
      <c r="E4565" s="250" t="inlineStr">
        <is>
          <t xml:space="preserve"/>
        </is>
      </c>
      <c r="F4565" s="250" t="inlineStr">
        <is>
          <t xml:space="preserve"/>
        </is>
      </c>
      <c r="G4565" s="250" t="inlineStr">
        <is>
          <t xml:space="preserve"/>
        </is>
      </c>
      <c r="H4565" s="251">
        <f>SUM(H4564:H4564)</f>
        <v>8</v>
      </c>
      <c r="I4565" s="252" t="inlineStr">
        <is>
          <t xml:space="preserve">nr</t>
        </is>
      </c>
    </row>
    <row r="4566">
      <c r="A4566" s="243" t="inlineStr">
        <is>
          <t xml:space="preserve">8TH FLR</t>
        </is>
      </c>
      <c r="B4566" s="243" t="inlineStr">
        <is>
          <t xml:space="preserve">E</t>
        </is>
      </c>
      <c r="C4566" s="244" t="inlineStr">
        <is>
          <t xml:space="preserve">2 bay alu. framed glass sliding window 1200mm x 1200mm (W10)</t>
        </is>
      </c>
      <c r="I4566" s="245" t="inlineStr">
        <is>
          <t xml:space="preserve">nr</t>
        </is>
      </c>
      <c r="K4566" s="256" t="inlineStr">
        <is>
          <t xml:space="preserve">'8TH FLR   '!C171</t>
        </is>
      </c>
    </row>
    <row r="4567">
      <c r="C4567" s="246" t="inlineStr">
        <is>
          <t xml:space="preserve">Eighth floor - W20</t>
        </is>
      </c>
      <c r="H4567" s="247">
        <v>1</v>
      </c>
      <c r="J4567" s="253" t="inlineStr">
        <is>
          <t xml:space="preserve">1</t>
        </is>
      </c>
    </row>
    <row r="4568">
      <c r="C4568" s="250" t="inlineStr">
        <is>
          <t xml:space="preserve">Total carried to BOQ  8TH FLR item E</t>
        </is>
      </c>
      <c r="D4568" s="250" t="inlineStr">
        <is>
          <t xml:space="preserve"/>
        </is>
      </c>
      <c r="E4568" s="250" t="inlineStr">
        <is>
          <t xml:space="preserve"/>
        </is>
      </c>
      <c r="F4568" s="250" t="inlineStr">
        <is>
          <t xml:space="preserve"/>
        </is>
      </c>
      <c r="G4568" s="250" t="inlineStr">
        <is>
          <t xml:space="preserve"/>
        </is>
      </c>
      <c r="H4568" s="251">
        <f>SUM(H4567:H4567)</f>
        <v>1</v>
      </c>
      <c r="I4568" s="252" t="inlineStr">
        <is>
          <t xml:space="preserve">nr</t>
        </is>
      </c>
    </row>
    <row r="4569">
      <c r="A4569" s="243" t="inlineStr">
        <is>
          <t xml:space="preserve">8TH FLR</t>
        </is>
      </c>
      <c r="B4569" s="243" t="inlineStr">
        <is>
          <t xml:space="preserve">F</t>
        </is>
      </c>
      <c r="C4569" s="244" t="inlineStr">
        <is>
          <t xml:space="preserve">2 bay alu. framed glass sliding window 1500mm x 1300mm (W11)</t>
        </is>
      </c>
      <c r="I4569" s="245" t="inlineStr">
        <is>
          <t xml:space="preserve">nr</t>
        </is>
      </c>
      <c r="K4569" s="256" t="inlineStr">
        <is>
          <t xml:space="preserve">'8TH FLR   '!C173</t>
        </is>
      </c>
    </row>
    <row r="4570">
      <c r="C4570" s="246" t="inlineStr">
        <is>
          <t xml:space="preserve">Eighth floor - W11</t>
        </is>
      </c>
      <c r="H4570" s="247">
        <v>6</v>
      </c>
      <c r="J4570" s="253" t="inlineStr">
        <is>
          <t xml:space="preserve">6</t>
        </is>
      </c>
    </row>
    <row r="4571">
      <c r="C4571" s="250" t="inlineStr">
        <is>
          <t xml:space="preserve">Total carried to BOQ  8TH FLR item F</t>
        </is>
      </c>
      <c r="D4571" s="250" t="inlineStr">
        <is>
          <t xml:space="preserve"/>
        </is>
      </c>
      <c r="E4571" s="250" t="inlineStr">
        <is>
          <t xml:space="preserve"/>
        </is>
      </c>
      <c r="F4571" s="250" t="inlineStr">
        <is>
          <t xml:space="preserve"/>
        </is>
      </c>
      <c r="G4571" s="250" t="inlineStr">
        <is>
          <t xml:space="preserve"/>
        </is>
      </c>
      <c r="H4571" s="251">
        <f>SUM(H4570:H4570)</f>
        <v>6</v>
      </c>
      <c r="I4571" s="252" t="inlineStr">
        <is>
          <t xml:space="preserve">nr</t>
        </is>
      </c>
    </row>
    <row r="4572">
      <c r="A4572" s="243" t="inlineStr">
        <is>
          <t xml:space="preserve">8TH FLR</t>
        </is>
      </c>
      <c r="B4572" s="243" t="inlineStr">
        <is>
          <t xml:space="preserve">G</t>
        </is>
      </c>
      <c r="C4572" s="244" t="inlineStr">
        <is>
          <t xml:space="preserve">2 bay alu. framed glass sliding window 1500mm x 1150mm (W12)</t>
        </is>
      </c>
      <c r="I4572" s="245" t="inlineStr">
        <is>
          <t xml:space="preserve">nr</t>
        </is>
      </c>
      <c r="K4572" s="256" t="inlineStr">
        <is>
          <t xml:space="preserve">'8TH FLR   '!C175</t>
        </is>
      </c>
    </row>
    <row r="4573">
      <c r="C4573" s="246" t="inlineStr">
        <is>
          <t xml:space="preserve">Eighth floor - W12</t>
        </is>
      </c>
      <c r="H4573" s="247">
        <v>4</v>
      </c>
      <c r="J4573" s="253" t="inlineStr">
        <is>
          <t xml:space="preserve">4</t>
        </is>
      </c>
    </row>
    <row r="4574">
      <c r="C4574" s="250" t="inlineStr">
        <is>
          <t xml:space="preserve">Total carried to BOQ  8TH FLR item G</t>
        </is>
      </c>
      <c r="D4574" s="250" t="inlineStr">
        <is>
          <t xml:space="preserve"/>
        </is>
      </c>
      <c r="E4574" s="250" t="inlineStr">
        <is>
          <t xml:space="preserve"/>
        </is>
      </c>
      <c r="F4574" s="250" t="inlineStr">
        <is>
          <t xml:space="preserve"/>
        </is>
      </c>
      <c r="G4574" s="250" t="inlineStr">
        <is>
          <t xml:space="preserve"/>
        </is>
      </c>
      <c r="H4574" s="251">
        <f>SUM(H4573:H4573)</f>
        <v>4</v>
      </c>
      <c r="I4574" s="252" t="inlineStr">
        <is>
          <t xml:space="preserve">nr</t>
        </is>
      </c>
    </row>
    <row r="4575">
      <c r="A4575" s="243" t="inlineStr">
        <is>
          <t xml:space="preserve">8TH FLR</t>
        </is>
      </c>
      <c r="B4575" s="243" t="inlineStr">
        <is>
          <t xml:space="preserve">H</t>
        </is>
      </c>
      <c r="C4575" s="244" t="inlineStr">
        <is>
          <t xml:space="preserve">3 bay alu. framed glass awning window 2400mm x 1300mm (W13)</t>
        </is>
      </c>
      <c r="I4575" s="245" t="inlineStr">
        <is>
          <t xml:space="preserve">nr</t>
        </is>
      </c>
      <c r="K4575" s="256" t="inlineStr">
        <is>
          <t xml:space="preserve">'8TH FLR   '!C177</t>
        </is>
      </c>
    </row>
    <row r="4576">
      <c r="C4576" s="246" t="inlineStr">
        <is>
          <t xml:space="preserve">Eighth floor - W20</t>
        </is>
      </c>
      <c r="H4576" s="247">
        <v>1</v>
      </c>
      <c r="J4576" s="253" t="inlineStr">
        <is>
          <t xml:space="preserve">1</t>
        </is>
      </c>
    </row>
    <row r="4577">
      <c r="C4577" s="250" t="inlineStr">
        <is>
          <t xml:space="preserve">Total carried to BOQ  8TH FLR item H</t>
        </is>
      </c>
      <c r="D4577" s="250" t="inlineStr">
        <is>
          <t xml:space="preserve"/>
        </is>
      </c>
      <c r="E4577" s="250" t="inlineStr">
        <is>
          <t xml:space="preserve"/>
        </is>
      </c>
      <c r="F4577" s="250" t="inlineStr">
        <is>
          <t xml:space="preserve"/>
        </is>
      </c>
      <c r="G4577" s="250" t="inlineStr">
        <is>
          <t xml:space="preserve"/>
        </is>
      </c>
      <c r="H4577" s="251">
        <f>SUM(H4576:H4576)</f>
        <v>1</v>
      </c>
      <c r="I4577" s="252" t="inlineStr">
        <is>
          <t xml:space="preserve">nr</t>
        </is>
      </c>
    </row>
    <row r="4578">
      <c r="A4578" s="243" t="inlineStr">
        <is>
          <t xml:space="preserve">8TH FLR</t>
        </is>
      </c>
      <c r="B4578" s="243" t="inlineStr">
        <is>
          <t xml:space="preserve">J</t>
        </is>
      </c>
      <c r="C4578" s="244" t="inlineStr">
        <is>
          <t xml:space="preserve">3 bay alu. framed glass sliding window 3000mm x 1600mm (W15)</t>
        </is>
      </c>
      <c r="I4578" s="245" t="inlineStr">
        <is>
          <t xml:space="preserve">nr</t>
        </is>
      </c>
      <c r="K4578" s="256" t="inlineStr">
        <is>
          <t xml:space="preserve">'8TH FLR   '!C179</t>
        </is>
      </c>
    </row>
    <row r="4579">
      <c r="C4579" s="246" t="inlineStr">
        <is>
          <t xml:space="preserve">Eighth floor - W20</t>
        </is>
      </c>
      <c r="H4579" s="247">
        <v>1</v>
      </c>
      <c r="J4579" s="253" t="inlineStr">
        <is>
          <t xml:space="preserve">1</t>
        </is>
      </c>
    </row>
    <row r="4580">
      <c r="C4580" s="250" t="inlineStr">
        <is>
          <t xml:space="preserve">Total carried to BOQ  8TH FLR item J</t>
        </is>
      </c>
      <c r="D4580" s="250" t="inlineStr">
        <is>
          <t xml:space="preserve"/>
        </is>
      </c>
      <c r="E4580" s="250" t="inlineStr">
        <is>
          <t xml:space="preserve"/>
        </is>
      </c>
      <c r="F4580" s="250" t="inlineStr">
        <is>
          <t xml:space="preserve"/>
        </is>
      </c>
      <c r="G4580" s="250" t="inlineStr">
        <is>
          <t xml:space="preserve"/>
        </is>
      </c>
      <c r="H4580" s="251">
        <f>SUM(H4579:H4579)</f>
        <v>1</v>
      </c>
      <c r="I4580" s="252" t="inlineStr">
        <is>
          <t xml:space="preserve">nr</t>
        </is>
      </c>
    </row>
    <row r="4581">
      <c r="A4581" s="243" t="inlineStr">
        <is>
          <t xml:space="preserve">8TH FLR</t>
        </is>
      </c>
      <c r="B4581" s="243" t="inlineStr">
        <is>
          <t xml:space="preserve">K</t>
        </is>
      </c>
      <c r="C4581" s="244" t="inlineStr">
        <is>
          <t xml:space="preserve">2 x 3 alu. framed glass awning window 1800mm x 1900mm (W17)</t>
        </is>
      </c>
      <c r="I4581" s="245" t="inlineStr">
        <is>
          <t xml:space="preserve">nr</t>
        </is>
      </c>
      <c r="K4581" s="256" t="inlineStr">
        <is>
          <t xml:space="preserve">'8TH FLR   '!C181</t>
        </is>
      </c>
    </row>
    <row r="4582">
      <c r="C4582" s="246" t="inlineStr">
        <is>
          <t xml:space="preserve">Eighth floor - W17</t>
        </is>
      </c>
      <c r="H4582" s="247">
        <v>3</v>
      </c>
      <c r="J4582" s="253" t="inlineStr">
        <is>
          <t xml:space="preserve">3</t>
        </is>
      </c>
    </row>
    <row r="4583">
      <c r="C4583" s="250" t="inlineStr">
        <is>
          <t xml:space="preserve">Total carried to BOQ  8TH FLR item K</t>
        </is>
      </c>
      <c r="D4583" s="250" t="inlineStr">
        <is>
          <t xml:space="preserve"/>
        </is>
      </c>
      <c r="E4583" s="250" t="inlineStr">
        <is>
          <t xml:space="preserve"/>
        </is>
      </c>
      <c r="F4583" s="250" t="inlineStr">
        <is>
          <t xml:space="preserve"/>
        </is>
      </c>
      <c r="G4583" s="250" t="inlineStr">
        <is>
          <t xml:space="preserve"/>
        </is>
      </c>
      <c r="H4583" s="251">
        <f>SUM(H4582:H4582)</f>
        <v>3</v>
      </c>
      <c r="I4583" s="252" t="inlineStr">
        <is>
          <t xml:space="preserve">nr</t>
        </is>
      </c>
    </row>
    <row r="4584">
      <c r="A4584" s="243" t="inlineStr">
        <is>
          <t xml:space="preserve">8TH FLR</t>
        </is>
      </c>
      <c r="B4584" s="243" t="inlineStr">
        <is>
          <t xml:space="preserve">L</t>
        </is>
      </c>
      <c r="C4584" s="244" t="inlineStr">
        <is>
          <t xml:space="preserve">1 bay alu. framed glass awning window 750mm x 1300mm (W18)</t>
        </is>
      </c>
      <c r="I4584" s="245" t="inlineStr">
        <is>
          <t xml:space="preserve">nr</t>
        </is>
      </c>
      <c r="K4584" s="256" t="inlineStr">
        <is>
          <t xml:space="preserve">'8TH FLR   '!C183</t>
        </is>
      </c>
    </row>
    <row r="4585">
      <c r="C4585" s="246" t="inlineStr">
        <is>
          <t xml:space="preserve">Eighth floor - W20</t>
        </is>
      </c>
      <c r="H4585" s="247">
        <v>1</v>
      </c>
      <c r="J4585" s="253" t="inlineStr">
        <is>
          <t xml:space="preserve">1</t>
        </is>
      </c>
    </row>
    <row r="4586">
      <c r="C4586" s="250" t="inlineStr">
        <is>
          <t xml:space="preserve">Total carried to BOQ  8TH FLR item L</t>
        </is>
      </c>
      <c r="D4586" s="250" t="inlineStr">
        <is>
          <t xml:space="preserve"/>
        </is>
      </c>
      <c r="E4586" s="250" t="inlineStr">
        <is>
          <t xml:space="preserve"/>
        </is>
      </c>
      <c r="F4586" s="250" t="inlineStr">
        <is>
          <t xml:space="preserve"/>
        </is>
      </c>
      <c r="G4586" s="250" t="inlineStr">
        <is>
          <t xml:space="preserve"/>
        </is>
      </c>
      <c r="H4586" s="251">
        <f>SUM(H4585:H4585)</f>
        <v>1</v>
      </c>
      <c r="I4586" s="252" t="inlineStr">
        <is>
          <t xml:space="preserve">nr</t>
        </is>
      </c>
    </row>
    <row r="4587">
      <c r="A4587" s="243" t="inlineStr">
        <is>
          <t xml:space="preserve">8TH FLR</t>
        </is>
      </c>
      <c r="B4587" s="243" t="inlineStr">
        <is>
          <t xml:space="preserve">M</t>
        </is>
      </c>
      <c r="C4587" s="244" t="inlineStr">
        <is>
          <t xml:space="preserve">2 x 3 alu. framed glass awning window 1450mm x 1900mm (W20)</t>
        </is>
      </c>
      <c r="I4587" s="245" t="inlineStr">
        <is>
          <t xml:space="preserve">nr</t>
        </is>
      </c>
      <c r="K4587" s="256" t="inlineStr">
        <is>
          <t xml:space="preserve">'8TH FLR   '!C185</t>
        </is>
      </c>
    </row>
    <row r="4588">
      <c r="C4588" s="246" t="inlineStr">
        <is>
          <t xml:space="preserve">Eighth floor - W20</t>
        </is>
      </c>
      <c r="H4588" s="247">
        <v>1</v>
      </c>
      <c r="J4588" s="253" t="inlineStr">
        <is>
          <t xml:space="preserve">1</t>
        </is>
      </c>
    </row>
    <row r="4589">
      <c r="C4589" s="250" t="inlineStr">
        <is>
          <t xml:space="preserve">Total carried to BOQ  8TH FLR item M</t>
        </is>
      </c>
      <c r="D4589" s="250" t="inlineStr">
        <is>
          <t xml:space="preserve"/>
        </is>
      </c>
      <c r="E4589" s="250" t="inlineStr">
        <is>
          <t xml:space="preserve"/>
        </is>
      </c>
      <c r="F4589" s="250" t="inlineStr">
        <is>
          <t xml:space="preserve"/>
        </is>
      </c>
      <c r="G4589" s="250" t="inlineStr">
        <is>
          <t xml:space="preserve"/>
        </is>
      </c>
      <c r="H4589" s="251">
        <f>SUM(H4588:H4588)</f>
        <v>1</v>
      </c>
      <c r="I4589" s="252" t="inlineStr">
        <is>
          <t xml:space="preserve">nr</t>
        </is>
      </c>
    </row>
    <row r="4590">
      <c r="A4590" s="243" t="inlineStr">
        <is>
          <t xml:space="preserve">8TH FLR</t>
        </is>
      </c>
      <c r="B4590" s="243" t="inlineStr">
        <is>
          <t xml:space="preserve">N</t>
        </is>
      </c>
      <c r="C4590" s="244" t="inlineStr">
        <is>
          <t xml:space="preserve">2 bay alu. framed glass sliding window 900mm x 600mm (HW1)</t>
        </is>
      </c>
      <c r="I4590" s="245" t="inlineStr">
        <is>
          <t xml:space="preserve">nr</t>
        </is>
      </c>
      <c r="K4590" s="256" t="inlineStr">
        <is>
          <t xml:space="preserve">'8TH FLR   '!C187</t>
        </is>
      </c>
    </row>
    <row r="4591">
      <c r="C4591" s="246" t="inlineStr">
        <is>
          <t xml:space="preserve">Eighth floor - HW1</t>
        </is>
      </c>
      <c r="H4591" s="247">
        <v>13</v>
      </c>
      <c r="J4591" s="253" t="inlineStr">
        <is>
          <t xml:space="preserve">13</t>
        </is>
      </c>
    </row>
    <row r="4592">
      <c r="C4592" s="250" t="inlineStr">
        <is>
          <t xml:space="preserve">Total carried to BOQ  8TH FLR item N</t>
        </is>
      </c>
      <c r="D4592" s="250" t="inlineStr">
        <is>
          <t xml:space="preserve"/>
        </is>
      </c>
      <c r="E4592" s="250" t="inlineStr">
        <is>
          <t xml:space="preserve"/>
        </is>
      </c>
      <c r="F4592" s="250" t="inlineStr">
        <is>
          <t xml:space="preserve"/>
        </is>
      </c>
      <c r="G4592" s="250" t="inlineStr">
        <is>
          <t xml:space="preserve"/>
        </is>
      </c>
      <c r="H4592" s="251">
        <f>SUM(H4591:H4591)</f>
        <v>13</v>
      </c>
      <c r="I4592" s="252" t="inlineStr">
        <is>
          <t xml:space="preserve">nr</t>
        </is>
      </c>
    </row>
    <row r="4593">
      <c r="A4593" s="243" t="inlineStr">
        <is>
          <t xml:space="preserve">8TH FLR</t>
        </is>
      </c>
      <c r="B4593" s="243" t="inlineStr">
        <is>
          <t xml:space="preserve">P</t>
        </is>
      </c>
      <c r="C4593" s="244" t="inlineStr">
        <is>
          <t xml:space="preserve">2 bay alu. framed glass sliding window 750mm x 600mm (HW2)</t>
        </is>
      </c>
      <c r="I4593" s="245" t="inlineStr">
        <is>
          <t xml:space="preserve">nr</t>
        </is>
      </c>
      <c r="K4593" s="256" t="inlineStr">
        <is>
          <t xml:space="preserve">'8TH FLR   '!C189</t>
        </is>
      </c>
    </row>
    <row r="4594">
      <c r="C4594" s="246" t="inlineStr">
        <is>
          <t xml:space="preserve">Eighth floor - HW2</t>
        </is>
      </c>
      <c r="H4594" s="247">
        <v>5</v>
      </c>
      <c r="J4594" s="253" t="inlineStr">
        <is>
          <t xml:space="preserve">5</t>
        </is>
      </c>
    </row>
    <row r="4595">
      <c r="C4595" s="250" t="inlineStr">
        <is>
          <t xml:space="preserve">Total carried to BOQ  8TH FLR item P</t>
        </is>
      </c>
      <c r="D4595" s="250" t="inlineStr">
        <is>
          <t xml:space="preserve"/>
        </is>
      </c>
      <c r="E4595" s="250" t="inlineStr">
        <is>
          <t xml:space="preserve"/>
        </is>
      </c>
      <c r="F4595" s="250" t="inlineStr">
        <is>
          <t xml:space="preserve"/>
        </is>
      </c>
      <c r="G4595" s="250" t="inlineStr">
        <is>
          <t xml:space="preserve"/>
        </is>
      </c>
      <c r="H4595" s="251">
        <f>SUM(H4594:H4594)</f>
        <v>5</v>
      </c>
      <c r="I4595" s="252" t="inlineStr">
        <is>
          <t xml:space="preserve">nr</t>
        </is>
      </c>
    </row>
    <row r="4596">
      <c r="A4596" s="243" t="inlineStr">
        <is>
          <t xml:space="preserve">8TH FLR</t>
        </is>
      </c>
      <c r="B4596" s="243" t="inlineStr">
        <is>
          <t xml:space="preserve">Q</t>
        </is>
      </c>
      <c r="C4596" s="244" t="inlineStr">
        <is>
          <t xml:space="preserve">2 bay alu. framed glass sliding window 600mm x 600mm (HW3)</t>
        </is>
      </c>
      <c r="I4596" s="245" t="inlineStr">
        <is>
          <t xml:space="preserve">nr</t>
        </is>
      </c>
      <c r="K4596" s="256" t="inlineStr">
        <is>
          <t xml:space="preserve">'8TH FLR   '!C191</t>
        </is>
      </c>
    </row>
    <row r="4597">
      <c r="C4597" s="246" t="inlineStr">
        <is>
          <t xml:space="preserve">Eighth floor - HW4</t>
        </is>
      </c>
      <c r="H4597" s="247">
        <v>2</v>
      </c>
      <c r="J4597" s="253" t="inlineStr">
        <is>
          <t xml:space="preserve">2</t>
        </is>
      </c>
    </row>
    <row r="4598">
      <c r="C4598" s="250" t="inlineStr">
        <is>
          <t xml:space="preserve">Total carried to BOQ  8TH FLR item Q</t>
        </is>
      </c>
      <c r="D4598" s="250" t="inlineStr">
        <is>
          <t xml:space="preserve"/>
        </is>
      </c>
      <c r="E4598" s="250" t="inlineStr">
        <is>
          <t xml:space="preserve"/>
        </is>
      </c>
      <c r="F4598" s="250" t="inlineStr">
        <is>
          <t xml:space="preserve"/>
        </is>
      </c>
      <c r="G4598" s="250" t="inlineStr">
        <is>
          <t xml:space="preserve"/>
        </is>
      </c>
      <c r="H4598" s="251">
        <f>SUM(H4597:H4597)</f>
        <v>2</v>
      </c>
      <c r="I4598" s="252" t="inlineStr">
        <is>
          <t xml:space="preserve">nr</t>
        </is>
      </c>
    </row>
    <row r="4599">
      <c r="A4599" s="243" t="inlineStr">
        <is>
          <t xml:space="preserve">8TH FLR</t>
        </is>
      </c>
      <c r="B4599" s="243" t="inlineStr">
        <is>
          <t xml:space="preserve">R</t>
        </is>
      </c>
      <c r="C4599" s="244" t="inlineStr">
        <is>
          <t xml:space="preserve">2 bay alu. framed glass sliding window 1200mm x 600mm (HW4)</t>
        </is>
      </c>
      <c r="I4599" s="245" t="inlineStr">
        <is>
          <t xml:space="preserve">nr</t>
        </is>
      </c>
      <c r="K4599" s="256" t="inlineStr">
        <is>
          <t xml:space="preserve">'8TH FLR   '!C193</t>
        </is>
      </c>
    </row>
    <row r="4600">
      <c r="C4600" s="246" t="inlineStr">
        <is>
          <t xml:space="preserve">Eighth floor - HW4</t>
        </is>
      </c>
      <c r="H4600" s="247">
        <v>2</v>
      </c>
      <c r="J4600" s="253" t="inlineStr">
        <is>
          <t xml:space="preserve">2</t>
        </is>
      </c>
    </row>
    <row r="4601">
      <c r="C4601" s="250" t="inlineStr">
        <is>
          <t xml:space="preserve">Total carried to BOQ  8TH FLR item R</t>
        </is>
      </c>
      <c r="D4601" s="250" t="inlineStr">
        <is>
          <t xml:space="preserve"/>
        </is>
      </c>
      <c r="E4601" s="250" t="inlineStr">
        <is>
          <t xml:space="preserve"/>
        </is>
      </c>
      <c r="F4601" s="250" t="inlineStr">
        <is>
          <t xml:space="preserve"/>
        </is>
      </c>
      <c r="G4601" s="250" t="inlineStr">
        <is>
          <t xml:space="preserve"/>
        </is>
      </c>
      <c r="H4601" s="251">
        <f>SUM(H4600:H4600)</f>
        <v>2</v>
      </c>
      <c r="I4601" s="252" t="inlineStr">
        <is>
          <t xml:space="preserve">nr</t>
        </is>
      </c>
    </row>
    <row r="4602">
      <c r="C4602" s="242" t="inlineStr">
        <is>
          <t xml:space="preserve">ELEMENT NO. 5: FLOOR FINISHES</t>
        </is>
      </c>
    </row>
    <row r="4603">
      <c r="C4603" s="242" t="inlineStr">
        <is>
          <t xml:space="preserve">M10/M40 FLOOR FINISHES</t>
        </is>
      </c>
    </row>
    <row r="4604" ht="32.2" customHeight="1">
      <c r="A4604" s="243" t="inlineStr">
        <is>
          <t xml:space="preserve">8TH FLR</t>
        </is>
      </c>
      <c r="B4604" s="243" t="inlineStr">
        <is>
          <t xml:space="preserve">A</t>
        </is>
      </c>
      <c r="C4604" s="244" t="inlineStr">
        <is>
          <t xml:space="preserve">25mm cement and sand (1:3) screeded finish laid level on concrete and finished smooth with steel trowel</t>
        </is>
      </c>
      <c r="I4604" s="245" t="inlineStr">
        <is>
          <t xml:space="preserve">m2</t>
        </is>
      </c>
      <c r="K4604" s="256" t="inlineStr">
        <is>
          <t xml:space="preserve">'8TH FLR   '!C201</t>
        </is>
      </c>
    </row>
    <row r="4605">
      <c r="C4605" s="246" t="inlineStr">
        <is>
          <t xml:space="preserve">Eighth floor - Tiled floor areas (measured)</t>
        </is>
      </c>
      <c r="H4605" s="247">
        <v>862.9</v>
      </c>
      <c r="J4605" s="253" t="inlineStr">
        <is>
          <t xml:space="preserve">862.9</t>
        </is>
      </c>
    </row>
    <row r="4606">
      <c r="C4606" s="250" t="inlineStr">
        <is>
          <t xml:space="preserve">Total carried to BOQ  8TH FLR item A</t>
        </is>
      </c>
      <c r="D4606" s="250" t="inlineStr">
        <is>
          <t xml:space="preserve"/>
        </is>
      </c>
      <c r="E4606" s="250" t="inlineStr">
        <is>
          <t xml:space="preserve"/>
        </is>
      </c>
      <c r="F4606" s="250" t="inlineStr">
        <is>
          <t xml:space="preserve"/>
        </is>
      </c>
      <c r="G4606" s="250" t="inlineStr">
        <is>
          <t xml:space="preserve"/>
        </is>
      </c>
      <c r="H4606" s="251">
        <f>SUM(H4605:H4605)</f>
        <v>862.9</v>
      </c>
      <c r="I4606" s="252" t="inlineStr">
        <is>
          <t xml:space="preserve">m2</t>
        </is>
      </c>
    </row>
    <row r="4607" ht="32.2" customHeight="1">
      <c r="A4607" s="243" t="inlineStr">
        <is>
          <t xml:space="preserve">8TH FLR</t>
        </is>
      </c>
      <c r="B4607" s="243" t="inlineStr">
        <is>
          <t xml:space="preserve">B</t>
        </is>
      </c>
      <c r="C4607" s="244" t="inlineStr">
        <is>
          <t xml:space="preserve">12mm cement and sand (1:4) screeded bed laid level on concrete floor to receive floor tiles</t>
        </is>
      </c>
      <c r="I4607" s="245" t="inlineStr">
        <is>
          <t xml:space="preserve">m2</t>
        </is>
      </c>
      <c r="K4607" s="256" t="inlineStr">
        <is>
          <t xml:space="preserve">'8TH FLR   '!C203</t>
        </is>
      </c>
    </row>
    <row r="4608">
      <c r="C4608" s="246" t="inlineStr">
        <is>
          <t xml:space="preserve">Eighth floor - Tiled floor areas (measured)</t>
        </is>
      </c>
      <c r="H4608" s="247">
        <v>862.9</v>
      </c>
      <c r="J4608" s="253" t="inlineStr">
        <is>
          <t xml:space="preserve">862.9</t>
        </is>
      </c>
    </row>
    <row r="4609">
      <c r="C4609" s="246" t="inlineStr">
        <is>
          <t xml:space="preserve">Stair finishes (treads, risers, landings) - flights: 2 x 1.8 x 3.0</t>
        </is>
      </c>
      <c r="D4609" s="248">
        <v>2</v>
      </c>
      <c r="E4609" s="247">
        <v>1.8</v>
      </c>
      <c r="F4609" s="247">
        <v>3.0</v>
      </c>
      <c r="H4609" s="249">
        <f>PRODUCT(D4609:G4609)</f>
        <v>10.8</v>
      </c>
      <c r="J4609" s="253" t="inlineStr">
        <is>
          <t xml:space="preserve">2*1.8*3.0</t>
        </is>
      </c>
    </row>
    <row r="4610">
      <c r="C4610" s="246" t="inlineStr">
        <is>
          <t xml:space="preserve">Stair finishes (treads, risers, landings) - risers: 22 x 0.15 x 1.8</t>
        </is>
      </c>
      <c r="D4610" s="248">
        <v>22</v>
      </c>
      <c r="E4610" s="247">
        <v>0.15</v>
      </c>
      <c r="F4610" s="247">
        <v>1.8</v>
      </c>
      <c r="H4610" s="249">
        <f>PRODUCT(D4610:G4610)</f>
        <v>5.9399999999999995</v>
      </c>
      <c r="J4610" s="253" t="inlineStr">
        <is>
          <t xml:space="preserve">22*0.15*1.8</t>
        </is>
      </c>
    </row>
    <row r="4611">
      <c r="C4611" s="246" t="inlineStr">
        <is>
          <t xml:space="preserve">Stair finishes (treads, risers, landings) - floor landing 2.2 x 3.75</t>
        </is>
      </c>
      <c r="E4611" s="247">
        <v>2.2</v>
      </c>
      <c r="F4611" s="247">
        <v>3.75</v>
      </c>
      <c r="H4611" s="249">
        <f>PRODUCT(D4611:G4611)</f>
        <v>8.25</v>
      </c>
      <c r="J4611" s="253" t="inlineStr">
        <is>
          <t xml:space="preserve">2.2*3.75</t>
        </is>
      </c>
    </row>
    <row r="4612">
      <c r="C4612" s="246" t="inlineStr">
        <is>
          <t xml:space="preserve">Stair finishes (treads, risers, landings) - half landing 1.8 x 3.75</t>
        </is>
      </c>
      <c r="E4612" s="247">
        <v>1.8</v>
      </c>
      <c r="F4612" s="247">
        <v>3.75</v>
      </c>
      <c r="H4612" s="249">
        <f>PRODUCT(D4612:G4612)</f>
        <v>6.75</v>
      </c>
      <c r="J4612" s="253" t="inlineStr">
        <is>
          <t xml:space="preserve">1.8*3.75</t>
        </is>
      </c>
    </row>
    <row r="4613">
      <c r="C4613" s="246" t="inlineStr">
        <is>
          <t xml:space="preserve">Stair finishes (treads, risers, landings) - flights: 2 x 1.8 x 3.0</t>
        </is>
      </c>
      <c r="D4613" s="248">
        <v>2</v>
      </c>
      <c r="E4613" s="247">
        <v>1.8</v>
      </c>
      <c r="F4613" s="247">
        <v>3.0</v>
      </c>
      <c r="H4613" s="249">
        <f>PRODUCT(D4613:G4613)</f>
        <v>10.8</v>
      </c>
      <c r="J4613" s="253" t="inlineStr">
        <is>
          <t xml:space="preserve">2*1.8*3.0</t>
        </is>
      </c>
    </row>
    <row r="4614">
      <c r="C4614" s="246" t="inlineStr">
        <is>
          <t xml:space="preserve">Stair finishes (treads, risers, landings) - risers: 22 x 0.15 x 1.8</t>
        </is>
      </c>
      <c r="D4614" s="248">
        <v>22</v>
      </c>
      <c r="E4614" s="247">
        <v>0.15</v>
      </c>
      <c r="F4614" s="247">
        <v>1.8</v>
      </c>
      <c r="H4614" s="249">
        <f>PRODUCT(D4614:G4614)</f>
        <v>5.9399999999999995</v>
      </c>
      <c r="J4614" s="253" t="inlineStr">
        <is>
          <t xml:space="preserve">22*0.15*1.8</t>
        </is>
      </c>
    </row>
    <row r="4615">
      <c r="C4615" s="246" t="inlineStr">
        <is>
          <t xml:space="preserve">Stair finishes (treads, risers, landings) - floor landing 2.2 x 3.75</t>
        </is>
      </c>
      <c r="E4615" s="247">
        <v>2.2</v>
      </c>
      <c r="F4615" s="247">
        <v>3.75</v>
      </c>
      <c r="H4615" s="249">
        <f>PRODUCT(D4615:G4615)</f>
        <v>8.25</v>
      </c>
      <c r="J4615" s="253" t="inlineStr">
        <is>
          <t xml:space="preserve">2.2*3.75</t>
        </is>
      </c>
    </row>
    <row r="4616">
      <c r="C4616" s="246" t="inlineStr">
        <is>
          <t xml:space="preserve">Stair finishes (treads, risers, landings) - half landing 1.8 x 3.75</t>
        </is>
      </c>
      <c r="E4616" s="247">
        <v>1.8</v>
      </c>
      <c r="F4616" s="247">
        <v>3.75</v>
      </c>
      <c r="H4616" s="249">
        <f>PRODUCT(D4616:G4616)</f>
        <v>6.75</v>
      </c>
      <c r="J4616" s="253" t="inlineStr">
        <is>
          <t xml:space="preserve">1.8*3.75</t>
        </is>
      </c>
    </row>
    <row r="4617">
      <c r="C4617" s="250" t="inlineStr">
        <is>
          <t xml:space="preserve">Total carried to BOQ  8TH FLR item B</t>
        </is>
      </c>
      <c r="D4617" s="250" t="inlineStr">
        <is>
          <t xml:space="preserve"/>
        </is>
      </c>
      <c r="E4617" s="250" t="inlineStr">
        <is>
          <t xml:space="preserve"/>
        </is>
      </c>
      <c r="F4617" s="250" t="inlineStr">
        <is>
          <t xml:space="preserve"/>
        </is>
      </c>
      <c r="G4617" s="250" t="inlineStr">
        <is>
          <t xml:space="preserve"/>
        </is>
      </c>
      <c r="H4617" s="251">
        <f>SUM(H4608:H4616)</f>
        <v>926.38</v>
      </c>
      <c r="I4617" s="252" t="inlineStr">
        <is>
          <t xml:space="preserve">m2</t>
        </is>
      </c>
    </row>
    <row r="4618" ht="32.2" customHeight="1">
      <c r="A4618" s="243" t="inlineStr">
        <is>
          <t xml:space="preserve">8TH FLR</t>
        </is>
      </c>
      <c r="B4618" s="243" t="inlineStr">
        <is>
          <t xml:space="preserve">C</t>
        </is>
      </c>
      <c r="C4618" s="244" t="inlineStr">
        <is>
          <t xml:space="preserve">400x400mm non-slip porcelain floor tiles to washrooms &amp; WCs, adhesive, grout and cutting</t>
        </is>
      </c>
      <c r="I4618" s="245" t="inlineStr">
        <is>
          <t xml:space="preserve">m2</t>
        </is>
      </c>
      <c r="K4618" s="256" t="inlineStr">
        <is>
          <t xml:space="preserve">'8TH FLR   '!C205</t>
        </is>
      </c>
    </row>
    <row r="4619">
      <c r="C4619" s="246" t="inlineStr">
        <is>
          <t xml:space="preserve">Eighth floor - Washroom ceiling areas (measured)</t>
        </is>
      </c>
      <c r="H4619" s="247">
        <v>60.4</v>
      </c>
      <c r="J4619" s="253" t="inlineStr">
        <is>
          <t xml:space="preserve">60.4</t>
        </is>
      </c>
    </row>
    <row r="4620">
      <c r="C4620" s="250" t="inlineStr">
        <is>
          <t xml:space="preserve">Total carried to BOQ  8TH FLR item C</t>
        </is>
      </c>
      <c r="D4620" s="250" t="inlineStr">
        <is>
          <t xml:space="preserve"/>
        </is>
      </c>
      <c r="E4620" s="250" t="inlineStr">
        <is>
          <t xml:space="preserve"/>
        </is>
      </c>
      <c r="F4620" s="250" t="inlineStr">
        <is>
          <t xml:space="preserve"/>
        </is>
      </c>
      <c r="G4620" s="250" t="inlineStr">
        <is>
          <t xml:space="preserve"/>
        </is>
      </c>
      <c r="H4620" s="251">
        <f>SUM(H4619:H4619)</f>
        <v>60.4</v>
      </c>
      <c r="I4620" s="252" t="inlineStr">
        <is>
          <t xml:space="preserve">m2</t>
        </is>
      </c>
    </row>
    <row r="4621" ht="32.2" customHeight="1">
      <c r="A4621" s="243" t="inlineStr">
        <is>
          <t xml:space="preserve">8TH FLR</t>
        </is>
      </c>
      <c r="B4621" s="243" t="inlineStr">
        <is>
          <t xml:space="preserve">D</t>
        </is>
      </c>
      <c r="C4621" s="244" t="inlineStr">
        <is>
          <t xml:space="preserve">500x500mm matte R11 porcelain tiles to staircases (treads, risers and landings)</t>
        </is>
      </c>
      <c r="I4621" s="245" t="inlineStr">
        <is>
          <t xml:space="preserve">m2</t>
        </is>
      </c>
      <c r="K4621" s="256" t="inlineStr">
        <is>
          <t xml:space="preserve">'8TH FLR   '!C207</t>
        </is>
      </c>
    </row>
    <row r="4622">
      <c r="C4622" s="246" t="inlineStr">
        <is>
          <t xml:space="preserve">Eighth floor (+27400) - Main stair flight (storey ht 3.3) - flights: 2 x 1.8 x 3.0</t>
        </is>
      </c>
      <c r="D4622" s="248">
        <v>2</v>
      </c>
      <c r="E4622" s="247">
        <v>1.8</v>
      </c>
      <c r="F4622" s="247">
        <v>3.0</v>
      </c>
      <c r="H4622" s="249">
        <f>PRODUCT(D4622:G4622)</f>
        <v>10.8</v>
      </c>
      <c r="J4622" s="253" t="inlineStr">
        <is>
          <t xml:space="preserve">2*1.8*3.0</t>
        </is>
      </c>
    </row>
    <row r="4623">
      <c r="C4623" s="246" t="inlineStr">
        <is>
          <t xml:space="preserve">Eighth floor (+27400) - Main stair flight (storey ht 3.3) - risers: 22 x 0.15 x 1.8</t>
        </is>
      </c>
      <c r="D4623" s="248">
        <v>22</v>
      </c>
      <c r="E4623" s="247">
        <v>0.15</v>
      </c>
      <c r="F4623" s="247">
        <v>1.8</v>
      </c>
      <c r="H4623" s="249">
        <f>PRODUCT(D4623:G4623)</f>
        <v>5.9399999999999995</v>
      </c>
      <c r="J4623" s="253" t="inlineStr">
        <is>
          <t xml:space="preserve">22*0.15*1.8</t>
        </is>
      </c>
    </row>
    <row r="4624">
      <c r="C4624" s="246" t="inlineStr">
        <is>
          <t xml:space="preserve">Eighth floor (+27400) - Main stair flight (storey ht 3.3) - floor landing 2.2 x 3.75</t>
        </is>
      </c>
      <c r="E4624" s="247">
        <v>2.2</v>
      </c>
      <c r="F4624" s="247">
        <v>3.75</v>
      </c>
      <c r="H4624" s="249">
        <f>PRODUCT(D4624:G4624)</f>
        <v>8.25</v>
      </c>
      <c r="J4624" s="253" t="inlineStr">
        <is>
          <t xml:space="preserve">2.2*3.75</t>
        </is>
      </c>
    </row>
    <row r="4625">
      <c r="C4625" s="246" t="inlineStr">
        <is>
          <t xml:space="preserve">Eighth floor (+27400) - Main stair flight (storey ht 3.3) - half landing 1.8 x 3.75</t>
        </is>
      </c>
      <c r="E4625" s="247">
        <v>1.8</v>
      </c>
      <c r="F4625" s="247">
        <v>3.75</v>
      </c>
      <c r="H4625" s="249">
        <f>PRODUCT(D4625:G4625)</f>
        <v>6.75</v>
      </c>
      <c r="J4625" s="253" t="inlineStr">
        <is>
          <t xml:space="preserve">1.8*3.75</t>
        </is>
      </c>
    </row>
    <row r="4626">
      <c r="C4626" s="246" t="inlineStr">
        <is>
          <t xml:space="preserve">Eighth floor (+27400) - Emergency stair flight (storey ht 3.3) - flights: 2 x 1.8 x 3.0</t>
        </is>
      </c>
      <c r="D4626" s="248">
        <v>2</v>
      </c>
      <c r="E4626" s="247">
        <v>1.8</v>
      </c>
      <c r="F4626" s="247">
        <v>3.0</v>
      </c>
      <c r="H4626" s="249">
        <f>PRODUCT(D4626:G4626)</f>
        <v>10.8</v>
      </c>
      <c r="J4626" s="253" t="inlineStr">
        <is>
          <t xml:space="preserve">2*1.8*3.0</t>
        </is>
      </c>
    </row>
    <row r="4627">
      <c r="C4627" s="246" t="inlineStr">
        <is>
          <t xml:space="preserve">Eighth floor (+27400) - Emergency stair flight (storey ht 3.3) - risers: 22 x 0.15 x 1.8</t>
        </is>
      </c>
      <c r="D4627" s="248">
        <v>22</v>
      </c>
      <c r="E4627" s="247">
        <v>0.15</v>
      </c>
      <c r="F4627" s="247">
        <v>1.8</v>
      </c>
      <c r="H4627" s="249">
        <f>PRODUCT(D4627:G4627)</f>
        <v>5.9399999999999995</v>
      </c>
      <c r="J4627" s="253" t="inlineStr">
        <is>
          <t xml:space="preserve">22*0.15*1.8</t>
        </is>
      </c>
    </row>
    <row r="4628">
      <c r="C4628" s="246" t="inlineStr">
        <is>
          <t xml:space="preserve">Eighth floor (+27400) - Emergency stair flight (storey ht 3.3) - floor landing 2.2 x 3.75</t>
        </is>
      </c>
      <c r="E4628" s="247">
        <v>2.2</v>
      </c>
      <c r="F4628" s="247">
        <v>3.75</v>
      </c>
      <c r="H4628" s="249">
        <f>PRODUCT(D4628:G4628)</f>
        <v>8.25</v>
      </c>
      <c r="J4628" s="253" t="inlineStr">
        <is>
          <t xml:space="preserve">2.2*3.75</t>
        </is>
      </c>
    </row>
    <row r="4629">
      <c r="C4629" s="246" t="inlineStr">
        <is>
          <t xml:space="preserve">Eighth floor (+27400) - Emergency stair flight (storey ht 3.3) - half landing 1.8 x 3.75</t>
        </is>
      </c>
      <c r="E4629" s="247">
        <v>1.8</v>
      </c>
      <c r="F4629" s="247">
        <v>3.75</v>
      </c>
      <c r="H4629" s="249">
        <f>PRODUCT(D4629:G4629)</f>
        <v>6.75</v>
      </c>
      <c r="J4629" s="253" t="inlineStr">
        <is>
          <t xml:space="preserve">1.8*3.75</t>
        </is>
      </c>
    </row>
    <row r="4630">
      <c r="C4630" s="250" t="inlineStr">
        <is>
          <t xml:space="preserve">Total carried to BOQ  8TH FLR item D</t>
        </is>
      </c>
      <c r="D4630" s="250" t="inlineStr">
        <is>
          <t xml:space="preserve"/>
        </is>
      </c>
      <c r="E4630" s="250" t="inlineStr">
        <is>
          <t xml:space="preserve"/>
        </is>
      </c>
      <c r="F4630" s="250" t="inlineStr">
        <is>
          <t xml:space="preserve"/>
        </is>
      </c>
      <c r="G4630" s="250" t="inlineStr">
        <is>
          <t xml:space="preserve"/>
        </is>
      </c>
      <c r="H4630" s="251">
        <f>SUM(H4622:H4629)</f>
        <v>63.480000000000004</v>
      </c>
      <c r="I4630" s="252" t="inlineStr">
        <is>
          <t xml:space="preserve">m2</t>
        </is>
      </c>
    </row>
    <row r="4631" ht="32.2" customHeight="1">
      <c r="A4631" s="243" t="inlineStr">
        <is>
          <t xml:space="preserve">8TH FLR</t>
        </is>
      </c>
      <c r="B4631" s="243" t="inlineStr">
        <is>
          <t xml:space="preserve">E</t>
        </is>
      </c>
      <c r="C4631" s="244" t="inlineStr">
        <is>
          <t xml:space="preserve">600x600mm semi-polished porcelain floor tiles to habitable rooms, shops &amp; offices</t>
        </is>
      </c>
      <c r="I4631" s="245" t="inlineStr">
        <is>
          <t xml:space="preserve">m2</t>
        </is>
      </c>
      <c r="K4631" s="256" t="inlineStr">
        <is>
          <t xml:space="preserve">'8TH FLR   '!C209</t>
        </is>
      </c>
    </row>
    <row r="4632">
      <c r="C4632" s="246" t="inlineStr">
        <is>
          <t xml:space="preserve">Eighth floor - Habitable rooms (measured)</t>
        </is>
      </c>
      <c r="H4632" s="247">
        <v>558.9</v>
      </c>
      <c r="J4632" s="253" t="inlineStr">
        <is>
          <t xml:space="preserve">558.9</t>
        </is>
      </c>
    </row>
    <row r="4633">
      <c r="C4633" s="250" t="inlineStr">
        <is>
          <t xml:space="preserve">Total carried to BOQ  8TH FLR item E</t>
        </is>
      </c>
      <c r="D4633" s="250" t="inlineStr">
        <is>
          <t xml:space="preserve"/>
        </is>
      </c>
      <c r="E4633" s="250" t="inlineStr">
        <is>
          <t xml:space="preserve"/>
        </is>
      </c>
      <c r="F4633" s="250" t="inlineStr">
        <is>
          <t xml:space="preserve"/>
        </is>
      </c>
      <c r="G4633" s="250" t="inlineStr">
        <is>
          <t xml:space="preserve"/>
        </is>
      </c>
      <c r="H4633" s="251">
        <f>SUM(H4632:H4632)</f>
        <v>558.9</v>
      </c>
      <c r="I4633" s="252" t="inlineStr">
        <is>
          <t xml:space="preserve">m2</t>
        </is>
      </c>
    </row>
    <row r="4634" ht="32.2" customHeight="1">
      <c r="A4634" s="243" t="inlineStr">
        <is>
          <t xml:space="preserve">8TH FLR</t>
        </is>
      </c>
      <c r="B4634" s="243" t="inlineStr">
        <is>
          <t xml:space="preserve">F</t>
        </is>
      </c>
      <c r="C4634" s="244" t="inlineStr">
        <is>
          <t xml:space="preserve">600x1200mm semi-polished porcelain floor tiles to stair/lift lobbies &amp; reception</t>
        </is>
      </c>
      <c r="I4634" s="245" t="inlineStr">
        <is>
          <t xml:space="preserve">m2</t>
        </is>
      </c>
      <c r="K4634" s="256" t="inlineStr">
        <is>
          <t xml:space="preserve">'8TH FLR   '!C211</t>
        </is>
      </c>
    </row>
    <row r="4635">
      <c r="C4635" s="246" t="inlineStr">
        <is>
          <t xml:space="preserve">Eighth floor - Lobbies (measured)</t>
        </is>
      </c>
      <c r="H4635" s="247">
        <v>33.8</v>
      </c>
      <c r="J4635" s="253" t="inlineStr">
        <is>
          <t xml:space="preserve">33.8</t>
        </is>
      </c>
    </row>
    <row r="4636">
      <c r="C4636" s="250" t="inlineStr">
        <is>
          <t xml:space="preserve">Total carried to BOQ  8TH FLR item F</t>
        </is>
      </c>
      <c r="D4636" s="250" t="inlineStr">
        <is>
          <t xml:space="preserve"/>
        </is>
      </c>
      <c r="E4636" s="250" t="inlineStr">
        <is>
          <t xml:space="preserve"/>
        </is>
      </c>
      <c r="F4636" s="250" t="inlineStr">
        <is>
          <t xml:space="preserve"/>
        </is>
      </c>
      <c r="G4636" s="250" t="inlineStr">
        <is>
          <t xml:space="preserve"/>
        </is>
      </c>
      <c r="H4636" s="251">
        <f>SUM(H4635:H4635)</f>
        <v>33.8</v>
      </c>
      <c r="I4636" s="252" t="inlineStr">
        <is>
          <t xml:space="preserve">m2</t>
        </is>
      </c>
    </row>
    <row r="4637" ht="32.2" customHeight="1">
      <c r="A4637" s="243" t="inlineStr">
        <is>
          <t xml:space="preserve">8TH FLR</t>
        </is>
      </c>
      <c r="B4637" s="243" t="inlineStr">
        <is>
          <t xml:space="preserve">G</t>
        </is>
      </c>
      <c r="C4637" s="244" t="inlineStr">
        <is>
          <t xml:space="preserve">600x600mm non-slip R11 porcelain tiles to corridors, terraces, verandah &amp; service areas</t>
        </is>
      </c>
      <c r="I4637" s="245" t="inlineStr">
        <is>
          <t xml:space="preserve">m2</t>
        </is>
      </c>
      <c r="K4637" s="256" t="inlineStr">
        <is>
          <t xml:space="preserve">'8TH FLR   '!C213</t>
        </is>
      </c>
    </row>
    <row r="4638">
      <c r="C4638" s="246" t="inlineStr">
        <is>
          <t xml:space="preserve">Eighth floor - Corridors/terraces/service (measured)</t>
        </is>
      </c>
      <c r="H4638" s="247">
        <v>209.7</v>
      </c>
      <c r="J4638" s="253" t="inlineStr">
        <is>
          <t xml:space="preserve">209.7</t>
        </is>
      </c>
    </row>
    <row r="4639">
      <c r="C4639" s="250" t="inlineStr">
        <is>
          <t xml:space="preserve">Total carried to BOQ  8TH FLR item G</t>
        </is>
      </c>
      <c r="D4639" s="250" t="inlineStr">
        <is>
          <t xml:space="preserve"/>
        </is>
      </c>
      <c r="E4639" s="250" t="inlineStr">
        <is>
          <t xml:space="preserve"/>
        </is>
      </c>
      <c r="F4639" s="250" t="inlineStr">
        <is>
          <t xml:space="preserve"/>
        </is>
      </c>
      <c r="G4639" s="250" t="inlineStr">
        <is>
          <t xml:space="preserve"/>
        </is>
      </c>
      <c r="H4639" s="251">
        <f>SUM(H4638:H4638)</f>
        <v>209.7</v>
      </c>
      <c r="I4639" s="252" t="inlineStr">
        <is>
          <t xml:space="preserve">m2</t>
        </is>
      </c>
    </row>
    <row r="4640">
      <c r="C4640" s="242" t="inlineStr">
        <is>
          <t xml:space="preserve">ELEMENT NO. 6: WALL FINISHES</t>
        </is>
      </c>
    </row>
    <row r="4641">
      <c r="C4641" s="242" t="inlineStr">
        <is>
          <t xml:space="preserve">M20 PLASTERED/RENDERED COATINGS - 12.5mm cement and sand (1:3) rendering as described on blockwork or concrete to:</t>
        </is>
      </c>
    </row>
    <row r="4642">
      <c r="A4642" s="243" t="inlineStr">
        <is>
          <t xml:space="preserve">8TH FLR</t>
        </is>
      </c>
      <c r="B4642" s="243" t="inlineStr">
        <is>
          <t xml:space="preserve">A</t>
        </is>
      </c>
      <c r="C4642" s="244" t="inlineStr">
        <is>
          <t xml:space="preserve">Interior walls</t>
        </is>
      </c>
      <c r="I4642" s="245" t="inlineStr">
        <is>
          <t xml:space="preserve">m2</t>
        </is>
      </c>
      <c r="K4642" s="256" t="inlineStr">
        <is>
          <t xml:space="preserve">'8TH FLR   '!C221</t>
        </is>
      </c>
    </row>
    <row r="4643">
      <c r="C4643" s="246" t="inlineStr">
        <is>
          <t xml:space="preserve">block wall faces: 2 x (150 + 200 block runs) x ht</t>
        </is>
      </c>
      <c r="D4643" s="248">
        <v>2</v>
      </c>
      <c r="E4643" s="247">
        <f>441.2+51.7</f>
        <v>492.9</v>
      </c>
      <c r="F4643" s="247">
        <v>3.05</v>
      </c>
      <c r="H4643" s="249">
        <f>PRODUCT(D4643:G4643)</f>
        <v>3006.6899999999996</v>
      </c>
      <c r="J4643" s="253" t="inlineStr">
        <is>
          <t xml:space="preserve">2*(441.2+51.7)*3.05</t>
        </is>
      </c>
    </row>
    <row r="4644">
      <c r="C4644" s="246" t="inlineStr">
        <is>
          <t xml:space="preserve">RC wall faces: 2 x RC wall run x ht</t>
        </is>
      </c>
      <c r="D4644" s="248">
        <v>2</v>
      </c>
      <c r="E4644" s="247">
        <v>67.3</v>
      </c>
      <c r="F4644" s="247">
        <v>3.05</v>
      </c>
      <c r="H4644" s="249">
        <f>PRODUCT(D4644:G4644)</f>
        <v>410.53</v>
      </c>
      <c r="J4644" s="253" t="inlineStr">
        <is>
          <t xml:space="preserve">2*67.3*3.05</t>
        </is>
      </c>
    </row>
    <row r="4645">
      <c r="C4645" s="246" t="inlineStr">
        <is>
          <t xml:space="preserve">Ddt lift/stair shaft inner faces 16.8 m x ht</t>
        </is>
      </c>
      <c r="E4645" s="247">
        <v>16.8</v>
      </c>
      <c r="F4645" s="247">
        <v>3.05</v>
      </c>
      <c r="H4645" s="249">
        <f>-PRODUCT(D4645:G4645)</f>
        <v>-51.24</v>
      </c>
      <c r="J4645" s="253" t="inlineStr">
        <is>
          <t xml:space="preserve">-16.8*3.05</t>
        </is>
      </c>
    </row>
    <row r="4646">
      <c r="C4646" s="246" t="inlineStr">
        <is>
          <t xml:space="preserve">Ddt external face of perimeter wall (rendered externally)</t>
        </is>
      </c>
      <c r="E4646" s="247">
        <v>224.2</v>
      </c>
      <c r="F4646" s="247">
        <v>3.05</v>
      </c>
      <c r="H4646" s="249">
        <f>-PRODUCT(D4646:G4646)</f>
        <v>-683.81</v>
      </c>
      <c r="J4646" s="253" t="inlineStr">
        <is>
          <t xml:space="preserve">-224.2*3.05</t>
        </is>
      </c>
    </row>
    <row r="4647">
      <c r="C4647" s="246" t="inlineStr">
        <is>
          <t xml:space="preserve">Ddt washroom walls (measured separately)</t>
        </is>
      </c>
      <c r="E4647" s="247">
        <f>60.4/3.8</f>
        <v>15.894736842105264</v>
      </c>
      <c r="F4647" s="247">
        <v>8.0</v>
      </c>
      <c r="G4647" s="247">
        <v>3.05</v>
      </c>
      <c r="H4647" s="249">
        <f>-PRODUCT(D4647:G4647)</f>
        <v>-387.8315789473684</v>
      </c>
      <c r="J4647" s="253" t="inlineStr">
        <is>
          <t xml:space="preserve">-60.4/3.8*8.0*3.05</t>
        </is>
      </c>
    </row>
    <row r="4648">
      <c r="C4648" s="246" t="inlineStr">
        <is>
          <t xml:space="preserve">Ddt opening D2 (8 nr, 1x2.2) - both faces</t>
        </is>
      </c>
      <c r="D4648" s="248">
        <f>2*8</f>
        <v>16</v>
      </c>
      <c r="E4648" s="247">
        <v>1</v>
      </c>
      <c r="F4648" s="247">
        <v>2.2</v>
      </c>
      <c r="H4648" s="249">
        <f>-PRODUCT(D4648:G4648)</f>
        <v>-35.2</v>
      </c>
      <c r="J4648" s="253" t="inlineStr">
        <is>
          <t xml:space="preserve">-2*8*1*2.2</t>
        </is>
      </c>
    </row>
    <row r="4649">
      <c r="C4649" s="246" t="inlineStr">
        <is>
          <t xml:space="preserve">Ddt opening D3 (15 nr, 0.9x2.2) - both faces</t>
        </is>
      </c>
      <c r="D4649" s="248">
        <f>2*15</f>
        <v>30</v>
      </c>
      <c r="E4649" s="247">
        <v>0.9</v>
      </c>
      <c r="F4649" s="247">
        <v>2.2</v>
      </c>
      <c r="H4649" s="249">
        <f>-PRODUCT(D4649:G4649)</f>
        <v>-59.400000000000006</v>
      </c>
      <c r="J4649" s="253" t="inlineStr">
        <is>
          <t xml:space="preserve">-2*15*0.9*2.2</t>
        </is>
      </c>
    </row>
    <row r="4650">
      <c r="C4650" s="246" t="inlineStr">
        <is>
          <t xml:space="preserve">Ddt opening D6 (21 nr, 0.75x2.2) - both faces</t>
        </is>
      </c>
      <c r="D4650" s="248">
        <f>2*21</f>
        <v>42</v>
      </c>
      <c r="E4650" s="247">
        <v>0.75</v>
      </c>
      <c r="F4650" s="247">
        <v>2.2</v>
      </c>
      <c r="H4650" s="249">
        <f>-PRODUCT(D4650:G4650)</f>
        <v>-69.30000000000001</v>
      </c>
      <c r="J4650" s="253" t="inlineStr">
        <is>
          <t xml:space="preserve">-2*21*0.75*2.2</t>
        </is>
      </c>
    </row>
    <row r="4651">
      <c r="C4651" s="246" t="inlineStr">
        <is>
          <t xml:space="preserve">Ddt opening D7 (1 nr, 0.7x2.2) - both faces</t>
        </is>
      </c>
      <c r="D4651" s="248">
        <f>2*1</f>
        <v>2</v>
      </c>
      <c r="E4651" s="247">
        <v>0.7</v>
      </c>
      <c r="F4651" s="247">
        <v>2.2</v>
      </c>
      <c r="H4651" s="249">
        <f>-PRODUCT(D4651:G4651)</f>
        <v>-3.08</v>
      </c>
      <c r="J4651" s="253" t="inlineStr">
        <is>
          <t xml:space="preserve">-2*1*0.7*2.2</t>
        </is>
      </c>
    </row>
    <row r="4652">
      <c r="C4652" s="246" t="inlineStr">
        <is>
          <t xml:space="preserve">Ddt opening D8 (2 nr, 1.2x2.2) - both faces</t>
        </is>
      </c>
      <c r="D4652" s="248">
        <f>2*2</f>
        <v>4</v>
      </c>
      <c r="E4652" s="247">
        <v>1.2</v>
      </c>
      <c r="F4652" s="247">
        <v>2.2</v>
      </c>
      <c r="H4652" s="249">
        <f>-PRODUCT(D4652:G4652)</f>
        <v>-10.56</v>
      </c>
      <c r="J4652" s="253" t="inlineStr">
        <is>
          <t xml:space="preserve">-2*2*1.2*2.2</t>
        </is>
      </c>
    </row>
    <row r="4653">
      <c r="C4653" s="246" t="inlineStr">
        <is>
          <t xml:space="preserve">Ddt opening ED1 (3 nr, 1x2.2) - both faces</t>
        </is>
      </c>
      <c r="D4653" s="248">
        <f>2*3</f>
        <v>6</v>
      </c>
      <c r="E4653" s="247">
        <v>1</v>
      </c>
      <c r="F4653" s="247">
        <v>2.2</v>
      </c>
      <c r="H4653" s="249">
        <f>-PRODUCT(D4653:G4653)</f>
        <v>-13.200000000000001</v>
      </c>
      <c r="J4653" s="253" t="inlineStr">
        <is>
          <t xml:space="preserve">-2*3*1*2.2</t>
        </is>
      </c>
    </row>
    <row r="4654">
      <c r="C4654" s="246" t="inlineStr">
        <is>
          <t xml:space="preserve">Ddt opening ED2 (2 nr, 1x2.2) - both faces</t>
        </is>
      </c>
      <c r="D4654" s="248">
        <f>2*2</f>
        <v>4</v>
      </c>
      <c r="E4654" s="247">
        <v>1</v>
      </c>
      <c r="F4654" s="247">
        <v>2.2</v>
      </c>
      <c r="H4654" s="249">
        <f>-PRODUCT(D4654:G4654)</f>
        <v>-8.8</v>
      </c>
      <c r="J4654" s="253" t="inlineStr">
        <is>
          <t xml:space="preserve">-2*2*1*2.2</t>
        </is>
      </c>
    </row>
    <row r="4655">
      <c r="C4655" s="246" t="inlineStr">
        <is>
          <t xml:space="preserve">Ddt opening D9 (1 nr, 0.9x2.2) - both faces</t>
        </is>
      </c>
      <c r="D4655" s="248">
        <f>2*1</f>
        <v>2</v>
      </c>
      <c r="E4655" s="247">
        <v>0.9</v>
      </c>
      <c r="F4655" s="247">
        <v>2.2</v>
      </c>
      <c r="H4655" s="249">
        <f>-PRODUCT(D4655:G4655)</f>
        <v>-3.9600000000000004</v>
      </c>
      <c r="J4655" s="253" t="inlineStr">
        <is>
          <t xml:space="preserve">-2*1*0.9*2.2</t>
        </is>
      </c>
    </row>
    <row r="4656">
      <c r="C4656" s="246" t="inlineStr">
        <is>
          <t xml:space="preserve">Ddt opening FD1 (1 nr, 1.5x2.2) - both faces</t>
        </is>
      </c>
      <c r="D4656" s="248">
        <f>2*1</f>
        <v>2</v>
      </c>
      <c r="E4656" s="247">
        <v>1.5</v>
      </c>
      <c r="F4656" s="247">
        <v>2.2</v>
      </c>
      <c r="H4656" s="249">
        <f>-PRODUCT(D4656:G4656)</f>
        <v>-6.6000000000000005</v>
      </c>
      <c r="J4656" s="253" t="inlineStr">
        <is>
          <t xml:space="preserve">-2*1*1.5*2.2</t>
        </is>
      </c>
    </row>
    <row r="4657">
      <c r="C4657" s="246" t="inlineStr">
        <is>
          <t xml:space="preserve">Ddt opening M1 (2 nr, 0.9x2.2) - both faces</t>
        </is>
      </c>
      <c r="D4657" s="248">
        <f>2*2</f>
        <v>4</v>
      </c>
      <c r="E4657" s="247">
        <v>0.9</v>
      </c>
      <c r="F4657" s="247">
        <v>2.2</v>
      </c>
      <c r="H4657" s="249">
        <f>-PRODUCT(D4657:G4657)</f>
        <v>-7.920000000000001</v>
      </c>
      <c r="J4657" s="253" t="inlineStr">
        <is>
          <t xml:space="preserve">-2*2*0.9*2.2</t>
        </is>
      </c>
    </row>
    <row r="4658">
      <c r="C4658" s="246" t="inlineStr">
        <is>
          <t xml:space="preserve">Ddt opening M2 (4 nr, 0.75x2.2) - both faces</t>
        </is>
      </c>
      <c r="D4658" s="248">
        <f>2*4</f>
        <v>8</v>
      </c>
      <c r="E4658" s="247">
        <v>0.75</v>
      </c>
      <c r="F4658" s="247">
        <v>2.2</v>
      </c>
      <c r="H4658" s="249">
        <f>-PRODUCT(D4658:G4658)</f>
        <v>-13.200000000000001</v>
      </c>
      <c r="J4658" s="253" t="inlineStr">
        <is>
          <t xml:space="preserve">-2*4*0.75*2.2</t>
        </is>
      </c>
    </row>
    <row r="4659">
      <c r="C4659" s="246" t="inlineStr">
        <is>
          <t xml:space="preserve">Ddt opening M3 (1 nr, 0.45x2.2) - both faces</t>
        </is>
      </c>
      <c r="D4659" s="248">
        <f>2*1</f>
        <v>2</v>
      </c>
      <c r="E4659" s="247">
        <v>0.45</v>
      </c>
      <c r="F4659" s="247">
        <v>2.2</v>
      </c>
      <c r="H4659" s="249">
        <f>-PRODUCT(D4659:G4659)</f>
        <v>-1.9800000000000002</v>
      </c>
      <c r="J4659" s="253" t="inlineStr">
        <is>
          <t xml:space="preserve">-2*1*0.45*2.2</t>
        </is>
      </c>
    </row>
    <row r="4660">
      <c r="C4660" s="246" t="inlineStr">
        <is>
          <t xml:space="preserve">Ddt opening M5 (3 nr, 0.6x2.2) - both faces</t>
        </is>
      </c>
      <c r="D4660" s="248">
        <f>2*3</f>
        <v>6</v>
      </c>
      <c r="E4660" s="247">
        <v>0.6</v>
      </c>
      <c r="F4660" s="247">
        <v>2.2</v>
      </c>
      <c r="H4660" s="249">
        <f>-PRODUCT(D4660:G4660)</f>
        <v>-7.92</v>
      </c>
      <c r="J4660" s="253" t="inlineStr">
        <is>
          <t xml:space="preserve">-2*3*0.6*2.2</t>
        </is>
      </c>
    </row>
    <row r="4661">
      <c r="C4661" s="246" t="inlineStr">
        <is>
          <t xml:space="preserve">Ddt opening SD1 (1 nr, 3x2.2) - both faces</t>
        </is>
      </c>
      <c r="D4661" s="248">
        <f>2*1</f>
        <v>2</v>
      </c>
      <c r="E4661" s="247">
        <v>3</v>
      </c>
      <c r="F4661" s="247">
        <v>2.2</v>
      </c>
      <c r="H4661" s="249">
        <f>-PRODUCT(D4661:G4661)</f>
        <v>-13.200000000000001</v>
      </c>
      <c r="J4661" s="253" t="inlineStr">
        <is>
          <t xml:space="preserve">-2*1*3*2.2</t>
        </is>
      </c>
    </row>
    <row r="4662">
      <c r="C4662" s="246" t="inlineStr">
        <is>
          <t xml:space="preserve">Ddt opening SD2 (4 nr, 1.6x2.2) - both faces</t>
        </is>
      </c>
      <c r="D4662" s="248">
        <f>2*4</f>
        <v>8</v>
      </c>
      <c r="E4662" s="247">
        <v>1.6</v>
      </c>
      <c r="F4662" s="247">
        <v>2.2</v>
      </c>
      <c r="H4662" s="249">
        <f>-PRODUCT(D4662:G4662)</f>
        <v>-28.160000000000004</v>
      </c>
      <c r="J4662" s="253" t="inlineStr">
        <is>
          <t xml:space="preserve">-2*4*1.6*2.2</t>
        </is>
      </c>
    </row>
    <row r="4663">
      <c r="C4663" s="246" t="inlineStr">
        <is>
          <t xml:space="preserve">Ddt opening SD3 (2 nr, 1.3x2.2) - both faces</t>
        </is>
      </c>
      <c r="D4663" s="248">
        <f>2*2</f>
        <v>4</v>
      </c>
      <c r="E4663" s="247">
        <v>1.3</v>
      </c>
      <c r="F4663" s="247">
        <v>2.2</v>
      </c>
      <c r="H4663" s="249">
        <f>-PRODUCT(D4663:G4663)</f>
        <v>-11.440000000000001</v>
      </c>
      <c r="J4663" s="253" t="inlineStr">
        <is>
          <t xml:space="preserve">-2*2*1.3*2.2</t>
        </is>
      </c>
    </row>
    <row r="4664">
      <c r="C4664" s="246" t="inlineStr">
        <is>
          <t xml:space="preserve">Ddt opening SD4 (4 nr, 1.8x2.2) - both faces</t>
        </is>
      </c>
      <c r="D4664" s="248">
        <f>2*4</f>
        <v>8</v>
      </c>
      <c r="E4664" s="247">
        <v>1.8</v>
      </c>
      <c r="F4664" s="247">
        <v>2.2</v>
      </c>
      <c r="H4664" s="249">
        <f>-PRODUCT(D4664:G4664)</f>
        <v>-31.680000000000003</v>
      </c>
      <c r="J4664" s="253" t="inlineStr">
        <is>
          <t xml:space="preserve">-2*4*1.8*2.2</t>
        </is>
      </c>
    </row>
    <row r="4665">
      <c r="C4665" s="246" t="inlineStr">
        <is>
          <t xml:space="preserve">Ddt opening SD5 (1 nr, 1.2x2.2) - both faces</t>
        </is>
      </c>
      <c r="D4665" s="248">
        <f>2*1</f>
        <v>2</v>
      </c>
      <c r="E4665" s="247">
        <v>1.2</v>
      </c>
      <c r="F4665" s="247">
        <v>2.2</v>
      </c>
      <c r="H4665" s="249">
        <f>-PRODUCT(D4665:G4665)</f>
        <v>-5.28</v>
      </c>
      <c r="J4665" s="253" t="inlineStr">
        <is>
          <t xml:space="preserve">-2*1*1.2*2.2</t>
        </is>
      </c>
    </row>
    <row r="4666">
      <c r="C4666" s="246" t="inlineStr">
        <is>
          <t xml:space="preserve">Ddt opening W2 (6 nr, 1.8x1.3)</t>
        </is>
      </c>
      <c r="D4666" s="248">
        <v>6</v>
      </c>
      <c r="E4666" s="247">
        <v>1.8</v>
      </c>
      <c r="F4666" s="247">
        <v>1.3</v>
      </c>
      <c r="H4666" s="249">
        <f>-PRODUCT(D4666:G4666)</f>
        <v>-14.040000000000001</v>
      </c>
      <c r="J4666" s="253" t="inlineStr">
        <is>
          <t xml:space="preserve">-6*1.8*1.3</t>
        </is>
      </c>
    </row>
    <row r="4667">
      <c r="C4667" s="246" t="inlineStr">
        <is>
          <t xml:space="preserve">Ddt opening W4 (10 nr, 0.9x1.3)</t>
        </is>
      </c>
      <c r="D4667" s="248">
        <v>10</v>
      </c>
      <c r="E4667" s="247">
        <v>0.9</v>
      </c>
      <c r="F4667" s="247">
        <v>1.3</v>
      </c>
      <c r="H4667" s="249">
        <f>-PRODUCT(D4667:G4667)</f>
        <v>-11.700000000000001</v>
      </c>
      <c r="J4667" s="253" t="inlineStr">
        <is>
          <t xml:space="preserve">-10*0.9*1.3</t>
        </is>
      </c>
    </row>
    <row r="4668">
      <c r="C4668" s="246" t="inlineStr">
        <is>
          <t xml:space="preserve">Ddt opening W7 (2 nr, 1.8x1.6)</t>
        </is>
      </c>
      <c r="D4668" s="248">
        <v>2</v>
      </c>
      <c r="E4668" s="247">
        <v>1.8</v>
      </c>
      <c r="F4668" s="247">
        <v>1.6</v>
      </c>
      <c r="H4668" s="249">
        <f>-PRODUCT(D4668:G4668)</f>
        <v>-5.760000000000001</v>
      </c>
      <c r="J4668" s="253" t="inlineStr">
        <is>
          <t xml:space="preserve">-2*1.8*1.6</t>
        </is>
      </c>
    </row>
    <row r="4669">
      <c r="C4669" s="246" t="inlineStr">
        <is>
          <t xml:space="preserve">Ddt opening W8 (3 nr, 1.2x1.9)</t>
        </is>
      </c>
      <c r="D4669" s="248">
        <v>3</v>
      </c>
      <c r="E4669" s="247">
        <v>1.2</v>
      </c>
      <c r="F4669" s="247">
        <v>1.9</v>
      </c>
      <c r="H4669" s="249">
        <f>-PRODUCT(D4669:G4669)</f>
        <v>-6.839999999999999</v>
      </c>
      <c r="J4669" s="253" t="inlineStr">
        <is>
          <t xml:space="preserve">-3*1.2*1.9</t>
        </is>
      </c>
    </row>
    <row r="4670">
      <c r="C4670" s="246" t="inlineStr">
        <is>
          <t xml:space="preserve">Ddt opening W9 (8 nr, 1.2x1.15)</t>
        </is>
      </c>
      <c r="D4670" s="248">
        <v>8</v>
      </c>
      <c r="E4670" s="247">
        <v>1.2</v>
      </c>
      <c r="F4670" s="247">
        <v>1.15</v>
      </c>
      <c r="H4670" s="249">
        <f>-PRODUCT(D4670:G4670)</f>
        <v>-11.04</v>
      </c>
      <c r="J4670" s="253" t="inlineStr">
        <is>
          <t xml:space="preserve">-8*1.2*1.15</t>
        </is>
      </c>
    </row>
    <row r="4671">
      <c r="C4671" s="246" t="inlineStr">
        <is>
          <t xml:space="preserve">Ddt opening W10 (1 nr, 1.2x1.2)</t>
        </is>
      </c>
      <c r="D4671" s="248">
        <v>1</v>
      </c>
      <c r="E4671" s="247">
        <v>1.2</v>
      </c>
      <c r="F4671" s="247">
        <v>1.2</v>
      </c>
      <c r="H4671" s="249">
        <f>-PRODUCT(D4671:G4671)</f>
        <v>-1.44</v>
      </c>
      <c r="J4671" s="253" t="inlineStr">
        <is>
          <t xml:space="preserve">-1*1.2*1.2</t>
        </is>
      </c>
    </row>
    <row r="4672">
      <c r="C4672" s="246" t="inlineStr">
        <is>
          <t xml:space="preserve">Ddt opening W11 (6 nr, 1.5x1.3)</t>
        </is>
      </c>
      <c r="D4672" s="248">
        <v>6</v>
      </c>
      <c r="E4672" s="247">
        <v>1.5</v>
      </c>
      <c r="F4672" s="247">
        <v>1.3</v>
      </c>
      <c r="H4672" s="249">
        <f>-PRODUCT(D4672:G4672)</f>
        <v>-11.700000000000001</v>
      </c>
      <c r="J4672" s="253" t="inlineStr">
        <is>
          <t xml:space="preserve">-6*1.5*1.3</t>
        </is>
      </c>
    </row>
    <row r="4673">
      <c r="C4673" s="246" t="inlineStr">
        <is>
          <t xml:space="preserve">Ddt opening W12 (4 nr, 1.5x1.15)</t>
        </is>
      </c>
      <c r="D4673" s="248">
        <v>4</v>
      </c>
      <c r="E4673" s="247">
        <v>1.5</v>
      </c>
      <c r="F4673" s="247">
        <v>1.15</v>
      </c>
      <c r="H4673" s="249">
        <f>-PRODUCT(D4673:G4673)</f>
        <v>-6.8999999999999995</v>
      </c>
      <c r="J4673" s="253" t="inlineStr">
        <is>
          <t xml:space="preserve">-4*1.5*1.15</t>
        </is>
      </c>
    </row>
    <row r="4674">
      <c r="C4674" s="246" t="inlineStr">
        <is>
          <t xml:space="preserve">Ddt opening W13 (1 nr, 2.4x1.3)</t>
        </is>
      </c>
      <c r="D4674" s="248">
        <v>1</v>
      </c>
      <c r="E4674" s="247">
        <v>2.4</v>
      </c>
      <c r="F4674" s="247">
        <v>1.3</v>
      </c>
      <c r="H4674" s="249">
        <f>-PRODUCT(D4674:G4674)</f>
        <v>-3.12</v>
      </c>
      <c r="J4674" s="253" t="inlineStr">
        <is>
          <t xml:space="preserve">-1*2.4*1.3</t>
        </is>
      </c>
    </row>
    <row r="4675">
      <c r="C4675" s="246" t="inlineStr">
        <is>
          <t xml:space="preserve">Ddt opening W15 (1 nr, 3x1.6)</t>
        </is>
      </c>
      <c r="D4675" s="248">
        <v>1</v>
      </c>
      <c r="E4675" s="247">
        <v>3</v>
      </c>
      <c r="F4675" s="247">
        <v>1.6</v>
      </c>
      <c r="H4675" s="249">
        <f>-PRODUCT(D4675:G4675)</f>
        <v>-4.800000000000001</v>
      </c>
      <c r="J4675" s="253" t="inlineStr">
        <is>
          <t xml:space="preserve">-1*3*1.6</t>
        </is>
      </c>
    </row>
    <row r="4676">
      <c r="C4676" s="246" t="inlineStr">
        <is>
          <t xml:space="preserve">Ddt opening W17 (3 nr, 1.8x1.9)</t>
        </is>
      </c>
      <c r="D4676" s="248">
        <v>3</v>
      </c>
      <c r="E4676" s="247">
        <v>1.8</v>
      </c>
      <c r="F4676" s="247">
        <v>1.9</v>
      </c>
      <c r="H4676" s="249">
        <f>-PRODUCT(D4676:G4676)</f>
        <v>-10.26</v>
      </c>
      <c r="J4676" s="253" t="inlineStr">
        <is>
          <t xml:space="preserve">-3*1.8*1.9</t>
        </is>
      </c>
    </row>
    <row r="4677">
      <c r="C4677" s="246" t="inlineStr">
        <is>
          <t xml:space="preserve">Ddt opening W18 (1 nr, 0.75x1.3)</t>
        </is>
      </c>
      <c r="D4677" s="248">
        <v>1</v>
      </c>
      <c r="E4677" s="247">
        <v>0.75</v>
      </c>
      <c r="F4677" s="247">
        <v>1.3</v>
      </c>
      <c r="H4677" s="249">
        <f>-PRODUCT(D4677:G4677)</f>
        <v>-0.9750000000000001</v>
      </c>
      <c r="J4677" s="253" t="inlineStr">
        <is>
          <t xml:space="preserve">-1*0.75*1.3</t>
        </is>
      </c>
    </row>
    <row r="4678">
      <c r="C4678" s="246" t="inlineStr">
        <is>
          <t xml:space="preserve">Ddt opening W20 (1 nr, 1.45x1.9)</t>
        </is>
      </c>
      <c r="D4678" s="248">
        <v>1</v>
      </c>
      <c r="E4678" s="247">
        <v>1.45</v>
      </c>
      <c r="F4678" s="247">
        <v>1.9</v>
      </c>
      <c r="H4678" s="249">
        <f>-PRODUCT(D4678:G4678)</f>
        <v>-2.755</v>
      </c>
      <c r="J4678" s="253" t="inlineStr">
        <is>
          <t xml:space="preserve">-1*1.45*1.9</t>
        </is>
      </c>
    </row>
    <row r="4679">
      <c r="C4679" s="246" t="inlineStr">
        <is>
          <t xml:space="preserve">Ddt opening HW1 (13 nr, 0.9x0.6)</t>
        </is>
      </c>
      <c r="D4679" s="248">
        <v>13</v>
      </c>
      <c r="E4679" s="247">
        <v>0.9</v>
      </c>
      <c r="F4679" s="247">
        <v>0.6</v>
      </c>
      <c r="H4679" s="249">
        <f>-PRODUCT(D4679:G4679)</f>
        <v>-7.0200000000000005</v>
      </c>
      <c r="J4679" s="253" t="inlineStr">
        <is>
          <t xml:space="preserve">-13*0.9*0.6</t>
        </is>
      </c>
    </row>
    <row r="4680">
      <c r="C4680" s="246" t="inlineStr">
        <is>
          <t xml:space="preserve">Ddt opening HW2 (5 nr, 0.75x0.6)</t>
        </is>
      </c>
      <c r="D4680" s="248">
        <v>5</v>
      </c>
      <c r="E4680" s="247">
        <v>0.75</v>
      </c>
      <c r="F4680" s="247">
        <v>0.6</v>
      </c>
      <c r="H4680" s="249">
        <f>-PRODUCT(D4680:G4680)</f>
        <v>-2.25</v>
      </c>
      <c r="J4680" s="253" t="inlineStr">
        <is>
          <t xml:space="preserve">-5*0.75*0.6</t>
        </is>
      </c>
    </row>
    <row r="4681">
      <c r="C4681" s="246" t="inlineStr">
        <is>
          <t xml:space="preserve">Ddt opening HW3 (2 nr, 0.6x0.6)</t>
        </is>
      </c>
      <c r="D4681" s="248">
        <v>2</v>
      </c>
      <c r="E4681" s="247">
        <v>0.6</v>
      </c>
      <c r="F4681" s="247">
        <v>0.6</v>
      </c>
      <c r="H4681" s="249">
        <f>-PRODUCT(D4681:G4681)</f>
        <v>-0.72</v>
      </c>
      <c r="J4681" s="253" t="inlineStr">
        <is>
          <t xml:space="preserve">-2*0.6*0.6</t>
        </is>
      </c>
    </row>
    <row r="4682">
      <c r="C4682" s="246" t="inlineStr">
        <is>
          <t xml:space="preserve">Ddt opening HW4 (2 nr, 1.2x0.6)</t>
        </is>
      </c>
      <c r="D4682" s="248">
        <v>2</v>
      </c>
      <c r="E4682" s="247">
        <v>1.2</v>
      </c>
      <c r="F4682" s="247">
        <v>0.6</v>
      </c>
      <c r="H4682" s="249">
        <f>-PRODUCT(D4682:G4682)</f>
        <v>-1.44</v>
      </c>
      <c r="J4682" s="253" t="inlineStr">
        <is>
          <t xml:space="preserve">-2*1.2*0.6</t>
        </is>
      </c>
    </row>
    <row r="4683">
      <c r="C4683" s="250" t="inlineStr">
        <is>
          <t xml:space="preserve">Total carried to BOQ  8TH FLR item A</t>
        </is>
      </c>
      <c r="D4683" s="250" t="inlineStr">
        <is>
          <t xml:space="preserve"/>
        </is>
      </c>
      <c r="E4683" s="250" t="inlineStr">
        <is>
          <t xml:space="preserve"/>
        </is>
      </c>
      <c r="F4683" s="250" t="inlineStr">
        <is>
          <t xml:space="preserve"/>
        </is>
      </c>
      <c r="G4683" s="250" t="inlineStr">
        <is>
          <t xml:space="preserve"/>
        </is>
      </c>
      <c r="H4683" s="251">
        <f>SUM(H4643:H4682)</f>
        <v>1860.698421052631</v>
      </c>
      <c r="I4683" s="252" t="inlineStr">
        <is>
          <t xml:space="preserve">m2</t>
        </is>
      </c>
    </row>
    <row r="4684">
      <c r="A4684" s="243" t="inlineStr">
        <is>
          <t xml:space="preserve">8TH FLR</t>
        </is>
      </c>
      <c r="B4684" s="243" t="inlineStr">
        <is>
          <t xml:space="preserve">B</t>
        </is>
      </c>
      <c r="C4684" s="244" t="inlineStr">
        <is>
          <t xml:space="preserve">Interior partitions and washrooms</t>
        </is>
      </c>
      <c r="I4684" s="245" t="inlineStr">
        <is>
          <t xml:space="preserve">m2</t>
        </is>
      </c>
      <c r="K4684" s="256" t="inlineStr">
        <is>
          <t xml:space="preserve">'8TH FLR   '!C223</t>
        </is>
      </c>
    </row>
    <row r="4685">
      <c r="C4685" s="246" t="inlineStr">
        <is>
          <t xml:space="preserve">washroom walls: (wet area / 3.8 m2 per WC) x 8.0 m girth x ht</t>
        </is>
      </c>
      <c r="E4685" s="247">
        <f>60.4/3.8</f>
        <v>15.894736842105264</v>
      </c>
      <c r="F4685" s="247">
        <v>8.0</v>
      </c>
      <c r="G4685" s="247">
        <v>3.05</v>
      </c>
      <c r="H4685" s="249">
        <f>PRODUCT(D4685:G4685)</f>
        <v>387.8315789473684</v>
      </c>
      <c r="J4685" s="253" t="inlineStr">
        <is>
          <t xml:space="preserve">60.4/3.8*8.0*3.05</t>
        </is>
      </c>
    </row>
    <row r="4686">
      <c r="C4686" s="246" t="inlineStr">
        <is>
          <t xml:space="preserve">Ddt washroom doors: nr x 0.75 x 2.2</t>
        </is>
      </c>
      <c r="E4686" s="247">
        <f>60.4/3.8</f>
        <v>15.894736842105264</v>
      </c>
      <c r="F4686" s="247">
        <v>0.75</v>
      </c>
      <c r="G4686" s="247">
        <v>2.2</v>
      </c>
      <c r="H4686" s="249">
        <f>-PRODUCT(D4686:G4686)</f>
        <v>-26.226315789473688</v>
      </c>
      <c r="J4686" s="253" t="inlineStr">
        <is>
          <t xml:space="preserve">-60.4/3.8*0.75*2.2</t>
        </is>
      </c>
    </row>
    <row r="4687">
      <c r="C4687" s="250" t="inlineStr">
        <is>
          <t xml:space="preserve">Total carried to BOQ  8TH FLR item B</t>
        </is>
      </c>
      <c r="D4687" s="250" t="inlineStr">
        <is>
          <t xml:space="preserve"/>
        </is>
      </c>
      <c r="E4687" s="250" t="inlineStr">
        <is>
          <t xml:space="preserve"/>
        </is>
      </c>
      <c r="F4687" s="250" t="inlineStr">
        <is>
          <t xml:space="preserve"/>
        </is>
      </c>
      <c r="G4687" s="250" t="inlineStr">
        <is>
          <t xml:space="preserve"/>
        </is>
      </c>
      <c r="H4687" s="251">
        <f>SUM(H4685:H4686)</f>
        <v>361.60526315789474</v>
      </c>
      <c r="I4687" s="252" t="inlineStr">
        <is>
          <t xml:space="preserve">m2</t>
        </is>
      </c>
    </row>
    <row r="4688">
      <c r="A4688" s="243" t="inlineStr">
        <is>
          <t xml:space="preserve">8TH FLR</t>
        </is>
      </c>
      <c r="B4688" s="243" t="inlineStr">
        <is>
          <t xml:space="preserve">C</t>
        </is>
      </c>
      <c r="C4688" s="244" t="inlineStr">
        <is>
          <t xml:space="preserve">External walls</t>
        </is>
      </c>
      <c r="I4688" s="245" t="inlineStr">
        <is>
          <t xml:space="preserve">m2</t>
        </is>
      </c>
      <c r="K4688" s="256" t="inlineStr">
        <is>
          <t xml:space="preserve">'8TH FLR   '!C225</t>
        </is>
      </c>
    </row>
    <row r="4689">
      <c r="C4689" s="246" t="inlineStr">
        <is>
          <t xml:space="preserve">External perimeter x storey ht</t>
        </is>
      </c>
      <c r="E4689" s="247">
        <v>224.2</v>
      </c>
      <c r="F4689" s="247">
        <v>3.3</v>
      </c>
      <c r="H4689" s="249">
        <f>PRODUCT(D4689:G4689)</f>
        <v>739.8599999999999</v>
      </c>
      <c r="J4689" s="253" t="inlineStr">
        <is>
          <t xml:space="preserve">224.2*3.3</t>
        </is>
      </c>
    </row>
    <row r="4690">
      <c r="C4690" s="246" t="inlineStr">
        <is>
          <t xml:space="preserve">Ddt window W2 (6 nr, 1.8x1.3)</t>
        </is>
      </c>
      <c r="D4690" s="248">
        <v>6</v>
      </c>
      <c r="E4690" s="247">
        <v>1.8</v>
      </c>
      <c r="F4690" s="247">
        <v>1.3</v>
      </c>
      <c r="H4690" s="249">
        <f>-PRODUCT(D4690:G4690)</f>
        <v>-14.040000000000001</v>
      </c>
      <c r="J4690" s="253" t="inlineStr">
        <is>
          <t xml:space="preserve">-6*1.8*1.3</t>
        </is>
      </c>
    </row>
    <row r="4691">
      <c r="C4691" s="246" t="inlineStr">
        <is>
          <t xml:space="preserve">Ddt window W4 (10 nr, 0.9x1.3)</t>
        </is>
      </c>
      <c r="D4691" s="248">
        <v>10</v>
      </c>
      <c r="E4691" s="247">
        <v>0.9</v>
      </c>
      <c r="F4691" s="247">
        <v>1.3</v>
      </c>
      <c r="H4691" s="249">
        <f>-PRODUCT(D4691:G4691)</f>
        <v>-11.700000000000001</v>
      </c>
      <c r="J4691" s="253" t="inlineStr">
        <is>
          <t xml:space="preserve">-10*0.9*1.3</t>
        </is>
      </c>
    </row>
    <row r="4692">
      <c r="C4692" s="246" t="inlineStr">
        <is>
          <t xml:space="preserve">Ddt window W7 (2 nr, 1.8x1.6)</t>
        </is>
      </c>
      <c r="D4692" s="248">
        <v>2</v>
      </c>
      <c r="E4692" s="247">
        <v>1.8</v>
      </c>
      <c r="F4692" s="247">
        <v>1.6</v>
      </c>
      <c r="H4692" s="249">
        <f>-PRODUCT(D4692:G4692)</f>
        <v>-5.760000000000001</v>
      </c>
      <c r="J4692" s="253" t="inlineStr">
        <is>
          <t xml:space="preserve">-2*1.8*1.6</t>
        </is>
      </c>
    </row>
    <row r="4693">
      <c r="C4693" s="246" t="inlineStr">
        <is>
          <t xml:space="preserve">Ddt window W8 (3 nr, 1.2x1.9)</t>
        </is>
      </c>
      <c r="D4693" s="248">
        <v>3</v>
      </c>
      <c r="E4693" s="247">
        <v>1.2</v>
      </c>
      <c r="F4693" s="247">
        <v>1.9</v>
      </c>
      <c r="H4693" s="249">
        <f>-PRODUCT(D4693:G4693)</f>
        <v>-6.839999999999999</v>
      </c>
      <c r="J4693" s="253" t="inlineStr">
        <is>
          <t xml:space="preserve">-3*1.2*1.9</t>
        </is>
      </c>
    </row>
    <row r="4694">
      <c r="C4694" s="246" t="inlineStr">
        <is>
          <t xml:space="preserve">Ddt window W9 (8 nr, 1.2x1.15)</t>
        </is>
      </c>
      <c r="D4694" s="248">
        <v>8</v>
      </c>
      <c r="E4694" s="247">
        <v>1.2</v>
      </c>
      <c r="F4694" s="247">
        <v>1.15</v>
      </c>
      <c r="H4694" s="249">
        <f>-PRODUCT(D4694:G4694)</f>
        <v>-11.04</v>
      </c>
      <c r="J4694" s="253" t="inlineStr">
        <is>
          <t xml:space="preserve">-8*1.2*1.15</t>
        </is>
      </c>
    </row>
    <row r="4695">
      <c r="C4695" s="246" t="inlineStr">
        <is>
          <t xml:space="preserve">Ddt window W10 (1 nr, 1.2x1.2)</t>
        </is>
      </c>
      <c r="D4695" s="248">
        <v>1</v>
      </c>
      <c r="E4695" s="247">
        <v>1.2</v>
      </c>
      <c r="F4695" s="247">
        <v>1.2</v>
      </c>
      <c r="H4695" s="249">
        <f>-PRODUCT(D4695:G4695)</f>
        <v>-1.44</v>
      </c>
      <c r="J4695" s="253" t="inlineStr">
        <is>
          <t xml:space="preserve">-1*1.2*1.2</t>
        </is>
      </c>
    </row>
    <row r="4696">
      <c r="C4696" s="246" t="inlineStr">
        <is>
          <t xml:space="preserve">Ddt window W11 (6 nr, 1.5x1.3)</t>
        </is>
      </c>
      <c r="D4696" s="248">
        <v>6</v>
      </c>
      <c r="E4696" s="247">
        <v>1.5</v>
      </c>
      <c r="F4696" s="247">
        <v>1.3</v>
      </c>
      <c r="H4696" s="249">
        <f>-PRODUCT(D4696:G4696)</f>
        <v>-11.700000000000001</v>
      </c>
      <c r="J4696" s="253" t="inlineStr">
        <is>
          <t xml:space="preserve">-6*1.5*1.3</t>
        </is>
      </c>
    </row>
    <row r="4697">
      <c r="C4697" s="246" t="inlineStr">
        <is>
          <t xml:space="preserve">Ddt window W12 (4 nr, 1.5x1.15)</t>
        </is>
      </c>
      <c r="D4697" s="248">
        <v>4</v>
      </c>
      <c r="E4697" s="247">
        <v>1.5</v>
      </c>
      <c r="F4697" s="247">
        <v>1.15</v>
      </c>
      <c r="H4697" s="249">
        <f>-PRODUCT(D4697:G4697)</f>
        <v>-6.8999999999999995</v>
      </c>
      <c r="J4697" s="253" t="inlineStr">
        <is>
          <t xml:space="preserve">-4*1.5*1.15</t>
        </is>
      </c>
    </row>
    <row r="4698">
      <c r="C4698" s="246" t="inlineStr">
        <is>
          <t xml:space="preserve">Ddt window W13 (1 nr, 2.4x1.3)</t>
        </is>
      </c>
      <c r="D4698" s="248">
        <v>1</v>
      </c>
      <c r="E4698" s="247">
        <v>2.4</v>
      </c>
      <c r="F4698" s="247">
        <v>1.3</v>
      </c>
      <c r="H4698" s="249">
        <f>-PRODUCT(D4698:G4698)</f>
        <v>-3.12</v>
      </c>
      <c r="J4698" s="253" t="inlineStr">
        <is>
          <t xml:space="preserve">-1*2.4*1.3</t>
        </is>
      </c>
    </row>
    <row r="4699">
      <c r="C4699" s="246" t="inlineStr">
        <is>
          <t xml:space="preserve">Ddt window W15 (1 nr, 3x1.6)</t>
        </is>
      </c>
      <c r="D4699" s="248">
        <v>1</v>
      </c>
      <c r="E4699" s="247">
        <v>3</v>
      </c>
      <c r="F4699" s="247">
        <v>1.6</v>
      </c>
      <c r="H4699" s="249">
        <f>-PRODUCT(D4699:G4699)</f>
        <v>-4.800000000000001</v>
      </c>
      <c r="J4699" s="253" t="inlineStr">
        <is>
          <t xml:space="preserve">-1*3*1.6</t>
        </is>
      </c>
    </row>
    <row r="4700">
      <c r="C4700" s="246" t="inlineStr">
        <is>
          <t xml:space="preserve">Ddt window W17 (3 nr, 1.8x1.9)</t>
        </is>
      </c>
      <c r="D4700" s="248">
        <v>3</v>
      </c>
      <c r="E4700" s="247">
        <v>1.8</v>
      </c>
      <c r="F4700" s="247">
        <v>1.9</v>
      </c>
      <c r="H4700" s="249">
        <f>-PRODUCT(D4700:G4700)</f>
        <v>-10.26</v>
      </c>
      <c r="J4700" s="253" t="inlineStr">
        <is>
          <t xml:space="preserve">-3*1.8*1.9</t>
        </is>
      </c>
    </row>
    <row r="4701">
      <c r="C4701" s="246" t="inlineStr">
        <is>
          <t xml:space="preserve">Ddt window W18 (1 nr, 0.75x1.3)</t>
        </is>
      </c>
      <c r="D4701" s="248">
        <v>1</v>
      </c>
      <c r="E4701" s="247">
        <v>0.75</v>
      </c>
      <c r="F4701" s="247">
        <v>1.3</v>
      </c>
      <c r="H4701" s="249">
        <f>-PRODUCT(D4701:G4701)</f>
        <v>-0.9750000000000001</v>
      </c>
      <c r="J4701" s="253" t="inlineStr">
        <is>
          <t xml:space="preserve">-1*0.75*1.3</t>
        </is>
      </c>
    </row>
    <row r="4702">
      <c r="C4702" s="246" t="inlineStr">
        <is>
          <t xml:space="preserve">Ddt window W20 (1 nr, 1.45x1.9)</t>
        </is>
      </c>
      <c r="D4702" s="248">
        <v>1</v>
      </c>
      <c r="E4702" s="247">
        <v>1.45</v>
      </c>
      <c r="F4702" s="247">
        <v>1.9</v>
      </c>
      <c r="H4702" s="249">
        <f>-PRODUCT(D4702:G4702)</f>
        <v>-2.755</v>
      </c>
      <c r="J4702" s="253" t="inlineStr">
        <is>
          <t xml:space="preserve">-1*1.45*1.9</t>
        </is>
      </c>
    </row>
    <row r="4703">
      <c r="C4703" s="246" t="inlineStr">
        <is>
          <t xml:space="preserve">Ddt window HW1 (13 nr, 0.9x0.6)</t>
        </is>
      </c>
      <c r="D4703" s="248">
        <v>13</v>
      </c>
      <c r="E4703" s="247">
        <v>0.9</v>
      </c>
      <c r="F4703" s="247">
        <v>0.6</v>
      </c>
      <c r="H4703" s="249">
        <f>-PRODUCT(D4703:G4703)</f>
        <v>-7.0200000000000005</v>
      </c>
      <c r="J4703" s="253" t="inlineStr">
        <is>
          <t xml:space="preserve">-13*0.9*0.6</t>
        </is>
      </c>
    </row>
    <row r="4704">
      <c r="C4704" s="246" t="inlineStr">
        <is>
          <t xml:space="preserve">Ddt window HW2 (5 nr, 0.75x0.6)</t>
        </is>
      </c>
      <c r="D4704" s="248">
        <v>5</v>
      </c>
      <c r="E4704" s="247">
        <v>0.75</v>
      </c>
      <c r="F4704" s="247">
        <v>0.6</v>
      </c>
      <c r="H4704" s="249">
        <f>-PRODUCT(D4704:G4704)</f>
        <v>-2.25</v>
      </c>
      <c r="J4704" s="253" t="inlineStr">
        <is>
          <t xml:space="preserve">-5*0.75*0.6</t>
        </is>
      </c>
    </row>
    <row r="4705">
      <c r="C4705" s="246" t="inlineStr">
        <is>
          <t xml:space="preserve">Ddt window HW3 (2 nr, 0.6x0.6)</t>
        </is>
      </c>
      <c r="D4705" s="248">
        <v>2</v>
      </c>
      <c r="E4705" s="247">
        <v>0.6</v>
      </c>
      <c r="F4705" s="247">
        <v>0.6</v>
      </c>
      <c r="H4705" s="249">
        <f>-PRODUCT(D4705:G4705)</f>
        <v>-0.72</v>
      </c>
      <c r="J4705" s="253" t="inlineStr">
        <is>
          <t xml:space="preserve">-2*0.6*0.6</t>
        </is>
      </c>
    </row>
    <row r="4706">
      <c r="C4706" s="246" t="inlineStr">
        <is>
          <t xml:space="preserve">Ddt window HW4 (2 nr, 1.2x0.6)</t>
        </is>
      </c>
      <c r="D4706" s="248">
        <v>2</v>
      </c>
      <c r="E4706" s="247">
        <v>1.2</v>
      </c>
      <c r="F4706" s="247">
        <v>0.6</v>
      </c>
      <c r="H4706" s="249">
        <f>-PRODUCT(D4706:G4706)</f>
        <v>-1.44</v>
      </c>
      <c r="J4706" s="253" t="inlineStr">
        <is>
          <t xml:space="preserve">-2*1.2*0.6</t>
        </is>
      </c>
    </row>
    <row r="4707">
      <c r="C4707" s="250" t="inlineStr">
        <is>
          <t xml:space="preserve">Total carried to BOQ  8TH FLR item C</t>
        </is>
      </c>
      <c r="D4707" s="250" t="inlineStr">
        <is>
          <t xml:space="preserve"/>
        </is>
      </c>
      <c r="E4707" s="250" t="inlineStr">
        <is>
          <t xml:space="preserve"/>
        </is>
      </c>
      <c r="F4707" s="250" t="inlineStr">
        <is>
          <t xml:space="preserve"/>
        </is>
      </c>
      <c r="G4707" s="250" t="inlineStr">
        <is>
          <t xml:space="preserve"/>
        </is>
      </c>
      <c r="H4707" s="251">
        <f>SUM(H4689:H4706)</f>
        <v>637.0999999999998</v>
      </c>
      <c r="I4707" s="252" t="inlineStr">
        <is>
          <t xml:space="preserve">m2</t>
        </is>
      </c>
    </row>
    <row r="4708">
      <c r="A4708" s="243" t="inlineStr">
        <is>
          <t xml:space="preserve">8TH FLR</t>
        </is>
      </c>
      <c r="B4708" s="243" t="inlineStr">
        <is>
          <t xml:space="preserve">D</t>
        </is>
      </c>
      <c r="C4708" s="244" t="inlineStr">
        <is>
          <t xml:space="preserve">12mm cement and sand (1:4) screeded backing to receive wall tiles</t>
        </is>
      </c>
      <c r="I4708" s="245" t="inlineStr">
        <is>
          <t xml:space="preserve">m2</t>
        </is>
      </c>
      <c r="K4708" s="256" t="inlineStr">
        <is>
          <t xml:space="preserve">'8TH FLR   '!C227</t>
        </is>
      </c>
    </row>
    <row r="4709">
      <c r="C4709" s="246" t="inlineStr">
        <is>
          <t xml:space="preserve">washroom walls: (wet area / 3.8 m2 per WC) x 8.0 m girth x ht</t>
        </is>
      </c>
      <c r="E4709" s="247">
        <f>60.4/3.8</f>
        <v>15.894736842105264</v>
      </c>
      <c r="F4709" s="247">
        <v>8.0</v>
      </c>
      <c r="G4709" s="247">
        <v>2.4</v>
      </c>
      <c r="H4709" s="249">
        <f>PRODUCT(D4709:G4709)</f>
        <v>305.17894736842106</v>
      </c>
      <c r="J4709" s="253" t="inlineStr">
        <is>
          <t xml:space="preserve">60.4/3.8*8.0*2.4</t>
        </is>
      </c>
    </row>
    <row r="4710">
      <c r="C4710" s="246" t="inlineStr">
        <is>
          <t xml:space="preserve">Ddt washroom doors: nr x 0.75 x 2.2</t>
        </is>
      </c>
      <c r="E4710" s="247">
        <f>60.4/3.8</f>
        <v>15.894736842105264</v>
      </c>
      <c r="F4710" s="247">
        <v>0.75</v>
      </c>
      <c r="G4710" s="247">
        <v>2.2</v>
      </c>
      <c r="H4710" s="249">
        <f>-PRODUCT(D4710:G4710)</f>
        <v>-26.226315789473688</v>
      </c>
      <c r="J4710" s="253" t="inlineStr">
        <is>
          <t xml:space="preserve">-60.4/3.8*0.75*2.2</t>
        </is>
      </c>
    </row>
    <row r="4711">
      <c r="C4711" s="250" t="inlineStr">
        <is>
          <t xml:space="preserve">Total carried to BOQ  8TH FLR item D</t>
        </is>
      </c>
      <c r="D4711" s="250" t="inlineStr">
        <is>
          <t xml:space="preserve"/>
        </is>
      </c>
      <c r="E4711" s="250" t="inlineStr">
        <is>
          <t xml:space="preserve"/>
        </is>
      </c>
      <c r="F4711" s="250" t="inlineStr">
        <is>
          <t xml:space="preserve"/>
        </is>
      </c>
      <c r="G4711" s="250" t="inlineStr">
        <is>
          <t xml:space="preserve"/>
        </is>
      </c>
      <c r="H4711" s="251">
        <f>SUM(H4709:H4710)</f>
        <v>278.9526315789474</v>
      </c>
      <c r="I4711" s="252" t="inlineStr">
        <is>
          <t xml:space="preserve">m2</t>
        </is>
      </c>
    </row>
    <row r="4712" ht="32.2" customHeight="1">
      <c r="A4712" s="243" t="inlineStr">
        <is>
          <t xml:space="preserve">8TH FLR</t>
        </is>
      </c>
      <c r="B4712" s="243" t="inlineStr">
        <is>
          <t xml:space="preserve">E</t>
        </is>
      </c>
      <c r="C4712" s="244" t="inlineStr">
        <is>
          <t xml:space="preserve">Ceramic/porcelain wall tiles to washrooms to 2.4m high, adhesive &amp; grout (type TBC)</t>
        </is>
      </c>
      <c r="I4712" s="245" t="inlineStr">
        <is>
          <t xml:space="preserve">m2</t>
        </is>
      </c>
      <c r="K4712" s="256" t="inlineStr">
        <is>
          <t xml:space="preserve">'8TH FLR   '!C229</t>
        </is>
      </c>
    </row>
    <row r="4713">
      <c r="C4713" s="246" t="inlineStr">
        <is>
          <t xml:space="preserve">washroom walls: (wet area / 3.8 m2 per WC) x 8.0 m girth x ht</t>
        </is>
      </c>
      <c r="E4713" s="247">
        <f>60.4/3.8</f>
        <v>15.894736842105264</v>
      </c>
      <c r="F4713" s="247">
        <v>8.0</v>
      </c>
      <c r="G4713" s="247">
        <v>2.4</v>
      </c>
      <c r="H4713" s="249">
        <f>PRODUCT(D4713:G4713)</f>
        <v>305.17894736842106</v>
      </c>
      <c r="J4713" s="253" t="inlineStr">
        <is>
          <t xml:space="preserve">60.4/3.8*8.0*2.4</t>
        </is>
      </c>
    </row>
    <row r="4714">
      <c r="C4714" s="246" t="inlineStr">
        <is>
          <t xml:space="preserve">Ddt washroom doors: nr x 0.75 x 2.2</t>
        </is>
      </c>
      <c r="E4714" s="247">
        <f>60.4/3.8</f>
        <v>15.894736842105264</v>
      </c>
      <c r="F4714" s="247">
        <v>0.75</v>
      </c>
      <c r="G4714" s="247">
        <v>2.2</v>
      </c>
      <c r="H4714" s="249">
        <f>-PRODUCT(D4714:G4714)</f>
        <v>-26.226315789473688</v>
      </c>
      <c r="J4714" s="253" t="inlineStr">
        <is>
          <t xml:space="preserve">-60.4/3.8*0.75*2.2</t>
        </is>
      </c>
    </row>
    <row r="4715">
      <c r="C4715" s="250" t="inlineStr">
        <is>
          <t xml:space="preserve">Total carried to BOQ  8TH FLR item E</t>
        </is>
      </c>
      <c r="D4715" s="250" t="inlineStr">
        <is>
          <t xml:space="preserve"/>
        </is>
      </c>
      <c r="E4715" s="250" t="inlineStr">
        <is>
          <t xml:space="preserve"/>
        </is>
      </c>
      <c r="F4715" s="250" t="inlineStr">
        <is>
          <t xml:space="preserve"/>
        </is>
      </c>
      <c r="G4715" s="250" t="inlineStr">
        <is>
          <t xml:space="preserve"/>
        </is>
      </c>
      <c r="H4715" s="251">
        <f>SUM(H4713:H4714)</f>
        <v>278.9526315789474</v>
      </c>
      <c r="I4715" s="252" t="inlineStr">
        <is>
          <t xml:space="preserve">m2</t>
        </is>
      </c>
    </row>
    <row r="4716">
      <c r="C4716" s="242" t="inlineStr">
        <is>
          <t xml:space="preserve">ELEMENT NO. 7: PAINTING AND DECORATING</t>
        </is>
      </c>
    </row>
    <row r="4717">
      <c r="C4717" s="242" t="inlineStr">
        <is>
          <t xml:space="preserve">M60 PAINTING - Prepare and apply two undercoats and finishing coat of emulsion paint on:</t>
        </is>
      </c>
    </row>
    <row r="4718">
      <c r="A4718" s="243" t="inlineStr">
        <is>
          <t xml:space="preserve">8TH FLR</t>
        </is>
      </c>
      <c r="B4718" s="243" t="inlineStr">
        <is>
          <t xml:space="preserve">A</t>
        </is>
      </c>
      <c r="C4718" s="244" t="inlineStr">
        <is>
          <t xml:space="preserve">Interior walls</t>
        </is>
      </c>
      <c r="I4718" s="245" t="inlineStr">
        <is>
          <t xml:space="preserve">m2</t>
        </is>
      </c>
      <c r="K4718" s="256" t="inlineStr">
        <is>
          <t xml:space="preserve">'8TH FLR   '!C237</t>
        </is>
      </c>
    </row>
    <row r="4719">
      <c r="C4719" s="246" t="inlineStr">
        <is>
          <t xml:space="preserve">block wall faces: 2 x (150 + 200 block runs) x ht</t>
        </is>
      </c>
      <c r="D4719" s="248">
        <v>2</v>
      </c>
      <c r="E4719" s="247">
        <f>441.2+51.7</f>
        <v>492.9</v>
      </c>
      <c r="F4719" s="247">
        <v>3.05</v>
      </c>
      <c r="H4719" s="249">
        <f>PRODUCT(D4719:G4719)</f>
        <v>3006.6899999999996</v>
      </c>
      <c r="J4719" s="253" t="inlineStr">
        <is>
          <t xml:space="preserve">2*(441.2+51.7)*3.05</t>
        </is>
      </c>
    </row>
    <row r="4720">
      <c r="C4720" s="246" t="inlineStr">
        <is>
          <t xml:space="preserve">RC wall faces: 2 x RC wall run x ht</t>
        </is>
      </c>
      <c r="D4720" s="248">
        <v>2</v>
      </c>
      <c r="E4720" s="247">
        <v>67.3</v>
      </c>
      <c r="F4720" s="247">
        <v>3.05</v>
      </c>
      <c r="H4720" s="249">
        <f>PRODUCT(D4720:G4720)</f>
        <v>410.53</v>
      </c>
      <c r="J4720" s="253" t="inlineStr">
        <is>
          <t xml:space="preserve">2*67.3*3.05</t>
        </is>
      </c>
    </row>
    <row r="4721">
      <c r="C4721" s="246" t="inlineStr">
        <is>
          <t xml:space="preserve">Ddt lift/stair shaft inner faces 16.8 m x ht</t>
        </is>
      </c>
      <c r="E4721" s="247">
        <v>16.8</v>
      </c>
      <c r="F4721" s="247">
        <v>3.05</v>
      </c>
      <c r="H4721" s="249">
        <f>-PRODUCT(D4721:G4721)</f>
        <v>-51.24</v>
      </c>
      <c r="J4721" s="253" t="inlineStr">
        <is>
          <t xml:space="preserve">-16.8*3.05</t>
        </is>
      </c>
    </row>
    <row r="4722">
      <c r="C4722" s="246" t="inlineStr">
        <is>
          <t xml:space="preserve">Ddt external face of perimeter wall (rendered externally)</t>
        </is>
      </c>
      <c r="E4722" s="247">
        <v>224.2</v>
      </c>
      <c r="F4722" s="247">
        <v>3.05</v>
      </c>
      <c r="H4722" s="249">
        <f>-PRODUCT(D4722:G4722)</f>
        <v>-683.81</v>
      </c>
      <c r="J4722" s="253" t="inlineStr">
        <is>
          <t xml:space="preserve">-224.2*3.05</t>
        </is>
      </c>
    </row>
    <row r="4723">
      <c r="C4723" s="246" t="inlineStr">
        <is>
          <t xml:space="preserve">Ddt washroom walls (measured separately)</t>
        </is>
      </c>
      <c r="E4723" s="247">
        <f>60.4/3.8</f>
        <v>15.894736842105264</v>
      </c>
      <c r="F4723" s="247">
        <v>8.0</v>
      </c>
      <c r="G4723" s="247">
        <v>3.05</v>
      </c>
      <c r="H4723" s="249">
        <f>-PRODUCT(D4723:G4723)</f>
        <v>-387.8315789473684</v>
      </c>
      <c r="J4723" s="253" t="inlineStr">
        <is>
          <t xml:space="preserve">-60.4/3.8*8.0*3.05</t>
        </is>
      </c>
    </row>
    <row r="4724">
      <c r="C4724" s="246" t="inlineStr">
        <is>
          <t xml:space="preserve">Ddt opening D2 (8 nr, 1x2.2) - both faces</t>
        </is>
      </c>
      <c r="D4724" s="248">
        <f>2*8</f>
        <v>16</v>
      </c>
      <c r="E4724" s="247">
        <v>1</v>
      </c>
      <c r="F4724" s="247">
        <v>2.2</v>
      </c>
      <c r="H4724" s="249">
        <f>-PRODUCT(D4724:G4724)</f>
        <v>-35.2</v>
      </c>
      <c r="J4724" s="253" t="inlineStr">
        <is>
          <t xml:space="preserve">-2*8*1*2.2</t>
        </is>
      </c>
    </row>
    <row r="4725">
      <c r="C4725" s="246" t="inlineStr">
        <is>
          <t xml:space="preserve">Ddt opening D3 (15 nr, 0.9x2.2) - both faces</t>
        </is>
      </c>
      <c r="D4725" s="248">
        <f>2*15</f>
        <v>30</v>
      </c>
      <c r="E4725" s="247">
        <v>0.9</v>
      </c>
      <c r="F4725" s="247">
        <v>2.2</v>
      </c>
      <c r="H4725" s="249">
        <f>-PRODUCT(D4725:G4725)</f>
        <v>-59.400000000000006</v>
      </c>
      <c r="J4725" s="253" t="inlineStr">
        <is>
          <t xml:space="preserve">-2*15*0.9*2.2</t>
        </is>
      </c>
    </row>
    <row r="4726">
      <c r="C4726" s="246" t="inlineStr">
        <is>
          <t xml:space="preserve">Ddt opening D6 (21 nr, 0.75x2.2) - both faces</t>
        </is>
      </c>
      <c r="D4726" s="248">
        <f>2*21</f>
        <v>42</v>
      </c>
      <c r="E4726" s="247">
        <v>0.75</v>
      </c>
      <c r="F4726" s="247">
        <v>2.2</v>
      </c>
      <c r="H4726" s="249">
        <f>-PRODUCT(D4726:G4726)</f>
        <v>-69.30000000000001</v>
      </c>
      <c r="J4726" s="253" t="inlineStr">
        <is>
          <t xml:space="preserve">-2*21*0.75*2.2</t>
        </is>
      </c>
    </row>
    <row r="4727">
      <c r="C4727" s="246" t="inlineStr">
        <is>
          <t xml:space="preserve">Ddt opening D7 (1 nr, 0.7x2.2) - both faces</t>
        </is>
      </c>
      <c r="D4727" s="248">
        <f>2*1</f>
        <v>2</v>
      </c>
      <c r="E4727" s="247">
        <v>0.7</v>
      </c>
      <c r="F4727" s="247">
        <v>2.2</v>
      </c>
      <c r="H4727" s="249">
        <f>-PRODUCT(D4727:G4727)</f>
        <v>-3.08</v>
      </c>
      <c r="J4727" s="253" t="inlineStr">
        <is>
          <t xml:space="preserve">-2*1*0.7*2.2</t>
        </is>
      </c>
    </row>
    <row r="4728">
      <c r="C4728" s="246" t="inlineStr">
        <is>
          <t xml:space="preserve">Ddt opening D8 (2 nr, 1.2x2.2) - both faces</t>
        </is>
      </c>
      <c r="D4728" s="248">
        <f>2*2</f>
        <v>4</v>
      </c>
      <c r="E4728" s="247">
        <v>1.2</v>
      </c>
      <c r="F4728" s="247">
        <v>2.2</v>
      </c>
      <c r="H4728" s="249">
        <f>-PRODUCT(D4728:G4728)</f>
        <v>-10.56</v>
      </c>
      <c r="J4728" s="253" t="inlineStr">
        <is>
          <t xml:space="preserve">-2*2*1.2*2.2</t>
        </is>
      </c>
    </row>
    <row r="4729">
      <c r="C4729" s="246" t="inlineStr">
        <is>
          <t xml:space="preserve">Ddt opening ED1 (3 nr, 1x2.2) - both faces</t>
        </is>
      </c>
      <c r="D4729" s="248">
        <f>2*3</f>
        <v>6</v>
      </c>
      <c r="E4729" s="247">
        <v>1</v>
      </c>
      <c r="F4729" s="247">
        <v>2.2</v>
      </c>
      <c r="H4729" s="249">
        <f>-PRODUCT(D4729:G4729)</f>
        <v>-13.200000000000001</v>
      </c>
      <c r="J4729" s="253" t="inlineStr">
        <is>
          <t xml:space="preserve">-2*3*1*2.2</t>
        </is>
      </c>
    </row>
    <row r="4730">
      <c r="C4730" s="246" t="inlineStr">
        <is>
          <t xml:space="preserve">Ddt opening ED2 (2 nr, 1x2.2) - both faces</t>
        </is>
      </c>
      <c r="D4730" s="248">
        <f>2*2</f>
        <v>4</v>
      </c>
      <c r="E4730" s="247">
        <v>1</v>
      </c>
      <c r="F4730" s="247">
        <v>2.2</v>
      </c>
      <c r="H4730" s="249">
        <f>-PRODUCT(D4730:G4730)</f>
        <v>-8.8</v>
      </c>
      <c r="J4730" s="253" t="inlineStr">
        <is>
          <t xml:space="preserve">-2*2*1*2.2</t>
        </is>
      </c>
    </row>
    <row r="4731">
      <c r="C4731" s="246" t="inlineStr">
        <is>
          <t xml:space="preserve">Ddt opening D9 (1 nr, 0.9x2.2) - both faces</t>
        </is>
      </c>
      <c r="D4731" s="248">
        <f>2*1</f>
        <v>2</v>
      </c>
      <c r="E4731" s="247">
        <v>0.9</v>
      </c>
      <c r="F4731" s="247">
        <v>2.2</v>
      </c>
      <c r="H4731" s="249">
        <f>-PRODUCT(D4731:G4731)</f>
        <v>-3.9600000000000004</v>
      </c>
      <c r="J4731" s="253" t="inlineStr">
        <is>
          <t xml:space="preserve">-2*1*0.9*2.2</t>
        </is>
      </c>
    </row>
    <row r="4732">
      <c r="C4732" s="246" t="inlineStr">
        <is>
          <t xml:space="preserve">Ddt opening FD1 (1 nr, 1.5x2.2) - both faces</t>
        </is>
      </c>
      <c r="D4732" s="248">
        <f>2*1</f>
        <v>2</v>
      </c>
      <c r="E4732" s="247">
        <v>1.5</v>
      </c>
      <c r="F4732" s="247">
        <v>2.2</v>
      </c>
      <c r="H4732" s="249">
        <f>-PRODUCT(D4732:G4732)</f>
        <v>-6.6000000000000005</v>
      </c>
      <c r="J4732" s="253" t="inlineStr">
        <is>
          <t xml:space="preserve">-2*1*1.5*2.2</t>
        </is>
      </c>
    </row>
    <row r="4733">
      <c r="C4733" s="246" t="inlineStr">
        <is>
          <t xml:space="preserve">Ddt opening M1 (2 nr, 0.9x2.2) - both faces</t>
        </is>
      </c>
      <c r="D4733" s="248">
        <f>2*2</f>
        <v>4</v>
      </c>
      <c r="E4733" s="247">
        <v>0.9</v>
      </c>
      <c r="F4733" s="247">
        <v>2.2</v>
      </c>
      <c r="H4733" s="249">
        <f>-PRODUCT(D4733:G4733)</f>
        <v>-7.920000000000001</v>
      </c>
      <c r="J4733" s="253" t="inlineStr">
        <is>
          <t xml:space="preserve">-2*2*0.9*2.2</t>
        </is>
      </c>
    </row>
    <row r="4734">
      <c r="C4734" s="246" t="inlineStr">
        <is>
          <t xml:space="preserve">Ddt opening M2 (4 nr, 0.75x2.2) - both faces</t>
        </is>
      </c>
      <c r="D4734" s="248">
        <f>2*4</f>
        <v>8</v>
      </c>
      <c r="E4734" s="247">
        <v>0.75</v>
      </c>
      <c r="F4734" s="247">
        <v>2.2</v>
      </c>
      <c r="H4734" s="249">
        <f>-PRODUCT(D4734:G4734)</f>
        <v>-13.200000000000001</v>
      </c>
      <c r="J4734" s="253" t="inlineStr">
        <is>
          <t xml:space="preserve">-2*4*0.75*2.2</t>
        </is>
      </c>
    </row>
    <row r="4735">
      <c r="C4735" s="246" t="inlineStr">
        <is>
          <t xml:space="preserve">Ddt opening M3 (1 nr, 0.45x2.2) - both faces</t>
        </is>
      </c>
      <c r="D4735" s="248">
        <f>2*1</f>
        <v>2</v>
      </c>
      <c r="E4735" s="247">
        <v>0.45</v>
      </c>
      <c r="F4735" s="247">
        <v>2.2</v>
      </c>
      <c r="H4735" s="249">
        <f>-PRODUCT(D4735:G4735)</f>
        <v>-1.9800000000000002</v>
      </c>
      <c r="J4735" s="253" t="inlineStr">
        <is>
          <t xml:space="preserve">-2*1*0.45*2.2</t>
        </is>
      </c>
    </row>
    <row r="4736">
      <c r="C4736" s="246" t="inlineStr">
        <is>
          <t xml:space="preserve">Ddt opening M5 (3 nr, 0.6x2.2) - both faces</t>
        </is>
      </c>
      <c r="D4736" s="248">
        <f>2*3</f>
        <v>6</v>
      </c>
      <c r="E4736" s="247">
        <v>0.6</v>
      </c>
      <c r="F4736" s="247">
        <v>2.2</v>
      </c>
      <c r="H4736" s="249">
        <f>-PRODUCT(D4736:G4736)</f>
        <v>-7.92</v>
      </c>
      <c r="J4736" s="253" t="inlineStr">
        <is>
          <t xml:space="preserve">-2*3*0.6*2.2</t>
        </is>
      </c>
    </row>
    <row r="4737">
      <c r="C4737" s="246" t="inlineStr">
        <is>
          <t xml:space="preserve">Ddt opening SD1 (1 nr, 3x2.2) - both faces</t>
        </is>
      </c>
      <c r="D4737" s="248">
        <f>2*1</f>
        <v>2</v>
      </c>
      <c r="E4737" s="247">
        <v>3</v>
      </c>
      <c r="F4737" s="247">
        <v>2.2</v>
      </c>
      <c r="H4737" s="249">
        <f>-PRODUCT(D4737:G4737)</f>
        <v>-13.200000000000001</v>
      </c>
      <c r="J4737" s="253" t="inlineStr">
        <is>
          <t xml:space="preserve">-2*1*3*2.2</t>
        </is>
      </c>
    </row>
    <row r="4738">
      <c r="C4738" s="246" t="inlineStr">
        <is>
          <t xml:space="preserve">Ddt opening SD2 (4 nr, 1.6x2.2) - both faces</t>
        </is>
      </c>
      <c r="D4738" s="248">
        <f>2*4</f>
        <v>8</v>
      </c>
      <c r="E4738" s="247">
        <v>1.6</v>
      </c>
      <c r="F4738" s="247">
        <v>2.2</v>
      </c>
      <c r="H4738" s="249">
        <f>-PRODUCT(D4738:G4738)</f>
        <v>-28.160000000000004</v>
      </c>
      <c r="J4738" s="253" t="inlineStr">
        <is>
          <t xml:space="preserve">-2*4*1.6*2.2</t>
        </is>
      </c>
    </row>
    <row r="4739">
      <c r="C4739" s="246" t="inlineStr">
        <is>
          <t xml:space="preserve">Ddt opening SD3 (2 nr, 1.3x2.2) - both faces</t>
        </is>
      </c>
      <c r="D4739" s="248">
        <f>2*2</f>
        <v>4</v>
      </c>
      <c r="E4739" s="247">
        <v>1.3</v>
      </c>
      <c r="F4739" s="247">
        <v>2.2</v>
      </c>
      <c r="H4739" s="249">
        <f>-PRODUCT(D4739:G4739)</f>
        <v>-11.440000000000001</v>
      </c>
      <c r="J4739" s="253" t="inlineStr">
        <is>
          <t xml:space="preserve">-2*2*1.3*2.2</t>
        </is>
      </c>
    </row>
    <row r="4740">
      <c r="C4740" s="246" t="inlineStr">
        <is>
          <t xml:space="preserve">Ddt opening SD4 (4 nr, 1.8x2.2) - both faces</t>
        </is>
      </c>
      <c r="D4740" s="248">
        <f>2*4</f>
        <v>8</v>
      </c>
      <c r="E4740" s="247">
        <v>1.8</v>
      </c>
      <c r="F4740" s="247">
        <v>2.2</v>
      </c>
      <c r="H4740" s="249">
        <f>-PRODUCT(D4740:G4740)</f>
        <v>-31.680000000000003</v>
      </c>
      <c r="J4740" s="253" t="inlineStr">
        <is>
          <t xml:space="preserve">-2*4*1.8*2.2</t>
        </is>
      </c>
    </row>
    <row r="4741">
      <c r="C4741" s="246" t="inlineStr">
        <is>
          <t xml:space="preserve">Ddt opening SD5 (1 nr, 1.2x2.2) - both faces</t>
        </is>
      </c>
      <c r="D4741" s="248">
        <f>2*1</f>
        <v>2</v>
      </c>
      <c r="E4741" s="247">
        <v>1.2</v>
      </c>
      <c r="F4741" s="247">
        <v>2.2</v>
      </c>
      <c r="H4741" s="249">
        <f>-PRODUCT(D4741:G4741)</f>
        <v>-5.28</v>
      </c>
      <c r="J4741" s="253" t="inlineStr">
        <is>
          <t xml:space="preserve">-2*1*1.2*2.2</t>
        </is>
      </c>
    </row>
    <row r="4742">
      <c r="C4742" s="246" t="inlineStr">
        <is>
          <t xml:space="preserve">Ddt opening W2 (6 nr, 1.8x1.3)</t>
        </is>
      </c>
      <c r="D4742" s="248">
        <v>6</v>
      </c>
      <c r="E4742" s="247">
        <v>1.8</v>
      </c>
      <c r="F4742" s="247">
        <v>1.3</v>
      </c>
      <c r="H4742" s="249">
        <f>-PRODUCT(D4742:G4742)</f>
        <v>-14.040000000000001</v>
      </c>
      <c r="J4742" s="253" t="inlineStr">
        <is>
          <t xml:space="preserve">-6*1.8*1.3</t>
        </is>
      </c>
    </row>
    <row r="4743">
      <c r="C4743" s="246" t="inlineStr">
        <is>
          <t xml:space="preserve">Ddt opening W4 (10 nr, 0.9x1.3)</t>
        </is>
      </c>
      <c r="D4743" s="248">
        <v>10</v>
      </c>
      <c r="E4743" s="247">
        <v>0.9</v>
      </c>
      <c r="F4743" s="247">
        <v>1.3</v>
      </c>
      <c r="H4743" s="249">
        <f>-PRODUCT(D4743:G4743)</f>
        <v>-11.700000000000001</v>
      </c>
      <c r="J4743" s="253" t="inlineStr">
        <is>
          <t xml:space="preserve">-10*0.9*1.3</t>
        </is>
      </c>
    </row>
    <row r="4744">
      <c r="C4744" s="246" t="inlineStr">
        <is>
          <t xml:space="preserve">Ddt opening W7 (2 nr, 1.8x1.6)</t>
        </is>
      </c>
      <c r="D4744" s="248">
        <v>2</v>
      </c>
      <c r="E4744" s="247">
        <v>1.8</v>
      </c>
      <c r="F4744" s="247">
        <v>1.6</v>
      </c>
      <c r="H4744" s="249">
        <f>-PRODUCT(D4744:G4744)</f>
        <v>-5.760000000000001</v>
      </c>
      <c r="J4744" s="253" t="inlineStr">
        <is>
          <t xml:space="preserve">-2*1.8*1.6</t>
        </is>
      </c>
    </row>
    <row r="4745">
      <c r="C4745" s="246" t="inlineStr">
        <is>
          <t xml:space="preserve">Ddt opening W8 (3 nr, 1.2x1.9)</t>
        </is>
      </c>
      <c r="D4745" s="248">
        <v>3</v>
      </c>
      <c r="E4745" s="247">
        <v>1.2</v>
      </c>
      <c r="F4745" s="247">
        <v>1.9</v>
      </c>
      <c r="H4745" s="249">
        <f>-PRODUCT(D4745:G4745)</f>
        <v>-6.839999999999999</v>
      </c>
      <c r="J4745" s="253" t="inlineStr">
        <is>
          <t xml:space="preserve">-3*1.2*1.9</t>
        </is>
      </c>
    </row>
    <row r="4746">
      <c r="C4746" s="246" t="inlineStr">
        <is>
          <t xml:space="preserve">Ddt opening W9 (8 nr, 1.2x1.15)</t>
        </is>
      </c>
      <c r="D4746" s="248">
        <v>8</v>
      </c>
      <c r="E4746" s="247">
        <v>1.2</v>
      </c>
      <c r="F4746" s="247">
        <v>1.15</v>
      </c>
      <c r="H4746" s="249">
        <f>-PRODUCT(D4746:G4746)</f>
        <v>-11.04</v>
      </c>
      <c r="J4746" s="253" t="inlineStr">
        <is>
          <t xml:space="preserve">-8*1.2*1.15</t>
        </is>
      </c>
    </row>
    <row r="4747">
      <c r="C4747" s="246" t="inlineStr">
        <is>
          <t xml:space="preserve">Ddt opening W10 (1 nr, 1.2x1.2)</t>
        </is>
      </c>
      <c r="D4747" s="248">
        <v>1</v>
      </c>
      <c r="E4747" s="247">
        <v>1.2</v>
      </c>
      <c r="F4747" s="247">
        <v>1.2</v>
      </c>
      <c r="H4747" s="249">
        <f>-PRODUCT(D4747:G4747)</f>
        <v>-1.44</v>
      </c>
      <c r="J4747" s="253" t="inlineStr">
        <is>
          <t xml:space="preserve">-1*1.2*1.2</t>
        </is>
      </c>
    </row>
    <row r="4748">
      <c r="C4748" s="246" t="inlineStr">
        <is>
          <t xml:space="preserve">Ddt opening W11 (6 nr, 1.5x1.3)</t>
        </is>
      </c>
      <c r="D4748" s="248">
        <v>6</v>
      </c>
      <c r="E4748" s="247">
        <v>1.5</v>
      </c>
      <c r="F4748" s="247">
        <v>1.3</v>
      </c>
      <c r="H4748" s="249">
        <f>-PRODUCT(D4748:G4748)</f>
        <v>-11.700000000000001</v>
      </c>
      <c r="J4748" s="253" t="inlineStr">
        <is>
          <t xml:space="preserve">-6*1.5*1.3</t>
        </is>
      </c>
    </row>
    <row r="4749">
      <c r="C4749" s="246" t="inlineStr">
        <is>
          <t xml:space="preserve">Ddt opening W12 (4 nr, 1.5x1.15)</t>
        </is>
      </c>
      <c r="D4749" s="248">
        <v>4</v>
      </c>
      <c r="E4749" s="247">
        <v>1.5</v>
      </c>
      <c r="F4749" s="247">
        <v>1.15</v>
      </c>
      <c r="H4749" s="249">
        <f>-PRODUCT(D4749:G4749)</f>
        <v>-6.8999999999999995</v>
      </c>
      <c r="J4749" s="253" t="inlineStr">
        <is>
          <t xml:space="preserve">-4*1.5*1.15</t>
        </is>
      </c>
    </row>
    <row r="4750">
      <c r="C4750" s="246" t="inlineStr">
        <is>
          <t xml:space="preserve">Ddt opening W13 (1 nr, 2.4x1.3)</t>
        </is>
      </c>
      <c r="D4750" s="248">
        <v>1</v>
      </c>
      <c r="E4750" s="247">
        <v>2.4</v>
      </c>
      <c r="F4750" s="247">
        <v>1.3</v>
      </c>
      <c r="H4750" s="249">
        <f>-PRODUCT(D4750:G4750)</f>
        <v>-3.12</v>
      </c>
      <c r="J4750" s="253" t="inlineStr">
        <is>
          <t xml:space="preserve">-1*2.4*1.3</t>
        </is>
      </c>
    </row>
    <row r="4751">
      <c r="C4751" s="246" t="inlineStr">
        <is>
          <t xml:space="preserve">Ddt opening W15 (1 nr, 3x1.6)</t>
        </is>
      </c>
      <c r="D4751" s="248">
        <v>1</v>
      </c>
      <c r="E4751" s="247">
        <v>3</v>
      </c>
      <c r="F4751" s="247">
        <v>1.6</v>
      </c>
      <c r="H4751" s="249">
        <f>-PRODUCT(D4751:G4751)</f>
        <v>-4.800000000000001</v>
      </c>
      <c r="J4751" s="253" t="inlineStr">
        <is>
          <t xml:space="preserve">-1*3*1.6</t>
        </is>
      </c>
    </row>
    <row r="4752">
      <c r="C4752" s="246" t="inlineStr">
        <is>
          <t xml:space="preserve">Ddt opening W17 (3 nr, 1.8x1.9)</t>
        </is>
      </c>
      <c r="D4752" s="248">
        <v>3</v>
      </c>
      <c r="E4752" s="247">
        <v>1.8</v>
      </c>
      <c r="F4752" s="247">
        <v>1.9</v>
      </c>
      <c r="H4752" s="249">
        <f>-PRODUCT(D4752:G4752)</f>
        <v>-10.26</v>
      </c>
      <c r="J4752" s="253" t="inlineStr">
        <is>
          <t xml:space="preserve">-3*1.8*1.9</t>
        </is>
      </c>
    </row>
    <row r="4753">
      <c r="C4753" s="246" t="inlineStr">
        <is>
          <t xml:space="preserve">Ddt opening W18 (1 nr, 0.75x1.3)</t>
        </is>
      </c>
      <c r="D4753" s="248">
        <v>1</v>
      </c>
      <c r="E4753" s="247">
        <v>0.75</v>
      </c>
      <c r="F4753" s="247">
        <v>1.3</v>
      </c>
      <c r="H4753" s="249">
        <f>-PRODUCT(D4753:G4753)</f>
        <v>-0.9750000000000001</v>
      </c>
      <c r="J4753" s="253" t="inlineStr">
        <is>
          <t xml:space="preserve">-1*0.75*1.3</t>
        </is>
      </c>
    </row>
    <row r="4754">
      <c r="C4754" s="246" t="inlineStr">
        <is>
          <t xml:space="preserve">Ddt opening W20 (1 nr, 1.45x1.9)</t>
        </is>
      </c>
      <c r="D4754" s="248">
        <v>1</v>
      </c>
      <c r="E4754" s="247">
        <v>1.45</v>
      </c>
      <c r="F4754" s="247">
        <v>1.9</v>
      </c>
      <c r="H4754" s="249">
        <f>-PRODUCT(D4754:G4754)</f>
        <v>-2.755</v>
      </c>
      <c r="J4754" s="253" t="inlineStr">
        <is>
          <t xml:space="preserve">-1*1.45*1.9</t>
        </is>
      </c>
    </row>
    <row r="4755">
      <c r="C4755" s="246" t="inlineStr">
        <is>
          <t xml:space="preserve">Ddt opening HW1 (13 nr, 0.9x0.6)</t>
        </is>
      </c>
      <c r="D4755" s="248">
        <v>13</v>
      </c>
      <c r="E4755" s="247">
        <v>0.9</v>
      </c>
      <c r="F4755" s="247">
        <v>0.6</v>
      </c>
      <c r="H4755" s="249">
        <f>-PRODUCT(D4755:G4755)</f>
        <v>-7.0200000000000005</v>
      </c>
      <c r="J4755" s="253" t="inlineStr">
        <is>
          <t xml:space="preserve">-13*0.9*0.6</t>
        </is>
      </c>
    </row>
    <row r="4756">
      <c r="C4756" s="246" t="inlineStr">
        <is>
          <t xml:space="preserve">Ddt opening HW2 (5 nr, 0.75x0.6)</t>
        </is>
      </c>
      <c r="D4756" s="248">
        <v>5</v>
      </c>
      <c r="E4756" s="247">
        <v>0.75</v>
      </c>
      <c r="F4756" s="247">
        <v>0.6</v>
      </c>
      <c r="H4756" s="249">
        <f>-PRODUCT(D4756:G4756)</f>
        <v>-2.25</v>
      </c>
      <c r="J4756" s="253" t="inlineStr">
        <is>
          <t xml:space="preserve">-5*0.75*0.6</t>
        </is>
      </c>
    </row>
    <row r="4757">
      <c r="C4757" s="246" t="inlineStr">
        <is>
          <t xml:space="preserve">Ddt opening HW3 (2 nr, 0.6x0.6)</t>
        </is>
      </c>
      <c r="D4757" s="248">
        <v>2</v>
      </c>
      <c r="E4757" s="247">
        <v>0.6</v>
      </c>
      <c r="F4757" s="247">
        <v>0.6</v>
      </c>
      <c r="H4757" s="249">
        <f>-PRODUCT(D4757:G4757)</f>
        <v>-0.72</v>
      </c>
      <c r="J4757" s="253" t="inlineStr">
        <is>
          <t xml:space="preserve">-2*0.6*0.6</t>
        </is>
      </c>
    </row>
    <row r="4758">
      <c r="C4758" s="246" t="inlineStr">
        <is>
          <t xml:space="preserve">Ddt opening HW4 (2 nr, 1.2x0.6)</t>
        </is>
      </c>
      <c r="D4758" s="248">
        <v>2</v>
      </c>
      <c r="E4758" s="247">
        <v>1.2</v>
      </c>
      <c r="F4758" s="247">
        <v>0.6</v>
      </c>
      <c r="H4758" s="249">
        <f>-PRODUCT(D4758:G4758)</f>
        <v>-1.44</v>
      </c>
      <c r="J4758" s="253" t="inlineStr">
        <is>
          <t xml:space="preserve">-2*1.2*0.6</t>
        </is>
      </c>
    </row>
    <row r="4759">
      <c r="C4759" s="250" t="inlineStr">
        <is>
          <t xml:space="preserve">Total carried to BOQ  8TH FLR item A</t>
        </is>
      </c>
      <c r="D4759" s="250" t="inlineStr">
        <is>
          <t xml:space="preserve"/>
        </is>
      </c>
      <c r="E4759" s="250" t="inlineStr">
        <is>
          <t xml:space="preserve"/>
        </is>
      </c>
      <c r="F4759" s="250" t="inlineStr">
        <is>
          <t xml:space="preserve"/>
        </is>
      </c>
      <c r="G4759" s="250" t="inlineStr">
        <is>
          <t xml:space="preserve"/>
        </is>
      </c>
      <c r="H4759" s="251">
        <f>SUM(H4719:H4758)</f>
        <v>1860.698421052631</v>
      </c>
      <c r="I4759" s="252" t="inlineStr">
        <is>
          <t xml:space="preserve">m2</t>
        </is>
      </c>
    </row>
    <row r="4760">
      <c r="A4760" s="243" t="inlineStr">
        <is>
          <t xml:space="preserve">8TH FLR</t>
        </is>
      </c>
      <c r="B4760" s="243" t="inlineStr">
        <is>
          <t xml:space="preserve">B</t>
        </is>
      </c>
      <c r="C4760" s="244" t="inlineStr">
        <is>
          <t xml:space="preserve">Interior partitions and washrooms (above wall tiling)</t>
        </is>
      </c>
      <c r="I4760" s="245" t="inlineStr">
        <is>
          <t xml:space="preserve">m2</t>
        </is>
      </c>
      <c r="K4760" s="256" t="inlineStr">
        <is>
          <t xml:space="preserve">'8TH FLR   '!C239</t>
        </is>
      </c>
    </row>
    <row r="4761">
      <c r="C4761" s="246" t="inlineStr">
        <is>
          <t xml:space="preserve">washroom walls: (wet area / 3.8 m2 per WC) x 8.0 m girth x ht</t>
        </is>
      </c>
      <c r="E4761" s="247">
        <f>60.4/3.8</f>
        <v>15.894736842105264</v>
      </c>
      <c r="F4761" s="247">
        <v>8.0</v>
      </c>
      <c r="G4761" s="247">
        <v>3.05</v>
      </c>
      <c r="H4761" s="249">
        <f>PRODUCT(D4761:G4761)</f>
        <v>387.8315789473684</v>
      </c>
      <c r="J4761" s="253" t="inlineStr">
        <is>
          <t xml:space="preserve">60.4/3.8*8.0*3.05</t>
        </is>
      </c>
    </row>
    <row r="4762">
      <c r="C4762" s="246" t="inlineStr">
        <is>
          <t xml:space="preserve">Ddt washroom doors: nr x 0.75 x 2.2</t>
        </is>
      </c>
      <c r="E4762" s="247">
        <f>60.4/3.8</f>
        <v>15.894736842105264</v>
      </c>
      <c r="F4762" s="247">
        <v>0.75</v>
      </c>
      <c r="G4762" s="247">
        <v>2.2</v>
      </c>
      <c r="H4762" s="249">
        <f>-PRODUCT(D4762:G4762)</f>
        <v>-26.226315789473688</v>
      </c>
      <c r="J4762" s="253" t="inlineStr">
        <is>
          <t xml:space="preserve">-60.4/3.8*0.75*2.2</t>
        </is>
      </c>
    </row>
    <row r="4763">
      <c r="C4763" s="246" t="inlineStr">
        <is>
          <t xml:space="preserve">Ddt washroom walls: (wet area / 3.8 m2 per WC) x 8.0 m girth x ht</t>
        </is>
      </c>
      <c r="E4763" s="247">
        <f>60.4/3.8</f>
        <v>15.894736842105264</v>
      </c>
      <c r="F4763" s="247">
        <v>8.0</v>
      </c>
      <c r="G4763" s="247">
        <v>2.4</v>
      </c>
      <c r="H4763" s="249">
        <f>-PRODUCT(D4763:G4763)</f>
        <v>-305.17894736842106</v>
      </c>
      <c r="J4763" s="253" t="inlineStr">
        <is>
          <t xml:space="preserve">-60.4/3.8*8.0*2.4</t>
        </is>
      </c>
    </row>
    <row r="4764">
      <c r="C4764" s="246" t="inlineStr">
        <is>
          <t xml:space="preserve">washroom doors: nr x 0.75 x 2.2</t>
        </is>
      </c>
      <c r="E4764" s="247">
        <f>60.4/3.8</f>
        <v>15.894736842105264</v>
      </c>
      <c r="F4764" s="247">
        <v>0.75</v>
      </c>
      <c r="G4764" s="247">
        <v>2.2</v>
      </c>
      <c r="H4764" s="249">
        <f>PRODUCT(D4764:G4764)</f>
        <v>26.226315789473688</v>
      </c>
      <c r="J4764" s="253" t="inlineStr">
        <is>
          <t xml:space="preserve">60.4/3.8*0.75*2.2</t>
        </is>
      </c>
    </row>
    <row r="4765">
      <c r="C4765" s="250" t="inlineStr">
        <is>
          <t xml:space="preserve">Total carried to BOQ  8TH FLR item B</t>
        </is>
      </c>
      <c r="D4765" s="250" t="inlineStr">
        <is>
          <t xml:space="preserve"/>
        </is>
      </c>
      <c r="E4765" s="250" t="inlineStr">
        <is>
          <t xml:space="preserve"/>
        </is>
      </c>
      <c r="F4765" s="250" t="inlineStr">
        <is>
          <t xml:space="preserve"/>
        </is>
      </c>
      <c r="G4765" s="250" t="inlineStr">
        <is>
          <t xml:space="preserve"/>
        </is>
      </c>
      <c r="H4765" s="251">
        <f>SUM(H4761:H4764)</f>
        <v>82.65263157894736</v>
      </c>
      <c r="I4765" s="252" t="inlineStr">
        <is>
          <t xml:space="preserve">m2</t>
        </is>
      </c>
    </row>
    <row r="4766">
      <c r="A4766" s="243" t="inlineStr">
        <is>
          <t xml:space="preserve">8TH FLR</t>
        </is>
      </c>
      <c r="B4766" s="243" t="inlineStr">
        <is>
          <t xml:space="preserve">C</t>
        </is>
      </c>
      <c r="C4766" s="244" t="inlineStr">
        <is>
          <t xml:space="preserve">Exterior walls</t>
        </is>
      </c>
      <c r="I4766" s="245" t="inlineStr">
        <is>
          <t xml:space="preserve">m2</t>
        </is>
      </c>
      <c r="K4766" s="256" t="inlineStr">
        <is>
          <t xml:space="preserve">'8TH FLR   '!C241</t>
        </is>
      </c>
    </row>
    <row r="4767">
      <c r="C4767" s="246" t="inlineStr">
        <is>
          <t xml:space="preserve">External perimeter x storey ht</t>
        </is>
      </c>
      <c r="E4767" s="247">
        <v>224.2</v>
      </c>
      <c r="F4767" s="247">
        <v>3.3</v>
      </c>
      <c r="H4767" s="249">
        <f>PRODUCT(D4767:G4767)</f>
        <v>739.8599999999999</v>
      </c>
      <c r="J4767" s="253" t="inlineStr">
        <is>
          <t xml:space="preserve">224.2*3.3</t>
        </is>
      </c>
    </row>
    <row r="4768">
      <c r="C4768" s="246" t="inlineStr">
        <is>
          <t xml:space="preserve">Ddt window W2 (6 nr, 1.8x1.3)</t>
        </is>
      </c>
      <c r="D4768" s="248">
        <v>6</v>
      </c>
      <c r="E4768" s="247">
        <v>1.8</v>
      </c>
      <c r="F4768" s="247">
        <v>1.3</v>
      </c>
      <c r="H4768" s="249">
        <f>-PRODUCT(D4768:G4768)</f>
        <v>-14.040000000000001</v>
      </c>
      <c r="J4768" s="253" t="inlineStr">
        <is>
          <t xml:space="preserve">-6*1.8*1.3</t>
        </is>
      </c>
    </row>
    <row r="4769">
      <c r="C4769" s="246" t="inlineStr">
        <is>
          <t xml:space="preserve">Ddt window W4 (10 nr, 0.9x1.3)</t>
        </is>
      </c>
      <c r="D4769" s="248">
        <v>10</v>
      </c>
      <c r="E4769" s="247">
        <v>0.9</v>
      </c>
      <c r="F4769" s="247">
        <v>1.3</v>
      </c>
      <c r="H4769" s="249">
        <f>-PRODUCT(D4769:G4769)</f>
        <v>-11.700000000000001</v>
      </c>
      <c r="J4769" s="253" t="inlineStr">
        <is>
          <t xml:space="preserve">-10*0.9*1.3</t>
        </is>
      </c>
    </row>
    <row r="4770">
      <c r="C4770" s="246" t="inlineStr">
        <is>
          <t xml:space="preserve">Ddt window W7 (2 nr, 1.8x1.6)</t>
        </is>
      </c>
      <c r="D4770" s="248">
        <v>2</v>
      </c>
      <c r="E4770" s="247">
        <v>1.8</v>
      </c>
      <c r="F4770" s="247">
        <v>1.6</v>
      </c>
      <c r="H4770" s="249">
        <f>-PRODUCT(D4770:G4770)</f>
        <v>-5.760000000000001</v>
      </c>
      <c r="J4770" s="253" t="inlineStr">
        <is>
          <t xml:space="preserve">-2*1.8*1.6</t>
        </is>
      </c>
    </row>
    <row r="4771">
      <c r="C4771" s="246" t="inlineStr">
        <is>
          <t xml:space="preserve">Ddt window W8 (3 nr, 1.2x1.9)</t>
        </is>
      </c>
      <c r="D4771" s="248">
        <v>3</v>
      </c>
      <c r="E4771" s="247">
        <v>1.2</v>
      </c>
      <c r="F4771" s="247">
        <v>1.9</v>
      </c>
      <c r="H4771" s="249">
        <f>-PRODUCT(D4771:G4771)</f>
        <v>-6.839999999999999</v>
      </c>
      <c r="J4771" s="253" t="inlineStr">
        <is>
          <t xml:space="preserve">-3*1.2*1.9</t>
        </is>
      </c>
    </row>
    <row r="4772">
      <c r="C4772" s="246" t="inlineStr">
        <is>
          <t xml:space="preserve">Ddt window W9 (8 nr, 1.2x1.15)</t>
        </is>
      </c>
      <c r="D4772" s="248">
        <v>8</v>
      </c>
      <c r="E4772" s="247">
        <v>1.2</v>
      </c>
      <c r="F4772" s="247">
        <v>1.15</v>
      </c>
      <c r="H4772" s="249">
        <f>-PRODUCT(D4772:G4772)</f>
        <v>-11.04</v>
      </c>
      <c r="J4772" s="253" t="inlineStr">
        <is>
          <t xml:space="preserve">-8*1.2*1.15</t>
        </is>
      </c>
    </row>
    <row r="4773">
      <c r="C4773" s="246" t="inlineStr">
        <is>
          <t xml:space="preserve">Ddt window W10 (1 nr, 1.2x1.2)</t>
        </is>
      </c>
      <c r="D4773" s="248">
        <v>1</v>
      </c>
      <c r="E4773" s="247">
        <v>1.2</v>
      </c>
      <c r="F4773" s="247">
        <v>1.2</v>
      </c>
      <c r="H4773" s="249">
        <f>-PRODUCT(D4773:G4773)</f>
        <v>-1.44</v>
      </c>
      <c r="J4773" s="253" t="inlineStr">
        <is>
          <t xml:space="preserve">-1*1.2*1.2</t>
        </is>
      </c>
    </row>
    <row r="4774">
      <c r="C4774" s="246" t="inlineStr">
        <is>
          <t xml:space="preserve">Ddt window W11 (6 nr, 1.5x1.3)</t>
        </is>
      </c>
      <c r="D4774" s="248">
        <v>6</v>
      </c>
      <c r="E4774" s="247">
        <v>1.5</v>
      </c>
      <c r="F4774" s="247">
        <v>1.3</v>
      </c>
      <c r="H4774" s="249">
        <f>-PRODUCT(D4774:G4774)</f>
        <v>-11.700000000000001</v>
      </c>
      <c r="J4774" s="253" t="inlineStr">
        <is>
          <t xml:space="preserve">-6*1.5*1.3</t>
        </is>
      </c>
    </row>
    <row r="4775">
      <c r="C4775" s="246" t="inlineStr">
        <is>
          <t xml:space="preserve">Ddt window W12 (4 nr, 1.5x1.15)</t>
        </is>
      </c>
      <c r="D4775" s="248">
        <v>4</v>
      </c>
      <c r="E4775" s="247">
        <v>1.5</v>
      </c>
      <c r="F4775" s="247">
        <v>1.15</v>
      </c>
      <c r="H4775" s="249">
        <f>-PRODUCT(D4775:G4775)</f>
        <v>-6.8999999999999995</v>
      </c>
      <c r="J4775" s="253" t="inlineStr">
        <is>
          <t xml:space="preserve">-4*1.5*1.15</t>
        </is>
      </c>
    </row>
    <row r="4776">
      <c r="C4776" s="246" t="inlineStr">
        <is>
          <t xml:space="preserve">Ddt window W13 (1 nr, 2.4x1.3)</t>
        </is>
      </c>
      <c r="D4776" s="248">
        <v>1</v>
      </c>
      <c r="E4776" s="247">
        <v>2.4</v>
      </c>
      <c r="F4776" s="247">
        <v>1.3</v>
      </c>
      <c r="H4776" s="249">
        <f>-PRODUCT(D4776:G4776)</f>
        <v>-3.12</v>
      </c>
      <c r="J4776" s="253" t="inlineStr">
        <is>
          <t xml:space="preserve">-1*2.4*1.3</t>
        </is>
      </c>
    </row>
    <row r="4777">
      <c r="C4777" s="246" t="inlineStr">
        <is>
          <t xml:space="preserve">Ddt window W15 (1 nr, 3x1.6)</t>
        </is>
      </c>
      <c r="D4777" s="248">
        <v>1</v>
      </c>
      <c r="E4777" s="247">
        <v>3</v>
      </c>
      <c r="F4777" s="247">
        <v>1.6</v>
      </c>
      <c r="H4777" s="249">
        <f>-PRODUCT(D4777:G4777)</f>
        <v>-4.800000000000001</v>
      </c>
      <c r="J4777" s="253" t="inlineStr">
        <is>
          <t xml:space="preserve">-1*3*1.6</t>
        </is>
      </c>
    </row>
    <row r="4778">
      <c r="C4778" s="246" t="inlineStr">
        <is>
          <t xml:space="preserve">Ddt window W17 (3 nr, 1.8x1.9)</t>
        </is>
      </c>
      <c r="D4778" s="248">
        <v>3</v>
      </c>
      <c r="E4778" s="247">
        <v>1.8</v>
      </c>
      <c r="F4778" s="247">
        <v>1.9</v>
      </c>
      <c r="H4778" s="249">
        <f>-PRODUCT(D4778:G4778)</f>
        <v>-10.26</v>
      </c>
      <c r="J4778" s="253" t="inlineStr">
        <is>
          <t xml:space="preserve">-3*1.8*1.9</t>
        </is>
      </c>
    </row>
    <row r="4779">
      <c r="C4779" s="246" t="inlineStr">
        <is>
          <t xml:space="preserve">Ddt window W18 (1 nr, 0.75x1.3)</t>
        </is>
      </c>
      <c r="D4779" s="248">
        <v>1</v>
      </c>
      <c r="E4779" s="247">
        <v>0.75</v>
      </c>
      <c r="F4779" s="247">
        <v>1.3</v>
      </c>
      <c r="H4779" s="249">
        <f>-PRODUCT(D4779:G4779)</f>
        <v>-0.9750000000000001</v>
      </c>
      <c r="J4779" s="253" t="inlineStr">
        <is>
          <t xml:space="preserve">-1*0.75*1.3</t>
        </is>
      </c>
    </row>
    <row r="4780">
      <c r="C4780" s="246" t="inlineStr">
        <is>
          <t xml:space="preserve">Ddt window W20 (1 nr, 1.45x1.9)</t>
        </is>
      </c>
      <c r="D4780" s="248">
        <v>1</v>
      </c>
      <c r="E4780" s="247">
        <v>1.45</v>
      </c>
      <c r="F4780" s="247">
        <v>1.9</v>
      </c>
      <c r="H4780" s="249">
        <f>-PRODUCT(D4780:G4780)</f>
        <v>-2.755</v>
      </c>
      <c r="J4780" s="253" t="inlineStr">
        <is>
          <t xml:space="preserve">-1*1.45*1.9</t>
        </is>
      </c>
    </row>
    <row r="4781">
      <c r="C4781" s="246" t="inlineStr">
        <is>
          <t xml:space="preserve">Ddt window HW1 (13 nr, 0.9x0.6)</t>
        </is>
      </c>
      <c r="D4781" s="248">
        <v>13</v>
      </c>
      <c r="E4781" s="247">
        <v>0.9</v>
      </c>
      <c r="F4781" s="247">
        <v>0.6</v>
      </c>
      <c r="H4781" s="249">
        <f>-PRODUCT(D4781:G4781)</f>
        <v>-7.0200000000000005</v>
      </c>
      <c r="J4781" s="253" t="inlineStr">
        <is>
          <t xml:space="preserve">-13*0.9*0.6</t>
        </is>
      </c>
    </row>
    <row r="4782">
      <c r="C4782" s="246" t="inlineStr">
        <is>
          <t xml:space="preserve">Ddt window HW2 (5 nr, 0.75x0.6)</t>
        </is>
      </c>
      <c r="D4782" s="248">
        <v>5</v>
      </c>
      <c r="E4782" s="247">
        <v>0.75</v>
      </c>
      <c r="F4782" s="247">
        <v>0.6</v>
      </c>
      <c r="H4782" s="249">
        <f>-PRODUCT(D4782:G4782)</f>
        <v>-2.25</v>
      </c>
      <c r="J4782" s="253" t="inlineStr">
        <is>
          <t xml:space="preserve">-5*0.75*0.6</t>
        </is>
      </c>
    </row>
    <row r="4783">
      <c r="C4783" s="246" t="inlineStr">
        <is>
          <t xml:space="preserve">Ddt window HW3 (2 nr, 0.6x0.6)</t>
        </is>
      </c>
      <c r="D4783" s="248">
        <v>2</v>
      </c>
      <c r="E4783" s="247">
        <v>0.6</v>
      </c>
      <c r="F4783" s="247">
        <v>0.6</v>
      </c>
      <c r="H4783" s="249">
        <f>-PRODUCT(D4783:G4783)</f>
        <v>-0.72</v>
      </c>
      <c r="J4783" s="253" t="inlineStr">
        <is>
          <t xml:space="preserve">-2*0.6*0.6</t>
        </is>
      </c>
    </row>
    <row r="4784">
      <c r="C4784" s="246" t="inlineStr">
        <is>
          <t xml:space="preserve">Ddt window HW4 (2 nr, 1.2x0.6)</t>
        </is>
      </c>
      <c r="D4784" s="248">
        <v>2</v>
      </c>
      <c r="E4784" s="247">
        <v>1.2</v>
      </c>
      <c r="F4784" s="247">
        <v>0.6</v>
      </c>
      <c r="H4784" s="249">
        <f>-PRODUCT(D4784:G4784)</f>
        <v>-1.44</v>
      </c>
      <c r="J4784" s="253" t="inlineStr">
        <is>
          <t xml:space="preserve">-2*1.2*0.6</t>
        </is>
      </c>
    </row>
    <row r="4785">
      <c r="C4785" s="250" t="inlineStr">
        <is>
          <t xml:space="preserve">Total carried to BOQ  8TH FLR item C</t>
        </is>
      </c>
      <c r="D4785" s="250" t="inlineStr">
        <is>
          <t xml:space="preserve"/>
        </is>
      </c>
      <c r="E4785" s="250" t="inlineStr">
        <is>
          <t xml:space="preserve"/>
        </is>
      </c>
      <c r="F4785" s="250" t="inlineStr">
        <is>
          <t xml:space="preserve"/>
        </is>
      </c>
      <c r="G4785" s="250" t="inlineStr">
        <is>
          <t xml:space="preserve"/>
        </is>
      </c>
      <c r="H4785" s="251">
        <f>SUM(H4767:H4784)</f>
        <v>637.0999999999998</v>
      </c>
      <c r="I4785" s="252" t="inlineStr">
        <is>
          <t xml:space="preserve">m2</t>
        </is>
      </c>
    </row>
    <row r="4786">
      <c r="A4786" s="243" t="inlineStr">
        <is>
          <t xml:space="preserve">8TH FLR</t>
        </is>
      </c>
      <c r="B4786" s="243" t="inlineStr">
        <is>
          <t xml:space="preserve">D</t>
        </is>
      </c>
      <c r="C4786" s="244" t="inlineStr">
        <is>
          <t xml:space="preserve">Soffit of plaster board ceilings</t>
        </is>
      </c>
      <c r="I4786" s="245" t="inlineStr">
        <is>
          <t xml:space="preserve">m2</t>
        </is>
      </c>
      <c r="K4786" s="256" t="inlineStr">
        <is>
          <t xml:space="preserve">'8TH FLR   '!C243</t>
        </is>
      </c>
    </row>
    <row r="4787">
      <c r="C4787" s="246" t="inlineStr">
        <is>
          <t xml:space="preserve">Eighth floor - Ceiling areas (measured)</t>
        </is>
      </c>
      <c r="H4787" s="247">
        <v>802.4</v>
      </c>
      <c r="J4787" s="253" t="inlineStr">
        <is>
          <t xml:space="preserve">802.4</t>
        </is>
      </c>
    </row>
    <row r="4788">
      <c r="C4788" s="250" t="inlineStr">
        <is>
          <t xml:space="preserve">Total carried to BOQ  8TH FLR item D</t>
        </is>
      </c>
      <c r="D4788" s="250" t="inlineStr">
        <is>
          <t xml:space="preserve"/>
        </is>
      </c>
      <c r="E4788" s="250" t="inlineStr">
        <is>
          <t xml:space="preserve"/>
        </is>
      </c>
      <c r="F4788" s="250" t="inlineStr">
        <is>
          <t xml:space="preserve"/>
        </is>
      </c>
      <c r="G4788" s="250" t="inlineStr">
        <is>
          <t xml:space="preserve"/>
        </is>
      </c>
      <c r="H4788" s="251">
        <f>SUM(H4787:H4787)</f>
        <v>802.4</v>
      </c>
      <c r="I4788" s="252" t="inlineStr">
        <is>
          <t xml:space="preserve">m2</t>
        </is>
      </c>
    </row>
    <row r="4789">
      <c r="A4789" s="243" t="inlineStr">
        <is>
          <t xml:space="preserve">8TH FLR</t>
        </is>
      </c>
      <c r="B4789" s="243" t="inlineStr">
        <is>
          <t xml:space="preserve">E</t>
        </is>
      </c>
      <c r="C4789" s="244" t="inlineStr">
        <is>
          <t xml:space="preserve">Soffit of plaster board ceilings for washrooms</t>
        </is>
      </c>
      <c r="I4789" s="245" t="inlineStr">
        <is>
          <t xml:space="preserve">m2</t>
        </is>
      </c>
      <c r="K4789" s="256" t="inlineStr">
        <is>
          <t xml:space="preserve">'8TH FLR   '!C245</t>
        </is>
      </c>
    </row>
    <row r="4790">
      <c r="C4790" s="246" t="inlineStr">
        <is>
          <t xml:space="preserve">Eighth floor - Washroom ceiling areas (measured)</t>
        </is>
      </c>
      <c r="H4790" s="247">
        <v>60.4</v>
      </c>
      <c r="J4790" s="253" t="inlineStr">
        <is>
          <t xml:space="preserve">60.4</t>
        </is>
      </c>
    </row>
    <row r="4791">
      <c r="C4791" s="250" t="inlineStr">
        <is>
          <t xml:space="preserve">Total carried to BOQ  8TH FLR item E</t>
        </is>
      </c>
      <c r="D4791" s="250" t="inlineStr">
        <is>
          <t xml:space="preserve"/>
        </is>
      </c>
      <c r="E4791" s="250" t="inlineStr">
        <is>
          <t xml:space="preserve"/>
        </is>
      </c>
      <c r="F4791" s="250" t="inlineStr">
        <is>
          <t xml:space="preserve"/>
        </is>
      </c>
      <c r="G4791" s="250" t="inlineStr">
        <is>
          <t xml:space="preserve"/>
        </is>
      </c>
      <c r="H4791" s="251">
        <f>SUM(H4790:H4790)</f>
        <v>60.4</v>
      </c>
      <c r="I4791" s="252" t="inlineStr">
        <is>
          <t xml:space="preserve">m2</t>
        </is>
      </c>
    </row>
    <row r="4792" ht="32.2" customHeight="1">
      <c r="A4792" s="243" t="inlineStr">
        <is>
          <t xml:space="preserve">8TH FLR</t>
        </is>
      </c>
      <c r="B4792" s="243" t="inlineStr">
        <is>
          <t xml:space="preserve">F</t>
        </is>
      </c>
      <c r="C4792" s="244" t="inlineStr">
        <is>
          <t xml:space="preserve">Knot, prime, stop and apply two undercoats and one finishing coat of gloss oil paint on general surfaces of woodwork</t>
        </is>
      </c>
      <c r="I4792" s="245" t="inlineStr">
        <is>
          <t xml:space="preserve">m2</t>
        </is>
      </c>
      <c r="K4792" s="256" t="inlineStr">
        <is>
          <t xml:space="preserve">'8TH FLR   '!C247</t>
        </is>
      </c>
    </row>
    <row r="4793">
      <c r="C4793" s="246" t="inlineStr">
        <is>
          <t xml:space="preserve">Door leaf D3 (15 nr, 0.9x2.2): nr x w x h x 2 faces</t>
        </is>
      </c>
      <c r="D4793" s="248">
        <v>15</v>
      </c>
      <c r="E4793" s="247">
        <v>0.9</v>
      </c>
      <c r="F4793" s="247">
        <v>2.2</v>
      </c>
      <c r="G4793" s="247">
        <v>2</v>
      </c>
      <c r="H4793" s="249">
        <f>PRODUCT(D4793:G4793)</f>
        <v>59.400000000000006</v>
      </c>
      <c r="J4793" s="253" t="inlineStr">
        <is>
          <t xml:space="preserve">15*0.9*2.2*2</t>
        </is>
      </c>
    </row>
    <row r="4794">
      <c r="C4794" s="246" t="inlineStr">
        <is>
          <t xml:space="preserve">Door leaf D6 (21 nr, 0.75x2.2): nr x w x h x 2 faces</t>
        </is>
      </c>
      <c r="D4794" s="248">
        <v>21</v>
      </c>
      <c r="E4794" s="247">
        <v>0.75</v>
      </c>
      <c r="F4794" s="247">
        <v>2.2</v>
      </c>
      <c r="G4794" s="247">
        <v>2</v>
      </c>
      <c r="H4794" s="249">
        <f>PRODUCT(D4794:G4794)</f>
        <v>69.30000000000001</v>
      </c>
      <c r="J4794" s="253" t="inlineStr">
        <is>
          <t xml:space="preserve">21*0.75*2.2*2</t>
        </is>
      </c>
    </row>
    <row r="4795">
      <c r="C4795" s="246" t="inlineStr">
        <is>
          <t xml:space="preserve">Door leaf FD1 (1 nr, 1.5x2.2): nr x w x h x 2 faces</t>
        </is>
      </c>
      <c r="D4795" s="248">
        <v>1</v>
      </c>
      <c r="E4795" s="247">
        <v>1.5</v>
      </c>
      <c r="F4795" s="247">
        <v>2.2</v>
      </c>
      <c r="G4795" s="247">
        <v>2</v>
      </c>
      <c r="H4795" s="249">
        <f>PRODUCT(D4795:G4795)</f>
        <v>6.6000000000000005</v>
      </c>
      <c r="J4795" s="253" t="inlineStr">
        <is>
          <t xml:space="preserve">1*1.5*2.2*2</t>
        </is>
      </c>
    </row>
    <row r="4796">
      <c r="C4796" s="246" t="inlineStr">
        <is>
          <t xml:space="preserve">15*(2*2.2+0.9)*0.25</t>
        </is>
      </c>
      <c r="D4796" s="248">
        <v>15</v>
      </c>
      <c r="E4796" s="247">
        <f>2*2.2+0.9</f>
        <v>5.300000000000001</v>
      </c>
      <c r="F4796" s="247">
        <v>0.25</v>
      </c>
      <c r="H4796" s="249">
        <f>PRODUCT(D4796:G4796)</f>
        <v>19.875000000000004</v>
      </c>
      <c r="J4796" s="253" t="inlineStr">
        <is>
          <t xml:space="preserve">15*(2*2.2+0.9)*0.25</t>
        </is>
      </c>
    </row>
    <row r="4797">
      <c r="C4797" s="246" t="inlineStr">
        <is>
          <t xml:space="preserve">21*(2*2.2+0.75)*0.25</t>
        </is>
      </c>
      <c r="D4797" s="248">
        <v>21</v>
      </c>
      <c r="E4797" s="247">
        <f>2*2.2+0.75</f>
        <v>5.15</v>
      </c>
      <c r="F4797" s="247">
        <v>0.25</v>
      </c>
      <c r="H4797" s="249">
        <f>PRODUCT(D4797:G4797)</f>
        <v>27.0375</v>
      </c>
      <c r="J4797" s="253" t="inlineStr">
        <is>
          <t xml:space="preserve">21*(2*2.2+0.75)*0.25</t>
        </is>
      </c>
    </row>
    <row r="4798">
      <c r="C4798" s="246" t="inlineStr">
        <is>
          <t xml:space="preserve">1*(2*2.2+1.5)*0.25</t>
        </is>
      </c>
      <c r="D4798" s="248">
        <v>1</v>
      </c>
      <c r="E4798" s="247">
        <f>2*2.2+1.5</f>
        <v>5.9</v>
      </c>
      <c r="F4798" s="247">
        <v>0.25</v>
      </c>
      <c r="H4798" s="249">
        <f>PRODUCT(D4798:G4798)</f>
        <v>1.475</v>
      </c>
      <c r="J4798" s="253" t="inlineStr">
        <is>
          <t xml:space="preserve">1*(2*2.2+1.5)*0.25</t>
        </is>
      </c>
    </row>
    <row r="4799">
      <c r="C4799" s="250" t="inlineStr">
        <is>
          <t xml:space="preserve">Total carried to BOQ  8TH FLR item F</t>
        </is>
      </c>
      <c r="D4799" s="250" t="inlineStr">
        <is>
          <t xml:space="preserve"/>
        </is>
      </c>
      <c r="E4799" s="250" t="inlineStr">
        <is>
          <t xml:space="preserve"/>
        </is>
      </c>
      <c r="F4799" s="250" t="inlineStr">
        <is>
          <t xml:space="preserve"/>
        </is>
      </c>
      <c r="G4799" s="250" t="inlineStr">
        <is>
          <t xml:space="preserve"/>
        </is>
      </c>
      <c r="H4799" s="251">
        <f>SUM(H4793:H4798)</f>
        <v>183.6875</v>
      </c>
      <c r="I4799" s="252" t="inlineStr">
        <is>
          <t xml:space="preserve">m2</t>
        </is>
      </c>
    </row>
    <row r="4800" ht="32.2" customHeight="1">
      <c r="A4800" s="243" t="inlineStr">
        <is>
          <t xml:space="preserve">8TH FLR</t>
        </is>
      </c>
      <c r="B4800" s="243" t="inlineStr">
        <is>
          <t xml:space="preserve">G</t>
        </is>
      </c>
      <c r="C4800" s="244" t="inlineStr">
        <is>
          <t xml:space="preserve">Prepare and apply one coat of aluminium primer on mild steel burglar-proof bars (measured over window opening area)</t>
        </is>
      </c>
      <c r="I4800" s="245" t="inlineStr">
        <is>
          <t xml:space="preserve">m2</t>
        </is>
      </c>
      <c r="K4800" s="256" t="inlineStr">
        <is>
          <t xml:space="preserve">'8TH FLR   '!C249</t>
        </is>
      </c>
    </row>
    <row r="4801">
      <c r="C4801" s="246" t="inlineStr">
        <is>
          <t xml:space="preserve">Window W2 (6 nr, 1.8x1.3): nr x w x h</t>
        </is>
      </c>
      <c r="D4801" s="248">
        <v>6</v>
      </c>
      <c r="E4801" s="247">
        <v>1.8</v>
      </c>
      <c r="F4801" s="247">
        <v>1.3</v>
      </c>
      <c r="H4801" s="249">
        <f>PRODUCT(D4801:G4801)</f>
        <v>14.040000000000001</v>
      </c>
      <c r="J4801" s="253" t="inlineStr">
        <is>
          <t xml:space="preserve">6*1.8*1.3</t>
        </is>
      </c>
    </row>
    <row r="4802">
      <c r="C4802" s="246" t="inlineStr">
        <is>
          <t xml:space="preserve">Window W4 (10 nr, 0.9x1.3): nr x w x h</t>
        </is>
      </c>
      <c r="D4802" s="248">
        <v>10</v>
      </c>
      <c r="E4802" s="247">
        <v>0.9</v>
      </c>
      <c r="F4802" s="247">
        <v>1.3</v>
      </c>
      <c r="H4802" s="249">
        <f>PRODUCT(D4802:G4802)</f>
        <v>11.700000000000001</v>
      </c>
      <c r="J4802" s="253" t="inlineStr">
        <is>
          <t xml:space="preserve">10*0.9*1.3</t>
        </is>
      </c>
    </row>
    <row r="4803">
      <c r="C4803" s="246" t="inlineStr">
        <is>
          <t xml:space="preserve">Window W7 (2 nr, 1.8x1.6): nr x w x h</t>
        </is>
      </c>
      <c r="D4803" s="248">
        <v>2</v>
      </c>
      <c r="E4803" s="247">
        <v>1.8</v>
      </c>
      <c r="F4803" s="247">
        <v>1.6</v>
      </c>
      <c r="H4803" s="249">
        <f>PRODUCT(D4803:G4803)</f>
        <v>5.760000000000001</v>
      </c>
      <c r="J4803" s="253" t="inlineStr">
        <is>
          <t xml:space="preserve">2*1.8*1.6</t>
        </is>
      </c>
    </row>
    <row r="4804">
      <c r="C4804" s="246" t="inlineStr">
        <is>
          <t xml:space="preserve">Window W8 (3 nr, 1.2x1.9): nr x w x h</t>
        </is>
      </c>
      <c r="D4804" s="248">
        <v>3</v>
      </c>
      <c r="E4804" s="247">
        <v>1.2</v>
      </c>
      <c r="F4804" s="247">
        <v>1.9</v>
      </c>
      <c r="H4804" s="249">
        <f>PRODUCT(D4804:G4804)</f>
        <v>6.839999999999999</v>
      </c>
      <c r="J4804" s="253" t="inlineStr">
        <is>
          <t xml:space="preserve">3*1.2*1.9</t>
        </is>
      </c>
    </row>
    <row r="4805">
      <c r="C4805" s="246" t="inlineStr">
        <is>
          <t xml:space="preserve">Window W9 (8 nr, 1.2x1.15): nr x w x h</t>
        </is>
      </c>
      <c r="D4805" s="248">
        <v>8</v>
      </c>
      <c r="E4805" s="247">
        <v>1.2</v>
      </c>
      <c r="F4805" s="247">
        <v>1.15</v>
      </c>
      <c r="H4805" s="249">
        <f>PRODUCT(D4805:G4805)</f>
        <v>11.04</v>
      </c>
      <c r="J4805" s="253" t="inlineStr">
        <is>
          <t xml:space="preserve">8*1.2*1.15</t>
        </is>
      </c>
    </row>
    <row r="4806">
      <c r="C4806" s="246" t="inlineStr">
        <is>
          <t xml:space="preserve">Window W10 (1 nr, 1.2x1.2): nr x w x h</t>
        </is>
      </c>
      <c r="D4806" s="248">
        <v>1</v>
      </c>
      <c r="E4806" s="247">
        <v>1.2</v>
      </c>
      <c r="F4806" s="247">
        <v>1.2</v>
      </c>
      <c r="H4806" s="249">
        <f>PRODUCT(D4806:G4806)</f>
        <v>1.44</v>
      </c>
      <c r="J4806" s="253" t="inlineStr">
        <is>
          <t xml:space="preserve">1*1.2*1.2</t>
        </is>
      </c>
    </row>
    <row r="4807">
      <c r="C4807" s="246" t="inlineStr">
        <is>
          <t xml:space="preserve">Window W11 (6 nr, 1.5x1.3): nr x w x h</t>
        </is>
      </c>
      <c r="D4807" s="248">
        <v>6</v>
      </c>
      <c r="E4807" s="247">
        <v>1.5</v>
      </c>
      <c r="F4807" s="247">
        <v>1.3</v>
      </c>
      <c r="H4807" s="249">
        <f>PRODUCT(D4807:G4807)</f>
        <v>11.700000000000001</v>
      </c>
      <c r="J4807" s="253" t="inlineStr">
        <is>
          <t xml:space="preserve">6*1.5*1.3</t>
        </is>
      </c>
    </row>
    <row r="4808">
      <c r="C4808" s="246" t="inlineStr">
        <is>
          <t xml:space="preserve">Window W12 (4 nr, 1.5x1.15): nr x w x h</t>
        </is>
      </c>
      <c r="D4808" s="248">
        <v>4</v>
      </c>
      <c r="E4808" s="247">
        <v>1.5</v>
      </c>
      <c r="F4808" s="247">
        <v>1.15</v>
      </c>
      <c r="H4808" s="249">
        <f>PRODUCT(D4808:G4808)</f>
        <v>6.8999999999999995</v>
      </c>
      <c r="J4808" s="253" t="inlineStr">
        <is>
          <t xml:space="preserve">4*1.5*1.15</t>
        </is>
      </c>
    </row>
    <row r="4809">
      <c r="C4809" s="246" t="inlineStr">
        <is>
          <t xml:space="preserve">Window W13 (1 nr, 2.4x1.3): nr x w x h</t>
        </is>
      </c>
      <c r="D4809" s="248">
        <v>1</v>
      </c>
      <c r="E4809" s="247">
        <v>2.4</v>
      </c>
      <c r="F4809" s="247">
        <v>1.3</v>
      </c>
      <c r="H4809" s="249">
        <f>PRODUCT(D4809:G4809)</f>
        <v>3.12</v>
      </c>
      <c r="J4809" s="253" t="inlineStr">
        <is>
          <t xml:space="preserve">1*2.4*1.3</t>
        </is>
      </c>
    </row>
    <row r="4810">
      <c r="C4810" s="246" t="inlineStr">
        <is>
          <t xml:space="preserve">Window W15 (1 nr, 3x1.6): nr x w x h</t>
        </is>
      </c>
      <c r="D4810" s="248">
        <v>1</v>
      </c>
      <c r="E4810" s="247">
        <v>3</v>
      </c>
      <c r="F4810" s="247">
        <v>1.6</v>
      </c>
      <c r="H4810" s="249">
        <f>PRODUCT(D4810:G4810)</f>
        <v>4.800000000000001</v>
      </c>
      <c r="J4810" s="253" t="inlineStr">
        <is>
          <t xml:space="preserve">1*3*1.6</t>
        </is>
      </c>
    </row>
    <row r="4811">
      <c r="C4811" s="246" t="inlineStr">
        <is>
          <t xml:space="preserve">Window W17 (3 nr, 1.8x1.9): nr x w x h</t>
        </is>
      </c>
      <c r="D4811" s="248">
        <v>3</v>
      </c>
      <c r="E4811" s="247">
        <v>1.8</v>
      </c>
      <c r="F4811" s="247">
        <v>1.9</v>
      </c>
      <c r="H4811" s="249">
        <f>PRODUCT(D4811:G4811)</f>
        <v>10.26</v>
      </c>
      <c r="J4811" s="253" t="inlineStr">
        <is>
          <t xml:space="preserve">3*1.8*1.9</t>
        </is>
      </c>
    </row>
    <row r="4812">
      <c r="C4812" s="246" t="inlineStr">
        <is>
          <t xml:space="preserve">Window W18 (1 nr, 0.75x1.3): nr x w x h</t>
        </is>
      </c>
      <c r="D4812" s="248">
        <v>1</v>
      </c>
      <c r="E4812" s="247">
        <v>0.75</v>
      </c>
      <c r="F4812" s="247">
        <v>1.3</v>
      </c>
      <c r="H4812" s="249">
        <f>PRODUCT(D4812:G4812)</f>
        <v>0.9750000000000001</v>
      </c>
      <c r="J4812" s="253" t="inlineStr">
        <is>
          <t xml:space="preserve">1*0.75*1.3</t>
        </is>
      </c>
    </row>
    <row r="4813">
      <c r="C4813" s="246" t="inlineStr">
        <is>
          <t xml:space="preserve">Window W20 (1 nr, 1.45x1.9): nr x w x h</t>
        </is>
      </c>
      <c r="D4813" s="248">
        <v>1</v>
      </c>
      <c r="E4813" s="247">
        <v>1.45</v>
      </c>
      <c r="F4813" s="247">
        <v>1.9</v>
      </c>
      <c r="H4813" s="249">
        <f>PRODUCT(D4813:G4813)</f>
        <v>2.755</v>
      </c>
      <c r="J4813" s="253" t="inlineStr">
        <is>
          <t xml:space="preserve">1*1.45*1.9</t>
        </is>
      </c>
    </row>
    <row r="4814">
      <c r="C4814" s="246" t="inlineStr">
        <is>
          <t xml:space="preserve">Window HW1 (13 nr, 0.9x0.6): nr x w x h</t>
        </is>
      </c>
      <c r="D4814" s="248">
        <v>13</v>
      </c>
      <c r="E4814" s="247">
        <v>0.9</v>
      </c>
      <c r="F4814" s="247">
        <v>0.6</v>
      </c>
      <c r="H4814" s="249">
        <f>PRODUCT(D4814:G4814)</f>
        <v>7.0200000000000005</v>
      </c>
      <c r="J4814" s="253" t="inlineStr">
        <is>
          <t xml:space="preserve">13*0.9*0.6</t>
        </is>
      </c>
    </row>
    <row r="4815">
      <c r="C4815" s="246" t="inlineStr">
        <is>
          <t xml:space="preserve">Window HW2 (5 nr, 0.75x0.6): nr x w x h</t>
        </is>
      </c>
      <c r="D4815" s="248">
        <v>5</v>
      </c>
      <c r="E4815" s="247">
        <v>0.75</v>
      </c>
      <c r="F4815" s="247">
        <v>0.6</v>
      </c>
      <c r="H4815" s="249">
        <f>PRODUCT(D4815:G4815)</f>
        <v>2.25</v>
      </c>
      <c r="J4815" s="253" t="inlineStr">
        <is>
          <t xml:space="preserve">5*0.75*0.6</t>
        </is>
      </c>
    </row>
    <row r="4816">
      <c r="C4816" s="246" t="inlineStr">
        <is>
          <t xml:space="preserve">Window HW3 (2 nr, 0.6x0.6): nr x w x h</t>
        </is>
      </c>
      <c r="D4816" s="248">
        <v>2</v>
      </c>
      <c r="E4816" s="247">
        <v>0.6</v>
      </c>
      <c r="F4816" s="247">
        <v>0.6</v>
      </c>
      <c r="H4816" s="249">
        <f>PRODUCT(D4816:G4816)</f>
        <v>0.72</v>
      </c>
      <c r="J4816" s="253" t="inlineStr">
        <is>
          <t xml:space="preserve">2*0.6*0.6</t>
        </is>
      </c>
    </row>
    <row r="4817">
      <c r="C4817" s="246" t="inlineStr">
        <is>
          <t xml:space="preserve">Window HW4 (2 nr, 1.2x0.6): nr x w x h</t>
        </is>
      </c>
      <c r="D4817" s="248">
        <v>2</v>
      </c>
      <c r="E4817" s="247">
        <v>1.2</v>
      </c>
      <c r="F4817" s="247">
        <v>0.6</v>
      </c>
      <c r="H4817" s="249">
        <f>PRODUCT(D4817:G4817)</f>
        <v>1.44</v>
      </c>
      <c r="J4817" s="253" t="inlineStr">
        <is>
          <t xml:space="preserve">2*1.2*0.6</t>
        </is>
      </c>
    </row>
    <row r="4818">
      <c r="C4818" s="250" t="inlineStr">
        <is>
          <t xml:space="preserve">Total carried to BOQ  8TH FLR item G</t>
        </is>
      </c>
      <c r="D4818" s="250" t="inlineStr">
        <is>
          <t xml:space="preserve"/>
        </is>
      </c>
      <c r="E4818" s="250" t="inlineStr">
        <is>
          <t xml:space="preserve"/>
        </is>
      </c>
      <c r="F4818" s="250" t="inlineStr">
        <is>
          <t xml:space="preserve"/>
        </is>
      </c>
      <c r="G4818" s="250" t="inlineStr">
        <is>
          <t xml:space="preserve"/>
        </is>
      </c>
      <c r="H4818" s="251">
        <f>SUM(H4801:H4817)</f>
        <v>102.75999999999999</v>
      </c>
      <c r="I4818" s="252" t="inlineStr">
        <is>
          <t xml:space="preserve">m2</t>
        </is>
      </c>
    </row>
    <row r="4819">
      <c r="C4819" s="242" t="inlineStr">
        <is>
          <t xml:space="preserve">Doors and windows: schedules ARCH-501/502 give building totals only (no tags on plans); quantities are allocated to floors pro-rata to measured habitable / washroom areas. Building totals equal the schedules.</t>
        </is>
      </c>
    </row>
    <row r="4820"/>
    <row r="4821" ht="21" customHeight="1">
      <c r="A4821" s="241" t="inlineStr">
        <is>
          <t xml:space="preserve">BILL NR. 12 - NINTH FLOOR  -  NINTH FLOOR</t>
        </is>
      </c>
      <c r="B4821" s="241" t="inlineStr">
        <is>
          <t xml:space="preserve"/>
        </is>
      </c>
      <c r="C4821" s="241" t="inlineStr">
        <is>
          <t xml:space="preserve"/>
        </is>
      </c>
      <c r="D4821" s="241" t="inlineStr">
        <is>
          <t xml:space="preserve"/>
        </is>
      </c>
      <c r="E4821" s="241" t="inlineStr">
        <is>
          <t xml:space="preserve"/>
        </is>
      </c>
      <c r="F4821" s="241" t="inlineStr">
        <is>
          <t xml:space="preserve"/>
        </is>
      </c>
      <c r="G4821" s="241" t="inlineStr">
        <is>
          <t xml:space="preserve"/>
        </is>
      </c>
      <c r="H4821" s="241" t="inlineStr">
        <is>
          <t xml:space="preserve"/>
        </is>
      </c>
      <c r="I4821" s="241" t="inlineStr">
        <is>
          <t xml:space="preserve"/>
        </is>
      </c>
      <c r="J4821" s="241" t="inlineStr">
        <is>
          <t xml:space="preserve"/>
        </is>
      </c>
      <c r="K4821" s="241" t="inlineStr">
        <is>
          <t xml:space="preserve"/>
        </is>
      </c>
    </row>
    <row r="4822">
      <c r="C4822" s="242" t="inlineStr">
        <is>
          <t xml:space="preserve">ELEMENT NO. 1: IN SITU CONCRETE/LARGE PRECAST CONCRETE</t>
        </is>
      </c>
    </row>
    <row r="4823">
      <c r="C4823" s="242" t="inlineStr">
        <is>
          <t xml:space="preserve">Vibrated in-situ concrete C40 as described in:</t>
        </is>
      </c>
    </row>
    <row r="4824">
      <c r="A4824" s="243" t="inlineStr">
        <is>
          <t xml:space="preserve">9TH FLR</t>
        </is>
      </c>
      <c r="B4824" s="243" t="inlineStr">
        <is>
          <t xml:space="preserve">A</t>
        </is>
      </c>
      <c r="C4824" s="244" t="inlineStr">
        <is>
          <t xml:space="preserve">Suspended slab 250mm thick</t>
        </is>
      </c>
      <c r="I4824" s="245" t="inlineStr">
        <is>
          <t xml:space="preserve">m3</t>
        </is>
      </c>
      <c r="K4824" s="256" t="inlineStr">
        <is>
          <t xml:space="preserve">'9TH FLR    '!C36</t>
        </is>
      </c>
    </row>
    <row r="4825">
      <c r="C4825" s="246" t="inlineStr">
        <is>
          <t xml:space="preserve">Ninth floor (+30700) - Suspended slab: measured area x 250 thk</t>
        </is>
      </c>
      <c r="E4825" s="247">
        <v>1134.4</v>
      </c>
      <c r="F4825" s="247">
        <v>0.25</v>
      </c>
      <c r="H4825" s="249">
        <f>PRODUCT(D4825:G4825)</f>
        <v>283.6</v>
      </c>
      <c r="J4825" s="253" t="inlineStr">
        <is>
          <t xml:space="preserve">1134.4*0.25</t>
        </is>
      </c>
    </row>
    <row r="4826">
      <c r="C4826" s="250" t="inlineStr">
        <is>
          <t xml:space="preserve">Total carried to BOQ  9TH FLR item A</t>
        </is>
      </c>
      <c r="D4826" s="250" t="inlineStr">
        <is>
          <t xml:space="preserve"/>
        </is>
      </c>
      <c r="E4826" s="250" t="inlineStr">
        <is>
          <t xml:space="preserve"/>
        </is>
      </c>
      <c r="F4826" s="250" t="inlineStr">
        <is>
          <t xml:space="preserve"/>
        </is>
      </c>
      <c r="G4826" s="250" t="inlineStr">
        <is>
          <t xml:space="preserve"/>
        </is>
      </c>
      <c r="H4826" s="251">
        <f>SUM(H4825:H4825)</f>
        <v>283.6</v>
      </c>
      <c r="I4826" s="252" t="inlineStr">
        <is>
          <t xml:space="preserve">m3</t>
        </is>
      </c>
    </row>
    <row r="4827">
      <c r="A4827" s="243" t="inlineStr">
        <is>
          <t xml:space="preserve">9TH FLR</t>
        </is>
      </c>
      <c r="B4827" s="243" t="inlineStr">
        <is>
          <t xml:space="preserve">B</t>
        </is>
      </c>
      <c r="C4827" s="244" t="inlineStr">
        <is>
          <t xml:space="preserve">Beams (downstands below slab)</t>
        </is>
      </c>
      <c r="I4827" s="245" t="inlineStr">
        <is>
          <t xml:space="preserve">m3</t>
        </is>
      </c>
      <c r="K4827" s="256" t="inlineStr">
        <is>
          <t xml:space="preserve">'9TH FLR    '!C38</t>
        </is>
      </c>
    </row>
    <row r="4828">
      <c r="C4828" s="246" t="inlineStr">
        <is>
          <t xml:space="preserve">Ninth floor (+30700) - 300 wide beams: length x width x depth</t>
        </is>
      </c>
      <c r="E4828" s="247">
        <v>186.5</v>
      </c>
      <c r="F4828" s="247">
        <v>0.3</v>
      </c>
      <c r="G4828" s="247">
        <v>0.35</v>
      </c>
      <c r="H4828" s="249">
        <f>PRODUCT(D4828:G4828)</f>
        <v>19.582499999999996</v>
      </c>
      <c r="J4828" s="253" t="inlineStr">
        <is>
          <t xml:space="preserve">186.5*0.3*0.35</t>
        </is>
      </c>
    </row>
    <row r="4829">
      <c r="C4829" s="246" t="inlineStr">
        <is>
          <t xml:space="preserve">Ninth floor (+30700) - 200 wide beams: length x width x depth</t>
        </is>
      </c>
      <c r="E4829" s="247">
        <v>33.1</v>
      </c>
      <c r="F4829" s="247">
        <v>0.2</v>
      </c>
      <c r="G4829" s="247">
        <v>0.35</v>
      </c>
      <c r="H4829" s="249">
        <f>PRODUCT(D4829:G4829)</f>
        <v>2.317</v>
      </c>
      <c r="J4829" s="253" t="inlineStr">
        <is>
          <t xml:space="preserve">33.1*0.2*0.35</t>
        </is>
      </c>
    </row>
    <row r="4830">
      <c r="C4830" s="250" t="inlineStr">
        <is>
          <t xml:space="preserve">Total carried to BOQ  9TH FLR item B</t>
        </is>
      </c>
      <c r="D4830" s="250" t="inlineStr">
        <is>
          <t xml:space="preserve"/>
        </is>
      </c>
      <c r="E4830" s="250" t="inlineStr">
        <is>
          <t xml:space="preserve"/>
        </is>
      </c>
      <c r="F4830" s="250" t="inlineStr">
        <is>
          <t xml:space="preserve"/>
        </is>
      </c>
      <c r="G4830" s="250" t="inlineStr">
        <is>
          <t xml:space="preserve"/>
        </is>
      </c>
      <c r="H4830" s="251">
        <f>SUM(H4828:H4829)</f>
        <v>21.899499999999996</v>
      </c>
      <c r="I4830" s="252" t="inlineStr">
        <is>
          <t xml:space="preserve">m3</t>
        </is>
      </c>
    </row>
    <row r="4831">
      <c r="A4831" s="243" t="inlineStr">
        <is>
          <t xml:space="preserve">9TH FLR</t>
        </is>
      </c>
      <c r="B4831" s="243" t="inlineStr">
        <is>
          <t xml:space="preserve">C</t>
        </is>
      </c>
      <c r="C4831" s="244" t="inlineStr">
        <is>
          <t xml:space="preserve">Columns</t>
        </is>
      </c>
      <c r="I4831" s="245" t="inlineStr">
        <is>
          <t xml:space="preserve">m3</t>
        </is>
      </c>
      <c r="K4831" s="256" t="inlineStr">
        <is>
          <t xml:space="preserve">'9TH FLR    '!C40</t>
        </is>
      </c>
    </row>
    <row r="4832">
      <c r="C4832" s="246" t="inlineStr">
        <is>
          <t xml:space="preserve">COL-01B x1 - column (9th to 10th), ht 3.05</t>
        </is>
      </c>
      <c r="D4832" s="248">
        <v>1</v>
      </c>
      <c r="E4832" s="247">
        <v>0.75</v>
      </c>
      <c r="F4832" s="247">
        <v>0.5</v>
      </c>
      <c r="G4832" s="247">
        <v>3.05</v>
      </c>
      <c r="H4832" s="249">
        <f>PRODUCT(D4832:G4832)</f>
        <v>1.1437499999999998</v>
      </c>
      <c r="J4832" s="253" t="inlineStr">
        <is>
          <t xml:space="preserve">1*0.75*0.5*3.05</t>
        </is>
      </c>
    </row>
    <row r="4833">
      <c r="C4833" s="246" t="inlineStr">
        <is>
          <t xml:space="preserve">COL-01C x2 - column (9th to 10th), ht 3.05</t>
        </is>
      </c>
      <c r="D4833" s="248">
        <v>2</v>
      </c>
      <c r="E4833" s="247">
        <v>0.75</v>
      </c>
      <c r="F4833" s="247">
        <v>0.5</v>
      </c>
      <c r="G4833" s="247">
        <v>3.05</v>
      </c>
      <c r="H4833" s="249">
        <f>PRODUCT(D4833:G4833)</f>
        <v>2.2874999999999996</v>
      </c>
      <c r="J4833" s="253" t="inlineStr">
        <is>
          <t xml:space="preserve">2*0.75*0.5*3.05</t>
        </is>
      </c>
    </row>
    <row r="4834">
      <c r="C4834" s="246" t="inlineStr">
        <is>
          <t xml:space="preserve">COL-01D x1 - column (9th to 10th), ht 3.05</t>
        </is>
      </c>
      <c r="D4834" s="248">
        <v>1</v>
      </c>
      <c r="E4834" s="247">
        <v>0.75</v>
      </c>
      <c r="F4834" s="247">
        <v>0.5</v>
      </c>
      <c r="G4834" s="247">
        <v>3.05</v>
      </c>
      <c r="H4834" s="249">
        <f>PRODUCT(D4834:G4834)</f>
        <v>1.1437499999999998</v>
      </c>
      <c r="J4834" s="253" t="inlineStr">
        <is>
          <t xml:space="preserve">1*0.75*0.5*3.05</t>
        </is>
      </c>
    </row>
    <row r="4835">
      <c r="C4835" s="246" t="inlineStr">
        <is>
          <t xml:space="preserve">COL-02B x6 - column (9th to 10th), ht 3.05</t>
        </is>
      </c>
      <c r="D4835" s="248">
        <v>6</v>
      </c>
      <c r="E4835" s="247">
        <v>1.2</v>
      </c>
      <c r="F4835" s="247">
        <v>0.3</v>
      </c>
      <c r="G4835" s="247">
        <v>3.05</v>
      </c>
      <c r="H4835" s="249">
        <f>PRODUCT(D4835:G4835)</f>
        <v>6.587999999999998</v>
      </c>
      <c r="J4835" s="253" t="inlineStr">
        <is>
          <t xml:space="preserve">6*1.2*0.3*3.05</t>
        </is>
      </c>
    </row>
    <row r="4836">
      <c r="C4836" s="246" t="inlineStr">
        <is>
          <t xml:space="preserve">COL-02C x1 - column (9th to 10th), ht 3.05</t>
        </is>
      </c>
      <c r="D4836" s="248">
        <v>1</v>
      </c>
      <c r="E4836" s="247">
        <v>1.2</v>
      </c>
      <c r="F4836" s="247">
        <v>0.3</v>
      </c>
      <c r="G4836" s="247">
        <v>3.05</v>
      </c>
      <c r="H4836" s="249">
        <f>PRODUCT(D4836:G4836)</f>
        <v>1.0979999999999999</v>
      </c>
      <c r="J4836" s="253" t="inlineStr">
        <is>
          <t xml:space="preserve">1*1.2*0.3*3.05</t>
        </is>
      </c>
    </row>
    <row r="4837">
      <c r="C4837" s="246" t="inlineStr">
        <is>
          <t xml:space="preserve">COL-02D x15 - column (9th to 10th), ht 3.05</t>
        </is>
      </c>
      <c r="D4837" s="248">
        <v>15</v>
      </c>
      <c r="E4837" s="247">
        <v>1.2</v>
      </c>
      <c r="F4837" s="247">
        <v>0.3</v>
      </c>
      <c r="G4837" s="247">
        <v>3.05</v>
      </c>
      <c r="H4837" s="249">
        <f>PRODUCT(D4837:G4837)</f>
        <v>16.47</v>
      </c>
      <c r="J4837" s="253" t="inlineStr">
        <is>
          <t xml:space="preserve">15*1.2*0.3*3.05</t>
        </is>
      </c>
    </row>
    <row r="4838">
      <c r="C4838" s="250" t="inlineStr">
        <is>
          <t xml:space="preserve">Total carried to BOQ  9TH FLR item C</t>
        </is>
      </c>
      <c r="D4838" s="250" t="inlineStr">
        <is>
          <t xml:space="preserve"/>
        </is>
      </c>
      <c r="E4838" s="250" t="inlineStr">
        <is>
          <t xml:space="preserve"/>
        </is>
      </c>
      <c r="F4838" s="250" t="inlineStr">
        <is>
          <t xml:space="preserve"/>
        </is>
      </c>
      <c r="G4838" s="250" t="inlineStr">
        <is>
          <t xml:space="preserve"/>
        </is>
      </c>
      <c r="H4838" s="251">
        <f>SUM(H4832:H4837)</f>
        <v>28.730999999999995</v>
      </c>
      <c r="I4838" s="252" t="inlineStr">
        <is>
          <t xml:space="preserve">m3</t>
        </is>
      </c>
    </row>
    <row r="4839">
      <c r="A4839" s="243" t="inlineStr">
        <is>
          <t xml:space="preserve">9TH FLR</t>
        </is>
      </c>
      <c r="B4839" s="243" t="inlineStr">
        <is>
          <t xml:space="preserve">D</t>
        </is>
      </c>
      <c r="C4839" s="244" t="inlineStr">
        <is>
          <t xml:space="preserve">Concrete wall - shear walls to main &amp; emergency stair cores, 250mm thick</t>
        </is>
      </c>
      <c r="I4839" s="245" t="inlineStr">
        <is>
          <t xml:space="preserve">m3</t>
        </is>
      </c>
      <c r="K4839" s="256" t="inlineStr">
        <is>
          <t xml:space="preserve">'9TH FLR    '!C42</t>
        </is>
      </c>
    </row>
    <row r="4840">
      <c r="C4840" s="246" t="inlineStr">
        <is>
          <t xml:space="preserve">Ninth floor (+30700) - main stair core walls (22.05 m run): run x ht x 250 thk</t>
        </is>
      </c>
      <c r="E4840" s="247">
        <v>22.05</v>
      </c>
      <c r="F4840" s="247">
        <v>3.05</v>
      </c>
      <c r="G4840" s="247">
        <v>0.25</v>
      </c>
      <c r="H4840" s="249">
        <f>PRODUCT(D4840:G4840)</f>
        <v>16.813125</v>
      </c>
      <c r="J4840" s="253" t="inlineStr">
        <is>
          <t xml:space="preserve">22.05*3.05*0.25</t>
        </is>
      </c>
    </row>
    <row r="4841">
      <c r="C4841" s="246" t="inlineStr">
        <is>
          <t xml:space="preserve">Ninth floor (+30700) - emergency stair core walls (25.57 m run): run x ht x 250 thk</t>
        </is>
      </c>
      <c r="E4841" s="247">
        <v>25.57</v>
      </c>
      <c r="F4841" s="247">
        <v>3.05</v>
      </c>
      <c r="G4841" s="247">
        <v>0.25</v>
      </c>
      <c r="H4841" s="249">
        <f>PRODUCT(D4841:G4841)</f>
        <v>19.497125</v>
      </c>
      <c r="J4841" s="253" t="inlineStr">
        <is>
          <t xml:space="preserve">25.57*3.05*0.25</t>
        </is>
      </c>
    </row>
    <row r="4842">
      <c r="C4842" s="250" t="inlineStr">
        <is>
          <t xml:space="preserve">Total carried to BOQ  9TH FLR item D</t>
        </is>
      </c>
      <c r="D4842" s="250" t="inlineStr">
        <is>
          <t xml:space="preserve"/>
        </is>
      </c>
      <c r="E4842" s="250" t="inlineStr">
        <is>
          <t xml:space="preserve"/>
        </is>
      </c>
      <c r="F4842" s="250" t="inlineStr">
        <is>
          <t xml:space="preserve"/>
        </is>
      </c>
      <c r="G4842" s="250" t="inlineStr">
        <is>
          <t xml:space="preserve"/>
        </is>
      </c>
      <c r="H4842" s="251">
        <f>SUM(H4840:H4841)</f>
        <v>36.310249999999996</v>
      </c>
      <c r="I4842" s="252" t="inlineStr">
        <is>
          <t xml:space="preserve">m3</t>
        </is>
      </c>
    </row>
    <row r="4843">
      <c r="A4843" s="243" t="inlineStr">
        <is>
          <t xml:space="preserve">9TH FLR</t>
        </is>
      </c>
      <c r="B4843" s="243" t="inlineStr">
        <is>
          <t xml:space="preserve">E</t>
        </is>
      </c>
      <c r="C4843" s="244" t="inlineStr">
        <is>
          <t xml:space="preserve">Concrete wall - lift walls, 250mm thick</t>
        </is>
      </c>
      <c r="I4843" s="245" t="inlineStr">
        <is>
          <t xml:space="preserve">m3</t>
        </is>
      </c>
      <c r="K4843" s="256" t="inlineStr">
        <is>
          <t xml:space="preserve">'9TH FLR    '!C44</t>
        </is>
      </c>
    </row>
    <row r="4844">
      <c r="C4844" s="246" t="inlineStr">
        <is>
          <t xml:space="preserve">Ninth floor (+30700) - lift core walls (21.825 m run): run x ht x 250 thk</t>
        </is>
      </c>
      <c r="E4844" s="247">
        <v>21.825</v>
      </c>
      <c r="F4844" s="247">
        <v>3.05</v>
      </c>
      <c r="G4844" s="247">
        <v>0.25</v>
      </c>
      <c r="H4844" s="249">
        <f>PRODUCT(D4844:G4844)</f>
        <v>16.6415625</v>
      </c>
      <c r="J4844" s="253" t="inlineStr">
        <is>
          <t xml:space="preserve">21.825*3.05*0.25</t>
        </is>
      </c>
    </row>
    <row r="4845">
      <c r="C4845" s="250" t="inlineStr">
        <is>
          <t xml:space="preserve">Total carried to BOQ  9TH FLR item E</t>
        </is>
      </c>
      <c r="D4845" s="250" t="inlineStr">
        <is>
          <t xml:space="preserve"/>
        </is>
      </c>
      <c r="E4845" s="250" t="inlineStr">
        <is>
          <t xml:space="preserve"/>
        </is>
      </c>
      <c r="F4845" s="250" t="inlineStr">
        <is>
          <t xml:space="preserve"/>
        </is>
      </c>
      <c r="G4845" s="250" t="inlineStr">
        <is>
          <t xml:space="preserve"/>
        </is>
      </c>
      <c r="H4845" s="251">
        <f>SUM(H4844:H4844)</f>
        <v>16.6415625</v>
      </c>
      <c r="I4845" s="252" t="inlineStr">
        <is>
          <t xml:space="preserve">m3</t>
        </is>
      </c>
    </row>
    <row r="4846">
      <c r="A4846" s="243" t="inlineStr">
        <is>
          <t xml:space="preserve">9TH FLR</t>
        </is>
      </c>
      <c r="B4846" s="243" t="inlineStr">
        <is>
          <t xml:space="preserve">F</t>
        </is>
      </c>
      <c r="C4846" s="244" t="inlineStr">
        <is>
          <t xml:space="preserve">Stairs</t>
        </is>
      </c>
      <c r="I4846" s="245" t="inlineStr">
        <is>
          <t xml:space="preserve">m3</t>
        </is>
      </c>
      <c r="K4846" s="256" t="inlineStr">
        <is>
          <t xml:space="preserve">'9TH FLR    '!C46</t>
        </is>
      </c>
    </row>
    <row r="4847">
      <c r="C4847" s="246" t="inlineStr">
        <is>
          <t xml:space="preserve">Ninth floor (+30700) - Main stair flight (storey ht 3.3) - flights: 2.966 m3 per 3.3 m storey x (storey ht / 3.3)</t>
        </is>
      </c>
      <c r="E4847" s="247">
        <v>2.966</v>
      </c>
      <c r="F4847" s="247">
        <f>3.3/3.3</f>
        <v>1.0</v>
      </c>
      <c r="H4847" s="249">
        <f>PRODUCT(D4847:G4847)</f>
        <v>2.966</v>
      </c>
      <c r="J4847" s="253" t="inlineStr">
        <is>
          <t xml:space="preserve">2.966*3.3/3.3</t>
        </is>
      </c>
    </row>
    <row r="4848">
      <c r="C4848" s="246" t="inlineStr">
        <is>
          <t xml:space="preserve">Ninth floor (+30700) - Main stair flight (storey ht 3.3) - landings</t>
        </is>
      </c>
      <c r="H4848" s="247">
        <v>2.625</v>
      </c>
      <c r="J4848" s="253" t="inlineStr">
        <is>
          <t xml:space="preserve">2.625</t>
        </is>
      </c>
    </row>
    <row r="4849">
      <c r="C4849" s="246" t="inlineStr">
        <is>
          <t xml:space="preserve">Ninth floor (+30700) - Emergency stair flight (storey ht 3.3) - flights: 2.966 m3 per 3.3 m storey x (storey ht / 3.3)</t>
        </is>
      </c>
      <c r="E4849" s="247">
        <v>2.966</v>
      </c>
      <c r="F4849" s="247">
        <f>3.3/3.3</f>
        <v>1.0</v>
      </c>
      <c r="H4849" s="249">
        <f>PRODUCT(D4849:G4849)</f>
        <v>2.966</v>
      </c>
      <c r="J4849" s="253" t="inlineStr">
        <is>
          <t xml:space="preserve">2.966*3.3/3.3</t>
        </is>
      </c>
    </row>
    <row r="4850">
      <c r="C4850" s="246" t="inlineStr">
        <is>
          <t xml:space="preserve">Ninth floor (+30700) - Emergency stair flight (storey ht 3.3) - landings</t>
        </is>
      </c>
      <c r="H4850" s="247">
        <v>2.625</v>
      </c>
      <c r="J4850" s="253" t="inlineStr">
        <is>
          <t xml:space="preserve">2.625</t>
        </is>
      </c>
    </row>
    <row r="4851">
      <c r="C4851" s="250" t="inlineStr">
        <is>
          <t xml:space="preserve">Total carried to BOQ  9TH FLR item F</t>
        </is>
      </c>
      <c r="D4851" s="250" t="inlineStr">
        <is>
          <t xml:space="preserve"/>
        </is>
      </c>
      <c r="E4851" s="250" t="inlineStr">
        <is>
          <t xml:space="preserve"/>
        </is>
      </c>
      <c r="F4851" s="250" t="inlineStr">
        <is>
          <t xml:space="preserve"/>
        </is>
      </c>
      <c r="G4851" s="250" t="inlineStr">
        <is>
          <t xml:space="preserve"/>
        </is>
      </c>
      <c r="H4851" s="251">
        <f>SUM(H4847:H4850)</f>
        <v>11.182</v>
      </c>
      <c r="I4851" s="252" t="inlineStr">
        <is>
          <t xml:space="preserve">m3</t>
        </is>
      </c>
    </row>
    <row r="4852">
      <c r="A4852" s="243" t="inlineStr">
        <is>
          <t xml:space="preserve">9TH FLR</t>
        </is>
      </c>
      <c r="B4852" s="243" t="inlineStr">
        <is>
          <t xml:space="preserve">G</t>
        </is>
      </c>
      <c r="C4852" s="244" t="inlineStr">
        <is>
          <t xml:space="preserve">Lintels 150 x 225mm over door and window openings</t>
        </is>
      </c>
      <c r="I4852" s="245" t="inlineStr">
        <is>
          <t xml:space="preserve">m3</t>
        </is>
      </c>
      <c r="K4852" s="256" t="inlineStr">
        <is>
          <t xml:space="preserve">'9TH FLR    '!C48</t>
        </is>
      </c>
    </row>
    <row r="4853">
      <c r="C4853" s="246" t="inlineStr">
        <is>
          <t xml:space="preserve">Lintel over D2 (4 nr, 1x2.2): nr x (width + 2 x 150 bearing) x 150 x 225</t>
        </is>
      </c>
      <c r="D4853" s="248">
        <v>4</v>
      </c>
      <c r="E4853" s="247">
        <f>1+0.3</f>
        <v>1.3</v>
      </c>
      <c r="F4853" s="247">
        <v>0.15</v>
      </c>
      <c r="G4853" s="247">
        <v>0.225</v>
      </c>
      <c r="H4853" s="249">
        <f>PRODUCT(D4853:G4853)</f>
        <v>0.17550000000000002</v>
      </c>
      <c r="J4853" s="253" t="inlineStr">
        <is>
          <t xml:space="preserve">4*(1+0.3)*0.15*0.225</t>
        </is>
      </c>
    </row>
    <row r="4854">
      <c r="C4854" s="246" t="inlineStr">
        <is>
          <t xml:space="preserve">Lintel over D3 (8 nr, 0.9x2.2): nr x (width + 2 x 150 bearing) x 150 x 225</t>
        </is>
      </c>
      <c r="D4854" s="248">
        <v>8</v>
      </c>
      <c r="E4854" s="247">
        <f>0.9+0.3</f>
        <v>1.2</v>
      </c>
      <c r="F4854" s="247">
        <v>0.15</v>
      </c>
      <c r="G4854" s="247">
        <v>0.225</v>
      </c>
      <c r="H4854" s="249">
        <f>PRODUCT(D4854:G4854)</f>
        <v>0.324</v>
      </c>
      <c r="J4854" s="253" t="inlineStr">
        <is>
          <t xml:space="preserve">8*(0.9+0.3)*0.15*0.225</t>
        </is>
      </c>
    </row>
    <row r="4855">
      <c r="C4855" s="246" t="inlineStr">
        <is>
          <t xml:space="preserve">Lintel over D6 (17 nr, 0.75x2.2): nr x (width + 2 x 150 bearing) x 150 x 225</t>
        </is>
      </c>
      <c r="D4855" s="248">
        <v>17</v>
      </c>
      <c r="E4855" s="247">
        <f>0.75+0.3</f>
        <v>1.05</v>
      </c>
      <c r="F4855" s="247">
        <v>0.15</v>
      </c>
      <c r="G4855" s="247">
        <v>0.225</v>
      </c>
      <c r="H4855" s="249">
        <f>PRODUCT(D4855:G4855)</f>
        <v>0.6024375000000001</v>
      </c>
      <c r="J4855" s="253" t="inlineStr">
        <is>
          <t xml:space="preserve">17*(0.75+0.3)*0.15*0.225</t>
        </is>
      </c>
    </row>
    <row r="4856">
      <c r="C4856" s="246" t="inlineStr">
        <is>
          <t xml:space="preserve">Lintel over D7 (1 nr, 0.7x2.2): nr x (width + 2 x 150 bearing) x 150 x 225</t>
        </is>
      </c>
      <c r="D4856" s="248">
        <v>1</v>
      </c>
      <c r="E4856" s="247">
        <f>0.7+0.3</f>
        <v>1.0</v>
      </c>
      <c r="F4856" s="247">
        <v>0.15</v>
      </c>
      <c r="G4856" s="247">
        <v>0.225</v>
      </c>
      <c r="H4856" s="249">
        <f>PRODUCT(D4856:G4856)</f>
        <v>0.03375</v>
      </c>
      <c r="J4856" s="253" t="inlineStr">
        <is>
          <t xml:space="preserve">1*(0.7+0.3)*0.15*0.225</t>
        </is>
      </c>
    </row>
    <row r="4857">
      <c r="C4857" s="246" t="inlineStr">
        <is>
          <t xml:space="preserve">Lintel over D8 (2 nr, 1.2x2.2): nr x (width + 2 x 150 bearing) x 150 x 225</t>
        </is>
      </c>
      <c r="D4857" s="248">
        <v>2</v>
      </c>
      <c r="E4857" s="247">
        <f>1.2+0.3</f>
        <v>1.5</v>
      </c>
      <c r="F4857" s="247">
        <v>0.15</v>
      </c>
      <c r="G4857" s="247">
        <v>0.225</v>
      </c>
      <c r="H4857" s="249">
        <f>PRODUCT(D4857:G4857)</f>
        <v>0.10124999999999999</v>
      </c>
      <c r="J4857" s="253" t="inlineStr">
        <is>
          <t xml:space="preserve">2*(1.2+0.3)*0.15*0.225</t>
        </is>
      </c>
    </row>
    <row r="4858">
      <c r="C4858" s="246" t="inlineStr">
        <is>
          <t xml:space="preserve">Lintel over ED1 (2 nr, 1x2.2): nr x (width + 2 x 150 bearing) x 150 x 225</t>
        </is>
      </c>
      <c r="D4858" s="248">
        <v>2</v>
      </c>
      <c r="E4858" s="247">
        <f>1+0.3</f>
        <v>1.3</v>
      </c>
      <c r="F4858" s="247">
        <v>0.15</v>
      </c>
      <c r="G4858" s="247">
        <v>0.225</v>
      </c>
      <c r="H4858" s="249">
        <f>PRODUCT(D4858:G4858)</f>
        <v>0.08775000000000001</v>
      </c>
      <c r="J4858" s="253" t="inlineStr">
        <is>
          <t xml:space="preserve">2*(1+0.3)*0.15*0.225</t>
        </is>
      </c>
    </row>
    <row r="4859">
      <c r="C4859" s="246" t="inlineStr">
        <is>
          <t xml:space="preserve">Lintel over ED2 (2 nr, 1x2.2): nr x (width + 2 x 150 bearing) x 150 x 225</t>
        </is>
      </c>
      <c r="D4859" s="248">
        <v>2</v>
      </c>
      <c r="E4859" s="247">
        <f>1+0.3</f>
        <v>1.3</v>
      </c>
      <c r="F4859" s="247">
        <v>0.15</v>
      </c>
      <c r="G4859" s="247">
        <v>0.225</v>
      </c>
      <c r="H4859" s="249">
        <f>PRODUCT(D4859:G4859)</f>
        <v>0.08775000000000001</v>
      </c>
      <c r="J4859" s="253" t="inlineStr">
        <is>
          <t xml:space="preserve">2*(1+0.3)*0.15*0.225</t>
        </is>
      </c>
    </row>
    <row r="4860">
      <c r="C4860" s="246" t="inlineStr">
        <is>
          <t xml:space="preserve">Lintel over D9 (1 nr, 0.9x2.2): nr x (width + 2 x 150 bearing) x 150 x 225</t>
        </is>
      </c>
      <c r="D4860" s="248">
        <v>1</v>
      </c>
      <c r="E4860" s="247">
        <f>0.9+0.3</f>
        <v>1.2</v>
      </c>
      <c r="F4860" s="247">
        <v>0.15</v>
      </c>
      <c r="G4860" s="247">
        <v>0.225</v>
      </c>
      <c r="H4860" s="249">
        <f>PRODUCT(D4860:G4860)</f>
        <v>0.0405</v>
      </c>
      <c r="J4860" s="253" t="inlineStr">
        <is>
          <t xml:space="preserve">1*(0.9+0.3)*0.15*0.225</t>
        </is>
      </c>
    </row>
    <row r="4861">
      <c r="C4861" s="246" t="inlineStr">
        <is>
          <t xml:space="preserve">Lintel over M1 (2 nr, 0.9x2.2): nr x (width + 2 x 150 bearing) x 150 x 225</t>
        </is>
      </c>
      <c r="D4861" s="248">
        <v>2</v>
      </c>
      <c r="E4861" s="247">
        <f>0.9+0.3</f>
        <v>1.2</v>
      </c>
      <c r="F4861" s="247">
        <v>0.15</v>
      </c>
      <c r="G4861" s="247">
        <v>0.225</v>
      </c>
      <c r="H4861" s="249">
        <f>PRODUCT(D4861:G4861)</f>
        <v>0.081</v>
      </c>
      <c r="J4861" s="253" t="inlineStr">
        <is>
          <t xml:space="preserve">2*(0.9+0.3)*0.15*0.225</t>
        </is>
      </c>
    </row>
    <row r="4862">
      <c r="C4862" s="246" t="inlineStr">
        <is>
          <t xml:space="preserve">Lintel over M2 (4 nr, 0.75x2.2): nr x (width + 2 x 150 bearing) x 150 x 225</t>
        </is>
      </c>
      <c r="D4862" s="248">
        <v>4</v>
      </c>
      <c r="E4862" s="247">
        <f>0.75+0.3</f>
        <v>1.05</v>
      </c>
      <c r="F4862" s="247">
        <v>0.15</v>
      </c>
      <c r="G4862" s="247">
        <v>0.225</v>
      </c>
      <c r="H4862" s="249">
        <f>PRODUCT(D4862:G4862)</f>
        <v>0.14175000000000001</v>
      </c>
      <c r="J4862" s="253" t="inlineStr">
        <is>
          <t xml:space="preserve">4*(0.75+0.3)*0.15*0.225</t>
        </is>
      </c>
    </row>
    <row r="4863">
      <c r="C4863" s="246" t="inlineStr">
        <is>
          <t xml:space="preserve">Lintel over M3 (1 nr, 0.45x2.2): nr x (width + 2 x 150 bearing) x 150 x 225</t>
        </is>
      </c>
      <c r="D4863" s="248">
        <v>1</v>
      </c>
      <c r="E4863" s="247">
        <f>0.45+0.3</f>
        <v>0.75</v>
      </c>
      <c r="F4863" s="247">
        <v>0.15</v>
      </c>
      <c r="G4863" s="247">
        <v>0.225</v>
      </c>
      <c r="H4863" s="249">
        <f>PRODUCT(D4863:G4863)</f>
        <v>0.025312499999999998</v>
      </c>
      <c r="J4863" s="253" t="inlineStr">
        <is>
          <t xml:space="preserve">1*(0.45+0.3)*0.15*0.225</t>
        </is>
      </c>
    </row>
    <row r="4864">
      <c r="C4864" s="246" t="inlineStr">
        <is>
          <t xml:space="preserve">Lintel over M5 (3 nr, 0.6x2.2): nr x (width + 2 x 150 bearing) x 150 x 225</t>
        </is>
      </c>
      <c r="D4864" s="248">
        <v>3</v>
      </c>
      <c r="E4864" s="247">
        <f>0.6+0.3</f>
        <v>0.8999999999999999</v>
      </c>
      <c r="F4864" s="247">
        <v>0.15</v>
      </c>
      <c r="G4864" s="247">
        <v>0.225</v>
      </c>
      <c r="H4864" s="249">
        <f>PRODUCT(D4864:G4864)</f>
        <v>0.091125</v>
      </c>
      <c r="J4864" s="253" t="inlineStr">
        <is>
          <t xml:space="preserve">3*(0.6+0.3)*0.15*0.225</t>
        </is>
      </c>
    </row>
    <row r="4865">
      <c r="C4865" s="246" t="inlineStr">
        <is>
          <t xml:space="preserve">Lintel over SD1 (1 nr, 3x2.2): nr x (width + 2 x 150 bearing) x 150 x 225</t>
        </is>
      </c>
      <c r="D4865" s="248">
        <v>1</v>
      </c>
      <c r="E4865" s="247">
        <f>3+0.3</f>
        <v>3.3</v>
      </c>
      <c r="F4865" s="247">
        <v>0.15</v>
      </c>
      <c r="G4865" s="247">
        <v>0.225</v>
      </c>
      <c r="H4865" s="249">
        <f>PRODUCT(D4865:G4865)</f>
        <v>0.11137499999999999</v>
      </c>
      <c r="J4865" s="253" t="inlineStr">
        <is>
          <t xml:space="preserve">1*(3+0.3)*0.15*0.225</t>
        </is>
      </c>
    </row>
    <row r="4866">
      <c r="C4866" s="246" t="inlineStr">
        <is>
          <t xml:space="preserve">Lintel over SD2 (2 nr, 1.6x2.2): nr x (width + 2 x 150 bearing) x 150 x 225</t>
        </is>
      </c>
      <c r="D4866" s="248">
        <v>2</v>
      </c>
      <c r="E4866" s="247">
        <f>1.6+0.3</f>
        <v>1.9000000000000001</v>
      </c>
      <c r="F4866" s="247">
        <v>0.15</v>
      </c>
      <c r="G4866" s="247">
        <v>0.225</v>
      </c>
      <c r="H4866" s="249">
        <f>PRODUCT(D4866:G4866)</f>
        <v>0.12825000000000003</v>
      </c>
      <c r="J4866" s="253" t="inlineStr">
        <is>
          <t xml:space="preserve">2*(1.6+0.3)*0.15*0.225</t>
        </is>
      </c>
    </row>
    <row r="4867">
      <c r="C4867" s="246" t="inlineStr">
        <is>
          <t xml:space="preserve">Lintel over SD3 (1 nr, 1.3x2.2): nr x (width + 2 x 150 bearing) x 150 x 225</t>
        </is>
      </c>
      <c r="D4867" s="248">
        <v>1</v>
      </c>
      <c r="E4867" s="247">
        <f>1.3+0.3</f>
        <v>1.6</v>
      </c>
      <c r="F4867" s="247">
        <v>0.15</v>
      </c>
      <c r="G4867" s="247">
        <v>0.225</v>
      </c>
      <c r="H4867" s="249">
        <f>PRODUCT(D4867:G4867)</f>
        <v>0.054</v>
      </c>
      <c r="J4867" s="253" t="inlineStr">
        <is>
          <t xml:space="preserve">1*(1.3+0.3)*0.15*0.225</t>
        </is>
      </c>
    </row>
    <row r="4868">
      <c r="C4868" s="246" t="inlineStr">
        <is>
          <t xml:space="preserve">Lintel over SD4 (2 nr, 1.8x2.2): nr x (width + 2 x 150 bearing) x 150 x 225</t>
        </is>
      </c>
      <c r="D4868" s="248">
        <v>2</v>
      </c>
      <c r="E4868" s="247">
        <f>1.8+0.3</f>
        <v>2.1</v>
      </c>
      <c r="F4868" s="247">
        <v>0.15</v>
      </c>
      <c r="G4868" s="247">
        <v>0.225</v>
      </c>
      <c r="H4868" s="249">
        <f>PRODUCT(D4868:G4868)</f>
        <v>0.14175000000000001</v>
      </c>
      <c r="J4868" s="253" t="inlineStr">
        <is>
          <t xml:space="preserve">2*(1.8+0.3)*0.15*0.225</t>
        </is>
      </c>
    </row>
    <row r="4869">
      <c r="C4869" s="246" t="inlineStr">
        <is>
          <t xml:space="preserve">Lintel over W2 (3 nr, 1.8x1.3): nr x (width + 2 x 150 bearing) x 150 x 225</t>
        </is>
      </c>
      <c r="D4869" s="248">
        <v>3</v>
      </c>
      <c r="E4869" s="247">
        <f>1.8+0.3</f>
        <v>2.1</v>
      </c>
      <c r="F4869" s="247">
        <v>0.15</v>
      </c>
      <c r="G4869" s="247">
        <v>0.225</v>
      </c>
      <c r="H4869" s="249">
        <f>PRODUCT(D4869:G4869)</f>
        <v>0.212625</v>
      </c>
      <c r="J4869" s="253" t="inlineStr">
        <is>
          <t xml:space="preserve">3*(1.8+0.3)*0.15*0.225</t>
        </is>
      </c>
    </row>
    <row r="4870">
      <c r="C4870" s="246" t="inlineStr">
        <is>
          <t xml:space="preserve">Lintel over W4 (6 nr, 0.9x1.3): nr x (width + 2 x 150 bearing) x 150 x 225</t>
        </is>
      </c>
      <c r="D4870" s="248">
        <v>6</v>
      </c>
      <c r="E4870" s="247">
        <f>0.9+0.3</f>
        <v>1.2</v>
      </c>
      <c r="F4870" s="247">
        <v>0.15</v>
      </c>
      <c r="G4870" s="247">
        <v>0.225</v>
      </c>
      <c r="H4870" s="249">
        <f>PRODUCT(D4870:G4870)</f>
        <v>0.24299999999999997</v>
      </c>
      <c r="J4870" s="253" t="inlineStr">
        <is>
          <t xml:space="preserve">6*(0.9+0.3)*0.15*0.225</t>
        </is>
      </c>
    </row>
    <row r="4871">
      <c r="C4871" s="246" t="inlineStr">
        <is>
          <t xml:space="preserve">Lintel over W7 (1 nr, 1.8x1.6): nr x (width + 2 x 150 bearing) x 150 x 225</t>
        </is>
      </c>
      <c r="D4871" s="248">
        <v>1</v>
      </c>
      <c r="E4871" s="247">
        <f>1.8+0.3</f>
        <v>2.1</v>
      </c>
      <c r="F4871" s="247">
        <v>0.15</v>
      </c>
      <c r="G4871" s="247">
        <v>0.225</v>
      </c>
      <c r="H4871" s="249">
        <f>PRODUCT(D4871:G4871)</f>
        <v>0.07087500000000001</v>
      </c>
      <c r="J4871" s="253" t="inlineStr">
        <is>
          <t xml:space="preserve">1*(1.8+0.3)*0.15*0.225</t>
        </is>
      </c>
    </row>
    <row r="4872">
      <c r="C4872" s="246" t="inlineStr">
        <is>
          <t xml:space="preserve">Lintel over W8 (1 nr, 1.2x1.9): nr x (width + 2 x 150 bearing) x 150 x 225</t>
        </is>
      </c>
      <c r="D4872" s="248">
        <v>1</v>
      </c>
      <c r="E4872" s="247">
        <f>1.2+0.3</f>
        <v>1.5</v>
      </c>
      <c r="F4872" s="247">
        <v>0.15</v>
      </c>
      <c r="G4872" s="247">
        <v>0.225</v>
      </c>
      <c r="H4872" s="249">
        <f>PRODUCT(D4872:G4872)</f>
        <v>0.050624999999999996</v>
      </c>
      <c r="J4872" s="253" t="inlineStr">
        <is>
          <t xml:space="preserve">1*(1.2+0.3)*0.15*0.225</t>
        </is>
      </c>
    </row>
    <row r="4873">
      <c r="C4873" s="246" t="inlineStr">
        <is>
          <t xml:space="preserve">Lintel over W9 (5 nr, 1.2x1.15): nr x (width + 2 x 150 bearing) x 150 x 225</t>
        </is>
      </c>
      <c r="D4873" s="248">
        <v>5</v>
      </c>
      <c r="E4873" s="247">
        <f>1.2+0.3</f>
        <v>1.5</v>
      </c>
      <c r="F4873" s="247">
        <v>0.15</v>
      </c>
      <c r="G4873" s="247">
        <v>0.225</v>
      </c>
      <c r="H4873" s="249">
        <f>PRODUCT(D4873:G4873)</f>
        <v>0.253125</v>
      </c>
      <c r="J4873" s="253" t="inlineStr">
        <is>
          <t xml:space="preserve">5*(1.2+0.3)*0.15*0.225</t>
        </is>
      </c>
    </row>
    <row r="4874">
      <c r="C4874" s="246" t="inlineStr">
        <is>
          <t xml:space="preserve">Lintel over W10 (1 nr, 1.2x1.2): nr x (width + 2 x 150 bearing) x 150 x 225</t>
        </is>
      </c>
      <c r="D4874" s="248">
        <v>1</v>
      </c>
      <c r="E4874" s="247">
        <f>1.2+0.3</f>
        <v>1.5</v>
      </c>
      <c r="F4874" s="247">
        <v>0.15</v>
      </c>
      <c r="G4874" s="247">
        <v>0.225</v>
      </c>
      <c r="H4874" s="249">
        <f>PRODUCT(D4874:G4874)</f>
        <v>0.050624999999999996</v>
      </c>
      <c r="J4874" s="253" t="inlineStr">
        <is>
          <t xml:space="preserve">1*(1.2+0.3)*0.15*0.225</t>
        </is>
      </c>
    </row>
    <row r="4875">
      <c r="C4875" s="246" t="inlineStr">
        <is>
          <t xml:space="preserve">Lintel over W11 (3 nr, 1.5x1.3): nr x (width + 2 x 150 bearing) x 150 x 225</t>
        </is>
      </c>
      <c r="D4875" s="248">
        <v>3</v>
      </c>
      <c r="E4875" s="247">
        <f>1.5+0.3</f>
        <v>1.8</v>
      </c>
      <c r="F4875" s="247">
        <v>0.15</v>
      </c>
      <c r="G4875" s="247">
        <v>0.225</v>
      </c>
      <c r="H4875" s="249">
        <f>PRODUCT(D4875:G4875)</f>
        <v>0.18225000000000002</v>
      </c>
      <c r="J4875" s="253" t="inlineStr">
        <is>
          <t xml:space="preserve">3*(1.5+0.3)*0.15*0.225</t>
        </is>
      </c>
    </row>
    <row r="4876">
      <c r="C4876" s="246" t="inlineStr">
        <is>
          <t xml:space="preserve">Lintel over W12 (2 nr, 1.5x1.15): nr x (width + 2 x 150 bearing) x 150 x 225</t>
        </is>
      </c>
      <c r="D4876" s="248">
        <v>2</v>
      </c>
      <c r="E4876" s="247">
        <f>1.5+0.3</f>
        <v>1.8</v>
      </c>
      <c r="F4876" s="247">
        <v>0.15</v>
      </c>
      <c r="G4876" s="247">
        <v>0.225</v>
      </c>
      <c r="H4876" s="249">
        <f>PRODUCT(D4876:G4876)</f>
        <v>0.12150000000000001</v>
      </c>
      <c r="J4876" s="253" t="inlineStr">
        <is>
          <t xml:space="preserve">2*(1.5+0.3)*0.15*0.225</t>
        </is>
      </c>
    </row>
    <row r="4877">
      <c r="C4877" s="246" t="inlineStr">
        <is>
          <t xml:space="preserve">Lintel over W15 (1 nr, 3x1.6): nr x (width + 2 x 150 bearing) x 150 x 225</t>
        </is>
      </c>
      <c r="D4877" s="248">
        <v>1</v>
      </c>
      <c r="E4877" s="247">
        <f>3+0.3</f>
        <v>3.3</v>
      </c>
      <c r="F4877" s="247">
        <v>0.15</v>
      </c>
      <c r="G4877" s="247">
        <v>0.225</v>
      </c>
      <c r="H4877" s="249">
        <f>PRODUCT(D4877:G4877)</f>
        <v>0.11137499999999999</v>
      </c>
      <c r="J4877" s="253" t="inlineStr">
        <is>
          <t xml:space="preserve">1*(3+0.3)*0.15*0.225</t>
        </is>
      </c>
    </row>
    <row r="4878">
      <c r="C4878" s="246" t="inlineStr">
        <is>
          <t xml:space="preserve">Lintel over W17 (1 nr, 1.8x1.9): nr x (width + 2 x 150 bearing) x 150 x 225</t>
        </is>
      </c>
      <c r="D4878" s="248">
        <v>1</v>
      </c>
      <c r="E4878" s="247">
        <f>1.8+0.3</f>
        <v>2.1</v>
      </c>
      <c r="F4878" s="247">
        <v>0.15</v>
      </c>
      <c r="G4878" s="247">
        <v>0.225</v>
      </c>
      <c r="H4878" s="249">
        <f>PRODUCT(D4878:G4878)</f>
        <v>0.07087500000000001</v>
      </c>
      <c r="J4878" s="253" t="inlineStr">
        <is>
          <t xml:space="preserve">1*(1.8+0.3)*0.15*0.225</t>
        </is>
      </c>
    </row>
    <row r="4879">
      <c r="C4879" s="246" t="inlineStr">
        <is>
          <t xml:space="preserve">Lintel over HW1 (10 nr, 0.9x0.6): nr x (width + 2 x 150 bearing) x 150 x 225</t>
        </is>
      </c>
      <c r="D4879" s="248">
        <v>10</v>
      </c>
      <c r="E4879" s="247">
        <f>0.9+0.3</f>
        <v>1.2</v>
      </c>
      <c r="F4879" s="247">
        <v>0.15</v>
      </c>
      <c r="G4879" s="247">
        <v>0.225</v>
      </c>
      <c r="H4879" s="249">
        <f>PRODUCT(D4879:G4879)</f>
        <v>0.40499999999999997</v>
      </c>
      <c r="J4879" s="253" t="inlineStr">
        <is>
          <t xml:space="preserve">10*(0.9+0.3)*0.15*0.225</t>
        </is>
      </c>
    </row>
    <row r="4880">
      <c r="C4880" s="246" t="inlineStr">
        <is>
          <t xml:space="preserve">Lintel over HW2 (4 nr, 0.75x0.6): nr x (width + 2 x 150 bearing) x 150 x 225</t>
        </is>
      </c>
      <c r="D4880" s="248">
        <v>4</v>
      </c>
      <c r="E4880" s="247">
        <f>0.75+0.3</f>
        <v>1.05</v>
      </c>
      <c r="F4880" s="247">
        <v>0.15</v>
      </c>
      <c r="G4880" s="247">
        <v>0.225</v>
      </c>
      <c r="H4880" s="249">
        <f>PRODUCT(D4880:G4880)</f>
        <v>0.14175000000000001</v>
      </c>
      <c r="J4880" s="253" t="inlineStr">
        <is>
          <t xml:space="preserve">4*(0.75+0.3)*0.15*0.225</t>
        </is>
      </c>
    </row>
    <row r="4881">
      <c r="C4881" s="246" t="inlineStr">
        <is>
          <t xml:space="preserve">Lintel over HW3 (1 nr, 0.6x0.6): nr x (width + 2 x 150 bearing) x 150 x 225</t>
        </is>
      </c>
      <c r="D4881" s="248">
        <v>1</v>
      </c>
      <c r="E4881" s="247">
        <f>0.6+0.3</f>
        <v>0.8999999999999999</v>
      </c>
      <c r="F4881" s="247">
        <v>0.15</v>
      </c>
      <c r="G4881" s="247">
        <v>0.225</v>
      </c>
      <c r="H4881" s="249">
        <f>PRODUCT(D4881:G4881)</f>
        <v>0.030374999999999996</v>
      </c>
      <c r="J4881" s="253" t="inlineStr">
        <is>
          <t xml:space="preserve">1*(0.6+0.3)*0.15*0.225</t>
        </is>
      </c>
    </row>
    <row r="4882">
      <c r="C4882" s="246" t="inlineStr">
        <is>
          <t xml:space="preserve">Lintel over HW4 (1 nr, 1.2x0.6): nr x (width + 2 x 150 bearing) x 150 x 225</t>
        </is>
      </c>
      <c r="D4882" s="248">
        <v>1</v>
      </c>
      <c r="E4882" s="247">
        <f>1.2+0.3</f>
        <v>1.5</v>
      </c>
      <c r="F4882" s="247">
        <v>0.15</v>
      </c>
      <c r="G4882" s="247">
        <v>0.225</v>
      </c>
      <c r="H4882" s="249">
        <f>PRODUCT(D4882:G4882)</f>
        <v>0.050624999999999996</v>
      </c>
      <c r="J4882" s="253" t="inlineStr">
        <is>
          <t xml:space="preserve">1*(1.2+0.3)*0.15*0.225</t>
        </is>
      </c>
    </row>
    <row r="4883">
      <c r="C4883" s="250" t="inlineStr">
        <is>
          <t xml:space="preserve">Total carried to BOQ  9TH FLR item G</t>
        </is>
      </c>
      <c r="D4883" s="250" t="inlineStr">
        <is>
          <t xml:space="preserve"/>
        </is>
      </c>
      <c r="E4883" s="250" t="inlineStr">
        <is>
          <t xml:space="preserve"/>
        </is>
      </c>
      <c r="F4883" s="250" t="inlineStr">
        <is>
          <t xml:space="preserve"/>
        </is>
      </c>
      <c r="G4883" s="250" t="inlineStr">
        <is>
          <t xml:space="preserve"/>
        </is>
      </c>
      <c r="H4883" s="251">
        <f>SUM(H4853:H4882)</f>
        <v>4.222125</v>
      </c>
      <c r="I4883" s="252" t="inlineStr">
        <is>
          <t xml:space="preserve">m3</t>
        </is>
      </c>
    </row>
    <row r="4884">
      <c r="C4884" s="242" t="inlineStr">
        <is>
          <t xml:space="preserve">E20 FORMWORK - Formwork as described to:</t>
        </is>
      </c>
    </row>
    <row r="4885">
      <c r="A4885" s="243" t="inlineStr">
        <is>
          <t xml:space="preserve">9TH FLR</t>
        </is>
      </c>
      <c r="B4885" s="243" t="inlineStr">
        <is>
          <t xml:space="preserve">H</t>
        </is>
      </c>
      <c r="C4885" s="244" t="inlineStr">
        <is>
          <t xml:space="preserve">Soffits of suspended slab</t>
        </is>
      </c>
      <c r="I4885" s="245" t="inlineStr">
        <is>
          <t xml:space="preserve">m2</t>
        </is>
      </c>
      <c r="K4885" s="256" t="inlineStr">
        <is>
          <t xml:space="preserve">'9TH FLR    '!C51</t>
        </is>
      </c>
    </row>
    <row r="4886">
      <c r="C4886" s="246" t="inlineStr">
        <is>
          <t xml:space="preserve">Ninth floor (+30700) - Slab soffit: measured area</t>
        </is>
      </c>
      <c r="H4886" s="247">
        <v>1134.4</v>
      </c>
      <c r="J4886" s="253" t="inlineStr">
        <is>
          <t xml:space="preserve">1134.4</t>
        </is>
      </c>
    </row>
    <row r="4887">
      <c r="C4887" s="250" t="inlineStr">
        <is>
          <t xml:space="preserve">Total carried to BOQ  9TH FLR item H</t>
        </is>
      </c>
      <c r="D4887" s="250" t="inlineStr">
        <is>
          <t xml:space="preserve"/>
        </is>
      </c>
      <c r="E4887" s="250" t="inlineStr">
        <is>
          <t xml:space="preserve"/>
        </is>
      </c>
      <c r="F4887" s="250" t="inlineStr">
        <is>
          <t xml:space="preserve"/>
        </is>
      </c>
      <c r="G4887" s="250" t="inlineStr">
        <is>
          <t xml:space="preserve"/>
        </is>
      </c>
      <c r="H4887" s="251">
        <f>SUM(H4886:H4886)</f>
        <v>1134.4</v>
      </c>
      <c r="I4887" s="252" t="inlineStr">
        <is>
          <t xml:space="preserve">m2</t>
        </is>
      </c>
    </row>
    <row r="4888">
      <c r="A4888" s="243" t="inlineStr">
        <is>
          <t xml:space="preserve">9TH FLR</t>
        </is>
      </c>
      <c r="B4888" s="243" t="inlineStr">
        <is>
          <t xml:space="preserve">J</t>
        </is>
      </c>
      <c r="C4888" s="244" t="inlineStr">
        <is>
          <t xml:space="preserve">Edges of suspended slab 250mm high</t>
        </is>
      </c>
      <c r="I4888" s="245" t="inlineStr">
        <is>
          <t xml:space="preserve">m</t>
        </is>
      </c>
      <c r="K4888" s="256" t="inlineStr">
        <is>
          <t xml:space="preserve">'9TH FLR    '!C53</t>
        </is>
      </c>
    </row>
    <row r="4889">
      <c r="C4889" s="246" t="inlineStr">
        <is>
          <t xml:space="preserve">Ninth floor (+30700) - Slab edge: measured perimeter</t>
        </is>
      </c>
      <c r="H4889" s="247">
        <v>294.5</v>
      </c>
      <c r="J4889" s="253" t="inlineStr">
        <is>
          <t xml:space="preserve">294.5</t>
        </is>
      </c>
    </row>
    <row r="4890">
      <c r="C4890" s="250" t="inlineStr">
        <is>
          <t xml:space="preserve">Total carried to BOQ  9TH FLR item J</t>
        </is>
      </c>
      <c r="D4890" s="250" t="inlineStr">
        <is>
          <t xml:space="preserve"/>
        </is>
      </c>
      <c r="E4890" s="250" t="inlineStr">
        <is>
          <t xml:space="preserve"/>
        </is>
      </c>
      <c r="F4890" s="250" t="inlineStr">
        <is>
          <t xml:space="preserve"/>
        </is>
      </c>
      <c r="G4890" s="250" t="inlineStr">
        <is>
          <t xml:space="preserve"/>
        </is>
      </c>
      <c r="H4890" s="251">
        <f>SUM(H4889:H4889)</f>
        <v>294.5</v>
      </c>
      <c r="I4890" s="252" t="inlineStr">
        <is>
          <t xml:space="preserve">m</t>
        </is>
      </c>
    </row>
    <row r="4891">
      <c r="A4891" s="243" t="inlineStr">
        <is>
          <t xml:space="preserve">9TH FLR</t>
        </is>
      </c>
      <c r="B4891" s="243" t="inlineStr">
        <is>
          <t xml:space="preserve">K</t>
        </is>
      </c>
      <c r="C4891" s="244" t="inlineStr">
        <is>
          <t xml:space="preserve">Sides and soffits of beams</t>
        </is>
      </c>
      <c r="I4891" s="245" t="inlineStr">
        <is>
          <t xml:space="preserve">m2</t>
        </is>
      </c>
      <c r="K4891" s="256" t="inlineStr">
        <is>
          <t xml:space="preserve">'9TH FLR    '!C55</t>
        </is>
      </c>
    </row>
    <row r="4892">
      <c r="C4892" s="246" t="inlineStr">
        <is>
          <t xml:space="preserve">Ninth floor (+30700) - beam sides &amp; soffit (300 wide): length x girth</t>
        </is>
      </c>
      <c r="E4892" s="247">
        <v>186.5</v>
      </c>
      <c r="F4892" s="247">
        <f>2*0.35+0.3</f>
        <v>1.0</v>
      </c>
      <c r="H4892" s="249">
        <f>PRODUCT(D4892:G4892)</f>
        <v>186.5</v>
      </c>
      <c r="J4892" s="253" t="inlineStr">
        <is>
          <t xml:space="preserve">186.5*(2*0.35+0.3)</t>
        </is>
      </c>
    </row>
    <row r="4893">
      <c r="C4893" s="246" t="inlineStr">
        <is>
          <t xml:space="preserve">Ninth floor (+30700) - beam sides &amp; soffit (200 wide): length x girth</t>
        </is>
      </c>
      <c r="E4893" s="247">
        <v>33.1</v>
      </c>
      <c r="F4893" s="247">
        <f>2*0.35+0.2</f>
        <v>0.8999999999999999</v>
      </c>
      <c r="H4893" s="249">
        <f>PRODUCT(D4893:G4893)</f>
        <v>29.79</v>
      </c>
      <c r="J4893" s="253" t="inlineStr">
        <is>
          <t xml:space="preserve">33.1*(2*0.35+0.2)</t>
        </is>
      </c>
    </row>
    <row r="4894">
      <c r="C4894" s="250" t="inlineStr">
        <is>
          <t xml:space="preserve">Total carried to BOQ  9TH FLR item K</t>
        </is>
      </c>
      <c r="D4894" s="250" t="inlineStr">
        <is>
          <t xml:space="preserve"/>
        </is>
      </c>
      <c r="E4894" s="250" t="inlineStr">
        <is>
          <t xml:space="preserve"/>
        </is>
      </c>
      <c r="F4894" s="250" t="inlineStr">
        <is>
          <t xml:space="preserve"/>
        </is>
      </c>
      <c r="G4894" s="250" t="inlineStr">
        <is>
          <t xml:space="preserve"/>
        </is>
      </c>
      <c r="H4894" s="251">
        <f>SUM(H4892:H4893)</f>
        <v>216.29</v>
      </c>
      <c r="I4894" s="252" t="inlineStr">
        <is>
          <t xml:space="preserve">m2</t>
        </is>
      </c>
    </row>
    <row r="4895">
      <c r="A4895" s="243" t="inlineStr">
        <is>
          <t xml:space="preserve">9TH FLR</t>
        </is>
      </c>
      <c r="B4895" s="243" t="inlineStr">
        <is>
          <t xml:space="preserve">L</t>
        </is>
      </c>
      <c r="C4895" s="244" t="inlineStr">
        <is>
          <t xml:space="preserve">Columns</t>
        </is>
      </c>
      <c r="I4895" s="245" t="inlineStr">
        <is>
          <t xml:space="preserve">m2</t>
        </is>
      </c>
      <c r="K4895" s="256" t="inlineStr">
        <is>
          <t xml:space="preserve">'9TH FLR    '!C57</t>
        </is>
      </c>
    </row>
    <row r="4896">
      <c r="C4896" s="246" t="inlineStr">
        <is>
          <t xml:space="preserve">COL-01B x1 - column sides (9th to 10th), ht 3.05</t>
        </is>
      </c>
      <c r="D4896" s="248">
        <v>1</v>
      </c>
      <c r="E4896" s="247">
        <f>2*(0.75+0.5)</f>
        <v>2.5</v>
      </c>
      <c r="F4896" s="247">
        <v>3.05</v>
      </c>
      <c r="H4896" s="249">
        <f>PRODUCT(D4896:G4896)</f>
        <v>7.625</v>
      </c>
      <c r="J4896" s="253" t="inlineStr">
        <is>
          <t xml:space="preserve">1*2*(0.75+0.5)*3.05</t>
        </is>
      </c>
    </row>
    <row r="4897">
      <c r="C4897" s="246" t="inlineStr">
        <is>
          <t xml:space="preserve">COL-01C x2 - column sides (9th to 10th), ht 3.05</t>
        </is>
      </c>
      <c r="D4897" s="248">
        <v>2</v>
      </c>
      <c r="E4897" s="247">
        <f>2*(0.75+0.5)</f>
        <v>2.5</v>
      </c>
      <c r="F4897" s="247">
        <v>3.05</v>
      </c>
      <c r="H4897" s="249">
        <f>PRODUCT(D4897:G4897)</f>
        <v>15.25</v>
      </c>
      <c r="J4897" s="253" t="inlineStr">
        <is>
          <t xml:space="preserve">2*2*(0.75+0.5)*3.05</t>
        </is>
      </c>
    </row>
    <row r="4898">
      <c r="C4898" s="246" t="inlineStr">
        <is>
          <t xml:space="preserve">COL-01D x1 - column sides (9th to 10th), ht 3.05</t>
        </is>
      </c>
      <c r="D4898" s="248">
        <v>1</v>
      </c>
      <c r="E4898" s="247">
        <f>2*(0.75+0.5)</f>
        <v>2.5</v>
      </c>
      <c r="F4898" s="247">
        <v>3.05</v>
      </c>
      <c r="H4898" s="249">
        <f>PRODUCT(D4898:G4898)</f>
        <v>7.625</v>
      </c>
      <c r="J4898" s="253" t="inlineStr">
        <is>
          <t xml:space="preserve">1*2*(0.75+0.5)*3.05</t>
        </is>
      </c>
    </row>
    <row r="4899">
      <c r="C4899" s="246" t="inlineStr">
        <is>
          <t xml:space="preserve">COL-02B x6 - column sides (9th to 10th), ht 3.05</t>
        </is>
      </c>
      <c r="D4899" s="248">
        <v>6</v>
      </c>
      <c r="E4899" s="247">
        <f>2*(1.2+0.3)</f>
        <v>3.0</v>
      </c>
      <c r="F4899" s="247">
        <v>3.05</v>
      </c>
      <c r="H4899" s="249">
        <f>PRODUCT(D4899:G4899)</f>
        <v>54.9</v>
      </c>
      <c r="J4899" s="253" t="inlineStr">
        <is>
          <t xml:space="preserve">6*2*(1.2+0.3)*3.05</t>
        </is>
      </c>
    </row>
    <row r="4900">
      <c r="C4900" s="246" t="inlineStr">
        <is>
          <t xml:space="preserve">COL-02C x1 - column sides (9th to 10th), ht 3.05</t>
        </is>
      </c>
      <c r="D4900" s="248">
        <v>1</v>
      </c>
      <c r="E4900" s="247">
        <f>2*(1.2+0.3)</f>
        <v>3.0</v>
      </c>
      <c r="F4900" s="247">
        <v>3.05</v>
      </c>
      <c r="H4900" s="249">
        <f>PRODUCT(D4900:G4900)</f>
        <v>9.149999999999999</v>
      </c>
      <c r="J4900" s="253" t="inlineStr">
        <is>
          <t xml:space="preserve">1*2*(1.2+0.3)*3.05</t>
        </is>
      </c>
    </row>
    <row r="4901">
      <c r="C4901" s="246" t="inlineStr">
        <is>
          <t xml:space="preserve">COL-02D x15 - column sides (9th to 10th), ht 3.05</t>
        </is>
      </c>
      <c r="D4901" s="248">
        <v>15</v>
      </c>
      <c r="E4901" s="247">
        <f>2*(1.2+0.3)</f>
        <v>3.0</v>
      </c>
      <c r="F4901" s="247">
        <v>3.05</v>
      </c>
      <c r="H4901" s="249">
        <f>PRODUCT(D4901:G4901)</f>
        <v>137.25</v>
      </c>
      <c r="J4901" s="253" t="inlineStr">
        <is>
          <t xml:space="preserve">15*2*(1.2+0.3)*3.05</t>
        </is>
      </c>
    </row>
    <row r="4902">
      <c r="C4902" s="250" t="inlineStr">
        <is>
          <t xml:space="preserve">Total carried to BOQ  9TH FLR item L</t>
        </is>
      </c>
      <c r="D4902" s="250" t="inlineStr">
        <is>
          <t xml:space="preserve"/>
        </is>
      </c>
      <c r="E4902" s="250" t="inlineStr">
        <is>
          <t xml:space="preserve"/>
        </is>
      </c>
      <c r="F4902" s="250" t="inlineStr">
        <is>
          <t xml:space="preserve"/>
        </is>
      </c>
      <c r="G4902" s="250" t="inlineStr">
        <is>
          <t xml:space="preserve"/>
        </is>
      </c>
      <c r="H4902" s="251">
        <f>SUM(H4896:H4901)</f>
        <v>231.8</v>
      </c>
      <c r="I4902" s="252" t="inlineStr">
        <is>
          <t xml:space="preserve">m2</t>
        </is>
      </c>
    </row>
    <row r="4903">
      <c r="A4903" s="243" t="inlineStr">
        <is>
          <t xml:space="preserve">9TH FLR</t>
        </is>
      </c>
      <c r="B4903" s="243" t="inlineStr">
        <is>
          <t xml:space="preserve">M</t>
        </is>
      </c>
      <c r="C4903" s="244" t="inlineStr">
        <is>
          <t xml:space="preserve">Concrete wall (both faces)</t>
        </is>
      </c>
      <c r="I4903" s="245" t="inlineStr">
        <is>
          <t xml:space="preserve">m2</t>
        </is>
      </c>
      <c r="K4903" s="256" t="inlineStr">
        <is>
          <t xml:space="preserve">'9TH FLR    '!C59</t>
        </is>
      </c>
    </row>
    <row r="4904">
      <c r="C4904" s="246" t="inlineStr">
        <is>
          <t xml:space="preserve">Ninth floor (+30700) - main stair core walls (22.05 m run) (both faces)</t>
        </is>
      </c>
      <c r="D4904" s="248">
        <v>2</v>
      </c>
      <c r="E4904" s="247">
        <v>22.05</v>
      </c>
      <c r="F4904" s="247">
        <v>3.05</v>
      </c>
      <c r="H4904" s="249">
        <f>PRODUCT(D4904:G4904)</f>
        <v>134.505</v>
      </c>
      <c r="J4904" s="253" t="inlineStr">
        <is>
          <t xml:space="preserve">2*22.05*3.05</t>
        </is>
      </c>
    </row>
    <row r="4905">
      <c r="C4905" s="246" t="inlineStr">
        <is>
          <t xml:space="preserve">Ninth floor (+30700) - lift core walls (21.825 m run) (both faces)</t>
        </is>
      </c>
      <c r="D4905" s="248">
        <v>2</v>
      </c>
      <c r="E4905" s="247">
        <v>21.825</v>
      </c>
      <c r="F4905" s="247">
        <v>3.05</v>
      </c>
      <c r="H4905" s="249">
        <f>PRODUCT(D4905:G4905)</f>
        <v>133.1325</v>
      </c>
      <c r="J4905" s="253" t="inlineStr">
        <is>
          <t xml:space="preserve">2*21.825*3.05</t>
        </is>
      </c>
    </row>
    <row r="4906">
      <c r="C4906" s="246" t="inlineStr">
        <is>
          <t xml:space="preserve">Ninth floor (+30700) - emergency stair core walls (25.57 m run) (both faces)</t>
        </is>
      </c>
      <c r="D4906" s="248">
        <v>2</v>
      </c>
      <c r="E4906" s="247">
        <v>25.57</v>
      </c>
      <c r="F4906" s="247">
        <v>3.05</v>
      </c>
      <c r="H4906" s="249">
        <f>PRODUCT(D4906:G4906)</f>
        <v>155.977</v>
      </c>
      <c r="J4906" s="253" t="inlineStr">
        <is>
          <t xml:space="preserve">2*25.57*3.05</t>
        </is>
      </c>
    </row>
    <row r="4907">
      <c r="C4907" s="250" t="inlineStr">
        <is>
          <t xml:space="preserve">Total carried to BOQ  9TH FLR item M</t>
        </is>
      </c>
      <c r="D4907" s="250" t="inlineStr">
        <is>
          <t xml:space="preserve"/>
        </is>
      </c>
      <c r="E4907" s="250" t="inlineStr">
        <is>
          <t xml:space="preserve"/>
        </is>
      </c>
      <c r="F4907" s="250" t="inlineStr">
        <is>
          <t xml:space="preserve"/>
        </is>
      </c>
      <c r="G4907" s="250" t="inlineStr">
        <is>
          <t xml:space="preserve"/>
        </is>
      </c>
      <c r="H4907" s="251">
        <f>SUM(H4904:H4906)</f>
        <v>423.6145</v>
      </c>
      <c r="I4907" s="252" t="inlineStr">
        <is>
          <t xml:space="preserve">m2</t>
        </is>
      </c>
    </row>
    <row r="4908">
      <c r="A4908" s="243" t="inlineStr">
        <is>
          <t xml:space="preserve">9TH FLR</t>
        </is>
      </c>
      <c r="B4908" s="243" t="inlineStr">
        <is>
          <t xml:space="preserve">N</t>
        </is>
      </c>
      <c r="C4908" s="244" t="inlineStr">
        <is>
          <t xml:space="preserve">Soffits of stair flights, landings and risers</t>
        </is>
      </c>
      <c r="I4908" s="245" t="inlineStr">
        <is>
          <t xml:space="preserve">m2</t>
        </is>
      </c>
      <c r="K4908" s="256" t="inlineStr">
        <is>
          <t xml:space="preserve">'9TH FLR    '!C61</t>
        </is>
      </c>
    </row>
    <row r="4909">
      <c r="C4909" s="246" t="inlineStr">
        <is>
          <t xml:space="preserve">Ninth floor (+30700) - Main stair flight (storey ht 3.3) - flight soffits: 2 x 3.424 x 1.8</t>
        </is>
      </c>
      <c r="D4909" s="248">
        <v>2</v>
      </c>
      <c r="E4909" s="247">
        <v>3.424</v>
      </c>
      <c r="F4909" s="247">
        <v>1.8</v>
      </c>
      <c r="H4909" s="249">
        <f>PRODUCT(D4909:G4909)</f>
        <v>12.3264</v>
      </c>
      <c r="J4909" s="253" t="inlineStr">
        <is>
          <t xml:space="preserve">2*3.424*1.8</t>
        </is>
      </c>
    </row>
    <row r="4910">
      <c r="C4910" s="246" t="inlineStr">
        <is>
          <t xml:space="preserve">Ninth floor (+30700) - Main stair flight (storey ht 3.3) - landing soffits</t>
        </is>
      </c>
      <c r="H4910" s="247">
        <v>15.0</v>
      </c>
      <c r="J4910" s="253" t="inlineStr">
        <is>
          <t xml:space="preserve">15.0</t>
        </is>
      </c>
    </row>
    <row r="4911">
      <c r="C4911" s="246" t="inlineStr">
        <is>
          <t xml:space="preserve">Ninth floor (+30700) - Main stair flight (storey ht 3.3) - risers: 22 x 0.15 x 1.8</t>
        </is>
      </c>
      <c r="D4911" s="248">
        <v>22</v>
      </c>
      <c r="E4911" s="247">
        <v>0.15</v>
      </c>
      <c r="F4911" s="247">
        <v>1.8</v>
      </c>
      <c r="H4911" s="249">
        <f>PRODUCT(D4911:G4911)</f>
        <v>5.9399999999999995</v>
      </c>
      <c r="J4911" s="253" t="inlineStr">
        <is>
          <t xml:space="preserve">22*0.15*1.8</t>
        </is>
      </c>
    </row>
    <row r="4912">
      <c r="C4912" s="246" t="inlineStr">
        <is>
          <t xml:space="preserve">Ninth floor (+30700) - Emergency stair flight (storey ht 3.3) - flight soffits: 2 x 3.424 x 1.8</t>
        </is>
      </c>
      <c r="D4912" s="248">
        <v>2</v>
      </c>
      <c r="E4912" s="247">
        <v>3.424</v>
      </c>
      <c r="F4912" s="247">
        <v>1.8</v>
      </c>
      <c r="H4912" s="249">
        <f>PRODUCT(D4912:G4912)</f>
        <v>12.3264</v>
      </c>
      <c r="J4912" s="253" t="inlineStr">
        <is>
          <t xml:space="preserve">2*3.424*1.8</t>
        </is>
      </c>
    </row>
    <row r="4913">
      <c r="C4913" s="246" t="inlineStr">
        <is>
          <t xml:space="preserve">Ninth floor (+30700) - Emergency stair flight (storey ht 3.3) - landing soffits</t>
        </is>
      </c>
      <c r="H4913" s="247">
        <v>15.0</v>
      </c>
      <c r="J4913" s="253" t="inlineStr">
        <is>
          <t xml:space="preserve">15.0</t>
        </is>
      </c>
    </row>
    <row r="4914">
      <c r="C4914" s="246" t="inlineStr">
        <is>
          <t xml:space="preserve">Ninth floor (+30700) - Emergency stair flight (storey ht 3.3) - risers: 22 x 0.15 x 1.8</t>
        </is>
      </c>
      <c r="D4914" s="248">
        <v>22</v>
      </c>
      <c r="E4914" s="247">
        <v>0.15</v>
      </c>
      <c r="F4914" s="247">
        <v>1.8</v>
      </c>
      <c r="H4914" s="249">
        <f>PRODUCT(D4914:G4914)</f>
        <v>5.9399999999999995</v>
      </c>
      <c r="J4914" s="253" t="inlineStr">
        <is>
          <t xml:space="preserve">22*0.15*1.8</t>
        </is>
      </c>
    </row>
    <row r="4915">
      <c r="C4915" s="250" t="inlineStr">
        <is>
          <t xml:space="preserve">Total carried to BOQ  9TH FLR item N</t>
        </is>
      </c>
      <c r="D4915" s="250" t="inlineStr">
        <is>
          <t xml:space="preserve"/>
        </is>
      </c>
      <c r="E4915" s="250" t="inlineStr">
        <is>
          <t xml:space="preserve"/>
        </is>
      </c>
      <c r="F4915" s="250" t="inlineStr">
        <is>
          <t xml:space="preserve"/>
        </is>
      </c>
      <c r="G4915" s="250" t="inlineStr">
        <is>
          <t xml:space="preserve"/>
        </is>
      </c>
      <c r="H4915" s="251">
        <f>SUM(H4909:H4914)</f>
        <v>66.5328</v>
      </c>
      <c r="I4915" s="252" t="inlineStr">
        <is>
          <t xml:space="preserve">m2</t>
        </is>
      </c>
    </row>
    <row r="4916">
      <c r="A4916" s="243" t="inlineStr">
        <is>
          <t xml:space="preserve">9TH FLR</t>
        </is>
      </c>
      <c r="B4916" s="243" t="inlineStr">
        <is>
          <t xml:space="preserve">P</t>
        </is>
      </c>
      <c r="C4916" s="244" t="inlineStr">
        <is>
          <t xml:space="preserve">Side and soffits of lintel / coping</t>
        </is>
      </c>
      <c r="I4916" s="245" t="inlineStr">
        <is>
          <t xml:space="preserve">m2</t>
        </is>
      </c>
      <c r="K4916" s="256" t="inlineStr">
        <is>
          <t xml:space="preserve">'9TH FLR    '!C63</t>
        </is>
      </c>
    </row>
    <row r="4917">
      <c r="C4917" s="246" t="inlineStr">
        <is>
          <t xml:space="preserve">Lintel formwork over D2 (4 nr, 1x2.2): nr x (width + 2 x 150 bearing) x girth 0.60</t>
        </is>
      </c>
      <c r="D4917" s="248">
        <v>4</v>
      </c>
      <c r="E4917" s="247">
        <f>1+0.3</f>
        <v>1.3</v>
      </c>
      <c r="F4917" s="247">
        <f>2*0.225+0.15</f>
        <v>0.6</v>
      </c>
      <c r="H4917" s="249">
        <f>PRODUCT(D4917:G4917)</f>
        <v>3.12</v>
      </c>
      <c r="J4917" s="253" t="inlineStr">
        <is>
          <t xml:space="preserve">4*(1+0.3)*(2*0.225+0.15)</t>
        </is>
      </c>
    </row>
    <row r="4918">
      <c r="C4918" s="246" t="inlineStr">
        <is>
          <t xml:space="preserve">Lintel formwork over D3 (8 nr, 0.9x2.2): nr x (width + 2 x 150 bearing) x girth 0.60</t>
        </is>
      </c>
      <c r="D4918" s="248">
        <v>8</v>
      </c>
      <c r="E4918" s="247">
        <f>0.9+0.3</f>
        <v>1.2</v>
      </c>
      <c r="F4918" s="247">
        <f>2*0.225+0.15</f>
        <v>0.6</v>
      </c>
      <c r="H4918" s="249">
        <f>PRODUCT(D4918:G4918)</f>
        <v>5.76</v>
      </c>
      <c r="J4918" s="253" t="inlineStr">
        <is>
          <t xml:space="preserve">8*(0.9+0.3)*(2*0.225+0.15)</t>
        </is>
      </c>
    </row>
    <row r="4919">
      <c r="C4919" s="246" t="inlineStr">
        <is>
          <t xml:space="preserve">Lintel formwork over D6 (17 nr, 0.75x2.2): nr x (width + 2 x 150 bearing) x girth 0.60</t>
        </is>
      </c>
      <c r="D4919" s="248">
        <v>17</v>
      </c>
      <c r="E4919" s="247">
        <f>0.75+0.3</f>
        <v>1.05</v>
      </c>
      <c r="F4919" s="247">
        <f>2*0.225+0.15</f>
        <v>0.6</v>
      </c>
      <c r="H4919" s="249">
        <f>PRODUCT(D4919:G4919)</f>
        <v>10.71</v>
      </c>
      <c r="J4919" s="253" t="inlineStr">
        <is>
          <t xml:space="preserve">17*(0.75+0.3)*(2*0.225+0.15)</t>
        </is>
      </c>
    </row>
    <row r="4920">
      <c r="C4920" s="246" t="inlineStr">
        <is>
          <t xml:space="preserve">Lintel formwork over D7 (1 nr, 0.7x2.2): nr x (width + 2 x 150 bearing) x girth 0.60</t>
        </is>
      </c>
      <c r="D4920" s="248">
        <v>1</v>
      </c>
      <c r="E4920" s="247">
        <f>0.7+0.3</f>
        <v>1.0</v>
      </c>
      <c r="F4920" s="247">
        <f>2*0.225+0.15</f>
        <v>0.6</v>
      </c>
      <c r="H4920" s="249">
        <f>PRODUCT(D4920:G4920)</f>
        <v>0.6</v>
      </c>
      <c r="J4920" s="253" t="inlineStr">
        <is>
          <t xml:space="preserve">1*(0.7+0.3)*(2*0.225+0.15)</t>
        </is>
      </c>
    </row>
    <row r="4921">
      <c r="C4921" s="246" t="inlineStr">
        <is>
          <t xml:space="preserve">Lintel formwork over D8 (2 nr, 1.2x2.2): nr x (width + 2 x 150 bearing) x girth 0.60</t>
        </is>
      </c>
      <c r="D4921" s="248">
        <v>2</v>
      </c>
      <c r="E4921" s="247">
        <f>1.2+0.3</f>
        <v>1.5</v>
      </c>
      <c r="F4921" s="247">
        <f>2*0.225+0.15</f>
        <v>0.6</v>
      </c>
      <c r="H4921" s="249">
        <f>PRODUCT(D4921:G4921)</f>
        <v>1.7999999999999998</v>
      </c>
      <c r="J4921" s="253" t="inlineStr">
        <is>
          <t xml:space="preserve">2*(1.2+0.3)*(2*0.225+0.15)</t>
        </is>
      </c>
    </row>
    <row r="4922">
      <c r="C4922" s="246" t="inlineStr">
        <is>
          <t xml:space="preserve">Lintel formwork over ED1 (2 nr, 1x2.2): nr x (width + 2 x 150 bearing) x girth 0.60</t>
        </is>
      </c>
      <c r="D4922" s="248">
        <v>2</v>
      </c>
      <c r="E4922" s="247">
        <f>1+0.3</f>
        <v>1.3</v>
      </c>
      <c r="F4922" s="247">
        <f>2*0.225+0.15</f>
        <v>0.6</v>
      </c>
      <c r="H4922" s="249">
        <f>PRODUCT(D4922:G4922)</f>
        <v>1.56</v>
      </c>
      <c r="J4922" s="253" t="inlineStr">
        <is>
          <t xml:space="preserve">2*(1+0.3)*(2*0.225+0.15)</t>
        </is>
      </c>
    </row>
    <row r="4923">
      <c r="C4923" s="246" t="inlineStr">
        <is>
          <t xml:space="preserve">Lintel formwork over ED2 (2 nr, 1x2.2): nr x (width + 2 x 150 bearing) x girth 0.60</t>
        </is>
      </c>
      <c r="D4923" s="248">
        <v>2</v>
      </c>
      <c r="E4923" s="247">
        <f>1+0.3</f>
        <v>1.3</v>
      </c>
      <c r="F4923" s="247">
        <f>2*0.225+0.15</f>
        <v>0.6</v>
      </c>
      <c r="H4923" s="249">
        <f>PRODUCT(D4923:G4923)</f>
        <v>1.56</v>
      </c>
      <c r="J4923" s="253" t="inlineStr">
        <is>
          <t xml:space="preserve">2*(1+0.3)*(2*0.225+0.15)</t>
        </is>
      </c>
    </row>
    <row r="4924">
      <c r="C4924" s="246" t="inlineStr">
        <is>
          <t xml:space="preserve">Lintel formwork over D9 (1 nr, 0.9x2.2): nr x (width + 2 x 150 bearing) x girth 0.60</t>
        </is>
      </c>
      <c r="D4924" s="248">
        <v>1</v>
      </c>
      <c r="E4924" s="247">
        <f>0.9+0.3</f>
        <v>1.2</v>
      </c>
      <c r="F4924" s="247">
        <f>2*0.225+0.15</f>
        <v>0.6</v>
      </c>
      <c r="H4924" s="249">
        <f>PRODUCT(D4924:G4924)</f>
        <v>0.72</v>
      </c>
      <c r="J4924" s="253" t="inlineStr">
        <is>
          <t xml:space="preserve">1*(0.9+0.3)*(2*0.225+0.15)</t>
        </is>
      </c>
    </row>
    <row r="4925">
      <c r="C4925" s="246" t="inlineStr">
        <is>
          <t xml:space="preserve">Lintel formwork over M1 (2 nr, 0.9x2.2): nr x (width + 2 x 150 bearing) x girth 0.60</t>
        </is>
      </c>
      <c r="D4925" s="248">
        <v>2</v>
      </c>
      <c r="E4925" s="247">
        <f>0.9+0.3</f>
        <v>1.2</v>
      </c>
      <c r="F4925" s="247">
        <f>2*0.225+0.15</f>
        <v>0.6</v>
      </c>
      <c r="H4925" s="249">
        <f>PRODUCT(D4925:G4925)</f>
        <v>1.44</v>
      </c>
      <c r="J4925" s="253" t="inlineStr">
        <is>
          <t xml:space="preserve">2*(0.9+0.3)*(2*0.225+0.15)</t>
        </is>
      </c>
    </row>
    <row r="4926">
      <c r="C4926" s="246" t="inlineStr">
        <is>
          <t xml:space="preserve">Lintel formwork over M2 (4 nr, 0.75x2.2): nr x (width + 2 x 150 bearing) x girth 0.60</t>
        </is>
      </c>
      <c r="D4926" s="248">
        <v>4</v>
      </c>
      <c r="E4926" s="247">
        <f>0.75+0.3</f>
        <v>1.05</v>
      </c>
      <c r="F4926" s="247">
        <f>2*0.225+0.15</f>
        <v>0.6</v>
      </c>
      <c r="H4926" s="249">
        <f>PRODUCT(D4926:G4926)</f>
        <v>2.52</v>
      </c>
      <c r="J4926" s="253" t="inlineStr">
        <is>
          <t xml:space="preserve">4*(0.75+0.3)*(2*0.225+0.15)</t>
        </is>
      </c>
    </row>
    <row r="4927">
      <c r="C4927" s="246" t="inlineStr">
        <is>
          <t xml:space="preserve">Lintel formwork over M3 (1 nr, 0.45x2.2): nr x (width + 2 x 150 bearing) x girth 0.60</t>
        </is>
      </c>
      <c r="D4927" s="248">
        <v>1</v>
      </c>
      <c r="E4927" s="247">
        <f>0.45+0.3</f>
        <v>0.75</v>
      </c>
      <c r="F4927" s="247">
        <f>2*0.225+0.15</f>
        <v>0.6</v>
      </c>
      <c r="H4927" s="249">
        <f>PRODUCT(D4927:G4927)</f>
        <v>0.44999999999999996</v>
      </c>
      <c r="J4927" s="253" t="inlineStr">
        <is>
          <t xml:space="preserve">1*(0.45+0.3)*(2*0.225+0.15)</t>
        </is>
      </c>
    </row>
    <row r="4928">
      <c r="C4928" s="246" t="inlineStr">
        <is>
          <t xml:space="preserve">Lintel formwork over M5 (3 nr, 0.6x2.2): nr x (width + 2 x 150 bearing) x girth 0.60</t>
        </is>
      </c>
      <c r="D4928" s="248">
        <v>3</v>
      </c>
      <c r="E4928" s="247">
        <f>0.6+0.3</f>
        <v>0.8999999999999999</v>
      </c>
      <c r="F4928" s="247">
        <f>2*0.225+0.15</f>
        <v>0.6</v>
      </c>
      <c r="H4928" s="249">
        <f>PRODUCT(D4928:G4928)</f>
        <v>1.6199999999999999</v>
      </c>
      <c r="J4928" s="253" t="inlineStr">
        <is>
          <t xml:space="preserve">3*(0.6+0.3)*(2*0.225+0.15)</t>
        </is>
      </c>
    </row>
    <row r="4929">
      <c r="C4929" s="246" t="inlineStr">
        <is>
          <t xml:space="preserve">Lintel formwork over SD1 (1 nr, 3x2.2): nr x (width + 2 x 150 bearing) x girth 0.60</t>
        </is>
      </c>
      <c r="D4929" s="248">
        <v>1</v>
      </c>
      <c r="E4929" s="247">
        <f>3+0.3</f>
        <v>3.3</v>
      </c>
      <c r="F4929" s="247">
        <f>2*0.225+0.15</f>
        <v>0.6</v>
      </c>
      <c r="H4929" s="249">
        <f>PRODUCT(D4929:G4929)</f>
        <v>1.9799999999999998</v>
      </c>
      <c r="J4929" s="253" t="inlineStr">
        <is>
          <t xml:space="preserve">1*(3+0.3)*(2*0.225+0.15)</t>
        </is>
      </c>
    </row>
    <row r="4930">
      <c r="C4930" s="246" t="inlineStr">
        <is>
          <t xml:space="preserve">Lintel formwork over SD2 (2 nr, 1.6x2.2): nr x (width + 2 x 150 bearing) x girth 0.60</t>
        </is>
      </c>
      <c r="D4930" s="248">
        <v>2</v>
      </c>
      <c r="E4930" s="247">
        <f>1.6+0.3</f>
        <v>1.9000000000000001</v>
      </c>
      <c r="F4930" s="247">
        <f>2*0.225+0.15</f>
        <v>0.6</v>
      </c>
      <c r="H4930" s="249">
        <f>PRODUCT(D4930:G4930)</f>
        <v>2.2800000000000002</v>
      </c>
      <c r="J4930" s="253" t="inlineStr">
        <is>
          <t xml:space="preserve">2*(1.6+0.3)*(2*0.225+0.15)</t>
        </is>
      </c>
    </row>
    <row r="4931">
      <c r="C4931" s="246" t="inlineStr">
        <is>
          <t xml:space="preserve">Lintel formwork over SD3 (1 nr, 1.3x2.2): nr x (width + 2 x 150 bearing) x girth 0.60</t>
        </is>
      </c>
      <c r="D4931" s="248">
        <v>1</v>
      </c>
      <c r="E4931" s="247">
        <f>1.3+0.3</f>
        <v>1.6</v>
      </c>
      <c r="F4931" s="247">
        <f>2*0.225+0.15</f>
        <v>0.6</v>
      </c>
      <c r="H4931" s="249">
        <f>PRODUCT(D4931:G4931)</f>
        <v>0.96</v>
      </c>
      <c r="J4931" s="253" t="inlineStr">
        <is>
          <t xml:space="preserve">1*(1.3+0.3)*(2*0.225+0.15)</t>
        </is>
      </c>
    </row>
    <row r="4932">
      <c r="C4932" s="246" t="inlineStr">
        <is>
          <t xml:space="preserve">Lintel formwork over SD4 (2 nr, 1.8x2.2): nr x (width + 2 x 150 bearing) x girth 0.60</t>
        </is>
      </c>
      <c r="D4932" s="248">
        <v>2</v>
      </c>
      <c r="E4932" s="247">
        <f>1.8+0.3</f>
        <v>2.1</v>
      </c>
      <c r="F4932" s="247">
        <f>2*0.225+0.15</f>
        <v>0.6</v>
      </c>
      <c r="H4932" s="249">
        <f>PRODUCT(D4932:G4932)</f>
        <v>2.52</v>
      </c>
      <c r="J4932" s="253" t="inlineStr">
        <is>
          <t xml:space="preserve">2*(1.8+0.3)*(2*0.225+0.15)</t>
        </is>
      </c>
    </row>
    <row r="4933">
      <c r="C4933" s="246" t="inlineStr">
        <is>
          <t xml:space="preserve">Lintel formwork over W2 (3 nr, 1.8x1.3): nr x (width + 2 x 150 bearing) x girth 0.60</t>
        </is>
      </c>
      <c r="D4933" s="248">
        <v>3</v>
      </c>
      <c r="E4933" s="247">
        <f>1.8+0.3</f>
        <v>2.1</v>
      </c>
      <c r="F4933" s="247">
        <f>2*0.225+0.15</f>
        <v>0.6</v>
      </c>
      <c r="H4933" s="249">
        <f>PRODUCT(D4933:G4933)</f>
        <v>3.7800000000000002</v>
      </c>
      <c r="J4933" s="253" t="inlineStr">
        <is>
          <t xml:space="preserve">3*(1.8+0.3)*(2*0.225+0.15)</t>
        </is>
      </c>
    </row>
    <row r="4934">
      <c r="C4934" s="246" t="inlineStr">
        <is>
          <t xml:space="preserve">Lintel formwork over W4 (6 nr, 0.9x1.3): nr x (width + 2 x 150 bearing) x girth 0.60</t>
        </is>
      </c>
      <c r="D4934" s="248">
        <v>6</v>
      </c>
      <c r="E4934" s="247">
        <f>0.9+0.3</f>
        <v>1.2</v>
      </c>
      <c r="F4934" s="247">
        <f>2*0.225+0.15</f>
        <v>0.6</v>
      </c>
      <c r="H4934" s="249">
        <f>PRODUCT(D4934:G4934)</f>
        <v>4.319999999999999</v>
      </c>
      <c r="J4934" s="253" t="inlineStr">
        <is>
          <t xml:space="preserve">6*(0.9+0.3)*(2*0.225+0.15)</t>
        </is>
      </c>
    </row>
    <row r="4935">
      <c r="C4935" s="246" t="inlineStr">
        <is>
          <t xml:space="preserve">Lintel formwork over W7 (1 nr, 1.8x1.6): nr x (width + 2 x 150 bearing) x girth 0.60</t>
        </is>
      </c>
      <c r="D4935" s="248">
        <v>1</v>
      </c>
      <c r="E4935" s="247">
        <f>1.8+0.3</f>
        <v>2.1</v>
      </c>
      <c r="F4935" s="247">
        <f>2*0.225+0.15</f>
        <v>0.6</v>
      </c>
      <c r="H4935" s="249">
        <f>PRODUCT(D4935:G4935)</f>
        <v>1.26</v>
      </c>
      <c r="J4935" s="253" t="inlineStr">
        <is>
          <t xml:space="preserve">1*(1.8+0.3)*(2*0.225+0.15)</t>
        </is>
      </c>
    </row>
    <row r="4936">
      <c r="C4936" s="246" t="inlineStr">
        <is>
          <t xml:space="preserve">Lintel formwork over W8 (1 nr, 1.2x1.9): nr x (width + 2 x 150 bearing) x girth 0.60</t>
        </is>
      </c>
      <c r="D4936" s="248">
        <v>1</v>
      </c>
      <c r="E4936" s="247">
        <f>1.2+0.3</f>
        <v>1.5</v>
      </c>
      <c r="F4936" s="247">
        <f>2*0.225+0.15</f>
        <v>0.6</v>
      </c>
      <c r="H4936" s="249">
        <f>PRODUCT(D4936:G4936)</f>
        <v>0.8999999999999999</v>
      </c>
      <c r="J4936" s="253" t="inlineStr">
        <is>
          <t xml:space="preserve">1*(1.2+0.3)*(2*0.225+0.15)</t>
        </is>
      </c>
    </row>
    <row r="4937">
      <c r="C4937" s="246" t="inlineStr">
        <is>
          <t xml:space="preserve">Lintel formwork over W9 (5 nr, 1.2x1.15): nr x (width + 2 x 150 bearing) x girth 0.60</t>
        </is>
      </c>
      <c r="D4937" s="248">
        <v>5</v>
      </c>
      <c r="E4937" s="247">
        <f>1.2+0.3</f>
        <v>1.5</v>
      </c>
      <c r="F4937" s="247">
        <f>2*0.225+0.15</f>
        <v>0.6</v>
      </c>
      <c r="H4937" s="249">
        <f>PRODUCT(D4937:G4937)</f>
        <v>4.5</v>
      </c>
      <c r="J4937" s="253" t="inlineStr">
        <is>
          <t xml:space="preserve">5*(1.2+0.3)*(2*0.225+0.15)</t>
        </is>
      </c>
    </row>
    <row r="4938">
      <c r="C4938" s="246" t="inlineStr">
        <is>
          <t xml:space="preserve">Lintel formwork over W10 (1 nr, 1.2x1.2): nr x (width + 2 x 150 bearing) x girth 0.60</t>
        </is>
      </c>
      <c r="D4938" s="248">
        <v>1</v>
      </c>
      <c r="E4938" s="247">
        <f>1.2+0.3</f>
        <v>1.5</v>
      </c>
      <c r="F4938" s="247">
        <f>2*0.225+0.15</f>
        <v>0.6</v>
      </c>
      <c r="H4938" s="249">
        <f>PRODUCT(D4938:G4938)</f>
        <v>0.8999999999999999</v>
      </c>
      <c r="J4938" s="253" t="inlineStr">
        <is>
          <t xml:space="preserve">1*(1.2+0.3)*(2*0.225+0.15)</t>
        </is>
      </c>
    </row>
    <row r="4939">
      <c r="C4939" s="246" t="inlineStr">
        <is>
          <t xml:space="preserve">Lintel formwork over W11 (3 nr, 1.5x1.3): nr x (width + 2 x 150 bearing) x girth 0.60</t>
        </is>
      </c>
      <c r="D4939" s="248">
        <v>3</v>
      </c>
      <c r="E4939" s="247">
        <f>1.5+0.3</f>
        <v>1.8</v>
      </c>
      <c r="F4939" s="247">
        <f>2*0.225+0.15</f>
        <v>0.6</v>
      </c>
      <c r="H4939" s="249">
        <f>PRODUCT(D4939:G4939)</f>
        <v>3.24</v>
      </c>
      <c r="J4939" s="253" t="inlineStr">
        <is>
          <t xml:space="preserve">3*(1.5+0.3)*(2*0.225+0.15)</t>
        </is>
      </c>
    </row>
    <row r="4940">
      <c r="C4940" s="246" t="inlineStr">
        <is>
          <t xml:space="preserve">Lintel formwork over W12 (2 nr, 1.5x1.15): nr x (width + 2 x 150 bearing) x girth 0.60</t>
        </is>
      </c>
      <c r="D4940" s="248">
        <v>2</v>
      </c>
      <c r="E4940" s="247">
        <f>1.5+0.3</f>
        <v>1.8</v>
      </c>
      <c r="F4940" s="247">
        <f>2*0.225+0.15</f>
        <v>0.6</v>
      </c>
      <c r="H4940" s="249">
        <f>PRODUCT(D4940:G4940)</f>
        <v>2.16</v>
      </c>
      <c r="J4940" s="253" t="inlineStr">
        <is>
          <t xml:space="preserve">2*(1.5+0.3)*(2*0.225+0.15)</t>
        </is>
      </c>
    </row>
    <row r="4941">
      <c r="C4941" s="246" t="inlineStr">
        <is>
          <t xml:space="preserve">Lintel formwork over W15 (1 nr, 3x1.6): nr x (width + 2 x 150 bearing) x girth 0.60</t>
        </is>
      </c>
      <c r="D4941" s="248">
        <v>1</v>
      </c>
      <c r="E4941" s="247">
        <f>3+0.3</f>
        <v>3.3</v>
      </c>
      <c r="F4941" s="247">
        <f>2*0.225+0.15</f>
        <v>0.6</v>
      </c>
      <c r="H4941" s="249">
        <f>PRODUCT(D4941:G4941)</f>
        <v>1.9799999999999998</v>
      </c>
      <c r="J4941" s="253" t="inlineStr">
        <is>
          <t xml:space="preserve">1*(3+0.3)*(2*0.225+0.15)</t>
        </is>
      </c>
    </row>
    <row r="4942">
      <c r="C4942" s="246" t="inlineStr">
        <is>
          <t xml:space="preserve">Lintel formwork over W17 (1 nr, 1.8x1.9): nr x (width + 2 x 150 bearing) x girth 0.60</t>
        </is>
      </c>
      <c r="D4942" s="248">
        <v>1</v>
      </c>
      <c r="E4942" s="247">
        <f>1.8+0.3</f>
        <v>2.1</v>
      </c>
      <c r="F4942" s="247">
        <f>2*0.225+0.15</f>
        <v>0.6</v>
      </c>
      <c r="H4942" s="249">
        <f>PRODUCT(D4942:G4942)</f>
        <v>1.26</v>
      </c>
      <c r="J4942" s="253" t="inlineStr">
        <is>
          <t xml:space="preserve">1*(1.8+0.3)*(2*0.225+0.15)</t>
        </is>
      </c>
    </row>
    <row r="4943">
      <c r="C4943" s="246" t="inlineStr">
        <is>
          <t xml:space="preserve">Lintel formwork over HW1 (10 nr, 0.9x0.6): nr x (width + 2 x 150 bearing) x girth 0.60</t>
        </is>
      </c>
      <c r="D4943" s="248">
        <v>10</v>
      </c>
      <c r="E4943" s="247">
        <f>0.9+0.3</f>
        <v>1.2</v>
      </c>
      <c r="F4943" s="247">
        <f>2*0.225+0.15</f>
        <v>0.6</v>
      </c>
      <c r="H4943" s="249">
        <f>PRODUCT(D4943:G4943)</f>
        <v>7.199999999999999</v>
      </c>
      <c r="J4943" s="253" t="inlineStr">
        <is>
          <t xml:space="preserve">10*(0.9+0.3)*(2*0.225+0.15)</t>
        </is>
      </c>
    </row>
    <row r="4944">
      <c r="C4944" s="246" t="inlineStr">
        <is>
          <t xml:space="preserve">Lintel formwork over HW2 (4 nr, 0.75x0.6): nr x (width + 2 x 150 bearing) x girth 0.60</t>
        </is>
      </c>
      <c r="D4944" s="248">
        <v>4</v>
      </c>
      <c r="E4944" s="247">
        <f>0.75+0.3</f>
        <v>1.05</v>
      </c>
      <c r="F4944" s="247">
        <f>2*0.225+0.15</f>
        <v>0.6</v>
      </c>
      <c r="H4944" s="249">
        <f>PRODUCT(D4944:G4944)</f>
        <v>2.52</v>
      </c>
      <c r="J4944" s="253" t="inlineStr">
        <is>
          <t xml:space="preserve">4*(0.75+0.3)*(2*0.225+0.15)</t>
        </is>
      </c>
    </row>
    <row r="4945">
      <c r="C4945" s="246" t="inlineStr">
        <is>
          <t xml:space="preserve">Lintel formwork over HW3 (1 nr, 0.6x0.6): nr x (width + 2 x 150 bearing) x girth 0.60</t>
        </is>
      </c>
      <c r="D4945" s="248">
        <v>1</v>
      </c>
      <c r="E4945" s="247">
        <f>0.6+0.3</f>
        <v>0.8999999999999999</v>
      </c>
      <c r="F4945" s="247">
        <f>2*0.225+0.15</f>
        <v>0.6</v>
      </c>
      <c r="H4945" s="249">
        <f>PRODUCT(D4945:G4945)</f>
        <v>0.5399999999999999</v>
      </c>
      <c r="J4945" s="253" t="inlineStr">
        <is>
          <t xml:space="preserve">1*(0.6+0.3)*(2*0.225+0.15)</t>
        </is>
      </c>
    </row>
    <row r="4946">
      <c r="C4946" s="246" t="inlineStr">
        <is>
          <t xml:space="preserve">Lintel formwork over HW4 (1 nr, 1.2x0.6): nr x (width + 2 x 150 bearing) x girth 0.60</t>
        </is>
      </c>
      <c r="D4946" s="248">
        <v>1</v>
      </c>
      <c r="E4946" s="247">
        <f>1.2+0.3</f>
        <v>1.5</v>
      </c>
      <c r="F4946" s="247">
        <f>2*0.225+0.15</f>
        <v>0.6</v>
      </c>
      <c r="H4946" s="249">
        <f>PRODUCT(D4946:G4946)</f>
        <v>0.8999999999999999</v>
      </c>
      <c r="J4946" s="253" t="inlineStr">
        <is>
          <t xml:space="preserve">1*(1.2+0.3)*(2*0.225+0.15)</t>
        </is>
      </c>
    </row>
    <row r="4947">
      <c r="C4947" s="250" t="inlineStr">
        <is>
          <t xml:space="preserve">Total carried to BOQ  9TH FLR item P</t>
        </is>
      </c>
      <c r="D4947" s="250" t="inlineStr">
        <is>
          <t xml:space="preserve"/>
        </is>
      </c>
      <c r="E4947" s="250" t="inlineStr">
        <is>
          <t xml:space="preserve"/>
        </is>
      </c>
      <c r="F4947" s="250" t="inlineStr">
        <is>
          <t xml:space="preserve"/>
        </is>
      </c>
      <c r="G4947" s="250" t="inlineStr">
        <is>
          <t xml:space="preserve"/>
        </is>
      </c>
      <c r="H4947" s="251">
        <f>SUM(H4917:H4946)</f>
        <v>75.06</v>
      </c>
      <c r="I4947" s="252" t="inlineStr">
        <is>
          <t xml:space="preserve">m2</t>
        </is>
      </c>
    </row>
    <row r="4948">
      <c r="C4948" s="242" t="inlineStr">
        <is>
          <t xml:space="preserve">E30 REINFORCEMENT - High tensile yield round bar reinforcement (standard) to BS 4449:</t>
        </is>
      </c>
    </row>
    <row r="4949">
      <c r="A4949" s="243" t="inlineStr">
        <is>
          <t xml:space="preserve">9TH FLR</t>
        </is>
      </c>
      <c r="B4949" s="243" t="inlineStr">
        <is>
          <t xml:space="preserve">Q</t>
        </is>
      </c>
      <c r="C4949" s="244" t="inlineStr">
        <is>
          <t xml:space="preserve">10mm diameter in columns</t>
        </is>
      </c>
      <c r="I4949" s="245" t="inlineStr">
        <is>
          <t xml:space="preserve">t</t>
        </is>
      </c>
      <c r="K4949" s="256" t="inlineStr">
        <is>
          <t xml:space="preserve">'9TH FLR    '!C66</t>
        </is>
      </c>
    </row>
    <row r="4950">
      <c r="C4950" s="246" t="inlineStr">
        <is>
          <t xml:space="preserve">Ninth floor (+30700) - Columns, Y10 (from reinforcement take-off / BBS)</t>
        </is>
      </c>
      <c r="H4950" s="247">
        <v>3.235</v>
      </c>
      <c r="J4950" s="253" t="inlineStr">
        <is>
          <t xml:space="preserve">3.235</t>
        </is>
      </c>
    </row>
    <row r="4951">
      <c r="C4951" s="250" t="inlineStr">
        <is>
          <t xml:space="preserve">Total carried to BOQ  9TH FLR item Q</t>
        </is>
      </c>
      <c r="D4951" s="250" t="inlineStr">
        <is>
          <t xml:space="preserve"/>
        </is>
      </c>
      <c r="E4951" s="250" t="inlineStr">
        <is>
          <t xml:space="preserve"/>
        </is>
      </c>
      <c r="F4951" s="250" t="inlineStr">
        <is>
          <t xml:space="preserve"/>
        </is>
      </c>
      <c r="G4951" s="250" t="inlineStr">
        <is>
          <t xml:space="preserve"/>
        </is>
      </c>
      <c r="H4951" s="251">
        <f>SUM(H4950:H4950)</f>
        <v>3.235</v>
      </c>
      <c r="I4951" s="252" t="inlineStr">
        <is>
          <t xml:space="preserve">t</t>
        </is>
      </c>
    </row>
    <row r="4952">
      <c r="A4952" s="243" t="inlineStr">
        <is>
          <t xml:space="preserve">9TH FLR</t>
        </is>
      </c>
      <c r="B4952" s="243" t="inlineStr">
        <is>
          <t xml:space="preserve">R</t>
        </is>
      </c>
      <c r="C4952" s="244" t="inlineStr">
        <is>
          <t xml:space="preserve">20mm diameter in columns</t>
        </is>
      </c>
      <c r="I4952" s="245" t="inlineStr">
        <is>
          <t xml:space="preserve">t</t>
        </is>
      </c>
      <c r="K4952" s="256" t="inlineStr">
        <is>
          <t xml:space="preserve">'9TH FLR    '!C68</t>
        </is>
      </c>
    </row>
    <row r="4953">
      <c r="C4953" s="246" t="inlineStr">
        <is>
          <t xml:space="preserve">Ninth floor (+30700) - Columns, Y20 (from reinforcement take-off / BBS)</t>
        </is>
      </c>
      <c r="H4953" s="247">
        <v>5.111</v>
      </c>
      <c r="J4953" s="253" t="inlineStr">
        <is>
          <t xml:space="preserve">5.111</t>
        </is>
      </c>
    </row>
    <row r="4954">
      <c r="C4954" s="250" t="inlineStr">
        <is>
          <t xml:space="preserve">Total carried to BOQ  9TH FLR item R</t>
        </is>
      </c>
      <c r="D4954" s="250" t="inlineStr">
        <is>
          <t xml:space="preserve"/>
        </is>
      </c>
      <c r="E4954" s="250" t="inlineStr">
        <is>
          <t xml:space="preserve"/>
        </is>
      </c>
      <c r="F4954" s="250" t="inlineStr">
        <is>
          <t xml:space="preserve"/>
        </is>
      </c>
      <c r="G4954" s="250" t="inlineStr">
        <is>
          <t xml:space="preserve"/>
        </is>
      </c>
      <c r="H4954" s="251">
        <f>SUM(H4953:H4953)</f>
        <v>5.111</v>
      </c>
      <c r="I4954" s="252" t="inlineStr">
        <is>
          <t xml:space="preserve">t</t>
        </is>
      </c>
    </row>
    <row r="4955">
      <c r="A4955" s="243" t="inlineStr">
        <is>
          <t xml:space="preserve">9TH FLR</t>
        </is>
      </c>
      <c r="B4955" s="243" t="inlineStr">
        <is>
          <t xml:space="preserve">S</t>
        </is>
      </c>
      <c r="C4955" s="244" t="inlineStr">
        <is>
          <t xml:space="preserve">10mm diameter in beams (links)</t>
        </is>
      </c>
      <c r="I4955" s="245" t="inlineStr">
        <is>
          <t xml:space="preserve">t</t>
        </is>
      </c>
      <c r="K4955" s="256" t="inlineStr">
        <is>
          <t xml:space="preserve">'9TH FLR    '!C70</t>
        </is>
      </c>
    </row>
    <row r="4956">
      <c r="C4956" s="246" t="inlineStr">
        <is>
          <t xml:space="preserve">Ninth floor (+30700) - Beams, Y10 (from reinforcement take-off / BBS)</t>
        </is>
      </c>
      <c r="H4956" s="247">
        <v>2.032</v>
      </c>
      <c r="J4956" s="253" t="inlineStr">
        <is>
          <t xml:space="preserve">2.032</t>
        </is>
      </c>
    </row>
    <row r="4957">
      <c r="C4957" s="250" t="inlineStr">
        <is>
          <t xml:space="preserve">Total carried to BOQ  9TH FLR item S</t>
        </is>
      </c>
      <c r="D4957" s="250" t="inlineStr">
        <is>
          <t xml:space="preserve"/>
        </is>
      </c>
      <c r="E4957" s="250" t="inlineStr">
        <is>
          <t xml:space="preserve"/>
        </is>
      </c>
      <c r="F4957" s="250" t="inlineStr">
        <is>
          <t xml:space="preserve"/>
        </is>
      </c>
      <c r="G4957" s="250" t="inlineStr">
        <is>
          <t xml:space="preserve"/>
        </is>
      </c>
      <c r="H4957" s="251">
        <f>SUM(H4956:H4956)</f>
        <v>2.032</v>
      </c>
      <c r="I4957" s="252" t="inlineStr">
        <is>
          <t xml:space="preserve">t</t>
        </is>
      </c>
    </row>
    <row r="4958">
      <c r="A4958" s="243" t="inlineStr">
        <is>
          <t xml:space="preserve">9TH FLR</t>
        </is>
      </c>
      <c r="B4958" s="243" t="inlineStr">
        <is>
          <t xml:space="preserve">T</t>
        </is>
      </c>
      <c r="C4958" s="244" t="inlineStr">
        <is>
          <t xml:space="preserve">16mm diameter in beams</t>
        </is>
      </c>
      <c r="I4958" s="245" t="inlineStr">
        <is>
          <t xml:space="preserve">t</t>
        </is>
      </c>
      <c r="K4958" s="256" t="inlineStr">
        <is>
          <t xml:space="preserve">'9TH FLR    '!C72</t>
        </is>
      </c>
    </row>
    <row r="4959">
      <c r="C4959" s="246" t="inlineStr">
        <is>
          <t xml:space="preserve">Ninth floor (+30700) - Beams, Y16 (from reinforcement take-off / BBS)</t>
        </is>
      </c>
      <c r="H4959" s="247">
        <v>1.163</v>
      </c>
      <c r="J4959" s="253" t="inlineStr">
        <is>
          <t xml:space="preserve">1.163</t>
        </is>
      </c>
    </row>
    <row r="4960">
      <c r="C4960" s="250" t="inlineStr">
        <is>
          <t xml:space="preserve">Total carried to BOQ  9TH FLR item T</t>
        </is>
      </c>
      <c r="D4960" s="250" t="inlineStr">
        <is>
          <t xml:space="preserve"/>
        </is>
      </c>
      <c r="E4960" s="250" t="inlineStr">
        <is>
          <t xml:space="preserve"/>
        </is>
      </c>
      <c r="F4960" s="250" t="inlineStr">
        <is>
          <t xml:space="preserve"/>
        </is>
      </c>
      <c r="G4960" s="250" t="inlineStr">
        <is>
          <t xml:space="preserve"/>
        </is>
      </c>
      <c r="H4960" s="251">
        <f>SUM(H4959:H4959)</f>
        <v>1.163</v>
      </c>
      <c r="I4960" s="252" t="inlineStr">
        <is>
          <t xml:space="preserve">t</t>
        </is>
      </c>
    </row>
    <row r="4961">
      <c r="A4961" s="243" t="inlineStr">
        <is>
          <t xml:space="preserve">9TH FLR</t>
        </is>
      </c>
      <c r="B4961" s="243" t="inlineStr">
        <is>
          <t xml:space="preserve">U</t>
        </is>
      </c>
      <c r="C4961" s="244" t="inlineStr">
        <is>
          <t xml:space="preserve">20mm diameter in beams</t>
        </is>
      </c>
      <c r="I4961" s="245" t="inlineStr">
        <is>
          <t xml:space="preserve">t</t>
        </is>
      </c>
      <c r="K4961" s="256" t="inlineStr">
        <is>
          <t xml:space="preserve">'9TH FLR    '!C74</t>
        </is>
      </c>
    </row>
    <row r="4962">
      <c r="C4962" s="246" t="inlineStr">
        <is>
          <t xml:space="preserve">Ninth floor (+30700) - Beams, Y20 (from reinforcement take-off / BBS)</t>
        </is>
      </c>
      <c r="H4962" s="247">
        <v>2.461</v>
      </c>
      <c r="J4962" s="253" t="inlineStr">
        <is>
          <t xml:space="preserve">2.461</t>
        </is>
      </c>
    </row>
    <row r="4963">
      <c r="C4963" s="250" t="inlineStr">
        <is>
          <t xml:space="preserve">Total carried to BOQ  9TH FLR item U</t>
        </is>
      </c>
      <c r="D4963" s="250" t="inlineStr">
        <is>
          <t xml:space="preserve"/>
        </is>
      </c>
      <c r="E4963" s="250" t="inlineStr">
        <is>
          <t xml:space="preserve"/>
        </is>
      </c>
      <c r="F4963" s="250" t="inlineStr">
        <is>
          <t xml:space="preserve"/>
        </is>
      </c>
      <c r="G4963" s="250" t="inlineStr">
        <is>
          <t xml:space="preserve"/>
        </is>
      </c>
      <c r="H4963" s="251">
        <f>SUM(H4962:H4962)</f>
        <v>2.461</v>
      </c>
      <c r="I4963" s="252" t="inlineStr">
        <is>
          <t xml:space="preserve">t</t>
        </is>
      </c>
    </row>
    <row r="4964">
      <c r="A4964" s="243" t="inlineStr">
        <is>
          <t xml:space="preserve">9TH FLR</t>
        </is>
      </c>
      <c r="B4964" s="243" t="inlineStr">
        <is>
          <t xml:space="preserve">V</t>
        </is>
      </c>
      <c r="C4964" s="244" t="inlineStr">
        <is>
          <t xml:space="preserve">25mm diameter in beams</t>
        </is>
      </c>
      <c r="I4964" s="245" t="inlineStr">
        <is>
          <t xml:space="preserve">t</t>
        </is>
      </c>
      <c r="K4964" s="256" t="inlineStr">
        <is>
          <t xml:space="preserve">'9TH FLR    '!C76</t>
        </is>
      </c>
    </row>
    <row r="4965">
      <c r="C4965" s="246" t="inlineStr">
        <is>
          <t xml:space="preserve">Ninth floor (+30700) - Beams, Y25 (from reinforcement take-off / BBS)</t>
        </is>
      </c>
      <c r="H4965" s="247">
        <v>6.491</v>
      </c>
      <c r="J4965" s="253" t="inlineStr">
        <is>
          <t xml:space="preserve">6.491</t>
        </is>
      </c>
    </row>
    <row r="4966">
      <c r="C4966" s="250" t="inlineStr">
        <is>
          <t xml:space="preserve">Total carried to BOQ  9TH FLR item V</t>
        </is>
      </c>
      <c r="D4966" s="250" t="inlineStr">
        <is>
          <t xml:space="preserve"/>
        </is>
      </c>
      <c r="E4966" s="250" t="inlineStr">
        <is>
          <t xml:space="preserve"/>
        </is>
      </c>
      <c r="F4966" s="250" t="inlineStr">
        <is>
          <t xml:space="preserve"/>
        </is>
      </c>
      <c r="G4966" s="250" t="inlineStr">
        <is>
          <t xml:space="preserve"/>
        </is>
      </c>
      <c r="H4966" s="251">
        <f>SUM(H4965:H4965)</f>
        <v>6.491</v>
      </c>
      <c r="I4966" s="252" t="inlineStr">
        <is>
          <t xml:space="preserve">t</t>
        </is>
      </c>
    </row>
    <row r="4967">
      <c r="A4967" s="243" t="inlineStr">
        <is>
          <t xml:space="preserve">9TH FLR</t>
        </is>
      </c>
      <c r="B4967" s="243" t="inlineStr">
        <is>
          <t xml:space="preserve">W</t>
        </is>
      </c>
      <c r="C4967" s="244" t="inlineStr">
        <is>
          <t xml:space="preserve">10mm diameter in shear &amp; lift walls (links)</t>
        </is>
      </c>
      <c r="I4967" s="245" t="inlineStr">
        <is>
          <t xml:space="preserve">t</t>
        </is>
      </c>
      <c r="K4967" s="256" t="inlineStr">
        <is>
          <t xml:space="preserve">'9TH FLR    '!C78</t>
        </is>
      </c>
    </row>
    <row r="4968">
      <c r="C4968" s="246" t="inlineStr">
        <is>
          <t xml:space="preserve">Ninth floor (+30700) - Shear Walls, Y10 (from reinforcement take-off / BBS)</t>
        </is>
      </c>
      <c r="H4968" s="247">
        <v>1.442</v>
      </c>
      <c r="J4968" s="253" t="inlineStr">
        <is>
          <t xml:space="preserve">1.442</t>
        </is>
      </c>
    </row>
    <row r="4969">
      <c r="C4969" s="246" t="inlineStr">
        <is>
          <t xml:space="preserve">Ninth floor (+30700) - Lift Walls, Y10 (from reinforcement take-off / BBS)</t>
        </is>
      </c>
      <c r="H4969" s="247">
        <v>0.636</v>
      </c>
      <c r="J4969" s="253" t="inlineStr">
        <is>
          <t xml:space="preserve">0.636</t>
        </is>
      </c>
    </row>
    <row r="4970">
      <c r="C4970" s="250" t="inlineStr">
        <is>
          <t xml:space="preserve">Total carried to BOQ  9TH FLR item W</t>
        </is>
      </c>
      <c r="D4970" s="250" t="inlineStr">
        <is>
          <t xml:space="preserve"/>
        </is>
      </c>
      <c r="E4970" s="250" t="inlineStr">
        <is>
          <t xml:space="preserve"/>
        </is>
      </c>
      <c r="F4970" s="250" t="inlineStr">
        <is>
          <t xml:space="preserve"/>
        </is>
      </c>
      <c r="G4970" s="250" t="inlineStr">
        <is>
          <t xml:space="preserve"/>
        </is>
      </c>
      <c r="H4970" s="251">
        <f>SUM(H4968:H4969)</f>
        <v>2.078</v>
      </c>
      <c r="I4970" s="252" t="inlineStr">
        <is>
          <t xml:space="preserve">t</t>
        </is>
      </c>
    </row>
    <row r="4971">
      <c r="A4971" s="243" t="inlineStr">
        <is>
          <t xml:space="preserve">9TH FLR</t>
        </is>
      </c>
      <c r="B4971" s="243" t="inlineStr">
        <is>
          <t xml:space="preserve">X</t>
        </is>
      </c>
      <c r="C4971" s="244" t="inlineStr">
        <is>
          <t xml:space="preserve">12mm diameter in shear, lift &amp; ramp walls</t>
        </is>
      </c>
      <c r="I4971" s="245" t="inlineStr">
        <is>
          <t xml:space="preserve">t</t>
        </is>
      </c>
      <c r="K4971" s="256" t="inlineStr">
        <is>
          <t xml:space="preserve">'9TH FLR    '!C80</t>
        </is>
      </c>
    </row>
    <row r="4972">
      <c r="C4972" s="246" t="inlineStr">
        <is>
          <t xml:space="preserve">Ninth floor (+30700) - Shear Walls, Y12 (from reinforcement take-off / BBS)</t>
        </is>
      </c>
      <c r="H4972" s="247">
        <v>2.109</v>
      </c>
      <c r="J4972" s="253" t="inlineStr">
        <is>
          <t xml:space="preserve">2.109</t>
        </is>
      </c>
    </row>
    <row r="4973">
      <c r="C4973" s="246" t="inlineStr">
        <is>
          <t xml:space="preserve">Ninth floor (+30700) - Lift Walls, Y12 (from reinforcement take-off / BBS)</t>
        </is>
      </c>
      <c r="H4973" s="247">
        <v>0.952</v>
      </c>
      <c r="J4973" s="253" t="inlineStr">
        <is>
          <t xml:space="preserve">0.952</t>
        </is>
      </c>
    </row>
    <row r="4974">
      <c r="C4974" s="250" t="inlineStr">
        <is>
          <t xml:space="preserve">Total carried to BOQ  9TH FLR item X</t>
        </is>
      </c>
      <c r="D4974" s="250" t="inlineStr">
        <is>
          <t xml:space="preserve"/>
        </is>
      </c>
      <c r="E4974" s="250" t="inlineStr">
        <is>
          <t xml:space="preserve"/>
        </is>
      </c>
      <c r="F4974" s="250" t="inlineStr">
        <is>
          <t xml:space="preserve"/>
        </is>
      </c>
      <c r="G4974" s="250" t="inlineStr">
        <is>
          <t xml:space="preserve"/>
        </is>
      </c>
      <c r="H4974" s="251">
        <f>SUM(H4972:H4973)</f>
        <v>3.061</v>
      </c>
      <c r="I4974" s="252" t="inlineStr">
        <is>
          <t xml:space="preserve">t</t>
        </is>
      </c>
    </row>
    <row r="4975">
      <c r="A4975" s="243" t="inlineStr">
        <is>
          <t xml:space="preserve">9TH FLR</t>
        </is>
      </c>
      <c r="B4975" s="243" t="inlineStr">
        <is>
          <t xml:space="preserve">Y</t>
        </is>
      </c>
      <c r="C4975" s="244" t="inlineStr">
        <is>
          <t xml:space="preserve">20mm diameter in shear &amp; lift walls</t>
        </is>
      </c>
      <c r="I4975" s="245" t="inlineStr">
        <is>
          <t xml:space="preserve">t</t>
        </is>
      </c>
      <c r="K4975" s="256" t="inlineStr">
        <is>
          <t xml:space="preserve">'9TH FLR    '!C82</t>
        </is>
      </c>
    </row>
    <row r="4976">
      <c r="C4976" s="246" t="inlineStr">
        <is>
          <t xml:space="preserve">Ninth floor (+30700) - Shear Walls, Y20 (from reinforcement take-off / BBS)</t>
        </is>
      </c>
      <c r="H4976" s="247">
        <v>6.904</v>
      </c>
      <c r="J4976" s="253" t="inlineStr">
        <is>
          <t xml:space="preserve">6.904</t>
        </is>
      </c>
    </row>
    <row r="4977">
      <c r="C4977" s="246" t="inlineStr">
        <is>
          <t xml:space="preserve">Ninth floor (+30700) - Lift Walls, Y20 (from reinforcement take-off / BBS)</t>
        </is>
      </c>
      <c r="H4977" s="247">
        <v>3.32</v>
      </c>
      <c r="J4977" s="253" t="inlineStr">
        <is>
          <t xml:space="preserve">3.320</t>
        </is>
      </c>
    </row>
    <row r="4978">
      <c r="C4978" s="250" t="inlineStr">
        <is>
          <t xml:space="preserve">Total carried to BOQ  9TH FLR item Y</t>
        </is>
      </c>
      <c r="D4978" s="250" t="inlineStr">
        <is>
          <t xml:space="preserve"/>
        </is>
      </c>
      <c r="E4978" s="250" t="inlineStr">
        <is>
          <t xml:space="preserve"/>
        </is>
      </c>
      <c r="F4978" s="250" t="inlineStr">
        <is>
          <t xml:space="preserve"/>
        </is>
      </c>
      <c r="G4978" s="250" t="inlineStr">
        <is>
          <t xml:space="preserve"/>
        </is>
      </c>
      <c r="H4978" s="251">
        <f>SUM(H4976:H4977)</f>
        <v>10.224</v>
      </c>
      <c r="I4978" s="252" t="inlineStr">
        <is>
          <t xml:space="preserve">t</t>
        </is>
      </c>
    </row>
    <row r="4979">
      <c r="A4979" s="243" t="inlineStr">
        <is>
          <t xml:space="preserve">9TH FLR</t>
        </is>
      </c>
      <c r="B4979" s="243" t="inlineStr">
        <is>
          <t xml:space="preserve">Z</t>
        </is>
      </c>
      <c r="C4979" s="244" t="inlineStr">
        <is>
          <t xml:space="preserve">12mm diameter in stairs</t>
        </is>
      </c>
      <c r="I4979" s="245" t="inlineStr">
        <is>
          <t xml:space="preserve">t</t>
        </is>
      </c>
      <c r="K4979" s="256" t="inlineStr">
        <is>
          <t xml:space="preserve">'9TH FLR    '!C84</t>
        </is>
      </c>
    </row>
    <row r="4980">
      <c r="C4980" s="246" t="inlineStr">
        <is>
          <t xml:space="preserve">Ninth floor (+30700) - Staircases, Y12 (from reinforcement take-off / BBS)</t>
        </is>
      </c>
      <c r="H4980" s="247">
        <v>0.88</v>
      </c>
      <c r="J4980" s="253" t="inlineStr">
        <is>
          <t xml:space="preserve">0.880</t>
        </is>
      </c>
    </row>
    <row r="4981">
      <c r="C4981" s="250" t="inlineStr">
        <is>
          <t xml:space="preserve">Total carried to BOQ  9TH FLR item Z</t>
        </is>
      </c>
      <c r="D4981" s="250" t="inlineStr">
        <is>
          <t xml:space="preserve"/>
        </is>
      </c>
      <c r="E4981" s="250" t="inlineStr">
        <is>
          <t xml:space="preserve"/>
        </is>
      </c>
      <c r="F4981" s="250" t="inlineStr">
        <is>
          <t xml:space="preserve"/>
        </is>
      </c>
      <c r="G4981" s="250" t="inlineStr">
        <is>
          <t xml:space="preserve"/>
        </is>
      </c>
      <c r="H4981" s="251">
        <f>SUM(H4980:H4980)</f>
        <v>0.88</v>
      </c>
      <c r="I4981" s="252" t="inlineStr">
        <is>
          <t xml:space="preserve">t</t>
        </is>
      </c>
    </row>
    <row r="4982">
      <c r="A4982" s="243" t="inlineStr">
        <is>
          <t xml:space="preserve">9TH FLR</t>
        </is>
      </c>
      <c r="B4982" s="243" t="inlineStr">
        <is>
          <t xml:space="preserve">A</t>
        </is>
      </c>
      <c r="C4982" s="244" t="inlineStr">
        <is>
          <t xml:space="preserve">16mm diameter in stairs</t>
        </is>
      </c>
      <c r="I4982" s="245" t="inlineStr">
        <is>
          <t xml:space="preserve">t</t>
        </is>
      </c>
      <c r="K4982" s="256" t="inlineStr">
        <is>
          <t xml:space="preserve">'9TH FLR    '!C86</t>
        </is>
      </c>
    </row>
    <row r="4983">
      <c r="C4983" s="246" t="inlineStr">
        <is>
          <t xml:space="preserve">Ninth floor (+30700) - Staircases, Y16 (from reinforcement take-off / BBS)</t>
        </is>
      </c>
      <c r="H4983" s="247">
        <v>1.434</v>
      </c>
      <c r="J4983" s="253" t="inlineStr">
        <is>
          <t xml:space="preserve">1.434</t>
        </is>
      </c>
    </row>
    <row r="4984">
      <c r="C4984" s="250" t="inlineStr">
        <is>
          <t xml:space="preserve">Total carried to BOQ  9TH FLR item A</t>
        </is>
      </c>
      <c r="D4984" s="250" t="inlineStr">
        <is>
          <t xml:space="preserve"/>
        </is>
      </c>
      <c r="E4984" s="250" t="inlineStr">
        <is>
          <t xml:space="preserve"/>
        </is>
      </c>
      <c r="F4984" s="250" t="inlineStr">
        <is>
          <t xml:space="preserve"/>
        </is>
      </c>
      <c r="G4984" s="250" t="inlineStr">
        <is>
          <t xml:space="preserve"/>
        </is>
      </c>
      <c r="H4984" s="251">
        <f>SUM(H4983:H4983)</f>
        <v>1.434</v>
      </c>
      <c r="I4984" s="252" t="inlineStr">
        <is>
          <t xml:space="preserve">t</t>
        </is>
      </c>
    </row>
    <row r="4985">
      <c r="A4985" s="243" t="inlineStr">
        <is>
          <t xml:space="preserve">9TH FLR</t>
        </is>
      </c>
      <c r="B4985" s="243" t="inlineStr">
        <is>
          <t xml:space="preserve">B</t>
        </is>
      </c>
      <c r="C4985" s="244" t="inlineStr">
        <is>
          <t xml:space="preserve">12mm diameter for suspended slab</t>
        </is>
      </c>
      <c r="I4985" s="245" t="inlineStr">
        <is>
          <t xml:space="preserve">t</t>
        </is>
      </c>
      <c r="K4985" s="256" t="inlineStr">
        <is>
          <t xml:space="preserve">'9TH FLR    '!C88</t>
        </is>
      </c>
    </row>
    <row r="4986">
      <c r="C4986" s="246" t="inlineStr">
        <is>
          <t xml:space="preserve">Ninth floor (+30700) - Floor Slabs, Y12 (from reinforcement take-off / BBS)</t>
        </is>
      </c>
      <c r="H4986" s="247">
        <v>50.007</v>
      </c>
      <c r="J4986" s="253" t="inlineStr">
        <is>
          <t xml:space="preserve">50.007</t>
        </is>
      </c>
    </row>
    <row r="4987">
      <c r="C4987" s="250" t="inlineStr">
        <is>
          <t xml:space="preserve">Total carried to BOQ  9TH FLR item B</t>
        </is>
      </c>
      <c r="D4987" s="250" t="inlineStr">
        <is>
          <t xml:space="preserve"/>
        </is>
      </c>
      <c r="E4987" s="250" t="inlineStr">
        <is>
          <t xml:space="preserve"/>
        </is>
      </c>
      <c r="F4987" s="250" t="inlineStr">
        <is>
          <t xml:space="preserve"/>
        </is>
      </c>
      <c r="G4987" s="250" t="inlineStr">
        <is>
          <t xml:space="preserve"/>
        </is>
      </c>
      <c r="H4987" s="251">
        <f>SUM(H4986:H4986)</f>
        <v>50.007</v>
      </c>
      <c r="I4987" s="252" t="inlineStr">
        <is>
          <t xml:space="preserve">t</t>
        </is>
      </c>
    </row>
    <row r="4988">
      <c r="A4988" s="243" t="inlineStr">
        <is>
          <t xml:space="preserve">9TH FLR</t>
        </is>
      </c>
      <c r="B4988" s="243" t="inlineStr">
        <is>
          <t xml:space="preserve">C</t>
        </is>
      </c>
      <c r="C4988" s="244" t="inlineStr">
        <is>
          <t xml:space="preserve">16mm diameter for suspended slab</t>
        </is>
      </c>
      <c r="I4988" s="245" t="inlineStr">
        <is>
          <t xml:space="preserve">t</t>
        </is>
      </c>
      <c r="K4988" s="256" t="inlineStr">
        <is>
          <t xml:space="preserve">'9TH FLR    '!C90</t>
        </is>
      </c>
    </row>
    <row r="4989">
      <c r="C4989" s="246" t="inlineStr">
        <is>
          <t xml:space="preserve">Ninth floor (+30700) - Floor Slabs, Y16 (from reinforcement take-off / BBS)</t>
        </is>
      </c>
      <c r="H4989" s="247">
        <v>0.151</v>
      </c>
      <c r="J4989" s="253" t="inlineStr">
        <is>
          <t xml:space="preserve">0.151</t>
        </is>
      </c>
    </row>
    <row r="4990">
      <c r="C4990" s="250" t="inlineStr">
        <is>
          <t xml:space="preserve">Total carried to BOQ  9TH FLR item C</t>
        </is>
      </c>
      <c r="D4990" s="250" t="inlineStr">
        <is>
          <t xml:space="preserve"/>
        </is>
      </c>
      <c r="E4990" s="250" t="inlineStr">
        <is>
          <t xml:space="preserve"/>
        </is>
      </c>
      <c r="F4990" s="250" t="inlineStr">
        <is>
          <t xml:space="preserve"/>
        </is>
      </c>
      <c r="G4990" s="250" t="inlineStr">
        <is>
          <t xml:space="preserve"/>
        </is>
      </c>
      <c r="H4990" s="251">
        <f>SUM(H4989:H4989)</f>
        <v>0.151</v>
      </c>
      <c r="I4990" s="252" t="inlineStr">
        <is>
          <t xml:space="preserve">t</t>
        </is>
      </c>
    </row>
    <row r="4991">
      <c r="C4991" s="242" t="inlineStr">
        <is>
          <t xml:space="preserve">ELEMENT NO. 2: MASONRY</t>
        </is>
      </c>
    </row>
    <row r="4992">
      <c r="C4992" s="242" t="inlineStr">
        <is>
          <t xml:space="preserve">F10 BRICK/BLOCK WALL - Solid sandcrete blockwork in cement and sand (1:4) mortar as described in:</t>
        </is>
      </c>
    </row>
    <row r="4993">
      <c r="A4993" s="243" t="inlineStr">
        <is>
          <t xml:space="preserve">9TH FLR</t>
        </is>
      </c>
      <c r="B4993" s="243" t="inlineStr">
        <is>
          <t xml:space="preserve">A</t>
        </is>
      </c>
      <c r="C4993" s="244" t="inlineStr">
        <is>
          <t xml:space="preserve">150mm thick wall</t>
        </is>
      </c>
      <c r="I4993" s="245" t="inlineStr">
        <is>
          <t xml:space="preserve">m2</t>
        </is>
      </c>
      <c r="K4993" s="256" t="inlineStr">
        <is>
          <t xml:space="preserve">'9TH FLR    '!C98</t>
        </is>
      </c>
    </row>
    <row r="4994">
      <c r="C4994" s="246" t="inlineStr">
        <is>
          <t xml:space="preserve">Ninth floor - 150 blockwork: wall length x storey ht</t>
        </is>
      </c>
      <c r="E4994" s="247">
        <v>397.2</v>
      </c>
      <c r="F4994" s="247">
        <v>3.05</v>
      </c>
      <c r="H4994" s="249">
        <f>PRODUCT(D4994:G4994)</f>
        <v>1211.4599999999998</v>
      </c>
      <c r="J4994" s="253" t="inlineStr">
        <is>
          <t xml:space="preserve">397.2*3.05</t>
        </is>
      </c>
    </row>
    <row r="4995">
      <c r="C4995" s="246" t="inlineStr">
        <is>
          <t xml:space="preserve">Walling over opening D2 (4 nr, 1x2.2): nr x width x (3.05 - opening ht) x thickness share</t>
        </is>
      </c>
      <c r="D4995" s="248">
        <v>4</v>
      </c>
      <c r="E4995" s="247">
        <v>1</v>
      </c>
      <c r="F4995" s="247">
        <f>3.05-2.2</f>
        <v>0.8499999999999996</v>
      </c>
      <c r="G4995" s="247">
        <v>0.94</v>
      </c>
      <c r="H4995" s="249">
        <f>PRODUCT(D4995:G4995)</f>
        <v>3.1959999999999984</v>
      </c>
      <c r="J4995" s="253" t="inlineStr">
        <is>
          <t xml:space="preserve">4*1*(3.05-2.2)*0.940</t>
        </is>
      </c>
    </row>
    <row r="4996">
      <c r="C4996" s="246" t="inlineStr">
        <is>
          <t xml:space="preserve">Walling over opening D3 (8 nr, 0.9x2.2): nr x width x (3.05 - opening ht) x thickness share</t>
        </is>
      </c>
      <c r="D4996" s="248">
        <v>8</v>
      </c>
      <c r="E4996" s="247">
        <v>0.9</v>
      </c>
      <c r="F4996" s="247">
        <f>3.05-2.2</f>
        <v>0.8499999999999996</v>
      </c>
      <c r="G4996" s="247">
        <v>0.94</v>
      </c>
      <c r="H4996" s="249">
        <f>PRODUCT(D4996:G4996)</f>
        <v>5.752799999999997</v>
      </c>
      <c r="J4996" s="253" t="inlineStr">
        <is>
          <t xml:space="preserve">8*0.9*(3.05-2.2)*0.940</t>
        </is>
      </c>
    </row>
    <row r="4997">
      <c r="C4997" s="246" t="inlineStr">
        <is>
          <t xml:space="preserve">Walling over opening D6 (17 nr, 0.75x2.2): nr x width x (3.05 - opening ht) x thickness share</t>
        </is>
      </c>
      <c r="D4997" s="248">
        <v>17</v>
      </c>
      <c r="E4997" s="247">
        <v>0.75</v>
      </c>
      <c r="F4997" s="247">
        <f>3.05-2.2</f>
        <v>0.8499999999999996</v>
      </c>
      <c r="G4997" s="247">
        <v>0.94</v>
      </c>
      <c r="H4997" s="249">
        <f>PRODUCT(D4997:G4997)</f>
        <v>10.187249999999995</v>
      </c>
      <c r="J4997" s="253" t="inlineStr">
        <is>
          <t xml:space="preserve">17*0.75*(3.05-2.2)*0.940</t>
        </is>
      </c>
    </row>
    <row r="4998">
      <c r="C4998" s="246" t="inlineStr">
        <is>
          <t xml:space="preserve">Walling over opening D7 (1 nr, 0.7x2.2): nr x width x (3.05 - opening ht) x thickness share</t>
        </is>
      </c>
      <c r="D4998" s="248">
        <v>1</v>
      </c>
      <c r="E4998" s="247">
        <v>0.7</v>
      </c>
      <c r="F4998" s="247">
        <f>3.05-2.2</f>
        <v>0.8499999999999996</v>
      </c>
      <c r="G4998" s="247">
        <v>0.94</v>
      </c>
      <c r="H4998" s="249">
        <f>PRODUCT(D4998:G4998)</f>
        <v>0.5592999999999997</v>
      </c>
      <c r="J4998" s="253" t="inlineStr">
        <is>
          <t xml:space="preserve">1*0.7*(3.05-2.2)*0.940</t>
        </is>
      </c>
    </row>
    <row r="4999">
      <c r="C4999" s="246" t="inlineStr">
        <is>
          <t xml:space="preserve">Walling over opening D8 (2 nr, 1.2x2.2): nr x width x (3.05 - opening ht) x thickness share</t>
        </is>
      </c>
      <c r="D4999" s="248">
        <v>2</v>
      </c>
      <c r="E4999" s="247">
        <v>1.2</v>
      </c>
      <c r="F4999" s="247">
        <f>3.05-2.2</f>
        <v>0.8499999999999996</v>
      </c>
      <c r="G4999" s="247">
        <v>0.94</v>
      </c>
      <c r="H4999" s="249">
        <f>PRODUCT(D4999:G4999)</f>
        <v>1.917599999999999</v>
      </c>
      <c r="J4999" s="253" t="inlineStr">
        <is>
          <t xml:space="preserve">2*1.2*(3.05-2.2)*0.940</t>
        </is>
      </c>
    </row>
    <row r="5000">
      <c r="C5000" s="246" t="inlineStr">
        <is>
          <t xml:space="preserve">Walling over opening ED1 (2 nr, 1x2.2): nr x width x (3.05 - opening ht) x thickness share</t>
        </is>
      </c>
      <c r="D5000" s="248">
        <v>2</v>
      </c>
      <c r="E5000" s="247">
        <v>1</v>
      </c>
      <c r="F5000" s="247">
        <f>3.05-2.2</f>
        <v>0.8499999999999996</v>
      </c>
      <c r="G5000" s="247">
        <v>0.94</v>
      </c>
      <c r="H5000" s="249">
        <f>PRODUCT(D5000:G5000)</f>
        <v>1.5979999999999992</v>
      </c>
      <c r="J5000" s="253" t="inlineStr">
        <is>
          <t xml:space="preserve">2*1*(3.05-2.2)*0.940</t>
        </is>
      </c>
    </row>
    <row r="5001">
      <c r="C5001" s="246" t="inlineStr">
        <is>
          <t xml:space="preserve">Walling over opening ED2 (2 nr, 1x2.2): nr x width x (3.05 - opening ht) x thickness share</t>
        </is>
      </c>
      <c r="D5001" s="248">
        <v>2</v>
      </c>
      <c r="E5001" s="247">
        <v>1</v>
      </c>
      <c r="F5001" s="247">
        <f>3.05-2.2</f>
        <v>0.8499999999999996</v>
      </c>
      <c r="G5001" s="247">
        <v>0.94</v>
      </c>
      <c r="H5001" s="249">
        <f>PRODUCT(D5001:G5001)</f>
        <v>1.5979999999999992</v>
      </c>
      <c r="J5001" s="253" t="inlineStr">
        <is>
          <t xml:space="preserve">2*1*(3.05-2.2)*0.940</t>
        </is>
      </c>
    </row>
    <row r="5002">
      <c r="C5002" s="246" t="inlineStr">
        <is>
          <t xml:space="preserve">Walling over opening D9 (1 nr, 0.9x2.2): nr x width x (3.05 - opening ht) x thickness share</t>
        </is>
      </c>
      <c r="D5002" s="248">
        <v>1</v>
      </c>
      <c r="E5002" s="247">
        <v>0.9</v>
      </c>
      <c r="F5002" s="247">
        <f>3.05-2.2</f>
        <v>0.8499999999999996</v>
      </c>
      <c r="G5002" s="247">
        <v>0.94</v>
      </c>
      <c r="H5002" s="249">
        <f>PRODUCT(D5002:G5002)</f>
        <v>0.7190999999999996</v>
      </c>
      <c r="J5002" s="253" t="inlineStr">
        <is>
          <t xml:space="preserve">1*0.9*(3.05-2.2)*0.940</t>
        </is>
      </c>
    </row>
    <row r="5003">
      <c r="C5003" s="246" t="inlineStr">
        <is>
          <t xml:space="preserve">Walling over opening M1 (2 nr, 0.9x2.2): nr x width x (3.05 - opening ht) x thickness share</t>
        </is>
      </c>
      <c r="D5003" s="248">
        <v>2</v>
      </c>
      <c r="E5003" s="247">
        <v>0.9</v>
      </c>
      <c r="F5003" s="247">
        <f>3.05-2.2</f>
        <v>0.8499999999999996</v>
      </c>
      <c r="G5003" s="247">
        <v>0.94</v>
      </c>
      <c r="H5003" s="249">
        <f>PRODUCT(D5003:G5003)</f>
        <v>1.4381999999999993</v>
      </c>
      <c r="J5003" s="253" t="inlineStr">
        <is>
          <t xml:space="preserve">2*0.9*(3.05-2.2)*0.940</t>
        </is>
      </c>
    </row>
    <row r="5004">
      <c r="C5004" s="246" t="inlineStr">
        <is>
          <t xml:space="preserve">Walling over opening M2 (4 nr, 0.75x2.2): nr x width x (3.05 - opening ht) x thickness share</t>
        </is>
      </c>
      <c r="D5004" s="248">
        <v>4</v>
      </c>
      <c r="E5004" s="247">
        <v>0.75</v>
      </c>
      <c r="F5004" s="247">
        <f>3.05-2.2</f>
        <v>0.8499999999999996</v>
      </c>
      <c r="G5004" s="247">
        <v>0.94</v>
      </c>
      <c r="H5004" s="249">
        <f>PRODUCT(D5004:G5004)</f>
        <v>2.396999999999999</v>
      </c>
      <c r="J5004" s="253" t="inlineStr">
        <is>
          <t xml:space="preserve">4*0.75*(3.05-2.2)*0.940</t>
        </is>
      </c>
    </row>
    <row r="5005">
      <c r="C5005" s="246" t="inlineStr">
        <is>
          <t xml:space="preserve">Walling over opening M3 (1 nr, 0.45x2.2): nr x width x (3.05 - opening ht) x thickness share</t>
        </is>
      </c>
      <c r="D5005" s="248">
        <v>1</v>
      </c>
      <c r="E5005" s="247">
        <v>0.45</v>
      </c>
      <c r="F5005" s="247">
        <f>3.05-2.2</f>
        <v>0.8499999999999996</v>
      </c>
      <c r="G5005" s="247">
        <v>0.94</v>
      </c>
      <c r="H5005" s="249">
        <f>PRODUCT(D5005:G5005)</f>
        <v>0.3595499999999998</v>
      </c>
      <c r="J5005" s="253" t="inlineStr">
        <is>
          <t xml:space="preserve">1*0.45*(3.05-2.2)*0.940</t>
        </is>
      </c>
    </row>
    <row r="5006">
      <c r="C5006" s="246" t="inlineStr">
        <is>
          <t xml:space="preserve">Walling over opening M5 (3 nr, 0.6x2.2): nr x width x (3.05 - opening ht) x thickness share</t>
        </is>
      </c>
      <c r="D5006" s="248">
        <v>3</v>
      </c>
      <c r="E5006" s="247">
        <v>0.6</v>
      </c>
      <c r="F5006" s="247">
        <f>3.05-2.2</f>
        <v>0.8499999999999996</v>
      </c>
      <c r="G5006" s="247">
        <v>0.94</v>
      </c>
      <c r="H5006" s="249">
        <f>PRODUCT(D5006:G5006)</f>
        <v>1.438199999999999</v>
      </c>
      <c r="J5006" s="253" t="inlineStr">
        <is>
          <t xml:space="preserve">3*0.6*(3.05-2.2)*0.940</t>
        </is>
      </c>
    </row>
    <row r="5007">
      <c r="C5007" s="246" t="inlineStr">
        <is>
          <t xml:space="preserve">Walling over opening SD1 (1 nr, 3x2.2): nr x width x (3.05 - opening ht) x thickness share</t>
        </is>
      </c>
      <c r="D5007" s="248">
        <v>1</v>
      </c>
      <c r="E5007" s="247">
        <v>3</v>
      </c>
      <c r="F5007" s="247">
        <f>3.05-2.2</f>
        <v>0.8499999999999996</v>
      </c>
      <c r="G5007" s="247">
        <v>0.94</v>
      </c>
      <c r="H5007" s="249">
        <f>PRODUCT(D5007:G5007)</f>
        <v>2.396999999999999</v>
      </c>
      <c r="J5007" s="253" t="inlineStr">
        <is>
          <t xml:space="preserve">1*3*(3.05-2.2)*0.940</t>
        </is>
      </c>
    </row>
    <row r="5008">
      <c r="C5008" s="246" t="inlineStr">
        <is>
          <t xml:space="preserve">Walling over opening SD2 (2 nr, 1.6x2.2): nr x width x (3.05 - opening ht) x thickness share</t>
        </is>
      </c>
      <c r="D5008" s="248">
        <v>2</v>
      </c>
      <c r="E5008" s="247">
        <v>1.6</v>
      </c>
      <c r="F5008" s="247">
        <f>3.05-2.2</f>
        <v>0.8499999999999996</v>
      </c>
      <c r="G5008" s="247">
        <v>0.94</v>
      </c>
      <c r="H5008" s="249">
        <f>PRODUCT(D5008:G5008)</f>
        <v>2.5567999999999986</v>
      </c>
      <c r="J5008" s="253" t="inlineStr">
        <is>
          <t xml:space="preserve">2*1.6*(3.05-2.2)*0.940</t>
        </is>
      </c>
    </row>
    <row r="5009">
      <c r="C5009" s="246" t="inlineStr">
        <is>
          <t xml:space="preserve">Walling over opening SD3 (1 nr, 1.3x2.2): nr x width x (3.05 - opening ht) x thickness share</t>
        </is>
      </c>
      <c r="D5009" s="248">
        <v>1</v>
      </c>
      <c r="E5009" s="247">
        <v>1.3</v>
      </c>
      <c r="F5009" s="247">
        <f>3.05-2.2</f>
        <v>0.8499999999999996</v>
      </c>
      <c r="G5009" s="247">
        <v>0.94</v>
      </c>
      <c r="H5009" s="249">
        <f>PRODUCT(D5009:G5009)</f>
        <v>1.0386999999999995</v>
      </c>
      <c r="J5009" s="253" t="inlineStr">
        <is>
          <t xml:space="preserve">1*1.3*(3.05-2.2)*0.940</t>
        </is>
      </c>
    </row>
    <row r="5010">
      <c r="C5010" s="246" t="inlineStr">
        <is>
          <t xml:space="preserve">Walling over opening SD4 (2 nr, 1.8x2.2): nr x width x (3.05 - opening ht) x thickness share</t>
        </is>
      </c>
      <c r="D5010" s="248">
        <v>2</v>
      </c>
      <c r="E5010" s="247">
        <v>1.8</v>
      </c>
      <c r="F5010" s="247">
        <f>3.05-2.2</f>
        <v>0.8499999999999996</v>
      </c>
      <c r="G5010" s="247">
        <v>0.94</v>
      </c>
      <c r="H5010" s="249">
        <f>PRODUCT(D5010:G5010)</f>
        <v>2.8763999999999985</v>
      </c>
      <c r="J5010" s="253" t="inlineStr">
        <is>
          <t xml:space="preserve">2*1.8*(3.05-2.2)*0.940</t>
        </is>
      </c>
    </row>
    <row r="5011">
      <c r="C5011" s="246" t="inlineStr">
        <is>
          <t xml:space="preserve">Walling over opening W2 (3 nr, 1.8x1.3): nr x width x (3.05 - opening ht) x thickness share</t>
        </is>
      </c>
      <c r="D5011" s="248">
        <v>3</v>
      </c>
      <c r="E5011" s="247">
        <v>1.8</v>
      </c>
      <c r="F5011" s="247">
        <f>3.05-1.3</f>
        <v>1.7499999999999998</v>
      </c>
      <c r="G5011" s="247">
        <v>0.94</v>
      </c>
      <c r="H5011" s="249">
        <f>PRODUCT(D5011:G5011)</f>
        <v>8.883</v>
      </c>
      <c r="J5011" s="253" t="inlineStr">
        <is>
          <t xml:space="preserve">3*1.8*(3.05-1.3)*0.940</t>
        </is>
      </c>
    </row>
    <row r="5012">
      <c r="C5012" s="246" t="inlineStr">
        <is>
          <t xml:space="preserve">Walling over opening W4 (6 nr, 0.9x1.3): nr x width x (3.05 - opening ht) x thickness share</t>
        </is>
      </c>
      <c r="D5012" s="248">
        <v>6</v>
      </c>
      <c r="E5012" s="247">
        <v>0.9</v>
      </c>
      <c r="F5012" s="247">
        <f>3.05-1.3</f>
        <v>1.7499999999999998</v>
      </c>
      <c r="G5012" s="247">
        <v>0.94</v>
      </c>
      <c r="H5012" s="249">
        <f>PRODUCT(D5012:G5012)</f>
        <v>8.883</v>
      </c>
      <c r="J5012" s="253" t="inlineStr">
        <is>
          <t xml:space="preserve">6*0.9*(3.05-1.3)*0.940</t>
        </is>
      </c>
    </row>
    <row r="5013">
      <c r="C5013" s="246" t="inlineStr">
        <is>
          <t xml:space="preserve">Walling over opening W7 (1 nr, 1.8x1.6): nr x width x (3.05 - opening ht) x thickness share</t>
        </is>
      </c>
      <c r="D5013" s="248">
        <v>1</v>
      </c>
      <c r="E5013" s="247">
        <v>1.8</v>
      </c>
      <c r="F5013" s="247">
        <f>3.05-1.6</f>
        <v>1.4499999999999997</v>
      </c>
      <c r="G5013" s="247">
        <v>0.94</v>
      </c>
      <c r="H5013" s="249">
        <f>PRODUCT(D5013:G5013)</f>
        <v>2.4533999999999994</v>
      </c>
      <c r="J5013" s="253" t="inlineStr">
        <is>
          <t xml:space="preserve">1*1.8*(3.05-1.6)*0.940</t>
        </is>
      </c>
    </row>
    <row r="5014">
      <c r="C5014" s="246" t="inlineStr">
        <is>
          <t xml:space="preserve">Walling over opening W8 (1 nr, 1.2x1.9): nr x width x (3.05 - opening ht) x thickness share</t>
        </is>
      </c>
      <c r="D5014" s="248">
        <v>1</v>
      </c>
      <c r="E5014" s="247">
        <v>1.2</v>
      </c>
      <c r="F5014" s="247">
        <f>3.05-1.9</f>
        <v>1.15</v>
      </c>
      <c r="G5014" s="247">
        <v>0.94</v>
      </c>
      <c r="H5014" s="249">
        <f>PRODUCT(D5014:G5014)</f>
        <v>1.2972</v>
      </c>
      <c r="J5014" s="253" t="inlineStr">
        <is>
          <t xml:space="preserve">1*1.2*(3.05-1.9)*0.940</t>
        </is>
      </c>
    </row>
    <row r="5015">
      <c r="C5015" s="246" t="inlineStr">
        <is>
          <t xml:space="preserve">Walling over opening W9 (5 nr, 1.2x1.15): nr x width x (3.05 - opening ht) x thickness share</t>
        </is>
      </c>
      <c r="D5015" s="248">
        <v>5</v>
      </c>
      <c r="E5015" s="247">
        <v>1.2</v>
      </c>
      <c r="F5015" s="247">
        <f>3.05-1.15</f>
        <v>1.9</v>
      </c>
      <c r="G5015" s="247">
        <v>0.94</v>
      </c>
      <c r="H5015" s="249">
        <f>PRODUCT(D5015:G5015)</f>
        <v>10.715999999999998</v>
      </c>
      <c r="J5015" s="253" t="inlineStr">
        <is>
          <t xml:space="preserve">5*1.2*(3.05-1.15)*0.940</t>
        </is>
      </c>
    </row>
    <row r="5016">
      <c r="C5016" s="246" t="inlineStr">
        <is>
          <t xml:space="preserve">Walling over opening W10 (1 nr, 1.2x1.2): nr x width x (3.05 - opening ht) x thickness share</t>
        </is>
      </c>
      <c r="D5016" s="248">
        <v>1</v>
      </c>
      <c r="E5016" s="247">
        <v>1.2</v>
      </c>
      <c r="F5016" s="247">
        <f>3.05-1.2</f>
        <v>1.8499999999999999</v>
      </c>
      <c r="G5016" s="247">
        <v>0.94</v>
      </c>
      <c r="H5016" s="249">
        <f>PRODUCT(D5016:G5016)</f>
        <v>2.0867999999999998</v>
      </c>
      <c r="J5016" s="253" t="inlineStr">
        <is>
          <t xml:space="preserve">1*1.2*(3.05-1.2)*0.940</t>
        </is>
      </c>
    </row>
    <row r="5017">
      <c r="C5017" s="246" t="inlineStr">
        <is>
          <t xml:space="preserve">Walling over opening W11 (3 nr, 1.5x1.3): nr x width x (3.05 - opening ht) x thickness share</t>
        </is>
      </c>
      <c r="D5017" s="248">
        <v>3</v>
      </c>
      <c r="E5017" s="247">
        <v>1.5</v>
      </c>
      <c r="F5017" s="247">
        <f>3.05-1.3</f>
        <v>1.7499999999999998</v>
      </c>
      <c r="G5017" s="247">
        <v>0.94</v>
      </c>
      <c r="H5017" s="249">
        <f>PRODUCT(D5017:G5017)</f>
        <v>7.402499999999999</v>
      </c>
      <c r="J5017" s="253" t="inlineStr">
        <is>
          <t xml:space="preserve">3*1.5*(3.05-1.3)*0.940</t>
        </is>
      </c>
    </row>
    <row r="5018">
      <c r="C5018" s="246" t="inlineStr">
        <is>
          <t xml:space="preserve">Walling over opening W12 (2 nr, 1.5x1.15): nr x width x (3.05 - opening ht) x thickness share</t>
        </is>
      </c>
      <c r="D5018" s="248">
        <v>2</v>
      </c>
      <c r="E5018" s="247">
        <v>1.5</v>
      </c>
      <c r="F5018" s="247">
        <f>3.05-1.15</f>
        <v>1.9</v>
      </c>
      <c r="G5018" s="247">
        <v>0.94</v>
      </c>
      <c r="H5018" s="249">
        <f>PRODUCT(D5018:G5018)</f>
        <v>5.357999999999999</v>
      </c>
      <c r="J5018" s="253" t="inlineStr">
        <is>
          <t xml:space="preserve">2*1.5*(3.05-1.15)*0.940</t>
        </is>
      </c>
    </row>
    <row r="5019">
      <c r="C5019" s="246" t="inlineStr">
        <is>
          <t xml:space="preserve">Walling over opening W15 (1 nr, 3x1.6): nr x width x (3.05 - opening ht) x thickness share</t>
        </is>
      </c>
      <c r="D5019" s="248">
        <v>1</v>
      </c>
      <c r="E5019" s="247">
        <v>3</v>
      </c>
      <c r="F5019" s="247">
        <f>3.05-1.6</f>
        <v>1.4499999999999997</v>
      </c>
      <c r="G5019" s="247">
        <v>0.94</v>
      </c>
      <c r="H5019" s="249">
        <f>PRODUCT(D5019:G5019)</f>
        <v>4.0889999999999995</v>
      </c>
      <c r="J5019" s="253" t="inlineStr">
        <is>
          <t xml:space="preserve">1*3*(3.05-1.6)*0.940</t>
        </is>
      </c>
    </row>
    <row r="5020">
      <c r="C5020" s="246" t="inlineStr">
        <is>
          <t xml:space="preserve">Walling over opening W17 (1 nr, 1.8x1.9): nr x width x (3.05 - opening ht) x thickness share</t>
        </is>
      </c>
      <c r="D5020" s="248">
        <v>1</v>
      </c>
      <c r="E5020" s="247">
        <v>1.8</v>
      </c>
      <c r="F5020" s="247">
        <f>3.05-1.9</f>
        <v>1.15</v>
      </c>
      <c r="G5020" s="247">
        <v>0.94</v>
      </c>
      <c r="H5020" s="249">
        <f>PRODUCT(D5020:G5020)</f>
        <v>1.9457999999999998</v>
      </c>
      <c r="J5020" s="253" t="inlineStr">
        <is>
          <t xml:space="preserve">1*1.8*(3.05-1.9)*0.940</t>
        </is>
      </c>
    </row>
    <row r="5021">
      <c r="C5021" s="246" t="inlineStr">
        <is>
          <t xml:space="preserve">Walling over opening HW1 (10 nr, 0.9x0.6): nr x width x (3.05 - opening ht) x thickness share</t>
        </is>
      </c>
      <c r="D5021" s="248">
        <v>10</v>
      </c>
      <c r="E5021" s="247">
        <v>0.9</v>
      </c>
      <c r="F5021" s="247">
        <f>3.05-0.6</f>
        <v>2.4499999999999997</v>
      </c>
      <c r="G5021" s="247">
        <v>0.94</v>
      </c>
      <c r="H5021" s="249">
        <f>PRODUCT(D5021:G5021)</f>
        <v>20.726999999999997</v>
      </c>
      <c r="J5021" s="253" t="inlineStr">
        <is>
          <t xml:space="preserve">10*0.9*(3.05-0.6)*0.940</t>
        </is>
      </c>
    </row>
    <row r="5022">
      <c r="C5022" s="246" t="inlineStr">
        <is>
          <t xml:space="preserve">Walling over opening HW2 (4 nr, 0.75x0.6): nr x width x (3.05 - opening ht) x thickness share</t>
        </is>
      </c>
      <c r="D5022" s="248">
        <v>4</v>
      </c>
      <c r="E5022" s="247">
        <v>0.75</v>
      </c>
      <c r="F5022" s="247">
        <f>3.05-0.6</f>
        <v>2.4499999999999997</v>
      </c>
      <c r="G5022" s="247">
        <v>0.94</v>
      </c>
      <c r="H5022" s="249">
        <f>PRODUCT(D5022:G5022)</f>
        <v>6.908999999999999</v>
      </c>
      <c r="J5022" s="253" t="inlineStr">
        <is>
          <t xml:space="preserve">4*0.75*(3.05-0.6)*0.940</t>
        </is>
      </c>
    </row>
    <row r="5023">
      <c r="C5023" s="246" t="inlineStr">
        <is>
          <t xml:space="preserve">Walling over opening HW3 (1 nr, 0.6x0.6): nr x width x (3.05 - opening ht) x thickness share</t>
        </is>
      </c>
      <c r="D5023" s="248">
        <v>1</v>
      </c>
      <c r="E5023" s="247">
        <v>0.6</v>
      </c>
      <c r="F5023" s="247">
        <f>3.05-0.6</f>
        <v>2.4499999999999997</v>
      </c>
      <c r="G5023" s="247">
        <v>0.94</v>
      </c>
      <c r="H5023" s="249">
        <f>PRODUCT(D5023:G5023)</f>
        <v>1.3817999999999997</v>
      </c>
      <c r="J5023" s="253" t="inlineStr">
        <is>
          <t xml:space="preserve">1*0.6*(3.05-0.6)*0.940</t>
        </is>
      </c>
    </row>
    <row r="5024">
      <c r="C5024" s="246" t="inlineStr">
        <is>
          <t xml:space="preserve">Walling over opening HW4 (1 nr, 1.2x0.6): nr x width x (3.05 - opening ht) x thickness share</t>
        </is>
      </c>
      <c r="D5024" s="248">
        <v>1</v>
      </c>
      <c r="E5024" s="247">
        <v>1.2</v>
      </c>
      <c r="F5024" s="247">
        <f>3.05-0.6</f>
        <v>2.4499999999999997</v>
      </c>
      <c r="G5024" s="247">
        <v>0.94</v>
      </c>
      <c r="H5024" s="249">
        <f>PRODUCT(D5024:G5024)</f>
        <v>2.7635999999999994</v>
      </c>
      <c r="J5024" s="253" t="inlineStr">
        <is>
          <t xml:space="preserve">1*1.2*(3.05-0.6)*0.940</t>
        </is>
      </c>
    </row>
    <row r="5025">
      <c r="C5025" s="250" t="inlineStr">
        <is>
          <t xml:space="preserve">Total carried to BOQ  9TH FLR item A</t>
        </is>
      </c>
      <c r="D5025" s="250" t="inlineStr">
        <is>
          <t xml:space="preserve"/>
        </is>
      </c>
      <c r="E5025" s="250" t="inlineStr">
        <is>
          <t xml:space="preserve"/>
        </is>
      </c>
      <c r="F5025" s="250" t="inlineStr">
        <is>
          <t xml:space="preserve"/>
        </is>
      </c>
      <c r="G5025" s="250" t="inlineStr">
        <is>
          <t xml:space="preserve"/>
        </is>
      </c>
      <c r="H5025" s="251">
        <f>SUM(H4994:H5024)</f>
        <v>1336.3859999999997</v>
      </c>
      <c r="I5025" s="252" t="inlineStr">
        <is>
          <t xml:space="preserve">m2</t>
        </is>
      </c>
    </row>
    <row r="5026">
      <c r="A5026" s="243" t="inlineStr">
        <is>
          <t xml:space="preserve">9TH FLR</t>
        </is>
      </c>
      <c r="B5026" s="243" t="inlineStr">
        <is>
          <t xml:space="preserve">B</t>
        </is>
      </c>
      <c r="C5026" s="244" t="inlineStr">
        <is>
          <t xml:space="preserve">200mm thick wall</t>
        </is>
      </c>
      <c r="I5026" s="245" t="inlineStr">
        <is>
          <t xml:space="preserve">m2</t>
        </is>
      </c>
      <c r="K5026" s="256" t="inlineStr">
        <is>
          <t xml:space="preserve">'9TH FLR    '!C100</t>
        </is>
      </c>
    </row>
    <row r="5027">
      <c r="C5027" s="246" t="inlineStr">
        <is>
          <t xml:space="preserve">Ninth floor - 200 blockwork: wall length x storey ht</t>
        </is>
      </c>
      <c r="E5027" s="247">
        <v>25.6</v>
      </c>
      <c r="F5027" s="247">
        <v>3.05</v>
      </c>
      <c r="H5027" s="249">
        <f>PRODUCT(D5027:G5027)</f>
        <v>78.08</v>
      </c>
      <c r="J5027" s="253" t="inlineStr">
        <is>
          <t xml:space="preserve">25.6*3.05</t>
        </is>
      </c>
    </row>
    <row r="5028">
      <c r="C5028" s="246" t="inlineStr">
        <is>
          <t xml:space="preserve">Walling over opening D2 (4 nr, 1x2.2): nr x width x (3.05 - opening ht) x thickness share</t>
        </is>
      </c>
      <c r="D5028" s="248">
        <v>4</v>
      </c>
      <c r="E5028" s="247">
        <v>1</v>
      </c>
      <c r="F5028" s="247">
        <f>3.05-2.2</f>
        <v>0.8499999999999996</v>
      </c>
      <c r="G5028" s="247">
        <v>0.06</v>
      </c>
      <c r="H5028" s="249">
        <f>PRODUCT(D5028:G5028)</f>
        <v>0.2039999999999999</v>
      </c>
      <c r="J5028" s="253" t="inlineStr">
        <is>
          <t xml:space="preserve">4*1*(3.05-2.2)*0.060</t>
        </is>
      </c>
    </row>
    <row r="5029">
      <c r="C5029" s="246" t="inlineStr">
        <is>
          <t xml:space="preserve">Walling over opening D3 (8 nr, 0.9x2.2): nr x width x (3.05 - opening ht) x thickness share</t>
        </is>
      </c>
      <c r="D5029" s="248">
        <v>8</v>
      </c>
      <c r="E5029" s="247">
        <v>0.9</v>
      </c>
      <c r="F5029" s="247">
        <f>3.05-2.2</f>
        <v>0.8499999999999996</v>
      </c>
      <c r="G5029" s="247">
        <v>0.06</v>
      </c>
      <c r="H5029" s="249">
        <f>PRODUCT(D5029:G5029)</f>
        <v>0.36719999999999986</v>
      </c>
      <c r="J5029" s="253" t="inlineStr">
        <is>
          <t xml:space="preserve">8*0.9*(3.05-2.2)*0.060</t>
        </is>
      </c>
    </row>
    <row r="5030">
      <c r="C5030" s="246" t="inlineStr">
        <is>
          <t xml:space="preserve">Walling over opening D6 (17 nr, 0.75x2.2): nr x width x (3.05 - opening ht) x thickness share</t>
        </is>
      </c>
      <c r="D5030" s="248">
        <v>17</v>
      </c>
      <c r="E5030" s="247">
        <v>0.75</v>
      </c>
      <c r="F5030" s="247">
        <f>3.05-2.2</f>
        <v>0.8499999999999996</v>
      </c>
      <c r="G5030" s="247">
        <v>0.06</v>
      </c>
      <c r="H5030" s="249">
        <f>PRODUCT(D5030:G5030)</f>
        <v>0.6502499999999997</v>
      </c>
      <c r="J5030" s="253" t="inlineStr">
        <is>
          <t xml:space="preserve">17*0.75*(3.05-2.2)*0.060</t>
        </is>
      </c>
    </row>
    <row r="5031">
      <c r="C5031" s="246" t="inlineStr">
        <is>
          <t xml:space="preserve">Walling over opening D7 (1 nr, 0.7x2.2): nr x width x (3.05 - opening ht) x thickness share</t>
        </is>
      </c>
      <c r="D5031" s="248">
        <v>1</v>
      </c>
      <c r="E5031" s="247">
        <v>0.7</v>
      </c>
      <c r="F5031" s="247">
        <f>3.05-2.2</f>
        <v>0.8499999999999996</v>
      </c>
      <c r="G5031" s="247">
        <v>0.06</v>
      </c>
      <c r="H5031" s="249">
        <f>PRODUCT(D5031:G5031)</f>
        <v>0.03569999999999998</v>
      </c>
      <c r="J5031" s="253" t="inlineStr">
        <is>
          <t xml:space="preserve">1*0.7*(3.05-2.2)*0.060</t>
        </is>
      </c>
    </row>
    <row r="5032">
      <c r="C5032" s="246" t="inlineStr">
        <is>
          <t xml:space="preserve">Walling over opening D8 (2 nr, 1.2x2.2): nr x width x (3.05 - opening ht) x thickness share</t>
        </is>
      </c>
      <c r="D5032" s="248">
        <v>2</v>
      </c>
      <c r="E5032" s="247">
        <v>1.2</v>
      </c>
      <c r="F5032" s="247">
        <f>3.05-2.2</f>
        <v>0.8499999999999996</v>
      </c>
      <c r="G5032" s="247">
        <v>0.06</v>
      </c>
      <c r="H5032" s="249">
        <f>PRODUCT(D5032:G5032)</f>
        <v>0.12239999999999994</v>
      </c>
      <c r="J5032" s="253" t="inlineStr">
        <is>
          <t xml:space="preserve">2*1.2*(3.05-2.2)*0.060</t>
        </is>
      </c>
    </row>
    <row r="5033">
      <c r="C5033" s="246" t="inlineStr">
        <is>
          <t xml:space="preserve">Walling over opening ED1 (2 nr, 1x2.2): nr x width x (3.05 - opening ht) x thickness share</t>
        </is>
      </c>
      <c r="D5033" s="248">
        <v>2</v>
      </c>
      <c r="E5033" s="247">
        <v>1</v>
      </c>
      <c r="F5033" s="247">
        <f>3.05-2.2</f>
        <v>0.8499999999999996</v>
      </c>
      <c r="G5033" s="247">
        <v>0.06</v>
      </c>
      <c r="H5033" s="249">
        <f>PRODUCT(D5033:G5033)</f>
        <v>0.10199999999999995</v>
      </c>
      <c r="J5033" s="253" t="inlineStr">
        <is>
          <t xml:space="preserve">2*1*(3.05-2.2)*0.060</t>
        </is>
      </c>
    </row>
    <row r="5034">
      <c r="C5034" s="246" t="inlineStr">
        <is>
          <t xml:space="preserve">Walling over opening ED2 (2 nr, 1x2.2): nr x width x (3.05 - opening ht) x thickness share</t>
        </is>
      </c>
      <c r="D5034" s="248">
        <v>2</v>
      </c>
      <c r="E5034" s="247">
        <v>1</v>
      </c>
      <c r="F5034" s="247">
        <f>3.05-2.2</f>
        <v>0.8499999999999996</v>
      </c>
      <c r="G5034" s="247">
        <v>0.06</v>
      </c>
      <c r="H5034" s="249">
        <f>PRODUCT(D5034:G5034)</f>
        <v>0.10199999999999995</v>
      </c>
      <c r="J5034" s="253" t="inlineStr">
        <is>
          <t xml:space="preserve">2*1*(3.05-2.2)*0.060</t>
        </is>
      </c>
    </row>
    <row r="5035">
      <c r="C5035" s="246" t="inlineStr">
        <is>
          <t xml:space="preserve">Walling over opening D9 (1 nr, 0.9x2.2): nr x width x (3.05 - opening ht) x thickness share</t>
        </is>
      </c>
      <c r="D5035" s="248">
        <v>1</v>
      </c>
      <c r="E5035" s="247">
        <v>0.9</v>
      </c>
      <c r="F5035" s="247">
        <f>3.05-2.2</f>
        <v>0.8499999999999996</v>
      </c>
      <c r="G5035" s="247">
        <v>0.06</v>
      </c>
      <c r="H5035" s="249">
        <f>PRODUCT(D5035:G5035)</f>
        <v>0.04589999999999998</v>
      </c>
      <c r="J5035" s="253" t="inlineStr">
        <is>
          <t xml:space="preserve">1*0.9*(3.05-2.2)*0.060</t>
        </is>
      </c>
    </row>
    <row r="5036">
      <c r="C5036" s="246" t="inlineStr">
        <is>
          <t xml:space="preserve">Walling over opening M1 (2 nr, 0.9x2.2): nr x width x (3.05 - opening ht) x thickness share</t>
        </is>
      </c>
      <c r="D5036" s="248">
        <v>2</v>
      </c>
      <c r="E5036" s="247">
        <v>0.9</v>
      </c>
      <c r="F5036" s="247">
        <f>3.05-2.2</f>
        <v>0.8499999999999996</v>
      </c>
      <c r="G5036" s="247">
        <v>0.06</v>
      </c>
      <c r="H5036" s="249">
        <f>PRODUCT(D5036:G5036)</f>
        <v>0.09179999999999996</v>
      </c>
      <c r="J5036" s="253" t="inlineStr">
        <is>
          <t xml:space="preserve">2*0.9*(3.05-2.2)*0.060</t>
        </is>
      </c>
    </row>
    <row r="5037">
      <c r="C5037" s="246" t="inlineStr">
        <is>
          <t xml:space="preserve">Walling over opening M2 (4 nr, 0.75x2.2): nr x width x (3.05 - opening ht) x thickness share</t>
        </is>
      </c>
      <c r="D5037" s="248">
        <v>4</v>
      </c>
      <c r="E5037" s="247">
        <v>0.75</v>
      </c>
      <c r="F5037" s="247">
        <f>3.05-2.2</f>
        <v>0.8499999999999996</v>
      </c>
      <c r="G5037" s="247">
        <v>0.06</v>
      </c>
      <c r="H5037" s="249">
        <f>PRODUCT(D5037:G5037)</f>
        <v>0.15299999999999994</v>
      </c>
      <c r="J5037" s="253" t="inlineStr">
        <is>
          <t xml:space="preserve">4*0.75*(3.05-2.2)*0.060</t>
        </is>
      </c>
    </row>
    <row r="5038">
      <c r="C5038" s="246" t="inlineStr">
        <is>
          <t xml:space="preserve">Walling over opening M3 (1 nr, 0.45x2.2): nr x width x (3.05 - opening ht) x thickness share</t>
        </is>
      </c>
      <c r="D5038" s="248">
        <v>1</v>
      </c>
      <c r="E5038" s="247">
        <v>0.45</v>
      </c>
      <c r="F5038" s="247">
        <f>3.05-2.2</f>
        <v>0.8499999999999996</v>
      </c>
      <c r="G5038" s="247">
        <v>0.06</v>
      </c>
      <c r="H5038" s="249">
        <f>PRODUCT(D5038:G5038)</f>
        <v>0.02294999999999999</v>
      </c>
      <c r="J5038" s="253" t="inlineStr">
        <is>
          <t xml:space="preserve">1*0.45*(3.05-2.2)*0.060</t>
        </is>
      </c>
    </row>
    <row r="5039">
      <c r="C5039" s="246" t="inlineStr">
        <is>
          <t xml:space="preserve">Walling over opening M5 (3 nr, 0.6x2.2): nr x width x (3.05 - opening ht) x thickness share</t>
        </is>
      </c>
      <c r="D5039" s="248">
        <v>3</v>
      </c>
      <c r="E5039" s="247">
        <v>0.6</v>
      </c>
      <c r="F5039" s="247">
        <f>3.05-2.2</f>
        <v>0.8499999999999996</v>
      </c>
      <c r="G5039" s="247">
        <v>0.06</v>
      </c>
      <c r="H5039" s="249">
        <f>PRODUCT(D5039:G5039)</f>
        <v>0.09179999999999995</v>
      </c>
      <c r="J5039" s="253" t="inlineStr">
        <is>
          <t xml:space="preserve">3*0.6*(3.05-2.2)*0.060</t>
        </is>
      </c>
    </row>
    <row r="5040">
      <c r="C5040" s="246" t="inlineStr">
        <is>
          <t xml:space="preserve">Walling over opening SD1 (1 nr, 3x2.2): nr x width x (3.05 - opening ht) x thickness share</t>
        </is>
      </c>
      <c r="D5040" s="248">
        <v>1</v>
      </c>
      <c r="E5040" s="247">
        <v>3</v>
      </c>
      <c r="F5040" s="247">
        <f>3.05-2.2</f>
        <v>0.8499999999999996</v>
      </c>
      <c r="G5040" s="247">
        <v>0.06</v>
      </c>
      <c r="H5040" s="249">
        <f>PRODUCT(D5040:G5040)</f>
        <v>0.15299999999999994</v>
      </c>
      <c r="J5040" s="253" t="inlineStr">
        <is>
          <t xml:space="preserve">1*3*(3.05-2.2)*0.060</t>
        </is>
      </c>
    </row>
    <row r="5041">
      <c r="C5041" s="246" t="inlineStr">
        <is>
          <t xml:space="preserve">Walling over opening SD2 (2 nr, 1.6x2.2): nr x width x (3.05 - opening ht) x thickness share</t>
        </is>
      </c>
      <c r="D5041" s="248">
        <v>2</v>
      </c>
      <c r="E5041" s="247">
        <v>1.6</v>
      </c>
      <c r="F5041" s="247">
        <f>3.05-2.2</f>
        <v>0.8499999999999996</v>
      </c>
      <c r="G5041" s="247">
        <v>0.06</v>
      </c>
      <c r="H5041" s="249">
        <f>PRODUCT(D5041:G5041)</f>
        <v>0.16319999999999993</v>
      </c>
      <c r="J5041" s="253" t="inlineStr">
        <is>
          <t xml:space="preserve">2*1.6*(3.05-2.2)*0.060</t>
        </is>
      </c>
    </row>
    <row r="5042">
      <c r="C5042" s="246" t="inlineStr">
        <is>
          <t xml:space="preserve">Walling over opening SD3 (1 nr, 1.3x2.2): nr x width x (3.05 - opening ht) x thickness share</t>
        </is>
      </c>
      <c r="D5042" s="248">
        <v>1</v>
      </c>
      <c r="E5042" s="247">
        <v>1.3</v>
      </c>
      <c r="F5042" s="247">
        <f>3.05-2.2</f>
        <v>0.8499999999999996</v>
      </c>
      <c r="G5042" s="247">
        <v>0.06</v>
      </c>
      <c r="H5042" s="249">
        <f>PRODUCT(D5042:G5042)</f>
        <v>0.06629999999999997</v>
      </c>
      <c r="J5042" s="253" t="inlineStr">
        <is>
          <t xml:space="preserve">1*1.3*(3.05-2.2)*0.060</t>
        </is>
      </c>
    </row>
    <row r="5043">
      <c r="C5043" s="246" t="inlineStr">
        <is>
          <t xml:space="preserve">Walling over opening SD4 (2 nr, 1.8x2.2): nr x width x (3.05 - opening ht) x thickness share</t>
        </is>
      </c>
      <c r="D5043" s="248">
        <v>2</v>
      </c>
      <c r="E5043" s="247">
        <v>1.8</v>
      </c>
      <c r="F5043" s="247">
        <f>3.05-2.2</f>
        <v>0.8499999999999996</v>
      </c>
      <c r="G5043" s="247">
        <v>0.06</v>
      </c>
      <c r="H5043" s="249">
        <f>PRODUCT(D5043:G5043)</f>
        <v>0.18359999999999993</v>
      </c>
      <c r="J5043" s="253" t="inlineStr">
        <is>
          <t xml:space="preserve">2*1.8*(3.05-2.2)*0.060</t>
        </is>
      </c>
    </row>
    <row r="5044">
      <c r="C5044" s="246" t="inlineStr">
        <is>
          <t xml:space="preserve">Walling over opening W2 (3 nr, 1.8x1.3): nr x width x (3.05 - opening ht) x thickness share</t>
        </is>
      </c>
      <c r="D5044" s="248">
        <v>3</v>
      </c>
      <c r="E5044" s="247">
        <v>1.8</v>
      </c>
      <c r="F5044" s="247">
        <f>3.05-1.3</f>
        <v>1.7499999999999998</v>
      </c>
      <c r="G5044" s="247">
        <v>0.06</v>
      </c>
      <c r="H5044" s="249">
        <f>PRODUCT(D5044:G5044)</f>
        <v>0.567</v>
      </c>
      <c r="J5044" s="253" t="inlineStr">
        <is>
          <t xml:space="preserve">3*1.8*(3.05-1.3)*0.060</t>
        </is>
      </c>
    </row>
    <row r="5045">
      <c r="C5045" s="246" t="inlineStr">
        <is>
          <t xml:space="preserve">Walling over opening W4 (6 nr, 0.9x1.3): nr x width x (3.05 - opening ht) x thickness share</t>
        </is>
      </c>
      <c r="D5045" s="248">
        <v>6</v>
      </c>
      <c r="E5045" s="247">
        <v>0.9</v>
      </c>
      <c r="F5045" s="247">
        <f>3.05-1.3</f>
        <v>1.7499999999999998</v>
      </c>
      <c r="G5045" s="247">
        <v>0.06</v>
      </c>
      <c r="H5045" s="249">
        <f>PRODUCT(D5045:G5045)</f>
        <v>0.567</v>
      </c>
      <c r="J5045" s="253" t="inlineStr">
        <is>
          <t xml:space="preserve">6*0.9*(3.05-1.3)*0.060</t>
        </is>
      </c>
    </row>
    <row r="5046">
      <c r="C5046" s="246" t="inlineStr">
        <is>
          <t xml:space="preserve">Walling over opening W7 (1 nr, 1.8x1.6): nr x width x (3.05 - opening ht) x thickness share</t>
        </is>
      </c>
      <c r="D5046" s="248">
        <v>1</v>
      </c>
      <c r="E5046" s="247">
        <v>1.8</v>
      </c>
      <c r="F5046" s="247">
        <f>3.05-1.6</f>
        <v>1.4499999999999997</v>
      </c>
      <c r="G5046" s="247">
        <v>0.06</v>
      </c>
      <c r="H5046" s="249">
        <f>PRODUCT(D5046:G5046)</f>
        <v>0.15659999999999996</v>
      </c>
      <c r="J5046" s="253" t="inlineStr">
        <is>
          <t xml:space="preserve">1*1.8*(3.05-1.6)*0.060</t>
        </is>
      </c>
    </row>
    <row r="5047">
      <c r="C5047" s="246" t="inlineStr">
        <is>
          <t xml:space="preserve">Walling over opening W8 (1 nr, 1.2x1.9): nr x width x (3.05 - opening ht) x thickness share</t>
        </is>
      </c>
      <c r="D5047" s="248">
        <v>1</v>
      </c>
      <c r="E5047" s="247">
        <v>1.2</v>
      </c>
      <c r="F5047" s="247">
        <f>3.05-1.9</f>
        <v>1.15</v>
      </c>
      <c r="G5047" s="247">
        <v>0.06</v>
      </c>
      <c r="H5047" s="249">
        <f>PRODUCT(D5047:G5047)</f>
        <v>0.08279999999999998</v>
      </c>
      <c r="J5047" s="253" t="inlineStr">
        <is>
          <t xml:space="preserve">1*1.2*(3.05-1.9)*0.060</t>
        </is>
      </c>
    </row>
    <row r="5048">
      <c r="C5048" s="246" t="inlineStr">
        <is>
          <t xml:space="preserve">Walling over opening W9 (5 nr, 1.2x1.15): nr x width x (3.05 - opening ht) x thickness share</t>
        </is>
      </c>
      <c r="D5048" s="248">
        <v>5</v>
      </c>
      <c r="E5048" s="247">
        <v>1.2</v>
      </c>
      <c r="F5048" s="247">
        <f>3.05-1.15</f>
        <v>1.9</v>
      </c>
      <c r="G5048" s="247">
        <v>0.06</v>
      </c>
      <c r="H5048" s="249">
        <f>PRODUCT(D5048:G5048)</f>
        <v>0.6839999999999999</v>
      </c>
      <c r="J5048" s="253" t="inlineStr">
        <is>
          <t xml:space="preserve">5*1.2*(3.05-1.15)*0.060</t>
        </is>
      </c>
    </row>
    <row r="5049">
      <c r="C5049" s="246" t="inlineStr">
        <is>
          <t xml:space="preserve">Walling over opening W10 (1 nr, 1.2x1.2): nr x width x (3.05 - opening ht) x thickness share</t>
        </is>
      </c>
      <c r="D5049" s="248">
        <v>1</v>
      </c>
      <c r="E5049" s="247">
        <v>1.2</v>
      </c>
      <c r="F5049" s="247">
        <f>3.05-1.2</f>
        <v>1.8499999999999999</v>
      </c>
      <c r="G5049" s="247">
        <v>0.06</v>
      </c>
      <c r="H5049" s="249">
        <f>PRODUCT(D5049:G5049)</f>
        <v>0.13319999999999999</v>
      </c>
      <c r="J5049" s="253" t="inlineStr">
        <is>
          <t xml:space="preserve">1*1.2*(3.05-1.2)*0.060</t>
        </is>
      </c>
    </row>
    <row r="5050">
      <c r="C5050" s="246" t="inlineStr">
        <is>
          <t xml:space="preserve">Walling over opening W11 (3 nr, 1.5x1.3): nr x width x (3.05 - opening ht) x thickness share</t>
        </is>
      </c>
      <c r="D5050" s="248">
        <v>3</v>
      </c>
      <c r="E5050" s="247">
        <v>1.5</v>
      </c>
      <c r="F5050" s="247">
        <f>3.05-1.3</f>
        <v>1.7499999999999998</v>
      </c>
      <c r="G5050" s="247">
        <v>0.06</v>
      </c>
      <c r="H5050" s="249">
        <f>PRODUCT(D5050:G5050)</f>
        <v>0.4724999999999999</v>
      </c>
      <c r="J5050" s="253" t="inlineStr">
        <is>
          <t xml:space="preserve">3*1.5*(3.05-1.3)*0.060</t>
        </is>
      </c>
    </row>
    <row r="5051">
      <c r="C5051" s="246" t="inlineStr">
        <is>
          <t xml:space="preserve">Walling over opening W12 (2 nr, 1.5x1.15): nr x width x (3.05 - opening ht) x thickness share</t>
        </is>
      </c>
      <c r="D5051" s="248">
        <v>2</v>
      </c>
      <c r="E5051" s="247">
        <v>1.5</v>
      </c>
      <c r="F5051" s="247">
        <f>3.05-1.15</f>
        <v>1.9</v>
      </c>
      <c r="G5051" s="247">
        <v>0.06</v>
      </c>
      <c r="H5051" s="249">
        <f>PRODUCT(D5051:G5051)</f>
        <v>0.34199999999999997</v>
      </c>
      <c r="J5051" s="253" t="inlineStr">
        <is>
          <t xml:space="preserve">2*1.5*(3.05-1.15)*0.060</t>
        </is>
      </c>
    </row>
    <row r="5052">
      <c r="C5052" s="246" t="inlineStr">
        <is>
          <t xml:space="preserve">Walling over opening W15 (1 nr, 3x1.6): nr x width x (3.05 - opening ht) x thickness share</t>
        </is>
      </c>
      <c r="D5052" s="248">
        <v>1</v>
      </c>
      <c r="E5052" s="247">
        <v>3</v>
      </c>
      <c r="F5052" s="247">
        <f>3.05-1.6</f>
        <v>1.4499999999999997</v>
      </c>
      <c r="G5052" s="247">
        <v>0.06</v>
      </c>
      <c r="H5052" s="249">
        <f>PRODUCT(D5052:G5052)</f>
        <v>0.26099999999999995</v>
      </c>
      <c r="J5052" s="253" t="inlineStr">
        <is>
          <t xml:space="preserve">1*3*(3.05-1.6)*0.060</t>
        </is>
      </c>
    </row>
    <row r="5053">
      <c r="C5053" s="246" t="inlineStr">
        <is>
          <t xml:space="preserve">Walling over opening W17 (1 nr, 1.8x1.9): nr x width x (3.05 - opening ht) x thickness share</t>
        </is>
      </c>
      <c r="D5053" s="248">
        <v>1</v>
      </c>
      <c r="E5053" s="247">
        <v>1.8</v>
      </c>
      <c r="F5053" s="247">
        <f>3.05-1.9</f>
        <v>1.15</v>
      </c>
      <c r="G5053" s="247">
        <v>0.06</v>
      </c>
      <c r="H5053" s="249">
        <f>PRODUCT(D5053:G5053)</f>
        <v>0.12419999999999999</v>
      </c>
      <c r="J5053" s="253" t="inlineStr">
        <is>
          <t xml:space="preserve">1*1.8*(3.05-1.9)*0.060</t>
        </is>
      </c>
    </row>
    <row r="5054">
      <c r="C5054" s="246" t="inlineStr">
        <is>
          <t xml:space="preserve">Walling over opening HW1 (10 nr, 0.9x0.6): nr x width x (3.05 - opening ht) x thickness share</t>
        </is>
      </c>
      <c r="D5054" s="248">
        <v>10</v>
      </c>
      <c r="E5054" s="247">
        <v>0.9</v>
      </c>
      <c r="F5054" s="247">
        <f>3.05-0.6</f>
        <v>2.4499999999999997</v>
      </c>
      <c r="G5054" s="247">
        <v>0.06</v>
      </c>
      <c r="H5054" s="249">
        <f>PRODUCT(D5054:G5054)</f>
        <v>1.3229999999999997</v>
      </c>
      <c r="J5054" s="253" t="inlineStr">
        <is>
          <t xml:space="preserve">10*0.9*(3.05-0.6)*0.060</t>
        </is>
      </c>
    </row>
    <row r="5055">
      <c r="C5055" s="246" t="inlineStr">
        <is>
          <t xml:space="preserve">Walling over opening HW2 (4 nr, 0.75x0.6): nr x width x (3.05 - opening ht) x thickness share</t>
        </is>
      </c>
      <c r="D5055" s="248">
        <v>4</v>
      </c>
      <c r="E5055" s="247">
        <v>0.75</v>
      </c>
      <c r="F5055" s="247">
        <f>3.05-0.6</f>
        <v>2.4499999999999997</v>
      </c>
      <c r="G5055" s="247">
        <v>0.06</v>
      </c>
      <c r="H5055" s="249">
        <f>PRODUCT(D5055:G5055)</f>
        <v>0.44099999999999995</v>
      </c>
      <c r="J5055" s="253" t="inlineStr">
        <is>
          <t xml:space="preserve">4*0.75*(3.05-0.6)*0.060</t>
        </is>
      </c>
    </row>
    <row r="5056">
      <c r="C5056" s="246" t="inlineStr">
        <is>
          <t xml:space="preserve">Walling over opening HW3 (1 nr, 0.6x0.6): nr x width x (3.05 - opening ht) x thickness share</t>
        </is>
      </c>
      <c r="D5056" s="248">
        <v>1</v>
      </c>
      <c r="E5056" s="247">
        <v>0.6</v>
      </c>
      <c r="F5056" s="247">
        <f>3.05-0.6</f>
        <v>2.4499999999999997</v>
      </c>
      <c r="G5056" s="247">
        <v>0.06</v>
      </c>
      <c r="H5056" s="249">
        <f>PRODUCT(D5056:G5056)</f>
        <v>0.08819999999999999</v>
      </c>
      <c r="J5056" s="253" t="inlineStr">
        <is>
          <t xml:space="preserve">1*0.6*(3.05-0.6)*0.060</t>
        </is>
      </c>
    </row>
    <row r="5057">
      <c r="C5057" s="246" t="inlineStr">
        <is>
          <t xml:space="preserve">Walling over opening HW4 (1 nr, 1.2x0.6): nr x width x (3.05 - opening ht) x thickness share</t>
        </is>
      </c>
      <c r="D5057" s="248">
        <v>1</v>
      </c>
      <c r="E5057" s="247">
        <v>1.2</v>
      </c>
      <c r="F5057" s="247">
        <f>3.05-0.6</f>
        <v>2.4499999999999997</v>
      </c>
      <c r="G5057" s="247">
        <v>0.06</v>
      </c>
      <c r="H5057" s="249">
        <f>PRODUCT(D5057:G5057)</f>
        <v>0.17639999999999997</v>
      </c>
      <c r="J5057" s="253" t="inlineStr">
        <is>
          <t xml:space="preserve">1*1.2*(3.05-0.6)*0.060</t>
        </is>
      </c>
    </row>
    <row r="5058">
      <c r="C5058" s="250" t="inlineStr">
        <is>
          <t xml:space="preserve">Total carried to BOQ  9TH FLR item B</t>
        </is>
      </c>
      <c r="D5058" s="250" t="inlineStr">
        <is>
          <t xml:space="preserve"/>
        </is>
      </c>
      <c r="E5058" s="250" t="inlineStr">
        <is>
          <t xml:space="preserve"/>
        </is>
      </c>
      <c r="F5058" s="250" t="inlineStr">
        <is>
          <t xml:space="preserve"/>
        </is>
      </c>
      <c r="G5058" s="250" t="inlineStr">
        <is>
          <t xml:space="preserve"/>
        </is>
      </c>
      <c r="H5058" s="251">
        <f>SUM(H5027:H5057)</f>
        <v>86.054</v>
      </c>
      <c r="I5058" s="252" t="inlineStr">
        <is>
          <t xml:space="preserve">m2</t>
        </is>
      </c>
    </row>
    <row r="5059">
      <c r="C5059" s="242" t="inlineStr">
        <is>
          <t xml:space="preserve">ELEMENT NO. 3: WATERPROOFING</t>
        </is>
      </c>
    </row>
    <row r="5060">
      <c r="C5060" s="242" t="inlineStr">
        <is>
          <t xml:space="preserve">WATERPROOFING</t>
        </is>
      </c>
    </row>
    <row r="5061">
      <c r="A5061" s="243" t="inlineStr">
        <is>
          <t xml:space="preserve">9TH FLR</t>
        </is>
      </c>
      <c r="B5061" s="243" t="inlineStr">
        <is>
          <t xml:space="preserve">A</t>
        </is>
      </c>
      <c r="C5061" s="244" t="inlineStr">
        <is>
          <t xml:space="preserve">Liquid/applied waterproofing to roofs, terraces and wet external areas</t>
        </is>
      </c>
      <c r="I5061" s="245" t="inlineStr">
        <is>
          <t xml:space="preserve">m2</t>
        </is>
      </c>
      <c r="K5061" s="256" t="inlineStr">
        <is>
          <t xml:space="preserve">'9TH FLR    '!C108</t>
        </is>
      </c>
    </row>
    <row r="5062">
      <c r="C5062" s="246" t="inlineStr">
        <is>
          <t xml:space="preserve">Waterproofing screed area</t>
        </is>
      </c>
      <c r="H5062" s="247">
        <v>337.4</v>
      </c>
      <c r="J5062" s="253" t="inlineStr">
        <is>
          <t xml:space="preserve">337.4</t>
        </is>
      </c>
    </row>
    <row r="5063">
      <c r="C5063" s="250" t="inlineStr">
        <is>
          <t xml:space="preserve">Total carried to BOQ  9TH FLR item A</t>
        </is>
      </c>
      <c r="D5063" s="250" t="inlineStr">
        <is>
          <t xml:space="preserve"/>
        </is>
      </c>
      <c r="E5063" s="250" t="inlineStr">
        <is>
          <t xml:space="preserve"/>
        </is>
      </c>
      <c r="F5063" s="250" t="inlineStr">
        <is>
          <t xml:space="preserve"/>
        </is>
      </c>
      <c r="G5063" s="250" t="inlineStr">
        <is>
          <t xml:space="preserve"/>
        </is>
      </c>
      <c r="H5063" s="251">
        <f>SUM(H5062:H5062)</f>
        <v>337.4</v>
      </c>
      <c r="I5063" s="252" t="inlineStr">
        <is>
          <t xml:space="preserve">m2</t>
        </is>
      </c>
    </row>
    <row r="5064">
      <c r="A5064" s="243" t="inlineStr">
        <is>
          <t xml:space="preserve">9TH FLR</t>
        </is>
      </c>
      <c r="B5064" s="243" t="inlineStr">
        <is>
          <t xml:space="preserve">B</t>
        </is>
      </c>
      <c r="C5064" s="244" t="inlineStr">
        <is>
          <t xml:space="preserve">Protective cement-sand screed over waterproofing</t>
        </is>
      </c>
      <c r="I5064" s="245" t="inlineStr">
        <is>
          <t xml:space="preserve">m2</t>
        </is>
      </c>
      <c r="K5064" s="256" t="inlineStr">
        <is>
          <t xml:space="preserve">'9TH FLR    '!C110</t>
        </is>
      </c>
    </row>
    <row r="5065">
      <c r="C5065" s="246" t="inlineStr">
        <is>
          <t xml:space="preserve">Waterproofing screed area</t>
        </is>
      </c>
      <c r="H5065" s="247">
        <v>337.4</v>
      </c>
      <c r="J5065" s="253" t="inlineStr">
        <is>
          <t xml:space="preserve">337.4</t>
        </is>
      </c>
    </row>
    <row r="5066">
      <c r="C5066" s="250" t="inlineStr">
        <is>
          <t xml:space="preserve">Total carried to BOQ  9TH FLR item B</t>
        </is>
      </c>
      <c r="D5066" s="250" t="inlineStr">
        <is>
          <t xml:space="preserve"/>
        </is>
      </c>
      <c r="E5066" s="250" t="inlineStr">
        <is>
          <t xml:space="preserve"/>
        </is>
      </c>
      <c r="F5066" s="250" t="inlineStr">
        <is>
          <t xml:space="preserve"/>
        </is>
      </c>
      <c r="G5066" s="250" t="inlineStr">
        <is>
          <t xml:space="preserve"/>
        </is>
      </c>
      <c r="H5066" s="251">
        <f>SUM(H5065:H5065)</f>
        <v>337.4</v>
      </c>
      <c r="I5066" s="252" t="inlineStr">
        <is>
          <t xml:space="preserve">m2</t>
        </is>
      </c>
    </row>
    <row r="5067">
      <c r="C5067" s="242" t="inlineStr">
        <is>
          <t xml:space="preserve">ELEMENT NO. 4: WINDOWS/DOORS</t>
        </is>
      </c>
    </row>
    <row r="5068">
      <c r="C5068" s="242" t="inlineStr">
        <is>
          <t xml:space="preserve">L20 DOORS - Supply and fix the following door assemblies complete with frames, ironmongery sets to steel doors and all accessories:</t>
        </is>
      </c>
    </row>
    <row r="5069" ht="32.2" customHeight="1">
      <c r="A5069" s="243" t="inlineStr">
        <is>
          <t xml:space="preserve">9TH FLR</t>
        </is>
      </c>
      <c r="B5069" s="243" t="inlineStr">
        <is>
          <t xml:space="preserve">A</t>
        </is>
      </c>
      <c r="C5069" s="244" t="inlineStr">
        <is>
          <t xml:space="preserve">1000mm x 2200mm 1-hour fire-rated galvanised steel single-leaf security door assembly (D2)</t>
        </is>
      </c>
      <c r="I5069" s="245" t="inlineStr">
        <is>
          <t xml:space="preserve">nr</t>
        </is>
      </c>
      <c r="K5069" s="256" t="inlineStr">
        <is>
          <t xml:space="preserve">'9TH FLR    '!C119</t>
        </is>
      </c>
    </row>
    <row r="5070">
      <c r="C5070" s="246" t="inlineStr">
        <is>
          <t xml:space="preserve">Ninth floor - HW2</t>
        </is>
      </c>
      <c r="H5070" s="247">
        <v>4</v>
      </c>
      <c r="J5070" s="253" t="inlineStr">
        <is>
          <t xml:space="preserve">4</t>
        </is>
      </c>
    </row>
    <row r="5071">
      <c r="C5071" s="250" t="inlineStr">
        <is>
          <t xml:space="preserve">Total carried to BOQ  9TH FLR item A</t>
        </is>
      </c>
      <c r="D5071" s="250" t="inlineStr">
        <is>
          <t xml:space="preserve"/>
        </is>
      </c>
      <c r="E5071" s="250" t="inlineStr">
        <is>
          <t xml:space="preserve"/>
        </is>
      </c>
      <c r="F5071" s="250" t="inlineStr">
        <is>
          <t xml:space="preserve"/>
        </is>
      </c>
      <c r="G5071" s="250" t="inlineStr">
        <is>
          <t xml:space="preserve"/>
        </is>
      </c>
      <c r="H5071" s="251">
        <f>SUM(H5070:H5070)</f>
        <v>4</v>
      </c>
      <c r="I5071" s="252" t="inlineStr">
        <is>
          <t xml:space="preserve">nr</t>
        </is>
      </c>
    </row>
    <row r="5072">
      <c r="A5072" s="243" t="inlineStr">
        <is>
          <t xml:space="preserve">9TH FLR</t>
        </is>
      </c>
      <c r="B5072" s="243" t="inlineStr">
        <is>
          <t xml:space="preserve">B</t>
        </is>
      </c>
      <c r="C5072" s="244" t="inlineStr">
        <is>
          <t xml:space="preserve">900mm x 2200mm single leaf timber panel door (D3)</t>
        </is>
      </c>
      <c r="I5072" s="245" t="inlineStr">
        <is>
          <t xml:space="preserve">nr</t>
        </is>
      </c>
      <c r="K5072" s="256" t="inlineStr">
        <is>
          <t xml:space="preserve">'9TH FLR    '!C121</t>
        </is>
      </c>
    </row>
    <row r="5073">
      <c r="C5073" s="246" t="inlineStr">
        <is>
          <t xml:space="preserve">Ninth floor - D3/D4 doors</t>
        </is>
      </c>
      <c r="H5073" s="247">
        <v>8</v>
      </c>
      <c r="J5073" s="253" t="inlineStr">
        <is>
          <t xml:space="preserve">8</t>
        </is>
      </c>
    </row>
    <row r="5074">
      <c r="C5074" s="250" t="inlineStr">
        <is>
          <t xml:space="preserve">Total carried to BOQ  9TH FLR item B</t>
        </is>
      </c>
      <c r="D5074" s="250" t="inlineStr">
        <is>
          <t xml:space="preserve"/>
        </is>
      </c>
      <c r="E5074" s="250" t="inlineStr">
        <is>
          <t xml:space="preserve"/>
        </is>
      </c>
      <c r="F5074" s="250" t="inlineStr">
        <is>
          <t xml:space="preserve"/>
        </is>
      </c>
      <c r="G5074" s="250" t="inlineStr">
        <is>
          <t xml:space="preserve"/>
        </is>
      </c>
      <c r="H5074" s="251">
        <f>SUM(H5073:H5073)</f>
        <v>8</v>
      </c>
      <c r="I5074" s="252" t="inlineStr">
        <is>
          <t xml:space="preserve">nr</t>
        </is>
      </c>
    </row>
    <row r="5075">
      <c r="A5075" s="243" t="inlineStr">
        <is>
          <t xml:space="preserve">9TH FLR</t>
        </is>
      </c>
      <c r="B5075" s="243" t="inlineStr">
        <is>
          <t xml:space="preserve">C</t>
        </is>
      </c>
      <c r="C5075" s="244" t="inlineStr">
        <is>
          <t xml:space="preserve">750mm x 2200mm single leaf timber flush door (D6)</t>
        </is>
      </c>
      <c r="I5075" s="245" t="inlineStr">
        <is>
          <t xml:space="preserve">nr</t>
        </is>
      </c>
      <c r="K5075" s="256" t="inlineStr">
        <is>
          <t xml:space="preserve">'9TH FLR    '!C123</t>
        </is>
      </c>
    </row>
    <row r="5076">
      <c r="C5076" s="246" t="inlineStr">
        <is>
          <t xml:space="preserve">Ninth floor - D6 doors</t>
        </is>
      </c>
      <c r="H5076" s="247">
        <v>17</v>
      </c>
      <c r="J5076" s="253" t="inlineStr">
        <is>
          <t xml:space="preserve">17</t>
        </is>
      </c>
    </row>
    <row r="5077">
      <c r="C5077" s="250" t="inlineStr">
        <is>
          <t xml:space="preserve">Total carried to BOQ  9TH FLR item C</t>
        </is>
      </c>
      <c r="D5077" s="250" t="inlineStr">
        <is>
          <t xml:space="preserve"/>
        </is>
      </c>
      <c r="E5077" s="250" t="inlineStr">
        <is>
          <t xml:space="preserve"/>
        </is>
      </c>
      <c r="F5077" s="250" t="inlineStr">
        <is>
          <t xml:space="preserve"/>
        </is>
      </c>
      <c r="G5077" s="250" t="inlineStr">
        <is>
          <t xml:space="preserve"/>
        </is>
      </c>
      <c r="H5077" s="251">
        <f>SUM(H5076:H5076)</f>
        <v>17</v>
      </c>
      <c r="I5077" s="252" t="inlineStr">
        <is>
          <t xml:space="preserve">nr</t>
        </is>
      </c>
    </row>
    <row r="5078">
      <c r="A5078" s="243" t="inlineStr">
        <is>
          <t xml:space="preserve">9TH FLR</t>
        </is>
      </c>
      <c r="B5078" s="243" t="inlineStr">
        <is>
          <t xml:space="preserve">D</t>
        </is>
      </c>
      <c r="C5078" s="244" t="inlineStr">
        <is>
          <t xml:space="preserve">700mm x 2200mm single-leaf 2-hour fire-rated galvanised steel door (D7)</t>
        </is>
      </c>
      <c r="I5078" s="245" t="inlineStr">
        <is>
          <t xml:space="preserve">nr</t>
        </is>
      </c>
      <c r="K5078" s="256" t="inlineStr">
        <is>
          <t xml:space="preserve">'9TH FLR    '!C125</t>
        </is>
      </c>
    </row>
    <row r="5079">
      <c r="C5079" s="246" t="inlineStr">
        <is>
          <t xml:space="preserve">Ninth floor - HW4</t>
        </is>
      </c>
      <c r="H5079" s="247">
        <v>1</v>
      </c>
      <c r="J5079" s="253" t="inlineStr">
        <is>
          <t xml:space="preserve">1</t>
        </is>
      </c>
    </row>
    <row r="5080">
      <c r="C5080" s="250" t="inlineStr">
        <is>
          <t xml:space="preserve">Total carried to BOQ  9TH FLR item D</t>
        </is>
      </c>
      <c r="D5080" s="250" t="inlineStr">
        <is>
          <t xml:space="preserve"/>
        </is>
      </c>
      <c r="E5080" s="250" t="inlineStr">
        <is>
          <t xml:space="preserve"/>
        </is>
      </c>
      <c r="F5080" s="250" t="inlineStr">
        <is>
          <t xml:space="preserve"/>
        </is>
      </c>
      <c r="G5080" s="250" t="inlineStr">
        <is>
          <t xml:space="preserve"/>
        </is>
      </c>
      <c r="H5080" s="251">
        <f>SUM(H5079:H5079)</f>
        <v>1</v>
      </c>
      <c r="I5080" s="252" t="inlineStr">
        <is>
          <t xml:space="preserve">nr</t>
        </is>
      </c>
    </row>
    <row r="5081" ht="32.2" customHeight="1">
      <c r="A5081" s="243" t="inlineStr">
        <is>
          <t xml:space="preserve">9TH FLR</t>
        </is>
      </c>
      <c r="B5081" s="243" t="inlineStr">
        <is>
          <t xml:space="preserve">E</t>
        </is>
      </c>
      <c r="C5081" s="244" t="inlineStr">
        <is>
          <t xml:space="preserve">1200mm x 2200mm 1-hour fire-rated leaf-and-a-half galvanised steel security door assembly (D8)</t>
        </is>
      </c>
      <c r="I5081" s="245" t="inlineStr">
        <is>
          <t xml:space="preserve">nr</t>
        </is>
      </c>
      <c r="K5081" s="256" t="inlineStr">
        <is>
          <t xml:space="preserve">'9TH FLR    '!C127</t>
        </is>
      </c>
    </row>
    <row r="5082">
      <c r="C5082" s="246" t="inlineStr">
        <is>
          <t xml:space="preserve">Ninth floor - W12</t>
        </is>
      </c>
      <c r="H5082" s="247">
        <v>2</v>
      </c>
      <c r="J5082" s="253" t="inlineStr">
        <is>
          <t xml:space="preserve">2</t>
        </is>
      </c>
    </row>
    <row r="5083">
      <c r="C5083" s="250" t="inlineStr">
        <is>
          <t xml:space="preserve">Total carried to BOQ  9TH FLR item E</t>
        </is>
      </c>
      <c r="D5083" s="250" t="inlineStr">
        <is>
          <t xml:space="preserve"/>
        </is>
      </c>
      <c r="E5083" s="250" t="inlineStr">
        <is>
          <t xml:space="preserve"/>
        </is>
      </c>
      <c r="F5083" s="250" t="inlineStr">
        <is>
          <t xml:space="preserve"/>
        </is>
      </c>
      <c r="G5083" s="250" t="inlineStr">
        <is>
          <t xml:space="preserve"/>
        </is>
      </c>
      <c r="H5083" s="251">
        <f>SUM(H5082:H5082)</f>
        <v>2</v>
      </c>
      <c r="I5083" s="252" t="inlineStr">
        <is>
          <t xml:space="preserve">nr</t>
        </is>
      </c>
    </row>
    <row r="5084" ht="32.2" customHeight="1">
      <c r="A5084" s="243" t="inlineStr">
        <is>
          <t xml:space="preserve">9TH FLR</t>
        </is>
      </c>
      <c r="B5084" s="243" t="inlineStr">
        <is>
          <t xml:space="preserve">F</t>
        </is>
      </c>
      <c r="C5084" s="244" t="inlineStr">
        <is>
          <t xml:space="preserve">1000mm x 2200mm 1-hour fire-rated galvanised steel single-leaf security door assembly - emergency stairs (ED1)</t>
        </is>
      </c>
      <c r="I5084" s="245" t="inlineStr">
        <is>
          <t xml:space="preserve">nr</t>
        </is>
      </c>
      <c r="K5084" s="256" t="inlineStr">
        <is>
          <t xml:space="preserve">'9TH FLR    '!C129</t>
        </is>
      </c>
    </row>
    <row r="5085">
      <c r="C5085" s="246" t="inlineStr">
        <is>
          <t xml:space="preserve">Ninth floor - W12</t>
        </is>
      </c>
      <c r="H5085" s="247">
        <v>2</v>
      </c>
      <c r="J5085" s="253" t="inlineStr">
        <is>
          <t xml:space="preserve">2</t>
        </is>
      </c>
    </row>
    <row r="5086">
      <c r="C5086" s="250" t="inlineStr">
        <is>
          <t xml:space="preserve">Total carried to BOQ  9TH FLR item F</t>
        </is>
      </c>
      <c r="D5086" s="250" t="inlineStr">
        <is>
          <t xml:space="preserve"/>
        </is>
      </c>
      <c r="E5086" s="250" t="inlineStr">
        <is>
          <t xml:space="preserve"/>
        </is>
      </c>
      <c r="F5086" s="250" t="inlineStr">
        <is>
          <t xml:space="preserve"/>
        </is>
      </c>
      <c r="G5086" s="250" t="inlineStr">
        <is>
          <t xml:space="preserve"/>
        </is>
      </c>
      <c r="H5086" s="251">
        <f>SUM(H5085:H5085)</f>
        <v>2</v>
      </c>
      <c r="I5086" s="252" t="inlineStr">
        <is>
          <t xml:space="preserve">nr</t>
        </is>
      </c>
    </row>
    <row r="5087" ht="32.2" customHeight="1">
      <c r="A5087" s="243" t="inlineStr">
        <is>
          <t xml:space="preserve">9TH FLR</t>
        </is>
      </c>
      <c r="B5087" s="243" t="inlineStr">
        <is>
          <t xml:space="preserve">G</t>
        </is>
      </c>
      <c r="C5087" s="244" t="inlineStr">
        <is>
          <t xml:space="preserve">1000mm x 2200mm 1-hour fire-rated galvanised steel single-leaf security door with translucent glass panel (ED2)</t>
        </is>
      </c>
      <c r="I5087" s="245" t="inlineStr">
        <is>
          <t xml:space="preserve">nr</t>
        </is>
      </c>
      <c r="K5087" s="256" t="inlineStr">
        <is>
          <t xml:space="preserve">'9TH FLR    '!C131</t>
        </is>
      </c>
    </row>
    <row r="5088">
      <c r="C5088" s="246" t="inlineStr">
        <is>
          <t xml:space="preserve">Ninth floor - W12</t>
        </is>
      </c>
      <c r="H5088" s="247">
        <v>2</v>
      </c>
      <c r="J5088" s="253" t="inlineStr">
        <is>
          <t xml:space="preserve">2</t>
        </is>
      </c>
    </row>
    <row r="5089">
      <c r="C5089" s="250" t="inlineStr">
        <is>
          <t xml:space="preserve">Total carried to BOQ  9TH FLR item G</t>
        </is>
      </c>
      <c r="D5089" s="250" t="inlineStr">
        <is>
          <t xml:space="preserve"/>
        </is>
      </c>
      <c r="E5089" s="250" t="inlineStr">
        <is>
          <t xml:space="preserve"/>
        </is>
      </c>
      <c r="F5089" s="250" t="inlineStr">
        <is>
          <t xml:space="preserve"/>
        </is>
      </c>
      <c r="G5089" s="250" t="inlineStr">
        <is>
          <t xml:space="preserve"/>
        </is>
      </c>
      <c r="H5089" s="251">
        <f>SUM(H5088:H5088)</f>
        <v>2</v>
      </c>
      <c r="I5089" s="252" t="inlineStr">
        <is>
          <t xml:space="preserve">nr</t>
        </is>
      </c>
    </row>
    <row r="5090" ht="32.2" customHeight="1">
      <c r="A5090" s="243" t="inlineStr">
        <is>
          <t xml:space="preserve">9TH FLR</t>
        </is>
      </c>
      <c r="B5090" s="243" t="inlineStr">
        <is>
          <t xml:space="preserve">H</t>
        </is>
      </c>
      <c r="C5090" s="244" t="inlineStr">
        <is>
          <t xml:space="preserve">900mm x 2200mm 1-hour fire-rated galvanised steel single-leaf security door assembly (D9)</t>
        </is>
      </c>
      <c r="I5090" s="245" t="inlineStr">
        <is>
          <t xml:space="preserve">nr</t>
        </is>
      </c>
      <c r="K5090" s="256" t="inlineStr">
        <is>
          <t xml:space="preserve">'9TH FLR    '!C133</t>
        </is>
      </c>
    </row>
    <row r="5091">
      <c r="C5091" s="246" t="inlineStr">
        <is>
          <t xml:space="preserve">Ninth floor - HW4</t>
        </is>
      </c>
      <c r="H5091" s="247">
        <v>1</v>
      </c>
      <c r="J5091" s="253" t="inlineStr">
        <is>
          <t xml:space="preserve">1</t>
        </is>
      </c>
    </row>
    <row r="5092">
      <c r="C5092" s="250" t="inlineStr">
        <is>
          <t xml:space="preserve">Total carried to BOQ  9TH FLR item H</t>
        </is>
      </c>
      <c r="D5092" s="250" t="inlineStr">
        <is>
          <t xml:space="preserve"/>
        </is>
      </c>
      <c r="E5092" s="250" t="inlineStr">
        <is>
          <t xml:space="preserve"/>
        </is>
      </c>
      <c r="F5092" s="250" t="inlineStr">
        <is>
          <t xml:space="preserve"/>
        </is>
      </c>
      <c r="G5092" s="250" t="inlineStr">
        <is>
          <t xml:space="preserve"/>
        </is>
      </c>
      <c r="H5092" s="251">
        <f>SUM(H5091:H5091)</f>
        <v>1</v>
      </c>
      <c r="I5092" s="252" t="inlineStr">
        <is>
          <t xml:space="preserve">nr</t>
        </is>
      </c>
    </row>
    <row r="5093">
      <c r="A5093" s="243" t="inlineStr">
        <is>
          <t xml:space="preserve">9TH FLR</t>
        </is>
      </c>
      <c r="B5093" s="243" t="inlineStr">
        <is>
          <t xml:space="preserve">J</t>
        </is>
      </c>
      <c r="C5093" s="244" t="inlineStr">
        <is>
          <t xml:space="preserve">900mm x 2200mm screw-fixed galvanised steel service access panel (M1)</t>
        </is>
      </c>
      <c r="I5093" s="245" t="inlineStr">
        <is>
          <t xml:space="preserve">nr</t>
        </is>
      </c>
      <c r="K5093" s="256" t="inlineStr">
        <is>
          <t xml:space="preserve">'9TH FLR    '!C135</t>
        </is>
      </c>
    </row>
    <row r="5094">
      <c r="C5094" s="246" t="inlineStr">
        <is>
          <t xml:space="preserve">Ninth floor - W12</t>
        </is>
      </c>
      <c r="H5094" s="247">
        <v>2</v>
      </c>
      <c r="J5094" s="253" t="inlineStr">
        <is>
          <t xml:space="preserve">2</t>
        </is>
      </c>
    </row>
    <row r="5095">
      <c r="C5095" s="250" t="inlineStr">
        <is>
          <t xml:space="preserve">Total carried to BOQ  9TH FLR item J</t>
        </is>
      </c>
      <c r="D5095" s="250" t="inlineStr">
        <is>
          <t xml:space="preserve"/>
        </is>
      </c>
      <c r="E5095" s="250" t="inlineStr">
        <is>
          <t xml:space="preserve"/>
        </is>
      </c>
      <c r="F5095" s="250" t="inlineStr">
        <is>
          <t xml:space="preserve"/>
        </is>
      </c>
      <c r="G5095" s="250" t="inlineStr">
        <is>
          <t xml:space="preserve"/>
        </is>
      </c>
      <c r="H5095" s="251">
        <f>SUM(H5094:H5094)</f>
        <v>2</v>
      </c>
      <c r="I5095" s="252" t="inlineStr">
        <is>
          <t xml:space="preserve">nr</t>
        </is>
      </c>
    </row>
    <row r="5096">
      <c r="A5096" s="243" t="inlineStr">
        <is>
          <t xml:space="preserve">9TH FLR</t>
        </is>
      </c>
      <c r="B5096" s="243" t="inlineStr">
        <is>
          <t xml:space="preserve">K</t>
        </is>
      </c>
      <c r="C5096" s="244" t="inlineStr">
        <is>
          <t xml:space="preserve">750mm x 2200mm screw-fixed galvanised steel service access panel (M2)</t>
        </is>
      </c>
      <c r="I5096" s="245" t="inlineStr">
        <is>
          <t xml:space="preserve">nr</t>
        </is>
      </c>
      <c r="K5096" s="256" t="inlineStr">
        <is>
          <t xml:space="preserve">'9TH FLR    '!C137</t>
        </is>
      </c>
    </row>
    <row r="5097">
      <c r="C5097" s="246" t="inlineStr">
        <is>
          <t xml:space="preserve">Ninth floor - HW2</t>
        </is>
      </c>
      <c r="H5097" s="247">
        <v>4</v>
      </c>
      <c r="J5097" s="253" t="inlineStr">
        <is>
          <t xml:space="preserve">4</t>
        </is>
      </c>
    </row>
    <row r="5098">
      <c r="C5098" s="250" t="inlineStr">
        <is>
          <t xml:space="preserve">Total carried to BOQ  9TH FLR item K</t>
        </is>
      </c>
      <c r="D5098" s="250" t="inlineStr">
        <is>
          <t xml:space="preserve"/>
        </is>
      </c>
      <c r="E5098" s="250" t="inlineStr">
        <is>
          <t xml:space="preserve"/>
        </is>
      </c>
      <c r="F5098" s="250" t="inlineStr">
        <is>
          <t xml:space="preserve"/>
        </is>
      </c>
      <c r="G5098" s="250" t="inlineStr">
        <is>
          <t xml:space="preserve"/>
        </is>
      </c>
      <c r="H5098" s="251">
        <f>SUM(H5097:H5097)</f>
        <v>4</v>
      </c>
      <c r="I5098" s="252" t="inlineStr">
        <is>
          <t xml:space="preserve">nr</t>
        </is>
      </c>
    </row>
    <row r="5099">
      <c r="A5099" s="243" t="inlineStr">
        <is>
          <t xml:space="preserve">9TH FLR</t>
        </is>
      </c>
      <c r="B5099" s="243" t="inlineStr">
        <is>
          <t xml:space="preserve">L</t>
        </is>
      </c>
      <c r="C5099" s="244" t="inlineStr">
        <is>
          <t xml:space="preserve">450mm x 2200mm screw-fixed galvanised steel service access panel (M3)</t>
        </is>
      </c>
      <c r="I5099" s="245" t="inlineStr">
        <is>
          <t xml:space="preserve">nr</t>
        </is>
      </c>
      <c r="K5099" s="256" t="inlineStr">
        <is>
          <t xml:space="preserve">'9TH FLR    '!C139</t>
        </is>
      </c>
    </row>
    <row r="5100">
      <c r="C5100" s="246" t="inlineStr">
        <is>
          <t xml:space="preserve">Ninth floor - HW4</t>
        </is>
      </c>
      <c r="H5100" s="247">
        <v>1</v>
      </c>
      <c r="J5100" s="253" t="inlineStr">
        <is>
          <t xml:space="preserve">1</t>
        </is>
      </c>
    </row>
    <row r="5101">
      <c r="C5101" s="250" t="inlineStr">
        <is>
          <t xml:space="preserve">Total carried to BOQ  9TH FLR item L</t>
        </is>
      </c>
      <c r="D5101" s="250" t="inlineStr">
        <is>
          <t xml:space="preserve"/>
        </is>
      </c>
      <c r="E5101" s="250" t="inlineStr">
        <is>
          <t xml:space="preserve"/>
        </is>
      </c>
      <c r="F5101" s="250" t="inlineStr">
        <is>
          <t xml:space="preserve"/>
        </is>
      </c>
      <c r="G5101" s="250" t="inlineStr">
        <is>
          <t xml:space="preserve"/>
        </is>
      </c>
      <c r="H5101" s="251">
        <f>SUM(H5100:H5100)</f>
        <v>1</v>
      </c>
      <c r="I5101" s="252" t="inlineStr">
        <is>
          <t xml:space="preserve">nr</t>
        </is>
      </c>
    </row>
    <row r="5102">
      <c r="A5102" s="243" t="inlineStr">
        <is>
          <t xml:space="preserve">9TH FLR</t>
        </is>
      </c>
      <c r="B5102" s="243" t="inlineStr">
        <is>
          <t xml:space="preserve">M</t>
        </is>
      </c>
      <c r="C5102" s="244" t="inlineStr">
        <is>
          <t xml:space="preserve">600mm x 2200mm screw-fixed galvanised steel service access panel (M5)</t>
        </is>
      </c>
      <c r="I5102" s="245" t="inlineStr">
        <is>
          <t xml:space="preserve">nr</t>
        </is>
      </c>
      <c r="K5102" s="256" t="inlineStr">
        <is>
          <t xml:space="preserve">'9TH FLR    '!C141</t>
        </is>
      </c>
    </row>
    <row r="5103">
      <c r="C5103" s="246" t="inlineStr">
        <is>
          <t xml:space="preserve">Ninth floor - W11</t>
        </is>
      </c>
      <c r="H5103" s="247">
        <v>3</v>
      </c>
      <c r="J5103" s="253" t="inlineStr">
        <is>
          <t xml:space="preserve">3</t>
        </is>
      </c>
    </row>
    <row r="5104">
      <c r="C5104" s="250" t="inlineStr">
        <is>
          <t xml:space="preserve">Total carried to BOQ  9TH FLR item M</t>
        </is>
      </c>
      <c r="D5104" s="250" t="inlineStr">
        <is>
          <t xml:space="preserve"/>
        </is>
      </c>
      <c r="E5104" s="250" t="inlineStr">
        <is>
          <t xml:space="preserve"/>
        </is>
      </c>
      <c r="F5104" s="250" t="inlineStr">
        <is>
          <t xml:space="preserve"/>
        </is>
      </c>
      <c r="G5104" s="250" t="inlineStr">
        <is>
          <t xml:space="preserve"/>
        </is>
      </c>
      <c r="H5104" s="251">
        <f>SUM(H5103:H5103)</f>
        <v>3</v>
      </c>
      <c r="I5104" s="252" t="inlineStr">
        <is>
          <t xml:space="preserve">nr</t>
        </is>
      </c>
    </row>
    <row r="5105" ht="32.2" customHeight="1">
      <c r="A5105" s="243" t="inlineStr">
        <is>
          <t xml:space="preserve">9TH FLR</t>
        </is>
      </c>
      <c r="B5105" s="243" t="inlineStr">
        <is>
          <t xml:space="preserve">N</t>
        </is>
      </c>
      <c r="C5105" s="244" t="inlineStr">
        <is>
          <t xml:space="preserve">3000mm x 2200mm 3-panel galvanised steel framed tempered glass sliding door (SD1)</t>
        </is>
      </c>
      <c r="I5105" s="245" t="inlineStr">
        <is>
          <t xml:space="preserve">nr</t>
        </is>
      </c>
      <c r="K5105" s="256" t="inlineStr">
        <is>
          <t xml:space="preserve">'9TH FLR    '!C143</t>
        </is>
      </c>
    </row>
    <row r="5106">
      <c r="C5106" s="246" t="inlineStr">
        <is>
          <t xml:space="preserve">Ninth floor - HW4</t>
        </is>
      </c>
      <c r="H5106" s="247">
        <v>1</v>
      </c>
      <c r="J5106" s="253" t="inlineStr">
        <is>
          <t xml:space="preserve">1</t>
        </is>
      </c>
    </row>
    <row r="5107">
      <c r="C5107" s="250" t="inlineStr">
        <is>
          <t xml:space="preserve">Total carried to BOQ  9TH FLR item N</t>
        </is>
      </c>
      <c r="D5107" s="250" t="inlineStr">
        <is>
          <t xml:space="preserve"/>
        </is>
      </c>
      <c r="E5107" s="250" t="inlineStr">
        <is>
          <t xml:space="preserve"/>
        </is>
      </c>
      <c r="F5107" s="250" t="inlineStr">
        <is>
          <t xml:space="preserve"/>
        </is>
      </c>
      <c r="G5107" s="250" t="inlineStr">
        <is>
          <t xml:space="preserve"/>
        </is>
      </c>
      <c r="H5107" s="251">
        <f>SUM(H5106:H5106)</f>
        <v>1</v>
      </c>
      <c r="I5107" s="252" t="inlineStr">
        <is>
          <t xml:space="preserve">nr</t>
        </is>
      </c>
    </row>
    <row r="5108" ht="32.2" customHeight="1">
      <c r="A5108" s="243" t="inlineStr">
        <is>
          <t xml:space="preserve">9TH FLR</t>
        </is>
      </c>
      <c r="B5108" s="243" t="inlineStr">
        <is>
          <t xml:space="preserve">P</t>
        </is>
      </c>
      <c r="C5108" s="244" t="inlineStr">
        <is>
          <t xml:space="preserve">1600mm x 2200mm 2-panel galvanised steel framed tempered glass sliding door (SD2)</t>
        </is>
      </c>
      <c r="I5108" s="245" t="inlineStr">
        <is>
          <t xml:space="preserve">nr</t>
        </is>
      </c>
      <c r="K5108" s="256" t="inlineStr">
        <is>
          <t xml:space="preserve">'9TH FLR    '!C145</t>
        </is>
      </c>
    </row>
    <row r="5109">
      <c r="C5109" s="246" t="inlineStr">
        <is>
          <t xml:space="preserve">Ninth floor - W12</t>
        </is>
      </c>
      <c r="H5109" s="247">
        <v>2</v>
      </c>
      <c r="J5109" s="253" t="inlineStr">
        <is>
          <t xml:space="preserve">2</t>
        </is>
      </c>
    </row>
    <row r="5110">
      <c r="C5110" s="250" t="inlineStr">
        <is>
          <t xml:space="preserve">Total carried to BOQ  9TH FLR item P</t>
        </is>
      </c>
      <c r="D5110" s="250" t="inlineStr">
        <is>
          <t xml:space="preserve"/>
        </is>
      </c>
      <c r="E5110" s="250" t="inlineStr">
        <is>
          <t xml:space="preserve"/>
        </is>
      </c>
      <c r="F5110" s="250" t="inlineStr">
        <is>
          <t xml:space="preserve"/>
        </is>
      </c>
      <c r="G5110" s="250" t="inlineStr">
        <is>
          <t xml:space="preserve"/>
        </is>
      </c>
      <c r="H5110" s="251">
        <f>SUM(H5109:H5109)</f>
        <v>2</v>
      </c>
      <c r="I5110" s="252" t="inlineStr">
        <is>
          <t xml:space="preserve">nr</t>
        </is>
      </c>
    </row>
    <row r="5111" ht="32.2" customHeight="1">
      <c r="A5111" s="243" t="inlineStr">
        <is>
          <t xml:space="preserve">9TH FLR</t>
        </is>
      </c>
      <c r="B5111" s="243" t="inlineStr">
        <is>
          <t xml:space="preserve">Q</t>
        </is>
      </c>
      <c r="C5111" s="244" t="inlineStr">
        <is>
          <t xml:space="preserve">1300mm x 2200mm 2-panel galvanised steel framed tempered glass sliding door (SD3)</t>
        </is>
      </c>
      <c r="I5111" s="245" t="inlineStr">
        <is>
          <t xml:space="preserve">nr</t>
        </is>
      </c>
      <c r="K5111" s="256" t="inlineStr">
        <is>
          <t xml:space="preserve">'9TH FLR    '!C147</t>
        </is>
      </c>
    </row>
    <row r="5112">
      <c r="C5112" s="246" t="inlineStr">
        <is>
          <t xml:space="preserve">Ninth floor - HW4</t>
        </is>
      </c>
      <c r="H5112" s="247">
        <v>1</v>
      </c>
      <c r="J5112" s="253" t="inlineStr">
        <is>
          <t xml:space="preserve">1</t>
        </is>
      </c>
    </row>
    <row r="5113">
      <c r="C5113" s="250" t="inlineStr">
        <is>
          <t xml:space="preserve">Total carried to BOQ  9TH FLR item Q</t>
        </is>
      </c>
      <c r="D5113" s="250" t="inlineStr">
        <is>
          <t xml:space="preserve"/>
        </is>
      </c>
      <c r="E5113" s="250" t="inlineStr">
        <is>
          <t xml:space="preserve"/>
        </is>
      </c>
      <c r="F5113" s="250" t="inlineStr">
        <is>
          <t xml:space="preserve"/>
        </is>
      </c>
      <c r="G5113" s="250" t="inlineStr">
        <is>
          <t xml:space="preserve"/>
        </is>
      </c>
      <c r="H5113" s="251">
        <f>SUM(H5112:H5112)</f>
        <v>1</v>
      </c>
      <c r="I5113" s="252" t="inlineStr">
        <is>
          <t xml:space="preserve">nr</t>
        </is>
      </c>
    </row>
    <row r="5114" ht="32.2" customHeight="1">
      <c r="A5114" s="243" t="inlineStr">
        <is>
          <t xml:space="preserve">9TH FLR</t>
        </is>
      </c>
      <c r="B5114" s="243" t="inlineStr">
        <is>
          <t xml:space="preserve">R</t>
        </is>
      </c>
      <c r="C5114" s="244" t="inlineStr">
        <is>
          <t xml:space="preserve">1800mm x 2200mm 2-panel galvanised steel framed tempered glass sliding door (SD4)</t>
        </is>
      </c>
      <c r="I5114" s="245" t="inlineStr">
        <is>
          <t xml:space="preserve">nr</t>
        </is>
      </c>
      <c r="K5114" s="256" t="inlineStr">
        <is>
          <t xml:space="preserve">'9TH FLR    '!C149</t>
        </is>
      </c>
    </row>
    <row r="5115">
      <c r="C5115" s="246" t="inlineStr">
        <is>
          <t xml:space="preserve">Ninth floor - W12</t>
        </is>
      </c>
      <c r="H5115" s="247">
        <v>2</v>
      </c>
      <c r="J5115" s="253" t="inlineStr">
        <is>
          <t xml:space="preserve">2</t>
        </is>
      </c>
    </row>
    <row r="5116">
      <c r="C5116" s="250" t="inlineStr">
        <is>
          <t xml:space="preserve">Total carried to BOQ  9TH FLR item R</t>
        </is>
      </c>
      <c r="D5116" s="250" t="inlineStr">
        <is>
          <t xml:space="preserve"/>
        </is>
      </c>
      <c r="E5116" s="250" t="inlineStr">
        <is>
          <t xml:space="preserve"/>
        </is>
      </c>
      <c r="F5116" s="250" t="inlineStr">
        <is>
          <t xml:space="preserve"/>
        </is>
      </c>
      <c r="G5116" s="250" t="inlineStr">
        <is>
          <t xml:space="preserve"/>
        </is>
      </c>
      <c r="H5116" s="251">
        <f>SUM(H5115:H5115)</f>
        <v>2</v>
      </c>
      <c r="I5116" s="252" t="inlineStr">
        <is>
          <t xml:space="preserve">nr</t>
        </is>
      </c>
    </row>
    <row r="5117">
      <c r="A5117" s="243" t="inlineStr">
        <is>
          <t xml:space="preserve">9TH FLR</t>
        </is>
      </c>
      <c r="B5117" s="243" t="inlineStr">
        <is>
          <t xml:space="preserve">S</t>
        </is>
      </c>
      <c r="C5117" s="244" t="inlineStr">
        <is>
          <t xml:space="preserve">50mm x 150mm frames (to timber doors)</t>
        </is>
      </c>
      <c r="I5117" s="245" t="inlineStr">
        <is>
          <t xml:space="preserve">m</t>
        </is>
      </c>
      <c r="K5117" s="256" t="inlineStr">
        <is>
          <t xml:space="preserve">'9TH FLR    '!C151</t>
        </is>
      </c>
    </row>
    <row r="5118">
      <c r="C5118" s="246" t="inlineStr">
        <is>
          <t xml:space="preserve">Door : nr x (2 x ht + width)</t>
        </is>
      </c>
      <c r="D5118" s="248">
        <v>8</v>
      </c>
      <c r="E5118" s="247">
        <f>2*2.2+0.9</f>
        <v>5.300000000000001</v>
      </c>
      <c r="H5118" s="249">
        <f>PRODUCT(D5118:G5118)</f>
        <v>42.400000000000006</v>
      </c>
      <c r="J5118" s="253" t="inlineStr">
        <is>
          <t xml:space="preserve">8*(2*2.2+0.9)</t>
        </is>
      </c>
    </row>
    <row r="5119">
      <c r="C5119" s="246" t="inlineStr">
        <is>
          <t xml:space="preserve">Door : nr x (2 x ht + width)</t>
        </is>
      </c>
      <c r="D5119" s="248">
        <v>17</v>
      </c>
      <c r="E5119" s="247">
        <f>2*2.2+0.75</f>
        <v>5.15</v>
      </c>
      <c r="H5119" s="249">
        <f>PRODUCT(D5119:G5119)</f>
        <v>87.55000000000001</v>
      </c>
      <c r="J5119" s="253" t="inlineStr">
        <is>
          <t xml:space="preserve">17*(2*2.2+0.75)</t>
        </is>
      </c>
    </row>
    <row r="5120">
      <c r="C5120" s="250" t="inlineStr">
        <is>
          <t xml:space="preserve">Total carried to BOQ  9TH FLR item S</t>
        </is>
      </c>
      <c r="D5120" s="250" t="inlineStr">
        <is>
          <t xml:space="preserve"/>
        </is>
      </c>
      <c r="E5120" s="250" t="inlineStr">
        <is>
          <t xml:space="preserve"/>
        </is>
      </c>
      <c r="F5120" s="250" t="inlineStr">
        <is>
          <t xml:space="preserve"/>
        </is>
      </c>
      <c r="G5120" s="250" t="inlineStr">
        <is>
          <t xml:space="preserve"/>
        </is>
      </c>
      <c r="H5120" s="251">
        <f>SUM(H5118:H5119)</f>
        <v>129.95000000000002</v>
      </c>
      <c r="I5120" s="252" t="inlineStr">
        <is>
          <t xml:space="preserve">m</t>
        </is>
      </c>
    </row>
    <row r="5121">
      <c r="A5121" s="243" t="inlineStr">
        <is>
          <t xml:space="preserve">9TH FLR</t>
        </is>
      </c>
      <c r="B5121" s="243" t="inlineStr">
        <is>
          <t xml:space="preserve">T</t>
        </is>
      </c>
      <c r="C5121" s="244" t="inlineStr">
        <is>
          <t xml:space="preserve">50mm x 12mm door stop</t>
        </is>
      </c>
      <c r="I5121" s="245" t="inlineStr">
        <is>
          <t xml:space="preserve">m</t>
        </is>
      </c>
      <c r="K5121" s="256" t="inlineStr">
        <is>
          <t xml:space="preserve">'9TH FLR    '!C153</t>
        </is>
      </c>
    </row>
    <row r="5122">
      <c r="C5122" s="246" t="inlineStr">
        <is>
          <t xml:space="preserve">Door : nr x (2 x ht + width)</t>
        </is>
      </c>
      <c r="D5122" s="248">
        <v>8</v>
      </c>
      <c r="E5122" s="247">
        <f>2*2.2+0.9</f>
        <v>5.300000000000001</v>
      </c>
      <c r="H5122" s="249">
        <f>PRODUCT(D5122:G5122)</f>
        <v>42.400000000000006</v>
      </c>
      <c r="J5122" s="253" t="inlineStr">
        <is>
          <t xml:space="preserve">8*(2*2.2+0.9)</t>
        </is>
      </c>
    </row>
    <row r="5123">
      <c r="C5123" s="246" t="inlineStr">
        <is>
          <t xml:space="preserve">Door : nr x (2 x ht + width)</t>
        </is>
      </c>
      <c r="D5123" s="248">
        <v>17</v>
      </c>
      <c r="E5123" s="247">
        <f>2*2.2+0.75</f>
        <v>5.15</v>
      </c>
      <c r="H5123" s="249">
        <f>PRODUCT(D5123:G5123)</f>
        <v>87.55000000000001</v>
      </c>
      <c r="J5123" s="253" t="inlineStr">
        <is>
          <t xml:space="preserve">17*(2*2.2+0.75)</t>
        </is>
      </c>
    </row>
    <row r="5124">
      <c r="C5124" s="250" t="inlineStr">
        <is>
          <t xml:space="preserve">Total carried to BOQ  9TH FLR item T</t>
        </is>
      </c>
      <c r="D5124" s="250" t="inlineStr">
        <is>
          <t xml:space="preserve"/>
        </is>
      </c>
      <c r="E5124" s="250" t="inlineStr">
        <is>
          <t xml:space="preserve"/>
        </is>
      </c>
      <c r="F5124" s="250" t="inlineStr">
        <is>
          <t xml:space="preserve"/>
        </is>
      </c>
      <c r="G5124" s="250" t="inlineStr">
        <is>
          <t xml:space="preserve"/>
        </is>
      </c>
      <c r="H5124" s="251">
        <f>SUM(H5122:H5123)</f>
        <v>129.95000000000002</v>
      </c>
      <c r="I5124" s="252" t="inlineStr">
        <is>
          <t xml:space="preserve">m</t>
        </is>
      </c>
    </row>
    <row r="5125">
      <c r="C5125" s="242" t="inlineStr">
        <is>
          <t xml:space="preserve">Ironmongery - Supply and fix the following approved ironmongery to hardwood with accompanying patented screws:</t>
        </is>
      </c>
    </row>
    <row r="5126">
      <c r="A5126" s="243" t="inlineStr">
        <is>
          <t xml:space="preserve">9TH FLR</t>
        </is>
      </c>
      <c r="B5126" s="243" t="inlineStr">
        <is>
          <t xml:space="preserve">U</t>
        </is>
      </c>
      <c r="C5126" s="244" t="inlineStr">
        <is>
          <t xml:space="preserve">Pair 100mm brass butt hinges</t>
        </is>
      </c>
      <c r="I5126" s="245" t="inlineStr">
        <is>
          <t xml:space="preserve">pr</t>
        </is>
      </c>
      <c r="K5126" s="256" t="inlineStr">
        <is>
          <t xml:space="preserve">'9TH FLR    '!C158</t>
        </is>
      </c>
    </row>
    <row r="5127">
      <c r="C5127" s="246" t="inlineStr">
        <is>
          <t xml:space="preserve">Ninth floor - Timber door leaves x 1.5 pairs</t>
        </is>
      </c>
      <c r="H5127" s="247">
        <v>38</v>
      </c>
      <c r="J5127" s="253" t="inlineStr">
        <is>
          <t xml:space="preserve">38</t>
        </is>
      </c>
    </row>
    <row r="5128">
      <c r="C5128" s="250" t="inlineStr">
        <is>
          <t xml:space="preserve">Total carried to BOQ  9TH FLR item U</t>
        </is>
      </c>
      <c r="D5128" s="250" t="inlineStr">
        <is>
          <t xml:space="preserve"/>
        </is>
      </c>
      <c r="E5128" s="250" t="inlineStr">
        <is>
          <t xml:space="preserve"/>
        </is>
      </c>
      <c r="F5128" s="250" t="inlineStr">
        <is>
          <t xml:space="preserve"/>
        </is>
      </c>
      <c r="G5128" s="250" t="inlineStr">
        <is>
          <t xml:space="preserve"/>
        </is>
      </c>
      <c r="H5128" s="251">
        <f>SUM(H5127:H5127)</f>
        <v>38</v>
      </c>
      <c r="I5128" s="252" t="inlineStr">
        <is>
          <t xml:space="preserve">pr</t>
        </is>
      </c>
    </row>
    <row r="5129">
      <c r="A5129" s="243" t="inlineStr">
        <is>
          <t xml:space="preserve">9TH FLR</t>
        </is>
      </c>
      <c r="B5129" s="243" t="inlineStr">
        <is>
          <t xml:space="preserve">V</t>
        </is>
      </c>
      <c r="C5129" s="244" t="inlineStr">
        <is>
          <t xml:space="preserve">Ordinary locks</t>
        </is>
      </c>
      <c r="I5129" s="245" t="inlineStr">
        <is>
          <t xml:space="preserve">nr</t>
        </is>
      </c>
      <c r="K5129" s="256" t="inlineStr">
        <is>
          <t xml:space="preserve">'9TH FLR    '!C160</t>
        </is>
      </c>
    </row>
    <row r="5130">
      <c r="C5130" s="246" t="inlineStr">
        <is>
          <t xml:space="preserve">Ninth floor - D3/D4 doors</t>
        </is>
      </c>
      <c r="H5130" s="247">
        <v>8</v>
      </c>
      <c r="J5130" s="253" t="inlineStr">
        <is>
          <t xml:space="preserve">8</t>
        </is>
      </c>
    </row>
    <row r="5131">
      <c r="C5131" s="250" t="inlineStr">
        <is>
          <t xml:space="preserve">Total carried to BOQ  9TH FLR item V</t>
        </is>
      </c>
      <c r="D5131" s="250" t="inlineStr">
        <is>
          <t xml:space="preserve"/>
        </is>
      </c>
      <c r="E5131" s="250" t="inlineStr">
        <is>
          <t xml:space="preserve"/>
        </is>
      </c>
      <c r="F5131" s="250" t="inlineStr">
        <is>
          <t xml:space="preserve"/>
        </is>
      </c>
      <c r="G5131" s="250" t="inlineStr">
        <is>
          <t xml:space="preserve"/>
        </is>
      </c>
      <c r="H5131" s="251">
        <f>SUM(H5130:H5130)</f>
        <v>8</v>
      </c>
      <c r="I5131" s="252" t="inlineStr">
        <is>
          <t xml:space="preserve">nr</t>
        </is>
      </c>
    </row>
    <row r="5132">
      <c r="A5132" s="243" t="inlineStr">
        <is>
          <t xml:space="preserve">9TH FLR</t>
        </is>
      </c>
      <c r="B5132" s="243" t="inlineStr">
        <is>
          <t xml:space="preserve">W</t>
        </is>
      </c>
      <c r="C5132" s="244" t="inlineStr">
        <is>
          <t xml:space="preserve">Approved high quality mortice indicator lock</t>
        </is>
      </c>
      <c r="I5132" s="245" t="inlineStr">
        <is>
          <t xml:space="preserve">nr</t>
        </is>
      </c>
      <c r="K5132" s="256" t="inlineStr">
        <is>
          <t xml:space="preserve">'9TH FLR    '!C162</t>
        </is>
      </c>
    </row>
    <row r="5133">
      <c r="C5133" s="246" t="inlineStr">
        <is>
          <t xml:space="preserve">Ninth floor - D6 doors</t>
        </is>
      </c>
      <c r="H5133" s="247">
        <v>17</v>
      </c>
      <c r="J5133" s="253" t="inlineStr">
        <is>
          <t xml:space="preserve">17</t>
        </is>
      </c>
    </row>
    <row r="5134">
      <c r="C5134" s="250" t="inlineStr">
        <is>
          <t xml:space="preserve">Total carried to BOQ  9TH FLR item W</t>
        </is>
      </c>
      <c r="D5134" s="250" t="inlineStr">
        <is>
          <t xml:space="preserve"/>
        </is>
      </c>
      <c r="E5134" s="250" t="inlineStr">
        <is>
          <t xml:space="preserve"/>
        </is>
      </c>
      <c r="F5134" s="250" t="inlineStr">
        <is>
          <t xml:space="preserve"/>
        </is>
      </c>
      <c r="G5134" s="250" t="inlineStr">
        <is>
          <t xml:space="preserve"/>
        </is>
      </c>
      <c r="H5134" s="251">
        <f>SUM(H5133:H5133)</f>
        <v>17</v>
      </c>
      <c r="I5134" s="252" t="inlineStr">
        <is>
          <t xml:space="preserve">nr</t>
        </is>
      </c>
    </row>
    <row r="5135">
      <c r="C5135"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5136">
      <c r="A5136" s="243" t="inlineStr">
        <is>
          <t xml:space="preserve">9TH FLR</t>
        </is>
      </c>
      <c r="B5136" s="243" t="inlineStr">
        <is>
          <t xml:space="preserve">X</t>
        </is>
      </c>
      <c r="C5136" s="244" t="inlineStr">
        <is>
          <t xml:space="preserve">2 bay alu. framed glass sliding window 1800mm x 1300mm (W2)</t>
        </is>
      </c>
      <c r="I5136" s="245" t="inlineStr">
        <is>
          <t xml:space="preserve">nr</t>
        </is>
      </c>
      <c r="K5136" s="256" t="inlineStr">
        <is>
          <t xml:space="preserve">'9TH FLR    '!C165</t>
        </is>
      </c>
    </row>
    <row r="5137">
      <c r="C5137" s="246" t="inlineStr">
        <is>
          <t xml:space="preserve">Ninth floor - W11</t>
        </is>
      </c>
      <c r="H5137" s="247">
        <v>3</v>
      </c>
      <c r="J5137" s="253" t="inlineStr">
        <is>
          <t xml:space="preserve">3</t>
        </is>
      </c>
    </row>
    <row r="5138">
      <c r="C5138" s="250" t="inlineStr">
        <is>
          <t xml:space="preserve">Total carried to BOQ  9TH FLR item X</t>
        </is>
      </c>
      <c r="D5138" s="250" t="inlineStr">
        <is>
          <t xml:space="preserve"/>
        </is>
      </c>
      <c r="E5138" s="250" t="inlineStr">
        <is>
          <t xml:space="preserve"/>
        </is>
      </c>
      <c r="F5138" s="250" t="inlineStr">
        <is>
          <t xml:space="preserve"/>
        </is>
      </c>
      <c r="G5138" s="250" t="inlineStr">
        <is>
          <t xml:space="preserve"/>
        </is>
      </c>
      <c r="H5138" s="251">
        <f>SUM(H5137:H5137)</f>
        <v>3</v>
      </c>
      <c r="I5138" s="252" t="inlineStr">
        <is>
          <t xml:space="preserve">nr</t>
        </is>
      </c>
    </row>
    <row r="5139">
      <c r="A5139" s="243" t="inlineStr">
        <is>
          <t xml:space="preserve">9TH FLR</t>
        </is>
      </c>
      <c r="B5139" s="243" t="inlineStr">
        <is>
          <t xml:space="preserve">Y</t>
        </is>
      </c>
      <c r="C5139" s="244" t="inlineStr">
        <is>
          <t xml:space="preserve">1 bay alu. framed glass awning window 900mm x 1300mm (W4)</t>
        </is>
      </c>
      <c r="I5139" s="245" t="inlineStr">
        <is>
          <t xml:space="preserve">nr</t>
        </is>
      </c>
      <c r="K5139" s="256" t="inlineStr">
        <is>
          <t xml:space="preserve">'9TH FLR    '!C167</t>
        </is>
      </c>
    </row>
    <row r="5140">
      <c r="C5140" s="246" t="inlineStr">
        <is>
          <t xml:space="preserve">Ninth floor - W4</t>
        </is>
      </c>
      <c r="H5140" s="247">
        <v>6</v>
      </c>
      <c r="J5140" s="253" t="inlineStr">
        <is>
          <t xml:space="preserve">6</t>
        </is>
      </c>
    </row>
    <row r="5141">
      <c r="C5141" s="250" t="inlineStr">
        <is>
          <t xml:space="preserve">Total carried to BOQ  9TH FLR item Y</t>
        </is>
      </c>
      <c r="D5141" s="250" t="inlineStr">
        <is>
          <t xml:space="preserve"/>
        </is>
      </c>
      <c r="E5141" s="250" t="inlineStr">
        <is>
          <t xml:space="preserve"/>
        </is>
      </c>
      <c r="F5141" s="250" t="inlineStr">
        <is>
          <t xml:space="preserve"/>
        </is>
      </c>
      <c r="G5141" s="250" t="inlineStr">
        <is>
          <t xml:space="preserve"/>
        </is>
      </c>
      <c r="H5141" s="251">
        <f>SUM(H5140:H5140)</f>
        <v>6</v>
      </c>
      <c r="I5141" s="252" t="inlineStr">
        <is>
          <t xml:space="preserve">nr</t>
        </is>
      </c>
    </row>
    <row r="5142">
      <c r="A5142" s="243" t="inlineStr">
        <is>
          <t xml:space="preserve">9TH FLR</t>
        </is>
      </c>
      <c r="B5142" s="243" t="inlineStr">
        <is>
          <t xml:space="preserve">Z</t>
        </is>
      </c>
      <c r="C5142" s="244" t="inlineStr">
        <is>
          <t xml:space="preserve">2 bay alu. framed glass sliding window 1800mm x 1600mm (W7)</t>
        </is>
      </c>
      <c r="I5142" s="245" t="inlineStr">
        <is>
          <t xml:space="preserve">nr</t>
        </is>
      </c>
      <c r="K5142" s="256" t="inlineStr">
        <is>
          <t xml:space="preserve">'9TH FLR    '!C169</t>
        </is>
      </c>
    </row>
    <row r="5143">
      <c r="C5143" s="246" t="inlineStr">
        <is>
          <t xml:space="preserve">Ninth floor - HW4</t>
        </is>
      </c>
      <c r="H5143" s="247">
        <v>1</v>
      </c>
      <c r="J5143" s="253" t="inlineStr">
        <is>
          <t xml:space="preserve">1</t>
        </is>
      </c>
    </row>
    <row r="5144">
      <c r="C5144" s="250" t="inlineStr">
        <is>
          <t xml:space="preserve">Total carried to BOQ  9TH FLR item Z</t>
        </is>
      </c>
      <c r="D5144" s="250" t="inlineStr">
        <is>
          <t xml:space="preserve"/>
        </is>
      </c>
      <c r="E5144" s="250" t="inlineStr">
        <is>
          <t xml:space="preserve"/>
        </is>
      </c>
      <c r="F5144" s="250" t="inlineStr">
        <is>
          <t xml:space="preserve"/>
        </is>
      </c>
      <c r="G5144" s="250" t="inlineStr">
        <is>
          <t xml:space="preserve"/>
        </is>
      </c>
      <c r="H5144" s="251">
        <f>SUM(H5143:H5143)</f>
        <v>1</v>
      </c>
      <c r="I5144" s="252" t="inlineStr">
        <is>
          <t xml:space="preserve">nr</t>
        </is>
      </c>
    </row>
    <row r="5145">
      <c r="A5145" s="243" t="inlineStr">
        <is>
          <t xml:space="preserve">9TH FLR</t>
        </is>
      </c>
      <c r="B5145" s="243" t="inlineStr">
        <is>
          <t xml:space="preserve">A</t>
        </is>
      </c>
      <c r="C5145" s="244" t="inlineStr">
        <is>
          <t xml:space="preserve">1 x 3 bay alu. framed glass awning window 1200mm x 1900mm (W8)</t>
        </is>
      </c>
      <c r="I5145" s="245" t="inlineStr">
        <is>
          <t xml:space="preserve">nr</t>
        </is>
      </c>
      <c r="K5145" s="256" t="inlineStr">
        <is>
          <t xml:space="preserve">'9TH FLR    '!C171</t>
        </is>
      </c>
    </row>
    <row r="5146">
      <c r="C5146" s="246" t="inlineStr">
        <is>
          <t xml:space="preserve">Ninth floor - HW4</t>
        </is>
      </c>
      <c r="H5146" s="247">
        <v>1</v>
      </c>
      <c r="J5146" s="253" t="inlineStr">
        <is>
          <t xml:space="preserve">1</t>
        </is>
      </c>
    </row>
    <row r="5147">
      <c r="C5147" s="250" t="inlineStr">
        <is>
          <t xml:space="preserve">Total carried to BOQ  9TH FLR item A</t>
        </is>
      </c>
      <c r="D5147" s="250" t="inlineStr">
        <is>
          <t xml:space="preserve"/>
        </is>
      </c>
      <c r="E5147" s="250" t="inlineStr">
        <is>
          <t xml:space="preserve"/>
        </is>
      </c>
      <c r="F5147" s="250" t="inlineStr">
        <is>
          <t xml:space="preserve"/>
        </is>
      </c>
      <c r="G5147" s="250" t="inlineStr">
        <is>
          <t xml:space="preserve"/>
        </is>
      </c>
      <c r="H5147" s="251">
        <f>SUM(H5146:H5146)</f>
        <v>1</v>
      </c>
      <c r="I5147" s="252" t="inlineStr">
        <is>
          <t xml:space="preserve">nr</t>
        </is>
      </c>
    </row>
    <row r="5148">
      <c r="A5148" s="243" t="inlineStr">
        <is>
          <t xml:space="preserve">9TH FLR</t>
        </is>
      </c>
      <c r="B5148" s="243" t="inlineStr">
        <is>
          <t xml:space="preserve">B</t>
        </is>
      </c>
      <c r="C5148" s="244" t="inlineStr">
        <is>
          <t xml:space="preserve">2 bay alu. framed glass sliding window 1200mm x 1150mm (W9)</t>
        </is>
      </c>
      <c r="I5148" s="245" t="inlineStr">
        <is>
          <t xml:space="preserve">nr</t>
        </is>
      </c>
      <c r="K5148" s="256" t="inlineStr">
        <is>
          <t xml:space="preserve">'9TH FLR    '!C173</t>
        </is>
      </c>
    </row>
    <row r="5149">
      <c r="C5149" s="246" t="inlineStr">
        <is>
          <t xml:space="preserve">Ninth floor - W9</t>
        </is>
      </c>
      <c r="H5149" s="247">
        <v>5</v>
      </c>
      <c r="J5149" s="253" t="inlineStr">
        <is>
          <t xml:space="preserve">5</t>
        </is>
      </c>
    </row>
    <row r="5150">
      <c r="C5150" s="250" t="inlineStr">
        <is>
          <t xml:space="preserve">Total carried to BOQ  9TH FLR item B</t>
        </is>
      </c>
      <c r="D5150" s="250" t="inlineStr">
        <is>
          <t xml:space="preserve"/>
        </is>
      </c>
      <c r="E5150" s="250" t="inlineStr">
        <is>
          <t xml:space="preserve"/>
        </is>
      </c>
      <c r="F5150" s="250" t="inlineStr">
        <is>
          <t xml:space="preserve"/>
        </is>
      </c>
      <c r="G5150" s="250" t="inlineStr">
        <is>
          <t xml:space="preserve"/>
        </is>
      </c>
      <c r="H5150" s="251">
        <f>SUM(H5149:H5149)</f>
        <v>5</v>
      </c>
      <c r="I5150" s="252" t="inlineStr">
        <is>
          <t xml:space="preserve">nr</t>
        </is>
      </c>
    </row>
    <row r="5151">
      <c r="A5151" s="243" t="inlineStr">
        <is>
          <t xml:space="preserve">9TH FLR</t>
        </is>
      </c>
      <c r="B5151" s="243" t="inlineStr">
        <is>
          <t xml:space="preserve">C</t>
        </is>
      </c>
      <c r="C5151" s="244" t="inlineStr">
        <is>
          <t xml:space="preserve">2 bay alu. framed glass sliding window 1200mm x 1200mm (W10)</t>
        </is>
      </c>
      <c r="I5151" s="245" t="inlineStr">
        <is>
          <t xml:space="preserve">nr</t>
        </is>
      </c>
      <c r="K5151" s="256" t="inlineStr">
        <is>
          <t xml:space="preserve">'9TH FLR    '!C175</t>
        </is>
      </c>
    </row>
    <row r="5152">
      <c r="C5152" s="246" t="inlineStr">
        <is>
          <t xml:space="preserve">Ninth floor - HW4</t>
        </is>
      </c>
      <c r="H5152" s="247">
        <v>1</v>
      </c>
      <c r="J5152" s="253" t="inlineStr">
        <is>
          <t xml:space="preserve">1</t>
        </is>
      </c>
    </row>
    <row r="5153">
      <c r="C5153" s="250" t="inlineStr">
        <is>
          <t xml:space="preserve">Total carried to BOQ  9TH FLR item C</t>
        </is>
      </c>
      <c r="D5153" s="250" t="inlineStr">
        <is>
          <t xml:space="preserve"/>
        </is>
      </c>
      <c r="E5153" s="250" t="inlineStr">
        <is>
          <t xml:space="preserve"/>
        </is>
      </c>
      <c r="F5153" s="250" t="inlineStr">
        <is>
          <t xml:space="preserve"/>
        </is>
      </c>
      <c r="G5153" s="250" t="inlineStr">
        <is>
          <t xml:space="preserve"/>
        </is>
      </c>
      <c r="H5153" s="251">
        <f>SUM(H5152:H5152)</f>
        <v>1</v>
      </c>
      <c r="I5153" s="252" t="inlineStr">
        <is>
          <t xml:space="preserve">nr</t>
        </is>
      </c>
    </row>
    <row r="5154">
      <c r="A5154" s="243" t="inlineStr">
        <is>
          <t xml:space="preserve">9TH FLR</t>
        </is>
      </c>
      <c r="B5154" s="243" t="inlineStr">
        <is>
          <t xml:space="preserve">D</t>
        </is>
      </c>
      <c r="C5154" s="244" t="inlineStr">
        <is>
          <t xml:space="preserve">2 bay alu. framed glass sliding window 1500mm x 1300mm (W11)</t>
        </is>
      </c>
      <c r="I5154" s="245" t="inlineStr">
        <is>
          <t xml:space="preserve">nr</t>
        </is>
      </c>
      <c r="K5154" s="256" t="inlineStr">
        <is>
          <t xml:space="preserve">'9TH FLR    '!C177</t>
        </is>
      </c>
    </row>
    <row r="5155">
      <c r="C5155" s="246" t="inlineStr">
        <is>
          <t xml:space="preserve">Ninth floor - W11</t>
        </is>
      </c>
      <c r="H5155" s="247">
        <v>3</v>
      </c>
      <c r="J5155" s="253" t="inlineStr">
        <is>
          <t xml:space="preserve">3</t>
        </is>
      </c>
    </row>
    <row r="5156">
      <c r="C5156" s="250" t="inlineStr">
        <is>
          <t xml:space="preserve">Total carried to BOQ  9TH FLR item D</t>
        </is>
      </c>
      <c r="D5156" s="250" t="inlineStr">
        <is>
          <t xml:space="preserve"/>
        </is>
      </c>
      <c r="E5156" s="250" t="inlineStr">
        <is>
          <t xml:space="preserve"/>
        </is>
      </c>
      <c r="F5156" s="250" t="inlineStr">
        <is>
          <t xml:space="preserve"/>
        </is>
      </c>
      <c r="G5156" s="250" t="inlineStr">
        <is>
          <t xml:space="preserve"/>
        </is>
      </c>
      <c r="H5156" s="251">
        <f>SUM(H5155:H5155)</f>
        <v>3</v>
      </c>
      <c r="I5156" s="252" t="inlineStr">
        <is>
          <t xml:space="preserve">nr</t>
        </is>
      </c>
    </row>
    <row r="5157">
      <c r="A5157" s="243" t="inlineStr">
        <is>
          <t xml:space="preserve">9TH FLR</t>
        </is>
      </c>
      <c r="B5157" s="243" t="inlineStr">
        <is>
          <t xml:space="preserve">E</t>
        </is>
      </c>
      <c r="C5157" s="244" t="inlineStr">
        <is>
          <t xml:space="preserve">2 bay alu. framed glass sliding window 1500mm x 1150mm (W12)</t>
        </is>
      </c>
      <c r="I5157" s="245" t="inlineStr">
        <is>
          <t xml:space="preserve">nr</t>
        </is>
      </c>
      <c r="K5157" s="256" t="inlineStr">
        <is>
          <t xml:space="preserve">'9TH FLR    '!C179</t>
        </is>
      </c>
    </row>
    <row r="5158">
      <c r="C5158" s="246" t="inlineStr">
        <is>
          <t xml:space="preserve">Ninth floor - W12</t>
        </is>
      </c>
      <c r="H5158" s="247">
        <v>2</v>
      </c>
      <c r="J5158" s="253" t="inlineStr">
        <is>
          <t xml:space="preserve">2</t>
        </is>
      </c>
    </row>
    <row r="5159">
      <c r="C5159" s="250" t="inlineStr">
        <is>
          <t xml:space="preserve">Total carried to BOQ  9TH FLR item E</t>
        </is>
      </c>
      <c r="D5159" s="250" t="inlineStr">
        <is>
          <t xml:space="preserve"/>
        </is>
      </c>
      <c r="E5159" s="250" t="inlineStr">
        <is>
          <t xml:space="preserve"/>
        </is>
      </c>
      <c r="F5159" s="250" t="inlineStr">
        <is>
          <t xml:space="preserve"/>
        </is>
      </c>
      <c r="G5159" s="250" t="inlineStr">
        <is>
          <t xml:space="preserve"/>
        </is>
      </c>
      <c r="H5159" s="251">
        <f>SUM(H5158:H5158)</f>
        <v>2</v>
      </c>
      <c r="I5159" s="252" t="inlineStr">
        <is>
          <t xml:space="preserve">nr</t>
        </is>
      </c>
    </row>
    <row r="5160">
      <c r="A5160" s="243" t="inlineStr">
        <is>
          <t xml:space="preserve">9TH FLR</t>
        </is>
      </c>
      <c r="B5160" s="243" t="inlineStr">
        <is>
          <t xml:space="preserve">F</t>
        </is>
      </c>
      <c r="C5160" s="244" t="inlineStr">
        <is>
          <t xml:space="preserve">3 bay alu. framed glass sliding window 3000mm x 1600mm (W15)</t>
        </is>
      </c>
      <c r="I5160" s="245" t="inlineStr">
        <is>
          <t xml:space="preserve">nr</t>
        </is>
      </c>
      <c r="K5160" s="256" t="inlineStr">
        <is>
          <t xml:space="preserve">'9TH FLR    '!C181</t>
        </is>
      </c>
    </row>
    <row r="5161">
      <c r="C5161" s="246" t="inlineStr">
        <is>
          <t xml:space="preserve">Ninth floor - HW4</t>
        </is>
      </c>
      <c r="H5161" s="247">
        <v>1</v>
      </c>
      <c r="J5161" s="253" t="inlineStr">
        <is>
          <t xml:space="preserve">1</t>
        </is>
      </c>
    </row>
    <row r="5162">
      <c r="C5162" s="250" t="inlineStr">
        <is>
          <t xml:space="preserve">Total carried to BOQ  9TH FLR item F</t>
        </is>
      </c>
      <c r="D5162" s="250" t="inlineStr">
        <is>
          <t xml:space="preserve"/>
        </is>
      </c>
      <c r="E5162" s="250" t="inlineStr">
        <is>
          <t xml:space="preserve"/>
        </is>
      </c>
      <c r="F5162" s="250" t="inlineStr">
        <is>
          <t xml:space="preserve"/>
        </is>
      </c>
      <c r="G5162" s="250" t="inlineStr">
        <is>
          <t xml:space="preserve"/>
        </is>
      </c>
      <c r="H5162" s="251">
        <f>SUM(H5161:H5161)</f>
        <v>1</v>
      </c>
      <c r="I5162" s="252" t="inlineStr">
        <is>
          <t xml:space="preserve">nr</t>
        </is>
      </c>
    </row>
    <row r="5163">
      <c r="A5163" s="243" t="inlineStr">
        <is>
          <t xml:space="preserve">9TH FLR</t>
        </is>
      </c>
      <c r="B5163" s="243" t="inlineStr">
        <is>
          <t xml:space="preserve">G</t>
        </is>
      </c>
      <c r="C5163" s="244" t="inlineStr">
        <is>
          <t xml:space="preserve">2 x 3 alu. framed glass awning window 1800mm x 1900mm (W17)</t>
        </is>
      </c>
      <c r="I5163" s="245" t="inlineStr">
        <is>
          <t xml:space="preserve">nr</t>
        </is>
      </c>
      <c r="K5163" s="256" t="inlineStr">
        <is>
          <t xml:space="preserve">'9TH FLR    '!C183</t>
        </is>
      </c>
    </row>
    <row r="5164">
      <c r="C5164" s="246" t="inlineStr">
        <is>
          <t xml:space="preserve">Ninth floor - HW4</t>
        </is>
      </c>
      <c r="H5164" s="247">
        <v>1</v>
      </c>
      <c r="J5164" s="253" t="inlineStr">
        <is>
          <t xml:space="preserve">1</t>
        </is>
      </c>
    </row>
    <row r="5165">
      <c r="C5165" s="250" t="inlineStr">
        <is>
          <t xml:space="preserve">Total carried to BOQ  9TH FLR item G</t>
        </is>
      </c>
      <c r="D5165" s="250" t="inlineStr">
        <is>
          <t xml:space="preserve"/>
        </is>
      </c>
      <c r="E5165" s="250" t="inlineStr">
        <is>
          <t xml:space="preserve"/>
        </is>
      </c>
      <c r="F5165" s="250" t="inlineStr">
        <is>
          <t xml:space="preserve"/>
        </is>
      </c>
      <c r="G5165" s="250" t="inlineStr">
        <is>
          <t xml:space="preserve"/>
        </is>
      </c>
      <c r="H5165" s="251">
        <f>SUM(H5164:H5164)</f>
        <v>1</v>
      </c>
      <c r="I5165" s="252" t="inlineStr">
        <is>
          <t xml:space="preserve">nr</t>
        </is>
      </c>
    </row>
    <row r="5166">
      <c r="A5166" s="243" t="inlineStr">
        <is>
          <t xml:space="preserve">9TH FLR</t>
        </is>
      </c>
      <c r="B5166" s="243" t="inlineStr">
        <is>
          <t xml:space="preserve">H</t>
        </is>
      </c>
      <c r="C5166" s="244" t="inlineStr">
        <is>
          <t xml:space="preserve">2 bay alu. framed glass sliding window 900mm x 600mm (HW1)</t>
        </is>
      </c>
      <c r="I5166" s="245" t="inlineStr">
        <is>
          <t xml:space="preserve">nr</t>
        </is>
      </c>
      <c r="K5166" s="256" t="inlineStr">
        <is>
          <t xml:space="preserve">'9TH FLR    '!C185</t>
        </is>
      </c>
    </row>
    <row r="5167">
      <c r="C5167" s="246" t="inlineStr">
        <is>
          <t xml:space="preserve">Ninth floor - HW1</t>
        </is>
      </c>
      <c r="H5167" s="247">
        <v>10</v>
      </c>
      <c r="J5167" s="253" t="inlineStr">
        <is>
          <t xml:space="preserve">10</t>
        </is>
      </c>
    </row>
    <row r="5168">
      <c r="C5168" s="250" t="inlineStr">
        <is>
          <t xml:space="preserve">Total carried to BOQ  9TH FLR item H</t>
        </is>
      </c>
      <c r="D5168" s="250" t="inlineStr">
        <is>
          <t xml:space="preserve"/>
        </is>
      </c>
      <c r="E5168" s="250" t="inlineStr">
        <is>
          <t xml:space="preserve"/>
        </is>
      </c>
      <c r="F5168" s="250" t="inlineStr">
        <is>
          <t xml:space="preserve"/>
        </is>
      </c>
      <c r="G5168" s="250" t="inlineStr">
        <is>
          <t xml:space="preserve"/>
        </is>
      </c>
      <c r="H5168" s="251">
        <f>SUM(H5167:H5167)</f>
        <v>10</v>
      </c>
      <c r="I5168" s="252" t="inlineStr">
        <is>
          <t xml:space="preserve">nr</t>
        </is>
      </c>
    </row>
    <row r="5169">
      <c r="A5169" s="243" t="inlineStr">
        <is>
          <t xml:space="preserve">9TH FLR</t>
        </is>
      </c>
      <c r="B5169" s="243" t="inlineStr">
        <is>
          <t xml:space="preserve">J</t>
        </is>
      </c>
      <c r="C5169" s="244" t="inlineStr">
        <is>
          <t xml:space="preserve">2 bay alu. framed glass sliding window 750mm x 600mm (HW2)</t>
        </is>
      </c>
      <c r="I5169" s="245" t="inlineStr">
        <is>
          <t xml:space="preserve">nr</t>
        </is>
      </c>
      <c r="K5169" s="256" t="inlineStr">
        <is>
          <t xml:space="preserve">'9TH FLR    '!C187</t>
        </is>
      </c>
    </row>
    <row r="5170">
      <c r="C5170" s="246" t="inlineStr">
        <is>
          <t xml:space="preserve">Ninth floor - HW2</t>
        </is>
      </c>
      <c r="H5170" s="247">
        <v>4</v>
      </c>
      <c r="J5170" s="253" t="inlineStr">
        <is>
          <t xml:space="preserve">4</t>
        </is>
      </c>
    </row>
    <row r="5171">
      <c r="C5171" s="250" t="inlineStr">
        <is>
          <t xml:space="preserve">Total carried to BOQ  9TH FLR item J</t>
        </is>
      </c>
      <c r="D5171" s="250" t="inlineStr">
        <is>
          <t xml:space="preserve"/>
        </is>
      </c>
      <c r="E5171" s="250" t="inlineStr">
        <is>
          <t xml:space="preserve"/>
        </is>
      </c>
      <c r="F5171" s="250" t="inlineStr">
        <is>
          <t xml:space="preserve"/>
        </is>
      </c>
      <c r="G5171" s="250" t="inlineStr">
        <is>
          <t xml:space="preserve"/>
        </is>
      </c>
      <c r="H5171" s="251">
        <f>SUM(H5170:H5170)</f>
        <v>4</v>
      </c>
      <c r="I5171" s="252" t="inlineStr">
        <is>
          <t xml:space="preserve">nr</t>
        </is>
      </c>
    </row>
    <row r="5172">
      <c r="A5172" s="243" t="inlineStr">
        <is>
          <t xml:space="preserve">9TH FLR</t>
        </is>
      </c>
      <c r="B5172" s="243" t="inlineStr">
        <is>
          <t xml:space="preserve">K</t>
        </is>
      </c>
      <c r="C5172" s="244" t="inlineStr">
        <is>
          <t xml:space="preserve">2 bay alu. framed glass sliding window 600mm x 600mm (HW3)</t>
        </is>
      </c>
      <c r="I5172" s="245" t="inlineStr">
        <is>
          <t xml:space="preserve">nr</t>
        </is>
      </c>
      <c r="K5172" s="256" t="inlineStr">
        <is>
          <t xml:space="preserve">'9TH FLR    '!C189</t>
        </is>
      </c>
    </row>
    <row r="5173">
      <c r="C5173" s="246" t="inlineStr">
        <is>
          <t xml:space="preserve">Ninth floor - HW4</t>
        </is>
      </c>
      <c r="H5173" s="247">
        <v>1</v>
      </c>
      <c r="J5173" s="253" t="inlineStr">
        <is>
          <t xml:space="preserve">1</t>
        </is>
      </c>
    </row>
    <row r="5174">
      <c r="C5174" s="250" t="inlineStr">
        <is>
          <t xml:space="preserve">Total carried to BOQ  9TH FLR item K</t>
        </is>
      </c>
      <c r="D5174" s="250" t="inlineStr">
        <is>
          <t xml:space="preserve"/>
        </is>
      </c>
      <c r="E5174" s="250" t="inlineStr">
        <is>
          <t xml:space="preserve"/>
        </is>
      </c>
      <c r="F5174" s="250" t="inlineStr">
        <is>
          <t xml:space="preserve"/>
        </is>
      </c>
      <c r="G5174" s="250" t="inlineStr">
        <is>
          <t xml:space="preserve"/>
        </is>
      </c>
      <c r="H5174" s="251">
        <f>SUM(H5173:H5173)</f>
        <v>1</v>
      </c>
      <c r="I5174" s="252" t="inlineStr">
        <is>
          <t xml:space="preserve">nr</t>
        </is>
      </c>
    </row>
    <row r="5175">
      <c r="A5175" s="243" t="inlineStr">
        <is>
          <t xml:space="preserve">9TH FLR</t>
        </is>
      </c>
      <c r="B5175" s="243" t="inlineStr">
        <is>
          <t xml:space="preserve">L</t>
        </is>
      </c>
      <c r="C5175" s="244" t="inlineStr">
        <is>
          <t xml:space="preserve">2 bay alu. framed glass sliding window 1200mm x 600mm (HW4)</t>
        </is>
      </c>
      <c r="I5175" s="245" t="inlineStr">
        <is>
          <t xml:space="preserve">nr</t>
        </is>
      </c>
      <c r="K5175" s="256" t="inlineStr">
        <is>
          <t xml:space="preserve">'9TH FLR    '!C191</t>
        </is>
      </c>
    </row>
    <row r="5176">
      <c r="C5176" s="246" t="inlineStr">
        <is>
          <t xml:space="preserve">Ninth floor - HW4</t>
        </is>
      </c>
      <c r="H5176" s="247">
        <v>1</v>
      </c>
      <c r="J5176" s="253" t="inlineStr">
        <is>
          <t xml:space="preserve">1</t>
        </is>
      </c>
    </row>
    <row r="5177">
      <c r="C5177" s="250" t="inlineStr">
        <is>
          <t xml:space="preserve">Total carried to BOQ  9TH FLR item L</t>
        </is>
      </c>
      <c r="D5177" s="250" t="inlineStr">
        <is>
          <t xml:space="preserve"/>
        </is>
      </c>
      <c r="E5177" s="250" t="inlineStr">
        <is>
          <t xml:space="preserve"/>
        </is>
      </c>
      <c r="F5177" s="250" t="inlineStr">
        <is>
          <t xml:space="preserve"/>
        </is>
      </c>
      <c r="G5177" s="250" t="inlineStr">
        <is>
          <t xml:space="preserve"/>
        </is>
      </c>
      <c r="H5177" s="251">
        <f>SUM(H5176:H5176)</f>
        <v>1</v>
      </c>
      <c r="I5177" s="252" t="inlineStr">
        <is>
          <t xml:space="preserve">nr</t>
        </is>
      </c>
    </row>
    <row r="5178">
      <c r="C5178" s="242" t="inlineStr">
        <is>
          <t xml:space="preserve">ELEMENT NO. 5: FLOOR FINISHES</t>
        </is>
      </c>
    </row>
    <row r="5179">
      <c r="C5179" s="242" t="inlineStr">
        <is>
          <t xml:space="preserve">M10/M40 FLOOR FINISHES</t>
        </is>
      </c>
    </row>
    <row r="5180" ht="32.2" customHeight="1">
      <c r="A5180" s="243" t="inlineStr">
        <is>
          <t xml:space="preserve">9TH FLR</t>
        </is>
      </c>
      <c r="B5180" s="243" t="inlineStr">
        <is>
          <t xml:space="preserve">A</t>
        </is>
      </c>
      <c r="C5180" s="244" t="inlineStr">
        <is>
          <t xml:space="preserve">25mm cement and sand (1:3) screeded finish laid level on concrete and finished smooth with steel trowel</t>
        </is>
      </c>
      <c r="I5180" s="245" t="inlineStr">
        <is>
          <t xml:space="preserve">m2</t>
        </is>
      </c>
      <c r="K5180" s="256" t="inlineStr">
        <is>
          <t xml:space="preserve">'9TH FLR    '!C200</t>
        </is>
      </c>
    </row>
    <row r="5181">
      <c r="C5181" s="246" t="inlineStr">
        <is>
          <t xml:space="preserve">Ninth floor - Tiled floor areas (measured)</t>
        </is>
      </c>
      <c r="H5181" s="247">
        <v>572.7</v>
      </c>
      <c r="J5181" s="253" t="inlineStr">
        <is>
          <t xml:space="preserve">572.7</t>
        </is>
      </c>
    </row>
    <row r="5182">
      <c r="C5182" s="250" t="inlineStr">
        <is>
          <t xml:space="preserve">Total carried to BOQ  9TH FLR item A</t>
        </is>
      </c>
      <c r="D5182" s="250" t="inlineStr">
        <is>
          <t xml:space="preserve"/>
        </is>
      </c>
      <c r="E5182" s="250" t="inlineStr">
        <is>
          <t xml:space="preserve"/>
        </is>
      </c>
      <c r="F5182" s="250" t="inlineStr">
        <is>
          <t xml:space="preserve"/>
        </is>
      </c>
      <c r="G5182" s="250" t="inlineStr">
        <is>
          <t xml:space="preserve"/>
        </is>
      </c>
      <c r="H5182" s="251">
        <f>SUM(H5181:H5181)</f>
        <v>572.7</v>
      </c>
      <c r="I5182" s="252" t="inlineStr">
        <is>
          <t xml:space="preserve">m2</t>
        </is>
      </c>
    </row>
    <row r="5183" ht="32.2" customHeight="1">
      <c r="A5183" s="243" t="inlineStr">
        <is>
          <t xml:space="preserve">9TH FLR</t>
        </is>
      </c>
      <c r="B5183" s="243" t="inlineStr">
        <is>
          <t xml:space="preserve">B</t>
        </is>
      </c>
      <c r="C5183" s="244" t="inlineStr">
        <is>
          <t xml:space="preserve">12mm cement and sand (1:4) screeded bed laid level on concrete floor to receive floor tiles</t>
        </is>
      </c>
      <c r="I5183" s="245" t="inlineStr">
        <is>
          <t xml:space="preserve">m2</t>
        </is>
      </c>
      <c r="K5183" s="256" t="inlineStr">
        <is>
          <t xml:space="preserve">'9TH FLR    '!C202</t>
        </is>
      </c>
    </row>
    <row r="5184">
      <c r="C5184" s="246" t="inlineStr">
        <is>
          <t xml:space="preserve">Ninth floor - Tiled floor areas (measured)</t>
        </is>
      </c>
      <c r="H5184" s="247">
        <v>572.7</v>
      </c>
      <c r="J5184" s="253" t="inlineStr">
        <is>
          <t xml:space="preserve">572.7</t>
        </is>
      </c>
    </row>
    <row r="5185">
      <c r="C5185" s="246" t="inlineStr">
        <is>
          <t xml:space="preserve">Stair finishes (treads, risers, landings) - flights: 2 x 1.8 x 3.0</t>
        </is>
      </c>
      <c r="D5185" s="248">
        <v>2</v>
      </c>
      <c r="E5185" s="247">
        <v>1.8</v>
      </c>
      <c r="F5185" s="247">
        <v>3.0</v>
      </c>
      <c r="H5185" s="249">
        <f>PRODUCT(D5185:G5185)</f>
        <v>10.8</v>
      </c>
      <c r="J5185" s="253" t="inlineStr">
        <is>
          <t xml:space="preserve">2*1.8*3.0</t>
        </is>
      </c>
    </row>
    <row r="5186">
      <c r="C5186" s="246" t="inlineStr">
        <is>
          <t xml:space="preserve">Stair finishes (treads, risers, landings) - risers: 22 x 0.15 x 1.8</t>
        </is>
      </c>
      <c r="D5186" s="248">
        <v>22</v>
      </c>
      <c r="E5186" s="247">
        <v>0.15</v>
      </c>
      <c r="F5186" s="247">
        <v>1.8</v>
      </c>
      <c r="H5186" s="249">
        <f>PRODUCT(D5186:G5186)</f>
        <v>5.9399999999999995</v>
      </c>
      <c r="J5186" s="253" t="inlineStr">
        <is>
          <t xml:space="preserve">22*0.15*1.8</t>
        </is>
      </c>
    </row>
    <row r="5187">
      <c r="C5187" s="246" t="inlineStr">
        <is>
          <t xml:space="preserve">Stair finishes (treads, risers, landings) - floor landing 2.2 x 3.75</t>
        </is>
      </c>
      <c r="E5187" s="247">
        <v>2.2</v>
      </c>
      <c r="F5187" s="247">
        <v>3.75</v>
      </c>
      <c r="H5187" s="249">
        <f>PRODUCT(D5187:G5187)</f>
        <v>8.25</v>
      </c>
      <c r="J5187" s="253" t="inlineStr">
        <is>
          <t xml:space="preserve">2.2*3.75</t>
        </is>
      </c>
    </row>
    <row r="5188">
      <c r="C5188" s="246" t="inlineStr">
        <is>
          <t xml:space="preserve">Stair finishes (treads, risers, landings) - half landing 1.8 x 3.75</t>
        </is>
      </c>
      <c r="E5188" s="247">
        <v>1.8</v>
      </c>
      <c r="F5188" s="247">
        <v>3.75</v>
      </c>
      <c r="H5188" s="249">
        <f>PRODUCT(D5188:G5188)</f>
        <v>6.75</v>
      </c>
      <c r="J5188" s="253" t="inlineStr">
        <is>
          <t xml:space="preserve">1.8*3.75</t>
        </is>
      </c>
    </row>
    <row r="5189">
      <c r="C5189" s="246" t="inlineStr">
        <is>
          <t xml:space="preserve">Stair finishes (treads, risers, landings) - flights: 2 x 1.8 x 3.0</t>
        </is>
      </c>
      <c r="D5189" s="248">
        <v>2</v>
      </c>
      <c r="E5189" s="247">
        <v>1.8</v>
      </c>
      <c r="F5189" s="247">
        <v>3.0</v>
      </c>
      <c r="H5189" s="249">
        <f>PRODUCT(D5189:G5189)</f>
        <v>10.8</v>
      </c>
      <c r="J5189" s="253" t="inlineStr">
        <is>
          <t xml:space="preserve">2*1.8*3.0</t>
        </is>
      </c>
    </row>
    <row r="5190">
      <c r="C5190" s="246" t="inlineStr">
        <is>
          <t xml:space="preserve">Stair finishes (treads, risers, landings) - risers: 22 x 0.15 x 1.8</t>
        </is>
      </c>
      <c r="D5190" s="248">
        <v>22</v>
      </c>
      <c r="E5190" s="247">
        <v>0.15</v>
      </c>
      <c r="F5190" s="247">
        <v>1.8</v>
      </c>
      <c r="H5190" s="249">
        <f>PRODUCT(D5190:G5190)</f>
        <v>5.9399999999999995</v>
      </c>
      <c r="J5190" s="253" t="inlineStr">
        <is>
          <t xml:space="preserve">22*0.15*1.8</t>
        </is>
      </c>
    </row>
    <row r="5191">
      <c r="C5191" s="246" t="inlineStr">
        <is>
          <t xml:space="preserve">Stair finishes (treads, risers, landings) - floor landing 2.2 x 3.75</t>
        </is>
      </c>
      <c r="E5191" s="247">
        <v>2.2</v>
      </c>
      <c r="F5191" s="247">
        <v>3.75</v>
      </c>
      <c r="H5191" s="249">
        <f>PRODUCT(D5191:G5191)</f>
        <v>8.25</v>
      </c>
      <c r="J5191" s="253" t="inlineStr">
        <is>
          <t xml:space="preserve">2.2*3.75</t>
        </is>
      </c>
    </row>
    <row r="5192">
      <c r="C5192" s="246" t="inlineStr">
        <is>
          <t xml:space="preserve">Stair finishes (treads, risers, landings) - half landing 1.8 x 3.75</t>
        </is>
      </c>
      <c r="E5192" s="247">
        <v>1.8</v>
      </c>
      <c r="F5192" s="247">
        <v>3.75</v>
      </c>
      <c r="H5192" s="249">
        <f>PRODUCT(D5192:G5192)</f>
        <v>6.75</v>
      </c>
      <c r="J5192" s="253" t="inlineStr">
        <is>
          <t xml:space="preserve">1.8*3.75</t>
        </is>
      </c>
    </row>
    <row r="5193">
      <c r="C5193" s="250" t="inlineStr">
        <is>
          <t xml:space="preserve">Total carried to BOQ  9TH FLR item B</t>
        </is>
      </c>
      <c r="D5193" s="250" t="inlineStr">
        <is>
          <t xml:space="preserve"/>
        </is>
      </c>
      <c r="E5193" s="250" t="inlineStr">
        <is>
          <t xml:space="preserve"/>
        </is>
      </c>
      <c r="F5193" s="250" t="inlineStr">
        <is>
          <t xml:space="preserve"/>
        </is>
      </c>
      <c r="G5193" s="250" t="inlineStr">
        <is>
          <t xml:space="preserve"/>
        </is>
      </c>
      <c r="H5193" s="251">
        <f>SUM(H5184:H5192)</f>
        <v>636.1800000000001</v>
      </c>
      <c r="I5193" s="252" t="inlineStr">
        <is>
          <t xml:space="preserve">m2</t>
        </is>
      </c>
    </row>
    <row r="5194" ht="32.2" customHeight="1">
      <c r="A5194" s="243" t="inlineStr">
        <is>
          <t xml:space="preserve">9TH FLR</t>
        </is>
      </c>
      <c r="B5194" s="243" t="inlineStr">
        <is>
          <t xml:space="preserve">C</t>
        </is>
      </c>
      <c r="C5194" s="244" t="inlineStr">
        <is>
          <t xml:space="preserve">400x400mm non-slip porcelain floor tiles to washrooms &amp; WCs, adhesive, grout and cutting</t>
        </is>
      </c>
      <c r="I5194" s="245" t="inlineStr">
        <is>
          <t xml:space="preserve">m2</t>
        </is>
      </c>
      <c r="K5194" s="256" t="inlineStr">
        <is>
          <t xml:space="preserve">'9TH FLR    '!C204</t>
        </is>
      </c>
    </row>
    <row r="5195">
      <c r="C5195" s="246" t="inlineStr">
        <is>
          <t xml:space="preserve">Ninth floor - Washroom ceiling areas (measured)</t>
        </is>
      </c>
      <c r="H5195" s="247">
        <v>48.7</v>
      </c>
      <c r="J5195" s="253" t="inlineStr">
        <is>
          <t xml:space="preserve">48.7</t>
        </is>
      </c>
    </row>
    <row r="5196">
      <c r="C5196" s="250" t="inlineStr">
        <is>
          <t xml:space="preserve">Total carried to BOQ  9TH FLR item C</t>
        </is>
      </c>
      <c r="D5196" s="250" t="inlineStr">
        <is>
          <t xml:space="preserve"/>
        </is>
      </c>
      <c r="E5196" s="250" t="inlineStr">
        <is>
          <t xml:space="preserve"/>
        </is>
      </c>
      <c r="F5196" s="250" t="inlineStr">
        <is>
          <t xml:space="preserve"/>
        </is>
      </c>
      <c r="G5196" s="250" t="inlineStr">
        <is>
          <t xml:space="preserve"/>
        </is>
      </c>
      <c r="H5196" s="251">
        <f>SUM(H5195:H5195)</f>
        <v>48.7</v>
      </c>
      <c r="I5196" s="252" t="inlineStr">
        <is>
          <t xml:space="preserve">m2</t>
        </is>
      </c>
    </row>
    <row r="5197" ht="32.2" customHeight="1">
      <c r="A5197" s="243" t="inlineStr">
        <is>
          <t xml:space="preserve">9TH FLR</t>
        </is>
      </c>
      <c r="B5197" s="243" t="inlineStr">
        <is>
          <t xml:space="preserve">D</t>
        </is>
      </c>
      <c r="C5197" s="244" t="inlineStr">
        <is>
          <t xml:space="preserve">500x500mm matte R11 porcelain tiles to staircases (treads, risers and landings)</t>
        </is>
      </c>
      <c r="I5197" s="245" t="inlineStr">
        <is>
          <t xml:space="preserve">m2</t>
        </is>
      </c>
      <c r="K5197" s="256" t="inlineStr">
        <is>
          <t xml:space="preserve">'9TH FLR    '!C206</t>
        </is>
      </c>
    </row>
    <row r="5198">
      <c r="C5198" s="246" t="inlineStr">
        <is>
          <t xml:space="preserve">Ninth floor (+30700) - Main stair flight (storey ht 3.3) - flights: 2 x 1.8 x 3.0</t>
        </is>
      </c>
      <c r="D5198" s="248">
        <v>2</v>
      </c>
      <c r="E5198" s="247">
        <v>1.8</v>
      </c>
      <c r="F5198" s="247">
        <v>3.0</v>
      </c>
      <c r="H5198" s="249">
        <f>PRODUCT(D5198:G5198)</f>
        <v>10.8</v>
      </c>
      <c r="J5198" s="253" t="inlineStr">
        <is>
          <t xml:space="preserve">2*1.8*3.0</t>
        </is>
      </c>
    </row>
    <row r="5199">
      <c r="C5199" s="246" t="inlineStr">
        <is>
          <t xml:space="preserve">Ninth floor (+30700) - Main stair flight (storey ht 3.3) - risers: 22 x 0.15 x 1.8</t>
        </is>
      </c>
      <c r="D5199" s="248">
        <v>22</v>
      </c>
      <c r="E5199" s="247">
        <v>0.15</v>
      </c>
      <c r="F5199" s="247">
        <v>1.8</v>
      </c>
      <c r="H5199" s="249">
        <f>PRODUCT(D5199:G5199)</f>
        <v>5.9399999999999995</v>
      </c>
      <c r="J5199" s="253" t="inlineStr">
        <is>
          <t xml:space="preserve">22*0.15*1.8</t>
        </is>
      </c>
    </row>
    <row r="5200">
      <c r="C5200" s="246" t="inlineStr">
        <is>
          <t xml:space="preserve">Ninth floor (+30700) - Main stair flight (storey ht 3.3) - floor landing 2.2 x 3.75</t>
        </is>
      </c>
      <c r="E5200" s="247">
        <v>2.2</v>
      </c>
      <c r="F5200" s="247">
        <v>3.75</v>
      </c>
      <c r="H5200" s="249">
        <f>PRODUCT(D5200:G5200)</f>
        <v>8.25</v>
      </c>
      <c r="J5200" s="253" t="inlineStr">
        <is>
          <t xml:space="preserve">2.2*3.75</t>
        </is>
      </c>
    </row>
    <row r="5201">
      <c r="C5201" s="246" t="inlineStr">
        <is>
          <t xml:space="preserve">Ninth floor (+30700) - Main stair flight (storey ht 3.3) - half landing 1.8 x 3.75</t>
        </is>
      </c>
      <c r="E5201" s="247">
        <v>1.8</v>
      </c>
      <c r="F5201" s="247">
        <v>3.75</v>
      </c>
      <c r="H5201" s="249">
        <f>PRODUCT(D5201:G5201)</f>
        <v>6.75</v>
      </c>
      <c r="J5201" s="253" t="inlineStr">
        <is>
          <t xml:space="preserve">1.8*3.75</t>
        </is>
      </c>
    </row>
    <row r="5202">
      <c r="C5202" s="246" t="inlineStr">
        <is>
          <t xml:space="preserve">Ninth floor (+30700) - Emergency stair flight (storey ht 3.3) - flights: 2 x 1.8 x 3.0</t>
        </is>
      </c>
      <c r="D5202" s="248">
        <v>2</v>
      </c>
      <c r="E5202" s="247">
        <v>1.8</v>
      </c>
      <c r="F5202" s="247">
        <v>3.0</v>
      </c>
      <c r="H5202" s="249">
        <f>PRODUCT(D5202:G5202)</f>
        <v>10.8</v>
      </c>
      <c r="J5202" s="253" t="inlineStr">
        <is>
          <t xml:space="preserve">2*1.8*3.0</t>
        </is>
      </c>
    </row>
    <row r="5203">
      <c r="C5203" s="246" t="inlineStr">
        <is>
          <t xml:space="preserve">Ninth floor (+30700) - Emergency stair flight (storey ht 3.3) - risers: 22 x 0.15 x 1.8</t>
        </is>
      </c>
      <c r="D5203" s="248">
        <v>22</v>
      </c>
      <c r="E5203" s="247">
        <v>0.15</v>
      </c>
      <c r="F5203" s="247">
        <v>1.8</v>
      </c>
      <c r="H5203" s="249">
        <f>PRODUCT(D5203:G5203)</f>
        <v>5.9399999999999995</v>
      </c>
      <c r="J5203" s="253" t="inlineStr">
        <is>
          <t xml:space="preserve">22*0.15*1.8</t>
        </is>
      </c>
    </row>
    <row r="5204">
      <c r="C5204" s="246" t="inlineStr">
        <is>
          <t xml:space="preserve">Ninth floor (+30700) - Emergency stair flight (storey ht 3.3) - floor landing 2.2 x 3.75</t>
        </is>
      </c>
      <c r="E5204" s="247">
        <v>2.2</v>
      </c>
      <c r="F5204" s="247">
        <v>3.75</v>
      </c>
      <c r="H5204" s="249">
        <f>PRODUCT(D5204:G5204)</f>
        <v>8.25</v>
      </c>
      <c r="J5204" s="253" t="inlineStr">
        <is>
          <t xml:space="preserve">2.2*3.75</t>
        </is>
      </c>
    </row>
    <row r="5205">
      <c r="C5205" s="246" t="inlineStr">
        <is>
          <t xml:space="preserve">Ninth floor (+30700) - Emergency stair flight (storey ht 3.3) - half landing 1.8 x 3.75</t>
        </is>
      </c>
      <c r="E5205" s="247">
        <v>1.8</v>
      </c>
      <c r="F5205" s="247">
        <v>3.75</v>
      </c>
      <c r="H5205" s="249">
        <f>PRODUCT(D5205:G5205)</f>
        <v>6.75</v>
      </c>
      <c r="J5205" s="253" t="inlineStr">
        <is>
          <t xml:space="preserve">1.8*3.75</t>
        </is>
      </c>
    </row>
    <row r="5206">
      <c r="C5206" s="250" t="inlineStr">
        <is>
          <t xml:space="preserve">Total carried to BOQ  9TH FLR item D</t>
        </is>
      </c>
      <c r="D5206" s="250" t="inlineStr">
        <is>
          <t xml:space="preserve"/>
        </is>
      </c>
      <c r="E5206" s="250" t="inlineStr">
        <is>
          <t xml:space="preserve"/>
        </is>
      </c>
      <c r="F5206" s="250" t="inlineStr">
        <is>
          <t xml:space="preserve"/>
        </is>
      </c>
      <c r="G5206" s="250" t="inlineStr">
        <is>
          <t xml:space="preserve"/>
        </is>
      </c>
      <c r="H5206" s="251">
        <f>SUM(H5198:H5205)</f>
        <v>63.480000000000004</v>
      </c>
      <c r="I5206" s="252" t="inlineStr">
        <is>
          <t xml:space="preserve">m2</t>
        </is>
      </c>
    </row>
    <row r="5207" ht="32.2" customHeight="1">
      <c r="A5207" s="243" t="inlineStr">
        <is>
          <t xml:space="preserve">9TH FLR</t>
        </is>
      </c>
      <c r="B5207" s="243" t="inlineStr">
        <is>
          <t xml:space="preserve">E</t>
        </is>
      </c>
      <c r="C5207" s="244" t="inlineStr">
        <is>
          <t xml:space="preserve">600x600mm semi-polished porcelain floor tiles to habitable rooms, shops &amp; offices</t>
        </is>
      </c>
      <c r="I5207" s="245" t="inlineStr">
        <is>
          <t xml:space="preserve">m2</t>
        </is>
      </c>
      <c r="K5207" s="256" t="inlineStr">
        <is>
          <t xml:space="preserve">'9TH FLR    '!C208</t>
        </is>
      </c>
    </row>
    <row r="5208">
      <c r="C5208" s="246" t="inlineStr">
        <is>
          <t xml:space="preserve">Ninth floor - Habitable rooms (measured)</t>
        </is>
      </c>
      <c r="H5208" s="247">
        <v>293.7</v>
      </c>
      <c r="J5208" s="253" t="inlineStr">
        <is>
          <t xml:space="preserve">293.7</t>
        </is>
      </c>
    </row>
    <row r="5209">
      <c r="C5209" s="250" t="inlineStr">
        <is>
          <t xml:space="preserve">Total carried to BOQ  9TH FLR item E</t>
        </is>
      </c>
      <c r="D5209" s="250" t="inlineStr">
        <is>
          <t xml:space="preserve"/>
        </is>
      </c>
      <c r="E5209" s="250" t="inlineStr">
        <is>
          <t xml:space="preserve"/>
        </is>
      </c>
      <c r="F5209" s="250" t="inlineStr">
        <is>
          <t xml:space="preserve"/>
        </is>
      </c>
      <c r="G5209" s="250" t="inlineStr">
        <is>
          <t xml:space="preserve"/>
        </is>
      </c>
      <c r="H5209" s="251">
        <f>SUM(H5208:H5208)</f>
        <v>293.7</v>
      </c>
      <c r="I5209" s="252" t="inlineStr">
        <is>
          <t xml:space="preserve">m2</t>
        </is>
      </c>
    </row>
    <row r="5210" ht="32.2" customHeight="1">
      <c r="A5210" s="243" t="inlineStr">
        <is>
          <t xml:space="preserve">9TH FLR</t>
        </is>
      </c>
      <c r="B5210" s="243" t="inlineStr">
        <is>
          <t xml:space="preserve">F</t>
        </is>
      </c>
      <c r="C5210" s="244" t="inlineStr">
        <is>
          <t xml:space="preserve">600x1200mm semi-polished porcelain floor tiles to stair/lift lobbies &amp; reception</t>
        </is>
      </c>
      <c r="I5210" s="245" t="inlineStr">
        <is>
          <t xml:space="preserve">m2</t>
        </is>
      </c>
      <c r="K5210" s="256" t="inlineStr">
        <is>
          <t xml:space="preserve">'9TH FLR    '!C210</t>
        </is>
      </c>
    </row>
    <row r="5211">
      <c r="C5211" s="246" t="inlineStr">
        <is>
          <t xml:space="preserve">Ninth floor - Lobbies (measured)</t>
        </is>
      </c>
      <c r="H5211" s="247">
        <v>33.8</v>
      </c>
      <c r="J5211" s="253" t="inlineStr">
        <is>
          <t xml:space="preserve">33.8</t>
        </is>
      </c>
    </row>
    <row r="5212">
      <c r="C5212" s="250" t="inlineStr">
        <is>
          <t xml:space="preserve">Total carried to BOQ  9TH FLR item F</t>
        </is>
      </c>
      <c r="D5212" s="250" t="inlineStr">
        <is>
          <t xml:space="preserve"/>
        </is>
      </c>
      <c r="E5212" s="250" t="inlineStr">
        <is>
          <t xml:space="preserve"/>
        </is>
      </c>
      <c r="F5212" s="250" t="inlineStr">
        <is>
          <t xml:space="preserve"/>
        </is>
      </c>
      <c r="G5212" s="250" t="inlineStr">
        <is>
          <t xml:space="preserve"/>
        </is>
      </c>
      <c r="H5212" s="251">
        <f>SUM(H5211:H5211)</f>
        <v>33.8</v>
      </c>
      <c r="I5212" s="252" t="inlineStr">
        <is>
          <t xml:space="preserve">m2</t>
        </is>
      </c>
    </row>
    <row r="5213" ht="32.2" customHeight="1">
      <c r="A5213" s="243" t="inlineStr">
        <is>
          <t xml:space="preserve">9TH FLR</t>
        </is>
      </c>
      <c r="B5213" s="243" t="inlineStr">
        <is>
          <t xml:space="preserve">G</t>
        </is>
      </c>
      <c r="C5213" s="244" t="inlineStr">
        <is>
          <t xml:space="preserve">600x600mm non-slip R11 porcelain tiles to corridors, terraces, verandah &amp; service areas</t>
        </is>
      </c>
      <c r="I5213" s="245" t="inlineStr">
        <is>
          <t xml:space="preserve">m2</t>
        </is>
      </c>
      <c r="K5213" s="256" t="inlineStr">
        <is>
          <t xml:space="preserve">'9TH FLR    '!C212</t>
        </is>
      </c>
    </row>
    <row r="5214">
      <c r="C5214" s="246" t="inlineStr">
        <is>
          <t xml:space="preserve">Ninth floor - Corridors/terraces/service (measured)</t>
        </is>
      </c>
      <c r="H5214" s="247">
        <v>196.5</v>
      </c>
      <c r="J5214" s="253" t="inlineStr">
        <is>
          <t xml:space="preserve">196.5</t>
        </is>
      </c>
    </row>
    <row r="5215">
      <c r="C5215" s="250" t="inlineStr">
        <is>
          <t xml:space="preserve">Total carried to BOQ  9TH FLR item G</t>
        </is>
      </c>
      <c r="D5215" s="250" t="inlineStr">
        <is>
          <t xml:space="preserve"/>
        </is>
      </c>
      <c r="E5215" s="250" t="inlineStr">
        <is>
          <t xml:space="preserve"/>
        </is>
      </c>
      <c r="F5215" s="250" t="inlineStr">
        <is>
          <t xml:space="preserve"/>
        </is>
      </c>
      <c r="G5215" s="250" t="inlineStr">
        <is>
          <t xml:space="preserve"/>
        </is>
      </c>
      <c r="H5215" s="251">
        <f>SUM(H5214:H5214)</f>
        <v>196.5</v>
      </c>
      <c r="I5215" s="252" t="inlineStr">
        <is>
          <t xml:space="preserve">m2</t>
        </is>
      </c>
    </row>
    <row r="5216">
      <c r="A5216" s="243" t="inlineStr">
        <is>
          <t xml:space="preserve">9TH FLR</t>
        </is>
      </c>
      <c r="B5216" s="243" t="inlineStr">
        <is>
          <t xml:space="preserve">H</t>
        </is>
      </c>
      <c r="C5216" s="244" t="inlineStr">
        <is>
          <t xml:space="preserve">Interlocking composite tiles to roof-top outdoor sitting &amp; play areas</t>
        </is>
      </c>
      <c r="I5216" s="245" t="inlineStr">
        <is>
          <t xml:space="preserve">m2</t>
        </is>
      </c>
      <c r="K5216" s="256" t="inlineStr">
        <is>
          <t xml:space="preserve">'9TH FLR    '!C214</t>
        </is>
      </c>
    </row>
    <row r="5217">
      <c r="C5217" s="246" t="inlineStr">
        <is>
          <t xml:space="preserve">Waterproofing screed area</t>
        </is>
      </c>
      <c r="H5217" s="247">
        <v>337.4</v>
      </c>
      <c r="J5217" s="253" t="inlineStr">
        <is>
          <t xml:space="preserve">337.4</t>
        </is>
      </c>
    </row>
    <row r="5218">
      <c r="C5218" s="250" t="inlineStr">
        <is>
          <t xml:space="preserve">Total carried to BOQ  9TH FLR item H</t>
        </is>
      </c>
      <c r="D5218" s="250" t="inlineStr">
        <is>
          <t xml:space="preserve"/>
        </is>
      </c>
      <c r="E5218" s="250" t="inlineStr">
        <is>
          <t xml:space="preserve"/>
        </is>
      </c>
      <c r="F5218" s="250" t="inlineStr">
        <is>
          <t xml:space="preserve"/>
        </is>
      </c>
      <c r="G5218" s="250" t="inlineStr">
        <is>
          <t xml:space="preserve"/>
        </is>
      </c>
      <c r="H5218" s="251">
        <f>SUM(H5217:H5217)</f>
        <v>337.4</v>
      </c>
      <c r="I5218" s="252" t="inlineStr">
        <is>
          <t xml:space="preserve">m2</t>
        </is>
      </c>
    </row>
    <row r="5219">
      <c r="C5219" s="242" t="inlineStr">
        <is>
          <t xml:space="preserve">ELEMENT NO. 6: WALL FINISHES</t>
        </is>
      </c>
    </row>
    <row r="5220">
      <c r="C5220" s="242" t="inlineStr">
        <is>
          <t xml:space="preserve">M20 PLASTERED/RENDERED COATINGS - 12.5mm cement and sand (1:3) rendering as described on blockwork or concrete to:</t>
        </is>
      </c>
    </row>
    <row r="5221">
      <c r="A5221" s="243" t="inlineStr">
        <is>
          <t xml:space="preserve">9TH FLR</t>
        </is>
      </c>
      <c r="B5221" s="243" t="inlineStr">
        <is>
          <t xml:space="preserve">A</t>
        </is>
      </c>
      <c r="C5221" s="244" t="inlineStr">
        <is>
          <t xml:space="preserve">Interior walls</t>
        </is>
      </c>
      <c r="I5221" s="245" t="inlineStr">
        <is>
          <t xml:space="preserve">m2</t>
        </is>
      </c>
      <c r="K5221" s="256" t="inlineStr">
        <is>
          <t xml:space="preserve">'9TH FLR    '!C223</t>
        </is>
      </c>
    </row>
    <row r="5222">
      <c r="C5222" s="246" t="inlineStr">
        <is>
          <t xml:space="preserve">block wall faces: 2 x (150 + 200 block runs) x ht</t>
        </is>
      </c>
      <c r="D5222" s="248">
        <v>2</v>
      </c>
      <c r="E5222" s="247">
        <f>397.2+25.6</f>
        <v>422.8</v>
      </c>
      <c r="F5222" s="247">
        <v>3.05</v>
      </c>
      <c r="H5222" s="249">
        <f>PRODUCT(D5222:G5222)</f>
        <v>2579.08</v>
      </c>
      <c r="J5222" s="253" t="inlineStr">
        <is>
          <t xml:space="preserve">2*(397.2+25.6)*3.05</t>
        </is>
      </c>
    </row>
    <row r="5223">
      <c r="C5223" s="246" t="inlineStr">
        <is>
          <t xml:space="preserve">RC wall faces: 2 x RC wall run x ht</t>
        </is>
      </c>
      <c r="D5223" s="248">
        <v>2</v>
      </c>
      <c r="E5223" s="247">
        <v>51.7</v>
      </c>
      <c r="F5223" s="247">
        <v>3.05</v>
      </c>
      <c r="H5223" s="249">
        <f>PRODUCT(D5223:G5223)</f>
        <v>315.37</v>
      </c>
      <c r="J5223" s="253" t="inlineStr">
        <is>
          <t xml:space="preserve">2*51.7*3.05</t>
        </is>
      </c>
    </row>
    <row r="5224">
      <c r="C5224" s="246" t="inlineStr">
        <is>
          <t xml:space="preserve">Ddt lift/stair shaft inner faces 16.8 m x ht</t>
        </is>
      </c>
      <c r="E5224" s="247">
        <v>16.8</v>
      </c>
      <c r="F5224" s="247">
        <v>3.05</v>
      </c>
      <c r="H5224" s="249">
        <f>-PRODUCT(D5224:G5224)</f>
        <v>-51.24</v>
      </c>
      <c r="J5224" s="253" t="inlineStr">
        <is>
          <t xml:space="preserve">-16.8*3.05</t>
        </is>
      </c>
    </row>
    <row r="5225">
      <c r="C5225" s="246" t="inlineStr">
        <is>
          <t xml:space="preserve">Ddt external face of perimeter wall (rendered externally)</t>
        </is>
      </c>
      <c r="E5225" s="247">
        <v>224.1</v>
      </c>
      <c r="F5225" s="247">
        <v>3.05</v>
      </c>
      <c r="H5225" s="249">
        <f>-PRODUCT(D5225:G5225)</f>
        <v>-683.505</v>
      </c>
      <c r="J5225" s="253" t="inlineStr">
        <is>
          <t xml:space="preserve">-224.1*3.05</t>
        </is>
      </c>
    </row>
    <row r="5226">
      <c r="C5226" s="246" t="inlineStr">
        <is>
          <t xml:space="preserve">Ddt washroom walls (measured separately)</t>
        </is>
      </c>
      <c r="E5226" s="247">
        <f>48.7/3.8</f>
        <v>12.815789473684212</v>
      </c>
      <c r="F5226" s="247">
        <v>8.0</v>
      </c>
      <c r="G5226" s="247">
        <v>3.05</v>
      </c>
      <c r="H5226" s="249">
        <f>-PRODUCT(D5226:G5226)</f>
        <v>-312.70526315789476</v>
      </c>
      <c r="J5226" s="253" t="inlineStr">
        <is>
          <t xml:space="preserve">-48.7/3.8*8.0*3.05</t>
        </is>
      </c>
    </row>
    <row r="5227">
      <c r="C5227" s="246" t="inlineStr">
        <is>
          <t xml:space="preserve">Ddt opening D2 (4 nr, 1x2.2) - both faces</t>
        </is>
      </c>
      <c r="D5227" s="248">
        <f>2*4</f>
        <v>8</v>
      </c>
      <c r="E5227" s="247">
        <v>1</v>
      </c>
      <c r="F5227" s="247">
        <v>2.2</v>
      </c>
      <c r="H5227" s="249">
        <f>-PRODUCT(D5227:G5227)</f>
        <v>-17.6</v>
      </c>
      <c r="J5227" s="253" t="inlineStr">
        <is>
          <t xml:space="preserve">-2*4*1*2.2</t>
        </is>
      </c>
    </row>
    <row r="5228">
      <c r="C5228" s="246" t="inlineStr">
        <is>
          <t xml:space="preserve">Ddt opening D3 (8 nr, 0.9x2.2) - both faces</t>
        </is>
      </c>
      <c r="D5228" s="248">
        <f>2*8</f>
        <v>16</v>
      </c>
      <c r="E5228" s="247">
        <v>0.9</v>
      </c>
      <c r="F5228" s="247">
        <v>2.2</v>
      </c>
      <c r="H5228" s="249">
        <f>-PRODUCT(D5228:G5228)</f>
        <v>-31.680000000000003</v>
      </c>
      <c r="J5228" s="253" t="inlineStr">
        <is>
          <t xml:space="preserve">-2*8*0.9*2.2</t>
        </is>
      </c>
    </row>
    <row r="5229">
      <c r="C5229" s="246" t="inlineStr">
        <is>
          <t xml:space="preserve">Ddt opening D6 (17 nr, 0.75x2.2) - both faces</t>
        </is>
      </c>
      <c r="D5229" s="248">
        <f>2*17</f>
        <v>34</v>
      </c>
      <c r="E5229" s="247">
        <v>0.75</v>
      </c>
      <c r="F5229" s="247">
        <v>2.2</v>
      </c>
      <c r="H5229" s="249">
        <f>-PRODUCT(D5229:G5229)</f>
        <v>-56.1</v>
      </c>
      <c r="J5229" s="253" t="inlineStr">
        <is>
          <t xml:space="preserve">-2*17*0.75*2.2</t>
        </is>
      </c>
    </row>
    <row r="5230">
      <c r="C5230" s="246" t="inlineStr">
        <is>
          <t xml:space="preserve">Ddt opening D7 (1 nr, 0.7x2.2) - both faces</t>
        </is>
      </c>
      <c r="D5230" s="248">
        <f>2*1</f>
        <v>2</v>
      </c>
      <c r="E5230" s="247">
        <v>0.7</v>
      </c>
      <c r="F5230" s="247">
        <v>2.2</v>
      </c>
      <c r="H5230" s="249">
        <f>-PRODUCT(D5230:G5230)</f>
        <v>-3.08</v>
      </c>
      <c r="J5230" s="253" t="inlineStr">
        <is>
          <t xml:space="preserve">-2*1*0.7*2.2</t>
        </is>
      </c>
    </row>
    <row r="5231">
      <c r="C5231" s="246" t="inlineStr">
        <is>
          <t xml:space="preserve">Ddt opening D8 (2 nr, 1.2x2.2) - both faces</t>
        </is>
      </c>
      <c r="D5231" s="248">
        <f>2*2</f>
        <v>4</v>
      </c>
      <c r="E5231" s="247">
        <v>1.2</v>
      </c>
      <c r="F5231" s="247">
        <v>2.2</v>
      </c>
      <c r="H5231" s="249">
        <f>-PRODUCT(D5231:G5231)</f>
        <v>-10.56</v>
      </c>
      <c r="J5231" s="253" t="inlineStr">
        <is>
          <t xml:space="preserve">-2*2*1.2*2.2</t>
        </is>
      </c>
    </row>
    <row r="5232">
      <c r="C5232" s="246" t="inlineStr">
        <is>
          <t xml:space="preserve">Ddt opening ED1 (2 nr, 1x2.2) - both faces</t>
        </is>
      </c>
      <c r="D5232" s="248">
        <f>2*2</f>
        <v>4</v>
      </c>
      <c r="E5232" s="247">
        <v>1</v>
      </c>
      <c r="F5232" s="247">
        <v>2.2</v>
      </c>
      <c r="H5232" s="249">
        <f>-PRODUCT(D5232:G5232)</f>
        <v>-8.8</v>
      </c>
      <c r="J5232" s="253" t="inlineStr">
        <is>
          <t xml:space="preserve">-2*2*1*2.2</t>
        </is>
      </c>
    </row>
    <row r="5233">
      <c r="C5233" s="246" t="inlineStr">
        <is>
          <t xml:space="preserve">Ddt opening ED2 (2 nr, 1x2.2) - both faces</t>
        </is>
      </c>
      <c r="D5233" s="248">
        <f>2*2</f>
        <v>4</v>
      </c>
      <c r="E5233" s="247">
        <v>1</v>
      </c>
      <c r="F5233" s="247">
        <v>2.2</v>
      </c>
      <c r="H5233" s="249">
        <f>-PRODUCT(D5233:G5233)</f>
        <v>-8.8</v>
      </c>
      <c r="J5233" s="253" t="inlineStr">
        <is>
          <t xml:space="preserve">-2*2*1*2.2</t>
        </is>
      </c>
    </row>
    <row r="5234">
      <c r="C5234" s="246" t="inlineStr">
        <is>
          <t xml:space="preserve">Ddt opening D9 (1 nr, 0.9x2.2) - both faces</t>
        </is>
      </c>
      <c r="D5234" s="248">
        <f>2*1</f>
        <v>2</v>
      </c>
      <c r="E5234" s="247">
        <v>0.9</v>
      </c>
      <c r="F5234" s="247">
        <v>2.2</v>
      </c>
      <c r="H5234" s="249">
        <f>-PRODUCT(D5234:G5234)</f>
        <v>-3.9600000000000004</v>
      </c>
      <c r="J5234" s="253" t="inlineStr">
        <is>
          <t xml:space="preserve">-2*1*0.9*2.2</t>
        </is>
      </c>
    </row>
    <row r="5235">
      <c r="C5235" s="246" t="inlineStr">
        <is>
          <t xml:space="preserve">Ddt opening M1 (2 nr, 0.9x2.2) - both faces</t>
        </is>
      </c>
      <c r="D5235" s="248">
        <f>2*2</f>
        <v>4</v>
      </c>
      <c r="E5235" s="247">
        <v>0.9</v>
      </c>
      <c r="F5235" s="247">
        <v>2.2</v>
      </c>
      <c r="H5235" s="249">
        <f>-PRODUCT(D5235:G5235)</f>
        <v>-7.920000000000001</v>
      </c>
      <c r="J5235" s="253" t="inlineStr">
        <is>
          <t xml:space="preserve">-2*2*0.9*2.2</t>
        </is>
      </c>
    </row>
    <row r="5236">
      <c r="C5236" s="246" t="inlineStr">
        <is>
          <t xml:space="preserve">Ddt opening M2 (4 nr, 0.75x2.2) - both faces</t>
        </is>
      </c>
      <c r="D5236" s="248">
        <f>2*4</f>
        <v>8</v>
      </c>
      <c r="E5236" s="247">
        <v>0.75</v>
      </c>
      <c r="F5236" s="247">
        <v>2.2</v>
      </c>
      <c r="H5236" s="249">
        <f>-PRODUCT(D5236:G5236)</f>
        <v>-13.200000000000001</v>
      </c>
      <c r="J5236" s="253" t="inlineStr">
        <is>
          <t xml:space="preserve">-2*4*0.75*2.2</t>
        </is>
      </c>
    </row>
    <row r="5237">
      <c r="C5237" s="246" t="inlineStr">
        <is>
          <t xml:space="preserve">Ddt opening M3 (1 nr, 0.45x2.2) - both faces</t>
        </is>
      </c>
      <c r="D5237" s="248">
        <f>2*1</f>
        <v>2</v>
      </c>
      <c r="E5237" s="247">
        <v>0.45</v>
      </c>
      <c r="F5237" s="247">
        <v>2.2</v>
      </c>
      <c r="H5237" s="249">
        <f>-PRODUCT(D5237:G5237)</f>
        <v>-1.9800000000000002</v>
      </c>
      <c r="J5237" s="253" t="inlineStr">
        <is>
          <t xml:space="preserve">-2*1*0.45*2.2</t>
        </is>
      </c>
    </row>
    <row r="5238">
      <c r="C5238" s="246" t="inlineStr">
        <is>
          <t xml:space="preserve">Ddt opening M5 (3 nr, 0.6x2.2) - both faces</t>
        </is>
      </c>
      <c r="D5238" s="248">
        <f>2*3</f>
        <v>6</v>
      </c>
      <c r="E5238" s="247">
        <v>0.6</v>
      </c>
      <c r="F5238" s="247">
        <v>2.2</v>
      </c>
      <c r="H5238" s="249">
        <f>-PRODUCT(D5238:G5238)</f>
        <v>-7.92</v>
      </c>
      <c r="J5238" s="253" t="inlineStr">
        <is>
          <t xml:space="preserve">-2*3*0.6*2.2</t>
        </is>
      </c>
    </row>
    <row r="5239">
      <c r="C5239" s="246" t="inlineStr">
        <is>
          <t xml:space="preserve">Ddt opening SD1 (1 nr, 3x2.2) - both faces</t>
        </is>
      </c>
      <c r="D5239" s="248">
        <f>2*1</f>
        <v>2</v>
      </c>
      <c r="E5239" s="247">
        <v>3</v>
      </c>
      <c r="F5239" s="247">
        <v>2.2</v>
      </c>
      <c r="H5239" s="249">
        <f>-PRODUCT(D5239:G5239)</f>
        <v>-13.200000000000001</v>
      </c>
      <c r="J5239" s="253" t="inlineStr">
        <is>
          <t xml:space="preserve">-2*1*3*2.2</t>
        </is>
      </c>
    </row>
    <row r="5240">
      <c r="C5240" s="246" t="inlineStr">
        <is>
          <t xml:space="preserve">Ddt opening SD2 (2 nr, 1.6x2.2) - both faces</t>
        </is>
      </c>
      <c r="D5240" s="248">
        <f>2*2</f>
        <v>4</v>
      </c>
      <c r="E5240" s="247">
        <v>1.6</v>
      </c>
      <c r="F5240" s="247">
        <v>2.2</v>
      </c>
      <c r="H5240" s="249">
        <f>-PRODUCT(D5240:G5240)</f>
        <v>-14.080000000000002</v>
      </c>
      <c r="J5240" s="253" t="inlineStr">
        <is>
          <t xml:space="preserve">-2*2*1.6*2.2</t>
        </is>
      </c>
    </row>
    <row r="5241">
      <c r="C5241" s="246" t="inlineStr">
        <is>
          <t xml:space="preserve">Ddt opening SD3 (1 nr, 1.3x2.2) - both faces</t>
        </is>
      </c>
      <c r="D5241" s="248">
        <f>2*1</f>
        <v>2</v>
      </c>
      <c r="E5241" s="247">
        <v>1.3</v>
      </c>
      <c r="F5241" s="247">
        <v>2.2</v>
      </c>
      <c r="H5241" s="249">
        <f>-PRODUCT(D5241:G5241)</f>
        <v>-5.720000000000001</v>
      </c>
      <c r="J5241" s="253" t="inlineStr">
        <is>
          <t xml:space="preserve">-2*1*1.3*2.2</t>
        </is>
      </c>
    </row>
    <row r="5242">
      <c r="C5242" s="246" t="inlineStr">
        <is>
          <t xml:space="preserve">Ddt opening SD4 (2 nr, 1.8x2.2) - both faces</t>
        </is>
      </c>
      <c r="D5242" s="248">
        <f>2*2</f>
        <v>4</v>
      </c>
      <c r="E5242" s="247">
        <v>1.8</v>
      </c>
      <c r="F5242" s="247">
        <v>2.2</v>
      </c>
      <c r="H5242" s="249">
        <f>-PRODUCT(D5242:G5242)</f>
        <v>-15.840000000000002</v>
      </c>
      <c r="J5242" s="253" t="inlineStr">
        <is>
          <t xml:space="preserve">-2*2*1.8*2.2</t>
        </is>
      </c>
    </row>
    <row r="5243">
      <c r="C5243" s="246" t="inlineStr">
        <is>
          <t xml:space="preserve">Ddt opening W2 (3 nr, 1.8x1.3)</t>
        </is>
      </c>
      <c r="D5243" s="248">
        <v>3</v>
      </c>
      <c r="E5243" s="247">
        <v>1.8</v>
      </c>
      <c r="F5243" s="247">
        <v>1.3</v>
      </c>
      <c r="H5243" s="249">
        <f>-PRODUCT(D5243:G5243)</f>
        <v>-7.0200000000000005</v>
      </c>
      <c r="J5243" s="253" t="inlineStr">
        <is>
          <t xml:space="preserve">-3*1.8*1.3</t>
        </is>
      </c>
    </row>
    <row r="5244">
      <c r="C5244" s="246" t="inlineStr">
        <is>
          <t xml:space="preserve">Ddt opening W4 (6 nr, 0.9x1.3)</t>
        </is>
      </c>
      <c r="D5244" s="248">
        <v>6</v>
      </c>
      <c r="E5244" s="247">
        <v>0.9</v>
      </c>
      <c r="F5244" s="247">
        <v>1.3</v>
      </c>
      <c r="H5244" s="249">
        <f>-PRODUCT(D5244:G5244)</f>
        <v>-7.0200000000000005</v>
      </c>
      <c r="J5244" s="253" t="inlineStr">
        <is>
          <t xml:space="preserve">-6*0.9*1.3</t>
        </is>
      </c>
    </row>
    <row r="5245">
      <c r="C5245" s="246" t="inlineStr">
        <is>
          <t xml:space="preserve">Ddt opening W7 (1 nr, 1.8x1.6)</t>
        </is>
      </c>
      <c r="D5245" s="248">
        <v>1</v>
      </c>
      <c r="E5245" s="247">
        <v>1.8</v>
      </c>
      <c r="F5245" s="247">
        <v>1.6</v>
      </c>
      <c r="H5245" s="249">
        <f>-PRODUCT(D5245:G5245)</f>
        <v>-2.8800000000000003</v>
      </c>
      <c r="J5245" s="253" t="inlineStr">
        <is>
          <t xml:space="preserve">-1*1.8*1.6</t>
        </is>
      </c>
    </row>
    <row r="5246">
      <c r="C5246" s="246" t="inlineStr">
        <is>
          <t xml:space="preserve">Ddt opening W8 (1 nr, 1.2x1.9)</t>
        </is>
      </c>
      <c r="D5246" s="248">
        <v>1</v>
      </c>
      <c r="E5246" s="247">
        <v>1.2</v>
      </c>
      <c r="F5246" s="247">
        <v>1.9</v>
      </c>
      <c r="H5246" s="249">
        <f>-PRODUCT(D5246:G5246)</f>
        <v>-2.28</v>
      </c>
      <c r="J5246" s="253" t="inlineStr">
        <is>
          <t xml:space="preserve">-1*1.2*1.9</t>
        </is>
      </c>
    </row>
    <row r="5247">
      <c r="C5247" s="246" t="inlineStr">
        <is>
          <t xml:space="preserve">Ddt opening W9 (5 nr, 1.2x1.15)</t>
        </is>
      </c>
      <c r="D5247" s="248">
        <v>5</v>
      </c>
      <c r="E5247" s="247">
        <v>1.2</v>
      </c>
      <c r="F5247" s="247">
        <v>1.15</v>
      </c>
      <c r="H5247" s="249">
        <f>-PRODUCT(D5247:G5247)</f>
        <v>-6.8999999999999995</v>
      </c>
      <c r="J5247" s="253" t="inlineStr">
        <is>
          <t xml:space="preserve">-5*1.2*1.15</t>
        </is>
      </c>
    </row>
    <row r="5248">
      <c r="C5248" s="246" t="inlineStr">
        <is>
          <t xml:space="preserve">Ddt opening W10 (1 nr, 1.2x1.2)</t>
        </is>
      </c>
      <c r="D5248" s="248">
        <v>1</v>
      </c>
      <c r="E5248" s="247">
        <v>1.2</v>
      </c>
      <c r="F5248" s="247">
        <v>1.2</v>
      </c>
      <c r="H5248" s="249">
        <f>-PRODUCT(D5248:G5248)</f>
        <v>-1.44</v>
      </c>
      <c r="J5248" s="253" t="inlineStr">
        <is>
          <t xml:space="preserve">-1*1.2*1.2</t>
        </is>
      </c>
    </row>
    <row r="5249">
      <c r="C5249" s="246" t="inlineStr">
        <is>
          <t xml:space="preserve">Ddt opening W11 (3 nr, 1.5x1.3)</t>
        </is>
      </c>
      <c r="D5249" s="248">
        <v>3</v>
      </c>
      <c r="E5249" s="247">
        <v>1.5</v>
      </c>
      <c r="F5249" s="247">
        <v>1.3</v>
      </c>
      <c r="H5249" s="249">
        <f>-PRODUCT(D5249:G5249)</f>
        <v>-5.8500000000000005</v>
      </c>
      <c r="J5249" s="253" t="inlineStr">
        <is>
          <t xml:space="preserve">-3*1.5*1.3</t>
        </is>
      </c>
    </row>
    <row r="5250">
      <c r="C5250" s="246" t="inlineStr">
        <is>
          <t xml:space="preserve">Ddt opening W12 (2 nr, 1.5x1.15)</t>
        </is>
      </c>
      <c r="D5250" s="248">
        <v>2</v>
      </c>
      <c r="E5250" s="247">
        <v>1.5</v>
      </c>
      <c r="F5250" s="247">
        <v>1.15</v>
      </c>
      <c r="H5250" s="249">
        <f>-PRODUCT(D5250:G5250)</f>
        <v>-3.4499999999999997</v>
      </c>
      <c r="J5250" s="253" t="inlineStr">
        <is>
          <t xml:space="preserve">-2*1.5*1.15</t>
        </is>
      </c>
    </row>
    <row r="5251">
      <c r="C5251" s="246" t="inlineStr">
        <is>
          <t xml:space="preserve">Ddt opening W15 (1 nr, 3x1.6)</t>
        </is>
      </c>
      <c r="D5251" s="248">
        <v>1</v>
      </c>
      <c r="E5251" s="247">
        <v>3</v>
      </c>
      <c r="F5251" s="247">
        <v>1.6</v>
      </c>
      <c r="H5251" s="249">
        <f>-PRODUCT(D5251:G5251)</f>
        <v>-4.800000000000001</v>
      </c>
      <c r="J5251" s="253" t="inlineStr">
        <is>
          <t xml:space="preserve">-1*3*1.6</t>
        </is>
      </c>
    </row>
    <row r="5252">
      <c r="C5252" s="246" t="inlineStr">
        <is>
          <t xml:space="preserve">Ddt opening W17 (1 nr, 1.8x1.9)</t>
        </is>
      </c>
      <c r="D5252" s="248">
        <v>1</v>
      </c>
      <c r="E5252" s="247">
        <v>1.8</v>
      </c>
      <c r="F5252" s="247">
        <v>1.9</v>
      </c>
      <c r="H5252" s="249">
        <f>-PRODUCT(D5252:G5252)</f>
        <v>-3.42</v>
      </c>
      <c r="J5252" s="253" t="inlineStr">
        <is>
          <t xml:space="preserve">-1*1.8*1.9</t>
        </is>
      </c>
    </row>
    <row r="5253">
      <c r="C5253" s="246" t="inlineStr">
        <is>
          <t xml:space="preserve">Ddt opening HW1 (10 nr, 0.9x0.6)</t>
        </is>
      </c>
      <c r="D5253" s="248">
        <v>10</v>
      </c>
      <c r="E5253" s="247">
        <v>0.9</v>
      </c>
      <c r="F5253" s="247">
        <v>0.6</v>
      </c>
      <c r="H5253" s="249">
        <f>-PRODUCT(D5253:G5253)</f>
        <v>-5.3999999999999995</v>
      </c>
      <c r="J5253" s="253" t="inlineStr">
        <is>
          <t xml:space="preserve">-10*0.9*0.6</t>
        </is>
      </c>
    </row>
    <row r="5254">
      <c r="C5254" s="246" t="inlineStr">
        <is>
          <t xml:space="preserve">Ddt opening HW2 (4 nr, 0.75x0.6)</t>
        </is>
      </c>
      <c r="D5254" s="248">
        <v>4</v>
      </c>
      <c r="E5254" s="247">
        <v>0.75</v>
      </c>
      <c r="F5254" s="247">
        <v>0.6</v>
      </c>
      <c r="H5254" s="249">
        <f>-PRODUCT(D5254:G5254)</f>
        <v>-1.7999999999999998</v>
      </c>
      <c r="J5254" s="253" t="inlineStr">
        <is>
          <t xml:space="preserve">-4*0.75*0.6</t>
        </is>
      </c>
    </row>
    <row r="5255">
      <c r="C5255" s="246" t="inlineStr">
        <is>
          <t xml:space="preserve">Ddt opening HW3 (1 nr, 0.6x0.6)</t>
        </is>
      </c>
      <c r="D5255" s="248">
        <v>1</v>
      </c>
      <c r="E5255" s="247">
        <v>0.6</v>
      </c>
      <c r="F5255" s="247">
        <v>0.6</v>
      </c>
      <c r="H5255" s="249">
        <f>-PRODUCT(D5255:G5255)</f>
        <v>-0.36</v>
      </c>
      <c r="J5255" s="253" t="inlineStr">
        <is>
          <t xml:space="preserve">-1*0.6*0.6</t>
        </is>
      </c>
    </row>
    <row r="5256">
      <c r="C5256" s="246" t="inlineStr">
        <is>
          <t xml:space="preserve">Ddt opening HW4 (1 nr, 1.2x0.6)</t>
        </is>
      </c>
      <c r="D5256" s="248">
        <v>1</v>
      </c>
      <c r="E5256" s="247">
        <v>1.2</v>
      </c>
      <c r="F5256" s="247">
        <v>0.6</v>
      </c>
      <c r="H5256" s="249">
        <f>-PRODUCT(D5256:G5256)</f>
        <v>-0.72</v>
      </c>
      <c r="J5256" s="253" t="inlineStr">
        <is>
          <t xml:space="preserve">-1*1.2*0.6</t>
        </is>
      </c>
    </row>
    <row r="5257">
      <c r="C5257" s="250" t="inlineStr">
        <is>
          <t xml:space="preserve">Total carried to BOQ  9TH FLR item A</t>
        </is>
      </c>
      <c r="D5257" s="250" t="inlineStr">
        <is>
          <t xml:space="preserve"/>
        </is>
      </c>
      <c r="E5257" s="250" t="inlineStr">
        <is>
          <t xml:space="preserve"/>
        </is>
      </c>
      <c r="F5257" s="250" t="inlineStr">
        <is>
          <t xml:space="preserve"/>
        </is>
      </c>
      <c r="G5257" s="250" t="inlineStr">
        <is>
          <t xml:space="preserve"/>
        </is>
      </c>
      <c r="H5257" s="251">
        <f>SUM(H5222:H5256)</f>
        <v>1573.2197368421052</v>
      </c>
      <c r="I5257" s="252" t="inlineStr">
        <is>
          <t xml:space="preserve">m2</t>
        </is>
      </c>
    </row>
    <row r="5258">
      <c r="A5258" s="243" t="inlineStr">
        <is>
          <t xml:space="preserve">9TH FLR</t>
        </is>
      </c>
      <c r="B5258" s="243" t="inlineStr">
        <is>
          <t xml:space="preserve">B</t>
        </is>
      </c>
      <c r="C5258" s="244" t="inlineStr">
        <is>
          <t xml:space="preserve">Interior partitions and washrooms</t>
        </is>
      </c>
      <c r="I5258" s="245" t="inlineStr">
        <is>
          <t xml:space="preserve">m2</t>
        </is>
      </c>
      <c r="K5258" s="256" t="inlineStr">
        <is>
          <t xml:space="preserve">'9TH FLR    '!C225</t>
        </is>
      </c>
    </row>
    <row r="5259">
      <c r="C5259" s="246" t="inlineStr">
        <is>
          <t xml:space="preserve">washroom walls: (wet area / 3.8 m2 per WC) x 8.0 m girth x ht</t>
        </is>
      </c>
      <c r="E5259" s="247">
        <f>48.7/3.8</f>
        <v>12.815789473684212</v>
      </c>
      <c r="F5259" s="247">
        <v>8.0</v>
      </c>
      <c r="G5259" s="247">
        <v>3.05</v>
      </c>
      <c r="H5259" s="249">
        <f>PRODUCT(D5259:G5259)</f>
        <v>312.70526315789476</v>
      </c>
      <c r="J5259" s="253" t="inlineStr">
        <is>
          <t xml:space="preserve">48.7/3.8*8.0*3.05</t>
        </is>
      </c>
    </row>
    <row r="5260">
      <c r="C5260" s="246" t="inlineStr">
        <is>
          <t xml:space="preserve">Ddt washroom doors: nr x 0.75 x 2.2</t>
        </is>
      </c>
      <c r="E5260" s="247">
        <f>48.7/3.8</f>
        <v>12.815789473684212</v>
      </c>
      <c r="F5260" s="247">
        <v>0.75</v>
      </c>
      <c r="G5260" s="247">
        <v>2.2</v>
      </c>
      <c r="H5260" s="249">
        <f>-PRODUCT(D5260:G5260)</f>
        <v>-21.146052631578954</v>
      </c>
      <c r="J5260" s="253" t="inlineStr">
        <is>
          <t xml:space="preserve">-48.7/3.8*0.75*2.2</t>
        </is>
      </c>
    </row>
    <row r="5261">
      <c r="C5261" s="250" t="inlineStr">
        <is>
          <t xml:space="preserve">Total carried to BOQ  9TH FLR item B</t>
        </is>
      </c>
      <c r="D5261" s="250" t="inlineStr">
        <is>
          <t xml:space="preserve"/>
        </is>
      </c>
      <c r="E5261" s="250" t="inlineStr">
        <is>
          <t xml:space="preserve"/>
        </is>
      </c>
      <c r="F5261" s="250" t="inlineStr">
        <is>
          <t xml:space="preserve"/>
        </is>
      </c>
      <c r="G5261" s="250" t="inlineStr">
        <is>
          <t xml:space="preserve"/>
        </is>
      </c>
      <c r="H5261" s="251">
        <f>SUM(H5259:H5260)</f>
        <v>291.55921052631584</v>
      </c>
      <c r="I5261" s="252" t="inlineStr">
        <is>
          <t xml:space="preserve">m2</t>
        </is>
      </c>
    </row>
    <row r="5262">
      <c r="A5262" s="243" t="inlineStr">
        <is>
          <t xml:space="preserve">9TH FLR</t>
        </is>
      </c>
      <c r="B5262" s="243" t="inlineStr">
        <is>
          <t xml:space="preserve">C</t>
        </is>
      </c>
      <c r="C5262" s="244" t="inlineStr">
        <is>
          <t xml:space="preserve">External walls</t>
        </is>
      </c>
      <c r="I5262" s="245" t="inlineStr">
        <is>
          <t xml:space="preserve">m2</t>
        </is>
      </c>
      <c r="K5262" s="256" t="inlineStr">
        <is>
          <t xml:space="preserve">'9TH FLR    '!C227</t>
        </is>
      </c>
    </row>
    <row r="5263">
      <c r="C5263" s="246" t="inlineStr">
        <is>
          <t xml:space="preserve">External perimeter x storey ht</t>
        </is>
      </c>
      <c r="E5263" s="247">
        <v>224.1</v>
      </c>
      <c r="F5263" s="247">
        <v>3.3</v>
      </c>
      <c r="H5263" s="249">
        <f>PRODUCT(D5263:G5263)</f>
        <v>739.53</v>
      </c>
      <c r="J5263" s="253" t="inlineStr">
        <is>
          <t xml:space="preserve">224.1*3.3</t>
        </is>
      </c>
    </row>
    <row r="5264">
      <c r="C5264" s="246" t="inlineStr">
        <is>
          <t xml:space="preserve">Ddt window W2 (3 nr, 1.8x1.3)</t>
        </is>
      </c>
      <c r="D5264" s="248">
        <v>3</v>
      </c>
      <c r="E5264" s="247">
        <v>1.8</v>
      </c>
      <c r="F5264" s="247">
        <v>1.3</v>
      </c>
      <c r="H5264" s="249">
        <f>-PRODUCT(D5264:G5264)</f>
        <v>-7.0200000000000005</v>
      </c>
      <c r="J5264" s="253" t="inlineStr">
        <is>
          <t xml:space="preserve">-3*1.8*1.3</t>
        </is>
      </c>
    </row>
    <row r="5265">
      <c r="C5265" s="246" t="inlineStr">
        <is>
          <t xml:space="preserve">Ddt window W4 (6 nr, 0.9x1.3)</t>
        </is>
      </c>
      <c r="D5265" s="248">
        <v>6</v>
      </c>
      <c r="E5265" s="247">
        <v>0.9</v>
      </c>
      <c r="F5265" s="247">
        <v>1.3</v>
      </c>
      <c r="H5265" s="249">
        <f>-PRODUCT(D5265:G5265)</f>
        <v>-7.0200000000000005</v>
      </c>
      <c r="J5265" s="253" t="inlineStr">
        <is>
          <t xml:space="preserve">-6*0.9*1.3</t>
        </is>
      </c>
    </row>
    <row r="5266">
      <c r="C5266" s="246" t="inlineStr">
        <is>
          <t xml:space="preserve">Ddt window W7 (1 nr, 1.8x1.6)</t>
        </is>
      </c>
      <c r="D5266" s="248">
        <v>1</v>
      </c>
      <c r="E5266" s="247">
        <v>1.8</v>
      </c>
      <c r="F5266" s="247">
        <v>1.6</v>
      </c>
      <c r="H5266" s="249">
        <f>-PRODUCT(D5266:G5266)</f>
        <v>-2.8800000000000003</v>
      </c>
      <c r="J5266" s="253" t="inlineStr">
        <is>
          <t xml:space="preserve">-1*1.8*1.6</t>
        </is>
      </c>
    </row>
    <row r="5267">
      <c r="C5267" s="246" t="inlineStr">
        <is>
          <t xml:space="preserve">Ddt window W8 (1 nr, 1.2x1.9)</t>
        </is>
      </c>
      <c r="D5267" s="248">
        <v>1</v>
      </c>
      <c r="E5267" s="247">
        <v>1.2</v>
      </c>
      <c r="F5267" s="247">
        <v>1.9</v>
      </c>
      <c r="H5267" s="249">
        <f>-PRODUCT(D5267:G5267)</f>
        <v>-2.28</v>
      </c>
      <c r="J5267" s="253" t="inlineStr">
        <is>
          <t xml:space="preserve">-1*1.2*1.9</t>
        </is>
      </c>
    </row>
    <row r="5268">
      <c r="C5268" s="246" t="inlineStr">
        <is>
          <t xml:space="preserve">Ddt window W9 (5 nr, 1.2x1.15)</t>
        </is>
      </c>
      <c r="D5268" s="248">
        <v>5</v>
      </c>
      <c r="E5268" s="247">
        <v>1.2</v>
      </c>
      <c r="F5268" s="247">
        <v>1.15</v>
      </c>
      <c r="H5268" s="249">
        <f>-PRODUCT(D5268:G5268)</f>
        <v>-6.8999999999999995</v>
      </c>
      <c r="J5268" s="253" t="inlineStr">
        <is>
          <t xml:space="preserve">-5*1.2*1.15</t>
        </is>
      </c>
    </row>
    <row r="5269">
      <c r="C5269" s="246" t="inlineStr">
        <is>
          <t xml:space="preserve">Ddt window W10 (1 nr, 1.2x1.2)</t>
        </is>
      </c>
      <c r="D5269" s="248">
        <v>1</v>
      </c>
      <c r="E5269" s="247">
        <v>1.2</v>
      </c>
      <c r="F5269" s="247">
        <v>1.2</v>
      </c>
      <c r="H5269" s="249">
        <f>-PRODUCT(D5269:G5269)</f>
        <v>-1.44</v>
      </c>
      <c r="J5269" s="253" t="inlineStr">
        <is>
          <t xml:space="preserve">-1*1.2*1.2</t>
        </is>
      </c>
    </row>
    <row r="5270">
      <c r="C5270" s="246" t="inlineStr">
        <is>
          <t xml:space="preserve">Ddt window W11 (3 nr, 1.5x1.3)</t>
        </is>
      </c>
      <c r="D5270" s="248">
        <v>3</v>
      </c>
      <c r="E5270" s="247">
        <v>1.5</v>
      </c>
      <c r="F5270" s="247">
        <v>1.3</v>
      </c>
      <c r="H5270" s="249">
        <f>-PRODUCT(D5270:G5270)</f>
        <v>-5.8500000000000005</v>
      </c>
      <c r="J5270" s="253" t="inlineStr">
        <is>
          <t xml:space="preserve">-3*1.5*1.3</t>
        </is>
      </c>
    </row>
    <row r="5271">
      <c r="C5271" s="246" t="inlineStr">
        <is>
          <t xml:space="preserve">Ddt window W12 (2 nr, 1.5x1.15)</t>
        </is>
      </c>
      <c r="D5271" s="248">
        <v>2</v>
      </c>
      <c r="E5271" s="247">
        <v>1.5</v>
      </c>
      <c r="F5271" s="247">
        <v>1.15</v>
      </c>
      <c r="H5271" s="249">
        <f>-PRODUCT(D5271:G5271)</f>
        <v>-3.4499999999999997</v>
      </c>
      <c r="J5271" s="253" t="inlineStr">
        <is>
          <t xml:space="preserve">-2*1.5*1.15</t>
        </is>
      </c>
    </row>
    <row r="5272">
      <c r="C5272" s="246" t="inlineStr">
        <is>
          <t xml:space="preserve">Ddt window W15 (1 nr, 3x1.6)</t>
        </is>
      </c>
      <c r="D5272" s="248">
        <v>1</v>
      </c>
      <c r="E5272" s="247">
        <v>3</v>
      </c>
      <c r="F5272" s="247">
        <v>1.6</v>
      </c>
      <c r="H5272" s="249">
        <f>-PRODUCT(D5272:G5272)</f>
        <v>-4.800000000000001</v>
      </c>
      <c r="J5272" s="253" t="inlineStr">
        <is>
          <t xml:space="preserve">-1*3*1.6</t>
        </is>
      </c>
    </row>
    <row r="5273">
      <c r="C5273" s="246" t="inlineStr">
        <is>
          <t xml:space="preserve">Ddt window W17 (1 nr, 1.8x1.9)</t>
        </is>
      </c>
      <c r="D5273" s="248">
        <v>1</v>
      </c>
      <c r="E5273" s="247">
        <v>1.8</v>
      </c>
      <c r="F5273" s="247">
        <v>1.9</v>
      </c>
      <c r="H5273" s="249">
        <f>-PRODUCT(D5273:G5273)</f>
        <v>-3.42</v>
      </c>
      <c r="J5273" s="253" t="inlineStr">
        <is>
          <t xml:space="preserve">-1*1.8*1.9</t>
        </is>
      </c>
    </row>
    <row r="5274">
      <c r="C5274" s="246" t="inlineStr">
        <is>
          <t xml:space="preserve">Ddt window HW1 (10 nr, 0.9x0.6)</t>
        </is>
      </c>
      <c r="D5274" s="248">
        <v>10</v>
      </c>
      <c r="E5274" s="247">
        <v>0.9</v>
      </c>
      <c r="F5274" s="247">
        <v>0.6</v>
      </c>
      <c r="H5274" s="249">
        <f>-PRODUCT(D5274:G5274)</f>
        <v>-5.3999999999999995</v>
      </c>
      <c r="J5274" s="253" t="inlineStr">
        <is>
          <t xml:space="preserve">-10*0.9*0.6</t>
        </is>
      </c>
    </row>
    <row r="5275">
      <c r="C5275" s="246" t="inlineStr">
        <is>
          <t xml:space="preserve">Ddt window HW2 (4 nr, 0.75x0.6)</t>
        </is>
      </c>
      <c r="D5275" s="248">
        <v>4</v>
      </c>
      <c r="E5275" s="247">
        <v>0.75</v>
      </c>
      <c r="F5275" s="247">
        <v>0.6</v>
      </c>
      <c r="H5275" s="249">
        <f>-PRODUCT(D5275:G5275)</f>
        <v>-1.7999999999999998</v>
      </c>
      <c r="J5275" s="253" t="inlineStr">
        <is>
          <t xml:space="preserve">-4*0.75*0.6</t>
        </is>
      </c>
    </row>
    <row r="5276">
      <c r="C5276" s="246" t="inlineStr">
        <is>
          <t xml:space="preserve">Ddt window HW3 (1 nr, 0.6x0.6)</t>
        </is>
      </c>
      <c r="D5276" s="248">
        <v>1</v>
      </c>
      <c r="E5276" s="247">
        <v>0.6</v>
      </c>
      <c r="F5276" s="247">
        <v>0.6</v>
      </c>
      <c r="H5276" s="249">
        <f>-PRODUCT(D5276:G5276)</f>
        <v>-0.36</v>
      </c>
      <c r="J5276" s="253" t="inlineStr">
        <is>
          <t xml:space="preserve">-1*0.6*0.6</t>
        </is>
      </c>
    </row>
    <row r="5277">
      <c r="C5277" s="246" t="inlineStr">
        <is>
          <t xml:space="preserve">Ddt window HW4 (1 nr, 1.2x0.6)</t>
        </is>
      </c>
      <c r="D5277" s="248">
        <v>1</v>
      </c>
      <c r="E5277" s="247">
        <v>1.2</v>
      </c>
      <c r="F5277" s="247">
        <v>0.6</v>
      </c>
      <c r="H5277" s="249">
        <f>-PRODUCT(D5277:G5277)</f>
        <v>-0.72</v>
      </c>
      <c r="J5277" s="253" t="inlineStr">
        <is>
          <t xml:space="preserve">-1*1.2*0.6</t>
        </is>
      </c>
    </row>
    <row r="5278">
      <c r="C5278" s="250" t="inlineStr">
        <is>
          <t xml:space="preserve">Total carried to BOQ  9TH FLR item C</t>
        </is>
      </c>
      <c r="D5278" s="250" t="inlineStr">
        <is>
          <t xml:space="preserve"/>
        </is>
      </c>
      <c r="E5278" s="250" t="inlineStr">
        <is>
          <t xml:space="preserve"/>
        </is>
      </c>
      <c r="F5278" s="250" t="inlineStr">
        <is>
          <t xml:space="preserve"/>
        </is>
      </c>
      <c r="G5278" s="250" t="inlineStr">
        <is>
          <t xml:space="preserve"/>
        </is>
      </c>
      <c r="H5278" s="251">
        <f>SUM(H5263:H5277)</f>
        <v>686.19</v>
      </c>
      <c r="I5278" s="252" t="inlineStr">
        <is>
          <t xml:space="preserve">m2</t>
        </is>
      </c>
    </row>
    <row r="5279">
      <c r="A5279" s="243" t="inlineStr">
        <is>
          <t xml:space="preserve">9TH FLR</t>
        </is>
      </c>
      <c r="B5279" s="243" t="inlineStr">
        <is>
          <t xml:space="preserve">D</t>
        </is>
      </c>
      <c r="C5279" s="244" t="inlineStr">
        <is>
          <t xml:space="preserve">12mm cement and sand (1:4) screeded backing to receive wall tiles</t>
        </is>
      </c>
      <c r="I5279" s="245" t="inlineStr">
        <is>
          <t xml:space="preserve">m2</t>
        </is>
      </c>
      <c r="K5279" s="256" t="inlineStr">
        <is>
          <t xml:space="preserve">'9TH FLR    '!C229</t>
        </is>
      </c>
    </row>
    <row r="5280">
      <c r="C5280" s="246" t="inlineStr">
        <is>
          <t xml:space="preserve">washroom walls: (wet area / 3.8 m2 per WC) x 8.0 m girth x ht</t>
        </is>
      </c>
      <c r="E5280" s="247">
        <f>48.7/3.8</f>
        <v>12.815789473684212</v>
      </c>
      <c r="F5280" s="247">
        <v>8.0</v>
      </c>
      <c r="G5280" s="247">
        <v>2.4</v>
      </c>
      <c r="H5280" s="249">
        <f>PRODUCT(D5280:G5280)</f>
        <v>246.06315789473686</v>
      </c>
      <c r="J5280" s="253" t="inlineStr">
        <is>
          <t xml:space="preserve">48.7/3.8*8.0*2.4</t>
        </is>
      </c>
    </row>
    <row r="5281">
      <c r="C5281" s="246" t="inlineStr">
        <is>
          <t xml:space="preserve">Ddt washroom doors: nr x 0.75 x 2.2</t>
        </is>
      </c>
      <c r="E5281" s="247">
        <f>48.7/3.8</f>
        <v>12.815789473684212</v>
      </c>
      <c r="F5281" s="247">
        <v>0.75</v>
      </c>
      <c r="G5281" s="247">
        <v>2.2</v>
      </c>
      <c r="H5281" s="249">
        <f>-PRODUCT(D5281:G5281)</f>
        <v>-21.146052631578954</v>
      </c>
      <c r="J5281" s="253" t="inlineStr">
        <is>
          <t xml:space="preserve">-48.7/3.8*0.75*2.2</t>
        </is>
      </c>
    </row>
    <row r="5282">
      <c r="C5282" s="250" t="inlineStr">
        <is>
          <t xml:space="preserve">Total carried to BOQ  9TH FLR item D</t>
        </is>
      </c>
      <c r="D5282" s="250" t="inlineStr">
        <is>
          <t xml:space="preserve"/>
        </is>
      </c>
      <c r="E5282" s="250" t="inlineStr">
        <is>
          <t xml:space="preserve"/>
        </is>
      </c>
      <c r="F5282" s="250" t="inlineStr">
        <is>
          <t xml:space="preserve"/>
        </is>
      </c>
      <c r="G5282" s="250" t="inlineStr">
        <is>
          <t xml:space="preserve"/>
        </is>
      </c>
      <c r="H5282" s="251">
        <f>SUM(H5280:H5281)</f>
        <v>224.9171052631579</v>
      </c>
      <c r="I5282" s="252" t="inlineStr">
        <is>
          <t xml:space="preserve">m2</t>
        </is>
      </c>
    </row>
    <row r="5283" ht="32.2" customHeight="1">
      <c r="A5283" s="243" t="inlineStr">
        <is>
          <t xml:space="preserve">9TH FLR</t>
        </is>
      </c>
      <c r="B5283" s="243" t="inlineStr">
        <is>
          <t xml:space="preserve">E</t>
        </is>
      </c>
      <c r="C5283" s="244" t="inlineStr">
        <is>
          <t xml:space="preserve">Ceramic/porcelain wall tiles to washrooms to 2.4m high, adhesive &amp; grout (type TBC)</t>
        </is>
      </c>
      <c r="I5283" s="245" t="inlineStr">
        <is>
          <t xml:space="preserve">m2</t>
        </is>
      </c>
      <c r="K5283" s="256" t="inlineStr">
        <is>
          <t xml:space="preserve">'9TH FLR    '!C231</t>
        </is>
      </c>
    </row>
    <row r="5284">
      <c r="C5284" s="246" t="inlineStr">
        <is>
          <t xml:space="preserve">washroom walls: (wet area / 3.8 m2 per WC) x 8.0 m girth x ht</t>
        </is>
      </c>
      <c r="E5284" s="247">
        <f>48.7/3.8</f>
        <v>12.815789473684212</v>
      </c>
      <c r="F5284" s="247">
        <v>8.0</v>
      </c>
      <c r="G5284" s="247">
        <v>2.4</v>
      </c>
      <c r="H5284" s="249">
        <f>PRODUCT(D5284:G5284)</f>
        <v>246.06315789473686</v>
      </c>
      <c r="J5284" s="253" t="inlineStr">
        <is>
          <t xml:space="preserve">48.7/3.8*8.0*2.4</t>
        </is>
      </c>
    </row>
    <row r="5285">
      <c r="C5285" s="246" t="inlineStr">
        <is>
          <t xml:space="preserve">Ddt washroom doors: nr x 0.75 x 2.2</t>
        </is>
      </c>
      <c r="E5285" s="247">
        <f>48.7/3.8</f>
        <v>12.815789473684212</v>
      </c>
      <c r="F5285" s="247">
        <v>0.75</v>
      </c>
      <c r="G5285" s="247">
        <v>2.2</v>
      </c>
      <c r="H5285" s="249">
        <f>-PRODUCT(D5285:G5285)</f>
        <v>-21.146052631578954</v>
      </c>
      <c r="J5285" s="253" t="inlineStr">
        <is>
          <t xml:space="preserve">-48.7/3.8*0.75*2.2</t>
        </is>
      </c>
    </row>
    <row r="5286">
      <c r="C5286" s="250" t="inlineStr">
        <is>
          <t xml:space="preserve">Total carried to BOQ  9TH FLR item E</t>
        </is>
      </c>
      <c r="D5286" s="250" t="inlineStr">
        <is>
          <t xml:space="preserve"/>
        </is>
      </c>
      <c r="E5286" s="250" t="inlineStr">
        <is>
          <t xml:space="preserve"/>
        </is>
      </c>
      <c r="F5286" s="250" t="inlineStr">
        <is>
          <t xml:space="preserve"/>
        </is>
      </c>
      <c r="G5286" s="250" t="inlineStr">
        <is>
          <t xml:space="preserve"/>
        </is>
      </c>
      <c r="H5286" s="251">
        <f>SUM(H5284:H5285)</f>
        <v>224.9171052631579</v>
      </c>
      <c r="I5286" s="252" t="inlineStr">
        <is>
          <t xml:space="preserve">m2</t>
        </is>
      </c>
    </row>
    <row r="5287">
      <c r="C5287" s="242" t="inlineStr">
        <is>
          <t xml:space="preserve">ELEMENT NO. 7: PAINTING AND DECORATING</t>
        </is>
      </c>
    </row>
    <row r="5288">
      <c r="C5288" s="242" t="inlineStr">
        <is>
          <t xml:space="preserve">M60 PAINTING - Prepare and apply two undercoats and finishing coat of emulsion paint on:</t>
        </is>
      </c>
    </row>
    <row r="5289">
      <c r="A5289" s="243" t="inlineStr">
        <is>
          <t xml:space="preserve">9TH FLR</t>
        </is>
      </c>
      <c r="B5289" s="243" t="inlineStr">
        <is>
          <t xml:space="preserve">A</t>
        </is>
      </c>
      <c r="C5289" s="244" t="inlineStr">
        <is>
          <t xml:space="preserve">Interior walls</t>
        </is>
      </c>
      <c r="I5289" s="245" t="inlineStr">
        <is>
          <t xml:space="preserve">m2</t>
        </is>
      </c>
      <c r="K5289" s="256" t="inlineStr">
        <is>
          <t xml:space="preserve">'9TH FLR    '!C240</t>
        </is>
      </c>
    </row>
    <row r="5290">
      <c r="C5290" s="246" t="inlineStr">
        <is>
          <t xml:space="preserve">block wall faces: 2 x (150 + 200 block runs) x ht</t>
        </is>
      </c>
      <c r="D5290" s="248">
        <v>2</v>
      </c>
      <c r="E5290" s="247">
        <f>397.2+25.6</f>
        <v>422.8</v>
      </c>
      <c r="F5290" s="247">
        <v>3.05</v>
      </c>
      <c r="H5290" s="249">
        <f>PRODUCT(D5290:G5290)</f>
        <v>2579.08</v>
      </c>
      <c r="J5290" s="253" t="inlineStr">
        <is>
          <t xml:space="preserve">2*(397.2+25.6)*3.05</t>
        </is>
      </c>
    </row>
    <row r="5291">
      <c r="C5291" s="246" t="inlineStr">
        <is>
          <t xml:space="preserve">RC wall faces: 2 x RC wall run x ht</t>
        </is>
      </c>
      <c r="D5291" s="248">
        <v>2</v>
      </c>
      <c r="E5291" s="247">
        <v>51.7</v>
      </c>
      <c r="F5291" s="247">
        <v>3.05</v>
      </c>
      <c r="H5291" s="249">
        <f>PRODUCT(D5291:G5291)</f>
        <v>315.37</v>
      </c>
      <c r="J5291" s="253" t="inlineStr">
        <is>
          <t xml:space="preserve">2*51.7*3.05</t>
        </is>
      </c>
    </row>
    <row r="5292">
      <c r="C5292" s="246" t="inlineStr">
        <is>
          <t xml:space="preserve">Ddt lift/stair shaft inner faces 16.8 m x ht</t>
        </is>
      </c>
      <c r="E5292" s="247">
        <v>16.8</v>
      </c>
      <c r="F5292" s="247">
        <v>3.05</v>
      </c>
      <c r="H5292" s="249">
        <f>-PRODUCT(D5292:G5292)</f>
        <v>-51.24</v>
      </c>
      <c r="J5292" s="253" t="inlineStr">
        <is>
          <t xml:space="preserve">-16.8*3.05</t>
        </is>
      </c>
    </row>
    <row r="5293">
      <c r="C5293" s="246" t="inlineStr">
        <is>
          <t xml:space="preserve">Ddt external face of perimeter wall (rendered externally)</t>
        </is>
      </c>
      <c r="E5293" s="247">
        <v>224.1</v>
      </c>
      <c r="F5293" s="247">
        <v>3.05</v>
      </c>
      <c r="H5293" s="249">
        <f>-PRODUCT(D5293:G5293)</f>
        <v>-683.505</v>
      </c>
      <c r="J5293" s="253" t="inlineStr">
        <is>
          <t xml:space="preserve">-224.1*3.05</t>
        </is>
      </c>
    </row>
    <row r="5294">
      <c r="C5294" s="246" t="inlineStr">
        <is>
          <t xml:space="preserve">Ddt washroom walls (measured separately)</t>
        </is>
      </c>
      <c r="E5294" s="247">
        <f>48.7/3.8</f>
        <v>12.815789473684212</v>
      </c>
      <c r="F5294" s="247">
        <v>8.0</v>
      </c>
      <c r="G5294" s="247">
        <v>3.05</v>
      </c>
      <c r="H5294" s="249">
        <f>-PRODUCT(D5294:G5294)</f>
        <v>-312.70526315789476</v>
      </c>
      <c r="J5294" s="253" t="inlineStr">
        <is>
          <t xml:space="preserve">-48.7/3.8*8.0*3.05</t>
        </is>
      </c>
    </row>
    <row r="5295">
      <c r="C5295" s="246" t="inlineStr">
        <is>
          <t xml:space="preserve">Ddt opening D2 (4 nr, 1x2.2) - both faces</t>
        </is>
      </c>
      <c r="D5295" s="248">
        <f>2*4</f>
        <v>8</v>
      </c>
      <c r="E5295" s="247">
        <v>1</v>
      </c>
      <c r="F5295" s="247">
        <v>2.2</v>
      </c>
      <c r="H5295" s="249">
        <f>-PRODUCT(D5295:G5295)</f>
        <v>-17.6</v>
      </c>
      <c r="J5295" s="253" t="inlineStr">
        <is>
          <t xml:space="preserve">-2*4*1*2.2</t>
        </is>
      </c>
    </row>
    <row r="5296">
      <c r="C5296" s="246" t="inlineStr">
        <is>
          <t xml:space="preserve">Ddt opening D3 (8 nr, 0.9x2.2) - both faces</t>
        </is>
      </c>
      <c r="D5296" s="248">
        <f>2*8</f>
        <v>16</v>
      </c>
      <c r="E5296" s="247">
        <v>0.9</v>
      </c>
      <c r="F5296" s="247">
        <v>2.2</v>
      </c>
      <c r="H5296" s="249">
        <f>-PRODUCT(D5296:G5296)</f>
        <v>-31.680000000000003</v>
      </c>
      <c r="J5296" s="253" t="inlineStr">
        <is>
          <t xml:space="preserve">-2*8*0.9*2.2</t>
        </is>
      </c>
    </row>
    <row r="5297">
      <c r="C5297" s="246" t="inlineStr">
        <is>
          <t xml:space="preserve">Ddt opening D6 (17 nr, 0.75x2.2) - both faces</t>
        </is>
      </c>
      <c r="D5297" s="248">
        <f>2*17</f>
        <v>34</v>
      </c>
      <c r="E5297" s="247">
        <v>0.75</v>
      </c>
      <c r="F5297" s="247">
        <v>2.2</v>
      </c>
      <c r="H5297" s="249">
        <f>-PRODUCT(D5297:G5297)</f>
        <v>-56.1</v>
      </c>
      <c r="J5297" s="253" t="inlineStr">
        <is>
          <t xml:space="preserve">-2*17*0.75*2.2</t>
        </is>
      </c>
    </row>
    <row r="5298">
      <c r="C5298" s="246" t="inlineStr">
        <is>
          <t xml:space="preserve">Ddt opening D7 (1 nr, 0.7x2.2) - both faces</t>
        </is>
      </c>
      <c r="D5298" s="248">
        <f>2*1</f>
        <v>2</v>
      </c>
      <c r="E5298" s="247">
        <v>0.7</v>
      </c>
      <c r="F5298" s="247">
        <v>2.2</v>
      </c>
      <c r="H5298" s="249">
        <f>-PRODUCT(D5298:G5298)</f>
        <v>-3.08</v>
      </c>
      <c r="J5298" s="253" t="inlineStr">
        <is>
          <t xml:space="preserve">-2*1*0.7*2.2</t>
        </is>
      </c>
    </row>
    <row r="5299">
      <c r="C5299" s="246" t="inlineStr">
        <is>
          <t xml:space="preserve">Ddt opening D8 (2 nr, 1.2x2.2) - both faces</t>
        </is>
      </c>
      <c r="D5299" s="248">
        <f>2*2</f>
        <v>4</v>
      </c>
      <c r="E5299" s="247">
        <v>1.2</v>
      </c>
      <c r="F5299" s="247">
        <v>2.2</v>
      </c>
      <c r="H5299" s="249">
        <f>-PRODUCT(D5299:G5299)</f>
        <v>-10.56</v>
      </c>
      <c r="J5299" s="253" t="inlineStr">
        <is>
          <t xml:space="preserve">-2*2*1.2*2.2</t>
        </is>
      </c>
    </row>
    <row r="5300">
      <c r="C5300" s="246" t="inlineStr">
        <is>
          <t xml:space="preserve">Ddt opening ED1 (2 nr, 1x2.2) - both faces</t>
        </is>
      </c>
      <c r="D5300" s="248">
        <f>2*2</f>
        <v>4</v>
      </c>
      <c r="E5300" s="247">
        <v>1</v>
      </c>
      <c r="F5300" s="247">
        <v>2.2</v>
      </c>
      <c r="H5300" s="249">
        <f>-PRODUCT(D5300:G5300)</f>
        <v>-8.8</v>
      </c>
      <c r="J5300" s="253" t="inlineStr">
        <is>
          <t xml:space="preserve">-2*2*1*2.2</t>
        </is>
      </c>
    </row>
    <row r="5301">
      <c r="C5301" s="246" t="inlineStr">
        <is>
          <t xml:space="preserve">Ddt opening ED2 (2 nr, 1x2.2) - both faces</t>
        </is>
      </c>
      <c r="D5301" s="248">
        <f>2*2</f>
        <v>4</v>
      </c>
      <c r="E5301" s="247">
        <v>1</v>
      </c>
      <c r="F5301" s="247">
        <v>2.2</v>
      </c>
      <c r="H5301" s="249">
        <f>-PRODUCT(D5301:G5301)</f>
        <v>-8.8</v>
      </c>
      <c r="J5301" s="253" t="inlineStr">
        <is>
          <t xml:space="preserve">-2*2*1*2.2</t>
        </is>
      </c>
    </row>
    <row r="5302">
      <c r="C5302" s="246" t="inlineStr">
        <is>
          <t xml:space="preserve">Ddt opening D9 (1 nr, 0.9x2.2) - both faces</t>
        </is>
      </c>
      <c r="D5302" s="248">
        <f>2*1</f>
        <v>2</v>
      </c>
      <c r="E5302" s="247">
        <v>0.9</v>
      </c>
      <c r="F5302" s="247">
        <v>2.2</v>
      </c>
      <c r="H5302" s="249">
        <f>-PRODUCT(D5302:G5302)</f>
        <v>-3.9600000000000004</v>
      </c>
      <c r="J5302" s="253" t="inlineStr">
        <is>
          <t xml:space="preserve">-2*1*0.9*2.2</t>
        </is>
      </c>
    </row>
    <row r="5303">
      <c r="C5303" s="246" t="inlineStr">
        <is>
          <t xml:space="preserve">Ddt opening M1 (2 nr, 0.9x2.2) - both faces</t>
        </is>
      </c>
      <c r="D5303" s="248">
        <f>2*2</f>
        <v>4</v>
      </c>
      <c r="E5303" s="247">
        <v>0.9</v>
      </c>
      <c r="F5303" s="247">
        <v>2.2</v>
      </c>
      <c r="H5303" s="249">
        <f>-PRODUCT(D5303:G5303)</f>
        <v>-7.920000000000001</v>
      </c>
      <c r="J5303" s="253" t="inlineStr">
        <is>
          <t xml:space="preserve">-2*2*0.9*2.2</t>
        </is>
      </c>
    </row>
    <row r="5304">
      <c r="C5304" s="246" t="inlineStr">
        <is>
          <t xml:space="preserve">Ddt opening M2 (4 nr, 0.75x2.2) - both faces</t>
        </is>
      </c>
      <c r="D5304" s="248">
        <f>2*4</f>
        <v>8</v>
      </c>
      <c r="E5304" s="247">
        <v>0.75</v>
      </c>
      <c r="F5304" s="247">
        <v>2.2</v>
      </c>
      <c r="H5304" s="249">
        <f>-PRODUCT(D5304:G5304)</f>
        <v>-13.200000000000001</v>
      </c>
      <c r="J5304" s="253" t="inlineStr">
        <is>
          <t xml:space="preserve">-2*4*0.75*2.2</t>
        </is>
      </c>
    </row>
    <row r="5305">
      <c r="C5305" s="246" t="inlineStr">
        <is>
          <t xml:space="preserve">Ddt opening M3 (1 nr, 0.45x2.2) - both faces</t>
        </is>
      </c>
      <c r="D5305" s="248">
        <f>2*1</f>
        <v>2</v>
      </c>
      <c r="E5305" s="247">
        <v>0.45</v>
      </c>
      <c r="F5305" s="247">
        <v>2.2</v>
      </c>
      <c r="H5305" s="249">
        <f>-PRODUCT(D5305:G5305)</f>
        <v>-1.9800000000000002</v>
      </c>
      <c r="J5305" s="253" t="inlineStr">
        <is>
          <t xml:space="preserve">-2*1*0.45*2.2</t>
        </is>
      </c>
    </row>
    <row r="5306">
      <c r="C5306" s="246" t="inlineStr">
        <is>
          <t xml:space="preserve">Ddt opening M5 (3 nr, 0.6x2.2) - both faces</t>
        </is>
      </c>
      <c r="D5306" s="248">
        <f>2*3</f>
        <v>6</v>
      </c>
      <c r="E5306" s="247">
        <v>0.6</v>
      </c>
      <c r="F5306" s="247">
        <v>2.2</v>
      </c>
      <c r="H5306" s="249">
        <f>-PRODUCT(D5306:G5306)</f>
        <v>-7.92</v>
      </c>
      <c r="J5306" s="253" t="inlineStr">
        <is>
          <t xml:space="preserve">-2*3*0.6*2.2</t>
        </is>
      </c>
    </row>
    <row r="5307">
      <c r="C5307" s="246" t="inlineStr">
        <is>
          <t xml:space="preserve">Ddt opening SD1 (1 nr, 3x2.2) - both faces</t>
        </is>
      </c>
      <c r="D5307" s="248">
        <f>2*1</f>
        <v>2</v>
      </c>
      <c r="E5307" s="247">
        <v>3</v>
      </c>
      <c r="F5307" s="247">
        <v>2.2</v>
      </c>
      <c r="H5307" s="249">
        <f>-PRODUCT(D5307:G5307)</f>
        <v>-13.200000000000001</v>
      </c>
      <c r="J5307" s="253" t="inlineStr">
        <is>
          <t xml:space="preserve">-2*1*3*2.2</t>
        </is>
      </c>
    </row>
    <row r="5308">
      <c r="C5308" s="246" t="inlineStr">
        <is>
          <t xml:space="preserve">Ddt opening SD2 (2 nr, 1.6x2.2) - both faces</t>
        </is>
      </c>
      <c r="D5308" s="248">
        <f>2*2</f>
        <v>4</v>
      </c>
      <c r="E5308" s="247">
        <v>1.6</v>
      </c>
      <c r="F5308" s="247">
        <v>2.2</v>
      </c>
      <c r="H5308" s="249">
        <f>-PRODUCT(D5308:G5308)</f>
        <v>-14.080000000000002</v>
      </c>
      <c r="J5308" s="253" t="inlineStr">
        <is>
          <t xml:space="preserve">-2*2*1.6*2.2</t>
        </is>
      </c>
    </row>
    <row r="5309">
      <c r="C5309" s="246" t="inlineStr">
        <is>
          <t xml:space="preserve">Ddt opening SD3 (1 nr, 1.3x2.2) - both faces</t>
        </is>
      </c>
      <c r="D5309" s="248">
        <f>2*1</f>
        <v>2</v>
      </c>
      <c r="E5309" s="247">
        <v>1.3</v>
      </c>
      <c r="F5309" s="247">
        <v>2.2</v>
      </c>
      <c r="H5309" s="249">
        <f>-PRODUCT(D5309:G5309)</f>
        <v>-5.720000000000001</v>
      </c>
      <c r="J5309" s="253" t="inlineStr">
        <is>
          <t xml:space="preserve">-2*1*1.3*2.2</t>
        </is>
      </c>
    </row>
    <row r="5310">
      <c r="C5310" s="246" t="inlineStr">
        <is>
          <t xml:space="preserve">Ddt opening SD4 (2 nr, 1.8x2.2) - both faces</t>
        </is>
      </c>
      <c r="D5310" s="248">
        <f>2*2</f>
        <v>4</v>
      </c>
      <c r="E5310" s="247">
        <v>1.8</v>
      </c>
      <c r="F5310" s="247">
        <v>2.2</v>
      </c>
      <c r="H5310" s="249">
        <f>-PRODUCT(D5310:G5310)</f>
        <v>-15.840000000000002</v>
      </c>
      <c r="J5310" s="253" t="inlineStr">
        <is>
          <t xml:space="preserve">-2*2*1.8*2.2</t>
        </is>
      </c>
    </row>
    <row r="5311">
      <c r="C5311" s="246" t="inlineStr">
        <is>
          <t xml:space="preserve">Ddt opening W2 (3 nr, 1.8x1.3)</t>
        </is>
      </c>
      <c r="D5311" s="248">
        <v>3</v>
      </c>
      <c r="E5311" s="247">
        <v>1.8</v>
      </c>
      <c r="F5311" s="247">
        <v>1.3</v>
      </c>
      <c r="H5311" s="249">
        <f>-PRODUCT(D5311:G5311)</f>
        <v>-7.0200000000000005</v>
      </c>
      <c r="J5311" s="253" t="inlineStr">
        <is>
          <t xml:space="preserve">-3*1.8*1.3</t>
        </is>
      </c>
    </row>
    <row r="5312">
      <c r="C5312" s="246" t="inlineStr">
        <is>
          <t xml:space="preserve">Ddt opening W4 (6 nr, 0.9x1.3)</t>
        </is>
      </c>
      <c r="D5312" s="248">
        <v>6</v>
      </c>
      <c r="E5312" s="247">
        <v>0.9</v>
      </c>
      <c r="F5312" s="247">
        <v>1.3</v>
      </c>
      <c r="H5312" s="249">
        <f>-PRODUCT(D5312:G5312)</f>
        <v>-7.0200000000000005</v>
      </c>
      <c r="J5312" s="253" t="inlineStr">
        <is>
          <t xml:space="preserve">-6*0.9*1.3</t>
        </is>
      </c>
    </row>
    <row r="5313">
      <c r="C5313" s="246" t="inlineStr">
        <is>
          <t xml:space="preserve">Ddt opening W7 (1 nr, 1.8x1.6)</t>
        </is>
      </c>
      <c r="D5313" s="248">
        <v>1</v>
      </c>
      <c r="E5313" s="247">
        <v>1.8</v>
      </c>
      <c r="F5313" s="247">
        <v>1.6</v>
      </c>
      <c r="H5313" s="249">
        <f>-PRODUCT(D5313:G5313)</f>
        <v>-2.8800000000000003</v>
      </c>
      <c r="J5313" s="253" t="inlineStr">
        <is>
          <t xml:space="preserve">-1*1.8*1.6</t>
        </is>
      </c>
    </row>
    <row r="5314">
      <c r="C5314" s="246" t="inlineStr">
        <is>
          <t xml:space="preserve">Ddt opening W8 (1 nr, 1.2x1.9)</t>
        </is>
      </c>
      <c r="D5314" s="248">
        <v>1</v>
      </c>
      <c r="E5314" s="247">
        <v>1.2</v>
      </c>
      <c r="F5314" s="247">
        <v>1.9</v>
      </c>
      <c r="H5314" s="249">
        <f>-PRODUCT(D5314:G5314)</f>
        <v>-2.28</v>
      </c>
      <c r="J5314" s="253" t="inlineStr">
        <is>
          <t xml:space="preserve">-1*1.2*1.9</t>
        </is>
      </c>
    </row>
    <row r="5315">
      <c r="C5315" s="246" t="inlineStr">
        <is>
          <t xml:space="preserve">Ddt opening W9 (5 nr, 1.2x1.15)</t>
        </is>
      </c>
      <c r="D5315" s="248">
        <v>5</v>
      </c>
      <c r="E5315" s="247">
        <v>1.2</v>
      </c>
      <c r="F5315" s="247">
        <v>1.15</v>
      </c>
      <c r="H5315" s="249">
        <f>-PRODUCT(D5315:G5315)</f>
        <v>-6.8999999999999995</v>
      </c>
      <c r="J5315" s="253" t="inlineStr">
        <is>
          <t xml:space="preserve">-5*1.2*1.15</t>
        </is>
      </c>
    </row>
    <row r="5316">
      <c r="C5316" s="246" t="inlineStr">
        <is>
          <t xml:space="preserve">Ddt opening W10 (1 nr, 1.2x1.2)</t>
        </is>
      </c>
      <c r="D5316" s="248">
        <v>1</v>
      </c>
      <c r="E5316" s="247">
        <v>1.2</v>
      </c>
      <c r="F5316" s="247">
        <v>1.2</v>
      </c>
      <c r="H5316" s="249">
        <f>-PRODUCT(D5316:G5316)</f>
        <v>-1.44</v>
      </c>
      <c r="J5316" s="253" t="inlineStr">
        <is>
          <t xml:space="preserve">-1*1.2*1.2</t>
        </is>
      </c>
    </row>
    <row r="5317">
      <c r="C5317" s="246" t="inlineStr">
        <is>
          <t xml:space="preserve">Ddt opening W11 (3 nr, 1.5x1.3)</t>
        </is>
      </c>
      <c r="D5317" s="248">
        <v>3</v>
      </c>
      <c r="E5317" s="247">
        <v>1.5</v>
      </c>
      <c r="F5317" s="247">
        <v>1.3</v>
      </c>
      <c r="H5317" s="249">
        <f>-PRODUCT(D5317:G5317)</f>
        <v>-5.8500000000000005</v>
      </c>
      <c r="J5317" s="253" t="inlineStr">
        <is>
          <t xml:space="preserve">-3*1.5*1.3</t>
        </is>
      </c>
    </row>
    <row r="5318">
      <c r="C5318" s="246" t="inlineStr">
        <is>
          <t xml:space="preserve">Ddt opening W12 (2 nr, 1.5x1.15)</t>
        </is>
      </c>
      <c r="D5318" s="248">
        <v>2</v>
      </c>
      <c r="E5318" s="247">
        <v>1.5</v>
      </c>
      <c r="F5318" s="247">
        <v>1.15</v>
      </c>
      <c r="H5318" s="249">
        <f>-PRODUCT(D5318:G5318)</f>
        <v>-3.4499999999999997</v>
      </c>
      <c r="J5318" s="253" t="inlineStr">
        <is>
          <t xml:space="preserve">-2*1.5*1.15</t>
        </is>
      </c>
    </row>
    <row r="5319">
      <c r="C5319" s="246" t="inlineStr">
        <is>
          <t xml:space="preserve">Ddt opening W15 (1 nr, 3x1.6)</t>
        </is>
      </c>
      <c r="D5319" s="248">
        <v>1</v>
      </c>
      <c r="E5319" s="247">
        <v>3</v>
      </c>
      <c r="F5319" s="247">
        <v>1.6</v>
      </c>
      <c r="H5319" s="249">
        <f>-PRODUCT(D5319:G5319)</f>
        <v>-4.800000000000001</v>
      </c>
      <c r="J5319" s="253" t="inlineStr">
        <is>
          <t xml:space="preserve">-1*3*1.6</t>
        </is>
      </c>
    </row>
    <row r="5320">
      <c r="C5320" s="246" t="inlineStr">
        <is>
          <t xml:space="preserve">Ddt opening W17 (1 nr, 1.8x1.9)</t>
        </is>
      </c>
      <c r="D5320" s="248">
        <v>1</v>
      </c>
      <c r="E5320" s="247">
        <v>1.8</v>
      </c>
      <c r="F5320" s="247">
        <v>1.9</v>
      </c>
      <c r="H5320" s="249">
        <f>-PRODUCT(D5320:G5320)</f>
        <v>-3.42</v>
      </c>
      <c r="J5320" s="253" t="inlineStr">
        <is>
          <t xml:space="preserve">-1*1.8*1.9</t>
        </is>
      </c>
    </row>
    <row r="5321">
      <c r="C5321" s="246" t="inlineStr">
        <is>
          <t xml:space="preserve">Ddt opening HW1 (10 nr, 0.9x0.6)</t>
        </is>
      </c>
      <c r="D5321" s="248">
        <v>10</v>
      </c>
      <c r="E5321" s="247">
        <v>0.9</v>
      </c>
      <c r="F5321" s="247">
        <v>0.6</v>
      </c>
      <c r="H5321" s="249">
        <f>-PRODUCT(D5321:G5321)</f>
        <v>-5.3999999999999995</v>
      </c>
      <c r="J5321" s="253" t="inlineStr">
        <is>
          <t xml:space="preserve">-10*0.9*0.6</t>
        </is>
      </c>
    </row>
    <row r="5322">
      <c r="C5322" s="246" t="inlineStr">
        <is>
          <t xml:space="preserve">Ddt opening HW2 (4 nr, 0.75x0.6)</t>
        </is>
      </c>
      <c r="D5322" s="248">
        <v>4</v>
      </c>
      <c r="E5322" s="247">
        <v>0.75</v>
      </c>
      <c r="F5322" s="247">
        <v>0.6</v>
      </c>
      <c r="H5322" s="249">
        <f>-PRODUCT(D5322:G5322)</f>
        <v>-1.7999999999999998</v>
      </c>
      <c r="J5322" s="253" t="inlineStr">
        <is>
          <t xml:space="preserve">-4*0.75*0.6</t>
        </is>
      </c>
    </row>
    <row r="5323">
      <c r="C5323" s="246" t="inlineStr">
        <is>
          <t xml:space="preserve">Ddt opening HW3 (1 nr, 0.6x0.6)</t>
        </is>
      </c>
      <c r="D5323" s="248">
        <v>1</v>
      </c>
      <c r="E5323" s="247">
        <v>0.6</v>
      </c>
      <c r="F5323" s="247">
        <v>0.6</v>
      </c>
      <c r="H5323" s="249">
        <f>-PRODUCT(D5323:G5323)</f>
        <v>-0.36</v>
      </c>
      <c r="J5323" s="253" t="inlineStr">
        <is>
          <t xml:space="preserve">-1*0.6*0.6</t>
        </is>
      </c>
    </row>
    <row r="5324">
      <c r="C5324" s="246" t="inlineStr">
        <is>
          <t xml:space="preserve">Ddt opening HW4 (1 nr, 1.2x0.6)</t>
        </is>
      </c>
      <c r="D5324" s="248">
        <v>1</v>
      </c>
      <c r="E5324" s="247">
        <v>1.2</v>
      </c>
      <c r="F5324" s="247">
        <v>0.6</v>
      </c>
      <c r="H5324" s="249">
        <f>-PRODUCT(D5324:G5324)</f>
        <v>-0.72</v>
      </c>
      <c r="J5324" s="253" t="inlineStr">
        <is>
          <t xml:space="preserve">-1*1.2*0.6</t>
        </is>
      </c>
    </row>
    <row r="5325">
      <c r="C5325" s="250" t="inlineStr">
        <is>
          <t xml:space="preserve">Total carried to BOQ  9TH FLR item A</t>
        </is>
      </c>
      <c r="D5325" s="250" t="inlineStr">
        <is>
          <t xml:space="preserve"/>
        </is>
      </c>
      <c r="E5325" s="250" t="inlineStr">
        <is>
          <t xml:space="preserve"/>
        </is>
      </c>
      <c r="F5325" s="250" t="inlineStr">
        <is>
          <t xml:space="preserve"/>
        </is>
      </c>
      <c r="G5325" s="250" t="inlineStr">
        <is>
          <t xml:space="preserve"/>
        </is>
      </c>
      <c r="H5325" s="251">
        <f>SUM(H5290:H5324)</f>
        <v>1573.2197368421052</v>
      </c>
      <c r="I5325" s="252" t="inlineStr">
        <is>
          <t xml:space="preserve">m2</t>
        </is>
      </c>
    </row>
    <row r="5326">
      <c r="A5326" s="243" t="inlineStr">
        <is>
          <t xml:space="preserve">9TH FLR</t>
        </is>
      </c>
      <c r="B5326" s="243" t="inlineStr">
        <is>
          <t xml:space="preserve">B</t>
        </is>
      </c>
      <c r="C5326" s="244" t="inlineStr">
        <is>
          <t xml:space="preserve">Interior partitions and washrooms (above wall tiling)</t>
        </is>
      </c>
      <c r="I5326" s="245" t="inlineStr">
        <is>
          <t xml:space="preserve">m2</t>
        </is>
      </c>
      <c r="K5326" s="256" t="inlineStr">
        <is>
          <t xml:space="preserve">'9TH FLR    '!C242</t>
        </is>
      </c>
    </row>
    <row r="5327">
      <c r="C5327" s="246" t="inlineStr">
        <is>
          <t xml:space="preserve">washroom walls: (wet area / 3.8 m2 per WC) x 8.0 m girth x ht</t>
        </is>
      </c>
      <c r="E5327" s="247">
        <f>48.7/3.8</f>
        <v>12.815789473684212</v>
      </c>
      <c r="F5327" s="247">
        <v>8.0</v>
      </c>
      <c r="G5327" s="247">
        <v>3.05</v>
      </c>
      <c r="H5327" s="249">
        <f>PRODUCT(D5327:G5327)</f>
        <v>312.70526315789476</v>
      </c>
      <c r="J5327" s="253" t="inlineStr">
        <is>
          <t xml:space="preserve">48.7/3.8*8.0*3.05</t>
        </is>
      </c>
    </row>
    <row r="5328">
      <c r="C5328" s="246" t="inlineStr">
        <is>
          <t xml:space="preserve">Ddt washroom doors: nr x 0.75 x 2.2</t>
        </is>
      </c>
      <c r="E5328" s="247">
        <f>48.7/3.8</f>
        <v>12.815789473684212</v>
      </c>
      <c r="F5328" s="247">
        <v>0.75</v>
      </c>
      <c r="G5328" s="247">
        <v>2.2</v>
      </c>
      <c r="H5328" s="249">
        <f>-PRODUCT(D5328:G5328)</f>
        <v>-21.146052631578954</v>
      </c>
      <c r="J5328" s="253" t="inlineStr">
        <is>
          <t xml:space="preserve">-48.7/3.8*0.75*2.2</t>
        </is>
      </c>
    </row>
    <row r="5329">
      <c r="C5329" s="246" t="inlineStr">
        <is>
          <t xml:space="preserve">Ddt washroom walls: (wet area / 3.8 m2 per WC) x 8.0 m girth x ht</t>
        </is>
      </c>
      <c r="E5329" s="247">
        <f>48.7/3.8</f>
        <v>12.815789473684212</v>
      </c>
      <c r="F5329" s="247">
        <v>8.0</v>
      </c>
      <c r="G5329" s="247">
        <v>2.4</v>
      </c>
      <c r="H5329" s="249">
        <f>-PRODUCT(D5329:G5329)</f>
        <v>-246.06315789473686</v>
      </c>
      <c r="J5329" s="253" t="inlineStr">
        <is>
          <t xml:space="preserve">-48.7/3.8*8.0*2.4</t>
        </is>
      </c>
    </row>
    <row r="5330">
      <c r="C5330" s="246" t="inlineStr">
        <is>
          <t xml:space="preserve">washroom doors: nr x 0.75 x 2.2</t>
        </is>
      </c>
      <c r="E5330" s="247">
        <f>48.7/3.8</f>
        <v>12.815789473684212</v>
      </c>
      <c r="F5330" s="247">
        <v>0.75</v>
      </c>
      <c r="G5330" s="247">
        <v>2.2</v>
      </c>
      <c r="H5330" s="249">
        <f>PRODUCT(D5330:G5330)</f>
        <v>21.146052631578954</v>
      </c>
      <c r="J5330" s="253" t="inlineStr">
        <is>
          <t xml:space="preserve">48.7/3.8*0.75*2.2</t>
        </is>
      </c>
    </row>
    <row r="5331">
      <c r="C5331" s="250" t="inlineStr">
        <is>
          <t xml:space="preserve">Total carried to BOQ  9TH FLR item B</t>
        </is>
      </c>
      <c r="D5331" s="250" t="inlineStr">
        <is>
          <t xml:space="preserve"/>
        </is>
      </c>
      <c r="E5331" s="250" t="inlineStr">
        <is>
          <t xml:space="preserve"/>
        </is>
      </c>
      <c r="F5331" s="250" t="inlineStr">
        <is>
          <t xml:space="preserve"/>
        </is>
      </c>
      <c r="G5331" s="250" t="inlineStr">
        <is>
          <t xml:space="preserve"/>
        </is>
      </c>
      <c r="H5331" s="251">
        <f>SUM(H5327:H5330)</f>
        <v>66.64210526315793</v>
      </c>
      <c r="I5331" s="252" t="inlineStr">
        <is>
          <t xml:space="preserve">m2</t>
        </is>
      </c>
    </row>
    <row r="5332">
      <c r="A5332" s="243" t="inlineStr">
        <is>
          <t xml:space="preserve">9TH FLR</t>
        </is>
      </c>
      <c r="B5332" s="243" t="inlineStr">
        <is>
          <t xml:space="preserve">C</t>
        </is>
      </c>
      <c r="C5332" s="244" t="inlineStr">
        <is>
          <t xml:space="preserve">Exterior walls</t>
        </is>
      </c>
      <c r="I5332" s="245" t="inlineStr">
        <is>
          <t xml:space="preserve">m2</t>
        </is>
      </c>
      <c r="K5332" s="256" t="inlineStr">
        <is>
          <t xml:space="preserve">'9TH FLR    '!C244</t>
        </is>
      </c>
    </row>
    <row r="5333">
      <c r="C5333" s="246" t="inlineStr">
        <is>
          <t xml:space="preserve">External perimeter x storey ht</t>
        </is>
      </c>
      <c r="E5333" s="247">
        <v>224.1</v>
      </c>
      <c r="F5333" s="247">
        <v>3.3</v>
      </c>
      <c r="H5333" s="249">
        <f>PRODUCT(D5333:G5333)</f>
        <v>739.53</v>
      </c>
      <c r="J5333" s="253" t="inlineStr">
        <is>
          <t xml:space="preserve">224.1*3.3</t>
        </is>
      </c>
    </row>
    <row r="5334">
      <c r="C5334" s="246" t="inlineStr">
        <is>
          <t xml:space="preserve">Ddt window W2 (3 nr, 1.8x1.3)</t>
        </is>
      </c>
      <c r="D5334" s="248">
        <v>3</v>
      </c>
      <c r="E5334" s="247">
        <v>1.8</v>
      </c>
      <c r="F5334" s="247">
        <v>1.3</v>
      </c>
      <c r="H5334" s="249">
        <f>-PRODUCT(D5334:G5334)</f>
        <v>-7.0200000000000005</v>
      </c>
      <c r="J5334" s="253" t="inlineStr">
        <is>
          <t xml:space="preserve">-3*1.8*1.3</t>
        </is>
      </c>
    </row>
    <row r="5335">
      <c r="C5335" s="246" t="inlineStr">
        <is>
          <t xml:space="preserve">Ddt window W4 (6 nr, 0.9x1.3)</t>
        </is>
      </c>
      <c r="D5335" s="248">
        <v>6</v>
      </c>
      <c r="E5335" s="247">
        <v>0.9</v>
      </c>
      <c r="F5335" s="247">
        <v>1.3</v>
      </c>
      <c r="H5335" s="249">
        <f>-PRODUCT(D5335:G5335)</f>
        <v>-7.0200000000000005</v>
      </c>
      <c r="J5335" s="253" t="inlineStr">
        <is>
          <t xml:space="preserve">-6*0.9*1.3</t>
        </is>
      </c>
    </row>
    <row r="5336">
      <c r="C5336" s="246" t="inlineStr">
        <is>
          <t xml:space="preserve">Ddt window W7 (1 nr, 1.8x1.6)</t>
        </is>
      </c>
      <c r="D5336" s="248">
        <v>1</v>
      </c>
      <c r="E5336" s="247">
        <v>1.8</v>
      </c>
      <c r="F5336" s="247">
        <v>1.6</v>
      </c>
      <c r="H5336" s="249">
        <f>-PRODUCT(D5336:G5336)</f>
        <v>-2.8800000000000003</v>
      </c>
      <c r="J5336" s="253" t="inlineStr">
        <is>
          <t xml:space="preserve">-1*1.8*1.6</t>
        </is>
      </c>
    </row>
    <row r="5337">
      <c r="C5337" s="246" t="inlineStr">
        <is>
          <t xml:space="preserve">Ddt window W8 (1 nr, 1.2x1.9)</t>
        </is>
      </c>
      <c r="D5337" s="248">
        <v>1</v>
      </c>
      <c r="E5337" s="247">
        <v>1.2</v>
      </c>
      <c r="F5337" s="247">
        <v>1.9</v>
      </c>
      <c r="H5337" s="249">
        <f>-PRODUCT(D5337:G5337)</f>
        <v>-2.28</v>
      </c>
      <c r="J5337" s="253" t="inlineStr">
        <is>
          <t xml:space="preserve">-1*1.2*1.9</t>
        </is>
      </c>
    </row>
    <row r="5338">
      <c r="C5338" s="246" t="inlineStr">
        <is>
          <t xml:space="preserve">Ddt window W9 (5 nr, 1.2x1.15)</t>
        </is>
      </c>
      <c r="D5338" s="248">
        <v>5</v>
      </c>
      <c r="E5338" s="247">
        <v>1.2</v>
      </c>
      <c r="F5338" s="247">
        <v>1.15</v>
      </c>
      <c r="H5338" s="249">
        <f>-PRODUCT(D5338:G5338)</f>
        <v>-6.8999999999999995</v>
      </c>
      <c r="J5338" s="253" t="inlineStr">
        <is>
          <t xml:space="preserve">-5*1.2*1.15</t>
        </is>
      </c>
    </row>
    <row r="5339">
      <c r="C5339" s="246" t="inlineStr">
        <is>
          <t xml:space="preserve">Ddt window W10 (1 nr, 1.2x1.2)</t>
        </is>
      </c>
      <c r="D5339" s="248">
        <v>1</v>
      </c>
      <c r="E5339" s="247">
        <v>1.2</v>
      </c>
      <c r="F5339" s="247">
        <v>1.2</v>
      </c>
      <c r="H5339" s="249">
        <f>-PRODUCT(D5339:G5339)</f>
        <v>-1.44</v>
      </c>
      <c r="J5339" s="253" t="inlineStr">
        <is>
          <t xml:space="preserve">-1*1.2*1.2</t>
        </is>
      </c>
    </row>
    <row r="5340">
      <c r="C5340" s="246" t="inlineStr">
        <is>
          <t xml:space="preserve">Ddt window W11 (3 nr, 1.5x1.3)</t>
        </is>
      </c>
      <c r="D5340" s="248">
        <v>3</v>
      </c>
      <c r="E5340" s="247">
        <v>1.5</v>
      </c>
      <c r="F5340" s="247">
        <v>1.3</v>
      </c>
      <c r="H5340" s="249">
        <f>-PRODUCT(D5340:G5340)</f>
        <v>-5.8500000000000005</v>
      </c>
      <c r="J5340" s="253" t="inlineStr">
        <is>
          <t xml:space="preserve">-3*1.5*1.3</t>
        </is>
      </c>
    </row>
    <row r="5341">
      <c r="C5341" s="246" t="inlineStr">
        <is>
          <t xml:space="preserve">Ddt window W12 (2 nr, 1.5x1.15)</t>
        </is>
      </c>
      <c r="D5341" s="248">
        <v>2</v>
      </c>
      <c r="E5341" s="247">
        <v>1.5</v>
      </c>
      <c r="F5341" s="247">
        <v>1.15</v>
      </c>
      <c r="H5341" s="249">
        <f>-PRODUCT(D5341:G5341)</f>
        <v>-3.4499999999999997</v>
      </c>
      <c r="J5341" s="253" t="inlineStr">
        <is>
          <t xml:space="preserve">-2*1.5*1.15</t>
        </is>
      </c>
    </row>
    <row r="5342">
      <c r="C5342" s="246" t="inlineStr">
        <is>
          <t xml:space="preserve">Ddt window W15 (1 nr, 3x1.6)</t>
        </is>
      </c>
      <c r="D5342" s="248">
        <v>1</v>
      </c>
      <c r="E5342" s="247">
        <v>3</v>
      </c>
      <c r="F5342" s="247">
        <v>1.6</v>
      </c>
      <c r="H5342" s="249">
        <f>-PRODUCT(D5342:G5342)</f>
        <v>-4.800000000000001</v>
      </c>
      <c r="J5342" s="253" t="inlineStr">
        <is>
          <t xml:space="preserve">-1*3*1.6</t>
        </is>
      </c>
    </row>
    <row r="5343">
      <c r="C5343" s="246" t="inlineStr">
        <is>
          <t xml:space="preserve">Ddt window W17 (1 nr, 1.8x1.9)</t>
        </is>
      </c>
      <c r="D5343" s="248">
        <v>1</v>
      </c>
      <c r="E5343" s="247">
        <v>1.8</v>
      </c>
      <c r="F5343" s="247">
        <v>1.9</v>
      </c>
      <c r="H5343" s="249">
        <f>-PRODUCT(D5343:G5343)</f>
        <v>-3.42</v>
      </c>
      <c r="J5343" s="253" t="inlineStr">
        <is>
          <t xml:space="preserve">-1*1.8*1.9</t>
        </is>
      </c>
    </row>
    <row r="5344">
      <c r="C5344" s="246" t="inlineStr">
        <is>
          <t xml:space="preserve">Ddt window HW1 (10 nr, 0.9x0.6)</t>
        </is>
      </c>
      <c r="D5344" s="248">
        <v>10</v>
      </c>
      <c r="E5344" s="247">
        <v>0.9</v>
      </c>
      <c r="F5344" s="247">
        <v>0.6</v>
      </c>
      <c r="H5344" s="249">
        <f>-PRODUCT(D5344:G5344)</f>
        <v>-5.3999999999999995</v>
      </c>
      <c r="J5344" s="253" t="inlineStr">
        <is>
          <t xml:space="preserve">-10*0.9*0.6</t>
        </is>
      </c>
    </row>
    <row r="5345">
      <c r="C5345" s="246" t="inlineStr">
        <is>
          <t xml:space="preserve">Ddt window HW2 (4 nr, 0.75x0.6)</t>
        </is>
      </c>
      <c r="D5345" s="248">
        <v>4</v>
      </c>
      <c r="E5345" s="247">
        <v>0.75</v>
      </c>
      <c r="F5345" s="247">
        <v>0.6</v>
      </c>
      <c r="H5345" s="249">
        <f>-PRODUCT(D5345:G5345)</f>
        <v>-1.7999999999999998</v>
      </c>
      <c r="J5345" s="253" t="inlineStr">
        <is>
          <t xml:space="preserve">-4*0.75*0.6</t>
        </is>
      </c>
    </row>
    <row r="5346">
      <c r="C5346" s="246" t="inlineStr">
        <is>
          <t xml:space="preserve">Ddt window HW3 (1 nr, 0.6x0.6)</t>
        </is>
      </c>
      <c r="D5346" s="248">
        <v>1</v>
      </c>
      <c r="E5346" s="247">
        <v>0.6</v>
      </c>
      <c r="F5346" s="247">
        <v>0.6</v>
      </c>
      <c r="H5346" s="249">
        <f>-PRODUCT(D5346:G5346)</f>
        <v>-0.36</v>
      </c>
      <c r="J5346" s="253" t="inlineStr">
        <is>
          <t xml:space="preserve">-1*0.6*0.6</t>
        </is>
      </c>
    </row>
    <row r="5347">
      <c r="C5347" s="246" t="inlineStr">
        <is>
          <t xml:space="preserve">Ddt window HW4 (1 nr, 1.2x0.6)</t>
        </is>
      </c>
      <c r="D5347" s="248">
        <v>1</v>
      </c>
      <c r="E5347" s="247">
        <v>1.2</v>
      </c>
      <c r="F5347" s="247">
        <v>0.6</v>
      </c>
      <c r="H5347" s="249">
        <f>-PRODUCT(D5347:G5347)</f>
        <v>-0.72</v>
      </c>
      <c r="J5347" s="253" t="inlineStr">
        <is>
          <t xml:space="preserve">-1*1.2*0.6</t>
        </is>
      </c>
    </row>
    <row r="5348">
      <c r="C5348" s="250" t="inlineStr">
        <is>
          <t xml:space="preserve">Total carried to BOQ  9TH FLR item C</t>
        </is>
      </c>
      <c r="D5348" s="250" t="inlineStr">
        <is>
          <t xml:space="preserve"/>
        </is>
      </c>
      <c r="E5348" s="250" t="inlineStr">
        <is>
          <t xml:space="preserve"/>
        </is>
      </c>
      <c r="F5348" s="250" t="inlineStr">
        <is>
          <t xml:space="preserve"/>
        </is>
      </c>
      <c r="G5348" s="250" t="inlineStr">
        <is>
          <t xml:space="preserve"/>
        </is>
      </c>
      <c r="H5348" s="251">
        <f>SUM(H5333:H5347)</f>
        <v>686.19</v>
      </c>
      <c r="I5348" s="252" t="inlineStr">
        <is>
          <t xml:space="preserve">m2</t>
        </is>
      </c>
    </row>
    <row r="5349">
      <c r="A5349" s="243" t="inlineStr">
        <is>
          <t xml:space="preserve">9TH FLR</t>
        </is>
      </c>
      <c r="B5349" s="243" t="inlineStr">
        <is>
          <t xml:space="preserve">D</t>
        </is>
      </c>
      <c r="C5349" s="244" t="inlineStr">
        <is>
          <t xml:space="preserve">Soffit of plaster board ceilings</t>
        </is>
      </c>
      <c r="I5349" s="245" t="inlineStr">
        <is>
          <t xml:space="preserve">m2</t>
        </is>
      </c>
      <c r="K5349" s="256" t="inlineStr">
        <is>
          <t xml:space="preserve">'9TH FLR    '!C246</t>
        </is>
      </c>
    </row>
    <row r="5350">
      <c r="C5350" s="246" t="inlineStr">
        <is>
          <t xml:space="preserve">Ninth floor - Ceiling areas (measured)</t>
        </is>
      </c>
      <c r="H5350" s="247">
        <v>524.0</v>
      </c>
      <c r="J5350" s="253" t="inlineStr">
        <is>
          <t xml:space="preserve">524.0</t>
        </is>
      </c>
    </row>
    <row r="5351">
      <c r="C5351" s="250" t="inlineStr">
        <is>
          <t xml:space="preserve">Total carried to BOQ  9TH FLR item D</t>
        </is>
      </c>
      <c r="D5351" s="250" t="inlineStr">
        <is>
          <t xml:space="preserve"/>
        </is>
      </c>
      <c r="E5351" s="250" t="inlineStr">
        <is>
          <t xml:space="preserve"/>
        </is>
      </c>
      <c r="F5351" s="250" t="inlineStr">
        <is>
          <t xml:space="preserve"/>
        </is>
      </c>
      <c r="G5351" s="250" t="inlineStr">
        <is>
          <t xml:space="preserve"/>
        </is>
      </c>
      <c r="H5351" s="251">
        <f>SUM(H5350:H5350)</f>
        <v>524.0</v>
      </c>
      <c r="I5351" s="252" t="inlineStr">
        <is>
          <t xml:space="preserve">m2</t>
        </is>
      </c>
    </row>
    <row r="5352">
      <c r="A5352" s="243" t="inlineStr">
        <is>
          <t xml:space="preserve">9TH FLR</t>
        </is>
      </c>
      <c r="B5352" s="243" t="inlineStr">
        <is>
          <t xml:space="preserve">E</t>
        </is>
      </c>
      <c r="C5352" s="244" t="inlineStr">
        <is>
          <t xml:space="preserve">Soffit of plaster board ceilings for washrooms</t>
        </is>
      </c>
      <c r="I5352" s="245" t="inlineStr">
        <is>
          <t xml:space="preserve">m2</t>
        </is>
      </c>
      <c r="K5352" s="256" t="inlineStr">
        <is>
          <t xml:space="preserve">'9TH FLR    '!C248</t>
        </is>
      </c>
    </row>
    <row r="5353">
      <c r="C5353" s="246" t="inlineStr">
        <is>
          <t xml:space="preserve">Ninth floor - Washroom ceiling areas (measured)</t>
        </is>
      </c>
      <c r="H5353" s="247">
        <v>48.7</v>
      </c>
      <c r="J5353" s="253" t="inlineStr">
        <is>
          <t xml:space="preserve">48.7</t>
        </is>
      </c>
    </row>
    <row r="5354">
      <c r="C5354" s="250" t="inlineStr">
        <is>
          <t xml:space="preserve">Total carried to BOQ  9TH FLR item E</t>
        </is>
      </c>
      <c r="D5354" s="250" t="inlineStr">
        <is>
          <t xml:space="preserve"/>
        </is>
      </c>
      <c r="E5354" s="250" t="inlineStr">
        <is>
          <t xml:space="preserve"/>
        </is>
      </c>
      <c r="F5354" s="250" t="inlineStr">
        <is>
          <t xml:space="preserve"/>
        </is>
      </c>
      <c r="G5354" s="250" t="inlineStr">
        <is>
          <t xml:space="preserve"/>
        </is>
      </c>
      <c r="H5354" s="251">
        <f>SUM(H5353:H5353)</f>
        <v>48.7</v>
      </c>
      <c r="I5354" s="252" t="inlineStr">
        <is>
          <t xml:space="preserve">m2</t>
        </is>
      </c>
    </row>
    <row r="5355" ht="32.2" customHeight="1">
      <c r="A5355" s="243" t="inlineStr">
        <is>
          <t xml:space="preserve">9TH FLR</t>
        </is>
      </c>
      <c r="B5355" s="243" t="inlineStr">
        <is>
          <t xml:space="preserve">F</t>
        </is>
      </c>
      <c r="C5355" s="244" t="inlineStr">
        <is>
          <t xml:space="preserve">Knot, prime, stop and apply two undercoats and one finishing coat of gloss oil paint on general surfaces of woodwork</t>
        </is>
      </c>
      <c r="I5355" s="245" t="inlineStr">
        <is>
          <t xml:space="preserve">m2</t>
        </is>
      </c>
      <c r="K5355" s="256" t="inlineStr">
        <is>
          <t xml:space="preserve">'9TH FLR    '!C250</t>
        </is>
      </c>
    </row>
    <row r="5356">
      <c r="C5356" s="246" t="inlineStr">
        <is>
          <t xml:space="preserve">Door leaf D3 (8 nr, 0.9x2.2): nr x w x h x 2 faces</t>
        </is>
      </c>
      <c r="D5356" s="248">
        <v>8</v>
      </c>
      <c r="E5356" s="247">
        <v>0.9</v>
      </c>
      <c r="F5356" s="247">
        <v>2.2</v>
      </c>
      <c r="G5356" s="247">
        <v>2</v>
      </c>
      <c r="H5356" s="249">
        <f>PRODUCT(D5356:G5356)</f>
        <v>31.680000000000003</v>
      </c>
      <c r="J5356" s="253" t="inlineStr">
        <is>
          <t xml:space="preserve">8*0.9*2.2*2</t>
        </is>
      </c>
    </row>
    <row r="5357">
      <c r="C5357" s="246" t="inlineStr">
        <is>
          <t xml:space="preserve">Door leaf D6 (17 nr, 0.75x2.2): nr x w x h x 2 faces</t>
        </is>
      </c>
      <c r="D5357" s="248">
        <v>17</v>
      </c>
      <c r="E5357" s="247">
        <v>0.75</v>
      </c>
      <c r="F5357" s="247">
        <v>2.2</v>
      </c>
      <c r="G5357" s="247">
        <v>2</v>
      </c>
      <c r="H5357" s="249">
        <f>PRODUCT(D5357:G5357)</f>
        <v>56.1</v>
      </c>
      <c r="J5357" s="253" t="inlineStr">
        <is>
          <t xml:space="preserve">17*0.75*2.2*2</t>
        </is>
      </c>
    </row>
    <row r="5358">
      <c r="C5358" s="246" t="inlineStr">
        <is>
          <t xml:space="preserve">8*(2*2.2+0.9)*0.25</t>
        </is>
      </c>
      <c r="D5358" s="248">
        <v>8</v>
      </c>
      <c r="E5358" s="247">
        <f>2*2.2+0.9</f>
        <v>5.300000000000001</v>
      </c>
      <c r="F5358" s="247">
        <v>0.25</v>
      </c>
      <c r="H5358" s="249">
        <f>PRODUCT(D5358:G5358)</f>
        <v>10.600000000000001</v>
      </c>
      <c r="J5358" s="253" t="inlineStr">
        <is>
          <t xml:space="preserve">8*(2*2.2+0.9)*0.25</t>
        </is>
      </c>
    </row>
    <row r="5359">
      <c r="C5359" s="246" t="inlineStr">
        <is>
          <t xml:space="preserve">17*(2*2.2+0.75)*0.25</t>
        </is>
      </c>
      <c r="D5359" s="248">
        <v>17</v>
      </c>
      <c r="E5359" s="247">
        <f>2*2.2+0.75</f>
        <v>5.15</v>
      </c>
      <c r="F5359" s="247">
        <v>0.25</v>
      </c>
      <c r="H5359" s="249">
        <f>PRODUCT(D5359:G5359)</f>
        <v>21.887500000000003</v>
      </c>
      <c r="J5359" s="253" t="inlineStr">
        <is>
          <t xml:space="preserve">17*(2*2.2+0.75)*0.25</t>
        </is>
      </c>
    </row>
    <row r="5360">
      <c r="C5360" s="250" t="inlineStr">
        <is>
          <t xml:space="preserve">Total carried to BOQ  9TH FLR item F</t>
        </is>
      </c>
      <c r="D5360" s="250" t="inlineStr">
        <is>
          <t xml:space="preserve"/>
        </is>
      </c>
      <c r="E5360" s="250" t="inlineStr">
        <is>
          <t xml:space="preserve"/>
        </is>
      </c>
      <c r="F5360" s="250" t="inlineStr">
        <is>
          <t xml:space="preserve"/>
        </is>
      </c>
      <c r="G5360" s="250" t="inlineStr">
        <is>
          <t xml:space="preserve"/>
        </is>
      </c>
      <c r="H5360" s="251">
        <f>SUM(H5356:H5359)</f>
        <v>120.2675</v>
      </c>
      <c r="I5360" s="252" t="inlineStr">
        <is>
          <t xml:space="preserve">m2</t>
        </is>
      </c>
    </row>
    <row r="5361" ht="32.2" customHeight="1">
      <c r="A5361" s="243" t="inlineStr">
        <is>
          <t xml:space="preserve">9TH FLR</t>
        </is>
      </c>
      <c r="B5361" s="243" t="inlineStr">
        <is>
          <t xml:space="preserve">G</t>
        </is>
      </c>
      <c r="C5361" s="244" t="inlineStr">
        <is>
          <t xml:space="preserve">Prepare and apply one coat of aluminium primer on mild steel burglar-proof bars (measured over window opening area)</t>
        </is>
      </c>
      <c r="I5361" s="245" t="inlineStr">
        <is>
          <t xml:space="preserve">m2</t>
        </is>
      </c>
      <c r="K5361" s="256" t="inlineStr">
        <is>
          <t xml:space="preserve">'9TH FLR    '!C252</t>
        </is>
      </c>
    </row>
    <row r="5362">
      <c r="C5362" s="246" t="inlineStr">
        <is>
          <t xml:space="preserve">Window W2 (3 nr, 1.8x1.3): nr x w x h</t>
        </is>
      </c>
      <c r="D5362" s="248">
        <v>3</v>
      </c>
      <c r="E5362" s="247">
        <v>1.8</v>
      </c>
      <c r="F5362" s="247">
        <v>1.3</v>
      </c>
      <c r="H5362" s="249">
        <f>PRODUCT(D5362:G5362)</f>
        <v>7.0200000000000005</v>
      </c>
      <c r="J5362" s="253" t="inlineStr">
        <is>
          <t xml:space="preserve">3*1.8*1.3</t>
        </is>
      </c>
    </row>
    <row r="5363">
      <c r="C5363" s="246" t="inlineStr">
        <is>
          <t xml:space="preserve">Window W4 (6 nr, 0.9x1.3): nr x w x h</t>
        </is>
      </c>
      <c r="D5363" s="248">
        <v>6</v>
      </c>
      <c r="E5363" s="247">
        <v>0.9</v>
      </c>
      <c r="F5363" s="247">
        <v>1.3</v>
      </c>
      <c r="H5363" s="249">
        <f>PRODUCT(D5363:G5363)</f>
        <v>7.0200000000000005</v>
      </c>
      <c r="J5363" s="253" t="inlineStr">
        <is>
          <t xml:space="preserve">6*0.9*1.3</t>
        </is>
      </c>
    </row>
    <row r="5364">
      <c r="C5364" s="246" t="inlineStr">
        <is>
          <t xml:space="preserve">Window W7 (1 nr, 1.8x1.6): nr x w x h</t>
        </is>
      </c>
      <c r="D5364" s="248">
        <v>1</v>
      </c>
      <c r="E5364" s="247">
        <v>1.8</v>
      </c>
      <c r="F5364" s="247">
        <v>1.6</v>
      </c>
      <c r="H5364" s="249">
        <f>PRODUCT(D5364:G5364)</f>
        <v>2.8800000000000003</v>
      </c>
      <c r="J5364" s="253" t="inlineStr">
        <is>
          <t xml:space="preserve">1*1.8*1.6</t>
        </is>
      </c>
    </row>
    <row r="5365">
      <c r="C5365" s="246" t="inlineStr">
        <is>
          <t xml:space="preserve">Window W8 (1 nr, 1.2x1.9): nr x w x h</t>
        </is>
      </c>
      <c r="D5365" s="248">
        <v>1</v>
      </c>
      <c r="E5365" s="247">
        <v>1.2</v>
      </c>
      <c r="F5365" s="247">
        <v>1.9</v>
      </c>
      <c r="H5365" s="249">
        <f>PRODUCT(D5365:G5365)</f>
        <v>2.28</v>
      </c>
      <c r="J5365" s="253" t="inlineStr">
        <is>
          <t xml:space="preserve">1*1.2*1.9</t>
        </is>
      </c>
    </row>
    <row r="5366">
      <c r="C5366" s="246" t="inlineStr">
        <is>
          <t xml:space="preserve">Window W9 (5 nr, 1.2x1.15): nr x w x h</t>
        </is>
      </c>
      <c r="D5366" s="248">
        <v>5</v>
      </c>
      <c r="E5366" s="247">
        <v>1.2</v>
      </c>
      <c r="F5366" s="247">
        <v>1.15</v>
      </c>
      <c r="H5366" s="249">
        <f>PRODUCT(D5366:G5366)</f>
        <v>6.8999999999999995</v>
      </c>
      <c r="J5366" s="253" t="inlineStr">
        <is>
          <t xml:space="preserve">5*1.2*1.15</t>
        </is>
      </c>
    </row>
    <row r="5367">
      <c r="C5367" s="246" t="inlineStr">
        <is>
          <t xml:space="preserve">Window W10 (1 nr, 1.2x1.2): nr x w x h</t>
        </is>
      </c>
      <c r="D5367" s="248">
        <v>1</v>
      </c>
      <c r="E5367" s="247">
        <v>1.2</v>
      </c>
      <c r="F5367" s="247">
        <v>1.2</v>
      </c>
      <c r="H5367" s="249">
        <f>PRODUCT(D5367:G5367)</f>
        <v>1.44</v>
      </c>
      <c r="J5367" s="253" t="inlineStr">
        <is>
          <t xml:space="preserve">1*1.2*1.2</t>
        </is>
      </c>
    </row>
    <row r="5368">
      <c r="C5368" s="246" t="inlineStr">
        <is>
          <t xml:space="preserve">Window W11 (3 nr, 1.5x1.3): nr x w x h</t>
        </is>
      </c>
      <c r="D5368" s="248">
        <v>3</v>
      </c>
      <c r="E5368" s="247">
        <v>1.5</v>
      </c>
      <c r="F5368" s="247">
        <v>1.3</v>
      </c>
      <c r="H5368" s="249">
        <f>PRODUCT(D5368:G5368)</f>
        <v>5.8500000000000005</v>
      </c>
      <c r="J5368" s="253" t="inlineStr">
        <is>
          <t xml:space="preserve">3*1.5*1.3</t>
        </is>
      </c>
    </row>
    <row r="5369">
      <c r="C5369" s="246" t="inlineStr">
        <is>
          <t xml:space="preserve">Window W12 (2 nr, 1.5x1.15): nr x w x h</t>
        </is>
      </c>
      <c r="D5369" s="248">
        <v>2</v>
      </c>
      <c r="E5369" s="247">
        <v>1.5</v>
      </c>
      <c r="F5369" s="247">
        <v>1.15</v>
      </c>
      <c r="H5369" s="249">
        <f>PRODUCT(D5369:G5369)</f>
        <v>3.4499999999999997</v>
      </c>
      <c r="J5369" s="253" t="inlineStr">
        <is>
          <t xml:space="preserve">2*1.5*1.15</t>
        </is>
      </c>
    </row>
    <row r="5370">
      <c r="C5370" s="246" t="inlineStr">
        <is>
          <t xml:space="preserve">Window W15 (1 nr, 3x1.6): nr x w x h</t>
        </is>
      </c>
      <c r="D5370" s="248">
        <v>1</v>
      </c>
      <c r="E5370" s="247">
        <v>3</v>
      </c>
      <c r="F5370" s="247">
        <v>1.6</v>
      </c>
      <c r="H5370" s="249">
        <f>PRODUCT(D5370:G5370)</f>
        <v>4.800000000000001</v>
      </c>
      <c r="J5370" s="253" t="inlineStr">
        <is>
          <t xml:space="preserve">1*3*1.6</t>
        </is>
      </c>
    </row>
    <row r="5371">
      <c r="C5371" s="246" t="inlineStr">
        <is>
          <t xml:space="preserve">Window W17 (1 nr, 1.8x1.9): nr x w x h</t>
        </is>
      </c>
      <c r="D5371" s="248">
        <v>1</v>
      </c>
      <c r="E5371" s="247">
        <v>1.8</v>
      </c>
      <c r="F5371" s="247">
        <v>1.9</v>
      </c>
      <c r="H5371" s="249">
        <f>PRODUCT(D5371:G5371)</f>
        <v>3.42</v>
      </c>
      <c r="J5371" s="253" t="inlineStr">
        <is>
          <t xml:space="preserve">1*1.8*1.9</t>
        </is>
      </c>
    </row>
    <row r="5372">
      <c r="C5372" s="246" t="inlineStr">
        <is>
          <t xml:space="preserve">Window HW1 (10 nr, 0.9x0.6): nr x w x h</t>
        </is>
      </c>
      <c r="D5372" s="248">
        <v>10</v>
      </c>
      <c r="E5372" s="247">
        <v>0.9</v>
      </c>
      <c r="F5372" s="247">
        <v>0.6</v>
      </c>
      <c r="H5372" s="249">
        <f>PRODUCT(D5372:G5372)</f>
        <v>5.3999999999999995</v>
      </c>
      <c r="J5372" s="253" t="inlineStr">
        <is>
          <t xml:space="preserve">10*0.9*0.6</t>
        </is>
      </c>
    </row>
    <row r="5373">
      <c r="C5373" s="246" t="inlineStr">
        <is>
          <t xml:space="preserve">Window HW2 (4 nr, 0.75x0.6): nr x w x h</t>
        </is>
      </c>
      <c r="D5373" s="248">
        <v>4</v>
      </c>
      <c r="E5373" s="247">
        <v>0.75</v>
      </c>
      <c r="F5373" s="247">
        <v>0.6</v>
      </c>
      <c r="H5373" s="249">
        <f>PRODUCT(D5373:G5373)</f>
        <v>1.7999999999999998</v>
      </c>
      <c r="J5373" s="253" t="inlineStr">
        <is>
          <t xml:space="preserve">4*0.75*0.6</t>
        </is>
      </c>
    </row>
    <row r="5374">
      <c r="C5374" s="246" t="inlineStr">
        <is>
          <t xml:space="preserve">Window HW3 (1 nr, 0.6x0.6): nr x w x h</t>
        </is>
      </c>
      <c r="D5374" s="248">
        <v>1</v>
      </c>
      <c r="E5374" s="247">
        <v>0.6</v>
      </c>
      <c r="F5374" s="247">
        <v>0.6</v>
      </c>
      <c r="H5374" s="249">
        <f>PRODUCT(D5374:G5374)</f>
        <v>0.36</v>
      </c>
      <c r="J5374" s="253" t="inlineStr">
        <is>
          <t xml:space="preserve">1*0.6*0.6</t>
        </is>
      </c>
    </row>
    <row r="5375">
      <c r="C5375" s="246" t="inlineStr">
        <is>
          <t xml:space="preserve">Window HW4 (1 nr, 1.2x0.6): nr x w x h</t>
        </is>
      </c>
      <c r="D5375" s="248">
        <v>1</v>
      </c>
      <c r="E5375" s="247">
        <v>1.2</v>
      </c>
      <c r="F5375" s="247">
        <v>0.6</v>
      </c>
      <c r="H5375" s="249">
        <f>PRODUCT(D5375:G5375)</f>
        <v>0.72</v>
      </c>
      <c r="J5375" s="253" t="inlineStr">
        <is>
          <t xml:space="preserve">1*1.2*0.6</t>
        </is>
      </c>
    </row>
    <row r="5376">
      <c r="C5376" s="250" t="inlineStr">
        <is>
          <t xml:space="preserve">Total carried to BOQ  9TH FLR item G</t>
        </is>
      </c>
      <c r="D5376" s="250" t="inlineStr">
        <is>
          <t xml:space="preserve"/>
        </is>
      </c>
      <c r="E5376" s="250" t="inlineStr">
        <is>
          <t xml:space="preserve"/>
        </is>
      </c>
      <c r="F5376" s="250" t="inlineStr">
        <is>
          <t xml:space="preserve"/>
        </is>
      </c>
      <c r="G5376" s="250" t="inlineStr">
        <is>
          <t xml:space="preserve"/>
        </is>
      </c>
      <c r="H5376" s="251">
        <f>SUM(H5362:H5375)</f>
        <v>53.339999999999996</v>
      </c>
      <c r="I5376" s="252" t="inlineStr">
        <is>
          <t xml:space="preserve">m2</t>
        </is>
      </c>
    </row>
    <row r="5377">
      <c r="C5377" s="242" t="inlineStr">
        <is>
          <t xml:space="preserve">Doors and windows: schedules ARCH-501/502 give building totals only (no tags on plans); quantities are allocated to floors pro-rata to measured habitable / washroom areas. Building totals equal the schedules.</t>
        </is>
      </c>
    </row>
    <row r="5378"/>
    <row r="5379" ht="21" customHeight="1">
      <c r="A5379" s="241" t="inlineStr">
        <is>
          <t xml:space="preserve">BILL NR. 13 - TENTH FLOOR  -  TENTH FLOOR</t>
        </is>
      </c>
      <c r="B5379" s="241" t="inlineStr">
        <is>
          <t xml:space="preserve"/>
        </is>
      </c>
      <c r="C5379" s="241" t="inlineStr">
        <is>
          <t xml:space="preserve"/>
        </is>
      </c>
      <c r="D5379" s="241" t="inlineStr">
        <is>
          <t xml:space="preserve"/>
        </is>
      </c>
      <c r="E5379" s="241" t="inlineStr">
        <is>
          <t xml:space="preserve"/>
        </is>
      </c>
      <c r="F5379" s="241" t="inlineStr">
        <is>
          <t xml:space="preserve"/>
        </is>
      </c>
      <c r="G5379" s="241" t="inlineStr">
        <is>
          <t xml:space="preserve"/>
        </is>
      </c>
      <c r="H5379" s="241" t="inlineStr">
        <is>
          <t xml:space="preserve"/>
        </is>
      </c>
      <c r="I5379" s="241" t="inlineStr">
        <is>
          <t xml:space="preserve"/>
        </is>
      </c>
      <c r="J5379" s="241" t="inlineStr">
        <is>
          <t xml:space="preserve"/>
        </is>
      </c>
      <c r="K5379" s="241" t="inlineStr">
        <is>
          <t xml:space="preserve"/>
        </is>
      </c>
    </row>
    <row r="5380">
      <c r="C5380" s="242" t="inlineStr">
        <is>
          <t xml:space="preserve">ELEMENT NO. 1: IN SITU CONCRETE/LARGE PRECAST CONCRETE</t>
        </is>
      </c>
    </row>
    <row r="5381">
      <c r="C5381" s="242" t="inlineStr">
        <is>
          <t xml:space="preserve">Vibrated in-situ concrete C40 as described in:</t>
        </is>
      </c>
    </row>
    <row r="5382">
      <c r="A5382" s="243" t="inlineStr">
        <is>
          <t xml:space="preserve">10TH FLR</t>
        </is>
      </c>
      <c r="B5382" s="243" t="inlineStr">
        <is>
          <t xml:space="preserve">A</t>
        </is>
      </c>
      <c r="C5382" s="244" t="inlineStr">
        <is>
          <t xml:space="preserve">Suspended slab 250mm thick</t>
        </is>
      </c>
      <c r="I5382" s="245" t="inlineStr">
        <is>
          <t xml:space="preserve">m3</t>
        </is>
      </c>
      <c r="K5382" s="256" t="inlineStr">
        <is>
          <t xml:space="preserve">'10TH FLR   '!C33</t>
        </is>
      </c>
    </row>
    <row r="5383">
      <c r="C5383" s="246" t="inlineStr">
        <is>
          <t xml:space="preserve">Tenth floor (+34000) - Suspended slab: measured area x 250 thk</t>
        </is>
      </c>
      <c r="E5383" s="247">
        <v>868.4</v>
      </c>
      <c r="F5383" s="247">
        <v>0.25</v>
      </c>
      <c r="H5383" s="249">
        <f>PRODUCT(D5383:G5383)</f>
        <v>217.1</v>
      </c>
      <c r="J5383" s="253" t="inlineStr">
        <is>
          <t xml:space="preserve">868.4*0.25</t>
        </is>
      </c>
    </row>
    <row r="5384">
      <c r="C5384" s="250" t="inlineStr">
        <is>
          <t xml:space="preserve">Total carried to BOQ  10TH FLR item A</t>
        </is>
      </c>
      <c r="D5384" s="250" t="inlineStr">
        <is>
          <t xml:space="preserve"/>
        </is>
      </c>
      <c r="E5384" s="250" t="inlineStr">
        <is>
          <t xml:space="preserve"/>
        </is>
      </c>
      <c r="F5384" s="250" t="inlineStr">
        <is>
          <t xml:space="preserve"/>
        </is>
      </c>
      <c r="G5384" s="250" t="inlineStr">
        <is>
          <t xml:space="preserve"/>
        </is>
      </c>
      <c r="H5384" s="251">
        <f>SUM(H5383:H5383)</f>
        <v>217.1</v>
      </c>
      <c r="I5384" s="252" t="inlineStr">
        <is>
          <t xml:space="preserve">m3</t>
        </is>
      </c>
    </row>
    <row r="5385">
      <c r="A5385" s="243" t="inlineStr">
        <is>
          <t xml:space="preserve">10TH FLR</t>
        </is>
      </c>
      <c r="B5385" s="243" t="inlineStr">
        <is>
          <t xml:space="preserve">B</t>
        </is>
      </c>
      <c r="C5385" s="244" t="inlineStr">
        <is>
          <t xml:space="preserve">Beams (downstands below slab)</t>
        </is>
      </c>
      <c r="I5385" s="245" t="inlineStr">
        <is>
          <t xml:space="preserve">m3</t>
        </is>
      </c>
      <c r="K5385" s="256" t="inlineStr">
        <is>
          <t xml:space="preserve">'10TH FLR   '!C35</t>
        </is>
      </c>
    </row>
    <row r="5386">
      <c r="C5386" s="246" t="inlineStr">
        <is>
          <t xml:space="preserve">Tenth floor (+34000) - 300 wide beams: length x width x depth</t>
        </is>
      </c>
      <c r="E5386" s="247">
        <v>122.2</v>
      </c>
      <c r="F5386" s="247">
        <v>0.3</v>
      </c>
      <c r="G5386" s="247">
        <v>0.35</v>
      </c>
      <c r="H5386" s="249">
        <f>PRODUCT(D5386:G5386)</f>
        <v>12.830999999999998</v>
      </c>
      <c r="J5386" s="253" t="inlineStr">
        <is>
          <t xml:space="preserve">122.2*0.3*0.35</t>
        </is>
      </c>
    </row>
    <row r="5387">
      <c r="C5387" s="246" t="inlineStr">
        <is>
          <t xml:space="preserve">Tenth floor (+34000) - 200 wide beams: length x width x depth</t>
        </is>
      </c>
      <c r="E5387" s="247">
        <v>14.2</v>
      </c>
      <c r="F5387" s="247">
        <v>0.2</v>
      </c>
      <c r="G5387" s="247">
        <v>0.35</v>
      </c>
      <c r="H5387" s="249">
        <f>PRODUCT(D5387:G5387)</f>
        <v>0.9939999999999999</v>
      </c>
      <c r="J5387" s="253" t="inlineStr">
        <is>
          <t xml:space="preserve">14.2*0.2*0.35</t>
        </is>
      </c>
    </row>
    <row r="5388">
      <c r="C5388" s="250" t="inlineStr">
        <is>
          <t xml:space="preserve">Total carried to BOQ  10TH FLR item B</t>
        </is>
      </c>
      <c r="D5388" s="250" t="inlineStr">
        <is>
          <t xml:space="preserve"/>
        </is>
      </c>
      <c r="E5388" s="250" t="inlineStr">
        <is>
          <t xml:space="preserve"/>
        </is>
      </c>
      <c r="F5388" s="250" t="inlineStr">
        <is>
          <t xml:space="preserve"/>
        </is>
      </c>
      <c r="G5388" s="250" t="inlineStr">
        <is>
          <t xml:space="preserve"/>
        </is>
      </c>
      <c r="H5388" s="251">
        <f>SUM(H5386:H5387)</f>
        <v>13.824999999999998</v>
      </c>
      <c r="I5388" s="252" t="inlineStr">
        <is>
          <t xml:space="preserve">m3</t>
        </is>
      </c>
    </row>
    <row r="5389">
      <c r="A5389" s="243" t="inlineStr">
        <is>
          <t xml:space="preserve">10TH FLR</t>
        </is>
      </c>
      <c r="B5389" s="243" t="inlineStr">
        <is>
          <t xml:space="preserve">C</t>
        </is>
      </c>
      <c r="C5389" s="244" t="inlineStr">
        <is>
          <t xml:space="preserve">Columns</t>
        </is>
      </c>
      <c r="I5389" s="245" t="inlineStr">
        <is>
          <t xml:space="preserve">m3</t>
        </is>
      </c>
      <c r="K5389" s="256" t="inlineStr">
        <is>
          <t xml:space="preserve">'10TH FLR   '!C37</t>
        </is>
      </c>
    </row>
    <row r="5390">
      <c r="C5390" s="246" t="inlineStr">
        <is>
          <t xml:space="preserve">COL-01B x1 - column (10th to roof terrace), ht 3.05</t>
        </is>
      </c>
      <c r="D5390" s="248">
        <v>1</v>
      </c>
      <c r="E5390" s="247">
        <v>0.75</v>
      </c>
      <c r="F5390" s="247">
        <v>0.5</v>
      </c>
      <c r="G5390" s="247">
        <v>3.05</v>
      </c>
      <c r="H5390" s="249">
        <f>PRODUCT(D5390:G5390)</f>
        <v>1.1437499999999998</v>
      </c>
      <c r="J5390" s="253" t="inlineStr">
        <is>
          <t xml:space="preserve">1*0.75*0.5*3.05</t>
        </is>
      </c>
    </row>
    <row r="5391">
      <c r="C5391" s="246" t="inlineStr">
        <is>
          <t xml:space="preserve">COL-01C x2 - column (10th to roof terrace), ht 3.05</t>
        </is>
      </c>
      <c r="D5391" s="248">
        <v>2</v>
      </c>
      <c r="E5391" s="247">
        <v>0.75</v>
      </c>
      <c r="F5391" s="247">
        <v>0.5</v>
      </c>
      <c r="G5391" s="247">
        <v>3.05</v>
      </c>
      <c r="H5391" s="249">
        <f>PRODUCT(D5391:G5391)</f>
        <v>2.2874999999999996</v>
      </c>
      <c r="J5391" s="253" t="inlineStr">
        <is>
          <t xml:space="preserve">2*0.75*0.5*3.05</t>
        </is>
      </c>
    </row>
    <row r="5392">
      <c r="C5392" s="246" t="inlineStr">
        <is>
          <t xml:space="preserve">COL-01D x1 - column (10th to roof terrace), ht 3.05</t>
        </is>
      </c>
      <c r="D5392" s="248">
        <v>1</v>
      </c>
      <c r="E5392" s="247">
        <v>0.75</v>
      </c>
      <c r="F5392" s="247">
        <v>0.5</v>
      </c>
      <c r="G5392" s="247">
        <v>3.05</v>
      </c>
      <c r="H5392" s="249">
        <f>PRODUCT(D5392:G5392)</f>
        <v>1.1437499999999998</v>
      </c>
      <c r="J5392" s="253" t="inlineStr">
        <is>
          <t xml:space="preserve">1*0.75*0.5*3.05</t>
        </is>
      </c>
    </row>
    <row r="5393">
      <c r="C5393" s="246" t="inlineStr">
        <is>
          <t xml:space="preserve">COL-02B x6 - column (10th to roof terrace), ht 3.05</t>
        </is>
      </c>
      <c r="D5393" s="248">
        <v>6</v>
      </c>
      <c r="E5393" s="247">
        <v>1.2</v>
      </c>
      <c r="F5393" s="247">
        <v>0.3</v>
      </c>
      <c r="G5393" s="247">
        <v>3.05</v>
      </c>
      <c r="H5393" s="249">
        <f>PRODUCT(D5393:G5393)</f>
        <v>6.587999999999998</v>
      </c>
      <c r="J5393" s="253" t="inlineStr">
        <is>
          <t xml:space="preserve">6*1.2*0.3*3.05</t>
        </is>
      </c>
    </row>
    <row r="5394">
      <c r="C5394" s="246" t="inlineStr">
        <is>
          <t xml:space="preserve">COL-02C x1 - column (10th to roof terrace), ht 3.05</t>
        </is>
      </c>
      <c r="D5394" s="248">
        <v>1</v>
      </c>
      <c r="E5394" s="247">
        <v>1.2</v>
      </c>
      <c r="F5394" s="247">
        <v>0.3</v>
      </c>
      <c r="G5394" s="247">
        <v>3.05</v>
      </c>
      <c r="H5394" s="249">
        <f>PRODUCT(D5394:G5394)</f>
        <v>1.0979999999999999</v>
      </c>
      <c r="J5394" s="253" t="inlineStr">
        <is>
          <t xml:space="preserve">1*1.2*0.3*3.05</t>
        </is>
      </c>
    </row>
    <row r="5395">
      <c r="C5395" s="246" t="inlineStr">
        <is>
          <t xml:space="preserve">COL-02D x15 - column (10th to roof terrace), ht 3.05</t>
        </is>
      </c>
      <c r="D5395" s="248">
        <v>15</v>
      </c>
      <c r="E5395" s="247">
        <v>1.2</v>
      </c>
      <c r="F5395" s="247">
        <v>0.3</v>
      </c>
      <c r="G5395" s="247">
        <v>3.05</v>
      </c>
      <c r="H5395" s="249">
        <f>PRODUCT(D5395:G5395)</f>
        <v>16.47</v>
      </c>
      <c r="J5395" s="253" t="inlineStr">
        <is>
          <t xml:space="preserve">15*1.2*0.3*3.05</t>
        </is>
      </c>
    </row>
    <row r="5396">
      <c r="C5396" s="250" t="inlineStr">
        <is>
          <t xml:space="preserve">Total carried to BOQ  10TH FLR item C</t>
        </is>
      </c>
      <c r="D5396" s="250" t="inlineStr">
        <is>
          <t xml:space="preserve"/>
        </is>
      </c>
      <c r="E5396" s="250" t="inlineStr">
        <is>
          <t xml:space="preserve"/>
        </is>
      </c>
      <c r="F5396" s="250" t="inlineStr">
        <is>
          <t xml:space="preserve"/>
        </is>
      </c>
      <c r="G5396" s="250" t="inlineStr">
        <is>
          <t xml:space="preserve"/>
        </is>
      </c>
      <c r="H5396" s="251">
        <f>SUM(H5390:H5395)</f>
        <v>28.730999999999995</v>
      </c>
      <c r="I5396" s="252" t="inlineStr">
        <is>
          <t xml:space="preserve">m3</t>
        </is>
      </c>
    </row>
    <row r="5397">
      <c r="A5397" s="243" t="inlineStr">
        <is>
          <t xml:space="preserve">10TH FLR</t>
        </is>
      </c>
      <c r="B5397" s="243" t="inlineStr">
        <is>
          <t xml:space="preserve">D</t>
        </is>
      </c>
      <c r="C5397" s="244" t="inlineStr">
        <is>
          <t xml:space="preserve">Concrete wall - shear walls to main &amp; emergency stair cores, 250mm thick</t>
        </is>
      </c>
      <c r="I5397" s="245" t="inlineStr">
        <is>
          <t xml:space="preserve">m3</t>
        </is>
      </c>
      <c r="K5397" s="256" t="inlineStr">
        <is>
          <t xml:space="preserve">'10TH FLR   '!C39</t>
        </is>
      </c>
    </row>
    <row r="5398">
      <c r="C5398" s="246" t="inlineStr">
        <is>
          <t xml:space="preserve">Tenth floor (+34000) - main stair core walls (22.05 m run): run x ht x 250 thk</t>
        </is>
      </c>
      <c r="E5398" s="247">
        <v>22.05</v>
      </c>
      <c r="F5398" s="247">
        <v>3.05</v>
      </c>
      <c r="G5398" s="247">
        <v>0.25</v>
      </c>
      <c r="H5398" s="249">
        <f>PRODUCT(D5398:G5398)</f>
        <v>16.813125</v>
      </c>
      <c r="J5398" s="253" t="inlineStr">
        <is>
          <t xml:space="preserve">22.05*3.05*0.25</t>
        </is>
      </c>
    </row>
    <row r="5399">
      <c r="C5399" s="246" t="inlineStr">
        <is>
          <t xml:space="preserve">Tenth floor (+34000) - emergency stair core walls (25.57 m run): run x ht x 250 thk</t>
        </is>
      </c>
      <c r="E5399" s="247">
        <v>25.57</v>
      </c>
      <c r="F5399" s="247">
        <v>3.05</v>
      </c>
      <c r="G5399" s="247">
        <v>0.25</v>
      </c>
      <c r="H5399" s="249">
        <f>PRODUCT(D5399:G5399)</f>
        <v>19.497125</v>
      </c>
      <c r="J5399" s="253" t="inlineStr">
        <is>
          <t xml:space="preserve">25.57*3.05*0.25</t>
        </is>
      </c>
    </row>
    <row r="5400">
      <c r="C5400" s="250" t="inlineStr">
        <is>
          <t xml:space="preserve">Total carried to BOQ  10TH FLR item D</t>
        </is>
      </c>
      <c r="D5400" s="250" t="inlineStr">
        <is>
          <t xml:space="preserve"/>
        </is>
      </c>
      <c r="E5400" s="250" t="inlineStr">
        <is>
          <t xml:space="preserve"/>
        </is>
      </c>
      <c r="F5400" s="250" t="inlineStr">
        <is>
          <t xml:space="preserve"/>
        </is>
      </c>
      <c r="G5400" s="250" t="inlineStr">
        <is>
          <t xml:space="preserve"/>
        </is>
      </c>
      <c r="H5400" s="251">
        <f>SUM(H5398:H5399)</f>
        <v>36.310249999999996</v>
      </c>
      <c r="I5400" s="252" t="inlineStr">
        <is>
          <t xml:space="preserve">m3</t>
        </is>
      </c>
    </row>
    <row r="5401">
      <c r="A5401" s="243" t="inlineStr">
        <is>
          <t xml:space="preserve">10TH FLR</t>
        </is>
      </c>
      <c r="B5401" s="243" t="inlineStr">
        <is>
          <t xml:space="preserve">E</t>
        </is>
      </c>
      <c r="C5401" s="244" t="inlineStr">
        <is>
          <t xml:space="preserve">Concrete wall - lift walls, 250mm thick</t>
        </is>
      </c>
      <c r="I5401" s="245" t="inlineStr">
        <is>
          <t xml:space="preserve">m3</t>
        </is>
      </c>
      <c r="K5401" s="256" t="inlineStr">
        <is>
          <t xml:space="preserve">'10TH FLR   '!C41</t>
        </is>
      </c>
    </row>
    <row r="5402">
      <c r="C5402" s="246" t="inlineStr">
        <is>
          <t xml:space="preserve">Tenth floor (+34000) - lift core walls (21.825 m run): run x ht x 250 thk</t>
        </is>
      </c>
      <c r="E5402" s="247">
        <v>21.825</v>
      </c>
      <c r="F5402" s="247">
        <v>3.05</v>
      </c>
      <c r="G5402" s="247">
        <v>0.25</v>
      </c>
      <c r="H5402" s="249">
        <f>PRODUCT(D5402:G5402)</f>
        <v>16.6415625</v>
      </c>
      <c r="J5402" s="253" t="inlineStr">
        <is>
          <t xml:space="preserve">21.825*3.05*0.25</t>
        </is>
      </c>
    </row>
    <row r="5403">
      <c r="C5403" s="250" t="inlineStr">
        <is>
          <t xml:space="preserve">Total carried to BOQ  10TH FLR item E</t>
        </is>
      </c>
      <c r="D5403" s="250" t="inlineStr">
        <is>
          <t xml:space="preserve"/>
        </is>
      </c>
      <c r="E5403" s="250" t="inlineStr">
        <is>
          <t xml:space="preserve"/>
        </is>
      </c>
      <c r="F5403" s="250" t="inlineStr">
        <is>
          <t xml:space="preserve"/>
        </is>
      </c>
      <c r="G5403" s="250" t="inlineStr">
        <is>
          <t xml:space="preserve"/>
        </is>
      </c>
      <c r="H5403" s="251">
        <f>SUM(H5402:H5402)</f>
        <v>16.6415625</v>
      </c>
      <c r="I5403" s="252" t="inlineStr">
        <is>
          <t xml:space="preserve">m3</t>
        </is>
      </c>
    </row>
    <row r="5404">
      <c r="A5404" s="243" t="inlineStr">
        <is>
          <t xml:space="preserve">10TH FLR</t>
        </is>
      </c>
      <c r="B5404" s="243" t="inlineStr">
        <is>
          <t xml:space="preserve">F</t>
        </is>
      </c>
      <c r="C5404" s="244" t="inlineStr">
        <is>
          <t xml:space="preserve">Stairs</t>
        </is>
      </c>
      <c r="I5404" s="245" t="inlineStr">
        <is>
          <t xml:space="preserve">m3</t>
        </is>
      </c>
      <c r="K5404" s="256" t="inlineStr">
        <is>
          <t xml:space="preserve">'10TH FLR   '!C43</t>
        </is>
      </c>
    </row>
    <row r="5405">
      <c r="C5405" s="246" t="inlineStr">
        <is>
          <t xml:space="preserve">Tenth floor (+34000) - Main stair flight (storey ht 3.3) - flights: 2.966 m3 per 3.3 m storey x (storey ht / 3.3)</t>
        </is>
      </c>
      <c r="E5405" s="247">
        <v>2.966</v>
      </c>
      <c r="F5405" s="247">
        <f>3.3/3.3</f>
        <v>1.0</v>
      </c>
      <c r="H5405" s="249">
        <f>PRODUCT(D5405:G5405)</f>
        <v>2.966</v>
      </c>
      <c r="J5405" s="253" t="inlineStr">
        <is>
          <t xml:space="preserve">2.966*3.3/3.3</t>
        </is>
      </c>
    </row>
    <row r="5406">
      <c r="C5406" s="246" t="inlineStr">
        <is>
          <t xml:space="preserve">Tenth floor (+34000) - Main stair flight (storey ht 3.3) - landings</t>
        </is>
      </c>
      <c r="H5406" s="247">
        <v>2.625</v>
      </c>
      <c r="J5406" s="253" t="inlineStr">
        <is>
          <t xml:space="preserve">2.625</t>
        </is>
      </c>
    </row>
    <row r="5407">
      <c r="C5407" s="246" t="inlineStr">
        <is>
          <t xml:space="preserve">Tenth floor (+34000) - Emergency stair flight (storey ht 3.3) - flights: 2.966 m3 per 3.3 m storey x (storey ht / 3.3)</t>
        </is>
      </c>
      <c r="E5407" s="247">
        <v>2.966</v>
      </c>
      <c r="F5407" s="247">
        <f>3.3/3.3</f>
        <v>1.0</v>
      </c>
      <c r="H5407" s="249">
        <f>PRODUCT(D5407:G5407)</f>
        <v>2.966</v>
      </c>
      <c r="J5407" s="253" t="inlineStr">
        <is>
          <t xml:space="preserve">2.966*3.3/3.3</t>
        </is>
      </c>
    </row>
    <row r="5408">
      <c r="C5408" s="246" t="inlineStr">
        <is>
          <t xml:space="preserve">Tenth floor (+34000) - Emergency stair flight (storey ht 3.3) - landings</t>
        </is>
      </c>
      <c r="H5408" s="247">
        <v>2.625</v>
      </c>
      <c r="J5408" s="253" t="inlineStr">
        <is>
          <t xml:space="preserve">2.625</t>
        </is>
      </c>
    </row>
    <row r="5409">
      <c r="C5409" s="250" t="inlineStr">
        <is>
          <t xml:space="preserve">Total carried to BOQ  10TH FLR item F</t>
        </is>
      </c>
      <c r="D5409" s="250" t="inlineStr">
        <is>
          <t xml:space="preserve"/>
        </is>
      </c>
      <c r="E5409" s="250" t="inlineStr">
        <is>
          <t xml:space="preserve"/>
        </is>
      </c>
      <c r="F5409" s="250" t="inlineStr">
        <is>
          <t xml:space="preserve"/>
        </is>
      </c>
      <c r="G5409" s="250" t="inlineStr">
        <is>
          <t xml:space="preserve"/>
        </is>
      </c>
      <c r="H5409" s="251">
        <f>SUM(H5405:H5408)</f>
        <v>11.182</v>
      </c>
      <c r="I5409" s="252" t="inlineStr">
        <is>
          <t xml:space="preserve">m3</t>
        </is>
      </c>
    </row>
    <row r="5410">
      <c r="A5410" s="243" t="inlineStr">
        <is>
          <t xml:space="preserve">10TH FLR</t>
        </is>
      </c>
      <c r="B5410" s="243" t="inlineStr">
        <is>
          <t xml:space="preserve">G</t>
        </is>
      </c>
      <c r="C5410" s="244" t="inlineStr">
        <is>
          <t xml:space="preserve">Lintels 150 x 225mm over door and window openings</t>
        </is>
      </c>
      <c r="I5410" s="245" t="inlineStr">
        <is>
          <t xml:space="preserve">m3</t>
        </is>
      </c>
      <c r="K5410" s="256" t="inlineStr">
        <is>
          <t xml:space="preserve">'10TH FLR   '!C45</t>
        </is>
      </c>
    </row>
    <row r="5411">
      <c r="C5411" s="246" t="inlineStr">
        <is>
          <t xml:space="preserve">Lintel over D2 (6 nr, 1x2.2): nr x (width + 2 x 150 bearing) x 150 x 225</t>
        </is>
      </c>
      <c r="D5411" s="248">
        <v>6</v>
      </c>
      <c r="E5411" s="247">
        <f>1+0.3</f>
        <v>1.3</v>
      </c>
      <c r="F5411" s="247">
        <v>0.15</v>
      </c>
      <c r="G5411" s="247">
        <v>0.225</v>
      </c>
      <c r="H5411" s="249">
        <f>PRODUCT(D5411:G5411)</f>
        <v>0.26325000000000004</v>
      </c>
      <c r="J5411" s="253" t="inlineStr">
        <is>
          <t xml:space="preserve">6*(1+0.3)*0.15*0.225</t>
        </is>
      </c>
    </row>
    <row r="5412">
      <c r="C5412" s="246" t="inlineStr">
        <is>
          <t xml:space="preserve">Lintel over D3 (11 nr, 0.9x2.2): nr x (width + 2 x 150 bearing) x 150 x 225</t>
        </is>
      </c>
      <c r="D5412" s="248">
        <v>11</v>
      </c>
      <c r="E5412" s="247">
        <f>0.9+0.3</f>
        <v>1.2</v>
      </c>
      <c r="F5412" s="247">
        <v>0.15</v>
      </c>
      <c r="G5412" s="247">
        <v>0.225</v>
      </c>
      <c r="H5412" s="249">
        <f>PRODUCT(D5412:G5412)</f>
        <v>0.44549999999999995</v>
      </c>
      <c r="J5412" s="253" t="inlineStr">
        <is>
          <t xml:space="preserve">11*(0.9+0.3)*0.15*0.225</t>
        </is>
      </c>
    </row>
    <row r="5413">
      <c r="C5413" s="246" t="inlineStr">
        <is>
          <t xml:space="preserve">Lintel over D6 (16 nr, 0.75x2.2): nr x (width + 2 x 150 bearing) x 150 x 225</t>
        </is>
      </c>
      <c r="D5413" s="248">
        <v>16</v>
      </c>
      <c r="E5413" s="247">
        <f>0.75+0.3</f>
        <v>1.05</v>
      </c>
      <c r="F5413" s="247">
        <v>0.15</v>
      </c>
      <c r="G5413" s="247">
        <v>0.225</v>
      </c>
      <c r="H5413" s="249">
        <f>PRODUCT(D5413:G5413)</f>
        <v>0.5670000000000001</v>
      </c>
      <c r="J5413" s="253" t="inlineStr">
        <is>
          <t xml:space="preserve">16*(0.75+0.3)*0.15*0.225</t>
        </is>
      </c>
    </row>
    <row r="5414">
      <c r="C5414" s="246" t="inlineStr">
        <is>
          <t xml:space="preserve">Lintel over D7 (1 nr, 0.7x2.2): nr x (width + 2 x 150 bearing) x 150 x 225</t>
        </is>
      </c>
      <c r="D5414" s="248">
        <v>1</v>
      </c>
      <c r="E5414" s="247">
        <f>0.7+0.3</f>
        <v>1.0</v>
      </c>
      <c r="F5414" s="247">
        <v>0.15</v>
      </c>
      <c r="G5414" s="247">
        <v>0.225</v>
      </c>
      <c r="H5414" s="249">
        <f>PRODUCT(D5414:G5414)</f>
        <v>0.03375</v>
      </c>
      <c r="J5414" s="253" t="inlineStr">
        <is>
          <t xml:space="preserve">1*(0.7+0.3)*0.15*0.225</t>
        </is>
      </c>
    </row>
    <row r="5415">
      <c r="C5415" s="246" t="inlineStr">
        <is>
          <t xml:space="preserve">Lintel over D8 (2 nr, 1.2x2.2): nr x (width + 2 x 150 bearing) x 150 x 225</t>
        </is>
      </c>
      <c r="D5415" s="248">
        <v>2</v>
      </c>
      <c r="E5415" s="247">
        <f>1.2+0.3</f>
        <v>1.5</v>
      </c>
      <c r="F5415" s="247">
        <v>0.15</v>
      </c>
      <c r="G5415" s="247">
        <v>0.225</v>
      </c>
      <c r="H5415" s="249">
        <f>PRODUCT(D5415:G5415)</f>
        <v>0.10124999999999999</v>
      </c>
      <c r="J5415" s="253" t="inlineStr">
        <is>
          <t xml:space="preserve">2*(1.2+0.3)*0.15*0.225</t>
        </is>
      </c>
    </row>
    <row r="5416">
      <c r="C5416" s="246" t="inlineStr">
        <is>
          <t xml:space="preserve">Lintel over ED1 (2 nr, 1x2.2): nr x (width + 2 x 150 bearing) x 150 x 225</t>
        </is>
      </c>
      <c r="D5416" s="248">
        <v>2</v>
      </c>
      <c r="E5416" s="247">
        <f>1+0.3</f>
        <v>1.3</v>
      </c>
      <c r="F5416" s="247">
        <v>0.15</v>
      </c>
      <c r="G5416" s="247">
        <v>0.225</v>
      </c>
      <c r="H5416" s="249">
        <f>PRODUCT(D5416:G5416)</f>
        <v>0.08775000000000001</v>
      </c>
      <c r="J5416" s="253" t="inlineStr">
        <is>
          <t xml:space="preserve">2*(1+0.3)*0.15*0.225</t>
        </is>
      </c>
    </row>
    <row r="5417">
      <c r="C5417" s="246" t="inlineStr">
        <is>
          <t xml:space="preserve">Lintel over ED2 (2 nr, 1x2.2): nr x (width + 2 x 150 bearing) x 150 x 225</t>
        </is>
      </c>
      <c r="D5417" s="248">
        <v>2</v>
      </c>
      <c r="E5417" s="247">
        <f>1+0.3</f>
        <v>1.3</v>
      </c>
      <c r="F5417" s="247">
        <v>0.15</v>
      </c>
      <c r="G5417" s="247">
        <v>0.225</v>
      </c>
      <c r="H5417" s="249">
        <f>PRODUCT(D5417:G5417)</f>
        <v>0.08775000000000001</v>
      </c>
      <c r="J5417" s="253" t="inlineStr">
        <is>
          <t xml:space="preserve">2*(1+0.3)*0.15*0.225</t>
        </is>
      </c>
    </row>
    <row r="5418">
      <c r="C5418" s="246" t="inlineStr">
        <is>
          <t xml:space="preserve">Lintel over D9 (1 nr, 0.9x2.2): nr x (width + 2 x 150 bearing) x 150 x 225</t>
        </is>
      </c>
      <c r="D5418" s="248">
        <v>1</v>
      </c>
      <c r="E5418" s="247">
        <f>0.9+0.3</f>
        <v>1.2</v>
      </c>
      <c r="F5418" s="247">
        <v>0.15</v>
      </c>
      <c r="G5418" s="247">
        <v>0.225</v>
      </c>
      <c r="H5418" s="249">
        <f>PRODUCT(D5418:G5418)</f>
        <v>0.0405</v>
      </c>
      <c r="J5418" s="253" t="inlineStr">
        <is>
          <t xml:space="preserve">1*(0.9+0.3)*0.15*0.225</t>
        </is>
      </c>
    </row>
    <row r="5419">
      <c r="C5419" s="246" t="inlineStr">
        <is>
          <t xml:space="preserve">Lintel over FD1 (1 nr, 1.5x2.2): nr x (width + 2 x 150 bearing) x 150 x 225</t>
        </is>
      </c>
      <c r="D5419" s="248">
        <v>1</v>
      </c>
      <c r="E5419" s="247">
        <f>1.5+0.3</f>
        <v>1.8</v>
      </c>
      <c r="F5419" s="247">
        <v>0.15</v>
      </c>
      <c r="G5419" s="247">
        <v>0.225</v>
      </c>
      <c r="H5419" s="249">
        <f>PRODUCT(D5419:G5419)</f>
        <v>0.060750000000000005</v>
      </c>
      <c r="J5419" s="253" t="inlineStr">
        <is>
          <t xml:space="preserve">1*(1.5+0.3)*0.15*0.225</t>
        </is>
      </c>
    </row>
    <row r="5420">
      <c r="C5420" s="246" t="inlineStr">
        <is>
          <t xml:space="preserve">Lintel over M1 (2 nr, 0.9x2.2): nr x (width + 2 x 150 bearing) x 150 x 225</t>
        </is>
      </c>
      <c r="D5420" s="248">
        <v>2</v>
      </c>
      <c r="E5420" s="247">
        <f>0.9+0.3</f>
        <v>1.2</v>
      </c>
      <c r="F5420" s="247">
        <v>0.15</v>
      </c>
      <c r="G5420" s="247">
        <v>0.225</v>
      </c>
      <c r="H5420" s="249">
        <f>PRODUCT(D5420:G5420)</f>
        <v>0.081</v>
      </c>
      <c r="J5420" s="253" t="inlineStr">
        <is>
          <t xml:space="preserve">2*(0.9+0.3)*0.15*0.225</t>
        </is>
      </c>
    </row>
    <row r="5421">
      <c r="C5421" s="246" t="inlineStr">
        <is>
          <t xml:space="preserve">Lintel over M2 (4 nr, 0.75x2.2): nr x (width + 2 x 150 bearing) x 150 x 225</t>
        </is>
      </c>
      <c r="D5421" s="248">
        <v>4</v>
      </c>
      <c r="E5421" s="247">
        <f>0.75+0.3</f>
        <v>1.05</v>
      </c>
      <c r="F5421" s="247">
        <v>0.15</v>
      </c>
      <c r="G5421" s="247">
        <v>0.225</v>
      </c>
      <c r="H5421" s="249">
        <f>PRODUCT(D5421:G5421)</f>
        <v>0.14175000000000001</v>
      </c>
      <c r="J5421" s="253" t="inlineStr">
        <is>
          <t xml:space="preserve">4*(0.75+0.3)*0.15*0.225</t>
        </is>
      </c>
    </row>
    <row r="5422">
      <c r="C5422" s="246" t="inlineStr">
        <is>
          <t xml:space="preserve">Lintel over M3 (1 nr, 0.45x2.2): nr x (width + 2 x 150 bearing) x 150 x 225</t>
        </is>
      </c>
      <c r="D5422" s="248">
        <v>1</v>
      </c>
      <c r="E5422" s="247">
        <f>0.45+0.3</f>
        <v>0.75</v>
      </c>
      <c r="F5422" s="247">
        <v>0.15</v>
      </c>
      <c r="G5422" s="247">
        <v>0.225</v>
      </c>
      <c r="H5422" s="249">
        <f>PRODUCT(D5422:G5422)</f>
        <v>0.025312499999999998</v>
      </c>
      <c r="J5422" s="253" t="inlineStr">
        <is>
          <t xml:space="preserve">1*(0.45+0.3)*0.15*0.225</t>
        </is>
      </c>
    </row>
    <row r="5423">
      <c r="C5423" s="246" t="inlineStr">
        <is>
          <t xml:space="preserve">Lintel over M5 (3 nr, 0.6x2.2): nr x (width + 2 x 150 bearing) x 150 x 225</t>
        </is>
      </c>
      <c r="D5423" s="248">
        <v>3</v>
      </c>
      <c r="E5423" s="247">
        <f>0.6+0.3</f>
        <v>0.8999999999999999</v>
      </c>
      <c r="F5423" s="247">
        <v>0.15</v>
      </c>
      <c r="G5423" s="247">
        <v>0.225</v>
      </c>
      <c r="H5423" s="249">
        <f>PRODUCT(D5423:G5423)</f>
        <v>0.091125</v>
      </c>
      <c r="J5423" s="253" t="inlineStr">
        <is>
          <t xml:space="preserve">3*(0.6+0.3)*0.15*0.225</t>
        </is>
      </c>
    </row>
    <row r="5424">
      <c r="C5424" s="246" t="inlineStr">
        <is>
          <t xml:space="preserve">Lintel over SD1 (1 nr, 3x2.2): nr x (width + 2 x 150 bearing) x 150 x 225</t>
        </is>
      </c>
      <c r="D5424" s="248">
        <v>1</v>
      </c>
      <c r="E5424" s="247">
        <f>3+0.3</f>
        <v>3.3</v>
      </c>
      <c r="F5424" s="247">
        <v>0.15</v>
      </c>
      <c r="G5424" s="247">
        <v>0.225</v>
      </c>
      <c r="H5424" s="249">
        <f>PRODUCT(D5424:G5424)</f>
        <v>0.11137499999999999</v>
      </c>
      <c r="J5424" s="253" t="inlineStr">
        <is>
          <t xml:space="preserve">1*(3+0.3)*0.15*0.225</t>
        </is>
      </c>
    </row>
    <row r="5425">
      <c r="C5425" s="246" t="inlineStr">
        <is>
          <t xml:space="preserve">Lintel over SD2 (3 nr, 1.6x2.2): nr x (width + 2 x 150 bearing) x 150 x 225</t>
        </is>
      </c>
      <c r="D5425" s="248">
        <v>3</v>
      </c>
      <c r="E5425" s="247">
        <f>1.6+0.3</f>
        <v>1.9000000000000001</v>
      </c>
      <c r="F5425" s="247">
        <v>0.15</v>
      </c>
      <c r="G5425" s="247">
        <v>0.225</v>
      </c>
      <c r="H5425" s="249">
        <f>PRODUCT(D5425:G5425)</f>
        <v>0.192375</v>
      </c>
      <c r="J5425" s="253" t="inlineStr">
        <is>
          <t xml:space="preserve">3*(1.6+0.3)*0.15*0.225</t>
        </is>
      </c>
    </row>
    <row r="5426">
      <c r="C5426" s="246" t="inlineStr">
        <is>
          <t xml:space="preserve">Lintel over SD3 (2 nr, 1.3x2.2): nr x (width + 2 x 150 bearing) x 150 x 225</t>
        </is>
      </c>
      <c r="D5426" s="248">
        <v>2</v>
      </c>
      <c r="E5426" s="247">
        <f>1.3+0.3</f>
        <v>1.6</v>
      </c>
      <c r="F5426" s="247">
        <v>0.15</v>
      </c>
      <c r="G5426" s="247">
        <v>0.225</v>
      </c>
      <c r="H5426" s="249">
        <f>PRODUCT(D5426:G5426)</f>
        <v>0.108</v>
      </c>
      <c r="J5426" s="253" t="inlineStr">
        <is>
          <t xml:space="preserve">2*(1.3+0.3)*0.15*0.225</t>
        </is>
      </c>
    </row>
    <row r="5427">
      <c r="C5427" s="246" t="inlineStr">
        <is>
          <t xml:space="preserve">Lintel over SD4 (3 nr, 1.8x2.2): nr x (width + 2 x 150 bearing) x 150 x 225</t>
        </is>
      </c>
      <c r="D5427" s="248">
        <v>3</v>
      </c>
      <c r="E5427" s="247">
        <f>1.8+0.3</f>
        <v>2.1</v>
      </c>
      <c r="F5427" s="247">
        <v>0.15</v>
      </c>
      <c r="G5427" s="247">
        <v>0.225</v>
      </c>
      <c r="H5427" s="249">
        <f>PRODUCT(D5427:G5427)</f>
        <v>0.212625</v>
      </c>
      <c r="J5427" s="253" t="inlineStr">
        <is>
          <t xml:space="preserve">3*(1.8+0.3)*0.15*0.225</t>
        </is>
      </c>
    </row>
    <row r="5428">
      <c r="C5428" s="246" t="inlineStr">
        <is>
          <t xml:space="preserve">Lintel over SD5 (1 nr, 1.2x2.2): nr x (width + 2 x 150 bearing) x 150 x 225</t>
        </is>
      </c>
      <c r="D5428" s="248">
        <v>1</v>
      </c>
      <c r="E5428" s="247">
        <f>1.2+0.3</f>
        <v>1.5</v>
      </c>
      <c r="F5428" s="247">
        <v>0.15</v>
      </c>
      <c r="G5428" s="247">
        <v>0.225</v>
      </c>
      <c r="H5428" s="249">
        <f>PRODUCT(D5428:G5428)</f>
        <v>0.050624999999999996</v>
      </c>
      <c r="J5428" s="253" t="inlineStr">
        <is>
          <t xml:space="preserve">1*(1.2+0.3)*0.15*0.225</t>
        </is>
      </c>
    </row>
    <row r="5429">
      <c r="C5429" s="246" t="inlineStr">
        <is>
          <t xml:space="preserve">Lintel over W2 (4 nr, 1.8x1.3): nr x (width + 2 x 150 bearing) x 150 x 225</t>
        </is>
      </c>
      <c r="D5429" s="248">
        <v>4</v>
      </c>
      <c r="E5429" s="247">
        <f>1.8+0.3</f>
        <v>2.1</v>
      </c>
      <c r="F5429" s="247">
        <v>0.15</v>
      </c>
      <c r="G5429" s="247">
        <v>0.225</v>
      </c>
      <c r="H5429" s="249">
        <f>PRODUCT(D5429:G5429)</f>
        <v>0.28350000000000003</v>
      </c>
      <c r="J5429" s="253" t="inlineStr">
        <is>
          <t xml:space="preserve">4*(1.8+0.3)*0.15*0.225</t>
        </is>
      </c>
    </row>
    <row r="5430">
      <c r="C5430" s="246" t="inlineStr">
        <is>
          <t xml:space="preserve">Lintel over W4 (8 nr, 0.9x1.3): nr x (width + 2 x 150 bearing) x 150 x 225</t>
        </is>
      </c>
      <c r="D5430" s="248">
        <v>8</v>
      </c>
      <c r="E5430" s="247">
        <f>0.9+0.3</f>
        <v>1.2</v>
      </c>
      <c r="F5430" s="247">
        <v>0.15</v>
      </c>
      <c r="G5430" s="247">
        <v>0.225</v>
      </c>
      <c r="H5430" s="249">
        <f>PRODUCT(D5430:G5430)</f>
        <v>0.324</v>
      </c>
      <c r="J5430" s="253" t="inlineStr">
        <is>
          <t xml:space="preserve">8*(0.9+0.3)*0.15*0.225</t>
        </is>
      </c>
    </row>
    <row r="5431">
      <c r="C5431" s="246" t="inlineStr">
        <is>
          <t xml:space="preserve">Lintel over W7 (1 nr, 1.8x1.6): nr x (width + 2 x 150 bearing) x 150 x 225</t>
        </is>
      </c>
      <c r="D5431" s="248">
        <v>1</v>
      </c>
      <c r="E5431" s="247">
        <f>1.8+0.3</f>
        <v>2.1</v>
      </c>
      <c r="F5431" s="247">
        <v>0.15</v>
      </c>
      <c r="G5431" s="247">
        <v>0.225</v>
      </c>
      <c r="H5431" s="249">
        <f>PRODUCT(D5431:G5431)</f>
        <v>0.07087500000000001</v>
      </c>
      <c r="J5431" s="253" t="inlineStr">
        <is>
          <t xml:space="preserve">1*(1.8+0.3)*0.15*0.225</t>
        </is>
      </c>
    </row>
    <row r="5432">
      <c r="C5432" s="246" t="inlineStr">
        <is>
          <t xml:space="preserve">Lintel over W8 (2 nr, 1.2x1.9): nr x (width + 2 x 150 bearing) x 150 x 225</t>
        </is>
      </c>
      <c r="D5432" s="248">
        <v>2</v>
      </c>
      <c r="E5432" s="247">
        <f>1.2+0.3</f>
        <v>1.5</v>
      </c>
      <c r="F5432" s="247">
        <v>0.15</v>
      </c>
      <c r="G5432" s="247">
        <v>0.225</v>
      </c>
      <c r="H5432" s="249">
        <f>PRODUCT(D5432:G5432)</f>
        <v>0.10124999999999999</v>
      </c>
      <c r="J5432" s="253" t="inlineStr">
        <is>
          <t xml:space="preserve">2*(1.2+0.3)*0.15*0.225</t>
        </is>
      </c>
    </row>
    <row r="5433">
      <c r="C5433" s="246" t="inlineStr">
        <is>
          <t xml:space="preserve">Lintel over W9 (6 nr, 1.2x1.15): nr x (width + 2 x 150 bearing) x 150 x 225</t>
        </is>
      </c>
      <c r="D5433" s="248">
        <v>6</v>
      </c>
      <c r="E5433" s="247">
        <f>1.2+0.3</f>
        <v>1.5</v>
      </c>
      <c r="F5433" s="247">
        <v>0.15</v>
      </c>
      <c r="G5433" s="247">
        <v>0.225</v>
      </c>
      <c r="H5433" s="249">
        <f>PRODUCT(D5433:G5433)</f>
        <v>0.30374999999999996</v>
      </c>
      <c r="J5433" s="253" t="inlineStr">
        <is>
          <t xml:space="preserve">6*(1.2+0.3)*0.15*0.225</t>
        </is>
      </c>
    </row>
    <row r="5434">
      <c r="C5434" s="246" t="inlineStr">
        <is>
          <t xml:space="preserve">Lintel over W10 (1 nr, 1.2x1.2): nr x (width + 2 x 150 bearing) x 150 x 225</t>
        </is>
      </c>
      <c r="D5434" s="248">
        <v>1</v>
      </c>
      <c r="E5434" s="247">
        <f>1.2+0.3</f>
        <v>1.5</v>
      </c>
      <c r="F5434" s="247">
        <v>0.15</v>
      </c>
      <c r="G5434" s="247">
        <v>0.225</v>
      </c>
      <c r="H5434" s="249">
        <f>PRODUCT(D5434:G5434)</f>
        <v>0.050624999999999996</v>
      </c>
      <c r="J5434" s="253" t="inlineStr">
        <is>
          <t xml:space="preserve">1*(1.2+0.3)*0.15*0.225</t>
        </is>
      </c>
    </row>
    <row r="5435">
      <c r="C5435" s="246" t="inlineStr">
        <is>
          <t xml:space="preserve">Lintel over W11 (5 nr, 1.5x1.3): nr x (width + 2 x 150 bearing) x 150 x 225</t>
        </is>
      </c>
      <c r="D5435" s="248">
        <v>5</v>
      </c>
      <c r="E5435" s="247">
        <f>1.5+0.3</f>
        <v>1.8</v>
      </c>
      <c r="F5435" s="247">
        <v>0.15</v>
      </c>
      <c r="G5435" s="247">
        <v>0.225</v>
      </c>
      <c r="H5435" s="249">
        <f>PRODUCT(D5435:G5435)</f>
        <v>0.30374999999999996</v>
      </c>
      <c r="J5435" s="253" t="inlineStr">
        <is>
          <t xml:space="preserve">5*(1.5+0.3)*0.15*0.225</t>
        </is>
      </c>
    </row>
    <row r="5436">
      <c r="C5436" s="246" t="inlineStr">
        <is>
          <t xml:space="preserve">Lintel over W12 (3 nr, 1.5x1.15): nr x (width + 2 x 150 bearing) x 150 x 225</t>
        </is>
      </c>
      <c r="D5436" s="248">
        <v>3</v>
      </c>
      <c r="E5436" s="247">
        <f>1.5+0.3</f>
        <v>1.8</v>
      </c>
      <c r="F5436" s="247">
        <v>0.15</v>
      </c>
      <c r="G5436" s="247">
        <v>0.225</v>
      </c>
      <c r="H5436" s="249">
        <f>PRODUCT(D5436:G5436)</f>
        <v>0.18225000000000002</v>
      </c>
      <c r="J5436" s="253" t="inlineStr">
        <is>
          <t xml:space="preserve">3*(1.5+0.3)*0.15*0.225</t>
        </is>
      </c>
    </row>
    <row r="5437">
      <c r="C5437" s="246" t="inlineStr">
        <is>
          <t xml:space="preserve">Lintel over W15 (1 nr, 3x1.6): nr x (width + 2 x 150 bearing) x 150 x 225</t>
        </is>
      </c>
      <c r="D5437" s="248">
        <v>1</v>
      </c>
      <c r="E5437" s="247">
        <f>3+0.3</f>
        <v>3.3</v>
      </c>
      <c r="F5437" s="247">
        <v>0.15</v>
      </c>
      <c r="G5437" s="247">
        <v>0.225</v>
      </c>
      <c r="H5437" s="249">
        <f>PRODUCT(D5437:G5437)</f>
        <v>0.11137499999999999</v>
      </c>
      <c r="J5437" s="253" t="inlineStr">
        <is>
          <t xml:space="preserve">1*(3+0.3)*0.15*0.225</t>
        </is>
      </c>
    </row>
    <row r="5438">
      <c r="C5438" s="246" t="inlineStr">
        <is>
          <t xml:space="preserve">Lintel over W17 (2 nr, 1.8x1.9): nr x (width + 2 x 150 bearing) x 150 x 225</t>
        </is>
      </c>
      <c r="D5438" s="248">
        <v>2</v>
      </c>
      <c r="E5438" s="247">
        <f>1.8+0.3</f>
        <v>2.1</v>
      </c>
      <c r="F5438" s="247">
        <v>0.15</v>
      </c>
      <c r="G5438" s="247">
        <v>0.225</v>
      </c>
      <c r="H5438" s="249">
        <f>PRODUCT(D5438:G5438)</f>
        <v>0.14175000000000001</v>
      </c>
      <c r="J5438" s="253" t="inlineStr">
        <is>
          <t xml:space="preserve">2*(1.8+0.3)*0.15*0.225</t>
        </is>
      </c>
    </row>
    <row r="5439">
      <c r="C5439" s="246" t="inlineStr">
        <is>
          <t xml:space="preserve">Lintel over W18 (1 nr, 0.75x1.3): nr x (width + 2 x 150 bearing) x 150 x 225</t>
        </is>
      </c>
      <c r="D5439" s="248">
        <v>1</v>
      </c>
      <c r="E5439" s="247">
        <f>0.75+0.3</f>
        <v>1.05</v>
      </c>
      <c r="F5439" s="247">
        <v>0.15</v>
      </c>
      <c r="G5439" s="247">
        <v>0.225</v>
      </c>
      <c r="H5439" s="249">
        <f>PRODUCT(D5439:G5439)</f>
        <v>0.035437500000000004</v>
      </c>
      <c r="J5439" s="253" t="inlineStr">
        <is>
          <t xml:space="preserve">1*(0.75+0.3)*0.15*0.225</t>
        </is>
      </c>
    </row>
    <row r="5440">
      <c r="C5440" s="246" t="inlineStr">
        <is>
          <t xml:space="preserve">Lintel over HW1 (10 nr, 0.9x0.6): nr x (width + 2 x 150 bearing) x 150 x 225</t>
        </is>
      </c>
      <c r="D5440" s="248">
        <v>10</v>
      </c>
      <c r="E5440" s="247">
        <f>0.9+0.3</f>
        <v>1.2</v>
      </c>
      <c r="F5440" s="247">
        <v>0.15</v>
      </c>
      <c r="G5440" s="247">
        <v>0.225</v>
      </c>
      <c r="H5440" s="249">
        <f>PRODUCT(D5440:G5440)</f>
        <v>0.40499999999999997</v>
      </c>
      <c r="J5440" s="253" t="inlineStr">
        <is>
          <t xml:space="preserve">10*(0.9+0.3)*0.15*0.225</t>
        </is>
      </c>
    </row>
    <row r="5441">
      <c r="C5441" s="246" t="inlineStr">
        <is>
          <t xml:space="preserve">Lintel over HW2 (4 nr, 0.75x0.6): nr x (width + 2 x 150 bearing) x 150 x 225</t>
        </is>
      </c>
      <c r="D5441" s="248">
        <v>4</v>
      </c>
      <c r="E5441" s="247">
        <f>0.75+0.3</f>
        <v>1.05</v>
      </c>
      <c r="F5441" s="247">
        <v>0.15</v>
      </c>
      <c r="G5441" s="247">
        <v>0.225</v>
      </c>
      <c r="H5441" s="249">
        <f>PRODUCT(D5441:G5441)</f>
        <v>0.14175000000000001</v>
      </c>
      <c r="J5441" s="253" t="inlineStr">
        <is>
          <t xml:space="preserve">4*(0.75+0.3)*0.15*0.225</t>
        </is>
      </c>
    </row>
    <row r="5442">
      <c r="C5442" s="246" t="inlineStr">
        <is>
          <t xml:space="preserve">Lintel over HW3 (1 nr, 0.6x0.6): nr x (width + 2 x 150 bearing) x 150 x 225</t>
        </is>
      </c>
      <c r="D5442" s="248">
        <v>1</v>
      </c>
      <c r="E5442" s="247">
        <f>0.6+0.3</f>
        <v>0.8999999999999999</v>
      </c>
      <c r="F5442" s="247">
        <v>0.15</v>
      </c>
      <c r="G5442" s="247">
        <v>0.225</v>
      </c>
      <c r="H5442" s="249">
        <f>PRODUCT(D5442:G5442)</f>
        <v>0.030374999999999996</v>
      </c>
      <c r="J5442" s="253" t="inlineStr">
        <is>
          <t xml:space="preserve">1*(0.6+0.3)*0.15*0.225</t>
        </is>
      </c>
    </row>
    <row r="5443">
      <c r="C5443" s="246" t="inlineStr">
        <is>
          <t xml:space="preserve">Lintel over HW4 (1 nr, 1.2x0.6): nr x (width + 2 x 150 bearing) x 150 x 225</t>
        </is>
      </c>
      <c r="D5443" s="248">
        <v>1</v>
      </c>
      <c r="E5443" s="247">
        <f>1.2+0.3</f>
        <v>1.5</v>
      </c>
      <c r="F5443" s="247">
        <v>0.15</v>
      </c>
      <c r="G5443" s="247">
        <v>0.225</v>
      </c>
      <c r="H5443" s="249">
        <f>PRODUCT(D5443:G5443)</f>
        <v>0.050624999999999996</v>
      </c>
      <c r="J5443" s="253" t="inlineStr">
        <is>
          <t xml:space="preserve">1*(1.2+0.3)*0.15*0.225</t>
        </is>
      </c>
    </row>
    <row r="5444">
      <c r="C5444" s="250" t="inlineStr">
        <is>
          <t xml:space="preserve">Total carried to BOQ  10TH FLR item G</t>
        </is>
      </c>
      <c r="D5444" s="250" t="inlineStr">
        <is>
          <t xml:space="preserve"/>
        </is>
      </c>
      <c r="E5444" s="250" t="inlineStr">
        <is>
          <t xml:space="preserve"/>
        </is>
      </c>
      <c r="F5444" s="250" t="inlineStr">
        <is>
          <t xml:space="preserve"/>
        </is>
      </c>
      <c r="G5444" s="250" t="inlineStr">
        <is>
          <t xml:space="preserve"/>
        </is>
      </c>
      <c r="H5444" s="251">
        <f>SUM(H5411:H5443)</f>
        <v>5.2379999999999995</v>
      </c>
      <c r="I5444" s="252" t="inlineStr">
        <is>
          <t xml:space="preserve">m3</t>
        </is>
      </c>
    </row>
    <row r="5445">
      <c r="C5445" s="242" t="inlineStr">
        <is>
          <t xml:space="preserve">E20 FORMWORK - Formwork as described to:</t>
        </is>
      </c>
    </row>
    <row r="5446">
      <c r="A5446" s="243" t="inlineStr">
        <is>
          <t xml:space="preserve">10TH FLR</t>
        </is>
      </c>
      <c r="B5446" s="243" t="inlineStr">
        <is>
          <t xml:space="preserve">H</t>
        </is>
      </c>
      <c r="C5446" s="244" t="inlineStr">
        <is>
          <t xml:space="preserve">Soffits of suspended slab</t>
        </is>
      </c>
      <c r="I5446" s="245" t="inlineStr">
        <is>
          <t xml:space="preserve">m2</t>
        </is>
      </c>
      <c r="K5446" s="256" t="inlineStr">
        <is>
          <t xml:space="preserve">'10TH FLR   '!C48</t>
        </is>
      </c>
    </row>
    <row r="5447">
      <c r="C5447" s="246" t="inlineStr">
        <is>
          <t xml:space="preserve">Tenth floor (+34000) - Slab soffit: measured area</t>
        </is>
      </c>
      <c r="H5447" s="247">
        <v>868.4</v>
      </c>
      <c r="J5447" s="253" t="inlineStr">
        <is>
          <t xml:space="preserve">868.4</t>
        </is>
      </c>
    </row>
    <row r="5448">
      <c r="C5448" s="250" t="inlineStr">
        <is>
          <t xml:space="preserve">Total carried to BOQ  10TH FLR item H</t>
        </is>
      </c>
      <c r="D5448" s="250" t="inlineStr">
        <is>
          <t xml:space="preserve"/>
        </is>
      </c>
      <c r="E5448" s="250" t="inlineStr">
        <is>
          <t xml:space="preserve"/>
        </is>
      </c>
      <c r="F5448" s="250" t="inlineStr">
        <is>
          <t xml:space="preserve"/>
        </is>
      </c>
      <c r="G5448" s="250" t="inlineStr">
        <is>
          <t xml:space="preserve"/>
        </is>
      </c>
      <c r="H5448" s="251">
        <f>SUM(H5447:H5447)</f>
        <v>868.4</v>
      </c>
      <c r="I5448" s="252" t="inlineStr">
        <is>
          <t xml:space="preserve">m2</t>
        </is>
      </c>
    </row>
    <row r="5449">
      <c r="A5449" s="243" t="inlineStr">
        <is>
          <t xml:space="preserve">10TH FLR</t>
        </is>
      </c>
      <c r="B5449" s="243" t="inlineStr">
        <is>
          <t xml:space="preserve">J</t>
        </is>
      </c>
      <c r="C5449" s="244" t="inlineStr">
        <is>
          <t xml:space="preserve">Edges of suspended slab 250mm high</t>
        </is>
      </c>
      <c r="I5449" s="245" t="inlineStr">
        <is>
          <t xml:space="preserve">m</t>
        </is>
      </c>
      <c r="K5449" s="256" t="inlineStr">
        <is>
          <t xml:space="preserve">'10TH FLR   '!C50</t>
        </is>
      </c>
    </row>
    <row r="5450">
      <c r="C5450" s="246" t="inlineStr">
        <is>
          <t xml:space="preserve">Tenth floor (+34000) - Slab edge: measured perimeter</t>
        </is>
      </c>
      <c r="H5450" s="247">
        <v>252.6</v>
      </c>
      <c r="J5450" s="253" t="inlineStr">
        <is>
          <t xml:space="preserve">252.6</t>
        </is>
      </c>
    </row>
    <row r="5451">
      <c r="C5451" s="250" t="inlineStr">
        <is>
          <t xml:space="preserve">Total carried to BOQ  10TH FLR item J</t>
        </is>
      </c>
      <c r="D5451" s="250" t="inlineStr">
        <is>
          <t xml:space="preserve"/>
        </is>
      </c>
      <c r="E5451" s="250" t="inlineStr">
        <is>
          <t xml:space="preserve"/>
        </is>
      </c>
      <c r="F5451" s="250" t="inlineStr">
        <is>
          <t xml:space="preserve"/>
        </is>
      </c>
      <c r="G5451" s="250" t="inlineStr">
        <is>
          <t xml:space="preserve"/>
        </is>
      </c>
      <c r="H5451" s="251">
        <f>SUM(H5450:H5450)</f>
        <v>252.6</v>
      </c>
      <c r="I5451" s="252" t="inlineStr">
        <is>
          <t xml:space="preserve">m</t>
        </is>
      </c>
    </row>
    <row r="5452">
      <c r="A5452" s="243" t="inlineStr">
        <is>
          <t xml:space="preserve">10TH FLR</t>
        </is>
      </c>
      <c r="B5452" s="243" t="inlineStr">
        <is>
          <t xml:space="preserve">K</t>
        </is>
      </c>
      <c r="C5452" s="244" t="inlineStr">
        <is>
          <t xml:space="preserve">Sides and soffits of beams</t>
        </is>
      </c>
      <c r="I5452" s="245" t="inlineStr">
        <is>
          <t xml:space="preserve">m2</t>
        </is>
      </c>
      <c r="K5452" s="256" t="inlineStr">
        <is>
          <t xml:space="preserve">'10TH FLR   '!C52</t>
        </is>
      </c>
    </row>
    <row r="5453">
      <c r="C5453" s="246" t="inlineStr">
        <is>
          <t xml:space="preserve">Tenth floor (+34000) - beam sides &amp; soffit (300 wide): length x girth</t>
        </is>
      </c>
      <c r="E5453" s="247">
        <v>122.2</v>
      </c>
      <c r="F5453" s="247">
        <f>2*0.35+0.3</f>
        <v>1.0</v>
      </c>
      <c r="H5453" s="249">
        <f>PRODUCT(D5453:G5453)</f>
        <v>122.2</v>
      </c>
      <c r="J5453" s="253" t="inlineStr">
        <is>
          <t xml:space="preserve">122.2*(2*0.35+0.3)</t>
        </is>
      </c>
    </row>
    <row r="5454">
      <c r="C5454" s="246" t="inlineStr">
        <is>
          <t xml:space="preserve">Tenth floor (+34000) - beam sides &amp; soffit (200 wide): length x girth</t>
        </is>
      </c>
      <c r="E5454" s="247">
        <v>14.2</v>
      </c>
      <c r="F5454" s="247">
        <f>2*0.35+0.2</f>
        <v>0.8999999999999999</v>
      </c>
      <c r="H5454" s="249">
        <f>PRODUCT(D5454:G5454)</f>
        <v>12.779999999999998</v>
      </c>
      <c r="J5454" s="253" t="inlineStr">
        <is>
          <t xml:space="preserve">14.2*(2*0.35+0.2)</t>
        </is>
      </c>
    </row>
    <row r="5455">
      <c r="C5455" s="250" t="inlineStr">
        <is>
          <t xml:space="preserve">Total carried to BOQ  10TH FLR item K</t>
        </is>
      </c>
      <c r="D5455" s="250" t="inlineStr">
        <is>
          <t xml:space="preserve"/>
        </is>
      </c>
      <c r="E5455" s="250" t="inlineStr">
        <is>
          <t xml:space="preserve"/>
        </is>
      </c>
      <c r="F5455" s="250" t="inlineStr">
        <is>
          <t xml:space="preserve"/>
        </is>
      </c>
      <c r="G5455" s="250" t="inlineStr">
        <is>
          <t xml:space="preserve"/>
        </is>
      </c>
      <c r="H5455" s="251">
        <f>SUM(H5453:H5454)</f>
        <v>134.98</v>
      </c>
      <c r="I5455" s="252" t="inlineStr">
        <is>
          <t xml:space="preserve">m2</t>
        </is>
      </c>
    </row>
    <row r="5456">
      <c r="A5456" s="243" t="inlineStr">
        <is>
          <t xml:space="preserve">10TH FLR</t>
        </is>
      </c>
      <c r="B5456" s="243" t="inlineStr">
        <is>
          <t xml:space="preserve">L</t>
        </is>
      </c>
      <c r="C5456" s="244" t="inlineStr">
        <is>
          <t xml:space="preserve">Columns</t>
        </is>
      </c>
      <c r="I5456" s="245" t="inlineStr">
        <is>
          <t xml:space="preserve">m2</t>
        </is>
      </c>
      <c r="K5456" s="256" t="inlineStr">
        <is>
          <t xml:space="preserve">'10TH FLR   '!C54</t>
        </is>
      </c>
    </row>
    <row r="5457">
      <c r="C5457" s="246" t="inlineStr">
        <is>
          <t xml:space="preserve">COL-01B x1 - column sides (10th to roof terrace), ht 3.05</t>
        </is>
      </c>
      <c r="D5457" s="248">
        <v>1</v>
      </c>
      <c r="E5457" s="247">
        <f>2*(0.75+0.5)</f>
        <v>2.5</v>
      </c>
      <c r="F5457" s="247">
        <v>3.05</v>
      </c>
      <c r="H5457" s="249">
        <f>PRODUCT(D5457:G5457)</f>
        <v>7.625</v>
      </c>
      <c r="J5457" s="253" t="inlineStr">
        <is>
          <t xml:space="preserve">1*2*(0.75+0.5)*3.05</t>
        </is>
      </c>
    </row>
    <row r="5458">
      <c r="C5458" s="246" t="inlineStr">
        <is>
          <t xml:space="preserve">COL-01C x2 - column sides (10th to roof terrace), ht 3.05</t>
        </is>
      </c>
      <c r="D5458" s="248">
        <v>2</v>
      </c>
      <c r="E5458" s="247">
        <f>2*(0.75+0.5)</f>
        <v>2.5</v>
      </c>
      <c r="F5458" s="247">
        <v>3.05</v>
      </c>
      <c r="H5458" s="249">
        <f>PRODUCT(D5458:G5458)</f>
        <v>15.25</v>
      </c>
      <c r="J5458" s="253" t="inlineStr">
        <is>
          <t xml:space="preserve">2*2*(0.75+0.5)*3.05</t>
        </is>
      </c>
    </row>
    <row r="5459">
      <c r="C5459" s="246" t="inlineStr">
        <is>
          <t xml:space="preserve">COL-01D x1 - column sides (10th to roof terrace), ht 3.05</t>
        </is>
      </c>
      <c r="D5459" s="248">
        <v>1</v>
      </c>
      <c r="E5459" s="247">
        <f>2*(0.75+0.5)</f>
        <v>2.5</v>
      </c>
      <c r="F5459" s="247">
        <v>3.05</v>
      </c>
      <c r="H5459" s="249">
        <f>PRODUCT(D5459:G5459)</f>
        <v>7.625</v>
      </c>
      <c r="J5459" s="253" t="inlineStr">
        <is>
          <t xml:space="preserve">1*2*(0.75+0.5)*3.05</t>
        </is>
      </c>
    </row>
    <row r="5460">
      <c r="C5460" s="246" t="inlineStr">
        <is>
          <t xml:space="preserve">COL-02B x6 - column sides (10th to roof terrace), ht 3.05</t>
        </is>
      </c>
      <c r="D5460" s="248">
        <v>6</v>
      </c>
      <c r="E5460" s="247">
        <f>2*(1.2+0.3)</f>
        <v>3.0</v>
      </c>
      <c r="F5460" s="247">
        <v>3.05</v>
      </c>
      <c r="H5460" s="249">
        <f>PRODUCT(D5460:G5460)</f>
        <v>54.9</v>
      </c>
      <c r="J5460" s="253" t="inlineStr">
        <is>
          <t xml:space="preserve">6*2*(1.2+0.3)*3.05</t>
        </is>
      </c>
    </row>
    <row r="5461">
      <c r="C5461" s="246" t="inlineStr">
        <is>
          <t xml:space="preserve">COL-02C x1 - column sides (10th to roof terrace), ht 3.05</t>
        </is>
      </c>
      <c r="D5461" s="248">
        <v>1</v>
      </c>
      <c r="E5461" s="247">
        <f>2*(1.2+0.3)</f>
        <v>3.0</v>
      </c>
      <c r="F5461" s="247">
        <v>3.05</v>
      </c>
      <c r="H5461" s="249">
        <f>PRODUCT(D5461:G5461)</f>
        <v>9.149999999999999</v>
      </c>
      <c r="J5461" s="253" t="inlineStr">
        <is>
          <t xml:space="preserve">1*2*(1.2+0.3)*3.05</t>
        </is>
      </c>
    </row>
    <row r="5462">
      <c r="C5462" s="246" t="inlineStr">
        <is>
          <t xml:space="preserve">COL-02D x15 - column sides (10th to roof terrace), ht 3.05</t>
        </is>
      </c>
      <c r="D5462" s="248">
        <v>15</v>
      </c>
      <c r="E5462" s="247">
        <f>2*(1.2+0.3)</f>
        <v>3.0</v>
      </c>
      <c r="F5462" s="247">
        <v>3.05</v>
      </c>
      <c r="H5462" s="249">
        <f>PRODUCT(D5462:G5462)</f>
        <v>137.25</v>
      </c>
      <c r="J5462" s="253" t="inlineStr">
        <is>
          <t xml:space="preserve">15*2*(1.2+0.3)*3.05</t>
        </is>
      </c>
    </row>
    <row r="5463">
      <c r="C5463" s="250" t="inlineStr">
        <is>
          <t xml:space="preserve">Total carried to BOQ  10TH FLR item L</t>
        </is>
      </c>
      <c r="D5463" s="250" t="inlineStr">
        <is>
          <t xml:space="preserve"/>
        </is>
      </c>
      <c r="E5463" s="250" t="inlineStr">
        <is>
          <t xml:space="preserve"/>
        </is>
      </c>
      <c r="F5463" s="250" t="inlineStr">
        <is>
          <t xml:space="preserve"/>
        </is>
      </c>
      <c r="G5463" s="250" t="inlineStr">
        <is>
          <t xml:space="preserve"/>
        </is>
      </c>
      <c r="H5463" s="251">
        <f>SUM(H5457:H5462)</f>
        <v>231.8</v>
      </c>
      <c r="I5463" s="252" t="inlineStr">
        <is>
          <t xml:space="preserve">m2</t>
        </is>
      </c>
    </row>
    <row r="5464">
      <c r="A5464" s="243" t="inlineStr">
        <is>
          <t xml:space="preserve">10TH FLR</t>
        </is>
      </c>
      <c r="B5464" s="243" t="inlineStr">
        <is>
          <t xml:space="preserve">M</t>
        </is>
      </c>
      <c r="C5464" s="244" t="inlineStr">
        <is>
          <t xml:space="preserve">Concrete wall (both faces)</t>
        </is>
      </c>
      <c r="I5464" s="245" t="inlineStr">
        <is>
          <t xml:space="preserve">m2</t>
        </is>
      </c>
      <c r="K5464" s="256" t="inlineStr">
        <is>
          <t xml:space="preserve">'10TH FLR   '!C56</t>
        </is>
      </c>
    </row>
    <row r="5465">
      <c r="C5465" s="246" t="inlineStr">
        <is>
          <t xml:space="preserve">Tenth floor (+34000) - main stair core walls (22.05 m run) (both faces)</t>
        </is>
      </c>
      <c r="D5465" s="248">
        <v>2</v>
      </c>
      <c r="E5465" s="247">
        <v>22.05</v>
      </c>
      <c r="F5465" s="247">
        <v>3.05</v>
      </c>
      <c r="H5465" s="249">
        <f>PRODUCT(D5465:G5465)</f>
        <v>134.505</v>
      </c>
      <c r="J5465" s="253" t="inlineStr">
        <is>
          <t xml:space="preserve">2*22.05*3.05</t>
        </is>
      </c>
    </row>
    <row r="5466">
      <c r="C5466" s="246" t="inlineStr">
        <is>
          <t xml:space="preserve">Tenth floor (+34000) - lift core walls (21.825 m run) (both faces)</t>
        </is>
      </c>
      <c r="D5466" s="248">
        <v>2</v>
      </c>
      <c r="E5466" s="247">
        <v>21.825</v>
      </c>
      <c r="F5466" s="247">
        <v>3.05</v>
      </c>
      <c r="H5466" s="249">
        <f>PRODUCT(D5466:G5466)</f>
        <v>133.1325</v>
      </c>
      <c r="J5466" s="253" t="inlineStr">
        <is>
          <t xml:space="preserve">2*21.825*3.05</t>
        </is>
      </c>
    </row>
    <row r="5467">
      <c r="C5467" s="246" t="inlineStr">
        <is>
          <t xml:space="preserve">Tenth floor (+34000) - emergency stair core walls (25.57 m run) (both faces)</t>
        </is>
      </c>
      <c r="D5467" s="248">
        <v>2</v>
      </c>
      <c r="E5467" s="247">
        <v>25.57</v>
      </c>
      <c r="F5467" s="247">
        <v>3.05</v>
      </c>
      <c r="H5467" s="249">
        <f>PRODUCT(D5467:G5467)</f>
        <v>155.977</v>
      </c>
      <c r="J5467" s="253" t="inlineStr">
        <is>
          <t xml:space="preserve">2*25.57*3.05</t>
        </is>
      </c>
    </row>
    <row r="5468">
      <c r="C5468" s="250" t="inlineStr">
        <is>
          <t xml:space="preserve">Total carried to BOQ  10TH FLR item M</t>
        </is>
      </c>
      <c r="D5468" s="250" t="inlineStr">
        <is>
          <t xml:space="preserve"/>
        </is>
      </c>
      <c r="E5468" s="250" t="inlineStr">
        <is>
          <t xml:space="preserve"/>
        </is>
      </c>
      <c r="F5468" s="250" t="inlineStr">
        <is>
          <t xml:space="preserve"/>
        </is>
      </c>
      <c r="G5468" s="250" t="inlineStr">
        <is>
          <t xml:space="preserve"/>
        </is>
      </c>
      <c r="H5468" s="251">
        <f>SUM(H5465:H5467)</f>
        <v>423.6145</v>
      </c>
      <c r="I5468" s="252" t="inlineStr">
        <is>
          <t xml:space="preserve">m2</t>
        </is>
      </c>
    </row>
    <row r="5469">
      <c r="A5469" s="243" t="inlineStr">
        <is>
          <t xml:space="preserve">10TH FLR</t>
        </is>
      </c>
      <c r="B5469" s="243" t="inlineStr">
        <is>
          <t xml:space="preserve">N</t>
        </is>
      </c>
      <c r="C5469" s="244" t="inlineStr">
        <is>
          <t xml:space="preserve">Soffits of stair flights, landings and risers</t>
        </is>
      </c>
      <c r="I5469" s="245" t="inlineStr">
        <is>
          <t xml:space="preserve">m2</t>
        </is>
      </c>
      <c r="K5469" s="256" t="inlineStr">
        <is>
          <t xml:space="preserve">'10TH FLR   '!C58</t>
        </is>
      </c>
    </row>
    <row r="5470">
      <c r="C5470" s="246" t="inlineStr">
        <is>
          <t xml:space="preserve">Tenth floor (+34000) - Main stair flight (storey ht 3.3) - flight soffits: 2 x 3.424 x 1.8</t>
        </is>
      </c>
      <c r="D5470" s="248">
        <v>2</v>
      </c>
      <c r="E5470" s="247">
        <v>3.424</v>
      </c>
      <c r="F5470" s="247">
        <v>1.8</v>
      </c>
      <c r="H5470" s="249">
        <f>PRODUCT(D5470:G5470)</f>
        <v>12.3264</v>
      </c>
      <c r="J5470" s="253" t="inlineStr">
        <is>
          <t xml:space="preserve">2*3.424*1.8</t>
        </is>
      </c>
    </row>
    <row r="5471">
      <c r="C5471" s="246" t="inlineStr">
        <is>
          <t xml:space="preserve">Tenth floor (+34000) - Main stair flight (storey ht 3.3) - landing soffits</t>
        </is>
      </c>
      <c r="H5471" s="247">
        <v>15.0</v>
      </c>
      <c r="J5471" s="253" t="inlineStr">
        <is>
          <t xml:space="preserve">15.0</t>
        </is>
      </c>
    </row>
    <row r="5472">
      <c r="C5472" s="246" t="inlineStr">
        <is>
          <t xml:space="preserve">Tenth floor (+34000) - Main stair flight (storey ht 3.3) - risers: 22 x 0.15 x 1.8</t>
        </is>
      </c>
      <c r="D5472" s="248">
        <v>22</v>
      </c>
      <c r="E5472" s="247">
        <v>0.15</v>
      </c>
      <c r="F5472" s="247">
        <v>1.8</v>
      </c>
      <c r="H5472" s="249">
        <f>PRODUCT(D5472:G5472)</f>
        <v>5.9399999999999995</v>
      </c>
      <c r="J5472" s="253" t="inlineStr">
        <is>
          <t xml:space="preserve">22*0.15*1.8</t>
        </is>
      </c>
    </row>
    <row r="5473">
      <c r="C5473" s="246" t="inlineStr">
        <is>
          <t xml:space="preserve">Tenth floor (+34000) - Emergency stair flight (storey ht 3.3) - flight soffits: 2 x 3.424 x 1.8</t>
        </is>
      </c>
      <c r="D5473" s="248">
        <v>2</v>
      </c>
      <c r="E5473" s="247">
        <v>3.424</v>
      </c>
      <c r="F5473" s="247">
        <v>1.8</v>
      </c>
      <c r="H5473" s="249">
        <f>PRODUCT(D5473:G5473)</f>
        <v>12.3264</v>
      </c>
      <c r="J5473" s="253" t="inlineStr">
        <is>
          <t xml:space="preserve">2*3.424*1.8</t>
        </is>
      </c>
    </row>
    <row r="5474">
      <c r="C5474" s="246" t="inlineStr">
        <is>
          <t xml:space="preserve">Tenth floor (+34000) - Emergency stair flight (storey ht 3.3) - landing soffits</t>
        </is>
      </c>
      <c r="H5474" s="247">
        <v>15.0</v>
      </c>
      <c r="J5474" s="253" t="inlineStr">
        <is>
          <t xml:space="preserve">15.0</t>
        </is>
      </c>
    </row>
    <row r="5475">
      <c r="C5475" s="246" t="inlineStr">
        <is>
          <t xml:space="preserve">Tenth floor (+34000) - Emergency stair flight (storey ht 3.3) - risers: 22 x 0.15 x 1.8</t>
        </is>
      </c>
      <c r="D5475" s="248">
        <v>22</v>
      </c>
      <c r="E5475" s="247">
        <v>0.15</v>
      </c>
      <c r="F5475" s="247">
        <v>1.8</v>
      </c>
      <c r="H5475" s="249">
        <f>PRODUCT(D5475:G5475)</f>
        <v>5.9399999999999995</v>
      </c>
      <c r="J5475" s="253" t="inlineStr">
        <is>
          <t xml:space="preserve">22*0.15*1.8</t>
        </is>
      </c>
    </row>
    <row r="5476">
      <c r="C5476" s="250" t="inlineStr">
        <is>
          <t xml:space="preserve">Total carried to BOQ  10TH FLR item N</t>
        </is>
      </c>
      <c r="D5476" s="250" t="inlineStr">
        <is>
          <t xml:space="preserve"/>
        </is>
      </c>
      <c r="E5476" s="250" t="inlineStr">
        <is>
          <t xml:space="preserve"/>
        </is>
      </c>
      <c r="F5476" s="250" t="inlineStr">
        <is>
          <t xml:space="preserve"/>
        </is>
      </c>
      <c r="G5476" s="250" t="inlineStr">
        <is>
          <t xml:space="preserve"/>
        </is>
      </c>
      <c r="H5476" s="251">
        <f>SUM(H5470:H5475)</f>
        <v>66.5328</v>
      </c>
      <c r="I5476" s="252" t="inlineStr">
        <is>
          <t xml:space="preserve">m2</t>
        </is>
      </c>
    </row>
    <row r="5477">
      <c r="A5477" s="243" t="inlineStr">
        <is>
          <t xml:space="preserve">10TH FLR</t>
        </is>
      </c>
      <c r="B5477" s="243" t="inlineStr">
        <is>
          <t xml:space="preserve">P</t>
        </is>
      </c>
      <c r="C5477" s="244" t="inlineStr">
        <is>
          <t xml:space="preserve">Side and soffits of lintel / coping</t>
        </is>
      </c>
      <c r="I5477" s="245" t="inlineStr">
        <is>
          <t xml:space="preserve">m2</t>
        </is>
      </c>
      <c r="K5477" s="256" t="inlineStr">
        <is>
          <t xml:space="preserve">'10TH FLR   '!C60</t>
        </is>
      </c>
    </row>
    <row r="5478">
      <c r="C5478" s="246" t="inlineStr">
        <is>
          <t xml:space="preserve">Lintel formwork over D2 (6 nr, 1x2.2): nr x (width + 2 x 150 bearing) x girth 0.60</t>
        </is>
      </c>
      <c r="D5478" s="248">
        <v>6</v>
      </c>
      <c r="E5478" s="247">
        <f>1+0.3</f>
        <v>1.3</v>
      </c>
      <c r="F5478" s="247">
        <f>2*0.225+0.15</f>
        <v>0.6</v>
      </c>
      <c r="H5478" s="249">
        <f>PRODUCT(D5478:G5478)</f>
        <v>4.680000000000001</v>
      </c>
      <c r="J5478" s="253" t="inlineStr">
        <is>
          <t xml:space="preserve">6*(1+0.3)*(2*0.225+0.15)</t>
        </is>
      </c>
    </row>
    <row r="5479">
      <c r="C5479" s="246" t="inlineStr">
        <is>
          <t xml:space="preserve">Lintel formwork over D3 (11 nr, 0.9x2.2): nr x (width + 2 x 150 bearing) x girth 0.60</t>
        </is>
      </c>
      <c r="D5479" s="248">
        <v>11</v>
      </c>
      <c r="E5479" s="247">
        <f>0.9+0.3</f>
        <v>1.2</v>
      </c>
      <c r="F5479" s="247">
        <f>2*0.225+0.15</f>
        <v>0.6</v>
      </c>
      <c r="H5479" s="249">
        <f>PRODUCT(D5479:G5479)</f>
        <v>7.919999999999999</v>
      </c>
      <c r="J5479" s="253" t="inlineStr">
        <is>
          <t xml:space="preserve">11*(0.9+0.3)*(2*0.225+0.15)</t>
        </is>
      </c>
    </row>
    <row r="5480">
      <c r="C5480" s="246" t="inlineStr">
        <is>
          <t xml:space="preserve">Lintel formwork over D6 (16 nr, 0.75x2.2): nr x (width + 2 x 150 bearing) x girth 0.60</t>
        </is>
      </c>
      <c r="D5480" s="248">
        <v>16</v>
      </c>
      <c r="E5480" s="247">
        <f>0.75+0.3</f>
        <v>1.05</v>
      </c>
      <c r="F5480" s="247">
        <f>2*0.225+0.15</f>
        <v>0.6</v>
      </c>
      <c r="H5480" s="249">
        <f>PRODUCT(D5480:G5480)</f>
        <v>10.08</v>
      </c>
      <c r="J5480" s="253" t="inlineStr">
        <is>
          <t xml:space="preserve">16*(0.75+0.3)*(2*0.225+0.15)</t>
        </is>
      </c>
    </row>
    <row r="5481">
      <c r="C5481" s="246" t="inlineStr">
        <is>
          <t xml:space="preserve">Lintel formwork over D7 (1 nr, 0.7x2.2): nr x (width + 2 x 150 bearing) x girth 0.60</t>
        </is>
      </c>
      <c r="D5481" s="248">
        <v>1</v>
      </c>
      <c r="E5481" s="247">
        <f>0.7+0.3</f>
        <v>1.0</v>
      </c>
      <c r="F5481" s="247">
        <f>2*0.225+0.15</f>
        <v>0.6</v>
      </c>
      <c r="H5481" s="249">
        <f>PRODUCT(D5481:G5481)</f>
        <v>0.6</v>
      </c>
      <c r="J5481" s="253" t="inlineStr">
        <is>
          <t xml:space="preserve">1*(0.7+0.3)*(2*0.225+0.15)</t>
        </is>
      </c>
    </row>
    <row r="5482">
      <c r="C5482" s="246" t="inlineStr">
        <is>
          <t xml:space="preserve">Lintel formwork over D8 (2 nr, 1.2x2.2): nr x (width + 2 x 150 bearing) x girth 0.60</t>
        </is>
      </c>
      <c r="D5482" s="248">
        <v>2</v>
      </c>
      <c r="E5482" s="247">
        <f>1.2+0.3</f>
        <v>1.5</v>
      </c>
      <c r="F5482" s="247">
        <f>2*0.225+0.15</f>
        <v>0.6</v>
      </c>
      <c r="H5482" s="249">
        <f>PRODUCT(D5482:G5482)</f>
        <v>1.7999999999999998</v>
      </c>
      <c r="J5482" s="253" t="inlineStr">
        <is>
          <t xml:space="preserve">2*(1.2+0.3)*(2*0.225+0.15)</t>
        </is>
      </c>
    </row>
    <row r="5483">
      <c r="C5483" s="246" t="inlineStr">
        <is>
          <t xml:space="preserve">Lintel formwork over ED1 (2 nr, 1x2.2): nr x (width + 2 x 150 bearing) x girth 0.60</t>
        </is>
      </c>
      <c r="D5483" s="248">
        <v>2</v>
      </c>
      <c r="E5483" s="247">
        <f>1+0.3</f>
        <v>1.3</v>
      </c>
      <c r="F5483" s="247">
        <f>2*0.225+0.15</f>
        <v>0.6</v>
      </c>
      <c r="H5483" s="249">
        <f>PRODUCT(D5483:G5483)</f>
        <v>1.56</v>
      </c>
      <c r="J5483" s="253" t="inlineStr">
        <is>
          <t xml:space="preserve">2*(1+0.3)*(2*0.225+0.15)</t>
        </is>
      </c>
    </row>
    <row r="5484">
      <c r="C5484" s="246" t="inlineStr">
        <is>
          <t xml:space="preserve">Lintel formwork over ED2 (2 nr, 1x2.2): nr x (width + 2 x 150 bearing) x girth 0.60</t>
        </is>
      </c>
      <c r="D5484" s="248">
        <v>2</v>
      </c>
      <c r="E5484" s="247">
        <f>1+0.3</f>
        <v>1.3</v>
      </c>
      <c r="F5484" s="247">
        <f>2*0.225+0.15</f>
        <v>0.6</v>
      </c>
      <c r="H5484" s="249">
        <f>PRODUCT(D5484:G5484)</f>
        <v>1.56</v>
      </c>
      <c r="J5484" s="253" t="inlineStr">
        <is>
          <t xml:space="preserve">2*(1+0.3)*(2*0.225+0.15)</t>
        </is>
      </c>
    </row>
    <row r="5485">
      <c r="C5485" s="246" t="inlineStr">
        <is>
          <t xml:space="preserve">Lintel formwork over D9 (1 nr, 0.9x2.2): nr x (width + 2 x 150 bearing) x girth 0.60</t>
        </is>
      </c>
      <c r="D5485" s="248">
        <v>1</v>
      </c>
      <c r="E5485" s="247">
        <f>0.9+0.3</f>
        <v>1.2</v>
      </c>
      <c r="F5485" s="247">
        <f>2*0.225+0.15</f>
        <v>0.6</v>
      </c>
      <c r="H5485" s="249">
        <f>PRODUCT(D5485:G5485)</f>
        <v>0.72</v>
      </c>
      <c r="J5485" s="253" t="inlineStr">
        <is>
          <t xml:space="preserve">1*(0.9+0.3)*(2*0.225+0.15)</t>
        </is>
      </c>
    </row>
    <row r="5486">
      <c r="C5486" s="246" t="inlineStr">
        <is>
          <t xml:space="preserve">Lintel formwork over FD1 (1 nr, 1.5x2.2): nr x (width + 2 x 150 bearing) x girth 0.60</t>
        </is>
      </c>
      <c r="D5486" s="248">
        <v>1</v>
      </c>
      <c r="E5486" s="247">
        <f>1.5+0.3</f>
        <v>1.8</v>
      </c>
      <c r="F5486" s="247">
        <f>2*0.225+0.15</f>
        <v>0.6</v>
      </c>
      <c r="H5486" s="249">
        <f>PRODUCT(D5486:G5486)</f>
        <v>1.08</v>
      </c>
      <c r="J5486" s="253" t="inlineStr">
        <is>
          <t xml:space="preserve">1*(1.5+0.3)*(2*0.225+0.15)</t>
        </is>
      </c>
    </row>
    <row r="5487">
      <c r="C5487" s="246" t="inlineStr">
        <is>
          <t xml:space="preserve">Lintel formwork over M1 (2 nr, 0.9x2.2): nr x (width + 2 x 150 bearing) x girth 0.60</t>
        </is>
      </c>
      <c r="D5487" s="248">
        <v>2</v>
      </c>
      <c r="E5487" s="247">
        <f>0.9+0.3</f>
        <v>1.2</v>
      </c>
      <c r="F5487" s="247">
        <f>2*0.225+0.15</f>
        <v>0.6</v>
      </c>
      <c r="H5487" s="249">
        <f>PRODUCT(D5487:G5487)</f>
        <v>1.44</v>
      </c>
      <c r="J5487" s="253" t="inlineStr">
        <is>
          <t xml:space="preserve">2*(0.9+0.3)*(2*0.225+0.15)</t>
        </is>
      </c>
    </row>
    <row r="5488">
      <c r="C5488" s="246" t="inlineStr">
        <is>
          <t xml:space="preserve">Lintel formwork over M2 (4 nr, 0.75x2.2): nr x (width + 2 x 150 bearing) x girth 0.60</t>
        </is>
      </c>
      <c r="D5488" s="248">
        <v>4</v>
      </c>
      <c r="E5488" s="247">
        <f>0.75+0.3</f>
        <v>1.05</v>
      </c>
      <c r="F5488" s="247">
        <f>2*0.225+0.15</f>
        <v>0.6</v>
      </c>
      <c r="H5488" s="249">
        <f>PRODUCT(D5488:G5488)</f>
        <v>2.52</v>
      </c>
      <c r="J5488" s="253" t="inlineStr">
        <is>
          <t xml:space="preserve">4*(0.75+0.3)*(2*0.225+0.15)</t>
        </is>
      </c>
    </row>
    <row r="5489">
      <c r="C5489" s="246" t="inlineStr">
        <is>
          <t xml:space="preserve">Lintel formwork over M3 (1 nr, 0.45x2.2): nr x (width + 2 x 150 bearing) x girth 0.60</t>
        </is>
      </c>
      <c r="D5489" s="248">
        <v>1</v>
      </c>
      <c r="E5489" s="247">
        <f>0.45+0.3</f>
        <v>0.75</v>
      </c>
      <c r="F5489" s="247">
        <f>2*0.225+0.15</f>
        <v>0.6</v>
      </c>
      <c r="H5489" s="249">
        <f>PRODUCT(D5489:G5489)</f>
        <v>0.44999999999999996</v>
      </c>
      <c r="J5489" s="253" t="inlineStr">
        <is>
          <t xml:space="preserve">1*(0.45+0.3)*(2*0.225+0.15)</t>
        </is>
      </c>
    </row>
    <row r="5490">
      <c r="C5490" s="246" t="inlineStr">
        <is>
          <t xml:space="preserve">Lintel formwork over M5 (3 nr, 0.6x2.2): nr x (width + 2 x 150 bearing) x girth 0.60</t>
        </is>
      </c>
      <c r="D5490" s="248">
        <v>3</v>
      </c>
      <c r="E5490" s="247">
        <f>0.6+0.3</f>
        <v>0.8999999999999999</v>
      </c>
      <c r="F5490" s="247">
        <f>2*0.225+0.15</f>
        <v>0.6</v>
      </c>
      <c r="H5490" s="249">
        <f>PRODUCT(D5490:G5490)</f>
        <v>1.6199999999999999</v>
      </c>
      <c r="J5490" s="253" t="inlineStr">
        <is>
          <t xml:space="preserve">3*(0.6+0.3)*(2*0.225+0.15)</t>
        </is>
      </c>
    </row>
    <row r="5491">
      <c r="C5491" s="246" t="inlineStr">
        <is>
          <t xml:space="preserve">Lintel formwork over SD1 (1 nr, 3x2.2): nr x (width + 2 x 150 bearing) x girth 0.60</t>
        </is>
      </c>
      <c r="D5491" s="248">
        <v>1</v>
      </c>
      <c r="E5491" s="247">
        <f>3+0.3</f>
        <v>3.3</v>
      </c>
      <c r="F5491" s="247">
        <f>2*0.225+0.15</f>
        <v>0.6</v>
      </c>
      <c r="H5491" s="249">
        <f>PRODUCT(D5491:G5491)</f>
        <v>1.9799999999999998</v>
      </c>
      <c r="J5491" s="253" t="inlineStr">
        <is>
          <t xml:space="preserve">1*(3+0.3)*(2*0.225+0.15)</t>
        </is>
      </c>
    </row>
    <row r="5492">
      <c r="C5492" s="246" t="inlineStr">
        <is>
          <t xml:space="preserve">Lintel formwork over SD2 (3 nr, 1.6x2.2): nr x (width + 2 x 150 bearing) x girth 0.60</t>
        </is>
      </c>
      <c r="D5492" s="248">
        <v>3</v>
      </c>
      <c r="E5492" s="247">
        <f>1.6+0.3</f>
        <v>1.9000000000000001</v>
      </c>
      <c r="F5492" s="247">
        <f>2*0.225+0.15</f>
        <v>0.6</v>
      </c>
      <c r="H5492" s="249">
        <f>PRODUCT(D5492:G5492)</f>
        <v>3.42</v>
      </c>
      <c r="J5492" s="253" t="inlineStr">
        <is>
          <t xml:space="preserve">3*(1.6+0.3)*(2*0.225+0.15)</t>
        </is>
      </c>
    </row>
    <row r="5493">
      <c r="C5493" s="246" t="inlineStr">
        <is>
          <t xml:space="preserve">Lintel formwork over SD3 (2 nr, 1.3x2.2): nr x (width + 2 x 150 bearing) x girth 0.60</t>
        </is>
      </c>
      <c r="D5493" s="248">
        <v>2</v>
      </c>
      <c r="E5493" s="247">
        <f>1.3+0.3</f>
        <v>1.6</v>
      </c>
      <c r="F5493" s="247">
        <f>2*0.225+0.15</f>
        <v>0.6</v>
      </c>
      <c r="H5493" s="249">
        <f>PRODUCT(D5493:G5493)</f>
        <v>1.92</v>
      </c>
      <c r="J5493" s="253" t="inlineStr">
        <is>
          <t xml:space="preserve">2*(1.3+0.3)*(2*0.225+0.15)</t>
        </is>
      </c>
    </row>
    <row r="5494">
      <c r="C5494" s="246" t="inlineStr">
        <is>
          <t xml:space="preserve">Lintel formwork over SD4 (3 nr, 1.8x2.2): nr x (width + 2 x 150 bearing) x girth 0.60</t>
        </is>
      </c>
      <c r="D5494" s="248">
        <v>3</v>
      </c>
      <c r="E5494" s="247">
        <f>1.8+0.3</f>
        <v>2.1</v>
      </c>
      <c r="F5494" s="247">
        <f>2*0.225+0.15</f>
        <v>0.6</v>
      </c>
      <c r="H5494" s="249">
        <f>PRODUCT(D5494:G5494)</f>
        <v>3.7800000000000002</v>
      </c>
      <c r="J5494" s="253" t="inlineStr">
        <is>
          <t xml:space="preserve">3*(1.8+0.3)*(2*0.225+0.15)</t>
        </is>
      </c>
    </row>
    <row r="5495">
      <c r="C5495" s="246" t="inlineStr">
        <is>
          <t xml:space="preserve">Lintel formwork over SD5 (1 nr, 1.2x2.2): nr x (width + 2 x 150 bearing) x girth 0.60</t>
        </is>
      </c>
      <c r="D5495" s="248">
        <v>1</v>
      </c>
      <c r="E5495" s="247">
        <f>1.2+0.3</f>
        <v>1.5</v>
      </c>
      <c r="F5495" s="247">
        <f>2*0.225+0.15</f>
        <v>0.6</v>
      </c>
      <c r="H5495" s="249">
        <f>PRODUCT(D5495:G5495)</f>
        <v>0.8999999999999999</v>
      </c>
      <c r="J5495" s="253" t="inlineStr">
        <is>
          <t xml:space="preserve">1*(1.2+0.3)*(2*0.225+0.15)</t>
        </is>
      </c>
    </row>
    <row r="5496">
      <c r="C5496" s="246" t="inlineStr">
        <is>
          <t xml:space="preserve">Lintel formwork over W2 (4 nr, 1.8x1.3): nr x (width + 2 x 150 bearing) x girth 0.60</t>
        </is>
      </c>
      <c r="D5496" s="248">
        <v>4</v>
      </c>
      <c r="E5496" s="247">
        <f>1.8+0.3</f>
        <v>2.1</v>
      </c>
      <c r="F5496" s="247">
        <f>2*0.225+0.15</f>
        <v>0.6</v>
      </c>
      <c r="H5496" s="249">
        <f>PRODUCT(D5496:G5496)</f>
        <v>5.04</v>
      </c>
      <c r="J5496" s="253" t="inlineStr">
        <is>
          <t xml:space="preserve">4*(1.8+0.3)*(2*0.225+0.15)</t>
        </is>
      </c>
    </row>
    <row r="5497">
      <c r="C5497" s="246" t="inlineStr">
        <is>
          <t xml:space="preserve">Lintel formwork over W4 (8 nr, 0.9x1.3): nr x (width + 2 x 150 bearing) x girth 0.60</t>
        </is>
      </c>
      <c r="D5497" s="248">
        <v>8</v>
      </c>
      <c r="E5497" s="247">
        <f>0.9+0.3</f>
        <v>1.2</v>
      </c>
      <c r="F5497" s="247">
        <f>2*0.225+0.15</f>
        <v>0.6</v>
      </c>
      <c r="H5497" s="249">
        <f>PRODUCT(D5497:G5497)</f>
        <v>5.76</v>
      </c>
      <c r="J5497" s="253" t="inlineStr">
        <is>
          <t xml:space="preserve">8*(0.9+0.3)*(2*0.225+0.15)</t>
        </is>
      </c>
    </row>
    <row r="5498">
      <c r="C5498" s="246" t="inlineStr">
        <is>
          <t xml:space="preserve">Lintel formwork over W7 (1 nr, 1.8x1.6): nr x (width + 2 x 150 bearing) x girth 0.60</t>
        </is>
      </c>
      <c r="D5498" s="248">
        <v>1</v>
      </c>
      <c r="E5498" s="247">
        <f>1.8+0.3</f>
        <v>2.1</v>
      </c>
      <c r="F5498" s="247">
        <f>2*0.225+0.15</f>
        <v>0.6</v>
      </c>
      <c r="H5498" s="249">
        <f>PRODUCT(D5498:G5498)</f>
        <v>1.26</v>
      </c>
      <c r="J5498" s="253" t="inlineStr">
        <is>
          <t xml:space="preserve">1*(1.8+0.3)*(2*0.225+0.15)</t>
        </is>
      </c>
    </row>
    <row r="5499">
      <c r="C5499" s="246" t="inlineStr">
        <is>
          <t xml:space="preserve">Lintel formwork over W8 (2 nr, 1.2x1.9): nr x (width + 2 x 150 bearing) x girth 0.60</t>
        </is>
      </c>
      <c r="D5499" s="248">
        <v>2</v>
      </c>
      <c r="E5499" s="247">
        <f>1.2+0.3</f>
        <v>1.5</v>
      </c>
      <c r="F5499" s="247">
        <f>2*0.225+0.15</f>
        <v>0.6</v>
      </c>
      <c r="H5499" s="249">
        <f>PRODUCT(D5499:G5499)</f>
        <v>1.7999999999999998</v>
      </c>
      <c r="J5499" s="253" t="inlineStr">
        <is>
          <t xml:space="preserve">2*(1.2+0.3)*(2*0.225+0.15)</t>
        </is>
      </c>
    </row>
    <row r="5500">
      <c r="C5500" s="246" t="inlineStr">
        <is>
          <t xml:space="preserve">Lintel formwork over W9 (6 nr, 1.2x1.15): nr x (width + 2 x 150 bearing) x girth 0.60</t>
        </is>
      </c>
      <c r="D5500" s="248">
        <v>6</v>
      </c>
      <c r="E5500" s="247">
        <f>1.2+0.3</f>
        <v>1.5</v>
      </c>
      <c r="F5500" s="247">
        <f>2*0.225+0.15</f>
        <v>0.6</v>
      </c>
      <c r="H5500" s="249">
        <f>PRODUCT(D5500:G5500)</f>
        <v>5.3999999999999995</v>
      </c>
      <c r="J5500" s="253" t="inlineStr">
        <is>
          <t xml:space="preserve">6*(1.2+0.3)*(2*0.225+0.15)</t>
        </is>
      </c>
    </row>
    <row r="5501">
      <c r="C5501" s="246" t="inlineStr">
        <is>
          <t xml:space="preserve">Lintel formwork over W10 (1 nr, 1.2x1.2): nr x (width + 2 x 150 bearing) x girth 0.60</t>
        </is>
      </c>
      <c r="D5501" s="248">
        <v>1</v>
      </c>
      <c r="E5501" s="247">
        <f>1.2+0.3</f>
        <v>1.5</v>
      </c>
      <c r="F5501" s="247">
        <f>2*0.225+0.15</f>
        <v>0.6</v>
      </c>
      <c r="H5501" s="249">
        <f>PRODUCT(D5501:G5501)</f>
        <v>0.8999999999999999</v>
      </c>
      <c r="J5501" s="253" t="inlineStr">
        <is>
          <t xml:space="preserve">1*(1.2+0.3)*(2*0.225+0.15)</t>
        </is>
      </c>
    </row>
    <row r="5502">
      <c r="C5502" s="246" t="inlineStr">
        <is>
          <t xml:space="preserve">Lintel formwork over W11 (5 nr, 1.5x1.3): nr x (width + 2 x 150 bearing) x girth 0.60</t>
        </is>
      </c>
      <c r="D5502" s="248">
        <v>5</v>
      </c>
      <c r="E5502" s="247">
        <f>1.5+0.3</f>
        <v>1.8</v>
      </c>
      <c r="F5502" s="247">
        <f>2*0.225+0.15</f>
        <v>0.6</v>
      </c>
      <c r="H5502" s="249">
        <f>PRODUCT(D5502:G5502)</f>
        <v>5.3999999999999995</v>
      </c>
      <c r="J5502" s="253" t="inlineStr">
        <is>
          <t xml:space="preserve">5*(1.5+0.3)*(2*0.225+0.15)</t>
        </is>
      </c>
    </row>
    <row r="5503">
      <c r="C5503" s="246" t="inlineStr">
        <is>
          <t xml:space="preserve">Lintel formwork over W12 (3 nr, 1.5x1.15): nr x (width + 2 x 150 bearing) x girth 0.60</t>
        </is>
      </c>
      <c r="D5503" s="248">
        <v>3</v>
      </c>
      <c r="E5503" s="247">
        <f>1.5+0.3</f>
        <v>1.8</v>
      </c>
      <c r="F5503" s="247">
        <f>2*0.225+0.15</f>
        <v>0.6</v>
      </c>
      <c r="H5503" s="249">
        <f>PRODUCT(D5503:G5503)</f>
        <v>3.24</v>
      </c>
      <c r="J5503" s="253" t="inlineStr">
        <is>
          <t xml:space="preserve">3*(1.5+0.3)*(2*0.225+0.15)</t>
        </is>
      </c>
    </row>
    <row r="5504">
      <c r="C5504" s="246" t="inlineStr">
        <is>
          <t xml:space="preserve">Lintel formwork over W15 (1 nr, 3x1.6): nr x (width + 2 x 150 bearing) x girth 0.60</t>
        </is>
      </c>
      <c r="D5504" s="248">
        <v>1</v>
      </c>
      <c r="E5504" s="247">
        <f>3+0.3</f>
        <v>3.3</v>
      </c>
      <c r="F5504" s="247">
        <f>2*0.225+0.15</f>
        <v>0.6</v>
      </c>
      <c r="H5504" s="249">
        <f>PRODUCT(D5504:G5504)</f>
        <v>1.9799999999999998</v>
      </c>
      <c r="J5504" s="253" t="inlineStr">
        <is>
          <t xml:space="preserve">1*(3+0.3)*(2*0.225+0.15)</t>
        </is>
      </c>
    </row>
    <row r="5505">
      <c r="C5505" s="246" t="inlineStr">
        <is>
          <t xml:space="preserve">Lintel formwork over W17 (2 nr, 1.8x1.9): nr x (width + 2 x 150 bearing) x girth 0.60</t>
        </is>
      </c>
      <c r="D5505" s="248">
        <v>2</v>
      </c>
      <c r="E5505" s="247">
        <f>1.8+0.3</f>
        <v>2.1</v>
      </c>
      <c r="F5505" s="247">
        <f>2*0.225+0.15</f>
        <v>0.6</v>
      </c>
      <c r="H5505" s="249">
        <f>PRODUCT(D5505:G5505)</f>
        <v>2.52</v>
      </c>
      <c r="J5505" s="253" t="inlineStr">
        <is>
          <t xml:space="preserve">2*(1.8+0.3)*(2*0.225+0.15)</t>
        </is>
      </c>
    </row>
    <row r="5506">
      <c r="C5506" s="246" t="inlineStr">
        <is>
          <t xml:space="preserve">Lintel formwork over W18 (1 nr, 0.75x1.3): nr x (width + 2 x 150 bearing) x girth 0.60</t>
        </is>
      </c>
      <c r="D5506" s="248">
        <v>1</v>
      </c>
      <c r="E5506" s="247">
        <f>0.75+0.3</f>
        <v>1.05</v>
      </c>
      <c r="F5506" s="247">
        <f>2*0.225+0.15</f>
        <v>0.6</v>
      </c>
      <c r="H5506" s="249">
        <f>PRODUCT(D5506:G5506)</f>
        <v>0.63</v>
      </c>
      <c r="J5506" s="253" t="inlineStr">
        <is>
          <t xml:space="preserve">1*(0.75+0.3)*(2*0.225+0.15)</t>
        </is>
      </c>
    </row>
    <row r="5507">
      <c r="C5507" s="246" t="inlineStr">
        <is>
          <t xml:space="preserve">Lintel formwork over HW1 (10 nr, 0.9x0.6): nr x (width + 2 x 150 bearing) x girth 0.60</t>
        </is>
      </c>
      <c r="D5507" s="248">
        <v>10</v>
      </c>
      <c r="E5507" s="247">
        <f>0.9+0.3</f>
        <v>1.2</v>
      </c>
      <c r="F5507" s="247">
        <f>2*0.225+0.15</f>
        <v>0.6</v>
      </c>
      <c r="H5507" s="249">
        <f>PRODUCT(D5507:G5507)</f>
        <v>7.199999999999999</v>
      </c>
      <c r="J5507" s="253" t="inlineStr">
        <is>
          <t xml:space="preserve">10*(0.9+0.3)*(2*0.225+0.15)</t>
        </is>
      </c>
    </row>
    <row r="5508">
      <c r="C5508" s="246" t="inlineStr">
        <is>
          <t xml:space="preserve">Lintel formwork over HW2 (4 nr, 0.75x0.6): nr x (width + 2 x 150 bearing) x girth 0.60</t>
        </is>
      </c>
      <c r="D5508" s="248">
        <v>4</v>
      </c>
      <c r="E5508" s="247">
        <f>0.75+0.3</f>
        <v>1.05</v>
      </c>
      <c r="F5508" s="247">
        <f>2*0.225+0.15</f>
        <v>0.6</v>
      </c>
      <c r="H5508" s="249">
        <f>PRODUCT(D5508:G5508)</f>
        <v>2.52</v>
      </c>
      <c r="J5508" s="253" t="inlineStr">
        <is>
          <t xml:space="preserve">4*(0.75+0.3)*(2*0.225+0.15)</t>
        </is>
      </c>
    </row>
    <row r="5509">
      <c r="C5509" s="246" t="inlineStr">
        <is>
          <t xml:space="preserve">Lintel formwork over HW3 (1 nr, 0.6x0.6): nr x (width + 2 x 150 bearing) x girth 0.60</t>
        </is>
      </c>
      <c r="D5509" s="248">
        <v>1</v>
      </c>
      <c r="E5509" s="247">
        <f>0.6+0.3</f>
        <v>0.8999999999999999</v>
      </c>
      <c r="F5509" s="247">
        <f>2*0.225+0.15</f>
        <v>0.6</v>
      </c>
      <c r="H5509" s="249">
        <f>PRODUCT(D5509:G5509)</f>
        <v>0.5399999999999999</v>
      </c>
      <c r="J5509" s="253" t="inlineStr">
        <is>
          <t xml:space="preserve">1*(0.6+0.3)*(2*0.225+0.15)</t>
        </is>
      </c>
    </row>
    <row r="5510">
      <c r="C5510" s="246" t="inlineStr">
        <is>
          <t xml:space="preserve">Lintel formwork over HW4 (1 nr, 1.2x0.6): nr x (width + 2 x 150 bearing) x girth 0.60</t>
        </is>
      </c>
      <c r="D5510" s="248">
        <v>1</v>
      </c>
      <c r="E5510" s="247">
        <f>1.2+0.3</f>
        <v>1.5</v>
      </c>
      <c r="F5510" s="247">
        <f>2*0.225+0.15</f>
        <v>0.6</v>
      </c>
      <c r="H5510" s="249">
        <f>PRODUCT(D5510:G5510)</f>
        <v>0.8999999999999999</v>
      </c>
      <c r="J5510" s="253" t="inlineStr">
        <is>
          <t xml:space="preserve">1*(1.2+0.3)*(2*0.225+0.15)</t>
        </is>
      </c>
    </row>
    <row r="5511">
      <c r="C5511" s="250" t="inlineStr">
        <is>
          <t xml:space="preserve">Total carried to BOQ  10TH FLR item P</t>
        </is>
      </c>
      <c r="D5511" s="250" t="inlineStr">
        <is>
          <t xml:space="preserve"/>
        </is>
      </c>
      <c r="E5511" s="250" t="inlineStr">
        <is>
          <t xml:space="preserve"/>
        </is>
      </c>
      <c r="F5511" s="250" t="inlineStr">
        <is>
          <t xml:space="preserve"/>
        </is>
      </c>
      <c r="G5511" s="250" t="inlineStr">
        <is>
          <t xml:space="preserve"/>
        </is>
      </c>
      <c r="H5511" s="251">
        <f>SUM(H5478:H5510)</f>
        <v>93.12</v>
      </c>
      <c r="I5511" s="252" t="inlineStr">
        <is>
          <t xml:space="preserve">m2</t>
        </is>
      </c>
    </row>
    <row r="5512">
      <c r="C5512" s="242" t="inlineStr">
        <is>
          <t xml:space="preserve">E30 REINFORCEMENT - High tensile yield round bar reinforcement (standard) to BS 4449:</t>
        </is>
      </c>
    </row>
    <row r="5513">
      <c r="A5513" s="243" t="inlineStr">
        <is>
          <t xml:space="preserve">10TH FLR</t>
        </is>
      </c>
      <c r="B5513" s="243" t="inlineStr">
        <is>
          <t xml:space="preserve">Q</t>
        </is>
      </c>
      <c r="C5513" s="244" t="inlineStr">
        <is>
          <t xml:space="preserve">10mm diameter in columns</t>
        </is>
      </c>
      <c r="I5513" s="245" t="inlineStr">
        <is>
          <t xml:space="preserve">t</t>
        </is>
      </c>
      <c r="K5513" s="256" t="inlineStr">
        <is>
          <t xml:space="preserve">'10TH FLR   '!C63</t>
        </is>
      </c>
    </row>
    <row r="5514">
      <c r="C5514" s="246" t="inlineStr">
        <is>
          <t xml:space="preserve">Tenth floor (+34000) - Columns, Y10 (from reinforcement take-off / BBS)</t>
        </is>
      </c>
      <c r="H5514" s="247">
        <v>2.468</v>
      </c>
      <c r="J5514" s="253" t="inlineStr">
        <is>
          <t xml:space="preserve">2.468</t>
        </is>
      </c>
    </row>
    <row r="5515">
      <c r="C5515" s="250" t="inlineStr">
        <is>
          <t xml:space="preserve">Total carried to BOQ  10TH FLR item Q</t>
        </is>
      </c>
      <c r="D5515" s="250" t="inlineStr">
        <is>
          <t xml:space="preserve"/>
        </is>
      </c>
      <c r="E5515" s="250" t="inlineStr">
        <is>
          <t xml:space="preserve"/>
        </is>
      </c>
      <c r="F5515" s="250" t="inlineStr">
        <is>
          <t xml:space="preserve"/>
        </is>
      </c>
      <c r="G5515" s="250" t="inlineStr">
        <is>
          <t xml:space="preserve"/>
        </is>
      </c>
      <c r="H5515" s="251">
        <f>SUM(H5514:H5514)</f>
        <v>2.468</v>
      </c>
      <c r="I5515" s="252" t="inlineStr">
        <is>
          <t xml:space="preserve">t</t>
        </is>
      </c>
    </row>
    <row r="5516">
      <c r="A5516" s="243" t="inlineStr">
        <is>
          <t xml:space="preserve">10TH FLR</t>
        </is>
      </c>
      <c r="B5516" s="243" t="inlineStr">
        <is>
          <t xml:space="preserve">R</t>
        </is>
      </c>
      <c r="C5516" s="244" t="inlineStr">
        <is>
          <t xml:space="preserve">20mm diameter in columns</t>
        </is>
      </c>
      <c r="I5516" s="245" t="inlineStr">
        <is>
          <t xml:space="preserve">t</t>
        </is>
      </c>
      <c r="K5516" s="256" t="inlineStr">
        <is>
          <t xml:space="preserve">'10TH FLR   '!C65</t>
        </is>
      </c>
    </row>
    <row r="5517">
      <c r="C5517" s="246" t="inlineStr">
        <is>
          <t xml:space="preserve">Tenth floor (+34000) - Columns, Y20 (from reinforcement take-off / BBS)</t>
        </is>
      </c>
      <c r="H5517" s="247">
        <v>4.084</v>
      </c>
      <c r="J5517" s="253" t="inlineStr">
        <is>
          <t xml:space="preserve">4.084</t>
        </is>
      </c>
    </row>
    <row r="5518">
      <c r="C5518" s="250" t="inlineStr">
        <is>
          <t xml:space="preserve">Total carried to BOQ  10TH FLR item R</t>
        </is>
      </c>
      <c r="D5518" s="250" t="inlineStr">
        <is>
          <t xml:space="preserve"/>
        </is>
      </c>
      <c r="E5518" s="250" t="inlineStr">
        <is>
          <t xml:space="preserve"/>
        </is>
      </c>
      <c r="F5518" s="250" t="inlineStr">
        <is>
          <t xml:space="preserve"/>
        </is>
      </c>
      <c r="G5518" s="250" t="inlineStr">
        <is>
          <t xml:space="preserve"/>
        </is>
      </c>
      <c r="H5518" s="251">
        <f>SUM(H5517:H5517)</f>
        <v>4.084</v>
      </c>
      <c r="I5518" s="252" t="inlineStr">
        <is>
          <t xml:space="preserve">t</t>
        </is>
      </c>
    </row>
    <row r="5519">
      <c r="A5519" s="243" t="inlineStr">
        <is>
          <t xml:space="preserve">10TH FLR</t>
        </is>
      </c>
      <c r="B5519" s="243" t="inlineStr">
        <is>
          <t xml:space="preserve">S</t>
        </is>
      </c>
      <c r="C5519" s="244" t="inlineStr">
        <is>
          <t xml:space="preserve">10mm diameter in beams (links)</t>
        </is>
      </c>
      <c r="I5519" s="245" t="inlineStr">
        <is>
          <t xml:space="preserve">t</t>
        </is>
      </c>
      <c r="K5519" s="256" t="inlineStr">
        <is>
          <t xml:space="preserve">'10TH FLR   '!C67</t>
        </is>
      </c>
    </row>
    <row r="5520">
      <c r="C5520" s="246" t="inlineStr">
        <is>
          <t xml:space="preserve">Tenth floor (+34000) - Beams, Y10 (from reinforcement take-off / BBS)</t>
        </is>
      </c>
      <c r="H5520" s="247">
        <v>1.226</v>
      </c>
      <c r="J5520" s="253" t="inlineStr">
        <is>
          <t xml:space="preserve">1.226</t>
        </is>
      </c>
    </row>
    <row r="5521">
      <c r="C5521" s="250" t="inlineStr">
        <is>
          <t xml:space="preserve">Total carried to BOQ  10TH FLR item S</t>
        </is>
      </c>
      <c r="D5521" s="250" t="inlineStr">
        <is>
          <t xml:space="preserve"/>
        </is>
      </c>
      <c r="E5521" s="250" t="inlineStr">
        <is>
          <t xml:space="preserve"/>
        </is>
      </c>
      <c r="F5521" s="250" t="inlineStr">
        <is>
          <t xml:space="preserve"/>
        </is>
      </c>
      <c r="G5521" s="250" t="inlineStr">
        <is>
          <t xml:space="preserve"/>
        </is>
      </c>
      <c r="H5521" s="251">
        <f>SUM(H5520:H5520)</f>
        <v>1.226</v>
      </c>
      <c r="I5521" s="252" t="inlineStr">
        <is>
          <t xml:space="preserve">t</t>
        </is>
      </c>
    </row>
    <row r="5522">
      <c r="A5522" s="243" t="inlineStr">
        <is>
          <t xml:space="preserve">10TH FLR</t>
        </is>
      </c>
      <c r="B5522" s="243" t="inlineStr">
        <is>
          <t xml:space="preserve">T</t>
        </is>
      </c>
      <c r="C5522" s="244" t="inlineStr">
        <is>
          <t xml:space="preserve">16mm diameter in beams</t>
        </is>
      </c>
      <c r="I5522" s="245" t="inlineStr">
        <is>
          <t xml:space="preserve">t</t>
        </is>
      </c>
      <c r="K5522" s="256" t="inlineStr">
        <is>
          <t xml:space="preserve">'10TH FLR   '!C69</t>
        </is>
      </c>
    </row>
    <row r="5523">
      <c r="C5523" s="246" t="inlineStr">
        <is>
          <t xml:space="preserve">Tenth floor (+34000) - Beams, Y16 (from reinforcement take-off / BBS)</t>
        </is>
      </c>
      <c r="H5523" s="247">
        <v>1.219</v>
      </c>
      <c r="J5523" s="253" t="inlineStr">
        <is>
          <t xml:space="preserve">1.219</t>
        </is>
      </c>
    </row>
    <row r="5524">
      <c r="C5524" s="250" t="inlineStr">
        <is>
          <t xml:space="preserve">Total carried to BOQ  10TH FLR item T</t>
        </is>
      </c>
      <c r="D5524" s="250" t="inlineStr">
        <is>
          <t xml:space="preserve"/>
        </is>
      </c>
      <c r="E5524" s="250" t="inlineStr">
        <is>
          <t xml:space="preserve"/>
        </is>
      </c>
      <c r="F5524" s="250" t="inlineStr">
        <is>
          <t xml:space="preserve"/>
        </is>
      </c>
      <c r="G5524" s="250" t="inlineStr">
        <is>
          <t xml:space="preserve"/>
        </is>
      </c>
      <c r="H5524" s="251">
        <f>SUM(H5523:H5523)</f>
        <v>1.219</v>
      </c>
      <c r="I5524" s="252" t="inlineStr">
        <is>
          <t xml:space="preserve">t</t>
        </is>
      </c>
    </row>
    <row r="5525">
      <c r="A5525" s="243" t="inlineStr">
        <is>
          <t xml:space="preserve">10TH FLR</t>
        </is>
      </c>
      <c r="B5525" s="243" t="inlineStr">
        <is>
          <t xml:space="preserve">U</t>
        </is>
      </c>
      <c r="C5525" s="244" t="inlineStr">
        <is>
          <t xml:space="preserve">20mm diameter in beams</t>
        </is>
      </c>
      <c r="I5525" s="245" t="inlineStr">
        <is>
          <t xml:space="preserve">t</t>
        </is>
      </c>
      <c r="K5525" s="256" t="inlineStr">
        <is>
          <t xml:space="preserve">'10TH FLR   '!C71</t>
        </is>
      </c>
    </row>
    <row r="5526">
      <c r="C5526" s="246" t="inlineStr">
        <is>
          <t xml:space="preserve">Tenth floor (+34000) - Beams, Y20 (from reinforcement take-off / BBS)</t>
        </is>
      </c>
      <c r="H5526" s="247">
        <v>0.81</v>
      </c>
      <c r="J5526" s="253" t="inlineStr">
        <is>
          <t xml:space="preserve">0.810</t>
        </is>
      </c>
    </row>
    <row r="5527">
      <c r="C5527" s="250" t="inlineStr">
        <is>
          <t xml:space="preserve">Total carried to BOQ  10TH FLR item U</t>
        </is>
      </c>
      <c r="D5527" s="250" t="inlineStr">
        <is>
          <t xml:space="preserve"/>
        </is>
      </c>
      <c r="E5527" s="250" t="inlineStr">
        <is>
          <t xml:space="preserve"/>
        </is>
      </c>
      <c r="F5527" s="250" t="inlineStr">
        <is>
          <t xml:space="preserve"/>
        </is>
      </c>
      <c r="G5527" s="250" t="inlineStr">
        <is>
          <t xml:space="preserve"/>
        </is>
      </c>
      <c r="H5527" s="251">
        <f>SUM(H5526:H5526)</f>
        <v>0.81</v>
      </c>
      <c r="I5527" s="252" t="inlineStr">
        <is>
          <t xml:space="preserve">t</t>
        </is>
      </c>
    </row>
    <row r="5528">
      <c r="A5528" s="243" t="inlineStr">
        <is>
          <t xml:space="preserve">10TH FLR</t>
        </is>
      </c>
      <c r="B5528" s="243" t="inlineStr">
        <is>
          <t xml:space="preserve">V</t>
        </is>
      </c>
      <c r="C5528" s="244" t="inlineStr">
        <is>
          <t xml:space="preserve">25mm diameter in beams</t>
        </is>
      </c>
      <c r="I5528" s="245" t="inlineStr">
        <is>
          <t xml:space="preserve">t</t>
        </is>
      </c>
      <c r="K5528" s="256" t="inlineStr">
        <is>
          <t xml:space="preserve">'10TH FLR   '!C73</t>
        </is>
      </c>
    </row>
    <row r="5529">
      <c r="C5529" s="246" t="inlineStr">
        <is>
          <t xml:space="preserve">Tenth floor (+34000) - Beams, Y25 (from reinforcement take-off / BBS)</t>
        </is>
      </c>
      <c r="H5529" s="247">
        <v>4.057</v>
      </c>
      <c r="J5529" s="253" t="inlineStr">
        <is>
          <t xml:space="preserve">4.057</t>
        </is>
      </c>
    </row>
    <row r="5530">
      <c r="C5530" s="250" t="inlineStr">
        <is>
          <t xml:space="preserve">Total carried to BOQ  10TH FLR item V</t>
        </is>
      </c>
      <c r="D5530" s="250" t="inlineStr">
        <is>
          <t xml:space="preserve"/>
        </is>
      </c>
      <c r="E5530" s="250" t="inlineStr">
        <is>
          <t xml:space="preserve"/>
        </is>
      </c>
      <c r="F5530" s="250" t="inlineStr">
        <is>
          <t xml:space="preserve"/>
        </is>
      </c>
      <c r="G5530" s="250" t="inlineStr">
        <is>
          <t xml:space="preserve"/>
        </is>
      </c>
      <c r="H5530" s="251">
        <f>SUM(H5529:H5529)</f>
        <v>4.057</v>
      </c>
      <c r="I5530" s="252" t="inlineStr">
        <is>
          <t xml:space="preserve">t</t>
        </is>
      </c>
    </row>
    <row r="5531">
      <c r="A5531" s="243" t="inlineStr">
        <is>
          <t xml:space="preserve">10TH FLR</t>
        </is>
      </c>
      <c r="B5531" s="243" t="inlineStr">
        <is>
          <t xml:space="preserve">W</t>
        </is>
      </c>
      <c r="C5531" s="244" t="inlineStr">
        <is>
          <t xml:space="preserve">10mm diameter in shear &amp; lift walls (links)</t>
        </is>
      </c>
      <c r="I5531" s="245" t="inlineStr">
        <is>
          <t xml:space="preserve">t</t>
        </is>
      </c>
      <c r="K5531" s="256" t="inlineStr">
        <is>
          <t xml:space="preserve">'10TH FLR   '!C75</t>
        </is>
      </c>
    </row>
    <row r="5532">
      <c r="C5532" s="246" t="inlineStr">
        <is>
          <t xml:space="preserve">Tenth floor (+34000) - Shear Walls, Y10 (from reinforcement take-off / BBS)</t>
        </is>
      </c>
      <c r="H5532" s="247">
        <v>1.442</v>
      </c>
      <c r="J5532" s="253" t="inlineStr">
        <is>
          <t xml:space="preserve">1.442</t>
        </is>
      </c>
    </row>
    <row r="5533">
      <c r="C5533" s="246" t="inlineStr">
        <is>
          <t xml:space="preserve">Tenth floor (+34000) - Lift Walls, Y10 (from reinforcement take-off / BBS)</t>
        </is>
      </c>
      <c r="H5533" s="247">
        <v>0.636</v>
      </c>
      <c r="J5533" s="253" t="inlineStr">
        <is>
          <t xml:space="preserve">0.636</t>
        </is>
      </c>
    </row>
    <row r="5534">
      <c r="C5534" s="250" t="inlineStr">
        <is>
          <t xml:space="preserve">Total carried to BOQ  10TH FLR item W</t>
        </is>
      </c>
      <c r="D5534" s="250" t="inlineStr">
        <is>
          <t xml:space="preserve"/>
        </is>
      </c>
      <c r="E5534" s="250" t="inlineStr">
        <is>
          <t xml:space="preserve"/>
        </is>
      </c>
      <c r="F5534" s="250" t="inlineStr">
        <is>
          <t xml:space="preserve"/>
        </is>
      </c>
      <c r="G5534" s="250" t="inlineStr">
        <is>
          <t xml:space="preserve"/>
        </is>
      </c>
      <c r="H5534" s="251">
        <f>SUM(H5532:H5533)</f>
        <v>2.078</v>
      </c>
      <c r="I5534" s="252" t="inlineStr">
        <is>
          <t xml:space="preserve">t</t>
        </is>
      </c>
    </row>
    <row r="5535">
      <c r="A5535" s="243" t="inlineStr">
        <is>
          <t xml:space="preserve">10TH FLR</t>
        </is>
      </c>
      <c r="B5535" s="243" t="inlineStr">
        <is>
          <t xml:space="preserve">X</t>
        </is>
      </c>
      <c r="C5535" s="244" t="inlineStr">
        <is>
          <t xml:space="preserve">12mm diameter in shear, lift &amp; ramp walls</t>
        </is>
      </c>
      <c r="I5535" s="245" t="inlineStr">
        <is>
          <t xml:space="preserve">t</t>
        </is>
      </c>
      <c r="K5535" s="256" t="inlineStr">
        <is>
          <t xml:space="preserve">'10TH FLR   '!C77</t>
        </is>
      </c>
    </row>
    <row r="5536">
      <c r="C5536" s="246" t="inlineStr">
        <is>
          <t xml:space="preserve">Tenth floor (+34000) - Shear Walls, Y12 (from reinforcement take-off / BBS)</t>
        </is>
      </c>
      <c r="H5536" s="247">
        <v>1.917</v>
      </c>
      <c r="J5536" s="253" t="inlineStr">
        <is>
          <t xml:space="preserve">1.917</t>
        </is>
      </c>
    </row>
    <row r="5537">
      <c r="C5537" s="246" t="inlineStr">
        <is>
          <t xml:space="preserve">Tenth floor (+34000) - Lift Walls, Y12 (from reinforcement take-off / BBS)</t>
        </is>
      </c>
      <c r="H5537" s="247">
        <v>0.866</v>
      </c>
      <c r="J5537" s="253" t="inlineStr">
        <is>
          <t xml:space="preserve">0.866</t>
        </is>
      </c>
    </row>
    <row r="5538">
      <c r="C5538" s="250" t="inlineStr">
        <is>
          <t xml:space="preserve">Total carried to BOQ  10TH FLR item X</t>
        </is>
      </c>
      <c r="D5538" s="250" t="inlineStr">
        <is>
          <t xml:space="preserve"/>
        </is>
      </c>
      <c r="E5538" s="250" t="inlineStr">
        <is>
          <t xml:space="preserve"/>
        </is>
      </c>
      <c r="F5538" s="250" t="inlineStr">
        <is>
          <t xml:space="preserve"/>
        </is>
      </c>
      <c r="G5538" s="250" t="inlineStr">
        <is>
          <t xml:space="preserve"/>
        </is>
      </c>
      <c r="H5538" s="251">
        <f>SUM(H5536:H5537)</f>
        <v>2.783</v>
      </c>
      <c r="I5538" s="252" t="inlineStr">
        <is>
          <t xml:space="preserve">t</t>
        </is>
      </c>
    </row>
    <row r="5539">
      <c r="A5539" s="243" t="inlineStr">
        <is>
          <t xml:space="preserve">10TH FLR</t>
        </is>
      </c>
      <c r="B5539" s="243" t="inlineStr">
        <is>
          <t xml:space="preserve">Y</t>
        </is>
      </c>
      <c r="C5539" s="244" t="inlineStr">
        <is>
          <t xml:space="preserve">20mm diameter in shear &amp; lift walls</t>
        </is>
      </c>
      <c r="I5539" s="245" t="inlineStr">
        <is>
          <t xml:space="preserve">t</t>
        </is>
      </c>
      <c r="K5539" s="256" t="inlineStr">
        <is>
          <t xml:space="preserve">'10TH FLR   '!C79</t>
        </is>
      </c>
    </row>
    <row r="5540">
      <c r="C5540" s="246" t="inlineStr">
        <is>
          <t xml:space="preserve">Tenth floor (+34000) - Shear Walls, Y20 (from reinforcement take-off / BBS)</t>
        </is>
      </c>
      <c r="H5540" s="247">
        <v>6.904</v>
      </c>
      <c r="J5540" s="253" t="inlineStr">
        <is>
          <t xml:space="preserve">6.904</t>
        </is>
      </c>
    </row>
    <row r="5541">
      <c r="C5541" s="246" t="inlineStr">
        <is>
          <t xml:space="preserve">Tenth floor (+34000) - Lift Walls, Y20 (from reinforcement take-off / BBS)</t>
        </is>
      </c>
      <c r="H5541" s="247">
        <v>3.32</v>
      </c>
      <c r="J5541" s="253" t="inlineStr">
        <is>
          <t xml:space="preserve">3.320</t>
        </is>
      </c>
    </row>
    <row r="5542">
      <c r="C5542" s="250" t="inlineStr">
        <is>
          <t xml:space="preserve">Total carried to BOQ  10TH FLR item Y</t>
        </is>
      </c>
      <c r="D5542" s="250" t="inlineStr">
        <is>
          <t xml:space="preserve"/>
        </is>
      </c>
      <c r="E5542" s="250" t="inlineStr">
        <is>
          <t xml:space="preserve"/>
        </is>
      </c>
      <c r="F5542" s="250" t="inlineStr">
        <is>
          <t xml:space="preserve"/>
        </is>
      </c>
      <c r="G5542" s="250" t="inlineStr">
        <is>
          <t xml:space="preserve"/>
        </is>
      </c>
      <c r="H5542" s="251">
        <f>SUM(H5540:H5541)</f>
        <v>10.224</v>
      </c>
      <c r="I5542" s="252" t="inlineStr">
        <is>
          <t xml:space="preserve">t</t>
        </is>
      </c>
    </row>
    <row r="5543">
      <c r="A5543" s="243" t="inlineStr">
        <is>
          <t xml:space="preserve">10TH FLR</t>
        </is>
      </c>
      <c r="B5543" s="243" t="inlineStr">
        <is>
          <t xml:space="preserve">Z</t>
        </is>
      </c>
      <c r="C5543" s="244" t="inlineStr">
        <is>
          <t xml:space="preserve">12mm diameter in stairs</t>
        </is>
      </c>
      <c r="I5543" s="245" t="inlineStr">
        <is>
          <t xml:space="preserve">t</t>
        </is>
      </c>
      <c r="K5543" s="256" t="inlineStr">
        <is>
          <t xml:space="preserve">'10TH FLR   '!C81</t>
        </is>
      </c>
    </row>
    <row r="5544">
      <c r="C5544" s="246" t="inlineStr">
        <is>
          <t xml:space="preserve">Tenth floor (+34000) - Staircases, Y12 (from reinforcement take-off / BBS)</t>
        </is>
      </c>
      <c r="H5544" s="247">
        <v>0.88</v>
      </c>
      <c r="J5544" s="253" t="inlineStr">
        <is>
          <t xml:space="preserve">0.880</t>
        </is>
      </c>
    </row>
    <row r="5545">
      <c r="C5545" s="250" t="inlineStr">
        <is>
          <t xml:space="preserve">Total carried to BOQ  10TH FLR item Z</t>
        </is>
      </c>
      <c r="D5545" s="250" t="inlineStr">
        <is>
          <t xml:space="preserve"/>
        </is>
      </c>
      <c r="E5545" s="250" t="inlineStr">
        <is>
          <t xml:space="preserve"/>
        </is>
      </c>
      <c r="F5545" s="250" t="inlineStr">
        <is>
          <t xml:space="preserve"/>
        </is>
      </c>
      <c r="G5545" s="250" t="inlineStr">
        <is>
          <t xml:space="preserve"/>
        </is>
      </c>
      <c r="H5545" s="251">
        <f>SUM(H5544:H5544)</f>
        <v>0.88</v>
      </c>
      <c r="I5545" s="252" t="inlineStr">
        <is>
          <t xml:space="preserve">t</t>
        </is>
      </c>
    </row>
    <row r="5546">
      <c r="A5546" s="243" t="inlineStr">
        <is>
          <t xml:space="preserve">10TH FLR</t>
        </is>
      </c>
      <c r="B5546" s="243" t="inlineStr">
        <is>
          <t xml:space="preserve">A</t>
        </is>
      </c>
      <c r="C5546" s="244" t="inlineStr">
        <is>
          <t xml:space="preserve">16mm diameter in stairs</t>
        </is>
      </c>
      <c r="I5546" s="245" t="inlineStr">
        <is>
          <t xml:space="preserve">t</t>
        </is>
      </c>
      <c r="K5546" s="256" t="inlineStr">
        <is>
          <t xml:space="preserve">'10TH FLR   '!C83</t>
        </is>
      </c>
    </row>
    <row r="5547">
      <c r="C5547" s="246" t="inlineStr">
        <is>
          <t xml:space="preserve">Tenth floor (+34000) - Staircases, Y16 (from reinforcement take-off / BBS)</t>
        </is>
      </c>
      <c r="H5547" s="247">
        <v>1.434</v>
      </c>
      <c r="J5547" s="253" t="inlineStr">
        <is>
          <t xml:space="preserve">1.434</t>
        </is>
      </c>
    </row>
    <row r="5548">
      <c r="C5548" s="250" t="inlineStr">
        <is>
          <t xml:space="preserve">Total carried to BOQ  10TH FLR item A</t>
        </is>
      </c>
      <c r="D5548" s="250" t="inlineStr">
        <is>
          <t xml:space="preserve"/>
        </is>
      </c>
      <c r="E5548" s="250" t="inlineStr">
        <is>
          <t xml:space="preserve"/>
        </is>
      </c>
      <c r="F5548" s="250" t="inlineStr">
        <is>
          <t xml:space="preserve"/>
        </is>
      </c>
      <c r="G5548" s="250" t="inlineStr">
        <is>
          <t xml:space="preserve"/>
        </is>
      </c>
      <c r="H5548" s="251">
        <f>SUM(H5547:H5547)</f>
        <v>1.434</v>
      </c>
      <c r="I5548" s="252" t="inlineStr">
        <is>
          <t xml:space="preserve">t</t>
        </is>
      </c>
    </row>
    <row r="5549">
      <c r="A5549" s="243" t="inlineStr">
        <is>
          <t xml:space="preserve">10TH FLR</t>
        </is>
      </c>
      <c r="B5549" s="243" t="inlineStr">
        <is>
          <t xml:space="preserve">B</t>
        </is>
      </c>
      <c r="C5549" s="244" t="inlineStr">
        <is>
          <t xml:space="preserve">12mm diameter for suspended slab</t>
        </is>
      </c>
      <c r="I5549" s="245" t="inlineStr">
        <is>
          <t xml:space="preserve">t</t>
        </is>
      </c>
      <c r="K5549" s="256" t="inlineStr">
        <is>
          <t xml:space="preserve">'10TH FLR   '!C85</t>
        </is>
      </c>
    </row>
    <row r="5550">
      <c r="C5550" s="246" t="inlineStr">
        <is>
          <t xml:space="preserve">Tenth floor (+34000) - Floor Slabs, Y12 (from reinforcement take-off / BBS)</t>
        </is>
      </c>
      <c r="H5550" s="247">
        <v>36.276</v>
      </c>
      <c r="J5550" s="253" t="inlineStr">
        <is>
          <t xml:space="preserve">36.276</t>
        </is>
      </c>
    </row>
    <row r="5551">
      <c r="C5551" s="250" t="inlineStr">
        <is>
          <t xml:space="preserve">Total carried to BOQ  10TH FLR item B</t>
        </is>
      </c>
      <c r="D5551" s="250" t="inlineStr">
        <is>
          <t xml:space="preserve"/>
        </is>
      </c>
      <c r="E5551" s="250" t="inlineStr">
        <is>
          <t xml:space="preserve"/>
        </is>
      </c>
      <c r="F5551" s="250" t="inlineStr">
        <is>
          <t xml:space="preserve"/>
        </is>
      </c>
      <c r="G5551" s="250" t="inlineStr">
        <is>
          <t xml:space="preserve"/>
        </is>
      </c>
      <c r="H5551" s="251">
        <f>SUM(H5550:H5550)</f>
        <v>36.276</v>
      </c>
      <c r="I5551" s="252" t="inlineStr">
        <is>
          <t xml:space="preserve">t</t>
        </is>
      </c>
    </row>
    <row r="5552">
      <c r="A5552" s="243" t="inlineStr">
        <is>
          <t xml:space="preserve">10TH FLR</t>
        </is>
      </c>
      <c r="B5552" s="243" t="inlineStr">
        <is>
          <t xml:space="preserve">C</t>
        </is>
      </c>
      <c r="C5552" s="244" t="inlineStr">
        <is>
          <t xml:space="preserve">16mm diameter for suspended slab</t>
        </is>
      </c>
      <c r="I5552" s="245" t="inlineStr">
        <is>
          <t xml:space="preserve">t</t>
        </is>
      </c>
      <c r="K5552" s="256" t="inlineStr">
        <is>
          <t xml:space="preserve">'10TH FLR   '!C87</t>
        </is>
      </c>
    </row>
    <row r="5553">
      <c r="C5553" s="246" t="inlineStr">
        <is>
          <t xml:space="preserve">Tenth floor (+34000) - Floor Slabs, Y16 (from reinforcement take-off / BBS)</t>
        </is>
      </c>
      <c r="H5553" s="247">
        <v>0.148</v>
      </c>
      <c r="J5553" s="253" t="inlineStr">
        <is>
          <t xml:space="preserve">0.148</t>
        </is>
      </c>
    </row>
    <row r="5554">
      <c r="C5554" s="250" t="inlineStr">
        <is>
          <t xml:space="preserve">Total carried to BOQ  10TH FLR item C</t>
        </is>
      </c>
      <c r="D5554" s="250" t="inlineStr">
        <is>
          <t xml:space="preserve"/>
        </is>
      </c>
      <c r="E5554" s="250" t="inlineStr">
        <is>
          <t xml:space="preserve"/>
        </is>
      </c>
      <c r="F5554" s="250" t="inlineStr">
        <is>
          <t xml:space="preserve"/>
        </is>
      </c>
      <c r="G5554" s="250" t="inlineStr">
        <is>
          <t xml:space="preserve"/>
        </is>
      </c>
      <c r="H5554" s="251">
        <f>SUM(H5553:H5553)</f>
        <v>0.148</v>
      </c>
      <c r="I5554" s="252" t="inlineStr">
        <is>
          <t xml:space="preserve">t</t>
        </is>
      </c>
    </row>
    <row r="5555">
      <c r="C5555" s="242" t="inlineStr">
        <is>
          <t xml:space="preserve">ELEMENT NO. 2: MASONRY</t>
        </is>
      </c>
    </row>
    <row r="5556">
      <c r="C5556" s="242" t="inlineStr">
        <is>
          <t xml:space="preserve">F10 BRICK/BLOCK WALL - Solid sandcrete blockwork in cement and sand (1:4) mortar as described in:</t>
        </is>
      </c>
    </row>
    <row r="5557">
      <c r="A5557" s="243" t="inlineStr">
        <is>
          <t xml:space="preserve">10TH FLR</t>
        </is>
      </c>
      <c r="B5557" s="243" t="inlineStr">
        <is>
          <t xml:space="preserve">A</t>
        </is>
      </c>
      <c r="C5557" s="244" t="inlineStr">
        <is>
          <t xml:space="preserve">150mm thick wall</t>
        </is>
      </c>
      <c r="I5557" s="245" t="inlineStr">
        <is>
          <t xml:space="preserve">m2</t>
        </is>
      </c>
      <c r="K5557" s="256" t="inlineStr">
        <is>
          <t xml:space="preserve">'10TH FLR   '!C96</t>
        </is>
      </c>
    </row>
    <row r="5558">
      <c r="C5558" s="246" t="inlineStr">
        <is>
          <t xml:space="preserve">Tenth floor - 150 blockwork: wall length x storey ht</t>
        </is>
      </c>
      <c r="E5558" s="247">
        <v>354.0</v>
      </c>
      <c r="F5558" s="247">
        <v>3.05</v>
      </c>
      <c r="H5558" s="249">
        <f>PRODUCT(D5558:G5558)</f>
        <v>1079.7</v>
      </c>
      <c r="J5558" s="253" t="inlineStr">
        <is>
          <t xml:space="preserve">354.0*3.05</t>
        </is>
      </c>
    </row>
    <row r="5559">
      <c r="C5559" s="246" t="inlineStr">
        <is>
          <t xml:space="preserve">Walling over opening D2 (6 nr, 1x2.2): nr x width x (3.05 - opening ht) x thickness share</t>
        </is>
      </c>
      <c r="D5559" s="248">
        <v>6</v>
      </c>
      <c r="E5559" s="247">
        <v>1</v>
      </c>
      <c r="F5559" s="247">
        <f>3.05-2.2</f>
        <v>0.8499999999999996</v>
      </c>
      <c r="G5559" s="247">
        <v>0.919</v>
      </c>
      <c r="H5559" s="249">
        <f>PRODUCT(D5559:G5559)</f>
        <v>4.686899999999998</v>
      </c>
      <c r="J5559" s="253" t="inlineStr">
        <is>
          <t xml:space="preserve">6*1*(3.05-2.2)*0.919</t>
        </is>
      </c>
    </row>
    <row r="5560">
      <c r="C5560" s="246" t="inlineStr">
        <is>
          <t xml:space="preserve">Walling over opening D3 (11 nr, 0.9x2.2): nr x width x (3.05 - opening ht) x thickness share</t>
        </is>
      </c>
      <c r="D5560" s="248">
        <v>11</v>
      </c>
      <c r="E5560" s="247">
        <v>0.9</v>
      </c>
      <c r="F5560" s="247">
        <f>3.05-2.2</f>
        <v>0.8499999999999996</v>
      </c>
      <c r="G5560" s="247">
        <v>0.919</v>
      </c>
      <c r="H5560" s="249">
        <f>PRODUCT(D5560:G5560)</f>
        <v>7.7333849999999975</v>
      </c>
      <c r="J5560" s="253" t="inlineStr">
        <is>
          <t xml:space="preserve">11*0.9*(3.05-2.2)*0.919</t>
        </is>
      </c>
    </row>
    <row r="5561">
      <c r="C5561" s="246" t="inlineStr">
        <is>
          <t xml:space="preserve">Walling over opening D6 (16 nr, 0.75x2.2): nr x width x (3.05 - opening ht) x thickness share</t>
        </is>
      </c>
      <c r="D5561" s="248">
        <v>16</v>
      </c>
      <c r="E5561" s="247">
        <v>0.75</v>
      </c>
      <c r="F5561" s="247">
        <f>3.05-2.2</f>
        <v>0.8499999999999996</v>
      </c>
      <c r="G5561" s="247">
        <v>0.919</v>
      </c>
      <c r="H5561" s="249">
        <f>PRODUCT(D5561:G5561)</f>
        <v>9.373799999999996</v>
      </c>
      <c r="J5561" s="253" t="inlineStr">
        <is>
          <t xml:space="preserve">16*0.75*(3.05-2.2)*0.919</t>
        </is>
      </c>
    </row>
    <row r="5562">
      <c r="C5562" s="246" t="inlineStr">
        <is>
          <t xml:space="preserve">Walling over opening D7 (1 nr, 0.7x2.2): nr x width x (3.05 - opening ht) x thickness share</t>
        </is>
      </c>
      <c r="D5562" s="248">
        <v>1</v>
      </c>
      <c r="E5562" s="247">
        <v>0.7</v>
      </c>
      <c r="F5562" s="247">
        <f>3.05-2.2</f>
        <v>0.8499999999999996</v>
      </c>
      <c r="G5562" s="247">
        <v>0.919</v>
      </c>
      <c r="H5562" s="249">
        <f>PRODUCT(D5562:G5562)</f>
        <v>0.5468049999999998</v>
      </c>
      <c r="J5562" s="253" t="inlineStr">
        <is>
          <t xml:space="preserve">1*0.7*(3.05-2.2)*0.919</t>
        </is>
      </c>
    </row>
    <row r="5563">
      <c r="C5563" s="246" t="inlineStr">
        <is>
          <t xml:space="preserve">Walling over opening D8 (2 nr, 1.2x2.2): nr x width x (3.05 - opening ht) x thickness share</t>
        </is>
      </c>
      <c r="D5563" s="248">
        <v>2</v>
      </c>
      <c r="E5563" s="247">
        <v>1.2</v>
      </c>
      <c r="F5563" s="247">
        <f>3.05-2.2</f>
        <v>0.8499999999999996</v>
      </c>
      <c r="G5563" s="247">
        <v>0.919</v>
      </c>
      <c r="H5563" s="249">
        <f>PRODUCT(D5563:G5563)</f>
        <v>1.8747599999999993</v>
      </c>
      <c r="J5563" s="253" t="inlineStr">
        <is>
          <t xml:space="preserve">2*1.2*(3.05-2.2)*0.919</t>
        </is>
      </c>
    </row>
    <row r="5564">
      <c r="C5564" s="246" t="inlineStr">
        <is>
          <t xml:space="preserve">Walling over opening ED1 (2 nr, 1x2.2): nr x width x (3.05 - opening ht) x thickness share</t>
        </is>
      </c>
      <c r="D5564" s="248">
        <v>2</v>
      </c>
      <c r="E5564" s="247">
        <v>1</v>
      </c>
      <c r="F5564" s="247">
        <f>3.05-2.2</f>
        <v>0.8499999999999996</v>
      </c>
      <c r="G5564" s="247">
        <v>0.919</v>
      </c>
      <c r="H5564" s="249">
        <f>PRODUCT(D5564:G5564)</f>
        <v>1.5622999999999994</v>
      </c>
      <c r="J5564" s="253" t="inlineStr">
        <is>
          <t xml:space="preserve">2*1*(3.05-2.2)*0.919</t>
        </is>
      </c>
    </row>
    <row r="5565">
      <c r="C5565" s="246" t="inlineStr">
        <is>
          <t xml:space="preserve">Walling over opening ED2 (2 nr, 1x2.2): nr x width x (3.05 - opening ht) x thickness share</t>
        </is>
      </c>
      <c r="D5565" s="248">
        <v>2</v>
      </c>
      <c r="E5565" s="247">
        <v>1</v>
      </c>
      <c r="F5565" s="247">
        <f>3.05-2.2</f>
        <v>0.8499999999999996</v>
      </c>
      <c r="G5565" s="247">
        <v>0.919</v>
      </c>
      <c r="H5565" s="249">
        <f>PRODUCT(D5565:G5565)</f>
        <v>1.5622999999999994</v>
      </c>
      <c r="J5565" s="253" t="inlineStr">
        <is>
          <t xml:space="preserve">2*1*(3.05-2.2)*0.919</t>
        </is>
      </c>
    </row>
    <row r="5566">
      <c r="C5566" s="246" t="inlineStr">
        <is>
          <t xml:space="preserve">Walling over opening D9 (1 nr, 0.9x2.2): nr x width x (3.05 - opening ht) x thickness share</t>
        </is>
      </c>
      <c r="D5566" s="248">
        <v>1</v>
      </c>
      <c r="E5566" s="247">
        <v>0.9</v>
      </c>
      <c r="F5566" s="247">
        <f>3.05-2.2</f>
        <v>0.8499999999999996</v>
      </c>
      <c r="G5566" s="247">
        <v>0.919</v>
      </c>
      <c r="H5566" s="249">
        <f>PRODUCT(D5566:G5566)</f>
        <v>0.7030349999999997</v>
      </c>
      <c r="J5566" s="253" t="inlineStr">
        <is>
          <t xml:space="preserve">1*0.9*(3.05-2.2)*0.919</t>
        </is>
      </c>
    </row>
    <row r="5567">
      <c r="C5567" s="246" t="inlineStr">
        <is>
          <t xml:space="preserve">Walling over opening FD1 (1 nr, 1.5x2.2): nr x width x (3.05 - opening ht) x thickness share</t>
        </is>
      </c>
      <c r="D5567" s="248">
        <v>1</v>
      </c>
      <c r="E5567" s="247">
        <v>1.5</v>
      </c>
      <c r="F5567" s="247">
        <f>3.05-2.2</f>
        <v>0.8499999999999996</v>
      </c>
      <c r="G5567" s="247">
        <v>0.919</v>
      </c>
      <c r="H5567" s="249">
        <f>PRODUCT(D5567:G5567)</f>
        <v>1.1717249999999995</v>
      </c>
      <c r="J5567" s="253" t="inlineStr">
        <is>
          <t xml:space="preserve">1*1.5*(3.05-2.2)*0.919</t>
        </is>
      </c>
    </row>
    <row r="5568">
      <c r="C5568" s="246" t="inlineStr">
        <is>
          <t xml:space="preserve">Walling over opening M1 (2 nr, 0.9x2.2): nr x width x (3.05 - opening ht) x thickness share</t>
        </is>
      </c>
      <c r="D5568" s="248">
        <v>2</v>
      </c>
      <c r="E5568" s="247">
        <v>0.9</v>
      </c>
      <c r="F5568" s="247">
        <f>3.05-2.2</f>
        <v>0.8499999999999996</v>
      </c>
      <c r="G5568" s="247">
        <v>0.919</v>
      </c>
      <c r="H5568" s="249">
        <f>PRODUCT(D5568:G5568)</f>
        <v>1.4060699999999995</v>
      </c>
      <c r="J5568" s="253" t="inlineStr">
        <is>
          <t xml:space="preserve">2*0.9*(3.05-2.2)*0.919</t>
        </is>
      </c>
    </row>
    <row r="5569">
      <c r="C5569" s="246" t="inlineStr">
        <is>
          <t xml:space="preserve">Walling over opening M2 (4 nr, 0.75x2.2): nr x width x (3.05 - opening ht) x thickness share</t>
        </is>
      </c>
      <c r="D5569" s="248">
        <v>4</v>
      </c>
      <c r="E5569" s="247">
        <v>0.75</v>
      </c>
      <c r="F5569" s="247">
        <f>3.05-2.2</f>
        <v>0.8499999999999996</v>
      </c>
      <c r="G5569" s="247">
        <v>0.919</v>
      </c>
      <c r="H5569" s="249">
        <f>PRODUCT(D5569:G5569)</f>
        <v>2.343449999999999</v>
      </c>
      <c r="J5569" s="253" t="inlineStr">
        <is>
          <t xml:space="preserve">4*0.75*(3.05-2.2)*0.919</t>
        </is>
      </c>
    </row>
    <row r="5570">
      <c r="C5570" s="246" t="inlineStr">
        <is>
          <t xml:space="preserve">Walling over opening M3 (1 nr, 0.45x2.2): nr x width x (3.05 - opening ht) x thickness share</t>
        </is>
      </c>
      <c r="D5570" s="248">
        <v>1</v>
      </c>
      <c r="E5570" s="247">
        <v>0.45</v>
      </c>
      <c r="F5570" s="247">
        <f>3.05-2.2</f>
        <v>0.8499999999999996</v>
      </c>
      <c r="G5570" s="247">
        <v>0.919</v>
      </c>
      <c r="H5570" s="249">
        <f>PRODUCT(D5570:G5570)</f>
        <v>0.35151749999999987</v>
      </c>
      <c r="J5570" s="253" t="inlineStr">
        <is>
          <t xml:space="preserve">1*0.45*(3.05-2.2)*0.919</t>
        </is>
      </c>
    </row>
    <row r="5571">
      <c r="C5571" s="246" t="inlineStr">
        <is>
          <t xml:space="preserve">Walling over opening M5 (3 nr, 0.6x2.2): nr x width x (3.05 - opening ht) x thickness share</t>
        </is>
      </c>
      <c r="D5571" s="248">
        <v>3</v>
      </c>
      <c r="E5571" s="247">
        <v>0.6</v>
      </c>
      <c r="F5571" s="247">
        <f>3.05-2.2</f>
        <v>0.8499999999999996</v>
      </c>
      <c r="G5571" s="247">
        <v>0.919</v>
      </c>
      <c r="H5571" s="249">
        <f>PRODUCT(D5571:G5571)</f>
        <v>1.4060699999999993</v>
      </c>
      <c r="J5571" s="253" t="inlineStr">
        <is>
          <t xml:space="preserve">3*0.6*(3.05-2.2)*0.919</t>
        </is>
      </c>
    </row>
    <row r="5572">
      <c r="C5572" s="246" t="inlineStr">
        <is>
          <t xml:space="preserve">Walling over opening SD1 (1 nr, 3x2.2): nr x width x (3.05 - opening ht) x thickness share</t>
        </is>
      </c>
      <c r="D5572" s="248">
        <v>1</v>
      </c>
      <c r="E5572" s="247">
        <v>3</v>
      </c>
      <c r="F5572" s="247">
        <f>3.05-2.2</f>
        <v>0.8499999999999996</v>
      </c>
      <c r="G5572" s="247">
        <v>0.919</v>
      </c>
      <c r="H5572" s="249">
        <f>PRODUCT(D5572:G5572)</f>
        <v>2.343449999999999</v>
      </c>
      <c r="J5572" s="253" t="inlineStr">
        <is>
          <t xml:space="preserve">1*3*(3.05-2.2)*0.919</t>
        </is>
      </c>
    </row>
    <row r="5573">
      <c r="C5573" s="246" t="inlineStr">
        <is>
          <t xml:space="preserve">Walling over opening SD2 (3 nr, 1.6x2.2): nr x width x (3.05 - opening ht) x thickness share</t>
        </is>
      </c>
      <c r="D5573" s="248">
        <v>3</v>
      </c>
      <c r="E5573" s="247">
        <v>1.6</v>
      </c>
      <c r="F5573" s="247">
        <f>3.05-2.2</f>
        <v>0.8499999999999996</v>
      </c>
      <c r="G5573" s="247">
        <v>0.919</v>
      </c>
      <c r="H5573" s="249">
        <f>PRODUCT(D5573:G5573)</f>
        <v>3.7495199999999995</v>
      </c>
      <c r="J5573" s="253" t="inlineStr">
        <is>
          <t xml:space="preserve">3*1.6*(3.05-2.2)*0.919</t>
        </is>
      </c>
    </row>
    <row r="5574">
      <c r="C5574" s="246" t="inlineStr">
        <is>
          <t xml:space="preserve">Walling over opening SD3 (2 nr, 1.3x2.2): nr x width x (3.05 - opening ht) x thickness share</t>
        </is>
      </c>
      <c r="D5574" s="248">
        <v>2</v>
      </c>
      <c r="E5574" s="247">
        <v>1.3</v>
      </c>
      <c r="F5574" s="247">
        <f>3.05-2.2</f>
        <v>0.8499999999999996</v>
      </c>
      <c r="G5574" s="247">
        <v>0.919</v>
      </c>
      <c r="H5574" s="249">
        <f>PRODUCT(D5574:G5574)</f>
        <v>2.030989999999999</v>
      </c>
      <c r="J5574" s="253" t="inlineStr">
        <is>
          <t xml:space="preserve">2*1.3*(3.05-2.2)*0.919</t>
        </is>
      </c>
    </row>
    <row r="5575">
      <c r="C5575" s="246" t="inlineStr">
        <is>
          <t xml:space="preserve">Walling over opening SD4 (3 nr, 1.8x2.2): nr x width x (3.05 - opening ht) x thickness share</t>
        </is>
      </c>
      <c r="D5575" s="248">
        <v>3</v>
      </c>
      <c r="E5575" s="247">
        <v>1.8</v>
      </c>
      <c r="F5575" s="247">
        <f>3.05-2.2</f>
        <v>0.8499999999999996</v>
      </c>
      <c r="G5575" s="247">
        <v>0.919</v>
      </c>
      <c r="H5575" s="249">
        <f>PRODUCT(D5575:G5575)</f>
        <v>4.218209999999998</v>
      </c>
      <c r="J5575" s="253" t="inlineStr">
        <is>
          <t xml:space="preserve">3*1.8*(3.05-2.2)*0.919</t>
        </is>
      </c>
    </row>
    <row r="5576">
      <c r="C5576" s="246" t="inlineStr">
        <is>
          <t xml:space="preserve">Walling over opening SD5 (1 nr, 1.2x2.2): nr x width x (3.05 - opening ht) x thickness share</t>
        </is>
      </c>
      <c r="D5576" s="248">
        <v>1</v>
      </c>
      <c r="E5576" s="247">
        <v>1.2</v>
      </c>
      <c r="F5576" s="247">
        <f>3.05-2.2</f>
        <v>0.8499999999999996</v>
      </c>
      <c r="G5576" s="247">
        <v>0.919</v>
      </c>
      <c r="H5576" s="249">
        <f>PRODUCT(D5576:G5576)</f>
        <v>0.9373799999999997</v>
      </c>
      <c r="J5576" s="253" t="inlineStr">
        <is>
          <t xml:space="preserve">1*1.2*(3.05-2.2)*0.919</t>
        </is>
      </c>
    </row>
    <row r="5577">
      <c r="C5577" s="246" t="inlineStr">
        <is>
          <t xml:space="preserve">Walling over opening W2 (4 nr, 1.8x1.3): nr x width x (3.05 - opening ht) x thickness share</t>
        </is>
      </c>
      <c r="D5577" s="248">
        <v>4</v>
      </c>
      <c r="E5577" s="247">
        <v>1.8</v>
      </c>
      <c r="F5577" s="247">
        <f>3.05-1.3</f>
        <v>1.7499999999999998</v>
      </c>
      <c r="G5577" s="247">
        <v>0.919</v>
      </c>
      <c r="H5577" s="249">
        <f>PRODUCT(D5577:G5577)</f>
        <v>11.579399999999998</v>
      </c>
      <c r="J5577" s="253" t="inlineStr">
        <is>
          <t xml:space="preserve">4*1.8*(3.05-1.3)*0.919</t>
        </is>
      </c>
    </row>
    <row r="5578">
      <c r="C5578" s="246" t="inlineStr">
        <is>
          <t xml:space="preserve">Walling over opening W4 (8 nr, 0.9x1.3): nr x width x (3.05 - opening ht) x thickness share</t>
        </is>
      </c>
      <c r="D5578" s="248">
        <v>8</v>
      </c>
      <c r="E5578" s="247">
        <v>0.9</v>
      </c>
      <c r="F5578" s="247">
        <f>3.05-1.3</f>
        <v>1.7499999999999998</v>
      </c>
      <c r="G5578" s="247">
        <v>0.919</v>
      </c>
      <c r="H5578" s="249">
        <f>PRODUCT(D5578:G5578)</f>
        <v>11.579399999999998</v>
      </c>
      <c r="J5578" s="253" t="inlineStr">
        <is>
          <t xml:space="preserve">8*0.9*(3.05-1.3)*0.919</t>
        </is>
      </c>
    </row>
    <row r="5579">
      <c r="C5579" s="246" t="inlineStr">
        <is>
          <t xml:space="preserve">Walling over opening W7 (1 nr, 1.8x1.6): nr x width x (3.05 - opening ht) x thickness share</t>
        </is>
      </c>
      <c r="D5579" s="248">
        <v>1</v>
      </c>
      <c r="E5579" s="247">
        <v>1.8</v>
      </c>
      <c r="F5579" s="247">
        <f>3.05-1.6</f>
        <v>1.4499999999999997</v>
      </c>
      <c r="G5579" s="247">
        <v>0.919</v>
      </c>
      <c r="H5579" s="249">
        <f>PRODUCT(D5579:G5579)</f>
        <v>2.3985899999999996</v>
      </c>
      <c r="J5579" s="253" t="inlineStr">
        <is>
          <t xml:space="preserve">1*1.8*(3.05-1.6)*0.919</t>
        </is>
      </c>
    </row>
    <row r="5580">
      <c r="C5580" s="246" t="inlineStr">
        <is>
          <t xml:space="preserve">Walling over opening W8 (2 nr, 1.2x1.9): nr x width x (3.05 - opening ht) x thickness share</t>
        </is>
      </c>
      <c r="D5580" s="248">
        <v>2</v>
      </c>
      <c r="E5580" s="247">
        <v>1.2</v>
      </c>
      <c r="F5580" s="247">
        <f>3.05-1.9</f>
        <v>1.15</v>
      </c>
      <c r="G5580" s="247">
        <v>0.919</v>
      </c>
      <c r="H5580" s="249">
        <f>PRODUCT(D5580:G5580)</f>
        <v>2.53644</v>
      </c>
      <c r="J5580" s="253" t="inlineStr">
        <is>
          <t xml:space="preserve">2*1.2*(3.05-1.9)*0.919</t>
        </is>
      </c>
    </row>
    <row r="5581">
      <c r="C5581" s="246" t="inlineStr">
        <is>
          <t xml:space="preserve">Walling over opening W9 (6 nr, 1.2x1.15): nr x width x (3.05 - opening ht) x thickness share</t>
        </is>
      </c>
      <c r="D5581" s="248">
        <v>6</v>
      </c>
      <c r="E5581" s="247">
        <v>1.2</v>
      </c>
      <c r="F5581" s="247">
        <f>3.05-1.15</f>
        <v>1.9</v>
      </c>
      <c r="G5581" s="247">
        <v>0.919</v>
      </c>
      <c r="H5581" s="249">
        <f>PRODUCT(D5581:G5581)</f>
        <v>12.571919999999999</v>
      </c>
      <c r="J5581" s="253" t="inlineStr">
        <is>
          <t xml:space="preserve">6*1.2*(3.05-1.15)*0.919</t>
        </is>
      </c>
    </row>
    <row r="5582">
      <c r="C5582" s="246" t="inlineStr">
        <is>
          <t xml:space="preserve">Walling over opening W10 (1 nr, 1.2x1.2): nr x width x (3.05 - opening ht) x thickness share</t>
        </is>
      </c>
      <c r="D5582" s="248">
        <v>1</v>
      </c>
      <c r="E5582" s="247">
        <v>1.2</v>
      </c>
      <c r="F5582" s="247">
        <f>3.05-1.2</f>
        <v>1.8499999999999999</v>
      </c>
      <c r="G5582" s="247">
        <v>0.919</v>
      </c>
      <c r="H5582" s="249">
        <f>PRODUCT(D5582:G5582)</f>
        <v>2.04018</v>
      </c>
      <c r="J5582" s="253" t="inlineStr">
        <is>
          <t xml:space="preserve">1*1.2*(3.05-1.2)*0.919</t>
        </is>
      </c>
    </row>
    <row r="5583">
      <c r="C5583" s="246" t="inlineStr">
        <is>
          <t xml:space="preserve">Walling over opening W11 (5 nr, 1.5x1.3): nr x width x (3.05 - opening ht) x thickness share</t>
        </is>
      </c>
      <c r="D5583" s="248">
        <v>5</v>
      </c>
      <c r="E5583" s="247">
        <v>1.5</v>
      </c>
      <c r="F5583" s="247">
        <f>3.05-1.3</f>
        <v>1.7499999999999998</v>
      </c>
      <c r="G5583" s="247">
        <v>0.919</v>
      </c>
      <c r="H5583" s="249">
        <f>PRODUCT(D5583:G5583)</f>
        <v>12.061874999999999</v>
      </c>
      <c r="J5583" s="253" t="inlineStr">
        <is>
          <t xml:space="preserve">5*1.5*(3.05-1.3)*0.919</t>
        </is>
      </c>
    </row>
    <row r="5584">
      <c r="C5584" s="246" t="inlineStr">
        <is>
          <t xml:space="preserve">Walling over opening W12 (3 nr, 1.5x1.15): nr x width x (3.05 - opening ht) x thickness share</t>
        </is>
      </c>
      <c r="D5584" s="248">
        <v>3</v>
      </c>
      <c r="E5584" s="247">
        <v>1.5</v>
      </c>
      <c r="F5584" s="247">
        <f>3.05-1.15</f>
        <v>1.9</v>
      </c>
      <c r="G5584" s="247">
        <v>0.919</v>
      </c>
      <c r="H5584" s="249">
        <f>PRODUCT(D5584:G5584)</f>
        <v>7.857449999999999</v>
      </c>
      <c r="J5584" s="253" t="inlineStr">
        <is>
          <t xml:space="preserve">3*1.5*(3.05-1.15)*0.919</t>
        </is>
      </c>
    </row>
    <row r="5585">
      <c r="C5585" s="246" t="inlineStr">
        <is>
          <t xml:space="preserve">Walling over opening W15 (1 nr, 3x1.6): nr x width x (3.05 - opening ht) x thickness share</t>
        </is>
      </c>
      <c r="D5585" s="248">
        <v>1</v>
      </c>
      <c r="E5585" s="247">
        <v>3</v>
      </c>
      <c r="F5585" s="247">
        <f>3.05-1.6</f>
        <v>1.4499999999999997</v>
      </c>
      <c r="G5585" s="247">
        <v>0.919</v>
      </c>
      <c r="H5585" s="249">
        <f>PRODUCT(D5585:G5585)</f>
        <v>3.9976499999999997</v>
      </c>
      <c r="J5585" s="253" t="inlineStr">
        <is>
          <t xml:space="preserve">1*3*(3.05-1.6)*0.919</t>
        </is>
      </c>
    </row>
    <row r="5586">
      <c r="C5586" s="246" t="inlineStr">
        <is>
          <t xml:space="preserve">Walling over opening W17 (2 nr, 1.8x1.9): nr x width x (3.05 - opening ht) x thickness share</t>
        </is>
      </c>
      <c r="D5586" s="248">
        <v>2</v>
      </c>
      <c r="E5586" s="247">
        <v>1.8</v>
      </c>
      <c r="F5586" s="247">
        <f>3.05-1.9</f>
        <v>1.15</v>
      </c>
      <c r="G5586" s="247">
        <v>0.919</v>
      </c>
      <c r="H5586" s="249">
        <f>PRODUCT(D5586:G5586)</f>
        <v>3.8046599999999997</v>
      </c>
      <c r="J5586" s="253" t="inlineStr">
        <is>
          <t xml:space="preserve">2*1.8*(3.05-1.9)*0.919</t>
        </is>
      </c>
    </row>
    <row r="5587">
      <c r="C5587" s="246" t="inlineStr">
        <is>
          <t xml:space="preserve">Walling over opening W18 (1 nr, 0.75x1.3): nr x width x (3.05 - opening ht) x thickness share</t>
        </is>
      </c>
      <c r="D5587" s="248">
        <v>1</v>
      </c>
      <c r="E5587" s="247">
        <v>0.75</v>
      </c>
      <c r="F5587" s="247">
        <f>3.05-1.3</f>
        <v>1.7499999999999998</v>
      </c>
      <c r="G5587" s="247">
        <v>0.919</v>
      </c>
      <c r="H5587" s="249">
        <f>PRODUCT(D5587:G5587)</f>
        <v>1.2061874999999997</v>
      </c>
      <c r="J5587" s="253" t="inlineStr">
        <is>
          <t xml:space="preserve">1*0.75*(3.05-1.3)*0.919</t>
        </is>
      </c>
    </row>
    <row r="5588">
      <c r="C5588" s="246" t="inlineStr">
        <is>
          <t xml:space="preserve">Walling over opening HW1 (10 nr, 0.9x0.6): nr x width x (3.05 - opening ht) x thickness share</t>
        </is>
      </c>
      <c r="D5588" s="248">
        <v>10</v>
      </c>
      <c r="E5588" s="247">
        <v>0.9</v>
      </c>
      <c r="F5588" s="247">
        <f>3.05-0.6</f>
        <v>2.4499999999999997</v>
      </c>
      <c r="G5588" s="247">
        <v>0.919</v>
      </c>
      <c r="H5588" s="249">
        <f>PRODUCT(D5588:G5588)</f>
        <v>20.263949999999998</v>
      </c>
      <c r="J5588" s="253" t="inlineStr">
        <is>
          <t xml:space="preserve">10*0.9*(3.05-0.6)*0.919</t>
        </is>
      </c>
    </row>
    <row r="5589">
      <c r="C5589" s="246" t="inlineStr">
        <is>
          <t xml:space="preserve">Walling over opening HW2 (4 nr, 0.75x0.6): nr x width x (3.05 - opening ht) x thickness share</t>
        </is>
      </c>
      <c r="D5589" s="248">
        <v>4</v>
      </c>
      <c r="E5589" s="247">
        <v>0.75</v>
      </c>
      <c r="F5589" s="247">
        <f>3.05-0.6</f>
        <v>2.4499999999999997</v>
      </c>
      <c r="G5589" s="247">
        <v>0.919</v>
      </c>
      <c r="H5589" s="249">
        <f>PRODUCT(D5589:G5589)</f>
        <v>6.75465</v>
      </c>
      <c r="J5589" s="253" t="inlineStr">
        <is>
          <t xml:space="preserve">4*0.75*(3.05-0.6)*0.919</t>
        </is>
      </c>
    </row>
    <row r="5590">
      <c r="C5590" s="246" t="inlineStr">
        <is>
          <t xml:space="preserve">Walling over opening HW3 (1 nr, 0.6x0.6): nr x width x (3.05 - opening ht) x thickness share</t>
        </is>
      </c>
      <c r="D5590" s="248">
        <v>1</v>
      </c>
      <c r="E5590" s="247">
        <v>0.6</v>
      </c>
      <c r="F5590" s="247">
        <f>3.05-0.6</f>
        <v>2.4499999999999997</v>
      </c>
      <c r="G5590" s="247">
        <v>0.919</v>
      </c>
      <c r="H5590" s="249">
        <f>PRODUCT(D5590:G5590)</f>
        <v>1.3509299999999997</v>
      </c>
      <c r="J5590" s="253" t="inlineStr">
        <is>
          <t xml:space="preserve">1*0.6*(3.05-0.6)*0.919</t>
        </is>
      </c>
    </row>
    <row r="5591">
      <c r="C5591" s="246" t="inlineStr">
        <is>
          <t xml:space="preserve">Walling over opening HW4 (1 nr, 1.2x0.6): nr x width x (3.05 - opening ht) x thickness share</t>
        </is>
      </c>
      <c r="D5591" s="248">
        <v>1</v>
      </c>
      <c r="E5591" s="247">
        <v>1.2</v>
      </c>
      <c r="F5591" s="247">
        <f>3.05-0.6</f>
        <v>2.4499999999999997</v>
      </c>
      <c r="G5591" s="247">
        <v>0.919</v>
      </c>
      <c r="H5591" s="249">
        <f>PRODUCT(D5591:G5591)</f>
        <v>2.7018599999999995</v>
      </c>
      <c r="J5591" s="253" t="inlineStr">
        <is>
          <t xml:space="preserve">1*1.2*(3.05-0.6)*0.919</t>
        </is>
      </c>
    </row>
    <row r="5592">
      <c r="C5592" s="250" t="inlineStr">
        <is>
          <t xml:space="preserve">Total carried to BOQ  10TH FLR item A</t>
        </is>
      </c>
      <c r="D5592" s="250" t="inlineStr">
        <is>
          <t xml:space="preserve"/>
        </is>
      </c>
      <c r="E5592" s="250" t="inlineStr">
        <is>
          <t xml:space="preserve"/>
        </is>
      </c>
      <c r="F5592" s="250" t="inlineStr">
        <is>
          <t xml:space="preserve"/>
        </is>
      </c>
      <c r="G5592" s="250" t="inlineStr">
        <is>
          <t xml:space="preserve"/>
        </is>
      </c>
      <c r="H5592" s="251">
        <f>SUM(H5558:H5591)</f>
        <v>1230.4068100000006</v>
      </c>
      <c r="I5592" s="252" t="inlineStr">
        <is>
          <t xml:space="preserve">m2</t>
        </is>
      </c>
    </row>
    <row r="5593">
      <c r="A5593" s="243" t="inlineStr">
        <is>
          <t xml:space="preserve">10TH FLR</t>
        </is>
      </c>
      <c r="B5593" s="243" t="inlineStr">
        <is>
          <t xml:space="preserve">B</t>
        </is>
      </c>
      <c r="C5593" s="244" t="inlineStr">
        <is>
          <t xml:space="preserve">200mm thick wall</t>
        </is>
      </c>
      <c r="I5593" s="245" t="inlineStr">
        <is>
          <t xml:space="preserve">m2</t>
        </is>
      </c>
      <c r="K5593" s="256" t="inlineStr">
        <is>
          <t xml:space="preserve">'10TH FLR   '!C98</t>
        </is>
      </c>
    </row>
    <row r="5594">
      <c r="C5594" s="246" t="inlineStr">
        <is>
          <t xml:space="preserve">Tenth floor - 200 blockwork: wall length x storey ht</t>
        </is>
      </c>
      <c r="E5594" s="247">
        <v>31.1</v>
      </c>
      <c r="F5594" s="247">
        <v>3.05</v>
      </c>
      <c r="H5594" s="249">
        <f>PRODUCT(D5594:G5594)</f>
        <v>94.855</v>
      </c>
      <c r="J5594" s="253" t="inlineStr">
        <is>
          <t xml:space="preserve">31.1*3.05</t>
        </is>
      </c>
    </row>
    <row r="5595">
      <c r="C5595" s="246" t="inlineStr">
        <is>
          <t xml:space="preserve">Walling over opening D2 (6 nr, 1x2.2): nr x width x (3.05 - opening ht) x thickness share</t>
        </is>
      </c>
      <c r="D5595" s="248">
        <v>6</v>
      </c>
      <c r="E5595" s="247">
        <v>1</v>
      </c>
      <c r="F5595" s="247">
        <f>3.05-2.2</f>
        <v>0.8499999999999996</v>
      </c>
      <c r="G5595" s="247">
        <v>0.081</v>
      </c>
      <c r="H5595" s="249">
        <f>PRODUCT(D5595:G5595)</f>
        <v>0.41309999999999986</v>
      </c>
      <c r="J5595" s="253" t="inlineStr">
        <is>
          <t xml:space="preserve">6*1*(3.05-2.2)*0.081</t>
        </is>
      </c>
    </row>
    <row r="5596">
      <c r="C5596" s="246" t="inlineStr">
        <is>
          <t xml:space="preserve">Walling over opening D3 (11 nr, 0.9x2.2): nr x width x (3.05 - opening ht) x thickness share</t>
        </is>
      </c>
      <c r="D5596" s="248">
        <v>11</v>
      </c>
      <c r="E5596" s="247">
        <v>0.9</v>
      </c>
      <c r="F5596" s="247">
        <f>3.05-2.2</f>
        <v>0.8499999999999996</v>
      </c>
      <c r="G5596" s="247">
        <v>0.081</v>
      </c>
      <c r="H5596" s="249">
        <f>PRODUCT(D5596:G5596)</f>
        <v>0.6816149999999999</v>
      </c>
      <c r="J5596" s="253" t="inlineStr">
        <is>
          <t xml:space="preserve">11*0.9*(3.05-2.2)*0.081</t>
        </is>
      </c>
    </row>
    <row r="5597">
      <c r="C5597" s="246" t="inlineStr">
        <is>
          <t xml:space="preserve">Walling over opening D6 (16 nr, 0.75x2.2): nr x width x (3.05 - opening ht) x thickness share</t>
        </is>
      </c>
      <c r="D5597" s="248">
        <v>16</v>
      </c>
      <c r="E5597" s="247">
        <v>0.75</v>
      </c>
      <c r="F5597" s="247">
        <f>3.05-2.2</f>
        <v>0.8499999999999996</v>
      </c>
      <c r="G5597" s="247">
        <v>0.081</v>
      </c>
      <c r="H5597" s="249">
        <f>PRODUCT(D5597:G5597)</f>
        <v>0.8261999999999997</v>
      </c>
      <c r="J5597" s="253" t="inlineStr">
        <is>
          <t xml:space="preserve">16*0.75*(3.05-2.2)*0.081</t>
        </is>
      </c>
    </row>
    <row r="5598">
      <c r="C5598" s="246" t="inlineStr">
        <is>
          <t xml:space="preserve">Walling over opening D7 (1 nr, 0.7x2.2): nr x width x (3.05 - opening ht) x thickness share</t>
        </is>
      </c>
      <c r="D5598" s="248">
        <v>1</v>
      </c>
      <c r="E5598" s="247">
        <v>0.7</v>
      </c>
      <c r="F5598" s="247">
        <f>3.05-2.2</f>
        <v>0.8499999999999996</v>
      </c>
      <c r="G5598" s="247">
        <v>0.081</v>
      </c>
      <c r="H5598" s="249">
        <f>PRODUCT(D5598:G5598)</f>
        <v>0.04819499999999998</v>
      </c>
      <c r="J5598" s="253" t="inlineStr">
        <is>
          <t xml:space="preserve">1*0.7*(3.05-2.2)*0.081</t>
        </is>
      </c>
    </row>
    <row r="5599">
      <c r="C5599" s="246" t="inlineStr">
        <is>
          <t xml:space="preserve">Walling over opening D8 (2 nr, 1.2x2.2): nr x width x (3.05 - opening ht) x thickness share</t>
        </is>
      </c>
      <c r="D5599" s="248">
        <v>2</v>
      </c>
      <c r="E5599" s="247">
        <v>1.2</v>
      </c>
      <c r="F5599" s="247">
        <f>3.05-2.2</f>
        <v>0.8499999999999996</v>
      </c>
      <c r="G5599" s="247">
        <v>0.081</v>
      </c>
      <c r="H5599" s="249">
        <f>PRODUCT(D5599:G5599)</f>
        <v>0.16523999999999994</v>
      </c>
      <c r="J5599" s="253" t="inlineStr">
        <is>
          <t xml:space="preserve">2*1.2*(3.05-2.2)*0.081</t>
        </is>
      </c>
    </row>
    <row r="5600">
      <c r="C5600" s="246" t="inlineStr">
        <is>
          <t xml:space="preserve">Walling over opening ED1 (2 nr, 1x2.2): nr x width x (3.05 - opening ht) x thickness share</t>
        </is>
      </c>
      <c r="D5600" s="248">
        <v>2</v>
      </c>
      <c r="E5600" s="247">
        <v>1</v>
      </c>
      <c r="F5600" s="247">
        <f>3.05-2.2</f>
        <v>0.8499999999999996</v>
      </c>
      <c r="G5600" s="247">
        <v>0.081</v>
      </c>
      <c r="H5600" s="249">
        <f>PRODUCT(D5600:G5600)</f>
        <v>0.13769999999999993</v>
      </c>
      <c r="J5600" s="253" t="inlineStr">
        <is>
          <t xml:space="preserve">2*1*(3.05-2.2)*0.081</t>
        </is>
      </c>
    </row>
    <row r="5601">
      <c r="C5601" s="246" t="inlineStr">
        <is>
          <t xml:space="preserve">Walling over opening ED2 (2 nr, 1x2.2): nr x width x (3.05 - opening ht) x thickness share</t>
        </is>
      </c>
      <c r="D5601" s="248">
        <v>2</v>
      </c>
      <c r="E5601" s="247">
        <v>1</v>
      </c>
      <c r="F5601" s="247">
        <f>3.05-2.2</f>
        <v>0.8499999999999996</v>
      </c>
      <c r="G5601" s="247">
        <v>0.081</v>
      </c>
      <c r="H5601" s="249">
        <f>PRODUCT(D5601:G5601)</f>
        <v>0.13769999999999993</v>
      </c>
      <c r="J5601" s="253" t="inlineStr">
        <is>
          <t xml:space="preserve">2*1*(3.05-2.2)*0.081</t>
        </is>
      </c>
    </row>
    <row r="5602">
      <c r="C5602" s="246" t="inlineStr">
        <is>
          <t xml:space="preserve">Walling over opening D9 (1 nr, 0.9x2.2): nr x width x (3.05 - opening ht) x thickness share</t>
        </is>
      </c>
      <c r="D5602" s="248">
        <v>1</v>
      </c>
      <c r="E5602" s="247">
        <v>0.9</v>
      </c>
      <c r="F5602" s="247">
        <f>3.05-2.2</f>
        <v>0.8499999999999996</v>
      </c>
      <c r="G5602" s="247">
        <v>0.081</v>
      </c>
      <c r="H5602" s="249">
        <f>PRODUCT(D5602:G5602)</f>
        <v>0.06196499999999998</v>
      </c>
      <c r="J5602" s="253" t="inlineStr">
        <is>
          <t xml:space="preserve">1*0.9*(3.05-2.2)*0.081</t>
        </is>
      </c>
    </row>
    <row r="5603">
      <c r="C5603" s="246" t="inlineStr">
        <is>
          <t xml:space="preserve">Walling over opening FD1 (1 nr, 1.5x2.2): nr x width x (3.05 - opening ht) x thickness share</t>
        </is>
      </c>
      <c r="D5603" s="248">
        <v>1</v>
      </c>
      <c r="E5603" s="247">
        <v>1.5</v>
      </c>
      <c r="F5603" s="247">
        <f>3.05-2.2</f>
        <v>0.8499999999999996</v>
      </c>
      <c r="G5603" s="247">
        <v>0.081</v>
      </c>
      <c r="H5603" s="249">
        <f>PRODUCT(D5603:G5603)</f>
        <v>0.10327499999999996</v>
      </c>
      <c r="J5603" s="253" t="inlineStr">
        <is>
          <t xml:space="preserve">1*1.5*(3.05-2.2)*0.081</t>
        </is>
      </c>
    </row>
    <row r="5604">
      <c r="C5604" s="246" t="inlineStr">
        <is>
          <t xml:space="preserve">Walling over opening M1 (2 nr, 0.9x2.2): nr x width x (3.05 - opening ht) x thickness share</t>
        </is>
      </c>
      <c r="D5604" s="248">
        <v>2</v>
      </c>
      <c r="E5604" s="247">
        <v>0.9</v>
      </c>
      <c r="F5604" s="247">
        <f>3.05-2.2</f>
        <v>0.8499999999999996</v>
      </c>
      <c r="G5604" s="247">
        <v>0.081</v>
      </c>
      <c r="H5604" s="249">
        <f>PRODUCT(D5604:G5604)</f>
        <v>0.12392999999999996</v>
      </c>
      <c r="J5604" s="253" t="inlineStr">
        <is>
          <t xml:space="preserve">2*0.9*(3.05-2.2)*0.081</t>
        </is>
      </c>
    </row>
    <row r="5605">
      <c r="C5605" s="246" t="inlineStr">
        <is>
          <t xml:space="preserve">Walling over opening M2 (4 nr, 0.75x2.2): nr x width x (3.05 - opening ht) x thickness share</t>
        </is>
      </c>
      <c r="D5605" s="248">
        <v>4</v>
      </c>
      <c r="E5605" s="247">
        <v>0.75</v>
      </c>
      <c r="F5605" s="247">
        <f>3.05-2.2</f>
        <v>0.8499999999999996</v>
      </c>
      <c r="G5605" s="247">
        <v>0.081</v>
      </c>
      <c r="H5605" s="249">
        <f>PRODUCT(D5605:G5605)</f>
        <v>0.20654999999999993</v>
      </c>
      <c r="J5605" s="253" t="inlineStr">
        <is>
          <t xml:space="preserve">4*0.75*(3.05-2.2)*0.081</t>
        </is>
      </c>
    </row>
    <row r="5606">
      <c r="C5606" s="246" t="inlineStr">
        <is>
          <t xml:space="preserve">Walling over opening M3 (1 nr, 0.45x2.2): nr x width x (3.05 - opening ht) x thickness share</t>
        </is>
      </c>
      <c r="D5606" s="248">
        <v>1</v>
      </c>
      <c r="E5606" s="247">
        <v>0.45</v>
      </c>
      <c r="F5606" s="247">
        <f>3.05-2.2</f>
        <v>0.8499999999999996</v>
      </c>
      <c r="G5606" s="247">
        <v>0.081</v>
      </c>
      <c r="H5606" s="249">
        <f>PRODUCT(D5606:G5606)</f>
        <v>0.03098249999999999</v>
      </c>
      <c r="J5606" s="253" t="inlineStr">
        <is>
          <t xml:space="preserve">1*0.45*(3.05-2.2)*0.081</t>
        </is>
      </c>
    </row>
    <row r="5607">
      <c r="C5607" s="246" t="inlineStr">
        <is>
          <t xml:space="preserve">Walling over opening M5 (3 nr, 0.6x2.2): nr x width x (3.05 - opening ht) x thickness share</t>
        </is>
      </c>
      <c r="D5607" s="248">
        <v>3</v>
      </c>
      <c r="E5607" s="247">
        <v>0.6</v>
      </c>
      <c r="F5607" s="247">
        <f>3.05-2.2</f>
        <v>0.8499999999999996</v>
      </c>
      <c r="G5607" s="247">
        <v>0.081</v>
      </c>
      <c r="H5607" s="249">
        <f>PRODUCT(D5607:G5607)</f>
        <v>0.12392999999999993</v>
      </c>
      <c r="J5607" s="253" t="inlineStr">
        <is>
          <t xml:space="preserve">3*0.6*(3.05-2.2)*0.081</t>
        </is>
      </c>
    </row>
    <row r="5608">
      <c r="C5608" s="246" t="inlineStr">
        <is>
          <t xml:space="preserve">Walling over opening SD1 (1 nr, 3x2.2): nr x width x (3.05 - opening ht) x thickness share</t>
        </is>
      </c>
      <c r="D5608" s="248">
        <v>1</v>
      </c>
      <c r="E5608" s="247">
        <v>3</v>
      </c>
      <c r="F5608" s="247">
        <f>3.05-2.2</f>
        <v>0.8499999999999996</v>
      </c>
      <c r="G5608" s="247">
        <v>0.081</v>
      </c>
      <c r="H5608" s="249">
        <f>PRODUCT(D5608:G5608)</f>
        <v>0.20654999999999993</v>
      </c>
      <c r="J5608" s="253" t="inlineStr">
        <is>
          <t xml:space="preserve">1*3*(3.05-2.2)*0.081</t>
        </is>
      </c>
    </row>
    <row r="5609">
      <c r="C5609" s="246" t="inlineStr">
        <is>
          <t xml:space="preserve">Walling over opening SD2 (3 nr, 1.6x2.2): nr x width x (3.05 - opening ht) x thickness share</t>
        </is>
      </c>
      <c r="D5609" s="248">
        <v>3</v>
      </c>
      <c r="E5609" s="247">
        <v>1.6</v>
      </c>
      <c r="F5609" s="247">
        <f>3.05-2.2</f>
        <v>0.8499999999999996</v>
      </c>
      <c r="G5609" s="247">
        <v>0.081</v>
      </c>
      <c r="H5609" s="249">
        <f>PRODUCT(D5609:G5609)</f>
        <v>0.33047999999999994</v>
      </c>
      <c r="J5609" s="253" t="inlineStr">
        <is>
          <t xml:space="preserve">3*1.6*(3.05-2.2)*0.081</t>
        </is>
      </c>
    </row>
    <row r="5610">
      <c r="C5610" s="246" t="inlineStr">
        <is>
          <t xml:space="preserve">Walling over opening SD3 (2 nr, 1.3x2.2): nr x width x (3.05 - opening ht) x thickness share</t>
        </is>
      </c>
      <c r="D5610" s="248">
        <v>2</v>
      </c>
      <c r="E5610" s="247">
        <v>1.3</v>
      </c>
      <c r="F5610" s="247">
        <f>3.05-2.2</f>
        <v>0.8499999999999996</v>
      </c>
      <c r="G5610" s="247">
        <v>0.081</v>
      </c>
      <c r="H5610" s="249">
        <f>PRODUCT(D5610:G5610)</f>
        <v>0.17900999999999992</v>
      </c>
      <c r="J5610" s="253" t="inlineStr">
        <is>
          <t xml:space="preserve">2*1.3*(3.05-2.2)*0.081</t>
        </is>
      </c>
    </row>
    <row r="5611">
      <c r="C5611" s="246" t="inlineStr">
        <is>
          <t xml:space="preserve">Walling over opening SD4 (3 nr, 1.8x2.2): nr x width x (3.05 - opening ht) x thickness share</t>
        </is>
      </c>
      <c r="D5611" s="248">
        <v>3</v>
      </c>
      <c r="E5611" s="247">
        <v>1.8</v>
      </c>
      <c r="F5611" s="247">
        <f>3.05-2.2</f>
        <v>0.8499999999999996</v>
      </c>
      <c r="G5611" s="247">
        <v>0.081</v>
      </c>
      <c r="H5611" s="249">
        <f>PRODUCT(D5611:G5611)</f>
        <v>0.37178999999999984</v>
      </c>
      <c r="J5611" s="253" t="inlineStr">
        <is>
          <t xml:space="preserve">3*1.8*(3.05-2.2)*0.081</t>
        </is>
      </c>
    </row>
    <row r="5612">
      <c r="C5612" s="246" t="inlineStr">
        <is>
          <t xml:space="preserve">Walling over opening SD5 (1 nr, 1.2x2.2): nr x width x (3.05 - opening ht) x thickness share</t>
        </is>
      </c>
      <c r="D5612" s="248">
        <v>1</v>
      </c>
      <c r="E5612" s="247">
        <v>1.2</v>
      </c>
      <c r="F5612" s="247">
        <f>3.05-2.2</f>
        <v>0.8499999999999996</v>
      </c>
      <c r="G5612" s="247">
        <v>0.081</v>
      </c>
      <c r="H5612" s="249">
        <f>PRODUCT(D5612:G5612)</f>
        <v>0.08261999999999997</v>
      </c>
      <c r="J5612" s="253" t="inlineStr">
        <is>
          <t xml:space="preserve">1*1.2*(3.05-2.2)*0.081</t>
        </is>
      </c>
    </row>
    <row r="5613">
      <c r="C5613" s="246" t="inlineStr">
        <is>
          <t xml:space="preserve">Walling over opening W2 (4 nr, 1.8x1.3): nr x width x (3.05 - opening ht) x thickness share</t>
        </is>
      </c>
      <c r="D5613" s="248">
        <v>4</v>
      </c>
      <c r="E5613" s="247">
        <v>1.8</v>
      </c>
      <c r="F5613" s="247">
        <f>3.05-1.3</f>
        <v>1.7499999999999998</v>
      </c>
      <c r="G5613" s="247">
        <v>0.081</v>
      </c>
      <c r="H5613" s="249">
        <f>PRODUCT(D5613:G5613)</f>
        <v>1.0206</v>
      </c>
      <c r="J5613" s="253" t="inlineStr">
        <is>
          <t xml:space="preserve">4*1.8*(3.05-1.3)*0.081</t>
        </is>
      </c>
    </row>
    <row r="5614">
      <c r="C5614" s="246" t="inlineStr">
        <is>
          <t xml:space="preserve">Walling over opening W4 (8 nr, 0.9x1.3): nr x width x (3.05 - opening ht) x thickness share</t>
        </is>
      </c>
      <c r="D5614" s="248">
        <v>8</v>
      </c>
      <c r="E5614" s="247">
        <v>0.9</v>
      </c>
      <c r="F5614" s="247">
        <f>3.05-1.3</f>
        <v>1.7499999999999998</v>
      </c>
      <c r="G5614" s="247">
        <v>0.081</v>
      </c>
      <c r="H5614" s="249">
        <f>PRODUCT(D5614:G5614)</f>
        <v>1.0206</v>
      </c>
      <c r="J5614" s="253" t="inlineStr">
        <is>
          <t xml:space="preserve">8*0.9*(3.05-1.3)*0.081</t>
        </is>
      </c>
    </row>
    <row r="5615">
      <c r="C5615" s="246" t="inlineStr">
        <is>
          <t xml:space="preserve">Walling over opening W7 (1 nr, 1.8x1.6): nr x width x (3.05 - opening ht) x thickness share</t>
        </is>
      </c>
      <c r="D5615" s="248">
        <v>1</v>
      </c>
      <c r="E5615" s="247">
        <v>1.8</v>
      </c>
      <c r="F5615" s="247">
        <f>3.05-1.6</f>
        <v>1.4499999999999997</v>
      </c>
      <c r="G5615" s="247">
        <v>0.081</v>
      </c>
      <c r="H5615" s="249">
        <f>PRODUCT(D5615:G5615)</f>
        <v>0.21140999999999996</v>
      </c>
      <c r="J5615" s="253" t="inlineStr">
        <is>
          <t xml:space="preserve">1*1.8*(3.05-1.6)*0.081</t>
        </is>
      </c>
    </row>
    <row r="5616">
      <c r="C5616" s="246" t="inlineStr">
        <is>
          <t xml:space="preserve">Walling over opening W8 (2 nr, 1.2x1.9): nr x width x (3.05 - opening ht) x thickness share</t>
        </is>
      </c>
      <c r="D5616" s="248">
        <v>2</v>
      </c>
      <c r="E5616" s="247">
        <v>1.2</v>
      </c>
      <c r="F5616" s="247">
        <f>3.05-1.9</f>
        <v>1.15</v>
      </c>
      <c r="G5616" s="247">
        <v>0.081</v>
      </c>
      <c r="H5616" s="249">
        <f>PRODUCT(D5616:G5616)</f>
        <v>0.22355999999999998</v>
      </c>
      <c r="J5616" s="253" t="inlineStr">
        <is>
          <t xml:space="preserve">2*1.2*(3.05-1.9)*0.081</t>
        </is>
      </c>
    </row>
    <row r="5617">
      <c r="C5617" s="246" t="inlineStr">
        <is>
          <t xml:space="preserve">Walling over opening W9 (6 nr, 1.2x1.15): nr x width x (3.05 - opening ht) x thickness share</t>
        </is>
      </c>
      <c r="D5617" s="248">
        <v>6</v>
      </c>
      <c r="E5617" s="247">
        <v>1.2</v>
      </c>
      <c r="F5617" s="247">
        <f>3.05-1.15</f>
        <v>1.9</v>
      </c>
      <c r="G5617" s="247">
        <v>0.081</v>
      </c>
      <c r="H5617" s="249">
        <f>PRODUCT(D5617:G5617)</f>
        <v>1.10808</v>
      </c>
      <c r="J5617" s="253" t="inlineStr">
        <is>
          <t xml:space="preserve">6*1.2*(3.05-1.15)*0.081</t>
        </is>
      </c>
    </row>
    <row r="5618">
      <c r="C5618" s="246" t="inlineStr">
        <is>
          <t xml:space="preserve">Walling over opening W10 (1 nr, 1.2x1.2): nr x width x (3.05 - opening ht) x thickness share</t>
        </is>
      </c>
      <c r="D5618" s="248">
        <v>1</v>
      </c>
      <c r="E5618" s="247">
        <v>1.2</v>
      </c>
      <c r="F5618" s="247">
        <f>3.05-1.2</f>
        <v>1.8499999999999999</v>
      </c>
      <c r="G5618" s="247">
        <v>0.081</v>
      </c>
      <c r="H5618" s="249">
        <f>PRODUCT(D5618:G5618)</f>
        <v>0.17981999999999998</v>
      </c>
      <c r="J5618" s="253" t="inlineStr">
        <is>
          <t xml:space="preserve">1*1.2*(3.05-1.2)*0.081</t>
        </is>
      </c>
    </row>
    <row r="5619">
      <c r="C5619" s="246" t="inlineStr">
        <is>
          <t xml:space="preserve">Walling over opening W11 (5 nr, 1.5x1.3): nr x width x (3.05 - opening ht) x thickness share</t>
        </is>
      </c>
      <c r="D5619" s="248">
        <v>5</v>
      </c>
      <c r="E5619" s="247">
        <v>1.5</v>
      </c>
      <c r="F5619" s="247">
        <f>3.05-1.3</f>
        <v>1.7499999999999998</v>
      </c>
      <c r="G5619" s="247">
        <v>0.081</v>
      </c>
      <c r="H5619" s="249">
        <f>PRODUCT(D5619:G5619)</f>
        <v>1.0631249999999999</v>
      </c>
      <c r="J5619" s="253" t="inlineStr">
        <is>
          <t xml:space="preserve">5*1.5*(3.05-1.3)*0.081</t>
        </is>
      </c>
    </row>
    <row r="5620">
      <c r="C5620" s="246" t="inlineStr">
        <is>
          <t xml:space="preserve">Walling over opening W12 (3 nr, 1.5x1.15): nr x width x (3.05 - opening ht) x thickness share</t>
        </is>
      </c>
      <c r="D5620" s="248">
        <v>3</v>
      </c>
      <c r="E5620" s="247">
        <v>1.5</v>
      </c>
      <c r="F5620" s="247">
        <f>3.05-1.15</f>
        <v>1.9</v>
      </c>
      <c r="G5620" s="247">
        <v>0.081</v>
      </c>
      <c r="H5620" s="249">
        <f>PRODUCT(D5620:G5620)</f>
        <v>0.6925499999999999</v>
      </c>
      <c r="J5620" s="253" t="inlineStr">
        <is>
          <t xml:space="preserve">3*1.5*(3.05-1.15)*0.081</t>
        </is>
      </c>
    </row>
    <row r="5621">
      <c r="C5621" s="246" t="inlineStr">
        <is>
          <t xml:space="preserve">Walling over opening W15 (1 nr, 3x1.6): nr x width x (3.05 - opening ht) x thickness share</t>
        </is>
      </c>
      <c r="D5621" s="248">
        <v>1</v>
      </c>
      <c r="E5621" s="247">
        <v>3</v>
      </c>
      <c r="F5621" s="247">
        <f>3.05-1.6</f>
        <v>1.4499999999999997</v>
      </c>
      <c r="G5621" s="247">
        <v>0.081</v>
      </c>
      <c r="H5621" s="249">
        <f>PRODUCT(D5621:G5621)</f>
        <v>0.35235</v>
      </c>
      <c r="J5621" s="253" t="inlineStr">
        <is>
          <t xml:space="preserve">1*3*(3.05-1.6)*0.081</t>
        </is>
      </c>
    </row>
    <row r="5622">
      <c r="C5622" s="246" t="inlineStr">
        <is>
          <t xml:space="preserve">Walling over opening W17 (2 nr, 1.8x1.9): nr x width x (3.05 - opening ht) x thickness share</t>
        </is>
      </c>
      <c r="D5622" s="248">
        <v>2</v>
      </c>
      <c r="E5622" s="247">
        <v>1.8</v>
      </c>
      <c r="F5622" s="247">
        <f>3.05-1.9</f>
        <v>1.15</v>
      </c>
      <c r="G5622" s="247">
        <v>0.081</v>
      </c>
      <c r="H5622" s="249">
        <f>PRODUCT(D5622:G5622)</f>
        <v>0.33533999999999997</v>
      </c>
      <c r="J5622" s="253" t="inlineStr">
        <is>
          <t xml:space="preserve">2*1.8*(3.05-1.9)*0.081</t>
        </is>
      </c>
    </row>
    <row r="5623">
      <c r="C5623" s="246" t="inlineStr">
        <is>
          <t xml:space="preserve">Walling over opening W18 (1 nr, 0.75x1.3): nr x width x (3.05 - opening ht) x thickness share</t>
        </is>
      </c>
      <c r="D5623" s="248">
        <v>1</v>
      </c>
      <c r="E5623" s="247">
        <v>0.75</v>
      </c>
      <c r="F5623" s="247">
        <f>3.05-1.3</f>
        <v>1.7499999999999998</v>
      </c>
      <c r="G5623" s="247">
        <v>0.081</v>
      </c>
      <c r="H5623" s="249">
        <f>PRODUCT(D5623:G5623)</f>
        <v>0.10631249999999999</v>
      </c>
      <c r="J5623" s="253" t="inlineStr">
        <is>
          <t xml:space="preserve">1*0.75*(3.05-1.3)*0.081</t>
        </is>
      </c>
    </row>
    <row r="5624">
      <c r="C5624" s="246" t="inlineStr">
        <is>
          <t xml:space="preserve">Walling over opening HW1 (10 nr, 0.9x0.6): nr x width x (3.05 - opening ht) x thickness share</t>
        </is>
      </c>
      <c r="D5624" s="248">
        <v>10</v>
      </c>
      <c r="E5624" s="247">
        <v>0.9</v>
      </c>
      <c r="F5624" s="247">
        <f>3.05-0.6</f>
        <v>2.4499999999999997</v>
      </c>
      <c r="G5624" s="247">
        <v>0.081</v>
      </c>
      <c r="H5624" s="249">
        <f>PRODUCT(D5624:G5624)</f>
        <v>1.78605</v>
      </c>
      <c r="J5624" s="253" t="inlineStr">
        <is>
          <t xml:space="preserve">10*0.9*(3.05-0.6)*0.081</t>
        </is>
      </c>
    </row>
    <row r="5625">
      <c r="C5625" s="246" t="inlineStr">
        <is>
          <t xml:space="preserve">Walling over opening HW2 (4 nr, 0.75x0.6): nr x width x (3.05 - opening ht) x thickness share</t>
        </is>
      </c>
      <c r="D5625" s="248">
        <v>4</v>
      </c>
      <c r="E5625" s="247">
        <v>0.75</v>
      </c>
      <c r="F5625" s="247">
        <f>3.05-0.6</f>
        <v>2.4499999999999997</v>
      </c>
      <c r="G5625" s="247">
        <v>0.081</v>
      </c>
      <c r="H5625" s="249">
        <f>PRODUCT(D5625:G5625)</f>
        <v>0.5953499999999999</v>
      </c>
      <c r="J5625" s="253" t="inlineStr">
        <is>
          <t xml:space="preserve">4*0.75*(3.05-0.6)*0.081</t>
        </is>
      </c>
    </row>
    <row r="5626">
      <c r="C5626" s="246" t="inlineStr">
        <is>
          <t xml:space="preserve">Walling over opening HW3 (1 nr, 0.6x0.6): nr x width x (3.05 - opening ht) x thickness share</t>
        </is>
      </c>
      <c r="D5626" s="248">
        <v>1</v>
      </c>
      <c r="E5626" s="247">
        <v>0.6</v>
      </c>
      <c r="F5626" s="247">
        <f>3.05-0.6</f>
        <v>2.4499999999999997</v>
      </c>
      <c r="G5626" s="247">
        <v>0.081</v>
      </c>
      <c r="H5626" s="249">
        <f>PRODUCT(D5626:G5626)</f>
        <v>0.11906999999999998</v>
      </c>
      <c r="J5626" s="253" t="inlineStr">
        <is>
          <t xml:space="preserve">1*0.6*(3.05-0.6)*0.081</t>
        </is>
      </c>
    </row>
    <row r="5627">
      <c r="C5627" s="246" t="inlineStr">
        <is>
          <t xml:space="preserve">Walling over opening HW4 (1 nr, 1.2x0.6): nr x width x (3.05 - opening ht) x thickness share</t>
        </is>
      </c>
      <c r="D5627" s="248">
        <v>1</v>
      </c>
      <c r="E5627" s="247">
        <v>1.2</v>
      </c>
      <c r="F5627" s="247">
        <f>3.05-0.6</f>
        <v>2.4499999999999997</v>
      </c>
      <c r="G5627" s="247">
        <v>0.081</v>
      </c>
      <c r="H5627" s="249">
        <f>PRODUCT(D5627:G5627)</f>
        <v>0.23813999999999996</v>
      </c>
      <c r="J5627" s="253" t="inlineStr">
        <is>
          <t xml:space="preserve">1*1.2*(3.05-0.6)*0.081</t>
        </is>
      </c>
    </row>
    <row r="5628">
      <c r="C5628" s="250" t="inlineStr">
        <is>
          <t xml:space="preserve">Total carried to BOQ  10TH FLR item B</t>
        </is>
      </c>
      <c r="D5628" s="250" t="inlineStr">
        <is>
          <t xml:space="preserve"/>
        </is>
      </c>
      <c r="E5628" s="250" t="inlineStr">
        <is>
          <t xml:space="preserve"/>
        </is>
      </c>
      <c r="F5628" s="250" t="inlineStr">
        <is>
          <t xml:space="preserve"/>
        </is>
      </c>
      <c r="G5628" s="250" t="inlineStr">
        <is>
          <t xml:space="preserve"/>
        </is>
      </c>
      <c r="H5628" s="251">
        <f>SUM(H5594:H5627)</f>
        <v>108.13819</v>
      </c>
      <c r="I5628" s="252" t="inlineStr">
        <is>
          <t xml:space="preserve">m2</t>
        </is>
      </c>
    </row>
    <row r="5629">
      <c r="C5629" s="242" t="inlineStr">
        <is>
          <t xml:space="preserve">ELEMENT NO. 4: WINDOWS/DOORS</t>
        </is>
      </c>
    </row>
    <row r="5630">
      <c r="C5630" s="242" t="inlineStr">
        <is>
          <t xml:space="preserve">L20 DOORS - Supply and fix the following door assemblies complete with frames, ironmongery sets to steel doors and all accessories:</t>
        </is>
      </c>
    </row>
    <row r="5631" ht="32.2" customHeight="1">
      <c r="A5631" s="243" t="inlineStr">
        <is>
          <t xml:space="preserve">10TH FLR</t>
        </is>
      </c>
      <c r="B5631" s="243" t="inlineStr">
        <is>
          <t xml:space="preserve">A</t>
        </is>
      </c>
      <c r="C5631" s="244" t="inlineStr">
        <is>
          <t xml:space="preserve">1000mm x 2200mm 1-hour fire-rated galvanised steel single-leaf security door assembly (D2)</t>
        </is>
      </c>
      <c r="I5631" s="245" t="inlineStr">
        <is>
          <t xml:space="preserve">nr</t>
        </is>
      </c>
      <c r="K5631" s="256" t="inlineStr">
        <is>
          <t xml:space="preserve">'10TH FLR   '!C107</t>
        </is>
      </c>
    </row>
    <row r="5632">
      <c r="C5632" s="246" t="inlineStr">
        <is>
          <t xml:space="preserve">Tenth floor - W9</t>
        </is>
      </c>
      <c r="H5632" s="247">
        <v>6</v>
      </c>
      <c r="J5632" s="253" t="inlineStr">
        <is>
          <t xml:space="preserve">6</t>
        </is>
      </c>
    </row>
    <row r="5633">
      <c r="C5633" s="250" t="inlineStr">
        <is>
          <t xml:space="preserve">Total carried to BOQ  10TH FLR item A</t>
        </is>
      </c>
      <c r="D5633" s="250" t="inlineStr">
        <is>
          <t xml:space="preserve"/>
        </is>
      </c>
      <c r="E5633" s="250" t="inlineStr">
        <is>
          <t xml:space="preserve"/>
        </is>
      </c>
      <c r="F5633" s="250" t="inlineStr">
        <is>
          <t xml:space="preserve"/>
        </is>
      </c>
      <c r="G5633" s="250" t="inlineStr">
        <is>
          <t xml:space="preserve"/>
        </is>
      </c>
      <c r="H5633" s="251">
        <f>SUM(H5632:H5632)</f>
        <v>6</v>
      </c>
      <c r="I5633" s="252" t="inlineStr">
        <is>
          <t xml:space="preserve">nr</t>
        </is>
      </c>
    </row>
    <row r="5634">
      <c r="A5634" s="243" t="inlineStr">
        <is>
          <t xml:space="preserve">10TH FLR</t>
        </is>
      </c>
      <c r="B5634" s="243" t="inlineStr">
        <is>
          <t xml:space="preserve">B</t>
        </is>
      </c>
      <c r="C5634" s="244" t="inlineStr">
        <is>
          <t xml:space="preserve">900mm x 2200mm single leaf timber panel door (D3)</t>
        </is>
      </c>
      <c r="I5634" s="245" t="inlineStr">
        <is>
          <t xml:space="preserve">nr</t>
        </is>
      </c>
      <c r="K5634" s="256" t="inlineStr">
        <is>
          <t xml:space="preserve">'10TH FLR   '!C109</t>
        </is>
      </c>
    </row>
    <row r="5635">
      <c r="C5635" s="246" t="inlineStr">
        <is>
          <t xml:space="preserve">Tenth floor - D3/D4 doors</t>
        </is>
      </c>
      <c r="H5635" s="247">
        <v>11</v>
      </c>
      <c r="J5635" s="253" t="inlineStr">
        <is>
          <t xml:space="preserve">11</t>
        </is>
      </c>
    </row>
    <row r="5636">
      <c r="C5636" s="250" t="inlineStr">
        <is>
          <t xml:space="preserve">Total carried to BOQ  10TH FLR item B</t>
        </is>
      </c>
      <c r="D5636" s="250" t="inlineStr">
        <is>
          <t xml:space="preserve"/>
        </is>
      </c>
      <c r="E5636" s="250" t="inlineStr">
        <is>
          <t xml:space="preserve"/>
        </is>
      </c>
      <c r="F5636" s="250" t="inlineStr">
        <is>
          <t xml:space="preserve"/>
        </is>
      </c>
      <c r="G5636" s="250" t="inlineStr">
        <is>
          <t xml:space="preserve"/>
        </is>
      </c>
      <c r="H5636" s="251">
        <f>SUM(H5635:H5635)</f>
        <v>11</v>
      </c>
      <c r="I5636" s="252" t="inlineStr">
        <is>
          <t xml:space="preserve">nr</t>
        </is>
      </c>
    </row>
    <row r="5637">
      <c r="A5637" s="243" t="inlineStr">
        <is>
          <t xml:space="preserve">10TH FLR</t>
        </is>
      </c>
      <c r="B5637" s="243" t="inlineStr">
        <is>
          <t xml:space="preserve">C</t>
        </is>
      </c>
      <c r="C5637" s="244" t="inlineStr">
        <is>
          <t xml:space="preserve">750mm x 2200mm single leaf timber flush door (D6)</t>
        </is>
      </c>
      <c r="I5637" s="245" t="inlineStr">
        <is>
          <t xml:space="preserve">nr</t>
        </is>
      </c>
      <c r="K5637" s="256" t="inlineStr">
        <is>
          <t xml:space="preserve">'10TH FLR   '!C111</t>
        </is>
      </c>
    </row>
    <row r="5638">
      <c r="C5638" s="246" t="inlineStr">
        <is>
          <t xml:space="preserve">Tenth floor - D6 doors</t>
        </is>
      </c>
      <c r="H5638" s="247">
        <v>16</v>
      </c>
      <c r="J5638" s="253" t="inlineStr">
        <is>
          <t xml:space="preserve">16</t>
        </is>
      </c>
    </row>
    <row r="5639">
      <c r="C5639" s="250" t="inlineStr">
        <is>
          <t xml:space="preserve">Total carried to BOQ  10TH FLR item C</t>
        </is>
      </c>
      <c r="D5639" s="250" t="inlineStr">
        <is>
          <t xml:space="preserve"/>
        </is>
      </c>
      <c r="E5639" s="250" t="inlineStr">
        <is>
          <t xml:space="preserve"/>
        </is>
      </c>
      <c r="F5639" s="250" t="inlineStr">
        <is>
          <t xml:space="preserve"/>
        </is>
      </c>
      <c r="G5639" s="250" t="inlineStr">
        <is>
          <t xml:space="preserve"/>
        </is>
      </c>
      <c r="H5639" s="251">
        <f>SUM(H5638:H5638)</f>
        <v>16</v>
      </c>
      <c r="I5639" s="252" t="inlineStr">
        <is>
          <t xml:space="preserve">nr</t>
        </is>
      </c>
    </row>
    <row r="5640">
      <c r="A5640" s="243" t="inlineStr">
        <is>
          <t xml:space="preserve">10TH FLR</t>
        </is>
      </c>
      <c r="B5640" s="243" t="inlineStr">
        <is>
          <t xml:space="preserve">D</t>
        </is>
      </c>
      <c r="C5640" s="244" t="inlineStr">
        <is>
          <t xml:space="preserve">700mm x 2200mm single-leaf 2-hour fire-rated galvanised steel door (D7)</t>
        </is>
      </c>
      <c r="I5640" s="245" t="inlineStr">
        <is>
          <t xml:space="preserve">nr</t>
        </is>
      </c>
      <c r="K5640" s="256" t="inlineStr">
        <is>
          <t xml:space="preserve">'10TH FLR   '!C113</t>
        </is>
      </c>
    </row>
    <row r="5641">
      <c r="C5641" s="246" t="inlineStr">
        <is>
          <t xml:space="preserve">Tenth floor - HW4</t>
        </is>
      </c>
      <c r="H5641" s="247">
        <v>1</v>
      </c>
      <c r="J5641" s="253" t="inlineStr">
        <is>
          <t xml:space="preserve">1</t>
        </is>
      </c>
    </row>
    <row r="5642">
      <c r="C5642" s="250" t="inlineStr">
        <is>
          <t xml:space="preserve">Total carried to BOQ  10TH FLR item D</t>
        </is>
      </c>
      <c r="D5642" s="250" t="inlineStr">
        <is>
          <t xml:space="preserve"/>
        </is>
      </c>
      <c r="E5642" s="250" t="inlineStr">
        <is>
          <t xml:space="preserve"/>
        </is>
      </c>
      <c r="F5642" s="250" t="inlineStr">
        <is>
          <t xml:space="preserve"/>
        </is>
      </c>
      <c r="G5642" s="250" t="inlineStr">
        <is>
          <t xml:space="preserve"/>
        </is>
      </c>
      <c r="H5642" s="251">
        <f>SUM(H5641:H5641)</f>
        <v>1</v>
      </c>
      <c r="I5642" s="252" t="inlineStr">
        <is>
          <t xml:space="preserve">nr</t>
        </is>
      </c>
    </row>
    <row r="5643" ht="32.2" customHeight="1">
      <c r="A5643" s="243" t="inlineStr">
        <is>
          <t xml:space="preserve">10TH FLR</t>
        </is>
      </c>
      <c r="B5643" s="243" t="inlineStr">
        <is>
          <t xml:space="preserve">E</t>
        </is>
      </c>
      <c r="C5643" s="244" t="inlineStr">
        <is>
          <t xml:space="preserve">1200mm x 2200mm 1-hour fire-rated leaf-and-a-half galvanised steel security door assembly (D8)</t>
        </is>
      </c>
      <c r="I5643" s="245" t="inlineStr">
        <is>
          <t xml:space="preserve">nr</t>
        </is>
      </c>
      <c r="K5643" s="256" t="inlineStr">
        <is>
          <t xml:space="preserve">'10TH FLR   '!C115</t>
        </is>
      </c>
    </row>
    <row r="5644">
      <c r="C5644" s="246" t="inlineStr">
        <is>
          <t xml:space="preserve">Tenth floor - W17</t>
        </is>
      </c>
      <c r="H5644" s="247">
        <v>2</v>
      </c>
      <c r="J5644" s="253" t="inlineStr">
        <is>
          <t xml:space="preserve">2</t>
        </is>
      </c>
    </row>
    <row r="5645">
      <c r="C5645" s="250" t="inlineStr">
        <is>
          <t xml:space="preserve">Total carried to BOQ  10TH FLR item E</t>
        </is>
      </c>
      <c r="D5645" s="250" t="inlineStr">
        <is>
          <t xml:space="preserve"/>
        </is>
      </c>
      <c r="E5645" s="250" t="inlineStr">
        <is>
          <t xml:space="preserve"/>
        </is>
      </c>
      <c r="F5645" s="250" t="inlineStr">
        <is>
          <t xml:space="preserve"/>
        </is>
      </c>
      <c r="G5645" s="250" t="inlineStr">
        <is>
          <t xml:space="preserve"/>
        </is>
      </c>
      <c r="H5645" s="251">
        <f>SUM(H5644:H5644)</f>
        <v>2</v>
      </c>
      <c r="I5645" s="252" t="inlineStr">
        <is>
          <t xml:space="preserve">nr</t>
        </is>
      </c>
    </row>
    <row r="5646" ht="32.2" customHeight="1">
      <c r="A5646" s="243" t="inlineStr">
        <is>
          <t xml:space="preserve">10TH FLR</t>
        </is>
      </c>
      <c r="B5646" s="243" t="inlineStr">
        <is>
          <t xml:space="preserve">F</t>
        </is>
      </c>
      <c r="C5646" s="244" t="inlineStr">
        <is>
          <t xml:space="preserve">1000mm x 2200mm 1-hour fire-rated galvanised steel single-leaf security door assembly - emergency stairs (ED1)</t>
        </is>
      </c>
      <c r="I5646" s="245" t="inlineStr">
        <is>
          <t xml:space="preserve">nr</t>
        </is>
      </c>
      <c r="K5646" s="256" t="inlineStr">
        <is>
          <t xml:space="preserve">'10TH FLR   '!C117</t>
        </is>
      </c>
    </row>
    <row r="5647">
      <c r="C5647" s="246" t="inlineStr">
        <is>
          <t xml:space="preserve">Tenth floor - W17</t>
        </is>
      </c>
      <c r="H5647" s="247">
        <v>2</v>
      </c>
      <c r="J5647" s="253" t="inlineStr">
        <is>
          <t xml:space="preserve">2</t>
        </is>
      </c>
    </row>
    <row r="5648">
      <c r="C5648" s="250" t="inlineStr">
        <is>
          <t xml:space="preserve">Total carried to BOQ  10TH FLR item F</t>
        </is>
      </c>
      <c r="D5648" s="250" t="inlineStr">
        <is>
          <t xml:space="preserve"/>
        </is>
      </c>
      <c r="E5648" s="250" t="inlineStr">
        <is>
          <t xml:space="preserve"/>
        </is>
      </c>
      <c r="F5648" s="250" t="inlineStr">
        <is>
          <t xml:space="preserve"/>
        </is>
      </c>
      <c r="G5648" s="250" t="inlineStr">
        <is>
          <t xml:space="preserve"/>
        </is>
      </c>
      <c r="H5648" s="251">
        <f>SUM(H5647:H5647)</f>
        <v>2</v>
      </c>
      <c r="I5648" s="252" t="inlineStr">
        <is>
          <t xml:space="preserve">nr</t>
        </is>
      </c>
    </row>
    <row r="5649" ht="32.2" customHeight="1">
      <c r="A5649" s="243" t="inlineStr">
        <is>
          <t xml:space="preserve">10TH FLR</t>
        </is>
      </c>
      <c r="B5649" s="243" t="inlineStr">
        <is>
          <t xml:space="preserve">G</t>
        </is>
      </c>
      <c r="C5649" s="244" t="inlineStr">
        <is>
          <t xml:space="preserve">1000mm x 2200mm 1-hour fire-rated galvanised steel single-leaf security door with translucent glass panel (ED2)</t>
        </is>
      </c>
      <c r="I5649" s="245" t="inlineStr">
        <is>
          <t xml:space="preserve">nr</t>
        </is>
      </c>
      <c r="K5649" s="256" t="inlineStr">
        <is>
          <t xml:space="preserve">'10TH FLR   '!C119</t>
        </is>
      </c>
    </row>
    <row r="5650">
      <c r="C5650" s="246" t="inlineStr">
        <is>
          <t xml:space="preserve">Tenth floor - W17</t>
        </is>
      </c>
      <c r="H5650" s="247">
        <v>2</v>
      </c>
      <c r="J5650" s="253" t="inlineStr">
        <is>
          <t xml:space="preserve">2</t>
        </is>
      </c>
    </row>
    <row r="5651">
      <c r="C5651" s="250" t="inlineStr">
        <is>
          <t xml:space="preserve">Total carried to BOQ  10TH FLR item G</t>
        </is>
      </c>
      <c r="D5651" s="250" t="inlineStr">
        <is>
          <t xml:space="preserve"/>
        </is>
      </c>
      <c r="E5651" s="250" t="inlineStr">
        <is>
          <t xml:space="preserve"/>
        </is>
      </c>
      <c r="F5651" s="250" t="inlineStr">
        <is>
          <t xml:space="preserve"/>
        </is>
      </c>
      <c r="G5651" s="250" t="inlineStr">
        <is>
          <t xml:space="preserve"/>
        </is>
      </c>
      <c r="H5651" s="251">
        <f>SUM(H5650:H5650)</f>
        <v>2</v>
      </c>
      <c r="I5651" s="252" t="inlineStr">
        <is>
          <t xml:space="preserve">nr</t>
        </is>
      </c>
    </row>
    <row r="5652" ht="32.2" customHeight="1">
      <c r="A5652" s="243" t="inlineStr">
        <is>
          <t xml:space="preserve">10TH FLR</t>
        </is>
      </c>
      <c r="B5652" s="243" t="inlineStr">
        <is>
          <t xml:space="preserve">H</t>
        </is>
      </c>
      <c r="C5652" s="244" t="inlineStr">
        <is>
          <t xml:space="preserve">900mm x 2200mm 1-hour fire-rated galvanised steel single-leaf security door assembly (D9)</t>
        </is>
      </c>
      <c r="I5652" s="245" t="inlineStr">
        <is>
          <t xml:space="preserve">nr</t>
        </is>
      </c>
      <c r="K5652" s="256" t="inlineStr">
        <is>
          <t xml:space="preserve">'10TH FLR   '!C121</t>
        </is>
      </c>
    </row>
    <row r="5653">
      <c r="C5653" s="246" t="inlineStr">
        <is>
          <t xml:space="preserve">Tenth floor - HW4</t>
        </is>
      </c>
      <c r="H5653" s="247">
        <v>1</v>
      </c>
      <c r="J5653" s="253" t="inlineStr">
        <is>
          <t xml:space="preserve">1</t>
        </is>
      </c>
    </row>
    <row r="5654">
      <c r="C5654" s="250" t="inlineStr">
        <is>
          <t xml:space="preserve">Total carried to BOQ  10TH FLR item H</t>
        </is>
      </c>
      <c r="D5654" s="250" t="inlineStr">
        <is>
          <t xml:space="preserve"/>
        </is>
      </c>
      <c r="E5654" s="250" t="inlineStr">
        <is>
          <t xml:space="preserve"/>
        </is>
      </c>
      <c r="F5654" s="250" t="inlineStr">
        <is>
          <t xml:space="preserve"/>
        </is>
      </c>
      <c r="G5654" s="250" t="inlineStr">
        <is>
          <t xml:space="preserve"/>
        </is>
      </c>
      <c r="H5654" s="251">
        <f>SUM(H5653:H5653)</f>
        <v>1</v>
      </c>
      <c r="I5654" s="252" t="inlineStr">
        <is>
          <t xml:space="preserve">nr</t>
        </is>
      </c>
    </row>
    <row r="5655">
      <c r="A5655" s="243" t="inlineStr">
        <is>
          <t xml:space="preserve">10TH FLR</t>
        </is>
      </c>
      <c r="B5655" s="243" t="inlineStr">
        <is>
          <t xml:space="preserve">J</t>
        </is>
      </c>
      <c r="C5655" s="244" t="inlineStr">
        <is>
          <t xml:space="preserve">1500mm x 2200mm timber bi-fold door (FD1)</t>
        </is>
      </c>
      <c r="I5655" s="245" t="inlineStr">
        <is>
          <t xml:space="preserve">nr</t>
        </is>
      </c>
      <c r="K5655" s="256" t="inlineStr">
        <is>
          <t xml:space="preserve">'10TH FLR   '!C123</t>
        </is>
      </c>
    </row>
    <row r="5656">
      <c r="C5656" s="246" t="inlineStr">
        <is>
          <t xml:space="preserve">Tenth floor - HW4</t>
        </is>
      </c>
      <c r="H5656" s="247">
        <v>1</v>
      </c>
      <c r="J5656" s="253" t="inlineStr">
        <is>
          <t xml:space="preserve">1</t>
        </is>
      </c>
    </row>
    <row r="5657">
      <c r="C5657" s="250" t="inlineStr">
        <is>
          <t xml:space="preserve">Total carried to BOQ  10TH FLR item J</t>
        </is>
      </c>
      <c r="D5657" s="250" t="inlineStr">
        <is>
          <t xml:space="preserve"/>
        </is>
      </c>
      <c r="E5657" s="250" t="inlineStr">
        <is>
          <t xml:space="preserve"/>
        </is>
      </c>
      <c r="F5657" s="250" t="inlineStr">
        <is>
          <t xml:space="preserve"/>
        </is>
      </c>
      <c r="G5657" s="250" t="inlineStr">
        <is>
          <t xml:space="preserve"/>
        </is>
      </c>
      <c r="H5657" s="251">
        <f>SUM(H5656:H5656)</f>
        <v>1</v>
      </c>
      <c r="I5657" s="252" t="inlineStr">
        <is>
          <t xml:space="preserve">nr</t>
        </is>
      </c>
    </row>
    <row r="5658">
      <c r="A5658" s="243" t="inlineStr">
        <is>
          <t xml:space="preserve">10TH FLR</t>
        </is>
      </c>
      <c r="B5658" s="243" t="inlineStr">
        <is>
          <t xml:space="preserve">K</t>
        </is>
      </c>
      <c r="C5658" s="244" t="inlineStr">
        <is>
          <t xml:space="preserve">900mm x 2200mm screw-fixed galvanised steel service access panel (M1)</t>
        </is>
      </c>
      <c r="I5658" s="245" t="inlineStr">
        <is>
          <t xml:space="preserve">nr</t>
        </is>
      </c>
      <c r="K5658" s="256" t="inlineStr">
        <is>
          <t xml:space="preserve">'10TH FLR   '!C125</t>
        </is>
      </c>
    </row>
    <row r="5659">
      <c r="C5659" s="246" t="inlineStr">
        <is>
          <t xml:space="preserve">Tenth floor - W17</t>
        </is>
      </c>
      <c r="H5659" s="247">
        <v>2</v>
      </c>
      <c r="J5659" s="253" t="inlineStr">
        <is>
          <t xml:space="preserve">2</t>
        </is>
      </c>
    </row>
    <row r="5660">
      <c r="C5660" s="250" t="inlineStr">
        <is>
          <t xml:space="preserve">Total carried to BOQ  10TH FLR item K</t>
        </is>
      </c>
      <c r="D5660" s="250" t="inlineStr">
        <is>
          <t xml:space="preserve"/>
        </is>
      </c>
      <c r="E5660" s="250" t="inlineStr">
        <is>
          <t xml:space="preserve"/>
        </is>
      </c>
      <c r="F5660" s="250" t="inlineStr">
        <is>
          <t xml:space="preserve"/>
        </is>
      </c>
      <c r="G5660" s="250" t="inlineStr">
        <is>
          <t xml:space="preserve"/>
        </is>
      </c>
      <c r="H5660" s="251">
        <f>SUM(H5659:H5659)</f>
        <v>2</v>
      </c>
      <c r="I5660" s="252" t="inlineStr">
        <is>
          <t xml:space="preserve">nr</t>
        </is>
      </c>
    </row>
    <row r="5661">
      <c r="A5661" s="243" t="inlineStr">
        <is>
          <t xml:space="preserve">10TH FLR</t>
        </is>
      </c>
      <c r="B5661" s="243" t="inlineStr">
        <is>
          <t xml:space="preserve">L</t>
        </is>
      </c>
      <c r="C5661" s="244" t="inlineStr">
        <is>
          <t xml:space="preserve">750mm x 2200mm screw-fixed galvanised steel service access panel (M2)</t>
        </is>
      </c>
      <c r="I5661" s="245" t="inlineStr">
        <is>
          <t xml:space="preserve">nr</t>
        </is>
      </c>
      <c r="K5661" s="256" t="inlineStr">
        <is>
          <t xml:space="preserve">'10TH FLR   '!C127</t>
        </is>
      </c>
    </row>
    <row r="5662">
      <c r="C5662" s="246" t="inlineStr">
        <is>
          <t xml:space="preserve">Tenth floor - HW2</t>
        </is>
      </c>
      <c r="H5662" s="247">
        <v>4</v>
      </c>
      <c r="J5662" s="253" t="inlineStr">
        <is>
          <t xml:space="preserve">4</t>
        </is>
      </c>
    </row>
    <row r="5663">
      <c r="C5663" s="250" t="inlineStr">
        <is>
          <t xml:space="preserve">Total carried to BOQ  10TH FLR item L</t>
        </is>
      </c>
      <c r="D5663" s="250" t="inlineStr">
        <is>
          <t xml:space="preserve"/>
        </is>
      </c>
      <c r="E5663" s="250" t="inlineStr">
        <is>
          <t xml:space="preserve"/>
        </is>
      </c>
      <c r="F5663" s="250" t="inlineStr">
        <is>
          <t xml:space="preserve"/>
        </is>
      </c>
      <c r="G5663" s="250" t="inlineStr">
        <is>
          <t xml:space="preserve"/>
        </is>
      </c>
      <c r="H5663" s="251">
        <f>SUM(H5662:H5662)</f>
        <v>4</v>
      </c>
      <c r="I5663" s="252" t="inlineStr">
        <is>
          <t xml:space="preserve">nr</t>
        </is>
      </c>
    </row>
    <row r="5664">
      <c r="A5664" s="243" t="inlineStr">
        <is>
          <t xml:space="preserve">10TH FLR</t>
        </is>
      </c>
      <c r="B5664" s="243" t="inlineStr">
        <is>
          <t xml:space="preserve">M</t>
        </is>
      </c>
      <c r="C5664" s="244" t="inlineStr">
        <is>
          <t xml:space="preserve">450mm x 2200mm screw-fixed galvanised steel service access panel (M3)</t>
        </is>
      </c>
      <c r="I5664" s="245" t="inlineStr">
        <is>
          <t xml:space="preserve">nr</t>
        </is>
      </c>
      <c r="K5664" s="256" t="inlineStr">
        <is>
          <t xml:space="preserve">'10TH FLR   '!C129</t>
        </is>
      </c>
    </row>
    <row r="5665">
      <c r="C5665" s="246" t="inlineStr">
        <is>
          <t xml:space="preserve">Tenth floor - HW4</t>
        </is>
      </c>
      <c r="H5665" s="247">
        <v>1</v>
      </c>
      <c r="J5665" s="253" t="inlineStr">
        <is>
          <t xml:space="preserve">1</t>
        </is>
      </c>
    </row>
    <row r="5666">
      <c r="C5666" s="250" t="inlineStr">
        <is>
          <t xml:space="preserve">Total carried to BOQ  10TH FLR item M</t>
        </is>
      </c>
      <c r="D5666" s="250" t="inlineStr">
        <is>
          <t xml:space="preserve"/>
        </is>
      </c>
      <c r="E5666" s="250" t="inlineStr">
        <is>
          <t xml:space="preserve"/>
        </is>
      </c>
      <c r="F5666" s="250" t="inlineStr">
        <is>
          <t xml:space="preserve"/>
        </is>
      </c>
      <c r="G5666" s="250" t="inlineStr">
        <is>
          <t xml:space="preserve"/>
        </is>
      </c>
      <c r="H5666" s="251">
        <f>SUM(H5665:H5665)</f>
        <v>1</v>
      </c>
      <c r="I5666" s="252" t="inlineStr">
        <is>
          <t xml:space="preserve">nr</t>
        </is>
      </c>
    </row>
    <row r="5667">
      <c r="A5667" s="243" t="inlineStr">
        <is>
          <t xml:space="preserve">10TH FLR</t>
        </is>
      </c>
      <c r="B5667" s="243" t="inlineStr">
        <is>
          <t xml:space="preserve">N</t>
        </is>
      </c>
      <c r="C5667" s="244" t="inlineStr">
        <is>
          <t xml:space="preserve">600mm x 2200mm screw-fixed galvanised steel service access panel (M5)</t>
        </is>
      </c>
      <c r="I5667" s="245" t="inlineStr">
        <is>
          <t xml:space="preserve">nr</t>
        </is>
      </c>
      <c r="K5667" s="256" t="inlineStr">
        <is>
          <t xml:space="preserve">'10TH FLR   '!C131</t>
        </is>
      </c>
    </row>
    <row r="5668">
      <c r="C5668" s="246" t="inlineStr">
        <is>
          <t xml:space="preserve">Tenth floor - W12</t>
        </is>
      </c>
      <c r="H5668" s="247">
        <v>3</v>
      </c>
      <c r="J5668" s="253" t="inlineStr">
        <is>
          <t xml:space="preserve">3</t>
        </is>
      </c>
    </row>
    <row r="5669">
      <c r="C5669" s="250" t="inlineStr">
        <is>
          <t xml:space="preserve">Total carried to BOQ  10TH FLR item N</t>
        </is>
      </c>
      <c r="D5669" s="250" t="inlineStr">
        <is>
          <t xml:space="preserve"/>
        </is>
      </c>
      <c r="E5669" s="250" t="inlineStr">
        <is>
          <t xml:space="preserve"/>
        </is>
      </c>
      <c r="F5669" s="250" t="inlineStr">
        <is>
          <t xml:space="preserve"/>
        </is>
      </c>
      <c r="G5669" s="250" t="inlineStr">
        <is>
          <t xml:space="preserve"/>
        </is>
      </c>
      <c r="H5669" s="251">
        <f>SUM(H5668:H5668)</f>
        <v>3</v>
      </c>
      <c r="I5669" s="252" t="inlineStr">
        <is>
          <t xml:space="preserve">nr</t>
        </is>
      </c>
    </row>
    <row r="5670" ht="32.2" customHeight="1">
      <c r="A5670" s="243" t="inlineStr">
        <is>
          <t xml:space="preserve">10TH FLR</t>
        </is>
      </c>
      <c r="B5670" s="243" t="inlineStr">
        <is>
          <t xml:space="preserve">P</t>
        </is>
      </c>
      <c r="C5670" s="244" t="inlineStr">
        <is>
          <t xml:space="preserve">3000mm x 2200mm 3-panel galvanised steel framed tempered glass sliding door (SD1)</t>
        </is>
      </c>
      <c r="I5670" s="245" t="inlineStr">
        <is>
          <t xml:space="preserve">nr</t>
        </is>
      </c>
      <c r="K5670" s="256" t="inlineStr">
        <is>
          <t xml:space="preserve">'10TH FLR   '!C133</t>
        </is>
      </c>
    </row>
    <row r="5671">
      <c r="C5671" s="246" t="inlineStr">
        <is>
          <t xml:space="preserve">Tenth floor - HW4</t>
        </is>
      </c>
      <c r="H5671" s="247">
        <v>1</v>
      </c>
      <c r="J5671" s="253" t="inlineStr">
        <is>
          <t xml:space="preserve">1</t>
        </is>
      </c>
    </row>
    <row r="5672">
      <c r="C5672" s="250" t="inlineStr">
        <is>
          <t xml:space="preserve">Total carried to BOQ  10TH FLR item P</t>
        </is>
      </c>
      <c r="D5672" s="250" t="inlineStr">
        <is>
          <t xml:space="preserve"/>
        </is>
      </c>
      <c r="E5672" s="250" t="inlineStr">
        <is>
          <t xml:space="preserve"/>
        </is>
      </c>
      <c r="F5672" s="250" t="inlineStr">
        <is>
          <t xml:space="preserve"/>
        </is>
      </c>
      <c r="G5672" s="250" t="inlineStr">
        <is>
          <t xml:space="preserve"/>
        </is>
      </c>
      <c r="H5672" s="251">
        <f>SUM(H5671:H5671)</f>
        <v>1</v>
      </c>
      <c r="I5672" s="252" t="inlineStr">
        <is>
          <t xml:space="preserve">nr</t>
        </is>
      </c>
    </row>
    <row r="5673" ht="32.2" customHeight="1">
      <c r="A5673" s="243" t="inlineStr">
        <is>
          <t xml:space="preserve">10TH FLR</t>
        </is>
      </c>
      <c r="B5673" s="243" t="inlineStr">
        <is>
          <t xml:space="preserve">Q</t>
        </is>
      </c>
      <c r="C5673" s="244" t="inlineStr">
        <is>
          <t xml:space="preserve">1600mm x 2200mm 2-panel galvanised steel framed tempered glass sliding door (SD2)</t>
        </is>
      </c>
      <c r="I5673" s="245" t="inlineStr">
        <is>
          <t xml:space="preserve">nr</t>
        </is>
      </c>
      <c r="K5673" s="256" t="inlineStr">
        <is>
          <t xml:space="preserve">'10TH FLR   '!C135</t>
        </is>
      </c>
    </row>
    <row r="5674">
      <c r="C5674" s="246" t="inlineStr">
        <is>
          <t xml:space="preserve">Tenth floor - W12</t>
        </is>
      </c>
      <c r="H5674" s="247">
        <v>3</v>
      </c>
      <c r="J5674" s="253" t="inlineStr">
        <is>
          <t xml:space="preserve">3</t>
        </is>
      </c>
    </row>
    <row r="5675">
      <c r="C5675" s="250" t="inlineStr">
        <is>
          <t xml:space="preserve">Total carried to BOQ  10TH FLR item Q</t>
        </is>
      </c>
      <c r="D5675" s="250" t="inlineStr">
        <is>
          <t xml:space="preserve"/>
        </is>
      </c>
      <c r="E5675" s="250" t="inlineStr">
        <is>
          <t xml:space="preserve"/>
        </is>
      </c>
      <c r="F5675" s="250" t="inlineStr">
        <is>
          <t xml:space="preserve"/>
        </is>
      </c>
      <c r="G5675" s="250" t="inlineStr">
        <is>
          <t xml:space="preserve"/>
        </is>
      </c>
      <c r="H5675" s="251">
        <f>SUM(H5674:H5674)</f>
        <v>3</v>
      </c>
      <c r="I5675" s="252" t="inlineStr">
        <is>
          <t xml:space="preserve">nr</t>
        </is>
      </c>
    </row>
    <row r="5676" ht="32.2" customHeight="1">
      <c r="A5676" s="243" t="inlineStr">
        <is>
          <t xml:space="preserve">10TH FLR</t>
        </is>
      </c>
      <c r="B5676" s="243" t="inlineStr">
        <is>
          <t xml:space="preserve">R</t>
        </is>
      </c>
      <c r="C5676" s="244" t="inlineStr">
        <is>
          <t xml:space="preserve">1300mm x 2200mm 2-panel galvanised steel framed tempered glass sliding door (SD3)</t>
        </is>
      </c>
      <c r="I5676" s="245" t="inlineStr">
        <is>
          <t xml:space="preserve">nr</t>
        </is>
      </c>
      <c r="K5676" s="256" t="inlineStr">
        <is>
          <t xml:space="preserve">'10TH FLR   '!C137</t>
        </is>
      </c>
    </row>
    <row r="5677">
      <c r="C5677" s="246" t="inlineStr">
        <is>
          <t xml:space="preserve">Tenth floor - W17</t>
        </is>
      </c>
      <c r="H5677" s="247">
        <v>2</v>
      </c>
      <c r="J5677" s="253" t="inlineStr">
        <is>
          <t xml:space="preserve">2</t>
        </is>
      </c>
    </row>
    <row r="5678">
      <c r="C5678" s="250" t="inlineStr">
        <is>
          <t xml:space="preserve">Total carried to BOQ  10TH FLR item R</t>
        </is>
      </c>
      <c r="D5678" s="250" t="inlineStr">
        <is>
          <t xml:space="preserve"/>
        </is>
      </c>
      <c r="E5678" s="250" t="inlineStr">
        <is>
          <t xml:space="preserve"/>
        </is>
      </c>
      <c r="F5678" s="250" t="inlineStr">
        <is>
          <t xml:space="preserve"/>
        </is>
      </c>
      <c r="G5678" s="250" t="inlineStr">
        <is>
          <t xml:space="preserve"/>
        </is>
      </c>
      <c r="H5678" s="251">
        <f>SUM(H5677:H5677)</f>
        <v>2</v>
      </c>
      <c r="I5678" s="252" t="inlineStr">
        <is>
          <t xml:space="preserve">nr</t>
        </is>
      </c>
    </row>
    <row r="5679" ht="32.2" customHeight="1">
      <c r="A5679" s="243" t="inlineStr">
        <is>
          <t xml:space="preserve">10TH FLR</t>
        </is>
      </c>
      <c r="B5679" s="243" t="inlineStr">
        <is>
          <t xml:space="preserve">S</t>
        </is>
      </c>
      <c r="C5679" s="244" t="inlineStr">
        <is>
          <t xml:space="preserve">1800mm x 2200mm 2-panel galvanised steel framed tempered glass sliding door (SD4)</t>
        </is>
      </c>
      <c r="I5679" s="245" t="inlineStr">
        <is>
          <t xml:space="preserve">nr</t>
        </is>
      </c>
      <c r="K5679" s="256" t="inlineStr">
        <is>
          <t xml:space="preserve">'10TH FLR   '!C139</t>
        </is>
      </c>
    </row>
    <row r="5680">
      <c r="C5680" s="246" t="inlineStr">
        <is>
          <t xml:space="preserve">Tenth floor - W12</t>
        </is>
      </c>
      <c r="H5680" s="247">
        <v>3</v>
      </c>
      <c r="J5680" s="253" t="inlineStr">
        <is>
          <t xml:space="preserve">3</t>
        </is>
      </c>
    </row>
    <row r="5681">
      <c r="C5681" s="250" t="inlineStr">
        <is>
          <t xml:space="preserve">Total carried to BOQ  10TH FLR item S</t>
        </is>
      </c>
      <c r="D5681" s="250" t="inlineStr">
        <is>
          <t xml:space="preserve"/>
        </is>
      </c>
      <c r="E5681" s="250" t="inlineStr">
        <is>
          <t xml:space="preserve"/>
        </is>
      </c>
      <c r="F5681" s="250" t="inlineStr">
        <is>
          <t xml:space="preserve"/>
        </is>
      </c>
      <c r="G5681" s="250" t="inlineStr">
        <is>
          <t xml:space="preserve"/>
        </is>
      </c>
      <c r="H5681" s="251">
        <f>SUM(H5680:H5680)</f>
        <v>3</v>
      </c>
      <c r="I5681" s="252" t="inlineStr">
        <is>
          <t xml:space="preserve">nr</t>
        </is>
      </c>
    </row>
    <row r="5682" ht="32.2" customHeight="1">
      <c r="A5682" s="243" t="inlineStr">
        <is>
          <t xml:space="preserve">10TH FLR</t>
        </is>
      </c>
      <c r="B5682" s="243" t="inlineStr">
        <is>
          <t xml:space="preserve">T</t>
        </is>
      </c>
      <c r="C5682" s="244" t="inlineStr">
        <is>
          <t xml:space="preserve">1200mm x 2200mm 2-panel galvanised steel framed tempered glass sliding door (SD5)</t>
        </is>
      </c>
      <c r="I5682" s="245" t="inlineStr">
        <is>
          <t xml:space="preserve">nr</t>
        </is>
      </c>
      <c r="K5682" s="256" t="inlineStr">
        <is>
          <t xml:space="preserve">'10TH FLR   '!C141</t>
        </is>
      </c>
    </row>
    <row r="5683">
      <c r="C5683" s="246" t="inlineStr">
        <is>
          <t xml:space="preserve">Tenth floor - HW4</t>
        </is>
      </c>
      <c r="H5683" s="247">
        <v>1</v>
      </c>
      <c r="J5683" s="253" t="inlineStr">
        <is>
          <t xml:space="preserve">1</t>
        </is>
      </c>
    </row>
    <row r="5684">
      <c r="C5684" s="250" t="inlineStr">
        <is>
          <t xml:space="preserve">Total carried to BOQ  10TH FLR item T</t>
        </is>
      </c>
      <c r="D5684" s="250" t="inlineStr">
        <is>
          <t xml:space="preserve"/>
        </is>
      </c>
      <c r="E5684" s="250" t="inlineStr">
        <is>
          <t xml:space="preserve"/>
        </is>
      </c>
      <c r="F5684" s="250" t="inlineStr">
        <is>
          <t xml:space="preserve"/>
        </is>
      </c>
      <c r="G5684" s="250" t="inlineStr">
        <is>
          <t xml:space="preserve"/>
        </is>
      </c>
      <c r="H5684" s="251">
        <f>SUM(H5683:H5683)</f>
        <v>1</v>
      </c>
      <c r="I5684" s="252" t="inlineStr">
        <is>
          <t xml:space="preserve">nr</t>
        </is>
      </c>
    </row>
    <row r="5685">
      <c r="A5685" s="243" t="inlineStr">
        <is>
          <t xml:space="preserve">10TH FLR</t>
        </is>
      </c>
      <c r="B5685" s="243" t="inlineStr">
        <is>
          <t xml:space="preserve">U</t>
        </is>
      </c>
      <c r="C5685" s="244" t="inlineStr">
        <is>
          <t xml:space="preserve">50mm x 150mm frames (to timber doors)</t>
        </is>
      </c>
      <c r="I5685" s="245" t="inlineStr">
        <is>
          <t xml:space="preserve">m</t>
        </is>
      </c>
      <c r="K5685" s="256" t="inlineStr">
        <is>
          <t xml:space="preserve">'10TH FLR   '!C143</t>
        </is>
      </c>
    </row>
    <row r="5686">
      <c r="C5686" s="246" t="inlineStr">
        <is>
          <t xml:space="preserve">Door : nr x (2 x ht + width)</t>
        </is>
      </c>
      <c r="D5686" s="248">
        <v>11</v>
      </c>
      <c r="E5686" s="247">
        <f>2*2.2+0.9</f>
        <v>5.300000000000001</v>
      </c>
      <c r="H5686" s="249">
        <f>PRODUCT(D5686:G5686)</f>
        <v>58.30000000000001</v>
      </c>
      <c r="J5686" s="253" t="inlineStr">
        <is>
          <t xml:space="preserve">11*(2*2.2+0.9)</t>
        </is>
      </c>
    </row>
    <row r="5687">
      <c r="C5687" s="246" t="inlineStr">
        <is>
          <t xml:space="preserve">Door : nr x (2 x ht + width)</t>
        </is>
      </c>
      <c r="D5687" s="248">
        <v>16</v>
      </c>
      <c r="E5687" s="247">
        <f>2*2.2+0.75</f>
        <v>5.15</v>
      </c>
      <c r="H5687" s="249">
        <f>PRODUCT(D5687:G5687)</f>
        <v>82.4</v>
      </c>
      <c r="J5687" s="253" t="inlineStr">
        <is>
          <t xml:space="preserve">16*(2*2.2+0.75)</t>
        </is>
      </c>
    </row>
    <row r="5688">
      <c r="C5688" s="246" t="inlineStr">
        <is>
          <t xml:space="preserve">Door : nr x (2 x ht + width)</t>
        </is>
      </c>
      <c r="D5688" s="248">
        <v>1</v>
      </c>
      <c r="E5688" s="247">
        <f>2*2.2+1.5</f>
        <v>5.9</v>
      </c>
      <c r="H5688" s="249">
        <f>PRODUCT(D5688:G5688)</f>
        <v>5.9</v>
      </c>
      <c r="J5688" s="253" t="inlineStr">
        <is>
          <t xml:space="preserve">1*(2*2.2+1.5)</t>
        </is>
      </c>
    </row>
    <row r="5689">
      <c r="C5689" s="250" t="inlineStr">
        <is>
          <t xml:space="preserve">Total carried to BOQ  10TH FLR item U</t>
        </is>
      </c>
      <c r="D5689" s="250" t="inlineStr">
        <is>
          <t xml:space="preserve"/>
        </is>
      </c>
      <c r="E5689" s="250" t="inlineStr">
        <is>
          <t xml:space="preserve"/>
        </is>
      </c>
      <c r="F5689" s="250" t="inlineStr">
        <is>
          <t xml:space="preserve"/>
        </is>
      </c>
      <c r="G5689" s="250" t="inlineStr">
        <is>
          <t xml:space="preserve"/>
        </is>
      </c>
      <c r="H5689" s="251">
        <f>SUM(H5686:H5688)</f>
        <v>146.60000000000002</v>
      </c>
      <c r="I5689" s="252" t="inlineStr">
        <is>
          <t xml:space="preserve">m</t>
        </is>
      </c>
    </row>
    <row r="5690">
      <c r="A5690" s="243" t="inlineStr">
        <is>
          <t xml:space="preserve">10TH FLR</t>
        </is>
      </c>
      <c r="B5690" s="243" t="inlineStr">
        <is>
          <t xml:space="preserve">V</t>
        </is>
      </c>
      <c r="C5690" s="244" t="inlineStr">
        <is>
          <t xml:space="preserve">50mm x 12mm door stop</t>
        </is>
      </c>
      <c r="I5690" s="245" t="inlineStr">
        <is>
          <t xml:space="preserve">m</t>
        </is>
      </c>
      <c r="K5690" s="256" t="inlineStr">
        <is>
          <t xml:space="preserve">'10TH FLR   '!C145</t>
        </is>
      </c>
    </row>
    <row r="5691">
      <c r="C5691" s="246" t="inlineStr">
        <is>
          <t xml:space="preserve">Door : nr x (2 x ht + width)</t>
        </is>
      </c>
      <c r="D5691" s="248">
        <v>11</v>
      </c>
      <c r="E5691" s="247">
        <f>2*2.2+0.9</f>
        <v>5.300000000000001</v>
      </c>
      <c r="H5691" s="249">
        <f>PRODUCT(D5691:G5691)</f>
        <v>58.30000000000001</v>
      </c>
      <c r="J5691" s="253" t="inlineStr">
        <is>
          <t xml:space="preserve">11*(2*2.2+0.9)</t>
        </is>
      </c>
    </row>
    <row r="5692">
      <c r="C5692" s="246" t="inlineStr">
        <is>
          <t xml:space="preserve">Door : nr x (2 x ht + width)</t>
        </is>
      </c>
      <c r="D5692" s="248">
        <v>16</v>
      </c>
      <c r="E5692" s="247">
        <f>2*2.2+0.75</f>
        <v>5.15</v>
      </c>
      <c r="H5692" s="249">
        <f>PRODUCT(D5692:G5692)</f>
        <v>82.4</v>
      </c>
      <c r="J5692" s="253" t="inlineStr">
        <is>
          <t xml:space="preserve">16*(2*2.2+0.75)</t>
        </is>
      </c>
    </row>
    <row r="5693">
      <c r="C5693" s="246" t="inlineStr">
        <is>
          <t xml:space="preserve">Door : nr x (2 x ht + width)</t>
        </is>
      </c>
      <c r="D5693" s="248">
        <v>1</v>
      </c>
      <c r="E5693" s="247">
        <f>2*2.2+1.5</f>
        <v>5.9</v>
      </c>
      <c r="H5693" s="249">
        <f>PRODUCT(D5693:G5693)</f>
        <v>5.9</v>
      </c>
      <c r="J5693" s="253" t="inlineStr">
        <is>
          <t xml:space="preserve">1*(2*2.2+1.5)</t>
        </is>
      </c>
    </row>
    <row r="5694">
      <c r="C5694" s="250" t="inlineStr">
        <is>
          <t xml:space="preserve">Total carried to BOQ  10TH FLR item V</t>
        </is>
      </c>
      <c r="D5694" s="250" t="inlineStr">
        <is>
          <t xml:space="preserve"/>
        </is>
      </c>
      <c r="E5694" s="250" t="inlineStr">
        <is>
          <t xml:space="preserve"/>
        </is>
      </c>
      <c r="F5694" s="250" t="inlineStr">
        <is>
          <t xml:space="preserve"/>
        </is>
      </c>
      <c r="G5694" s="250" t="inlineStr">
        <is>
          <t xml:space="preserve"/>
        </is>
      </c>
      <c r="H5694" s="251">
        <f>SUM(H5691:H5693)</f>
        <v>146.60000000000002</v>
      </c>
      <c r="I5694" s="252" t="inlineStr">
        <is>
          <t xml:space="preserve">m</t>
        </is>
      </c>
    </row>
    <row r="5695">
      <c r="C5695" s="242" t="inlineStr">
        <is>
          <t xml:space="preserve">Ironmongery - Supply and fix the following approved ironmongery to hardwood with accompanying patented screws:</t>
        </is>
      </c>
    </row>
    <row r="5696">
      <c r="A5696" s="243" t="inlineStr">
        <is>
          <t xml:space="preserve">10TH FLR</t>
        </is>
      </c>
      <c r="B5696" s="243" t="inlineStr">
        <is>
          <t xml:space="preserve">W</t>
        </is>
      </c>
      <c r="C5696" s="244" t="inlineStr">
        <is>
          <t xml:space="preserve">Pair 100mm brass butt hinges</t>
        </is>
      </c>
      <c r="I5696" s="245" t="inlineStr">
        <is>
          <t xml:space="preserve">pr</t>
        </is>
      </c>
      <c r="K5696" s="256" t="inlineStr">
        <is>
          <t xml:space="preserve">'10TH FLR   '!C150</t>
        </is>
      </c>
    </row>
    <row r="5697">
      <c r="C5697" s="246" t="inlineStr">
        <is>
          <t xml:space="preserve">Tenth floor - Timber door leaves x 1.5 pairs</t>
        </is>
      </c>
      <c r="H5697" s="247">
        <v>41</v>
      </c>
      <c r="J5697" s="253" t="inlineStr">
        <is>
          <t xml:space="preserve">41</t>
        </is>
      </c>
    </row>
    <row r="5698">
      <c r="C5698" s="250" t="inlineStr">
        <is>
          <t xml:space="preserve">Total carried to BOQ  10TH FLR item W</t>
        </is>
      </c>
      <c r="D5698" s="250" t="inlineStr">
        <is>
          <t xml:space="preserve"/>
        </is>
      </c>
      <c r="E5698" s="250" t="inlineStr">
        <is>
          <t xml:space="preserve"/>
        </is>
      </c>
      <c r="F5698" s="250" t="inlineStr">
        <is>
          <t xml:space="preserve"/>
        </is>
      </c>
      <c r="G5698" s="250" t="inlineStr">
        <is>
          <t xml:space="preserve"/>
        </is>
      </c>
      <c r="H5698" s="251">
        <f>SUM(H5697:H5697)</f>
        <v>41</v>
      </c>
      <c r="I5698" s="252" t="inlineStr">
        <is>
          <t xml:space="preserve">pr</t>
        </is>
      </c>
    </row>
    <row r="5699">
      <c r="A5699" s="243" t="inlineStr">
        <is>
          <t xml:space="preserve">10TH FLR</t>
        </is>
      </c>
      <c r="B5699" s="243" t="inlineStr">
        <is>
          <t xml:space="preserve">X</t>
        </is>
      </c>
      <c r="C5699" s="244" t="inlineStr">
        <is>
          <t xml:space="preserve">Ordinary locks</t>
        </is>
      </c>
      <c r="I5699" s="245" t="inlineStr">
        <is>
          <t xml:space="preserve">nr</t>
        </is>
      </c>
      <c r="K5699" s="256" t="inlineStr">
        <is>
          <t xml:space="preserve">'10TH FLR   '!C152</t>
        </is>
      </c>
    </row>
    <row r="5700">
      <c r="C5700" s="246" t="inlineStr">
        <is>
          <t xml:space="preserve">Tenth floor - D3/D4 doors</t>
        </is>
      </c>
      <c r="H5700" s="247">
        <v>11</v>
      </c>
      <c r="J5700" s="253" t="inlineStr">
        <is>
          <t xml:space="preserve">11</t>
        </is>
      </c>
    </row>
    <row r="5701">
      <c r="C5701" s="250" t="inlineStr">
        <is>
          <t xml:space="preserve">Total carried to BOQ  10TH FLR item X</t>
        </is>
      </c>
      <c r="D5701" s="250" t="inlineStr">
        <is>
          <t xml:space="preserve"/>
        </is>
      </c>
      <c r="E5701" s="250" t="inlineStr">
        <is>
          <t xml:space="preserve"/>
        </is>
      </c>
      <c r="F5701" s="250" t="inlineStr">
        <is>
          <t xml:space="preserve"/>
        </is>
      </c>
      <c r="G5701" s="250" t="inlineStr">
        <is>
          <t xml:space="preserve"/>
        </is>
      </c>
      <c r="H5701" s="251">
        <f>SUM(H5700:H5700)</f>
        <v>11</v>
      </c>
      <c r="I5701" s="252" t="inlineStr">
        <is>
          <t xml:space="preserve">nr</t>
        </is>
      </c>
    </row>
    <row r="5702">
      <c r="A5702" s="243" t="inlineStr">
        <is>
          <t xml:space="preserve">10TH FLR</t>
        </is>
      </c>
      <c r="B5702" s="243" t="inlineStr">
        <is>
          <t xml:space="preserve">Y</t>
        </is>
      </c>
      <c r="C5702" s="244" t="inlineStr">
        <is>
          <t xml:space="preserve">Approved high quality mortice indicator lock</t>
        </is>
      </c>
      <c r="I5702" s="245" t="inlineStr">
        <is>
          <t xml:space="preserve">nr</t>
        </is>
      </c>
      <c r="K5702" s="256" t="inlineStr">
        <is>
          <t xml:space="preserve">'10TH FLR   '!C154</t>
        </is>
      </c>
    </row>
    <row r="5703">
      <c r="C5703" s="246" t="inlineStr">
        <is>
          <t xml:space="preserve">Tenth floor - D6 doors</t>
        </is>
      </c>
      <c r="H5703" s="247">
        <v>16</v>
      </c>
      <c r="J5703" s="253" t="inlineStr">
        <is>
          <t xml:space="preserve">16</t>
        </is>
      </c>
    </row>
    <row r="5704">
      <c r="C5704" s="250" t="inlineStr">
        <is>
          <t xml:space="preserve">Total carried to BOQ  10TH FLR item Y</t>
        </is>
      </c>
      <c r="D5704" s="250" t="inlineStr">
        <is>
          <t xml:space="preserve"/>
        </is>
      </c>
      <c r="E5704" s="250" t="inlineStr">
        <is>
          <t xml:space="preserve"/>
        </is>
      </c>
      <c r="F5704" s="250" t="inlineStr">
        <is>
          <t xml:space="preserve"/>
        </is>
      </c>
      <c r="G5704" s="250" t="inlineStr">
        <is>
          <t xml:space="preserve"/>
        </is>
      </c>
      <c r="H5704" s="251">
        <f>SUM(H5703:H5703)</f>
        <v>16</v>
      </c>
      <c r="I5704" s="252" t="inlineStr">
        <is>
          <t xml:space="preserve">nr</t>
        </is>
      </c>
    </row>
    <row r="5705">
      <c r="C5705"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5706">
      <c r="A5706" s="243" t="inlineStr">
        <is>
          <t xml:space="preserve">10TH FLR</t>
        </is>
      </c>
      <c r="B5706" s="243" t="inlineStr">
        <is>
          <t xml:space="preserve">Z</t>
        </is>
      </c>
      <c r="C5706" s="244" t="inlineStr">
        <is>
          <t xml:space="preserve">2 bay alu. framed glass sliding window 1800mm x 1300mm (W2)</t>
        </is>
      </c>
      <c r="I5706" s="245" t="inlineStr">
        <is>
          <t xml:space="preserve">nr</t>
        </is>
      </c>
      <c r="K5706" s="256" t="inlineStr">
        <is>
          <t xml:space="preserve">'10TH FLR   '!C157</t>
        </is>
      </c>
    </row>
    <row r="5707">
      <c r="C5707" s="246" t="inlineStr">
        <is>
          <t xml:space="preserve">Tenth floor - HW2</t>
        </is>
      </c>
      <c r="H5707" s="247">
        <v>4</v>
      </c>
      <c r="J5707" s="253" t="inlineStr">
        <is>
          <t xml:space="preserve">4</t>
        </is>
      </c>
    </row>
    <row r="5708">
      <c r="C5708" s="250" t="inlineStr">
        <is>
          <t xml:space="preserve">Total carried to BOQ  10TH FLR item Z</t>
        </is>
      </c>
      <c r="D5708" s="250" t="inlineStr">
        <is>
          <t xml:space="preserve"/>
        </is>
      </c>
      <c r="E5708" s="250" t="inlineStr">
        <is>
          <t xml:space="preserve"/>
        </is>
      </c>
      <c r="F5708" s="250" t="inlineStr">
        <is>
          <t xml:space="preserve"/>
        </is>
      </c>
      <c r="G5708" s="250" t="inlineStr">
        <is>
          <t xml:space="preserve"/>
        </is>
      </c>
      <c r="H5708" s="251">
        <f>SUM(H5707:H5707)</f>
        <v>4</v>
      </c>
      <c r="I5708" s="252" t="inlineStr">
        <is>
          <t xml:space="preserve">nr</t>
        </is>
      </c>
    </row>
    <row r="5709">
      <c r="A5709" s="243" t="inlineStr">
        <is>
          <t xml:space="preserve">10TH FLR</t>
        </is>
      </c>
      <c r="B5709" s="243" t="inlineStr">
        <is>
          <t xml:space="preserve">A</t>
        </is>
      </c>
      <c r="C5709" s="244" t="inlineStr">
        <is>
          <t xml:space="preserve">1 bay alu. framed glass awning window 900mm x 1300mm (W4)</t>
        </is>
      </c>
      <c r="I5709" s="245" t="inlineStr">
        <is>
          <t xml:space="preserve">nr</t>
        </is>
      </c>
      <c r="K5709" s="256" t="inlineStr">
        <is>
          <t xml:space="preserve">'10TH FLR   '!C159</t>
        </is>
      </c>
    </row>
    <row r="5710">
      <c r="C5710" s="246" t="inlineStr">
        <is>
          <t xml:space="preserve">Tenth floor - W4</t>
        </is>
      </c>
      <c r="H5710" s="247">
        <v>8</v>
      </c>
      <c r="J5710" s="253" t="inlineStr">
        <is>
          <t xml:space="preserve">8</t>
        </is>
      </c>
    </row>
    <row r="5711">
      <c r="C5711" s="250" t="inlineStr">
        <is>
          <t xml:space="preserve">Total carried to BOQ  10TH FLR item A</t>
        </is>
      </c>
      <c r="D5711" s="250" t="inlineStr">
        <is>
          <t xml:space="preserve"/>
        </is>
      </c>
      <c r="E5711" s="250" t="inlineStr">
        <is>
          <t xml:space="preserve"/>
        </is>
      </c>
      <c r="F5711" s="250" t="inlineStr">
        <is>
          <t xml:space="preserve"/>
        </is>
      </c>
      <c r="G5711" s="250" t="inlineStr">
        <is>
          <t xml:space="preserve"/>
        </is>
      </c>
      <c r="H5711" s="251">
        <f>SUM(H5710:H5710)</f>
        <v>8</v>
      </c>
      <c r="I5711" s="252" t="inlineStr">
        <is>
          <t xml:space="preserve">nr</t>
        </is>
      </c>
    </row>
    <row r="5712">
      <c r="A5712" s="243" t="inlineStr">
        <is>
          <t xml:space="preserve">10TH FLR</t>
        </is>
      </c>
      <c r="B5712" s="243" t="inlineStr">
        <is>
          <t xml:space="preserve">B</t>
        </is>
      </c>
      <c r="C5712" s="244" t="inlineStr">
        <is>
          <t xml:space="preserve">2 bay alu. framed glass sliding window 1800mm x 1600mm (W7)</t>
        </is>
      </c>
      <c r="I5712" s="245" t="inlineStr">
        <is>
          <t xml:space="preserve">nr</t>
        </is>
      </c>
      <c r="K5712" s="256" t="inlineStr">
        <is>
          <t xml:space="preserve">'10TH FLR   '!C161</t>
        </is>
      </c>
    </row>
    <row r="5713">
      <c r="C5713" s="246" t="inlineStr">
        <is>
          <t xml:space="preserve">Tenth floor - HW4</t>
        </is>
      </c>
      <c r="H5713" s="247">
        <v>1</v>
      </c>
      <c r="J5713" s="253" t="inlineStr">
        <is>
          <t xml:space="preserve">1</t>
        </is>
      </c>
    </row>
    <row r="5714">
      <c r="C5714" s="250" t="inlineStr">
        <is>
          <t xml:space="preserve">Total carried to BOQ  10TH FLR item B</t>
        </is>
      </c>
      <c r="D5714" s="250" t="inlineStr">
        <is>
          <t xml:space="preserve"/>
        </is>
      </c>
      <c r="E5714" s="250" t="inlineStr">
        <is>
          <t xml:space="preserve"/>
        </is>
      </c>
      <c r="F5714" s="250" t="inlineStr">
        <is>
          <t xml:space="preserve"/>
        </is>
      </c>
      <c r="G5714" s="250" t="inlineStr">
        <is>
          <t xml:space="preserve"/>
        </is>
      </c>
      <c r="H5714" s="251">
        <f>SUM(H5713:H5713)</f>
        <v>1</v>
      </c>
      <c r="I5714" s="252" t="inlineStr">
        <is>
          <t xml:space="preserve">nr</t>
        </is>
      </c>
    </row>
    <row r="5715">
      <c r="A5715" s="243" t="inlineStr">
        <is>
          <t xml:space="preserve">10TH FLR</t>
        </is>
      </c>
      <c r="B5715" s="243" t="inlineStr">
        <is>
          <t xml:space="preserve">C</t>
        </is>
      </c>
      <c r="C5715" s="244" t="inlineStr">
        <is>
          <t xml:space="preserve">1 x 3 bay alu. framed glass awning window 1200mm x 1900mm (W8)</t>
        </is>
      </c>
      <c r="I5715" s="245" t="inlineStr">
        <is>
          <t xml:space="preserve">nr</t>
        </is>
      </c>
      <c r="K5715" s="256" t="inlineStr">
        <is>
          <t xml:space="preserve">'10TH FLR   '!C163</t>
        </is>
      </c>
    </row>
    <row r="5716">
      <c r="C5716" s="246" t="inlineStr">
        <is>
          <t xml:space="preserve">Tenth floor - W17</t>
        </is>
      </c>
      <c r="H5716" s="247">
        <v>2</v>
      </c>
      <c r="J5716" s="253" t="inlineStr">
        <is>
          <t xml:space="preserve">2</t>
        </is>
      </c>
    </row>
    <row r="5717">
      <c r="C5717" s="250" t="inlineStr">
        <is>
          <t xml:space="preserve">Total carried to BOQ  10TH FLR item C</t>
        </is>
      </c>
      <c r="D5717" s="250" t="inlineStr">
        <is>
          <t xml:space="preserve"/>
        </is>
      </c>
      <c r="E5717" s="250" t="inlineStr">
        <is>
          <t xml:space="preserve"/>
        </is>
      </c>
      <c r="F5717" s="250" t="inlineStr">
        <is>
          <t xml:space="preserve"/>
        </is>
      </c>
      <c r="G5717" s="250" t="inlineStr">
        <is>
          <t xml:space="preserve"/>
        </is>
      </c>
      <c r="H5717" s="251">
        <f>SUM(H5716:H5716)</f>
        <v>2</v>
      </c>
      <c r="I5717" s="252" t="inlineStr">
        <is>
          <t xml:space="preserve">nr</t>
        </is>
      </c>
    </row>
    <row r="5718">
      <c r="A5718" s="243" t="inlineStr">
        <is>
          <t xml:space="preserve">10TH FLR</t>
        </is>
      </c>
      <c r="B5718" s="243" t="inlineStr">
        <is>
          <t xml:space="preserve">D</t>
        </is>
      </c>
      <c r="C5718" s="244" t="inlineStr">
        <is>
          <t xml:space="preserve">2 bay alu. framed glass sliding window 1200mm x 1150mm (W9)</t>
        </is>
      </c>
      <c r="I5718" s="245" t="inlineStr">
        <is>
          <t xml:space="preserve">nr</t>
        </is>
      </c>
      <c r="K5718" s="256" t="inlineStr">
        <is>
          <t xml:space="preserve">'10TH FLR   '!C165</t>
        </is>
      </c>
    </row>
    <row r="5719">
      <c r="C5719" s="246" t="inlineStr">
        <is>
          <t xml:space="preserve">Tenth floor - W9</t>
        </is>
      </c>
      <c r="H5719" s="247">
        <v>6</v>
      </c>
      <c r="J5719" s="253" t="inlineStr">
        <is>
          <t xml:space="preserve">6</t>
        </is>
      </c>
    </row>
    <row r="5720">
      <c r="C5720" s="250" t="inlineStr">
        <is>
          <t xml:space="preserve">Total carried to BOQ  10TH FLR item D</t>
        </is>
      </c>
      <c r="D5720" s="250" t="inlineStr">
        <is>
          <t xml:space="preserve"/>
        </is>
      </c>
      <c r="E5720" s="250" t="inlineStr">
        <is>
          <t xml:space="preserve"/>
        </is>
      </c>
      <c r="F5720" s="250" t="inlineStr">
        <is>
          <t xml:space="preserve"/>
        </is>
      </c>
      <c r="G5720" s="250" t="inlineStr">
        <is>
          <t xml:space="preserve"/>
        </is>
      </c>
      <c r="H5720" s="251">
        <f>SUM(H5719:H5719)</f>
        <v>6</v>
      </c>
      <c r="I5720" s="252" t="inlineStr">
        <is>
          <t xml:space="preserve">nr</t>
        </is>
      </c>
    </row>
    <row r="5721">
      <c r="A5721" s="243" t="inlineStr">
        <is>
          <t xml:space="preserve">10TH FLR</t>
        </is>
      </c>
      <c r="B5721" s="243" t="inlineStr">
        <is>
          <t xml:space="preserve">E</t>
        </is>
      </c>
      <c r="C5721" s="244" t="inlineStr">
        <is>
          <t xml:space="preserve">2 bay alu. framed glass sliding window 1200mm x 1200mm (W10)</t>
        </is>
      </c>
      <c r="I5721" s="245" t="inlineStr">
        <is>
          <t xml:space="preserve">nr</t>
        </is>
      </c>
      <c r="K5721" s="256" t="inlineStr">
        <is>
          <t xml:space="preserve">'10TH FLR   '!C167</t>
        </is>
      </c>
    </row>
    <row r="5722">
      <c r="C5722" s="246" t="inlineStr">
        <is>
          <t xml:space="preserve">Tenth floor - HW4</t>
        </is>
      </c>
      <c r="H5722" s="247">
        <v>1</v>
      </c>
      <c r="J5722" s="253" t="inlineStr">
        <is>
          <t xml:space="preserve">1</t>
        </is>
      </c>
    </row>
    <row r="5723">
      <c r="C5723" s="250" t="inlineStr">
        <is>
          <t xml:space="preserve">Total carried to BOQ  10TH FLR item E</t>
        </is>
      </c>
      <c r="D5723" s="250" t="inlineStr">
        <is>
          <t xml:space="preserve"/>
        </is>
      </c>
      <c r="E5723" s="250" t="inlineStr">
        <is>
          <t xml:space="preserve"/>
        </is>
      </c>
      <c r="F5723" s="250" t="inlineStr">
        <is>
          <t xml:space="preserve"/>
        </is>
      </c>
      <c r="G5723" s="250" t="inlineStr">
        <is>
          <t xml:space="preserve"/>
        </is>
      </c>
      <c r="H5723" s="251">
        <f>SUM(H5722:H5722)</f>
        <v>1</v>
      </c>
      <c r="I5723" s="252" t="inlineStr">
        <is>
          <t xml:space="preserve">nr</t>
        </is>
      </c>
    </row>
    <row r="5724">
      <c r="A5724" s="243" t="inlineStr">
        <is>
          <t xml:space="preserve">10TH FLR</t>
        </is>
      </c>
      <c r="B5724" s="243" t="inlineStr">
        <is>
          <t xml:space="preserve">F</t>
        </is>
      </c>
      <c r="C5724" s="244" t="inlineStr">
        <is>
          <t xml:space="preserve">2 bay alu. framed glass sliding window 1500mm x 1300mm (W11)</t>
        </is>
      </c>
      <c r="I5724" s="245" t="inlineStr">
        <is>
          <t xml:space="preserve">nr</t>
        </is>
      </c>
      <c r="K5724" s="256" t="inlineStr">
        <is>
          <t xml:space="preserve">'10TH FLR   '!C169</t>
        </is>
      </c>
    </row>
    <row r="5725">
      <c r="C5725" s="246" t="inlineStr">
        <is>
          <t xml:space="preserve">Tenth floor - W11</t>
        </is>
      </c>
      <c r="H5725" s="247">
        <v>5</v>
      </c>
      <c r="J5725" s="253" t="inlineStr">
        <is>
          <t xml:space="preserve">5</t>
        </is>
      </c>
    </row>
    <row r="5726">
      <c r="C5726" s="250" t="inlineStr">
        <is>
          <t xml:space="preserve">Total carried to BOQ  10TH FLR item F</t>
        </is>
      </c>
      <c r="D5726" s="250" t="inlineStr">
        <is>
          <t xml:space="preserve"/>
        </is>
      </c>
      <c r="E5726" s="250" t="inlineStr">
        <is>
          <t xml:space="preserve"/>
        </is>
      </c>
      <c r="F5726" s="250" t="inlineStr">
        <is>
          <t xml:space="preserve"/>
        </is>
      </c>
      <c r="G5726" s="250" t="inlineStr">
        <is>
          <t xml:space="preserve"/>
        </is>
      </c>
      <c r="H5726" s="251">
        <f>SUM(H5725:H5725)</f>
        <v>5</v>
      </c>
      <c r="I5726" s="252" t="inlineStr">
        <is>
          <t xml:space="preserve">nr</t>
        </is>
      </c>
    </row>
    <row r="5727">
      <c r="A5727" s="243" t="inlineStr">
        <is>
          <t xml:space="preserve">10TH FLR</t>
        </is>
      </c>
      <c r="B5727" s="243" t="inlineStr">
        <is>
          <t xml:space="preserve">G</t>
        </is>
      </c>
      <c r="C5727" s="244" t="inlineStr">
        <is>
          <t xml:space="preserve">2 bay alu. framed glass sliding window 1500mm x 1150mm (W12)</t>
        </is>
      </c>
      <c r="I5727" s="245" t="inlineStr">
        <is>
          <t xml:space="preserve">nr</t>
        </is>
      </c>
      <c r="K5727" s="256" t="inlineStr">
        <is>
          <t xml:space="preserve">'10TH FLR   '!C171</t>
        </is>
      </c>
    </row>
    <row r="5728">
      <c r="C5728" s="246" t="inlineStr">
        <is>
          <t xml:space="preserve">Tenth floor - W12</t>
        </is>
      </c>
      <c r="H5728" s="247">
        <v>3</v>
      </c>
      <c r="J5728" s="253" t="inlineStr">
        <is>
          <t xml:space="preserve">3</t>
        </is>
      </c>
    </row>
    <row r="5729">
      <c r="C5729" s="250" t="inlineStr">
        <is>
          <t xml:space="preserve">Total carried to BOQ  10TH FLR item G</t>
        </is>
      </c>
      <c r="D5729" s="250" t="inlineStr">
        <is>
          <t xml:space="preserve"/>
        </is>
      </c>
      <c r="E5729" s="250" t="inlineStr">
        <is>
          <t xml:space="preserve"/>
        </is>
      </c>
      <c r="F5729" s="250" t="inlineStr">
        <is>
          <t xml:space="preserve"/>
        </is>
      </c>
      <c r="G5729" s="250" t="inlineStr">
        <is>
          <t xml:space="preserve"/>
        </is>
      </c>
      <c r="H5729" s="251">
        <f>SUM(H5728:H5728)</f>
        <v>3</v>
      </c>
      <c r="I5729" s="252" t="inlineStr">
        <is>
          <t xml:space="preserve">nr</t>
        </is>
      </c>
    </row>
    <row r="5730">
      <c r="A5730" s="243" t="inlineStr">
        <is>
          <t xml:space="preserve">10TH FLR</t>
        </is>
      </c>
      <c r="B5730" s="243" t="inlineStr">
        <is>
          <t xml:space="preserve">H</t>
        </is>
      </c>
      <c r="C5730" s="244" t="inlineStr">
        <is>
          <t xml:space="preserve">3 bay alu. framed glass sliding window 3000mm x 1600mm (W15)</t>
        </is>
      </c>
      <c r="I5730" s="245" t="inlineStr">
        <is>
          <t xml:space="preserve">nr</t>
        </is>
      </c>
      <c r="K5730" s="256" t="inlineStr">
        <is>
          <t xml:space="preserve">'10TH FLR   '!C173</t>
        </is>
      </c>
    </row>
    <row r="5731">
      <c r="C5731" s="246" t="inlineStr">
        <is>
          <t xml:space="preserve">Tenth floor - HW4</t>
        </is>
      </c>
      <c r="H5731" s="247">
        <v>1</v>
      </c>
      <c r="J5731" s="253" t="inlineStr">
        <is>
          <t xml:space="preserve">1</t>
        </is>
      </c>
    </row>
    <row r="5732">
      <c r="C5732" s="250" t="inlineStr">
        <is>
          <t xml:space="preserve">Total carried to BOQ  10TH FLR item H</t>
        </is>
      </c>
      <c r="D5732" s="250" t="inlineStr">
        <is>
          <t xml:space="preserve"/>
        </is>
      </c>
      <c r="E5732" s="250" t="inlineStr">
        <is>
          <t xml:space="preserve"/>
        </is>
      </c>
      <c r="F5732" s="250" t="inlineStr">
        <is>
          <t xml:space="preserve"/>
        </is>
      </c>
      <c r="G5732" s="250" t="inlineStr">
        <is>
          <t xml:space="preserve"/>
        </is>
      </c>
      <c r="H5732" s="251">
        <f>SUM(H5731:H5731)</f>
        <v>1</v>
      </c>
      <c r="I5732" s="252" t="inlineStr">
        <is>
          <t xml:space="preserve">nr</t>
        </is>
      </c>
    </row>
    <row r="5733">
      <c r="A5733" s="243" t="inlineStr">
        <is>
          <t xml:space="preserve">10TH FLR</t>
        </is>
      </c>
      <c r="B5733" s="243" t="inlineStr">
        <is>
          <t xml:space="preserve">J</t>
        </is>
      </c>
      <c r="C5733" s="244" t="inlineStr">
        <is>
          <t xml:space="preserve">2 x 3 alu. framed glass awning window 1800mm x 1900mm (W17)</t>
        </is>
      </c>
      <c r="I5733" s="245" t="inlineStr">
        <is>
          <t xml:space="preserve">nr</t>
        </is>
      </c>
      <c r="K5733" s="256" t="inlineStr">
        <is>
          <t xml:space="preserve">'10TH FLR   '!C175</t>
        </is>
      </c>
    </row>
    <row r="5734">
      <c r="C5734" s="246" t="inlineStr">
        <is>
          <t xml:space="preserve">Tenth floor - W17</t>
        </is>
      </c>
      <c r="H5734" s="247">
        <v>2</v>
      </c>
      <c r="J5734" s="253" t="inlineStr">
        <is>
          <t xml:space="preserve">2</t>
        </is>
      </c>
    </row>
    <row r="5735">
      <c r="C5735" s="250" t="inlineStr">
        <is>
          <t xml:space="preserve">Total carried to BOQ  10TH FLR item J</t>
        </is>
      </c>
      <c r="D5735" s="250" t="inlineStr">
        <is>
          <t xml:space="preserve"/>
        </is>
      </c>
      <c r="E5735" s="250" t="inlineStr">
        <is>
          <t xml:space="preserve"/>
        </is>
      </c>
      <c r="F5735" s="250" t="inlineStr">
        <is>
          <t xml:space="preserve"/>
        </is>
      </c>
      <c r="G5735" s="250" t="inlineStr">
        <is>
          <t xml:space="preserve"/>
        </is>
      </c>
      <c r="H5735" s="251">
        <f>SUM(H5734:H5734)</f>
        <v>2</v>
      </c>
      <c r="I5735" s="252" t="inlineStr">
        <is>
          <t xml:space="preserve">nr</t>
        </is>
      </c>
    </row>
    <row r="5736">
      <c r="A5736" s="243" t="inlineStr">
        <is>
          <t xml:space="preserve">10TH FLR</t>
        </is>
      </c>
      <c r="B5736" s="243" t="inlineStr">
        <is>
          <t xml:space="preserve">K</t>
        </is>
      </c>
      <c r="C5736" s="244" t="inlineStr">
        <is>
          <t xml:space="preserve">1 bay alu. framed glass awning window 750mm x 1300mm (W18)</t>
        </is>
      </c>
      <c r="I5736" s="245" t="inlineStr">
        <is>
          <t xml:space="preserve">nr</t>
        </is>
      </c>
      <c r="K5736" s="256" t="inlineStr">
        <is>
          <t xml:space="preserve">'10TH FLR   '!C177</t>
        </is>
      </c>
    </row>
    <row r="5737">
      <c r="C5737" s="246" t="inlineStr">
        <is>
          <t xml:space="preserve">Tenth floor - HW4</t>
        </is>
      </c>
      <c r="H5737" s="247">
        <v>1</v>
      </c>
      <c r="J5737" s="253" t="inlineStr">
        <is>
          <t xml:space="preserve">1</t>
        </is>
      </c>
    </row>
    <row r="5738">
      <c r="C5738" s="250" t="inlineStr">
        <is>
          <t xml:space="preserve">Total carried to BOQ  10TH FLR item K</t>
        </is>
      </c>
      <c r="D5738" s="250" t="inlineStr">
        <is>
          <t xml:space="preserve"/>
        </is>
      </c>
      <c r="E5738" s="250" t="inlineStr">
        <is>
          <t xml:space="preserve"/>
        </is>
      </c>
      <c r="F5738" s="250" t="inlineStr">
        <is>
          <t xml:space="preserve"/>
        </is>
      </c>
      <c r="G5738" s="250" t="inlineStr">
        <is>
          <t xml:space="preserve"/>
        </is>
      </c>
      <c r="H5738" s="251">
        <f>SUM(H5737:H5737)</f>
        <v>1</v>
      </c>
      <c r="I5738" s="252" t="inlineStr">
        <is>
          <t xml:space="preserve">nr</t>
        </is>
      </c>
    </row>
    <row r="5739">
      <c r="A5739" s="243" t="inlineStr">
        <is>
          <t xml:space="preserve">10TH FLR</t>
        </is>
      </c>
      <c r="B5739" s="243" t="inlineStr">
        <is>
          <t xml:space="preserve">L</t>
        </is>
      </c>
      <c r="C5739" s="244" t="inlineStr">
        <is>
          <t xml:space="preserve">2 bay alu. framed glass sliding window 900mm x 600mm (HW1)</t>
        </is>
      </c>
      <c r="I5739" s="245" t="inlineStr">
        <is>
          <t xml:space="preserve">nr</t>
        </is>
      </c>
      <c r="K5739" s="256" t="inlineStr">
        <is>
          <t xml:space="preserve">'10TH FLR   '!C179</t>
        </is>
      </c>
    </row>
    <row r="5740">
      <c r="C5740" s="246" t="inlineStr">
        <is>
          <t xml:space="preserve">Tenth floor - HW1</t>
        </is>
      </c>
      <c r="H5740" s="247">
        <v>10</v>
      </c>
      <c r="J5740" s="253" t="inlineStr">
        <is>
          <t xml:space="preserve">10</t>
        </is>
      </c>
    </row>
    <row r="5741">
      <c r="C5741" s="250" t="inlineStr">
        <is>
          <t xml:space="preserve">Total carried to BOQ  10TH FLR item L</t>
        </is>
      </c>
      <c r="D5741" s="250" t="inlineStr">
        <is>
          <t xml:space="preserve"/>
        </is>
      </c>
      <c r="E5741" s="250" t="inlineStr">
        <is>
          <t xml:space="preserve"/>
        </is>
      </c>
      <c r="F5741" s="250" t="inlineStr">
        <is>
          <t xml:space="preserve"/>
        </is>
      </c>
      <c r="G5741" s="250" t="inlineStr">
        <is>
          <t xml:space="preserve"/>
        </is>
      </c>
      <c r="H5741" s="251">
        <f>SUM(H5740:H5740)</f>
        <v>10</v>
      </c>
      <c r="I5741" s="252" t="inlineStr">
        <is>
          <t xml:space="preserve">nr</t>
        </is>
      </c>
    </row>
    <row r="5742">
      <c r="A5742" s="243" t="inlineStr">
        <is>
          <t xml:space="preserve">10TH FLR</t>
        </is>
      </c>
      <c r="B5742" s="243" t="inlineStr">
        <is>
          <t xml:space="preserve">M</t>
        </is>
      </c>
      <c r="C5742" s="244" t="inlineStr">
        <is>
          <t xml:space="preserve">2 bay alu. framed glass sliding window 750mm x 600mm (HW2)</t>
        </is>
      </c>
      <c r="I5742" s="245" t="inlineStr">
        <is>
          <t xml:space="preserve">nr</t>
        </is>
      </c>
      <c r="K5742" s="256" t="inlineStr">
        <is>
          <t xml:space="preserve">'10TH FLR   '!C181</t>
        </is>
      </c>
    </row>
    <row r="5743">
      <c r="C5743" s="246" t="inlineStr">
        <is>
          <t xml:space="preserve">Tenth floor - HW2</t>
        </is>
      </c>
      <c r="H5743" s="247">
        <v>4</v>
      </c>
      <c r="J5743" s="253" t="inlineStr">
        <is>
          <t xml:space="preserve">4</t>
        </is>
      </c>
    </row>
    <row r="5744">
      <c r="C5744" s="250" t="inlineStr">
        <is>
          <t xml:space="preserve">Total carried to BOQ  10TH FLR item M</t>
        </is>
      </c>
      <c r="D5744" s="250" t="inlineStr">
        <is>
          <t xml:space="preserve"/>
        </is>
      </c>
      <c r="E5744" s="250" t="inlineStr">
        <is>
          <t xml:space="preserve"/>
        </is>
      </c>
      <c r="F5744" s="250" t="inlineStr">
        <is>
          <t xml:space="preserve"/>
        </is>
      </c>
      <c r="G5744" s="250" t="inlineStr">
        <is>
          <t xml:space="preserve"/>
        </is>
      </c>
      <c r="H5744" s="251">
        <f>SUM(H5743:H5743)</f>
        <v>4</v>
      </c>
      <c r="I5744" s="252" t="inlineStr">
        <is>
          <t xml:space="preserve">nr</t>
        </is>
      </c>
    </row>
    <row r="5745">
      <c r="A5745" s="243" t="inlineStr">
        <is>
          <t xml:space="preserve">10TH FLR</t>
        </is>
      </c>
      <c r="B5745" s="243" t="inlineStr">
        <is>
          <t xml:space="preserve">N</t>
        </is>
      </c>
      <c r="C5745" s="244" t="inlineStr">
        <is>
          <t xml:space="preserve">2 bay alu. framed glass sliding window 600mm x 600mm (HW3)</t>
        </is>
      </c>
      <c r="I5745" s="245" t="inlineStr">
        <is>
          <t xml:space="preserve">nr</t>
        </is>
      </c>
      <c r="K5745" s="256" t="inlineStr">
        <is>
          <t xml:space="preserve">'10TH FLR   '!C183</t>
        </is>
      </c>
    </row>
    <row r="5746">
      <c r="C5746" s="246" t="inlineStr">
        <is>
          <t xml:space="preserve">Tenth floor - HW4</t>
        </is>
      </c>
      <c r="H5746" s="247">
        <v>1</v>
      </c>
      <c r="J5746" s="253" t="inlineStr">
        <is>
          <t xml:space="preserve">1</t>
        </is>
      </c>
    </row>
    <row r="5747">
      <c r="C5747" s="250" t="inlineStr">
        <is>
          <t xml:space="preserve">Total carried to BOQ  10TH FLR item N</t>
        </is>
      </c>
      <c r="D5747" s="250" t="inlineStr">
        <is>
          <t xml:space="preserve"/>
        </is>
      </c>
      <c r="E5747" s="250" t="inlineStr">
        <is>
          <t xml:space="preserve"/>
        </is>
      </c>
      <c r="F5747" s="250" t="inlineStr">
        <is>
          <t xml:space="preserve"/>
        </is>
      </c>
      <c r="G5747" s="250" t="inlineStr">
        <is>
          <t xml:space="preserve"/>
        </is>
      </c>
      <c r="H5747" s="251">
        <f>SUM(H5746:H5746)</f>
        <v>1</v>
      </c>
      <c r="I5747" s="252" t="inlineStr">
        <is>
          <t xml:space="preserve">nr</t>
        </is>
      </c>
    </row>
    <row r="5748">
      <c r="A5748" s="243" t="inlineStr">
        <is>
          <t xml:space="preserve">10TH FLR</t>
        </is>
      </c>
      <c r="B5748" s="243" t="inlineStr">
        <is>
          <t xml:space="preserve">P</t>
        </is>
      </c>
      <c r="C5748" s="244" t="inlineStr">
        <is>
          <t xml:space="preserve">2 bay alu. framed glass sliding window 1200mm x 600mm (HW4)</t>
        </is>
      </c>
      <c r="I5748" s="245" t="inlineStr">
        <is>
          <t xml:space="preserve">nr</t>
        </is>
      </c>
      <c r="K5748" s="256" t="inlineStr">
        <is>
          <t xml:space="preserve">'10TH FLR   '!C185</t>
        </is>
      </c>
    </row>
    <row r="5749">
      <c r="C5749" s="246" t="inlineStr">
        <is>
          <t xml:space="preserve">Tenth floor - HW4</t>
        </is>
      </c>
      <c r="H5749" s="247">
        <v>1</v>
      </c>
      <c r="J5749" s="253" t="inlineStr">
        <is>
          <t xml:space="preserve">1</t>
        </is>
      </c>
    </row>
    <row r="5750">
      <c r="C5750" s="250" t="inlineStr">
        <is>
          <t xml:space="preserve">Total carried to BOQ  10TH FLR item P</t>
        </is>
      </c>
      <c r="D5750" s="250" t="inlineStr">
        <is>
          <t xml:space="preserve"/>
        </is>
      </c>
      <c r="E5750" s="250" t="inlineStr">
        <is>
          <t xml:space="preserve"/>
        </is>
      </c>
      <c r="F5750" s="250" t="inlineStr">
        <is>
          <t xml:space="preserve"/>
        </is>
      </c>
      <c r="G5750" s="250" t="inlineStr">
        <is>
          <t xml:space="preserve"/>
        </is>
      </c>
      <c r="H5750" s="251">
        <f>SUM(H5749:H5749)</f>
        <v>1</v>
      </c>
      <c r="I5750" s="252" t="inlineStr">
        <is>
          <t xml:space="preserve">nr</t>
        </is>
      </c>
    </row>
    <row r="5751">
      <c r="C5751" s="242" t="inlineStr">
        <is>
          <t xml:space="preserve">ELEMENT NO. 5: FLOOR FINISHES</t>
        </is>
      </c>
    </row>
    <row r="5752">
      <c r="C5752" s="242" t="inlineStr">
        <is>
          <t xml:space="preserve">M10/M40 FLOOR FINISHES</t>
        </is>
      </c>
    </row>
    <row r="5753" ht="32.2" customHeight="1">
      <c r="A5753" s="243" t="inlineStr">
        <is>
          <t xml:space="preserve">10TH FLR</t>
        </is>
      </c>
      <c r="B5753" s="243" t="inlineStr">
        <is>
          <t xml:space="preserve">A</t>
        </is>
      </c>
      <c r="C5753" s="244" t="inlineStr">
        <is>
          <t xml:space="preserve">25mm cement and sand (1:3) screeded finish laid level on concrete and finished smooth with steel trowel</t>
        </is>
      </c>
      <c r="I5753" s="245" t="inlineStr">
        <is>
          <t xml:space="preserve">m2</t>
        </is>
      </c>
      <c r="K5753" s="256" t="inlineStr">
        <is>
          <t xml:space="preserve">'10TH FLR   '!C194</t>
        </is>
      </c>
    </row>
    <row r="5754">
      <c r="C5754" s="246" t="inlineStr">
        <is>
          <t xml:space="preserve">Tenth floor - Tiled floor areas (measured)</t>
        </is>
      </c>
      <c r="H5754" s="247">
        <v>647.8</v>
      </c>
      <c r="J5754" s="253" t="inlineStr">
        <is>
          <t xml:space="preserve">647.8</t>
        </is>
      </c>
    </row>
    <row r="5755">
      <c r="C5755" s="250" t="inlineStr">
        <is>
          <t xml:space="preserve">Total carried to BOQ  10TH FLR item A</t>
        </is>
      </c>
      <c r="D5755" s="250" t="inlineStr">
        <is>
          <t xml:space="preserve"/>
        </is>
      </c>
      <c r="E5755" s="250" t="inlineStr">
        <is>
          <t xml:space="preserve"/>
        </is>
      </c>
      <c r="F5755" s="250" t="inlineStr">
        <is>
          <t xml:space="preserve"/>
        </is>
      </c>
      <c r="G5755" s="250" t="inlineStr">
        <is>
          <t xml:space="preserve"/>
        </is>
      </c>
      <c r="H5755" s="251">
        <f>SUM(H5754:H5754)</f>
        <v>647.8</v>
      </c>
      <c r="I5755" s="252" t="inlineStr">
        <is>
          <t xml:space="preserve">m2</t>
        </is>
      </c>
    </row>
    <row r="5756" ht="32.2" customHeight="1">
      <c r="A5756" s="243" t="inlineStr">
        <is>
          <t xml:space="preserve">10TH FLR</t>
        </is>
      </c>
      <c r="B5756" s="243" t="inlineStr">
        <is>
          <t xml:space="preserve">B</t>
        </is>
      </c>
      <c r="C5756" s="244" t="inlineStr">
        <is>
          <t xml:space="preserve">12mm cement and sand (1:4) screeded bed laid level on concrete floor to receive floor tiles</t>
        </is>
      </c>
      <c r="I5756" s="245" t="inlineStr">
        <is>
          <t xml:space="preserve">m2</t>
        </is>
      </c>
      <c r="K5756" s="256" t="inlineStr">
        <is>
          <t xml:space="preserve">'10TH FLR   '!C196</t>
        </is>
      </c>
    </row>
    <row r="5757">
      <c r="C5757" s="246" t="inlineStr">
        <is>
          <t xml:space="preserve">Tenth floor - Tiled floor areas (measured)</t>
        </is>
      </c>
      <c r="H5757" s="247">
        <v>647.8</v>
      </c>
      <c r="J5757" s="253" t="inlineStr">
        <is>
          <t xml:space="preserve">647.8</t>
        </is>
      </c>
    </row>
    <row r="5758">
      <c r="C5758" s="246" t="inlineStr">
        <is>
          <t xml:space="preserve">Stair finishes (treads, risers, landings) - flights: 2 x 1.8 x 3.0</t>
        </is>
      </c>
      <c r="D5758" s="248">
        <v>2</v>
      </c>
      <c r="E5758" s="247">
        <v>1.8</v>
      </c>
      <c r="F5758" s="247">
        <v>3.0</v>
      </c>
      <c r="H5758" s="249">
        <f>PRODUCT(D5758:G5758)</f>
        <v>10.8</v>
      </c>
      <c r="J5758" s="253" t="inlineStr">
        <is>
          <t xml:space="preserve">2*1.8*3.0</t>
        </is>
      </c>
    </row>
    <row r="5759">
      <c r="C5759" s="246" t="inlineStr">
        <is>
          <t xml:space="preserve">Stair finishes (treads, risers, landings) - risers: 22 x 0.15 x 1.8</t>
        </is>
      </c>
      <c r="D5759" s="248">
        <v>22</v>
      </c>
      <c r="E5759" s="247">
        <v>0.15</v>
      </c>
      <c r="F5759" s="247">
        <v>1.8</v>
      </c>
      <c r="H5759" s="249">
        <f>PRODUCT(D5759:G5759)</f>
        <v>5.9399999999999995</v>
      </c>
      <c r="J5759" s="253" t="inlineStr">
        <is>
          <t xml:space="preserve">22*0.15*1.8</t>
        </is>
      </c>
    </row>
    <row r="5760">
      <c r="C5760" s="246" t="inlineStr">
        <is>
          <t xml:space="preserve">Stair finishes (treads, risers, landings) - floor landing 2.2 x 3.75</t>
        </is>
      </c>
      <c r="E5760" s="247">
        <v>2.2</v>
      </c>
      <c r="F5760" s="247">
        <v>3.75</v>
      </c>
      <c r="H5760" s="249">
        <f>PRODUCT(D5760:G5760)</f>
        <v>8.25</v>
      </c>
      <c r="J5760" s="253" t="inlineStr">
        <is>
          <t xml:space="preserve">2.2*3.75</t>
        </is>
      </c>
    </row>
    <row r="5761">
      <c r="C5761" s="246" t="inlineStr">
        <is>
          <t xml:space="preserve">Stair finishes (treads, risers, landings) - half landing 1.8 x 3.75</t>
        </is>
      </c>
      <c r="E5761" s="247">
        <v>1.8</v>
      </c>
      <c r="F5761" s="247">
        <v>3.75</v>
      </c>
      <c r="H5761" s="249">
        <f>PRODUCT(D5761:G5761)</f>
        <v>6.75</v>
      </c>
      <c r="J5761" s="253" t="inlineStr">
        <is>
          <t xml:space="preserve">1.8*3.75</t>
        </is>
      </c>
    </row>
    <row r="5762">
      <c r="C5762" s="246" t="inlineStr">
        <is>
          <t xml:space="preserve">Stair finishes (treads, risers, landings) - flights: 2 x 1.8 x 3.0</t>
        </is>
      </c>
      <c r="D5762" s="248">
        <v>2</v>
      </c>
      <c r="E5762" s="247">
        <v>1.8</v>
      </c>
      <c r="F5762" s="247">
        <v>3.0</v>
      </c>
      <c r="H5762" s="249">
        <f>PRODUCT(D5762:G5762)</f>
        <v>10.8</v>
      </c>
      <c r="J5762" s="253" t="inlineStr">
        <is>
          <t xml:space="preserve">2*1.8*3.0</t>
        </is>
      </c>
    </row>
    <row r="5763">
      <c r="C5763" s="246" t="inlineStr">
        <is>
          <t xml:space="preserve">Stair finishes (treads, risers, landings) - risers: 22 x 0.15 x 1.8</t>
        </is>
      </c>
      <c r="D5763" s="248">
        <v>22</v>
      </c>
      <c r="E5763" s="247">
        <v>0.15</v>
      </c>
      <c r="F5763" s="247">
        <v>1.8</v>
      </c>
      <c r="H5763" s="249">
        <f>PRODUCT(D5763:G5763)</f>
        <v>5.9399999999999995</v>
      </c>
      <c r="J5763" s="253" t="inlineStr">
        <is>
          <t xml:space="preserve">22*0.15*1.8</t>
        </is>
      </c>
    </row>
    <row r="5764">
      <c r="C5764" s="246" t="inlineStr">
        <is>
          <t xml:space="preserve">Stair finishes (treads, risers, landings) - floor landing 2.2 x 3.75</t>
        </is>
      </c>
      <c r="E5764" s="247">
        <v>2.2</v>
      </c>
      <c r="F5764" s="247">
        <v>3.75</v>
      </c>
      <c r="H5764" s="249">
        <f>PRODUCT(D5764:G5764)</f>
        <v>8.25</v>
      </c>
      <c r="J5764" s="253" t="inlineStr">
        <is>
          <t xml:space="preserve">2.2*3.75</t>
        </is>
      </c>
    </row>
    <row r="5765">
      <c r="C5765" s="246" t="inlineStr">
        <is>
          <t xml:space="preserve">Stair finishes (treads, risers, landings) - half landing 1.8 x 3.75</t>
        </is>
      </c>
      <c r="E5765" s="247">
        <v>1.8</v>
      </c>
      <c r="F5765" s="247">
        <v>3.75</v>
      </c>
      <c r="H5765" s="249">
        <f>PRODUCT(D5765:G5765)</f>
        <v>6.75</v>
      </c>
      <c r="J5765" s="253" t="inlineStr">
        <is>
          <t xml:space="preserve">1.8*3.75</t>
        </is>
      </c>
    </row>
    <row r="5766">
      <c r="C5766" s="250" t="inlineStr">
        <is>
          <t xml:space="preserve">Total carried to BOQ  10TH FLR item B</t>
        </is>
      </c>
      <c r="D5766" s="250" t="inlineStr">
        <is>
          <t xml:space="preserve"/>
        </is>
      </c>
      <c r="E5766" s="250" t="inlineStr">
        <is>
          <t xml:space="preserve"/>
        </is>
      </c>
      <c r="F5766" s="250" t="inlineStr">
        <is>
          <t xml:space="preserve"/>
        </is>
      </c>
      <c r="G5766" s="250" t="inlineStr">
        <is>
          <t xml:space="preserve"/>
        </is>
      </c>
      <c r="H5766" s="251">
        <f>SUM(H5757:H5765)</f>
        <v>711.28</v>
      </c>
      <c r="I5766" s="252" t="inlineStr">
        <is>
          <t xml:space="preserve">m2</t>
        </is>
      </c>
    </row>
    <row r="5767" ht="32.2" customHeight="1">
      <c r="A5767" s="243" t="inlineStr">
        <is>
          <t xml:space="preserve">10TH FLR</t>
        </is>
      </c>
      <c r="B5767" s="243" t="inlineStr">
        <is>
          <t xml:space="preserve">C</t>
        </is>
      </c>
      <c r="C5767" s="244" t="inlineStr">
        <is>
          <t xml:space="preserve">400x400mm non-slip porcelain floor tiles to washrooms &amp; WCs, adhesive, grout and cutting</t>
        </is>
      </c>
      <c r="I5767" s="245" t="inlineStr">
        <is>
          <t xml:space="preserve">m2</t>
        </is>
      </c>
      <c r="K5767" s="256" t="inlineStr">
        <is>
          <t xml:space="preserve">'10TH FLR   '!C198</t>
        </is>
      </c>
    </row>
    <row r="5768">
      <c r="C5768" s="246" t="inlineStr">
        <is>
          <t xml:space="preserve">Tenth floor - Washroom ceiling areas (measured)</t>
        </is>
      </c>
      <c r="H5768" s="247">
        <v>45.4</v>
      </c>
      <c r="J5768" s="253" t="inlineStr">
        <is>
          <t xml:space="preserve">45.4</t>
        </is>
      </c>
    </row>
    <row r="5769">
      <c r="C5769" s="250" t="inlineStr">
        <is>
          <t xml:space="preserve">Total carried to BOQ  10TH FLR item C</t>
        </is>
      </c>
      <c r="D5769" s="250" t="inlineStr">
        <is>
          <t xml:space="preserve"/>
        </is>
      </c>
      <c r="E5769" s="250" t="inlineStr">
        <is>
          <t xml:space="preserve"/>
        </is>
      </c>
      <c r="F5769" s="250" t="inlineStr">
        <is>
          <t xml:space="preserve"/>
        </is>
      </c>
      <c r="G5769" s="250" t="inlineStr">
        <is>
          <t xml:space="preserve"/>
        </is>
      </c>
      <c r="H5769" s="251">
        <f>SUM(H5768:H5768)</f>
        <v>45.4</v>
      </c>
      <c r="I5769" s="252" t="inlineStr">
        <is>
          <t xml:space="preserve">m2</t>
        </is>
      </c>
    </row>
    <row r="5770" ht="32.2" customHeight="1">
      <c r="A5770" s="243" t="inlineStr">
        <is>
          <t xml:space="preserve">10TH FLR</t>
        </is>
      </c>
      <c r="B5770" s="243" t="inlineStr">
        <is>
          <t xml:space="preserve">D</t>
        </is>
      </c>
      <c r="C5770" s="244" t="inlineStr">
        <is>
          <t xml:space="preserve">500x500mm matte R11 porcelain tiles to staircases (treads, risers and landings)</t>
        </is>
      </c>
      <c r="I5770" s="245" t="inlineStr">
        <is>
          <t xml:space="preserve">m2</t>
        </is>
      </c>
      <c r="K5770" s="256" t="inlineStr">
        <is>
          <t xml:space="preserve">'10TH FLR   '!C200</t>
        </is>
      </c>
    </row>
    <row r="5771">
      <c r="C5771" s="246" t="inlineStr">
        <is>
          <t xml:space="preserve">Tenth floor (+34000) - Main stair flight (storey ht 3.3) - flights: 2 x 1.8 x 3.0</t>
        </is>
      </c>
      <c r="D5771" s="248">
        <v>2</v>
      </c>
      <c r="E5771" s="247">
        <v>1.8</v>
      </c>
      <c r="F5771" s="247">
        <v>3.0</v>
      </c>
      <c r="H5771" s="249">
        <f>PRODUCT(D5771:G5771)</f>
        <v>10.8</v>
      </c>
      <c r="J5771" s="253" t="inlineStr">
        <is>
          <t xml:space="preserve">2*1.8*3.0</t>
        </is>
      </c>
    </row>
    <row r="5772">
      <c r="C5772" s="246" t="inlineStr">
        <is>
          <t xml:space="preserve">Tenth floor (+34000) - Main stair flight (storey ht 3.3) - risers: 22 x 0.15 x 1.8</t>
        </is>
      </c>
      <c r="D5772" s="248">
        <v>22</v>
      </c>
      <c r="E5772" s="247">
        <v>0.15</v>
      </c>
      <c r="F5772" s="247">
        <v>1.8</v>
      </c>
      <c r="H5772" s="249">
        <f>PRODUCT(D5772:G5772)</f>
        <v>5.9399999999999995</v>
      </c>
      <c r="J5772" s="253" t="inlineStr">
        <is>
          <t xml:space="preserve">22*0.15*1.8</t>
        </is>
      </c>
    </row>
    <row r="5773">
      <c r="C5773" s="246" t="inlineStr">
        <is>
          <t xml:space="preserve">Tenth floor (+34000) - Main stair flight (storey ht 3.3) - floor landing 2.2 x 3.75</t>
        </is>
      </c>
      <c r="E5773" s="247">
        <v>2.2</v>
      </c>
      <c r="F5773" s="247">
        <v>3.75</v>
      </c>
      <c r="H5773" s="249">
        <f>PRODUCT(D5773:G5773)</f>
        <v>8.25</v>
      </c>
      <c r="J5773" s="253" t="inlineStr">
        <is>
          <t xml:space="preserve">2.2*3.75</t>
        </is>
      </c>
    </row>
    <row r="5774">
      <c r="C5774" s="246" t="inlineStr">
        <is>
          <t xml:space="preserve">Tenth floor (+34000) - Main stair flight (storey ht 3.3) - half landing 1.8 x 3.75</t>
        </is>
      </c>
      <c r="E5774" s="247">
        <v>1.8</v>
      </c>
      <c r="F5774" s="247">
        <v>3.75</v>
      </c>
      <c r="H5774" s="249">
        <f>PRODUCT(D5774:G5774)</f>
        <v>6.75</v>
      </c>
      <c r="J5774" s="253" t="inlineStr">
        <is>
          <t xml:space="preserve">1.8*3.75</t>
        </is>
      </c>
    </row>
    <row r="5775">
      <c r="C5775" s="246" t="inlineStr">
        <is>
          <t xml:space="preserve">Tenth floor (+34000) - Emergency stair flight (storey ht 3.3) - flights: 2 x 1.8 x 3.0</t>
        </is>
      </c>
      <c r="D5775" s="248">
        <v>2</v>
      </c>
      <c r="E5775" s="247">
        <v>1.8</v>
      </c>
      <c r="F5775" s="247">
        <v>3.0</v>
      </c>
      <c r="H5775" s="249">
        <f>PRODUCT(D5775:G5775)</f>
        <v>10.8</v>
      </c>
      <c r="J5775" s="253" t="inlineStr">
        <is>
          <t xml:space="preserve">2*1.8*3.0</t>
        </is>
      </c>
    </row>
    <row r="5776">
      <c r="C5776" s="246" t="inlineStr">
        <is>
          <t xml:space="preserve">Tenth floor (+34000) - Emergency stair flight (storey ht 3.3) - risers: 22 x 0.15 x 1.8</t>
        </is>
      </c>
      <c r="D5776" s="248">
        <v>22</v>
      </c>
      <c r="E5776" s="247">
        <v>0.15</v>
      </c>
      <c r="F5776" s="247">
        <v>1.8</v>
      </c>
      <c r="H5776" s="249">
        <f>PRODUCT(D5776:G5776)</f>
        <v>5.9399999999999995</v>
      </c>
      <c r="J5776" s="253" t="inlineStr">
        <is>
          <t xml:space="preserve">22*0.15*1.8</t>
        </is>
      </c>
    </row>
    <row r="5777">
      <c r="C5777" s="246" t="inlineStr">
        <is>
          <t xml:space="preserve">Tenth floor (+34000) - Emergency stair flight (storey ht 3.3) - floor landing 2.2 x 3.75</t>
        </is>
      </c>
      <c r="E5777" s="247">
        <v>2.2</v>
      </c>
      <c r="F5777" s="247">
        <v>3.75</v>
      </c>
      <c r="H5777" s="249">
        <f>PRODUCT(D5777:G5777)</f>
        <v>8.25</v>
      </c>
      <c r="J5777" s="253" t="inlineStr">
        <is>
          <t xml:space="preserve">2.2*3.75</t>
        </is>
      </c>
    </row>
    <row r="5778">
      <c r="C5778" s="246" t="inlineStr">
        <is>
          <t xml:space="preserve">Tenth floor (+34000) - Emergency stair flight (storey ht 3.3) - half landing 1.8 x 3.75</t>
        </is>
      </c>
      <c r="E5778" s="247">
        <v>1.8</v>
      </c>
      <c r="F5778" s="247">
        <v>3.75</v>
      </c>
      <c r="H5778" s="249">
        <f>PRODUCT(D5778:G5778)</f>
        <v>6.75</v>
      </c>
      <c r="J5778" s="253" t="inlineStr">
        <is>
          <t xml:space="preserve">1.8*3.75</t>
        </is>
      </c>
    </row>
    <row r="5779">
      <c r="C5779" s="250" t="inlineStr">
        <is>
          <t xml:space="preserve">Total carried to BOQ  10TH FLR item D</t>
        </is>
      </c>
      <c r="D5779" s="250" t="inlineStr">
        <is>
          <t xml:space="preserve"/>
        </is>
      </c>
      <c r="E5779" s="250" t="inlineStr">
        <is>
          <t xml:space="preserve"/>
        </is>
      </c>
      <c r="F5779" s="250" t="inlineStr">
        <is>
          <t xml:space="preserve"/>
        </is>
      </c>
      <c r="G5779" s="250" t="inlineStr">
        <is>
          <t xml:space="preserve"/>
        </is>
      </c>
      <c r="H5779" s="251">
        <f>SUM(H5771:H5778)</f>
        <v>63.480000000000004</v>
      </c>
      <c r="I5779" s="252" t="inlineStr">
        <is>
          <t xml:space="preserve">m2</t>
        </is>
      </c>
    </row>
    <row r="5780" ht="32.2" customHeight="1">
      <c r="A5780" s="243" t="inlineStr">
        <is>
          <t xml:space="preserve">10TH FLR</t>
        </is>
      </c>
      <c r="B5780" s="243" t="inlineStr">
        <is>
          <t xml:space="preserve">E</t>
        </is>
      </c>
      <c r="C5780" s="244" t="inlineStr">
        <is>
          <t xml:space="preserve">600x600mm semi-polished porcelain floor tiles to habitable rooms, shops &amp; offices</t>
        </is>
      </c>
      <c r="I5780" s="245" t="inlineStr">
        <is>
          <t xml:space="preserve">m2</t>
        </is>
      </c>
      <c r="K5780" s="256" t="inlineStr">
        <is>
          <t xml:space="preserve">'10TH FLR   '!C202</t>
        </is>
      </c>
    </row>
    <row r="5781">
      <c r="C5781" s="246" t="inlineStr">
        <is>
          <t xml:space="preserve">Tenth floor - Habitable rooms (measured)</t>
        </is>
      </c>
      <c r="H5781" s="247">
        <v>414.5</v>
      </c>
      <c r="J5781" s="253" t="inlineStr">
        <is>
          <t xml:space="preserve">414.5</t>
        </is>
      </c>
    </row>
    <row r="5782">
      <c r="C5782" s="250" t="inlineStr">
        <is>
          <t xml:space="preserve">Total carried to BOQ  10TH FLR item E</t>
        </is>
      </c>
      <c r="D5782" s="250" t="inlineStr">
        <is>
          <t xml:space="preserve"/>
        </is>
      </c>
      <c r="E5782" s="250" t="inlineStr">
        <is>
          <t xml:space="preserve"/>
        </is>
      </c>
      <c r="F5782" s="250" t="inlineStr">
        <is>
          <t xml:space="preserve"/>
        </is>
      </c>
      <c r="G5782" s="250" t="inlineStr">
        <is>
          <t xml:space="preserve"/>
        </is>
      </c>
      <c r="H5782" s="251">
        <f>SUM(H5781:H5781)</f>
        <v>414.5</v>
      </c>
      <c r="I5782" s="252" t="inlineStr">
        <is>
          <t xml:space="preserve">m2</t>
        </is>
      </c>
    </row>
    <row r="5783" ht="32.2" customHeight="1">
      <c r="A5783" s="243" t="inlineStr">
        <is>
          <t xml:space="preserve">10TH FLR</t>
        </is>
      </c>
      <c r="B5783" s="243" t="inlineStr">
        <is>
          <t xml:space="preserve">F</t>
        </is>
      </c>
      <c r="C5783" s="244" t="inlineStr">
        <is>
          <t xml:space="preserve">600x1200mm semi-polished porcelain floor tiles to stair/lift lobbies &amp; reception</t>
        </is>
      </c>
      <c r="I5783" s="245" t="inlineStr">
        <is>
          <t xml:space="preserve">m2</t>
        </is>
      </c>
      <c r="K5783" s="256" t="inlineStr">
        <is>
          <t xml:space="preserve">'10TH FLR   '!C204</t>
        </is>
      </c>
    </row>
    <row r="5784">
      <c r="C5784" s="246" t="inlineStr">
        <is>
          <t xml:space="preserve">Tenth floor - Lobbies (measured)</t>
        </is>
      </c>
      <c r="H5784" s="247">
        <v>23.2</v>
      </c>
      <c r="J5784" s="253" t="inlineStr">
        <is>
          <t xml:space="preserve">23.2</t>
        </is>
      </c>
    </row>
    <row r="5785">
      <c r="C5785" s="250" t="inlineStr">
        <is>
          <t xml:space="preserve">Total carried to BOQ  10TH FLR item F</t>
        </is>
      </c>
      <c r="D5785" s="250" t="inlineStr">
        <is>
          <t xml:space="preserve"/>
        </is>
      </c>
      <c r="E5785" s="250" t="inlineStr">
        <is>
          <t xml:space="preserve"/>
        </is>
      </c>
      <c r="F5785" s="250" t="inlineStr">
        <is>
          <t xml:space="preserve"/>
        </is>
      </c>
      <c r="G5785" s="250" t="inlineStr">
        <is>
          <t xml:space="preserve"/>
        </is>
      </c>
      <c r="H5785" s="251">
        <f>SUM(H5784:H5784)</f>
        <v>23.2</v>
      </c>
      <c r="I5785" s="252" t="inlineStr">
        <is>
          <t xml:space="preserve">m2</t>
        </is>
      </c>
    </row>
    <row r="5786" ht="32.2" customHeight="1">
      <c r="A5786" s="243" t="inlineStr">
        <is>
          <t xml:space="preserve">10TH FLR</t>
        </is>
      </c>
      <c r="B5786" s="243" t="inlineStr">
        <is>
          <t xml:space="preserve">G</t>
        </is>
      </c>
      <c r="C5786" s="244" t="inlineStr">
        <is>
          <t xml:space="preserve">600x600mm non-slip R11 porcelain tiles to corridors, terraces, verandah &amp; service areas</t>
        </is>
      </c>
      <c r="I5786" s="245" t="inlineStr">
        <is>
          <t xml:space="preserve">m2</t>
        </is>
      </c>
      <c r="K5786" s="256" t="inlineStr">
        <is>
          <t xml:space="preserve">'10TH FLR   '!C206</t>
        </is>
      </c>
    </row>
    <row r="5787">
      <c r="C5787" s="246" t="inlineStr">
        <is>
          <t xml:space="preserve">Tenth floor - Corridors/terraces/service (measured)</t>
        </is>
      </c>
      <c r="H5787" s="247">
        <v>164.8</v>
      </c>
      <c r="J5787" s="253" t="inlineStr">
        <is>
          <t xml:space="preserve">164.8</t>
        </is>
      </c>
    </row>
    <row r="5788">
      <c r="C5788" s="250" t="inlineStr">
        <is>
          <t xml:space="preserve">Total carried to BOQ  10TH FLR item G</t>
        </is>
      </c>
      <c r="D5788" s="250" t="inlineStr">
        <is>
          <t xml:space="preserve"/>
        </is>
      </c>
      <c r="E5788" s="250" t="inlineStr">
        <is>
          <t xml:space="preserve"/>
        </is>
      </c>
      <c r="F5788" s="250" t="inlineStr">
        <is>
          <t xml:space="preserve"/>
        </is>
      </c>
      <c r="G5788" s="250" t="inlineStr">
        <is>
          <t xml:space="preserve"/>
        </is>
      </c>
      <c r="H5788" s="251">
        <f>SUM(H5787:H5787)</f>
        <v>164.8</v>
      </c>
      <c r="I5788" s="252" t="inlineStr">
        <is>
          <t xml:space="preserve">m2</t>
        </is>
      </c>
    </row>
    <row r="5789">
      <c r="C5789" s="242" t="inlineStr">
        <is>
          <t xml:space="preserve">ELEMENT NO. 6: WALL FINISHES</t>
        </is>
      </c>
    </row>
    <row r="5790">
      <c r="C5790" s="242" t="inlineStr">
        <is>
          <t xml:space="preserve">M20 PLASTERED/RENDERED COATINGS - 12.5mm cement and sand (1:3) rendering as described on blockwork or concrete to:</t>
        </is>
      </c>
    </row>
    <row r="5791">
      <c r="A5791" s="243" t="inlineStr">
        <is>
          <t xml:space="preserve">10TH FLR</t>
        </is>
      </c>
      <c r="B5791" s="243" t="inlineStr">
        <is>
          <t xml:space="preserve">A</t>
        </is>
      </c>
      <c r="C5791" s="244" t="inlineStr">
        <is>
          <t xml:space="preserve">Interior walls</t>
        </is>
      </c>
      <c r="I5791" s="245" t="inlineStr">
        <is>
          <t xml:space="preserve">m2</t>
        </is>
      </c>
      <c r="K5791" s="256" t="inlineStr">
        <is>
          <t xml:space="preserve">'10TH FLR   '!C215</t>
        </is>
      </c>
    </row>
    <row r="5792">
      <c r="C5792" s="246" t="inlineStr">
        <is>
          <t xml:space="preserve">block wall faces: 2 x (150 + 200 block runs) x ht</t>
        </is>
      </c>
      <c r="D5792" s="248">
        <v>2</v>
      </c>
      <c r="E5792" s="247">
        <f>354.0+31.1</f>
        <v>385.1</v>
      </c>
      <c r="F5792" s="247">
        <v>3.05</v>
      </c>
      <c r="H5792" s="249">
        <f>PRODUCT(D5792:G5792)</f>
        <v>2349.11</v>
      </c>
      <c r="J5792" s="253" t="inlineStr">
        <is>
          <t xml:space="preserve">2*(354.0+31.1)*3.05</t>
        </is>
      </c>
    </row>
    <row r="5793">
      <c r="C5793" s="246" t="inlineStr">
        <is>
          <t xml:space="preserve">RC wall faces: 2 x RC wall run x ht</t>
        </is>
      </c>
      <c r="D5793" s="248">
        <v>2</v>
      </c>
      <c r="E5793" s="247">
        <v>39.8</v>
      </c>
      <c r="F5793" s="247">
        <v>3.05</v>
      </c>
      <c r="H5793" s="249">
        <f>PRODUCT(D5793:G5793)</f>
        <v>242.77999999999997</v>
      </c>
      <c r="J5793" s="253" t="inlineStr">
        <is>
          <t xml:space="preserve">2*39.8*3.05</t>
        </is>
      </c>
    </row>
    <row r="5794">
      <c r="C5794" s="246" t="inlineStr">
        <is>
          <t xml:space="preserve">Ddt lift/stair shaft inner faces 16.8 m x ht</t>
        </is>
      </c>
      <c r="E5794" s="247">
        <v>16.8</v>
      </c>
      <c r="F5794" s="247">
        <v>3.05</v>
      </c>
      <c r="H5794" s="249">
        <f>-PRODUCT(D5794:G5794)</f>
        <v>-51.24</v>
      </c>
      <c r="J5794" s="253" t="inlineStr">
        <is>
          <t xml:space="preserve">-16.8*3.05</t>
        </is>
      </c>
    </row>
    <row r="5795">
      <c r="C5795" s="246" t="inlineStr">
        <is>
          <t xml:space="preserve">Ddt external face of perimeter wall (rendered externally)</t>
        </is>
      </c>
      <c r="E5795" s="247">
        <v>181.8</v>
      </c>
      <c r="F5795" s="247">
        <v>3.05</v>
      </c>
      <c r="H5795" s="249">
        <f>-PRODUCT(D5795:G5795)</f>
        <v>-554.49</v>
      </c>
      <c r="J5795" s="253" t="inlineStr">
        <is>
          <t xml:space="preserve">-181.8*3.05</t>
        </is>
      </c>
    </row>
    <row r="5796">
      <c r="C5796" s="246" t="inlineStr">
        <is>
          <t xml:space="preserve">Ddt washroom walls (measured separately)</t>
        </is>
      </c>
      <c r="E5796" s="247">
        <f>45.4/3.8</f>
        <v>11.947368421052632</v>
      </c>
      <c r="F5796" s="247">
        <v>8.0</v>
      </c>
      <c r="G5796" s="247">
        <v>3.05</v>
      </c>
      <c r="H5796" s="249">
        <f>-PRODUCT(D5796:G5796)</f>
        <v>-291.5157894736842</v>
      </c>
      <c r="J5796" s="253" t="inlineStr">
        <is>
          <t xml:space="preserve">-45.4/3.8*8.0*3.05</t>
        </is>
      </c>
    </row>
    <row r="5797">
      <c r="C5797" s="246" t="inlineStr">
        <is>
          <t xml:space="preserve">Ddt opening D2 (6 nr, 1x2.2) - both faces</t>
        </is>
      </c>
      <c r="D5797" s="248">
        <f>2*6</f>
        <v>12</v>
      </c>
      <c r="E5797" s="247">
        <v>1</v>
      </c>
      <c r="F5797" s="247">
        <v>2.2</v>
      </c>
      <c r="H5797" s="249">
        <f>-PRODUCT(D5797:G5797)</f>
        <v>-26.400000000000002</v>
      </c>
      <c r="J5797" s="253" t="inlineStr">
        <is>
          <t xml:space="preserve">-2*6*1*2.2</t>
        </is>
      </c>
    </row>
    <row r="5798">
      <c r="C5798" s="246" t="inlineStr">
        <is>
          <t xml:space="preserve">Ddt opening D3 (11 nr, 0.9x2.2) - both faces</t>
        </is>
      </c>
      <c r="D5798" s="248">
        <f>2*11</f>
        <v>22</v>
      </c>
      <c r="E5798" s="247">
        <v>0.9</v>
      </c>
      <c r="F5798" s="247">
        <v>2.2</v>
      </c>
      <c r="H5798" s="249">
        <f>-PRODUCT(D5798:G5798)</f>
        <v>-43.56</v>
      </c>
      <c r="J5798" s="253" t="inlineStr">
        <is>
          <t xml:space="preserve">-2*11*0.9*2.2</t>
        </is>
      </c>
    </row>
    <row r="5799">
      <c r="C5799" s="246" t="inlineStr">
        <is>
          <t xml:space="preserve">Ddt opening D6 (16 nr, 0.75x2.2) - both faces</t>
        </is>
      </c>
      <c r="D5799" s="248">
        <f>2*16</f>
        <v>32</v>
      </c>
      <c r="E5799" s="247">
        <v>0.75</v>
      </c>
      <c r="F5799" s="247">
        <v>2.2</v>
      </c>
      <c r="H5799" s="249">
        <f>-PRODUCT(D5799:G5799)</f>
        <v>-52.800000000000004</v>
      </c>
      <c r="J5799" s="253" t="inlineStr">
        <is>
          <t xml:space="preserve">-2*16*0.75*2.2</t>
        </is>
      </c>
    </row>
    <row r="5800">
      <c r="C5800" s="246" t="inlineStr">
        <is>
          <t xml:space="preserve">Ddt opening D7 (1 nr, 0.7x2.2) - both faces</t>
        </is>
      </c>
      <c r="D5800" s="248">
        <f>2*1</f>
        <v>2</v>
      </c>
      <c r="E5800" s="247">
        <v>0.7</v>
      </c>
      <c r="F5800" s="247">
        <v>2.2</v>
      </c>
      <c r="H5800" s="249">
        <f>-PRODUCT(D5800:G5800)</f>
        <v>-3.08</v>
      </c>
      <c r="J5800" s="253" t="inlineStr">
        <is>
          <t xml:space="preserve">-2*1*0.7*2.2</t>
        </is>
      </c>
    </row>
    <row r="5801">
      <c r="C5801" s="246" t="inlineStr">
        <is>
          <t xml:space="preserve">Ddt opening D8 (2 nr, 1.2x2.2) - both faces</t>
        </is>
      </c>
      <c r="D5801" s="248">
        <f>2*2</f>
        <v>4</v>
      </c>
      <c r="E5801" s="247">
        <v>1.2</v>
      </c>
      <c r="F5801" s="247">
        <v>2.2</v>
      </c>
      <c r="H5801" s="249">
        <f>-PRODUCT(D5801:G5801)</f>
        <v>-10.56</v>
      </c>
      <c r="J5801" s="253" t="inlineStr">
        <is>
          <t xml:space="preserve">-2*2*1.2*2.2</t>
        </is>
      </c>
    </row>
    <row r="5802">
      <c r="C5802" s="246" t="inlineStr">
        <is>
          <t xml:space="preserve">Ddt opening ED1 (2 nr, 1x2.2) - both faces</t>
        </is>
      </c>
      <c r="D5802" s="248">
        <f>2*2</f>
        <v>4</v>
      </c>
      <c r="E5802" s="247">
        <v>1</v>
      </c>
      <c r="F5802" s="247">
        <v>2.2</v>
      </c>
      <c r="H5802" s="249">
        <f>-PRODUCT(D5802:G5802)</f>
        <v>-8.8</v>
      </c>
      <c r="J5802" s="253" t="inlineStr">
        <is>
          <t xml:space="preserve">-2*2*1*2.2</t>
        </is>
      </c>
    </row>
    <row r="5803">
      <c r="C5803" s="246" t="inlineStr">
        <is>
          <t xml:space="preserve">Ddt opening ED2 (2 nr, 1x2.2) - both faces</t>
        </is>
      </c>
      <c r="D5803" s="248">
        <f>2*2</f>
        <v>4</v>
      </c>
      <c r="E5803" s="247">
        <v>1</v>
      </c>
      <c r="F5803" s="247">
        <v>2.2</v>
      </c>
      <c r="H5803" s="249">
        <f>-PRODUCT(D5803:G5803)</f>
        <v>-8.8</v>
      </c>
      <c r="J5803" s="253" t="inlineStr">
        <is>
          <t xml:space="preserve">-2*2*1*2.2</t>
        </is>
      </c>
    </row>
    <row r="5804">
      <c r="C5804" s="246" t="inlineStr">
        <is>
          <t xml:space="preserve">Ddt opening D9 (1 nr, 0.9x2.2) - both faces</t>
        </is>
      </c>
      <c r="D5804" s="248">
        <f>2*1</f>
        <v>2</v>
      </c>
      <c r="E5804" s="247">
        <v>0.9</v>
      </c>
      <c r="F5804" s="247">
        <v>2.2</v>
      </c>
      <c r="H5804" s="249">
        <f>-PRODUCT(D5804:G5804)</f>
        <v>-3.9600000000000004</v>
      </c>
      <c r="J5804" s="253" t="inlineStr">
        <is>
          <t xml:space="preserve">-2*1*0.9*2.2</t>
        </is>
      </c>
    </row>
    <row r="5805">
      <c r="C5805" s="246" t="inlineStr">
        <is>
          <t xml:space="preserve">Ddt opening FD1 (1 nr, 1.5x2.2) - both faces</t>
        </is>
      </c>
      <c r="D5805" s="248">
        <f>2*1</f>
        <v>2</v>
      </c>
      <c r="E5805" s="247">
        <v>1.5</v>
      </c>
      <c r="F5805" s="247">
        <v>2.2</v>
      </c>
      <c r="H5805" s="249">
        <f>-PRODUCT(D5805:G5805)</f>
        <v>-6.6000000000000005</v>
      </c>
      <c r="J5805" s="253" t="inlineStr">
        <is>
          <t xml:space="preserve">-2*1*1.5*2.2</t>
        </is>
      </c>
    </row>
    <row r="5806">
      <c r="C5806" s="246" t="inlineStr">
        <is>
          <t xml:space="preserve">Ddt opening M1 (2 nr, 0.9x2.2) - both faces</t>
        </is>
      </c>
      <c r="D5806" s="248">
        <f>2*2</f>
        <v>4</v>
      </c>
      <c r="E5806" s="247">
        <v>0.9</v>
      </c>
      <c r="F5806" s="247">
        <v>2.2</v>
      </c>
      <c r="H5806" s="249">
        <f>-PRODUCT(D5806:G5806)</f>
        <v>-7.920000000000001</v>
      </c>
      <c r="J5806" s="253" t="inlineStr">
        <is>
          <t xml:space="preserve">-2*2*0.9*2.2</t>
        </is>
      </c>
    </row>
    <row r="5807">
      <c r="C5807" s="246" t="inlineStr">
        <is>
          <t xml:space="preserve">Ddt opening M2 (4 nr, 0.75x2.2) - both faces</t>
        </is>
      </c>
      <c r="D5807" s="248">
        <f>2*4</f>
        <v>8</v>
      </c>
      <c r="E5807" s="247">
        <v>0.75</v>
      </c>
      <c r="F5807" s="247">
        <v>2.2</v>
      </c>
      <c r="H5807" s="249">
        <f>-PRODUCT(D5807:G5807)</f>
        <v>-13.200000000000001</v>
      </c>
      <c r="J5807" s="253" t="inlineStr">
        <is>
          <t xml:space="preserve">-2*4*0.75*2.2</t>
        </is>
      </c>
    </row>
    <row r="5808">
      <c r="C5808" s="246" t="inlineStr">
        <is>
          <t xml:space="preserve">Ddt opening M3 (1 nr, 0.45x2.2) - both faces</t>
        </is>
      </c>
      <c r="D5808" s="248">
        <f>2*1</f>
        <v>2</v>
      </c>
      <c r="E5808" s="247">
        <v>0.45</v>
      </c>
      <c r="F5808" s="247">
        <v>2.2</v>
      </c>
      <c r="H5808" s="249">
        <f>-PRODUCT(D5808:G5808)</f>
        <v>-1.9800000000000002</v>
      </c>
      <c r="J5808" s="253" t="inlineStr">
        <is>
          <t xml:space="preserve">-2*1*0.45*2.2</t>
        </is>
      </c>
    </row>
    <row r="5809">
      <c r="C5809" s="246" t="inlineStr">
        <is>
          <t xml:space="preserve">Ddt opening M5 (3 nr, 0.6x2.2) - both faces</t>
        </is>
      </c>
      <c r="D5809" s="248">
        <f>2*3</f>
        <v>6</v>
      </c>
      <c r="E5809" s="247">
        <v>0.6</v>
      </c>
      <c r="F5809" s="247">
        <v>2.2</v>
      </c>
      <c r="H5809" s="249">
        <f>-PRODUCT(D5809:G5809)</f>
        <v>-7.92</v>
      </c>
      <c r="J5809" s="253" t="inlineStr">
        <is>
          <t xml:space="preserve">-2*3*0.6*2.2</t>
        </is>
      </c>
    </row>
    <row r="5810">
      <c r="C5810" s="246" t="inlineStr">
        <is>
          <t xml:space="preserve">Ddt opening SD1 (1 nr, 3x2.2) - both faces</t>
        </is>
      </c>
      <c r="D5810" s="248">
        <f>2*1</f>
        <v>2</v>
      </c>
      <c r="E5810" s="247">
        <v>3</v>
      </c>
      <c r="F5810" s="247">
        <v>2.2</v>
      </c>
      <c r="H5810" s="249">
        <f>-PRODUCT(D5810:G5810)</f>
        <v>-13.200000000000001</v>
      </c>
      <c r="J5810" s="253" t="inlineStr">
        <is>
          <t xml:space="preserve">-2*1*3*2.2</t>
        </is>
      </c>
    </row>
    <row r="5811">
      <c r="C5811" s="246" t="inlineStr">
        <is>
          <t xml:space="preserve">Ddt opening SD2 (3 nr, 1.6x2.2) - both faces</t>
        </is>
      </c>
      <c r="D5811" s="248">
        <f>2*3</f>
        <v>6</v>
      </c>
      <c r="E5811" s="247">
        <v>1.6</v>
      </c>
      <c r="F5811" s="247">
        <v>2.2</v>
      </c>
      <c r="H5811" s="249">
        <f>-PRODUCT(D5811:G5811)</f>
        <v>-21.120000000000005</v>
      </c>
      <c r="J5811" s="253" t="inlineStr">
        <is>
          <t xml:space="preserve">-2*3*1.6*2.2</t>
        </is>
      </c>
    </row>
    <row r="5812">
      <c r="C5812" s="246" t="inlineStr">
        <is>
          <t xml:space="preserve">Ddt opening SD3 (2 nr, 1.3x2.2) - both faces</t>
        </is>
      </c>
      <c r="D5812" s="248">
        <f>2*2</f>
        <v>4</v>
      </c>
      <c r="E5812" s="247">
        <v>1.3</v>
      </c>
      <c r="F5812" s="247">
        <v>2.2</v>
      </c>
      <c r="H5812" s="249">
        <f>-PRODUCT(D5812:G5812)</f>
        <v>-11.440000000000001</v>
      </c>
      <c r="J5812" s="253" t="inlineStr">
        <is>
          <t xml:space="preserve">-2*2*1.3*2.2</t>
        </is>
      </c>
    </row>
    <row r="5813">
      <c r="C5813" s="246" t="inlineStr">
        <is>
          <t xml:space="preserve">Ddt opening SD4 (3 nr, 1.8x2.2) - both faces</t>
        </is>
      </c>
      <c r="D5813" s="248">
        <f>2*3</f>
        <v>6</v>
      </c>
      <c r="E5813" s="247">
        <v>1.8</v>
      </c>
      <c r="F5813" s="247">
        <v>2.2</v>
      </c>
      <c r="H5813" s="249">
        <f>-PRODUCT(D5813:G5813)</f>
        <v>-23.760000000000005</v>
      </c>
      <c r="J5813" s="253" t="inlineStr">
        <is>
          <t xml:space="preserve">-2*3*1.8*2.2</t>
        </is>
      </c>
    </row>
    <row r="5814">
      <c r="C5814" s="246" t="inlineStr">
        <is>
          <t xml:space="preserve">Ddt opening SD5 (1 nr, 1.2x2.2) - both faces</t>
        </is>
      </c>
      <c r="D5814" s="248">
        <f>2*1</f>
        <v>2</v>
      </c>
      <c r="E5814" s="247">
        <v>1.2</v>
      </c>
      <c r="F5814" s="247">
        <v>2.2</v>
      </c>
      <c r="H5814" s="249">
        <f>-PRODUCT(D5814:G5814)</f>
        <v>-5.28</v>
      </c>
      <c r="J5814" s="253" t="inlineStr">
        <is>
          <t xml:space="preserve">-2*1*1.2*2.2</t>
        </is>
      </c>
    </row>
    <row r="5815">
      <c r="C5815" s="246" t="inlineStr">
        <is>
          <t xml:space="preserve">Ddt opening W2 (4 nr, 1.8x1.3)</t>
        </is>
      </c>
      <c r="D5815" s="248">
        <v>4</v>
      </c>
      <c r="E5815" s="247">
        <v>1.8</v>
      </c>
      <c r="F5815" s="247">
        <v>1.3</v>
      </c>
      <c r="H5815" s="249">
        <f>-PRODUCT(D5815:G5815)</f>
        <v>-9.360000000000001</v>
      </c>
      <c r="J5815" s="253" t="inlineStr">
        <is>
          <t xml:space="preserve">-4*1.8*1.3</t>
        </is>
      </c>
    </row>
    <row r="5816">
      <c r="C5816" s="246" t="inlineStr">
        <is>
          <t xml:space="preserve">Ddt opening W4 (8 nr, 0.9x1.3)</t>
        </is>
      </c>
      <c r="D5816" s="248">
        <v>8</v>
      </c>
      <c r="E5816" s="247">
        <v>0.9</v>
      </c>
      <c r="F5816" s="247">
        <v>1.3</v>
      </c>
      <c r="H5816" s="249">
        <f>-PRODUCT(D5816:G5816)</f>
        <v>-9.360000000000001</v>
      </c>
      <c r="J5816" s="253" t="inlineStr">
        <is>
          <t xml:space="preserve">-8*0.9*1.3</t>
        </is>
      </c>
    </row>
    <row r="5817">
      <c r="C5817" s="246" t="inlineStr">
        <is>
          <t xml:space="preserve">Ddt opening W7 (1 nr, 1.8x1.6)</t>
        </is>
      </c>
      <c r="D5817" s="248">
        <v>1</v>
      </c>
      <c r="E5817" s="247">
        <v>1.8</v>
      </c>
      <c r="F5817" s="247">
        <v>1.6</v>
      </c>
      <c r="H5817" s="249">
        <f>-PRODUCT(D5817:G5817)</f>
        <v>-2.8800000000000003</v>
      </c>
      <c r="J5817" s="253" t="inlineStr">
        <is>
          <t xml:space="preserve">-1*1.8*1.6</t>
        </is>
      </c>
    </row>
    <row r="5818">
      <c r="C5818" s="246" t="inlineStr">
        <is>
          <t xml:space="preserve">Ddt opening W8 (2 nr, 1.2x1.9)</t>
        </is>
      </c>
      <c r="D5818" s="248">
        <v>2</v>
      </c>
      <c r="E5818" s="247">
        <v>1.2</v>
      </c>
      <c r="F5818" s="247">
        <v>1.9</v>
      </c>
      <c r="H5818" s="249">
        <f>-PRODUCT(D5818:G5818)</f>
        <v>-4.56</v>
      </c>
      <c r="J5818" s="253" t="inlineStr">
        <is>
          <t xml:space="preserve">-2*1.2*1.9</t>
        </is>
      </c>
    </row>
    <row r="5819">
      <c r="C5819" s="246" t="inlineStr">
        <is>
          <t xml:space="preserve">Ddt opening W9 (6 nr, 1.2x1.15)</t>
        </is>
      </c>
      <c r="D5819" s="248">
        <v>6</v>
      </c>
      <c r="E5819" s="247">
        <v>1.2</v>
      </c>
      <c r="F5819" s="247">
        <v>1.15</v>
      </c>
      <c r="H5819" s="249">
        <f>-PRODUCT(D5819:G5819)</f>
        <v>-8.28</v>
      </c>
      <c r="J5819" s="253" t="inlineStr">
        <is>
          <t xml:space="preserve">-6*1.2*1.15</t>
        </is>
      </c>
    </row>
    <row r="5820">
      <c r="C5820" s="246" t="inlineStr">
        <is>
          <t xml:space="preserve">Ddt opening W10 (1 nr, 1.2x1.2)</t>
        </is>
      </c>
      <c r="D5820" s="248">
        <v>1</v>
      </c>
      <c r="E5820" s="247">
        <v>1.2</v>
      </c>
      <c r="F5820" s="247">
        <v>1.2</v>
      </c>
      <c r="H5820" s="249">
        <f>-PRODUCT(D5820:G5820)</f>
        <v>-1.44</v>
      </c>
      <c r="J5820" s="253" t="inlineStr">
        <is>
          <t xml:space="preserve">-1*1.2*1.2</t>
        </is>
      </c>
    </row>
    <row r="5821">
      <c r="C5821" s="246" t="inlineStr">
        <is>
          <t xml:space="preserve">Ddt opening W11 (5 nr, 1.5x1.3)</t>
        </is>
      </c>
      <c r="D5821" s="248">
        <v>5</v>
      </c>
      <c r="E5821" s="247">
        <v>1.5</v>
      </c>
      <c r="F5821" s="247">
        <v>1.3</v>
      </c>
      <c r="H5821" s="249">
        <f>-PRODUCT(D5821:G5821)</f>
        <v>-9.75</v>
      </c>
      <c r="J5821" s="253" t="inlineStr">
        <is>
          <t xml:space="preserve">-5*1.5*1.3</t>
        </is>
      </c>
    </row>
    <row r="5822">
      <c r="C5822" s="246" t="inlineStr">
        <is>
          <t xml:space="preserve">Ddt opening W12 (3 nr, 1.5x1.15)</t>
        </is>
      </c>
      <c r="D5822" s="248">
        <v>3</v>
      </c>
      <c r="E5822" s="247">
        <v>1.5</v>
      </c>
      <c r="F5822" s="247">
        <v>1.15</v>
      </c>
      <c r="H5822" s="249">
        <f>-PRODUCT(D5822:G5822)</f>
        <v>-5.175</v>
      </c>
      <c r="J5822" s="253" t="inlineStr">
        <is>
          <t xml:space="preserve">-3*1.5*1.15</t>
        </is>
      </c>
    </row>
    <row r="5823">
      <c r="C5823" s="246" t="inlineStr">
        <is>
          <t xml:space="preserve">Ddt opening W15 (1 nr, 3x1.6)</t>
        </is>
      </c>
      <c r="D5823" s="248">
        <v>1</v>
      </c>
      <c r="E5823" s="247">
        <v>3</v>
      </c>
      <c r="F5823" s="247">
        <v>1.6</v>
      </c>
      <c r="H5823" s="249">
        <f>-PRODUCT(D5823:G5823)</f>
        <v>-4.800000000000001</v>
      </c>
      <c r="J5823" s="253" t="inlineStr">
        <is>
          <t xml:space="preserve">-1*3*1.6</t>
        </is>
      </c>
    </row>
    <row r="5824">
      <c r="C5824" s="246" t="inlineStr">
        <is>
          <t xml:space="preserve">Ddt opening W17 (2 nr, 1.8x1.9)</t>
        </is>
      </c>
      <c r="D5824" s="248">
        <v>2</v>
      </c>
      <c r="E5824" s="247">
        <v>1.8</v>
      </c>
      <c r="F5824" s="247">
        <v>1.9</v>
      </c>
      <c r="H5824" s="249">
        <f>-PRODUCT(D5824:G5824)</f>
        <v>-6.84</v>
      </c>
      <c r="J5824" s="253" t="inlineStr">
        <is>
          <t xml:space="preserve">-2*1.8*1.9</t>
        </is>
      </c>
    </row>
    <row r="5825">
      <c r="C5825" s="246" t="inlineStr">
        <is>
          <t xml:space="preserve">Ddt opening W18 (1 nr, 0.75x1.3)</t>
        </is>
      </c>
      <c r="D5825" s="248">
        <v>1</v>
      </c>
      <c r="E5825" s="247">
        <v>0.75</v>
      </c>
      <c r="F5825" s="247">
        <v>1.3</v>
      </c>
      <c r="H5825" s="249">
        <f>-PRODUCT(D5825:G5825)</f>
        <v>-0.9750000000000001</v>
      </c>
      <c r="J5825" s="253" t="inlineStr">
        <is>
          <t xml:space="preserve">-1*0.75*1.3</t>
        </is>
      </c>
    </row>
    <row r="5826">
      <c r="C5826" s="246" t="inlineStr">
        <is>
          <t xml:space="preserve">Ddt opening HW1 (10 nr, 0.9x0.6)</t>
        </is>
      </c>
      <c r="D5826" s="248">
        <v>10</v>
      </c>
      <c r="E5826" s="247">
        <v>0.9</v>
      </c>
      <c r="F5826" s="247">
        <v>0.6</v>
      </c>
      <c r="H5826" s="249">
        <f>-PRODUCT(D5826:G5826)</f>
        <v>-5.3999999999999995</v>
      </c>
      <c r="J5826" s="253" t="inlineStr">
        <is>
          <t xml:space="preserve">-10*0.9*0.6</t>
        </is>
      </c>
    </row>
    <row r="5827">
      <c r="C5827" s="246" t="inlineStr">
        <is>
          <t xml:space="preserve">Ddt opening HW2 (4 nr, 0.75x0.6)</t>
        </is>
      </c>
      <c r="D5827" s="248">
        <v>4</v>
      </c>
      <c r="E5827" s="247">
        <v>0.75</v>
      </c>
      <c r="F5827" s="247">
        <v>0.6</v>
      </c>
      <c r="H5827" s="249">
        <f>-PRODUCT(D5827:G5827)</f>
        <v>-1.7999999999999998</v>
      </c>
      <c r="J5827" s="253" t="inlineStr">
        <is>
          <t xml:space="preserve">-4*0.75*0.6</t>
        </is>
      </c>
    </row>
    <row r="5828">
      <c r="C5828" s="246" t="inlineStr">
        <is>
          <t xml:space="preserve">Ddt opening HW3 (1 nr, 0.6x0.6)</t>
        </is>
      </c>
      <c r="D5828" s="248">
        <v>1</v>
      </c>
      <c r="E5828" s="247">
        <v>0.6</v>
      </c>
      <c r="F5828" s="247">
        <v>0.6</v>
      </c>
      <c r="H5828" s="249">
        <f>-PRODUCT(D5828:G5828)</f>
        <v>-0.36</v>
      </c>
      <c r="J5828" s="253" t="inlineStr">
        <is>
          <t xml:space="preserve">-1*0.6*0.6</t>
        </is>
      </c>
    </row>
    <row r="5829">
      <c r="C5829" s="246" t="inlineStr">
        <is>
          <t xml:space="preserve">Ddt opening HW4 (1 nr, 1.2x0.6)</t>
        </is>
      </c>
      <c r="D5829" s="248">
        <v>1</v>
      </c>
      <c r="E5829" s="247">
        <v>1.2</v>
      </c>
      <c r="F5829" s="247">
        <v>0.6</v>
      </c>
      <c r="H5829" s="249">
        <f>-PRODUCT(D5829:G5829)</f>
        <v>-0.72</v>
      </c>
      <c r="J5829" s="253" t="inlineStr">
        <is>
          <t xml:space="preserve">-1*1.2*0.6</t>
        </is>
      </c>
    </row>
    <row r="5830">
      <c r="C5830" s="250" t="inlineStr">
        <is>
          <t xml:space="preserve">Total carried to BOQ  10TH FLR item A</t>
        </is>
      </c>
      <c r="D5830" s="250" t="inlineStr">
        <is>
          <t xml:space="preserve"/>
        </is>
      </c>
      <c r="E5830" s="250" t="inlineStr">
        <is>
          <t xml:space="preserve"/>
        </is>
      </c>
      <c r="F5830" s="250" t="inlineStr">
        <is>
          <t xml:space="preserve"/>
        </is>
      </c>
      <c r="G5830" s="250" t="inlineStr">
        <is>
          <t xml:space="preserve"/>
        </is>
      </c>
      <c r="H5830" s="251">
        <f>SUM(H5792:H5829)</f>
        <v>1352.5642105263166</v>
      </c>
      <c r="I5830" s="252" t="inlineStr">
        <is>
          <t xml:space="preserve">m2</t>
        </is>
      </c>
    </row>
    <row r="5831">
      <c r="A5831" s="243" t="inlineStr">
        <is>
          <t xml:space="preserve">10TH FLR</t>
        </is>
      </c>
      <c r="B5831" s="243" t="inlineStr">
        <is>
          <t xml:space="preserve">B</t>
        </is>
      </c>
      <c r="C5831" s="244" t="inlineStr">
        <is>
          <t xml:space="preserve">Interior partitions and washrooms</t>
        </is>
      </c>
      <c r="I5831" s="245" t="inlineStr">
        <is>
          <t xml:space="preserve">m2</t>
        </is>
      </c>
      <c r="K5831" s="256" t="inlineStr">
        <is>
          <t xml:space="preserve">'10TH FLR   '!C217</t>
        </is>
      </c>
    </row>
    <row r="5832">
      <c r="C5832" s="246" t="inlineStr">
        <is>
          <t xml:space="preserve">washroom walls: (wet area / 3.8 m2 per WC) x 8.0 m girth x ht</t>
        </is>
      </c>
      <c r="E5832" s="247">
        <f>45.4/3.8</f>
        <v>11.947368421052632</v>
      </c>
      <c r="F5832" s="247">
        <v>8.0</v>
      </c>
      <c r="G5832" s="247">
        <v>3.05</v>
      </c>
      <c r="H5832" s="249">
        <f>PRODUCT(D5832:G5832)</f>
        <v>291.5157894736842</v>
      </c>
      <c r="J5832" s="253" t="inlineStr">
        <is>
          <t xml:space="preserve">45.4/3.8*8.0*3.05</t>
        </is>
      </c>
    </row>
    <row r="5833">
      <c r="C5833" s="246" t="inlineStr">
        <is>
          <t xml:space="preserve">Ddt washroom doors: nr x 0.75 x 2.2</t>
        </is>
      </c>
      <c r="E5833" s="247">
        <f>45.4/3.8</f>
        <v>11.947368421052632</v>
      </c>
      <c r="F5833" s="247">
        <v>0.75</v>
      </c>
      <c r="G5833" s="247">
        <v>2.2</v>
      </c>
      <c r="H5833" s="249">
        <f>-PRODUCT(D5833:G5833)</f>
        <v>-19.713157894736845</v>
      </c>
      <c r="J5833" s="253" t="inlineStr">
        <is>
          <t xml:space="preserve">-45.4/3.8*0.75*2.2</t>
        </is>
      </c>
    </row>
    <row r="5834">
      <c r="C5834" s="250" t="inlineStr">
        <is>
          <t xml:space="preserve">Total carried to BOQ  10TH FLR item B</t>
        </is>
      </c>
      <c r="D5834" s="250" t="inlineStr">
        <is>
          <t xml:space="preserve"/>
        </is>
      </c>
      <c r="E5834" s="250" t="inlineStr">
        <is>
          <t xml:space="preserve"/>
        </is>
      </c>
      <c r="F5834" s="250" t="inlineStr">
        <is>
          <t xml:space="preserve"/>
        </is>
      </c>
      <c r="G5834" s="250" t="inlineStr">
        <is>
          <t xml:space="preserve"/>
        </is>
      </c>
      <c r="H5834" s="251">
        <f>SUM(H5832:H5833)</f>
        <v>271.80263157894734</v>
      </c>
      <c r="I5834" s="252" t="inlineStr">
        <is>
          <t xml:space="preserve">m2</t>
        </is>
      </c>
    </row>
    <row r="5835">
      <c r="A5835" s="243" t="inlineStr">
        <is>
          <t xml:space="preserve">10TH FLR</t>
        </is>
      </c>
      <c r="B5835" s="243" t="inlineStr">
        <is>
          <t xml:space="preserve">C</t>
        </is>
      </c>
      <c r="C5835" s="244" t="inlineStr">
        <is>
          <t xml:space="preserve">External walls</t>
        </is>
      </c>
      <c r="I5835" s="245" t="inlineStr">
        <is>
          <t xml:space="preserve">m2</t>
        </is>
      </c>
      <c r="K5835" s="256" t="inlineStr">
        <is>
          <t xml:space="preserve">'10TH FLR   '!C219</t>
        </is>
      </c>
    </row>
    <row r="5836">
      <c r="C5836" s="246" t="inlineStr">
        <is>
          <t xml:space="preserve">External perimeter x storey ht</t>
        </is>
      </c>
      <c r="E5836" s="247">
        <v>181.8</v>
      </c>
      <c r="F5836" s="247">
        <v>3.3</v>
      </c>
      <c r="H5836" s="249">
        <f>PRODUCT(D5836:G5836)</f>
        <v>599.94</v>
      </c>
      <c r="J5836" s="253" t="inlineStr">
        <is>
          <t xml:space="preserve">181.8*3.3</t>
        </is>
      </c>
    </row>
    <row r="5837">
      <c r="C5837" s="246" t="inlineStr">
        <is>
          <t xml:space="preserve">Ddt window W2 (4 nr, 1.8x1.3)</t>
        </is>
      </c>
      <c r="D5837" s="248">
        <v>4</v>
      </c>
      <c r="E5837" s="247">
        <v>1.8</v>
      </c>
      <c r="F5837" s="247">
        <v>1.3</v>
      </c>
      <c r="H5837" s="249">
        <f>-PRODUCT(D5837:G5837)</f>
        <v>-9.360000000000001</v>
      </c>
      <c r="J5837" s="253" t="inlineStr">
        <is>
          <t xml:space="preserve">-4*1.8*1.3</t>
        </is>
      </c>
    </row>
    <row r="5838">
      <c r="C5838" s="246" t="inlineStr">
        <is>
          <t xml:space="preserve">Ddt window W4 (8 nr, 0.9x1.3)</t>
        </is>
      </c>
      <c r="D5838" s="248">
        <v>8</v>
      </c>
      <c r="E5838" s="247">
        <v>0.9</v>
      </c>
      <c r="F5838" s="247">
        <v>1.3</v>
      </c>
      <c r="H5838" s="249">
        <f>-PRODUCT(D5838:G5838)</f>
        <v>-9.360000000000001</v>
      </c>
      <c r="J5838" s="253" t="inlineStr">
        <is>
          <t xml:space="preserve">-8*0.9*1.3</t>
        </is>
      </c>
    </row>
    <row r="5839">
      <c r="C5839" s="246" t="inlineStr">
        <is>
          <t xml:space="preserve">Ddt window W7 (1 nr, 1.8x1.6)</t>
        </is>
      </c>
      <c r="D5839" s="248">
        <v>1</v>
      </c>
      <c r="E5839" s="247">
        <v>1.8</v>
      </c>
      <c r="F5839" s="247">
        <v>1.6</v>
      </c>
      <c r="H5839" s="249">
        <f>-PRODUCT(D5839:G5839)</f>
        <v>-2.8800000000000003</v>
      </c>
      <c r="J5839" s="253" t="inlineStr">
        <is>
          <t xml:space="preserve">-1*1.8*1.6</t>
        </is>
      </c>
    </row>
    <row r="5840">
      <c r="C5840" s="246" t="inlineStr">
        <is>
          <t xml:space="preserve">Ddt window W8 (2 nr, 1.2x1.9)</t>
        </is>
      </c>
      <c r="D5840" s="248">
        <v>2</v>
      </c>
      <c r="E5840" s="247">
        <v>1.2</v>
      </c>
      <c r="F5840" s="247">
        <v>1.9</v>
      </c>
      <c r="H5840" s="249">
        <f>-PRODUCT(D5840:G5840)</f>
        <v>-4.56</v>
      </c>
      <c r="J5840" s="253" t="inlineStr">
        <is>
          <t xml:space="preserve">-2*1.2*1.9</t>
        </is>
      </c>
    </row>
    <row r="5841">
      <c r="C5841" s="246" t="inlineStr">
        <is>
          <t xml:space="preserve">Ddt window W9 (6 nr, 1.2x1.15)</t>
        </is>
      </c>
      <c r="D5841" s="248">
        <v>6</v>
      </c>
      <c r="E5841" s="247">
        <v>1.2</v>
      </c>
      <c r="F5841" s="247">
        <v>1.15</v>
      </c>
      <c r="H5841" s="249">
        <f>-PRODUCT(D5841:G5841)</f>
        <v>-8.28</v>
      </c>
      <c r="J5841" s="253" t="inlineStr">
        <is>
          <t xml:space="preserve">-6*1.2*1.15</t>
        </is>
      </c>
    </row>
    <row r="5842">
      <c r="C5842" s="246" t="inlineStr">
        <is>
          <t xml:space="preserve">Ddt window W10 (1 nr, 1.2x1.2)</t>
        </is>
      </c>
      <c r="D5842" s="248">
        <v>1</v>
      </c>
      <c r="E5842" s="247">
        <v>1.2</v>
      </c>
      <c r="F5842" s="247">
        <v>1.2</v>
      </c>
      <c r="H5842" s="249">
        <f>-PRODUCT(D5842:G5842)</f>
        <v>-1.44</v>
      </c>
      <c r="J5842" s="253" t="inlineStr">
        <is>
          <t xml:space="preserve">-1*1.2*1.2</t>
        </is>
      </c>
    </row>
    <row r="5843">
      <c r="C5843" s="246" t="inlineStr">
        <is>
          <t xml:space="preserve">Ddt window W11 (5 nr, 1.5x1.3)</t>
        </is>
      </c>
      <c r="D5843" s="248">
        <v>5</v>
      </c>
      <c r="E5843" s="247">
        <v>1.5</v>
      </c>
      <c r="F5843" s="247">
        <v>1.3</v>
      </c>
      <c r="H5843" s="249">
        <f>-PRODUCT(D5843:G5843)</f>
        <v>-9.75</v>
      </c>
      <c r="J5843" s="253" t="inlineStr">
        <is>
          <t xml:space="preserve">-5*1.5*1.3</t>
        </is>
      </c>
    </row>
    <row r="5844">
      <c r="C5844" s="246" t="inlineStr">
        <is>
          <t xml:space="preserve">Ddt window W12 (3 nr, 1.5x1.15)</t>
        </is>
      </c>
      <c r="D5844" s="248">
        <v>3</v>
      </c>
      <c r="E5844" s="247">
        <v>1.5</v>
      </c>
      <c r="F5844" s="247">
        <v>1.15</v>
      </c>
      <c r="H5844" s="249">
        <f>-PRODUCT(D5844:G5844)</f>
        <v>-5.175</v>
      </c>
      <c r="J5844" s="253" t="inlineStr">
        <is>
          <t xml:space="preserve">-3*1.5*1.15</t>
        </is>
      </c>
    </row>
    <row r="5845">
      <c r="C5845" s="246" t="inlineStr">
        <is>
          <t xml:space="preserve">Ddt window W15 (1 nr, 3x1.6)</t>
        </is>
      </c>
      <c r="D5845" s="248">
        <v>1</v>
      </c>
      <c r="E5845" s="247">
        <v>3</v>
      </c>
      <c r="F5845" s="247">
        <v>1.6</v>
      </c>
      <c r="H5845" s="249">
        <f>-PRODUCT(D5845:G5845)</f>
        <v>-4.800000000000001</v>
      </c>
      <c r="J5845" s="253" t="inlineStr">
        <is>
          <t xml:space="preserve">-1*3*1.6</t>
        </is>
      </c>
    </row>
    <row r="5846">
      <c r="C5846" s="246" t="inlineStr">
        <is>
          <t xml:space="preserve">Ddt window W17 (2 nr, 1.8x1.9)</t>
        </is>
      </c>
      <c r="D5846" s="248">
        <v>2</v>
      </c>
      <c r="E5846" s="247">
        <v>1.8</v>
      </c>
      <c r="F5846" s="247">
        <v>1.9</v>
      </c>
      <c r="H5846" s="249">
        <f>-PRODUCT(D5846:G5846)</f>
        <v>-6.84</v>
      </c>
      <c r="J5846" s="253" t="inlineStr">
        <is>
          <t xml:space="preserve">-2*1.8*1.9</t>
        </is>
      </c>
    </row>
    <row r="5847">
      <c r="C5847" s="246" t="inlineStr">
        <is>
          <t xml:space="preserve">Ddt window W18 (1 nr, 0.75x1.3)</t>
        </is>
      </c>
      <c r="D5847" s="248">
        <v>1</v>
      </c>
      <c r="E5847" s="247">
        <v>0.75</v>
      </c>
      <c r="F5847" s="247">
        <v>1.3</v>
      </c>
      <c r="H5847" s="249">
        <f>-PRODUCT(D5847:G5847)</f>
        <v>-0.9750000000000001</v>
      </c>
      <c r="J5847" s="253" t="inlineStr">
        <is>
          <t xml:space="preserve">-1*0.75*1.3</t>
        </is>
      </c>
    </row>
    <row r="5848">
      <c r="C5848" s="246" t="inlineStr">
        <is>
          <t xml:space="preserve">Ddt window HW1 (10 nr, 0.9x0.6)</t>
        </is>
      </c>
      <c r="D5848" s="248">
        <v>10</v>
      </c>
      <c r="E5848" s="247">
        <v>0.9</v>
      </c>
      <c r="F5848" s="247">
        <v>0.6</v>
      </c>
      <c r="H5848" s="249">
        <f>-PRODUCT(D5848:G5848)</f>
        <v>-5.3999999999999995</v>
      </c>
      <c r="J5848" s="253" t="inlineStr">
        <is>
          <t xml:space="preserve">-10*0.9*0.6</t>
        </is>
      </c>
    </row>
    <row r="5849">
      <c r="C5849" s="246" t="inlineStr">
        <is>
          <t xml:space="preserve">Ddt window HW2 (4 nr, 0.75x0.6)</t>
        </is>
      </c>
      <c r="D5849" s="248">
        <v>4</v>
      </c>
      <c r="E5849" s="247">
        <v>0.75</v>
      </c>
      <c r="F5849" s="247">
        <v>0.6</v>
      </c>
      <c r="H5849" s="249">
        <f>-PRODUCT(D5849:G5849)</f>
        <v>-1.7999999999999998</v>
      </c>
      <c r="J5849" s="253" t="inlineStr">
        <is>
          <t xml:space="preserve">-4*0.75*0.6</t>
        </is>
      </c>
    </row>
    <row r="5850">
      <c r="C5850" s="246" t="inlineStr">
        <is>
          <t xml:space="preserve">Ddt window HW3 (1 nr, 0.6x0.6)</t>
        </is>
      </c>
      <c r="D5850" s="248">
        <v>1</v>
      </c>
      <c r="E5850" s="247">
        <v>0.6</v>
      </c>
      <c r="F5850" s="247">
        <v>0.6</v>
      </c>
      <c r="H5850" s="249">
        <f>-PRODUCT(D5850:G5850)</f>
        <v>-0.36</v>
      </c>
      <c r="J5850" s="253" t="inlineStr">
        <is>
          <t xml:space="preserve">-1*0.6*0.6</t>
        </is>
      </c>
    </row>
    <row r="5851">
      <c r="C5851" s="246" t="inlineStr">
        <is>
          <t xml:space="preserve">Ddt window HW4 (1 nr, 1.2x0.6)</t>
        </is>
      </c>
      <c r="D5851" s="248">
        <v>1</v>
      </c>
      <c r="E5851" s="247">
        <v>1.2</v>
      </c>
      <c r="F5851" s="247">
        <v>0.6</v>
      </c>
      <c r="H5851" s="249">
        <f>-PRODUCT(D5851:G5851)</f>
        <v>-0.72</v>
      </c>
      <c r="J5851" s="253" t="inlineStr">
        <is>
          <t xml:space="preserve">-1*1.2*0.6</t>
        </is>
      </c>
    </row>
    <row r="5852">
      <c r="C5852" s="250" t="inlineStr">
        <is>
          <t xml:space="preserve">Total carried to BOQ  10TH FLR item C</t>
        </is>
      </c>
      <c r="D5852" s="250" t="inlineStr">
        <is>
          <t xml:space="preserve"/>
        </is>
      </c>
      <c r="E5852" s="250" t="inlineStr">
        <is>
          <t xml:space="preserve"/>
        </is>
      </c>
      <c r="F5852" s="250" t="inlineStr">
        <is>
          <t xml:space="preserve"/>
        </is>
      </c>
      <c r="G5852" s="250" t="inlineStr">
        <is>
          <t xml:space="preserve"/>
        </is>
      </c>
      <c r="H5852" s="251">
        <f>SUM(H5836:H5851)</f>
        <v>528.2400000000001</v>
      </c>
      <c r="I5852" s="252" t="inlineStr">
        <is>
          <t xml:space="preserve">m2</t>
        </is>
      </c>
    </row>
    <row r="5853">
      <c r="A5853" s="243" t="inlineStr">
        <is>
          <t xml:space="preserve">10TH FLR</t>
        </is>
      </c>
      <c r="B5853" s="243" t="inlineStr">
        <is>
          <t xml:space="preserve">D</t>
        </is>
      </c>
      <c r="C5853" s="244" t="inlineStr">
        <is>
          <t xml:space="preserve">12mm cement and sand (1:4) screeded backing to receive wall tiles</t>
        </is>
      </c>
      <c r="I5853" s="245" t="inlineStr">
        <is>
          <t xml:space="preserve">m2</t>
        </is>
      </c>
      <c r="K5853" s="256" t="inlineStr">
        <is>
          <t xml:space="preserve">'10TH FLR   '!C221</t>
        </is>
      </c>
    </row>
    <row r="5854">
      <c r="C5854" s="246" t="inlineStr">
        <is>
          <t xml:space="preserve">washroom walls: (wet area / 3.8 m2 per WC) x 8.0 m girth x ht</t>
        </is>
      </c>
      <c r="E5854" s="247">
        <f>45.4/3.8</f>
        <v>11.947368421052632</v>
      </c>
      <c r="F5854" s="247">
        <v>8.0</v>
      </c>
      <c r="G5854" s="247">
        <v>2.4</v>
      </c>
      <c r="H5854" s="249">
        <f>PRODUCT(D5854:G5854)</f>
        <v>229.38947368421051</v>
      </c>
      <c r="J5854" s="253" t="inlineStr">
        <is>
          <t xml:space="preserve">45.4/3.8*8.0*2.4</t>
        </is>
      </c>
    </row>
    <row r="5855">
      <c r="C5855" s="246" t="inlineStr">
        <is>
          <t xml:space="preserve">Ddt washroom doors: nr x 0.75 x 2.2</t>
        </is>
      </c>
      <c r="E5855" s="247">
        <f>45.4/3.8</f>
        <v>11.947368421052632</v>
      </c>
      <c r="F5855" s="247">
        <v>0.75</v>
      </c>
      <c r="G5855" s="247">
        <v>2.2</v>
      </c>
      <c r="H5855" s="249">
        <f>-PRODUCT(D5855:G5855)</f>
        <v>-19.713157894736845</v>
      </c>
      <c r="J5855" s="253" t="inlineStr">
        <is>
          <t xml:space="preserve">-45.4/3.8*0.75*2.2</t>
        </is>
      </c>
    </row>
    <row r="5856">
      <c r="C5856" s="250" t="inlineStr">
        <is>
          <t xml:space="preserve">Total carried to BOQ  10TH FLR item D</t>
        </is>
      </c>
      <c r="D5856" s="250" t="inlineStr">
        <is>
          <t xml:space="preserve"/>
        </is>
      </c>
      <c r="E5856" s="250" t="inlineStr">
        <is>
          <t xml:space="preserve"/>
        </is>
      </c>
      <c r="F5856" s="250" t="inlineStr">
        <is>
          <t xml:space="preserve"/>
        </is>
      </c>
      <c r="G5856" s="250" t="inlineStr">
        <is>
          <t xml:space="preserve"/>
        </is>
      </c>
      <c r="H5856" s="251">
        <f>SUM(H5854:H5855)</f>
        <v>209.67631578947368</v>
      </c>
      <c r="I5856" s="252" t="inlineStr">
        <is>
          <t xml:space="preserve">m2</t>
        </is>
      </c>
    </row>
    <row r="5857" ht="32.2" customHeight="1">
      <c r="A5857" s="243" t="inlineStr">
        <is>
          <t xml:space="preserve">10TH FLR</t>
        </is>
      </c>
      <c r="B5857" s="243" t="inlineStr">
        <is>
          <t xml:space="preserve">E</t>
        </is>
      </c>
      <c r="C5857" s="244" t="inlineStr">
        <is>
          <t xml:space="preserve">Ceramic/porcelain wall tiles to washrooms to 2.4m high, adhesive &amp; grout (type TBC)</t>
        </is>
      </c>
      <c r="I5857" s="245" t="inlineStr">
        <is>
          <t xml:space="preserve">m2</t>
        </is>
      </c>
      <c r="K5857" s="256" t="inlineStr">
        <is>
          <t xml:space="preserve">'10TH FLR   '!C223</t>
        </is>
      </c>
    </row>
    <row r="5858">
      <c r="C5858" s="246" t="inlineStr">
        <is>
          <t xml:space="preserve">washroom walls: (wet area / 3.8 m2 per WC) x 8.0 m girth x ht</t>
        </is>
      </c>
      <c r="E5858" s="247">
        <f>45.4/3.8</f>
        <v>11.947368421052632</v>
      </c>
      <c r="F5858" s="247">
        <v>8.0</v>
      </c>
      <c r="G5858" s="247">
        <v>2.4</v>
      </c>
      <c r="H5858" s="249">
        <f>PRODUCT(D5858:G5858)</f>
        <v>229.38947368421051</v>
      </c>
      <c r="J5858" s="253" t="inlineStr">
        <is>
          <t xml:space="preserve">45.4/3.8*8.0*2.4</t>
        </is>
      </c>
    </row>
    <row r="5859">
      <c r="C5859" s="246" t="inlineStr">
        <is>
          <t xml:space="preserve">Ddt washroom doors: nr x 0.75 x 2.2</t>
        </is>
      </c>
      <c r="E5859" s="247">
        <f>45.4/3.8</f>
        <v>11.947368421052632</v>
      </c>
      <c r="F5859" s="247">
        <v>0.75</v>
      </c>
      <c r="G5859" s="247">
        <v>2.2</v>
      </c>
      <c r="H5859" s="249">
        <f>-PRODUCT(D5859:G5859)</f>
        <v>-19.713157894736845</v>
      </c>
      <c r="J5859" s="253" t="inlineStr">
        <is>
          <t xml:space="preserve">-45.4/3.8*0.75*2.2</t>
        </is>
      </c>
    </row>
    <row r="5860">
      <c r="C5860" s="250" t="inlineStr">
        <is>
          <t xml:space="preserve">Total carried to BOQ  10TH FLR item E</t>
        </is>
      </c>
      <c r="D5860" s="250" t="inlineStr">
        <is>
          <t xml:space="preserve"/>
        </is>
      </c>
      <c r="E5860" s="250" t="inlineStr">
        <is>
          <t xml:space="preserve"/>
        </is>
      </c>
      <c r="F5860" s="250" t="inlineStr">
        <is>
          <t xml:space="preserve"/>
        </is>
      </c>
      <c r="G5860" s="250" t="inlineStr">
        <is>
          <t xml:space="preserve"/>
        </is>
      </c>
      <c r="H5860" s="251">
        <f>SUM(H5858:H5859)</f>
        <v>209.67631578947368</v>
      </c>
      <c r="I5860" s="252" t="inlineStr">
        <is>
          <t xml:space="preserve">m2</t>
        </is>
      </c>
    </row>
    <row r="5861">
      <c r="C5861" s="242" t="inlineStr">
        <is>
          <t xml:space="preserve">ELEMENT NO. 7: PAINTING AND DECORATING</t>
        </is>
      </c>
    </row>
    <row r="5862">
      <c r="C5862" s="242" t="inlineStr">
        <is>
          <t xml:space="preserve">M60 PAINTING - Prepare and apply two undercoats and finishing coat of emulsion paint on:</t>
        </is>
      </c>
    </row>
    <row r="5863">
      <c r="A5863" s="243" t="inlineStr">
        <is>
          <t xml:space="preserve">10TH FLR</t>
        </is>
      </c>
      <c r="B5863" s="243" t="inlineStr">
        <is>
          <t xml:space="preserve">A</t>
        </is>
      </c>
      <c r="C5863" s="244" t="inlineStr">
        <is>
          <t xml:space="preserve">Interior walls</t>
        </is>
      </c>
      <c r="I5863" s="245" t="inlineStr">
        <is>
          <t xml:space="preserve">m2</t>
        </is>
      </c>
      <c r="K5863" s="256" t="inlineStr">
        <is>
          <t xml:space="preserve">'10TH FLR   '!C232</t>
        </is>
      </c>
    </row>
    <row r="5864">
      <c r="C5864" s="246" t="inlineStr">
        <is>
          <t xml:space="preserve">block wall faces: 2 x (150 + 200 block runs) x ht</t>
        </is>
      </c>
      <c r="D5864" s="248">
        <v>2</v>
      </c>
      <c r="E5864" s="247">
        <f>354.0+31.1</f>
        <v>385.1</v>
      </c>
      <c r="F5864" s="247">
        <v>3.05</v>
      </c>
      <c r="H5864" s="249">
        <f>PRODUCT(D5864:G5864)</f>
        <v>2349.11</v>
      </c>
      <c r="J5864" s="253" t="inlineStr">
        <is>
          <t xml:space="preserve">2*(354.0+31.1)*3.05</t>
        </is>
      </c>
    </row>
    <row r="5865">
      <c r="C5865" s="246" t="inlineStr">
        <is>
          <t xml:space="preserve">RC wall faces: 2 x RC wall run x ht</t>
        </is>
      </c>
      <c r="D5865" s="248">
        <v>2</v>
      </c>
      <c r="E5865" s="247">
        <v>39.8</v>
      </c>
      <c r="F5865" s="247">
        <v>3.05</v>
      </c>
      <c r="H5865" s="249">
        <f>PRODUCT(D5865:G5865)</f>
        <v>242.77999999999997</v>
      </c>
      <c r="J5865" s="253" t="inlineStr">
        <is>
          <t xml:space="preserve">2*39.8*3.05</t>
        </is>
      </c>
    </row>
    <row r="5866">
      <c r="C5866" s="246" t="inlineStr">
        <is>
          <t xml:space="preserve">Ddt lift/stair shaft inner faces 16.8 m x ht</t>
        </is>
      </c>
      <c r="E5866" s="247">
        <v>16.8</v>
      </c>
      <c r="F5866" s="247">
        <v>3.05</v>
      </c>
      <c r="H5866" s="249">
        <f>-PRODUCT(D5866:G5866)</f>
        <v>-51.24</v>
      </c>
      <c r="J5866" s="253" t="inlineStr">
        <is>
          <t xml:space="preserve">-16.8*3.05</t>
        </is>
      </c>
    </row>
    <row r="5867">
      <c r="C5867" s="246" t="inlineStr">
        <is>
          <t xml:space="preserve">Ddt external face of perimeter wall (rendered externally)</t>
        </is>
      </c>
      <c r="E5867" s="247">
        <v>181.8</v>
      </c>
      <c r="F5867" s="247">
        <v>3.05</v>
      </c>
      <c r="H5867" s="249">
        <f>-PRODUCT(D5867:G5867)</f>
        <v>-554.49</v>
      </c>
      <c r="J5867" s="253" t="inlineStr">
        <is>
          <t xml:space="preserve">-181.8*3.05</t>
        </is>
      </c>
    </row>
    <row r="5868">
      <c r="C5868" s="246" t="inlineStr">
        <is>
          <t xml:space="preserve">Ddt washroom walls (measured separately)</t>
        </is>
      </c>
      <c r="E5868" s="247">
        <f>45.4/3.8</f>
        <v>11.947368421052632</v>
      </c>
      <c r="F5868" s="247">
        <v>8.0</v>
      </c>
      <c r="G5868" s="247">
        <v>3.05</v>
      </c>
      <c r="H5868" s="249">
        <f>-PRODUCT(D5868:G5868)</f>
        <v>-291.5157894736842</v>
      </c>
      <c r="J5868" s="253" t="inlineStr">
        <is>
          <t xml:space="preserve">-45.4/3.8*8.0*3.05</t>
        </is>
      </c>
    </row>
    <row r="5869">
      <c r="C5869" s="246" t="inlineStr">
        <is>
          <t xml:space="preserve">Ddt opening D2 (6 nr, 1x2.2) - both faces</t>
        </is>
      </c>
      <c r="D5869" s="248">
        <f>2*6</f>
        <v>12</v>
      </c>
      <c r="E5869" s="247">
        <v>1</v>
      </c>
      <c r="F5869" s="247">
        <v>2.2</v>
      </c>
      <c r="H5869" s="249">
        <f>-PRODUCT(D5869:G5869)</f>
        <v>-26.400000000000002</v>
      </c>
      <c r="J5869" s="253" t="inlineStr">
        <is>
          <t xml:space="preserve">-2*6*1*2.2</t>
        </is>
      </c>
    </row>
    <row r="5870">
      <c r="C5870" s="246" t="inlineStr">
        <is>
          <t xml:space="preserve">Ddt opening D3 (11 nr, 0.9x2.2) - both faces</t>
        </is>
      </c>
      <c r="D5870" s="248">
        <f>2*11</f>
        <v>22</v>
      </c>
      <c r="E5870" s="247">
        <v>0.9</v>
      </c>
      <c r="F5870" s="247">
        <v>2.2</v>
      </c>
      <c r="H5870" s="249">
        <f>-PRODUCT(D5870:G5870)</f>
        <v>-43.56</v>
      </c>
      <c r="J5870" s="253" t="inlineStr">
        <is>
          <t xml:space="preserve">-2*11*0.9*2.2</t>
        </is>
      </c>
    </row>
    <row r="5871">
      <c r="C5871" s="246" t="inlineStr">
        <is>
          <t xml:space="preserve">Ddt opening D6 (16 nr, 0.75x2.2) - both faces</t>
        </is>
      </c>
      <c r="D5871" s="248">
        <f>2*16</f>
        <v>32</v>
      </c>
      <c r="E5871" s="247">
        <v>0.75</v>
      </c>
      <c r="F5871" s="247">
        <v>2.2</v>
      </c>
      <c r="H5871" s="249">
        <f>-PRODUCT(D5871:G5871)</f>
        <v>-52.800000000000004</v>
      </c>
      <c r="J5871" s="253" t="inlineStr">
        <is>
          <t xml:space="preserve">-2*16*0.75*2.2</t>
        </is>
      </c>
    </row>
    <row r="5872">
      <c r="C5872" s="246" t="inlineStr">
        <is>
          <t xml:space="preserve">Ddt opening D7 (1 nr, 0.7x2.2) - both faces</t>
        </is>
      </c>
      <c r="D5872" s="248">
        <f>2*1</f>
        <v>2</v>
      </c>
      <c r="E5872" s="247">
        <v>0.7</v>
      </c>
      <c r="F5872" s="247">
        <v>2.2</v>
      </c>
      <c r="H5872" s="249">
        <f>-PRODUCT(D5872:G5872)</f>
        <v>-3.08</v>
      </c>
      <c r="J5872" s="253" t="inlineStr">
        <is>
          <t xml:space="preserve">-2*1*0.7*2.2</t>
        </is>
      </c>
    </row>
    <row r="5873">
      <c r="C5873" s="246" t="inlineStr">
        <is>
          <t xml:space="preserve">Ddt opening D8 (2 nr, 1.2x2.2) - both faces</t>
        </is>
      </c>
      <c r="D5873" s="248">
        <f>2*2</f>
        <v>4</v>
      </c>
      <c r="E5873" s="247">
        <v>1.2</v>
      </c>
      <c r="F5873" s="247">
        <v>2.2</v>
      </c>
      <c r="H5873" s="249">
        <f>-PRODUCT(D5873:G5873)</f>
        <v>-10.56</v>
      </c>
      <c r="J5873" s="253" t="inlineStr">
        <is>
          <t xml:space="preserve">-2*2*1.2*2.2</t>
        </is>
      </c>
    </row>
    <row r="5874">
      <c r="C5874" s="246" t="inlineStr">
        <is>
          <t xml:space="preserve">Ddt opening ED1 (2 nr, 1x2.2) - both faces</t>
        </is>
      </c>
      <c r="D5874" s="248">
        <f>2*2</f>
        <v>4</v>
      </c>
      <c r="E5874" s="247">
        <v>1</v>
      </c>
      <c r="F5874" s="247">
        <v>2.2</v>
      </c>
      <c r="H5874" s="249">
        <f>-PRODUCT(D5874:G5874)</f>
        <v>-8.8</v>
      </c>
      <c r="J5874" s="253" t="inlineStr">
        <is>
          <t xml:space="preserve">-2*2*1*2.2</t>
        </is>
      </c>
    </row>
    <row r="5875">
      <c r="C5875" s="246" t="inlineStr">
        <is>
          <t xml:space="preserve">Ddt opening ED2 (2 nr, 1x2.2) - both faces</t>
        </is>
      </c>
      <c r="D5875" s="248">
        <f>2*2</f>
        <v>4</v>
      </c>
      <c r="E5875" s="247">
        <v>1</v>
      </c>
      <c r="F5875" s="247">
        <v>2.2</v>
      </c>
      <c r="H5875" s="249">
        <f>-PRODUCT(D5875:G5875)</f>
        <v>-8.8</v>
      </c>
      <c r="J5875" s="253" t="inlineStr">
        <is>
          <t xml:space="preserve">-2*2*1*2.2</t>
        </is>
      </c>
    </row>
    <row r="5876">
      <c r="C5876" s="246" t="inlineStr">
        <is>
          <t xml:space="preserve">Ddt opening D9 (1 nr, 0.9x2.2) - both faces</t>
        </is>
      </c>
      <c r="D5876" s="248">
        <f>2*1</f>
        <v>2</v>
      </c>
      <c r="E5876" s="247">
        <v>0.9</v>
      </c>
      <c r="F5876" s="247">
        <v>2.2</v>
      </c>
      <c r="H5876" s="249">
        <f>-PRODUCT(D5876:G5876)</f>
        <v>-3.9600000000000004</v>
      </c>
      <c r="J5876" s="253" t="inlineStr">
        <is>
          <t xml:space="preserve">-2*1*0.9*2.2</t>
        </is>
      </c>
    </row>
    <row r="5877">
      <c r="C5877" s="246" t="inlineStr">
        <is>
          <t xml:space="preserve">Ddt opening FD1 (1 nr, 1.5x2.2) - both faces</t>
        </is>
      </c>
      <c r="D5877" s="248">
        <f>2*1</f>
        <v>2</v>
      </c>
      <c r="E5877" s="247">
        <v>1.5</v>
      </c>
      <c r="F5877" s="247">
        <v>2.2</v>
      </c>
      <c r="H5877" s="249">
        <f>-PRODUCT(D5877:G5877)</f>
        <v>-6.6000000000000005</v>
      </c>
      <c r="J5877" s="253" t="inlineStr">
        <is>
          <t xml:space="preserve">-2*1*1.5*2.2</t>
        </is>
      </c>
    </row>
    <row r="5878">
      <c r="C5878" s="246" t="inlineStr">
        <is>
          <t xml:space="preserve">Ddt opening M1 (2 nr, 0.9x2.2) - both faces</t>
        </is>
      </c>
      <c r="D5878" s="248">
        <f>2*2</f>
        <v>4</v>
      </c>
      <c r="E5878" s="247">
        <v>0.9</v>
      </c>
      <c r="F5878" s="247">
        <v>2.2</v>
      </c>
      <c r="H5878" s="249">
        <f>-PRODUCT(D5878:G5878)</f>
        <v>-7.920000000000001</v>
      </c>
      <c r="J5878" s="253" t="inlineStr">
        <is>
          <t xml:space="preserve">-2*2*0.9*2.2</t>
        </is>
      </c>
    </row>
    <row r="5879">
      <c r="C5879" s="246" t="inlineStr">
        <is>
          <t xml:space="preserve">Ddt opening M2 (4 nr, 0.75x2.2) - both faces</t>
        </is>
      </c>
      <c r="D5879" s="248">
        <f>2*4</f>
        <v>8</v>
      </c>
      <c r="E5879" s="247">
        <v>0.75</v>
      </c>
      <c r="F5879" s="247">
        <v>2.2</v>
      </c>
      <c r="H5879" s="249">
        <f>-PRODUCT(D5879:G5879)</f>
        <v>-13.200000000000001</v>
      </c>
      <c r="J5879" s="253" t="inlineStr">
        <is>
          <t xml:space="preserve">-2*4*0.75*2.2</t>
        </is>
      </c>
    </row>
    <row r="5880">
      <c r="C5880" s="246" t="inlineStr">
        <is>
          <t xml:space="preserve">Ddt opening M3 (1 nr, 0.45x2.2) - both faces</t>
        </is>
      </c>
      <c r="D5880" s="248">
        <f>2*1</f>
        <v>2</v>
      </c>
      <c r="E5880" s="247">
        <v>0.45</v>
      </c>
      <c r="F5880" s="247">
        <v>2.2</v>
      </c>
      <c r="H5880" s="249">
        <f>-PRODUCT(D5880:G5880)</f>
        <v>-1.9800000000000002</v>
      </c>
      <c r="J5880" s="253" t="inlineStr">
        <is>
          <t xml:space="preserve">-2*1*0.45*2.2</t>
        </is>
      </c>
    </row>
    <row r="5881">
      <c r="C5881" s="246" t="inlineStr">
        <is>
          <t xml:space="preserve">Ddt opening M5 (3 nr, 0.6x2.2) - both faces</t>
        </is>
      </c>
      <c r="D5881" s="248">
        <f>2*3</f>
        <v>6</v>
      </c>
      <c r="E5881" s="247">
        <v>0.6</v>
      </c>
      <c r="F5881" s="247">
        <v>2.2</v>
      </c>
      <c r="H5881" s="249">
        <f>-PRODUCT(D5881:G5881)</f>
        <v>-7.92</v>
      </c>
      <c r="J5881" s="253" t="inlineStr">
        <is>
          <t xml:space="preserve">-2*3*0.6*2.2</t>
        </is>
      </c>
    </row>
    <row r="5882">
      <c r="C5882" s="246" t="inlineStr">
        <is>
          <t xml:space="preserve">Ddt opening SD1 (1 nr, 3x2.2) - both faces</t>
        </is>
      </c>
      <c r="D5882" s="248">
        <f>2*1</f>
        <v>2</v>
      </c>
      <c r="E5882" s="247">
        <v>3</v>
      </c>
      <c r="F5882" s="247">
        <v>2.2</v>
      </c>
      <c r="H5882" s="249">
        <f>-PRODUCT(D5882:G5882)</f>
        <v>-13.200000000000001</v>
      </c>
      <c r="J5882" s="253" t="inlineStr">
        <is>
          <t xml:space="preserve">-2*1*3*2.2</t>
        </is>
      </c>
    </row>
    <row r="5883">
      <c r="C5883" s="246" t="inlineStr">
        <is>
          <t xml:space="preserve">Ddt opening SD2 (3 nr, 1.6x2.2) - both faces</t>
        </is>
      </c>
      <c r="D5883" s="248">
        <f>2*3</f>
        <v>6</v>
      </c>
      <c r="E5883" s="247">
        <v>1.6</v>
      </c>
      <c r="F5883" s="247">
        <v>2.2</v>
      </c>
      <c r="H5883" s="249">
        <f>-PRODUCT(D5883:G5883)</f>
        <v>-21.120000000000005</v>
      </c>
      <c r="J5883" s="253" t="inlineStr">
        <is>
          <t xml:space="preserve">-2*3*1.6*2.2</t>
        </is>
      </c>
    </row>
    <row r="5884">
      <c r="C5884" s="246" t="inlineStr">
        <is>
          <t xml:space="preserve">Ddt opening SD3 (2 nr, 1.3x2.2) - both faces</t>
        </is>
      </c>
      <c r="D5884" s="248">
        <f>2*2</f>
        <v>4</v>
      </c>
      <c r="E5884" s="247">
        <v>1.3</v>
      </c>
      <c r="F5884" s="247">
        <v>2.2</v>
      </c>
      <c r="H5884" s="249">
        <f>-PRODUCT(D5884:G5884)</f>
        <v>-11.440000000000001</v>
      </c>
      <c r="J5884" s="253" t="inlineStr">
        <is>
          <t xml:space="preserve">-2*2*1.3*2.2</t>
        </is>
      </c>
    </row>
    <row r="5885">
      <c r="C5885" s="246" t="inlineStr">
        <is>
          <t xml:space="preserve">Ddt opening SD4 (3 nr, 1.8x2.2) - both faces</t>
        </is>
      </c>
      <c r="D5885" s="248">
        <f>2*3</f>
        <v>6</v>
      </c>
      <c r="E5885" s="247">
        <v>1.8</v>
      </c>
      <c r="F5885" s="247">
        <v>2.2</v>
      </c>
      <c r="H5885" s="249">
        <f>-PRODUCT(D5885:G5885)</f>
        <v>-23.760000000000005</v>
      </c>
      <c r="J5885" s="253" t="inlineStr">
        <is>
          <t xml:space="preserve">-2*3*1.8*2.2</t>
        </is>
      </c>
    </row>
    <row r="5886">
      <c r="C5886" s="246" t="inlineStr">
        <is>
          <t xml:space="preserve">Ddt opening SD5 (1 nr, 1.2x2.2) - both faces</t>
        </is>
      </c>
      <c r="D5886" s="248">
        <f>2*1</f>
        <v>2</v>
      </c>
      <c r="E5886" s="247">
        <v>1.2</v>
      </c>
      <c r="F5886" s="247">
        <v>2.2</v>
      </c>
      <c r="H5886" s="249">
        <f>-PRODUCT(D5886:G5886)</f>
        <v>-5.28</v>
      </c>
      <c r="J5886" s="253" t="inlineStr">
        <is>
          <t xml:space="preserve">-2*1*1.2*2.2</t>
        </is>
      </c>
    </row>
    <row r="5887">
      <c r="C5887" s="246" t="inlineStr">
        <is>
          <t xml:space="preserve">Ddt opening W2 (4 nr, 1.8x1.3)</t>
        </is>
      </c>
      <c r="D5887" s="248">
        <v>4</v>
      </c>
      <c r="E5887" s="247">
        <v>1.8</v>
      </c>
      <c r="F5887" s="247">
        <v>1.3</v>
      </c>
      <c r="H5887" s="249">
        <f>-PRODUCT(D5887:G5887)</f>
        <v>-9.360000000000001</v>
      </c>
      <c r="J5887" s="253" t="inlineStr">
        <is>
          <t xml:space="preserve">-4*1.8*1.3</t>
        </is>
      </c>
    </row>
    <row r="5888">
      <c r="C5888" s="246" t="inlineStr">
        <is>
          <t xml:space="preserve">Ddt opening W4 (8 nr, 0.9x1.3)</t>
        </is>
      </c>
      <c r="D5888" s="248">
        <v>8</v>
      </c>
      <c r="E5888" s="247">
        <v>0.9</v>
      </c>
      <c r="F5888" s="247">
        <v>1.3</v>
      </c>
      <c r="H5888" s="249">
        <f>-PRODUCT(D5888:G5888)</f>
        <v>-9.360000000000001</v>
      </c>
      <c r="J5888" s="253" t="inlineStr">
        <is>
          <t xml:space="preserve">-8*0.9*1.3</t>
        </is>
      </c>
    </row>
    <row r="5889">
      <c r="C5889" s="246" t="inlineStr">
        <is>
          <t xml:space="preserve">Ddt opening W7 (1 nr, 1.8x1.6)</t>
        </is>
      </c>
      <c r="D5889" s="248">
        <v>1</v>
      </c>
      <c r="E5889" s="247">
        <v>1.8</v>
      </c>
      <c r="F5889" s="247">
        <v>1.6</v>
      </c>
      <c r="H5889" s="249">
        <f>-PRODUCT(D5889:G5889)</f>
        <v>-2.8800000000000003</v>
      </c>
      <c r="J5889" s="253" t="inlineStr">
        <is>
          <t xml:space="preserve">-1*1.8*1.6</t>
        </is>
      </c>
    </row>
    <row r="5890">
      <c r="C5890" s="246" t="inlineStr">
        <is>
          <t xml:space="preserve">Ddt opening W8 (2 nr, 1.2x1.9)</t>
        </is>
      </c>
      <c r="D5890" s="248">
        <v>2</v>
      </c>
      <c r="E5890" s="247">
        <v>1.2</v>
      </c>
      <c r="F5890" s="247">
        <v>1.9</v>
      </c>
      <c r="H5890" s="249">
        <f>-PRODUCT(D5890:G5890)</f>
        <v>-4.56</v>
      </c>
      <c r="J5890" s="253" t="inlineStr">
        <is>
          <t xml:space="preserve">-2*1.2*1.9</t>
        </is>
      </c>
    </row>
    <row r="5891">
      <c r="C5891" s="246" t="inlineStr">
        <is>
          <t xml:space="preserve">Ddt opening W9 (6 nr, 1.2x1.15)</t>
        </is>
      </c>
      <c r="D5891" s="248">
        <v>6</v>
      </c>
      <c r="E5891" s="247">
        <v>1.2</v>
      </c>
      <c r="F5891" s="247">
        <v>1.15</v>
      </c>
      <c r="H5891" s="249">
        <f>-PRODUCT(D5891:G5891)</f>
        <v>-8.28</v>
      </c>
      <c r="J5891" s="253" t="inlineStr">
        <is>
          <t xml:space="preserve">-6*1.2*1.15</t>
        </is>
      </c>
    </row>
    <row r="5892">
      <c r="C5892" s="246" t="inlineStr">
        <is>
          <t xml:space="preserve">Ddt opening W10 (1 nr, 1.2x1.2)</t>
        </is>
      </c>
      <c r="D5892" s="248">
        <v>1</v>
      </c>
      <c r="E5892" s="247">
        <v>1.2</v>
      </c>
      <c r="F5892" s="247">
        <v>1.2</v>
      </c>
      <c r="H5892" s="249">
        <f>-PRODUCT(D5892:G5892)</f>
        <v>-1.44</v>
      </c>
      <c r="J5892" s="253" t="inlineStr">
        <is>
          <t xml:space="preserve">-1*1.2*1.2</t>
        </is>
      </c>
    </row>
    <row r="5893">
      <c r="C5893" s="246" t="inlineStr">
        <is>
          <t xml:space="preserve">Ddt opening W11 (5 nr, 1.5x1.3)</t>
        </is>
      </c>
      <c r="D5893" s="248">
        <v>5</v>
      </c>
      <c r="E5893" s="247">
        <v>1.5</v>
      </c>
      <c r="F5893" s="247">
        <v>1.3</v>
      </c>
      <c r="H5893" s="249">
        <f>-PRODUCT(D5893:G5893)</f>
        <v>-9.75</v>
      </c>
      <c r="J5893" s="253" t="inlineStr">
        <is>
          <t xml:space="preserve">-5*1.5*1.3</t>
        </is>
      </c>
    </row>
    <row r="5894">
      <c r="C5894" s="246" t="inlineStr">
        <is>
          <t xml:space="preserve">Ddt opening W12 (3 nr, 1.5x1.15)</t>
        </is>
      </c>
      <c r="D5894" s="248">
        <v>3</v>
      </c>
      <c r="E5894" s="247">
        <v>1.5</v>
      </c>
      <c r="F5894" s="247">
        <v>1.15</v>
      </c>
      <c r="H5894" s="249">
        <f>-PRODUCT(D5894:G5894)</f>
        <v>-5.175</v>
      </c>
      <c r="J5894" s="253" t="inlineStr">
        <is>
          <t xml:space="preserve">-3*1.5*1.15</t>
        </is>
      </c>
    </row>
    <row r="5895">
      <c r="C5895" s="246" t="inlineStr">
        <is>
          <t xml:space="preserve">Ddt opening W15 (1 nr, 3x1.6)</t>
        </is>
      </c>
      <c r="D5895" s="248">
        <v>1</v>
      </c>
      <c r="E5895" s="247">
        <v>3</v>
      </c>
      <c r="F5895" s="247">
        <v>1.6</v>
      </c>
      <c r="H5895" s="249">
        <f>-PRODUCT(D5895:G5895)</f>
        <v>-4.800000000000001</v>
      </c>
      <c r="J5895" s="253" t="inlineStr">
        <is>
          <t xml:space="preserve">-1*3*1.6</t>
        </is>
      </c>
    </row>
    <row r="5896">
      <c r="C5896" s="246" t="inlineStr">
        <is>
          <t xml:space="preserve">Ddt opening W17 (2 nr, 1.8x1.9)</t>
        </is>
      </c>
      <c r="D5896" s="248">
        <v>2</v>
      </c>
      <c r="E5896" s="247">
        <v>1.8</v>
      </c>
      <c r="F5896" s="247">
        <v>1.9</v>
      </c>
      <c r="H5896" s="249">
        <f>-PRODUCT(D5896:G5896)</f>
        <v>-6.84</v>
      </c>
      <c r="J5896" s="253" t="inlineStr">
        <is>
          <t xml:space="preserve">-2*1.8*1.9</t>
        </is>
      </c>
    </row>
    <row r="5897">
      <c r="C5897" s="246" t="inlineStr">
        <is>
          <t xml:space="preserve">Ddt opening W18 (1 nr, 0.75x1.3)</t>
        </is>
      </c>
      <c r="D5897" s="248">
        <v>1</v>
      </c>
      <c r="E5897" s="247">
        <v>0.75</v>
      </c>
      <c r="F5897" s="247">
        <v>1.3</v>
      </c>
      <c r="H5897" s="249">
        <f>-PRODUCT(D5897:G5897)</f>
        <v>-0.9750000000000001</v>
      </c>
      <c r="J5897" s="253" t="inlineStr">
        <is>
          <t xml:space="preserve">-1*0.75*1.3</t>
        </is>
      </c>
    </row>
    <row r="5898">
      <c r="C5898" s="246" t="inlineStr">
        <is>
          <t xml:space="preserve">Ddt opening HW1 (10 nr, 0.9x0.6)</t>
        </is>
      </c>
      <c r="D5898" s="248">
        <v>10</v>
      </c>
      <c r="E5898" s="247">
        <v>0.9</v>
      </c>
      <c r="F5898" s="247">
        <v>0.6</v>
      </c>
      <c r="H5898" s="249">
        <f>-PRODUCT(D5898:G5898)</f>
        <v>-5.3999999999999995</v>
      </c>
      <c r="J5898" s="253" t="inlineStr">
        <is>
          <t xml:space="preserve">-10*0.9*0.6</t>
        </is>
      </c>
    </row>
    <row r="5899">
      <c r="C5899" s="246" t="inlineStr">
        <is>
          <t xml:space="preserve">Ddt opening HW2 (4 nr, 0.75x0.6)</t>
        </is>
      </c>
      <c r="D5899" s="248">
        <v>4</v>
      </c>
      <c r="E5899" s="247">
        <v>0.75</v>
      </c>
      <c r="F5899" s="247">
        <v>0.6</v>
      </c>
      <c r="H5899" s="249">
        <f>-PRODUCT(D5899:G5899)</f>
        <v>-1.7999999999999998</v>
      </c>
      <c r="J5899" s="253" t="inlineStr">
        <is>
          <t xml:space="preserve">-4*0.75*0.6</t>
        </is>
      </c>
    </row>
    <row r="5900">
      <c r="C5900" s="246" t="inlineStr">
        <is>
          <t xml:space="preserve">Ddt opening HW3 (1 nr, 0.6x0.6)</t>
        </is>
      </c>
      <c r="D5900" s="248">
        <v>1</v>
      </c>
      <c r="E5900" s="247">
        <v>0.6</v>
      </c>
      <c r="F5900" s="247">
        <v>0.6</v>
      </c>
      <c r="H5900" s="249">
        <f>-PRODUCT(D5900:G5900)</f>
        <v>-0.36</v>
      </c>
      <c r="J5900" s="253" t="inlineStr">
        <is>
          <t xml:space="preserve">-1*0.6*0.6</t>
        </is>
      </c>
    </row>
    <row r="5901">
      <c r="C5901" s="246" t="inlineStr">
        <is>
          <t xml:space="preserve">Ddt opening HW4 (1 nr, 1.2x0.6)</t>
        </is>
      </c>
      <c r="D5901" s="248">
        <v>1</v>
      </c>
      <c r="E5901" s="247">
        <v>1.2</v>
      </c>
      <c r="F5901" s="247">
        <v>0.6</v>
      </c>
      <c r="H5901" s="249">
        <f>-PRODUCT(D5901:G5901)</f>
        <v>-0.72</v>
      </c>
      <c r="J5901" s="253" t="inlineStr">
        <is>
          <t xml:space="preserve">-1*1.2*0.6</t>
        </is>
      </c>
    </row>
    <row r="5902">
      <c r="C5902" s="250" t="inlineStr">
        <is>
          <t xml:space="preserve">Total carried to BOQ  10TH FLR item A</t>
        </is>
      </c>
      <c r="D5902" s="250" t="inlineStr">
        <is>
          <t xml:space="preserve"/>
        </is>
      </c>
      <c r="E5902" s="250" t="inlineStr">
        <is>
          <t xml:space="preserve"/>
        </is>
      </c>
      <c r="F5902" s="250" t="inlineStr">
        <is>
          <t xml:space="preserve"/>
        </is>
      </c>
      <c r="G5902" s="250" t="inlineStr">
        <is>
          <t xml:space="preserve"/>
        </is>
      </c>
      <c r="H5902" s="251">
        <f>SUM(H5864:H5901)</f>
        <v>1352.5642105263166</v>
      </c>
      <c r="I5902" s="252" t="inlineStr">
        <is>
          <t xml:space="preserve">m2</t>
        </is>
      </c>
    </row>
    <row r="5903">
      <c r="A5903" s="243" t="inlineStr">
        <is>
          <t xml:space="preserve">10TH FLR</t>
        </is>
      </c>
      <c r="B5903" s="243" t="inlineStr">
        <is>
          <t xml:space="preserve">B</t>
        </is>
      </c>
      <c r="C5903" s="244" t="inlineStr">
        <is>
          <t xml:space="preserve">Interior partitions and washrooms (above wall tiling)</t>
        </is>
      </c>
      <c r="I5903" s="245" t="inlineStr">
        <is>
          <t xml:space="preserve">m2</t>
        </is>
      </c>
      <c r="K5903" s="256" t="inlineStr">
        <is>
          <t xml:space="preserve">'10TH FLR   '!C234</t>
        </is>
      </c>
    </row>
    <row r="5904">
      <c r="C5904" s="246" t="inlineStr">
        <is>
          <t xml:space="preserve">washroom walls: (wet area / 3.8 m2 per WC) x 8.0 m girth x ht</t>
        </is>
      </c>
      <c r="E5904" s="247">
        <f>45.4/3.8</f>
        <v>11.947368421052632</v>
      </c>
      <c r="F5904" s="247">
        <v>8.0</v>
      </c>
      <c r="G5904" s="247">
        <v>3.05</v>
      </c>
      <c r="H5904" s="249">
        <f>PRODUCT(D5904:G5904)</f>
        <v>291.5157894736842</v>
      </c>
      <c r="J5904" s="253" t="inlineStr">
        <is>
          <t xml:space="preserve">45.4/3.8*8.0*3.05</t>
        </is>
      </c>
    </row>
    <row r="5905">
      <c r="C5905" s="246" t="inlineStr">
        <is>
          <t xml:space="preserve">Ddt washroom doors: nr x 0.75 x 2.2</t>
        </is>
      </c>
      <c r="E5905" s="247">
        <f>45.4/3.8</f>
        <v>11.947368421052632</v>
      </c>
      <c r="F5905" s="247">
        <v>0.75</v>
      </c>
      <c r="G5905" s="247">
        <v>2.2</v>
      </c>
      <c r="H5905" s="249">
        <f>-PRODUCT(D5905:G5905)</f>
        <v>-19.713157894736845</v>
      </c>
      <c r="J5905" s="253" t="inlineStr">
        <is>
          <t xml:space="preserve">-45.4/3.8*0.75*2.2</t>
        </is>
      </c>
    </row>
    <row r="5906">
      <c r="C5906" s="246" t="inlineStr">
        <is>
          <t xml:space="preserve">Ddt washroom walls: (wet area / 3.8 m2 per WC) x 8.0 m girth x ht</t>
        </is>
      </c>
      <c r="E5906" s="247">
        <f>45.4/3.8</f>
        <v>11.947368421052632</v>
      </c>
      <c r="F5906" s="247">
        <v>8.0</v>
      </c>
      <c r="G5906" s="247">
        <v>2.4</v>
      </c>
      <c r="H5906" s="249">
        <f>-PRODUCT(D5906:G5906)</f>
        <v>-229.38947368421051</v>
      </c>
      <c r="J5906" s="253" t="inlineStr">
        <is>
          <t xml:space="preserve">-45.4/3.8*8.0*2.4</t>
        </is>
      </c>
    </row>
    <row r="5907">
      <c r="C5907" s="246" t="inlineStr">
        <is>
          <t xml:space="preserve">washroom doors: nr x 0.75 x 2.2</t>
        </is>
      </c>
      <c r="E5907" s="247">
        <f>45.4/3.8</f>
        <v>11.947368421052632</v>
      </c>
      <c r="F5907" s="247">
        <v>0.75</v>
      </c>
      <c r="G5907" s="247">
        <v>2.2</v>
      </c>
      <c r="H5907" s="249">
        <f>PRODUCT(D5907:G5907)</f>
        <v>19.713157894736845</v>
      </c>
      <c r="J5907" s="253" t="inlineStr">
        <is>
          <t xml:space="preserve">45.4/3.8*0.75*2.2</t>
        </is>
      </c>
    </row>
    <row r="5908">
      <c r="C5908" s="250" t="inlineStr">
        <is>
          <t xml:space="preserve">Total carried to BOQ  10TH FLR item B</t>
        </is>
      </c>
      <c r="D5908" s="250" t="inlineStr">
        <is>
          <t xml:space="preserve"/>
        </is>
      </c>
      <c r="E5908" s="250" t="inlineStr">
        <is>
          <t xml:space="preserve"/>
        </is>
      </c>
      <c r="F5908" s="250" t="inlineStr">
        <is>
          <t xml:space="preserve"/>
        </is>
      </c>
      <c r="G5908" s="250" t="inlineStr">
        <is>
          <t xml:space="preserve"/>
        </is>
      </c>
      <c r="H5908" s="251">
        <f>SUM(H5904:H5907)</f>
        <v>62.12631578947367</v>
      </c>
      <c r="I5908" s="252" t="inlineStr">
        <is>
          <t xml:space="preserve">m2</t>
        </is>
      </c>
    </row>
    <row r="5909">
      <c r="A5909" s="243" t="inlineStr">
        <is>
          <t xml:space="preserve">10TH FLR</t>
        </is>
      </c>
      <c r="B5909" s="243" t="inlineStr">
        <is>
          <t xml:space="preserve">C</t>
        </is>
      </c>
      <c r="C5909" s="244" t="inlineStr">
        <is>
          <t xml:space="preserve">Exterior walls</t>
        </is>
      </c>
      <c r="I5909" s="245" t="inlineStr">
        <is>
          <t xml:space="preserve">m2</t>
        </is>
      </c>
      <c r="K5909" s="256" t="inlineStr">
        <is>
          <t xml:space="preserve">'10TH FLR   '!C236</t>
        </is>
      </c>
    </row>
    <row r="5910">
      <c r="C5910" s="246" t="inlineStr">
        <is>
          <t xml:space="preserve">External perimeter x storey ht</t>
        </is>
      </c>
      <c r="E5910" s="247">
        <v>181.8</v>
      </c>
      <c r="F5910" s="247">
        <v>3.3</v>
      </c>
      <c r="H5910" s="249">
        <f>PRODUCT(D5910:G5910)</f>
        <v>599.94</v>
      </c>
      <c r="J5910" s="253" t="inlineStr">
        <is>
          <t xml:space="preserve">181.8*3.3</t>
        </is>
      </c>
    </row>
    <row r="5911">
      <c r="C5911" s="246" t="inlineStr">
        <is>
          <t xml:space="preserve">Ddt window W2 (4 nr, 1.8x1.3)</t>
        </is>
      </c>
      <c r="D5911" s="248">
        <v>4</v>
      </c>
      <c r="E5911" s="247">
        <v>1.8</v>
      </c>
      <c r="F5911" s="247">
        <v>1.3</v>
      </c>
      <c r="H5911" s="249">
        <f>-PRODUCT(D5911:G5911)</f>
        <v>-9.360000000000001</v>
      </c>
      <c r="J5911" s="253" t="inlineStr">
        <is>
          <t xml:space="preserve">-4*1.8*1.3</t>
        </is>
      </c>
    </row>
    <row r="5912">
      <c r="C5912" s="246" t="inlineStr">
        <is>
          <t xml:space="preserve">Ddt window W4 (8 nr, 0.9x1.3)</t>
        </is>
      </c>
      <c r="D5912" s="248">
        <v>8</v>
      </c>
      <c r="E5912" s="247">
        <v>0.9</v>
      </c>
      <c r="F5912" s="247">
        <v>1.3</v>
      </c>
      <c r="H5912" s="249">
        <f>-PRODUCT(D5912:G5912)</f>
        <v>-9.360000000000001</v>
      </c>
      <c r="J5912" s="253" t="inlineStr">
        <is>
          <t xml:space="preserve">-8*0.9*1.3</t>
        </is>
      </c>
    </row>
    <row r="5913">
      <c r="C5913" s="246" t="inlineStr">
        <is>
          <t xml:space="preserve">Ddt window W7 (1 nr, 1.8x1.6)</t>
        </is>
      </c>
      <c r="D5913" s="248">
        <v>1</v>
      </c>
      <c r="E5913" s="247">
        <v>1.8</v>
      </c>
      <c r="F5913" s="247">
        <v>1.6</v>
      </c>
      <c r="H5913" s="249">
        <f>-PRODUCT(D5913:G5913)</f>
        <v>-2.8800000000000003</v>
      </c>
      <c r="J5913" s="253" t="inlineStr">
        <is>
          <t xml:space="preserve">-1*1.8*1.6</t>
        </is>
      </c>
    </row>
    <row r="5914">
      <c r="C5914" s="246" t="inlineStr">
        <is>
          <t xml:space="preserve">Ddt window W8 (2 nr, 1.2x1.9)</t>
        </is>
      </c>
      <c r="D5914" s="248">
        <v>2</v>
      </c>
      <c r="E5914" s="247">
        <v>1.2</v>
      </c>
      <c r="F5914" s="247">
        <v>1.9</v>
      </c>
      <c r="H5914" s="249">
        <f>-PRODUCT(D5914:G5914)</f>
        <v>-4.56</v>
      </c>
      <c r="J5914" s="253" t="inlineStr">
        <is>
          <t xml:space="preserve">-2*1.2*1.9</t>
        </is>
      </c>
    </row>
    <row r="5915">
      <c r="C5915" s="246" t="inlineStr">
        <is>
          <t xml:space="preserve">Ddt window W9 (6 nr, 1.2x1.15)</t>
        </is>
      </c>
      <c r="D5915" s="248">
        <v>6</v>
      </c>
      <c r="E5915" s="247">
        <v>1.2</v>
      </c>
      <c r="F5915" s="247">
        <v>1.15</v>
      </c>
      <c r="H5915" s="249">
        <f>-PRODUCT(D5915:G5915)</f>
        <v>-8.28</v>
      </c>
      <c r="J5915" s="253" t="inlineStr">
        <is>
          <t xml:space="preserve">-6*1.2*1.15</t>
        </is>
      </c>
    </row>
    <row r="5916">
      <c r="C5916" s="246" t="inlineStr">
        <is>
          <t xml:space="preserve">Ddt window W10 (1 nr, 1.2x1.2)</t>
        </is>
      </c>
      <c r="D5916" s="248">
        <v>1</v>
      </c>
      <c r="E5916" s="247">
        <v>1.2</v>
      </c>
      <c r="F5916" s="247">
        <v>1.2</v>
      </c>
      <c r="H5916" s="249">
        <f>-PRODUCT(D5916:G5916)</f>
        <v>-1.44</v>
      </c>
      <c r="J5916" s="253" t="inlineStr">
        <is>
          <t xml:space="preserve">-1*1.2*1.2</t>
        </is>
      </c>
    </row>
    <row r="5917">
      <c r="C5917" s="246" t="inlineStr">
        <is>
          <t xml:space="preserve">Ddt window W11 (5 nr, 1.5x1.3)</t>
        </is>
      </c>
      <c r="D5917" s="248">
        <v>5</v>
      </c>
      <c r="E5917" s="247">
        <v>1.5</v>
      </c>
      <c r="F5917" s="247">
        <v>1.3</v>
      </c>
      <c r="H5917" s="249">
        <f>-PRODUCT(D5917:G5917)</f>
        <v>-9.75</v>
      </c>
      <c r="J5917" s="253" t="inlineStr">
        <is>
          <t xml:space="preserve">-5*1.5*1.3</t>
        </is>
      </c>
    </row>
    <row r="5918">
      <c r="C5918" s="246" t="inlineStr">
        <is>
          <t xml:space="preserve">Ddt window W12 (3 nr, 1.5x1.15)</t>
        </is>
      </c>
      <c r="D5918" s="248">
        <v>3</v>
      </c>
      <c r="E5918" s="247">
        <v>1.5</v>
      </c>
      <c r="F5918" s="247">
        <v>1.15</v>
      </c>
      <c r="H5918" s="249">
        <f>-PRODUCT(D5918:G5918)</f>
        <v>-5.175</v>
      </c>
      <c r="J5918" s="253" t="inlineStr">
        <is>
          <t xml:space="preserve">-3*1.5*1.15</t>
        </is>
      </c>
    </row>
    <row r="5919">
      <c r="C5919" s="246" t="inlineStr">
        <is>
          <t xml:space="preserve">Ddt window W15 (1 nr, 3x1.6)</t>
        </is>
      </c>
      <c r="D5919" s="248">
        <v>1</v>
      </c>
      <c r="E5919" s="247">
        <v>3</v>
      </c>
      <c r="F5919" s="247">
        <v>1.6</v>
      </c>
      <c r="H5919" s="249">
        <f>-PRODUCT(D5919:G5919)</f>
        <v>-4.800000000000001</v>
      </c>
      <c r="J5919" s="253" t="inlineStr">
        <is>
          <t xml:space="preserve">-1*3*1.6</t>
        </is>
      </c>
    </row>
    <row r="5920">
      <c r="C5920" s="246" t="inlineStr">
        <is>
          <t xml:space="preserve">Ddt window W17 (2 nr, 1.8x1.9)</t>
        </is>
      </c>
      <c r="D5920" s="248">
        <v>2</v>
      </c>
      <c r="E5920" s="247">
        <v>1.8</v>
      </c>
      <c r="F5920" s="247">
        <v>1.9</v>
      </c>
      <c r="H5920" s="249">
        <f>-PRODUCT(D5920:G5920)</f>
        <v>-6.84</v>
      </c>
      <c r="J5920" s="253" t="inlineStr">
        <is>
          <t xml:space="preserve">-2*1.8*1.9</t>
        </is>
      </c>
    </row>
    <row r="5921">
      <c r="C5921" s="246" t="inlineStr">
        <is>
          <t xml:space="preserve">Ddt window W18 (1 nr, 0.75x1.3)</t>
        </is>
      </c>
      <c r="D5921" s="248">
        <v>1</v>
      </c>
      <c r="E5921" s="247">
        <v>0.75</v>
      </c>
      <c r="F5921" s="247">
        <v>1.3</v>
      </c>
      <c r="H5921" s="249">
        <f>-PRODUCT(D5921:G5921)</f>
        <v>-0.9750000000000001</v>
      </c>
      <c r="J5921" s="253" t="inlineStr">
        <is>
          <t xml:space="preserve">-1*0.75*1.3</t>
        </is>
      </c>
    </row>
    <row r="5922">
      <c r="C5922" s="246" t="inlineStr">
        <is>
          <t xml:space="preserve">Ddt window HW1 (10 nr, 0.9x0.6)</t>
        </is>
      </c>
      <c r="D5922" s="248">
        <v>10</v>
      </c>
      <c r="E5922" s="247">
        <v>0.9</v>
      </c>
      <c r="F5922" s="247">
        <v>0.6</v>
      </c>
      <c r="H5922" s="249">
        <f>-PRODUCT(D5922:G5922)</f>
        <v>-5.3999999999999995</v>
      </c>
      <c r="J5922" s="253" t="inlineStr">
        <is>
          <t xml:space="preserve">-10*0.9*0.6</t>
        </is>
      </c>
    </row>
    <row r="5923">
      <c r="C5923" s="246" t="inlineStr">
        <is>
          <t xml:space="preserve">Ddt window HW2 (4 nr, 0.75x0.6)</t>
        </is>
      </c>
      <c r="D5923" s="248">
        <v>4</v>
      </c>
      <c r="E5923" s="247">
        <v>0.75</v>
      </c>
      <c r="F5923" s="247">
        <v>0.6</v>
      </c>
      <c r="H5923" s="249">
        <f>-PRODUCT(D5923:G5923)</f>
        <v>-1.7999999999999998</v>
      </c>
      <c r="J5923" s="253" t="inlineStr">
        <is>
          <t xml:space="preserve">-4*0.75*0.6</t>
        </is>
      </c>
    </row>
    <row r="5924">
      <c r="C5924" s="246" t="inlineStr">
        <is>
          <t xml:space="preserve">Ddt window HW3 (1 nr, 0.6x0.6)</t>
        </is>
      </c>
      <c r="D5924" s="248">
        <v>1</v>
      </c>
      <c r="E5924" s="247">
        <v>0.6</v>
      </c>
      <c r="F5924" s="247">
        <v>0.6</v>
      </c>
      <c r="H5924" s="249">
        <f>-PRODUCT(D5924:G5924)</f>
        <v>-0.36</v>
      </c>
      <c r="J5924" s="253" t="inlineStr">
        <is>
          <t xml:space="preserve">-1*0.6*0.6</t>
        </is>
      </c>
    </row>
    <row r="5925">
      <c r="C5925" s="246" t="inlineStr">
        <is>
          <t xml:space="preserve">Ddt window HW4 (1 nr, 1.2x0.6)</t>
        </is>
      </c>
      <c r="D5925" s="248">
        <v>1</v>
      </c>
      <c r="E5925" s="247">
        <v>1.2</v>
      </c>
      <c r="F5925" s="247">
        <v>0.6</v>
      </c>
      <c r="H5925" s="249">
        <f>-PRODUCT(D5925:G5925)</f>
        <v>-0.72</v>
      </c>
      <c r="J5925" s="253" t="inlineStr">
        <is>
          <t xml:space="preserve">-1*1.2*0.6</t>
        </is>
      </c>
    </row>
    <row r="5926">
      <c r="C5926" s="250" t="inlineStr">
        <is>
          <t xml:space="preserve">Total carried to BOQ  10TH FLR item C</t>
        </is>
      </c>
      <c r="D5926" s="250" t="inlineStr">
        <is>
          <t xml:space="preserve"/>
        </is>
      </c>
      <c r="E5926" s="250" t="inlineStr">
        <is>
          <t xml:space="preserve"/>
        </is>
      </c>
      <c r="F5926" s="250" t="inlineStr">
        <is>
          <t xml:space="preserve"/>
        </is>
      </c>
      <c r="G5926" s="250" t="inlineStr">
        <is>
          <t xml:space="preserve"/>
        </is>
      </c>
      <c r="H5926" s="251">
        <f>SUM(H5910:H5925)</f>
        <v>528.2400000000001</v>
      </c>
      <c r="I5926" s="252" t="inlineStr">
        <is>
          <t xml:space="preserve">m2</t>
        </is>
      </c>
    </row>
    <row r="5927">
      <c r="A5927" s="243" t="inlineStr">
        <is>
          <t xml:space="preserve">10TH FLR</t>
        </is>
      </c>
      <c r="B5927" s="243" t="inlineStr">
        <is>
          <t xml:space="preserve">D</t>
        </is>
      </c>
      <c r="C5927" s="244" t="inlineStr">
        <is>
          <t xml:space="preserve">Soffit of plaster board ceilings</t>
        </is>
      </c>
      <c r="I5927" s="245" t="inlineStr">
        <is>
          <t xml:space="preserve">m2</t>
        </is>
      </c>
      <c r="K5927" s="256" t="inlineStr">
        <is>
          <t xml:space="preserve">'10TH FLR   '!C238</t>
        </is>
      </c>
    </row>
    <row r="5928">
      <c r="C5928" s="246" t="inlineStr">
        <is>
          <t xml:space="preserve">Tenth floor - Ceiling areas (measured)</t>
        </is>
      </c>
      <c r="H5928" s="247">
        <v>602.4</v>
      </c>
      <c r="J5928" s="253" t="inlineStr">
        <is>
          <t xml:space="preserve">602.4</t>
        </is>
      </c>
    </row>
    <row r="5929">
      <c r="C5929" s="250" t="inlineStr">
        <is>
          <t xml:space="preserve">Total carried to BOQ  10TH FLR item D</t>
        </is>
      </c>
      <c r="D5929" s="250" t="inlineStr">
        <is>
          <t xml:space="preserve"/>
        </is>
      </c>
      <c r="E5929" s="250" t="inlineStr">
        <is>
          <t xml:space="preserve"/>
        </is>
      </c>
      <c r="F5929" s="250" t="inlineStr">
        <is>
          <t xml:space="preserve"/>
        </is>
      </c>
      <c r="G5929" s="250" t="inlineStr">
        <is>
          <t xml:space="preserve"/>
        </is>
      </c>
      <c r="H5929" s="251">
        <f>SUM(H5928:H5928)</f>
        <v>602.4</v>
      </c>
      <c r="I5929" s="252" t="inlineStr">
        <is>
          <t xml:space="preserve">m2</t>
        </is>
      </c>
    </row>
    <row r="5930">
      <c r="A5930" s="243" t="inlineStr">
        <is>
          <t xml:space="preserve">10TH FLR</t>
        </is>
      </c>
      <c r="B5930" s="243" t="inlineStr">
        <is>
          <t xml:space="preserve">E</t>
        </is>
      </c>
      <c r="C5930" s="244" t="inlineStr">
        <is>
          <t xml:space="preserve">Soffit of plaster board ceilings for washrooms</t>
        </is>
      </c>
      <c r="I5930" s="245" t="inlineStr">
        <is>
          <t xml:space="preserve">m2</t>
        </is>
      </c>
      <c r="K5930" s="256" t="inlineStr">
        <is>
          <t xml:space="preserve">'10TH FLR   '!C240</t>
        </is>
      </c>
    </row>
    <row r="5931">
      <c r="C5931" s="246" t="inlineStr">
        <is>
          <t xml:space="preserve">Tenth floor - Washroom ceiling areas (measured)</t>
        </is>
      </c>
      <c r="H5931" s="247">
        <v>45.4</v>
      </c>
      <c r="J5931" s="253" t="inlineStr">
        <is>
          <t xml:space="preserve">45.4</t>
        </is>
      </c>
    </row>
    <row r="5932">
      <c r="C5932" s="250" t="inlineStr">
        <is>
          <t xml:space="preserve">Total carried to BOQ  10TH FLR item E</t>
        </is>
      </c>
      <c r="D5932" s="250" t="inlineStr">
        <is>
          <t xml:space="preserve"/>
        </is>
      </c>
      <c r="E5932" s="250" t="inlineStr">
        <is>
          <t xml:space="preserve"/>
        </is>
      </c>
      <c r="F5932" s="250" t="inlineStr">
        <is>
          <t xml:space="preserve"/>
        </is>
      </c>
      <c r="G5932" s="250" t="inlineStr">
        <is>
          <t xml:space="preserve"/>
        </is>
      </c>
      <c r="H5932" s="251">
        <f>SUM(H5931:H5931)</f>
        <v>45.4</v>
      </c>
      <c r="I5932" s="252" t="inlineStr">
        <is>
          <t xml:space="preserve">m2</t>
        </is>
      </c>
    </row>
    <row r="5933" ht="32.2" customHeight="1">
      <c r="A5933" s="243" t="inlineStr">
        <is>
          <t xml:space="preserve">10TH FLR</t>
        </is>
      </c>
      <c r="B5933" s="243" t="inlineStr">
        <is>
          <t xml:space="preserve">F</t>
        </is>
      </c>
      <c r="C5933" s="244" t="inlineStr">
        <is>
          <t xml:space="preserve">Knot, prime, stop and apply two undercoats and one finishing coat of gloss oil paint on general surfaces of woodwork</t>
        </is>
      </c>
      <c r="I5933" s="245" t="inlineStr">
        <is>
          <t xml:space="preserve">m2</t>
        </is>
      </c>
      <c r="K5933" s="256" t="inlineStr">
        <is>
          <t xml:space="preserve">'10TH FLR   '!C242</t>
        </is>
      </c>
    </row>
    <row r="5934">
      <c r="C5934" s="246" t="inlineStr">
        <is>
          <t xml:space="preserve">Door leaf D3 (11 nr, 0.9x2.2): nr x w x h x 2 faces</t>
        </is>
      </c>
      <c r="D5934" s="248">
        <v>11</v>
      </c>
      <c r="E5934" s="247">
        <v>0.9</v>
      </c>
      <c r="F5934" s="247">
        <v>2.2</v>
      </c>
      <c r="G5934" s="247">
        <v>2</v>
      </c>
      <c r="H5934" s="249">
        <f>PRODUCT(D5934:G5934)</f>
        <v>43.56</v>
      </c>
      <c r="J5934" s="253" t="inlineStr">
        <is>
          <t xml:space="preserve">11*0.9*2.2*2</t>
        </is>
      </c>
    </row>
    <row r="5935">
      <c r="C5935" s="246" t="inlineStr">
        <is>
          <t xml:space="preserve">Door leaf D6 (16 nr, 0.75x2.2): nr x w x h x 2 faces</t>
        </is>
      </c>
      <c r="D5935" s="248">
        <v>16</v>
      </c>
      <c r="E5935" s="247">
        <v>0.75</v>
      </c>
      <c r="F5935" s="247">
        <v>2.2</v>
      </c>
      <c r="G5935" s="247">
        <v>2</v>
      </c>
      <c r="H5935" s="249">
        <f>PRODUCT(D5935:G5935)</f>
        <v>52.800000000000004</v>
      </c>
      <c r="J5935" s="253" t="inlineStr">
        <is>
          <t xml:space="preserve">16*0.75*2.2*2</t>
        </is>
      </c>
    </row>
    <row r="5936">
      <c r="C5936" s="246" t="inlineStr">
        <is>
          <t xml:space="preserve">Door leaf FD1 (1 nr, 1.5x2.2): nr x w x h x 2 faces</t>
        </is>
      </c>
      <c r="D5936" s="248">
        <v>1</v>
      </c>
      <c r="E5936" s="247">
        <v>1.5</v>
      </c>
      <c r="F5936" s="247">
        <v>2.2</v>
      </c>
      <c r="G5936" s="247">
        <v>2</v>
      </c>
      <c r="H5936" s="249">
        <f>PRODUCT(D5936:G5936)</f>
        <v>6.6000000000000005</v>
      </c>
      <c r="J5936" s="253" t="inlineStr">
        <is>
          <t xml:space="preserve">1*1.5*2.2*2</t>
        </is>
      </c>
    </row>
    <row r="5937">
      <c r="C5937" s="246" t="inlineStr">
        <is>
          <t xml:space="preserve">11*(2*2.2+0.9)*0.25</t>
        </is>
      </c>
      <c r="D5937" s="248">
        <v>11</v>
      </c>
      <c r="E5937" s="247">
        <f>2*2.2+0.9</f>
        <v>5.300000000000001</v>
      </c>
      <c r="F5937" s="247">
        <v>0.25</v>
      </c>
      <c r="H5937" s="249">
        <f>PRODUCT(D5937:G5937)</f>
        <v>14.575000000000003</v>
      </c>
      <c r="J5937" s="253" t="inlineStr">
        <is>
          <t xml:space="preserve">11*(2*2.2+0.9)*0.25</t>
        </is>
      </c>
    </row>
    <row r="5938">
      <c r="C5938" s="246" t="inlineStr">
        <is>
          <t xml:space="preserve">16*(2*2.2+0.75)*0.25</t>
        </is>
      </c>
      <c r="D5938" s="248">
        <v>16</v>
      </c>
      <c r="E5938" s="247">
        <f>2*2.2+0.75</f>
        <v>5.15</v>
      </c>
      <c r="F5938" s="247">
        <v>0.25</v>
      </c>
      <c r="H5938" s="249">
        <f>PRODUCT(D5938:G5938)</f>
        <v>20.6</v>
      </c>
      <c r="J5938" s="253" t="inlineStr">
        <is>
          <t xml:space="preserve">16*(2*2.2+0.75)*0.25</t>
        </is>
      </c>
    </row>
    <row r="5939">
      <c r="C5939" s="246" t="inlineStr">
        <is>
          <t xml:space="preserve">1*(2*2.2+1.5)*0.25</t>
        </is>
      </c>
      <c r="D5939" s="248">
        <v>1</v>
      </c>
      <c r="E5939" s="247">
        <f>2*2.2+1.5</f>
        <v>5.9</v>
      </c>
      <c r="F5939" s="247">
        <v>0.25</v>
      </c>
      <c r="H5939" s="249">
        <f>PRODUCT(D5939:G5939)</f>
        <v>1.475</v>
      </c>
      <c r="J5939" s="253" t="inlineStr">
        <is>
          <t xml:space="preserve">1*(2*2.2+1.5)*0.25</t>
        </is>
      </c>
    </row>
    <row r="5940">
      <c r="C5940" s="250" t="inlineStr">
        <is>
          <t xml:space="preserve">Total carried to BOQ  10TH FLR item F</t>
        </is>
      </c>
      <c r="D5940" s="250" t="inlineStr">
        <is>
          <t xml:space="preserve"/>
        </is>
      </c>
      <c r="E5940" s="250" t="inlineStr">
        <is>
          <t xml:space="preserve"/>
        </is>
      </c>
      <c r="F5940" s="250" t="inlineStr">
        <is>
          <t xml:space="preserve"/>
        </is>
      </c>
      <c r="G5940" s="250" t="inlineStr">
        <is>
          <t xml:space="preserve"/>
        </is>
      </c>
      <c r="H5940" s="251">
        <f>SUM(H5934:H5939)</f>
        <v>139.61</v>
      </c>
      <c r="I5940" s="252" t="inlineStr">
        <is>
          <t xml:space="preserve">m2</t>
        </is>
      </c>
    </row>
    <row r="5941" ht="32.2" customHeight="1">
      <c r="A5941" s="243" t="inlineStr">
        <is>
          <t xml:space="preserve">10TH FLR</t>
        </is>
      </c>
      <c r="B5941" s="243" t="inlineStr">
        <is>
          <t xml:space="preserve">G</t>
        </is>
      </c>
      <c r="C5941" s="244" t="inlineStr">
        <is>
          <t xml:space="preserve">Prepare and apply one coat of aluminium primer on mild steel burglar-proof bars (measured over window opening area)</t>
        </is>
      </c>
      <c r="I5941" s="245" t="inlineStr">
        <is>
          <t xml:space="preserve">m2</t>
        </is>
      </c>
      <c r="K5941" s="256" t="inlineStr">
        <is>
          <t xml:space="preserve">'10TH FLR   '!C244</t>
        </is>
      </c>
    </row>
    <row r="5942">
      <c r="C5942" s="246" t="inlineStr">
        <is>
          <t xml:space="preserve">Window W2 (4 nr, 1.8x1.3): nr x w x h</t>
        </is>
      </c>
      <c r="D5942" s="248">
        <v>4</v>
      </c>
      <c r="E5942" s="247">
        <v>1.8</v>
      </c>
      <c r="F5942" s="247">
        <v>1.3</v>
      </c>
      <c r="H5942" s="249">
        <f>PRODUCT(D5942:G5942)</f>
        <v>9.360000000000001</v>
      </c>
      <c r="J5942" s="253" t="inlineStr">
        <is>
          <t xml:space="preserve">4*1.8*1.3</t>
        </is>
      </c>
    </row>
    <row r="5943">
      <c r="C5943" s="246" t="inlineStr">
        <is>
          <t xml:space="preserve">Window W4 (8 nr, 0.9x1.3): nr x w x h</t>
        </is>
      </c>
      <c r="D5943" s="248">
        <v>8</v>
      </c>
      <c r="E5943" s="247">
        <v>0.9</v>
      </c>
      <c r="F5943" s="247">
        <v>1.3</v>
      </c>
      <c r="H5943" s="249">
        <f>PRODUCT(D5943:G5943)</f>
        <v>9.360000000000001</v>
      </c>
      <c r="J5943" s="253" t="inlineStr">
        <is>
          <t xml:space="preserve">8*0.9*1.3</t>
        </is>
      </c>
    </row>
    <row r="5944">
      <c r="C5944" s="246" t="inlineStr">
        <is>
          <t xml:space="preserve">Window W7 (1 nr, 1.8x1.6): nr x w x h</t>
        </is>
      </c>
      <c r="D5944" s="248">
        <v>1</v>
      </c>
      <c r="E5944" s="247">
        <v>1.8</v>
      </c>
      <c r="F5944" s="247">
        <v>1.6</v>
      </c>
      <c r="H5944" s="249">
        <f>PRODUCT(D5944:G5944)</f>
        <v>2.8800000000000003</v>
      </c>
      <c r="J5944" s="253" t="inlineStr">
        <is>
          <t xml:space="preserve">1*1.8*1.6</t>
        </is>
      </c>
    </row>
    <row r="5945">
      <c r="C5945" s="246" t="inlineStr">
        <is>
          <t xml:space="preserve">Window W8 (2 nr, 1.2x1.9): nr x w x h</t>
        </is>
      </c>
      <c r="D5945" s="248">
        <v>2</v>
      </c>
      <c r="E5945" s="247">
        <v>1.2</v>
      </c>
      <c r="F5945" s="247">
        <v>1.9</v>
      </c>
      <c r="H5945" s="249">
        <f>PRODUCT(D5945:G5945)</f>
        <v>4.56</v>
      </c>
      <c r="J5945" s="253" t="inlineStr">
        <is>
          <t xml:space="preserve">2*1.2*1.9</t>
        </is>
      </c>
    </row>
    <row r="5946">
      <c r="C5946" s="246" t="inlineStr">
        <is>
          <t xml:space="preserve">Window W9 (6 nr, 1.2x1.15): nr x w x h</t>
        </is>
      </c>
      <c r="D5946" s="248">
        <v>6</v>
      </c>
      <c r="E5946" s="247">
        <v>1.2</v>
      </c>
      <c r="F5946" s="247">
        <v>1.15</v>
      </c>
      <c r="H5946" s="249">
        <f>PRODUCT(D5946:G5946)</f>
        <v>8.28</v>
      </c>
      <c r="J5946" s="253" t="inlineStr">
        <is>
          <t xml:space="preserve">6*1.2*1.15</t>
        </is>
      </c>
    </row>
    <row r="5947">
      <c r="C5947" s="246" t="inlineStr">
        <is>
          <t xml:space="preserve">Window W10 (1 nr, 1.2x1.2): nr x w x h</t>
        </is>
      </c>
      <c r="D5947" s="248">
        <v>1</v>
      </c>
      <c r="E5947" s="247">
        <v>1.2</v>
      </c>
      <c r="F5947" s="247">
        <v>1.2</v>
      </c>
      <c r="H5947" s="249">
        <f>PRODUCT(D5947:G5947)</f>
        <v>1.44</v>
      </c>
      <c r="J5947" s="253" t="inlineStr">
        <is>
          <t xml:space="preserve">1*1.2*1.2</t>
        </is>
      </c>
    </row>
    <row r="5948">
      <c r="C5948" s="246" t="inlineStr">
        <is>
          <t xml:space="preserve">Window W11 (5 nr, 1.5x1.3): nr x w x h</t>
        </is>
      </c>
      <c r="D5948" s="248">
        <v>5</v>
      </c>
      <c r="E5948" s="247">
        <v>1.5</v>
      </c>
      <c r="F5948" s="247">
        <v>1.3</v>
      </c>
      <c r="H5948" s="249">
        <f>PRODUCT(D5948:G5948)</f>
        <v>9.75</v>
      </c>
      <c r="J5948" s="253" t="inlineStr">
        <is>
          <t xml:space="preserve">5*1.5*1.3</t>
        </is>
      </c>
    </row>
    <row r="5949">
      <c r="C5949" s="246" t="inlineStr">
        <is>
          <t xml:space="preserve">Window W12 (3 nr, 1.5x1.15): nr x w x h</t>
        </is>
      </c>
      <c r="D5949" s="248">
        <v>3</v>
      </c>
      <c r="E5949" s="247">
        <v>1.5</v>
      </c>
      <c r="F5949" s="247">
        <v>1.15</v>
      </c>
      <c r="H5949" s="249">
        <f>PRODUCT(D5949:G5949)</f>
        <v>5.175</v>
      </c>
      <c r="J5949" s="253" t="inlineStr">
        <is>
          <t xml:space="preserve">3*1.5*1.15</t>
        </is>
      </c>
    </row>
    <row r="5950">
      <c r="C5950" s="246" t="inlineStr">
        <is>
          <t xml:space="preserve">Window W15 (1 nr, 3x1.6): nr x w x h</t>
        </is>
      </c>
      <c r="D5950" s="248">
        <v>1</v>
      </c>
      <c r="E5950" s="247">
        <v>3</v>
      </c>
      <c r="F5950" s="247">
        <v>1.6</v>
      </c>
      <c r="H5950" s="249">
        <f>PRODUCT(D5950:G5950)</f>
        <v>4.800000000000001</v>
      </c>
      <c r="J5950" s="253" t="inlineStr">
        <is>
          <t xml:space="preserve">1*3*1.6</t>
        </is>
      </c>
    </row>
    <row r="5951">
      <c r="C5951" s="246" t="inlineStr">
        <is>
          <t xml:space="preserve">Window W17 (2 nr, 1.8x1.9): nr x w x h</t>
        </is>
      </c>
      <c r="D5951" s="248">
        <v>2</v>
      </c>
      <c r="E5951" s="247">
        <v>1.8</v>
      </c>
      <c r="F5951" s="247">
        <v>1.9</v>
      </c>
      <c r="H5951" s="249">
        <f>PRODUCT(D5951:G5951)</f>
        <v>6.84</v>
      </c>
      <c r="J5951" s="253" t="inlineStr">
        <is>
          <t xml:space="preserve">2*1.8*1.9</t>
        </is>
      </c>
    </row>
    <row r="5952">
      <c r="C5952" s="246" t="inlineStr">
        <is>
          <t xml:space="preserve">Window W18 (1 nr, 0.75x1.3): nr x w x h</t>
        </is>
      </c>
      <c r="D5952" s="248">
        <v>1</v>
      </c>
      <c r="E5952" s="247">
        <v>0.75</v>
      </c>
      <c r="F5952" s="247">
        <v>1.3</v>
      </c>
      <c r="H5952" s="249">
        <f>PRODUCT(D5952:G5952)</f>
        <v>0.9750000000000001</v>
      </c>
      <c r="J5952" s="253" t="inlineStr">
        <is>
          <t xml:space="preserve">1*0.75*1.3</t>
        </is>
      </c>
    </row>
    <row r="5953">
      <c r="C5953" s="246" t="inlineStr">
        <is>
          <t xml:space="preserve">Window HW1 (10 nr, 0.9x0.6): nr x w x h</t>
        </is>
      </c>
      <c r="D5953" s="248">
        <v>10</v>
      </c>
      <c r="E5953" s="247">
        <v>0.9</v>
      </c>
      <c r="F5953" s="247">
        <v>0.6</v>
      </c>
      <c r="H5953" s="249">
        <f>PRODUCT(D5953:G5953)</f>
        <v>5.3999999999999995</v>
      </c>
      <c r="J5953" s="253" t="inlineStr">
        <is>
          <t xml:space="preserve">10*0.9*0.6</t>
        </is>
      </c>
    </row>
    <row r="5954">
      <c r="C5954" s="246" t="inlineStr">
        <is>
          <t xml:space="preserve">Window HW2 (4 nr, 0.75x0.6): nr x w x h</t>
        </is>
      </c>
      <c r="D5954" s="248">
        <v>4</v>
      </c>
      <c r="E5954" s="247">
        <v>0.75</v>
      </c>
      <c r="F5954" s="247">
        <v>0.6</v>
      </c>
      <c r="H5954" s="249">
        <f>PRODUCT(D5954:G5954)</f>
        <v>1.7999999999999998</v>
      </c>
      <c r="J5954" s="253" t="inlineStr">
        <is>
          <t xml:space="preserve">4*0.75*0.6</t>
        </is>
      </c>
    </row>
    <row r="5955">
      <c r="C5955" s="246" t="inlineStr">
        <is>
          <t xml:space="preserve">Window HW3 (1 nr, 0.6x0.6): nr x w x h</t>
        </is>
      </c>
      <c r="D5955" s="248">
        <v>1</v>
      </c>
      <c r="E5955" s="247">
        <v>0.6</v>
      </c>
      <c r="F5955" s="247">
        <v>0.6</v>
      </c>
      <c r="H5955" s="249">
        <f>PRODUCT(D5955:G5955)</f>
        <v>0.36</v>
      </c>
      <c r="J5955" s="253" t="inlineStr">
        <is>
          <t xml:space="preserve">1*0.6*0.6</t>
        </is>
      </c>
    </row>
    <row r="5956">
      <c r="C5956" s="246" t="inlineStr">
        <is>
          <t xml:space="preserve">Window HW4 (1 nr, 1.2x0.6): nr x w x h</t>
        </is>
      </c>
      <c r="D5956" s="248">
        <v>1</v>
      </c>
      <c r="E5956" s="247">
        <v>1.2</v>
      </c>
      <c r="F5956" s="247">
        <v>0.6</v>
      </c>
      <c r="H5956" s="249">
        <f>PRODUCT(D5956:G5956)</f>
        <v>0.72</v>
      </c>
      <c r="J5956" s="253" t="inlineStr">
        <is>
          <t xml:space="preserve">1*1.2*0.6</t>
        </is>
      </c>
    </row>
    <row r="5957">
      <c r="C5957" s="250" t="inlineStr">
        <is>
          <t xml:space="preserve">Total carried to BOQ  10TH FLR item G</t>
        </is>
      </c>
      <c r="D5957" s="250" t="inlineStr">
        <is>
          <t xml:space="preserve"/>
        </is>
      </c>
      <c r="E5957" s="250" t="inlineStr">
        <is>
          <t xml:space="preserve"/>
        </is>
      </c>
      <c r="F5957" s="250" t="inlineStr">
        <is>
          <t xml:space="preserve"/>
        </is>
      </c>
      <c r="G5957" s="250" t="inlineStr">
        <is>
          <t xml:space="preserve"/>
        </is>
      </c>
      <c r="H5957" s="251">
        <f>SUM(H5942:H5956)</f>
        <v>71.69999999999999</v>
      </c>
      <c r="I5957" s="252" t="inlineStr">
        <is>
          <t xml:space="preserve">m2</t>
        </is>
      </c>
    </row>
    <row r="5958">
      <c r="C5958" s="242" t="inlineStr">
        <is>
          <t xml:space="preserve">Doors and windows: schedules ARCH-501/502 give building totals only (no tags on plans); quantities are allocated to floors pro-rata to measured habitable / washroom areas. Building totals equal the schedules.</t>
        </is>
      </c>
    </row>
    <row r="5959"/>
    <row r="5960" ht="21" customHeight="1">
      <c r="A5960" s="241" t="inlineStr">
        <is>
          <t xml:space="preserve">BILL NR. 14 - ROOF TOP TERRACE  -  ELEVENTH LEVEL - ROOF TOP TERRACE</t>
        </is>
      </c>
      <c r="B5960" s="241" t="inlineStr">
        <is>
          <t xml:space="preserve"/>
        </is>
      </c>
      <c r="C5960" s="241" t="inlineStr">
        <is>
          <t xml:space="preserve"/>
        </is>
      </c>
      <c r="D5960" s="241" t="inlineStr">
        <is>
          <t xml:space="preserve"/>
        </is>
      </c>
      <c r="E5960" s="241" t="inlineStr">
        <is>
          <t xml:space="preserve"/>
        </is>
      </c>
      <c r="F5960" s="241" t="inlineStr">
        <is>
          <t xml:space="preserve"/>
        </is>
      </c>
      <c r="G5960" s="241" t="inlineStr">
        <is>
          <t xml:space="preserve"/>
        </is>
      </c>
      <c r="H5960" s="241" t="inlineStr">
        <is>
          <t xml:space="preserve"/>
        </is>
      </c>
      <c r="I5960" s="241" t="inlineStr">
        <is>
          <t xml:space="preserve"/>
        </is>
      </c>
      <c r="J5960" s="241" t="inlineStr">
        <is>
          <t xml:space="preserve"/>
        </is>
      </c>
      <c r="K5960" s="241" t="inlineStr">
        <is>
          <t xml:space="preserve"/>
        </is>
      </c>
    </row>
    <row r="5961">
      <c r="C5961" s="242" t="inlineStr">
        <is>
          <t xml:space="preserve">ELEMENT NO. 1: IN SITU CONCRETE/LARGE PRECAST CONCRETE</t>
        </is>
      </c>
    </row>
    <row r="5962">
      <c r="C5962" s="242" t="inlineStr">
        <is>
          <t xml:space="preserve">Vibrated in-situ concrete C40 as described in:</t>
        </is>
      </c>
    </row>
    <row r="5963">
      <c r="A5963" s="243" t="inlineStr">
        <is>
          <t xml:space="preserve">11TH FLR</t>
        </is>
      </c>
      <c r="B5963" s="243" t="inlineStr">
        <is>
          <t xml:space="preserve">A</t>
        </is>
      </c>
      <c r="C5963" s="244" t="inlineStr">
        <is>
          <t xml:space="preserve">Suspended slab 250mm thick</t>
        </is>
      </c>
      <c r="I5963" s="245" t="inlineStr">
        <is>
          <t xml:space="preserve">m3</t>
        </is>
      </c>
      <c r="K5963" s="256" t="inlineStr">
        <is>
          <t xml:space="preserve">'11TH FLR'!C35</t>
        </is>
      </c>
    </row>
    <row r="5964">
      <c r="C5964" s="246" t="inlineStr">
        <is>
          <t xml:space="preserve">Roof top terrace (+37300) - Suspended slab: measured area x 250 thk</t>
        </is>
      </c>
      <c r="E5964" s="247">
        <v>868.1</v>
      </c>
      <c r="F5964" s="247">
        <v>0.25</v>
      </c>
      <c r="H5964" s="249">
        <f>PRODUCT(D5964:G5964)</f>
        <v>217.025</v>
      </c>
      <c r="J5964" s="253" t="inlineStr">
        <is>
          <t xml:space="preserve">868.1*0.25</t>
        </is>
      </c>
    </row>
    <row r="5965">
      <c r="C5965" s="250" t="inlineStr">
        <is>
          <t xml:space="preserve">Total carried to BOQ  11TH FLR item A</t>
        </is>
      </c>
      <c r="D5965" s="250" t="inlineStr">
        <is>
          <t xml:space="preserve"/>
        </is>
      </c>
      <c r="E5965" s="250" t="inlineStr">
        <is>
          <t xml:space="preserve"/>
        </is>
      </c>
      <c r="F5965" s="250" t="inlineStr">
        <is>
          <t xml:space="preserve"/>
        </is>
      </c>
      <c r="G5965" s="250" t="inlineStr">
        <is>
          <t xml:space="preserve"/>
        </is>
      </c>
      <c r="H5965" s="251">
        <f>SUM(H5964:H5964)</f>
        <v>217.025</v>
      </c>
      <c r="I5965" s="252" t="inlineStr">
        <is>
          <t xml:space="preserve">m3</t>
        </is>
      </c>
    </row>
    <row r="5966">
      <c r="A5966" s="243" t="inlineStr">
        <is>
          <t xml:space="preserve">11TH FLR</t>
        </is>
      </c>
      <c r="B5966" s="243" t="inlineStr">
        <is>
          <t xml:space="preserve">B</t>
        </is>
      </c>
      <c r="C5966" s="244" t="inlineStr">
        <is>
          <t xml:space="preserve">Beams (downstands below slab)</t>
        </is>
      </c>
      <c r="I5966" s="245" t="inlineStr">
        <is>
          <t xml:space="preserve">m3</t>
        </is>
      </c>
      <c r="K5966" s="256" t="inlineStr">
        <is>
          <t xml:space="preserve">'11TH FLR'!C37</t>
        </is>
      </c>
    </row>
    <row r="5967">
      <c r="C5967" s="246" t="inlineStr">
        <is>
          <t xml:space="preserve">Roof top terrace (+37300) - 300 wide beams: length x width x depth</t>
        </is>
      </c>
      <c r="E5967" s="247">
        <v>125.7</v>
      </c>
      <c r="F5967" s="247">
        <v>0.3</v>
      </c>
      <c r="G5967" s="247">
        <v>0.35</v>
      </c>
      <c r="H5967" s="249">
        <f>PRODUCT(D5967:G5967)</f>
        <v>13.1985</v>
      </c>
      <c r="J5967" s="253" t="inlineStr">
        <is>
          <t xml:space="preserve">125.7*0.3*0.35</t>
        </is>
      </c>
    </row>
    <row r="5968">
      <c r="C5968" s="246" t="inlineStr">
        <is>
          <t xml:space="preserve">Roof top terrace (+37300) - 200 wide beams: length x width x depth</t>
        </is>
      </c>
      <c r="E5968" s="247">
        <v>14.2</v>
      </c>
      <c r="F5968" s="247">
        <v>0.2</v>
      </c>
      <c r="G5968" s="247">
        <v>0.35</v>
      </c>
      <c r="H5968" s="249">
        <f>PRODUCT(D5968:G5968)</f>
        <v>0.9939999999999999</v>
      </c>
      <c r="J5968" s="253" t="inlineStr">
        <is>
          <t xml:space="preserve">14.2*0.2*0.35</t>
        </is>
      </c>
    </row>
    <row r="5969">
      <c r="C5969" s="250" t="inlineStr">
        <is>
          <t xml:space="preserve">Total carried to BOQ  11TH FLR item B</t>
        </is>
      </c>
      <c r="D5969" s="250" t="inlineStr">
        <is>
          <t xml:space="preserve"/>
        </is>
      </c>
      <c r="E5969" s="250" t="inlineStr">
        <is>
          <t xml:space="preserve"/>
        </is>
      </c>
      <c r="F5969" s="250" t="inlineStr">
        <is>
          <t xml:space="preserve"/>
        </is>
      </c>
      <c r="G5969" s="250" t="inlineStr">
        <is>
          <t xml:space="preserve"/>
        </is>
      </c>
      <c r="H5969" s="251">
        <f>SUM(H5967:H5968)</f>
        <v>14.192499999999999</v>
      </c>
      <c r="I5969" s="252" t="inlineStr">
        <is>
          <t xml:space="preserve">m3</t>
        </is>
      </c>
    </row>
    <row r="5970">
      <c r="A5970" s="243" t="inlineStr">
        <is>
          <t xml:space="preserve">11TH FLR</t>
        </is>
      </c>
      <c r="B5970" s="243" t="inlineStr">
        <is>
          <t xml:space="preserve">C</t>
        </is>
      </c>
      <c r="C5970" s="244" t="inlineStr">
        <is>
          <t xml:space="preserve">Columns</t>
        </is>
      </c>
      <c r="I5970" s="245" t="inlineStr">
        <is>
          <t xml:space="preserve">m3</t>
        </is>
      </c>
      <c r="K5970" s="256" t="inlineStr">
        <is>
          <t xml:space="preserve">'11TH FLR'!C39</t>
        </is>
      </c>
    </row>
    <row r="5971">
      <c r="C5971" s="246" t="inlineStr">
        <is>
          <t xml:space="preserve">COL-01C x2 - column (roof terrace to roof), ht 2.9</t>
        </is>
      </c>
      <c r="D5971" s="248">
        <v>2</v>
      </c>
      <c r="E5971" s="247">
        <v>0.75</v>
      </c>
      <c r="F5971" s="247">
        <v>0.5</v>
      </c>
      <c r="G5971" s="247">
        <v>2.9</v>
      </c>
      <c r="H5971" s="249">
        <f>PRODUCT(D5971:G5971)</f>
        <v>2.175</v>
      </c>
      <c r="J5971" s="253" t="inlineStr">
        <is>
          <t xml:space="preserve">2*0.75*0.5*2.9</t>
        </is>
      </c>
    </row>
    <row r="5972">
      <c r="C5972" s="246" t="inlineStr">
        <is>
          <t xml:space="preserve">COL-02C x1 - column (roof terrace to roof), ht 2.9</t>
        </is>
      </c>
      <c r="D5972" s="248">
        <v>1</v>
      </c>
      <c r="E5972" s="247">
        <v>1.2</v>
      </c>
      <c r="F5972" s="247">
        <v>0.3</v>
      </c>
      <c r="G5972" s="247">
        <v>2.9</v>
      </c>
      <c r="H5972" s="249">
        <f>PRODUCT(D5972:G5972)</f>
        <v>1.044</v>
      </c>
      <c r="J5972" s="253" t="inlineStr">
        <is>
          <t xml:space="preserve">1*1.2*0.3*2.9</t>
        </is>
      </c>
    </row>
    <row r="5973">
      <c r="C5973" s="250" t="inlineStr">
        <is>
          <t xml:space="preserve">Total carried to BOQ  11TH FLR item C</t>
        </is>
      </c>
      <c r="D5973" s="250" t="inlineStr">
        <is>
          <t xml:space="preserve"/>
        </is>
      </c>
      <c r="E5973" s="250" t="inlineStr">
        <is>
          <t xml:space="preserve"/>
        </is>
      </c>
      <c r="F5973" s="250" t="inlineStr">
        <is>
          <t xml:space="preserve"/>
        </is>
      </c>
      <c r="G5973" s="250" t="inlineStr">
        <is>
          <t xml:space="preserve"/>
        </is>
      </c>
      <c r="H5973" s="251">
        <f>SUM(H5971:H5972)</f>
        <v>3.219</v>
      </c>
      <c r="I5973" s="252" t="inlineStr">
        <is>
          <t xml:space="preserve">m3</t>
        </is>
      </c>
    </row>
    <row r="5974">
      <c r="A5974" s="243" t="inlineStr">
        <is>
          <t xml:space="preserve">11TH FLR</t>
        </is>
      </c>
      <c r="B5974" s="243" t="inlineStr">
        <is>
          <t xml:space="preserve">D</t>
        </is>
      </c>
      <c r="C5974" s="244" t="inlineStr">
        <is>
          <t xml:space="preserve">Concrete wall - shear walls to main &amp; emergency stair cores, 250mm thick</t>
        </is>
      </c>
      <c r="I5974" s="245" t="inlineStr">
        <is>
          <t xml:space="preserve">m3</t>
        </is>
      </c>
      <c r="K5974" s="256" t="inlineStr">
        <is>
          <t xml:space="preserve">'11TH FLR'!C41</t>
        </is>
      </c>
    </row>
    <row r="5975">
      <c r="C5975" s="246" t="inlineStr">
        <is>
          <t xml:space="preserve">Roof top terrace (+37300) - main stair core walls (22.05 m run): run x ht x 250 thk</t>
        </is>
      </c>
      <c r="E5975" s="247">
        <v>22.05</v>
      </c>
      <c r="F5975" s="247">
        <v>2.9</v>
      </c>
      <c r="G5975" s="247">
        <v>0.25</v>
      </c>
      <c r="H5975" s="249">
        <f>PRODUCT(D5975:G5975)</f>
        <v>15.98625</v>
      </c>
      <c r="J5975" s="253" t="inlineStr">
        <is>
          <t xml:space="preserve">22.05*2.9*0.25</t>
        </is>
      </c>
    </row>
    <row r="5976">
      <c r="C5976" s="246" t="inlineStr">
        <is>
          <t xml:space="preserve">Roof top terrace (+37300) - emergency stair core walls (25.57 m run): run x ht x 250 thk</t>
        </is>
      </c>
      <c r="E5976" s="247">
        <v>25.57</v>
      </c>
      <c r="F5976" s="247">
        <v>2.9</v>
      </c>
      <c r="G5976" s="247">
        <v>0.25</v>
      </c>
      <c r="H5976" s="249">
        <f>PRODUCT(D5976:G5976)</f>
        <v>18.538249999999998</v>
      </c>
      <c r="J5976" s="253" t="inlineStr">
        <is>
          <t xml:space="preserve">25.57*2.9*0.25</t>
        </is>
      </c>
    </row>
    <row r="5977">
      <c r="C5977" s="250" t="inlineStr">
        <is>
          <t xml:space="preserve">Total carried to BOQ  11TH FLR item D</t>
        </is>
      </c>
      <c r="D5977" s="250" t="inlineStr">
        <is>
          <t xml:space="preserve"/>
        </is>
      </c>
      <c r="E5977" s="250" t="inlineStr">
        <is>
          <t xml:space="preserve"/>
        </is>
      </c>
      <c r="F5977" s="250" t="inlineStr">
        <is>
          <t xml:space="preserve"/>
        </is>
      </c>
      <c r="G5977" s="250" t="inlineStr">
        <is>
          <t xml:space="preserve"/>
        </is>
      </c>
      <c r="H5977" s="251">
        <f>SUM(H5975:H5976)</f>
        <v>34.524499999999996</v>
      </c>
      <c r="I5977" s="252" t="inlineStr">
        <is>
          <t xml:space="preserve">m3</t>
        </is>
      </c>
    </row>
    <row r="5978">
      <c r="A5978" s="243" t="inlineStr">
        <is>
          <t xml:space="preserve">11TH FLR</t>
        </is>
      </c>
      <c r="B5978" s="243" t="inlineStr">
        <is>
          <t xml:space="preserve">E</t>
        </is>
      </c>
      <c r="C5978" s="244" t="inlineStr">
        <is>
          <t xml:space="preserve">Concrete wall - lift walls, 250mm thick</t>
        </is>
      </c>
      <c r="I5978" s="245" t="inlineStr">
        <is>
          <t xml:space="preserve">m3</t>
        </is>
      </c>
      <c r="K5978" s="256" t="inlineStr">
        <is>
          <t xml:space="preserve">'11TH FLR'!C43</t>
        </is>
      </c>
    </row>
    <row r="5979">
      <c r="C5979" s="246" t="inlineStr">
        <is>
          <t xml:space="preserve">Roof top terrace (+37300) - lift core walls (21.825 m run): run x ht x 250 thk</t>
        </is>
      </c>
      <c r="E5979" s="247">
        <v>21.825</v>
      </c>
      <c r="F5979" s="247">
        <v>2.9</v>
      </c>
      <c r="G5979" s="247">
        <v>0.25</v>
      </c>
      <c r="H5979" s="249">
        <f>PRODUCT(D5979:G5979)</f>
        <v>15.823125</v>
      </c>
      <c r="J5979" s="253" t="inlineStr">
        <is>
          <t xml:space="preserve">21.825*2.9*0.25</t>
        </is>
      </c>
    </row>
    <row r="5980">
      <c r="C5980" s="250" t="inlineStr">
        <is>
          <t xml:space="preserve">Total carried to BOQ  11TH FLR item E</t>
        </is>
      </c>
      <c r="D5980" s="250" t="inlineStr">
        <is>
          <t xml:space="preserve"/>
        </is>
      </c>
      <c r="E5980" s="250" t="inlineStr">
        <is>
          <t xml:space="preserve"/>
        </is>
      </c>
      <c r="F5980" s="250" t="inlineStr">
        <is>
          <t xml:space="preserve"/>
        </is>
      </c>
      <c r="G5980" s="250" t="inlineStr">
        <is>
          <t xml:space="preserve"/>
        </is>
      </c>
      <c r="H5980" s="251">
        <f>SUM(H5979:H5979)</f>
        <v>15.823125</v>
      </c>
      <c r="I5980" s="252" t="inlineStr">
        <is>
          <t xml:space="preserve">m3</t>
        </is>
      </c>
    </row>
    <row r="5981">
      <c r="A5981" s="243" t="inlineStr">
        <is>
          <t xml:space="preserve">11TH FLR</t>
        </is>
      </c>
      <c r="B5981" s="243" t="inlineStr">
        <is>
          <t xml:space="preserve">F</t>
        </is>
      </c>
      <c r="C5981" s="244" t="inlineStr">
        <is>
          <t xml:space="preserve">Lintels 150 x 225mm over door and window openings</t>
        </is>
      </c>
      <c r="I5981" s="245" t="inlineStr">
        <is>
          <t xml:space="preserve">m3</t>
        </is>
      </c>
      <c r="K5981" s="256" t="inlineStr">
        <is>
          <t xml:space="preserve">'11TH FLR'!C45</t>
        </is>
      </c>
    </row>
    <row r="5982">
      <c r="C5982" s="246" t="inlineStr">
        <is>
          <t xml:space="preserve">Lintel over D3 (7 nr, 0.9x2.2): nr x (width + 2 x 150 bearing) x 150 x 225</t>
        </is>
      </c>
      <c r="D5982" s="248">
        <v>7</v>
      </c>
      <c r="E5982" s="247">
        <f>0.9+0.3</f>
        <v>1.2</v>
      </c>
      <c r="F5982" s="247">
        <v>0.15</v>
      </c>
      <c r="G5982" s="247">
        <v>0.225</v>
      </c>
      <c r="H5982" s="249">
        <f>PRODUCT(D5982:G5982)</f>
        <v>0.28350000000000003</v>
      </c>
      <c r="J5982" s="253" t="inlineStr">
        <is>
          <t xml:space="preserve">7*(0.9+0.3)*0.15*0.225</t>
        </is>
      </c>
    </row>
    <row r="5983">
      <c r="C5983" s="246" t="inlineStr">
        <is>
          <t xml:space="preserve">Lintel over D6 (8 nr, 0.75x2.2): nr x (width + 2 x 150 bearing) x 150 x 225</t>
        </is>
      </c>
      <c r="D5983" s="248">
        <v>8</v>
      </c>
      <c r="E5983" s="247">
        <f>0.75+0.3</f>
        <v>1.05</v>
      </c>
      <c r="F5983" s="247">
        <v>0.15</v>
      </c>
      <c r="G5983" s="247">
        <v>0.225</v>
      </c>
      <c r="H5983" s="249">
        <f>PRODUCT(D5983:G5983)</f>
        <v>0.28350000000000003</v>
      </c>
      <c r="J5983" s="253" t="inlineStr">
        <is>
          <t xml:space="preserve">8*(0.75+0.3)*0.15*0.225</t>
        </is>
      </c>
    </row>
    <row r="5984">
      <c r="C5984" s="246" t="inlineStr">
        <is>
          <t xml:space="preserve">Lintel over D7 (1 nr, 0.7x2.2): nr x (width + 2 x 150 bearing) x 150 x 225</t>
        </is>
      </c>
      <c r="D5984" s="248">
        <v>1</v>
      </c>
      <c r="E5984" s="247">
        <f>0.7+0.3</f>
        <v>1.0</v>
      </c>
      <c r="F5984" s="247">
        <v>0.15</v>
      </c>
      <c r="G5984" s="247">
        <v>0.225</v>
      </c>
      <c r="H5984" s="249">
        <f>PRODUCT(D5984:G5984)</f>
        <v>0.03375</v>
      </c>
      <c r="J5984" s="253" t="inlineStr">
        <is>
          <t xml:space="preserve">1*(0.7+0.3)*0.15*0.225</t>
        </is>
      </c>
    </row>
    <row r="5985">
      <c r="C5985" s="246" t="inlineStr">
        <is>
          <t xml:space="preserve">Lintel over ED1 (2 nr, 1x2.2): nr x (width + 2 x 150 bearing) x 150 x 225</t>
        </is>
      </c>
      <c r="D5985" s="248">
        <v>2</v>
      </c>
      <c r="E5985" s="247">
        <f>1+0.3</f>
        <v>1.3</v>
      </c>
      <c r="F5985" s="247">
        <v>0.15</v>
      </c>
      <c r="G5985" s="247">
        <v>0.225</v>
      </c>
      <c r="H5985" s="249">
        <f>PRODUCT(D5985:G5985)</f>
        <v>0.08775000000000001</v>
      </c>
      <c r="J5985" s="253" t="inlineStr">
        <is>
          <t xml:space="preserve">2*(1+0.3)*0.15*0.225</t>
        </is>
      </c>
    </row>
    <row r="5986">
      <c r="C5986" s="246" t="inlineStr">
        <is>
          <t xml:space="preserve">Lintel over D9 (1 nr, 0.9x2.2): nr x (width + 2 x 150 bearing) x 150 x 225</t>
        </is>
      </c>
      <c r="D5986" s="248">
        <v>1</v>
      </c>
      <c r="E5986" s="247">
        <f>0.9+0.3</f>
        <v>1.2</v>
      </c>
      <c r="F5986" s="247">
        <v>0.15</v>
      </c>
      <c r="G5986" s="247">
        <v>0.225</v>
      </c>
      <c r="H5986" s="249">
        <f>PRODUCT(D5986:G5986)</f>
        <v>0.0405</v>
      </c>
      <c r="J5986" s="253" t="inlineStr">
        <is>
          <t xml:space="preserve">1*(0.9+0.3)*0.15*0.225</t>
        </is>
      </c>
    </row>
    <row r="5987">
      <c r="C5987" s="246" t="inlineStr">
        <is>
          <t xml:space="preserve">Lintel over HW1 (5 nr, 0.9x0.6): nr x (width + 2 x 150 bearing) x 150 x 225</t>
        </is>
      </c>
      <c r="D5987" s="248">
        <v>5</v>
      </c>
      <c r="E5987" s="247">
        <f>0.9+0.3</f>
        <v>1.2</v>
      </c>
      <c r="F5987" s="247">
        <v>0.15</v>
      </c>
      <c r="G5987" s="247">
        <v>0.225</v>
      </c>
      <c r="H5987" s="249">
        <f>PRODUCT(D5987:G5987)</f>
        <v>0.20249999999999999</v>
      </c>
      <c r="J5987" s="253" t="inlineStr">
        <is>
          <t xml:space="preserve">5*(0.9+0.3)*0.15*0.225</t>
        </is>
      </c>
    </row>
    <row r="5988">
      <c r="C5988" s="246" t="inlineStr">
        <is>
          <t xml:space="preserve">Lintel over HW2 (2 nr, 0.75x0.6): nr x (width + 2 x 150 bearing) x 150 x 225</t>
        </is>
      </c>
      <c r="D5988" s="248">
        <v>2</v>
      </c>
      <c r="E5988" s="247">
        <f>0.75+0.3</f>
        <v>1.05</v>
      </c>
      <c r="F5988" s="247">
        <v>0.15</v>
      </c>
      <c r="G5988" s="247">
        <v>0.225</v>
      </c>
      <c r="H5988" s="249">
        <f>PRODUCT(D5988:G5988)</f>
        <v>0.07087500000000001</v>
      </c>
      <c r="J5988" s="253" t="inlineStr">
        <is>
          <t xml:space="preserve">2*(0.75+0.3)*0.15*0.225</t>
        </is>
      </c>
    </row>
    <row r="5989">
      <c r="C5989" s="246" t="inlineStr">
        <is>
          <t xml:space="preserve">Lintel over HW3 (1 nr, 0.6x0.6): nr x (width + 2 x 150 bearing) x 150 x 225</t>
        </is>
      </c>
      <c r="D5989" s="248">
        <v>1</v>
      </c>
      <c r="E5989" s="247">
        <f>0.6+0.3</f>
        <v>0.8999999999999999</v>
      </c>
      <c r="F5989" s="247">
        <v>0.15</v>
      </c>
      <c r="G5989" s="247">
        <v>0.225</v>
      </c>
      <c r="H5989" s="249">
        <f>PRODUCT(D5989:G5989)</f>
        <v>0.030374999999999996</v>
      </c>
      <c r="J5989" s="253" t="inlineStr">
        <is>
          <t xml:space="preserve">1*(0.6+0.3)*0.15*0.225</t>
        </is>
      </c>
    </row>
    <row r="5990">
      <c r="C5990" s="246" t="inlineStr">
        <is>
          <t xml:space="preserve">Lintel over HW4 (1 nr, 1.2x0.6): nr x (width + 2 x 150 bearing) x 150 x 225</t>
        </is>
      </c>
      <c r="D5990" s="248">
        <v>1</v>
      </c>
      <c r="E5990" s="247">
        <f>1.2+0.3</f>
        <v>1.5</v>
      </c>
      <c r="F5990" s="247">
        <v>0.15</v>
      </c>
      <c r="G5990" s="247">
        <v>0.225</v>
      </c>
      <c r="H5990" s="249">
        <f>PRODUCT(D5990:G5990)</f>
        <v>0.050624999999999996</v>
      </c>
      <c r="J5990" s="253" t="inlineStr">
        <is>
          <t xml:space="preserve">1*(1.2+0.3)*0.15*0.225</t>
        </is>
      </c>
    </row>
    <row r="5991">
      <c r="C5991" s="250" t="inlineStr">
        <is>
          <t xml:space="preserve">Total carried to BOQ  11TH FLR item F</t>
        </is>
      </c>
      <c r="D5991" s="250" t="inlineStr">
        <is>
          <t xml:space="preserve"/>
        </is>
      </c>
      <c r="E5991" s="250" t="inlineStr">
        <is>
          <t xml:space="preserve"/>
        </is>
      </c>
      <c r="F5991" s="250" t="inlineStr">
        <is>
          <t xml:space="preserve"/>
        </is>
      </c>
      <c r="G5991" s="250" t="inlineStr">
        <is>
          <t xml:space="preserve"/>
        </is>
      </c>
      <c r="H5991" s="251">
        <f>SUM(H5982:H5990)</f>
        <v>1.083375</v>
      </c>
      <c r="I5991" s="252" t="inlineStr">
        <is>
          <t xml:space="preserve">m3</t>
        </is>
      </c>
    </row>
    <row r="5992">
      <c r="A5992" s="243" t="inlineStr">
        <is>
          <t xml:space="preserve">11TH FLR</t>
        </is>
      </c>
      <c r="B5992" s="243" t="inlineStr">
        <is>
          <t xml:space="preserve">G</t>
        </is>
      </c>
      <c r="C5992" s="244" t="inlineStr">
        <is>
          <t xml:space="preserve">Copings 300 x 150mm to parapets</t>
        </is>
      </c>
      <c r="I5992" s="245" t="inlineStr">
        <is>
          <t xml:space="preserve">m3</t>
        </is>
      </c>
      <c r="K5992" s="256" t="inlineStr">
        <is>
          <t xml:space="preserve">'11TH FLR'!C47</t>
        </is>
      </c>
    </row>
    <row r="5993">
      <c r="C5993" s="246" t="inlineStr">
        <is>
          <t xml:space="preserve">Parapet coping: length x 300 x 150</t>
        </is>
      </c>
      <c r="E5993" s="247">
        <v>182.5</v>
      </c>
      <c r="F5993" s="247">
        <v>0.3</v>
      </c>
      <c r="G5993" s="247">
        <v>0.15</v>
      </c>
      <c r="H5993" s="249">
        <f>PRODUCT(D5993:G5993)</f>
        <v>8.2125</v>
      </c>
      <c r="J5993" s="253" t="inlineStr">
        <is>
          <t xml:space="preserve">182.5*0.3*0.15</t>
        </is>
      </c>
    </row>
    <row r="5994">
      <c r="C5994" s="250" t="inlineStr">
        <is>
          <t xml:space="preserve">Total carried to BOQ  11TH FLR item G</t>
        </is>
      </c>
      <c r="D5994" s="250" t="inlineStr">
        <is>
          <t xml:space="preserve"/>
        </is>
      </c>
      <c r="E5994" s="250" t="inlineStr">
        <is>
          <t xml:space="preserve"/>
        </is>
      </c>
      <c r="F5994" s="250" t="inlineStr">
        <is>
          <t xml:space="preserve"/>
        </is>
      </c>
      <c r="G5994" s="250" t="inlineStr">
        <is>
          <t xml:space="preserve"/>
        </is>
      </c>
      <c r="H5994" s="251">
        <f>SUM(H5993:H5993)</f>
        <v>8.2125</v>
      </c>
      <c r="I5994" s="252" t="inlineStr">
        <is>
          <t xml:space="preserve">m3</t>
        </is>
      </c>
    </row>
    <row r="5995">
      <c r="C5995" s="242" t="inlineStr">
        <is>
          <t xml:space="preserve">E20 FORMWORK - Formwork as described to:</t>
        </is>
      </c>
    </row>
    <row r="5996">
      <c r="A5996" s="243" t="inlineStr">
        <is>
          <t xml:space="preserve">11TH FLR</t>
        </is>
      </c>
      <c r="B5996" s="243" t="inlineStr">
        <is>
          <t xml:space="preserve">H</t>
        </is>
      </c>
      <c r="C5996" s="244" t="inlineStr">
        <is>
          <t xml:space="preserve">Soffits of suspended slab</t>
        </is>
      </c>
      <c r="I5996" s="245" t="inlineStr">
        <is>
          <t xml:space="preserve">m2</t>
        </is>
      </c>
      <c r="K5996" s="256" t="inlineStr">
        <is>
          <t xml:space="preserve">'11TH FLR'!C50</t>
        </is>
      </c>
    </row>
    <row r="5997">
      <c r="C5997" s="246" t="inlineStr">
        <is>
          <t xml:space="preserve">Roof top terrace (+37300) - Slab soffit: measured area</t>
        </is>
      </c>
      <c r="H5997" s="247">
        <v>868.1</v>
      </c>
      <c r="J5997" s="253" t="inlineStr">
        <is>
          <t xml:space="preserve">868.1</t>
        </is>
      </c>
    </row>
    <row r="5998">
      <c r="C5998" s="250" t="inlineStr">
        <is>
          <t xml:space="preserve">Total carried to BOQ  11TH FLR item H</t>
        </is>
      </c>
      <c r="D5998" s="250" t="inlineStr">
        <is>
          <t xml:space="preserve"/>
        </is>
      </c>
      <c r="E5998" s="250" t="inlineStr">
        <is>
          <t xml:space="preserve"/>
        </is>
      </c>
      <c r="F5998" s="250" t="inlineStr">
        <is>
          <t xml:space="preserve"/>
        </is>
      </c>
      <c r="G5998" s="250" t="inlineStr">
        <is>
          <t xml:space="preserve"/>
        </is>
      </c>
      <c r="H5998" s="251">
        <f>SUM(H5997:H5997)</f>
        <v>868.1</v>
      </c>
      <c r="I5998" s="252" t="inlineStr">
        <is>
          <t xml:space="preserve">m2</t>
        </is>
      </c>
    </row>
    <row r="5999">
      <c r="A5999" s="243" t="inlineStr">
        <is>
          <t xml:space="preserve">11TH FLR</t>
        </is>
      </c>
      <c r="B5999" s="243" t="inlineStr">
        <is>
          <t xml:space="preserve">J</t>
        </is>
      </c>
      <c r="C5999" s="244" t="inlineStr">
        <is>
          <t xml:space="preserve">Edges of suspended slab 250mm high</t>
        </is>
      </c>
      <c r="I5999" s="245" t="inlineStr">
        <is>
          <t xml:space="preserve">m</t>
        </is>
      </c>
      <c r="K5999" s="256" t="inlineStr">
        <is>
          <t xml:space="preserve">'11TH FLR'!C52</t>
        </is>
      </c>
    </row>
    <row r="6000">
      <c r="C6000" s="246" t="inlineStr">
        <is>
          <t xml:space="preserve">Roof top terrace (+37300) - Slab edge: measured perimeter</t>
        </is>
      </c>
      <c r="H6000" s="247">
        <v>252.9</v>
      </c>
      <c r="J6000" s="253" t="inlineStr">
        <is>
          <t xml:space="preserve">252.9</t>
        </is>
      </c>
    </row>
    <row r="6001">
      <c r="C6001" s="250" t="inlineStr">
        <is>
          <t xml:space="preserve">Total carried to BOQ  11TH FLR item J</t>
        </is>
      </c>
      <c r="D6001" s="250" t="inlineStr">
        <is>
          <t xml:space="preserve"/>
        </is>
      </c>
      <c r="E6001" s="250" t="inlineStr">
        <is>
          <t xml:space="preserve"/>
        </is>
      </c>
      <c r="F6001" s="250" t="inlineStr">
        <is>
          <t xml:space="preserve"/>
        </is>
      </c>
      <c r="G6001" s="250" t="inlineStr">
        <is>
          <t xml:space="preserve"/>
        </is>
      </c>
      <c r="H6001" s="251">
        <f>SUM(H6000:H6000)</f>
        <v>252.9</v>
      </c>
      <c r="I6001" s="252" t="inlineStr">
        <is>
          <t xml:space="preserve">m</t>
        </is>
      </c>
    </row>
    <row r="6002">
      <c r="A6002" s="243" t="inlineStr">
        <is>
          <t xml:space="preserve">11TH FLR</t>
        </is>
      </c>
      <c r="B6002" s="243" t="inlineStr">
        <is>
          <t xml:space="preserve">K</t>
        </is>
      </c>
      <c r="C6002" s="244" t="inlineStr">
        <is>
          <t xml:space="preserve">Sides and soffits of beams</t>
        </is>
      </c>
      <c r="I6002" s="245" t="inlineStr">
        <is>
          <t xml:space="preserve">m2</t>
        </is>
      </c>
      <c r="K6002" s="256" t="inlineStr">
        <is>
          <t xml:space="preserve">'11TH FLR'!C54</t>
        </is>
      </c>
    </row>
    <row r="6003">
      <c r="C6003" s="246" t="inlineStr">
        <is>
          <t xml:space="preserve">Roof top terrace (+37300) - beam sides &amp; soffit (300 wide): length x girth</t>
        </is>
      </c>
      <c r="E6003" s="247">
        <v>125.7</v>
      </c>
      <c r="F6003" s="247">
        <f>2*0.35+0.3</f>
        <v>1.0</v>
      </c>
      <c r="H6003" s="249">
        <f>PRODUCT(D6003:G6003)</f>
        <v>125.7</v>
      </c>
      <c r="J6003" s="253" t="inlineStr">
        <is>
          <t xml:space="preserve">125.7*(2*0.35+0.3)</t>
        </is>
      </c>
    </row>
    <row r="6004">
      <c r="C6004" s="246" t="inlineStr">
        <is>
          <t xml:space="preserve">Roof top terrace (+37300) - beam sides &amp; soffit (200 wide): length x girth</t>
        </is>
      </c>
      <c r="E6004" s="247">
        <v>14.2</v>
      </c>
      <c r="F6004" s="247">
        <f>2*0.35+0.2</f>
        <v>0.8999999999999999</v>
      </c>
      <c r="H6004" s="249">
        <f>PRODUCT(D6004:G6004)</f>
        <v>12.779999999999998</v>
      </c>
      <c r="J6004" s="253" t="inlineStr">
        <is>
          <t xml:space="preserve">14.2*(2*0.35+0.2)</t>
        </is>
      </c>
    </row>
    <row r="6005">
      <c r="C6005" s="250" t="inlineStr">
        <is>
          <t xml:space="preserve">Total carried to BOQ  11TH FLR item K</t>
        </is>
      </c>
      <c r="D6005" s="250" t="inlineStr">
        <is>
          <t xml:space="preserve"/>
        </is>
      </c>
      <c r="E6005" s="250" t="inlineStr">
        <is>
          <t xml:space="preserve"/>
        </is>
      </c>
      <c r="F6005" s="250" t="inlineStr">
        <is>
          <t xml:space="preserve"/>
        </is>
      </c>
      <c r="G6005" s="250" t="inlineStr">
        <is>
          <t xml:space="preserve"/>
        </is>
      </c>
      <c r="H6005" s="251">
        <f>SUM(H6003:H6004)</f>
        <v>138.48</v>
      </c>
      <c r="I6005" s="252" t="inlineStr">
        <is>
          <t xml:space="preserve">m2</t>
        </is>
      </c>
    </row>
    <row r="6006">
      <c r="A6006" s="243" t="inlineStr">
        <is>
          <t xml:space="preserve">11TH FLR</t>
        </is>
      </c>
      <c r="B6006" s="243" t="inlineStr">
        <is>
          <t xml:space="preserve">L</t>
        </is>
      </c>
      <c r="C6006" s="244" t="inlineStr">
        <is>
          <t xml:space="preserve">Columns</t>
        </is>
      </c>
      <c r="I6006" s="245" t="inlineStr">
        <is>
          <t xml:space="preserve">m2</t>
        </is>
      </c>
      <c r="K6006" s="256" t="inlineStr">
        <is>
          <t xml:space="preserve">'11TH FLR'!C56</t>
        </is>
      </c>
    </row>
    <row r="6007">
      <c r="C6007" s="246" t="inlineStr">
        <is>
          <t xml:space="preserve">COL-01C x2 - column sides (roof terrace to roof), ht 2.9</t>
        </is>
      </c>
      <c r="D6007" s="248">
        <v>2</v>
      </c>
      <c r="E6007" s="247">
        <f>2*(0.75+0.5)</f>
        <v>2.5</v>
      </c>
      <c r="F6007" s="247">
        <v>2.9</v>
      </c>
      <c r="H6007" s="249">
        <f>PRODUCT(D6007:G6007)</f>
        <v>14.5</v>
      </c>
      <c r="J6007" s="253" t="inlineStr">
        <is>
          <t xml:space="preserve">2*2*(0.75+0.5)*2.9</t>
        </is>
      </c>
    </row>
    <row r="6008">
      <c r="C6008" s="246" t="inlineStr">
        <is>
          <t xml:space="preserve">COL-02C x1 - column sides (roof terrace to roof), ht 2.9</t>
        </is>
      </c>
      <c r="D6008" s="248">
        <v>1</v>
      </c>
      <c r="E6008" s="247">
        <f>2*(1.2+0.3)</f>
        <v>3.0</v>
      </c>
      <c r="F6008" s="247">
        <v>2.9</v>
      </c>
      <c r="H6008" s="249">
        <f>PRODUCT(D6008:G6008)</f>
        <v>8.7</v>
      </c>
      <c r="J6008" s="253" t="inlineStr">
        <is>
          <t xml:space="preserve">1*2*(1.2+0.3)*2.9</t>
        </is>
      </c>
    </row>
    <row r="6009">
      <c r="C6009" s="250" t="inlineStr">
        <is>
          <t xml:space="preserve">Total carried to BOQ  11TH FLR item L</t>
        </is>
      </c>
      <c r="D6009" s="250" t="inlineStr">
        <is>
          <t xml:space="preserve"/>
        </is>
      </c>
      <c r="E6009" s="250" t="inlineStr">
        <is>
          <t xml:space="preserve"/>
        </is>
      </c>
      <c r="F6009" s="250" t="inlineStr">
        <is>
          <t xml:space="preserve"/>
        </is>
      </c>
      <c r="G6009" s="250" t="inlineStr">
        <is>
          <t xml:space="preserve"/>
        </is>
      </c>
      <c r="H6009" s="251">
        <f>SUM(H6007:H6008)</f>
        <v>23.2</v>
      </c>
      <c r="I6009" s="252" t="inlineStr">
        <is>
          <t xml:space="preserve">m2</t>
        </is>
      </c>
    </row>
    <row r="6010">
      <c r="A6010" s="243" t="inlineStr">
        <is>
          <t xml:space="preserve">11TH FLR</t>
        </is>
      </c>
      <c r="B6010" s="243" t="inlineStr">
        <is>
          <t xml:space="preserve">M</t>
        </is>
      </c>
      <c r="C6010" s="244" t="inlineStr">
        <is>
          <t xml:space="preserve">Concrete wall (both faces)</t>
        </is>
      </c>
      <c r="I6010" s="245" t="inlineStr">
        <is>
          <t xml:space="preserve">m2</t>
        </is>
      </c>
      <c r="K6010" s="256" t="inlineStr">
        <is>
          <t xml:space="preserve">'11TH FLR'!C58</t>
        </is>
      </c>
    </row>
    <row r="6011">
      <c r="C6011" s="246" t="inlineStr">
        <is>
          <t xml:space="preserve">Roof top terrace (+37300) - main stair core walls (22.05 m run) (both faces)</t>
        </is>
      </c>
      <c r="D6011" s="248">
        <v>2</v>
      </c>
      <c r="E6011" s="247">
        <v>22.05</v>
      </c>
      <c r="F6011" s="247">
        <v>2.9</v>
      </c>
      <c r="H6011" s="249">
        <f>PRODUCT(D6011:G6011)</f>
        <v>127.89</v>
      </c>
      <c r="J6011" s="253" t="inlineStr">
        <is>
          <t xml:space="preserve">2*22.05*2.9</t>
        </is>
      </c>
    </row>
    <row r="6012">
      <c r="C6012" s="246" t="inlineStr">
        <is>
          <t xml:space="preserve">Roof top terrace (+37300) - lift core walls (21.825 m run) (both faces)</t>
        </is>
      </c>
      <c r="D6012" s="248">
        <v>2</v>
      </c>
      <c r="E6012" s="247">
        <v>21.825</v>
      </c>
      <c r="F6012" s="247">
        <v>2.9</v>
      </c>
      <c r="H6012" s="249">
        <f>PRODUCT(D6012:G6012)</f>
        <v>126.585</v>
      </c>
      <c r="J6012" s="253" t="inlineStr">
        <is>
          <t xml:space="preserve">2*21.825*2.9</t>
        </is>
      </c>
    </row>
    <row r="6013">
      <c r="C6013" s="246" t="inlineStr">
        <is>
          <t xml:space="preserve">Roof top terrace (+37300) - emergency stair core walls (25.57 m run) (both faces)</t>
        </is>
      </c>
      <c r="D6013" s="248">
        <v>2</v>
      </c>
      <c r="E6013" s="247">
        <v>25.57</v>
      </c>
      <c r="F6013" s="247">
        <v>2.9</v>
      </c>
      <c r="H6013" s="249">
        <f>PRODUCT(D6013:G6013)</f>
        <v>148.30599999999998</v>
      </c>
      <c r="J6013" s="253" t="inlineStr">
        <is>
          <t xml:space="preserve">2*25.57*2.9</t>
        </is>
      </c>
    </row>
    <row r="6014">
      <c r="C6014" s="250" t="inlineStr">
        <is>
          <t xml:space="preserve">Total carried to BOQ  11TH FLR item M</t>
        </is>
      </c>
      <c r="D6014" s="250" t="inlineStr">
        <is>
          <t xml:space="preserve"/>
        </is>
      </c>
      <c r="E6014" s="250" t="inlineStr">
        <is>
          <t xml:space="preserve"/>
        </is>
      </c>
      <c r="F6014" s="250" t="inlineStr">
        <is>
          <t xml:space="preserve"/>
        </is>
      </c>
      <c r="G6014" s="250" t="inlineStr">
        <is>
          <t xml:space="preserve"/>
        </is>
      </c>
      <c r="H6014" s="251">
        <f>SUM(H6011:H6013)</f>
        <v>402.78099999999995</v>
      </c>
      <c r="I6014" s="252" t="inlineStr">
        <is>
          <t xml:space="preserve">m2</t>
        </is>
      </c>
    </row>
    <row r="6015">
      <c r="A6015" s="243" t="inlineStr">
        <is>
          <t xml:space="preserve">11TH FLR</t>
        </is>
      </c>
      <c r="B6015" s="243" t="inlineStr">
        <is>
          <t xml:space="preserve">N</t>
        </is>
      </c>
      <c r="C6015" s="244" t="inlineStr">
        <is>
          <t xml:space="preserve">Side and soffits of lintel / coping</t>
        </is>
      </c>
      <c r="I6015" s="245" t="inlineStr">
        <is>
          <t xml:space="preserve">m2</t>
        </is>
      </c>
      <c r="K6015" s="256" t="inlineStr">
        <is>
          <t xml:space="preserve">'11TH FLR'!C60</t>
        </is>
      </c>
    </row>
    <row r="6016">
      <c r="C6016" s="246" t="inlineStr">
        <is>
          <t xml:space="preserve">Lintel formwork over D3 (7 nr, 0.9x2.2): nr x (width + 2 x 150 bearing) x girth 0.60</t>
        </is>
      </c>
      <c r="D6016" s="248">
        <v>7</v>
      </c>
      <c r="E6016" s="247">
        <f>0.9+0.3</f>
        <v>1.2</v>
      </c>
      <c r="F6016" s="247">
        <f>2*0.225+0.15</f>
        <v>0.6</v>
      </c>
      <c r="H6016" s="249">
        <f>PRODUCT(D6016:G6016)</f>
        <v>5.04</v>
      </c>
      <c r="J6016" s="253" t="inlineStr">
        <is>
          <t xml:space="preserve">7*(0.9+0.3)*(2*0.225+0.15)</t>
        </is>
      </c>
    </row>
    <row r="6017">
      <c r="C6017" s="246" t="inlineStr">
        <is>
          <t xml:space="preserve">Lintel formwork over D6 (8 nr, 0.75x2.2): nr x (width + 2 x 150 bearing) x girth 0.60</t>
        </is>
      </c>
      <c r="D6017" s="248">
        <v>8</v>
      </c>
      <c r="E6017" s="247">
        <f>0.75+0.3</f>
        <v>1.05</v>
      </c>
      <c r="F6017" s="247">
        <f>2*0.225+0.15</f>
        <v>0.6</v>
      </c>
      <c r="H6017" s="249">
        <f>PRODUCT(D6017:G6017)</f>
        <v>5.04</v>
      </c>
      <c r="J6017" s="253" t="inlineStr">
        <is>
          <t xml:space="preserve">8*(0.75+0.3)*(2*0.225+0.15)</t>
        </is>
      </c>
    </row>
    <row r="6018">
      <c r="C6018" s="246" t="inlineStr">
        <is>
          <t xml:space="preserve">Lintel formwork over D7 (1 nr, 0.7x2.2): nr x (width + 2 x 150 bearing) x girth 0.60</t>
        </is>
      </c>
      <c r="D6018" s="248">
        <v>1</v>
      </c>
      <c r="E6018" s="247">
        <f>0.7+0.3</f>
        <v>1.0</v>
      </c>
      <c r="F6018" s="247">
        <f>2*0.225+0.15</f>
        <v>0.6</v>
      </c>
      <c r="H6018" s="249">
        <f>PRODUCT(D6018:G6018)</f>
        <v>0.6</v>
      </c>
      <c r="J6018" s="253" t="inlineStr">
        <is>
          <t xml:space="preserve">1*(0.7+0.3)*(2*0.225+0.15)</t>
        </is>
      </c>
    </row>
    <row r="6019">
      <c r="C6019" s="246" t="inlineStr">
        <is>
          <t xml:space="preserve">Lintel formwork over ED1 (2 nr, 1x2.2): nr x (width + 2 x 150 bearing) x girth 0.60</t>
        </is>
      </c>
      <c r="D6019" s="248">
        <v>2</v>
      </c>
      <c r="E6019" s="247">
        <f>1+0.3</f>
        <v>1.3</v>
      </c>
      <c r="F6019" s="247">
        <f>2*0.225+0.15</f>
        <v>0.6</v>
      </c>
      <c r="H6019" s="249">
        <f>PRODUCT(D6019:G6019)</f>
        <v>1.56</v>
      </c>
      <c r="J6019" s="253" t="inlineStr">
        <is>
          <t xml:space="preserve">2*(1+0.3)*(2*0.225+0.15)</t>
        </is>
      </c>
    </row>
    <row r="6020">
      <c r="C6020" s="246" t="inlineStr">
        <is>
          <t xml:space="preserve">Lintel formwork over D9 (1 nr, 0.9x2.2): nr x (width + 2 x 150 bearing) x girth 0.60</t>
        </is>
      </c>
      <c r="D6020" s="248">
        <v>1</v>
      </c>
      <c r="E6020" s="247">
        <f>0.9+0.3</f>
        <v>1.2</v>
      </c>
      <c r="F6020" s="247">
        <f>2*0.225+0.15</f>
        <v>0.6</v>
      </c>
      <c r="H6020" s="249">
        <f>PRODUCT(D6020:G6020)</f>
        <v>0.72</v>
      </c>
      <c r="J6020" s="253" t="inlineStr">
        <is>
          <t xml:space="preserve">1*(0.9+0.3)*(2*0.225+0.15)</t>
        </is>
      </c>
    </row>
    <row r="6021">
      <c r="C6021" s="246" t="inlineStr">
        <is>
          <t xml:space="preserve">Lintel formwork over HW1 (5 nr, 0.9x0.6): nr x (width + 2 x 150 bearing) x girth 0.60</t>
        </is>
      </c>
      <c r="D6021" s="248">
        <v>5</v>
      </c>
      <c r="E6021" s="247">
        <f>0.9+0.3</f>
        <v>1.2</v>
      </c>
      <c r="F6021" s="247">
        <f>2*0.225+0.15</f>
        <v>0.6</v>
      </c>
      <c r="H6021" s="249">
        <f>PRODUCT(D6021:G6021)</f>
        <v>3.5999999999999996</v>
      </c>
      <c r="J6021" s="253" t="inlineStr">
        <is>
          <t xml:space="preserve">5*(0.9+0.3)*(2*0.225+0.15)</t>
        </is>
      </c>
    </row>
    <row r="6022">
      <c r="C6022" s="246" t="inlineStr">
        <is>
          <t xml:space="preserve">Lintel formwork over HW2 (2 nr, 0.75x0.6): nr x (width + 2 x 150 bearing) x girth 0.60</t>
        </is>
      </c>
      <c r="D6022" s="248">
        <v>2</v>
      </c>
      <c r="E6022" s="247">
        <f>0.75+0.3</f>
        <v>1.05</v>
      </c>
      <c r="F6022" s="247">
        <f>2*0.225+0.15</f>
        <v>0.6</v>
      </c>
      <c r="H6022" s="249">
        <f>PRODUCT(D6022:G6022)</f>
        <v>1.26</v>
      </c>
      <c r="J6022" s="253" t="inlineStr">
        <is>
          <t xml:space="preserve">2*(0.75+0.3)*(2*0.225+0.15)</t>
        </is>
      </c>
    </row>
    <row r="6023">
      <c r="C6023" s="246" t="inlineStr">
        <is>
          <t xml:space="preserve">Lintel formwork over HW3 (1 nr, 0.6x0.6): nr x (width + 2 x 150 bearing) x girth 0.60</t>
        </is>
      </c>
      <c r="D6023" s="248">
        <v>1</v>
      </c>
      <c r="E6023" s="247">
        <f>0.6+0.3</f>
        <v>0.8999999999999999</v>
      </c>
      <c r="F6023" s="247">
        <f>2*0.225+0.15</f>
        <v>0.6</v>
      </c>
      <c r="H6023" s="249">
        <f>PRODUCT(D6023:G6023)</f>
        <v>0.5399999999999999</v>
      </c>
      <c r="J6023" s="253" t="inlineStr">
        <is>
          <t xml:space="preserve">1*(0.6+0.3)*(2*0.225+0.15)</t>
        </is>
      </c>
    </row>
    <row r="6024">
      <c r="C6024" s="246" t="inlineStr">
        <is>
          <t xml:space="preserve">Lintel formwork over HW4 (1 nr, 1.2x0.6): nr x (width + 2 x 150 bearing) x girth 0.60</t>
        </is>
      </c>
      <c r="D6024" s="248">
        <v>1</v>
      </c>
      <c r="E6024" s="247">
        <f>1.2+0.3</f>
        <v>1.5</v>
      </c>
      <c r="F6024" s="247">
        <f>2*0.225+0.15</f>
        <v>0.6</v>
      </c>
      <c r="H6024" s="249">
        <f>PRODUCT(D6024:G6024)</f>
        <v>0.8999999999999999</v>
      </c>
      <c r="J6024" s="253" t="inlineStr">
        <is>
          <t xml:space="preserve">1*(1.2+0.3)*(2*0.225+0.15)</t>
        </is>
      </c>
    </row>
    <row r="6025">
      <c r="C6025" s="246" t="inlineStr">
        <is>
          <t xml:space="preserve">Mezzanine (3B) - Lintel / coping formwork</t>
        </is>
      </c>
      <c r="E6025" s="247">
        <v>182.5</v>
      </c>
      <c r="F6025" s="247">
        <v>2</v>
      </c>
      <c r="G6025" s="247">
        <v>0.15</v>
      </c>
      <c r="H6025" s="249">
        <f>PRODUCT(D6025:G6025)</f>
        <v>54.75</v>
      </c>
      <c r="J6025" s="253" t="inlineStr">
        <is>
          <t xml:space="preserve">182.5*2*0.15</t>
        </is>
      </c>
    </row>
    <row r="6026">
      <c r="C6026" s="250" t="inlineStr">
        <is>
          <t xml:space="preserve">Total carried to BOQ  11TH FLR item N</t>
        </is>
      </c>
      <c r="D6026" s="250" t="inlineStr">
        <is>
          <t xml:space="preserve"/>
        </is>
      </c>
      <c r="E6026" s="250" t="inlineStr">
        <is>
          <t xml:space="preserve"/>
        </is>
      </c>
      <c r="F6026" s="250" t="inlineStr">
        <is>
          <t xml:space="preserve"/>
        </is>
      </c>
      <c r="G6026" s="250" t="inlineStr">
        <is>
          <t xml:space="preserve"/>
        </is>
      </c>
      <c r="H6026" s="251">
        <f>SUM(H6016:H6025)</f>
        <v>74.01</v>
      </c>
      <c r="I6026" s="252" t="inlineStr">
        <is>
          <t xml:space="preserve">m2</t>
        </is>
      </c>
    </row>
    <row r="6027">
      <c r="C6027" s="242" t="inlineStr">
        <is>
          <t xml:space="preserve">E30 REINFORCEMENT - High tensile yield round bar reinforcement (standard) to BS 4449:</t>
        </is>
      </c>
    </row>
    <row r="6028">
      <c r="A6028" s="243" t="inlineStr">
        <is>
          <t xml:space="preserve">11TH FLR</t>
        </is>
      </c>
      <c r="B6028" s="243" t="inlineStr">
        <is>
          <t xml:space="preserve">P</t>
        </is>
      </c>
      <c r="C6028" s="244" t="inlineStr">
        <is>
          <t xml:space="preserve">10mm diameter in columns</t>
        </is>
      </c>
      <c r="I6028" s="245" t="inlineStr">
        <is>
          <t xml:space="preserve">t</t>
        </is>
      </c>
      <c r="K6028" s="256" t="inlineStr">
        <is>
          <t xml:space="preserve">'11TH FLR'!C63</t>
        </is>
      </c>
    </row>
    <row r="6029">
      <c r="C6029" s="246" t="inlineStr">
        <is>
          <t xml:space="preserve">Roof top terrace (+37300) - Columns, Y10 (from reinforcement take-off / BBS)</t>
        </is>
      </c>
      <c r="H6029" s="247">
        <v>0.21</v>
      </c>
      <c r="J6029" s="253" t="inlineStr">
        <is>
          <t xml:space="preserve">0.210</t>
        </is>
      </c>
    </row>
    <row r="6030">
      <c r="C6030" s="250" t="inlineStr">
        <is>
          <t xml:space="preserve">Total carried to BOQ  11TH FLR item P</t>
        </is>
      </c>
      <c r="D6030" s="250" t="inlineStr">
        <is>
          <t xml:space="preserve"/>
        </is>
      </c>
      <c r="E6030" s="250" t="inlineStr">
        <is>
          <t xml:space="preserve"/>
        </is>
      </c>
      <c r="F6030" s="250" t="inlineStr">
        <is>
          <t xml:space="preserve"/>
        </is>
      </c>
      <c r="G6030" s="250" t="inlineStr">
        <is>
          <t xml:space="preserve"/>
        </is>
      </c>
      <c r="H6030" s="251">
        <f>SUM(H6029:H6029)</f>
        <v>0.21</v>
      </c>
      <c r="I6030" s="252" t="inlineStr">
        <is>
          <t xml:space="preserve">t</t>
        </is>
      </c>
    </row>
    <row r="6031">
      <c r="A6031" s="243" t="inlineStr">
        <is>
          <t xml:space="preserve">11TH FLR</t>
        </is>
      </c>
      <c r="B6031" s="243" t="inlineStr">
        <is>
          <t xml:space="preserve">Q</t>
        </is>
      </c>
      <c r="C6031" s="244" t="inlineStr">
        <is>
          <t xml:space="preserve">20mm diameter in columns</t>
        </is>
      </c>
      <c r="I6031" s="245" t="inlineStr">
        <is>
          <t xml:space="preserve">t</t>
        </is>
      </c>
      <c r="K6031" s="256" t="inlineStr">
        <is>
          <t xml:space="preserve">'11TH FLR'!C65</t>
        </is>
      </c>
    </row>
    <row r="6032">
      <c r="C6032" s="246" t="inlineStr">
        <is>
          <t xml:space="preserve">Roof top terrace (+37300) - Columns, Y20 (from reinforcement take-off / BBS)</t>
        </is>
      </c>
      <c r="H6032" s="247">
        <v>0.426</v>
      </c>
      <c r="J6032" s="253" t="inlineStr">
        <is>
          <t xml:space="preserve">0.426</t>
        </is>
      </c>
    </row>
    <row r="6033">
      <c r="C6033" s="250" t="inlineStr">
        <is>
          <t xml:space="preserve">Total carried to BOQ  11TH FLR item Q</t>
        </is>
      </c>
      <c r="D6033" s="250" t="inlineStr">
        <is>
          <t xml:space="preserve"/>
        </is>
      </c>
      <c r="E6033" s="250" t="inlineStr">
        <is>
          <t xml:space="preserve"/>
        </is>
      </c>
      <c r="F6033" s="250" t="inlineStr">
        <is>
          <t xml:space="preserve"/>
        </is>
      </c>
      <c r="G6033" s="250" t="inlineStr">
        <is>
          <t xml:space="preserve"/>
        </is>
      </c>
      <c r="H6033" s="251">
        <f>SUM(H6032:H6032)</f>
        <v>0.426</v>
      </c>
      <c r="I6033" s="252" t="inlineStr">
        <is>
          <t xml:space="preserve">t</t>
        </is>
      </c>
    </row>
    <row r="6034">
      <c r="A6034" s="243" t="inlineStr">
        <is>
          <t xml:space="preserve">11TH FLR</t>
        </is>
      </c>
      <c r="B6034" s="243" t="inlineStr">
        <is>
          <t xml:space="preserve">R</t>
        </is>
      </c>
      <c r="C6034" s="244" t="inlineStr">
        <is>
          <t xml:space="preserve">10mm diameter in beams (links)</t>
        </is>
      </c>
      <c r="I6034" s="245" t="inlineStr">
        <is>
          <t xml:space="preserve">t</t>
        </is>
      </c>
      <c r="K6034" s="256" t="inlineStr">
        <is>
          <t xml:space="preserve">'11TH FLR'!C67</t>
        </is>
      </c>
    </row>
    <row r="6035">
      <c r="C6035" s="246" t="inlineStr">
        <is>
          <t xml:space="preserve">Roof top terrace (+37300) - Beams, Y10 (from reinforcement take-off / BBS)</t>
        </is>
      </c>
      <c r="H6035" s="247">
        <v>1.311</v>
      </c>
      <c r="J6035" s="253" t="inlineStr">
        <is>
          <t xml:space="preserve">1.311</t>
        </is>
      </c>
    </row>
    <row r="6036">
      <c r="C6036" s="250" t="inlineStr">
        <is>
          <t xml:space="preserve">Total carried to BOQ  11TH FLR item R</t>
        </is>
      </c>
      <c r="D6036" s="250" t="inlineStr">
        <is>
          <t xml:space="preserve"/>
        </is>
      </c>
      <c r="E6036" s="250" t="inlineStr">
        <is>
          <t xml:space="preserve"/>
        </is>
      </c>
      <c r="F6036" s="250" t="inlineStr">
        <is>
          <t xml:space="preserve"/>
        </is>
      </c>
      <c r="G6036" s="250" t="inlineStr">
        <is>
          <t xml:space="preserve"/>
        </is>
      </c>
      <c r="H6036" s="251">
        <f>SUM(H6035:H6035)</f>
        <v>1.311</v>
      </c>
      <c r="I6036" s="252" t="inlineStr">
        <is>
          <t xml:space="preserve">t</t>
        </is>
      </c>
    </row>
    <row r="6037">
      <c r="A6037" s="243" t="inlineStr">
        <is>
          <t xml:space="preserve">11TH FLR</t>
        </is>
      </c>
      <c r="B6037" s="243" t="inlineStr">
        <is>
          <t xml:space="preserve">S</t>
        </is>
      </c>
      <c r="C6037" s="244" t="inlineStr">
        <is>
          <t xml:space="preserve">16mm diameter in beams</t>
        </is>
      </c>
      <c r="I6037" s="245" t="inlineStr">
        <is>
          <t xml:space="preserve">t</t>
        </is>
      </c>
      <c r="K6037" s="256" t="inlineStr">
        <is>
          <t xml:space="preserve">'11TH FLR'!C69</t>
        </is>
      </c>
    </row>
    <row r="6038">
      <c r="C6038" s="246" t="inlineStr">
        <is>
          <t xml:space="preserve">Roof top terrace (+37300) - Beams, Y16 (from reinforcement take-off / BBS)</t>
        </is>
      </c>
      <c r="H6038" s="247">
        <v>1.256</v>
      </c>
      <c r="J6038" s="253" t="inlineStr">
        <is>
          <t xml:space="preserve">1.256</t>
        </is>
      </c>
    </row>
    <row r="6039">
      <c r="C6039" s="250" t="inlineStr">
        <is>
          <t xml:space="preserve">Total carried to BOQ  11TH FLR item S</t>
        </is>
      </c>
      <c r="D6039" s="250" t="inlineStr">
        <is>
          <t xml:space="preserve"/>
        </is>
      </c>
      <c r="E6039" s="250" t="inlineStr">
        <is>
          <t xml:space="preserve"/>
        </is>
      </c>
      <c r="F6039" s="250" t="inlineStr">
        <is>
          <t xml:space="preserve"/>
        </is>
      </c>
      <c r="G6039" s="250" t="inlineStr">
        <is>
          <t xml:space="preserve"/>
        </is>
      </c>
      <c r="H6039" s="251">
        <f>SUM(H6038:H6038)</f>
        <v>1.256</v>
      </c>
      <c r="I6039" s="252" t="inlineStr">
        <is>
          <t xml:space="preserve">t</t>
        </is>
      </c>
    </row>
    <row r="6040">
      <c r="A6040" s="243" t="inlineStr">
        <is>
          <t xml:space="preserve">11TH FLR</t>
        </is>
      </c>
      <c r="B6040" s="243" t="inlineStr">
        <is>
          <t xml:space="preserve">T</t>
        </is>
      </c>
      <c r="C6040" s="244" t="inlineStr">
        <is>
          <t xml:space="preserve">20mm diameter in beams</t>
        </is>
      </c>
      <c r="I6040" s="245" t="inlineStr">
        <is>
          <t xml:space="preserve">t</t>
        </is>
      </c>
      <c r="K6040" s="256" t="inlineStr">
        <is>
          <t xml:space="preserve">'11TH FLR'!C71</t>
        </is>
      </c>
    </row>
    <row r="6041">
      <c r="C6041" s="246" t="inlineStr">
        <is>
          <t xml:space="preserve">Roof top terrace (+37300) - Beams, Y20 (from reinforcement take-off / BBS)</t>
        </is>
      </c>
      <c r="H6041" s="247">
        <v>1.064</v>
      </c>
      <c r="J6041" s="253" t="inlineStr">
        <is>
          <t xml:space="preserve">1.064</t>
        </is>
      </c>
    </row>
    <row r="6042">
      <c r="C6042" s="250" t="inlineStr">
        <is>
          <t xml:space="preserve">Total carried to BOQ  11TH FLR item T</t>
        </is>
      </c>
      <c r="D6042" s="250" t="inlineStr">
        <is>
          <t xml:space="preserve"/>
        </is>
      </c>
      <c r="E6042" s="250" t="inlineStr">
        <is>
          <t xml:space="preserve"/>
        </is>
      </c>
      <c r="F6042" s="250" t="inlineStr">
        <is>
          <t xml:space="preserve"/>
        </is>
      </c>
      <c r="G6042" s="250" t="inlineStr">
        <is>
          <t xml:space="preserve"/>
        </is>
      </c>
      <c r="H6042" s="251">
        <f>SUM(H6041:H6041)</f>
        <v>1.064</v>
      </c>
      <c r="I6042" s="252" t="inlineStr">
        <is>
          <t xml:space="preserve">t</t>
        </is>
      </c>
    </row>
    <row r="6043">
      <c r="A6043" s="243" t="inlineStr">
        <is>
          <t xml:space="preserve">11TH FLR</t>
        </is>
      </c>
      <c r="B6043" s="243" t="inlineStr">
        <is>
          <t xml:space="preserve">U</t>
        </is>
      </c>
      <c r="C6043" s="244" t="inlineStr">
        <is>
          <t xml:space="preserve">25mm diameter in beams</t>
        </is>
      </c>
      <c r="I6043" s="245" t="inlineStr">
        <is>
          <t xml:space="preserve">t</t>
        </is>
      </c>
      <c r="K6043" s="256" t="inlineStr">
        <is>
          <t xml:space="preserve">'11TH FLR'!C73</t>
        </is>
      </c>
    </row>
    <row r="6044">
      <c r="C6044" s="246" t="inlineStr">
        <is>
          <t xml:space="preserve">Roof top terrace (+37300) - Beams, Y25 (from reinforcement take-off / BBS)</t>
        </is>
      </c>
      <c r="H6044" s="247">
        <v>3.622</v>
      </c>
      <c r="J6044" s="253" t="inlineStr">
        <is>
          <t xml:space="preserve">3.622</t>
        </is>
      </c>
    </row>
    <row r="6045">
      <c r="C6045" s="250" t="inlineStr">
        <is>
          <t xml:space="preserve">Total carried to BOQ  11TH FLR item U</t>
        </is>
      </c>
      <c r="D6045" s="250" t="inlineStr">
        <is>
          <t xml:space="preserve"/>
        </is>
      </c>
      <c r="E6045" s="250" t="inlineStr">
        <is>
          <t xml:space="preserve"/>
        </is>
      </c>
      <c r="F6045" s="250" t="inlineStr">
        <is>
          <t xml:space="preserve"/>
        </is>
      </c>
      <c r="G6045" s="250" t="inlineStr">
        <is>
          <t xml:space="preserve"/>
        </is>
      </c>
      <c r="H6045" s="251">
        <f>SUM(H6044:H6044)</f>
        <v>3.622</v>
      </c>
      <c r="I6045" s="252" t="inlineStr">
        <is>
          <t xml:space="preserve">t</t>
        </is>
      </c>
    </row>
    <row r="6046">
      <c r="A6046" s="243" t="inlineStr">
        <is>
          <t xml:space="preserve">11TH FLR</t>
        </is>
      </c>
      <c r="B6046" s="243" t="inlineStr">
        <is>
          <t xml:space="preserve">V</t>
        </is>
      </c>
      <c r="C6046" s="244" t="inlineStr">
        <is>
          <t xml:space="preserve">10mm diameter in shear &amp; lift walls (links)</t>
        </is>
      </c>
      <c r="I6046" s="245" t="inlineStr">
        <is>
          <t xml:space="preserve">t</t>
        </is>
      </c>
      <c r="K6046" s="256" t="inlineStr">
        <is>
          <t xml:space="preserve">'11TH FLR'!C75</t>
        </is>
      </c>
    </row>
    <row r="6047">
      <c r="C6047" s="246" t="inlineStr">
        <is>
          <t xml:space="preserve">Roof top terrace (+37300) - Shear Walls, Y10 (from reinforcement take-off / BBS)</t>
        </is>
      </c>
      <c r="H6047" s="247">
        <v>1.377</v>
      </c>
      <c r="J6047" s="253" t="inlineStr">
        <is>
          <t xml:space="preserve">1.377</t>
        </is>
      </c>
    </row>
    <row r="6048">
      <c r="C6048" s="246" t="inlineStr">
        <is>
          <t xml:space="preserve">Roof top terrace (+37300) - Lift Walls, Y10 (from reinforcement take-off / BBS)</t>
        </is>
      </c>
      <c r="H6048" s="247">
        <v>0.607</v>
      </c>
      <c r="J6048" s="253" t="inlineStr">
        <is>
          <t xml:space="preserve">0.607</t>
        </is>
      </c>
    </row>
    <row r="6049">
      <c r="C6049" s="250" t="inlineStr">
        <is>
          <t xml:space="preserve">Total carried to BOQ  11TH FLR item V</t>
        </is>
      </c>
      <c r="D6049" s="250" t="inlineStr">
        <is>
          <t xml:space="preserve"/>
        </is>
      </c>
      <c r="E6049" s="250" t="inlineStr">
        <is>
          <t xml:space="preserve"/>
        </is>
      </c>
      <c r="F6049" s="250" t="inlineStr">
        <is>
          <t xml:space="preserve"/>
        </is>
      </c>
      <c r="G6049" s="250" t="inlineStr">
        <is>
          <t xml:space="preserve"/>
        </is>
      </c>
      <c r="H6049" s="251">
        <f>SUM(H6047:H6048)</f>
        <v>1.984</v>
      </c>
      <c r="I6049" s="252" t="inlineStr">
        <is>
          <t xml:space="preserve">t</t>
        </is>
      </c>
    </row>
    <row r="6050">
      <c r="A6050" s="243" t="inlineStr">
        <is>
          <t xml:space="preserve">11TH FLR</t>
        </is>
      </c>
      <c r="B6050" s="243" t="inlineStr">
        <is>
          <t xml:space="preserve">W</t>
        </is>
      </c>
      <c r="C6050" s="244" t="inlineStr">
        <is>
          <t xml:space="preserve">12mm diameter in shear, lift &amp; ramp walls</t>
        </is>
      </c>
      <c r="I6050" s="245" t="inlineStr">
        <is>
          <t xml:space="preserve">t</t>
        </is>
      </c>
      <c r="K6050" s="256" t="inlineStr">
        <is>
          <t xml:space="preserve">'11TH FLR'!C77</t>
        </is>
      </c>
    </row>
    <row r="6051">
      <c r="C6051" s="246" t="inlineStr">
        <is>
          <t xml:space="preserve">Roof top terrace (+37300) - Shear Walls, Y12 (from reinforcement take-off / BBS)</t>
        </is>
      </c>
      <c r="H6051" s="247">
        <v>1.821</v>
      </c>
      <c r="J6051" s="253" t="inlineStr">
        <is>
          <t xml:space="preserve">1.821</t>
        </is>
      </c>
    </row>
    <row r="6052">
      <c r="C6052" s="246" t="inlineStr">
        <is>
          <t xml:space="preserve">Roof top terrace (+37300) - Lift Walls, Y12 (from reinforcement take-off / BBS)</t>
        </is>
      </c>
      <c r="H6052" s="247">
        <v>0.822</v>
      </c>
      <c r="J6052" s="253" t="inlineStr">
        <is>
          <t xml:space="preserve">0.822</t>
        </is>
      </c>
    </row>
    <row r="6053">
      <c r="C6053" s="250" t="inlineStr">
        <is>
          <t xml:space="preserve">Total carried to BOQ  11TH FLR item W</t>
        </is>
      </c>
      <c r="D6053" s="250" t="inlineStr">
        <is>
          <t xml:space="preserve"/>
        </is>
      </c>
      <c r="E6053" s="250" t="inlineStr">
        <is>
          <t xml:space="preserve"/>
        </is>
      </c>
      <c r="F6053" s="250" t="inlineStr">
        <is>
          <t xml:space="preserve"/>
        </is>
      </c>
      <c r="G6053" s="250" t="inlineStr">
        <is>
          <t xml:space="preserve"/>
        </is>
      </c>
      <c r="H6053" s="251">
        <f>SUM(H6051:H6052)</f>
        <v>2.643</v>
      </c>
      <c r="I6053" s="252" t="inlineStr">
        <is>
          <t xml:space="preserve">t</t>
        </is>
      </c>
    </row>
    <row r="6054">
      <c r="A6054" s="243" t="inlineStr">
        <is>
          <t xml:space="preserve">11TH FLR</t>
        </is>
      </c>
      <c r="B6054" s="243" t="inlineStr">
        <is>
          <t xml:space="preserve">X</t>
        </is>
      </c>
      <c r="C6054" s="244" t="inlineStr">
        <is>
          <t xml:space="preserve">20mm diameter in shear &amp; lift walls</t>
        </is>
      </c>
      <c r="I6054" s="245" t="inlineStr">
        <is>
          <t xml:space="preserve">t</t>
        </is>
      </c>
      <c r="K6054" s="256" t="inlineStr">
        <is>
          <t xml:space="preserve">'11TH FLR'!C79</t>
        </is>
      </c>
    </row>
    <row r="6055">
      <c r="C6055" s="246" t="inlineStr">
        <is>
          <t xml:space="preserve">Roof top terrace (+37300) - Shear Walls, Y20 (from reinforcement take-off / BBS)</t>
        </is>
      </c>
      <c r="H6055" s="247">
        <v>6.652</v>
      </c>
      <c r="J6055" s="253" t="inlineStr">
        <is>
          <t xml:space="preserve">6.652</t>
        </is>
      </c>
    </row>
    <row r="6056">
      <c r="C6056" s="246" t="inlineStr">
        <is>
          <t xml:space="preserve">Roof top terrace (+37300) - Lift Walls, Y20 (from reinforcement take-off / BBS)</t>
        </is>
      </c>
      <c r="H6056" s="247">
        <v>3.199</v>
      </c>
      <c r="J6056" s="253" t="inlineStr">
        <is>
          <t xml:space="preserve">3.199</t>
        </is>
      </c>
    </row>
    <row r="6057">
      <c r="C6057" s="250" t="inlineStr">
        <is>
          <t xml:space="preserve">Total carried to BOQ  11TH FLR item X</t>
        </is>
      </c>
      <c r="D6057" s="250" t="inlineStr">
        <is>
          <t xml:space="preserve"/>
        </is>
      </c>
      <c r="E6057" s="250" t="inlineStr">
        <is>
          <t xml:space="preserve"/>
        </is>
      </c>
      <c r="F6057" s="250" t="inlineStr">
        <is>
          <t xml:space="preserve"/>
        </is>
      </c>
      <c r="G6057" s="250" t="inlineStr">
        <is>
          <t xml:space="preserve"/>
        </is>
      </c>
      <c r="H6057" s="251">
        <f>SUM(H6055:H6056)</f>
        <v>9.850999999999999</v>
      </c>
      <c r="I6057" s="252" t="inlineStr">
        <is>
          <t xml:space="preserve">t</t>
        </is>
      </c>
    </row>
    <row r="6058">
      <c r="A6058" s="243" t="inlineStr">
        <is>
          <t xml:space="preserve">11TH FLR</t>
        </is>
      </c>
      <c r="B6058" s="243" t="inlineStr">
        <is>
          <t xml:space="preserve">Y</t>
        </is>
      </c>
      <c r="C6058" s="244" t="inlineStr">
        <is>
          <t xml:space="preserve">12mm diameter for suspended slab</t>
        </is>
      </c>
      <c r="I6058" s="245" t="inlineStr">
        <is>
          <t xml:space="preserve">t</t>
        </is>
      </c>
      <c r="K6058" s="256" t="inlineStr">
        <is>
          <t xml:space="preserve">'11TH FLR'!C81</t>
        </is>
      </c>
    </row>
    <row r="6059">
      <c r="C6059" s="246" t="inlineStr">
        <is>
          <t xml:space="preserve">Roof top terrace (+37300) - Floor Slabs, Y12 (from reinforcement take-off / BBS)</t>
        </is>
      </c>
      <c r="H6059" s="247">
        <v>42.841</v>
      </c>
      <c r="J6059" s="253" t="inlineStr">
        <is>
          <t xml:space="preserve">42.841</t>
        </is>
      </c>
    </row>
    <row r="6060">
      <c r="C6060" s="250" t="inlineStr">
        <is>
          <t xml:space="preserve">Total carried to BOQ  11TH FLR item Y</t>
        </is>
      </c>
      <c r="D6060" s="250" t="inlineStr">
        <is>
          <t xml:space="preserve"/>
        </is>
      </c>
      <c r="E6060" s="250" t="inlineStr">
        <is>
          <t xml:space="preserve"/>
        </is>
      </c>
      <c r="F6060" s="250" t="inlineStr">
        <is>
          <t xml:space="preserve"/>
        </is>
      </c>
      <c r="G6060" s="250" t="inlineStr">
        <is>
          <t xml:space="preserve"/>
        </is>
      </c>
      <c r="H6060" s="251">
        <f>SUM(H6059:H6059)</f>
        <v>42.841</v>
      </c>
      <c r="I6060" s="252" t="inlineStr">
        <is>
          <t xml:space="preserve">t</t>
        </is>
      </c>
    </row>
    <row r="6061">
      <c r="A6061" s="243" t="inlineStr">
        <is>
          <t xml:space="preserve">11TH FLR</t>
        </is>
      </c>
      <c r="B6061" s="243" t="inlineStr">
        <is>
          <t xml:space="preserve">Z</t>
        </is>
      </c>
      <c r="C6061" s="244" t="inlineStr">
        <is>
          <t xml:space="preserve">16mm diameter for suspended slab</t>
        </is>
      </c>
      <c r="I6061" s="245" t="inlineStr">
        <is>
          <t xml:space="preserve">t</t>
        </is>
      </c>
      <c r="K6061" s="256" t="inlineStr">
        <is>
          <t xml:space="preserve">'11TH FLR'!C83</t>
        </is>
      </c>
    </row>
    <row r="6062">
      <c r="C6062" s="246" t="inlineStr">
        <is>
          <t xml:space="preserve">Roof top terrace (+37300) - Floor Slabs, Y16 (from reinforcement take-off / BBS)</t>
        </is>
      </c>
      <c r="H6062" s="247">
        <v>0.184</v>
      </c>
      <c r="J6062" s="253" t="inlineStr">
        <is>
          <t xml:space="preserve">0.184</t>
        </is>
      </c>
    </row>
    <row r="6063">
      <c r="C6063" s="250" t="inlineStr">
        <is>
          <t xml:space="preserve">Total carried to BOQ  11TH FLR item Z</t>
        </is>
      </c>
      <c r="D6063" s="250" t="inlineStr">
        <is>
          <t xml:space="preserve"/>
        </is>
      </c>
      <c r="E6063" s="250" t="inlineStr">
        <is>
          <t xml:space="preserve"/>
        </is>
      </c>
      <c r="F6063" s="250" t="inlineStr">
        <is>
          <t xml:space="preserve"/>
        </is>
      </c>
      <c r="G6063" s="250" t="inlineStr">
        <is>
          <t xml:space="preserve"/>
        </is>
      </c>
      <c r="H6063" s="251">
        <f>SUM(H6062:H6062)</f>
        <v>0.184</v>
      </c>
      <c r="I6063" s="252" t="inlineStr">
        <is>
          <t xml:space="preserve">t</t>
        </is>
      </c>
    </row>
    <row r="6064">
      <c r="C6064" s="242" t="inlineStr">
        <is>
          <t xml:space="preserve">ELEMENT NO. 2: MASONRY</t>
        </is>
      </c>
    </row>
    <row r="6065">
      <c r="C6065" s="242" t="inlineStr">
        <is>
          <t xml:space="preserve">F10 BRICK/BLOCK WALL - Solid sandcrete blockwork in cement and sand (1:4) mortar as described in:</t>
        </is>
      </c>
    </row>
    <row r="6066">
      <c r="A6066" s="243" t="inlineStr">
        <is>
          <t xml:space="preserve">11TH FLR</t>
        </is>
      </c>
      <c r="B6066" s="243" t="inlineStr">
        <is>
          <t xml:space="preserve">A</t>
        </is>
      </c>
      <c r="C6066" s="244" t="inlineStr">
        <is>
          <t xml:space="preserve">150mm thick wall</t>
        </is>
      </c>
      <c r="I6066" s="245" t="inlineStr">
        <is>
          <t xml:space="preserve">m2</t>
        </is>
      </c>
      <c r="K6066" s="256" t="inlineStr">
        <is>
          <t xml:space="preserve">'11TH FLR'!C91</t>
        </is>
      </c>
    </row>
    <row r="6067">
      <c r="C6067" s="246" t="inlineStr">
        <is>
          <t xml:space="preserve">Roof top terrace - 150 blockwork: wall length x storey ht</t>
        </is>
      </c>
      <c r="E6067" s="247">
        <v>82.0</v>
      </c>
      <c r="F6067" s="247">
        <v>2.9</v>
      </c>
      <c r="H6067" s="249">
        <f>PRODUCT(D6067:G6067)</f>
        <v>237.79999999999998</v>
      </c>
      <c r="J6067" s="253" t="inlineStr">
        <is>
          <t xml:space="preserve">82.0*2.9</t>
        </is>
      </c>
    </row>
    <row r="6068">
      <c r="C6068" s="246" t="inlineStr">
        <is>
          <t xml:space="preserve">Walling over opening D3 (7 nr, 0.9x2.2): nr x width x (3.05 - opening ht) x thickness share</t>
        </is>
      </c>
      <c r="D6068" s="248">
        <v>7</v>
      </c>
      <c r="E6068" s="247">
        <v>0.9</v>
      </c>
      <c r="F6068" s="247">
        <f>3.05-2.2</f>
        <v>0.8499999999999996</v>
      </c>
      <c r="G6068" s="247">
        <v>0.89</v>
      </c>
      <c r="H6068" s="249">
        <f>PRODUCT(D6068:G6068)</f>
        <v>4.765949999999998</v>
      </c>
      <c r="J6068" s="253" t="inlineStr">
        <is>
          <t xml:space="preserve">7*0.9*(3.05-2.2)*0.890</t>
        </is>
      </c>
    </row>
    <row r="6069">
      <c r="C6069" s="246" t="inlineStr">
        <is>
          <t xml:space="preserve">Walling over opening D6 (8 nr, 0.75x2.2): nr x width x (3.05 - opening ht) x thickness share</t>
        </is>
      </c>
      <c r="D6069" s="248">
        <v>8</v>
      </c>
      <c r="E6069" s="247">
        <v>0.75</v>
      </c>
      <c r="F6069" s="247">
        <f>3.05-2.2</f>
        <v>0.8499999999999996</v>
      </c>
      <c r="G6069" s="247">
        <v>0.89</v>
      </c>
      <c r="H6069" s="249">
        <f>PRODUCT(D6069:G6069)</f>
        <v>4.538999999999998</v>
      </c>
      <c r="J6069" s="253" t="inlineStr">
        <is>
          <t xml:space="preserve">8*0.75*(3.05-2.2)*0.890</t>
        </is>
      </c>
    </row>
    <row r="6070">
      <c r="C6070" s="246" t="inlineStr">
        <is>
          <t xml:space="preserve">Walling over opening D7 (1 nr, 0.7x2.2): nr x width x (3.05 - opening ht) x thickness share</t>
        </is>
      </c>
      <c r="D6070" s="248">
        <v>1</v>
      </c>
      <c r="E6070" s="247">
        <v>0.7</v>
      </c>
      <c r="F6070" s="247">
        <f>3.05-2.2</f>
        <v>0.8499999999999996</v>
      </c>
      <c r="G6070" s="247">
        <v>0.89</v>
      </c>
      <c r="H6070" s="249">
        <f>PRODUCT(D6070:G6070)</f>
        <v>0.5295499999999997</v>
      </c>
      <c r="J6070" s="253" t="inlineStr">
        <is>
          <t xml:space="preserve">1*0.7*(3.05-2.2)*0.890</t>
        </is>
      </c>
    </row>
    <row r="6071">
      <c r="C6071" s="246" t="inlineStr">
        <is>
          <t xml:space="preserve">Walling over opening ED1 (2 nr, 1x2.2): nr x width x (3.05 - opening ht) x thickness share</t>
        </is>
      </c>
      <c r="D6071" s="248">
        <v>2</v>
      </c>
      <c r="E6071" s="247">
        <v>1</v>
      </c>
      <c r="F6071" s="247">
        <f>3.05-2.2</f>
        <v>0.8499999999999996</v>
      </c>
      <c r="G6071" s="247">
        <v>0.89</v>
      </c>
      <c r="H6071" s="249">
        <f>PRODUCT(D6071:G6071)</f>
        <v>1.5129999999999995</v>
      </c>
      <c r="J6071" s="253" t="inlineStr">
        <is>
          <t xml:space="preserve">2*1*(3.05-2.2)*0.890</t>
        </is>
      </c>
    </row>
    <row r="6072">
      <c r="C6072" s="246" t="inlineStr">
        <is>
          <t xml:space="preserve">Walling over opening D9 (1 nr, 0.9x2.2): nr x width x (3.05 - opening ht) x thickness share</t>
        </is>
      </c>
      <c r="D6072" s="248">
        <v>1</v>
      </c>
      <c r="E6072" s="247">
        <v>0.9</v>
      </c>
      <c r="F6072" s="247">
        <f>3.05-2.2</f>
        <v>0.8499999999999996</v>
      </c>
      <c r="G6072" s="247">
        <v>0.89</v>
      </c>
      <c r="H6072" s="249">
        <f>PRODUCT(D6072:G6072)</f>
        <v>0.6808499999999997</v>
      </c>
      <c r="J6072" s="253" t="inlineStr">
        <is>
          <t xml:space="preserve">1*0.9*(3.05-2.2)*0.890</t>
        </is>
      </c>
    </row>
    <row r="6073">
      <c r="C6073" s="246" t="inlineStr">
        <is>
          <t xml:space="preserve">Walling over opening HW1 (5 nr, 0.9x0.6): nr x width x (3.05 - opening ht) x thickness share</t>
        </is>
      </c>
      <c r="D6073" s="248">
        <v>5</v>
      </c>
      <c r="E6073" s="247">
        <v>0.9</v>
      </c>
      <c r="F6073" s="247">
        <f>3.05-0.6</f>
        <v>2.4499999999999997</v>
      </c>
      <c r="G6073" s="247">
        <v>0.89</v>
      </c>
      <c r="H6073" s="249">
        <f>PRODUCT(D6073:G6073)</f>
        <v>9.812249999999999</v>
      </c>
      <c r="J6073" s="253" t="inlineStr">
        <is>
          <t xml:space="preserve">5*0.9*(3.05-0.6)*0.890</t>
        </is>
      </c>
    </row>
    <row r="6074">
      <c r="C6074" s="246" t="inlineStr">
        <is>
          <t xml:space="preserve">Walling over opening HW2 (2 nr, 0.75x0.6): nr x width x (3.05 - opening ht) x thickness share</t>
        </is>
      </c>
      <c r="D6074" s="248">
        <v>2</v>
      </c>
      <c r="E6074" s="247">
        <v>0.75</v>
      </c>
      <c r="F6074" s="247">
        <f>3.05-0.6</f>
        <v>2.4499999999999997</v>
      </c>
      <c r="G6074" s="247">
        <v>0.89</v>
      </c>
      <c r="H6074" s="249">
        <f>PRODUCT(D6074:G6074)</f>
        <v>3.27075</v>
      </c>
      <c r="J6074" s="253" t="inlineStr">
        <is>
          <t xml:space="preserve">2*0.75*(3.05-0.6)*0.890</t>
        </is>
      </c>
    </row>
    <row r="6075">
      <c r="C6075" s="246" t="inlineStr">
        <is>
          <t xml:space="preserve">Walling over opening HW3 (1 nr, 0.6x0.6): nr x width x (3.05 - opening ht) x thickness share</t>
        </is>
      </c>
      <c r="D6075" s="248">
        <v>1</v>
      </c>
      <c r="E6075" s="247">
        <v>0.6</v>
      </c>
      <c r="F6075" s="247">
        <f>3.05-0.6</f>
        <v>2.4499999999999997</v>
      </c>
      <c r="G6075" s="247">
        <v>0.89</v>
      </c>
      <c r="H6075" s="249">
        <f>PRODUCT(D6075:G6075)</f>
        <v>1.3082999999999998</v>
      </c>
      <c r="J6075" s="253" t="inlineStr">
        <is>
          <t xml:space="preserve">1*0.6*(3.05-0.6)*0.890</t>
        </is>
      </c>
    </row>
    <row r="6076">
      <c r="C6076" s="246" t="inlineStr">
        <is>
          <t xml:space="preserve">Walling over opening HW4 (1 nr, 1.2x0.6): nr x width x (3.05 - opening ht) x thickness share</t>
        </is>
      </c>
      <c r="D6076" s="248">
        <v>1</v>
      </c>
      <c r="E6076" s="247">
        <v>1.2</v>
      </c>
      <c r="F6076" s="247">
        <f>3.05-0.6</f>
        <v>2.4499999999999997</v>
      </c>
      <c r="G6076" s="247">
        <v>0.89</v>
      </c>
      <c r="H6076" s="249">
        <f>PRODUCT(D6076:G6076)</f>
        <v>2.6165999999999996</v>
      </c>
      <c r="J6076" s="253" t="inlineStr">
        <is>
          <t xml:space="preserve">1*1.2*(3.05-0.6)*0.890</t>
        </is>
      </c>
    </row>
    <row r="6077">
      <c r="C6077" s="250" t="inlineStr">
        <is>
          <t xml:space="preserve">Total carried to BOQ  11TH FLR item A</t>
        </is>
      </c>
      <c r="D6077" s="250" t="inlineStr">
        <is>
          <t xml:space="preserve"/>
        </is>
      </c>
      <c r="E6077" s="250" t="inlineStr">
        <is>
          <t xml:space="preserve"/>
        </is>
      </c>
      <c r="F6077" s="250" t="inlineStr">
        <is>
          <t xml:space="preserve"/>
        </is>
      </c>
      <c r="G6077" s="250" t="inlineStr">
        <is>
          <t xml:space="preserve"/>
        </is>
      </c>
      <c r="H6077" s="251">
        <f>SUM(H6067:H6076)</f>
        <v>266.83624999999995</v>
      </c>
      <c r="I6077" s="252" t="inlineStr">
        <is>
          <t xml:space="preserve">m2</t>
        </is>
      </c>
    </row>
    <row r="6078">
      <c r="A6078" s="243" t="inlineStr">
        <is>
          <t xml:space="preserve">11TH FLR</t>
        </is>
      </c>
      <c r="B6078" s="243" t="inlineStr">
        <is>
          <t xml:space="preserve">B</t>
        </is>
      </c>
      <c r="C6078" s="244" t="inlineStr">
        <is>
          <t xml:space="preserve">200mm thick wall</t>
        </is>
      </c>
      <c r="I6078" s="245" t="inlineStr">
        <is>
          <t xml:space="preserve">m2</t>
        </is>
      </c>
      <c r="K6078" s="256" t="inlineStr">
        <is>
          <t xml:space="preserve">'11TH FLR'!C93</t>
        </is>
      </c>
    </row>
    <row r="6079">
      <c r="C6079" s="246" t="inlineStr">
        <is>
          <t xml:space="preserve">Roof top terrace - 200 blockwork: wall length x storey ht</t>
        </is>
      </c>
      <c r="E6079" s="247">
        <v>10.2</v>
      </c>
      <c r="F6079" s="247">
        <v>2.9</v>
      </c>
      <c r="H6079" s="249">
        <f>PRODUCT(D6079:G6079)</f>
        <v>29.58</v>
      </c>
      <c r="J6079" s="253" t="inlineStr">
        <is>
          <t xml:space="preserve">10.2*2.9</t>
        </is>
      </c>
    </row>
    <row r="6080">
      <c r="C6080" s="246" t="inlineStr">
        <is>
          <t xml:space="preserve">Walling over opening D3 (7 nr, 0.9x2.2): nr x width x (3.05 - opening ht) x thickness share</t>
        </is>
      </c>
      <c r="D6080" s="248">
        <v>7</v>
      </c>
      <c r="E6080" s="247">
        <v>0.9</v>
      </c>
      <c r="F6080" s="247">
        <f>3.05-2.2</f>
        <v>0.8499999999999996</v>
      </c>
      <c r="G6080" s="247">
        <v>0.11</v>
      </c>
      <c r="H6080" s="249">
        <f>PRODUCT(D6080:G6080)</f>
        <v>0.5890499999999997</v>
      </c>
      <c r="J6080" s="253" t="inlineStr">
        <is>
          <t xml:space="preserve">7*0.9*(3.05-2.2)*0.110</t>
        </is>
      </c>
    </row>
    <row r="6081">
      <c r="C6081" s="246" t="inlineStr">
        <is>
          <t xml:space="preserve">Walling over opening D6 (8 nr, 0.75x2.2): nr x width x (3.05 - opening ht) x thickness share</t>
        </is>
      </c>
      <c r="D6081" s="248">
        <v>8</v>
      </c>
      <c r="E6081" s="247">
        <v>0.75</v>
      </c>
      <c r="F6081" s="247">
        <f>3.05-2.2</f>
        <v>0.8499999999999996</v>
      </c>
      <c r="G6081" s="247">
        <v>0.11</v>
      </c>
      <c r="H6081" s="249">
        <f>PRODUCT(D6081:G6081)</f>
        <v>0.5609999999999997</v>
      </c>
      <c r="J6081" s="253" t="inlineStr">
        <is>
          <t xml:space="preserve">8*0.75*(3.05-2.2)*0.110</t>
        </is>
      </c>
    </row>
    <row r="6082">
      <c r="C6082" s="246" t="inlineStr">
        <is>
          <t xml:space="preserve">Walling over opening D7 (1 nr, 0.7x2.2): nr x width x (3.05 - opening ht) x thickness share</t>
        </is>
      </c>
      <c r="D6082" s="248">
        <v>1</v>
      </c>
      <c r="E6082" s="247">
        <v>0.7</v>
      </c>
      <c r="F6082" s="247">
        <f>3.05-2.2</f>
        <v>0.8499999999999996</v>
      </c>
      <c r="G6082" s="247">
        <v>0.11</v>
      </c>
      <c r="H6082" s="249">
        <f>PRODUCT(D6082:G6082)</f>
        <v>0.06544999999999997</v>
      </c>
      <c r="J6082" s="253" t="inlineStr">
        <is>
          <t xml:space="preserve">1*0.7*(3.05-2.2)*0.110</t>
        </is>
      </c>
    </row>
    <row r="6083">
      <c r="C6083" s="246" t="inlineStr">
        <is>
          <t xml:space="preserve">Walling over opening ED1 (2 nr, 1x2.2): nr x width x (3.05 - opening ht) x thickness share</t>
        </is>
      </c>
      <c r="D6083" s="248">
        <v>2</v>
      </c>
      <c r="E6083" s="247">
        <v>1</v>
      </c>
      <c r="F6083" s="247">
        <f>3.05-2.2</f>
        <v>0.8499999999999996</v>
      </c>
      <c r="G6083" s="247">
        <v>0.11</v>
      </c>
      <c r="H6083" s="249">
        <f>PRODUCT(D6083:G6083)</f>
        <v>0.18699999999999992</v>
      </c>
      <c r="J6083" s="253" t="inlineStr">
        <is>
          <t xml:space="preserve">2*1*(3.05-2.2)*0.110</t>
        </is>
      </c>
    </row>
    <row r="6084">
      <c r="C6084" s="246" t="inlineStr">
        <is>
          <t xml:space="preserve">Walling over opening D9 (1 nr, 0.9x2.2): nr x width x (3.05 - opening ht) x thickness share</t>
        </is>
      </c>
      <c r="D6084" s="248">
        <v>1</v>
      </c>
      <c r="E6084" s="247">
        <v>0.9</v>
      </c>
      <c r="F6084" s="247">
        <f>3.05-2.2</f>
        <v>0.8499999999999996</v>
      </c>
      <c r="G6084" s="247">
        <v>0.11</v>
      </c>
      <c r="H6084" s="249">
        <f>PRODUCT(D6084:G6084)</f>
        <v>0.08414999999999996</v>
      </c>
      <c r="J6084" s="253" t="inlineStr">
        <is>
          <t xml:space="preserve">1*0.9*(3.05-2.2)*0.110</t>
        </is>
      </c>
    </row>
    <row r="6085">
      <c r="C6085" s="246" t="inlineStr">
        <is>
          <t xml:space="preserve">Walling over opening HW1 (5 nr, 0.9x0.6): nr x width x (3.05 - opening ht) x thickness share</t>
        </is>
      </c>
      <c r="D6085" s="248">
        <v>5</v>
      </c>
      <c r="E6085" s="247">
        <v>0.9</v>
      </c>
      <c r="F6085" s="247">
        <f>3.05-0.6</f>
        <v>2.4499999999999997</v>
      </c>
      <c r="G6085" s="247">
        <v>0.11</v>
      </c>
      <c r="H6085" s="249">
        <f>PRODUCT(D6085:G6085)</f>
        <v>1.2127499999999998</v>
      </c>
      <c r="J6085" s="253" t="inlineStr">
        <is>
          <t xml:space="preserve">5*0.9*(3.05-0.6)*0.110</t>
        </is>
      </c>
    </row>
    <row r="6086">
      <c r="C6086" s="246" t="inlineStr">
        <is>
          <t xml:space="preserve">Walling over opening HW2 (2 nr, 0.75x0.6): nr x width x (3.05 - opening ht) x thickness share</t>
        </is>
      </c>
      <c r="D6086" s="248">
        <v>2</v>
      </c>
      <c r="E6086" s="247">
        <v>0.75</v>
      </c>
      <c r="F6086" s="247">
        <f>3.05-0.6</f>
        <v>2.4499999999999997</v>
      </c>
      <c r="G6086" s="247">
        <v>0.11</v>
      </c>
      <c r="H6086" s="249">
        <f>PRODUCT(D6086:G6086)</f>
        <v>0.40425</v>
      </c>
      <c r="J6086" s="253" t="inlineStr">
        <is>
          <t xml:space="preserve">2*0.75*(3.05-0.6)*0.110</t>
        </is>
      </c>
    </row>
    <row r="6087">
      <c r="C6087" s="246" t="inlineStr">
        <is>
          <t xml:space="preserve">Walling over opening HW3 (1 nr, 0.6x0.6): nr x width x (3.05 - opening ht) x thickness share</t>
        </is>
      </c>
      <c r="D6087" s="248">
        <v>1</v>
      </c>
      <c r="E6087" s="247">
        <v>0.6</v>
      </c>
      <c r="F6087" s="247">
        <f>3.05-0.6</f>
        <v>2.4499999999999997</v>
      </c>
      <c r="G6087" s="247">
        <v>0.11</v>
      </c>
      <c r="H6087" s="249">
        <f>PRODUCT(D6087:G6087)</f>
        <v>0.16169999999999998</v>
      </c>
      <c r="J6087" s="253" t="inlineStr">
        <is>
          <t xml:space="preserve">1*0.6*(3.05-0.6)*0.110</t>
        </is>
      </c>
    </row>
    <row r="6088">
      <c r="C6088" s="246" t="inlineStr">
        <is>
          <t xml:space="preserve">Walling over opening HW4 (1 nr, 1.2x0.6): nr x width x (3.05 - opening ht) x thickness share</t>
        </is>
      </c>
      <c r="D6088" s="248">
        <v>1</v>
      </c>
      <c r="E6088" s="247">
        <v>1.2</v>
      </c>
      <c r="F6088" s="247">
        <f>3.05-0.6</f>
        <v>2.4499999999999997</v>
      </c>
      <c r="G6088" s="247">
        <v>0.11</v>
      </c>
      <c r="H6088" s="249">
        <f>PRODUCT(D6088:G6088)</f>
        <v>0.32339999999999997</v>
      </c>
      <c r="J6088" s="253" t="inlineStr">
        <is>
          <t xml:space="preserve">1*1.2*(3.05-0.6)*0.110</t>
        </is>
      </c>
    </row>
    <row r="6089">
      <c r="C6089" s="250" t="inlineStr">
        <is>
          <t xml:space="preserve">Total carried to BOQ  11TH FLR item B</t>
        </is>
      </c>
      <c r="D6089" s="250" t="inlineStr">
        <is>
          <t xml:space="preserve"/>
        </is>
      </c>
      <c r="E6089" s="250" t="inlineStr">
        <is>
          <t xml:space="preserve"/>
        </is>
      </c>
      <c r="F6089" s="250" t="inlineStr">
        <is>
          <t xml:space="preserve"/>
        </is>
      </c>
      <c r="G6089" s="250" t="inlineStr">
        <is>
          <t xml:space="preserve"/>
        </is>
      </c>
      <c r="H6089" s="251">
        <f>SUM(H6079:H6088)</f>
        <v>33.168749999999996</v>
      </c>
      <c r="I6089" s="252" t="inlineStr">
        <is>
          <t xml:space="preserve">m2</t>
        </is>
      </c>
    </row>
    <row r="6090">
      <c r="C6090" s="242" t="inlineStr">
        <is>
          <t xml:space="preserve">ELEMENT NO. 3: WATERPROOFING</t>
        </is>
      </c>
    </row>
    <row r="6091">
      <c r="C6091" s="242" t="inlineStr">
        <is>
          <t xml:space="preserve">WATERPROOFING</t>
        </is>
      </c>
    </row>
    <row r="6092">
      <c r="A6092" s="243" t="inlineStr">
        <is>
          <t xml:space="preserve">11TH FLR</t>
        </is>
      </c>
      <c r="B6092" s="243" t="inlineStr">
        <is>
          <t xml:space="preserve">A</t>
        </is>
      </c>
      <c r="C6092" s="244" t="inlineStr">
        <is>
          <t xml:space="preserve">Liquid/applied waterproofing to roofs, terraces and wet external areas</t>
        </is>
      </c>
      <c r="I6092" s="245" t="inlineStr">
        <is>
          <t xml:space="preserve">m2</t>
        </is>
      </c>
      <c r="K6092" s="256" t="inlineStr">
        <is>
          <t xml:space="preserve">'11TH FLR'!C101</t>
        </is>
      </c>
    </row>
    <row r="6093">
      <c r="C6093" s="246" t="inlineStr">
        <is>
          <t xml:space="preserve">Waterproofing screed area</t>
        </is>
      </c>
      <c r="H6093" s="247">
        <v>412.1</v>
      </c>
      <c r="J6093" s="253" t="inlineStr">
        <is>
          <t xml:space="preserve">412.1</t>
        </is>
      </c>
    </row>
    <row r="6094">
      <c r="C6094" s="250" t="inlineStr">
        <is>
          <t xml:space="preserve">Total carried to BOQ  11TH FLR item A</t>
        </is>
      </c>
      <c r="D6094" s="250" t="inlineStr">
        <is>
          <t xml:space="preserve"/>
        </is>
      </c>
      <c r="E6094" s="250" t="inlineStr">
        <is>
          <t xml:space="preserve"/>
        </is>
      </c>
      <c r="F6094" s="250" t="inlineStr">
        <is>
          <t xml:space="preserve"/>
        </is>
      </c>
      <c r="G6094" s="250" t="inlineStr">
        <is>
          <t xml:space="preserve"/>
        </is>
      </c>
      <c r="H6094" s="251">
        <f>SUM(H6093:H6093)</f>
        <v>412.1</v>
      </c>
      <c r="I6094" s="252" t="inlineStr">
        <is>
          <t xml:space="preserve">m2</t>
        </is>
      </c>
    </row>
    <row r="6095">
      <c r="A6095" s="243" t="inlineStr">
        <is>
          <t xml:space="preserve">11TH FLR</t>
        </is>
      </c>
      <c r="B6095" s="243" t="inlineStr">
        <is>
          <t xml:space="preserve">B</t>
        </is>
      </c>
      <c r="C6095" s="244" t="inlineStr">
        <is>
          <t xml:space="preserve">Protective cement-sand screed over waterproofing</t>
        </is>
      </c>
      <c r="I6095" s="245" t="inlineStr">
        <is>
          <t xml:space="preserve">m2</t>
        </is>
      </c>
      <c r="K6095" s="256" t="inlineStr">
        <is>
          <t xml:space="preserve">'11TH FLR'!C103</t>
        </is>
      </c>
    </row>
    <row r="6096">
      <c r="C6096" s="246" t="inlineStr">
        <is>
          <t xml:space="preserve">Waterproofing screed area</t>
        </is>
      </c>
      <c r="H6096" s="247">
        <v>412.1</v>
      </c>
      <c r="J6096" s="253" t="inlineStr">
        <is>
          <t xml:space="preserve">412.1</t>
        </is>
      </c>
    </row>
    <row r="6097">
      <c r="C6097" s="250" t="inlineStr">
        <is>
          <t xml:space="preserve">Total carried to BOQ  11TH FLR item B</t>
        </is>
      </c>
      <c r="D6097" s="250" t="inlineStr">
        <is>
          <t xml:space="preserve"/>
        </is>
      </c>
      <c r="E6097" s="250" t="inlineStr">
        <is>
          <t xml:space="preserve"/>
        </is>
      </c>
      <c r="F6097" s="250" t="inlineStr">
        <is>
          <t xml:space="preserve"/>
        </is>
      </c>
      <c r="G6097" s="250" t="inlineStr">
        <is>
          <t xml:space="preserve"/>
        </is>
      </c>
      <c r="H6097" s="251">
        <f>SUM(H6096:H6096)</f>
        <v>412.1</v>
      </c>
      <c r="I6097" s="252" t="inlineStr">
        <is>
          <t xml:space="preserve">m2</t>
        </is>
      </c>
    </row>
    <row r="6098">
      <c r="A6098" s="243" t="inlineStr">
        <is>
          <t xml:space="preserve">11TH FLR</t>
        </is>
      </c>
      <c r="B6098" s="243" t="inlineStr">
        <is>
          <t xml:space="preserve">C</t>
        </is>
      </c>
      <c r="C6098" s="244" t="inlineStr">
        <is>
          <t xml:space="preserve">Metal/aluminium flashings, upstands and counterflashings</t>
        </is>
      </c>
      <c r="I6098" s="245" t="inlineStr">
        <is>
          <t xml:space="preserve">m</t>
        </is>
      </c>
      <c r="K6098" s="256" t="inlineStr">
        <is>
          <t xml:space="preserve">'11TH FLR'!C105</t>
        </is>
      </c>
    </row>
    <row r="6099">
      <c r="C6099" s="246" t="inlineStr">
        <is>
          <t xml:space="preserve">Gutter length</t>
        </is>
      </c>
      <c r="H6099" s="247">
        <v>182.5</v>
      </c>
      <c r="J6099" s="253" t="inlineStr">
        <is>
          <t xml:space="preserve">182.5</t>
        </is>
      </c>
    </row>
    <row r="6100">
      <c r="C6100" s="250" t="inlineStr">
        <is>
          <t xml:space="preserve">Total carried to BOQ  11TH FLR item C</t>
        </is>
      </c>
      <c r="D6100" s="250" t="inlineStr">
        <is>
          <t xml:space="preserve"/>
        </is>
      </c>
      <c r="E6100" s="250" t="inlineStr">
        <is>
          <t xml:space="preserve"/>
        </is>
      </c>
      <c r="F6100" s="250" t="inlineStr">
        <is>
          <t xml:space="preserve"/>
        </is>
      </c>
      <c r="G6100" s="250" t="inlineStr">
        <is>
          <t xml:space="preserve"/>
        </is>
      </c>
      <c r="H6100" s="251">
        <f>SUM(H6099:H6099)</f>
        <v>182.5</v>
      </c>
      <c r="I6100" s="252" t="inlineStr">
        <is>
          <t xml:space="preserve">m</t>
        </is>
      </c>
    </row>
    <row r="6101">
      <c r="A6101" s="243" t="inlineStr">
        <is>
          <t xml:space="preserve">11TH FLR</t>
        </is>
      </c>
      <c r="B6101" s="243" t="inlineStr">
        <is>
          <t xml:space="preserve">D</t>
        </is>
      </c>
      <c r="C6101" s="244" t="inlineStr">
        <is>
          <t xml:space="preserve">Roof/terrace gutters and concealed drainage channels</t>
        </is>
      </c>
      <c r="I6101" s="245" t="inlineStr">
        <is>
          <t xml:space="preserve">m</t>
        </is>
      </c>
      <c r="K6101" s="256" t="inlineStr">
        <is>
          <t xml:space="preserve">'11TH FLR'!C107</t>
        </is>
      </c>
    </row>
    <row r="6102">
      <c r="C6102" s="246" t="inlineStr">
        <is>
          <t xml:space="preserve">Gutter length</t>
        </is>
      </c>
      <c r="H6102" s="247">
        <v>182.5</v>
      </c>
      <c r="J6102" s="253" t="inlineStr">
        <is>
          <t xml:space="preserve">182.5</t>
        </is>
      </c>
    </row>
    <row r="6103">
      <c r="C6103" s="250" t="inlineStr">
        <is>
          <t xml:space="preserve">Total carried to BOQ  11TH FLR item D</t>
        </is>
      </c>
      <c r="D6103" s="250" t="inlineStr">
        <is>
          <t xml:space="preserve"/>
        </is>
      </c>
      <c r="E6103" s="250" t="inlineStr">
        <is>
          <t xml:space="preserve"/>
        </is>
      </c>
      <c r="F6103" s="250" t="inlineStr">
        <is>
          <t xml:space="preserve"/>
        </is>
      </c>
      <c r="G6103" s="250" t="inlineStr">
        <is>
          <t xml:space="preserve"/>
        </is>
      </c>
      <c r="H6103" s="251">
        <f>SUM(H6102:H6102)</f>
        <v>182.5</v>
      </c>
      <c r="I6103" s="252" t="inlineStr">
        <is>
          <t xml:space="preserve">m</t>
        </is>
      </c>
    </row>
    <row r="6104">
      <c r="C6104" s="242" t="inlineStr">
        <is>
          <t xml:space="preserve">ELEMENT NO. 4: WINDOWS/DOORS</t>
        </is>
      </c>
    </row>
    <row r="6105">
      <c r="C6105" s="242" t="inlineStr">
        <is>
          <t xml:space="preserve">L20 DOORS - Supply and fix the following door assemblies complete with frames, ironmongery sets to steel doors and all accessories:</t>
        </is>
      </c>
    </row>
    <row r="6106">
      <c r="A6106" s="243" t="inlineStr">
        <is>
          <t xml:space="preserve">11TH FLR</t>
        </is>
      </c>
      <c r="B6106" s="243" t="inlineStr">
        <is>
          <t xml:space="preserve">A</t>
        </is>
      </c>
      <c r="C6106" s="244" t="inlineStr">
        <is>
          <t xml:space="preserve">900mm x 2200mm single leaf timber panel door (D3)</t>
        </is>
      </c>
      <c r="I6106" s="245" t="inlineStr">
        <is>
          <t xml:space="preserve">nr</t>
        </is>
      </c>
      <c r="K6106" s="256" t="inlineStr">
        <is>
          <t xml:space="preserve">'11TH FLR'!C116</t>
        </is>
      </c>
    </row>
    <row r="6107">
      <c r="C6107" s="246" t="inlineStr">
        <is>
          <t xml:space="preserve">Roof top terrace - D3/D4 doors</t>
        </is>
      </c>
      <c r="H6107" s="247">
        <v>7</v>
      </c>
      <c r="J6107" s="253" t="inlineStr">
        <is>
          <t xml:space="preserve">7</t>
        </is>
      </c>
    </row>
    <row r="6108">
      <c r="C6108" s="250" t="inlineStr">
        <is>
          <t xml:space="preserve">Total carried to BOQ  11TH FLR item A</t>
        </is>
      </c>
      <c r="D6108" s="250" t="inlineStr">
        <is>
          <t xml:space="preserve"/>
        </is>
      </c>
      <c r="E6108" s="250" t="inlineStr">
        <is>
          <t xml:space="preserve"/>
        </is>
      </c>
      <c r="F6108" s="250" t="inlineStr">
        <is>
          <t xml:space="preserve"/>
        </is>
      </c>
      <c r="G6108" s="250" t="inlineStr">
        <is>
          <t xml:space="preserve"/>
        </is>
      </c>
      <c r="H6108" s="251">
        <f>SUM(H6107:H6107)</f>
        <v>7</v>
      </c>
      <c r="I6108" s="252" t="inlineStr">
        <is>
          <t xml:space="preserve">nr</t>
        </is>
      </c>
    </row>
    <row r="6109">
      <c r="A6109" s="243" t="inlineStr">
        <is>
          <t xml:space="preserve">11TH FLR</t>
        </is>
      </c>
      <c r="B6109" s="243" t="inlineStr">
        <is>
          <t xml:space="preserve">B</t>
        </is>
      </c>
      <c r="C6109" s="244" t="inlineStr">
        <is>
          <t xml:space="preserve">750mm x 2200mm single leaf timber flush door (D6)</t>
        </is>
      </c>
      <c r="I6109" s="245" t="inlineStr">
        <is>
          <t xml:space="preserve">nr</t>
        </is>
      </c>
      <c r="K6109" s="256" t="inlineStr">
        <is>
          <t xml:space="preserve">'11TH FLR'!C118</t>
        </is>
      </c>
    </row>
    <row r="6110">
      <c r="C6110" s="246" t="inlineStr">
        <is>
          <t xml:space="preserve">Roof top terrace - D6 doors</t>
        </is>
      </c>
      <c r="H6110" s="247">
        <v>8</v>
      </c>
      <c r="J6110" s="253" t="inlineStr">
        <is>
          <t xml:space="preserve">8</t>
        </is>
      </c>
    </row>
    <row r="6111">
      <c r="C6111" s="250" t="inlineStr">
        <is>
          <t xml:space="preserve">Total carried to BOQ  11TH FLR item B</t>
        </is>
      </c>
      <c r="D6111" s="250" t="inlineStr">
        <is>
          <t xml:space="preserve"/>
        </is>
      </c>
      <c r="E6111" s="250" t="inlineStr">
        <is>
          <t xml:space="preserve"/>
        </is>
      </c>
      <c r="F6111" s="250" t="inlineStr">
        <is>
          <t xml:space="preserve"/>
        </is>
      </c>
      <c r="G6111" s="250" t="inlineStr">
        <is>
          <t xml:space="preserve"/>
        </is>
      </c>
      <c r="H6111" s="251">
        <f>SUM(H6110:H6110)</f>
        <v>8</v>
      </c>
      <c r="I6111" s="252" t="inlineStr">
        <is>
          <t xml:space="preserve">nr</t>
        </is>
      </c>
    </row>
    <row r="6112">
      <c r="A6112" s="243" t="inlineStr">
        <is>
          <t xml:space="preserve">11TH FLR</t>
        </is>
      </c>
      <c r="B6112" s="243" t="inlineStr">
        <is>
          <t xml:space="preserve">C</t>
        </is>
      </c>
      <c r="C6112" s="244" t="inlineStr">
        <is>
          <t xml:space="preserve">700mm x 2200mm single-leaf 2-hour fire-rated galvanised steel door (D7)</t>
        </is>
      </c>
      <c r="I6112" s="245" t="inlineStr">
        <is>
          <t xml:space="preserve">nr</t>
        </is>
      </c>
      <c r="K6112" s="256" t="inlineStr">
        <is>
          <t xml:space="preserve">'11TH FLR'!C120</t>
        </is>
      </c>
    </row>
    <row r="6113">
      <c r="C6113" s="246" t="inlineStr">
        <is>
          <t xml:space="preserve">Roof top terrace - HW4</t>
        </is>
      </c>
      <c r="H6113" s="247">
        <v>1</v>
      </c>
      <c r="J6113" s="253" t="inlineStr">
        <is>
          <t xml:space="preserve">1</t>
        </is>
      </c>
    </row>
    <row r="6114">
      <c r="C6114" s="250" t="inlineStr">
        <is>
          <t xml:space="preserve">Total carried to BOQ  11TH FLR item C</t>
        </is>
      </c>
      <c r="D6114" s="250" t="inlineStr">
        <is>
          <t xml:space="preserve"/>
        </is>
      </c>
      <c r="E6114" s="250" t="inlineStr">
        <is>
          <t xml:space="preserve"/>
        </is>
      </c>
      <c r="F6114" s="250" t="inlineStr">
        <is>
          <t xml:space="preserve"/>
        </is>
      </c>
      <c r="G6114" s="250" t="inlineStr">
        <is>
          <t xml:space="preserve"/>
        </is>
      </c>
      <c r="H6114" s="251">
        <f>SUM(H6113:H6113)</f>
        <v>1</v>
      </c>
      <c r="I6114" s="252" t="inlineStr">
        <is>
          <t xml:space="preserve">nr</t>
        </is>
      </c>
    </row>
    <row r="6115" ht="32.2" customHeight="1">
      <c r="A6115" s="243" t="inlineStr">
        <is>
          <t xml:space="preserve">11TH FLR</t>
        </is>
      </c>
      <c r="B6115" s="243" t="inlineStr">
        <is>
          <t xml:space="preserve">D</t>
        </is>
      </c>
      <c r="C6115" s="244" t="inlineStr">
        <is>
          <t xml:space="preserve">1000mm x 2200mm 1-hour fire-rated galvanised steel single-leaf security door assembly - emergency stairs (ED1)</t>
        </is>
      </c>
      <c r="I6115" s="245" t="inlineStr">
        <is>
          <t xml:space="preserve">nr</t>
        </is>
      </c>
      <c r="K6115" s="256" t="inlineStr">
        <is>
          <t xml:space="preserve">'11TH FLR'!C122</t>
        </is>
      </c>
    </row>
    <row r="6116">
      <c r="C6116" s="246" t="inlineStr">
        <is>
          <t xml:space="preserve">Roof top terrace - HW2</t>
        </is>
      </c>
      <c r="H6116" s="247">
        <v>2</v>
      </c>
      <c r="J6116" s="253" t="inlineStr">
        <is>
          <t xml:space="preserve">2</t>
        </is>
      </c>
    </row>
    <row r="6117">
      <c r="C6117" s="250" t="inlineStr">
        <is>
          <t xml:space="preserve">Total carried to BOQ  11TH FLR item D</t>
        </is>
      </c>
      <c r="D6117" s="250" t="inlineStr">
        <is>
          <t xml:space="preserve"/>
        </is>
      </c>
      <c r="E6117" s="250" t="inlineStr">
        <is>
          <t xml:space="preserve"/>
        </is>
      </c>
      <c r="F6117" s="250" t="inlineStr">
        <is>
          <t xml:space="preserve"/>
        </is>
      </c>
      <c r="G6117" s="250" t="inlineStr">
        <is>
          <t xml:space="preserve"/>
        </is>
      </c>
      <c r="H6117" s="251">
        <f>SUM(H6116:H6116)</f>
        <v>2</v>
      </c>
      <c r="I6117" s="252" t="inlineStr">
        <is>
          <t xml:space="preserve">nr</t>
        </is>
      </c>
    </row>
    <row r="6118" ht="32.2" customHeight="1">
      <c r="A6118" s="243" t="inlineStr">
        <is>
          <t xml:space="preserve">11TH FLR</t>
        </is>
      </c>
      <c r="B6118" s="243" t="inlineStr">
        <is>
          <t xml:space="preserve">E</t>
        </is>
      </c>
      <c r="C6118" s="244" t="inlineStr">
        <is>
          <t xml:space="preserve">900mm x 2200mm 1-hour fire-rated galvanised steel single-leaf security door assembly (D9)</t>
        </is>
      </c>
      <c r="I6118" s="245" t="inlineStr">
        <is>
          <t xml:space="preserve">nr</t>
        </is>
      </c>
      <c r="K6118" s="256" t="inlineStr">
        <is>
          <t xml:space="preserve">'11TH FLR'!C124</t>
        </is>
      </c>
    </row>
    <row r="6119">
      <c r="C6119" s="246" t="inlineStr">
        <is>
          <t xml:space="preserve">Roof top terrace - HW4</t>
        </is>
      </c>
      <c r="H6119" s="247">
        <v>1</v>
      </c>
      <c r="J6119" s="253" t="inlineStr">
        <is>
          <t xml:space="preserve">1</t>
        </is>
      </c>
    </row>
    <row r="6120">
      <c r="C6120" s="250" t="inlineStr">
        <is>
          <t xml:space="preserve">Total carried to BOQ  11TH FLR item E</t>
        </is>
      </c>
      <c r="D6120" s="250" t="inlineStr">
        <is>
          <t xml:space="preserve"/>
        </is>
      </c>
      <c r="E6120" s="250" t="inlineStr">
        <is>
          <t xml:space="preserve"/>
        </is>
      </c>
      <c r="F6120" s="250" t="inlineStr">
        <is>
          <t xml:space="preserve"/>
        </is>
      </c>
      <c r="G6120" s="250" t="inlineStr">
        <is>
          <t xml:space="preserve"/>
        </is>
      </c>
      <c r="H6120" s="251">
        <f>SUM(H6119:H6119)</f>
        <v>1</v>
      </c>
      <c r="I6120" s="252" t="inlineStr">
        <is>
          <t xml:space="preserve">nr</t>
        </is>
      </c>
    </row>
    <row r="6121">
      <c r="A6121" s="243" t="inlineStr">
        <is>
          <t xml:space="preserve">11TH FLR</t>
        </is>
      </c>
      <c r="B6121" s="243" t="inlineStr">
        <is>
          <t xml:space="preserve">F</t>
        </is>
      </c>
      <c r="C6121" s="244" t="inlineStr">
        <is>
          <t xml:space="preserve">50mm x 150mm frames (to timber doors)</t>
        </is>
      </c>
      <c r="I6121" s="245" t="inlineStr">
        <is>
          <t xml:space="preserve">m</t>
        </is>
      </c>
      <c r="K6121" s="256" t="inlineStr">
        <is>
          <t xml:space="preserve">'11TH FLR'!C126</t>
        </is>
      </c>
    </row>
    <row r="6122">
      <c r="C6122" s="246" t="inlineStr">
        <is>
          <t xml:space="preserve">Door : nr x (2 x ht + width)</t>
        </is>
      </c>
      <c r="D6122" s="248">
        <v>7</v>
      </c>
      <c r="E6122" s="247">
        <f>2*2.2+0.9</f>
        <v>5.300000000000001</v>
      </c>
      <c r="H6122" s="249">
        <f>PRODUCT(D6122:G6122)</f>
        <v>37.10000000000001</v>
      </c>
      <c r="J6122" s="253" t="inlineStr">
        <is>
          <t xml:space="preserve">7*(2*2.2+0.9)</t>
        </is>
      </c>
    </row>
    <row r="6123">
      <c r="C6123" s="246" t="inlineStr">
        <is>
          <t xml:space="preserve">Door : nr x (2 x ht + width)</t>
        </is>
      </c>
      <c r="D6123" s="248">
        <v>8</v>
      </c>
      <c r="E6123" s="247">
        <f>2*2.2+0.75</f>
        <v>5.15</v>
      </c>
      <c r="H6123" s="249">
        <f>PRODUCT(D6123:G6123)</f>
        <v>41.2</v>
      </c>
      <c r="J6123" s="253" t="inlineStr">
        <is>
          <t xml:space="preserve">8*(2*2.2+0.75)</t>
        </is>
      </c>
    </row>
    <row r="6124">
      <c r="C6124" s="250" t="inlineStr">
        <is>
          <t xml:space="preserve">Total carried to BOQ  11TH FLR item F</t>
        </is>
      </c>
      <c r="D6124" s="250" t="inlineStr">
        <is>
          <t xml:space="preserve"/>
        </is>
      </c>
      <c r="E6124" s="250" t="inlineStr">
        <is>
          <t xml:space="preserve"/>
        </is>
      </c>
      <c r="F6124" s="250" t="inlineStr">
        <is>
          <t xml:space="preserve"/>
        </is>
      </c>
      <c r="G6124" s="250" t="inlineStr">
        <is>
          <t xml:space="preserve"/>
        </is>
      </c>
      <c r="H6124" s="251">
        <f>SUM(H6122:H6123)</f>
        <v>78.30000000000001</v>
      </c>
      <c r="I6124" s="252" t="inlineStr">
        <is>
          <t xml:space="preserve">m</t>
        </is>
      </c>
    </row>
    <row r="6125">
      <c r="A6125" s="243" t="inlineStr">
        <is>
          <t xml:space="preserve">11TH FLR</t>
        </is>
      </c>
      <c r="B6125" s="243" t="inlineStr">
        <is>
          <t xml:space="preserve">G</t>
        </is>
      </c>
      <c r="C6125" s="244" t="inlineStr">
        <is>
          <t xml:space="preserve">50mm x 12mm door stop</t>
        </is>
      </c>
      <c r="I6125" s="245" t="inlineStr">
        <is>
          <t xml:space="preserve">m</t>
        </is>
      </c>
      <c r="K6125" s="256" t="inlineStr">
        <is>
          <t xml:space="preserve">'11TH FLR'!C128</t>
        </is>
      </c>
    </row>
    <row r="6126">
      <c r="C6126" s="246" t="inlineStr">
        <is>
          <t xml:space="preserve">Door : nr x (2 x ht + width)</t>
        </is>
      </c>
      <c r="D6126" s="248">
        <v>7</v>
      </c>
      <c r="E6126" s="247">
        <f>2*2.2+0.9</f>
        <v>5.300000000000001</v>
      </c>
      <c r="H6126" s="249">
        <f>PRODUCT(D6126:G6126)</f>
        <v>37.10000000000001</v>
      </c>
      <c r="J6126" s="253" t="inlineStr">
        <is>
          <t xml:space="preserve">7*(2*2.2+0.9)</t>
        </is>
      </c>
    </row>
    <row r="6127">
      <c r="C6127" s="246" t="inlineStr">
        <is>
          <t xml:space="preserve">Door : nr x (2 x ht + width)</t>
        </is>
      </c>
      <c r="D6127" s="248">
        <v>8</v>
      </c>
      <c r="E6127" s="247">
        <f>2*2.2+0.75</f>
        <v>5.15</v>
      </c>
      <c r="H6127" s="249">
        <f>PRODUCT(D6127:G6127)</f>
        <v>41.2</v>
      </c>
      <c r="J6127" s="253" t="inlineStr">
        <is>
          <t xml:space="preserve">8*(2*2.2+0.75)</t>
        </is>
      </c>
    </row>
    <row r="6128">
      <c r="C6128" s="250" t="inlineStr">
        <is>
          <t xml:space="preserve">Total carried to BOQ  11TH FLR item G</t>
        </is>
      </c>
      <c r="D6128" s="250" t="inlineStr">
        <is>
          <t xml:space="preserve"/>
        </is>
      </c>
      <c r="E6128" s="250" t="inlineStr">
        <is>
          <t xml:space="preserve"/>
        </is>
      </c>
      <c r="F6128" s="250" t="inlineStr">
        <is>
          <t xml:space="preserve"/>
        </is>
      </c>
      <c r="G6128" s="250" t="inlineStr">
        <is>
          <t xml:space="preserve"/>
        </is>
      </c>
      <c r="H6128" s="251">
        <f>SUM(H6126:H6127)</f>
        <v>78.30000000000001</v>
      </c>
      <c r="I6128" s="252" t="inlineStr">
        <is>
          <t xml:space="preserve">m</t>
        </is>
      </c>
    </row>
    <row r="6129">
      <c r="C6129" s="242" t="inlineStr">
        <is>
          <t xml:space="preserve">Ironmongery - Supply and fix the following approved ironmongery to hardwood with accompanying patented screws:</t>
        </is>
      </c>
    </row>
    <row r="6130">
      <c r="A6130" s="243" t="inlineStr">
        <is>
          <t xml:space="preserve">11TH FLR</t>
        </is>
      </c>
      <c r="B6130" s="243" t="inlineStr">
        <is>
          <t xml:space="preserve">H</t>
        </is>
      </c>
      <c r="C6130" s="244" t="inlineStr">
        <is>
          <t xml:space="preserve">Pair 100mm brass butt hinges</t>
        </is>
      </c>
      <c r="I6130" s="245" t="inlineStr">
        <is>
          <t xml:space="preserve">pr</t>
        </is>
      </c>
      <c r="K6130" s="256" t="inlineStr">
        <is>
          <t xml:space="preserve">'11TH FLR'!C131</t>
        </is>
      </c>
    </row>
    <row r="6131">
      <c r="C6131" s="246" t="inlineStr">
        <is>
          <t xml:space="preserve">Roof top terrace - Timber door leaves x 1.5 pairs</t>
        </is>
      </c>
      <c r="H6131" s="247">
        <v>23</v>
      </c>
      <c r="J6131" s="253" t="inlineStr">
        <is>
          <t xml:space="preserve">23</t>
        </is>
      </c>
    </row>
    <row r="6132">
      <c r="C6132" s="250" t="inlineStr">
        <is>
          <t xml:space="preserve">Total carried to BOQ  11TH FLR item H</t>
        </is>
      </c>
      <c r="D6132" s="250" t="inlineStr">
        <is>
          <t xml:space="preserve"/>
        </is>
      </c>
      <c r="E6132" s="250" t="inlineStr">
        <is>
          <t xml:space="preserve"/>
        </is>
      </c>
      <c r="F6132" s="250" t="inlineStr">
        <is>
          <t xml:space="preserve"/>
        </is>
      </c>
      <c r="G6132" s="250" t="inlineStr">
        <is>
          <t xml:space="preserve"/>
        </is>
      </c>
      <c r="H6132" s="251">
        <f>SUM(H6131:H6131)</f>
        <v>23</v>
      </c>
      <c r="I6132" s="252" t="inlineStr">
        <is>
          <t xml:space="preserve">pr</t>
        </is>
      </c>
    </row>
    <row r="6133">
      <c r="A6133" s="243" t="inlineStr">
        <is>
          <t xml:space="preserve">11TH FLR</t>
        </is>
      </c>
      <c r="B6133" s="243" t="inlineStr">
        <is>
          <t xml:space="preserve">J</t>
        </is>
      </c>
      <c r="C6133" s="244" t="inlineStr">
        <is>
          <t xml:space="preserve">Ordinary locks</t>
        </is>
      </c>
      <c r="I6133" s="245" t="inlineStr">
        <is>
          <t xml:space="preserve">nr</t>
        </is>
      </c>
      <c r="K6133" s="256" t="inlineStr">
        <is>
          <t xml:space="preserve">'11TH FLR'!C133</t>
        </is>
      </c>
    </row>
    <row r="6134">
      <c r="C6134" s="246" t="inlineStr">
        <is>
          <t xml:space="preserve">Roof top terrace - D3/D4 doors</t>
        </is>
      </c>
      <c r="H6134" s="247">
        <v>7</v>
      </c>
      <c r="J6134" s="253" t="inlineStr">
        <is>
          <t xml:space="preserve">7</t>
        </is>
      </c>
    </row>
    <row r="6135">
      <c r="C6135" s="250" t="inlineStr">
        <is>
          <t xml:space="preserve">Total carried to BOQ  11TH FLR item J</t>
        </is>
      </c>
      <c r="D6135" s="250" t="inlineStr">
        <is>
          <t xml:space="preserve"/>
        </is>
      </c>
      <c r="E6135" s="250" t="inlineStr">
        <is>
          <t xml:space="preserve"/>
        </is>
      </c>
      <c r="F6135" s="250" t="inlineStr">
        <is>
          <t xml:space="preserve"/>
        </is>
      </c>
      <c r="G6135" s="250" t="inlineStr">
        <is>
          <t xml:space="preserve"/>
        </is>
      </c>
      <c r="H6135" s="251">
        <f>SUM(H6134:H6134)</f>
        <v>7</v>
      </c>
      <c r="I6135" s="252" t="inlineStr">
        <is>
          <t xml:space="preserve">nr</t>
        </is>
      </c>
    </row>
    <row r="6136">
      <c r="A6136" s="243" t="inlineStr">
        <is>
          <t xml:space="preserve">11TH FLR</t>
        </is>
      </c>
      <c r="B6136" s="243" t="inlineStr">
        <is>
          <t xml:space="preserve">K</t>
        </is>
      </c>
      <c r="C6136" s="244" t="inlineStr">
        <is>
          <t xml:space="preserve">Approved high quality mortice indicator lock</t>
        </is>
      </c>
      <c r="I6136" s="245" t="inlineStr">
        <is>
          <t xml:space="preserve">nr</t>
        </is>
      </c>
      <c r="K6136" s="256" t="inlineStr">
        <is>
          <t xml:space="preserve">'11TH FLR'!C135</t>
        </is>
      </c>
    </row>
    <row r="6137">
      <c r="C6137" s="246" t="inlineStr">
        <is>
          <t xml:space="preserve">Roof top terrace - D6 doors</t>
        </is>
      </c>
      <c r="H6137" s="247">
        <v>8</v>
      </c>
      <c r="J6137" s="253" t="inlineStr">
        <is>
          <t xml:space="preserve">8</t>
        </is>
      </c>
    </row>
    <row r="6138">
      <c r="C6138" s="250" t="inlineStr">
        <is>
          <t xml:space="preserve">Total carried to BOQ  11TH FLR item K</t>
        </is>
      </c>
      <c r="D6138" s="250" t="inlineStr">
        <is>
          <t xml:space="preserve"/>
        </is>
      </c>
      <c r="E6138" s="250" t="inlineStr">
        <is>
          <t xml:space="preserve"/>
        </is>
      </c>
      <c r="F6138" s="250" t="inlineStr">
        <is>
          <t xml:space="preserve"/>
        </is>
      </c>
      <c r="G6138" s="250" t="inlineStr">
        <is>
          <t xml:space="preserve"/>
        </is>
      </c>
      <c r="H6138" s="251">
        <f>SUM(H6137:H6137)</f>
        <v>8</v>
      </c>
      <c r="I6138" s="252" t="inlineStr">
        <is>
          <t xml:space="preserve">nr</t>
        </is>
      </c>
    </row>
    <row r="6139">
      <c r="C6139" s="242" t="inlineStr">
        <is>
          <t xml:space="preserve">ALUMINIUM GLAZED WINDOWS - Supply and install Italian extruded aluminium glazed windows, ALCOA R50 series, powder coated aluminium profile, glazed with 6mm tinted reflective glass secured onto galvanized steel sub-frames, complete with all accessories as per Architect's detail:</t>
        </is>
      </c>
    </row>
    <row r="6140">
      <c r="A6140" s="243" t="inlineStr">
        <is>
          <t xml:space="preserve">11TH FLR</t>
        </is>
      </c>
      <c r="B6140" s="243" t="inlineStr">
        <is>
          <t xml:space="preserve">L</t>
        </is>
      </c>
      <c r="C6140" s="244" t="inlineStr">
        <is>
          <t xml:space="preserve">2 bay alu. framed glass sliding window 900mm x 600mm (HW1)</t>
        </is>
      </c>
      <c r="I6140" s="245" t="inlineStr">
        <is>
          <t xml:space="preserve">nr</t>
        </is>
      </c>
      <c r="K6140" s="256" t="inlineStr">
        <is>
          <t xml:space="preserve">'11TH FLR'!C138</t>
        </is>
      </c>
    </row>
    <row r="6141">
      <c r="C6141" s="246" t="inlineStr">
        <is>
          <t xml:space="preserve">Roof top terrace - HW1</t>
        </is>
      </c>
      <c r="H6141" s="247">
        <v>5</v>
      </c>
      <c r="J6141" s="253" t="inlineStr">
        <is>
          <t xml:space="preserve">5</t>
        </is>
      </c>
    </row>
    <row r="6142">
      <c r="C6142" s="250" t="inlineStr">
        <is>
          <t xml:space="preserve">Total carried to BOQ  11TH FLR item L</t>
        </is>
      </c>
      <c r="D6142" s="250" t="inlineStr">
        <is>
          <t xml:space="preserve"/>
        </is>
      </c>
      <c r="E6142" s="250" t="inlineStr">
        <is>
          <t xml:space="preserve"/>
        </is>
      </c>
      <c r="F6142" s="250" t="inlineStr">
        <is>
          <t xml:space="preserve"/>
        </is>
      </c>
      <c r="G6142" s="250" t="inlineStr">
        <is>
          <t xml:space="preserve"/>
        </is>
      </c>
      <c r="H6142" s="251">
        <f>SUM(H6141:H6141)</f>
        <v>5</v>
      </c>
      <c r="I6142" s="252" t="inlineStr">
        <is>
          <t xml:space="preserve">nr</t>
        </is>
      </c>
    </row>
    <row r="6143">
      <c r="A6143" s="243" t="inlineStr">
        <is>
          <t xml:space="preserve">11TH FLR</t>
        </is>
      </c>
      <c r="B6143" s="243" t="inlineStr">
        <is>
          <t xml:space="preserve">M</t>
        </is>
      </c>
      <c r="C6143" s="244" t="inlineStr">
        <is>
          <t xml:space="preserve">2 bay alu. framed glass sliding window 750mm x 600mm (HW2)</t>
        </is>
      </c>
      <c r="I6143" s="245" t="inlineStr">
        <is>
          <t xml:space="preserve">nr</t>
        </is>
      </c>
      <c r="K6143" s="256" t="inlineStr">
        <is>
          <t xml:space="preserve">'11TH FLR'!C140</t>
        </is>
      </c>
    </row>
    <row r="6144">
      <c r="C6144" s="246" t="inlineStr">
        <is>
          <t xml:space="preserve">Roof top terrace - HW2</t>
        </is>
      </c>
      <c r="H6144" s="247">
        <v>2</v>
      </c>
      <c r="J6144" s="253" t="inlineStr">
        <is>
          <t xml:space="preserve">2</t>
        </is>
      </c>
    </row>
    <row r="6145">
      <c r="C6145" s="250" t="inlineStr">
        <is>
          <t xml:space="preserve">Total carried to BOQ  11TH FLR item M</t>
        </is>
      </c>
      <c r="D6145" s="250" t="inlineStr">
        <is>
          <t xml:space="preserve"/>
        </is>
      </c>
      <c r="E6145" s="250" t="inlineStr">
        <is>
          <t xml:space="preserve"/>
        </is>
      </c>
      <c r="F6145" s="250" t="inlineStr">
        <is>
          <t xml:space="preserve"/>
        </is>
      </c>
      <c r="G6145" s="250" t="inlineStr">
        <is>
          <t xml:space="preserve"/>
        </is>
      </c>
      <c r="H6145" s="251">
        <f>SUM(H6144:H6144)</f>
        <v>2</v>
      </c>
      <c r="I6145" s="252" t="inlineStr">
        <is>
          <t xml:space="preserve">nr</t>
        </is>
      </c>
    </row>
    <row r="6146">
      <c r="A6146" s="243" t="inlineStr">
        <is>
          <t xml:space="preserve">11TH FLR</t>
        </is>
      </c>
      <c r="B6146" s="243" t="inlineStr">
        <is>
          <t xml:space="preserve">N</t>
        </is>
      </c>
      <c r="C6146" s="244" t="inlineStr">
        <is>
          <t xml:space="preserve">2 bay alu. framed glass sliding window 600mm x 600mm (HW3)</t>
        </is>
      </c>
      <c r="I6146" s="245" t="inlineStr">
        <is>
          <t xml:space="preserve">nr</t>
        </is>
      </c>
      <c r="K6146" s="256" t="inlineStr">
        <is>
          <t xml:space="preserve">'11TH FLR'!C142</t>
        </is>
      </c>
    </row>
    <row r="6147">
      <c r="C6147" s="246" t="inlineStr">
        <is>
          <t xml:space="preserve">Roof top terrace - HW4</t>
        </is>
      </c>
      <c r="H6147" s="247">
        <v>1</v>
      </c>
      <c r="J6147" s="253" t="inlineStr">
        <is>
          <t xml:space="preserve">1</t>
        </is>
      </c>
    </row>
    <row r="6148">
      <c r="C6148" s="250" t="inlineStr">
        <is>
          <t xml:space="preserve">Total carried to BOQ  11TH FLR item N</t>
        </is>
      </c>
      <c r="D6148" s="250" t="inlineStr">
        <is>
          <t xml:space="preserve"/>
        </is>
      </c>
      <c r="E6148" s="250" t="inlineStr">
        <is>
          <t xml:space="preserve"/>
        </is>
      </c>
      <c r="F6148" s="250" t="inlineStr">
        <is>
          <t xml:space="preserve"/>
        </is>
      </c>
      <c r="G6148" s="250" t="inlineStr">
        <is>
          <t xml:space="preserve"/>
        </is>
      </c>
      <c r="H6148" s="251">
        <f>SUM(H6147:H6147)</f>
        <v>1</v>
      </c>
      <c r="I6148" s="252" t="inlineStr">
        <is>
          <t xml:space="preserve">nr</t>
        </is>
      </c>
    </row>
    <row r="6149">
      <c r="A6149" s="243" t="inlineStr">
        <is>
          <t xml:space="preserve">11TH FLR</t>
        </is>
      </c>
      <c r="B6149" s="243" t="inlineStr">
        <is>
          <t xml:space="preserve">P</t>
        </is>
      </c>
      <c r="C6149" s="244" t="inlineStr">
        <is>
          <t xml:space="preserve">2 bay alu. framed glass sliding window 1200mm x 600mm (HW4)</t>
        </is>
      </c>
      <c r="I6149" s="245" t="inlineStr">
        <is>
          <t xml:space="preserve">nr</t>
        </is>
      </c>
      <c r="K6149" s="256" t="inlineStr">
        <is>
          <t xml:space="preserve">'11TH FLR'!C144</t>
        </is>
      </c>
    </row>
    <row r="6150">
      <c r="C6150" s="246" t="inlineStr">
        <is>
          <t xml:space="preserve">Roof top terrace - HW4</t>
        </is>
      </c>
      <c r="H6150" s="247">
        <v>1</v>
      </c>
      <c r="J6150" s="253" t="inlineStr">
        <is>
          <t xml:space="preserve">1</t>
        </is>
      </c>
    </row>
    <row r="6151">
      <c r="C6151" s="250" t="inlineStr">
        <is>
          <t xml:space="preserve">Total carried to BOQ  11TH FLR item P</t>
        </is>
      </c>
      <c r="D6151" s="250" t="inlineStr">
        <is>
          <t xml:space="preserve"/>
        </is>
      </c>
      <c r="E6151" s="250" t="inlineStr">
        <is>
          <t xml:space="preserve"/>
        </is>
      </c>
      <c r="F6151" s="250" t="inlineStr">
        <is>
          <t xml:space="preserve"/>
        </is>
      </c>
      <c r="G6151" s="250" t="inlineStr">
        <is>
          <t xml:space="preserve"/>
        </is>
      </c>
      <c r="H6151" s="251">
        <f>SUM(H6150:H6150)</f>
        <v>1</v>
      </c>
      <c r="I6151" s="252" t="inlineStr">
        <is>
          <t xml:space="preserve">nr</t>
        </is>
      </c>
    </row>
    <row r="6152">
      <c r="C6152" s="242" t="inlineStr">
        <is>
          <t xml:space="preserve">ELEMENT NO. 5: FLOOR FINISHES</t>
        </is>
      </c>
    </row>
    <row r="6153">
      <c r="C6153" s="242" t="inlineStr">
        <is>
          <t xml:space="preserve">M10/M40 FLOOR FINISHES</t>
        </is>
      </c>
    </row>
    <row r="6154" ht="32.2" customHeight="1">
      <c r="A6154" s="243" t="inlineStr">
        <is>
          <t xml:space="preserve">11TH FLR</t>
        </is>
      </c>
      <c r="B6154" s="243" t="inlineStr">
        <is>
          <t xml:space="preserve">A</t>
        </is>
      </c>
      <c r="C6154" s="244" t="inlineStr">
        <is>
          <t xml:space="preserve">25mm cement and sand (1:3) screeded finish laid level on concrete and finished smooth with steel trowel</t>
        </is>
      </c>
      <c r="I6154" s="245" t="inlineStr">
        <is>
          <t xml:space="preserve">m2</t>
        </is>
      </c>
      <c r="K6154" s="256" t="inlineStr">
        <is>
          <t xml:space="preserve">'11TH FLR'!C153</t>
        </is>
      </c>
    </row>
    <row r="6155">
      <c r="C6155" s="246" t="inlineStr">
        <is>
          <t xml:space="preserve">Roof top terrace - Tiled floor areas (measured)</t>
        </is>
      </c>
      <c r="H6155" s="247">
        <v>319.4</v>
      </c>
      <c r="J6155" s="253" t="inlineStr">
        <is>
          <t xml:space="preserve">319.4</t>
        </is>
      </c>
    </row>
    <row r="6156">
      <c r="C6156" s="250" t="inlineStr">
        <is>
          <t xml:space="preserve">Total carried to BOQ  11TH FLR item A</t>
        </is>
      </c>
      <c r="D6156" s="250" t="inlineStr">
        <is>
          <t xml:space="preserve"/>
        </is>
      </c>
      <c r="E6156" s="250" t="inlineStr">
        <is>
          <t xml:space="preserve"/>
        </is>
      </c>
      <c r="F6156" s="250" t="inlineStr">
        <is>
          <t xml:space="preserve"/>
        </is>
      </c>
      <c r="G6156" s="250" t="inlineStr">
        <is>
          <t xml:space="preserve"/>
        </is>
      </c>
      <c r="H6156" s="251">
        <f>SUM(H6155:H6155)</f>
        <v>319.4</v>
      </c>
      <c r="I6156" s="252" t="inlineStr">
        <is>
          <t xml:space="preserve">m2</t>
        </is>
      </c>
    </row>
    <row r="6157" ht="32.2" customHeight="1">
      <c r="A6157" s="243" t="inlineStr">
        <is>
          <t xml:space="preserve">11TH FLR</t>
        </is>
      </c>
      <c r="B6157" s="243" t="inlineStr">
        <is>
          <t xml:space="preserve">B</t>
        </is>
      </c>
      <c r="C6157" s="244" t="inlineStr">
        <is>
          <t xml:space="preserve">12mm cement and sand (1:4) screeded bed laid level on concrete floor to receive floor tiles</t>
        </is>
      </c>
      <c r="I6157" s="245" t="inlineStr">
        <is>
          <t xml:space="preserve">m2</t>
        </is>
      </c>
      <c r="K6157" s="256" t="inlineStr">
        <is>
          <t xml:space="preserve">'11TH FLR'!C155</t>
        </is>
      </c>
    </row>
    <row r="6158">
      <c r="C6158" s="246" t="inlineStr">
        <is>
          <t xml:space="preserve">Roof top terrace - Tiled floor areas (measured)</t>
        </is>
      </c>
      <c r="H6158" s="247">
        <v>319.4</v>
      </c>
      <c r="J6158" s="253" t="inlineStr">
        <is>
          <t xml:space="preserve">319.4</t>
        </is>
      </c>
    </row>
    <row r="6159">
      <c r="C6159" s="250" t="inlineStr">
        <is>
          <t xml:space="preserve">Total carried to BOQ  11TH FLR item B</t>
        </is>
      </c>
      <c r="D6159" s="250" t="inlineStr">
        <is>
          <t xml:space="preserve"/>
        </is>
      </c>
      <c r="E6159" s="250" t="inlineStr">
        <is>
          <t xml:space="preserve"/>
        </is>
      </c>
      <c r="F6159" s="250" t="inlineStr">
        <is>
          <t xml:space="preserve"/>
        </is>
      </c>
      <c r="G6159" s="250" t="inlineStr">
        <is>
          <t xml:space="preserve"/>
        </is>
      </c>
      <c r="H6159" s="251">
        <f>SUM(H6158:H6158)</f>
        <v>319.4</v>
      </c>
      <c r="I6159" s="252" t="inlineStr">
        <is>
          <t xml:space="preserve">m2</t>
        </is>
      </c>
    </row>
    <row r="6160" ht="32.2" customHeight="1">
      <c r="A6160" s="243" t="inlineStr">
        <is>
          <t xml:space="preserve">11TH FLR</t>
        </is>
      </c>
      <c r="B6160" s="243" t="inlineStr">
        <is>
          <t xml:space="preserve">C</t>
        </is>
      </c>
      <c r="C6160" s="244" t="inlineStr">
        <is>
          <t xml:space="preserve">400x400mm non-slip porcelain floor tiles to washrooms &amp; WCs, adhesive, grout and cutting</t>
        </is>
      </c>
      <c r="I6160" s="245" t="inlineStr">
        <is>
          <t xml:space="preserve">m2</t>
        </is>
      </c>
      <c r="K6160" s="256" t="inlineStr">
        <is>
          <t xml:space="preserve">'11TH FLR'!C157</t>
        </is>
      </c>
    </row>
    <row r="6161">
      <c r="C6161" s="246" t="inlineStr">
        <is>
          <t xml:space="preserve">Roof top terrace - Washroom ceiling areas (measured)</t>
        </is>
      </c>
      <c r="H6161" s="247">
        <v>24.2</v>
      </c>
      <c r="J6161" s="253" t="inlineStr">
        <is>
          <t xml:space="preserve">24.2</t>
        </is>
      </c>
    </row>
    <row r="6162">
      <c r="C6162" s="250" t="inlineStr">
        <is>
          <t xml:space="preserve">Total carried to BOQ  11TH FLR item C</t>
        </is>
      </c>
      <c r="D6162" s="250" t="inlineStr">
        <is>
          <t xml:space="preserve"/>
        </is>
      </c>
      <c r="E6162" s="250" t="inlineStr">
        <is>
          <t xml:space="preserve"/>
        </is>
      </c>
      <c r="F6162" s="250" t="inlineStr">
        <is>
          <t xml:space="preserve"/>
        </is>
      </c>
      <c r="G6162" s="250" t="inlineStr">
        <is>
          <t xml:space="preserve"/>
        </is>
      </c>
      <c r="H6162" s="251">
        <f>SUM(H6161:H6161)</f>
        <v>24.2</v>
      </c>
      <c r="I6162" s="252" t="inlineStr">
        <is>
          <t xml:space="preserve">m2</t>
        </is>
      </c>
    </row>
    <row r="6163" ht="32.2" customHeight="1">
      <c r="A6163" s="243" t="inlineStr">
        <is>
          <t xml:space="preserve">11TH FLR</t>
        </is>
      </c>
      <c r="B6163" s="243" t="inlineStr">
        <is>
          <t xml:space="preserve">D</t>
        </is>
      </c>
      <c r="C6163" s="244" t="inlineStr">
        <is>
          <t xml:space="preserve">600x600mm semi-polished porcelain floor tiles to habitable rooms, shops &amp; offices</t>
        </is>
      </c>
      <c r="I6163" s="245" t="inlineStr">
        <is>
          <t xml:space="preserve">m2</t>
        </is>
      </c>
      <c r="K6163" s="256" t="inlineStr">
        <is>
          <t xml:space="preserve">'11TH FLR'!C159</t>
        </is>
      </c>
    </row>
    <row r="6164">
      <c r="C6164" s="246" t="inlineStr">
        <is>
          <t xml:space="preserve">Roof top terrace - Habitable rooms (measured)</t>
        </is>
      </c>
      <c r="H6164" s="247">
        <v>235.9</v>
      </c>
      <c r="J6164" s="253" t="inlineStr">
        <is>
          <t xml:space="preserve">235.9</t>
        </is>
      </c>
    </row>
    <row r="6165">
      <c r="C6165" s="250" t="inlineStr">
        <is>
          <t xml:space="preserve">Total carried to BOQ  11TH FLR item D</t>
        </is>
      </c>
      <c r="D6165" s="250" t="inlineStr">
        <is>
          <t xml:space="preserve"/>
        </is>
      </c>
      <c r="E6165" s="250" t="inlineStr">
        <is>
          <t xml:space="preserve"/>
        </is>
      </c>
      <c r="F6165" s="250" t="inlineStr">
        <is>
          <t xml:space="preserve"/>
        </is>
      </c>
      <c r="G6165" s="250" t="inlineStr">
        <is>
          <t xml:space="preserve"/>
        </is>
      </c>
      <c r="H6165" s="251">
        <f>SUM(H6164:H6164)</f>
        <v>235.9</v>
      </c>
      <c r="I6165" s="252" t="inlineStr">
        <is>
          <t xml:space="preserve">m2</t>
        </is>
      </c>
    </row>
    <row r="6166" ht="32.2" customHeight="1">
      <c r="A6166" s="243" t="inlineStr">
        <is>
          <t xml:space="preserve">11TH FLR</t>
        </is>
      </c>
      <c r="B6166" s="243" t="inlineStr">
        <is>
          <t xml:space="preserve">E</t>
        </is>
      </c>
      <c r="C6166" s="244" t="inlineStr">
        <is>
          <t xml:space="preserve">600x1200mm semi-polished porcelain floor tiles to stair/lift lobbies &amp; reception</t>
        </is>
      </c>
      <c r="I6166" s="245" t="inlineStr">
        <is>
          <t xml:space="preserve">m2</t>
        </is>
      </c>
      <c r="K6166" s="256" t="inlineStr">
        <is>
          <t xml:space="preserve">'11TH FLR'!C161</t>
        </is>
      </c>
    </row>
    <row r="6167">
      <c r="C6167" s="246" t="inlineStr">
        <is>
          <t xml:space="preserve">Roof top terrace - Lobbies (measured)</t>
        </is>
      </c>
      <c r="H6167" s="247">
        <v>19.3</v>
      </c>
      <c r="J6167" s="253" t="inlineStr">
        <is>
          <t xml:space="preserve">19.3</t>
        </is>
      </c>
    </row>
    <row r="6168">
      <c r="C6168" s="250" t="inlineStr">
        <is>
          <t xml:space="preserve">Total carried to BOQ  11TH FLR item E</t>
        </is>
      </c>
      <c r="D6168" s="250" t="inlineStr">
        <is>
          <t xml:space="preserve"/>
        </is>
      </c>
      <c r="E6168" s="250" t="inlineStr">
        <is>
          <t xml:space="preserve"/>
        </is>
      </c>
      <c r="F6168" s="250" t="inlineStr">
        <is>
          <t xml:space="preserve"/>
        </is>
      </c>
      <c r="G6168" s="250" t="inlineStr">
        <is>
          <t xml:space="preserve"/>
        </is>
      </c>
      <c r="H6168" s="251">
        <f>SUM(H6167:H6167)</f>
        <v>19.3</v>
      </c>
      <c r="I6168" s="252" t="inlineStr">
        <is>
          <t xml:space="preserve">m2</t>
        </is>
      </c>
    </row>
    <row r="6169" ht="32.2" customHeight="1">
      <c r="A6169" s="243" t="inlineStr">
        <is>
          <t xml:space="preserve">11TH FLR</t>
        </is>
      </c>
      <c r="B6169" s="243" t="inlineStr">
        <is>
          <t xml:space="preserve">F</t>
        </is>
      </c>
      <c r="C6169" s="244" t="inlineStr">
        <is>
          <t xml:space="preserve">600x600mm non-slip R11 porcelain tiles to corridors, terraces, verandah &amp; service areas</t>
        </is>
      </c>
      <c r="I6169" s="245" t="inlineStr">
        <is>
          <t xml:space="preserve">m2</t>
        </is>
      </c>
      <c r="K6169" s="256" t="inlineStr">
        <is>
          <t xml:space="preserve">'11TH FLR'!C163</t>
        </is>
      </c>
    </row>
    <row r="6170">
      <c r="C6170" s="246" t="inlineStr">
        <is>
          <t xml:space="preserve">Roof top terrace - Corridors/terraces/service (measured)</t>
        </is>
      </c>
      <c r="H6170" s="247">
        <v>40.0</v>
      </c>
      <c r="J6170" s="253" t="inlineStr">
        <is>
          <t xml:space="preserve">40.0</t>
        </is>
      </c>
    </row>
    <row r="6171">
      <c r="C6171" s="250" t="inlineStr">
        <is>
          <t xml:space="preserve">Total carried to BOQ  11TH FLR item F</t>
        </is>
      </c>
      <c r="D6171" s="250" t="inlineStr">
        <is>
          <t xml:space="preserve"/>
        </is>
      </c>
      <c r="E6171" s="250" t="inlineStr">
        <is>
          <t xml:space="preserve"/>
        </is>
      </c>
      <c r="F6171" s="250" t="inlineStr">
        <is>
          <t xml:space="preserve"/>
        </is>
      </c>
      <c r="G6171" s="250" t="inlineStr">
        <is>
          <t xml:space="preserve"/>
        </is>
      </c>
      <c r="H6171" s="251">
        <f>SUM(H6170:H6170)</f>
        <v>40.0</v>
      </c>
      <c r="I6171" s="252" t="inlineStr">
        <is>
          <t xml:space="preserve">m2</t>
        </is>
      </c>
    </row>
    <row r="6172">
      <c r="A6172" s="243" t="inlineStr">
        <is>
          <t xml:space="preserve">11TH FLR</t>
        </is>
      </c>
      <c r="B6172" s="243" t="inlineStr">
        <is>
          <t xml:space="preserve">G</t>
        </is>
      </c>
      <c r="C6172" s="244" t="inlineStr">
        <is>
          <t xml:space="preserve">Interlocking composite tiles to roof-top outdoor sitting &amp; play areas</t>
        </is>
      </c>
      <c r="I6172" s="245" t="inlineStr">
        <is>
          <t xml:space="preserve">m2</t>
        </is>
      </c>
      <c r="K6172" s="256" t="inlineStr">
        <is>
          <t xml:space="preserve">'11TH FLR'!C165</t>
        </is>
      </c>
    </row>
    <row r="6173">
      <c r="C6173" s="246" t="inlineStr">
        <is>
          <t xml:space="preserve">Waterproofing screed area</t>
        </is>
      </c>
      <c r="H6173" s="247">
        <v>412.1</v>
      </c>
      <c r="J6173" s="253" t="inlineStr">
        <is>
          <t xml:space="preserve">412.1</t>
        </is>
      </c>
    </row>
    <row r="6174">
      <c r="C6174" s="250" t="inlineStr">
        <is>
          <t xml:space="preserve">Total carried to BOQ  11TH FLR item G</t>
        </is>
      </c>
      <c r="D6174" s="250" t="inlineStr">
        <is>
          <t xml:space="preserve"/>
        </is>
      </c>
      <c r="E6174" s="250" t="inlineStr">
        <is>
          <t xml:space="preserve"/>
        </is>
      </c>
      <c r="F6174" s="250" t="inlineStr">
        <is>
          <t xml:space="preserve"/>
        </is>
      </c>
      <c r="G6174" s="250" t="inlineStr">
        <is>
          <t xml:space="preserve"/>
        </is>
      </c>
      <c r="H6174" s="251">
        <f>SUM(H6173:H6173)</f>
        <v>412.1</v>
      </c>
      <c r="I6174" s="252" t="inlineStr">
        <is>
          <t xml:space="preserve">m2</t>
        </is>
      </c>
    </row>
    <row r="6175">
      <c r="C6175" s="242" t="inlineStr">
        <is>
          <t xml:space="preserve">ELEMENT NO. 6: WALL FINISHES</t>
        </is>
      </c>
    </row>
    <row r="6176">
      <c r="C6176" s="242" t="inlineStr">
        <is>
          <t xml:space="preserve">M20 PLASTERED/RENDERED COATINGS - 12.5mm cement and sand (1:3) rendering as described on blockwork or concrete to:</t>
        </is>
      </c>
    </row>
    <row r="6177">
      <c r="A6177" s="243" t="inlineStr">
        <is>
          <t xml:space="preserve">11TH FLR</t>
        </is>
      </c>
      <c r="B6177" s="243" t="inlineStr">
        <is>
          <t xml:space="preserve">A</t>
        </is>
      </c>
      <c r="C6177" s="244" t="inlineStr">
        <is>
          <t xml:space="preserve">Interior walls</t>
        </is>
      </c>
      <c r="I6177" s="245" t="inlineStr">
        <is>
          <t xml:space="preserve">m2</t>
        </is>
      </c>
      <c r="K6177" s="256" t="inlineStr">
        <is>
          <t xml:space="preserve">'11TH FLR'!C173</t>
        </is>
      </c>
    </row>
    <row r="6178">
      <c r="C6178" s="246" t="inlineStr">
        <is>
          <t xml:space="preserve">block wall faces: 2 x (150 + 200 block runs) x ht</t>
        </is>
      </c>
      <c r="D6178" s="248">
        <v>2</v>
      </c>
      <c r="E6178" s="247">
        <f>82.0+10.2</f>
        <v>92.2</v>
      </c>
      <c r="F6178" s="247">
        <v>2.9</v>
      </c>
      <c r="H6178" s="249">
        <f>PRODUCT(D6178:G6178)</f>
        <v>534.76</v>
      </c>
      <c r="J6178" s="253" t="inlineStr">
        <is>
          <t xml:space="preserve">2*(82.0+10.2)*2.9</t>
        </is>
      </c>
    </row>
    <row r="6179">
      <c r="C6179" s="246" t="inlineStr">
        <is>
          <t xml:space="preserve">RC wall faces: 2 x RC wall run x ht</t>
        </is>
      </c>
      <c r="D6179" s="248">
        <v>2</v>
      </c>
      <c r="E6179" s="247">
        <v>42.3</v>
      </c>
      <c r="F6179" s="247">
        <v>2.9</v>
      </c>
      <c r="H6179" s="249">
        <f>PRODUCT(D6179:G6179)</f>
        <v>245.33999999999997</v>
      </c>
      <c r="J6179" s="253" t="inlineStr">
        <is>
          <t xml:space="preserve">2*42.3*2.9</t>
        </is>
      </c>
    </row>
    <row r="6180">
      <c r="C6180" s="246" t="inlineStr">
        <is>
          <t xml:space="preserve">Ddt lift/stair shaft inner faces 16.8 m x ht</t>
        </is>
      </c>
      <c r="E6180" s="247">
        <v>16.8</v>
      </c>
      <c r="F6180" s="247">
        <v>2.9</v>
      </c>
      <c r="H6180" s="249">
        <f>-PRODUCT(D6180:G6180)</f>
        <v>-48.72</v>
      </c>
      <c r="J6180" s="253" t="inlineStr">
        <is>
          <t xml:space="preserve">-16.8*2.9</t>
        </is>
      </c>
    </row>
    <row r="6181">
      <c r="C6181" s="246" t="inlineStr">
        <is>
          <t xml:space="preserve">Ddt external face of perimeter wall (rendered externally)</t>
        </is>
      </c>
      <c r="E6181" s="247">
        <v>182.5</v>
      </c>
      <c r="F6181" s="247">
        <v>2.9</v>
      </c>
      <c r="H6181" s="249">
        <f>-PRODUCT(D6181:G6181)</f>
        <v>-529.25</v>
      </c>
      <c r="J6181" s="253" t="inlineStr">
        <is>
          <t xml:space="preserve">-182.5*2.9</t>
        </is>
      </c>
    </row>
    <row r="6182">
      <c r="C6182" s="246" t="inlineStr">
        <is>
          <t xml:space="preserve">Ddt washroom walls (measured separately)</t>
        </is>
      </c>
      <c r="E6182" s="247">
        <f>24.2/3.8</f>
        <v>6.368421052631579</v>
      </c>
      <c r="F6182" s="247">
        <v>8.0</v>
      </c>
      <c r="G6182" s="247">
        <v>2.9</v>
      </c>
      <c r="H6182" s="249">
        <f>-PRODUCT(D6182:G6182)</f>
        <v>-147.7473684210526</v>
      </c>
      <c r="J6182" s="253" t="inlineStr">
        <is>
          <t xml:space="preserve">-24.2/3.8*8.0*2.9</t>
        </is>
      </c>
    </row>
    <row r="6183">
      <c r="C6183" s="246" t="inlineStr">
        <is>
          <t xml:space="preserve">Ddt opening D3 (7 nr, 0.9x2.2) - both faces</t>
        </is>
      </c>
      <c r="D6183" s="248">
        <f>2*7</f>
        <v>14</v>
      </c>
      <c r="E6183" s="247">
        <v>0.9</v>
      </c>
      <c r="F6183" s="247">
        <v>2.2</v>
      </c>
      <c r="H6183" s="249">
        <f>-PRODUCT(D6183:G6183)</f>
        <v>-27.720000000000002</v>
      </c>
      <c r="J6183" s="253" t="inlineStr">
        <is>
          <t xml:space="preserve">-2*7*0.9*2.2</t>
        </is>
      </c>
    </row>
    <row r="6184">
      <c r="C6184" s="246" t="inlineStr">
        <is>
          <t xml:space="preserve">Ddt opening D6 (8 nr, 0.75x2.2) - both faces</t>
        </is>
      </c>
      <c r="D6184" s="248">
        <f>2*8</f>
        <v>16</v>
      </c>
      <c r="E6184" s="247">
        <v>0.75</v>
      </c>
      <c r="F6184" s="247">
        <v>2.2</v>
      </c>
      <c r="H6184" s="249">
        <f>-PRODUCT(D6184:G6184)</f>
        <v>-26.400000000000002</v>
      </c>
      <c r="J6184" s="253" t="inlineStr">
        <is>
          <t xml:space="preserve">-2*8*0.75*2.2</t>
        </is>
      </c>
    </row>
    <row r="6185">
      <c r="C6185" s="246" t="inlineStr">
        <is>
          <t xml:space="preserve">Ddt opening D7 (1 nr, 0.7x2.2) - both faces</t>
        </is>
      </c>
      <c r="D6185" s="248">
        <f>2*1</f>
        <v>2</v>
      </c>
      <c r="E6185" s="247">
        <v>0.7</v>
      </c>
      <c r="F6185" s="247">
        <v>2.2</v>
      </c>
      <c r="H6185" s="249">
        <f>-PRODUCT(D6185:G6185)</f>
        <v>-3.08</v>
      </c>
      <c r="J6185" s="253" t="inlineStr">
        <is>
          <t xml:space="preserve">-2*1*0.7*2.2</t>
        </is>
      </c>
    </row>
    <row r="6186">
      <c r="C6186" s="246" t="inlineStr">
        <is>
          <t xml:space="preserve">Ddt opening ED1 (2 nr, 1x2.2) - both faces</t>
        </is>
      </c>
      <c r="D6186" s="248">
        <f>2*2</f>
        <v>4</v>
      </c>
      <c r="E6186" s="247">
        <v>1</v>
      </c>
      <c r="F6186" s="247">
        <v>2.2</v>
      </c>
      <c r="H6186" s="249">
        <f>-PRODUCT(D6186:G6186)</f>
        <v>-8.8</v>
      </c>
      <c r="J6186" s="253" t="inlineStr">
        <is>
          <t xml:space="preserve">-2*2*1*2.2</t>
        </is>
      </c>
    </row>
    <row r="6187">
      <c r="C6187" s="246" t="inlineStr">
        <is>
          <t xml:space="preserve">Ddt opening D9 (1 nr, 0.9x2.2) - both faces</t>
        </is>
      </c>
      <c r="D6187" s="248">
        <f>2*1</f>
        <v>2</v>
      </c>
      <c r="E6187" s="247">
        <v>0.9</v>
      </c>
      <c r="F6187" s="247">
        <v>2.2</v>
      </c>
      <c r="H6187" s="249">
        <f>-PRODUCT(D6187:G6187)</f>
        <v>-3.9600000000000004</v>
      </c>
      <c r="J6187" s="253" t="inlineStr">
        <is>
          <t xml:space="preserve">-2*1*0.9*2.2</t>
        </is>
      </c>
    </row>
    <row r="6188">
      <c r="C6188" s="246" t="inlineStr">
        <is>
          <t xml:space="preserve">Ddt opening HW1 (5 nr, 0.9x0.6)</t>
        </is>
      </c>
      <c r="D6188" s="248">
        <v>5</v>
      </c>
      <c r="E6188" s="247">
        <v>0.9</v>
      </c>
      <c r="F6188" s="247">
        <v>0.6</v>
      </c>
      <c r="H6188" s="249">
        <f>-PRODUCT(D6188:G6188)</f>
        <v>-2.6999999999999997</v>
      </c>
      <c r="J6188" s="253" t="inlineStr">
        <is>
          <t xml:space="preserve">-5*0.9*0.6</t>
        </is>
      </c>
    </row>
    <row r="6189">
      <c r="C6189" s="246" t="inlineStr">
        <is>
          <t xml:space="preserve">Ddt opening HW2 (2 nr, 0.75x0.6)</t>
        </is>
      </c>
      <c r="D6189" s="248">
        <v>2</v>
      </c>
      <c r="E6189" s="247">
        <v>0.75</v>
      </c>
      <c r="F6189" s="247">
        <v>0.6</v>
      </c>
      <c r="H6189" s="249">
        <f>-PRODUCT(D6189:G6189)</f>
        <v>-0.8999999999999999</v>
      </c>
      <c r="J6189" s="253" t="inlineStr">
        <is>
          <t xml:space="preserve">-2*0.75*0.6</t>
        </is>
      </c>
    </row>
    <row r="6190">
      <c r="C6190" s="246" t="inlineStr">
        <is>
          <t xml:space="preserve">Ddt opening HW3 (1 nr, 0.6x0.6)</t>
        </is>
      </c>
      <c r="D6190" s="248">
        <v>1</v>
      </c>
      <c r="E6190" s="247">
        <v>0.6</v>
      </c>
      <c r="F6190" s="247">
        <v>0.6</v>
      </c>
      <c r="H6190" s="249">
        <f>-PRODUCT(D6190:G6190)</f>
        <v>-0.36</v>
      </c>
      <c r="J6190" s="253" t="inlineStr">
        <is>
          <t xml:space="preserve">-1*0.6*0.6</t>
        </is>
      </c>
    </row>
    <row r="6191">
      <c r="C6191" s="246" t="inlineStr">
        <is>
          <t xml:space="preserve">Ddt opening HW4 (1 nr, 1.2x0.6)</t>
        </is>
      </c>
      <c r="D6191" s="248">
        <v>1</v>
      </c>
      <c r="E6191" s="247">
        <v>1.2</v>
      </c>
      <c r="F6191" s="247">
        <v>0.6</v>
      </c>
      <c r="H6191" s="249">
        <f>-PRODUCT(D6191:G6191)</f>
        <v>-0.72</v>
      </c>
      <c r="J6191" s="253" t="inlineStr">
        <is>
          <t xml:space="preserve">-1*1.2*0.6</t>
        </is>
      </c>
    </row>
    <row r="6192">
      <c r="C6192" s="250" t="inlineStr">
        <is>
          <t xml:space="preserve">Total carried to BOQ  11TH FLR item A</t>
        </is>
      </c>
      <c r="D6192" s="250" t="inlineStr">
        <is>
          <t xml:space="preserve"/>
        </is>
      </c>
      <c r="E6192" s="250" t="inlineStr">
        <is>
          <t xml:space="preserve"/>
        </is>
      </c>
      <c r="F6192" s="250" t="inlineStr">
        <is>
          <t xml:space="preserve"/>
        </is>
      </c>
      <c r="G6192" s="250" t="inlineStr">
        <is>
          <t xml:space="preserve"/>
        </is>
      </c>
      <c r="H6192" s="251">
        <f>SUM(H6178:H6191)</f>
        <v>-20.257368421052735</v>
      </c>
      <c r="I6192" s="252" t="inlineStr">
        <is>
          <t xml:space="preserve">m2</t>
        </is>
      </c>
    </row>
    <row r="6193">
      <c r="A6193" s="243" t="inlineStr">
        <is>
          <t xml:space="preserve">11TH FLR</t>
        </is>
      </c>
      <c r="B6193" s="243" t="inlineStr">
        <is>
          <t xml:space="preserve">B</t>
        </is>
      </c>
      <c r="C6193" s="244" t="inlineStr">
        <is>
          <t xml:space="preserve">Interior partitions and washrooms</t>
        </is>
      </c>
      <c r="I6193" s="245" t="inlineStr">
        <is>
          <t xml:space="preserve">m2</t>
        </is>
      </c>
      <c r="K6193" s="256" t="inlineStr">
        <is>
          <t xml:space="preserve">'11TH FLR'!C175</t>
        </is>
      </c>
    </row>
    <row r="6194">
      <c r="C6194" s="246" t="inlineStr">
        <is>
          <t xml:space="preserve">washroom walls: (wet area / 3.8 m2 per WC) x 8.0 m girth x ht</t>
        </is>
      </c>
      <c r="E6194" s="247">
        <f>24.2/3.8</f>
        <v>6.368421052631579</v>
      </c>
      <c r="F6194" s="247">
        <v>8.0</v>
      </c>
      <c r="G6194" s="247">
        <v>2.9</v>
      </c>
      <c r="H6194" s="249">
        <f>PRODUCT(D6194:G6194)</f>
        <v>147.7473684210526</v>
      </c>
      <c r="J6194" s="253" t="inlineStr">
        <is>
          <t xml:space="preserve">24.2/3.8*8.0*2.9</t>
        </is>
      </c>
    </row>
    <row r="6195">
      <c r="C6195" s="246" t="inlineStr">
        <is>
          <t xml:space="preserve">Ddt washroom doors: nr x 0.75 x 2.2</t>
        </is>
      </c>
      <c r="E6195" s="247">
        <f>24.2/3.8</f>
        <v>6.368421052631579</v>
      </c>
      <c r="F6195" s="247">
        <v>0.75</v>
      </c>
      <c r="G6195" s="247">
        <v>2.2</v>
      </c>
      <c r="H6195" s="249">
        <f>-PRODUCT(D6195:G6195)</f>
        <v>-10.507894736842106</v>
      </c>
      <c r="J6195" s="253" t="inlineStr">
        <is>
          <t xml:space="preserve">-24.2/3.8*0.75*2.2</t>
        </is>
      </c>
    </row>
    <row r="6196">
      <c r="C6196" s="250" t="inlineStr">
        <is>
          <t xml:space="preserve">Total carried to BOQ  11TH FLR item B</t>
        </is>
      </c>
      <c r="D6196" s="250" t="inlineStr">
        <is>
          <t xml:space="preserve"/>
        </is>
      </c>
      <c r="E6196" s="250" t="inlineStr">
        <is>
          <t xml:space="preserve"/>
        </is>
      </c>
      <c r="F6196" s="250" t="inlineStr">
        <is>
          <t xml:space="preserve"/>
        </is>
      </c>
      <c r="G6196" s="250" t="inlineStr">
        <is>
          <t xml:space="preserve"/>
        </is>
      </c>
      <c r="H6196" s="251">
        <f>SUM(H6194:H6195)</f>
        <v>137.2394736842105</v>
      </c>
      <c r="I6196" s="252" t="inlineStr">
        <is>
          <t xml:space="preserve">m2</t>
        </is>
      </c>
    </row>
    <row r="6197">
      <c r="A6197" s="243" t="inlineStr">
        <is>
          <t xml:space="preserve">11TH FLR</t>
        </is>
      </c>
      <c r="B6197" s="243" t="inlineStr">
        <is>
          <t xml:space="preserve">C</t>
        </is>
      </c>
      <c r="C6197" s="244" t="inlineStr">
        <is>
          <t xml:space="preserve">External walls</t>
        </is>
      </c>
      <c r="I6197" s="245" t="inlineStr">
        <is>
          <t xml:space="preserve">m2</t>
        </is>
      </c>
      <c r="K6197" s="256" t="inlineStr">
        <is>
          <t xml:space="preserve">'11TH FLR'!C177</t>
        </is>
      </c>
    </row>
    <row r="6198">
      <c r="C6198" s="246" t="inlineStr">
        <is>
          <t xml:space="preserve">External perimeter x storey ht</t>
        </is>
      </c>
      <c r="E6198" s="247">
        <v>182.5</v>
      </c>
      <c r="F6198" s="247">
        <v>3.15</v>
      </c>
      <c r="H6198" s="249">
        <f>PRODUCT(D6198:G6198)</f>
        <v>574.875</v>
      </c>
      <c r="J6198" s="253" t="inlineStr">
        <is>
          <t xml:space="preserve">182.5*3.15</t>
        </is>
      </c>
    </row>
    <row r="6199">
      <c r="C6199" s="246" t="inlineStr">
        <is>
          <t xml:space="preserve">Ddt window HW1 (5 nr, 0.9x0.6)</t>
        </is>
      </c>
      <c r="D6199" s="248">
        <v>5</v>
      </c>
      <c r="E6199" s="247">
        <v>0.9</v>
      </c>
      <c r="F6199" s="247">
        <v>0.6</v>
      </c>
      <c r="H6199" s="249">
        <f>-PRODUCT(D6199:G6199)</f>
        <v>-2.6999999999999997</v>
      </c>
      <c r="J6199" s="253" t="inlineStr">
        <is>
          <t xml:space="preserve">-5*0.9*0.6</t>
        </is>
      </c>
    </row>
    <row r="6200">
      <c r="C6200" s="246" t="inlineStr">
        <is>
          <t xml:space="preserve">Ddt window HW2 (2 nr, 0.75x0.6)</t>
        </is>
      </c>
      <c r="D6200" s="248">
        <v>2</v>
      </c>
      <c r="E6200" s="247">
        <v>0.75</v>
      </c>
      <c r="F6200" s="247">
        <v>0.6</v>
      </c>
      <c r="H6200" s="249">
        <f>-PRODUCT(D6200:G6200)</f>
        <v>-0.8999999999999999</v>
      </c>
      <c r="J6200" s="253" t="inlineStr">
        <is>
          <t xml:space="preserve">-2*0.75*0.6</t>
        </is>
      </c>
    </row>
    <row r="6201">
      <c r="C6201" s="246" t="inlineStr">
        <is>
          <t xml:space="preserve">Ddt window HW3 (1 nr, 0.6x0.6)</t>
        </is>
      </c>
      <c r="D6201" s="248">
        <v>1</v>
      </c>
      <c r="E6201" s="247">
        <v>0.6</v>
      </c>
      <c r="F6201" s="247">
        <v>0.6</v>
      </c>
      <c r="H6201" s="249">
        <f>-PRODUCT(D6201:G6201)</f>
        <v>-0.36</v>
      </c>
      <c r="J6201" s="253" t="inlineStr">
        <is>
          <t xml:space="preserve">-1*0.6*0.6</t>
        </is>
      </c>
    </row>
    <row r="6202">
      <c r="C6202" s="246" t="inlineStr">
        <is>
          <t xml:space="preserve">Ddt window HW4 (1 nr, 1.2x0.6)</t>
        </is>
      </c>
      <c r="D6202" s="248">
        <v>1</v>
      </c>
      <c r="E6202" s="247">
        <v>1.2</v>
      </c>
      <c r="F6202" s="247">
        <v>0.6</v>
      </c>
      <c r="H6202" s="249">
        <f>-PRODUCT(D6202:G6202)</f>
        <v>-0.72</v>
      </c>
      <c r="J6202" s="253" t="inlineStr">
        <is>
          <t xml:space="preserve">-1*1.2*0.6</t>
        </is>
      </c>
    </row>
    <row r="6203">
      <c r="C6203" s="250" t="inlineStr">
        <is>
          <t xml:space="preserve">Total carried to BOQ  11TH FLR item C</t>
        </is>
      </c>
      <c r="D6203" s="250" t="inlineStr">
        <is>
          <t xml:space="preserve"/>
        </is>
      </c>
      <c r="E6203" s="250" t="inlineStr">
        <is>
          <t xml:space="preserve"/>
        </is>
      </c>
      <c r="F6203" s="250" t="inlineStr">
        <is>
          <t xml:space="preserve"/>
        </is>
      </c>
      <c r="G6203" s="250" t="inlineStr">
        <is>
          <t xml:space="preserve"/>
        </is>
      </c>
      <c r="H6203" s="251">
        <f>SUM(H6198:H6202)</f>
        <v>570.1949999999999</v>
      </c>
      <c r="I6203" s="252" t="inlineStr">
        <is>
          <t xml:space="preserve">m2</t>
        </is>
      </c>
    </row>
    <row r="6204">
      <c r="A6204" s="243" t="inlineStr">
        <is>
          <t xml:space="preserve">11TH FLR</t>
        </is>
      </c>
      <c r="B6204" s="243" t="inlineStr">
        <is>
          <t xml:space="preserve">D</t>
        </is>
      </c>
      <c r="C6204" s="244" t="inlineStr">
        <is>
          <t xml:space="preserve">12mm cement and sand (1:4) screeded backing to receive wall tiles</t>
        </is>
      </c>
      <c r="I6204" s="245" t="inlineStr">
        <is>
          <t xml:space="preserve">m2</t>
        </is>
      </c>
      <c r="K6204" s="256" t="inlineStr">
        <is>
          <t xml:space="preserve">'11TH FLR'!C179</t>
        </is>
      </c>
    </row>
    <row r="6205">
      <c r="C6205" s="246" t="inlineStr">
        <is>
          <t xml:space="preserve">washroom walls: (wet area / 3.8 m2 per WC) x 8.0 m girth x ht</t>
        </is>
      </c>
      <c r="E6205" s="247">
        <f>24.2/3.8</f>
        <v>6.368421052631579</v>
      </c>
      <c r="F6205" s="247">
        <v>8.0</v>
      </c>
      <c r="G6205" s="247">
        <v>2.4</v>
      </c>
      <c r="H6205" s="249">
        <f>PRODUCT(D6205:G6205)</f>
        <v>122.27368421052631</v>
      </c>
      <c r="J6205" s="253" t="inlineStr">
        <is>
          <t xml:space="preserve">24.2/3.8*8.0*2.4</t>
        </is>
      </c>
    </row>
    <row r="6206">
      <c r="C6206" s="246" t="inlineStr">
        <is>
          <t xml:space="preserve">Ddt washroom doors: nr x 0.75 x 2.2</t>
        </is>
      </c>
      <c r="E6206" s="247">
        <f>24.2/3.8</f>
        <v>6.368421052631579</v>
      </c>
      <c r="F6206" s="247">
        <v>0.75</v>
      </c>
      <c r="G6206" s="247">
        <v>2.2</v>
      </c>
      <c r="H6206" s="249">
        <f>-PRODUCT(D6206:G6206)</f>
        <v>-10.507894736842106</v>
      </c>
      <c r="J6206" s="253" t="inlineStr">
        <is>
          <t xml:space="preserve">-24.2/3.8*0.75*2.2</t>
        </is>
      </c>
    </row>
    <row r="6207">
      <c r="C6207" s="250" t="inlineStr">
        <is>
          <t xml:space="preserve">Total carried to BOQ  11TH FLR item D</t>
        </is>
      </c>
      <c r="D6207" s="250" t="inlineStr">
        <is>
          <t xml:space="preserve"/>
        </is>
      </c>
      <c r="E6207" s="250" t="inlineStr">
        <is>
          <t xml:space="preserve"/>
        </is>
      </c>
      <c r="F6207" s="250" t="inlineStr">
        <is>
          <t xml:space="preserve"/>
        </is>
      </c>
      <c r="G6207" s="250" t="inlineStr">
        <is>
          <t xml:space="preserve"/>
        </is>
      </c>
      <c r="H6207" s="251">
        <f>SUM(H6205:H6206)</f>
        <v>111.76578947368421</v>
      </c>
      <c r="I6207" s="252" t="inlineStr">
        <is>
          <t xml:space="preserve">m2</t>
        </is>
      </c>
    </row>
    <row r="6208" ht="32.2" customHeight="1">
      <c r="A6208" s="243" t="inlineStr">
        <is>
          <t xml:space="preserve">11TH FLR</t>
        </is>
      </c>
      <c r="B6208" s="243" t="inlineStr">
        <is>
          <t xml:space="preserve">E</t>
        </is>
      </c>
      <c r="C6208" s="244" t="inlineStr">
        <is>
          <t xml:space="preserve">Ceramic/porcelain wall tiles to washrooms to 2.4m high, adhesive &amp; grout (type TBC)</t>
        </is>
      </c>
      <c r="I6208" s="245" t="inlineStr">
        <is>
          <t xml:space="preserve">m2</t>
        </is>
      </c>
      <c r="K6208" s="256" t="inlineStr">
        <is>
          <t xml:space="preserve">'11TH FLR'!C181</t>
        </is>
      </c>
    </row>
    <row r="6209">
      <c r="C6209" s="246" t="inlineStr">
        <is>
          <t xml:space="preserve">washroom walls: (wet area / 3.8 m2 per WC) x 8.0 m girth x ht</t>
        </is>
      </c>
      <c r="E6209" s="247">
        <f>24.2/3.8</f>
        <v>6.368421052631579</v>
      </c>
      <c r="F6209" s="247">
        <v>8.0</v>
      </c>
      <c r="G6209" s="247">
        <v>2.4</v>
      </c>
      <c r="H6209" s="249">
        <f>PRODUCT(D6209:G6209)</f>
        <v>122.27368421052631</v>
      </c>
      <c r="J6209" s="253" t="inlineStr">
        <is>
          <t xml:space="preserve">24.2/3.8*8.0*2.4</t>
        </is>
      </c>
    </row>
    <row r="6210">
      <c r="C6210" s="246" t="inlineStr">
        <is>
          <t xml:space="preserve">Ddt washroom doors: nr x 0.75 x 2.2</t>
        </is>
      </c>
      <c r="E6210" s="247">
        <f>24.2/3.8</f>
        <v>6.368421052631579</v>
      </c>
      <c r="F6210" s="247">
        <v>0.75</v>
      </c>
      <c r="G6210" s="247">
        <v>2.2</v>
      </c>
      <c r="H6210" s="249">
        <f>-PRODUCT(D6210:G6210)</f>
        <v>-10.507894736842106</v>
      </c>
      <c r="J6210" s="253" t="inlineStr">
        <is>
          <t xml:space="preserve">-24.2/3.8*0.75*2.2</t>
        </is>
      </c>
    </row>
    <row r="6211">
      <c r="C6211" s="250" t="inlineStr">
        <is>
          <t xml:space="preserve">Total carried to BOQ  11TH FLR item E</t>
        </is>
      </c>
      <c r="D6211" s="250" t="inlineStr">
        <is>
          <t xml:space="preserve"/>
        </is>
      </c>
      <c r="E6211" s="250" t="inlineStr">
        <is>
          <t xml:space="preserve"/>
        </is>
      </c>
      <c r="F6211" s="250" t="inlineStr">
        <is>
          <t xml:space="preserve"/>
        </is>
      </c>
      <c r="G6211" s="250" t="inlineStr">
        <is>
          <t xml:space="preserve"/>
        </is>
      </c>
      <c r="H6211" s="251">
        <f>SUM(H6209:H6210)</f>
        <v>111.76578947368421</v>
      </c>
      <c r="I6211" s="252" t="inlineStr">
        <is>
          <t xml:space="preserve">m2</t>
        </is>
      </c>
    </row>
    <row r="6212">
      <c r="C6212" s="242" t="inlineStr">
        <is>
          <t xml:space="preserve">ELEMENT NO. 7: PAINTING AND DECORATING</t>
        </is>
      </c>
    </row>
    <row r="6213">
      <c r="C6213" s="242" t="inlineStr">
        <is>
          <t xml:space="preserve">M60 PAINTING - Prepare and apply two undercoats and finishing coat of emulsion paint on:</t>
        </is>
      </c>
    </row>
    <row r="6214">
      <c r="A6214" s="243" t="inlineStr">
        <is>
          <t xml:space="preserve">11TH FLR</t>
        </is>
      </c>
      <c r="B6214" s="243" t="inlineStr">
        <is>
          <t xml:space="preserve">A</t>
        </is>
      </c>
      <c r="C6214" s="244" t="inlineStr">
        <is>
          <t xml:space="preserve">Interior walls</t>
        </is>
      </c>
      <c r="I6214" s="245" t="inlineStr">
        <is>
          <t xml:space="preserve">m2</t>
        </is>
      </c>
      <c r="K6214" s="256" t="inlineStr">
        <is>
          <t xml:space="preserve">'11TH FLR'!C189</t>
        </is>
      </c>
    </row>
    <row r="6215">
      <c r="C6215" s="246" t="inlineStr">
        <is>
          <t xml:space="preserve">block wall faces: 2 x (150 + 200 block runs) x ht</t>
        </is>
      </c>
      <c r="D6215" s="248">
        <v>2</v>
      </c>
      <c r="E6215" s="247">
        <f>82.0+10.2</f>
        <v>92.2</v>
      </c>
      <c r="F6215" s="247">
        <v>2.9</v>
      </c>
      <c r="H6215" s="249">
        <f>PRODUCT(D6215:G6215)</f>
        <v>534.76</v>
      </c>
      <c r="J6215" s="253" t="inlineStr">
        <is>
          <t xml:space="preserve">2*(82.0+10.2)*2.9</t>
        </is>
      </c>
    </row>
    <row r="6216">
      <c r="C6216" s="246" t="inlineStr">
        <is>
          <t xml:space="preserve">RC wall faces: 2 x RC wall run x ht</t>
        </is>
      </c>
      <c r="D6216" s="248">
        <v>2</v>
      </c>
      <c r="E6216" s="247">
        <v>42.3</v>
      </c>
      <c r="F6216" s="247">
        <v>2.9</v>
      </c>
      <c r="H6216" s="249">
        <f>PRODUCT(D6216:G6216)</f>
        <v>245.33999999999997</v>
      </c>
      <c r="J6216" s="253" t="inlineStr">
        <is>
          <t xml:space="preserve">2*42.3*2.9</t>
        </is>
      </c>
    </row>
    <row r="6217">
      <c r="C6217" s="246" t="inlineStr">
        <is>
          <t xml:space="preserve">Ddt lift/stair shaft inner faces 16.8 m x ht</t>
        </is>
      </c>
      <c r="E6217" s="247">
        <v>16.8</v>
      </c>
      <c r="F6217" s="247">
        <v>2.9</v>
      </c>
      <c r="H6217" s="249">
        <f>-PRODUCT(D6217:G6217)</f>
        <v>-48.72</v>
      </c>
      <c r="J6217" s="253" t="inlineStr">
        <is>
          <t xml:space="preserve">-16.8*2.9</t>
        </is>
      </c>
    </row>
    <row r="6218">
      <c r="C6218" s="246" t="inlineStr">
        <is>
          <t xml:space="preserve">Ddt external face of perimeter wall (rendered externally)</t>
        </is>
      </c>
      <c r="E6218" s="247">
        <v>182.5</v>
      </c>
      <c r="F6218" s="247">
        <v>2.9</v>
      </c>
      <c r="H6218" s="249">
        <f>-PRODUCT(D6218:G6218)</f>
        <v>-529.25</v>
      </c>
      <c r="J6218" s="253" t="inlineStr">
        <is>
          <t xml:space="preserve">-182.5*2.9</t>
        </is>
      </c>
    </row>
    <row r="6219">
      <c r="C6219" s="246" t="inlineStr">
        <is>
          <t xml:space="preserve">Ddt washroom walls (measured separately)</t>
        </is>
      </c>
      <c r="E6219" s="247">
        <f>24.2/3.8</f>
        <v>6.368421052631579</v>
      </c>
      <c r="F6219" s="247">
        <v>8.0</v>
      </c>
      <c r="G6219" s="247">
        <v>2.9</v>
      </c>
      <c r="H6219" s="249">
        <f>-PRODUCT(D6219:G6219)</f>
        <v>-147.7473684210526</v>
      </c>
      <c r="J6219" s="253" t="inlineStr">
        <is>
          <t xml:space="preserve">-24.2/3.8*8.0*2.9</t>
        </is>
      </c>
    </row>
    <row r="6220">
      <c r="C6220" s="246" t="inlineStr">
        <is>
          <t xml:space="preserve">Ddt opening D3 (7 nr, 0.9x2.2) - both faces</t>
        </is>
      </c>
      <c r="D6220" s="248">
        <f>2*7</f>
        <v>14</v>
      </c>
      <c r="E6220" s="247">
        <v>0.9</v>
      </c>
      <c r="F6220" s="247">
        <v>2.2</v>
      </c>
      <c r="H6220" s="249">
        <f>-PRODUCT(D6220:G6220)</f>
        <v>-27.720000000000002</v>
      </c>
      <c r="J6220" s="253" t="inlineStr">
        <is>
          <t xml:space="preserve">-2*7*0.9*2.2</t>
        </is>
      </c>
    </row>
    <row r="6221">
      <c r="C6221" s="246" t="inlineStr">
        <is>
          <t xml:space="preserve">Ddt opening D6 (8 nr, 0.75x2.2) - both faces</t>
        </is>
      </c>
      <c r="D6221" s="248">
        <f>2*8</f>
        <v>16</v>
      </c>
      <c r="E6221" s="247">
        <v>0.75</v>
      </c>
      <c r="F6221" s="247">
        <v>2.2</v>
      </c>
      <c r="H6221" s="249">
        <f>-PRODUCT(D6221:G6221)</f>
        <v>-26.400000000000002</v>
      </c>
      <c r="J6221" s="253" t="inlineStr">
        <is>
          <t xml:space="preserve">-2*8*0.75*2.2</t>
        </is>
      </c>
    </row>
    <row r="6222">
      <c r="C6222" s="246" t="inlineStr">
        <is>
          <t xml:space="preserve">Ddt opening D7 (1 nr, 0.7x2.2) - both faces</t>
        </is>
      </c>
      <c r="D6222" s="248">
        <f>2*1</f>
        <v>2</v>
      </c>
      <c r="E6222" s="247">
        <v>0.7</v>
      </c>
      <c r="F6222" s="247">
        <v>2.2</v>
      </c>
      <c r="H6222" s="249">
        <f>-PRODUCT(D6222:G6222)</f>
        <v>-3.08</v>
      </c>
      <c r="J6222" s="253" t="inlineStr">
        <is>
          <t xml:space="preserve">-2*1*0.7*2.2</t>
        </is>
      </c>
    </row>
    <row r="6223">
      <c r="C6223" s="246" t="inlineStr">
        <is>
          <t xml:space="preserve">Ddt opening ED1 (2 nr, 1x2.2) - both faces</t>
        </is>
      </c>
      <c r="D6223" s="248">
        <f>2*2</f>
        <v>4</v>
      </c>
      <c r="E6223" s="247">
        <v>1</v>
      </c>
      <c r="F6223" s="247">
        <v>2.2</v>
      </c>
      <c r="H6223" s="249">
        <f>-PRODUCT(D6223:G6223)</f>
        <v>-8.8</v>
      </c>
      <c r="J6223" s="253" t="inlineStr">
        <is>
          <t xml:space="preserve">-2*2*1*2.2</t>
        </is>
      </c>
    </row>
    <row r="6224">
      <c r="C6224" s="246" t="inlineStr">
        <is>
          <t xml:space="preserve">Ddt opening D9 (1 nr, 0.9x2.2) - both faces</t>
        </is>
      </c>
      <c r="D6224" s="248">
        <f>2*1</f>
        <v>2</v>
      </c>
      <c r="E6224" s="247">
        <v>0.9</v>
      </c>
      <c r="F6224" s="247">
        <v>2.2</v>
      </c>
      <c r="H6224" s="249">
        <f>-PRODUCT(D6224:G6224)</f>
        <v>-3.9600000000000004</v>
      </c>
      <c r="J6224" s="253" t="inlineStr">
        <is>
          <t xml:space="preserve">-2*1*0.9*2.2</t>
        </is>
      </c>
    </row>
    <row r="6225">
      <c r="C6225" s="246" t="inlineStr">
        <is>
          <t xml:space="preserve">Ddt opening HW1 (5 nr, 0.9x0.6)</t>
        </is>
      </c>
      <c r="D6225" s="248">
        <v>5</v>
      </c>
      <c r="E6225" s="247">
        <v>0.9</v>
      </c>
      <c r="F6225" s="247">
        <v>0.6</v>
      </c>
      <c r="H6225" s="249">
        <f>-PRODUCT(D6225:G6225)</f>
        <v>-2.6999999999999997</v>
      </c>
      <c r="J6225" s="253" t="inlineStr">
        <is>
          <t xml:space="preserve">-5*0.9*0.6</t>
        </is>
      </c>
    </row>
    <row r="6226">
      <c r="C6226" s="246" t="inlineStr">
        <is>
          <t xml:space="preserve">Ddt opening HW2 (2 nr, 0.75x0.6)</t>
        </is>
      </c>
      <c r="D6226" s="248">
        <v>2</v>
      </c>
      <c r="E6226" s="247">
        <v>0.75</v>
      </c>
      <c r="F6226" s="247">
        <v>0.6</v>
      </c>
      <c r="H6226" s="249">
        <f>-PRODUCT(D6226:G6226)</f>
        <v>-0.8999999999999999</v>
      </c>
      <c r="J6226" s="253" t="inlineStr">
        <is>
          <t xml:space="preserve">-2*0.75*0.6</t>
        </is>
      </c>
    </row>
    <row r="6227">
      <c r="C6227" s="246" t="inlineStr">
        <is>
          <t xml:space="preserve">Ddt opening HW3 (1 nr, 0.6x0.6)</t>
        </is>
      </c>
      <c r="D6227" s="248">
        <v>1</v>
      </c>
      <c r="E6227" s="247">
        <v>0.6</v>
      </c>
      <c r="F6227" s="247">
        <v>0.6</v>
      </c>
      <c r="H6227" s="249">
        <f>-PRODUCT(D6227:G6227)</f>
        <v>-0.36</v>
      </c>
      <c r="J6227" s="253" t="inlineStr">
        <is>
          <t xml:space="preserve">-1*0.6*0.6</t>
        </is>
      </c>
    </row>
    <row r="6228">
      <c r="C6228" s="246" t="inlineStr">
        <is>
          <t xml:space="preserve">Ddt opening HW4 (1 nr, 1.2x0.6)</t>
        </is>
      </c>
      <c r="D6228" s="248">
        <v>1</v>
      </c>
      <c r="E6228" s="247">
        <v>1.2</v>
      </c>
      <c r="F6228" s="247">
        <v>0.6</v>
      </c>
      <c r="H6228" s="249">
        <f>-PRODUCT(D6228:G6228)</f>
        <v>-0.72</v>
      </c>
      <c r="J6228" s="253" t="inlineStr">
        <is>
          <t xml:space="preserve">-1*1.2*0.6</t>
        </is>
      </c>
    </row>
    <row r="6229">
      <c r="C6229" s="250" t="inlineStr">
        <is>
          <t xml:space="preserve">Total carried to BOQ  11TH FLR item A</t>
        </is>
      </c>
      <c r="D6229" s="250" t="inlineStr">
        <is>
          <t xml:space="preserve"/>
        </is>
      </c>
      <c r="E6229" s="250" t="inlineStr">
        <is>
          <t xml:space="preserve"/>
        </is>
      </c>
      <c r="F6229" s="250" t="inlineStr">
        <is>
          <t xml:space="preserve"/>
        </is>
      </c>
      <c r="G6229" s="250" t="inlineStr">
        <is>
          <t xml:space="preserve"/>
        </is>
      </c>
      <c r="H6229" s="251">
        <f>SUM(H6215:H6228)</f>
        <v>-20.257368421052735</v>
      </c>
      <c r="I6229" s="252" t="inlineStr">
        <is>
          <t xml:space="preserve">m2</t>
        </is>
      </c>
    </row>
    <row r="6230">
      <c r="A6230" s="243" t="inlineStr">
        <is>
          <t xml:space="preserve">11TH FLR</t>
        </is>
      </c>
      <c r="B6230" s="243" t="inlineStr">
        <is>
          <t xml:space="preserve">B</t>
        </is>
      </c>
      <c r="C6230" s="244" t="inlineStr">
        <is>
          <t xml:space="preserve">Interior partitions and washrooms (above wall tiling)</t>
        </is>
      </c>
      <c r="I6230" s="245" t="inlineStr">
        <is>
          <t xml:space="preserve">m2</t>
        </is>
      </c>
      <c r="K6230" s="256" t="inlineStr">
        <is>
          <t xml:space="preserve">'11TH FLR'!C191</t>
        </is>
      </c>
    </row>
    <row r="6231">
      <c r="C6231" s="246" t="inlineStr">
        <is>
          <t xml:space="preserve">washroom walls: (wet area / 3.8 m2 per WC) x 8.0 m girth x ht</t>
        </is>
      </c>
      <c r="E6231" s="247">
        <f>24.2/3.8</f>
        <v>6.368421052631579</v>
      </c>
      <c r="F6231" s="247">
        <v>8.0</v>
      </c>
      <c r="G6231" s="247">
        <v>2.9</v>
      </c>
      <c r="H6231" s="249">
        <f>PRODUCT(D6231:G6231)</f>
        <v>147.7473684210526</v>
      </c>
      <c r="J6231" s="253" t="inlineStr">
        <is>
          <t xml:space="preserve">24.2/3.8*8.0*2.9</t>
        </is>
      </c>
    </row>
    <row r="6232">
      <c r="C6232" s="246" t="inlineStr">
        <is>
          <t xml:space="preserve">Ddt washroom doors: nr x 0.75 x 2.2</t>
        </is>
      </c>
      <c r="E6232" s="247">
        <f>24.2/3.8</f>
        <v>6.368421052631579</v>
      </c>
      <c r="F6232" s="247">
        <v>0.75</v>
      </c>
      <c r="G6232" s="247">
        <v>2.2</v>
      </c>
      <c r="H6232" s="249">
        <f>-PRODUCT(D6232:G6232)</f>
        <v>-10.507894736842106</v>
      </c>
      <c r="J6232" s="253" t="inlineStr">
        <is>
          <t xml:space="preserve">-24.2/3.8*0.75*2.2</t>
        </is>
      </c>
    </row>
    <row r="6233">
      <c r="C6233" s="246" t="inlineStr">
        <is>
          <t xml:space="preserve">Ddt washroom walls: (wet area / 3.8 m2 per WC) x 8.0 m girth x ht</t>
        </is>
      </c>
      <c r="E6233" s="247">
        <f>24.2/3.8</f>
        <v>6.368421052631579</v>
      </c>
      <c r="F6233" s="247">
        <v>8.0</v>
      </c>
      <c r="G6233" s="247">
        <v>2.4</v>
      </c>
      <c r="H6233" s="249">
        <f>-PRODUCT(D6233:G6233)</f>
        <v>-122.27368421052631</v>
      </c>
      <c r="J6233" s="253" t="inlineStr">
        <is>
          <t xml:space="preserve">-24.2/3.8*8.0*2.4</t>
        </is>
      </c>
    </row>
    <row r="6234">
      <c r="C6234" s="246" t="inlineStr">
        <is>
          <t xml:space="preserve">washroom doors: nr x 0.75 x 2.2</t>
        </is>
      </c>
      <c r="E6234" s="247">
        <f>24.2/3.8</f>
        <v>6.368421052631579</v>
      </c>
      <c r="F6234" s="247">
        <v>0.75</v>
      </c>
      <c r="G6234" s="247">
        <v>2.2</v>
      </c>
      <c r="H6234" s="249">
        <f>PRODUCT(D6234:G6234)</f>
        <v>10.507894736842106</v>
      </c>
      <c r="J6234" s="253" t="inlineStr">
        <is>
          <t xml:space="preserve">24.2/3.8*0.75*2.2</t>
        </is>
      </c>
    </row>
    <row r="6235">
      <c r="C6235" s="250" t="inlineStr">
        <is>
          <t xml:space="preserve">Total carried to BOQ  11TH FLR item B</t>
        </is>
      </c>
      <c r="D6235" s="250" t="inlineStr">
        <is>
          <t xml:space="preserve"/>
        </is>
      </c>
      <c r="E6235" s="250" t="inlineStr">
        <is>
          <t xml:space="preserve"/>
        </is>
      </c>
      <c r="F6235" s="250" t="inlineStr">
        <is>
          <t xml:space="preserve"/>
        </is>
      </c>
      <c r="G6235" s="250" t="inlineStr">
        <is>
          <t xml:space="preserve"/>
        </is>
      </c>
      <c r="H6235" s="251">
        <f>SUM(H6231:H6234)</f>
        <v>25.4736842105263</v>
      </c>
      <c r="I6235" s="252" t="inlineStr">
        <is>
          <t xml:space="preserve">m2</t>
        </is>
      </c>
    </row>
    <row r="6236">
      <c r="A6236" s="243" t="inlineStr">
        <is>
          <t xml:space="preserve">11TH FLR</t>
        </is>
      </c>
      <c r="B6236" s="243" t="inlineStr">
        <is>
          <t xml:space="preserve">C</t>
        </is>
      </c>
      <c r="C6236" s="244" t="inlineStr">
        <is>
          <t xml:space="preserve">Exterior walls</t>
        </is>
      </c>
      <c r="I6236" s="245" t="inlineStr">
        <is>
          <t xml:space="preserve">m2</t>
        </is>
      </c>
      <c r="K6236" s="256" t="inlineStr">
        <is>
          <t xml:space="preserve">'11TH FLR'!C193</t>
        </is>
      </c>
    </row>
    <row r="6237">
      <c r="C6237" s="246" t="inlineStr">
        <is>
          <t xml:space="preserve">External perimeter x storey ht</t>
        </is>
      </c>
      <c r="E6237" s="247">
        <v>182.5</v>
      </c>
      <c r="F6237" s="247">
        <v>3.15</v>
      </c>
      <c r="H6237" s="249">
        <f>PRODUCT(D6237:G6237)</f>
        <v>574.875</v>
      </c>
      <c r="J6237" s="253" t="inlineStr">
        <is>
          <t xml:space="preserve">182.5*3.15</t>
        </is>
      </c>
    </row>
    <row r="6238">
      <c r="C6238" s="246" t="inlineStr">
        <is>
          <t xml:space="preserve">Ddt window HW1 (5 nr, 0.9x0.6)</t>
        </is>
      </c>
      <c r="D6238" s="248">
        <v>5</v>
      </c>
      <c r="E6238" s="247">
        <v>0.9</v>
      </c>
      <c r="F6238" s="247">
        <v>0.6</v>
      </c>
      <c r="H6238" s="249">
        <f>-PRODUCT(D6238:G6238)</f>
        <v>-2.6999999999999997</v>
      </c>
      <c r="J6238" s="253" t="inlineStr">
        <is>
          <t xml:space="preserve">-5*0.9*0.6</t>
        </is>
      </c>
    </row>
    <row r="6239">
      <c r="C6239" s="246" t="inlineStr">
        <is>
          <t xml:space="preserve">Ddt window HW2 (2 nr, 0.75x0.6)</t>
        </is>
      </c>
      <c r="D6239" s="248">
        <v>2</v>
      </c>
      <c r="E6239" s="247">
        <v>0.75</v>
      </c>
      <c r="F6239" s="247">
        <v>0.6</v>
      </c>
      <c r="H6239" s="249">
        <f>-PRODUCT(D6239:G6239)</f>
        <v>-0.8999999999999999</v>
      </c>
      <c r="J6239" s="253" t="inlineStr">
        <is>
          <t xml:space="preserve">-2*0.75*0.6</t>
        </is>
      </c>
    </row>
    <row r="6240">
      <c r="C6240" s="246" t="inlineStr">
        <is>
          <t xml:space="preserve">Ddt window HW3 (1 nr, 0.6x0.6)</t>
        </is>
      </c>
      <c r="D6240" s="248">
        <v>1</v>
      </c>
      <c r="E6240" s="247">
        <v>0.6</v>
      </c>
      <c r="F6240" s="247">
        <v>0.6</v>
      </c>
      <c r="H6240" s="249">
        <f>-PRODUCT(D6240:G6240)</f>
        <v>-0.36</v>
      </c>
      <c r="J6240" s="253" t="inlineStr">
        <is>
          <t xml:space="preserve">-1*0.6*0.6</t>
        </is>
      </c>
    </row>
    <row r="6241">
      <c r="C6241" s="246" t="inlineStr">
        <is>
          <t xml:space="preserve">Ddt window HW4 (1 nr, 1.2x0.6)</t>
        </is>
      </c>
      <c r="D6241" s="248">
        <v>1</v>
      </c>
      <c r="E6241" s="247">
        <v>1.2</v>
      </c>
      <c r="F6241" s="247">
        <v>0.6</v>
      </c>
      <c r="H6241" s="249">
        <f>-PRODUCT(D6241:G6241)</f>
        <v>-0.72</v>
      </c>
      <c r="J6241" s="253" t="inlineStr">
        <is>
          <t xml:space="preserve">-1*1.2*0.6</t>
        </is>
      </c>
    </row>
    <row r="6242">
      <c r="C6242" s="250" t="inlineStr">
        <is>
          <t xml:space="preserve">Total carried to BOQ  11TH FLR item C</t>
        </is>
      </c>
      <c r="D6242" s="250" t="inlineStr">
        <is>
          <t xml:space="preserve"/>
        </is>
      </c>
      <c r="E6242" s="250" t="inlineStr">
        <is>
          <t xml:space="preserve"/>
        </is>
      </c>
      <c r="F6242" s="250" t="inlineStr">
        <is>
          <t xml:space="preserve"/>
        </is>
      </c>
      <c r="G6242" s="250" t="inlineStr">
        <is>
          <t xml:space="preserve"/>
        </is>
      </c>
      <c r="H6242" s="251">
        <f>SUM(H6237:H6241)</f>
        <v>570.1949999999999</v>
      </c>
      <c r="I6242" s="252" t="inlineStr">
        <is>
          <t xml:space="preserve">m2</t>
        </is>
      </c>
    </row>
    <row r="6243">
      <c r="A6243" s="243" t="inlineStr">
        <is>
          <t xml:space="preserve">11TH FLR</t>
        </is>
      </c>
      <c r="B6243" s="243" t="inlineStr">
        <is>
          <t xml:space="preserve">D</t>
        </is>
      </c>
      <c r="C6243" s="244" t="inlineStr">
        <is>
          <t xml:space="preserve">Soffit of plaster board ceilings</t>
        </is>
      </c>
      <c r="I6243" s="245" t="inlineStr">
        <is>
          <t xml:space="preserve">m2</t>
        </is>
      </c>
      <c r="K6243" s="256" t="inlineStr">
        <is>
          <t xml:space="preserve">'11TH FLR'!C195</t>
        </is>
      </c>
    </row>
    <row r="6244">
      <c r="C6244" s="246" t="inlineStr">
        <is>
          <t xml:space="preserve">Roof top terrace - Ceiling areas (measured)</t>
        </is>
      </c>
      <c r="H6244" s="247">
        <v>295.2</v>
      </c>
      <c r="J6244" s="253" t="inlineStr">
        <is>
          <t xml:space="preserve">295.2</t>
        </is>
      </c>
    </row>
    <row r="6245">
      <c r="C6245" s="250" t="inlineStr">
        <is>
          <t xml:space="preserve">Total carried to BOQ  11TH FLR item D</t>
        </is>
      </c>
      <c r="D6245" s="250" t="inlineStr">
        <is>
          <t xml:space="preserve"/>
        </is>
      </c>
      <c r="E6245" s="250" t="inlineStr">
        <is>
          <t xml:space="preserve"/>
        </is>
      </c>
      <c r="F6245" s="250" t="inlineStr">
        <is>
          <t xml:space="preserve"/>
        </is>
      </c>
      <c r="G6245" s="250" t="inlineStr">
        <is>
          <t xml:space="preserve"/>
        </is>
      </c>
      <c r="H6245" s="251">
        <f>SUM(H6244:H6244)</f>
        <v>295.2</v>
      </c>
      <c r="I6245" s="252" t="inlineStr">
        <is>
          <t xml:space="preserve">m2</t>
        </is>
      </c>
    </row>
    <row r="6246">
      <c r="A6246" s="243" t="inlineStr">
        <is>
          <t xml:space="preserve">11TH FLR</t>
        </is>
      </c>
      <c r="B6246" s="243" t="inlineStr">
        <is>
          <t xml:space="preserve">E</t>
        </is>
      </c>
      <c r="C6246" s="244" t="inlineStr">
        <is>
          <t xml:space="preserve">Soffit of plaster board ceilings for washrooms</t>
        </is>
      </c>
      <c r="I6246" s="245" t="inlineStr">
        <is>
          <t xml:space="preserve">m2</t>
        </is>
      </c>
      <c r="K6246" s="256" t="inlineStr">
        <is>
          <t xml:space="preserve">'11TH FLR'!C197</t>
        </is>
      </c>
    </row>
    <row r="6247">
      <c r="C6247" s="246" t="inlineStr">
        <is>
          <t xml:space="preserve">Roof top terrace - Washroom ceiling areas (measured)</t>
        </is>
      </c>
      <c r="H6247" s="247">
        <v>24.2</v>
      </c>
      <c r="J6247" s="253" t="inlineStr">
        <is>
          <t xml:space="preserve">24.2</t>
        </is>
      </c>
    </row>
    <row r="6248">
      <c r="C6248" s="250" t="inlineStr">
        <is>
          <t xml:space="preserve">Total carried to BOQ  11TH FLR item E</t>
        </is>
      </c>
      <c r="D6248" s="250" t="inlineStr">
        <is>
          <t xml:space="preserve"/>
        </is>
      </c>
      <c r="E6248" s="250" t="inlineStr">
        <is>
          <t xml:space="preserve"/>
        </is>
      </c>
      <c r="F6248" s="250" t="inlineStr">
        <is>
          <t xml:space="preserve"/>
        </is>
      </c>
      <c r="G6248" s="250" t="inlineStr">
        <is>
          <t xml:space="preserve"/>
        </is>
      </c>
      <c r="H6248" s="251">
        <f>SUM(H6247:H6247)</f>
        <v>24.2</v>
      </c>
      <c r="I6248" s="252" t="inlineStr">
        <is>
          <t xml:space="preserve">m2</t>
        </is>
      </c>
    </row>
    <row r="6249" ht="32.2" customHeight="1">
      <c r="A6249" s="243" t="inlineStr">
        <is>
          <t xml:space="preserve">11TH FLR</t>
        </is>
      </c>
      <c r="B6249" s="243" t="inlineStr">
        <is>
          <t xml:space="preserve">F</t>
        </is>
      </c>
      <c r="C6249" s="244" t="inlineStr">
        <is>
          <t xml:space="preserve">Knot, prime, stop and apply two undercoats and one finishing coat of gloss oil paint on general surfaces of woodwork</t>
        </is>
      </c>
      <c r="I6249" s="245" t="inlineStr">
        <is>
          <t xml:space="preserve">m2</t>
        </is>
      </c>
      <c r="K6249" s="256" t="inlineStr">
        <is>
          <t xml:space="preserve">'11TH FLR'!C199</t>
        </is>
      </c>
    </row>
    <row r="6250">
      <c r="C6250" s="246" t="inlineStr">
        <is>
          <t xml:space="preserve">Door leaf D3 (7 nr, 0.9x2.2): nr x w x h x 2 faces</t>
        </is>
      </c>
      <c r="D6250" s="248">
        <v>7</v>
      </c>
      <c r="E6250" s="247">
        <v>0.9</v>
      </c>
      <c r="F6250" s="247">
        <v>2.2</v>
      </c>
      <c r="G6250" s="247">
        <v>2</v>
      </c>
      <c r="H6250" s="249">
        <f>PRODUCT(D6250:G6250)</f>
        <v>27.720000000000002</v>
      </c>
      <c r="J6250" s="253" t="inlineStr">
        <is>
          <t xml:space="preserve">7*0.9*2.2*2</t>
        </is>
      </c>
    </row>
    <row r="6251">
      <c r="C6251" s="246" t="inlineStr">
        <is>
          <t xml:space="preserve">Door leaf D6 (8 nr, 0.75x2.2): nr x w x h x 2 faces</t>
        </is>
      </c>
      <c r="D6251" s="248">
        <v>8</v>
      </c>
      <c r="E6251" s="247">
        <v>0.75</v>
      </c>
      <c r="F6251" s="247">
        <v>2.2</v>
      </c>
      <c r="G6251" s="247">
        <v>2</v>
      </c>
      <c r="H6251" s="249">
        <f>PRODUCT(D6251:G6251)</f>
        <v>26.400000000000002</v>
      </c>
      <c r="J6251" s="253" t="inlineStr">
        <is>
          <t xml:space="preserve">8*0.75*2.2*2</t>
        </is>
      </c>
    </row>
    <row r="6252">
      <c r="C6252" s="246" t="inlineStr">
        <is>
          <t xml:space="preserve">7*(2*2.2+0.9)*0.25</t>
        </is>
      </c>
      <c r="D6252" s="248">
        <v>7</v>
      </c>
      <c r="E6252" s="247">
        <f>2*2.2+0.9</f>
        <v>5.300000000000001</v>
      </c>
      <c r="F6252" s="247">
        <v>0.25</v>
      </c>
      <c r="H6252" s="249">
        <f>PRODUCT(D6252:G6252)</f>
        <v>9.275000000000002</v>
      </c>
      <c r="J6252" s="253" t="inlineStr">
        <is>
          <t xml:space="preserve">7*(2*2.2+0.9)*0.25</t>
        </is>
      </c>
    </row>
    <row r="6253">
      <c r="C6253" s="246" t="inlineStr">
        <is>
          <t xml:space="preserve">8*(2*2.2+0.75)*0.25</t>
        </is>
      </c>
      <c r="D6253" s="248">
        <v>8</v>
      </c>
      <c r="E6253" s="247">
        <f>2*2.2+0.75</f>
        <v>5.15</v>
      </c>
      <c r="F6253" s="247">
        <v>0.25</v>
      </c>
      <c r="H6253" s="249">
        <f>PRODUCT(D6253:G6253)</f>
        <v>10.3</v>
      </c>
      <c r="J6253" s="253" t="inlineStr">
        <is>
          <t xml:space="preserve">8*(2*2.2+0.75)*0.25</t>
        </is>
      </c>
    </row>
    <row r="6254">
      <c r="C6254" s="250" t="inlineStr">
        <is>
          <t xml:space="preserve">Total carried to BOQ  11TH FLR item F</t>
        </is>
      </c>
      <c r="D6254" s="250" t="inlineStr">
        <is>
          <t xml:space="preserve"/>
        </is>
      </c>
      <c r="E6254" s="250" t="inlineStr">
        <is>
          <t xml:space="preserve"/>
        </is>
      </c>
      <c r="F6254" s="250" t="inlineStr">
        <is>
          <t xml:space="preserve"/>
        </is>
      </c>
      <c r="G6254" s="250" t="inlineStr">
        <is>
          <t xml:space="preserve"/>
        </is>
      </c>
      <c r="H6254" s="251">
        <f>SUM(H6250:H6253)</f>
        <v>73.69500000000001</v>
      </c>
      <c r="I6254" s="252" t="inlineStr">
        <is>
          <t xml:space="preserve">m2</t>
        </is>
      </c>
    </row>
    <row r="6255" ht="32.2" customHeight="1">
      <c r="A6255" s="243" t="inlineStr">
        <is>
          <t xml:space="preserve">11TH FLR</t>
        </is>
      </c>
      <c r="B6255" s="243" t="inlineStr">
        <is>
          <t xml:space="preserve">G</t>
        </is>
      </c>
      <c r="C6255" s="244" t="inlineStr">
        <is>
          <t xml:space="preserve">Prepare and apply one coat of aluminium primer on mild steel burglar-proof bars (measured over window opening area)</t>
        </is>
      </c>
      <c r="I6255" s="245" t="inlineStr">
        <is>
          <t xml:space="preserve">m2</t>
        </is>
      </c>
      <c r="K6255" s="256" t="inlineStr">
        <is>
          <t xml:space="preserve">'11TH FLR'!C201</t>
        </is>
      </c>
    </row>
    <row r="6256">
      <c r="C6256" s="246" t="inlineStr">
        <is>
          <t xml:space="preserve">Window HW1 (5 nr, 0.9x0.6): nr x w x h</t>
        </is>
      </c>
      <c r="D6256" s="248">
        <v>5</v>
      </c>
      <c r="E6256" s="247">
        <v>0.9</v>
      </c>
      <c r="F6256" s="247">
        <v>0.6</v>
      </c>
      <c r="H6256" s="249">
        <f>PRODUCT(D6256:G6256)</f>
        <v>2.6999999999999997</v>
      </c>
      <c r="J6256" s="253" t="inlineStr">
        <is>
          <t xml:space="preserve">5*0.9*0.6</t>
        </is>
      </c>
    </row>
    <row r="6257">
      <c r="C6257" s="246" t="inlineStr">
        <is>
          <t xml:space="preserve">Window HW2 (2 nr, 0.75x0.6): nr x w x h</t>
        </is>
      </c>
      <c r="D6257" s="248">
        <v>2</v>
      </c>
      <c r="E6257" s="247">
        <v>0.75</v>
      </c>
      <c r="F6257" s="247">
        <v>0.6</v>
      </c>
      <c r="H6257" s="249">
        <f>PRODUCT(D6257:G6257)</f>
        <v>0.8999999999999999</v>
      </c>
      <c r="J6257" s="253" t="inlineStr">
        <is>
          <t xml:space="preserve">2*0.75*0.6</t>
        </is>
      </c>
    </row>
    <row r="6258">
      <c r="C6258" s="246" t="inlineStr">
        <is>
          <t xml:space="preserve">Window HW3 (1 nr, 0.6x0.6): nr x w x h</t>
        </is>
      </c>
      <c r="D6258" s="248">
        <v>1</v>
      </c>
      <c r="E6258" s="247">
        <v>0.6</v>
      </c>
      <c r="F6258" s="247">
        <v>0.6</v>
      </c>
      <c r="H6258" s="249">
        <f>PRODUCT(D6258:G6258)</f>
        <v>0.36</v>
      </c>
      <c r="J6258" s="253" t="inlineStr">
        <is>
          <t xml:space="preserve">1*0.6*0.6</t>
        </is>
      </c>
    </row>
    <row r="6259">
      <c r="C6259" s="246" t="inlineStr">
        <is>
          <t xml:space="preserve">Window HW4 (1 nr, 1.2x0.6): nr x w x h</t>
        </is>
      </c>
      <c r="D6259" s="248">
        <v>1</v>
      </c>
      <c r="E6259" s="247">
        <v>1.2</v>
      </c>
      <c r="F6259" s="247">
        <v>0.6</v>
      </c>
      <c r="H6259" s="249">
        <f>PRODUCT(D6259:G6259)</f>
        <v>0.72</v>
      </c>
      <c r="J6259" s="253" t="inlineStr">
        <is>
          <t xml:space="preserve">1*1.2*0.6</t>
        </is>
      </c>
    </row>
    <row r="6260">
      <c r="C6260" s="250" t="inlineStr">
        <is>
          <t xml:space="preserve">Total carried to BOQ  11TH FLR item G</t>
        </is>
      </c>
      <c r="D6260" s="250" t="inlineStr">
        <is>
          <t xml:space="preserve"/>
        </is>
      </c>
      <c r="E6260" s="250" t="inlineStr">
        <is>
          <t xml:space="preserve"/>
        </is>
      </c>
      <c r="F6260" s="250" t="inlineStr">
        <is>
          <t xml:space="preserve"/>
        </is>
      </c>
      <c r="G6260" s="250" t="inlineStr">
        <is>
          <t xml:space="preserve"/>
        </is>
      </c>
      <c r="H6260" s="251">
        <f>SUM(H6256:H6259)</f>
        <v>4.68</v>
      </c>
      <c r="I6260" s="252" t="inlineStr">
        <is>
          <t xml:space="preserve">m2</t>
        </is>
      </c>
    </row>
    <row r="6261">
      <c r="C6261" s="242" t="inlineStr">
        <is>
          <t xml:space="preserve">Doors and windows: schedules ARCH-501/502 give building totals only (no tags on plans); quantities are allocated to floors pro-rata to measured habitable / washroom areas. Building totals equal the schedules.</t>
        </is>
      </c>
    </row>
    <row r="6262"/>
    <row r="6263" ht="21" customHeight="1">
      <c r="A6263" s="241" t="inlineStr">
        <is>
          <t xml:space="preserve">BILL NR. 15 - ROOF LEVEL  -  TWELFTH LEVEL - ROOF LEVEL &amp; TOP OF LIFT CORE</t>
        </is>
      </c>
      <c r="B6263" s="241" t="inlineStr">
        <is>
          <t xml:space="preserve"/>
        </is>
      </c>
      <c r="C6263" s="241" t="inlineStr">
        <is>
          <t xml:space="preserve"/>
        </is>
      </c>
      <c r="D6263" s="241" t="inlineStr">
        <is>
          <t xml:space="preserve"/>
        </is>
      </c>
      <c r="E6263" s="241" t="inlineStr">
        <is>
          <t xml:space="preserve"/>
        </is>
      </c>
      <c r="F6263" s="241" t="inlineStr">
        <is>
          <t xml:space="preserve"/>
        </is>
      </c>
      <c r="G6263" s="241" t="inlineStr">
        <is>
          <t xml:space="preserve"/>
        </is>
      </c>
      <c r="H6263" s="241" t="inlineStr">
        <is>
          <t xml:space="preserve"/>
        </is>
      </c>
      <c r="I6263" s="241" t="inlineStr">
        <is>
          <t xml:space="preserve"/>
        </is>
      </c>
      <c r="J6263" s="241" t="inlineStr">
        <is>
          <t xml:space="preserve"/>
        </is>
      </c>
      <c r="K6263" s="241" t="inlineStr">
        <is>
          <t xml:space="preserve"/>
        </is>
      </c>
    </row>
    <row r="6264">
      <c r="C6264" s="242" t="inlineStr">
        <is>
          <t xml:space="preserve">ELEMENT NO. 1: IN SITU CONCRETE/LARGE PRECAST CONCRETE</t>
        </is>
      </c>
    </row>
    <row r="6265">
      <c r="C6265" s="242" t="inlineStr">
        <is>
          <t xml:space="preserve">Vibrated in-situ concrete C40 as described in:</t>
        </is>
      </c>
    </row>
    <row r="6266">
      <c r="A6266" s="243" t="inlineStr">
        <is>
          <t xml:space="preserve">12TH FLR</t>
        </is>
      </c>
      <c r="B6266" s="243" t="inlineStr">
        <is>
          <t xml:space="preserve">A</t>
        </is>
      </c>
      <c r="C6266" s="244" t="inlineStr">
        <is>
          <t xml:space="preserve">Suspended roof slab 150mm thick (roof level &amp; top of lift core)</t>
        </is>
      </c>
      <c r="I6266" s="245" t="inlineStr">
        <is>
          <t xml:space="preserve">m3</t>
        </is>
      </c>
      <c r="K6266" s="256" t="inlineStr">
        <is>
          <t xml:space="preserve">'12TH FLR '!C28</t>
        </is>
      </c>
    </row>
    <row r="6267">
      <c r="C6267" s="246" t="inlineStr">
        <is>
          <t xml:space="preserve">Roof slab 150 thk: area x thk</t>
        </is>
      </c>
      <c r="E6267" s="247">
        <v>176.3</v>
      </c>
      <c r="F6267" s="247">
        <v>0.15</v>
      </c>
      <c r="H6267" s="249">
        <f>PRODUCT(D6267:G6267)</f>
        <v>26.445</v>
      </c>
      <c r="J6267" s="253" t="inlineStr">
        <is>
          <t xml:space="preserve">176.3*0.15</t>
        </is>
      </c>
    </row>
    <row r="6268">
      <c r="C6268" s="246" t="inlineStr">
        <is>
          <t xml:space="preserve">Roof slab 150 thk: area x thk</t>
        </is>
      </c>
      <c r="E6268" s="247">
        <v>16.3</v>
      </c>
      <c r="F6268" s="247">
        <v>0.15</v>
      </c>
      <c r="H6268" s="249">
        <f>PRODUCT(D6268:G6268)</f>
        <v>2.445</v>
      </c>
      <c r="J6268" s="253" t="inlineStr">
        <is>
          <t xml:space="preserve">16.3*0.15</t>
        </is>
      </c>
    </row>
    <row r="6269">
      <c r="C6269" s="250" t="inlineStr">
        <is>
          <t xml:space="preserve">Total carried to BOQ  12TH FLR item A</t>
        </is>
      </c>
      <c r="D6269" s="250" t="inlineStr">
        <is>
          <t xml:space="preserve"/>
        </is>
      </c>
      <c r="E6269" s="250" t="inlineStr">
        <is>
          <t xml:space="preserve"/>
        </is>
      </c>
      <c r="F6269" s="250" t="inlineStr">
        <is>
          <t xml:space="preserve"/>
        </is>
      </c>
      <c r="G6269" s="250" t="inlineStr">
        <is>
          <t xml:space="preserve"/>
        </is>
      </c>
      <c r="H6269" s="251">
        <f>SUM(H6267:H6268)</f>
        <v>28.89</v>
      </c>
      <c r="I6269" s="252" t="inlineStr">
        <is>
          <t xml:space="preserve">m3</t>
        </is>
      </c>
    </row>
    <row r="6270">
      <c r="A6270" s="243" t="inlineStr">
        <is>
          <t xml:space="preserve">12TH FLR</t>
        </is>
      </c>
      <c r="B6270" s="243" t="inlineStr">
        <is>
          <t xml:space="preserve">B</t>
        </is>
      </c>
      <c r="C6270" s="244" t="inlineStr">
        <is>
          <t xml:space="preserve">Beams (downstands below slab)</t>
        </is>
      </c>
      <c r="I6270" s="245" t="inlineStr">
        <is>
          <t xml:space="preserve">m3</t>
        </is>
      </c>
      <c r="K6270" s="256" t="inlineStr">
        <is>
          <t xml:space="preserve">'12TH FLR '!C30</t>
        </is>
      </c>
    </row>
    <row r="6271">
      <c r="C6271" s="246" t="inlineStr">
        <is>
          <t xml:space="preserve">Roof level / lift core roof - Downstand beams: length x width x depth</t>
        </is>
      </c>
      <c r="E6271" s="247">
        <v>31.4</v>
      </c>
      <c r="F6271" s="247">
        <v>0.25</v>
      </c>
      <c r="G6271" s="247">
        <v>0.45</v>
      </c>
      <c r="H6271" s="249">
        <f>PRODUCT(D6271:G6271)</f>
        <v>3.5324999999999998</v>
      </c>
      <c r="J6271" s="253" t="inlineStr">
        <is>
          <t xml:space="preserve">31.4*0.25*0.45</t>
        </is>
      </c>
    </row>
    <row r="6272">
      <c r="C6272" s="246" t="inlineStr">
        <is>
          <t xml:space="preserve">Roof level / lift core roof - Downstand beams: length x width x depth</t>
        </is>
      </c>
      <c r="E6272" s="247">
        <v>34.0</v>
      </c>
      <c r="F6272" s="247">
        <v>0.2</v>
      </c>
      <c r="G6272" s="247">
        <v>0.3</v>
      </c>
      <c r="H6272" s="249">
        <f>PRODUCT(D6272:G6272)</f>
        <v>2.04</v>
      </c>
      <c r="J6272" s="253" t="inlineStr">
        <is>
          <t xml:space="preserve">34.0*0.2*0.3</t>
        </is>
      </c>
    </row>
    <row r="6273">
      <c r="C6273" s="250" t="inlineStr">
        <is>
          <t xml:space="preserve">Total carried to BOQ  12TH FLR item B</t>
        </is>
      </c>
      <c r="D6273" s="250" t="inlineStr">
        <is>
          <t xml:space="preserve"/>
        </is>
      </c>
      <c r="E6273" s="250" t="inlineStr">
        <is>
          <t xml:space="preserve"/>
        </is>
      </c>
      <c r="F6273" s="250" t="inlineStr">
        <is>
          <t xml:space="preserve"/>
        </is>
      </c>
      <c r="G6273" s="250" t="inlineStr">
        <is>
          <t xml:space="preserve"/>
        </is>
      </c>
      <c r="H6273" s="251">
        <f>SUM(H6271:H6272)</f>
        <v>5.5725</v>
      </c>
      <c r="I6273" s="252" t="inlineStr">
        <is>
          <t xml:space="preserve">m3</t>
        </is>
      </c>
    </row>
    <row r="6274">
      <c r="A6274" s="243" t="inlineStr">
        <is>
          <t xml:space="preserve">12TH FLR</t>
        </is>
      </c>
      <c r="B6274" s="243" t="inlineStr">
        <is>
          <t xml:space="preserve">C</t>
        </is>
      </c>
      <c r="C6274" s="244" t="inlineStr">
        <is>
          <t xml:space="preserve">Concrete wall - lift walls, 250mm thick</t>
        </is>
      </c>
      <c r="I6274" s="245" t="inlineStr">
        <is>
          <t xml:space="preserve">m3</t>
        </is>
      </c>
      <c r="K6274" s="256" t="inlineStr">
        <is>
          <t xml:space="preserve">'12TH FLR '!C32</t>
        </is>
      </c>
    </row>
    <row r="6275">
      <c r="C6275" s="246" t="inlineStr">
        <is>
          <t xml:space="preserve">Lift overrun (roof to top of lift core, 4.05 high) - lift core walls: run x ht x 250 thk</t>
        </is>
      </c>
      <c r="E6275" s="247">
        <v>21.825</v>
      </c>
      <c r="F6275" s="247">
        <v>4.05</v>
      </c>
      <c r="G6275" s="247">
        <v>0.25</v>
      </c>
      <c r="H6275" s="249">
        <f>PRODUCT(D6275:G6275)</f>
        <v>22.0978125</v>
      </c>
      <c r="J6275" s="253" t="inlineStr">
        <is>
          <t xml:space="preserve">21.825*4.05*0.25</t>
        </is>
      </c>
    </row>
    <row r="6276">
      <c r="C6276" s="250" t="inlineStr">
        <is>
          <t xml:space="preserve">Total carried to BOQ  12TH FLR item C</t>
        </is>
      </c>
      <c r="D6276" s="250" t="inlineStr">
        <is>
          <t xml:space="preserve"/>
        </is>
      </c>
      <c r="E6276" s="250" t="inlineStr">
        <is>
          <t xml:space="preserve"/>
        </is>
      </c>
      <c r="F6276" s="250" t="inlineStr">
        <is>
          <t xml:space="preserve"/>
        </is>
      </c>
      <c r="G6276" s="250" t="inlineStr">
        <is>
          <t xml:space="preserve"/>
        </is>
      </c>
      <c r="H6276" s="251">
        <f>SUM(H6275:H6275)</f>
        <v>22.0978125</v>
      </c>
      <c r="I6276" s="252" t="inlineStr">
        <is>
          <t xml:space="preserve">m3</t>
        </is>
      </c>
    </row>
    <row r="6277">
      <c r="A6277" s="243" t="inlineStr">
        <is>
          <t xml:space="preserve">12TH FLR</t>
        </is>
      </c>
      <c r="B6277" s="243" t="inlineStr">
        <is>
          <t xml:space="preserve">D</t>
        </is>
      </c>
      <c r="C6277" s="244" t="inlineStr">
        <is>
          <t xml:space="preserve">Copings 300 x 150mm to parapets</t>
        </is>
      </c>
      <c r="I6277" s="245" t="inlineStr">
        <is>
          <t xml:space="preserve">m3</t>
        </is>
      </c>
      <c r="K6277" s="256" t="inlineStr">
        <is>
          <t xml:space="preserve">'12TH FLR '!C34</t>
        </is>
      </c>
    </row>
    <row r="6278">
      <c r="C6278" s="246" t="inlineStr">
        <is>
          <t xml:space="preserve">Parapet coping: length x 300 x 150</t>
        </is>
      </c>
      <c r="E6278" s="247">
        <f>105.0+17.3</f>
        <v>122.3</v>
      </c>
      <c r="F6278" s="247">
        <v>0.3</v>
      </c>
      <c r="G6278" s="247">
        <v>0.15</v>
      </c>
      <c r="H6278" s="249">
        <f>PRODUCT(D6278:G6278)</f>
        <v>5.5035</v>
      </c>
      <c r="J6278" s="253" t="inlineStr">
        <is>
          <t xml:space="preserve">(105.0+17.3)*0.3*0.15</t>
        </is>
      </c>
    </row>
    <row r="6279">
      <c r="C6279" s="250" t="inlineStr">
        <is>
          <t xml:space="preserve">Total carried to BOQ  12TH FLR item D</t>
        </is>
      </c>
      <c r="D6279" s="250" t="inlineStr">
        <is>
          <t xml:space="preserve"/>
        </is>
      </c>
      <c r="E6279" s="250" t="inlineStr">
        <is>
          <t xml:space="preserve"/>
        </is>
      </c>
      <c r="F6279" s="250" t="inlineStr">
        <is>
          <t xml:space="preserve"/>
        </is>
      </c>
      <c r="G6279" s="250" t="inlineStr">
        <is>
          <t xml:space="preserve"/>
        </is>
      </c>
      <c r="H6279" s="251">
        <f>SUM(H6278:H6278)</f>
        <v>5.5035</v>
      </c>
      <c r="I6279" s="252" t="inlineStr">
        <is>
          <t xml:space="preserve">m3</t>
        </is>
      </c>
    </row>
    <row r="6280">
      <c r="C6280" s="242" t="inlineStr">
        <is>
          <t xml:space="preserve">E20 FORMWORK - Formwork as described to:</t>
        </is>
      </c>
    </row>
    <row r="6281">
      <c r="A6281" s="243" t="inlineStr">
        <is>
          <t xml:space="preserve">12TH FLR</t>
        </is>
      </c>
      <c r="B6281" s="243" t="inlineStr">
        <is>
          <t xml:space="preserve">E</t>
        </is>
      </c>
      <c r="C6281" s="244" t="inlineStr">
        <is>
          <t xml:space="preserve">Soffits of suspended slab</t>
        </is>
      </c>
      <c r="I6281" s="245" t="inlineStr">
        <is>
          <t xml:space="preserve">m2</t>
        </is>
      </c>
      <c r="K6281" s="256" t="inlineStr">
        <is>
          <t xml:space="preserve">'12TH FLR '!C37</t>
        </is>
      </c>
    </row>
    <row r="6282">
      <c r="C6282" s="246" t="inlineStr">
        <is>
          <t xml:space="preserve">Roof level slab (measured area)</t>
        </is>
      </c>
      <c r="H6282" s="247">
        <v>176.3</v>
      </c>
      <c r="J6282" s="253" t="inlineStr">
        <is>
          <t xml:space="preserve">176.3</t>
        </is>
      </c>
    </row>
    <row r="6283">
      <c r="C6283" s="246" t="inlineStr">
        <is>
          <t xml:space="preserve">Top of lift core slab (measured area)</t>
        </is>
      </c>
      <c r="H6283" s="247">
        <v>16.3</v>
      </c>
      <c r="J6283" s="253" t="inlineStr">
        <is>
          <t xml:space="preserve">16.3</t>
        </is>
      </c>
    </row>
    <row r="6284">
      <c r="C6284" s="250" t="inlineStr">
        <is>
          <t xml:space="preserve">Total carried to BOQ  12TH FLR item E</t>
        </is>
      </c>
      <c r="D6284" s="250" t="inlineStr">
        <is>
          <t xml:space="preserve"/>
        </is>
      </c>
      <c r="E6284" s="250" t="inlineStr">
        <is>
          <t xml:space="preserve"/>
        </is>
      </c>
      <c r="F6284" s="250" t="inlineStr">
        <is>
          <t xml:space="preserve"/>
        </is>
      </c>
      <c r="G6284" s="250" t="inlineStr">
        <is>
          <t xml:space="preserve"/>
        </is>
      </c>
      <c r="H6284" s="251">
        <f>SUM(H6282:H6283)</f>
        <v>192.60000000000002</v>
      </c>
      <c r="I6284" s="252" t="inlineStr">
        <is>
          <t xml:space="preserve">m2</t>
        </is>
      </c>
    </row>
    <row r="6285">
      <c r="A6285" s="243" t="inlineStr">
        <is>
          <t xml:space="preserve">12TH FLR</t>
        </is>
      </c>
      <c r="B6285" s="243" t="inlineStr">
        <is>
          <t xml:space="preserve">F</t>
        </is>
      </c>
      <c r="C6285" s="244" t="inlineStr">
        <is>
          <t xml:space="preserve">Edges of suspended slab 250mm high</t>
        </is>
      </c>
      <c r="I6285" s="245" t="inlineStr">
        <is>
          <t xml:space="preserve">m</t>
        </is>
      </c>
      <c r="K6285" s="256" t="inlineStr">
        <is>
          <t xml:space="preserve">'12TH FLR '!C39</t>
        </is>
      </c>
    </row>
    <row r="6286">
      <c r="C6286" s="246" t="inlineStr">
        <is>
          <t xml:space="preserve">Roof level / lift core roof - Slab edge: measured perimeter</t>
        </is>
      </c>
      <c r="H6286" s="247">
        <v>159.3</v>
      </c>
      <c r="J6286" s="253" t="inlineStr">
        <is>
          <t xml:space="preserve">159.3</t>
        </is>
      </c>
    </row>
    <row r="6287">
      <c r="C6287" s="246" t="inlineStr">
        <is>
          <t xml:space="preserve">Lift core roof perimeter (measured)</t>
        </is>
      </c>
      <c r="H6287" s="247">
        <v>17.3</v>
      </c>
      <c r="J6287" s="253" t="inlineStr">
        <is>
          <t xml:space="preserve">17.3</t>
        </is>
      </c>
    </row>
    <row r="6288">
      <c r="C6288" s="250" t="inlineStr">
        <is>
          <t xml:space="preserve">Total carried to BOQ  12TH FLR item F</t>
        </is>
      </c>
      <c r="D6288" s="250" t="inlineStr">
        <is>
          <t xml:space="preserve"/>
        </is>
      </c>
      <c r="E6288" s="250" t="inlineStr">
        <is>
          <t xml:space="preserve"/>
        </is>
      </c>
      <c r="F6288" s="250" t="inlineStr">
        <is>
          <t xml:space="preserve"/>
        </is>
      </c>
      <c r="G6288" s="250" t="inlineStr">
        <is>
          <t xml:space="preserve"/>
        </is>
      </c>
      <c r="H6288" s="251">
        <f>SUM(H6286:H6287)</f>
        <v>176.60000000000002</v>
      </c>
      <c r="I6288" s="252" t="inlineStr">
        <is>
          <t xml:space="preserve">m</t>
        </is>
      </c>
    </row>
    <row r="6289">
      <c r="A6289" s="243" t="inlineStr">
        <is>
          <t xml:space="preserve">12TH FLR</t>
        </is>
      </c>
      <c r="B6289" s="243" t="inlineStr">
        <is>
          <t xml:space="preserve">G</t>
        </is>
      </c>
      <c r="C6289" s="244" t="inlineStr">
        <is>
          <t xml:space="preserve">Sides and soffits of beams</t>
        </is>
      </c>
      <c r="I6289" s="245" t="inlineStr">
        <is>
          <t xml:space="preserve">m2</t>
        </is>
      </c>
      <c r="K6289" s="256" t="inlineStr">
        <is>
          <t xml:space="preserve">'12TH FLR '!C41</t>
        </is>
      </c>
    </row>
    <row r="6290">
      <c r="C6290" s="246" t="inlineStr">
        <is>
          <t xml:space="preserve">Roof level / lift core roof - Beam sides &amp; soffit: length x (2 x depth + width)</t>
        </is>
      </c>
      <c r="E6290" s="247">
        <v>31.4</v>
      </c>
      <c r="F6290" s="247">
        <f>2*0.45+0.25</f>
        <v>1.15</v>
      </c>
      <c r="H6290" s="249">
        <f>PRODUCT(D6290:G6290)</f>
        <v>36.10999999999999</v>
      </c>
      <c r="J6290" s="253" t="inlineStr">
        <is>
          <t xml:space="preserve">31.4*(2*0.45+0.25)</t>
        </is>
      </c>
    </row>
    <row r="6291">
      <c r="C6291" s="246" t="inlineStr">
        <is>
          <t xml:space="preserve">Roof level / lift core roof - Beam sides &amp; soffit: length x (2 x depth + width)</t>
        </is>
      </c>
      <c r="E6291" s="247">
        <v>34.0</v>
      </c>
      <c r="F6291" s="247">
        <f>2*0.3+0.2</f>
        <v>0.8</v>
      </c>
      <c r="H6291" s="249">
        <f>PRODUCT(D6291:G6291)</f>
        <v>27.200000000000003</v>
      </c>
      <c r="J6291" s="253" t="inlineStr">
        <is>
          <t xml:space="preserve">34.0*(2*0.3+0.2)</t>
        </is>
      </c>
    </row>
    <row r="6292">
      <c r="C6292" s="250" t="inlineStr">
        <is>
          <t xml:space="preserve">Total carried to BOQ  12TH FLR item G</t>
        </is>
      </c>
      <c r="D6292" s="250" t="inlineStr">
        <is>
          <t xml:space="preserve"/>
        </is>
      </c>
      <c r="E6292" s="250" t="inlineStr">
        <is>
          <t xml:space="preserve"/>
        </is>
      </c>
      <c r="F6292" s="250" t="inlineStr">
        <is>
          <t xml:space="preserve"/>
        </is>
      </c>
      <c r="G6292" s="250" t="inlineStr">
        <is>
          <t xml:space="preserve"/>
        </is>
      </c>
      <c r="H6292" s="251">
        <f>SUM(H6290:H6291)</f>
        <v>63.309999999999995</v>
      </c>
      <c r="I6292" s="252" t="inlineStr">
        <is>
          <t xml:space="preserve">m2</t>
        </is>
      </c>
    </row>
    <row r="6293">
      <c r="A6293" s="243" t="inlineStr">
        <is>
          <t xml:space="preserve">12TH FLR</t>
        </is>
      </c>
      <c r="B6293" s="243" t="inlineStr">
        <is>
          <t xml:space="preserve">H</t>
        </is>
      </c>
      <c r="C6293" s="244" t="inlineStr">
        <is>
          <t xml:space="preserve">Concrete wall (both faces)</t>
        </is>
      </c>
      <c r="I6293" s="245" t="inlineStr">
        <is>
          <t xml:space="preserve">m2</t>
        </is>
      </c>
      <c r="K6293" s="256" t="inlineStr">
        <is>
          <t xml:space="preserve">'12TH FLR '!C43</t>
        </is>
      </c>
    </row>
    <row r="6294">
      <c r="C6294" s="246" t="inlineStr">
        <is>
          <t xml:space="preserve">Lift overrun (roof to top of lift core, 4.05 high) - lift core walls (both faces)</t>
        </is>
      </c>
      <c r="D6294" s="248">
        <v>2</v>
      </c>
      <c r="E6294" s="247">
        <v>21.825</v>
      </c>
      <c r="F6294" s="247">
        <v>4.05</v>
      </c>
      <c r="H6294" s="249">
        <f>PRODUCT(D6294:G6294)</f>
        <v>176.7825</v>
      </c>
      <c r="J6294" s="253" t="inlineStr">
        <is>
          <t xml:space="preserve">2*21.825*4.05</t>
        </is>
      </c>
    </row>
    <row r="6295">
      <c r="C6295" s="250" t="inlineStr">
        <is>
          <t xml:space="preserve">Total carried to BOQ  12TH FLR item H</t>
        </is>
      </c>
      <c r="D6295" s="250" t="inlineStr">
        <is>
          <t xml:space="preserve"/>
        </is>
      </c>
      <c r="E6295" s="250" t="inlineStr">
        <is>
          <t xml:space="preserve"/>
        </is>
      </c>
      <c r="F6295" s="250" t="inlineStr">
        <is>
          <t xml:space="preserve"/>
        </is>
      </c>
      <c r="G6295" s="250" t="inlineStr">
        <is>
          <t xml:space="preserve"/>
        </is>
      </c>
      <c r="H6295" s="251">
        <f>SUM(H6294:H6294)</f>
        <v>176.7825</v>
      </c>
      <c r="I6295" s="252" t="inlineStr">
        <is>
          <t xml:space="preserve">m2</t>
        </is>
      </c>
    </row>
    <row r="6296">
      <c r="A6296" s="243" t="inlineStr">
        <is>
          <t xml:space="preserve">12TH FLR</t>
        </is>
      </c>
      <c r="B6296" s="243" t="inlineStr">
        <is>
          <t xml:space="preserve">J</t>
        </is>
      </c>
      <c r="C6296" s="244" t="inlineStr">
        <is>
          <t xml:space="preserve">Side and soffits of lintel / coping</t>
        </is>
      </c>
      <c r="I6296" s="245" t="inlineStr">
        <is>
          <t xml:space="preserve">m2</t>
        </is>
      </c>
      <c r="K6296" s="256" t="inlineStr">
        <is>
          <t xml:space="preserve">'12TH FLR '!C45</t>
        </is>
      </c>
    </row>
    <row r="6297">
      <c r="C6297" s="246" t="inlineStr">
        <is>
          <t xml:space="preserve">Mezzanine (3B) - Lintel / coping formwork</t>
        </is>
      </c>
      <c r="E6297" s="247">
        <f>105.0+17.3</f>
        <v>122.3</v>
      </c>
      <c r="F6297" s="247">
        <v>2</v>
      </c>
      <c r="G6297" s="247">
        <v>0.15</v>
      </c>
      <c r="H6297" s="249">
        <f>PRODUCT(D6297:G6297)</f>
        <v>36.69</v>
      </c>
      <c r="J6297" s="253" t="inlineStr">
        <is>
          <t xml:space="preserve">(105.0+17.3)*2*0.15</t>
        </is>
      </c>
    </row>
    <row r="6298">
      <c r="C6298" s="250" t="inlineStr">
        <is>
          <t xml:space="preserve">Total carried to BOQ  12TH FLR item J</t>
        </is>
      </c>
      <c r="D6298" s="250" t="inlineStr">
        <is>
          <t xml:space="preserve"/>
        </is>
      </c>
      <c r="E6298" s="250" t="inlineStr">
        <is>
          <t xml:space="preserve"/>
        </is>
      </c>
      <c r="F6298" s="250" t="inlineStr">
        <is>
          <t xml:space="preserve"/>
        </is>
      </c>
      <c r="G6298" s="250" t="inlineStr">
        <is>
          <t xml:space="preserve"/>
        </is>
      </c>
      <c r="H6298" s="251">
        <f>SUM(H6297:H6297)</f>
        <v>36.69</v>
      </c>
      <c r="I6298" s="252" t="inlineStr">
        <is>
          <t xml:space="preserve">m2</t>
        </is>
      </c>
    </row>
    <row r="6299">
      <c r="C6299" s="242" t="inlineStr">
        <is>
          <t xml:space="preserve">E30 REINFORCEMENT - High tensile yield round bar reinforcement (standard) to BS 4449:</t>
        </is>
      </c>
    </row>
    <row r="6300">
      <c r="A6300" s="243" t="inlineStr">
        <is>
          <t xml:space="preserve">12TH FLR</t>
        </is>
      </c>
      <c r="B6300" s="243" t="inlineStr">
        <is>
          <t xml:space="preserve">K</t>
        </is>
      </c>
      <c r="C6300" s="244" t="inlineStr">
        <is>
          <t xml:space="preserve">10mm diameter in beams (links)</t>
        </is>
      </c>
      <c r="I6300" s="245" t="inlineStr">
        <is>
          <t xml:space="preserve">t</t>
        </is>
      </c>
      <c r="K6300" s="256" t="inlineStr">
        <is>
          <t xml:space="preserve">'12TH FLR '!C48</t>
        </is>
      </c>
    </row>
    <row r="6301">
      <c r="C6301" s="246" t="inlineStr">
        <is>
          <t xml:space="preserve">Roof level (+40450) - Beams, Y10 (from reinforcement take-off / BBS)</t>
        </is>
      </c>
      <c r="H6301" s="247">
        <v>0.694</v>
      </c>
      <c r="J6301" s="253" t="inlineStr">
        <is>
          <t xml:space="preserve">0.694</t>
        </is>
      </c>
    </row>
    <row r="6302">
      <c r="C6302" s="250" t="inlineStr">
        <is>
          <t xml:space="preserve">Total carried to BOQ  12TH FLR item K</t>
        </is>
      </c>
      <c r="D6302" s="250" t="inlineStr">
        <is>
          <t xml:space="preserve"/>
        </is>
      </c>
      <c r="E6302" s="250" t="inlineStr">
        <is>
          <t xml:space="preserve"/>
        </is>
      </c>
      <c r="F6302" s="250" t="inlineStr">
        <is>
          <t xml:space="preserve"/>
        </is>
      </c>
      <c r="G6302" s="250" t="inlineStr">
        <is>
          <t xml:space="preserve"/>
        </is>
      </c>
      <c r="H6302" s="251">
        <f>SUM(H6301:H6301)</f>
        <v>0.694</v>
      </c>
      <c r="I6302" s="252" t="inlineStr">
        <is>
          <t xml:space="preserve">t</t>
        </is>
      </c>
    </row>
    <row r="6303">
      <c r="A6303" s="243" t="inlineStr">
        <is>
          <t xml:space="preserve">12TH FLR</t>
        </is>
      </c>
      <c r="B6303" s="243" t="inlineStr">
        <is>
          <t xml:space="preserve">L</t>
        </is>
      </c>
      <c r="C6303" s="244" t="inlineStr">
        <is>
          <t xml:space="preserve">16mm diameter in beams</t>
        </is>
      </c>
      <c r="I6303" s="245" t="inlineStr">
        <is>
          <t xml:space="preserve">t</t>
        </is>
      </c>
      <c r="K6303" s="256" t="inlineStr">
        <is>
          <t xml:space="preserve">'12TH FLR '!C50</t>
        </is>
      </c>
    </row>
    <row r="6304">
      <c r="C6304" s="246" t="inlineStr">
        <is>
          <t xml:space="preserve">Roof level (+40450) - Beams, Y16 (from reinforcement take-off / BBS)</t>
        </is>
      </c>
      <c r="H6304" s="247">
        <v>0.96</v>
      </c>
      <c r="J6304" s="253" t="inlineStr">
        <is>
          <t xml:space="preserve">0.960</t>
        </is>
      </c>
    </row>
    <row r="6305">
      <c r="C6305" s="250" t="inlineStr">
        <is>
          <t xml:space="preserve">Total carried to BOQ  12TH FLR item L</t>
        </is>
      </c>
      <c r="D6305" s="250" t="inlineStr">
        <is>
          <t xml:space="preserve"/>
        </is>
      </c>
      <c r="E6305" s="250" t="inlineStr">
        <is>
          <t xml:space="preserve"/>
        </is>
      </c>
      <c r="F6305" s="250" t="inlineStr">
        <is>
          <t xml:space="preserve"/>
        </is>
      </c>
      <c r="G6305" s="250" t="inlineStr">
        <is>
          <t xml:space="preserve"/>
        </is>
      </c>
      <c r="H6305" s="251">
        <f>SUM(H6304:H6304)</f>
        <v>0.96</v>
      </c>
      <c r="I6305" s="252" t="inlineStr">
        <is>
          <t xml:space="preserve">t</t>
        </is>
      </c>
    </row>
    <row r="6306">
      <c r="A6306" s="243" t="inlineStr">
        <is>
          <t xml:space="preserve">12TH FLR</t>
        </is>
      </c>
      <c r="B6306" s="243" t="inlineStr">
        <is>
          <t xml:space="preserve">M</t>
        </is>
      </c>
      <c r="C6306" s="244" t="inlineStr">
        <is>
          <t xml:space="preserve">20mm diameter in beams</t>
        </is>
      </c>
      <c r="I6306" s="245" t="inlineStr">
        <is>
          <t xml:space="preserve">t</t>
        </is>
      </c>
      <c r="K6306" s="256" t="inlineStr">
        <is>
          <t xml:space="preserve">'12TH FLR '!C52</t>
        </is>
      </c>
    </row>
    <row r="6307">
      <c r="C6307" s="246" t="inlineStr">
        <is>
          <t xml:space="preserve">Roof level (+40450) - Beams, Y20 (from reinforcement take-off / BBS)</t>
        </is>
      </c>
      <c r="H6307" s="247">
        <v>1.01</v>
      </c>
      <c r="J6307" s="253" t="inlineStr">
        <is>
          <t xml:space="preserve">1.010</t>
        </is>
      </c>
    </row>
    <row r="6308">
      <c r="C6308" s="250" t="inlineStr">
        <is>
          <t xml:space="preserve">Total carried to BOQ  12TH FLR item M</t>
        </is>
      </c>
      <c r="D6308" s="250" t="inlineStr">
        <is>
          <t xml:space="preserve"/>
        </is>
      </c>
      <c r="E6308" s="250" t="inlineStr">
        <is>
          <t xml:space="preserve"/>
        </is>
      </c>
      <c r="F6308" s="250" t="inlineStr">
        <is>
          <t xml:space="preserve"/>
        </is>
      </c>
      <c r="G6308" s="250" t="inlineStr">
        <is>
          <t xml:space="preserve"/>
        </is>
      </c>
      <c r="H6308" s="251">
        <f>SUM(H6307:H6307)</f>
        <v>1.01</v>
      </c>
      <c r="I6308" s="252" t="inlineStr">
        <is>
          <t xml:space="preserve">t</t>
        </is>
      </c>
    </row>
    <row r="6309">
      <c r="A6309" s="243" t="inlineStr">
        <is>
          <t xml:space="preserve">12TH FLR</t>
        </is>
      </c>
      <c r="B6309" s="243" t="inlineStr">
        <is>
          <t xml:space="preserve">N</t>
        </is>
      </c>
      <c r="C6309" s="244" t="inlineStr">
        <is>
          <t xml:space="preserve">25mm diameter in beams</t>
        </is>
      </c>
      <c r="I6309" s="245" t="inlineStr">
        <is>
          <t xml:space="preserve">t</t>
        </is>
      </c>
      <c r="K6309" s="256" t="inlineStr">
        <is>
          <t xml:space="preserve">'12TH FLR '!C54</t>
        </is>
      </c>
    </row>
    <row r="6310">
      <c r="C6310" s="246" t="inlineStr">
        <is>
          <t xml:space="preserve">Roof level (+40450) - Beams, Y25 (from reinforcement take-off / BBS)</t>
        </is>
      </c>
      <c r="H6310" s="247">
        <v>0.323</v>
      </c>
      <c r="J6310" s="253" t="inlineStr">
        <is>
          <t xml:space="preserve">0.323</t>
        </is>
      </c>
    </row>
    <row r="6311">
      <c r="C6311" s="250" t="inlineStr">
        <is>
          <t xml:space="preserve">Total carried to BOQ  12TH FLR item N</t>
        </is>
      </c>
      <c r="D6311" s="250" t="inlineStr">
        <is>
          <t xml:space="preserve"/>
        </is>
      </c>
      <c r="E6311" s="250" t="inlineStr">
        <is>
          <t xml:space="preserve"/>
        </is>
      </c>
      <c r="F6311" s="250" t="inlineStr">
        <is>
          <t xml:space="preserve"/>
        </is>
      </c>
      <c r="G6311" s="250" t="inlineStr">
        <is>
          <t xml:space="preserve"/>
        </is>
      </c>
      <c r="H6311" s="251">
        <f>SUM(H6310:H6310)</f>
        <v>0.323</v>
      </c>
      <c r="I6311" s="252" t="inlineStr">
        <is>
          <t xml:space="preserve">t</t>
        </is>
      </c>
    </row>
    <row r="6312">
      <c r="A6312" s="243" t="inlineStr">
        <is>
          <t xml:space="preserve">12TH FLR</t>
        </is>
      </c>
      <c r="B6312" s="243" t="inlineStr">
        <is>
          <t xml:space="preserve">P</t>
        </is>
      </c>
      <c r="C6312" s="244" t="inlineStr">
        <is>
          <t xml:space="preserve">10mm diameter in shear &amp; lift walls (links)</t>
        </is>
      </c>
      <c r="I6312" s="245" t="inlineStr">
        <is>
          <t xml:space="preserve">t</t>
        </is>
      </c>
      <c r="K6312" s="256" t="inlineStr">
        <is>
          <t xml:space="preserve">'12TH FLR '!C56</t>
        </is>
      </c>
    </row>
    <row r="6313">
      <c r="C6313" s="246" t="inlineStr">
        <is>
          <t xml:space="preserve">Roof level (+40450) - Lift Walls, Y10 (from reinforcement take-off / BBS)</t>
        </is>
      </c>
      <c r="H6313" s="247">
        <v>0.809</v>
      </c>
      <c r="J6313" s="253" t="inlineStr">
        <is>
          <t xml:space="preserve">0.809</t>
        </is>
      </c>
    </row>
    <row r="6314">
      <c r="C6314" s="250" t="inlineStr">
        <is>
          <t xml:space="preserve">Total carried to BOQ  12TH FLR item P</t>
        </is>
      </c>
      <c r="D6314" s="250" t="inlineStr">
        <is>
          <t xml:space="preserve"/>
        </is>
      </c>
      <c r="E6314" s="250" t="inlineStr">
        <is>
          <t xml:space="preserve"/>
        </is>
      </c>
      <c r="F6314" s="250" t="inlineStr">
        <is>
          <t xml:space="preserve"/>
        </is>
      </c>
      <c r="G6314" s="250" t="inlineStr">
        <is>
          <t xml:space="preserve"/>
        </is>
      </c>
      <c r="H6314" s="251">
        <f>SUM(H6313:H6313)</f>
        <v>0.809</v>
      </c>
      <c r="I6314" s="252" t="inlineStr">
        <is>
          <t xml:space="preserve">t</t>
        </is>
      </c>
    </row>
    <row r="6315">
      <c r="A6315" s="243" t="inlineStr">
        <is>
          <t xml:space="preserve">12TH FLR</t>
        </is>
      </c>
      <c r="B6315" s="243" t="inlineStr">
        <is>
          <t xml:space="preserve">Q</t>
        </is>
      </c>
      <c r="C6315" s="244" t="inlineStr">
        <is>
          <t xml:space="preserve">12mm diameter in shear, lift &amp; ramp walls</t>
        </is>
      </c>
      <c r="I6315" s="245" t="inlineStr">
        <is>
          <t xml:space="preserve">t</t>
        </is>
      </c>
      <c r="K6315" s="256" t="inlineStr">
        <is>
          <t xml:space="preserve">'12TH FLR '!C58</t>
        </is>
      </c>
    </row>
    <row r="6316">
      <c r="C6316" s="246" t="inlineStr">
        <is>
          <t xml:space="preserve">Roof level (+40450) - Lift Walls, Y12 (from reinforcement take-off / BBS)</t>
        </is>
      </c>
      <c r="H6316" s="247">
        <v>0.39</v>
      </c>
      <c r="J6316" s="253" t="inlineStr">
        <is>
          <t xml:space="preserve">0.390</t>
        </is>
      </c>
    </row>
    <row r="6317">
      <c r="C6317" s="250" t="inlineStr">
        <is>
          <t xml:space="preserve">Total carried to BOQ  12TH FLR item Q</t>
        </is>
      </c>
      <c r="D6317" s="250" t="inlineStr">
        <is>
          <t xml:space="preserve"/>
        </is>
      </c>
      <c r="E6317" s="250" t="inlineStr">
        <is>
          <t xml:space="preserve"/>
        </is>
      </c>
      <c r="F6317" s="250" t="inlineStr">
        <is>
          <t xml:space="preserve"/>
        </is>
      </c>
      <c r="G6317" s="250" t="inlineStr">
        <is>
          <t xml:space="preserve"/>
        </is>
      </c>
      <c r="H6317" s="251">
        <f>SUM(H6316:H6316)</f>
        <v>0.39</v>
      </c>
      <c r="I6317" s="252" t="inlineStr">
        <is>
          <t xml:space="preserve">t</t>
        </is>
      </c>
    </row>
    <row r="6318">
      <c r="A6318" s="243" t="inlineStr">
        <is>
          <t xml:space="preserve">12TH FLR</t>
        </is>
      </c>
      <c r="B6318" s="243" t="inlineStr">
        <is>
          <t xml:space="preserve">R</t>
        </is>
      </c>
      <c r="C6318" s="244" t="inlineStr">
        <is>
          <t xml:space="preserve">20mm diameter in shear &amp; lift walls</t>
        </is>
      </c>
      <c r="I6318" s="245" t="inlineStr">
        <is>
          <t xml:space="preserve">t</t>
        </is>
      </c>
      <c r="K6318" s="256" t="inlineStr">
        <is>
          <t xml:space="preserve">'12TH FLR '!C60</t>
        </is>
      </c>
    </row>
    <row r="6319">
      <c r="C6319" s="246" t="inlineStr">
        <is>
          <t xml:space="preserve">Roof level (+40450) - Lift Walls, Y20 (from reinforcement take-off / BBS)</t>
        </is>
      </c>
      <c r="H6319" s="247">
        <v>4.049</v>
      </c>
      <c r="J6319" s="253" t="inlineStr">
        <is>
          <t xml:space="preserve">4.049</t>
        </is>
      </c>
    </row>
    <row r="6320">
      <c r="C6320" s="250" t="inlineStr">
        <is>
          <t xml:space="preserve">Total carried to BOQ  12TH FLR item R</t>
        </is>
      </c>
      <c r="D6320" s="250" t="inlineStr">
        <is>
          <t xml:space="preserve"/>
        </is>
      </c>
      <c r="E6320" s="250" t="inlineStr">
        <is>
          <t xml:space="preserve"/>
        </is>
      </c>
      <c r="F6320" s="250" t="inlineStr">
        <is>
          <t xml:space="preserve"/>
        </is>
      </c>
      <c r="G6320" s="250" t="inlineStr">
        <is>
          <t xml:space="preserve"/>
        </is>
      </c>
      <c r="H6320" s="251">
        <f>SUM(H6319:H6319)</f>
        <v>4.049</v>
      </c>
      <c r="I6320" s="252" t="inlineStr">
        <is>
          <t xml:space="preserve">t</t>
        </is>
      </c>
    </row>
    <row r="6321">
      <c r="A6321" s="243" t="inlineStr">
        <is>
          <t xml:space="preserve">12TH FLR</t>
        </is>
      </c>
      <c r="B6321" s="243" t="inlineStr">
        <is>
          <t xml:space="preserve">S</t>
        </is>
      </c>
      <c r="C6321" s="244" t="inlineStr">
        <is>
          <t xml:space="preserve">12mm diameter for suspended slab</t>
        </is>
      </c>
      <c r="I6321" s="245" t="inlineStr">
        <is>
          <t xml:space="preserve">t</t>
        </is>
      </c>
      <c r="K6321" s="256" t="inlineStr">
        <is>
          <t xml:space="preserve">'12TH FLR '!C62</t>
        </is>
      </c>
    </row>
    <row r="6322">
      <c r="C6322" s="246" t="inlineStr">
        <is>
          <t xml:space="preserve">Roof level (+40450) - Floor Slabs, Y12 (from reinforcement take-off / BBS)</t>
        </is>
      </c>
      <c r="H6322" s="247">
        <v>4.573</v>
      </c>
      <c r="J6322" s="253" t="inlineStr">
        <is>
          <t xml:space="preserve">4.573</t>
        </is>
      </c>
    </row>
    <row r="6323">
      <c r="C6323" s="246" t="inlineStr">
        <is>
          <t xml:space="preserve">Top of lift core (+44650) - Lift Core Roof Slab, Y12 (from reinforcement take-off / BBS)</t>
        </is>
      </c>
      <c r="H6323" s="247">
        <v>0.366</v>
      </c>
      <c r="J6323" s="253" t="inlineStr">
        <is>
          <t xml:space="preserve">0.366</t>
        </is>
      </c>
    </row>
    <row r="6324">
      <c r="C6324" s="250" t="inlineStr">
        <is>
          <t xml:space="preserve">Total carried to BOQ  12TH FLR item S</t>
        </is>
      </c>
      <c r="D6324" s="250" t="inlineStr">
        <is>
          <t xml:space="preserve"/>
        </is>
      </c>
      <c r="E6324" s="250" t="inlineStr">
        <is>
          <t xml:space="preserve"/>
        </is>
      </c>
      <c r="F6324" s="250" t="inlineStr">
        <is>
          <t xml:space="preserve"/>
        </is>
      </c>
      <c r="G6324" s="250" t="inlineStr">
        <is>
          <t xml:space="preserve"/>
        </is>
      </c>
      <c r="H6324" s="251">
        <f>SUM(H6322:H6323)</f>
        <v>4.939</v>
      </c>
      <c r="I6324" s="252" t="inlineStr">
        <is>
          <t xml:space="preserve">t</t>
        </is>
      </c>
    </row>
    <row r="6325">
      <c r="C6325" s="242" t="inlineStr">
        <is>
          <t xml:space="preserve">ELEMENT NO. 2: MASONRY</t>
        </is>
      </c>
    </row>
    <row r="6326">
      <c r="C6326" s="242" t="inlineStr">
        <is>
          <t xml:space="preserve">F10 BRICK/BLOCK WALL - Solid sandcrete blockwork in cement and sand (1:4) mortar as described in:</t>
        </is>
      </c>
    </row>
    <row r="6327">
      <c r="A6327" s="243" t="inlineStr">
        <is>
          <t xml:space="preserve">12TH FLR</t>
        </is>
      </c>
      <c r="B6327" s="243" t="inlineStr">
        <is>
          <t xml:space="preserve">A</t>
        </is>
      </c>
      <c r="C6327" s="244" t="inlineStr">
        <is>
          <t xml:space="preserve">150mm thick wall</t>
        </is>
      </c>
      <c r="I6327" s="245" t="inlineStr">
        <is>
          <t xml:space="preserve">m2</t>
        </is>
      </c>
      <c r="K6327" s="256" t="inlineStr">
        <is>
          <t xml:space="preserve">'12TH FLR '!C71</t>
        </is>
      </c>
    </row>
    <row r="6328">
      <c r="C6328" s="246" t="inlineStr">
        <is>
          <t xml:space="preserve">Roof level - 150 blockwork: wall length x storey ht</t>
        </is>
      </c>
      <c r="E6328" s="247">
        <v>6.5</v>
      </c>
      <c r="F6328" s="247">
        <v>1.2</v>
      </c>
      <c r="H6328" s="249">
        <f>PRODUCT(D6328:G6328)</f>
        <v>7.8</v>
      </c>
      <c r="J6328" s="253" t="inlineStr">
        <is>
          <t xml:space="preserve">6.5*1.2</t>
        </is>
      </c>
    </row>
    <row r="6329">
      <c r="C6329" s="250" t="inlineStr">
        <is>
          <t xml:space="preserve">Total carried to BOQ  12TH FLR item A</t>
        </is>
      </c>
      <c r="D6329" s="250" t="inlineStr">
        <is>
          <t xml:space="preserve"/>
        </is>
      </c>
      <c r="E6329" s="250" t="inlineStr">
        <is>
          <t xml:space="preserve"/>
        </is>
      </c>
      <c r="F6329" s="250" t="inlineStr">
        <is>
          <t xml:space="preserve"/>
        </is>
      </c>
      <c r="G6329" s="250" t="inlineStr">
        <is>
          <t xml:space="preserve"/>
        </is>
      </c>
      <c r="H6329" s="251">
        <f>SUM(H6328:H6328)</f>
        <v>7.8</v>
      </c>
      <c r="I6329" s="252" t="inlineStr">
        <is>
          <t xml:space="preserve">m2</t>
        </is>
      </c>
    </row>
    <row r="6330">
      <c r="A6330" s="243" t="inlineStr">
        <is>
          <t xml:space="preserve">12TH FLR</t>
        </is>
      </c>
      <c r="B6330" s="243" t="inlineStr">
        <is>
          <t xml:space="preserve">B</t>
        </is>
      </c>
      <c r="C6330" s="244" t="inlineStr">
        <is>
          <t xml:space="preserve">200mm thick wall</t>
        </is>
      </c>
      <c r="I6330" s="245" t="inlineStr">
        <is>
          <t xml:space="preserve">m2</t>
        </is>
      </c>
      <c r="K6330" s="256" t="inlineStr">
        <is>
          <t xml:space="preserve">'12TH FLR '!C73</t>
        </is>
      </c>
    </row>
    <row r="6331">
      <c r="C6331" s="246" t="inlineStr">
        <is>
          <t xml:space="preserve">Roof level - 200 blockwork: wall length x storey ht</t>
        </is>
      </c>
      <c r="E6331" s="247">
        <v>65.7</v>
      </c>
      <c r="F6331" s="247">
        <v>1.2</v>
      </c>
      <c r="H6331" s="249">
        <f>PRODUCT(D6331:G6331)</f>
        <v>78.84</v>
      </c>
      <c r="J6331" s="253" t="inlineStr">
        <is>
          <t xml:space="preserve">65.7*1.2</t>
        </is>
      </c>
    </row>
    <row r="6332">
      <c r="C6332" s="250" t="inlineStr">
        <is>
          <t xml:space="preserve">Total carried to BOQ  12TH FLR item B</t>
        </is>
      </c>
      <c r="D6332" s="250" t="inlineStr">
        <is>
          <t xml:space="preserve"/>
        </is>
      </c>
      <c r="E6332" s="250" t="inlineStr">
        <is>
          <t xml:space="preserve"/>
        </is>
      </c>
      <c r="F6332" s="250" t="inlineStr">
        <is>
          <t xml:space="preserve"/>
        </is>
      </c>
      <c r="G6332" s="250" t="inlineStr">
        <is>
          <t xml:space="preserve"/>
        </is>
      </c>
      <c r="H6332" s="251">
        <f>SUM(H6331:H6331)</f>
        <v>78.84</v>
      </c>
      <c r="I6332" s="252" t="inlineStr">
        <is>
          <t xml:space="preserve">m2</t>
        </is>
      </c>
    </row>
    <row r="6333">
      <c r="C6333" s="242" t="inlineStr">
        <is>
          <t xml:space="preserve">ELEMENT NO. 3: WATERPROOFING</t>
        </is>
      </c>
    </row>
    <row r="6334">
      <c r="C6334" s="242" t="inlineStr">
        <is>
          <t xml:space="preserve">WATERPROOFING</t>
        </is>
      </c>
    </row>
    <row r="6335">
      <c r="A6335" s="243" t="inlineStr">
        <is>
          <t xml:space="preserve">12TH FLR</t>
        </is>
      </c>
      <c r="B6335" s="243" t="inlineStr">
        <is>
          <t xml:space="preserve">A</t>
        </is>
      </c>
      <c r="C6335" s="244" t="inlineStr">
        <is>
          <t xml:space="preserve">Liquid/applied waterproofing to roofs, terraces and wet external areas</t>
        </is>
      </c>
      <c r="I6335" s="245" t="inlineStr">
        <is>
          <t xml:space="preserve">m2</t>
        </is>
      </c>
      <c r="K6335" s="256" t="inlineStr">
        <is>
          <t xml:space="preserve">'12TH FLR '!C82</t>
        </is>
      </c>
    </row>
    <row r="6336">
      <c r="C6336" s="246" t="inlineStr">
        <is>
          <t xml:space="preserve">Roof level slab (measured area)</t>
        </is>
      </c>
      <c r="H6336" s="247">
        <v>176.3</v>
      </c>
      <c r="J6336" s="253" t="inlineStr">
        <is>
          <t xml:space="preserve">176.3</t>
        </is>
      </c>
    </row>
    <row r="6337">
      <c r="C6337" s="246" t="inlineStr">
        <is>
          <t xml:space="preserve">Top of lift core slab (measured area)</t>
        </is>
      </c>
      <c r="H6337" s="247">
        <v>16.3</v>
      </c>
      <c r="J6337" s="253" t="inlineStr">
        <is>
          <t xml:space="preserve">16.3</t>
        </is>
      </c>
    </row>
    <row r="6338">
      <c r="C6338" s="250" t="inlineStr">
        <is>
          <t xml:space="preserve">Total carried to BOQ  12TH FLR item A</t>
        </is>
      </c>
      <c r="D6338" s="250" t="inlineStr">
        <is>
          <t xml:space="preserve"/>
        </is>
      </c>
      <c r="E6338" s="250" t="inlineStr">
        <is>
          <t xml:space="preserve"/>
        </is>
      </c>
      <c r="F6338" s="250" t="inlineStr">
        <is>
          <t xml:space="preserve"/>
        </is>
      </c>
      <c r="G6338" s="250" t="inlineStr">
        <is>
          <t xml:space="preserve"/>
        </is>
      </c>
      <c r="H6338" s="251">
        <f>SUM(H6336:H6337)</f>
        <v>192.60000000000002</v>
      </c>
      <c r="I6338" s="252" t="inlineStr">
        <is>
          <t xml:space="preserve">m2</t>
        </is>
      </c>
    </row>
    <row r="6339">
      <c r="A6339" s="243" t="inlineStr">
        <is>
          <t xml:space="preserve">12TH FLR</t>
        </is>
      </c>
      <c r="B6339" s="243" t="inlineStr">
        <is>
          <t xml:space="preserve">B</t>
        </is>
      </c>
      <c r="C6339" s="244" t="inlineStr">
        <is>
          <t xml:space="preserve">Protective cement-sand screed over waterproofing</t>
        </is>
      </c>
      <c r="I6339" s="245" t="inlineStr">
        <is>
          <t xml:space="preserve">m2</t>
        </is>
      </c>
      <c r="K6339" s="256" t="inlineStr">
        <is>
          <t xml:space="preserve">'12TH FLR '!C84</t>
        </is>
      </c>
    </row>
    <row r="6340">
      <c r="C6340" s="246" t="inlineStr">
        <is>
          <t xml:space="preserve">Roof level slab (measured area)</t>
        </is>
      </c>
      <c r="H6340" s="247">
        <v>176.3</v>
      </c>
      <c r="J6340" s="253" t="inlineStr">
        <is>
          <t xml:space="preserve">176.3</t>
        </is>
      </c>
    </row>
    <row r="6341">
      <c r="C6341" s="246" t="inlineStr">
        <is>
          <t xml:space="preserve">Top of lift core slab (measured area)</t>
        </is>
      </c>
      <c r="H6341" s="247">
        <v>16.3</v>
      </c>
      <c r="J6341" s="253" t="inlineStr">
        <is>
          <t xml:space="preserve">16.3</t>
        </is>
      </c>
    </row>
    <row r="6342">
      <c r="C6342" s="250" t="inlineStr">
        <is>
          <t xml:space="preserve">Total carried to BOQ  12TH FLR item B</t>
        </is>
      </c>
      <c r="D6342" s="250" t="inlineStr">
        <is>
          <t xml:space="preserve"/>
        </is>
      </c>
      <c r="E6342" s="250" t="inlineStr">
        <is>
          <t xml:space="preserve"/>
        </is>
      </c>
      <c r="F6342" s="250" t="inlineStr">
        <is>
          <t xml:space="preserve"/>
        </is>
      </c>
      <c r="G6342" s="250" t="inlineStr">
        <is>
          <t xml:space="preserve"/>
        </is>
      </c>
      <c r="H6342" s="251">
        <f>SUM(H6340:H6341)</f>
        <v>192.60000000000002</v>
      </c>
      <c r="I6342" s="252" t="inlineStr">
        <is>
          <t xml:space="preserve">m2</t>
        </is>
      </c>
    </row>
    <row r="6343">
      <c r="A6343" s="243" t="inlineStr">
        <is>
          <t xml:space="preserve">12TH FLR</t>
        </is>
      </c>
      <c r="B6343" s="243" t="inlineStr">
        <is>
          <t xml:space="preserve">C</t>
        </is>
      </c>
      <c r="C6343" s="244" t="inlineStr">
        <is>
          <t xml:space="preserve">Metal/aluminium flashings, upstands and counterflashings</t>
        </is>
      </c>
      <c r="I6343" s="245" t="inlineStr">
        <is>
          <t xml:space="preserve">m</t>
        </is>
      </c>
      <c r="K6343" s="256" t="inlineStr">
        <is>
          <t xml:space="preserve">'12TH FLR '!C86</t>
        </is>
      </c>
    </row>
    <row r="6344">
      <c r="C6344" s="246" t="inlineStr">
        <is>
          <t xml:space="preserve">Roof level perimeter (measured)</t>
        </is>
      </c>
      <c r="H6344" s="247">
        <v>105.0</v>
      </c>
      <c r="J6344" s="253" t="inlineStr">
        <is>
          <t xml:space="preserve">105.0</t>
        </is>
      </c>
    </row>
    <row r="6345">
      <c r="C6345" s="246" t="inlineStr">
        <is>
          <t xml:space="preserve">Lift core roof perimeter (measured)</t>
        </is>
      </c>
      <c r="H6345" s="247">
        <v>17.3</v>
      </c>
      <c r="J6345" s="253" t="inlineStr">
        <is>
          <t xml:space="preserve">17.3</t>
        </is>
      </c>
    </row>
    <row r="6346">
      <c r="C6346" s="250" t="inlineStr">
        <is>
          <t xml:space="preserve">Total carried to BOQ  12TH FLR item C</t>
        </is>
      </c>
      <c r="D6346" s="250" t="inlineStr">
        <is>
          <t xml:space="preserve"/>
        </is>
      </c>
      <c r="E6346" s="250" t="inlineStr">
        <is>
          <t xml:space="preserve"/>
        </is>
      </c>
      <c r="F6346" s="250" t="inlineStr">
        <is>
          <t xml:space="preserve"/>
        </is>
      </c>
      <c r="G6346" s="250" t="inlineStr">
        <is>
          <t xml:space="preserve"/>
        </is>
      </c>
      <c r="H6346" s="251">
        <f>SUM(H6344:H6345)</f>
        <v>122.3</v>
      </c>
      <c r="I6346" s="252" t="inlineStr">
        <is>
          <t xml:space="preserve">m</t>
        </is>
      </c>
    </row>
    <row r="6347">
      <c r="A6347" s="243" t="inlineStr">
        <is>
          <t xml:space="preserve">12TH FLR</t>
        </is>
      </c>
      <c r="B6347" s="243" t="inlineStr">
        <is>
          <t xml:space="preserve">D</t>
        </is>
      </c>
      <c r="C6347" s="244" t="inlineStr">
        <is>
          <t xml:space="preserve">Roof/terrace gutters and concealed drainage channels</t>
        </is>
      </c>
      <c r="I6347" s="245" t="inlineStr">
        <is>
          <t xml:space="preserve">m</t>
        </is>
      </c>
      <c r="K6347" s="256" t="inlineStr">
        <is>
          <t xml:space="preserve">'12TH FLR '!C88</t>
        </is>
      </c>
    </row>
    <row r="6348">
      <c r="C6348" s="246" t="inlineStr">
        <is>
          <t xml:space="preserve">Roof level perimeter (measured)</t>
        </is>
      </c>
      <c r="H6348" s="247">
        <v>105.0</v>
      </c>
      <c r="J6348" s="253" t="inlineStr">
        <is>
          <t xml:space="preserve">105.0</t>
        </is>
      </c>
    </row>
    <row r="6349">
      <c r="C6349" s="246" t="inlineStr">
        <is>
          <t xml:space="preserve">Lift core roof perimeter (measured)</t>
        </is>
      </c>
      <c r="H6349" s="247">
        <v>17.3</v>
      </c>
      <c r="J6349" s="253" t="inlineStr">
        <is>
          <t xml:space="preserve">17.3</t>
        </is>
      </c>
    </row>
    <row r="6350">
      <c r="C6350" s="250" t="inlineStr">
        <is>
          <t xml:space="preserve">Total carried to BOQ  12TH FLR item D</t>
        </is>
      </c>
      <c r="D6350" s="250" t="inlineStr">
        <is>
          <t xml:space="preserve"/>
        </is>
      </c>
      <c r="E6350" s="250" t="inlineStr">
        <is>
          <t xml:space="preserve"/>
        </is>
      </c>
      <c r="F6350" s="250" t="inlineStr">
        <is>
          <t xml:space="preserve"/>
        </is>
      </c>
      <c r="G6350" s="250" t="inlineStr">
        <is>
          <t xml:space="preserve"/>
        </is>
      </c>
      <c r="H6350" s="251">
        <f>SUM(H6348:H6349)</f>
        <v>122.3</v>
      </c>
      <c r="I6350" s="252" t="inlineStr">
        <is>
          <t xml:space="preserve">m</t>
        </is>
      </c>
    </row>
    <row r="6351">
      <c r="C6351" s="242" t="inlineStr">
        <is>
          <t xml:space="preserve">Doors and windows: schedules ARCH-501/502 give building totals only (no tags on plans); quantities are allocated to floors pro-rata to measured habitable / washroom areas. Building totals equal the schedules.</t>
        </is>
      </c>
    </row>
    <row r="6352"/>
    <row r="6353" ht="21" customHeight="1">
      <c r="A6353" s="241" t="inlineStr">
        <is>
          <t xml:space="preserve">BILL NR. 16 - LIFTS AND PROVISIONAL SUMS  -  LIFTS AND PROVISIONAL SUMS</t>
        </is>
      </c>
      <c r="B6353" s="241" t="inlineStr">
        <is>
          <t xml:space="preserve"/>
        </is>
      </c>
      <c r="C6353" s="241" t="inlineStr">
        <is>
          <t xml:space="preserve"/>
        </is>
      </c>
      <c r="D6353" s="241" t="inlineStr">
        <is>
          <t xml:space="preserve"/>
        </is>
      </c>
      <c r="E6353" s="241" t="inlineStr">
        <is>
          <t xml:space="preserve"/>
        </is>
      </c>
      <c r="F6353" s="241" t="inlineStr">
        <is>
          <t xml:space="preserve"/>
        </is>
      </c>
      <c r="G6353" s="241" t="inlineStr">
        <is>
          <t xml:space="preserve"/>
        </is>
      </c>
      <c r="H6353" s="241" t="inlineStr">
        <is>
          <t xml:space="preserve"/>
        </is>
      </c>
      <c r="I6353" s="241" t="inlineStr">
        <is>
          <t xml:space="preserve"/>
        </is>
      </c>
      <c r="J6353" s="241" t="inlineStr">
        <is>
          <t xml:space="preserve"/>
        </is>
      </c>
      <c r="K6353" s="241" t="inlineStr">
        <is>
          <t xml:space="preserve"/>
        </is>
      </c>
    </row>
    <row r="6354">
      <c r="C6354" s="242" t="inlineStr">
        <is>
          <t xml:space="preserve">LIFTS</t>
        </is>
      </c>
    </row>
    <row r="6355">
      <c r="C6355" s="242" t="inlineStr">
        <is>
          <t xml:space="preserve">Lift installation</t>
        </is>
      </c>
    </row>
    <row r="6356" ht="32.2" customHeight="1">
      <c r="A6356" s="243" t="inlineStr">
        <is>
          <t xml:space="preserve">LIFTS &amp; PS</t>
        </is>
      </c>
      <c r="B6356" s="243" t="inlineStr">
        <is>
          <t xml:space="preserve">A</t>
        </is>
      </c>
      <c r="C6356" s="244" t="inlineStr">
        <is>
          <t xml:space="preserve">1000kg stainless steel car finish passenger lift for 12 passengers, serving all floors, complete (LIFT 1 &amp; LIFT 2)</t>
        </is>
      </c>
      <c r="I6356" s="245" t="inlineStr">
        <is>
          <t xml:space="preserve">nr</t>
        </is>
      </c>
      <c r="K6356" s="256" t="inlineStr">
        <is>
          <t xml:space="preserve">'LIFTS &amp; PS'!C26</t>
        </is>
      </c>
    </row>
    <row r="6357">
      <c r="C6357" s="246" t="inlineStr">
        <is>
          <t xml:space="preserve">Passenger lifts in lift core (ARCH lift shaft details)</t>
        </is>
      </c>
      <c r="H6357" s="247">
        <v>2</v>
      </c>
      <c r="J6357" s="253" t="inlineStr">
        <is>
          <t xml:space="preserve">2</t>
        </is>
      </c>
    </row>
    <row r="6358">
      <c r="C6358" s="250" t="inlineStr">
        <is>
          <t xml:space="preserve">Total carried to BOQ  LIFTS &amp; PS item A</t>
        </is>
      </c>
      <c r="D6358" s="250" t="inlineStr">
        <is>
          <t xml:space="preserve"/>
        </is>
      </c>
      <c r="E6358" s="250" t="inlineStr">
        <is>
          <t xml:space="preserve"/>
        </is>
      </c>
      <c r="F6358" s="250" t="inlineStr">
        <is>
          <t xml:space="preserve"/>
        </is>
      </c>
      <c r="G6358" s="250" t="inlineStr">
        <is>
          <t xml:space="preserve"/>
        </is>
      </c>
      <c r="H6358" s="251">
        <f>SUM(H6357:H6357)</f>
        <v>2</v>
      </c>
      <c r="I6358" s="252" t="inlineStr">
        <is>
          <t xml:space="preserve">nr</t>
        </is>
      </c>
    </row>
    <row r="6359">
      <c r="C6359" s="242" t="inlineStr">
        <is>
          <t xml:space="preserve">PROVISIONAL SUMS</t>
        </is>
      </c>
    </row>
    <row r="6360">
      <c r="C6360" s="242" t="inlineStr">
        <is>
          <t xml:space="preserve">Provide the following provisional sums:</t>
        </is>
      </c>
    </row>
    <row r="6361">
      <c r="A6361" s="243" t="inlineStr">
        <is>
          <t xml:space="preserve">LIFTS &amp; PS</t>
        </is>
      </c>
      <c r="B6361" s="243" t="inlineStr">
        <is>
          <t xml:space="preserve">A</t>
        </is>
      </c>
      <c r="C6361" s="244" t="inlineStr">
        <is>
          <t xml:space="preserve">Provisional sum for joinery, wall cladding, balustrade and other fitting works</t>
        </is>
      </c>
      <c r="I6361" s="245" t="inlineStr">
        <is>
          <t xml:space="preserve">item</t>
        </is>
      </c>
      <c r="K6361" s="256" t="inlineStr">
        <is>
          <t xml:space="preserve">'LIFTS &amp; PS'!C35</t>
        </is>
      </c>
    </row>
    <row r="6362">
      <c r="C6362" s="246" t="inlineStr">
        <is>
          <t xml:space="preserve">Item / provisional sum</t>
        </is>
      </c>
      <c r="H6362" s="247">
        <v>1</v>
      </c>
      <c r="J6362" s="253" t="inlineStr">
        <is>
          <t xml:space="preserve">1</t>
        </is>
      </c>
    </row>
    <row r="6363">
      <c r="C6363" s="250" t="inlineStr">
        <is>
          <t xml:space="preserve">Total carried to BOQ  LIFTS &amp; PS item A</t>
        </is>
      </c>
      <c r="D6363" s="250" t="inlineStr">
        <is>
          <t xml:space="preserve"/>
        </is>
      </c>
      <c r="E6363" s="250" t="inlineStr">
        <is>
          <t xml:space="preserve"/>
        </is>
      </c>
      <c r="F6363" s="250" t="inlineStr">
        <is>
          <t xml:space="preserve"/>
        </is>
      </c>
      <c r="G6363" s="250" t="inlineStr">
        <is>
          <t xml:space="preserve"/>
        </is>
      </c>
      <c r="H6363" s="251">
        <f>SUM(H6362:H6362)</f>
        <v>1</v>
      </c>
      <c r="I6363" s="252" t="inlineStr">
        <is>
          <t xml:space="preserve">item</t>
        </is>
      </c>
    </row>
    <row r="6364" ht="32.2" customHeight="1">
      <c r="A6364" s="243" t="inlineStr">
        <is>
          <t xml:space="preserve">LIFTS &amp; PS</t>
        </is>
      </c>
      <c r="B6364" s="243" t="inlineStr">
        <is>
          <t xml:space="preserve">B</t>
        </is>
      </c>
      <c r="C6364" s="244" t="inlineStr">
        <is>
          <t xml:space="preserve">Provisional sum for furniture and equipment (wardrobes, kitchen cabinets, reception desk and chairs)</t>
        </is>
      </c>
      <c r="I6364" s="245" t="inlineStr">
        <is>
          <t xml:space="preserve">item</t>
        </is>
      </c>
      <c r="K6364" s="256" t="inlineStr">
        <is>
          <t xml:space="preserve">'LIFTS &amp; PS'!C37</t>
        </is>
      </c>
    </row>
    <row r="6365">
      <c r="C6365" s="246" t="inlineStr">
        <is>
          <t xml:space="preserve">Item / provisional sum</t>
        </is>
      </c>
      <c r="H6365" s="247">
        <v>1</v>
      </c>
      <c r="J6365" s="253" t="inlineStr">
        <is>
          <t xml:space="preserve">1</t>
        </is>
      </c>
    </row>
    <row r="6366">
      <c r="C6366" s="250" t="inlineStr">
        <is>
          <t xml:space="preserve">Total carried to BOQ  LIFTS &amp; PS item B</t>
        </is>
      </c>
      <c r="D6366" s="250" t="inlineStr">
        <is>
          <t xml:space="preserve"/>
        </is>
      </c>
      <c r="E6366" s="250" t="inlineStr">
        <is>
          <t xml:space="preserve"/>
        </is>
      </c>
      <c r="F6366" s="250" t="inlineStr">
        <is>
          <t xml:space="preserve"/>
        </is>
      </c>
      <c r="G6366" s="250" t="inlineStr">
        <is>
          <t xml:space="preserve"/>
        </is>
      </c>
      <c r="H6366" s="251">
        <f>SUM(H6365:H6365)</f>
        <v>1</v>
      </c>
      <c r="I6366" s="252" t="inlineStr">
        <is>
          <t xml:space="preserve">item</t>
        </is>
      </c>
    </row>
    <row r="6367" ht="47.8" customHeight="1">
      <c r="A6367" s="243" t="inlineStr">
        <is>
          <t xml:space="preserve">LIFTS &amp; PS</t>
        </is>
      </c>
      <c r="B6367" s="243" t="inlineStr">
        <is>
          <t xml:space="preserve">C</t>
        </is>
      </c>
      <c r="C6367" s="244" t="inlineStr">
        <is>
          <t xml:space="preserve">Provisional sum for external works / external infrastructure / signage (Axonopus compressus, kerbs, boundary structures, aprons, street lights, flood lights)</t>
        </is>
      </c>
      <c r="I6367" s="245" t="inlineStr">
        <is>
          <t xml:space="preserve">item</t>
        </is>
      </c>
      <c r="K6367" s="256" t="inlineStr">
        <is>
          <t xml:space="preserve">'LIFTS &amp; PS'!C39</t>
        </is>
      </c>
    </row>
    <row r="6368">
      <c r="C6368" s="246" t="inlineStr">
        <is>
          <t xml:space="preserve">Item / provisional sum</t>
        </is>
      </c>
      <c r="H6368" s="247">
        <v>1</v>
      </c>
      <c r="J6368" s="253" t="inlineStr">
        <is>
          <t xml:space="preserve">1</t>
        </is>
      </c>
    </row>
    <row r="6369">
      <c r="C6369" s="250" t="inlineStr">
        <is>
          <t xml:space="preserve">Total carried to BOQ  LIFTS &amp; PS item C</t>
        </is>
      </c>
      <c r="D6369" s="250" t="inlineStr">
        <is>
          <t xml:space="preserve"/>
        </is>
      </c>
      <c r="E6369" s="250" t="inlineStr">
        <is>
          <t xml:space="preserve"/>
        </is>
      </c>
      <c r="F6369" s="250" t="inlineStr">
        <is>
          <t xml:space="preserve"/>
        </is>
      </c>
      <c r="G6369" s="250" t="inlineStr">
        <is>
          <t xml:space="preserve"/>
        </is>
      </c>
      <c r="H6369" s="251">
        <f>SUM(H6368:H6368)</f>
        <v>1</v>
      </c>
      <c r="I6369" s="252" t="inlineStr">
        <is>
          <t xml:space="preserve">item</t>
        </is>
      </c>
    </row>
    <row r="6370">
      <c r="A6370" s="243" t="inlineStr">
        <is>
          <t xml:space="preserve">LIFTS &amp; PS</t>
        </is>
      </c>
      <c r="B6370" s="243" t="inlineStr">
        <is>
          <t xml:space="preserve">D</t>
        </is>
      </c>
      <c r="C6370" s="244" t="inlineStr">
        <is>
          <t xml:space="preserve">Provisional sum for septic tank and other connections</t>
        </is>
      </c>
      <c r="I6370" s="245" t="inlineStr">
        <is>
          <t xml:space="preserve">item</t>
        </is>
      </c>
      <c r="K6370" s="256" t="inlineStr">
        <is>
          <t xml:space="preserve">'LIFTS &amp; PS'!C41</t>
        </is>
      </c>
    </row>
    <row r="6371">
      <c r="C6371" s="246" t="inlineStr">
        <is>
          <t xml:space="preserve">Item / provisional sum</t>
        </is>
      </c>
      <c r="H6371" s="247">
        <v>1</v>
      </c>
      <c r="J6371" s="253" t="inlineStr">
        <is>
          <t xml:space="preserve">1</t>
        </is>
      </c>
    </row>
    <row r="6372">
      <c r="C6372" s="250" t="inlineStr">
        <is>
          <t xml:space="preserve">Total carried to BOQ  LIFTS &amp; PS item D</t>
        </is>
      </c>
      <c r="D6372" s="250" t="inlineStr">
        <is>
          <t xml:space="preserve"/>
        </is>
      </c>
      <c r="E6372" s="250" t="inlineStr">
        <is>
          <t xml:space="preserve"/>
        </is>
      </c>
      <c r="F6372" s="250" t="inlineStr">
        <is>
          <t xml:space="preserve"/>
        </is>
      </c>
      <c r="G6372" s="250" t="inlineStr">
        <is>
          <t xml:space="preserve"/>
        </is>
      </c>
      <c r="H6372" s="251">
        <f>SUM(H6371:H6371)</f>
        <v>1</v>
      </c>
      <c r="I6372" s="252" t="inlineStr">
        <is>
          <t xml:space="preserve">item</t>
        </is>
      </c>
    </row>
    <row r="6373" ht="32.2" customHeight="1">
      <c r="A6373" s="243" t="inlineStr">
        <is>
          <t xml:space="preserve">LIFTS &amp; PS</t>
        </is>
      </c>
      <c r="B6373" s="243" t="inlineStr">
        <is>
          <t xml:space="preserve">E</t>
        </is>
      </c>
      <c r="C6373" s="244" t="inlineStr">
        <is>
          <t xml:space="preserve">Allow a sum for metal collapsible burglar-proofing to ground floor windows including painting</t>
        </is>
      </c>
      <c r="I6373" s="245" t="inlineStr">
        <is>
          <t xml:space="preserve">item</t>
        </is>
      </c>
      <c r="K6373" s="256" t="inlineStr">
        <is>
          <t xml:space="preserve">'LIFTS &amp; PS'!C43</t>
        </is>
      </c>
    </row>
    <row r="6374">
      <c r="C6374" s="246" t="inlineStr">
        <is>
          <t xml:space="preserve">Item / provisional sum</t>
        </is>
      </c>
      <c r="H6374" s="247">
        <v>1</v>
      </c>
      <c r="J6374" s="253" t="inlineStr">
        <is>
          <t xml:space="preserve">1</t>
        </is>
      </c>
    </row>
    <row r="6375">
      <c r="C6375" s="250" t="inlineStr">
        <is>
          <t xml:space="preserve">Total carried to BOQ  LIFTS &amp; PS item E</t>
        </is>
      </c>
      <c r="D6375" s="250" t="inlineStr">
        <is>
          <t xml:space="preserve"/>
        </is>
      </c>
      <c r="E6375" s="250" t="inlineStr">
        <is>
          <t xml:space="preserve"/>
        </is>
      </c>
      <c r="F6375" s="250" t="inlineStr">
        <is>
          <t xml:space="preserve"/>
        </is>
      </c>
      <c r="G6375" s="250" t="inlineStr">
        <is>
          <t xml:space="preserve"/>
        </is>
      </c>
      <c r="H6375" s="251">
        <f>SUM(H6374:H6374)</f>
        <v>1</v>
      </c>
      <c r="I6375" s="252" t="inlineStr">
        <is>
          <t xml:space="preserve">item</t>
        </is>
      </c>
    </row>
    <row r="6376">
      <c r="C6376" s="242" t="inlineStr">
        <is>
          <t xml:space="preserve">Service/goods lift in the lump BOQ is not shown on the drawings (only two lift shafts) - omitted pending confirmation.</t>
        </is>
      </c>
    </row>
    <row r="6377"/>
  </sheetData>
  <hyperlinks>
    <hyperlink ref="A7" location="TAKEOFF!A23" display="TAKEOFF!A23"/>
    <hyperlink ref="K7" location="'SUBSTRUCTURE'!A1" display="'SUBSTRUCTURE'!A1"/>
    <hyperlink ref="A8" location="TAKEOFF!A138" display="TAKEOFF!A138"/>
    <hyperlink ref="K8" location="'GROUND FLR '!A1" display="'GROUND FLR '!A1"/>
    <hyperlink ref="A9" location="TAKEOFF!A652" display="TAKEOFF!A652"/>
    <hyperlink ref="K9" location="'1ST FLR '!A1" display="'1ST FLR '!A1"/>
    <hyperlink ref="A10" location="TAKEOFF!A888" display="TAKEOFF!A888"/>
    <hyperlink ref="K10" location="'2ND FLR'!A1" display="'2ND FLR'!A1"/>
    <hyperlink ref="A11" location="TAKEOFF!A1150" display="TAKEOFF!A1150"/>
    <hyperlink ref="K11" location="'3RD FLR'!A1" display="'3RD FLR'!A1"/>
    <hyperlink ref="A12" location="TAKEOFF!A1761" display="TAKEOFF!A1761"/>
    <hyperlink ref="K12" location="'4TH FLR '!A1" display="'4TH FLR '!A1"/>
    <hyperlink ref="A13" location="TAKEOFF!A2374" display="TAKEOFF!A2374"/>
    <hyperlink ref="K13" location="'5TH FLR '!A1" display="'5TH FLR '!A1"/>
    <hyperlink ref="A14" location="TAKEOFF!A2985" display="TAKEOFF!A2985"/>
    <hyperlink ref="K14" location="'6TH FLR  '!A1" display="'6TH FLR  '!A1"/>
    <hyperlink ref="A15" location="TAKEOFF!A3596" display="TAKEOFF!A3596"/>
    <hyperlink ref="K15" location="'7TH FLR   '!A1" display="'7TH FLR   '!A1"/>
    <hyperlink ref="A16" location="TAKEOFF!A4207" display="TAKEOFF!A4207"/>
    <hyperlink ref="K16" location="'8TH FLR   '!A1" display="'8TH FLR   '!A1"/>
    <hyperlink ref="A17" location="TAKEOFF!A4821" display="TAKEOFF!A4821"/>
    <hyperlink ref="K17" location="'9TH FLR    '!A1" display="'9TH FLR    '!A1"/>
    <hyperlink ref="A18" location="TAKEOFF!A5379" display="TAKEOFF!A5379"/>
    <hyperlink ref="K18" location="'10TH FLR   '!A1" display="'10TH FLR   '!A1"/>
    <hyperlink ref="A19" location="TAKEOFF!A5960" display="TAKEOFF!A5960"/>
    <hyperlink ref="K19" location="'11TH FLR'!A1" display="'11TH FLR'!A1"/>
    <hyperlink ref="A20" location="TAKEOFF!A6263" display="TAKEOFF!A6263"/>
    <hyperlink ref="K20" location="'12TH FLR '!A1" display="'12TH FLR '!A1"/>
    <hyperlink ref="A21" location="TAKEOFF!A6353" display="TAKEOFF!A6353"/>
    <hyperlink ref="K21" location="'LIFTS &amp; PS'!A1" display="'LIFTS &amp; PS'!A1"/>
    <hyperlink ref="K26" location="'SUBSTRUCTURE'!C27" display="'SUBSTRUCTURE'!C27"/>
    <hyperlink ref="K30" location="'SUBSTRUCTURE'!C29" display="'SUBSTRUCTURE'!C29"/>
    <hyperlink ref="K33" location="'SUBSTRUCTURE'!C31" display="'SUBSTRUCTURE'!C31"/>
    <hyperlink ref="K36" location="'SUBSTRUCTURE'!C33" display="'SUBSTRUCTURE'!C33"/>
    <hyperlink ref="K41" location="'SUBSTRUCTURE'!C35" display="'SUBSTRUCTURE'!C35"/>
    <hyperlink ref="K44" location="'SUBSTRUCTURE'!C37" display="'SUBSTRUCTURE'!C37"/>
    <hyperlink ref="K48" location="'SUBSTRUCTURE'!C39" display="'SUBSTRUCTURE'!C39"/>
    <hyperlink ref="K53" location="'SUBSTRUCTURE'!C41" display="'SUBSTRUCTURE'!C41"/>
    <hyperlink ref="K58" location="'SUBSTRUCTURE'!C50" display="'SUBSTRUCTURE'!C50"/>
    <hyperlink ref="K61" location="'SUBSTRUCTURE'!C52" display="'SUBSTRUCTURE'!C52"/>
    <hyperlink ref="K65" location="'SUBSTRUCTURE'!C55" display="'SUBSTRUCTURE'!C55"/>
    <hyperlink ref="K70" location="'SUBSTRUCTURE'!C57" display="'SUBSTRUCTURE'!C57"/>
    <hyperlink ref="K73" location="'SUBSTRUCTURE'!C59" display="'SUBSTRUCTURE'!C59"/>
    <hyperlink ref="K85" location="'SUBSTRUCTURE'!C62" display="'SUBSTRUCTURE'!C62"/>
    <hyperlink ref="K88" location="'SUBSTRUCTURE'!C64" display="'SUBSTRUCTURE'!C64"/>
    <hyperlink ref="K91" location="'SUBSTRUCTURE'!C66" display="'SUBSTRUCTURE'!C66"/>
    <hyperlink ref="K96" location="'SUBSTRUCTURE'!C68" display="'SUBSTRUCTURE'!C68"/>
    <hyperlink ref="K100" location="'SUBSTRUCTURE'!C70" display="'SUBSTRUCTURE'!C70"/>
    <hyperlink ref="K105" location="'SUBSTRUCTURE'!C72" display="'SUBSTRUCTURE'!C72"/>
    <hyperlink ref="K109" location="'SUBSTRUCTURE'!C75" display="'SUBSTRUCTURE'!C75"/>
    <hyperlink ref="K114" location="'SUBSTRUCTURE'!C77" display="'SUBSTRUCTURE'!C77"/>
    <hyperlink ref="K117" location="'SUBSTRUCTURE'!C79" display="'SUBSTRUCTURE'!C79"/>
    <hyperlink ref="K120" location="'SUBSTRUCTURE'!C81" display="'SUBSTRUCTURE'!C81"/>
    <hyperlink ref="K133" location="'SUBSTRUCTURE'!C90" display="'SUBSTRUCTURE'!C90"/>
    <hyperlink ref="K141" location="'GROUND FLR '!C34" display="'GROUND FLR '!C34"/>
    <hyperlink ref="K144" location="'GROUND FLR '!C36" display="'GROUND FLR '!C36"/>
    <hyperlink ref="K147" location="'GROUND FLR '!C38" display="'GROUND FLR '!C38"/>
    <hyperlink ref="K160" location="'GROUND FLR '!C40" display="'GROUND FLR '!C40"/>
    <hyperlink ref="K165" location="'GROUND FLR '!C42" display="'GROUND FLR '!C42"/>
    <hyperlink ref="K168" location="'GROUND FLR '!C44" display="'GROUND FLR '!C44"/>
    <hyperlink ref="K176" location="'GROUND FLR '!C46" display="'GROUND FLR '!C46"/>
    <hyperlink ref="K201" location="'GROUND FLR '!C49" display="'GROUND FLR '!C49"/>
    <hyperlink ref="K204" location="'GROUND FLR '!C51" display="'GROUND FLR '!C51"/>
    <hyperlink ref="K207" location="'GROUND FLR '!C53" display="'GROUND FLR '!C53"/>
    <hyperlink ref="K210" location="'GROUND FLR '!C55" display="'GROUND FLR '!C55"/>
    <hyperlink ref="K223" location="'GROUND FLR '!C57" display="'GROUND FLR '!C57"/>
    <hyperlink ref="K229" location="'GROUND FLR '!C59" display="'GROUND FLR '!C59"/>
    <hyperlink ref="K240" location="'GROUND FLR '!C61" display="'GROUND FLR '!C61"/>
    <hyperlink ref="K265" location="'GROUND FLR '!C64" display="'GROUND FLR '!C64"/>
    <hyperlink ref="K269" location="'GROUND FLR '!C66" display="'GROUND FLR '!C66"/>
    <hyperlink ref="K272" location="'GROUND FLR '!C68" display="'GROUND FLR '!C68"/>
    <hyperlink ref="K276" location="'GROUND FLR '!C70" display="'GROUND FLR '!C70"/>
    <hyperlink ref="K279" location="'GROUND FLR '!C72" display="'GROUND FLR '!C72"/>
    <hyperlink ref="K282" location="'GROUND FLR '!C74" display="'GROUND FLR '!C74"/>
    <hyperlink ref="K285" location="'GROUND FLR '!C76" display="'GROUND FLR '!C76"/>
    <hyperlink ref="K288" location="'GROUND FLR '!C78" display="'GROUND FLR '!C78"/>
    <hyperlink ref="K293" location="'GROUND FLR '!C80" display="'GROUND FLR '!C80"/>
    <hyperlink ref="K299" location="'GROUND FLR '!C82" display="'GROUND FLR '!C82"/>
    <hyperlink ref="K304" location="'GROUND FLR '!C84" display="'GROUND FLR '!C84"/>
    <hyperlink ref="K308" location="'GROUND FLR '!C86" display="'GROUND FLR '!C86"/>
    <hyperlink ref="K312" location="'GROUND FLR '!C88" display="'GROUND FLR '!C88"/>
    <hyperlink ref="K315" location="'GROUND FLR '!C90" display="'GROUND FLR '!C90"/>
    <hyperlink ref="K320" location="'GROUND FLR '!C99" display="'GROUND FLR '!C99"/>
    <hyperlink ref="K345" location="'GROUND FLR '!C101" display="'GROUND FLR '!C101"/>
    <hyperlink ref="K372" location="'GROUND FLR '!C110" display="'GROUND FLR '!C110"/>
    <hyperlink ref="K375" location="'GROUND FLR '!C112" display="'GROUND FLR '!C112"/>
    <hyperlink ref="K378" location="'GROUND FLR '!C114" display="'GROUND FLR '!C114"/>
    <hyperlink ref="K381" location="'GROUND FLR '!C116" display="'GROUND FLR '!C116"/>
    <hyperlink ref="K384" location="'GROUND FLR '!C118" display="'GROUND FLR '!C118"/>
    <hyperlink ref="K387" location="'GROUND FLR '!C120" display="'GROUND FLR '!C120"/>
    <hyperlink ref="K390" location="'GROUND FLR '!C122" display="'GROUND FLR '!C122"/>
    <hyperlink ref="K393" location="'GROUND FLR '!C124" display="'GROUND FLR '!C124"/>
    <hyperlink ref="K396" location="'GROUND FLR '!C126" display="'GROUND FLR '!C126"/>
    <hyperlink ref="K399" location="'GROUND FLR '!C128" display="'GROUND FLR '!C128"/>
    <hyperlink ref="K402" location="'GROUND FLR '!C130" display="'GROUND FLR '!C130"/>
    <hyperlink ref="K405" location="'GROUND FLR '!C132" display="'GROUND FLR '!C132"/>
    <hyperlink ref="K408" location="'GROUND FLR '!C134" display="'GROUND FLR '!C134"/>
    <hyperlink ref="K411" location="'GROUND FLR '!C136" display="'GROUND FLR '!C136"/>
    <hyperlink ref="K416" location="'GROUND FLR '!C138" display="'GROUND FLR '!C138"/>
    <hyperlink ref="K422" location="'GROUND FLR '!C144" display="'GROUND FLR '!C144"/>
    <hyperlink ref="K425" location="'GROUND FLR '!C146" display="'GROUND FLR '!C146"/>
    <hyperlink ref="K428" location="'GROUND FLR '!C148" display="'GROUND FLR '!C148"/>
    <hyperlink ref="K432" location="'GROUND FLR '!C151" display="'GROUND FLR '!C151"/>
    <hyperlink ref="K435" location="'GROUND FLR '!C153" display="'GROUND FLR '!C153"/>
    <hyperlink ref="K438" location="'GROUND FLR '!C155" display="'GROUND FLR '!C155"/>
    <hyperlink ref="K441" location="'GROUND FLR '!C157" display="'GROUND FLR '!C157"/>
    <hyperlink ref="K444" location="'GROUND FLR '!C159" display="'GROUND FLR '!C159"/>
    <hyperlink ref="K447" location="'GROUND FLR '!C161" display="'GROUND FLR '!C161"/>
    <hyperlink ref="K450" location="'GROUND FLR '!C163" display="'GROUND FLR '!C163"/>
    <hyperlink ref="K453" location="'GROUND FLR '!C165" display="'GROUND FLR '!C165"/>
    <hyperlink ref="K456" location="'GROUND FLR '!C167" display="'GROUND FLR '!C167"/>
    <hyperlink ref="K461" location="'GROUND FLR '!C176" display="'GROUND FLR '!C176"/>
    <hyperlink ref="K464" location="'GROUND FLR '!C178" display="'GROUND FLR '!C178"/>
    <hyperlink ref="K479" location="'GROUND FLR '!C180" display="'GROUND FLR '!C180"/>
    <hyperlink ref="K482" location="'GROUND FLR '!C182" display="'GROUND FLR '!C182"/>
    <hyperlink ref="K496" location="'GROUND FLR '!C184" display="'GROUND FLR '!C184"/>
    <hyperlink ref="K499" location="'GROUND FLR '!C186" display="'GROUND FLR '!C186"/>
    <hyperlink ref="K502" location="'GROUND FLR '!C188" display="'GROUND FLR '!C188"/>
    <hyperlink ref="K505" location="'GROUND FLR '!C190" display="'GROUND FLR '!C190"/>
    <hyperlink ref="K510" location="'GROUND FLR '!C199" display="'GROUND FLR '!C199"/>
    <hyperlink ref="K539" location="'GROUND FLR '!C201" display="'GROUND FLR '!C201"/>
    <hyperlink ref="K543" location="'GROUND FLR '!C203" display="'GROUND FLR '!C203"/>
    <hyperlink ref="K555" location="'GROUND FLR '!C205" display="'GROUND FLR '!C205"/>
    <hyperlink ref="K559" location="'GROUND FLR '!C207" display="'GROUND FLR '!C207"/>
    <hyperlink ref="K565" location="'GROUND FLR '!C215" display="'GROUND FLR '!C215"/>
    <hyperlink ref="K594" location="'GROUND FLR '!C217" display="'GROUND FLR '!C217"/>
    <hyperlink ref="K600" location="'GROUND FLR '!C219" display="'GROUND FLR '!C219"/>
    <hyperlink ref="K612" location="'GROUND FLR '!C221" display="'GROUND FLR '!C221"/>
    <hyperlink ref="K625" location="'GROUND FLR '!C223" display="'GROUND FLR '!C223"/>
    <hyperlink ref="K628" location="'GROUND FLR '!C225" display="'GROUND FLR '!C225"/>
    <hyperlink ref="K631" location="'GROUND FLR '!C227" display="'GROUND FLR '!C227"/>
    <hyperlink ref="K639" location="'GROUND FLR '!C229" display="'GROUND FLR '!C229"/>
    <hyperlink ref="K655" location="'1ST FLR '!C33" display="'1ST FLR '!C33"/>
    <hyperlink ref="K659" location="'1ST FLR '!C35" display="'1ST FLR '!C35"/>
    <hyperlink ref="K664" location="'1ST FLR '!C37" display="'1ST FLR '!C37"/>
    <hyperlink ref="K675" location="'1ST FLR '!C39" display="'1ST FLR '!C39"/>
    <hyperlink ref="K679" location="'1ST FLR '!C41" display="'1ST FLR '!C41"/>
    <hyperlink ref="K682" location="'1ST FLR '!C43" display="'1ST FLR '!C43"/>
    <hyperlink ref="K688" location="'1ST FLR '!C45" display="'1ST FLR '!C45"/>
    <hyperlink ref="K692" location="'1ST FLR '!C48" display="'1ST FLR '!C48"/>
    <hyperlink ref="K696" location="'1ST FLR '!C50" display="'1ST FLR '!C50"/>
    <hyperlink ref="K700" location="'1ST FLR '!C52" display="'1ST FLR '!C52"/>
    <hyperlink ref="K705" location="'1ST FLR '!C54" display="'1ST FLR '!C54"/>
    <hyperlink ref="K716" location="'1ST FLR '!C56" display="'1ST FLR '!C56"/>
    <hyperlink ref="K721" location="'1ST FLR '!C58" display="'1ST FLR '!C58"/>
    <hyperlink ref="K729" location="'1ST FLR '!C60" display="'1ST FLR '!C60"/>
    <hyperlink ref="K733" location="'1ST FLR '!C65" display="'1ST FLR '!C65"/>
    <hyperlink ref="K737" location="'1ST FLR '!C67" display="'1ST FLR '!C67"/>
    <hyperlink ref="K741" location="'1ST FLR '!C69" display="'1ST FLR '!C69"/>
    <hyperlink ref="K745" location="'1ST FLR '!C71" display="'1ST FLR '!C71"/>
    <hyperlink ref="K749" location="'1ST FLR '!C73" display="'1ST FLR '!C73"/>
    <hyperlink ref="K753" location="'1ST FLR '!C75" display="'1ST FLR '!C75"/>
    <hyperlink ref="K757" location="'1ST FLR '!C77" display="'1ST FLR '!C77"/>
    <hyperlink ref="K761" location="'1ST FLR '!C79" display="'1ST FLR '!C79"/>
    <hyperlink ref="K766" location="'1ST FLR '!C81" display="'1ST FLR '!C81"/>
    <hyperlink ref="K771" location="'1ST FLR '!C83" display="'1ST FLR '!C83"/>
    <hyperlink ref="K776" location="'1ST FLR '!C85" display="'1ST FLR '!C85"/>
    <hyperlink ref="K780" location="'1ST FLR '!C87" display="'1ST FLR '!C87"/>
    <hyperlink ref="K784" location="'1ST FLR '!C89" display="'1ST FLR '!C89"/>
    <hyperlink ref="K788" location="'1ST FLR '!C91" display="'1ST FLR '!C91"/>
    <hyperlink ref="K794" location="'1ST FLR '!C100" display="'1ST FLR '!C100"/>
    <hyperlink ref="K798" location="'1ST FLR '!C102" display="'1ST FLR '!C102"/>
    <hyperlink ref="K804" location="'1ST FLR '!C111" display="'1ST FLR '!C111"/>
    <hyperlink ref="K809" location="'1ST FLR '!C119" display="'1ST FLR '!C119"/>
    <hyperlink ref="K812" location="'1ST FLR '!C121" display="'1ST FLR '!C121"/>
    <hyperlink ref="K823" location="'1ST FLR '!C123" display="'1ST FLR '!C123"/>
    <hyperlink ref="K833" location="'1ST FLR '!C125" display="'1ST FLR '!C125"/>
    <hyperlink ref="K836" location="'1ST FLR '!C127" display="'1ST FLR '!C127"/>
    <hyperlink ref="K839" location="'1ST FLR '!C129" display="'1ST FLR '!C129"/>
    <hyperlink ref="K844" location="'1ST FLR '!C137" display="'1ST FLR '!C137"/>
    <hyperlink ref="K853" location="'1ST FLR '!C139" display="'1ST FLR '!C139"/>
    <hyperlink ref="K859" location="'1ST FLR '!C148" display="'1ST FLR '!C148"/>
    <hyperlink ref="K868" location="'1ST FLR '!C150" display="'1ST FLR '!C150"/>
    <hyperlink ref="K872" location="'1ST FLR '!C152" display="'1ST FLR '!C152"/>
    <hyperlink ref="K883" location="'1ST FLR '!C154" display="'1ST FLR '!C154"/>
    <hyperlink ref="K891" location="'2ND FLR'!C33" display="'2ND FLR'!C33"/>
    <hyperlink ref="K895" location="'2ND FLR'!C35" display="'2ND FLR'!C35"/>
    <hyperlink ref="K900" location="'2ND FLR'!C37" display="'2ND FLR'!C37"/>
    <hyperlink ref="K911" location="'2ND FLR'!C39" display="'2ND FLR'!C39"/>
    <hyperlink ref="K915" location="'2ND FLR'!C41" display="'2ND FLR'!C41"/>
    <hyperlink ref="K918" location="'2ND FLR'!C43" display="'2ND FLR'!C43"/>
    <hyperlink ref="K924" location="'2ND FLR'!C45" display="'2ND FLR'!C45"/>
    <hyperlink ref="K929" location="'2ND FLR'!C48" display="'2ND FLR'!C48"/>
    <hyperlink ref="K933" location="'2ND FLR'!C50" display="'2ND FLR'!C50"/>
    <hyperlink ref="K937" location="'2ND FLR'!C52" display="'2ND FLR'!C52"/>
    <hyperlink ref="K942" location="'2ND FLR'!C54" display="'2ND FLR'!C54"/>
    <hyperlink ref="K953" location="'2ND FLR'!C56" display="'2ND FLR'!C56"/>
    <hyperlink ref="K958" location="'2ND FLR'!C58" display="'2ND FLR'!C58"/>
    <hyperlink ref="K966" location="'2ND FLR'!C60" display="'2ND FLR'!C60"/>
    <hyperlink ref="K971" location="'2ND FLR'!C63" display="'2ND FLR'!C63"/>
    <hyperlink ref="K975" location="'2ND FLR'!C65" display="'2ND FLR'!C65"/>
    <hyperlink ref="K979" location="'2ND FLR'!C67" display="'2ND FLR'!C67"/>
    <hyperlink ref="K982" location="'2ND FLR'!C69" display="'2ND FLR'!C69"/>
    <hyperlink ref="K986" location="'2ND FLR'!C71" display="'2ND FLR'!C71"/>
    <hyperlink ref="K990" location="'2ND FLR'!C73" display="'2ND FLR'!C73"/>
    <hyperlink ref="K994" location="'2ND FLR'!C75" display="'2ND FLR'!C75"/>
    <hyperlink ref="K998" location="'2ND FLR'!C77" display="'2ND FLR'!C77"/>
    <hyperlink ref="K1003" location="'2ND FLR'!C79" display="'2ND FLR'!C79"/>
    <hyperlink ref="K1008" location="'2ND FLR'!C81" display="'2ND FLR'!C81"/>
    <hyperlink ref="K1013" location="'2ND FLR'!C83" display="'2ND FLR'!C83"/>
    <hyperlink ref="K1017" location="'2ND FLR'!C85" display="'2ND FLR'!C85"/>
    <hyperlink ref="K1021" location="'2ND FLR'!C87" display="'2ND FLR'!C87"/>
    <hyperlink ref="K1025" location="'2ND FLR'!C89" display="'2ND FLR'!C89"/>
    <hyperlink ref="K1030" location="'2ND FLR'!C98" display="'2ND FLR'!C98"/>
    <hyperlink ref="K1036" location="'2ND FLR'!C100" display="'2ND FLR'!C100"/>
    <hyperlink ref="K1044" location="'2ND FLR'!C109" display="'2ND FLR'!C109"/>
    <hyperlink ref="K1050" location="'2ND FLR'!C118" display="'2ND FLR'!C118"/>
    <hyperlink ref="K1054" location="'2ND FLR'!C120" display="'2ND FLR'!C120"/>
    <hyperlink ref="K1066" location="'2ND FLR'!C122" display="'2ND FLR'!C122"/>
    <hyperlink ref="K1076" location="'2ND FLR'!C124" display="'2ND FLR'!C124"/>
    <hyperlink ref="K1079" location="'2ND FLR'!C126" display="'2ND FLR'!C126"/>
    <hyperlink ref="K1082" location="'2ND FLR'!C128" display="'2ND FLR'!C128"/>
    <hyperlink ref="K1088" location="'2ND FLR'!C137" display="'2ND FLR'!C137"/>
    <hyperlink ref="K1104" location="'2ND FLR'!C139" display="'2ND FLR'!C139"/>
    <hyperlink ref="K1112" location="'2ND FLR'!C148" display="'2ND FLR'!C148"/>
    <hyperlink ref="K1128" location="'2ND FLR'!C150" display="'2ND FLR'!C150"/>
    <hyperlink ref="K1134" location="'2ND FLR'!C152" display="'2ND FLR'!C152"/>
    <hyperlink ref="K1145" location="'2ND FLR'!C154" display="'2ND FLR'!C154"/>
    <hyperlink ref="K1153" location="'3RD FLR'!C34" display="'3RD FLR'!C34"/>
    <hyperlink ref="K1156" location="'3RD FLR'!C36" display="'3RD FLR'!C36"/>
    <hyperlink ref="K1160" location="'3RD FLR'!C38" display="'3RD FLR'!C38"/>
    <hyperlink ref="K1171" location="'3RD FLR'!C40" display="'3RD FLR'!C40"/>
    <hyperlink ref="K1175" location="'3RD FLR'!C42" display="'3RD FLR'!C42"/>
    <hyperlink ref="K1178" location="'3RD FLR'!C44" display="'3RD FLR'!C44"/>
    <hyperlink ref="K1184" location="'3RD FLR'!C46" display="'3RD FLR'!C46"/>
    <hyperlink ref="K1222" location="'3RD FLR'!C49" display="'3RD FLR'!C49"/>
    <hyperlink ref="K1225" location="'3RD FLR'!C51" display="'3RD FLR'!C51"/>
    <hyperlink ref="K1228" location="'3RD FLR'!C53" display="'3RD FLR'!C53"/>
    <hyperlink ref="K1232" location="'3RD FLR'!C55" display="'3RD FLR'!C55"/>
    <hyperlink ref="K1243" location="'3RD FLR'!C57" display="'3RD FLR'!C57"/>
    <hyperlink ref="K1248" location="'3RD FLR'!C59" display="'3RD FLR'!C59"/>
    <hyperlink ref="K1256" location="'3RD FLR'!C61" display="'3RD FLR'!C61"/>
    <hyperlink ref="K1294" location="'3RD FLR'!C64" display="'3RD FLR'!C64"/>
    <hyperlink ref="K1297" location="'3RD FLR'!C66" display="'3RD FLR'!C66"/>
    <hyperlink ref="K1300" location="'3RD FLR'!C68" display="'3RD FLR'!C68"/>
    <hyperlink ref="K1303" location="'3RD FLR'!C70" display="'3RD FLR'!C70"/>
    <hyperlink ref="K1306" location="'3RD FLR'!C72" display="'3RD FLR'!C72"/>
    <hyperlink ref="K1309" location="'3RD FLR'!C74" display="'3RD FLR'!C74"/>
    <hyperlink ref="K1312" location="'3RD FLR'!C76" display="'3RD FLR'!C76"/>
    <hyperlink ref="K1316" location="'3RD FLR'!C78" display="'3RD FLR'!C78"/>
    <hyperlink ref="K1320" location="'3RD FLR'!C80" display="'3RD FLR'!C80"/>
    <hyperlink ref="K1324" location="'3RD FLR'!C82" display="'3RD FLR'!C82"/>
    <hyperlink ref="K1327" location="'3RD FLR'!C84" display="'3RD FLR'!C84"/>
    <hyperlink ref="K1330" location="'3RD FLR'!C86" display="'3RD FLR'!C86"/>
    <hyperlink ref="K1333" location="'3RD FLR'!C88" display="'3RD FLR'!C88"/>
    <hyperlink ref="K1338" location="'3RD FLR'!C97" display="'3RD FLR'!C97"/>
    <hyperlink ref="K1376" location="'3RD FLR'!C99" display="'3RD FLR'!C99"/>
    <hyperlink ref="K1416" location="'3RD FLR'!C108" display="'3RD FLR'!C108"/>
    <hyperlink ref="K1419" location="'3RD FLR'!C110" display="'3RD FLR'!C110"/>
    <hyperlink ref="K1422" location="'3RD FLR'!C112" display="'3RD FLR'!C112"/>
    <hyperlink ref="K1425" location="'3RD FLR'!C114" display="'3RD FLR'!C114"/>
    <hyperlink ref="K1428" location="'3RD FLR'!C116" display="'3RD FLR'!C116"/>
    <hyperlink ref="K1431" location="'3RD FLR'!C118" display="'3RD FLR'!C118"/>
    <hyperlink ref="K1434" location="'3RD FLR'!C120" display="'3RD FLR'!C120"/>
    <hyperlink ref="K1437" location="'3RD FLR'!C122" display="'3RD FLR'!C122"/>
    <hyperlink ref="K1440" location="'3RD FLR'!C124" display="'3RD FLR'!C124"/>
    <hyperlink ref="K1443" location="'3RD FLR'!C126" display="'3RD FLR'!C126"/>
    <hyperlink ref="K1446" location="'3RD FLR'!C128" display="'3RD FLR'!C128"/>
    <hyperlink ref="K1449" location="'3RD FLR'!C130" display="'3RD FLR'!C130"/>
    <hyperlink ref="K1452" location="'3RD FLR'!C132" display="'3RD FLR'!C132"/>
    <hyperlink ref="K1455" location="'3RD FLR'!C134" display="'3RD FLR'!C134"/>
    <hyperlink ref="K1458" location="'3RD FLR'!C136" display="'3RD FLR'!C136"/>
    <hyperlink ref="K1461" location="'3RD FLR'!C138" display="'3RD FLR'!C138"/>
    <hyperlink ref="K1464" location="'3RD FLR'!C140" display="'3RD FLR'!C140"/>
    <hyperlink ref="K1467" location="'3RD FLR'!C142" display="'3RD FLR'!C142"/>
    <hyperlink ref="K1470" location="'3RD FLR'!C144" display="'3RD FLR'!C144"/>
    <hyperlink ref="K1475" location="'3RD FLR'!C146" display="'3RD FLR'!C146"/>
    <hyperlink ref="K1481" location="'3RD FLR'!C149" display="'3RD FLR'!C149"/>
    <hyperlink ref="K1484" location="'3RD FLR'!C151" display="'3RD FLR'!C151"/>
    <hyperlink ref="K1487" location="'3RD FLR'!C153" display="'3RD FLR'!C153"/>
    <hyperlink ref="K1491" location="'3RD FLR'!C156" display="'3RD FLR'!C156"/>
    <hyperlink ref="K1494" location="'3RD FLR'!C158" display="'3RD FLR'!C158"/>
    <hyperlink ref="K1497" location="'3RD FLR'!C160" display="'3RD FLR'!C160"/>
    <hyperlink ref="K1500" location="'3RD FLR'!C162" display="'3RD FLR'!C162"/>
    <hyperlink ref="K1503" location="'3RD FLR'!C164" display="'3RD FLR'!C164"/>
    <hyperlink ref="K1506" location="'3RD FLR'!C166" display="'3RD FLR'!C166"/>
    <hyperlink ref="K1509" location="'3RD FLR'!C168" display="'3RD FLR'!C168"/>
    <hyperlink ref="K1512" location="'3RD FLR'!C170" display="'3RD FLR'!C170"/>
    <hyperlink ref="K1515" location="'3RD FLR'!C172" display="'3RD FLR'!C172"/>
    <hyperlink ref="K1518" location="'3RD FLR'!C174" display="'3RD FLR'!C174"/>
    <hyperlink ref="K1521" location="'3RD FLR'!C176" display="'3RD FLR'!C176"/>
    <hyperlink ref="K1524" location="'3RD FLR'!C178" display="'3RD FLR'!C178"/>
    <hyperlink ref="K1527" location="'3RD FLR'!C180" display="'3RD FLR'!C180"/>
    <hyperlink ref="K1530" location="'3RD FLR'!C182" display="'3RD FLR'!C182"/>
    <hyperlink ref="K1533" location="'3RD FLR'!C184" display="'3RD FLR'!C184"/>
    <hyperlink ref="K1536" location="'3RD FLR'!C186" display="'3RD FLR'!C186"/>
    <hyperlink ref="K1539" location="'3RD FLR'!C188" display="'3RD FLR'!C188"/>
    <hyperlink ref="K1544" location="'3RD FLR'!C196" display="'3RD FLR'!C196"/>
    <hyperlink ref="K1547" location="'3RD FLR'!C198" display="'3RD FLR'!C198"/>
    <hyperlink ref="K1558" location="'3RD FLR'!C200" display="'3RD FLR'!C200"/>
    <hyperlink ref="K1561" location="'3RD FLR'!C202" display="'3RD FLR'!C202"/>
    <hyperlink ref="K1571" location="'3RD FLR'!C204" display="'3RD FLR'!C204"/>
    <hyperlink ref="K1574" location="'3RD FLR'!C206" display="'3RD FLR'!C206"/>
    <hyperlink ref="K1577" location="'3RD FLR'!C208" display="'3RD FLR'!C208"/>
    <hyperlink ref="K1582" location="'3RD FLR'!C216" display="'3RD FLR'!C216"/>
    <hyperlink ref="K1624" location="'3RD FLR'!C218" display="'3RD FLR'!C218"/>
    <hyperlink ref="K1628" location="'3RD FLR'!C220" display="'3RD FLR'!C220"/>
    <hyperlink ref="K1648" location="'3RD FLR'!C222" display="'3RD FLR'!C222"/>
    <hyperlink ref="K1652" location="'3RD FLR'!C224" display="'3RD FLR'!C224"/>
    <hyperlink ref="K1658" location="'3RD FLR'!C231" display="'3RD FLR'!C231"/>
    <hyperlink ref="K1700" location="'3RD FLR'!C233" display="'3RD FLR'!C233"/>
    <hyperlink ref="K1706" location="'3RD FLR'!C235" display="'3RD FLR'!C235"/>
    <hyperlink ref="K1726" location="'3RD FLR'!C237" display="'3RD FLR'!C237"/>
    <hyperlink ref="K1729" location="'3RD FLR'!C239" display="'3RD FLR'!C239"/>
    <hyperlink ref="K1732" location="'3RD FLR'!C241" display="'3RD FLR'!C241"/>
    <hyperlink ref="K1740" location="'3RD FLR'!C243" display="'3RD FLR'!C243"/>
    <hyperlink ref="K1764" location="'4TH FLR '!C34" display="'4TH FLR '!C34"/>
    <hyperlink ref="K1767" location="'4TH FLR '!C36" display="'4TH FLR '!C36"/>
    <hyperlink ref="K1771" location="'4TH FLR '!C38" display="'4TH FLR '!C38"/>
    <hyperlink ref="K1782" location="'4TH FLR '!C40" display="'4TH FLR '!C40"/>
    <hyperlink ref="K1786" location="'4TH FLR '!C42" display="'4TH FLR '!C42"/>
    <hyperlink ref="K1789" location="'4TH FLR '!C44" display="'4TH FLR '!C44"/>
    <hyperlink ref="K1795" location="'4TH FLR '!C46" display="'4TH FLR '!C46"/>
    <hyperlink ref="K1833" location="'4TH FLR '!C49" display="'4TH FLR '!C49"/>
    <hyperlink ref="K1836" location="'4TH FLR '!C51" display="'4TH FLR '!C51"/>
    <hyperlink ref="K1839" location="'4TH FLR '!C53" display="'4TH FLR '!C53"/>
    <hyperlink ref="K1843" location="'4TH FLR '!C55" display="'4TH FLR '!C55"/>
    <hyperlink ref="K1854" location="'4TH FLR '!C57" display="'4TH FLR '!C57"/>
    <hyperlink ref="K1859" location="'4TH FLR '!C59" display="'4TH FLR '!C59"/>
    <hyperlink ref="K1867" location="'4TH FLR '!C61" display="'4TH FLR '!C61"/>
    <hyperlink ref="K1905" location="'4TH FLR '!C64" display="'4TH FLR '!C64"/>
    <hyperlink ref="K1908" location="'4TH FLR '!C66" display="'4TH FLR '!C66"/>
    <hyperlink ref="K1911" location="'4TH FLR '!C68" display="'4TH FLR '!C68"/>
    <hyperlink ref="K1914" location="'4TH FLR '!C70" display="'4TH FLR '!C70"/>
    <hyperlink ref="K1917" location="'4TH FLR '!C72" display="'4TH FLR '!C72"/>
    <hyperlink ref="K1920" location="'4TH FLR '!C74" display="'4TH FLR '!C74"/>
    <hyperlink ref="K1923" location="'4TH FLR '!C76" display="'4TH FLR '!C76"/>
    <hyperlink ref="K1927" location="'4TH FLR '!C78" display="'4TH FLR '!C78"/>
    <hyperlink ref="K1931" location="'4TH FLR '!C80" display="'4TH FLR '!C80"/>
    <hyperlink ref="K1934" location="'4TH FLR '!C82" display="'4TH FLR '!C82"/>
    <hyperlink ref="K1937" location="'4TH FLR '!C84" display="'4TH FLR '!C84"/>
    <hyperlink ref="K1940" location="'4TH FLR '!C86" display="'4TH FLR '!C86"/>
    <hyperlink ref="K1943" location="'4TH FLR '!C88" display="'4TH FLR '!C88"/>
    <hyperlink ref="K1946" location="'4TH FLR '!C90" display="'4TH FLR '!C90"/>
    <hyperlink ref="K1951" location="'4TH FLR '!C99" display="'4TH FLR '!C99"/>
    <hyperlink ref="K1989" location="'4TH FLR '!C101" display="'4TH FLR '!C101"/>
    <hyperlink ref="K2029" location="'4TH FLR '!C110" display="'4TH FLR '!C110"/>
    <hyperlink ref="K2032" location="'4TH FLR '!C112" display="'4TH FLR '!C112"/>
    <hyperlink ref="K2035" location="'4TH FLR '!C114" display="'4TH FLR '!C114"/>
    <hyperlink ref="K2038" location="'4TH FLR '!C116" display="'4TH FLR '!C116"/>
    <hyperlink ref="K2041" location="'4TH FLR '!C118" display="'4TH FLR '!C118"/>
    <hyperlink ref="K2044" location="'4TH FLR '!C120" display="'4TH FLR '!C120"/>
    <hyperlink ref="K2047" location="'4TH FLR '!C122" display="'4TH FLR '!C122"/>
    <hyperlink ref="K2050" location="'4TH FLR '!C124" display="'4TH FLR '!C124"/>
    <hyperlink ref="K2053" location="'4TH FLR '!C126" display="'4TH FLR '!C126"/>
    <hyperlink ref="K2056" location="'4TH FLR '!C128" display="'4TH FLR '!C128"/>
    <hyperlink ref="K2059" location="'4TH FLR '!C130" display="'4TH FLR '!C130"/>
    <hyperlink ref="K2062" location="'4TH FLR '!C132" display="'4TH FLR '!C132"/>
    <hyperlink ref="K2065" location="'4TH FLR '!C134" display="'4TH FLR '!C134"/>
    <hyperlink ref="K2068" location="'4TH FLR '!C136" display="'4TH FLR '!C136"/>
    <hyperlink ref="K2071" location="'4TH FLR '!C138" display="'4TH FLR '!C138"/>
    <hyperlink ref="K2074" location="'4TH FLR '!C140" display="'4TH FLR '!C140"/>
    <hyperlink ref="K2077" location="'4TH FLR '!C142" display="'4TH FLR '!C142"/>
    <hyperlink ref="K2080" location="'4TH FLR '!C144" display="'4TH FLR '!C144"/>
    <hyperlink ref="K2083" location="'4TH FLR '!C146" display="'4TH FLR '!C146"/>
    <hyperlink ref="K2088" location="'4TH FLR '!C148" display="'4TH FLR '!C148"/>
    <hyperlink ref="K2094" location="'4TH FLR '!C152" display="'4TH FLR '!C152"/>
    <hyperlink ref="K2097" location="'4TH FLR '!C154" display="'4TH FLR '!C154"/>
    <hyperlink ref="K2100" location="'4TH FLR '!C156" display="'4TH FLR '!C156"/>
    <hyperlink ref="K2104" location="'4TH FLR '!C159" display="'4TH FLR '!C159"/>
    <hyperlink ref="K2107" location="'4TH FLR '!C161" display="'4TH FLR '!C161"/>
    <hyperlink ref="K2110" location="'4TH FLR '!C163" display="'4TH FLR '!C163"/>
    <hyperlink ref="K2113" location="'4TH FLR '!C165" display="'4TH FLR '!C165"/>
    <hyperlink ref="K2116" location="'4TH FLR '!C167" display="'4TH FLR '!C167"/>
    <hyperlink ref="K2119" location="'4TH FLR '!C169" display="'4TH FLR '!C169"/>
    <hyperlink ref="K2122" location="'4TH FLR '!C171" display="'4TH FLR '!C171"/>
    <hyperlink ref="K2125" location="'4TH FLR '!C173" display="'4TH FLR '!C173"/>
    <hyperlink ref="K2128" location="'4TH FLR '!C175" display="'4TH FLR '!C175"/>
    <hyperlink ref="K2131" location="'4TH FLR '!C177" display="'4TH FLR '!C177"/>
    <hyperlink ref="K2134" location="'4TH FLR '!C179" display="'4TH FLR '!C179"/>
    <hyperlink ref="K2137" location="'4TH FLR '!C181" display="'4TH FLR '!C181"/>
    <hyperlink ref="K2140" location="'4TH FLR '!C183" display="'4TH FLR '!C183"/>
    <hyperlink ref="K2143" location="'4TH FLR '!C185" display="'4TH FLR '!C185"/>
    <hyperlink ref="K2146" location="'4TH FLR '!C187" display="'4TH FLR '!C187"/>
    <hyperlink ref="K2149" location="'4TH FLR '!C189" display="'4TH FLR '!C189"/>
    <hyperlink ref="K2152" location="'4TH FLR '!C191" display="'4TH FLR '!C191"/>
    <hyperlink ref="K2157" location="'4TH FLR '!C199" display="'4TH FLR '!C199"/>
    <hyperlink ref="K2160" location="'4TH FLR '!C201" display="'4TH FLR '!C201"/>
    <hyperlink ref="K2171" location="'4TH FLR '!C203" display="'4TH FLR '!C203"/>
    <hyperlink ref="K2174" location="'4TH FLR '!C205" display="'4TH FLR '!C205"/>
    <hyperlink ref="K2184" location="'4TH FLR '!C207" display="'4TH FLR '!C207"/>
    <hyperlink ref="K2187" location="'4TH FLR '!C209" display="'4TH FLR '!C209"/>
    <hyperlink ref="K2190" location="'4TH FLR '!C211" display="'4TH FLR '!C211"/>
    <hyperlink ref="K2195" location="'4TH FLR '!C219" display="'4TH FLR '!C219"/>
    <hyperlink ref="K2237" location="'4TH FLR '!C221" display="'4TH FLR '!C221"/>
    <hyperlink ref="K2241" location="'4TH FLR '!C223" display="'4TH FLR '!C223"/>
    <hyperlink ref="K2261" location="'4TH FLR '!C225" display="'4TH FLR '!C225"/>
    <hyperlink ref="K2265" location="'4TH FLR '!C227" display="'4TH FLR '!C227"/>
    <hyperlink ref="K2271" location="'4TH FLR '!C235" display="'4TH FLR '!C235"/>
    <hyperlink ref="K2313" location="'4TH FLR '!C237" display="'4TH FLR '!C237"/>
    <hyperlink ref="K2319" location="'4TH FLR '!C239" display="'4TH FLR '!C239"/>
    <hyperlink ref="K2339" location="'4TH FLR '!C241" display="'4TH FLR '!C241"/>
    <hyperlink ref="K2342" location="'4TH FLR '!C243" display="'4TH FLR '!C243"/>
    <hyperlink ref="K2345" location="'4TH FLR '!C245" display="'4TH FLR '!C245"/>
    <hyperlink ref="K2353" location="'4TH FLR '!C247" display="'4TH FLR '!C247"/>
    <hyperlink ref="K2377" location="'5TH FLR '!C34" display="'5TH FLR '!C34"/>
    <hyperlink ref="K2380" location="'5TH FLR '!C36" display="'5TH FLR '!C36"/>
    <hyperlink ref="K2384" location="'5TH FLR '!C38" display="'5TH FLR '!C38"/>
    <hyperlink ref="K2395" location="'5TH FLR '!C40" display="'5TH FLR '!C40"/>
    <hyperlink ref="K2399" location="'5TH FLR '!C42" display="'5TH FLR '!C42"/>
    <hyperlink ref="K2402" location="'5TH FLR '!C44" display="'5TH FLR '!C44"/>
    <hyperlink ref="K2408" location="'5TH FLR '!C46" display="'5TH FLR '!C46"/>
    <hyperlink ref="K2446" location="'5TH FLR '!C49" display="'5TH FLR '!C49"/>
    <hyperlink ref="K2449" location="'5TH FLR '!C51" display="'5TH FLR '!C51"/>
    <hyperlink ref="K2452" location="'5TH FLR '!C53" display="'5TH FLR '!C53"/>
    <hyperlink ref="K2456" location="'5TH FLR '!C55" display="'5TH FLR '!C55"/>
    <hyperlink ref="K2467" location="'5TH FLR '!C57" display="'5TH FLR '!C57"/>
    <hyperlink ref="K2472" location="'5TH FLR '!C59" display="'5TH FLR '!C59"/>
    <hyperlink ref="K2480" location="'5TH FLR '!C61" display="'5TH FLR '!C61"/>
    <hyperlink ref="K2518" location="'5TH FLR '!C64" display="'5TH FLR '!C64"/>
    <hyperlink ref="K2521" location="'5TH FLR '!C66" display="'5TH FLR '!C66"/>
    <hyperlink ref="K2524" location="'5TH FLR '!C68" display="'5TH FLR '!C68"/>
    <hyperlink ref="K2527" location="'5TH FLR '!C70" display="'5TH FLR '!C70"/>
    <hyperlink ref="K2530" location="'5TH FLR '!C72" display="'5TH FLR '!C72"/>
    <hyperlink ref="K2533" location="'5TH FLR '!C74" display="'5TH FLR '!C74"/>
    <hyperlink ref="K2536" location="'5TH FLR '!C76" display="'5TH FLR '!C76"/>
    <hyperlink ref="K2540" location="'5TH FLR '!C78" display="'5TH FLR '!C78"/>
    <hyperlink ref="K2544" location="'5TH FLR '!C80" display="'5TH FLR '!C80"/>
    <hyperlink ref="K2548" location="'5TH FLR '!C82" display="'5TH FLR '!C82"/>
    <hyperlink ref="K2551" location="'5TH FLR '!C84" display="'5TH FLR '!C84"/>
    <hyperlink ref="K2554" location="'5TH FLR '!C86" display="'5TH FLR '!C86"/>
    <hyperlink ref="K2557" location="'5TH FLR '!C88" display="'5TH FLR '!C88"/>
    <hyperlink ref="K2562" location="'5TH FLR '!C97" display="'5TH FLR '!C97"/>
    <hyperlink ref="K2600" location="'5TH FLR '!C99" display="'5TH FLR '!C99"/>
    <hyperlink ref="K2640" location="'5TH FLR '!C107" display="'5TH FLR '!C107"/>
    <hyperlink ref="K2643" location="'5TH FLR '!C109" display="'5TH FLR '!C109"/>
    <hyperlink ref="K2646" location="'5TH FLR '!C111" display="'5TH FLR '!C111"/>
    <hyperlink ref="K2649" location="'5TH FLR '!C113" display="'5TH FLR '!C113"/>
    <hyperlink ref="K2652" location="'5TH FLR '!C115" display="'5TH FLR '!C115"/>
    <hyperlink ref="K2655" location="'5TH FLR '!C117" display="'5TH FLR '!C117"/>
    <hyperlink ref="K2658" location="'5TH FLR '!C119" display="'5TH FLR '!C119"/>
    <hyperlink ref="K2661" location="'5TH FLR '!C121" display="'5TH FLR '!C121"/>
    <hyperlink ref="K2664" location="'5TH FLR '!C123" display="'5TH FLR '!C123"/>
    <hyperlink ref="K2667" location="'5TH FLR '!C125" display="'5TH FLR '!C125"/>
    <hyperlink ref="K2670" location="'5TH FLR '!C127" display="'5TH FLR '!C127"/>
    <hyperlink ref="K2673" location="'5TH FLR '!C129" display="'5TH FLR '!C129"/>
    <hyperlink ref="K2676" location="'5TH FLR '!C131" display="'5TH FLR '!C131"/>
    <hyperlink ref="K2679" location="'5TH FLR '!C133" display="'5TH FLR '!C133"/>
    <hyperlink ref="K2682" location="'5TH FLR '!C135" display="'5TH FLR '!C135"/>
    <hyperlink ref="K2685" location="'5TH FLR '!C137" display="'5TH FLR '!C137"/>
    <hyperlink ref="K2688" location="'5TH FLR '!C141" display="'5TH FLR '!C141"/>
    <hyperlink ref="K2691" location="'5TH FLR '!C143" display="'5TH FLR '!C143"/>
    <hyperlink ref="K2694" location="'5TH FLR '!C145" display="'5TH FLR '!C145"/>
    <hyperlink ref="K2699" location="'5TH FLR '!C147" display="'5TH FLR '!C147"/>
    <hyperlink ref="K2705" location="'5TH FLR '!C150" display="'5TH FLR '!C150"/>
    <hyperlink ref="K2708" location="'5TH FLR '!C152" display="'5TH FLR '!C152"/>
    <hyperlink ref="K2711" location="'5TH FLR '!C154" display="'5TH FLR '!C154"/>
    <hyperlink ref="K2715" location="'5TH FLR '!C157" display="'5TH FLR '!C157"/>
    <hyperlink ref="K2718" location="'5TH FLR '!C159" display="'5TH FLR '!C159"/>
    <hyperlink ref="K2721" location="'5TH FLR '!C161" display="'5TH FLR '!C161"/>
    <hyperlink ref="K2724" location="'5TH FLR '!C163" display="'5TH FLR '!C163"/>
    <hyperlink ref="K2727" location="'5TH FLR '!C165" display="'5TH FLR '!C165"/>
    <hyperlink ref="K2730" location="'5TH FLR '!C167" display="'5TH FLR '!C167"/>
    <hyperlink ref="K2733" location="'5TH FLR '!C169" display="'5TH FLR '!C169"/>
    <hyperlink ref="K2736" location="'5TH FLR '!C171" display="'5TH FLR '!C171"/>
    <hyperlink ref="K2739" location="'5TH FLR '!C173" display="'5TH FLR '!C173"/>
    <hyperlink ref="K2742" location="'5TH FLR '!C177" display="'5TH FLR '!C177"/>
    <hyperlink ref="K2745" location="'5TH FLR '!C179" display="'5TH FLR '!C179"/>
    <hyperlink ref="K2748" location="'5TH FLR '!C181" display="'5TH FLR '!C181"/>
    <hyperlink ref="K2751" location="'5TH FLR '!C183" display="'5TH FLR '!C183"/>
    <hyperlink ref="K2754" location="'5TH FLR '!C185" display="'5TH FLR '!C185"/>
    <hyperlink ref="K2757" location="'5TH FLR '!C187" display="'5TH FLR '!C187"/>
    <hyperlink ref="K2760" location="'5TH FLR '!C189" display="'5TH FLR '!C189"/>
    <hyperlink ref="K2763" location="'5TH FLR '!C191" display="'5TH FLR '!C191"/>
    <hyperlink ref="K2768" location="'5TH FLR '!C199" display="'5TH FLR '!C199"/>
    <hyperlink ref="K2771" location="'5TH FLR '!C201" display="'5TH FLR '!C201"/>
    <hyperlink ref="K2782" location="'5TH FLR '!C203" display="'5TH FLR '!C203"/>
    <hyperlink ref="K2785" location="'5TH FLR '!C205" display="'5TH FLR '!C205"/>
    <hyperlink ref="K2795" location="'5TH FLR '!C207" display="'5TH FLR '!C207"/>
    <hyperlink ref="K2798" location="'5TH FLR '!C209" display="'5TH FLR '!C209"/>
    <hyperlink ref="K2801" location="'5TH FLR '!C211" display="'5TH FLR '!C211"/>
    <hyperlink ref="K2806" location="'5TH FLR '!C220" display="'5TH FLR '!C220"/>
    <hyperlink ref="K2848" location="'5TH FLR '!C222" display="'5TH FLR '!C222"/>
    <hyperlink ref="K2852" location="'5TH FLR '!C224" display="'5TH FLR '!C224"/>
    <hyperlink ref="K2872" location="'5TH FLR '!C226" display="'5TH FLR '!C226"/>
    <hyperlink ref="K2876" location="'5TH FLR '!C228" display="'5TH FLR '!C228"/>
    <hyperlink ref="K2882" location="'5TH FLR '!C237" display="'5TH FLR '!C237"/>
    <hyperlink ref="K2924" location="'5TH FLR '!C239" display="'5TH FLR '!C239"/>
    <hyperlink ref="K2930" location="'5TH FLR '!C241" display="'5TH FLR '!C241"/>
    <hyperlink ref="K2950" location="'5TH FLR '!C243" display="'5TH FLR '!C243"/>
    <hyperlink ref="K2953" location="'5TH FLR '!C245" display="'5TH FLR '!C245"/>
    <hyperlink ref="K2956" location="'5TH FLR '!C247" display="'5TH FLR '!C247"/>
    <hyperlink ref="K2964" location="'5TH FLR '!C249" display="'5TH FLR '!C249"/>
    <hyperlink ref="K2988" location="'6TH FLR  '!C34" display="'6TH FLR  '!C34"/>
    <hyperlink ref="K2991" location="'6TH FLR  '!C36" display="'6TH FLR  '!C36"/>
    <hyperlink ref="K2995" location="'6TH FLR  '!C38" display="'6TH FLR  '!C38"/>
    <hyperlink ref="K3006" location="'6TH FLR  '!C40" display="'6TH FLR  '!C40"/>
    <hyperlink ref="K3010" location="'6TH FLR  '!C42" display="'6TH FLR  '!C42"/>
    <hyperlink ref="K3013" location="'6TH FLR  '!C44" display="'6TH FLR  '!C44"/>
    <hyperlink ref="K3019" location="'6TH FLR  '!C46" display="'6TH FLR  '!C46"/>
    <hyperlink ref="K3057" location="'6TH FLR  '!C49" display="'6TH FLR  '!C49"/>
    <hyperlink ref="K3060" location="'6TH FLR  '!C51" display="'6TH FLR  '!C51"/>
    <hyperlink ref="K3063" location="'6TH FLR  '!C53" display="'6TH FLR  '!C53"/>
    <hyperlink ref="K3067" location="'6TH FLR  '!C55" display="'6TH FLR  '!C55"/>
    <hyperlink ref="K3078" location="'6TH FLR  '!C57" display="'6TH FLR  '!C57"/>
    <hyperlink ref="K3083" location="'6TH FLR  '!C59" display="'6TH FLR  '!C59"/>
    <hyperlink ref="K3091" location="'6TH FLR  '!C61" display="'6TH FLR  '!C61"/>
    <hyperlink ref="K3129" location="'6TH FLR  '!C64" display="'6TH FLR  '!C64"/>
    <hyperlink ref="K3132" location="'6TH FLR  '!C66" display="'6TH FLR  '!C66"/>
    <hyperlink ref="K3135" location="'6TH FLR  '!C68" display="'6TH FLR  '!C68"/>
    <hyperlink ref="K3138" location="'6TH FLR  '!C70" display="'6TH FLR  '!C70"/>
    <hyperlink ref="K3141" location="'6TH FLR  '!C72" display="'6TH FLR  '!C72"/>
    <hyperlink ref="K3144" location="'6TH FLR  '!C74" display="'6TH FLR  '!C74"/>
    <hyperlink ref="K3147" location="'6TH FLR  '!C76" display="'6TH FLR  '!C76"/>
    <hyperlink ref="K3151" location="'6TH FLR  '!C78" display="'6TH FLR  '!C78"/>
    <hyperlink ref="K3155" location="'6TH FLR  '!C80" display="'6TH FLR  '!C80"/>
    <hyperlink ref="K3159" location="'6TH FLR  '!C82" display="'6TH FLR  '!C82"/>
    <hyperlink ref="K3162" location="'6TH FLR  '!C84" display="'6TH FLR  '!C84"/>
    <hyperlink ref="K3165" location="'6TH FLR  '!C86" display="'6TH FLR  '!C86"/>
    <hyperlink ref="K3168" location="'6TH FLR  '!C88" display="'6TH FLR  '!C88"/>
    <hyperlink ref="K3173" location="'6TH FLR  '!C97" display="'6TH FLR  '!C97"/>
    <hyperlink ref="K3211" location="'6TH FLR  '!C99" display="'6TH FLR  '!C99"/>
    <hyperlink ref="K3251" location="'6TH FLR  '!C108" display="'6TH FLR  '!C108"/>
    <hyperlink ref="K3254" location="'6TH FLR  '!C110" display="'6TH FLR  '!C110"/>
    <hyperlink ref="K3257" location="'6TH FLR  '!C112" display="'6TH FLR  '!C112"/>
    <hyperlink ref="K3260" location="'6TH FLR  '!C114" display="'6TH FLR  '!C114"/>
    <hyperlink ref="K3263" location="'6TH FLR  '!C116" display="'6TH FLR  '!C116"/>
    <hyperlink ref="K3266" location="'6TH FLR  '!C118" display="'6TH FLR  '!C118"/>
    <hyperlink ref="K3269" location="'6TH FLR  '!C120" display="'6TH FLR  '!C120"/>
    <hyperlink ref="K3272" location="'6TH FLR  '!C122" display="'6TH FLR  '!C122"/>
    <hyperlink ref="K3275" location="'6TH FLR  '!C124" display="'6TH FLR  '!C124"/>
    <hyperlink ref="K3278" location="'6TH FLR  '!C126" display="'6TH FLR  '!C126"/>
    <hyperlink ref="K3281" location="'6TH FLR  '!C128" display="'6TH FLR  '!C128"/>
    <hyperlink ref="K3284" location="'6TH FLR  '!C130" display="'6TH FLR  '!C130"/>
    <hyperlink ref="K3287" location="'6TH FLR  '!C132" display="'6TH FLR  '!C132"/>
    <hyperlink ref="K3290" location="'6TH FLR  '!C134" display="'6TH FLR  '!C134"/>
    <hyperlink ref="K3293" location="'6TH FLR  '!C136" display="'6TH FLR  '!C136"/>
    <hyperlink ref="K3296" location="'6TH FLR  '!C138" display="'6TH FLR  '!C138"/>
    <hyperlink ref="K3299" location="'6TH FLR  '!C140" display="'6TH FLR  '!C140"/>
    <hyperlink ref="K3302" location="'6TH FLR  '!C142" display="'6TH FLR  '!C142"/>
    <hyperlink ref="K3305" location="'6TH FLR  '!C144" display="'6TH FLR  '!C144"/>
    <hyperlink ref="K3310" location="'6TH FLR  '!C146" display="'6TH FLR  '!C146"/>
    <hyperlink ref="K3316" location="'6TH FLR  '!C150" display="'6TH FLR  '!C150"/>
    <hyperlink ref="K3319" location="'6TH FLR  '!C152" display="'6TH FLR  '!C152"/>
    <hyperlink ref="K3322" location="'6TH FLR  '!C154" display="'6TH FLR  '!C154"/>
    <hyperlink ref="K3326" location="'6TH FLR  '!C157" display="'6TH FLR  '!C157"/>
    <hyperlink ref="K3329" location="'6TH FLR  '!C159" display="'6TH FLR  '!C159"/>
    <hyperlink ref="K3332" location="'6TH FLR  '!C161" display="'6TH FLR  '!C161"/>
    <hyperlink ref="K3335" location="'6TH FLR  '!C163" display="'6TH FLR  '!C163"/>
    <hyperlink ref="K3338" location="'6TH FLR  '!C165" display="'6TH FLR  '!C165"/>
    <hyperlink ref="K3341" location="'6TH FLR  '!C167" display="'6TH FLR  '!C167"/>
    <hyperlink ref="K3344" location="'6TH FLR  '!C169" display="'6TH FLR  '!C169"/>
    <hyperlink ref="K3347" location="'6TH FLR  '!C171" display="'6TH FLR  '!C171"/>
    <hyperlink ref="K3350" location="'6TH FLR  '!C173" display="'6TH FLR  '!C173"/>
    <hyperlink ref="K3353" location="'6TH FLR  '!C175" display="'6TH FLR  '!C175"/>
    <hyperlink ref="K3356" location="'6TH FLR  '!C177" display="'6TH FLR  '!C177"/>
    <hyperlink ref="K3359" location="'6TH FLR  '!C179" display="'6TH FLR  '!C179"/>
    <hyperlink ref="K3362" location="'6TH FLR  '!C181" display="'6TH FLR  '!C181"/>
    <hyperlink ref="K3365" location="'6TH FLR  '!C183" display="'6TH FLR  '!C183"/>
    <hyperlink ref="K3368" location="'6TH FLR  '!C185" display="'6TH FLR  '!C185"/>
    <hyperlink ref="K3371" location="'6TH FLR  '!C187" display="'6TH FLR  '!C187"/>
    <hyperlink ref="K3374" location="'6TH FLR  '!C189" display="'6TH FLR  '!C189"/>
    <hyperlink ref="K3379" location="'6TH FLR  '!C197" display="'6TH FLR  '!C197"/>
    <hyperlink ref="K3382" location="'6TH FLR  '!C199" display="'6TH FLR  '!C199"/>
    <hyperlink ref="K3393" location="'6TH FLR  '!C201" display="'6TH FLR  '!C201"/>
    <hyperlink ref="K3396" location="'6TH FLR  '!C203" display="'6TH FLR  '!C203"/>
    <hyperlink ref="K3406" location="'6TH FLR  '!C205" display="'6TH FLR  '!C205"/>
    <hyperlink ref="K3409" location="'6TH FLR  '!C207" display="'6TH FLR  '!C207"/>
    <hyperlink ref="K3412" location="'6TH FLR  '!C209" display="'6TH FLR  '!C209"/>
    <hyperlink ref="K3417" location="'6TH FLR  '!C217" display="'6TH FLR  '!C217"/>
    <hyperlink ref="K3459" location="'6TH FLR  '!C219" display="'6TH FLR  '!C219"/>
    <hyperlink ref="K3463" location="'6TH FLR  '!C221" display="'6TH FLR  '!C221"/>
    <hyperlink ref="K3483" location="'6TH FLR  '!C223" display="'6TH FLR  '!C223"/>
    <hyperlink ref="K3487" location="'6TH FLR  '!C225" display="'6TH FLR  '!C225"/>
    <hyperlink ref="K3493" location="'6TH FLR  '!C233" display="'6TH FLR  '!C233"/>
    <hyperlink ref="K3535" location="'6TH FLR  '!C235" display="'6TH FLR  '!C235"/>
    <hyperlink ref="K3541" location="'6TH FLR  '!C237" display="'6TH FLR  '!C237"/>
    <hyperlink ref="K3561" location="'6TH FLR  '!C239" display="'6TH FLR  '!C239"/>
    <hyperlink ref="K3564" location="'6TH FLR  '!C241" display="'6TH FLR  '!C241"/>
    <hyperlink ref="K3567" location="'6TH FLR  '!C243" display="'6TH FLR  '!C243"/>
    <hyperlink ref="K3575" location="'6TH FLR  '!C245" display="'6TH FLR  '!C245"/>
    <hyperlink ref="K3599" location="'7TH FLR   '!C34" display="'7TH FLR   '!C34"/>
    <hyperlink ref="K3602" location="'7TH FLR   '!C36" display="'7TH FLR   '!C36"/>
    <hyperlink ref="K3606" location="'7TH FLR   '!C38" display="'7TH FLR   '!C38"/>
    <hyperlink ref="K3617" location="'7TH FLR   '!C40" display="'7TH FLR   '!C40"/>
    <hyperlink ref="K3621" location="'7TH FLR   '!C42" display="'7TH FLR   '!C42"/>
    <hyperlink ref="K3624" location="'7TH FLR   '!C44" display="'7TH FLR   '!C44"/>
    <hyperlink ref="K3630" location="'7TH FLR   '!C46" display="'7TH FLR   '!C46"/>
    <hyperlink ref="K3668" location="'7TH FLR   '!C49" display="'7TH FLR   '!C49"/>
    <hyperlink ref="K3671" location="'7TH FLR   '!C51" display="'7TH FLR   '!C51"/>
    <hyperlink ref="K3674" location="'7TH FLR   '!C53" display="'7TH FLR   '!C53"/>
    <hyperlink ref="K3678" location="'7TH FLR   '!C55" display="'7TH FLR   '!C55"/>
    <hyperlink ref="K3689" location="'7TH FLR   '!C57" display="'7TH FLR   '!C57"/>
    <hyperlink ref="K3694" location="'7TH FLR   '!C59" display="'7TH FLR   '!C59"/>
    <hyperlink ref="K3702" location="'7TH FLR   '!C61" display="'7TH FLR   '!C61"/>
    <hyperlink ref="K3740" location="'7TH FLR   '!C64" display="'7TH FLR   '!C64"/>
    <hyperlink ref="K3743" location="'7TH FLR   '!C66" display="'7TH FLR   '!C66"/>
    <hyperlink ref="K3746" location="'7TH FLR   '!C68" display="'7TH FLR   '!C68"/>
    <hyperlink ref="K3749" location="'7TH FLR   '!C70" display="'7TH FLR   '!C70"/>
    <hyperlink ref="K3752" location="'7TH FLR   '!C72" display="'7TH FLR   '!C72"/>
    <hyperlink ref="K3755" location="'7TH FLR   '!C74" display="'7TH FLR   '!C74"/>
    <hyperlink ref="K3758" location="'7TH FLR   '!C76" display="'7TH FLR   '!C76"/>
    <hyperlink ref="K3762" location="'7TH FLR   '!C78" display="'7TH FLR   '!C78"/>
    <hyperlink ref="K3766" location="'7TH FLR   '!C80" display="'7TH FLR   '!C80"/>
    <hyperlink ref="K3770" location="'7TH FLR   '!C82" display="'7TH FLR   '!C82"/>
    <hyperlink ref="K3773" location="'7TH FLR   '!C84" display="'7TH FLR   '!C84"/>
    <hyperlink ref="K3776" location="'7TH FLR   '!C86" display="'7TH FLR   '!C86"/>
    <hyperlink ref="K3779" location="'7TH FLR   '!C88" display="'7TH FLR   '!C88"/>
    <hyperlink ref="K3784" location="'7TH FLR   '!C97" display="'7TH FLR   '!C97"/>
    <hyperlink ref="K3822" location="'7TH FLR   '!C99" display="'7TH FLR   '!C99"/>
    <hyperlink ref="K3862" location="'7TH FLR   '!C108" display="'7TH FLR   '!C108"/>
    <hyperlink ref="K3865" location="'7TH FLR   '!C110" display="'7TH FLR   '!C110"/>
    <hyperlink ref="K3868" location="'7TH FLR   '!C112" display="'7TH FLR   '!C112"/>
    <hyperlink ref="K3871" location="'7TH FLR   '!C114" display="'7TH FLR   '!C114"/>
    <hyperlink ref="K3874" location="'7TH FLR   '!C116" display="'7TH FLR   '!C116"/>
    <hyperlink ref="K3877" location="'7TH FLR   '!C118" display="'7TH FLR   '!C118"/>
    <hyperlink ref="K3880" location="'7TH FLR   '!C120" display="'7TH FLR   '!C120"/>
    <hyperlink ref="K3883" location="'7TH FLR   '!C122" display="'7TH FLR   '!C122"/>
    <hyperlink ref="K3886" location="'7TH FLR   '!C124" display="'7TH FLR   '!C124"/>
    <hyperlink ref="K3889" location="'7TH FLR   '!C126" display="'7TH FLR   '!C126"/>
    <hyperlink ref="K3892" location="'7TH FLR   '!C128" display="'7TH FLR   '!C128"/>
    <hyperlink ref="K3895" location="'7TH FLR   '!C130" display="'7TH FLR   '!C130"/>
    <hyperlink ref="K3898" location="'7TH FLR   '!C132" display="'7TH FLR   '!C132"/>
    <hyperlink ref="K3901" location="'7TH FLR   '!C134" display="'7TH FLR   '!C134"/>
    <hyperlink ref="K3904" location="'7TH FLR   '!C136" display="'7TH FLR   '!C136"/>
    <hyperlink ref="K3907" location="'7TH FLR   '!C138" display="'7TH FLR   '!C138"/>
    <hyperlink ref="K3910" location="'7TH FLR   '!C140" display="'7TH FLR   '!C140"/>
    <hyperlink ref="K3913" location="'7TH FLR   '!C142" display="'7TH FLR   '!C142"/>
    <hyperlink ref="K3916" location="'7TH FLR   '!C144" display="'7TH FLR   '!C144"/>
    <hyperlink ref="K3921" location="'7TH FLR   '!C146" display="'7TH FLR   '!C146"/>
    <hyperlink ref="K3927" location="'7TH FLR   '!C149" display="'7TH FLR   '!C149"/>
    <hyperlink ref="K3930" location="'7TH FLR   '!C151" display="'7TH FLR   '!C151"/>
    <hyperlink ref="K3933" location="'7TH FLR   '!C153" display="'7TH FLR   '!C153"/>
    <hyperlink ref="K3937" location="'7TH FLR   '!C157" display="'7TH FLR   '!C157"/>
    <hyperlink ref="K3940" location="'7TH FLR   '!C159" display="'7TH FLR   '!C159"/>
    <hyperlink ref="K3943" location="'7TH FLR   '!C161" display="'7TH FLR   '!C161"/>
    <hyperlink ref="K3946" location="'7TH FLR   '!C163" display="'7TH FLR   '!C163"/>
    <hyperlink ref="K3949" location="'7TH FLR   '!C165" display="'7TH FLR   '!C165"/>
    <hyperlink ref="K3952" location="'7TH FLR   '!C167" display="'7TH FLR   '!C167"/>
    <hyperlink ref="K3955" location="'7TH FLR   '!C169" display="'7TH FLR   '!C169"/>
    <hyperlink ref="K3958" location="'7TH FLR   '!C171" display="'7TH FLR   '!C171"/>
    <hyperlink ref="K3961" location="'7TH FLR   '!C173" display="'7TH FLR   '!C173"/>
    <hyperlink ref="K3964" location="'7TH FLR   '!C175" display="'7TH FLR   '!C175"/>
    <hyperlink ref="K3967" location="'7TH FLR   '!C177" display="'7TH FLR   '!C177"/>
    <hyperlink ref="K3970" location="'7TH FLR   '!C179" display="'7TH FLR   '!C179"/>
    <hyperlink ref="K3973" location="'7TH FLR   '!C181" display="'7TH FLR   '!C181"/>
    <hyperlink ref="K3976" location="'7TH FLR   '!C183" display="'7TH FLR   '!C183"/>
    <hyperlink ref="K3979" location="'7TH FLR   '!C185" display="'7TH FLR   '!C185"/>
    <hyperlink ref="K3982" location="'7TH FLR   '!C187" display="'7TH FLR   '!C187"/>
    <hyperlink ref="K3985" location="'7TH FLR   '!C189" display="'7TH FLR   '!C189"/>
    <hyperlink ref="K3990" location="'7TH FLR   '!C197" display="'7TH FLR   '!C197"/>
    <hyperlink ref="K3993" location="'7TH FLR   '!C199" display="'7TH FLR   '!C199"/>
    <hyperlink ref="K4004" location="'7TH FLR   '!C201" display="'7TH FLR   '!C201"/>
    <hyperlink ref="K4007" location="'7TH FLR   '!C203" display="'7TH FLR   '!C203"/>
    <hyperlink ref="K4017" location="'7TH FLR   '!C205" display="'7TH FLR   '!C205"/>
    <hyperlink ref="K4020" location="'7TH FLR   '!C207" display="'7TH FLR   '!C207"/>
    <hyperlink ref="K4023" location="'7TH FLR   '!C209" display="'7TH FLR   '!C209"/>
    <hyperlink ref="K4028" location="'7TH FLR   '!C217" display="'7TH FLR   '!C217"/>
    <hyperlink ref="K4070" location="'7TH FLR   '!C219" display="'7TH FLR   '!C219"/>
    <hyperlink ref="K4074" location="'7TH FLR   '!C221" display="'7TH FLR   '!C221"/>
    <hyperlink ref="K4094" location="'7TH FLR   '!C223" display="'7TH FLR   '!C223"/>
    <hyperlink ref="K4098" location="'7TH FLR   '!C225" display="'7TH FLR   '!C225"/>
    <hyperlink ref="K4104" location="'7TH FLR   '!C234" display="'7TH FLR   '!C234"/>
    <hyperlink ref="K4146" location="'7TH FLR   '!C236" display="'7TH FLR   '!C236"/>
    <hyperlink ref="K4152" location="'7TH FLR   '!C238" display="'7TH FLR   '!C238"/>
    <hyperlink ref="K4172" location="'7TH FLR   '!C240" display="'7TH FLR   '!C240"/>
    <hyperlink ref="K4175" location="'7TH FLR   '!C242" display="'7TH FLR   '!C242"/>
    <hyperlink ref="K4178" location="'7TH FLR   '!C244" display="'7TH FLR   '!C244"/>
    <hyperlink ref="K4186" location="'7TH FLR   '!C246" display="'7TH FLR   '!C246"/>
    <hyperlink ref="K4210" location="'8TH FLR   '!C34" display="'8TH FLR   '!C34"/>
    <hyperlink ref="K4213" location="'8TH FLR   '!C36" display="'8TH FLR   '!C36"/>
    <hyperlink ref="K4217" location="'8TH FLR   '!C38" display="'8TH FLR   '!C38"/>
    <hyperlink ref="K4228" location="'8TH FLR   '!C40" display="'8TH FLR   '!C40"/>
    <hyperlink ref="K4232" location="'8TH FLR   '!C42" display="'8TH FLR   '!C42"/>
    <hyperlink ref="K4235" location="'8TH FLR   '!C44" display="'8TH FLR   '!C44"/>
    <hyperlink ref="K4241" location="'8TH FLR   '!C46" display="'8TH FLR   '!C46"/>
    <hyperlink ref="K4279" location="'8TH FLR   '!C49" display="'8TH FLR   '!C49"/>
    <hyperlink ref="K4282" location="'8TH FLR   '!C51" display="'8TH FLR   '!C51"/>
    <hyperlink ref="K4285" location="'8TH FLR   '!C53" display="'8TH FLR   '!C53"/>
    <hyperlink ref="K4289" location="'8TH FLR   '!C55" display="'8TH FLR   '!C55"/>
    <hyperlink ref="K4300" location="'8TH FLR   '!C57" display="'8TH FLR   '!C57"/>
    <hyperlink ref="K4305" location="'8TH FLR   '!C59" display="'8TH FLR   '!C59"/>
    <hyperlink ref="K4313" location="'8TH FLR   '!C61" display="'8TH FLR   '!C61"/>
    <hyperlink ref="K4351" location="'8TH FLR   '!C66" display="'8TH FLR   '!C66"/>
    <hyperlink ref="K4354" location="'8TH FLR   '!C68" display="'8TH FLR   '!C68"/>
    <hyperlink ref="K4357" location="'8TH FLR   '!C70" display="'8TH FLR   '!C70"/>
    <hyperlink ref="K4360" location="'8TH FLR   '!C72" display="'8TH FLR   '!C72"/>
    <hyperlink ref="K4363" location="'8TH FLR   '!C74" display="'8TH FLR   '!C74"/>
    <hyperlink ref="K4366" location="'8TH FLR   '!C76" display="'8TH FLR   '!C76"/>
    <hyperlink ref="K4369" location="'8TH FLR   '!C78" display="'8TH FLR   '!C78"/>
    <hyperlink ref="K4372" location="'8TH FLR   '!C80" display="'8TH FLR   '!C80"/>
    <hyperlink ref="K4376" location="'8TH FLR   '!C82" display="'8TH FLR   '!C82"/>
    <hyperlink ref="K4380" location="'8TH FLR   '!C84" display="'8TH FLR   '!C84"/>
    <hyperlink ref="K4384" location="'8TH FLR   '!C86" display="'8TH FLR   '!C86"/>
    <hyperlink ref="K4387" location="'8TH FLR   '!C88" display="'8TH FLR   '!C88"/>
    <hyperlink ref="K4390" location="'8TH FLR   '!C90" display="'8TH FLR   '!C90"/>
    <hyperlink ref="K4393" location="'8TH FLR   '!C92" display="'8TH FLR   '!C92"/>
    <hyperlink ref="K4398" location="'8TH FLR   '!C101" display="'8TH FLR   '!C101"/>
    <hyperlink ref="K4436" location="'8TH FLR   '!C103" display="'8TH FLR   '!C103"/>
    <hyperlink ref="K4476" location="'8TH FLR   '!C111" display="'8TH FLR   '!C111"/>
    <hyperlink ref="K4479" location="'8TH FLR   '!C113" display="'8TH FLR   '!C113"/>
    <hyperlink ref="K4482" location="'8TH FLR   '!C115" display="'8TH FLR   '!C115"/>
    <hyperlink ref="K4485" location="'8TH FLR   '!C117" display="'8TH FLR   '!C117"/>
    <hyperlink ref="K4488" location="'8TH FLR   '!C119" display="'8TH FLR   '!C119"/>
    <hyperlink ref="K4491" location="'8TH FLR   '!C121" display="'8TH FLR   '!C121"/>
    <hyperlink ref="K4494" location="'8TH FLR   '!C123" display="'8TH FLR   '!C123"/>
    <hyperlink ref="K4497" location="'8TH FLR   '!C125" display="'8TH FLR   '!C125"/>
    <hyperlink ref="K4500" location="'8TH FLR   '!C127" display="'8TH FLR   '!C127"/>
    <hyperlink ref="K4503" location="'8TH FLR   '!C129" display="'8TH FLR   '!C129"/>
    <hyperlink ref="K4506" location="'8TH FLR   '!C131" display="'8TH FLR   '!C131"/>
    <hyperlink ref="K4509" location="'8TH FLR   '!C133" display="'8TH FLR   '!C133"/>
    <hyperlink ref="K4512" location="'8TH FLR   '!C135" display="'8TH FLR   '!C135"/>
    <hyperlink ref="K4515" location="'8TH FLR   '!C137" display="'8TH FLR   '!C137"/>
    <hyperlink ref="K4518" location="'8TH FLR   '!C139" display="'8TH FLR   '!C139"/>
    <hyperlink ref="K4521" location="'8TH FLR   '!C141" display="'8TH FLR   '!C141"/>
    <hyperlink ref="K4524" location="'8TH FLR   '!C143" display="'8TH FLR   '!C143"/>
    <hyperlink ref="K4527" location="'8TH FLR   '!C145" display="'8TH FLR   '!C145"/>
    <hyperlink ref="K4530" location="'8TH FLR   '!C147" display="'8TH FLR   '!C147"/>
    <hyperlink ref="K4535" location="'8TH FLR   '!C149" display="'8TH FLR   '!C149"/>
    <hyperlink ref="K4541" location="'8TH FLR   '!C152" display="'8TH FLR   '!C152"/>
    <hyperlink ref="K4544" location="'8TH FLR   '!C154" display="'8TH FLR   '!C154"/>
    <hyperlink ref="K4547" location="'8TH FLR   '!C156" display="'8TH FLR   '!C156"/>
    <hyperlink ref="K4551" location="'8TH FLR   '!C161" display="'8TH FLR   '!C161"/>
    <hyperlink ref="K4554" location="'8TH FLR   '!C163" display="'8TH FLR   '!C163"/>
    <hyperlink ref="K4557" location="'8TH FLR   '!C165" display="'8TH FLR   '!C165"/>
    <hyperlink ref="K4560" location="'8TH FLR   '!C167" display="'8TH FLR   '!C167"/>
    <hyperlink ref="K4563" location="'8TH FLR   '!C169" display="'8TH FLR   '!C169"/>
    <hyperlink ref="K4566" location="'8TH FLR   '!C171" display="'8TH FLR   '!C171"/>
    <hyperlink ref="K4569" location="'8TH FLR   '!C173" display="'8TH FLR   '!C173"/>
    <hyperlink ref="K4572" location="'8TH FLR   '!C175" display="'8TH FLR   '!C175"/>
    <hyperlink ref="K4575" location="'8TH FLR   '!C177" display="'8TH FLR   '!C177"/>
    <hyperlink ref="K4578" location="'8TH FLR   '!C179" display="'8TH FLR   '!C179"/>
    <hyperlink ref="K4581" location="'8TH FLR   '!C181" display="'8TH FLR   '!C181"/>
    <hyperlink ref="K4584" location="'8TH FLR   '!C183" display="'8TH FLR   '!C183"/>
    <hyperlink ref="K4587" location="'8TH FLR   '!C185" display="'8TH FLR   '!C185"/>
    <hyperlink ref="K4590" location="'8TH FLR   '!C187" display="'8TH FLR   '!C187"/>
    <hyperlink ref="K4593" location="'8TH FLR   '!C189" display="'8TH FLR   '!C189"/>
    <hyperlink ref="K4596" location="'8TH FLR   '!C191" display="'8TH FLR   '!C191"/>
    <hyperlink ref="K4599" location="'8TH FLR   '!C193" display="'8TH FLR   '!C193"/>
    <hyperlink ref="K4604" location="'8TH FLR   '!C201" display="'8TH FLR   '!C201"/>
    <hyperlink ref="K4607" location="'8TH FLR   '!C203" display="'8TH FLR   '!C203"/>
    <hyperlink ref="K4618" location="'8TH FLR   '!C205" display="'8TH FLR   '!C205"/>
    <hyperlink ref="K4621" location="'8TH FLR   '!C207" display="'8TH FLR   '!C207"/>
    <hyperlink ref="K4631" location="'8TH FLR   '!C209" display="'8TH FLR   '!C209"/>
    <hyperlink ref="K4634" location="'8TH FLR   '!C211" display="'8TH FLR   '!C211"/>
    <hyperlink ref="K4637" location="'8TH FLR   '!C213" display="'8TH FLR   '!C213"/>
    <hyperlink ref="K4642" location="'8TH FLR   '!C221" display="'8TH FLR   '!C221"/>
    <hyperlink ref="K4684" location="'8TH FLR   '!C223" display="'8TH FLR   '!C223"/>
    <hyperlink ref="K4688" location="'8TH FLR   '!C225" display="'8TH FLR   '!C225"/>
    <hyperlink ref="K4708" location="'8TH FLR   '!C227" display="'8TH FLR   '!C227"/>
    <hyperlink ref="K4712" location="'8TH FLR   '!C229" display="'8TH FLR   '!C229"/>
    <hyperlink ref="K4718" location="'8TH FLR   '!C237" display="'8TH FLR   '!C237"/>
    <hyperlink ref="K4760" location="'8TH FLR   '!C239" display="'8TH FLR   '!C239"/>
    <hyperlink ref="K4766" location="'8TH FLR   '!C241" display="'8TH FLR   '!C241"/>
    <hyperlink ref="K4786" location="'8TH FLR   '!C243" display="'8TH FLR   '!C243"/>
    <hyperlink ref="K4789" location="'8TH FLR   '!C245" display="'8TH FLR   '!C245"/>
    <hyperlink ref="K4792" location="'8TH FLR   '!C247" display="'8TH FLR   '!C247"/>
    <hyperlink ref="K4800" location="'8TH FLR   '!C249" display="'8TH FLR   '!C249"/>
    <hyperlink ref="K4824" location="'9TH FLR    '!C36" display="'9TH FLR    '!C36"/>
    <hyperlink ref="K4827" location="'9TH FLR    '!C38" display="'9TH FLR    '!C38"/>
    <hyperlink ref="K4831" location="'9TH FLR    '!C40" display="'9TH FLR    '!C40"/>
    <hyperlink ref="K4839" location="'9TH FLR    '!C42" display="'9TH FLR    '!C42"/>
    <hyperlink ref="K4843" location="'9TH FLR    '!C44" display="'9TH FLR    '!C44"/>
    <hyperlink ref="K4846" location="'9TH FLR    '!C46" display="'9TH FLR    '!C46"/>
    <hyperlink ref="K4852" location="'9TH FLR    '!C48" display="'9TH FLR    '!C48"/>
    <hyperlink ref="K4885" location="'9TH FLR    '!C51" display="'9TH FLR    '!C51"/>
    <hyperlink ref="K4888" location="'9TH FLR    '!C53" display="'9TH FLR    '!C53"/>
    <hyperlink ref="K4891" location="'9TH FLR    '!C55" display="'9TH FLR    '!C55"/>
    <hyperlink ref="K4895" location="'9TH FLR    '!C57" display="'9TH FLR    '!C57"/>
    <hyperlink ref="K4903" location="'9TH FLR    '!C59" display="'9TH FLR    '!C59"/>
    <hyperlink ref="K4908" location="'9TH FLR    '!C61" display="'9TH FLR    '!C61"/>
    <hyperlink ref="K4916" location="'9TH FLR    '!C63" display="'9TH FLR    '!C63"/>
    <hyperlink ref="K4949" location="'9TH FLR    '!C66" display="'9TH FLR    '!C66"/>
    <hyperlink ref="K4952" location="'9TH FLR    '!C68" display="'9TH FLR    '!C68"/>
    <hyperlink ref="K4955" location="'9TH FLR    '!C70" display="'9TH FLR    '!C70"/>
    <hyperlink ref="K4958" location="'9TH FLR    '!C72" display="'9TH FLR    '!C72"/>
    <hyperlink ref="K4961" location="'9TH FLR    '!C74" display="'9TH FLR    '!C74"/>
    <hyperlink ref="K4964" location="'9TH FLR    '!C76" display="'9TH FLR    '!C76"/>
    <hyperlink ref="K4967" location="'9TH FLR    '!C78" display="'9TH FLR    '!C78"/>
    <hyperlink ref="K4971" location="'9TH FLR    '!C80" display="'9TH FLR    '!C80"/>
    <hyperlink ref="K4975" location="'9TH FLR    '!C82" display="'9TH FLR    '!C82"/>
    <hyperlink ref="K4979" location="'9TH FLR    '!C84" display="'9TH FLR    '!C84"/>
    <hyperlink ref="K4982" location="'9TH FLR    '!C86" display="'9TH FLR    '!C86"/>
    <hyperlink ref="K4985" location="'9TH FLR    '!C88" display="'9TH FLR    '!C88"/>
    <hyperlink ref="K4988" location="'9TH FLR    '!C90" display="'9TH FLR    '!C90"/>
    <hyperlink ref="K4993" location="'9TH FLR    '!C98" display="'9TH FLR    '!C98"/>
    <hyperlink ref="K5026" location="'9TH FLR    '!C100" display="'9TH FLR    '!C100"/>
    <hyperlink ref="K5061" location="'9TH FLR    '!C108" display="'9TH FLR    '!C108"/>
    <hyperlink ref="K5064" location="'9TH FLR    '!C110" display="'9TH FLR    '!C110"/>
    <hyperlink ref="K5069" location="'9TH FLR    '!C119" display="'9TH FLR    '!C119"/>
    <hyperlink ref="K5072" location="'9TH FLR    '!C121" display="'9TH FLR    '!C121"/>
    <hyperlink ref="K5075" location="'9TH FLR    '!C123" display="'9TH FLR    '!C123"/>
    <hyperlink ref="K5078" location="'9TH FLR    '!C125" display="'9TH FLR    '!C125"/>
    <hyperlink ref="K5081" location="'9TH FLR    '!C127" display="'9TH FLR    '!C127"/>
    <hyperlink ref="K5084" location="'9TH FLR    '!C129" display="'9TH FLR    '!C129"/>
    <hyperlink ref="K5087" location="'9TH FLR    '!C131" display="'9TH FLR    '!C131"/>
    <hyperlink ref="K5090" location="'9TH FLR    '!C133" display="'9TH FLR    '!C133"/>
    <hyperlink ref="K5093" location="'9TH FLR    '!C135" display="'9TH FLR    '!C135"/>
    <hyperlink ref="K5096" location="'9TH FLR    '!C137" display="'9TH FLR    '!C137"/>
    <hyperlink ref="K5099" location="'9TH FLR    '!C139" display="'9TH FLR    '!C139"/>
    <hyperlink ref="K5102" location="'9TH FLR    '!C141" display="'9TH FLR    '!C141"/>
    <hyperlink ref="K5105" location="'9TH FLR    '!C143" display="'9TH FLR    '!C143"/>
    <hyperlink ref="K5108" location="'9TH FLR    '!C145" display="'9TH FLR    '!C145"/>
    <hyperlink ref="K5111" location="'9TH FLR    '!C147" display="'9TH FLR    '!C147"/>
    <hyperlink ref="K5114" location="'9TH FLR    '!C149" display="'9TH FLR    '!C149"/>
    <hyperlink ref="K5117" location="'9TH FLR    '!C151" display="'9TH FLR    '!C151"/>
    <hyperlink ref="K5121" location="'9TH FLR    '!C153" display="'9TH FLR    '!C153"/>
    <hyperlink ref="K5126" location="'9TH FLR    '!C158" display="'9TH FLR    '!C158"/>
    <hyperlink ref="K5129" location="'9TH FLR    '!C160" display="'9TH FLR    '!C160"/>
    <hyperlink ref="K5132" location="'9TH FLR    '!C162" display="'9TH FLR    '!C162"/>
    <hyperlink ref="K5136" location="'9TH FLR    '!C165" display="'9TH FLR    '!C165"/>
    <hyperlink ref="K5139" location="'9TH FLR    '!C167" display="'9TH FLR    '!C167"/>
    <hyperlink ref="K5142" location="'9TH FLR    '!C169" display="'9TH FLR    '!C169"/>
    <hyperlink ref="K5145" location="'9TH FLR    '!C171" display="'9TH FLR    '!C171"/>
    <hyperlink ref="K5148" location="'9TH FLR    '!C173" display="'9TH FLR    '!C173"/>
    <hyperlink ref="K5151" location="'9TH FLR    '!C175" display="'9TH FLR    '!C175"/>
    <hyperlink ref="K5154" location="'9TH FLR    '!C177" display="'9TH FLR    '!C177"/>
    <hyperlink ref="K5157" location="'9TH FLR    '!C179" display="'9TH FLR    '!C179"/>
    <hyperlink ref="K5160" location="'9TH FLR    '!C181" display="'9TH FLR    '!C181"/>
    <hyperlink ref="K5163" location="'9TH FLR    '!C183" display="'9TH FLR    '!C183"/>
    <hyperlink ref="K5166" location="'9TH FLR    '!C185" display="'9TH FLR    '!C185"/>
    <hyperlink ref="K5169" location="'9TH FLR    '!C187" display="'9TH FLR    '!C187"/>
    <hyperlink ref="K5172" location="'9TH FLR    '!C189" display="'9TH FLR    '!C189"/>
    <hyperlink ref="K5175" location="'9TH FLR    '!C191" display="'9TH FLR    '!C191"/>
    <hyperlink ref="K5180" location="'9TH FLR    '!C200" display="'9TH FLR    '!C200"/>
    <hyperlink ref="K5183" location="'9TH FLR    '!C202" display="'9TH FLR    '!C202"/>
    <hyperlink ref="K5194" location="'9TH FLR    '!C204" display="'9TH FLR    '!C204"/>
    <hyperlink ref="K5197" location="'9TH FLR    '!C206" display="'9TH FLR    '!C206"/>
    <hyperlink ref="K5207" location="'9TH FLR    '!C208" display="'9TH FLR    '!C208"/>
    <hyperlink ref="K5210" location="'9TH FLR    '!C210" display="'9TH FLR    '!C210"/>
    <hyperlink ref="K5213" location="'9TH FLR    '!C212" display="'9TH FLR    '!C212"/>
    <hyperlink ref="K5216" location="'9TH FLR    '!C214" display="'9TH FLR    '!C214"/>
    <hyperlink ref="K5221" location="'9TH FLR    '!C223" display="'9TH FLR    '!C223"/>
    <hyperlink ref="K5258" location="'9TH FLR    '!C225" display="'9TH FLR    '!C225"/>
    <hyperlink ref="K5262" location="'9TH FLR    '!C227" display="'9TH FLR    '!C227"/>
    <hyperlink ref="K5279" location="'9TH FLR    '!C229" display="'9TH FLR    '!C229"/>
    <hyperlink ref="K5283" location="'9TH FLR    '!C231" display="'9TH FLR    '!C231"/>
    <hyperlink ref="K5289" location="'9TH FLR    '!C240" display="'9TH FLR    '!C240"/>
    <hyperlink ref="K5326" location="'9TH FLR    '!C242" display="'9TH FLR    '!C242"/>
    <hyperlink ref="K5332" location="'9TH FLR    '!C244" display="'9TH FLR    '!C244"/>
    <hyperlink ref="K5349" location="'9TH FLR    '!C246" display="'9TH FLR    '!C246"/>
    <hyperlink ref="K5352" location="'9TH FLR    '!C248" display="'9TH FLR    '!C248"/>
    <hyperlink ref="K5355" location="'9TH FLR    '!C250" display="'9TH FLR    '!C250"/>
    <hyperlink ref="K5361" location="'9TH FLR    '!C252" display="'9TH FLR    '!C252"/>
    <hyperlink ref="K5382" location="'10TH FLR   '!C33" display="'10TH FLR   '!C33"/>
    <hyperlink ref="K5385" location="'10TH FLR   '!C35" display="'10TH FLR   '!C35"/>
    <hyperlink ref="K5389" location="'10TH FLR   '!C37" display="'10TH FLR   '!C37"/>
    <hyperlink ref="K5397" location="'10TH FLR   '!C39" display="'10TH FLR   '!C39"/>
    <hyperlink ref="K5401" location="'10TH FLR   '!C41" display="'10TH FLR   '!C41"/>
    <hyperlink ref="K5404" location="'10TH FLR   '!C43" display="'10TH FLR   '!C43"/>
    <hyperlink ref="K5410" location="'10TH FLR   '!C45" display="'10TH FLR   '!C45"/>
    <hyperlink ref="K5446" location="'10TH FLR   '!C48" display="'10TH FLR   '!C48"/>
    <hyperlink ref="K5449" location="'10TH FLR   '!C50" display="'10TH FLR   '!C50"/>
    <hyperlink ref="K5452" location="'10TH FLR   '!C52" display="'10TH FLR   '!C52"/>
    <hyperlink ref="K5456" location="'10TH FLR   '!C54" display="'10TH FLR   '!C54"/>
    <hyperlink ref="K5464" location="'10TH FLR   '!C56" display="'10TH FLR   '!C56"/>
    <hyperlink ref="K5469" location="'10TH FLR   '!C58" display="'10TH FLR   '!C58"/>
    <hyperlink ref="K5477" location="'10TH FLR   '!C60" display="'10TH FLR   '!C60"/>
    <hyperlink ref="K5513" location="'10TH FLR   '!C63" display="'10TH FLR   '!C63"/>
    <hyperlink ref="K5516" location="'10TH FLR   '!C65" display="'10TH FLR   '!C65"/>
    <hyperlink ref="K5519" location="'10TH FLR   '!C67" display="'10TH FLR   '!C67"/>
    <hyperlink ref="K5522" location="'10TH FLR   '!C69" display="'10TH FLR   '!C69"/>
    <hyperlink ref="K5525" location="'10TH FLR   '!C71" display="'10TH FLR   '!C71"/>
    <hyperlink ref="K5528" location="'10TH FLR   '!C73" display="'10TH FLR   '!C73"/>
    <hyperlink ref="K5531" location="'10TH FLR   '!C75" display="'10TH FLR   '!C75"/>
    <hyperlink ref="K5535" location="'10TH FLR   '!C77" display="'10TH FLR   '!C77"/>
    <hyperlink ref="K5539" location="'10TH FLR   '!C79" display="'10TH FLR   '!C79"/>
    <hyperlink ref="K5543" location="'10TH FLR   '!C81" display="'10TH FLR   '!C81"/>
    <hyperlink ref="K5546" location="'10TH FLR   '!C83" display="'10TH FLR   '!C83"/>
    <hyperlink ref="K5549" location="'10TH FLR   '!C85" display="'10TH FLR   '!C85"/>
    <hyperlink ref="K5552" location="'10TH FLR   '!C87" display="'10TH FLR   '!C87"/>
    <hyperlink ref="K5557" location="'10TH FLR   '!C96" display="'10TH FLR   '!C96"/>
    <hyperlink ref="K5593" location="'10TH FLR   '!C98" display="'10TH FLR   '!C98"/>
    <hyperlink ref="K5631" location="'10TH FLR   '!C107" display="'10TH FLR   '!C107"/>
    <hyperlink ref="K5634" location="'10TH FLR   '!C109" display="'10TH FLR   '!C109"/>
    <hyperlink ref="K5637" location="'10TH FLR   '!C111" display="'10TH FLR   '!C111"/>
    <hyperlink ref="K5640" location="'10TH FLR   '!C113" display="'10TH FLR   '!C113"/>
    <hyperlink ref="K5643" location="'10TH FLR   '!C115" display="'10TH FLR   '!C115"/>
    <hyperlink ref="K5646" location="'10TH FLR   '!C117" display="'10TH FLR   '!C117"/>
    <hyperlink ref="K5649" location="'10TH FLR   '!C119" display="'10TH FLR   '!C119"/>
    <hyperlink ref="K5652" location="'10TH FLR   '!C121" display="'10TH FLR   '!C121"/>
    <hyperlink ref="K5655" location="'10TH FLR   '!C123" display="'10TH FLR   '!C123"/>
    <hyperlink ref="K5658" location="'10TH FLR   '!C125" display="'10TH FLR   '!C125"/>
    <hyperlink ref="K5661" location="'10TH FLR   '!C127" display="'10TH FLR   '!C127"/>
    <hyperlink ref="K5664" location="'10TH FLR   '!C129" display="'10TH FLR   '!C129"/>
    <hyperlink ref="K5667" location="'10TH FLR   '!C131" display="'10TH FLR   '!C131"/>
    <hyperlink ref="K5670" location="'10TH FLR   '!C133" display="'10TH FLR   '!C133"/>
    <hyperlink ref="K5673" location="'10TH FLR   '!C135" display="'10TH FLR   '!C135"/>
    <hyperlink ref="K5676" location="'10TH FLR   '!C137" display="'10TH FLR   '!C137"/>
    <hyperlink ref="K5679" location="'10TH FLR   '!C139" display="'10TH FLR   '!C139"/>
    <hyperlink ref="K5682" location="'10TH FLR   '!C141" display="'10TH FLR   '!C141"/>
    <hyperlink ref="K5685" location="'10TH FLR   '!C143" display="'10TH FLR   '!C143"/>
    <hyperlink ref="K5690" location="'10TH FLR   '!C145" display="'10TH FLR   '!C145"/>
    <hyperlink ref="K5696" location="'10TH FLR   '!C150" display="'10TH FLR   '!C150"/>
    <hyperlink ref="K5699" location="'10TH FLR   '!C152" display="'10TH FLR   '!C152"/>
    <hyperlink ref="K5702" location="'10TH FLR   '!C154" display="'10TH FLR   '!C154"/>
    <hyperlink ref="K5706" location="'10TH FLR   '!C157" display="'10TH FLR   '!C157"/>
    <hyperlink ref="K5709" location="'10TH FLR   '!C159" display="'10TH FLR   '!C159"/>
    <hyperlink ref="K5712" location="'10TH FLR   '!C161" display="'10TH FLR   '!C161"/>
    <hyperlink ref="K5715" location="'10TH FLR   '!C163" display="'10TH FLR   '!C163"/>
    <hyperlink ref="K5718" location="'10TH FLR   '!C165" display="'10TH FLR   '!C165"/>
    <hyperlink ref="K5721" location="'10TH FLR   '!C167" display="'10TH FLR   '!C167"/>
    <hyperlink ref="K5724" location="'10TH FLR   '!C169" display="'10TH FLR   '!C169"/>
    <hyperlink ref="K5727" location="'10TH FLR   '!C171" display="'10TH FLR   '!C171"/>
    <hyperlink ref="K5730" location="'10TH FLR   '!C173" display="'10TH FLR   '!C173"/>
    <hyperlink ref="K5733" location="'10TH FLR   '!C175" display="'10TH FLR   '!C175"/>
    <hyperlink ref="K5736" location="'10TH FLR   '!C177" display="'10TH FLR   '!C177"/>
    <hyperlink ref="K5739" location="'10TH FLR   '!C179" display="'10TH FLR   '!C179"/>
    <hyperlink ref="K5742" location="'10TH FLR   '!C181" display="'10TH FLR   '!C181"/>
    <hyperlink ref="K5745" location="'10TH FLR   '!C183" display="'10TH FLR   '!C183"/>
    <hyperlink ref="K5748" location="'10TH FLR   '!C185" display="'10TH FLR   '!C185"/>
    <hyperlink ref="K5753" location="'10TH FLR   '!C194" display="'10TH FLR   '!C194"/>
    <hyperlink ref="K5756" location="'10TH FLR   '!C196" display="'10TH FLR   '!C196"/>
    <hyperlink ref="K5767" location="'10TH FLR   '!C198" display="'10TH FLR   '!C198"/>
    <hyperlink ref="K5770" location="'10TH FLR   '!C200" display="'10TH FLR   '!C200"/>
    <hyperlink ref="K5780" location="'10TH FLR   '!C202" display="'10TH FLR   '!C202"/>
    <hyperlink ref="K5783" location="'10TH FLR   '!C204" display="'10TH FLR   '!C204"/>
    <hyperlink ref="K5786" location="'10TH FLR   '!C206" display="'10TH FLR   '!C206"/>
    <hyperlink ref="K5791" location="'10TH FLR   '!C215" display="'10TH FLR   '!C215"/>
    <hyperlink ref="K5831" location="'10TH FLR   '!C217" display="'10TH FLR   '!C217"/>
    <hyperlink ref="K5835" location="'10TH FLR   '!C219" display="'10TH FLR   '!C219"/>
    <hyperlink ref="K5853" location="'10TH FLR   '!C221" display="'10TH FLR   '!C221"/>
    <hyperlink ref="K5857" location="'10TH FLR   '!C223" display="'10TH FLR   '!C223"/>
    <hyperlink ref="K5863" location="'10TH FLR   '!C232" display="'10TH FLR   '!C232"/>
    <hyperlink ref="K5903" location="'10TH FLR   '!C234" display="'10TH FLR   '!C234"/>
    <hyperlink ref="K5909" location="'10TH FLR   '!C236" display="'10TH FLR   '!C236"/>
    <hyperlink ref="K5927" location="'10TH FLR   '!C238" display="'10TH FLR   '!C238"/>
    <hyperlink ref="K5930" location="'10TH FLR   '!C240" display="'10TH FLR   '!C240"/>
    <hyperlink ref="K5933" location="'10TH FLR   '!C242" display="'10TH FLR   '!C242"/>
    <hyperlink ref="K5941" location="'10TH FLR   '!C244" display="'10TH FLR   '!C244"/>
    <hyperlink ref="K5963" location="'11TH FLR'!C35" display="'11TH FLR'!C35"/>
    <hyperlink ref="K5966" location="'11TH FLR'!C37" display="'11TH FLR'!C37"/>
    <hyperlink ref="K5970" location="'11TH FLR'!C39" display="'11TH FLR'!C39"/>
    <hyperlink ref="K5974" location="'11TH FLR'!C41" display="'11TH FLR'!C41"/>
    <hyperlink ref="K5978" location="'11TH FLR'!C43" display="'11TH FLR'!C43"/>
    <hyperlink ref="K5981" location="'11TH FLR'!C45" display="'11TH FLR'!C45"/>
    <hyperlink ref="K5992" location="'11TH FLR'!C47" display="'11TH FLR'!C47"/>
    <hyperlink ref="K5996" location="'11TH FLR'!C50" display="'11TH FLR'!C50"/>
    <hyperlink ref="K5999" location="'11TH FLR'!C52" display="'11TH FLR'!C52"/>
    <hyperlink ref="K6002" location="'11TH FLR'!C54" display="'11TH FLR'!C54"/>
    <hyperlink ref="K6006" location="'11TH FLR'!C56" display="'11TH FLR'!C56"/>
    <hyperlink ref="K6010" location="'11TH FLR'!C58" display="'11TH FLR'!C58"/>
    <hyperlink ref="K6015" location="'11TH FLR'!C60" display="'11TH FLR'!C60"/>
    <hyperlink ref="K6028" location="'11TH FLR'!C63" display="'11TH FLR'!C63"/>
    <hyperlink ref="K6031" location="'11TH FLR'!C65" display="'11TH FLR'!C65"/>
    <hyperlink ref="K6034" location="'11TH FLR'!C67" display="'11TH FLR'!C67"/>
    <hyperlink ref="K6037" location="'11TH FLR'!C69" display="'11TH FLR'!C69"/>
    <hyperlink ref="K6040" location="'11TH FLR'!C71" display="'11TH FLR'!C71"/>
    <hyperlink ref="K6043" location="'11TH FLR'!C73" display="'11TH FLR'!C73"/>
    <hyperlink ref="K6046" location="'11TH FLR'!C75" display="'11TH FLR'!C75"/>
    <hyperlink ref="K6050" location="'11TH FLR'!C77" display="'11TH FLR'!C77"/>
    <hyperlink ref="K6054" location="'11TH FLR'!C79" display="'11TH FLR'!C79"/>
    <hyperlink ref="K6058" location="'11TH FLR'!C81" display="'11TH FLR'!C81"/>
    <hyperlink ref="K6061" location="'11TH FLR'!C83" display="'11TH FLR'!C83"/>
    <hyperlink ref="K6066" location="'11TH FLR'!C91" display="'11TH FLR'!C91"/>
    <hyperlink ref="K6078" location="'11TH FLR'!C93" display="'11TH FLR'!C93"/>
    <hyperlink ref="K6092" location="'11TH FLR'!C101" display="'11TH FLR'!C101"/>
    <hyperlink ref="K6095" location="'11TH FLR'!C103" display="'11TH FLR'!C103"/>
    <hyperlink ref="K6098" location="'11TH FLR'!C105" display="'11TH FLR'!C105"/>
    <hyperlink ref="K6101" location="'11TH FLR'!C107" display="'11TH FLR'!C107"/>
    <hyperlink ref="K6106" location="'11TH FLR'!C116" display="'11TH FLR'!C116"/>
    <hyperlink ref="K6109" location="'11TH FLR'!C118" display="'11TH FLR'!C118"/>
    <hyperlink ref="K6112" location="'11TH FLR'!C120" display="'11TH FLR'!C120"/>
    <hyperlink ref="K6115" location="'11TH FLR'!C122" display="'11TH FLR'!C122"/>
    <hyperlink ref="K6118" location="'11TH FLR'!C124" display="'11TH FLR'!C124"/>
    <hyperlink ref="K6121" location="'11TH FLR'!C126" display="'11TH FLR'!C126"/>
    <hyperlink ref="K6125" location="'11TH FLR'!C128" display="'11TH FLR'!C128"/>
    <hyperlink ref="K6130" location="'11TH FLR'!C131" display="'11TH FLR'!C131"/>
    <hyperlink ref="K6133" location="'11TH FLR'!C133" display="'11TH FLR'!C133"/>
    <hyperlink ref="K6136" location="'11TH FLR'!C135" display="'11TH FLR'!C135"/>
    <hyperlink ref="K6140" location="'11TH FLR'!C138" display="'11TH FLR'!C138"/>
    <hyperlink ref="K6143" location="'11TH FLR'!C140" display="'11TH FLR'!C140"/>
    <hyperlink ref="K6146" location="'11TH FLR'!C142" display="'11TH FLR'!C142"/>
    <hyperlink ref="K6149" location="'11TH FLR'!C144" display="'11TH FLR'!C144"/>
    <hyperlink ref="K6154" location="'11TH FLR'!C153" display="'11TH FLR'!C153"/>
    <hyperlink ref="K6157" location="'11TH FLR'!C155" display="'11TH FLR'!C155"/>
    <hyperlink ref="K6160" location="'11TH FLR'!C157" display="'11TH FLR'!C157"/>
    <hyperlink ref="K6163" location="'11TH FLR'!C159" display="'11TH FLR'!C159"/>
    <hyperlink ref="K6166" location="'11TH FLR'!C161" display="'11TH FLR'!C161"/>
    <hyperlink ref="K6169" location="'11TH FLR'!C163" display="'11TH FLR'!C163"/>
    <hyperlink ref="K6172" location="'11TH FLR'!C165" display="'11TH FLR'!C165"/>
    <hyperlink ref="K6177" location="'11TH FLR'!C173" display="'11TH FLR'!C173"/>
    <hyperlink ref="K6193" location="'11TH FLR'!C175" display="'11TH FLR'!C175"/>
    <hyperlink ref="K6197" location="'11TH FLR'!C177" display="'11TH FLR'!C177"/>
    <hyperlink ref="K6204" location="'11TH FLR'!C179" display="'11TH FLR'!C179"/>
    <hyperlink ref="K6208" location="'11TH FLR'!C181" display="'11TH FLR'!C181"/>
    <hyperlink ref="K6214" location="'11TH FLR'!C189" display="'11TH FLR'!C189"/>
    <hyperlink ref="K6230" location="'11TH FLR'!C191" display="'11TH FLR'!C191"/>
    <hyperlink ref="K6236" location="'11TH FLR'!C193" display="'11TH FLR'!C193"/>
    <hyperlink ref="K6243" location="'11TH FLR'!C195" display="'11TH FLR'!C195"/>
    <hyperlink ref="K6246" location="'11TH FLR'!C197" display="'11TH FLR'!C197"/>
    <hyperlink ref="K6249" location="'11TH FLR'!C199" display="'11TH FLR'!C199"/>
    <hyperlink ref="K6255" location="'11TH FLR'!C201" display="'11TH FLR'!C201"/>
    <hyperlink ref="K6266" location="'12TH FLR '!C28" display="'12TH FLR '!C28"/>
    <hyperlink ref="K6270" location="'12TH FLR '!C30" display="'12TH FLR '!C30"/>
    <hyperlink ref="K6274" location="'12TH FLR '!C32" display="'12TH FLR '!C32"/>
    <hyperlink ref="K6277" location="'12TH FLR '!C34" display="'12TH FLR '!C34"/>
    <hyperlink ref="K6281" location="'12TH FLR '!C37" display="'12TH FLR '!C37"/>
    <hyperlink ref="K6285" location="'12TH FLR '!C39" display="'12TH FLR '!C39"/>
    <hyperlink ref="K6289" location="'12TH FLR '!C41" display="'12TH FLR '!C41"/>
    <hyperlink ref="K6293" location="'12TH FLR '!C43" display="'12TH FLR '!C43"/>
    <hyperlink ref="K6296" location="'12TH FLR '!C45" display="'12TH FLR '!C45"/>
    <hyperlink ref="K6300" location="'12TH FLR '!C48" display="'12TH FLR '!C48"/>
    <hyperlink ref="K6303" location="'12TH FLR '!C50" display="'12TH FLR '!C50"/>
    <hyperlink ref="K6306" location="'12TH FLR '!C52" display="'12TH FLR '!C52"/>
    <hyperlink ref="K6309" location="'12TH FLR '!C54" display="'12TH FLR '!C54"/>
    <hyperlink ref="K6312" location="'12TH FLR '!C56" display="'12TH FLR '!C56"/>
    <hyperlink ref="K6315" location="'12TH FLR '!C58" display="'12TH FLR '!C58"/>
    <hyperlink ref="K6318" location="'12TH FLR '!C60" display="'12TH FLR '!C60"/>
    <hyperlink ref="K6321" location="'12TH FLR '!C62" display="'12TH FLR '!C62"/>
    <hyperlink ref="K6327" location="'12TH FLR '!C71" display="'12TH FLR '!C71"/>
    <hyperlink ref="K6330" location="'12TH FLR '!C73" display="'12TH FLR '!C73"/>
    <hyperlink ref="K6335" location="'12TH FLR '!C82" display="'12TH FLR '!C82"/>
    <hyperlink ref="K6339" location="'12TH FLR '!C84" display="'12TH FLR '!C84"/>
    <hyperlink ref="K6343" location="'12TH FLR '!C86" display="'12TH FLR '!C86"/>
    <hyperlink ref="K6347" location="'12TH FLR '!C88" display="'12TH FLR '!C88"/>
    <hyperlink ref="K6356" location="'LIFTS &amp; PS'!C26" display="'LIFTS &amp; PS'!C26"/>
    <hyperlink ref="K6361" location="'LIFTS &amp; PS'!C35" display="'LIFTS &amp; PS'!C35"/>
    <hyperlink ref="K6364" location="'LIFTS &amp; PS'!C37" display="'LIFTS &amp; PS'!C37"/>
    <hyperlink ref="K6367" location="'LIFTS &amp; PS'!C39" display="'LIFTS &amp; PS'!C39"/>
    <hyperlink ref="K6370" location="'LIFTS &amp; PS'!C41" display="'LIFTS &amp; PS'!C41"/>
    <hyperlink ref="K6373" location="'LIFTS &amp; PS'!C43" display="'LIFTS &amp; PS'!C43"/>
  </hyperlinks>
  <pageMargins left="0.4" right="0.4" top="0.6" bottom="0.6" header="0.3" footer="0.3"/>
  <pageSetup paperSize="9" orientation="landscape" fitToHeight="0"/>
  <headerFooter>
    <oddFooter>&amp;LTake-off&amp;RPage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Cover Page </vt:lpstr>
      <vt:lpstr>GEN SUMMARY</vt:lpstr>
      <vt:lpstr>PRELIMS &amp; GEN. ITEMS</vt:lpstr>
      <vt:lpstr>SUBSTRUCTURE</vt:lpstr>
      <vt:lpstr>GROUND FLR </vt:lpstr>
      <vt:lpstr>1ST FLR </vt:lpstr>
      <vt:lpstr>2ND FLR</vt:lpstr>
      <vt:lpstr>3RD FLR</vt:lpstr>
      <vt:lpstr>4TH FLR </vt:lpstr>
      <vt:lpstr>5TH FLR </vt:lpstr>
      <vt:lpstr>6TH FLR  </vt:lpstr>
      <vt:lpstr>7TH FLR   </vt:lpstr>
      <vt:lpstr>8TH FLR   </vt:lpstr>
      <vt:lpstr>9TH FLR    </vt:lpstr>
      <vt:lpstr>10TH FLR   </vt:lpstr>
      <vt:lpstr>11TH FLR</vt:lpstr>
      <vt:lpstr>12TH FLR </vt:lpstr>
      <vt:lpstr>LIFTS &amp; PS</vt:lpstr>
      <vt:lpstr>RATES</vt:lpstr>
      <vt:lpstr>'10TH FLR   '!Print_Area</vt:lpstr>
      <vt:lpstr>'11TH FLR'!Print_Area</vt:lpstr>
      <vt:lpstr>'12TH FLR '!Print_Area</vt:lpstr>
      <vt:lpstr>'1ST FLR '!Print_Area</vt:lpstr>
      <vt:lpstr>'2ND FLR'!Print_Area</vt:lpstr>
      <vt:lpstr>'3RD FLR'!Print_Area</vt:lpstr>
      <vt:lpstr>'4TH FLR '!Print_Area</vt:lpstr>
      <vt:lpstr>'5TH FLR '!Print_Area</vt:lpstr>
      <vt:lpstr>'6TH FLR  '!Print_Area</vt:lpstr>
      <vt:lpstr>'7TH FLR   '!Print_Area</vt:lpstr>
      <vt:lpstr>'8TH FLR   '!Print_Area</vt:lpstr>
      <vt:lpstr>'9TH FLR    '!Print_Area</vt:lpstr>
      <vt:lpstr>'Cover Page '!Print_Area</vt:lpstr>
      <vt:lpstr>'GEN SUMMARY'!Print_Area</vt:lpstr>
      <vt:lpstr>'GROUND FLR '!Print_Area</vt:lpstr>
      <vt:lpstr>'LIFTS &amp; PS'!Print_Area</vt:lpstr>
      <vt:lpstr>'PRELIMS &amp; GEN. ITEMS'!Print_Area</vt:lpstr>
      <vt:lpstr>SUBSTRUCTURE!Print_Area</vt:lpstr>
      <vt:lpstr>'PRELIMS &amp; GEN. ITEMS'!Print_Titles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dc:creator>
  <cp:lastModifiedBy>Build</cp:lastModifiedBy>
  <dcterms:created xsi:type="dcterms:W3CDTF">2026-09-30T14:17:29Z</dcterms:created>
  <dcterms:modified xsi:type="dcterms:W3CDTF">2026-09-30T17:29:33Z</dcterms:modified>
</cp:coreProperties>
</file>