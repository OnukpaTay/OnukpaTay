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8" activeTab="16" autoFilterDateGrouping="1"/>
  </bookViews>
  <sheets>
    <sheet name="Cover Page " sheetId="1" state="visible" r:id="rId1"/>
    <sheet name="GEN SUMMARY" sheetId="2" state="visible" r:id="rId2"/>
    <sheet name="PRELIMS &amp; GEN. ITEMS" sheetId="3" state="visible" r:id="rId3"/>
    <sheet name="SUBSTRUCTURE" sheetId="4" state="visible" r:id="rId4"/>
    <sheet name="GROUND FLR " sheetId="5" state="visible" r:id="rId5"/>
    <sheet name="1ST FLR " sheetId="6" state="visible" r:id="rId6"/>
    <sheet name="2ND FLR" sheetId="7" state="visible" r:id="rId7"/>
    <sheet name="3RD FLR" sheetId="8" state="visible" r:id="rId8"/>
    <sheet name="4TH FLR " sheetId="9" state="visible" r:id="rId9"/>
    <sheet name="5TH FLR " sheetId="10" state="visible" r:id="rId10"/>
    <sheet name="6TH FLR  " sheetId="11" state="visible" r:id="rId11"/>
    <sheet name="7TH FLR   " sheetId="12" state="visible" r:id="rId12"/>
    <sheet name="8TH FLR   " sheetId="13" state="visible" r:id="rId13"/>
    <sheet name="9TH FLR    " sheetId="14" state="visible" r:id="rId14"/>
    <sheet name="10TH FLR   " sheetId="15" state="visible" r:id="rId15"/>
    <sheet name="11TH FLR" sheetId="16" state="visible" r:id="rId16"/>
    <sheet name="12TH FLR " sheetId="17" state="visible" r:id="rId17"/>
    <sheet name="LIFTS &amp; PS" sheetId="18" state="visible" r:id="rId18"/>
    <sheet name="RATES" sheetId="19" state="visible" r:id="rId19"/>
  </sheets>
  <definedNames>
    <definedName name="_xlnm.Print_Area" localSheetId="0">'Cover Page '!$A$1:$F$25</definedName>
    <definedName name="_xlnm.Print_Area" localSheetId="1">'GEN SUMMARY'!$A$1:$D$44</definedName>
    <definedName name="_xlnm.Print_Titles" localSheetId="2">'PRELIMS &amp; GEN. ITEMS'!$1:$8</definedName>
    <definedName name="_xlnm.Print_Area" localSheetId="2">'PRELIMS &amp; GEN. ITEMS'!$A$1:$F$379</definedName>
    <definedName name="_xlnm.Print_Area" localSheetId="3">'SUBSTRUCTURE'!$A$1:$F$98</definedName>
    <definedName name="_xlnm.Print_Area" localSheetId="4">'GROUND FLR '!$A$1:$F$234</definedName>
    <definedName name="_xlnm.Print_Area" localSheetId="5">'1ST FLR '!$A$1:$F$162</definedName>
    <definedName name="_xlnm.Print_Area" localSheetId="6">'2ND FLR'!$A$1:$F$162</definedName>
    <definedName name="_xlnm.Print_Area" localSheetId="7">'3RD FLR'!$A$1:$F$254</definedName>
    <definedName name="_xlnm.Print_Area" localSheetId="8">'4TH FLR '!$A$1:$F$256</definedName>
    <definedName name="_xlnm.Print_Area" localSheetId="9">'5TH FLR '!$A$1:$F$254</definedName>
    <definedName name="_xlnm.Print_Area" localSheetId="10">'6TH FLR  '!$A$1:$F$254</definedName>
    <definedName name="_xlnm.Print_Area" localSheetId="11">'7TH FLR   '!$A$1:$F$254</definedName>
    <definedName name="_xlnm.Print_Area" localSheetId="12">'8TH FLR   '!$A$1:$F$256</definedName>
    <definedName name="_xlnm.Print_Area" localSheetId="13">'9TH FLR    '!$A$1:$F$259</definedName>
    <definedName name="_xlnm.Print_Area" localSheetId="14">'10TH FLR   '!$A$1:$F$250</definedName>
    <definedName name="_xlnm.Print_Area" localSheetId="15">'11TH FLR'!$A$1:$F$213</definedName>
    <definedName name="_xlnm.Print_Area" localSheetId="16">'12TH FLR '!$A$1:$F$95</definedName>
    <definedName name="_xlnm.Print_Area" localSheetId="17">'LIFTS &amp; PS'!$A$1:$F$50</definedName>
  </definedNames>
  <calcPr calcId="191029" fullCalcOnLoad="1"/>
</workbook>
</file>

<file path=xl/styles.xml><?xml version="1.0" encoding="utf-8"?>
<styleSheet xmlns="http://schemas.openxmlformats.org/spreadsheetml/2006/main">
  <numFmts count="7">
    <numFmt numFmtId="164" formatCode="_-[$$-409]* #,##0.00_ ;_-[$$-409]* \-#,##0.00\ ;_-[$$-409]* &quot;-&quot;??_ ;_-@_ "/>
    <numFmt numFmtId="165" formatCode="_([$$-409]* #,##0.00_);_([$$-409]* \(#,##0.00\);_([$$-409]* &quot;-&quot;??_);_(@_)"/>
    <numFmt numFmtId="166" formatCode="0.0000%"/>
    <numFmt numFmtId="167" formatCode="_-* #,##0.00_-;\-* #,##0.00_-;_-* &quot;-&quot;??_-;_-@_-"/>
    <numFmt numFmtId="168" formatCode="_(&quot;$&quot;* #,##0.00_);_(&quot;$&quot;* \(#,##0.00\);_(&quot;$&quot;* &quot;-&quot;??_);_(@_)"/>
    <numFmt numFmtId="169" formatCode="_-* #,##0.00_-;\-* #,##0.00_-;_-* &quot;-&quot;??_-;_-@"/>
    <numFmt numFmtId="170" formatCode="_([$GHC]\ * #,##0.00_);_([$GHC]\ * \(#,##0.00\);_([$GHC]\ * &quot;-&quot;??_);_(@_)"/>
  </numFmts>
  <fonts count="94">
    <font>
      <name val="Calibri"/>
      <family val="2"/>
      <color theme="1"/>
      <sz val="11"/>
      <scheme val="minor"/>
    </font>
    <font>
      <name val="Calibri"/>
      <family val="2"/>
      <color theme="1"/>
      <sz val="11"/>
      <scheme val="minor"/>
    </font>
    <font>
      <name val="Swis721 Cn BT"/>
      <color theme="1"/>
      <sz val="10"/>
    </font>
    <font>
      <name val="Swis721 Cn BT"/>
      <color theme="1"/>
      <sz val="28"/>
    </font>
    <font>
      <name val="Swis721 Cn BT"/>
      <color theme="1"/>
      <sz val="36"/>
    </font>
    <font>
      <name val="Arial"/>
      <family val="2"/>
      <b val="1"/>
      <color rgb="FF323E4F"/>
      <sz val="48"/>
    </font>
    <font>
      <name val="Calibri"/>
      <family val="2"/>
      <color theme="1"/>
      <sz val="48"/>
      <scheme val="minor"/>
    </font>
    <font>
      <name val="Swis721 Cn BT"/>
      <b val="1"/>
      <color rgb="FF323E4F"/>
      <sz val="36"/>
    </font>
    <font>
      <name val="Swis721 Cn BT"/>
      <b val="1"/>
      <color rgb="FF323E4F"/>
      <sz val="28"/>
    </font>
    <font>
      <name val="Swis721 Cn BT"/>
      <color theme="1"/>
      <sz val="14"/>
    </font>
    <font>
      <name val="Swis721 Cn BT"/>
      <color theme="1"/>
      <sz val="16"/>
    </font>
    <font>
      <name val="Swis721 Cn BT"/>
      <color rgb="FF767171"/>
      <sz val="17"/>
    </font>
    <font>
      <name val="Calibri"/>
      <family val="2"/>
      <sz val="18"/>
    </font>
    <font>
      <name val="Calibri"/>
      <family val="2"/>
      <color theme="1"/>
      <sz val="14"/>
    </font>
    <font>
      <name val="Calibri"/>
      <family val="2"/>
      <color theme="1"/>
      <sz val="16"/>
    </font>
    <font>
      <name val="Calibri"/>
      <family val="2"/>
      <color theme="1"/>
      <sz val="11"/>
    </font>
    <font>
      <name val="Calibri"/>
      <family val="2"/>
      <color theme="0"/>
      <sz val="16"/>
    </font>
    <font>
      <name val="Calibri"/>
      <family val="2"/>
      <b val="1"/>
      <color theme="1"/>
      <sz val="14"/>
    </font>
    <font>
      <name val="Calibri"/>
      <family val="2"/>
      <b val="1"/>
      <color theme="1"/>
      <sz val="16"/>
    </font>
    <font>
      <name val="Calibri"/>
      <family val="2"/>
      <b val="1"/>
      <color theme="1"/>
      <sz val="11"/>
    </font>
    <font>
      <name val="Calibri"/>
      <family val="2"/>
      <b val="1"/>
      <color theme="1"/>
      <sz val="14"/>
      <u val="single"/>
    </font>
    <font>
      <name val="Calibri"/>
      <family val="2"/>
      <sz val="11"/>
    </font>
    <font>
      <name val="Calibri"/>
      <family val="2"/>
      <sz val="14"/>
    </font>
    <font>
      <name val="Calibri"/>
      <family val="2"/>
      <sz val="16"/>
    </font>
    <font>
      <name val="Calibri"/>
      <family val="2"/>
      <sz val="11"/>
      <scheme val="minor"/>
    </font>
    <font>
      <name val="Calibri"/>
      <family val="2"/>
      <color theme="1"/>
      <sz val="16"/>
      <scheme val="minor"/>
    </font>
    <font>
      <name val="Calibri"/>
      <family val="2"/>
      <b val="1"/>
      <sz val="16"/>
    </font>
    <font>
      <name val="Calibri"/>
      <family val="2"/>
      <b val="1"/>
      <color theme="1"/>
      <sz val="18"/>
    </font>
    <font>
      <name val="Calibri"/>
      <family val="2"/>
      <sz val="12"/>
      <scheme val="minor"/>
    </font>
    <font>
      <name val="Candara"/>
      <family val="2"/>
      <b val="1"/>
      <sz val="14"/>
    </font>
    <font>
      <name val="Calibri"/>
      <family val="2"/>
      <color theme="1"/>
      <sz val="12"/>
      <scheme val="minor"/>
    </font>
    <font>
      <name val="Calibri"/>
      <family val="2"/>
      <b val="1"/>
      <sz val="12"/>
      <scheme val="minor"/>
    </font>
    <font>
      <name val="Calibri"/>
      <charset val="204"/>
      <family val="2"/>
      <color rgb="FF000000"/>
      <sz val="11"/>
    </font>
    <font>
      <name val="Candara"/>
      <family val="2"/>
      <sz val="11"/>
    </font>
    <font>
      <name val="Candara"/>
      <family val="2"/>
      <color rgb="FF000000"/>
      <sz val="11"/>
    </font>
    <font>
      <name val="Candara"/>
      <family val="2"/>
      <b val="1"/>
      <sz val="10.5"/>
    </font>
    <font>
      <name val="Candara"/>
      <family val="2"/>
      <b val="1"/>
      <color rgb="FF000000"/>
      <sz val="10.5"/>
    </font>
    <font>
      <name val="Candara"/>
      <family val="2"/>
      <b val="1"/>
      <sz val="12"/>
    </font>
    <font>
      <name val="Candara"/>
      <family val="2"/>
      <b val="1"/>
      <sz val="16"/>
    </font>
    <font>
      <name val="Calibri"/>
      <family val="2"/>
      <b val="1"/>
      <sz val="12"/>
      <u val="single"/>
      <scheme val="minor"/>
    </font>
    <font>
      <name val="Candara"/>
      <family val="2"/>
      <sz val="10.5"/>
    </font>
    <font>
      <name val="Candara"/>
      <family val="2"/>
      <sz val="16"/>
    </font>
    <font>
      <name val="Candara"/>
      <family val="2"/>
      <color rgb="FF000000"/>
      <sz val="10.5"/>
    </font>
    <font>
      <name val="Candara"/>
      <family val="2"/>
      <b val="1"/>
      <sz val="10.5"/>
      <u val="single"/>
    </font>
    <font>
      <name val="Candara"/>
      <family val="2"/>
      <b val="1"/>
      <sz val="14"/>
      <u val="single"/>
    </font>
    <font>
      <name val="Candara"/>
      <family val="2"/>
      <b val="1"/>
      <color rgb="FF000000"/>
      <sz val="10.5"/>
      <u val="single"/>
    </font>
    <font>
      <name val="Candara"/>
      <family val="2"/>
      <b val="1"/>
      <color rgb="FF0D0D0D"/>
      <sz val="10.5"/>
      <u val="single"/>
    </font>
    <font>
      <name val="Candara"/>
      <family val="2"/>
      <color rgb="FF0D0D0D"/>
      <sz val="10.5"/>
    </font>
    <font>
      <name val="Candara"/>
      <family val="2"/>
      <b val="1"/>
      <i val="1"/>
      <sz val="10.5"/>
      <u val="single"/>
    </font>
    <font>
      <name val="Candara"/>
      <family val="2"/>
      <b val="1"/>
      <i val="1"/>
      <sz val="10.5"/>
    </font>
    <font>
      <name val="Candara"/>
      <family val="2"/>
      <b val="1"/>
      <i val="1"/>
      <sz val="14"/>
      <u val="single"/>
    </font>
    <font>
      <name val="Candara"/>
      <family val="2"/>
      <b val="1"/>
      <i val="1"/>
      <color rgb="FF000000"/>
      <sz val="10.5"/>
      <u val="single"/>
    </font>
    <font>
      <name val="Candara"/>
      <family val="2"/>
      <sz val="7"/>
    </font>
    <font>
      <name val="Candara"/>
      <family val="2"/>
      <i val="1"/>
      <sz val="10.5"/>
    </font>
    <font>
      <name val="Candara"/>
      <family val="2"/>
      <b val="1"/>
      <i val="1"/>
      <sz val="14"/>
    </font>
    <font>
      <name val="Candara"/>
      <family val="2"/>
      <i val="1"/>
      <color rgb="FF000000"/>
      <sz val="10.5"/>
    </font>
    <font>
      <name val="Candara"/>
      <family val="2"/>
      <b val="1"/>
      <i val="1"/>
      <sz val="12"/>
      <u val="single"/>
    </font>
    <font>
      <name val="Candara"/>
      <family val="2"/>
      <sz val="12"/>
      <u val="single"/>
    </font>
    <font>
      <name val="Candara"/>
      <family val="2"/>
      <b val="1"/>
      <i val="1"/>
      <sz val="12"/>
    </font>
    <font>
      <name val="Candara"/>
      <family val="2"/>
      <b val="1"/>
      <sz val="11"/>
    </font>
    <font>
      <name val="Candara"/>
      <family val="2"/>
      <color rgb="FFFF0000"/>
      <sz val="11"/>
    </font>
    <font>
      <name val="Candara"/>
      <family val="2"/>
      <color rgb="FFFF0000"/>
      <sz val="10.5"/>
    </font>
    <font>
      <name val="Candara"/>
      <family val="2"/>
      <b val="1"/>
      <color rgb="FFFF0000"/>
      <sz val="14"/>
    </font>
    <font>
      <name val="Candara"/>
      <family val="2"/>
      <b val="1"/>
      <color theme="1"/>
      <sz val="20"/>
    </font>
    <font>
      <name val="Candara"/>
      <family val="2"/>
      <color theme="1"/>
      <sz val="22"/>
    </font>
    <font>
      <name val="Arial Narrow"/>
      <family val="2"/>
      <b val="1"/>
      <sz val="18"/>
    </font>
    <font>
      <name val="Calibri"/>
      <family val="2"/>
      <b val="1"/>
      <sz val="18"/>
    </font>
    <font>
      <name val="Calibri"/>
      <family val="2"/>
      <b val="1"/>
      <sz val="18"/>
      <u val="single"/>
    </font>
    <font>
      <name val="Calibri"/>
      <family val="2"/>
      <sz val="18"/>
      <u val="single"/>
    </font>
    <font>
      <name val="Calibri"/>
      <family val="2"/>
      <sz val="18"/>
      <vertAlign val="superscript"/>
    </font>
    <font>
      <name val="Calibri"/>
      <family val="2"/>
      <sz val="10"/>
    </font>
    <font>
      <name val="Calibri"/>
      <family val="2"/>
      <sz val="18"/>
      <scheme val="minor"/>
    </font>
    <font>
      <name val="Calibri"/>
      <family val="2"/>
      <color theme="9" tint="-0.249977111117893"/>
      <sz val="18"/>
    </font>
    <font>
      <name val="Calibri"/>
      <family val="2"/>
      <b val="1"/>
      <color theme="9" tint="-0.249977111117893"/>
      <sz val="18"/>
    </font>
    <font>
      <name val="Arial Narrow"/>
      <family val="2"/>
      <sz val="18"/>
    </font>
    <font>
      <name val="Calibri"/>
      <family val="2"/>
      <color rgb="FFFF0000"/>
      <sz val="18"/>
    </font>
    <font>
      <name val="Calibri"/>
      <family val="2"/>
      <color rgb="FFFF0000"/>
      <sz val="18"/>
      <scheme val="minor"/>
    </font>
    <font>
      <name val="Calibri"/>
      <b val="1"/>
      <sz val="16"/>
    </font>
    <font>
      <name val="Calibri"/>
      <i val="1"/>
      <sz val="11"/>
    </font>
    <font>
      <name val="Calibri"/>
      <b val="1"/>
      <color rgb="00FFFFFF"/>
      <sz val="12"/>
    </font>
    <font>
      <name val="Calibri"/>
      <b val="1"/>
      <sz val="12"/>
    </font>
    <font>
      <name val="Calibri"/>
      <sz val="11"/>
    </font>
    <font>
      <name val="Calibri"/>
      <color rgb="000000FF"/>
      <sz val="11"/>
    </font>
    <font>
      <name val="Calibri"/>
      <i val="1"/>
      <sz val="10"/>
    </font>
    <font>
      <name val="Calibri"/>
      <color rgb="00000000"/>
      <sz val="11"/>
    </font>
    <font>
      <name val="Calibri"/>
      <sz val="18"/>
    </font>
    <font>
      <name val="Calibri"/>
      <b val="1"/>
      <sz val="18"/>
    </font>
    <font>
      <name val="Calibri"/>
      <b val="1"/>
      <sz val="18"/>
      <u val="single"/>
    </font>
    <font>
      <name val="Calibri"/>
      <sz val="18"/>
      <u val="single"/>
    </font>
    <font>
      <name val="Calibri"/>
      <color rgb="00000080"/>
      <sz val="18"/>
    </font>
    <font>
      <name val="Calibri"/>
      <color rgb="00808080"/>
      <sz val="10"/>
    </font>
    <font>
      <name val="Calibri"/>
      <sz val="12"/>
    </font>
    <font>
      <name val="Calibri"/>
      <i val="1"/>
      <color rgb="00595959"/>
      <sz val="12"/>
    </font>
    <font>
      <name val="Calibri"/>
      <sz val="10.5"/>
    </font>
  </fonts>
  <fills count="4">
    <fill>
      <patternFill/>
    </fill>
    <fill>
      <patternFill patternType="gray125"/>
    </fill>
    <fill>
      <patternFill patternType="solid">
        <fgColor theme="9"/>
        <bgColor indexed="64"/>
      </patternFill>
    </fill>
    <fill>
      <patternFill patternType="solid">
        <fgColor rgb="001F3864"/>
      </patternFill>
    </fill>
  </fills>
  <borders count="201">
    <border>
      <left/>
      <right/>
      <top/>
      <bottom/>
      <diagonal/>
    </border>
    <border>
      <left style="double">
        <color rgb="FF000000"/>
      </left>
      <right style="thin">
        <color rgb="FF000000"/>
      </right>
      <top/>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indexed="64"/>
      </right>
      <top/>
      <bottom style="thin">
        <color rgb="FF000000"/>
      </bottom>
      <diagonal/>
    </border>
    <border>
      <left style="medium">
        <color indexed="64"/>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top/>
      <bottom/>
      <diagonal/>
    </border>
    <border>
      <left style="medium">
        <color rgb="FF000000"/>
      </left>
      <right style="medium">
        <color indexed="64"/>
      </right>
      <top/>
      <bottom style="thin">
        <color indexed="64"/>
      </bottom>
      <diagonal/>
    </border>
    <border>
      <left style="medium">
        <color indexed="64"/>
      </left>
      <right style="medium">
        <color rgb="FF000000"/>
      </right>
      <top/>
      <bottom style="double">
        <color indexed="64"/>
      </bottom>
      <diagonal/>
    </border>
    <border>
      <left style="medium">
        <color rgb="FF000000"/>
      </left>
      <right style="medium">
        <color rgb="FF000000"/>
      </right>
      <top/>
      <bottom style="double">
        <color indexed="64"/>
      </bottom>
      <diagonal/>
    </border>
    <border>
      <left style="medium">
        <color rgb="FF000000"/>
      </left>
      <right style="medium">
        <color indexed="64"/>
      </right>
      <top/>
      <bottom style="double">
        <color indexed="64"/>
      </bottom>
      <diagonal/>
    </border>
    <border>
      <left style="medium">
        <color indexed="64"/>
      </left>
      <right style="double">
        <color rgb="FF000000"/>
      </right>
      <top/>
      <bottom/>
      <diagonal/>
    </border>
    <border>
      <left style="thin">
        <color rgb="FF000000"/>
      </left>
      <right style="double">
        <color rgb="FF000000"/>
      </right>
      <top/>
      <bottom/>
      <diagonal/>
    </border>
    <border>
      <left style="thin">
        <color rgb="FF000000"/>
      </left>
      <right style="medium">
        <color indexed="64"/>
      </right>
      <top/>
      <bottom/>
      <diagonal/>
    </border>
    <border>
      <left style="medium">
        <color indexed="64"/>
      </left>
      <right style="double">
        <color rgb="FF000000"/>
      </right>
      <top/>
      <bottom style="medium">
        <color indexed="64"/>
      </bottom>
      <diagonal/>
    </border>
    <border>
      <left style="double">
        <color rgb="FF000000"/>
      </left>
      <right style="thin">
        <color rgb="FF000000"/>
      </right>
      <top/>
      <bottom style="medium">
        <color indexed="64"/>
      </bottom>
      <diagonal/>
    </border>
    <border>
      <left style="thin">
        <color rgb="FF000000"/>
      </left>
      <right style="double">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right style="medium">
        <color auto="1"/>
      </right>
      <top/>
      <bottom style="medium">
        <color auto="1"/>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double">
        <color rgb="FF000000"/>
      </right>
      <top style="medium">
        <color indexed="64"/>
      </top>
      <bottom style="medium">
        <color rgb="FF000000"/>
      </bottom>
      <diagonal/>
    </border>
    <border>
      <left/>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double">
        <color rgb="FF000000"/>
      </left>
      <right style="double">
        <color rgb="FF000000"/>
      </right>
      <top style="medium">
        <color indexed="64"/>
      </top>
      <bottom style="medium">
        <color rgb="FF000000"/>
      </bottom>
      <diagonal/>
    </border>
    <border>
      <left style="double">
        <color rgb="FF000000"/>
      </left>
      <right style="medium">
        <color indexed="64"/>
      </right>
      <top style="medium">
        <color indexed="64"/>
      </top>
      <bottom style="medium">
        <color rgb="FF000000"/>
      </bottom>
      <diagonal/>
    </border>
    <border>
      <left style="thin">
        <color rgb="FF000000"/>
      </left>
      <right style="thin">
        <color rgb="FF000000"/>
      </right>
      <top/>
      <bottom/>
      <diagonal/>
    </border>
    <border>
      <left style="medium">
        <color indexed="64"/>
      </left>
      <right style="double">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right/>
      <top style="thin">
        <color rgb="FF000000"/>
      </top>
      <bottom style="double">
        <color rgb="FF000000"/>
      </bottom>
      <diagonal/>
    </border>
    <border>
      <left style="thin">
        <color rgb="FF000000"/>
      </left>
      <right style="medium">
        <color indexed="64"/>
      </right>
      <top style="thin">
        <color rgb="FF000000"/>
      </top>
      <bottom style="double">
        <color rgb="FF000000"/>
      </bottom>
      <diagonal/>
    </border>
    <border>
      <left style="medium">
        <color indexed="64"/>
      </left>
      <right style="double">
        <color rgb="FF000000"/>
      </right>
      <top/>
      <bottom style="medium">
        <color rgb="FF000000"/>
      </bottom>
      <diagonal/>
    </border>
    <border>
      <left style="double">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double">
        <color rgb="FF000000"/>
      </right>
      <top/>
      <bottom style="medium">
        <color rgb="FF000000"/>
      </bottom>
      <diagonal/>
    </border>
    <border>
      <left/>
      <right/>
      <top/>
      <bottom style="medium">
        <color rgb="FF000000"/>
      </bottom>
      <diagonal/>
    </border>
    <border>
      <left style="thin">
        <color rgb="FF000000"/>
      </left>
      <right style="medium">
        <color indexed="64"/>
      </right>
      <top/>
      <bottom style="medium">
        <color rgb="FF000000"/>
      </bottom>
      <diagonal/>
    </border>
    <border>
      <left style="thin">
        <color rgb="FF000000"/>
      </left>
      <right/>
      <top/>
      <bottom/>
      <diagonal/>
    </border>
    <border>
      <left style="double">
        <color rgb="FF000000"/>
      </left>
      <right/>
      <top/>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bottom style="medium">
        <color indexed="64"/>
      </bottom>
      <diagonal/>
    </border>
    <border>
      <left/>
      <right/>
      <top/>
      <bottom style="medium">
        <color auto="1"/>
      </bottom>
      <diagonal/>
    </border>
    <border>
      <left style="thin">
        <color rgb="FF000000"/>
      </left>
      <right style="medium">
        <color indexed="64"/>
      </right>
      <top style="double">
        <color rgb="FF000000"/>
      </top>
      <bottom style="medium">
        <color indexed="64"/>
      </bottom>
      <diagonal/>
    </border>
    <border>
      <left style="medium">
        <color indexed="64"/>
      </left>
      <right style="double">
        <color rgb="FF000000"/>
      </right>
      <top style="medium">
        <color indexed="64"/>
      </top>
      <bottom/>
      <diagonal/>
    </border>
    <border>
      <left style="double">
        <color rgb="FF000000"/>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double">
        <color rgb="FF000000"/>
      </right>
      <top style="medium">
        <color indexed="64"/>
      </top>
      <bottom/>
      <diagonal/>
    </border>
    <border>
      <left/>
      <right/>
      <top style="medium">
        <color auto="1"/>
      </top>
      <bottom/>
      <diagonal/>
    </border>
    <border>
      <left style="thin">
        <color rgb="FF000000"/>
      </left>
      <right style="medium">
        <color indexed="64"/>
      </right>
      <top style="medium">
        <color indexed="64"/>
      </top>
      <bottom/>
      <diagonal/>
    </border>
    <border>
      <left style="medium">
        <color indexed="64"/>
      </left>
      <right style="double">
        <color rgb="FF000000"/>
      </right>
      <top/>
      <bottom style="thin">
        <color rgb="FF000000"/>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right/>
      <top/>
      <bottom style="thin">
        <color rgb="FF000000"/>
      </bottom>
      <diagonal/>
    </border>
    <border>
      <left style="thin">
        <color rgb="FF000000"/>
      </left>
      <right style="medium">
        <color indexed="64"/>
      </right>
      <top/>
      <bottom style="thin">
        <color rgb="FF000000"/>
      </bottom>
      <diagonal/>
    </border>
    <border>
      <left style="medium">
        <color indexed="64"/>
      </left>
      <right style="double">
        <color rgb="FF000000"/>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double">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thin">
        <color rgb="FF000000"/>
      </left>
      <right style="medium">
        <color indexed="64"/>
      </right>
      <top style="double">
        <color rgb="FF000000"/>
      </top>
      <bottom style="thin">
        <color rgb="FF000000"/>
      </bottom>
      <diagonal/>
    </border>
    <border>
      <left style="medium">
        <color indexed="64"/>
      </left>
      <right style="double">
        <color rgb="FF000000"/>
      </right>
      <top style="double">
        <color rgb="FF000000"/>
      </top>
      <bottom style="medium">
        <color indexed="64"/>
      </bottom>
      <diagonal/>
    </border>
    <border>
      <left style="double">
        <color rgb="FF000000"/>
      </left>
      <right style="thin">
        <color rgb="FF000000"/>
      </right>
      <top style="double">
        <color rgb="FF000000"/>
      </top>
      <bottom style="medium">
        <color indexed="64"/>
      </bottom>
      <diagonal/>
    </border>
    <border>
      <left style="thin">
        <color rgb="FF000000"/>
      </left>
      <right style="thin">
        <color rgb="FF000000"/>
      </right>
      <top style="double">
        <color rgb="FF000000"/>
      </top>
      <bottom style="medium">
        <color indexed="64"/>
      </bottom>
      <diagonal/>
    </border>
    <border>
      <left style="thin">
        <color rgb="FF000000"/>
      </left>
      <right style="double">
        <color rgb="FF000000"/>
      </right>
      <top style="double">
        <color rgb="FF000000"/>
      </top>
      <bottom style="medium">
        <color indexed="64"/>
      </bottom>
      <diagonal/>
    </border>
    <border>
      <left/>
      <right/>
      <top style="double">
        <color rgb="FF000000"/>
      </top>
      <bottom style="medium">
        <color indexed="64"/>
      </bottom>
      <diagonal/>
    </border>
    <border>
      <left style="medium">
        <color indexed="64"/>
      </left>
      <right style="double">
        <color rgb="FF000000"/>
      </right>
      <top style="double">
        <color rgb="FF000000"/>
      </top>
      <bottom style="thin">
        <color rgb="FF000000"/>
      </bottom>
      <diagonal/>
    </border>
    <border>
      <left style="double">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medium">
        <color indexed="64"/>
      </left>
      <right style="double">
        <color rgb="FF000000"/>
      </right>
      <top style="double">
        <color rgb="FF000000"/>
      </top>
      <bottom style="medium">
        <color rgb="FF000000"/>
      </bottom>
      <diagonal/>
    </border>
    <border>
      <left style="double">
        <color rgb="FF000000"/>
      </left>
      <right style="thin">
        <color rgb="FF000000"/>
      </right>
      <top style="double">
        <color rgb="FF000000"/>
      </top>
      <bottom style="medium">
        <color rgb="FF000000"/>
      </bottom>
      <diagonal/>
    </border>
    <border>
      <left style="thin">
        <color rgb="FF000000"/>
      </left>
      <right style="thin">
        <color rgb="FF000000"/>
      </right>
      <top style="double">
        <color rgb="FF000000"/>
      </top>
      <bottom style="medium">
        <color rgb="FF000000"/>
      </bottom>
      <diagonal/>
    </border>
    <border>
      <left style="thin">
        <color rgb="FF000000"/>
      </left>
      <right style="double">
        <color rgb="FF000000"/>
      </right>
      <top style="double">
        <color rgb="FF000000"/>
      </top>
      <bottom style="medium">
        <color rgb="FF000000"/>
      </bottom>
      <diagonal/>
    </border>
    <border>
      <left/>
      <right/>
      <top style="double">
        <color rgb="FF000000"/>
      </top>
      <bottom style="medium">
        <color rgb="FF000000"/>
      </bottom>
      <diagonal/>
    </border>
    <border>
      <left style="thin">
        <color rgb="FF000000"/>
      </left>
      <right style="medium">
        <color indexed="64"/>
      </right>
      <top style="double">
        <color rgb="FF000000"/>
      </top>
      <bottom style="medium">
        <color rgb="FF000000"/>
      </bottom>
      <diagonal/>
    </border>
    <border>
      <left/>
      <right style="thin">
        <color rgb="FF000000"/>
      </right>
      <top/>
      <bottom/>
      <diagonal/>
    </border>
    <border>
      <left style="medium">
        <color indexed="64"/>
      </left>
      <right style="double">
        <color rgb="FF000000"/>
      </right>
      <top style="thin">
        <color rgb="FF000000"/>
      </top>
      <bottom/>
      <diagonal/>
    </border>
    <border>
      <left style="double">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right/>
      <top style="thin">
        <color rgb="FF000000"/>
      </top>
      <bottom/>
      <diagonal/>
    </border>
    <border>
      <left style="thin">
        <color rgb="FF000000"/>
      </left>
      <right style="medium">
        <color indexed="64"/>
      </right>
      <top style="thin">
        <color rgb="FF000000"/>
      </top>
      <bottom/>
      <diagonal/>
    </border>
    <border>
      <left style="medium">
        <color indexed="64"/>
      </left>
      <right style="double">
        <color rgb="FF000000"/>
      </right>
      <top style="thin">
        <color indexed="64"/>
      </top>
      <bottom style="double">
        <color rgb="FF000000"/>
      </bottom>
      <diagonal/>
    </border>
    <border>
      <left style="double">
        <color rgb="FF000000"/>
      </left>
      <right style="thin">
        <color rgb="FF000000"/>
      </right>
      <top style="thin">
        <color indexed="64"/>
      </top>
      <bottom style="double">
        <color rgb="FF000000"/>
      </bottom>
      <diagonal/>
    </border>
    <border>
      <left style="thin">
        <color rgb="FF000000"/>
      </left>
      <right style="thin">
        <color rgb="FF000000"/>
      </right>
      <top style="thin">
        <color indexed="64"/>
      </top>
      <bottom style="double">
        <color rgb="FF000000"/>
      </bottom>
      <diagonal/>
    </border>
    <border>
      <left style="thin">
        <color rgb="FF000000"/>
      </left>
      <right style="double">
        <color rgb="FF000000"/>
      </right>
      <top style="thin">
        <color indexed="64"/>
      </top>
      <bottom style="double">
        <color rgb="FF000000"/>
      </bottom>
      <diagonal/>
    </border>
    <border>
      <left/>
      <right/>
      <top style="thin">
        <color indexed="64"/>
      </top>
      <bottom style="double">
        <color rgb="FF000000"/>
      </bottom>
      <diagonal/>
    </border>
    <border>
      <left style="thin">
        <color rgb="FF000000"/>
      </left>
      <right style="medium">
        <color indexed="64"/>
      </right>
      <top style="thin">
        <color indexed="64"/>
      </top>
      <bottom style="double">
        <color rgb="FF000000"/>
      </bottom>
      <diagonal/>
    </border>
    <border>
      <left style="medium">
        <color indexed="64"/>
      </left>
      <right style="double">
        <color rgb="FF000000"/>
      </right>
      <top/>
      <bottom style="thin">
        <color indexed="64"/>
      </bottom>
      <diagonal/>
    </border>
    <border>
      <left style="double">
        <color rgb="FF000000"/>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double">
        <color rgb="FF000000"/>
      </right>
      <top/>
      <bottom style="thin">
        <color indexed="64"/>
      </bottom>
      <diagonal/>
    </border>
    <border>
      <left/>
      <right/>
      <top/>
      <bottom style="thin">
        <color indexed="64"/>
      </bottom>
      <diagonal/>
    </border>
    <border>
      <left style="thin">
        <color rgb="FF000000"/>
      </left>
      <right style="medium">
        <color indexed="64"/>
      </right>
      <top/>
      <bottom style="thin">
        <color indexed="64"/>
      </bottom>
      <diagonal/>
    </border>
    <border>
      <left style="medium">
        <color indexed="64"/>
      </left>
      <right style="double">
        <color rgb="FF000000"/>
      </right>
      <top style="double">
        <color rgb="FF000000"/>
      </top>
      <bottom style="thin">
        <color indexed="64"/>
      </bottom>
      <diagonal/>
    </border>
    <border>
      <left style="double">
        <color rgb="FF000000"/>
      </left>
      <right style="thin">
        <color rgb="FF000000"/>
      </right>
      <top style="double">
        <color rgb="FF000000"/>
      </top>
      <bottom style="thin">
        <color indexed="64"/>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double">
        <color rgb="FF000000"/>
      </left>
      <right style="double">
        <color rgb="FF000000"/>
      </right>
      <top style="medium">
        <color rgb="FF000000"/>
      </top>
      <bottom style="medium">
        <color rgb="FF000000"/>
      </bottom>
      <diagonal/>
    </border>
    <border>
      <left style="medium">
        <color rgb="FF000000"/>
      </left>
      <right style="double">
        <color rgb="FF000000"/>
      </right>
      <top/>
      <bottom/>
      <diagonal/>
    </border>
    <border>
      <left style="double">
        <color rgb="FF000000"/>
      </left>
      <right style="thin">
        <color rgb="FF000000"/>
      </right>
      <top style="medium">
        <color rgb="FF000000"/>
      </top>
      <bottom/>
      <diagonal/>
    </border>
    <border>
      <left/>
      <right style="medium">
        <color rgb="FF000000"/>
      </right>
      <top/>
      <bottom/>
      <diagonal/>
    </border>
    <border>
      <left style="thin">
        <color rgb="FF000000"/>
      </left>
      <right style="medium">
        <color rgb="FF000000"/>
      </right>
      <top/>
      <bottom/>
      <diagonal/>
    </border>
    <border>
      <left style="medium">
        <color rgb="FF000000"/>
      </left>
      <right style="double">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double">
        <color rgb="FF000000"/>
      </right>
      <top/>
      <bottom style="thin">
        <color indexed="64"/>
      </bottom>
      <diagonal/>
    </border>
    <border>
      <left style="thin">
        <color rgb="FF000000"/>
      </left>
      <right style="medium">
        <color rgb="FF000000"/>
      </right>
      <top/>
      <bottom style="thin">
        <color indexed="64"/>
      </bottom>
      <diagonal/>
    </border>
    <border>
      <left style="medium">
        <color rgb="FF000000"/>
      </left>
      <right style="double">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double">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double">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double">
        <color rgb="FF000000"/>
      </right>
      <top style="double">
        <color rgb="FF000000"/>
      </top>
      <bottom/>
      <diagonal/>
    </border>
    <border>
      <left style="double">
        <color rgb="FF000000"/>
      </left>
      <right style="thin">
        <color rgb="FF000000"/>
      </right>
      <top style="double">
        <color rgb="FF000000"/>
      </top>
      <bottom/>
      <diagonal/>
    </border>
    <border>
      <left style="medium">
        <color indexed="64"/>
      </left>
      <right style="double">
        <color rgb="FF000000"/>
      </right>
      <top style="thin">
        <color rgb="FF000000"/>
      </top>
      <bottom style="medium">
        <color indexed="64"/>
      </bottom>
      <diagonal/>
    </border>
    <border>
      <left style="double">
        <color rgb="FF000000"/>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double">
        <color rgb="FF000000"/>
      </right>
      <top style="thin">
        <color rgb="FF000000"/>
      </top>
      <bottom style="medium">
        <color indexed="64"/>
      </bottom>
      <diagonal/>
    </border>
    <border>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top/>
      <bottom/>
      <diagonal/>
    </border>
    <border>
      <left style="medium">
        <color rgb="FF000000"/>
      </left>
      <right style="double">
        <color rgb="FF000000"/>
      </right>
      <top style="double">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double">
        <color rgb="FF000000"/>
      </top>
      <bottom style="thin">
        <color indexed="64"/>
      </bottom>
      <diagonal/>
    </border>
    <border>
      <left style="thin">
        <color rgb="FF000000"/>
      </left>
      <right style="double">
        <color rgb="FF000000"/>
      </right>
      <top style="double">
        <color rgb="FF000000"/>
      </top>
      <bottom style="thin">
        <color indexed="64"/>
      </bottom>
      <diagonal/>
    </border>
    <border>
      <left/>
      <right/>
      <top style="double">
        <color rgb="FF000000"/>
      </top>
      <bottom style="thin">
        <color indexed="64"/>
      </bottom>
      <diagonal/>
    </border>
    <border>
      <left style="thin">
        <color rgb="FF000000"/>
      </left>
      <right style="medium">
        <color rgb="FF000000"/>
      </right>
      <top style="double">
        <color rgb="FF000000"/>
      </top>
      <bottom style="thin">
        <color indexed="64"/>
      </bottom>
      <diagonal/>
    </border>
    <border>
      <left/>
      <right/>
      <top style="double">
        <color rgb="FF000000"/>
      </top>
      <bottom style="thin">
        <color rgb="FF000000"/>
      </bottom>
      <diagonal/>
    </border>
    <border>
      <left style="thin">
        <color rgb="FF000000"/>
      </left>
      <right style="medium">
        <color rgb="FF000000"/>
      </right>
      <top style="double">
        <color rgb="FF000000"/>
      </top>
      <bottom style="thin">
        <color rgb="FF000000"/>
      </bottom>
      <diagonal/>
    </border>
    <border>
      <left style="medium">
        <color rgb="FF000000"/>
      </left>
      <right style="double">
        <color rgb="FF000000"/>
      </right>
      <top style="double">
        <color rgb="FF000000"/>
      </top>
      <bottom style="medium">
        <color rgb="FF000000"/>
      </bottom>
      <diagonal/>
    </border>
    <border>
      <left style="thin">
        <color rgb="FF000000"/>
      </left>
      <right style="medium">
        <color rgb="FF000000"/>
      </right>
      <top style="double">
        <color rgb="FF000000"/>
      </top>
      <bottom style="medium">
        <color rgb="FF000000"/>
      </bottom>
      <diagonal/>
    </border>
    <border>
      <left style="thin">
        <color rgb="FF000000"/>
      </left>
      <right style="double">
        <color rgb="FF000000"/>
      </right>
      <top style="medium">
        <color rgb="FF000000"/>
      </top>
      <bottom/>
      <diagonal/>
    </border>
    <border>
      <left style="thin">
        <color rgb="FF000000"/>
      </left>
      <right style="medium">
        <color indexed="64"/>
      </right>
      <top style="medium">
        <color rgb="FF000000"/>
      </top>
      <bottom/>
      <diagonal/>
    </border>
    <border>
      <left style="medium">
        <color indexed="64"/>
      </left>
      <right style="double">
        <color rgb="FF000000"/>
      </right>
      <top/>
      <bottom style="double">
        <color rgb="FF000000"/>
      </bottom>
      <diagonal/>
    </border>
    <border>
      <left style="double">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style="thin">
        <color rgb="FF000000"/>
      </left>
      <right style="double">
        <color rgb="FF000000"/>
      </right>
      <top/>
      <bottom style="double">
        <color rgb="FF000000"/>
      </bottom>
      <diagonal/>
    </border>
    <border>
      <left/>
      <right/>
      <top/>
      <bottom style="double">
        <color rgb="FF000000"/>
      </bottom>
      <diagonal/>
    </border>
    <border>
      <left style="thin">
        <color rgb="FF000000"/>
      </left>
      <right style="medium">
        <color indexed="64"/>
      </right>
      <top/>
      <bottom style="double">
        <color rgb="FF000000"/>
      </bottom>
      <diagonal/>
    </border>
    <border>
      <left style="thin">
        <color rgb="FF000000"/>
      </left>
      <right style="medium">
        <color indexed="64"/>
      </right>
      <top style="double">
        <color rgb="FF000000"/>
      </top>
      <bottom style="thin">
        <color indexed="64"/>
      </bottom>
      <diagonal/>
    </border>
    <border>
      <left style="medium">
        <color indexed="64"/>
      </left>
      <right style="double">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double">
        <color rgb="FF000000"/>
      </right>
      <top style="double">
        <color rgb="FF000000"/>
      </top>
      <bottom/>
      <diagonal/>
    </border>
    <border>
      <left style="medium">
        <color indexed="64"/>
      </left>
      <right style="double">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thin">
        <color rgb="FF000000"/>
      </left>
      <right/>
      <top/>
      <bottom style="medium">
        <color rgb="FF000000"/>
      </bottom>
      <diagonal/>
    </border>
    <border>
      <left/>
      <right style="medium">
        <color indexed="64"/>
      </right>
      <top/>
      <bottom style="medium">
        <color rgb="FF000000"/>
      </bottom>
      <diagonal/>
    </border>
    <border>
      <left style="medium">
        <color indexed="64"/>
      </left>
      <right style="double">
        <color rgb="FF000000"/>
      </right>
      <top style="medium">
        <color rgb="FF000000"/>
      </top>
      <bottom style="medium">
        <color rgb="FF000000"/>
      </bottom>
      <diagonal/>
    </border>
    <border>
      <left style="double">
        <color rgb="FF000000"/>
      </left>
      <right style="medium">
        <color indexed="64"/>
      </right>
      <top style="medium">
        <color rgb="FF000000"/>
      </top>
      <bottom style="medium">
        <color rgb="FF000000"/>
      </bottom>
      <diagonal/>
    </border>
    <border>
      <left style="medium">
        <color indexed="64"/>
      </left>
      <right style="double">
        <color rgb="FF000000"/>
      </right>
      <top style="medium">
        <color indexed="64"/>
      </top>
      <bottom style="double">
        <color rgb="FF000000"/>
      </bottom>
      <diagonal/>
    </border>
    <border>
      <left style="double">
        <color rgb="FF000000"/>
      </left>
      <right style="thin">
        <color rgb="FF000000"/>
      </right>
      <top style="medium">
        <color indexed="64"/>
      </top>
      <bottom style="double">
        <color rgb="FF000000"/>
      </bottom>
      <diagonal/>
    </border>
    <border>
      <left style="thin">
        <color rgb="FF000000"/>
      </left>
      <right style="thin">
        <color rgb="FF000000"/>
      </right>
      <top style="medium">
        <color indexed="64"/>
      </top>
      <bottom style="double">
        <color rgb="FF000000"/>
      </bottom>
      <diagonal/>
    </border>
    <border>
      <left style="thin">
        <color rgb="FF000000"/>
      </left>
      <right style="double">
        <color rgb="FF000000"/>
      </right>
      <top style="medium">
        <color indexed="64"/>
      </top>
      <bottom style="double">
        <color rgb="FF000000"/>
      </bottom>
      <diagonal/>
    </border>
    <border>
      <left/>
      <right/>
      <top style="medium">
        <color indexed="64"/>
      </top>
      <bottom style="double">
        <color rgb="FF000000"/>
      </bottom>
      <diagonal/>
    </border>
    <border>
      <left style="thin">
        <color rgb="FF000000"/>
      </left>
      <right style="medium">
        <color indexed="64"/>
      </right>
      <top style="medium">
        <color indexed="64"/>
      </top>
      <bottom style="double">
        <color rgb="FF000000"/>
      </bottom>
      <diagonal/>
    </border>
    <border>
      <left style="medium">
        <color indexed="64"/>
      </left>
      <right style="medium">
        <color rgb="FF000000"/>
      </right>
      <top/>
      <bottom style="thin">
        <color indexed="64"/>
      </bottom>
      <diagonal/>
    </border>
    <border>
      <left style="medium">
        <color rgb="FF000000"/>
      </left>
      <right style="medium">
        <color rgb="FF000000"/>
      </right>
      <top/>
      <bottom style="thin">
        <color indexed="64"/>
      </bottom>
      <diagonal/>
    </border>
    <border>
      <left style="medium">
        <color auto="1"/>
      </left>
      <right/>
      <top/>
      <bottom/>
      <diagonal/>
    </border>
    <border>
      <left style="medium"/>
      <top style="medium"/>
      <bottom style="medium"/>
    </border>
    <border>
      <left style="double"/>
      <top style="medium"/>
      <bottom style="medium"/>
    </border>
    <border>
      <left style="thin"/>
      <top style="medium"/>
      <bottom style="medium"/>
    </border>
    <border>
      <left style="medium"/>
      <right style="medium"/>
      <top style="medium"/>
      <bottom style="medium"/>
    </border>
    <border>
      <left style="medium"/>
    </border>
    <border>
      <left style="double"/>
    </border>
    <border>
      <left style="thin"/>
    </border>
    <border/>
    <border>
      <left style="thin"/>
      <right style="medium"/>
    </border>
    <border>
      <left style="medium"/>
      <top style="thin"/>
      <bottom style="double"/>
    </border>
    <border>
      <left style="double"/>
      <top style="thin"/>
      <bottom style="double"/>
    </border>
    <border>
      <left style="thin"/>
      <top style="thin"/>
      <bottom style="double"/>
    </border>
    <border>
      <top style="thin"/>
      <bottom style="double"/>
    </border>
    <border>
      <left style="thin"/>
      <right style="medium"/>
      <top style="thin"/>
      <bottom style="double"/>
    </border>
  </borders>
  <cellStyleXfs count="9">
    <xf numFmtId="0" fontId="1" fillId="0" borderId="0"/>
    <xf numFmtId="167" fontId="1" fillId="0" borderId="0"/>
    <xf numFmtId="44" fontId="1" fillId="0" borderId="0"/>
    <xf numFmtId="9" fontId="1" fillId="0" borderId="0"/>
    <xf numFmtId="0" fontId="1" fillId="0" borderId="0"/>
    <xf numFmtId="167" fontId="1" fillId="0" borderId="0"/>
    <xf numFmtId="0" fontId="1" fillId="0" borderId="0"/>
    <xf numFmtId="0" fontId="32" fillId="0" borderId="0"/>
    <xf numFmtId="9" fontId="1" fillId="0" borderId="0"/>
  </cellStyleXfs>
  <cellXfs count="597">
    <xf numFmtId="0" fontId="0" fillId="0" borderId="0" pivotButton="0" quotePrefix="0" xfId="0"/>
    <xf numFmtId="0" fontId="2" fillId="0" borderId="0" applyAlignment="1" pivotButton="0" quotePrefix="0" xfId="0">
      <alignment horizontal="center"/>
    </xf>
    <xf numFmtId="0" fontId="3" fillId="0" borderId="0" pivotButton="0" quotePrefix="0" xfId="0"/>
    <xf numFmtId="1" fontId="3" fillId="0" borderId="0" applyAlignment="1" pivotButton="0" quotePrefix="0" xfId="0">
      <alignment horizontal="center"/>
    </xf>
    <xf numFmtId="0" fontId="3" fillId="0" borderId="0" applyAlignment="1" pivotButton="0" quotePrefix="0" xfId="0">
      <alignment horizontal="center"/>
    </xf>
    <xf numFmtId="43" fontId="3" fillId="0" borderId="0" pivotButton="0" quotePrefix="0" xfId="0"/>
    <xf numFmtId="0" fontId="2" fillId="0" borderId="0" pivotButton="0" quotePrefix="0" xfId="0"/>
    <xf numFmtId="0" fontId="4" fillId="0" borderId="0" pivotButton="0" quotePrefix="0" xfId="0"/>
    <xf numFmtId="0" fontId="5" fillId="0" borderId="0" applyAlignment="1" pivotButton="0" quotePrefix="0" xfId="0">
      <alignment horizontal="left" vertical="center" wrapText="1" indent="3"/>
    </xf>
    <xf numFmtId="0" fontId="6" fillId="0" borderId="0" applyAlignment="1" pivotButton="0" quotePrefix="0" xfId="0">
      <alignment horizontal="left" vertical="center" indent="3"/>
    </xf>
    <xf numFmtId="0" fontId="7" fillId="0" borderId="0" applyAlignment="1" pivotButton="0" quotePrefix="0" xfId="0">
      <alignment horizontal="right" wrapText="1"/>
    </xf>
    <xf numFmtId="0" fontId="8" fillId="0" borderId="0" applyAlignment="1" pivotButton="0" quotePrefix="0" xfId="0">
      <alignment horizontal="right" vertical="center"/>
    </xf>
    <xf numFmtId="0" fontId="0" fillId="0" borderId="0" pivotButton="0" quotePrefix="0" xfId="0"/>
    <xf numFmtId="1" fontId="2" fillId="0" borderId="0" applyAlignment="1" pivotButton="0" quotePrefix="0" xfId="0">
      <alignment horizontal="center"/>
    </xf>
    <xf numFmtId="43" fontId="2" fillId="0" borderId="0" pivotButton="0" quotePrefix="0" xfId="0"/>
    <xf numFmtId="0" fontId="9" fillId="0" borderId="0" applyAlignment="1" pivotButton="0" quotePrefix="0" xfId="0">
      <alignment horizontal="right" vertical="center"/>
    </xf>
    <xf numFmtId="0" fontId="10" fillId="0" borderId="0" pivotButton="0" quotePrefix="0" xfId="0"/>
    <xf numFmtId="43" fontId="10" fillId="0" borderId="0" pivotButton="0" quotePrefix="0" xfId="0"/>
    <xf numFmtId="14" fontId="10"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0" applyAlignment="1" pivotButton="0" quotePrefix="0" xfId="0">
      <alignment vertical="center"/>
    </xf>
    <xf numFmtId="43" fontId="9" fillId="0" borderId="0" applyAlignment="1" pivotButton="0" quotePrefix="0" xfId="0">
      <alignment vertical="center"/>
    </xf>
    <xf numFmtId="0" fontId="11" fillId="0" borderId="0" applyAlignment="1" pivotButton="0" quotePrefix="0" xfId="0">
      <alignment horizontal="right" vertical="center"/>
    </xf>
    <xf numFmtId="0" fontId="12" fillId="0" borderId="1" pivotButton="0" quotePrefix="0" xfId="0"/>
    <xf numFmtId="0" fontId="13" fillId="0" borderId="0" applyAlignment="1" pivotButton="0" quotePrefix="0" xfId="0">
      <alignment horizontal="left"/>
    </xf>
    <xf numFmtId="0" fontId="13" fillId="0" borderId="0" applyAlignment="1" pivotButton="0" quotePrefix="0" xfId="0">
      <alignment horizontal="center"/>
    </xf>
    <xf numFmtId="164" fontId="14" fillId="0" borderId="0" pivotButton="0" quotePrefix="0" xfId="0"/>
    <xf numFmtId="0" fontId="15" fillId="0" borderId="0" pivotButton="0" quotePrefix="0" xfId="0"/>
    <xf numFmtId="164" fontId="16" fillId="0" borderId="0" pivotButton="0" quotePrefix="0" xfId="0"/>
    <xf numFmtId="14" fontId="13" fillId="0" borderId="0" applyAlignment="1" pivotButton="0" quotePrefix="0" xfId="0">
      <alignment horizontal="left"/>
    </xf>
    <xf numFmtId="0" fontId="17" fillId="0" borderId="2" applyAlignment="1" pivotButton="0" quotePrefix="0" xfId="0">
      <alignment horizontal="center" vertical="center"/>
    </xf>
    <xf numFmtId="0" fontId="17" fillId="0" borderId="3" applyAlignment="1" pivotButton="0" quotePrefix="0" xfId="0">
      <alignment vertical="center"/>
    </xf>
    <xf numFmtId="0" fontId="17" fillId="0" borderId="3" applyAlignment="1" pivotButton="0" quotePrefix="0" xfId="0">
      <alignment horizontal="center" vertical="center"/>
    </xf>
    <xf numFmtId="164" fontId="18" fillId="0" borderId="4" applyAlignment="1" pivotButton="0" quotePrefix="0" xfId="0">
      <alignment horizontal="center" vertical="center" wrapText="1"/>
    </xf>
    <xf numFmtId="0" fontId="19" fillId="0" borderId="0" applyAlignment="1" pivotButton="0" quotePrefix="0" xfId="0">
      <alignment vertical="center"/>
    </xf>
    <xf numFmtId="0" fontId="13" fillId="0" borderId="5" applyAlignment="1" pivotButton="0" quotePrefix="0" xfId="0">
      <alignment horizontal="center"/>
    </xf>
    <xf numFmtId="0" fontId="20" fillId="0" borderId="6" pivotButton="0" quotePrefix="0" xfId="0"/>
    <xf numFmtId="0" fontId="13" fillId="0" borderId="6" applyAlignment="1" pivotButton="0" quotePrefix="0" xfId="0">
      <alignment horizontal="center"/>
    </xf>
    <xf numFmtId="0" fontId="13" fillId="0" borderId="6" pivotButton="0" quotePrefix="0" xfId="0"/>
    <xf numFmtId="165" fontId="13" fillId="0" borderId="6" pivotButton="0" quotePrefix="0" xfId="0"/>
    <xf numFmtId="164" fontId="13" fillId="0" borderId="6" pivotButton="0" quotePrefix="0" xfId="0"/>
    <xf numFmtId="0" fontId="21" fillId="0" borderId="0" pivotButton="0" quotePrefix="0" xfId="0"/>
    <xf numFmtId="0" fontId="24" fillId="0" borderId="0" pivotButton="0" quotePrefix="0" xfId="0"/>
    <xf numFmtId="0" fontId="0" fillId="0" borderId="8" pivotButton="0" quotePrefix="0" xfId="0"/>
    <xf numFmtId="0" fontId="13" fillId="0" borderId="11" pivotButton="0" quotePrefix="0" xfId="0"/>
    <xf numFmtId="0" fontId="13" fillId="0" borderId="11" applyAlignment="1" pivotButton="0" quotePrefix="0" xfId="0">
      <alignment horizontal="center"/>
    </xf>
    <xf numFmtId="0" fontId="15" fillId="0" borderId="13" applyAlignment="1" pivotButton="0" quotePrefix="0" xfId="0">
      <alignment horizontal="center"/>
    </xf>
    <xf numFmtId="0" fontId="17" fillId="0" borderId="6" applyAlignment="1" pivotButton="0" quotePrefix="0" xfId="0">
      <alignment vertical="center" wrapText="1"/>
    </xf>
    <xf numFmtId="0" fontId="17" fillId="0" borderId="0" applyAlignment="1" pivotButton="0" quotePrefix="0" xfId="0">
      <alignment horizontal="center" vertical="center"/>
    </xf>
    <xf numFmtId="0" fontId="13" fillId="0" borderId="5" pivotButton="0" quotePrefix="0" xfId="0"/>
    <xf numFmtId="0" fontId="13" fillId="0" borderId="10" pivotButton="0" quotePrefix="0" xfId="0"/>
    <xf numFmtId="0" fontId="13" fillId="0" borderId="15" applyAlignment="1" pivotButton="0" quotePrefix="0" xfId="0">
      <alignment horizontal="center"/>
    </xf>
    <xf numFmtId="0" fontId="13" fillId="0" borderId="16" pivotButton="0" quotePrefix="0" xfId="0"/>
    <xf numFmtId="0" fontId="13" fillId="0" borderId="16" applyAlignment="1" pivotButton="0" quotePrefix="0" xfId="0">
      <alignment horizontal="center"/>
    </xf>
    <xf numFmtId="164" fontId="23" fillId="0" borderId="17" pivotButton="0" quotePrefix="0" xfId="0"/>
    <xf numFmtId="0" fontId="25" fillId="0" borderId="0" pivotButton="0" quotePrefix="0" xfId="0"/>
    <xf numFmtId="0" fontId="28" fillId="0" borderId="0" applyAlignment="1" pivotButton="0" quotePrefix="0" xfId="4">
      <alignment horizontal="center"/>
    </xf>
    <xf numFmtId="0" fontId="28" fillId="0" borderId="0" pivotButton="0" quotePrefix="0" xfId="4"/>
    <xf numFmtId="164" fontId="29" fillId="0" borderId="0" pivotButton="0" quotePrefix="0" xfId="4"/>
    <xf numFmtId="0" fontId="30" fillId="0" borderId="0" pivotButton="0" quotePrefix="0" xfId="4"/>
    <xf numFmtId="0" fontId="22" fillId="0" borderId="0" applyAlignment="1" pivotButton="0" quotePrefix="0" xfId="6">
      <alignment horizontal="left"/>
    </xf>
    <xf numFmtId="0" fontId="31" fillId="0" borderId="0" pivotButton="0" quotePrefix="0" xfId="4"/>
    <xf numFmtId="164" fontId="29" fillId="0" borderId="0" applyAlignment="1" pivotButton="0" quotePrefix="0" xfId="4">
      <alignment vertical="center"/>
    </xf>
    <xf numFmtId="0" fontId="28" fillId="0" borderId="0" applyAlignment="1" pivotButton="0" quotePrefix="0" xfId="4">
      <alignment vertical="center"/>
    </xf>
    <xf numFmtId="0" fontId="31" fillId="0" borderId="0" applyAlignment="1" pivotButton="0" quotePrefix="0" xfId="4">
      <alignment vertical="center"/>
    </xf>
    <xf numFmtId="0" fontId="33" fillId="0" borderId="0" applyAlignment="1" pivotButton="0" quotePrefix="0" xfId="7">
      <alignment horizontal="center"/>
    </xf>
    <xf numFmtId="0" fontId="33" fillId="0" borderId="0" applyAlignment="1" pivotButton="0" quotePrefix="0" xfId="7">
      <alignment vertical="center" wrapText="1"/>
    </xf>
    <xf numFmtId="164" fontId="29" fillId="0" borderId="0" pivotButton="0" quotePrefix="0" xfId="7"/>
    <xf numFmtId="0" fontId="34" fillId="0" borderId="0" pivotButton="0" quotePrefix="0" xfId="7"/>
    <xf numFmtId="0" fontId="35" fillId="0" borderId="0" applyAlignment="1" pivotButton="0" quotePrefix="0" xfId="7">
      <alignment vertical="top" wrapText="1"/>
    </xf>
    <xf numFmtId="164" fontId="29" fillId="0" borderId="0" applyAlignment="1" pivotButton="0" quotePrefix="0" xfId="7">
      <alignment vertical="top" wrapText="1"/>
    </xf>
    <xf numFmtId="0" fontId="36" fillId="0" borderId="0" applyAlignment="1" pivotButton="0" quotePrefix="0" xfId="7">
      <alignment vertical="top" wrapText="1"/>
    </xf>
    <xf numFmtId="0" fontId="31" fillId="0" borderId="25" applyAlignment="1" pivotButton="0" quotePrefix="0" xfId="4">
      <alignment horizontal="center" vertical="center"/>
    </xf>
    <xf numFmtId="0" fontId="31" fillId="0" borderId="26" applyAlignment="1" pivotButton="0" quotePrefix="0" xfId="4">
      <alignment horizontal="center" vertical="center"/>
    </xf>
    <xf numFmtId="0" fontId="31" fillId="0" borderId="27" applyAlignment="1" pivotButton="0" quotePrefix="0" xfId="4">
      <alignment horizontal="center" vertical="center"/>
    </xf>
    <xf numFmtId="0" fontId="36" fillId="0" borderId="0" applyAlignment="1" pivotButton="0" quotePrefix="0" xfId="7">
      <alignment vertical="center" wrapText="1"/>
    </xf>
    <xf numFmtId="0" fontId="34" fillId="0" borderId="0" applyAlignment="1" pivotButton="0" quotePrefix="0" xfId="7">
      <alignment vertical="center"/>
    </xf>
    <xf numFmtId="0" fontId="31" fillId="0" borderId="29" applyAlignment="1" pivotButton="0" quotePrefix="0" xfId="4">
      <alignment horizontal="center" vertical="center"/>
    </xf>
    <xf numFmtId="0" fontId="31" fillId="0" borderId="30" applyAlignment="1" pivotButton="0" quotePrefix="0" xfId="4">
      <alignment horizontal="center" vertical="center"/>
    </xf>
    <xf numFmtId="0" fontId="39" fillId="0" borderId="30" applyAlignment="1" pivotButton="0" quotePrefix="0" xfId="4">
      <alignment horizontal="center" vertical="center"/>
    </xf>
    <xf numFmtId="0" fontId="33" fillId="0" borderId="29" applyAlignment="1" pivotButton="0" quotePrefix="0" xfId="7">
      <alignment horizontal="center"/>
    </xf>
    <xf numFmtId="0" fontId="35" fillId="0" borderId="30" applyAlignment="1" pivotButton="0" quotePrefix="0" xfId="7">
      <alignment horizontal="center" vertical="top" wrapText="1"/>
    </xf>
    <xf numFmtId="0" fontId="40" fillId="0" borderId="30" applyAlignment="1" pivotButton="0" quotePrefix="0" xfId="7">
      <alignment vertical="top" wrapText="1"/>
    </xf>
    <xf numFmtId="0" fontId="42" fillId="0" borderId="0" applyAlignment="1" pivotButton="0" quotePrefix="0" xfId="7">
      <alignment vertical="top" wrapText="1"/>
    </xf>
    <xf numFmtId="0" fontId="33" fillId="0" borderId="32" applyAlignment="1" pivotButton="0" quotePrefix="0" xfId="7">
      <alignment horizontal="center"/>
    </xf>
    <xf numFmtId="0" fontId="35" fillId="0" borderId="33" applyAlignment="1" pivotButton="0" quotePrefix="0" xfId="7">
      <alignment horizontal="center" vertical="top" wrapText="1"/>
    </xf>
    <xf numFmtId="0" fontId="40" fillId="0" borderId="33" applyAlignment="1" pivotButton="0" quotePrefix="0" xfId="7">
      <alignment vertical="top" wrapText="1"/>
    </xf>
    <xf numFmtId="166" fontId="42" fillId="0" borderId="0" applyAlignment="1" pivotButton="0" quotePrefix="0" xfId="3">
      <alignment vertical="top" wrapText="1"/>
    </xf>
    <xf numFmtId="0" fontId="33" fillId="0" borderId="35" applyAlignment="1" pivotButton="0" quotePrefix="0" xfId="7">
      <alignment horizontal="center"/>
    </xf>
    <xf numFmtId="0" fontId="35" fillId="0" borderId="36" applyAlignment="1" pivotButton="0" quotePrefix="0" xfId="7">
      <alignment horizontal="center" vertical="top" wrapText="1"/>
    </xf>
    <xf numFmtId="0" fontId="40" fillId="0" borderId="36" applyAlignment="1" pivotButton="0" quotePrefix="0" xfId="7">
      <alignment vertical="top" wrapText="1"/>
    </xf>
    <xf numFmtId="0" fontId="43" fillId="0" borderId="30" applyAlignment="1" pivotButton="0" quotePrefix="0" xfId="7">
      <alignment vertical="top" wrapText="1"/>
    </xf>
    <xf numFmtId="0" fontId="45" fillId="0" borderId="0" applyAlignment="1" pivotButton="0" quotePrefix="0" xfId="7">
      <alignment vertical="top" wrapText="1"/>
    </xf>
    <xf numFmtId="164" fontId="29" fillId="0" borderId="38" applyAlignment="1" pivotButton="0" quotePrefix="0" xfId="5">
      <alignment horizontal="center" vertical="center" wrapText="1"/>
    </xf>
    <xf numFmtId="0" fontId="35" fillId="0" borderId="30" applyAlignment="1" pivotButton="0" quotePrefix="0" xfId="7">
      <alignment vertical="top" wrapText="1"/>
    </xf>
    <xf numFmtId="0" fontId="46" fillId="0" borderId="0" applyAlignment="1" pivotButton="0" quotePrefix="0" xfId="7">
      <alignment vertical="top" wrapText="1"/>
    </xf>
    <xf numFmtId="0" fontId="47" fillId="0" borderId="0" applyAlignment="1" pivotButton="0" quotePrefix="0" xfId="7">
      <alignment vertical="top" wrapText="1"/>
    </xf>
    <xf numFmtId="0" fontId="48" fillId="0" borderId="30" applyAlignment="1" pivotButton="0" quotePrefix="0" xfId="7">
      <alignment vertical="top" wrapText="1"/>
    </xf>
    <xf numFmtId="0" fontId="51" fillId="0" borderId="0" applyAlignment="1" pivotButton="0" quotePrefix="0" xfId="7">
      <alignment vertical="top" wrapText="1"/>
    </xf>
    <xf numFmtId="0" fontId="33" fillId="0" borderId="30" applyAlignment="1" pivotButton="0" quotePrefix="0" xfId="7">
      <alignment vertical="center" wrapText="1"/>
    </xf>
    <xf numFmtId="0" fontId="33" fillId="0" borderId="29" applyAlignment="1" pivotButton="0" quotePrefix="0" xfId="7">
      <alignment horizontal="center"/>
    </xf>
    <xf numFmtId="0" fontId="33" fillId="0" borderId="25" applyAlignment="1" pivotButton="0" quotePrefix="0" xfId="7">
      <alignment horizontal="center"/>
    </xf>
    <xf numFmtId="0" fontId="35" fillId="0" borderId="26" applyAlignment="1" pivotButton="0" quotePrefix="0" xfId="7">
      <alignment horizontal="center" vertical="top" wrapText="1"/>
    </xf>
    <xf numFmtId="0" fontId="40" fillId="0" borderId="26" applyAlignment="1" pivotButton="0" quotePrefix="0" xfId="7">
      <alignment vertical="top" wrapText="1"/>
    </xf>
    <xf numFmtId="0" fontId="53" fillId="0" borderId="30" applyAlignment="1" pivotButton="0" quotePrefix="0" xfId="7">
      <alignment vertical="top" wrapText="1"/>
    </xf>
    <xf numFmtId="0" fontId="55" fillId="0" borderId="0" applyAlignment="1" pivotButton="0" quotePrefix="0" xfId="7">
      <alignment vertical="top" wrapText="1"/>
    </xf>
    <xf numFmtId="0" fontId="56" fillId="0" borderId="30" applyAlignment="1" pivotButton="0" quotePrefix="0" xfId="7">
      <alignment vertical="top" wrapText="1"/>
    </xf>
    <xf numFmtId="0" fontId="42" fillId="0" borderId="0" applyAlignment="1" pivotButton="0" quotePrefix="0" xfId="7">
      <alignment horizontal="center" vertical="center" wrapText="1"/>
    </xf>
    <xf numFmtId="167" fontId="42" fillId="0" borderId="0" applyAlignment="1" pivotButton="0" quotePrefix="0" xfId="7">
      <alignment horizontal="center" vertical="center" wrapText="1"/>
    </xf>
    <xf numFmtId="0" fontId="51" fillId="0" borderId="0" applyAlignment="1" pivotButton="0" quotePrefix="0" xfId="7">
      <alignment horizontal="center" vertical="center" wrapText="1"/>
    </xf>
    <xf numFmtId="0" fontId="34" fillId="0" borderId="0" applyAlignment="1" pivotButton="0" quotePrefix="0" xfId="7">
      <alignment horizontal="center" vertical="center"/>
    </xf>
    <xf numFmtId="0" fontId="33" fillId="0" borderId="29" applyAlignment="1" pivotButton="0" quotePrefix="0" xfId="7">
      <alignment horizontal="center" vertical="center"/>
    </xf>
    <xf numFmtId="0" fontId="59" fillId="0" borderId="30" applyAlignment="1" pivotButton="0" quotePrefix="0" xfId="7">
      <alignment vertical="center" wrapText="1"/>
    </xf>
    <xf numFmtId="167" fontId="34" fillId="0" borderId="0" pivotButton="0" quotePrefix="0" xfId="5"/>
    <xf numFmtId="167" fontId="34" fillId="0" borderId="0" pivotButton="0" quotePrefix="0" xfId="7"/>
    <xf numFmtId="9" fontId="34" fillId="0" borderId="0" applyAlignment="1" pivotButton="0" quotePrefix="0" xfId="8">
      <alignment horizontal="left" indent="3"/>
    </xf>
    <xf numFmtId="0" fontId="48" fillId="0" borderId="30" applyAlignment="1" pivotButton="0" quotePrefix="0" xfId="7">
      <alignment vertical="top"/>
    </xf>
    <xf numFmtId="0" fontId="51" fillId="0" borderId="0" applyAlignment="1" pivotButton="0" quotePrefix="0" xfId="7">
      <alignment vertical="top"/>
    </xf>
    <xf numFmtId="0" fontId="42" fillId="0" borderId="0" applyAlignment="1" pivotButton="0" quotePrefix="0" xfId="7">
      <alignment vertical="top"/>
    </xf>
    <xf numFmtId="167" fontId="42" fillId="0" borderId="0" applyAlignment="1" pivotButton="0" quotePrefix="0" xfId="5">
      <alignment vertical="top" wrapText="1"/>
    </xf>
    <xf numFmtId="0" fontId="49" fillId="0" borderId="30" applyAlignment="1" pivotButton="0" quotePrefix="0" xfId="7">
      <alignment vertical="center" wrapText="1"/>
    </xf>
    <xf numFmtId="0" fontId="33" fillId="0" borderId="30" applyAlignment="1" pivotButton="0" quotePrefix="0" xfId="7">
      <alignment vertical="top" wrapText="1"/>
    </xf>
    <xf numFmtId="0" fontId="34" fillId="0" borderId="0" applyAlignment="1" pivotButton="0" quotePrefix="0" xfId="7">
      <alignment vertical="top" wrapText="1"/>
    </xf>
    <xf numFmtId="0" fontId="45" fillId="0" borderId="0" applyAlignment="1" pivotButton="0" quotePrefix="0" xfId="7">
      <alignment vertical="top"/>
    </xf>
    <xf numFmtId="0" fontId="42" fillId="0" borderId="0" applyAlignment="1" pivotButton="0" quotePrefix="0" xfId="7">
      <alignment vertical="center"/>
    </xf>
    <xf numFmtId="167" fontId="42" fillId="0" borderId="0" applyAlignment="1" pivotButton="0" quotePrefix="0" xfId="7">
      <alignment vertical="center"/>
    </xf>
    <xf numFmtId="0" fontId="60" fillId="0" borderId="29" applyAlignment="1" pivotButton="0" quotePrefix="0" xfId="7">
      <alignment horizontal="center"/>
    </xf>
    <xf numFmtId="0" fontId="61" fillId="0" borderId="30" applyAlignment="1" pivotButton="0" quotePrefix="0" xfId="7">
      <alignment vertical="top" wrapText="1"/>
    </xf>
    <xf numFmtId="167" fontId="61" fillId="0" borderId="0" applyAlignment="1" pivotButton="0" quotePrefix="0" xfId="5">
      <alignment vertical="top"/>
    </xf>
    <xf numFmtId="0" fontId="61" fillId="0" borderId="0" applyAlignment="1" pivotButton="0" quotePrefix="0" xfId="7">
      <alignment vertical="top"/>
    </xf>
    <xf numFmtId="0" fontId="60" fillId="0" borderId="0" pivotButton="0" quotePrefix="0" xfId="7"/>
    <xf numFmtId="164" fontId="42" fillId="0" borderId="0" applyAlignment="1" pivotButton="0" quotePrefix="0" xfId="7">
      <alignment vertical="top" wrapText="1"/>
    </xf>
    <xf numFmtId="0" fontId="61" fillId="0" borderId="0" applyAlignment="1" pivotButton="0" quotePrefix="0" xfId="7">
      <alignment vertical="top" wrapText="1"/>
    </xf>
    <xf numFmtId="0" fontId="40" fillId="0" borderId="30" applyAlignment="1" pivotButton="0" quotePrefix="0" xfId="7">
      <alignment vertical="top"/>
    </xf>
    <xf numFmtId="0" fontId="40" fillId="0" borderId="30" applyAlignment="1" pivotButton="0" quotePrefix="0" xfId="7">
      <alignment horizontal="left" vertical="top" wrapText="1"/>
    </xf>
    <xf numFmtId="168" fontId="63" fillId="0" borderId="0" applyAlignment="1" pivotButton="0" quotePrefix="0" xfId="2">
      <alignment vertical="top" wrapText="1"/>
    </xf>
    <xf numFmtId="9" fontId="64" fillId="0" borderId="0" applyAlignment="1" pivotButton="0" quotePrefix="0" xfId="3">
      <alignment vertical="top" wrapText="1"/>
    </xf>
    <xf numFmtId="0" fontId="40" fillId="0" borderId="0" applyAlignment="1" pivotButton="0" quotePrefix="0" xfId="7">
      <alignment vertical="top" wrapText="1"/>
    </xf>
    <xf numFmtId="0" fontId="35" fillId="0" borderId="0" applyAlignment="1" pivotButton="0" quotePrefix="0" xfId="7">
      <alignment horizontal="center" vertical="top" wrapText="1"/>
    </xf>
    <xf numFmtId="0" fontId="12" fillId="0" borderId="0" applyAlignment="1" pivotButton="0" quotePrefix="0" xfId="0">
      <alignment horizontal="left"/>
    </xf>
    <xf numFmtId="0" fontId="22" fillId="0" borderId="0" applyAlignment="1" pivotButton="0" quotePrefix="0" xfId="0">
      <alignment horizontal="left"/>
    </xf>
    <xf numFmtId="169" fontId="12" fillId="0" borderId="0" applyAlignment="1" pivotButton="0" quotePrefix="0" xfId="0">
      <alignment horizontal="center"/>
    </xf>
    <xf numFmtId="0" fontId="12" fillId="0" borderId="0" pivotButton="0" quotePrefix="0" xfId="0"/>
    <xf numFmtId="167" fontId="12" fillId="0" borderId="0" applyAlignment="1" pivotButton="0" quotePrefix="0" xfId="1">
      <alignment vertical="center"/>
    </xf>
    <xf numFmtId="168" fontId="12" fillId="0" borderId="0" applyAlignment="1" pivotButton="0" quotePrefix="0" xfId="2">
      <alignment vertical="center"/>
    </xf>
    <xf numFmtId="168" fontId="65" fillId="0" borderId="0" applyAlignment="1" pivotButton="0" quotePrefix="0" xfId="2">
      <alignment horizontal="center" vertical="center" wrapText="1"/>
    </xf>
    <xf numFmtId="14" fontId="22" fillId="0" borderId="0" applyAlignment="1" pivotButton="0" quotePrefix="0" xfId="0">
      <alignment horizontal="left"/>
    </xf>
    <xf numFmtId="0" fontId="66" fillId="0" borderId="42" applyAlignment="1" pivotButton="0" quotePrefix="0" xfId="0">
      <alignment horizontal="center" vertical="center"/>
    </xf>
    <xf numFmtId="0" fontId="66" fillId="0" borderId="43" applyAlignment="1" pivotButton="0" quotePrefix="0" xfId="0">
      <alignment horizontal="center" vertical="center"/>
    </xf>
    <xf numFmtId="169" fontId="66" fillId="0" borderId="44" applyAlignment="1" pivotButton="0" quotePrefix="0" xfId="0">
      <alignment horizontal="center" vertical="center"/>
    </xf>
    <xf numFmtId="167" fontId="66" fillId="0" borderId="45" applyAlignment="1" pivotButton="0" quotePrefix="0" xfId="1">
      <alignment horizontal="center" vertical="center"/>
    </xf>
    <xf numFmtId="168" fontId="66" fillId="0" borderId="46" applyAlignment="1" pivotButton="0" quotePrefix="0" xfId="2">
      <alignment horizontal="center" vertical="center"/>
    </xf>
    <xf numFmtId="0" fontId="12" fillId="0" borderId="18" applyAlignment="1" pivotButton="0" quotePrefix="0" xfId="0">
      <alignment horizontal="center"/>
    </xf>
    <xf numFmtId="0" fontId="12" fillId="0" borderId="1" applyAlignment="1" pivotButton="0" quotePrefix="0" xfId="0">
      <alignment horizontal="left"/>
    </xf>
    <xf numFmtId="169" fontId="12" fillId="0" borderId="47" applyAlignment="1" pivotButton="0" quotePrefix="0" xfId="0">
      <alignment horizontal="center"/>
    </xf>
    <xf numFmtId="0" fontId="12" fillId="0" borderId="19" applyAlignment="1" pivotButton="0" quotePrefix="0" xfId="0">
      <alignment horizontal="left"/>
    </xf>
    <xf numFmtId="167" fontId="12" fillId="0" borderId="0" applyAlignment="1" pivotButton="0" quotePrefix="0" xfId="1">
      <alignment horizontal="left" vertical="center"/>
    </xf>
    <xf numFmtId="168" fontId="12" fillId="0" borderId="20" applyAlignment="1" pivotButton="0" quotePrefix="0" xfId="2">
      <alignment horizontal="left" vertical="center"/>
    </xf>
    <xf numFmtId="0" fontId="66" fillId="0" borderId="18" applyAlignment="1" pivotButton="0" quotePrefix="0" xfId="0">
      <alignment horizontal="center"/>
    </xf>
    <xf numFmtId="0" fontId="67" fillId="0" borderId="1" applyAlignment="1" pivotButton="0" quotePrefix="0" xfId="0">
      <alignment horizontal="center"/>
    </xf>
    <xf numFmtId="169" fontId="66" fillId="0" borderId="47" applyAlignment="1" pivotButton="0" quotePrefix="0" xfId="0">
      <alignment horizontal="center"/>
    </xf>
    <xf numFmtId="0" fontId="66" fillId="0" borderId="19" applyAlignment="1" pivotButton="0" quotePrefix="0" xfId="0">
      <alignment horizontal="center"/>
    </xf>
    <xf numFmtId="167" fontId="66" fillId="0" borderId="0" applyAlignment="1" pivotButton="0" quotePrefix="0" xfId="1">
      <alignment horizontal="center" vertical="center"/>
    </xf>
    <xf numFmtId="168" fontId="66" fillId="0" borderId="20" applyAlignment="1" pivotButton="0" quotePrefix="0" xfId="2">
      <alignment horizontal="center" vertical="center"/>
    </xf>
    <xf numFmtId="0" fontId="66" fillId="0" borderId="1" applyAlignment="1" pivotButton="0" quotePrefix="0" xfId="0">
      <alignment horizontal="center"/>
    </xf>
    <xf numFmtId="0" fontId="67" fillId="0" borderId="1" applyAlignment="1" pivotButton="0" quotePrefix="0" xfId="0">
      <alignment horizontal="left"/>
    </xf>
    <xf numFmtId="0" fontId="12" fillId="0" borderId="19" applyAlignment="1" pivotButton="0" quotePrefix="0" xfId="0">
      <alignment horizontal="center"/>
    </xf>
    <xf numFmtId="0" fontId="66" fillId="0" borderId="48" applyAlignment="1" pivotButton="0" quotePrefix="0" xfId="0">
      <alignment horizontal="center" vertical="center"/>
    </xf>
    <xf numFmtId="1" fontId="66" fillId="0" borderId="49" applyAlignment="1" pivotButton="0" quotePrefix="0" xfId="0">
      <alignment horizontal="center" vertical="center"/>
    </xf>
    <xf numFmtId="169" fontId="66" fillId="0" borderId="49" applyAlignment="1" pivotButton="0" quotePrefix="0" xfId="0">
      <alignment horizontal="center" vertical="center"/>
    </xf>
    <xf numFmtId="0" fontId="66" fillId="0" borderId="50" applyAlignment="1" pivotButton="0" quotePrefix="0" xfId="0">
      <alignment horizontal="center" vertical="center"/>
    </xf>
    <xf numFmtId="167" fontId="66" fillId="0" borderId="51" applyAlignment="1" pivotButton="0" quotePrefix="0" xfId="1">
      <alignment vertical="center"/>
    </xf>
    <xf numFmtId="0" fontId="12" fillId="0" borderId="0" applyAlignment="1" pivotButton="0" quotePrefix="0" xfId="0">
      <alignment vertical="center"/>
    </xf>
    <xf numFmtId="0" fontId="24" fillId="0" borderId="0" applyAlignment="1" pivotButton="0" quotePrefix="0" xfId="0">
      <alignment vertical="center"/>
    </xf>
    <xf numFmtId="0" fontId="12" fillId="0" borderId="53" applyAlignment="1" pivotButton="0" quotePrefix="0" xfId="0">
      <alignment horizontal="center"/>
    </xf>
    <xf numFmtId="0" fontId="12" fillId="0" borderId="54" pivotButton="0" quotePrefix="0" xfId="0"/>
    <xf numFmtId="169" fontId="12" fillId="0" borderId="55" applyAlignment="1" pivotButton="0" quotePrefix="0" xfId="0">
      <alignment horizontal="center"/>
    </xf>
    <xf numFmtId="0" fontId="12" fillId="0" borderId="56" applyAlignment="1" pivotButton="0" quotePrefix="0" xfId="0">
      <alignment horizontal="center"/>
    </xf>
    <xf numFmtId="167" fontId="12" fillId="0" borderId="57" applyAlignment="1" pivotButton="0" quotePrefix="0" xfId="1">
      <alignment vertical="center"/>
    </xf>
    <xf numFmtId="0" fontId="67" fillId="0" borderId="1" pivotButton="0" quotePrefix="0" xfId="0"/>
    <xf numFmtId="0" fontId="68" fillId="0" borderId="1" pivotButton="0" quotePrefix="0" xfId="0"/>
    <xf numFmtId="0" fontId="12" fillId="0" borderId="13" applyAlignment="1" pivotButton="0" quotePrefix="0" xfId="0">
      <alignment horizontal="center" vertical="center"/>
    </xf>
    <xf numFmtId="1" fontId="12" fillId="0" borderId="59" applyAlignment="1" pivotButton="0" quotePrefix="0" xfId="0">
      <alignment horizontal="center"/>
    </xf>
    <xf numFmtId="167" fontId="12" fillId="0" borderId="1" applyAlignment="1" pivotButton="0" quotePrefix="0" xfId="1">
      <alignment horizontal="center" vertical="center"/>
    </xf>
    <xf numFmtId="0" fontId="12" fillId="0" borderId="1" applyAlignment="1" pivotButton="0" quotePrefix="0" xfId="0">
      <alignment wrapText="1"/>
    </xf>
    <xf numFmtId="0" fontId="68" fillId="0" borderId="60" pivotButton="0" quotePrefix="0" xfId="0"/>
    <xf numFmtId="0" fontId="12" fillId="0" borderId="48" applyAlignment="1" pivotButton="0" quotePrefix="0" xfId="0">
      <alignment horizontal="center"/>
    </xf>
    <xf numFmtId="0" fontId="67" fillId="0" borderId="61" pivotButton="0" quotePrefix="0" xfId="0"/>
    <xf numFmtId="169" fontId="12" fillId="0" borderId="49" applyAlignment="1" pivotButton="0" quotePrefix="0" xfId="0">
      <alignment horizontal="center"/>
    </xf>
    <xf numFmtId="0" fontId="12" fillId="0" borderId="50" applyAlignment="1" pivotButton="0" quotePrefix="0" xfId="0">
      <alignment horizontal="center"/>
    </xf>
    <xf numFmtId="167" fontId="12" fillId="0" borderId="51" applyAlignment="1" pivotButton="0" quotePrefix="0" xfId="1">
      <alignment vertical="center"/>
    </xf>
    <xf numFmtId="0" fontId="12" fillId="0" borderId="21" applyAlignment="1" pivotButton="0" quotePrefix="0" xfId="0">
      <alignment horizontal="center"/>
    </xf>
    <xf numFmtId="0" fontId="12" fillId="0" borderId="22" applyAlignment="1" pivotButton="0" quotePrefix="0" xfId="0">
      <alignment horizontal="left"/>
    </xf>
    <xf numFmtId="169" fontId="12" fillId="0" borderId="62" applyAlignment="1" pivotButton="0" quotePrefix="0" xfId="0">
      <alignment horizontal="center"/>
    </xf>
    <xf numFmtId="0" fontId="12" fillId="0" borderId="23" applyAlignment="1" pivotButton="0" quotePrefix="0" xfId="0">
      <alignment horizontal="center"/>
    </xf>
    <xf numFmtId="167" fontId="12" fillId="0" borderId="63" applyAlignment="1" pivotButton="0" quotePrefix="0" xfId="1">
      <alignment vertical="center"/>
    </xf>
    <xf numFmtId="0" fontId="12" fillId="0" borderId="65" applyAlignment="1" pivotButton="0" quotePrefix="0" xfId="0">
      <alignment horizontal="center"/>
    </xf>
    <xf numFmtId="0" fontId="67" fillId="0" borderId="66" pivotButton="0" quotePrefix="0" xfId="0"/>
    <xf numFmtId="169" fontId="12" fillId="0" borderId="67" applyAlignment="1" pivotButton="0" quotePrefix="0" xfId="0">
      <alignment horizontal="center"/>
    </xf>
    <xf numFmtId="0" fontId="12" fillId="0" borderId="68" applyAlignment="1" pivotButton="0" quotePrefix="0" xfId="0">
      <alignment horizontal="center"/>
    </xf>
    <xf numFmtId="167" fontId="12" fillId="0" borderId="69" applyAlignment="1" pivotButton="0" quotePrefix="0" xfId="1">
      <alignment vertical="center"/>
    </xf>
    <xf numFmtId="167" fontId="12" fillId="0" borderId="0" pivotButton="0" quotePrefix="0" xfId="0"/>
    <xf numFmtId="0" fontId="12" fillId="0" borderId="71" applyAlignment="1" pivotButton="0" quotePrefix="0" xfId="0">
      <alignment horizontal="center"/>
    </xf>
    <xf numFmtId="0" fontId="12" fillId="0" borderId="72" pivotButton="0" quotePrefix="0" xfId="0"/>
    <xf numFmtId="169" fontId="12" fillId="0" borderId="73" applyAlignment="1" pivotButton="0" quotePrefix="0" xfId="0">
      <alignment horizontal="center"/>
    </xf>
    <xf numFmtId="0" fontId="12" fillId="0" borderId="74" applyAlignment="1" pivotButton="0" quotePrefix="0" xfId="0">
      <alignment horizontal="center"/>
    </xf>
    <xf numFmtId="167" fontId="12" fillId="0" borderId="75" applyAlignment="1" pivotButton="0" quotePrefix="0" xfId="1">
      <alignment vertical="center"/>
    </xf>
    <xf numFmtId="0" fontId="12" fillId="0" borderId="77" applyAlignment="1" pivotButton="0" quotePrefix="0" xfId="0">
      <alignment horizontal="center"/>
    </xf>
    <xf numFmtId="0" fontId="66" fillId="0" borderId="78" applyAlignment="1" pivotButton="0" quotePrefix="0" xfId="0">
      <alignment horizontal="right"/>
    </xf>
    <xf numFmtId="169" fontId="12" fillId="0" borderId="79" applyAlignment="1" pivotButton="0" quotePrefix="0" xfId="0">
      <alignment horizontal="center"/>
    </xf>
    <xf numFmtId="0" fontId="12" fillId="0" borderId="80" applyAlignment="1" pivotButton="0" quotePrefix="0" xfId="0">
      <alignment horizontal="center"/>
    </xf>
    <xf numFmtId="167" fontId="12" fillId="0" borderId="81" applyAlignment="1" pivotButton="0" quotePrefix="0" xfId="1">
      <alignment vertical="center"/>
    </xf>
    <xf numFmtId="0" fontId="66" fillId="0" borderId="1" applyAlignment="1" pivotButton="0" quotePrefix="0" xfId="0">
      <alignment horizontal="right"/>
    </xf>
    <xf numFmtId="0" fontId="12" fillId="0" borderId="60" pivotButton="0" quotePrefix="0" xfId="0"/>
    <xf numFmtId="169" fontId="12" fillId="0" borderId="0" pivotButton="0" quotePrefix="0" xfId="0"/>
    <xf numFmtId="43" fontId="12" fillId="0" borderId="0" pivotButton="0" quotePrefix="0" xfId="0"/>
    <xf numFmtId="0" fontId="12" fillId="0" borderId="72" applyAlignment="1" pivotButton="0" quotePrefix="0" xfId="0">
      <alignment horizontal="left"/>
    </xf>
    <xf numFmtId="0" fontId="12" fillId="0" borderId="18" applyAlignment="1" pivotButton="0" quotePrefix="0" xfId="0">
      <alignment horizontal="center" vertical="center"/>
    </xf>
    <xf numFmtId="0" fontId="12" fillId="0" borderId="19" applyAlignment="1" pivotButton="0" quotePrefix="0" xfId="0">
      <alignment horizontal="center" vertical="center"/>
    </xf>
    <xf numFmtId="169" fontId="12" fillId="0" borderId="47" applyAlignment="1" pivotButton="0" quotePrefix="0" xfId="0">
      <alignment horizontal="center" vertical="center"/>
    </xf>
    <xf numFmtId="0" fontId="12" fillId="0" borderId="1" applyAlignment="1" pivotButton="0" quotePrefix="0" xfId="0">
      <alignment vertical="center" wrapText="1"/>
    </xf>
    <xf numFmtId="0" fontId="12" fillId="0" borderId="84" applyAlignment="1" pivotButton="0" quotePrefix="0" xfId="0">
      <alignment horizontal="center"/>
    </xf>
    <xf numFmtId="0" fontId="12" fillId="0" borderId="85" applyAlignment="1" pivotButton="0" quotePrefix="0" xfId="0">
      <alignment horizontal="left"/>
    </xf>
    <xf numFmtId="169" fontId="12" fillId="0" borderId="86" applyAlignment="1" pivotButton="0" quotePrefix="0" xfId="0">
      <alignment horizontal="center"/>
    </xf>
    <xf numFmtId="0" fontId="12" fillId="0" borderId="87" applyAlignment="1" pivotButton="0" quotePrefix="0" xfId="0">
      <alignment horizontal="center"/>
    </xf>
    <xf numFmtId="167" fontId="12" fillId="0" borderId="88" applyAlignment="1" pivotButton="0" quotePrefix="0" xfId="1">
      <alignment vertical="center"/>
    </xf>
    <xf numFmtId="0" fontId="70" fillId="0" borderId="0" pivotButton="0" quotePrefix="0" xfId="0"/>
    <xf numFmtId="169" fontId="70" fillId="0" borderId="0" pivotButton="0" quotePrefix="0" xfId="0"/>
    <xf numFmtId="167" fontId="70" fillId="0" borderId="0" applyAlignment="1" pivotButton="0" quotePrefix="0" xfId="1">
      <alignment vertical="center"/>
    </xf>
    <xf numFmtId="168" fontId="70" fillId="0" borderId="0" applyAlignment="1" pivotButton="0" quotePrefix="0" xfId="2">
      <alignment vertical="center"/>
    </xf>
    <xf numFmtId="169" fontId="21" fillId="0" borderId="0" pivotButton="0" quotePrefix="0" xfId="0"/>
    <xf numFmtId="167" fontId="21" fillId="0" borderId="0" applyAlignment="1" pivotButton="0" quotePrefix="0" xfId="1">
      <alignment vertical="center"/>
    </xf>
    <xf numFmtId="168" fontId="21" fillId="0" borderId="0" applyAlignment="1" pivotButton="0" quotePrefix="0" xfId="2">
      <alignment vertical="center"/>
    </xf>
    <xf numFmtId="167" fontId="24" fillId="0" borderId="0" applyAlignment="1" pivotButton="0" quotePrefix="0" xfId="1">
      <alignment vertical="center"/>
    </xf>
    <xf numFmtId="168" fontId="24" fillId="0" borderId="0" applyAlignment="1" pivotButton="0" quotePrefix="0" xfId="2">
      <alignment vertical="center"/>
    </xf>
    <xf numFmtId="0" fontId="12" fillId="0" borderId="0" applyAlignment="1" pivotButton="0" quotePrefix="0" xfId="0">
      <alignment horizontal="left" vertical="center"/>
    </xf>
    <xf numFmtId="167" fontId="12" fillId="0" borderId="0" applyAlignment="1" pivotButton="0" quotePrefix="0" xfId="1">
      <alignment horizontal="center" vertical="center"/>
    </xf>
    <xf numFmtId="0" fontId="71" fillId="0" borderId="0" pivotButton="0" quotePrefix="0" xfId="0"/>
    <xf numFmtId="0" fontId="65" fillId="0" borderId="0" applyAlignment="1" pivotButton="0" quotePrefix="0" xfId="0">
      <alignment horizontal="center" vertical="center" wrapText="1"/>
    </xf>
    <xf numFmtId="14" fontId="12" fillId="0" borderId="0" applyAlignment="1" pivotButton="0" quotePrefix="0" xfId="0">
      <alignment horizontal="left" vertical="center"/>
    </xf>
    <xf numFmtId="167" fontId="12" fillId="0" borderId="47" applyAlignment="1" pivotButton="0" quotePrefix="0" xfId="1">
      <alignment horizontal="center" vertical="center"/>
    </xf>
    <xf numFmtId="0" fontId="66" fillId="0" borderId="19" applyAlignment="1" pivotButton="0" quotePrefix="0" xfId="0">
      <alignment horizontal="center" vertical="center"/>
    </xf>
    <xf numFmtId="167" fontId="12" fillId="0" borderId="0" applyAlignment="1" pivotButton="0" quotePrefix="0" xfId="1">
      <alignment vertical="center"/>
    </xf>
    <xf numFmtId="43" fontId="12" fillId="0" borderId="20" applyAlignment="1" pivotButton="0" quotePrefix="0" xfId="0">
      <alignment vertical="center"/>
    </xf>
    <xf numFmtId="9" fontId="12" fillId="0" borderId="0" pivotButton="0" quotePrefix="0" xfId="3"/>
    <xf numFmtId="43" fontId="66" fillId="0" borderId="52" applyAlignment="1" pivotButton="0" quotePrefix="0" xfId="0">
      <alignment vertical="center"/>
    </xf>
    <xf numFmtId="0" fontId="12" fillId="0" borderId="56" applyAlignment="1" pivotButton="0" quotePrefix="0" xfId="0">
      <alignment horizontal="center" vertical="center"/>
    </xf>
    <xf numFmtId="2" fontId="12" fillId="0" borderId="47" applyAlignment="1" pivotButton="0" quotePrefix="0" xfId="0">
      <alignment horizontal="center" vertical="center"/>
    </xf>
    <xf numFmtId="0" fontId="71" fillId="0" borderId="0" applyAlignment="1" pivotButton="0" quotePrefix="0" xfId="0">
      <alignment vertical="center"/>
    </xf>
    <xf numFmtId="167" fontId="12" fillId="0" borderId="73" applyAlignment="1" pivotButton="0" quotePrefix="0" xfId="1">
      <alignment horizontal="center" vertical="center"/>
    </xf>
    <xf numFmtId="0" fontId="12" fillId="0" borderId="74" applyAlignment="1" pivotButton="0" quotePrefix="0" xfId="0">
      <alignment horizontal="center" vertical="center"/>
    </xf>
    <xf numFmtId="43" fontId="12" fillId="0" borderId="76" applyAlignment="1" pivotButton="0" quotePrefix="0" xfId="0">
      <alignment vertical="center"/>
    </xf>
    <xf numFmtId="0" fontId="12" fillId="0" borderId="80" applyAlignment="1" pivotButton="0" quotePrefix="0" xfId="0">
      <alignment horizontal="center" vertical="center"/>
    </xf>
    <xf numFmtId="43" fontId="66" fillId="0" borderId="82" applyAlignment="1" pivotButton="0" quotePrefix="0" xfId="0">
      <alignment vertical="center"/>
    </xf>
    <xf numFmtId="43" fontId="66" fillId="0" borderId="20" applyAlignment="1" pivotButton="0" quotePrefix="0" xfId="0">
      <alignment vertical="center"/>
    </xf>
    <xf numFmtId="167" fontId="12" fillId="0" borderId="49" applyAlignment="1" pivotButton="0" quotePrefix="0" xfId="1">
      <alignment horizontal="center" vertical="center"/>
    </xf>
    <xf numFmtId="0" fontId="12" fillId="0" borderId="50" applyAlignment="1" pivotButton="0" quotePrefix="0" xfId="0">
      <alignment horizontal="center" vertical="center"/>
    </xf>
    <xf numFmtId="0" fontId="68" fillId="0" borderId="1" applyAlignment="1" pivotButton="0" quotePrefix="0" xfId="0">
      <alignment wrapText="1"/>
    </xf>
    <xf numFmtId="0" fontId="12" fillId="0" borderId="92" applyAlignment="1" pivotButton="0" quotePrefix="0" xfId="0">
      <alignment horizontal="center" vertical="center"/>
    </xf>
    <xf numFmtId="0" fontId="12" fillId="0" borderId="1" applyAlignment="1" pivotButton="0" quotePrefix="0" xfId="0">
      <alignment vertical="center"/>
    </xf>
    <xf numFmtId="167" fontId="12" fillId="0" borderId="95" applyAlignment="1" pivotButton="0" quotePrefix="0" xfId="1">
      <alignment horizontal="center" vertical="center"/>
    </xf>
    <xf numFmtId="0" fontId="12" fillId="0" borderId="96" applyAlignment="1" pivotButton="0" quotePrefix="0" xfId="0">
      <alignment horizontal="center" vertical="center"/>
    </xf>
    <xf numFmtId="167" fontId="12" fillId="0" borderId="97" applyAlignment="1" pivotButton="0" quotePrefix="0" xfId="1">
      <alignment vertical="center"/>
    </xf>
    <xf numFmtId="43" fontId="12" fillId="0" borderId="98" applyAlignment="1" pivotButton="0" quotePrefix="0" xfId="0">
      <alignment vertical="center"/>
    </xf>
    <xf numFmtId="167" fontId="12" fillId="0" borderId="99" applyAlignment="1" pivotButton="0" quotePrefix="0" xfId="1">
      <alignment vertical="center"/>
    </xf>
    <xf numFmtId="0" fontId="67" fillId="0" borderId="1" applyAlignment="1" pivotButton="0" quotePrefix="0" xfId="0">
      <alignment vertical="center" wrapText="1"/>
    </xf>
    <xf numFmtId="0" fontId="12" fillId="0" borderId="100" applyAlignment="1" pivotButton="0" quotePrefix="0" xfId="0">
      <alignment horizontal="center"/>
    </xf>
    <xf numFmtId="0" fontId="67" fillId="0" borderId="101" applyAlignment="1" pivotButton="0" quotePrefix="0" xfId="0">
      <alignment vertical="center" wrapText="1"/>
    </xf>
    <xf numFmtId="167" fontId="12" fillId="0" borderId="102" applyAlignment="1" pivotButton="0" quotePrefix="0" xfId="1">
      <alignment horizontal="center" vertical="center"/>
    </xf>
    <xf numFmtId="0" fontId="12" fillId="0" borderId="103" applyAlignment="1" pivotButton="0" quotePrefix="0" xfId="0">
      <alignment horizontal="center" vertical="center"/>
    </xf>
    <xf numFmtId="167" fontId="12" fillId="0" borderId="104" applyAlignment="1" pivotButton="0" quotePrefix="0" xfId="1">
      <alignment vertical="center"/>
    </xf>
    <xf numFmtId="43" fontId="66" fillId="0" borderId="105" applyAlignment="1" pivotButton="0" quotePrefix="0" xfId="0">
      <alignment vertical="center"/>
    </xf>
    <xf numFmtId="0" fontId="68" fillId="0" borderId="1" applyAlignment="1" pivotButton="0" quotePrefix="0" xfId="0">
      <alignment vertical="center" wrapText="1"/>
    </xf>
    <xf numFmtId="167" fontId="12" fillId="0" borderId="59" applyAlignment="1" pivotButton="0" quotePrefix="0" xfId="1">
      <alignment horizontal="center" vertical="center"/>
    </xf>
    <xf numFmtId="0" fontId="12" fillId="0" borderId="106" applyAlignment="1" pivotButton="0" quotePrefix="0" xfId="0">
      <alignment horizontal="center" vertical="center"/>
    </xf>
    <xf numFmtId="0" fontId="12" fillId="0" borderId="109" applyAlignment="1" pivotButton="0" quotePrefix="0" xfId="0">
      <alignment horizontal="center" vertical="center"/>
    </xf>
    <xf numFmtId="167" fontId="12" fillId="0" borderId="110" applyAlignment="1" pivotButton="0" quotePrefix="0" xfId="1">
      <alignment vertical="center"/>
    </xf>
    <xf numFmtId="43" fontId="66" fillId="0" borderId="111" applyAlignment="1" pivotButton="0" quotePrefix="0" xfId="0">
      <alignment vertical="center"/>
    </xf>
    <xf numFmtId="0" fontId="12" fillId="0" borderId="112" applyAlignment="1" pivotButton="0" quotePrefix="0" xfId="0">
      <alignment horizontal="center" vertical="center"/>
    </xf>
    <xf numFmtId="167" fontId="12" fillId="0" borderId="114" applyAlignment="1" pivotButton="0" quotePrefix="0" xfId="1">
      <alignment horizontal="center" vertical="center"/>
    </xf>
    <xf numFmtId="0" fontId="12" fillId="0" borderId="115" applyAlignment="1" pivotButton="0" quotePrefix="0" xfId="0">
      <alignment horizontal="center" vertical="center"/>
    </xf>
    <xf numFmtId="167" fontId="12" fillId="0" borderId="116" applyAlignment="1" pivotButton="0" quotePrefix="0" xfId="1">
      <alignment vertical="center"/>
    </xf>
    <xf numFmtId="43" fontId="12" fillId="0" borderId="117" applyAlignment="1" pivotButton="0" quotePrefix="0" xfId="0">
      <alignment vertical="center"/>
    </xf>
    <xf numFmtId="0" fontId="12" fillId="0" borderId="1" applyAlignment="1" pivotButton="0" quotePrefix="0" xfId="0">
      <alignment horizontal="left" vertical="center" wrapText="1"/>
    </xf>
    <xf numFmtId="0" fontId="68" fillId="0" borderId="1" applyAlignment="1" pivotButton="0" quotePrefix="0" xfId="0">
      <alignment vertical="center"/>
    </xf>
    <xf numFmtId="43" fontId="12" fillId="0" borderId="0" applyAlignment="1" pivotButton="0" quotePrefix="0" xfId="0">
      <alignment vertical="center"/>
    </xf>
    <xf numFmtId="0" fontId="12" fillId="0" borderId="0" applyAlignment="1" pivotButton="0" quotePrefix="0" xfId="0">
      <alignment horizontal="center" vertical="center"/>
    </xf>
    <xf numFmtId="0" fontId="71" fillId="0" borderId="0" applyAlignment="1" pivotButton="0" quotePrefix="0" xfId="0">
      <alignment horizontal="center" vertical="center"/>
    </xf>
    <xf numFmtId="167" fontId="71" fillId="0" borderId="0" applyAlignment="1" pivotButton="0" quotePrefix="0" xfId="1">
      <alignment vertical="center"/>
    </xf>
    <xf numFmtId="0" fontId="12" fillId="0" borderId="0" applyAlignment="1" pivotButton="0" quotePrefix="0" xfId="0">
      <alignment horizontal="left" vertical="center" wrapText="1"/>
    </xf>
    <xf numFmtId="2" fontId="12" fillId="0" borderId="0" applyAlignment="1" pivotButton="0" quotePrefix="0" xfId="0">
      <alignment horizontal="center" vertical="center"/>
    </xf>
    <xf numFmtId="14" fontId="12" fillId="0" borderId="0" applyAlignment="1" pivotButton="0" quotePrefix="0" xfId="0">
      <alignment horizontal="left" vertical="center" wrapText="1"/>
    </xf>
    <xf numFmtId="0" fontId="66" fillId="0" borderId="120" applyAlignment="1" pivotButton="0" quotePrefix="0" xfId="0">
      <alignment horizontal="center" vertical="center"/>
    </xf>
    <xf numFmtId="167" fontId="66" fillId="0" borderId="122" applyAlignment="1" pivotButton="0" quotePrefix="0" xfId="1">
      <alignment horizontal="center" vertical="center"/>
    </xf>
    <xf numFmtId="0" fontId="66" fillId="0" borderId="123" applyAlignment="1" pivotButton="0" quotePrefix="0" xfId="0">
      <alignment horizontal="center" vertical="center"/>
    </xf>
    <xf numFmtId="0" fontId="66" fillId="0" borderId="0" applyAlignment="1" pivotButton="0" quotePrefix="0" xfId="0">
      <alignment horizontal="center" vertical="center" wrapText="1"/>
    </xf>
    <xf numFmtId="2" fontId="66" fillId="0" borderId="47" applyAlignment="1" pivotButton="0" quotePrefix="0" xfId="0">
      <alignment horizontal="center" vertical="center"/>
    </xf>
    <xf numFmtId="167" fontId="12" fillId="0" borderId="124" applyAlignment="1" pivotButton="0" quotePrefix="0" xfId="1">
      <alignment vertical="center"/>
    </xf>
    <xf numFmtId="169" fontId="66" fillId="0" borderId="125" applyAlignment="1" pivotButton="0" quotePrefix="0" xfId="0">
      <alignment horizontal="center" vertical="center"/>
    </xf>
    <xf numFmtId="0" fontId="67" fillId="0" borderId="1" applyAlignment="1" pivotButton="0" quotePrefix="0" xfId="0">
      <alignment horizontal="center" vertical="center" wrapText="1"/>
    </xf>
    <xf numFmtId="43" fontId="66" fillId="0" borderId="126" applyAlignment="1" pivotButton="0" quotePrefix="0" xfId="0">
      <alignment horizontal="center" vertical="center"/>
    </xf>
    <xf numFmtId="0" fontId="12" fillId="0" borderId="123" applyAlignment="1" pivotButton="0" quotePrefix="0" xfId="0">
      <alignment horizontal="center" vertical="center"/>
    </xf>
    <xf numFmtId="43" fontId="12" fillId="0" borderId="126" applyAlignment="1" pivotButton="0" quotePrefix="0" xfId="0">
      <alignment vertical="center"/>
    </xf>
    <xf numFmtId="0" fontId="12" fillId="0" borderId="126" applyAlignment="1" pivotButton="0" quotePrefix="0" xfId="0">
      <alignment vertical="center"/>
    </xf>
    <xf numFmtId="2" fontId="72" fillId="0" borderId="47" applyAlignment="1" pivotButton="0" quotePrefix="0" xfId="0">
      <alignment horizontal="center" vertical="center"/>
    </xf>
    <xf numFmtId="43" fontId="68" fillId="0" borderId="126" applyAlignment="1" pivotButton="0" quotePrefix="0" xfId="0">
      <alignment vertical="center"/>
    </xf>
    <xf numFmtId="0" fontId="12" fillId="0" borderId="127" applyAlignment="1" pivotButton="0" quotePrefix="0" xfId="0">
      <alignment horizontal="center" vertical="center"/>
    </xf>
    <xf numFmtId="0" fontId="12" fillId="0" borderId="101" applyAlignment="1" pivotButton="0" quotePrefix="0" xfId="0">
      <alignment vertical="center" wrapText="1"/>
    </xf>
    <xf numFmtId="2" fontId="72" fillId="0" borderId="102" applyAlignment="1" pivotButton="0" quotePrefix="0" xfId="0">
      <alignment horizontal="center" vertical="center"/>
    </xf>
    <xf numFmtId="0" fontId="12" fillId="0" borderId="128" applyAlignment="1" pivotButton="0" quotePrefix="0" xfId="0">
      <alignment vertical="center"/>
    </xf>
    <xf numFmtId="0" fontId="66" fillId="0" borderId="1" applyAlignment="1" pivotButton="0" quotePrefix="0" xfId="0">
      <alignment horizontal="center" vertical="center" wrapText="1"/>
    </xf>
    <xf numFmtId="2" fontId="73" fillId="0" borderId="47" applyAlignment="1" pivotButton="0" quotePrefix="0" xfId="0">
      <alignment horizontal="center" vertical="center"/>
    </xf>
    <xf numFmtId="167" fontId="66" fillId="0" borderId="0" applyAlignment="1" pivotButton="0" quotePrefix="0" xfId="1">
      <alignment horizontal="right" vertical="center"/>
    </xf>
    <xf numFmtId="43" fontId="66" fillId="0" borderId="126" applyAlignment="1" pivotButton="0" quotePrefix="0" xfId="0">
      <alignment vertical="center"/>
    </xf>
    <xf numFmtId="0" fontId="66" fillId="0" borderId="129" applyAlignment="1" pivotButton="0" quotePrefix="0" xfId="0">
      <alignment horizontal="center" vertical="center"/>
    </xf>
    <xf numFmtId="0" fontId="66" fillId="0" borderId="113" applyAlignment="1" pivotButton="0" quotePrefix="0" xfId="0">
      <alignment horizontal="center" vertical="center" wrapText="1"/>
    </xf>
    <xf numFmtId="2" fontId="73" fillId="0" borderId="114" applyAlignment="1" pivotButton="0" quotePrefix="0" xfId="0">
      <alignment horizontal="center" vertical="center"/>
    </xf>
    <xf numFmtId="0" fontId="66" fillId="0" borderId="115" applyAlignment="1" pivotButton="0" quotePrefix="0" xfId="0">
      <alignment horizontal="center" vertical="center"/>
    </xf>
    <xf numFmtId="167" fontId="66" fillId="0" borderId="116" applyAlignment="1" pivotButton="0" quotePrefix="0" xfId="1">
      <alignment horizontal="right" vertical="center"/>
    </xf>
    <xf numFmtId="43" fontId="66" fillId="0" borderId="130" applyAlignment="1" pivotButton="0" quotePrefix="0" xfId="0">
      <alignment vertical="center"/>
    </xf>
    <xf numFmtId="167" fontId="72" fillId="0" borderId="47" applyAlignment="1" pivotButton="0" quotePrefix="0" xfId="1">
      <alignment horizontal="center" vertical="center"/>
    </xf>
    <xf numFmtId="0" fontId="12" fillId="0" borderId="131" applyAlignment="1" pivotButton="0" quotePrefix="0" xfId="0">
      <alignment horizontal="center" vertical="center"/>
    </xf>
    <xf numFmtId="0" fontId="12" fillId="0" borderId="72" applyAlignment="1" pivotButton="0" quotePrefix="0" xfId="0">
      <alignment vertical="center" wrapText="1"/>
    </xf>
    <xf numFmtId="2" fontId="72" fillId="0" borderId="73" applyAlignment="1" pivotButton="0" quotePrefix="0" xfId="0">
      <alignment horizontal="center" vertical="center"/>
    </xf>
    <xf numFmtId="43" fontId="12" fillId="0" borderId="132" applyAlignment="1" pivotButton="0" quotePrefix="0" xfId="0">
      <alignment vertical="center"/>
    </xf>
    <xf numFmtId="0" fontId="12" fillId="0" borderId="133" applyAlignment="1" pivotButton="0" quotePrefix="0" xfId="0">
      <alignment horizontal="center" vertical="center"/>
    </xf>
    <xf numFmtId="0" fontId="12" fillId="0" borderId="54" applyAlignment="1" pivotButton="0" quotePrefix="0" xfId="0">
      <alignment horizontal="right" vertical="center" wrapText="1"/>
    </xf>
    <xf numFmtId="2" fontId="72" fillId="0" borderId="55" applyAlignment="1" pivotButton="0" quotePrefix="0" xfId="0">
      <alignment horizontal="center" vertical="center"/>
    </xf>
    <xf numFmtId="43" fontId="66" fillId="0" borderId="134" applyAlignment="1" pivotButton="0" quotePrefix="0" xfId="0">
      <alignment vertical="center"/>
    </xf>
    <xf numFmtId="0" fontId="67" fillId="0" borderId="1" applyAlignment="1" pivotButton="0" quotePrefix="0" xfId="0">
      <alignment vertical="center"/>
    </xf>
    <xf numFmtId="0" fontId="12" fillId="0" borderId="60" applyAlignment="1" pivotButton="0" quotePrefix="0" xfId="0">
      <alignment vertical="center" wrapText="1"/>
    </xf>
    <xf numFmtId="0" fontId="68"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35" applyAlignment="1" pivotButton="0" quotePrefix="0" xfId="0">
      <alignment horizontal="center" vertical="center"/>
    </xf>
    <xf numFmtId="0" fontId="67" fillId="0" borderId="61" applyAlignment="1" pivotButton="0" quotePrefix="0" xfId="0">
      <alignment vertical="center" wrapText="1"/>
    </xf>
    <xf numFmtId="2" fontId="72" fillId="0" borderId="49" applyAlignment="1" pivotButton="0" quotePrefix="0" xfId="0">
      <alignment horizontal="center" vertical="center"/>
    </xf>
    <xf numFmtId="43" fontId="66" fillId="0" borderId="136" applyAlignment="1" pivotButton="0" quotePrefix="0" xfId="0">
      <alignment vertical="center"/>
    </xf>
    <xf numFmtId="0" fontId="12" fillId="0" borderId="137" applyAlignment="1" pivotButton="0" quotePrefix="0" xfId="0">
      <alignment horizontal="center" vertical="center"/>
    </xf>
    <xf numFmtId="0" fontId="12" fillId="0" borderId="138" applyAlignment="1" pivotButton="0" quotePrefix="0" xfId="0">
      <alignment horizontal="left" vertical="center" wrapText="1"/>
    </xf>
    <xf numFmtId="0" fontId="12" fillId="0" borderId="65" applyAlignment="1" pivotButton="0" quotePrefix="0" xfId="0">
      <alignment horizontal="center" vertical="center"/>
    </xf>
    <xf numFmtId="0" fontId="12" fillId="0" borderId="66" applyAlignment="1" pivotButton="0" quotePrefix="0" xfId="0">
      <alignment horizontal="left" vertical="center" wrapText="1"/>
    </xf>
    <xf numFmtId="2" fontId="72" fillId="0" borderId="67" applyAlignment="1" pivotButton="0" quotePrefix="0" xfId="0">
      <alignment horizontal="center" vertical="center"/>
    </xf>
    <xf numFmtId="0" fontId="12" fillId="0" borderId="68" applyAlignment="1" pivotButton="0" quotePrefix="0" xfId="0">
      <alignment horizontal="center" vertical="center"/>
    </xf>
    <xf numFmtId="43" fontId="12" fillId="0" borderId="70" applyAlignment="1" pivotButton="0" quotePrefix="0" xfId="0">
      <alignment vertical="center"/>
    </xf>
    <xf numFmtId="0" fontId="67" fillId="0" borderId="107" applyAlignment="1" pivotButton="0" quotePrefix="0" xfId="0">
      <alignment vertical="center" wrapText="1"/>
    </xf>
    <xf numFmtId="2" fontId="72" fillId="0" borderId="108" applyAlignment="1" pivotButton="0" quotePrefix="0" xfId="0">
      <alignment horizontal="center" vertical="center"/>
    </xf>
    <xf numFmtId="0" fontId="12" fillId="0" borderId="113" applyAlignment="1" pivotButton="0" quotePrefix="0" xfId="0">
      <alignment horizontal="left" vertical="center" wrapText="1"/>
    </xf>
    <xf numFmtId="2" fontId="72" fillId="0" borderId="114" applyAlignment="1" pivotButton="0" quotePrefix="0" xfId="0">
      <alignment horizontal="center" vertical="center"/>
    </xf>
    <xf numFmtId="0" fontId="66" fillId="0" borderId="1" applyAlignment="1" pivotButton="0" quotePrefix="0" xfId="0">
      <alignment vertical="center" wrapText="1"/>
    </xf>
    <xf numFmtId="0" fontId="12" fillId="0" borderId="100" applyAlignment="1" pivotButton="0" quotePrefix="0" xfId="0">
      <alignment horizontal="center" vertical="center"/>
    </xf>
    <xf numFmtId="2" fontId="12" fillId="0" borderId="102" applyAlignment="1" pivotButton="0" quotePrefix="0" xfId="0">
      <alignment horizontal="center" vertical="center"/>
    </xf>
    <xf numFmtId="0" fontId="12" fillId="0" borderId="139" applyAlignment="1" pivotButton="0" quotePrefix="0" xfId="0">
      <alignment horizontal="center" vertical="center"/>
    </xf>
    <xf numFmtId="0" fontId="12" fillId="0" borderId="140" applyAlignment="1" pivotButton="0" quotePrefix="0" xfId="0">
      <alignment horizontal="left" vertical="center" wrapText="1"/>
    </xf>
    <xf numFmtId="2" fontId="12" fillId="0" borderId="141" applyAlignment="1" pivotButton="0" quotePrefix="0" xfId="0">
      <alignment horizontal="center" vertical="center"/>
    </xf>
    <xf numFmtId="0" fontId="12" fillId="0" borderId="142" applyAlignment="1" pivotButton="0" quotePrefix="0" xfId="0">
      <alignment horizontal="center" vertical="center"/>
    </xf>
    <xf numFmtId="167" fontId="12" fillId="0" borderId="143" applyAlignment="1" pivotButton="0" quotePrefix="0" xfId="1">
      <alignment vertical="center"/>
    </xf>
    <xf numFmtId="43" fontId="12" fillId="0" borderId="144" applyAlignment="1" pivotButton="0" quotePrefix="0" xfId="0">
      <alignment vertical="center"/>
    </xf>
    <xf numFmtId="0" fontId="12" fillId="0" borderId="101" applyAlignment="1" pivotButton="0" quotePrefix="0" xfId="0">
      <alignment horizontal="left" vertical="center" wrapText="1"/>
    </xf>
    <xf numFmtId="43" fontId="12" fillId="0" borderId="128" applyAlignment="1" pivotButton="0" quotePrefix="0" xfId="0">
      <alignment vertical="center"/>
    </xf>
    <xf numFmtId="0" fontId="12" fillId="0" borderId="145" applyAlignment="1" pivotButton="0" quotePrefix="0" xfId="0">
      <alignment horizontal="center" vertical="center"/>
    </xf>
    <xf numFmtId="2" fontId="12" fillId="0" borderId="49" applyAlignment="1" pivotButton="0" quotePrefix="0" xfId="0">
      <alignment horizontal="center" vertical="center"/>
    </xf>
    <xf numFmtId="0" fontId="12" fillId="0" borderId="146" applyAlignment="1" pivotButton="0" quotePrefix="0" xfId="0">
      <alignment horizontal="center" vertical="center"/>
    </xf>
    <xf numFmtId="0" fontId="12" fillId="0" borderId="90" applyAlignment="1" pivotButton="0" quotePrefix="0" xfId="0">
      <alignment horizontal="left" vertical="center" wrapText="1"/>
    </xf>
    <xf numFmtId="2" fontId="12" fillId="0" borderId="114" applyAlignment="1" pivotButton="0" quotePrefix="0" xfId="0">
      <alignment horizontal="center" vertical="center"/>
    </xf>
    <xf numFmtId="43" fontId="12" fillId="0" borderId="130" applyAlignment="1" pivotButton="0" quotePrefix="0" xfId="0">
      <alignment vertical="center"/>
    </xf>
    <xf numFmtId="0" fontId="12" fillId="0" borderId="0" applyAlignment="1" pivotButton="0" quotePrefix="0" xfId="0">
      <alignment vertical="center" wrapText="1"/>
    </xf>
    <xf numFmtId="0" fontId="74" fillId="0" borderId="0" applyAlignment="1" pivotButton="0" quotePrefix="0" xfId="0">
      <alignment horizontal="left" vertical="center" wrapText="1"/>
    </xf>
    <xf numFmtId="0" fontId="12" fillId="0" borderId="60" applyAlignment="1" pivotButton="0" quotePrefix="0" xfId="0">
      <alignment horizontal="center" vertical="center"/>
    </xf>
    <xf numFmtId="43" fontId="66" fillId="0" borderId="128" applyAlignment="1" pivotButton="0" quotePrefix="0" xfId="0">
      <alignment vertical="center"/>
    </xf>
    <xf numFmtId="0" fontId="12" fillId="0" borderId="147" applyAlignment="1" pivotButton="0" quotePrefix="0" xfId="0">
      <alignment horizontal="center" vertical="center"/>
    </xf>
    <xf numFmtId="0" fontId="12" fillId="0" borderId="148" applyAlignment="1" pivotButton="0" quotePrefix="0" xfId="0">
      <alignment horizontal="left" vertical="center" wrapText="1"/>
    </xf>
    <xf numFmtId="2" fontId="12" fillId="0" borderId="149" applyAlignment="1" pivotButton="0" quotePrefix="0" xfId="0">
      <alignment horizontal="center" vertical="center"/>
    </xf>
    <xf numFmtId="167" fontId="12" fillId="0" borderId="150" applyAlignment="1" pivotButton="0" quotePrefix="0" xfId="1">
      <alignment vertical="center"/>
    </xf>
    <xf numFmtId="43" fontId="12" fillId="0" borderId="149" applyAlignment="1" pivotButton="0" quotePrefix="0" xfId="0">
      <alignment vertical="center"/>
    </xf>
    <xf numFmtId="2" fontId="12" fillId="0" borderId="59" applyAlignment="1" pivotButton="0" quotePrefix="0" xfId="0">
      <alignment horizontal="center" vertical="center"/>
    </xf>
    <xf numFmtId="0" fontId="74" fillId="0" borderId="0" applyAlignment="1" pivotButton="0" quotePrefix="0" xfId="0">
      <alignment vertical="center" wrapText="1"/>
    </xf>
    <xf numFmtId="0" fontId="12" fillId="0" borderId="1" applyAlignment="1" pivotButton="0" quotePrefix="0" xfId="0">
      <alignment horizontal="center" vertical="center" wrapText="1"/>
    </xf>
    <xf numFmtId="0" fontId="12" fillId="0" borderId="119" applyAlignment="1" pivotButton="0" quotePrefix="0" xfId="0">
      <alignment horizontal="left" vertical="center" wrapText="1"/>
    </xf>
    <xf numFmtId="2" fontId="12" fillId="0" borderId="151" applyAlignment="1" pivotButton="0" quotePrefix="0" xfId="0">
      <alignment horizontal="center" vertical="center"/>
    </xf>
    <xf numFmtId="0" fontId="12" fillId="0" borderId="152" applyAlignment="1" pivotButton="0" quotePrefix="0" xfId="0">
      <alignment horizontal="center" vertical="center"/>
    </xf>
    <xf numFmtId="167" fontId="12" fillId="0" borderId="153" applyAlignment="1" pivotButton="0" quotePrefix="0" xfId="1">
      <alignment vertical="center"/>
    </xf>
    <xf numFmtId="43" fontId="12" fillId="0" borderId="154" applyAlignment="1" pivotButton="0" quotePrefix="0" xfId="0">
      <alignment vertical="center"/>
    </xf>
    <xf numFmtId="10" fontId="12" fillId="0" borderId="0" applyAlignment="1" pivotButton="0" quotePrefix="0" xfId="3">
      <alignment vertical="center"/>
    </xf>
    <xf numFmtId="2" fontId="12" fillId="0" borderId="91" applyAlignment="1" pivotButton="0" quotePrefix="0" xfId="0">
      <alignment horizontal="center" vertical="center"/>
    </xf>
    <xf numFmtId="167" fontId="12" fillId="0" borderId="155" applyAlignment="1" pivotButton="0" quotePrefix="0" xfId="1">
      <alignment vertical="center"/>
    </xf>
    <xf numFmtId="43" fontId="12" fillId="0" borderId="156" applyAlignment="1" pivotButton="0" quotePrefix="0" xfId="0">
      <alignment vertical="center"/>
    </xf>
    <xf numFmtId="0" fontId="75" fillId="0" borderId="0" applyAlignment="1" pivotButton="0" quotePrefix="0" xfId="0">
      <alignment vertical="center"/>
    </xf>
    <xf numFmtId="0" fontId="76" fillId="0" borderId="0" applyAlignment="1" pivotButton="0" quotePrefix="0" xfId="0">
      <alignment vertical="center"/>
    </xf>
    <xf numFmtId="0" fontId="12" fillId="0" borderId="157" applyAlignment="1" pivotButton="0" quotePrefix="0" xfId="0">
      <alignment horizontal="center" vertical="center"/>
    </xf>
    <xf numFmtId="0" fontId="12" fillId="0" borderId="94" applyAlignment="1" pivotButton="0" quotePrefix="0" xfId="0">
      <alignment horizontal="left" vertical="center"/>
    </xf>
    <xf numFmtId="167" fontId="12" fillId="0" borderId="95" applyAlignment="1" pivotButton="0" quotePrefix="0" xfId="1">
      <alignment horizontal="center"/>
    </xf>
    <xf numFmtId="0" fontId="12" fillId="0" borderId="96" applyAlignment="1" pivotButton="0" quotePrefix="0" xfId="0">
      <alignment horizontal="center"/>
    </xf>
    <xf numFmtId="167" fontId="12" fillId="0" borderId="97" pivotButton="0" quotePrefix="0" xfId="1"/>
    <xf numFmtId="43" fontId="12" fillId="0" borderId="158" pivotButton="0" quotePrefix="0" xfId="0"/>
    <xf numFmtId="2" fontId="12" fillId="0" borderId="0" applyAlignment="1" pivotButton="0" quotePrefix="0" xfId="0">
      <alignment horizontal="center" vertical="center" wrapText="1"/>
    </xf>
    <xf numFmtId="167" fontId="12" fillId="0" borderId="0" applyAlignment="1" pivotButton="0" quotePrefix="0" xfId="1">
      <alignment vertical="center" wrapText="1"/>
    </xf>
    <xf numFmtId="2" fontId="71" fillId="0" borderId="0" applyAlignment="1" pivotButton="0" quotePrefix="0" xfId="0">
      <alignment horizontal="center" vertical="center"/>
    </xf>
    <xf numFmtId="0" fontId="12" fillId="0" borderId="13" applyAlignment="1" pivotButton="0" quotePrefix="0" xfId="0">
      <alignment horizontal="center"/>
    </xf>
    <xf numFmtId="0" fontId="12" fillId="0" borderId="124" applyAlignment="1" pivotButton="0" quotePrefix="0" xfId="0">
      <alignment vertical="center"/>
    </xf>
    <xf numFmtId="167" fontId="12" fillId="0" borderId="0" applyAlignment="1" pivotButton="0" quotePrefix="0" xfId="1">
      <alignment horizontal="center" vertical="center"/>
    </xf>
    <xf numFmtId="0" fontId="12" fillId="0" borderId="159" applyAlignment="1" pivotButton="0" quotePrefix="0" xfId="0">
      <alignment horizontal="center" vertical="center"/>
    </xf>
    <xf numFmtId="0" fontId="12" fillId="0" borderId="160" applyAlignment="1" pivotButton="0" quotePrefix="0" xfId="0">
      <alignment vertical="center"/>
    </xf>
    <xf numFmtId="0" fontId="12" fillId="0" borderId="20" applyAlignment="1" pivotButton="0" quotePrefix="0" xfId="0">
      <alignment vertical="center"/>
    </xf>
    <xf numFmtId="43" fontId="68" fillId="0" borderId="20" applyAlignment="1" pivotButton="0" quotePrefix="0" xfId="0">
      <alignment vertical="center"/>
    </xf>
    <xf numFmtId="0" fontId="12" fillId="0" borderId="72" applyAlignment="1" pivotButton="0" quotePrefix="0" xfId="0">
      <alignment vertical="center"/>
    </xf>
    <xf numFmtId="167" fontId="72" fillId="0" borderId="73" applyAlignment="1" pivotButton="0" quotePrefix="0" xfId="1">
      <alignment horizontal="center" vertical="center"/>
    </xf>
    <xf numFmtId="0" fontId="66" fillId="0" borderId="1" applyAlignment="1" pivotButton="0" quotePrefix="0" xfId="0">
      <alignment horizontal="center" vertical="center"/>
    </xf>
    <xf numFmtId="167" fontId="73" fillId="0" borderId="47" applyAlignment="1" pivotButton="0" quotePrefix="0" xfId="1">
      <alignment horizontal="center" vertical="center"/>
    </xf>
    <xf numFmtId="167" fontId="66" fillId="0" borderId="0" applyAlignment="1" pivotButton="0" quotePrefix="0" xfId="1">
      <alignment horizontal="right" vertical="center"/>
    </xf>
    <xf numFmtId="0" fontId="12" fillId="0" borderId="161" applyAlignment="1" pivotButton="0" quotePrefix="0" xfId="0">
      <alignment horizontal="center"/>
    </xf>
    <xf numFmtId="0" fontId="12" fillId="0" borderId="162" applyAlignment="1" pivotButton="0" quotePrefix="0" xfId="0">
      <alignment vertical="center"/>
    </xf>
    <xf numFmtId="167" fontId="72" fillId="0" borderId="163" applyAlignment="1" pivotButton="0" quotePrefix="0" xfId="1">
      <alignment horizontal="center" vertical="center"/>
    </xf>
    <xf numFmtId="0" fontId="12" fillId="0" borderId="164" applyAlignment="1" pivotButton="0" quotePrefix="0" xfId="0">
      <alignment horizontal="center" vertical="center"/>
    </xf>
    <xf numFmtId="167" fontId="12" fillId="0" borderId="165" applyAlignment="1" pivotButton="0" quotePrefix="0" xfId="1">
      <alignment vertical="center"/>
    </xf>
    <xf numFmtId="0" fontId="12" fillId="0" borderId="166" applyAlignment="1" pivotButton="0" quotePrefix="0" xfId="0">
      <alignment vertical="center"/>
    </xf>
    <xf numFmtId="167" fontId="72" fillId="0" borderId="0" applyAlignment="1" pivotButton="0" quotePrefix="0" xfId="1">
      <alignment horizontal="center" vertical="center"/>
    </xf>
    <xf numFmtId="0" fontId="12" fillId="0" borderId="78" applyAlignment="1" pivotButton="0" quotePrefix="0" xfId="0">
      <alignment horizontal="right" vertical="center"/>
    </xf>
    <xf numFmtId="167" fontId="72" fillId="0" borderId="79" applyAlignment="1" pivotButton="0" quotePrefix="0" xfId="1">
      <alignment horizontal="center" vertical="center"/>
    </xf>
    <xf numFmtId="0" fontId="12" fillId="0" borderId="60" applyAlignment="1" pivotButton="0" quotePrefix="0" xfId="0">
      <alignment vertical="center"/>
    </xf>
    <xf numFmtId="0" fontId="68" fillId="0" borderId="1" applyAlignment="1" pivotButton="0" quotePrefix="0" xfId="0">
      <alignment horizontal="center" vertical="center"/>
    </xf>
    <xf numFmtId="0" fontId="67" fillId="0" borderId="61" applyAlignment="1" pivotButton="0" quotePrefix="0" xfId="0">
      <alignment vertical="center"/>
    </xf>
    <xf numFmtId="167" fontId="72" fillId="0" borderId="49" applyAlignment="1" pivotButton="0" quotePrefix="0" xfId="1">
      <alignment horizontal="center" vertical="center"/>
    </xf>
    <xf numFmtId="0" fontId="12" fillId="0" borderId="93" applyAlignment="1" pivotButton="0" quotePrefix="0" xfId="0">
      <alignment horizontal="center"/>
    </xf>
    <xf numFmtId="167" fontId="72" fillId="0" borderId="95" applyAlignment="1" pivotButton="0" quotePrefix="0" xfId="1">
      <alignment horizontal="center" vertical="center"/>
    </xf>
    <xf numFmtId="0" fontId="12" fillId="0" borderId="1" applyAlignment="1" pivotButton="0" quotePrefix="0" xfId="0">
      <alignment horizontal="left" vertical="center"/>
    </xf>
    <xf numFmtId="0" fontId="12" fillId="0" borderId="118" applyAlignment="1" pivotButton="0" quotePrefix="0" xfId="0">
      <alignment horizontal="center"/>
    </xf>
    <xf numFmtId="0" fontId="12" fillId="0" borderId="119" applyAlignment="1" pivotButton="0" quotePrefix="0" xfId="0">
      <alignment horizontal="left" vertical="center"/>
    </xf>
    <xf numFmtId="167" fontId="12" fillId="0" borderId="151" applyAlignment="1" pivotButton="0" quotePrefix="0" xfId="1">
      <alignment horizontal="center" vertical="center"/>
    </xf>
    <xf numFmtId="43" fontId="12" fillId="0" borderId="167" applyAlignment="1" pivotButton="0" quotePrefix="0" xfId="0">
      <alignment vertical="center"/>
    </xf>
    <xf numFmtId="0" fontId="66" fillId="0" borderId="1" applyAlignment="1" pivotButton="0" quotePrefix="0" xfId="0">
      <alignment vertical="center"/>
    </xf>
    <xf numFmtId="0" fontId="67" fillId="0" borderId="101" applyAlignment="1" pivotButton="0" quotePrefix="0" xfId="0">
      <alignment vertical="center"/>
    </xf>
    <xf numFmtId="0" fontId="12" fillId="0" borderId="168" applyAlignment="1" pivotButton="0" quotePrefix="0" xfId="0">
      <alignment horizontal="center"/>
    </xf>
    <xf numFmtId="0" fontId="12" fillId="0" borderId="148" applyAlignment="1" pivotButton="0" quotePrefix="0" xfId="0">
      <alignment horizontal="left" vertical="center"/>
    </xf>
    <xf numFmtId="167" fontId="12" fillId="0" borderId="149" applyAlignment="1" pivotButton="0" quotePrefix="0" xfId="1">
      <alignment horizontal="center" vertical="center"/>
    </xf>
    <xf numFmtId="43" fontId="12" fillId="0" borderId="169" applyAlignment="1" pivotButton="0" quotePrefix="0" xfId="0">
      <alignment vertical="center"/>
    </xf>
    <xf numFmtId="0" fontId="12" fillId="0" borderId="89" applyAlignment="1" pivotButton="0" quotePrefix="0" xfId="0">
      <alignment horizontal="center"/>
    </xf>
    <xf numFmtId="0" fontId="12" fillId="0" borderId="90" applyAlignment="1" pivotButton="0" quotePrefix="0" xfId="0">
      <alignment horizontal="left" vertical="center"/>
    </xf>
    <xf numFmtId="0" fontId="12" fillId="0" borderId="170" applyAlignment="1" pivotButton="0" quotePrefix="0" xfId="0">
      <alignment horizontal="center"/>
    </xf>
    <xf numFmtId="0" fontId="12" fillId="0" borderId="138" applyAlignment="1" pivotButton="0" quotePrefix="0" xfId="0">
      <alignment horizontal="left" vertical="center"/>
    </xf>
    <xf numFmtId="0" fontId="12" fillId="0" borderId="13" pivotButton="0" quotePrefix="0" xfId="0"/>
    <xf numFmtId="0" fontId="12" fillId="0" borderId="171" applyAlignment="1" pivotButton="0" quotePrefix="0" xfId="0">
      <alignment horizontal="center"/>
    </xf>
    <xf numFmtId="0" fontId="12" fillId="0" borderId="124" applyAlignment="1" pivotButton="0" quotePrefix="0" xfId="0">
      <alignment horizontal="left" vertical="center"/>
    </xf>
    <xf numFmtId="167" fontId="12" fillId="0" borderId="172" applyAlignment="1" pivotButton="0" quotePrefix="0" xfId="1">
      <alignment horizontal="center" vertical="center"/>
    </xf>
    <xf numFmtId="167" fontId="12" fillId="0" borderId="173" applyAlignment="1" pivotButton="0" quotePrefix="0" xfId="1">
      <alignment vertical="center"/>
    </xf>
    <xf numFmtId="43" fontId="12" fillId="0" borderId="160" applyAlignment="1" pivotButton="0" quotePrefix="0" xfId="0">
      <alignment vertical="center"/>
    </xf>
    <xf numFmtId="167" fontId="12" fillId="0" borderId="174" applyAlignment="1" pivotButton="0" quotePrefix="0" xfId="1">
      <alignment horizontal="center" vertical="center"/>
    </xf>
    <xf numFmtId="0" fontId="12" fillId="0" borderId="57" applyAlignment="1" pivotButton="0" quotePrefix="0" xfId="0">
      <alignment horizontal="center" vertical="center"/>
    </xf>
    <xf numFmtId="167" fontId="12" fillId="0" borderId="57" applyAlignment="1" pivotButton="0" quotePrefix="0" xfId="1">
      <alignment horizontal="center" vertical="center"/>
    </xf>
    <xf numFmtId="0" fontId="12" fillId="0" borderId="175" applyAlignment="1" pivotButton="0" quotePrefix="0" xfId="0">
      <alignment horizontal="center" vertical="center"/>
    </xf>
    <xf numFmtId="0" fontId="66" fillId="0" borderId="176" applyAlignment="1" pivotButton="0" quotePrefix="0" xfId="0">
      <alignment horizontal="center"/>
    </xf>
    <xf numFmtId="167" fontId="66" fillId="0" borderId="121" applyAlignment="1" pivotButton="0" quotePrefix="0" xfId="1">
      <alignment horizontal="center" vertical="center"/>
    </xf>
    <xf numFmtId="169" fontId="66" fillId="0" borderId="177" applyAlignment="1" pivotButton="0" quotePrefix="0" xfId="0">
      <alignment horizontal="center" vertical="center"/>
    </xf>
    <xf numFmtId="0" fontId="12" fillId="0" borderId="178" applyAlignment="1" pivotButton="0" quotePrefix="0" xfId="0">
      <alignment horizontal="center"/>
    </xf>
    <xf numFmtId="0" fontId="67" fillId="0" borderId="179" applyAlignment="1" pivotButton="0" quotePrefix="0" xfId="0">
      <alignment vertical="center"/>
    </xf>
    <xf numFmtId="167" fontId="12" fillId="0" borderId="180" applyAlignment="1" pivotButton="0" quotePrefix="0" xfId="1">
      <alignment horizontal="center" vertical="center"/>
    </xf>
    <xf numFmtId="0" fontId="12" fillId="0" borderId="181" applyAlignment="1" pivotButton="0" quotePrefix="0" xfId="0">
      <alignment horizontal="center" vertical="center"/>
    </xf>
    <xf numFmtId="167" fontId="12" fillId="0" borderId="182" applyAlignment="1" pivotButton="0" quotePrefix="0" xfId="1">
      <alignment vertical="center"/>
    </xf>
    <xf numFmtId="43" fontId="66" fillId="0" borderId="183" applyAlignment="1" pivotButton="0" quotePrefix="0" xfId="0">
      <alignment vertical="center"/>
    </xf>
    <xf numFmtId="0" fontId="12" fillId="0" borderId="22" applyAlignment="1" pivotButton="0" quotePrefix="0" xfId="0">
      <alignment horizontal="left" vertical="center"/>
    </xf>
    <xf numFmtId="167" fontId="12" fillId="0" borderId="62" applyAlignment="1" pivotButton="0" quotePrefix="0" xfId="1">
      <alignment horizontal="center" vertical="center"/>
    </xf>
    <xf numFmtId="0" fontId="12" fillId="0" borderId="23" applyAlignment="1" pivotButton="0" quotePrefix="0" xfId="0">
      <alignment horizontal="center" vertical="center"/>
    </xf>
    <xf numFmtId="43" fontId="12" fillId="0" borderId="24" applyAlignment="1" pivotButton="0" quotePrefix="0" xfId="0">
      <alignment vertical="center"/>
    </xf>
    <xf numFmtId="0" fontId="12" fillId="0" borderId="85" applyAlignment="1" pivotButton="0" quotePrefix="0" xfId="0">
      <alignment horizontal="left" vertical="center"/>
    </xf>
    <xf numFmtId="167" fontId="12" fillId="0" borderId="86" applyAlignment="1" pivotButton="0" quotePrefix="0" xfId="1">
      <alignment horizontal="center" vertical="center"/>
    </xf>
    <xf numFmtId="0" fontId="12" fillId="0" borderId="87" applyAlignment="1" pivotButton="0" quotePrefix="0" xfId="0">
      <alignment horizontal="center" vertical="center"/>
    </xf>
    <xf numFmtId="43" fontId="12" fillId="0" borderId="64" applyAlignment="1" pivotButton="0" quotePrefix="0" xfId="0">
      <alignment vertical="center"/>
    </xf>
    <xf numFmtId="170" fontId="29" fillId="0" borderId="0" applyAlignment="1" pivotButton="0" quotePrefix="0" xfId="5">
      <alignment vertical="center"/>
    </xf>
    <xf numFmtId="170" fontId="29" fillId="0" borderId="0" applyAlignment="1" pivotButton="0" quotePrefix="0" xfId="5">
      <alignment vertical="center" wrapText="1"/>
    </xf>
    <xf numFmtId="170" fontId="37" fillId="0" borderId="28" applyAlignment="1" pivotButton="0" quotePrefix="0" xfId="5">
      <alignment horizontal="center" vertical="center"/>
    </xf>
    <xf numFmtId="170" fontId="38" fillId="0" borderId="31" applyAlignment="1" pivotButton="0" quotePrefix="0" xfId="5">
      <alignment horizontal="center" vertical="center"/>
    </xf>
    <xf numFmtId="170" fontId="41" fillId="0" borderId="31" applyAlignment="1" pivotButton="0" quotePrefix="0" xfId="5">
      <alignment vertical="center" wrapText="1"/>
    </xf>
    <xf numFmtId="170" fontId="38" fillId="0" borderId="34" applyAlignment="1" pivotButton="0" quotePrefix="0" xfId="5">
      <alignment vertical="center" wrapText="1"/>
    </xf>
    <xf numFmtId="170" fontId="29" fillId="0" borderId="37" applyAlignment="1" pivotButton="0" quotePrefix="0" xfId="5">
      <alignment horizontal="center" vertical="center" wrapText="1"/>
    </xf>
    <xf numFmtId="170" fontId="44" fillId="0" borderId="38" applyAlignment="1" pivotButton="0" quotePrefix="0" xfId="5">
      <alignment horizontal="center" vertical="center" wrapText="1"/>
    </xf>
    <xf numFmtId="170" fontId="29" fillId="0" borderId="38" applyAlignment="1" pivotButton="0" quotePrefix="0" xfId="5">
      <alignment horizontal="center" vertical="center" wrapText="1"/>
    </xf>
    <xf numFmtId="170" fontId="50" fillId="0" borderId="38" applyAlignment="1" pivotButton="0" quotePrefix="0" xfId="5">
      <alignment horizontal="center" vertical="center" wrapText="1"/>
    </xf>
    <xf numFmtId="170" fontId="29" fillId="0" borderId="38" applyAlignment="1" pivotButton="0" quotePrefix="0" xfId="5">
      <alignment horizontal="center" vertical="center"/>
    </xf>
    <xf numFmtId="170" fontId="29" fillId="0" borderId="39" applyAlignment="1" pivotButton="0" quotePrefix="0" xfId="5">
      <alignment horizontal="center" vertical="center" wrapText="1"/>
    </xf>
    <xf numFmtId="170" fontId="54" fillId="0" borderId="38" applyAlignment="1" pivotButton="0" quotePrefix="0" xfId="5">
      <alignment horizontal="center" vertical="center" wrapText="1"/>
    </xf>
    <xf numFmtId="170" fontId="29" fillId="2" borderId="38" applyAlignment="1" pivotButton="0" quotePrefix="0" xfId="5">
      <alignment horizontal="center" vertical="center" wrapText="1"/>
    </xf>
    <xf numFmtId="170" fontId="29" fillId="2" borderId="38" applyAlignment="1" pivotButton="0" quotePrefix="0" xfId="5">
      <alignment horizontal="center" vertical="center"/>
    </xf>
    <xf numFmtId="170" fontId="29" fillId="2" borderId="31" applyAlignment="1" pivotButton="0" quotePrefix="0" xfId="5">
      <alignment horizontal="center" vertical="center"/>
    </xf>
    <xf numFmtId="170" fontId="50" fillId="0" borderId="38" applyAlignment="1" pivotButton="0" quotePrefix="0" xfId="5">
      <alignment horizontal="center" vertical="center"/>
    </xf>
    <xf numFmtId="170" fontId="29" fillId="0" borderId="40" applyAlignment="1" pivotButton="0" quotePrefix="0" xfId="5">
      <alignment horizontal="center" vertical="center" wrapText="1"/>
    </xf>
    <xf numFmtId="170" fontId="44" fillId="0" borderId="38" applyAlignment="1" pivotButton="0" quotePrefix="0" xfId="5">
      <alignment horizontal="center" vertical="center"/>
    </xf>
    <xf numFmtId="170" fontId="50" fillId="0" borderId="41" applyAlignment="1" pivotButton="0" quotePrefix="0" xfId="5">
      <alignment horizontal="center" vertical="center" wrapText="1"/>
    </xf>
    <xf numFmtId="170" fontId="62" fillId="0" borderId="38" applyAlignment="1" pivotButton="0" quotePrefix="0" xfId="5">
      <alignment horizontal="center" vertical="center" wrapText="1"/>
    </xf>
    <xf numFmtId="170" fontId="29" fillId="0" borderId="31" applyAlignment="1" pivotButton="0" quotePrefix="0" xfId="5">
      <alignment horizontal="center" vertical="center"/>
    </xf>
    <xf numFmtId="170" fontId="40" fillId="0" borderId="0" applyAlignment="1" pivotButton="0" quotePrefix="0" xfId="5">
      <alignment vertical="center" wrapText="1"/>
    </xf>
    <xf numFmtId="170" fontId="29" fillId="0" borderId="0" applyAlignment="1" pivotButton="0" quotePrefix="0" xfId="5">
      <alignment horizontal="center" vertical="center" wrapText="1"/>
    </xf>
    <xf numFmtId="170" fontId="29" fillId="0" borderId="0" applyAlignment="1" pivotButton="0" quotePrefix="0" xfId="5">
      <alignment horizontal="center" vertical="center"/>
    </xf>
    <xf numFmtId="170" fontId="66" fillId="0" borderId="20" applyAlignment="1" pivotButton="0" quotePrefix="0" xfId="2">
      <alignment horizontal="center" vertical="center"/>
    </xf>
    <xf numFmtId="170" fontId="12" fillId="0" borderId="20" applyAlignment="1" pivotButton="0" quotePrefix="0" xfId="2">
      <alignment vertical="center"/>
    </xf>
    <xf numFmtId="170" fontId="66" fillId="0" borderId="52" applyAlignment="1" pivotButton="0" quotePrefix="0" xfId="2">
      <alignment vertical="center"/>
    </xf>
    <xf numFmtId="170" fontId="12" fillId="0" borderId="58" applyAlignment="1" pivotButton="0" quotePrefix="0" xfId="2">
      <alignment vertical="center"/>
    </xf>
    <xf numFmtId="170" fontId="12" fillId="0" borderId="64" applyAlignment="1" pivotButton="0" quotePrefix="0" xfId="2">
      <alignment vertical="center"/>
    </xf>
    <xf numFmtId="170" fontId="12" fillId="0" borderId="0" applyAlignment="1" pivotButton="0" quotePrefix="0" xfId="2">
      <alignment vertical="center"/>
    </xf>
    <xf numFmtId="170" fontId="12" fillId="0" borderId="70" applyAlignment="1" pivotButton="0" quotePrefix="0" xfId="2">
      <alignment vertical="center"/>
    </xf>
    <xf numFmtId="170" fontId="12" fillId="0" borderId="76" applyAlignment="1" pivotButton="0" quotePrefix="0" xfId="2">
      <alignment vertical="center"/>
    </xf>
    <xf numFmtId="170" fontId="66" fillId="0" borderId="82" applyAlignment="1" pivotButton="0" quotePrefix="0" xfId="2">
      <alignment vertical="center"/>
    </xf>
    <xf numFmtId="170" fontId="12" fillId="0" borderId="83" applyAlignment="1" pivotButton="0" quotePrefix="0" xfId="2">
      <alignment vertical="center"/>
    </xf>
    <xf numFmtId="170" fontId="14" fillId="0" borderId="7" pivotButton="0" quotePrefix="0" xfId="0"/>
    <xf numFmtId="170" fontId="25" fillId="0" borderId="9" pivotButton="0" quotePrefix="0" xfId="0"/>
    <xf numFmtId="0" fontId="13" fillId="0" borderId="184" applyAlignment="1" pivotButton="0" quotePrefix="0" xfId="0">
      <alignment horizontal="center"/>
    </xf>
    <xf numFmtId="0" fontId="0" fillId="0" borderId="185" pivotButton="0" quotePrefix="0" xfId="0"/>
    <xf numFmtId="0" fontId="20" fillId="0" borderId="6" applyAlignment="1" pivotButton="0" quotePrefix="0" xfId="0">
      <alignment vertical="center"/>
    </xf>
    <xf numFmtId="9" fontId="14" fillId="0" borderId="6" applyAlignment="1" pivotButton="0" quotePrefix="0" xfId="3">
      <alignment horizontal="center" vertical="center"/>
    </xf>
    <xf numFmtId="170" fontId="14" fillId="0" borderId="12" pivotButton="0" quotePrefix="0" xfId="0"/>
    <xf numFmtId="170" fontId="18" fillId="0" borderId="7" applyAlignment="1" pivotButton="0" quotePrefix="0" xfId="0">
      <alignment vertical="center"/>
    </xf>
    <xf numFmtId="0" fontId="17" fillId="0" borderId="5" applyAlignment="1" pivotButton="0" quotePrefix="0" xfId="0">
      <alignment horizontal="center"/>
    </xf>
    <xf numFmtId="0" fontId="27" fillId="0" borderId="6" applyAlignment="1" pivotButton="0" quotePrefix="0" xfId="0">
      <alignment horizontal="center"/>
    </xf>
    <xf numFmtId="170" fontId="26" fillId="0" borderId="7" applyAlignment="1" pivotButton="0" quotePrefix="0" xfId="0">
      <alignment vertical="center"/>
    </xf>
    <xf numFmtId="0" fontId="13" fillId="0" borderId="184" pivotButton="0" quotePrefix="0" xfId="0"/>
    <xf numFmtId="0" fontId="13" fillId="0" borderId="185" pivotButton="0" quotePrefix="0" xfId="0"/>
    <xf numFmtId="170" fontId="23" fillId="0" borderId="14" applyAlignment="1" pivotButton="0" quotePrefix="0" xfId="0">
      <alignment vertical="center"/>
    </xf>
    <xf numFmtId="170" fontId="14" fillId="0" borderId="7" pivotButton="0" quotePrefix="0" xfId="0"/>
    <xf numFmtId="170" fontId="25" fillId="0" borderId="9" pivotButton="0" quotePrefix="0" xfId="0"/>
    <xf numFmtId="170" fontId="14" fillId="0" borderId="12" pivotButton="0" quotePrefix="0" xfId="0"/>
    <xf numFmtId="170" fontId="18" fillId="0" borderId="7" applyAlignment="1" pivotButton="0" quotePrefix="0" xfId="0">
      <alignment vertical="center"/>
    </xf>
    <xf numFmtId="170" fontId="23" fillId="0" borderId="14" applyAlignment="1" pivotButton="0" quotePrefix="0" xfId="0">
      <alignment vertical="center"/>
    </xf>
    <xf numFmtId="170" fontId="26" fillId="0" borderId="7" applyAlignment="1" pivotButton="0" quotePrefix="0" xfId="0">
      <alignment vertical="center"/>
    </xf>
    <xf numFmtId="170" fontId="29" fillId="0" borderId="0" applyAlignment="1" pivotButton="0" quotePrefix="0" xfId="5">
      <alignment horizontal="center" vertical="center"/>
    </xf>
    <xf numFmtId="170" fontId="29" fillId="0" borderId="0" applyAlignment="1" pivotButton="0" quotePrefix="0" xfId="5">
      <alignment vertical="center"/>
    </xf>
    <xf numFmtId="170" fontId="29" fillId="0" borderId="0" applyAlignment="1" pivotButton="0" quotePrefix="0" xfId="5">
      <alignment vertical="center" wrapText="1"/>
    </xf>
    <xf numFmtId="170" fontId="37" fillId="0" borderId="28" applyAlignment="1" pivotButton="0" quotePrefix="0" xfId="5">
      <alignment horizontal="center" vertical="center"/>
    </xf>
    <xf numFmtId="170" fontId="38" fillId="0" borderId="31" applyAlignment="1" pivotButton="0" quotePrefix="0" xfId="5">
      <alignment horizontal="center" vertical="center"/>
    </xf>
    <xf numFmtId="170" fontId="41" fillId="0" borderId="31" applyAlignment="1" pivotButton="0" quotePrefix="0" xfId="5">
      <alignment vertical="center" wrapText="1"/>
    </xf>
    <xf numFmtId="170" fontId="38" fillId="0" borderId="34" applyAlignment="1" pivotButton="0" quotePrefix="0" xfId="5">
      <alignment vertical="center" wrapText="1"/>
    </xf>
    <xf numFmtId="166" fontId="42" fillId="0" borderId="0" applyAlignment="1" pivotButton="0" quotePrefix="0" xfId="3">
      <alignment vertical="top" wrapText="1"/>
    </xf>
    <xf numFmtId="170" fontId="29" fillId="0" borderId="37" applyAlignment="1" pivotButton="0" quotePrefix="0" xfId="5">
      <alignment horizontal="center" vertical="center" wrapText="1"/>
    </xf>
    <xf numFmtId="170" fontId="44" fillId="0" borderId="38" applyAlignment="1" pivotButton="0" quotePrefix="0" xfId="5">
      <alignment horizontal="center" vertical="center" wrapText="1"/>
    </xf>
    <xf numFmtId="170" fontId="29" fillId="0" borderId="38" applyAlignment="1" pivotButton="0" quotePrefix="0" xfId="5">
      <alignment horizontal="center" vertical="center" wrapText="1"/>
    </xf>
    <xf numFmtId="170" fontId="50" fillId="0" borderId="38" applyAlignment="1" pivotButton="0" quotePrefix="0" xfId="5">
      <alignment horizontal="center" vertical="center" wrapText="1"/>
    </xf>
    <xf numFmtId="170" fontId="29" fillId="0" borderId="38" applyAlignment="1" pivotButton="0" quotePrefix="0" xfId="5">
      <alignment horizontal="center" vertical="center"/>
    </xf>
    <xf numFmtId="0" fontId="0" fillId="0" borderId="29" pivotButton="0" quotePrefix="0" xfId="0"/>
    <xf numFmtId="43" fontId="29" fillId="0" borderId="39" applyAlignment="1" pivotButton="0" quotePrefix="0" xfId="5">
      <alignment horizontal="center" vertical="center" wrapText="1"/>
    </xf>
    <xf numFmtId="170" fontId="54" fillId="0" borderId="38" applyAlignment="1" pivotButton="0" quotePrefix="0" xfId="5">
      <alignment horizontal="center" vertical="center" wrapText="1"/>
    </xf>
    <xf numFmtId="43" fontId="91" fillId="0" borderId="38" applyAlignment="1" pivotButton="0" quotePrefix="0" xfId="5">
      <alignment horizontal="center" vertical="center" wrapText="1"/>
    </xf>
    <xf numFmtId="170" fontId="29" fillId="2" borderId="38" applyAlignment="1" pivotButton="0" quotePrefix="0" xfId="5">
      <alignment horizontal="center" vertical="center" wrapText="1"/>
    </xf>
    <xf numFmtId="167" fontId="42" fillId="0" borderId="0" applyAlignment="1" pivotButton="0" quotePrefix="0" xfId="7">
      <alignment horizontal="center" vertical="center" wrapText="1"/>
    </xf>
    <xf numFmtId="43" fontId="93" fillId="2" borderId="38" applyAlignment="1" pivotButton="0" quotePrefix="0" xfId="5">
      <alignment horizontal="center" vertical="center"/>
    </xf>
    <xf numFmtId="167" fontId="34" fillId="0" borderId="0" pivotButton="0" quotePrefix="0" xfId="5"/>
    <xf numFmtId="43" fontId="81" fillId="2" borderId="31" applyAlignment="1" pivotButton="0" quotePrefix="0" xfId="5">
      <alignment horizontal="center" vertical="center"/>
    </xf>
    <xf numFmtId="167" fontId="34" fillId="0" borderId="0" pivotButton="0" quotePrefix="0" xfId="7"/>
    <xf numFmtId="170" fontId="50" fillId="0" borderId="38" applyAlignment="1" pivotButton="0" quotePrefix="0" xfId="5">
      <alignment horizontal="center" vertical="center"/>
    </xf>
    <xf numFmtId="43" fontId="29" fillId="0" borderId="40" applyAlignment="1" pivotButton="0" quotePrefix="0" xfId="5">
      <alignment horizontal="center" vertical="center" wrapText="1"/>
    </xf>
    <xf numFmtId="43" fontId="93" fillId="0" borderId="38" applyAlignment="1" pivotButton="0" quotePrefix="0" xfId="5">
      <alignment horizontal="center" vertical="center" wrapText="1"/>
    </xf>
    <xf numFmtId="43" fontId="93" fillId="0" borderId="38" applyAlignment="1" pivotButton="0" quotePrefix="0" xfId="5">
      <alignment horizontal="center" vertical="center"/>
    </xf>
    <xf numFmtId="167" fontId="42" fillId="0" borderId="0" applyAlignment="1" pivotButton="0" quotePrefix="0" xfId="5">
      <alignment vertical="top" wrapText="1"/>
    </xf>
    <xf numFmtId="170" fontId="44" fillId="0" borderId="38" applyAlignment="1" pivotButton="0" quotePrefix="0" xfId="5">
      <alignment horizontal="center" vertical="center"/>
    </xf>
    <xf numFmtId="167" fontId="42" fillId="0" borderId="0" applyAlignment="1" pivotButton="0" quotePrefix="0" xfId="7">
      <alignment vertical="center"/>
    </xf>
    <xf numFmtId="167" fontId="61" fillId="0" borderId="0" applyAlignment="1" pivotButton="0" quotePrefix="0" xfId="5">
      <alignment vertical="top"/>
    </xf>
    <xf numFmtId="170" fontId="29" fillId="2" borderId="31" applyAlignment="1" pivotButton="0" quotePrefix="0" xfId="5">
      <alignment horizontal="center" vertical="center"/>
    </xf>
    <xf numFmtId="43" fontId="93" fillId="0" borderId="41" applyAlignment="1" pivotButton="0" quotePrefix="0" xfId="5">
      <alignment horizontal="center" vertical="center" wrapText="1"/>
    </xf>
    <xf numFmtId="170" fontId="62" fillId="0" borderId="38" applyAlignment="1" pivotButton="0" quotePrefix="0" xfId="5">
      <alignment horizontal="center" vertical="center" wrapText="1"/>
    </xf>
    <xf numFmtId="170" fontId="29" fillId="0" borderId="31" applyAlignment="1" pivotButton="0" quotePrefix="0" xfId="5">
      <alignment horizontal="center" vertical="center"/>
    </xf>
    <xf numFmtId="168" fontId="63" fillId="0" borderId="0" applyAlignment="1" pivotButton="0" quotePrefix="0" xfId="2">
      <alignment vertical="top" wrapText="1"/>
    </xf>
    <xf numFmtId="170" fontId="40" fillId="0" borderId="0" applyAlignment="1" pivotButton="0" quotePrefix="0" xfId="5">
      <alignment vertical="center" wrapText="1"/>
    </xf>
    <xf numFmtId="170" fontId="29" fillId="0" borderId="0" applyAlignment="1" pivotButton="0" quotePrefix="0" xfId="5">
      <alignment horizontal="center" vertical="center" wrapText="1"/>
    </xf>
    <xf numFmtId="0" fontId="85" fillId="0" borderId="0" applyAlignment="1" pivotButton="0" quotePrefix="0" xfId="0">
      <alignment horizontal="left" vertical="top"/>
    </xf>
    <xf numFmtId="0" fontId="86" fillId="0" borderId="187" applyAlignment="1" pivotButton="0" quotePrefix="0" xfId="0">
      <alignment horizontal="center" vertical="top"/>
    </xf>
    <xf numFmtId="0" fontId="86" fillId="0" borderId="188" applyAlignment="1" pivotButton="0" quotePrefix="0" xfId="0">
      <alignment horizontal="center" vertical="top"/>
    </xf>
    <xf numFmtId="0" fontId="86" fillId="0" borderId="189" applyAlignment="1" pivotButton="0" quotePrefix="0" xfId="0">
      <alignment horizontal="center" vertical="top"/>
    </xf>
    <xf numFmtId="0" fontId="86" fillId="0" borderId="190" applyAlignment="1" pivotButton="0" quotePrefix="0" xfId="0">
      <alignment horizontal="center" vertical="top"/>
    </xf>
    <xf numFmtId="0" fontId="80" fillId="0" borderId="0" applyAlignment="1" pivotButton="0" quotePrefix="0" xfId="0">
      <alignment vertical="top"/>
    </xf>
    <xf numFmtId="0" fontId="87" fillId="0" borderId="0" applyAlignment="1" pivotButton="0" quotePrefix="0" xfId="0">
      <alignment vertical="top"/>
    </xf>
    <xf numFmtId="0" fontId="86" fillId="0" borderId="0" applyAlignment="1" pivotButton="0" quotePrefix="0" xfId="0">
      <alignment vertical="top"/>
    </xf>
    <xf numFmtId="0" fontId="85" fillId="0" borderId="191" applyAlignment="1" pivotButton="0" quotePrefix="0" xfId="0">
      <alignment horizontal="center" vertical="top"/>
    </xf>
    <xf numFmtId="0" fontId="85" fillId="0" borderId="192" applyAlignment="1" pivotButton="0" quotePrefix="0" xfId="0">
      <alignment vertical="top"/>
    </xf>
    <xf numFmtId="0" fontId="0" fillId="0" borderId="193" pivotButton="0" quotePrefix="0" xfId="0"/>
    <xf numFmtId="0" fontId="0" fillId="0" borderId="194" pivotButton="0" quotePrefix="0" xfId="0"/>
    <xf numFmtId="43" fontId="85" fillId="0" borderId="195" applyAlignment="1" pivotButton="0" quotePrefix="0" xfId="0">
      <alignment vertical="top"/>
    </xf>
    <xf numFmtId="0" fontId="0" fillId="0" borderId="196" pivotButton="0" quotePrefix="0" xfId="0"/>
    <xf numFmtId="0" fontId="86" fillId="0" borderId="197" applyAlignment="1" pivotButton="0" quotePrefix="0" xfId="0">
      <alignment horizontal="center" vertical="top"/>
    </xf>
    <xf numFmtId="0" fontId="0" fillId="0" borderId="198" pivotButton="0" quotePrefix="0" xfId="0"/>
    <xf numFmtId="0" fontId="86" fillId="0" borderId="199" applyAlignment="1" pivotButton="0" quotePrefix="0" xfId="0">
      <alignment vertical="top"/>
    </xf>
    <xf numFmtId="43" fontId="86" fillId="0" borderId="200" applyAlignment="1" pivotButton="0" quotePrefix="0" xfId="0">
      <alignment vertical="top"/>
    </xf>
    <xf numFmtId="0" fontId="0" fillId="0" borderId="191" pivotButton="0" quotePrefix="0" xfId="0"/>
    <xf numFmtId="0" fontId="87" fillId="0" borderId="192" applyAlignment="1" pivotButton="0" quotePrefix="0" xfId="0">
      <alignment vertical="top"/>
    </xf>
    <xf numFmtId="0" fontId="0" fillId="0" borderId="195" pivotButton="0" quotePrefix="0" xfId="0"/>
    <xf numFmtId="0" fontId="88" fillId="0" borderId="192" applyAlignment="1" pivotButton="0" quotePrefix="0" xfId="0">
      <alignment vertical="top" wrapText="1"/>
    </xf>
    <xf numFmtId="0" fontId="85" fillId="0" borderId="192" applyAlignment="1" pivotButton="0" quotePrefix="0" xfId="0">
      <alignment vertical="top" wrapText="1"/>
    </xf>
    <xf numFmtId="167" fontId="85" fillId="0" borderId="193" applyAlignment="1" pivotButton="0" quotePrefix="0" xfId="0">
      <alignment horizontal="center" vertical="top"/>
    </xf>
    <xf numFmtId="0" fontId="85" fillId="0" borderId="193" applyAlignment="1" pivotButton="0" quotePrefix="0" xfId="0">
      <alignment horizontal="center" vertical="top"/>
    </xf>
    <xf numFmtId="167" fontId="89" fillId="0" borderId="194" applyAlignment="1" pivotButton="0" quotePrefix="0" xfId="0">
      <alignment vertical="top"/>
    </xf>
    <xf numFmtId="0" fontId="90" fillId="0" borderId="0" applyAlignment="1" pivotButton="0" quotePrefix="0" xfId="0">
      <alignment/>
    </xf>
    <xf numFmtId="0" fontId="87" fillId="0" borderId="197" applyAlignment="1" pivotButton="0" quotePrefix="0" xfId="0">
      <alignment vertical="top"/>
    </xf>
    <xf numFmtId="0" fontId="0" fillId="0" borderId="199" pivotButton="0" quotePrefix="0" xfId="0"/>
    <xf numFmtId="0" fontId="92" fillId="0" borderId="0" applyAlignment="1" pivotButton="0" quotePrefix="0" xfId="0">
      <alignment vertical="top" wrapText="1"/>
    </xf>
    <xf numFmtId="0" fontId="77" fillId="0" borderId="0" pivotButton="0" quotePrefix="0" xfId="0"/>
    <xf numFmtId="0" fontId="78" fillId="0" borderId="0" applyAlignment="1" pivotButton="0" quotePrefix="0" xfId="0">
      <alignment wrapText="1"/>
    </xf>
    <xf numFmtId="0" fontId="79" fillId="3" borderId="0" applyAlignment="1" pivotButton="0" quotePrefix="0" xfId="0">
      <alignment horizontal="center"/>
    </xf>
    <xf numFmtId="0" fontId="80" fillId="0" borderId="0" pivotButton="0" quotePrefix="0" xfId="0"/>
    <xf numFmtId="0" fontId="81" fillId="0" borderId="0" pivotButton="0" quotePrefix="0" xfId="0"/>
    <xf numFmtId="4" fontId="82" fillId="0" borderId="0" pivotButton="0" quotePrefix="0" xfId="0"/>
    <xf numFmtId="0" fontId="83" fillId="0" borderId="0" pivotButton="0" quotePrefix="0" xfId="0"/>
    <xf numFmtId="4" fontId="84" fillId="0" borderId="0" pivotButton="0" quotePrefix="0" xfId="0"/>
  </cellXfs>
  <cellStyles count="9">
    <cellStyle name="Normal" xfId="0" builtinId="0"/>
    <cellStyle name="Comma" xfId="1" builtinId="3"/>
    <cellStyle name="Currency" xfId="2" builtinId="4"/>
    <cellStyle name="Percent" xfId="3" builtinId="5"/>
    <cellStyle name="Normal 10" xfId="4"/>
    <cellStyle name="Comma 5" xfId="5"/>
    <cellStyle name="Normal 3 2" xfId="6"/>
    <cellStyle name="Normal 4 2" xfId="7"/>
    <cellStyle name="Percent 4"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19050</colOff>
      <row>0</row>
      <rowOff>0</rowOff>
    </from>
    <ext cx="390525" cy="11944350"/>
    <pic>
      <nvPicPr>
        <cNvPr id="2" name="image3.png"/>
        <cNvPicPr preferRelativeResize="0"/>
      </nvPicPr>
      <blipFill>
        <a:blip cstate="print" r:embed="rId1">
          <duotone/>
        </a:blip>
        <a:stretch>
          <a:fillRect/>
        </a:stretch>
      </blipFill>
      <spPr>
        <a:xfrm>
          <a:off x="19050" y="0"/>
          <a:ext cx="390525" cy="11944350"/>
        </a:xfrm>
        <a:prstGeom prst="rect">
          <avLst/>
        </a:prstGeom>
        <a:noFill/>
        <a:l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5" tint="-0.499984740745262"/>
    <outlinePr summaryBelow="1" summaryRight="1"/>
    <pageSetUpPr fitToPage="1"/>
  </sheetPr>
  <dimension ref="A1:Z998"/>
  <sheetViews>
    <sheetView view="pageBreakPreview" topLeftCell="A4" zoomScale="60" zoomScaleNormal="40" workbookViewId="0">
      <selection activeCell="C23" sqref="C23"/>
    </sheetView>
  </sheetViews>
  <sheetFormatPr baseColWidth="8" defaultColWidth="14.44140625" defaultRowHeight="15" customHeight="1"/>
  <cols>
    <col width="4.6640625" customWidth="1" style="12" min="1" max="1"/>
    <col width="22.88671875" customWidth="1" style="12" min="2" max="2"/>
    <col width="77.77734375" customWidth="1" style="12" min="3" max="3"/>
    <col width="8.77734375" customWidth="1" style="12" min="4" max="4"/>
    <col width="8" customWidth="1" style="12" min="5" max="5"/>
    <col width="27.44140625" customWidth="1" style="12" min="6" max="6"/>
    <col width="9.109375" customWidth="1" style="12" min="7" max="26"/>
  </cols>
  <sheetData>
    <row r="1" ht="31.5" customHeight="1" s="12">
      <c r="A1" s="1" t="inlineStr">
        <is>
          <t>aq</t>
        </is>
      </c>
      <c r="B1" s="2" t="n"/>
      <c r="C1" s="3" t="n"/>
      <c r="D1" s="4" t="n"/>
      <c r="E1" s="5" t="n"/>
      <c r="F1" s="5" t="n"/>
      <c r="G1" s="6" t="n"/>
      <c r="H1" s="6" t="n"/>
      <c r="I1" s="6" t="n"/>
      <c r="J1" s="6" t="n"/>
      <c r="K1" s="6" t="n"/>
      <c r="L1" s="6" t="n"/>
      <c r="M1" s="6" t="n"/>
      <c r="N1" s="6" t="n"/>
      <c r="O1" s="6" t="n"/>
      <c r="P1" s="6" t="n"/>
      <c r="Q1" s="6" t="n"/>
      <c r="R1" s="6" t="n"/>
      <c r="S1" s="6" t="n"/>
      <c r="T1" s="6" t="n"/>
      <c r="U1" s="6" t="n"/>
      <c r="V1" s="6" t="n"/>
      <c r="W1" s="6" t="n"/>
      <c r="X1" s="6" t="n"/>
      <c r="Y1" s="6" t="n"/>
      <c r="Z1" s="6" t="n"/>
    </row>
    <row r="2" ht="31.5" customHeight="1" s="12">
      <c r="A2" s="1" t="n"/>
      <c r="B2" s="2" t="n"/>
      <c r="C2" s="3" t="n"/>
      <c r="D2" s="4" t="n"/>
      <c r="E2" s="5" t="n"/>
      <c r="F2" s="5" t="n"/>
      <c r="G2" s="6" t="n"/>
      <c r="H2" s="6" t="n"/>
      <c r="I2" s="6" t="n"/>
      <c r="J2" s="6" t="n"/>
      <c r="K2" s="6" t="n"/>
      <c r="L2" s="6" t="n"/>
      <c r="M2" s="6" t="n"/>
      <c r="N2" s="6" t="n"/>
      <c r="O2" s="6" t="n"/>
      <c r="P2" s="6" t="n"/>
      <c r="Q2" s="6" t="n"/>
      <c r="R2" s="6" t="n"/>
      <c r="S2" s="6" t="n"/>
      <c r="T2" s="6" t="n"/>
      <c r="U2" s="6" t="n"/>
      <c r="V2" s="6" t="n"/>
      <c r="W2" s="6" t="n"/>
      <c r="X2" s="6" t="n"/>
      <c r="Y2" s="6" t="n"/>
      <c r="Z2" s="6" t="n"/>
    </row>
    <row r="3" ht="31.5" customHeight="1" s="12">
      <c r="A3" s="1" t="n"/>
      <c r="B3" s="2" t="n"/>
      <c r="C3" s="3" t="n"/>
      <c r="D3" s="4" t="n"/>
      <c r="E3" s="5" t="n"/>
      <c r="F3" s="5" t="n"/>
      <c r="G3" s="6" t="n"/>
      <c r="H3" s="6" t="n"/>
      <c r="I3" s="6" t="n"/>
      <c r="J3" s="6" t="n"/>
      <c r="K3" s="6" t="n"/>
      <c r="L3" s="6" t="n"/>
      <c r="M3" s="6" t="n"/>
      <c r="N3" s="6" t="n"/>
      <c r="O3" s="6" t="n"/>
      <c r="P3" s="6" t="n"/>
      <c r="Q3" s="6" t="n"/>
      <c r="R3" s="6" t="n"/>
      <c r="S3" s="6" t="n"/>
      <c r="T3" s="6" t="n"/>
      <c r="U3" s="6" t="n"/>
      <c r="V3" s="6" t="n"/>
      <c r="W3" s="6" t="n"/>
      <c r="X3" s="6" t="n"/>
      <c r="Y3" s="6" t="n"/>
      <c r="Z3" s="6" t="n"/>
    </row>
    <row r="4" ht="31.5" customHeight="1" s="12">
      <c r="A4" s="1" t="n"/>
      <c r="B4" s="2" t="n"/>
      <c r="C4" s="3" t="n"/>
      <c r="D4" s="4" t="n"/>
      <c r="E4" s="5" t="n"/>
      <c r="F4" s="5" t="n"/>
      <c r="G4" s="6" t="n"/>
      <c r="H4" s="6" t="n"/>
      <c r="I4" s="6" t="n"/>
      <c r="J4" s="6" t="n"/>
      <c r="K4" s="6" t="n"/>
      <c r="L4" s="6" t="n"/>
      <c r="M4" s="6" t="n"/>
      <c r="N4" s="6" t="n"/>
      <c r="O4" s="6" t="n"/>
      <c r="P4" s="6" t="n"/>
      <c r="Q4" s="6" t="n"/>
      <c r="R4" s="6" t="n"/>
      <c r="S4" s="6" t="n"/>
      <c r="T4" s="6" t="n"/>
      <c r="U4" s="6" t="n"/>
      <c r="V4" s="6" t="n"/>
      <c r="W4" s="6" t="n"/>
      <c r="X4" s="6" t="n"/>
      <c r="Y4" s="6" t="n"/>
      <c r="Z4" s="6" t="n"/>
    </row>
    <row r="5" ht="31.5" customHeight="1" s="12">
      <c r="A5" s="1" t="n"/>
      <c r="B5" s="2" t="n"/>
      <c r="C5" s="3" t="n"/>
      <c r="D5" s="4" t="n"/>
      <c r="E5" s="5" t="n"/>
      <c r="F5" s="5" t="n"/>
      <c r="G5" s="6" t="n"/>
      <c r="H5" s="6" t="n"/>
      <c r="I5" s="6" t="n"/>
      <c r="J5" s="6" t="n"/>
      <c r="K5" s="6" t="n"/>
      <c r="L5" s="6" t="n"/>
      <c r="M5" s="6" t="n"/>
      <c r="N5" s="6" t="n"/>
      <c r="O5" s="6" t="n"/>
      <c r="P5" s="6" t="n"/>
      <c r="Q5" s="6" t="n"/>
      <c r="R5" s="6" t="n"/>
      <c r="S5" s="6" t="n"/>
      <c r="T5" s="6" t="n"/>
      <c r="U5" s="6" t="n"/>
      <c r="V5" s="6" t="n"/>
      <c r="W5" s="6" t="n"/>
      <c r="X5" s="6" t="n"/>
      <c r="Y5" s="6" t="n"/>
      <c r="Z5" s="6" t="n"/>
    </row>
    <row r="6" ht="31.5" customHeight="1" s="12">
      <c r="A6" s="1" t="n"/>
      <c r="B6" s="2" t="n"/>
      <c r="C6" s="3" t="n"/>
      <c r="D6" s="4" t="n"/>
      <c r="E6" s="5" t="n"/>
      <c r="F6" s="5" t="n"/>
      <c r="G6" s="6" t="n"/>
      <c r="H6" s="6" t="n"/>
      <c r="I6" s="6" t="n"/>
      <c r="J6" s="6" t="n"/>
      <c r="K6" s="6" t="n"/>
      <c r="L6" s="6" t="n"/>
      <c r="M6" s="6" t="n"/>
      <c r="N6" s="6" t="n"/>
      <c r="O6" s="6" t="n"/>
      <c r="P6" s="6" t="n"/>
      <c r="Q6" s="6" t="n"/>
      <c r="R6" s="6" t="n"/>
      <c r="S6" s="6" t="n"/>
      <c r="T6" s="6" t="n"/>
      <c r="U6" s="6" t="n"/>
      <c r="V6" s="6" t="n"/>
      <c r="W6" s="6" t="n"/>
      <c r="X6" s="6" t="n"/>
      <c r="Y6" s="6" t="n"/>
      <c r="Z6" s="6" t="n"/>
    </row>
    <row r="7" ht="31.5" customHeight="1" s="12">
      <c r="A7" s="1" t="n"/>
      <c r="B7" s="2" t="n"/>
      <c r="C7" s="3" t="n"/>
      <c r="D7" s="4" t="n"/>
      <c r="E7" s="5" t="n"/>
      <c r="F7" s="5" t="n"/>
      <c r="G7" s="6" t="n"/>
      <c r="H7" s="6" t="n"/>
      <c r="I7" s="6" t="n"/>
      <c r="J7" s="6" t="n"/>
      <c r="K7" s="6" t="n"/>
      <c r="L7" s="6" t="n"/>
      <c r="M7" s="6" t="n"/>
      <c r="N7" s="6" t="n"/>
      <c r="O7" s="6" t="n"/>
      <c r="P7" s="6" t="n"/>
      <c r="Q7" s="6" t="n"/>
      <c r="R7" s="6" t="n"/>
      <c r="S7" s="6" t="n"/>
      <c r="T7" s="6" t="n"/>
      <c r="U7" s="6" t="n"/>
      <c r="V7" s="6" t="n"/>
      <c r="W7" s="6" t="n"/>
      <c r="X7" s="6" t="n"/>
      <c r="Y7" s="6" t="n"/>
      <c r="Z7" s="6" t="n"/>
    </row>
    <row r="8" ht="31.5" customHeight="1" s="12">
      <c r="A8" s="1" t="n"/>
      <c r="B8" s="2" t="n"/>
      <c r="C8" s="3" t="n"/>
      <c r="D8" s="4" t="n"/>
      <c r="E8" s="5" t="n"/>
      <c r="F8" s="5" t="n"/>
      <c r="G8" s="6" t="n"/>
      <c r="H8" s="6" t="n"/>
      <c r="I8" s="6" t="n"/>
      <c r="J8" s="6" t="n"/>
      <c r="K8" s="6" t="n"/>
      <c r="L8" s="6" t="n"/>
      <c r="M8" s="6" t="n"/>
      <c r="N8" s="6" t="n"/>
      <c r="O8" s="6" t="n"/>
      <c r="P8" s="6" t="n"/>
      <c r="Q8" s="6" t="n"/>
      <c r="R8" s="6" t="n"/>
      <c r="S8" s="6" t="n"/>
      <c r="T8" s="6" t="n"/>
      <c r="U8" s="6" t="n"/>
      <c r="V8" s="6" t="n"/>
      <c r="W8" s="6" t="n"/>
      <c r="X8" s="6" t="n"/>
      <c r="Y8" s="6" t="n"/>
      <c r="Z8" s="6" t="n"/>
    </row>
    <row r="9" ht="31.5" customHeight="1" s="12">
      <c r="A9" s="1" t="n"/>
      <c r="B9" s="2" t="n"/>
      <c r="C9" s="3" t="n"/>
      <c r="D9" s="4" t="n"/>
      <c r="E9" s="5" t="n"/>
      <c r="F9" s="5" t="n"/>
      <c r="G9" s="6" t="n"/>
      <c r="H9" s="6" t="n"/>
      <c r="I9" s="6" t="n"/>
      <c r="J9" s="6" t="n"/>
      <c r="K9" s="6" t="n"/>
      <c r="L9" s="6" t="n"/>
      <c r="M9" s="6" t="n"/>
      <c r="N9" s="6" t="n"/>
      <c r="O9" s="6" t="n"/>
      <c r="P9" s="6" t="n"/>
      <c r="Q9" s="6" t="n"/>
      <c r="R9" s="6" t="n"/>
      <c r="S9" s="6" t="n"/>
      <c r="T9" s="6" t="n"/>
      <c r="U9" s="6" t="n"/>
      <c r="V9" s="6" t="n"/>
      <c r="W9" s="6" t="n"/>
      <c r="X9" s="6" t="n"/>
      <c r="Y9" s="6" t="n"/>
      <c r="Z9" s="6" t="n"/>
    </row>
    <row r="10" ht="21.75" customHeight="1" s="12">
      <c r="A10" s="1" t="n"/>
      <c r="B10" s="7" t="n"/>
      <c r="C10" s="7" t="n"/>
      <c r="D10" s="7" t="n"/>
      <c r="E10" s="7" t="n"/>
      <c r="F10" s="7" t="n"/>
      <c r="G10" s="6" t="n"/>
      <c r="H10" s="6" t="n"/>
      <c r="I10" s="6" t="n"/>
      <c r="J10" s="6" t="n"/>
      <c r="K10" s="6" t="n"/>
      <c r="L10" s="6" t="n"/>
      <c r="M10" s="6" t="n"/>
      <c r="N10" s="6" t="n"/>
      <c r="O10" s="6" t="n"/>
      <c r="P10" s="6" t="n"/>
      <c r="Q10" s="6" t="n"/>
      <c r="R10" s="6" t="n"/>
      <c r="S10" s="6" t="n"/>
      <c r="T10" s="6" t="n"/>
      <c r="U10" s="6" t="n"/>
      <c r="V10" s="6" t="n"/>
      <c r="W10" s="6" t="n"/>
      <c r="X10" s="6" t="n"/>
      <c r="Y10" s="6" t="n"/>
      <c r="Z10" s="6" t="n"/>
    </row>
    <row r="11" ht="304.8" customHeight="1" s="12">
      <c r="A11" s="1" t="n"/>
      <c r="B11" s="8" t="inlineStr">
        <is>
          <t>PROPOSED 
BILLS OF QUANTITIES FOR KANESHIE BLOCK N REDEVELOPMENT</t>
        </is>
      </c>
      <c r="G11" s="6" t="n"/>
      <c r="H11" s="6" t="n"/>
      <c r="I11" s="6" t="n"/>
      <c r="J11" s="6" t="n"/>
      <c r="K11" s="6" t="n"/>
      <c r="L11" s="6" t="n"/>
      <c r="M11" s="6" t="n"/>
      <c r="N11" s="6" t="n"/>
      <c r="O11" s="6" t="n"/>
      <c r="P11" s="6" t="n"/>
      <c r="Q11" s="6" t="n"/>
      <c r="R11" s="6" t="n"/>
      <c r="S11" s="6" t="n"/>
      <c r="T11" s="6" t="n"/>
      <c r="U11" s="6" t="n"/>
      <c r="V11" s="6" t="n"/>
      <c r="W11" s="6" t="n"/>
      <c r="X11" s="6" t="n"/>
      <c r="Y11" s="6" t="n"/>
      <c r="Z11" s="6" t="n"/>
    </row>
    <row r="12" ht="31.5" customHeight="1" s="12">
      <c r="A12" s="1" t="n"/>
      <c r="B12" s="10" t="n"/>
      <c r="C12" s="10" t="n"/>
      <c r="D12" s="10" t="n"/>
      <c r="E12" s="10" t="n"/>
      <c r="F12" s="10" t="n"/>
      <c r="G12" s="6" t="n"/>
      <c r="H12" s="6" t="n"/>
      <c r="I12" s="6" t="n"/>
      <c r="J12" s="6" t="n"/>
      <c r="K12" s="6" t="n"/>
      <c r="L12" s="6" t="n"/>
      <c r="M12" s="6" t="n"/>
      <c r="N12" s="6" t="n"/>
      <c r="O12" s="6" t="n"/>
      <c r="P12" s="6" t="n"/>
      <c r="Q12" s="6" t="n"/>
      <c r="R12" s="6" t="n"/>
      <c r="S12" s="6" t="n"/>
      <c r="T12" s="6" t="n"/>
      <c r="U12" s="6" t="n"/>
      <c r="V12" s="6" t="n"/>
      <c r="W12" s="6" t="n"/>
      <c r="X12" s="6" t="n"/>
      <c r="Y12" s="6" t="n"/>
      <c r="Z12" s="6" t="n"/>
    </row>
    <row r="13" ht="31.5" customHeight="1" s="12">
      <c r="A13" s="1" t="n"/>
      <c r="B13" s="10" t="n"/>
      <c r="C13" s="10" t="n"/>
      <c r="D13" s="10" t="n"/>
      <c r="E13" s="10" t="n"/>
      <c r="F13" s="10" t="n"/>
      <c r="G13" s="6" t="n"/>
      <c r="H13" s="6" t="n"/>
      <c r="I13" s="6" t="n"/>
      <c r="J13" s="6" t="n"/>
      <c r="K13" s="6" t="n"/>
      <c r="L13" s="6" t="n"/>
      <c r="M13" s="6" t="n"/>
      <c r="N13" s="6" t="n"/>
      <c r="O13" s="6" t="n"/>
      <c r="P13" s="6" t="n"/>
      <c r="Q13" s="6" t="n"/>
      <c r="R13" s="6" t="n"/>
      <c r="S13" s="6" t="n"/>
      <c r="T13" s="6" t="n"/>
      <c r="U13" s="6" t="n"/>
      <c r="V13" s="6" t="n"/>
      <c r="W13" s="6" t="n"/>
      <c r="X13" s="6" t="n"/>
      <c r="Y13" s="6" t="n"/>
      <c r="Z13" s="6" t="n"/>
    </row>
    <row r="14" ht="31.5" customHeight="1" s="12">
      <c r="A14" s="1" t="n"/>
      <c r="B14" s="10" t="n"/>
      <c r="C14" s="10" t="n"/>
      <c r="D14" s="10" t="n"/>
      <c r="E14" s="10" t="n"/>
      <c r="F14" s="10" t="n"/>
      <c r="G14" s="6" t="n"/>
      <c r="H14" s="6" t="n"/>
      <c r="I14" s="6" t="n"/>
      <c r="J14" s="6" t="n"/>
      <c r="K14" s="6" t="n"/>
      <c r="L14" s="6" t="n"/>
      <c r="M14" s="6" t="n"/>
      <c r="N14" s="6" t="n"/>
      <c r="O14" s="6" t="n"/>
      <c r="P14" s="6" t="n"/>
      <c r="Q14" s="6" t="n"/>
      <c r="R14" s="6" t="n"/>
      <c r="S14" s="6" t="n"/>
      <c r="T14" s="6" t="n"/>
      <c r="U14" s="6" t="n"/>
      <c r="V14" s="6" t="n"/>
      <c r="W14" s="6" t="n"/>
      <c r="X14" s="6" t="n"/>
      <c r="Y14" s="6" t="n"/>
      <c r="Z14" s="6" t="n"/>
    </row>
    <row r="15" ht="31.5" customHeight="1" s="12">
      <c r="A15" s="1" t="n"/>
      <c r="B15" s="10" t="n"/>
      <c r="C15" s="10" t="n"/>
      <c r="D15" s="10" t="n"/>
      <c r="E15" s="10" t="n"/>
      <c r="F15" s="10" t="n"/>
      <c r="G15" s="6" t="n"/>
      <c r="H15" s="6" t="n"/>
      <c r="I15" s="6" t="n"/>
      <c r="J15" s="6" t="n"/>
      <c r="K15" s="6" t="n"/>
      <c r="L15" s="6" t="n"/>
      <c r="M15" s="6" t="n"/>
      <c r="N15" s="6" t="n"/>
      <c r="O15" s="6" t="n"/>
      <c r="P15" s="6" t="n"/>
      <c r="Q15" s="6" t="n"/>
      <c r="R15" s="6" t="n"/>
      <c r="S15" s="6" t="n"/>
      <c r="T15" s="6" t="n"/>
      <c r="U15" s="6" t="n"/>
      <c r="V15" s="6" t="n"/>
      <c r="W15" s="6" t="n"/>
      <c r="X15" s="6" t="n"/>
      <c r="Y15" s="6" t="n"/>
      <c r="Z15" s="6" t="n"/>
    </row>
    <row r="16" ht="31.5" customHeight="1" s="12">
      <c r="A16" s="1" t="n"/>
      <c r="B16" s="10" t="n"/>
      <c r="C16" s="10" t="n"/>
      <c r="D16" s="10" t="n"/>
      <c r="E16" s="10" t="n"/>
      <c r="F16" s="10" t="n"/>
      <c r="G16" s="6" t="n"/>
      <c r="H16" s="6" t="n"/>
      <c r="I16" s="6" t="n"/>
      <c r="J16" s="6" t="n"/>
      <c r="K16" s="6" t="n"/>
      <c r="L16" s="6" t="n"/>
      <c r="M16" s="6" t="n"/>
      <c r="N16" s="6" t="n"/>
      <c r="O16" s="6" t="n"/>
      <c r="P16" s="6" t="n"/>
      <c r="Q16" s="6" t="n"/>
      <c r="R16" s="6" t="n"/>
      <c r="S16" s="6" t="n"/>
      <c r="T16" s="6" t="n"/>
      <c r="U16" s="6" t="n"/>
      <c r="V16" s="6" t="n"/>
      <c r="W16" s="6" t="n"/>
      <c r="X16" s="6" t="n"/>
      <c r="Y16" s="6" t="n"/>
      <c r="Z16" s="6" t="n"/>
    </row>
    <row r="17" ht="31.5" customHeight="1" s="12">
      <c r="A17" s="1" t="n"/>
      <c r="B17" s="11" t="n"/>
      <c r="G17" s="6" t="n"/>
      <c r="H17" s="6" t="n"/>
      <c r="I17" s="6" t="n"/>
      <c r="J17" s="6" t="n"/>
      <c r="K17" s="6" t="n"/>
      <c r="L17" s="6" t="n"/>
      <c r="M17" s="6" t="n"/>
      <c r="N17" s="6" t="n"/>
      <c r="O17" s="6" t="n"/>
      <c r="P17" s="6" t="n"/>
      <c r="Q17" s="6" t="n"/>
      <c r="R17" s="6" t="n"/>
      <c r="S17" s="6" t="n"/>
      <c r="T17" s="6" t="n"/>
      <c r="U17" s="6" t="n"/>
      <c r="V17" s="6" t="n"/>
      <c r="W17" s="6" t="n"/>
      <c r="X17" s="6" t="n"/>
      <c r="Y17" s="6" t="n"/>
      <c r="Z17" s="6" t="n"/>
    </row>
    <row r="18" ht="31.5" customHeight="1" s="12">
      <c r="A18" s="1" t="n"/>
      <c r="B18" s="2" t="n"/>
      <c r="C18" s="2" t="n"/>
      <c r="D18" s="2" t="n"/>
      <c r="E18" s="2" t="n"/>
      <c r="F18" s="2" t="n"/>
      <c r="G18" s="6" t="n"/>
      <c r="H18" s="6" t="n"/>
      <c r="I18" s="6" t="n"/>
      <c r="J18" s="6" t="n"/>
      <c r="K18" s="6" t="n"/>
      <c r="L18" s="6" t="n"/>
      <c r="M18" s="6" t="n"/>
      <c r="N18" s="6" t="n"/>
      <c r="O18" s="6" t="n"/>
      <c r="P18" s="6" t="n"/>
      <c r="Q18" s="6" t="n"/>
      <c r="R18" s="6" t="n"/>
      <c r="S18" s="6" t="n"/>
      <c r="T18" s="6" t="n"/>
      <c r="U18" s="6" t="n"/>
      <c r="V18" s="6" t="n"/>
      <c r="W18" s="6" t="n"/>
      <c r="X18" s="6" t="n"/>
      <c r="Y18" s="6" t="n"/>
      <c r="Z18" s="6" t="n"/>
    </row>
    <row r="19" ht="31.5" customHeight="1" s="12">
      <c r="A19" s="1" t="n"/>
      <c r="B19" s="6" t="n"/>
      <c r="C19" s="13" t="n"/>
      <c r="D19" s="1" t="n"/>
      <c r="E19" s="14" t="n"/>
      <c r="F19" s="14" t="n"/>
      <c r="G19" s="6" t="n"/>
      <c r="H19" s="6" t="n"/>
      <c r="I19" s="6" t="n"/>
      <c r="J19" s="6" t="n"/>
      <c r="K19" s="6" t="n"/>
      <c r="L19" s="6" t="n"/>
      <c r="M19" s="6" t="n"/>
      <c r="N19" s="6" t="n"/>
      <c r="O19" s="6" t="n"/>
      <c r="P19" s="6" t="n"/>
      <c r="Q19" s="6" t="n"/>
      <c r="R19" s="6" t="n"/>
      <c r="S19" s="6" t="n"/>
      <c r="T19" s="6" t="n"/>
      <c r="U19" s="6" t="n"/>
      <c r="V19" s="6" t="n"/>
      <c r="W19" s="6" t="n"/>
      <c r="X19" s="6" t="n"/>
      <c r="Y19" s="6" t="n"/>
      <c r="Z19" s="6" t="n"/>
    </row>
    <row r="20" ht="31.5" customHeight="1" s="12">
      <c r="A20" s="1" t="n"/>
      <c r="B20" s="6" t="n"/>
      <c r="C20" s="13" t="n"/>
      <c r="D20" s="1" t="n"/>
      <c r="E20" s="15" t="n"/>
      <c r="F20" s="16" t="n"/>
      <c r="G20" s="6" t="n"/>
      <c r="H20" s="6" t="n"/>
      <c r="I20" s="6" t="n"/>
      <c r="J20" s="6" t="n"/>
      <c r="K20" s="6" t="n"/>
      <c r="L20" s="6" t="n"/>
      <c r="M20" s="6" t="n"/>
      <c r="N20" s="6" t="n"/>
      <c r="O20" s="6" t="n"/>
      <c r="P20" s="6" t="n"/>
      <c r="Q20" s="6" t="n"/>
      <c r="R20" s="6" t="n"/>
      <c r="S20" s="6" t="n"/>
      <c r="T20" s="6" t="n"/>
      <c r="U20" s="6" t="n"/>
      <c r="V20" s="6" t="n"/>
      <c r="W20" s="6" t="n"/>
      <c r="X20" s="6" t="n"/>
      <c r="Y20" s="6" t="n"/>
      <c r="Z20" s="6" t="n"/>
    </row>
    <row r="21" ht="31.5" customHeight="1" s="12">
      <c r="A21" s="1" t="n"/>
      <c r="B21" s="6" t="n"/>
      <c r="C21" s="13" t="n"/>
      <c r="D21" s="1" t="n"/>
      <c r="E21" s="15" t="n"/>
      <c r="F21" s="16" t="n"/>
      <c r="G21" s="6" t="n"/>
      <c r="H21" s="6" t="n"/>
      <c r="I21" s="6" t="n"/>
      <c r="J21" s="6" t="n"/>
      <c r="K21" s="6" t="n"/>
      <c r="L21" s="6" t="n"/>
      <c r="M21" s="6" t="n"/>
      <c r="N21" s="6" t="n"/>
      <c r="O21" s="6" t="n"/>
      <c r="P21" s="6" t="n"/>
      <c r="Q21" s="6" t="n"/>
      <c r="R21" s="6" t="n"/>
      <c r="S21" s="6" t="n"/>
      <c r="T21" s="6" t="n"/>
      <c r="U21" s="6" t="n"/>
      <c r="V21" s="6" t="n"/>
      <c r="W21" s="6" t="n"/>
      <c r="X21" s="6" t="n"/>
      <c r="Y21" s="6" t="n"/>
      <c r="Z21" s="6" t="n"/>
    </row>
    <row r="22" ht="31.5" customHeight="1" s="12">
      <c r="A22" s="1" t="n"/>
      <c r="B22" s="6" t="n"/>
      <c r="C22" s="13" t="n"/>
      <c r="D22" s="1" t="n"/>
      <c r="E22" s="17" t="n"/>
      <c r="F22" s="17" t="n"/>
      <c r="G22" s="6" t="n"/>
      <c r="H22" s="6" t="n"/>
      <c r="I22" s="6" t="n"/>
      <c r="J22" s="6" t="n"/>
      <c r="K22" s="6" t="n"/>
      <c r="L22" s="6" t="n"/>
      <c r="M22" s="6" t="n"/>
      <c r="N22" s="6" t="n"/>
      <c r="O22" s="6" t="n"/>
      <c r="P22" s="6" t="n"/>
      <c r="Q22" s="6" t="n"/>
      <c r="R22" s="6" t="n"/>
      <c r="S22" s="6" t="n"/>
      <c r="T22" s="6" t="n"/>
      <c r="U22" s="6" t="n"/>
      <c r="V22" s="6" t="n"/>
      <c r="W22" s="6" t="n"/>
      <c r="X22" s="6" t="n"/>
      <c r="Y22" s="6" t="n"/>
      <c r="Z22" s="6" t="n"/>
    </row>
    <row r="23" ht="31.5" customHeight="1" s="12">
      <c r="A23" s="1" t="n"/>
      <c r="B23" s="6" t="n"/>
      <c r="C23" s="13" t="n"/>
      <c r="D23" s="1" t="n"/>
      <c r="E23" s="14" t="n"/>
      <c r="F23" s="18" t="inlineStr">
        <is>
          <t>DATE:9/30/2026</t>
        </is>
      </c>
      <c r="G23" s="6" t="n"/>
      <c r="H23" s="6" t="n"/>
      <c r="I23" s="6" t="n"/>
      <c r="J23" s="6" t="n"/>
      <c r="K23" s="6" t="n"/>
      <c r="L23" s="6" t="n"/>
      <c r="M23" s="6" t="n"/>
      <c r="N23" s="6" t="n"/>
      <c r="O23" s="6" t="n"/>
      <c r="P23" s="6" t="n"/>
      <c r="Q23" s="6" t="n"/>
      <c r="R23" s="6" t="n"/>
      <c r="S23" s="6" t="n"/>
      <c r="T23" s="6" t="n"/>
      <c r="U23" s="6" t="n"/>
      <c r="V23" s="6" t="n"/>
      <c r="W23" s="6" t="n"/>
      <c r="X23" s="6" t="n"/>
      <c r="Y23" s="6" t="n"/>
      <c r="Z23" s="6" t="n"/>
    </row>
    <row r="24" ht="31.5" customHeight="1" s="12">
      <c r="A24" s="1" t="n"/>
      <c r="B24" s="6" t="n"/>
      <c r="C24" s="13" t="n"/>
      <c r="D24" s="1" t="n"/>
      <c r="E24" s="14" t="n"/>
      <c r="F24" s="14" t="n"/>
      <c r="G24" s="6" t="n"/>
      <c r="H24" s="6" t="n"/>
      <c r="I24" s="6" t="n"/>
      <c r="J24" s="6" t="n"/>
      <c r="K24" s="6" t="n"/>
      <c r="L24" s="6" t="n"/>
      <c r="M24" s="6" t="n"/>
      <c r="N24" s="6" t="n"/>
      <c r="O24" s="6" t="n"/>
      <c r="P24" s="6" t="n"/>
      <c r="Q24" s="6" t="n"/>
      <c r="R24" s="6" t="n"/>
      <c r="S24" s="6" t="n"/>
      <c r="T24" s="6" t="n"/>
      <c r="U24" s="6" t="n"/>
      <c r="V24" s="6" t="n"/>
      <c r="W24" s="6" t="n"/>
      <c r="X24" s="6" t="n"/>
      <c r="Y24" s="6" t="n"/>
      <c r="Z24" s="6" t="n"/>
    </row>
    <row r="25" ht="31.5" customHeight="1" s="12">
      <c r="A25" s="19" t="n"/>
      <c r="B25" s="20" t="n"/>
      <c r="C25" s="15" t="n"/>
      <c r="D25" s="19" t="n"/>
      <c r="E25" s="21" t="n"/>
      <c r="F25" s="22"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31.5" customHeight="1" s="12">
      <c r="A26" s="1" t="n"/>
      <c r="B26" s="6" t="n"/>
      <c r="C26" s="13" t="n"/>
      <c r="D26" s="1" t="n"/>
      <c r="E26" s="14" t="n"/>
      <c r="F26" s="14" t="n"/>
      <c r="G26" s="6" t="n"/>
      <c r="H26" s="6" t="n"/>
      <c r="I26" s="6" t="n"/>
      <c r="J26" s="6" t="n"/>
      <c r="K26" s="6" t="n"/>
      <c r="L26" s="6" t="n"/>
      <c r="M26" s="6" t="n"/>
      <c r="N26" s="6" t="n"/>
      <c r="O26" s="6" t="n"/>
      <c r="P26" s="6" t="n"/>
      <c r="Q26" s="6" t="n"/>
      <c r="R26" s="6" t="n"/>
      <c r="S26" s="6" t="n"/>
      <c r="T26" s="6" t="n"/>
      <c r="U26" s="6" t="n"/>
      <c r="V26" s="6" t="n"/>
      <c r="W26" s="6" t="n"/>
      <c r="X26" s="6" t="n"/>
      <c r="Y26" s="6" t="n"/>
      <c r="Z26" s="6" t="n"/>
    </row>
    <row r="27" ht="31.5" customHeight="1" s="12">
      <c r="A27" s="1" t="n"/>
      <c r="B27" s="6" t="n"/>
      <c r="C27" s="13" t="n"/>
      <c r="D27" s="1" t="n"/>
      <c r="E27" s="14" t="n"/>
      <c r="F27" s="14" t="n"/>
      <c r="G27" s="6" t="n"/>
      <c r="H27" s="6" t="n"/>
      <c r="I27" s="6" t="n"/>
      <c r="J27" s="6" t="n"/>
      <c r="K27" s="6" t="n"/>
      <c r="L27" s="6" t="n"/>
      <c r="M27" s="6" t="n"/>
      <c r="N27" s="6" t="n"/>
      <c r="O27" s="6" t="n"/>
      <c r="P27" s="6" t="n"/>
      <c r="Q27" s="6" t="n"/>
      <c r="R27" s="6" t="n"/>
      <c r="S27" s="6" t="n"/>
      <c r="T27" s="6" t="n"/>
      <c r="U27" s="6" t="n"/>
      <c r="V27" s="6" t="n"/>
      <c r="W27" s="6" t="n"/>
      <c r="X27" s="6" t="n"/>
      <c r="Y27" s="6" t="n"/>
      <c r="Z27" s="6" t="n"/>
    </row>
    <row r="28" ht="31.5" customHeight="1" s="12">
      <c r="A28" s="1" t="n"/>
      <c r="B28" s="6" t="n"/>
      <c r="C28" s="13" t="n"/>
      <c r="D28" s="1" t="n"/>
      <c r="E28" s="14" t="n"/>
      <c r="F28" s="14" t="n"/>
      <c r="G28" s="6" t="n"/>
      <c r="H28" s="6" t="n"/>
      <c r="I28" s="6" t="n"/>
      <c r="J28" s="6" t="n"/>
      <c r="K28" s="6" t="n"/>
      <c r="L28" s="6" t="n"/>
      <c r="M28" s="6" t="n"/>
      <c r="N28" s="6" t="n"/>
      <c r="O28" s="6" t="n"/>
      <c r="P28" s="6" t="n"/>
      <c r="Q28" s="6" t="n"/>
      <c r="R28" s="6" t="n"/>
      <c r="S28" s="6" t="n"/>
      <c r="T28" s="6" t="n"/>
      <c r="U28" s="6" t="n"/>
      <c r="V28" s="6" t="n"/>
      <c r="W28" s="6" t="n"/>
      <c r="X28" s="6" t="n"/>
      <c r="Y28" s="6" t="n"/>
      <c r="Z28" s="6" t="n"/>
    </row>
    <row r="29" ht="31.5" customHeight="1" s="12">
      <c r="A29" s="1" t="n"/>
      <c r="B29" s="6" t="n"/>
      <c r="C29" s="13" t="n"/>
      <c r="D29" s="1" t="n"/>
      <c r="E29" s="14" t="n"/>
      <c r="F29" s="14" t="n"/>
      <c r="G29" s="6" t="n"/>
      <c r="H29" s="6" t="n"/>
      <c r="I29" s="6" t="n"/>
      <c r="J29" s="6" t="n"/>
      <c r="K29" s="6" t="n"/>
      <c r="L29" s="6" t="n"/>
      <c r="M29" s="6" t="n"/>
      <c r="N29" s="6" t="n"/>
      <c r="O29" s="6" t="n"/>
      <c r="P29" s="6" t="n"/>
      <c r="Q29" s="6" t="n"/>
      <c r="R29" s="6" t="n"/>
      <c r="S29" s="6" t="n"/>
      <c r="T29" s="6" t="n"/>
      <c r="U29" s="6" t="n"/>
      <c r="V29" s="6" t="n"/>
      <c r="W29" s="6" t="n"/>
      <c r="X29" s="6" t="n"/>
      <c r="Y29" s="6" t="n"/>
      <c r="Z29" s="6" t="n"/>
    </row>
    <row r="30" ht="31.5" customHeight="1" s="12">
      <c r="A30" s="1" t="n"/>
      <c r="B30" s="6" t="n"/>
      <c r="C30" s="13" t="n"/>
      <c r="D30" s="1" t="n"/>
      <c r="E30" s="14" t="n"/>
      <c r="F30" s="14" t="n"/>
      <c r="G30" s="6" t="n"/>
      <c r="H30" s="6" t="n"/>
      <c r="I30" s="6" t="n"/>
      <c r="J30" s="6" t="n"/>
      <c r="K30" s="6" t="n"/>
      <c r="L30" s="6" t="n"/>
      <c r="M30" s="6" t="n"/>
      <c r="N30" s="6" t="n"/>
      <c r="O30" s="6" t="n"/>
      <c r="P30" s="6" t="n"/>
      <c r="Q30" s="6" t="n"/>
      <c r="R30" s="6" t="n"/>
      <c r="S30" s="6" t="n"/>
      <c r="T30" s="6" t="n"/>
      <c r="U30" s="6" t="n"/>
      <c r="V30" s="6" t="n"/>
      <c r="W30" s="6" t="n"/>
      <c r="X30" s="6" t="n"/>
      <c r="Y30" s="6" t="n"/>
      <c r="Z30" s="6" t="n"/>
    </row>
    <row r="31" ht="31.5" customHeight="1" s="12">
      <c r="A31" s="1" t="n"/>
      <c r="B31" s="6" t="n"/>
      <c r="C31" s="13" t="n"/>
      <c r="D31" s="1" t="n"/>
      <c r="E31" s="14" t="n"/>
      <c r="F31" s="14" t="n"/>
      <c r="G31" s="6" t="n"/>
      <c r="H31" s="6" t="n"/>
      <c r="I31" s="6" t="n"/>
      <c r="J31" s="6" t="n"/>
      <c r="K31" s="6" t="n"/>
      <c r="L31" s="6" t="n"/>
      <c r="M31" s="6" t="n"/>
      <c r="N31" s="6" t="n"/>
      <c r="O31" s="6" t="n"/>
      <c r="P31" s="6" t="n"/>
      <c r="Q31" s="6" t="n"/>
      <c r="R31" s="6" t="n"/>
      <c r="S31" s="6" t="n"/>
      <c r="T31" s="6" t="n"/>
      <c r="U31" s="6" t="n"/>
      <c r="V31" s="6" t="n"/>
      <c r="W31" s="6" t="n"/>
      <c r="X31" s="6" t="n"/>
      <c r="Y31" s="6" t="n"/>
      <c r="Z31" s="6" t="n"/>
    </row>
    <row r="32" ht="31.5" customHeight="1" s="12">
      <c r="A32" s="1" t="n"/>
      <c r="B32" s="6" t="n"/>
      <c r="C32" s="13" t="n"/>
      <c r="D32" s="1" t="n"/>
      <c r="E32" s="14" t="n"/>
      <c r="F32" s="14" t="n"/>
      <c r="G32" s="6" t="n"/>
      <c r="H32" s="6" t="n"/>
      <c r="I32" s="6" t="n"/>
      <c r="J32" s="6" t="n"/>
      <c r="K32" s="6" t="n"/>
      <c r="L32" s="6" t="n"/>
      <c r="M32" s="6" t="n"/>
      <c r="N32" s="6" t="n"/>
      <c r="O32" s="6" t="n"/>
      <c r="P32" s="6" t="n"/>
      <c r="Q32" s="6" t="n"/>
      <c r="R32" s="6" t="n"/>
      <c r="S32" s="6" t="n"/>
      <c r="T32" s="6" t="n"/>
      <c r="U32" s="6" t="n"/>
      <c r="V32" s="6" t="n"/>
      <c r="W32" s="6" t="n"/>
      <c r="X32" s="6" t="n"/>
      <c r="Y32" s="6" t="n"/>
      <c r="Z32" s="6" t="n"/>
    </row>
    <row r="33" ht="31.5" customHeight="1" s="12">
      <c r="A33" s="1" t="n"/>
      <c r="B33" s="6" t="n"/>
      <c r="C33" s="13" t="n"/>
      <c r="D33" s="1" t="n"/>
      <c r="E33" s="14" t="n"/>
      <c r="F33" s="14" t="n"/>
      <c r="G33" s="6" t="n"/>
      <c r="H33" s="6" t="n"/>
      <c r="I33" s="6" t="n"/>
      <c r="J33" s="6" t="n"/>
      <c r="K33" s="6" t="n"/>
      <c r="L33" s="6" t="n"/>
      <c r="M33" s="6" t="n"/>
      <c r="N33" s="6" t="n"/>
      <c r="O33" s="6" t="n"/>
      <c r="P33" s="6" t="n"/>
      <c r="Q33" s="6" t="n"/>
      <c r="R33" s="6" t="n"/>
      <c r="S33" s="6" t="n"/>
      <c r="T33" s="6" t="n"/>
      <c r="U33" s="6" t="n"/>
      <c r="V33" s="6" t="n"/>
      <c r="W33" s="6" t="n"/>
      <c r="X33" s="6" t="n"/>
      <c r="Y33" s="6" t="n"/>
      <c r="Z33" s="6" t="n"/>
    </row>
    <row r="34" ht="31.5" customHeight="1" s="12">
      <c r="A34" s="1" t="n"/>
      <c r="B34" s="6" t="n"/>
      <c r="C34" s="13" t="n"/>
      <c r="D34" s="1" t="n"/>
      <c r="E34" s="14" t="n"/>
      <c r="F34" s="14" t="n"/>
      <c r="G34" s="6" t="n"/>
      <c r="H34" s="6" t="n"/>
      <c r="I34" s="6" t="n"/>
      <c r="J34" s="6" t="n"/>
      <c r="K34" s="6" t="n"/>
      <c r="L34" s="6" t="n"/>
      <c r="M34" s="6" t="n"/>
      <c r="N34" s="6" t="n"/>
      <c r="O34" s="6" t="n"/>
      <c r="P34" s="6" t="n"/>
      <c r="Q34" s="6" t="n"/>
      <c r="R34" s="6" t="n"/>
      <c r="S34" s="6" t="n"/>
      <c r="T34" s="6" t="n"/>
      <c r="U34" s="6" t="n"/>
      <c r="V34" s="6" t="n"/>
      <c r="W34" s="6" t="n"/>
      <c r="X34" s="6" t="n"/>
      <c r="Y34" s="6" t="n"/>
      <c r="Z34" s="6" t="n"/>
    </row>
    <row r="35" ht="31.5" customHeight="1" s="12">
      <c r="A35" s="1" t="n"/>
      <c r="B35" s="6" t="n"/>
      <c r="C35" s="13" t="n"/>
      <c r="D35" s="1" t="n"/>
      <c r="E35" s="14" t="n"/>
      <c r="F35" s="14" t="n"/>
      <c r="G35" s="6" t="n"/>
      <c r="H35" s="6" t="n"/>
      <c r="I35" s="6" t="n"/>
      <c r="J35" s="6" t="n"/>
      <c r="K35" s="6" t="n"/>
      <c r="L35" s="6" t="n"/>
      <c r="M35" s="6" t="n"/>
      <c r="N35" s="6" t="n"/>
      <c r="O35" s="6" t="n"/>
      <c r="P35" s="6" t="n"/>
      <c r="Q35" s="6" t="n"/>
      <c r="R35" s="6" t="n"/>
      <c r="S35" s="6" t="n"/>
      <c r="T35" s="6" t="n"/>
      <c r="U35" s="6" t="n"/>
      <c r="V35" s="6" t="n"/>
      <c r="W35" s="6" t="n"/>
      <c r="X35" s="6" t="n"/>
      <c r="Y35" s="6" t="n"/>
      <c r="Z35" s="6" t="n"/>
    </row>
    <row r="36" ht="31.5" customHeight="1" s="12">
      <c r="A36" s="1" t="n"/>
      <c r="B36" s="6" t="n"/>
      <c r="C36" s="13" t="n"/>
      <c r="D36" s="1" t="n"/>
      <c r="E36" s="14" t="n"/>
      <c r="F36" s="14" t="n"/>
      <c r="G36" s="6" t="n"/>
      <c r="H36" s="6" t="n"/>
      <c r="I36" s="6" t="n"/>
      <c r="J36" s="6" t="n"/>
      <c r="K36" s="6" t="n"/>
      <c r="L36" s="6" t="n"/>
      <c r="M36" s="6" t="n"/>
      <c r="N36" s="6" t="n"/>
      <c r="O36" s="6" t="n"/>
      <c r="P36" s="6" t="n"/>
      <c r="Q36" s="6" t="n"/>
      <c r="R36" s="6" t="n"/>
      <c r="S36" s="6" t="n"/>
      <c r="T36" s="6" t="n"/>
      <c r="U36" s="6" t="n"/>
      <c r="V36" s="6" t="n"/>
      <c r="W36" s="6" t="n"/>
      <c r="X36" s="6" t="n"/>
      <c r="Y36" s="6" t="n"/>
      <c r="Z36" s="6" t="n"/>
    </row>
    <row r="37" ht="31.5" customHeight="1" s="12">
      <c r="A37" s="1" t="n"/>
      <c r="B37" s="6" t="n"/>
      <c r="C37" s="13" t="n"/>
      <c r="D37" s="1" t="n"/>
      <c r="E37" s="14" t="n"/>
      <c r="F37" s="14" t="n"/>
      <c r="G37" s="6" t="n"/>
      <c r="H37" s="6" t="n"/>
      <c r="I37" s="6" t="n"/>
      <c r="J37" s="6" t="n"/>
      <c r="K37" s="6" t="n"/>
      <c r="L37" s="6" t="n"/>
      <c r="M37" s="6" t="n"/>
      <c r="N37" s="6" t="n"/>
      <c r="O37" s="6" t="n"/>
      <c r="P37" s="6" t="n"/>
      <c r="Q37" s="6" t="n"/>
      <c r="R37" s="6" t="n"/>
      <c r="S37" s="6" t="n"/>
      <c r="T37" s="6" t="n"/>
      <c r="U37" s="6" t="n"/>
      <c r="V37" s="6" t="n"/>
      <c r="W37" s="6" t="n"/>
      <c r="X37" s="6" t="n"/>
      <c r="Y37" s="6" t="n"/>
      <c r="Z37" s="6" t="n"/>
    </row>
    <row r="38" ht="31.5" customHeight="1" s="12">
      <c r="A38" s="1" t="n"/>
      <c r="B38" s="6" t="n"/>
      <c r="C38" s="13" t="n"/>
      <c r="D38" s="1" t="n"/>
      <c r="E38" s="14" t="n"/>
      <c r="F38" s="14" t="n"/>
      <c r="G38" s="6" t="n"/>
      <c r="H38" s="6" t="n"/>
      <c r="I38" s="6" t="n"/>
      <c r="J38" s="6" t="n"/>
      <c r="K38" s="6" t="n"/>
      <c r="L38" s="6" t="n"/>
      <c r="M38" s="6" t="n"/>
      <c r="N38" s="6" t="n"/>
      <c r="O38" s="6" t="n"/>
      <c r="P38" s="6" t="n"/>
      <c r="Q38" s="6" t="n"/>
      <c r="R38" s="6" t="n"/>
      <c r="S38" s="6" t="n"/>
      <c r="T38" s="6" t="n"/>
      <c r="U38" s="6" t="n"/>
      <c r="V38" s="6" t="n"/>
      <c r="W38" s="6" t="n"/>
      <c r="X38" s="6" t="n"/>
      <c r="Y38" s="6" t="n"/>
      <c r="Z38" s="6" t="n"/>
    </row>
    <row r="39" ht="31.5" customHeight="1" s="12">
      <c r="A39" s="1" t="n"/>
      <c r="B39" s="6" t="n"/>
      <c r="C39" s="13" t="n"/>
      <c r="D39" s="1" t="n"/>
      <c r="E39" s="14" t="n"/>
      <c r="F39" s="14" t="n"/>
      <c r="G39" s="6" t="n"/>
      <c r="H39" s="6" t="n"/>
      <c r="I39" s="6" t="n"/>
      <c r="J39" s="6" t="n"/>
      <c r="K39" s="6" t="n"/>
      <c r="L39" s="6" t="n"/>
      <c r="M39" s="6" t="n"/>
      <c r="N39" s="6" t="n"/>
      <c r="O39" s="6" t="n"/>
      <c r="P39" s="6" t="n"/>
      <c r="Q39" s="6" t="n"/>
      <c r="R39" s="6" t="n"/>
      <c r="S39" s="6" t="n"/>
      <c r="T39" s="6" t="n"/>
      <c r="U39" s="6" t="n"/>
      <c r="V39" s="6" t="n"/>
      <c r="W39" s="6" t="n"/>
      <c r="X39" s="6" t="n"/>
      <c r="Y39" s="6" t="n"/>
      <c r="Z39" s="6" t="n"/>
    </row>
    <row r="40" ht="31.5" customHeight="1" s="12">
      <c r="A40" s="1" t="n"/>
      <c r="B40" s="6" t="n"/>
      <c r="C40" s="13" t="n"/>
      <c r="D40" s="1" t="n"/>
      <c r="E40" s="14" t="n"/>
      <c r="F40" s="14" t="n"/>
      <c r="G40" s="6" t="n"/>
      <c r="H40" s="6" t="n"/>
      <c r="I40" s="6" t="n"/>
      <c r="J40" s="6" t="n"/>
      <c r="K40" s="6" t="n"/>
      <c r="L40" s="6" t="n"/>
      <c r="M40" s="6" t="n"/>
      <c r="N40" s="6" t="n"/>
      <c r="O40" s="6" t="n"/>
      <c r="P40" s="6" t="n"/>
      <c r="Q40" s="6" t="n"/>
      <c r="R40" s="6" t="n"/>
      <c r="S40" s="6" t="n"/>
      <c r="T40" s="6" t="n"/>
      <c r="U40" s="6" t="n"/>
      <c r="V40" s="6" t="n"/>
      <c r="W40" s="6" t="n"/>
      <c r="X40" s="6" t="n"/>
      <c r="Y40" s="6" t="n"/>
      <c r="Z40" s="6" t="n"/>
    </row>
    <row r="41" ht="31.5" customHeight="1" s="12">
      <c r="A41" s="1" t="n"/>
      <c r="B41" s="6" t="n"/>
      <c r="C41" s="13" t="n"/>
      <c r="D41" s="1" t="n"/>
      <c r="E41" s="14" t="n"/>
      <c r="F41" s="14" t="n"/>
      <c r="G41" s="6" t="n"/>
      <c r="H41" s="6" t="n"/>
      <c r="I41" s="6" t="n"/>
      <c r="J41" s="6" t="n"/>
      <c r="K41" s="6" t="n"/>
      <c r="L41" s="6" t="n"/>
      <c r="M41" s="6" t="n"/>
      <c r="N41" s="6" t="n"/>
      <c r="O41" s="6" t="n"/>
      <c r="P41" s="6" t="n"/>
      <c r="Q41" s="6" t="n"/>
      <c r="R41" s="6" t="n"/>
      <c r="S41" s="6" t="n"/>
      <c r="T41" s="6" t="n"/>
      <c r="U41" s="6" t="n"/>
      <c r="V41" s="6" t="n"/>
      <c r="W41" s="6" t="n"/>
      <c r="X41" s="6" t="n"/>
      <c r="Y41" s="6" t="n"/>
      <c r="Z41" s="6" t="n"/>
    </row>
    <row r="42" ht="31.5" customHeight="1" s="12">
      <c r="A42" s="1" t="n"/>
      <c r="B42" s="6" t="n"/>
      <c r="C42" s="13" t="n"/>
      <c r="D42" s="1" t="n"/>
      <c r="E42" s="14" t="n"/>
      <c r="F42" s="14" t="n"/>
      <c r="G42" s="6" t="n"/>
      <c r="H42" s="6" t="n"/>
      <c r="I42" s="6" t="n"/>
      <c r="J42" s="6" t="n"/>
      <c r="K42" s="6" t="n"/>
      <c r="L42" s="6" t="n"/>
      <c r="M42" s="6" t="n"/>
      <c r="N42" s="6" t="n"/>
      <c r="O42" s="6" t="n"/>
      <c r="P42" s="6" t="n"/>
      <c r="Q42" s="6" t="n"/>
      <c r="R42" s="6" t="n"/>
      <c r="S42" s="6" t="n"/>
      <c r="T42" s="6" t="n"/>
      <c r="U42" s="6" t="n"/>
      <c r="V42" s="6" t="n"/>
      <c r="W42" s="6" t="n"/>
      <c r="X42" s="6" t="n"/>
      <c r="Y42" s="6" t="n"/>
      <c r="Z42" s="6" t="n"/>
    </row>
    <row r="43" ht="31.5" customHeight="1" s="12">
      <c r="A43" s="1" t="n"/>
      <c r="B43" s="6" t="n"/>
      <c r="C43" s="13" t="n"/>
      <c r="D43" s="1" t="n"/>
      <c r="E43" s="14" t="n"/>
      <c r="F43" s="14" t="n"/>
      <c r="G43" s="6" t="n"/>
      <c r="H43" s="6" t="n"/>
      <c r="I43" s="6" t="n"/>
      <c r="J43" s="6" t="n"/>
      <c r="K43" s="6" t="n"/>
      <c r="L43" s="6" t="n"/>
      <c r="M43" s="6" t="n"/>
      <c r="N43" s="6" t="n"/>
      <c r="O43" s="6" t="n"/>
      <c r="P43" s="6" t="n"/>
      <c r="Q43" s="6" t="n"/>
      <c r="R43" s="6" t="n"/>
      <c r="S43" s="6" t="n"/>
      <c r="T43" s="6" t="n"/>
      <c r="U43" s="6" t="n"/>
      <c r="V43" s="6" t="n"/>
      <c r="W43" s="6" t="n"/>
      <c r="X43" s="6" t="n"/>
      <c r="Y43" s="6" t="n"/>
      <c r="Z43" s="6" t="n"/>
    </row>
    <row r="44" ht="31.5" customHeight="1" s="12">
      <c r="A44" s="1" t="n"/>
      <c r="B44" s="6" t="n"/>
      <c r="C44" s="13" t="n"/>
      <c r="D44" s="1" t="n"/>
      <c r="E44" s="14" t="n"/>
      <c r="F44" s="14" t="n"/>
      <c r="G44" s="6" t="n"/>
      <c r="H44" s="6" t="n"/>
      <c r="I44" s="6" t="n"/>
      <c r="J44" s="6" t="n"/>
      <c r="K44" s="6" t="n"/>
      <c r="L44" s="6" t="n"/>
      <c r="M44" s="6" t="n"/>
      <c r="N44" s="6" t="n"/>
      <c r="O44" s="6" t="n"/>
      <c r="P44" s="6" t="n"/>
      <c r="Q44" s="6" t="n"/>
      <c r="R44" s="6" t="n"/>
      <c r="S44" s="6" t="n"/>
      <c r="T44" s="6" t="n"/>
      <c r="U44" s="6" t="n"/>
      <c r="V44" s="6" t="n"/>
      <c r="W44" s="6" t="n"/>
      <c r="X44" s="6" t="n"/>
      <c r="Y44" s="6" t="n"/>
      <c r="Z44" s="6" t="n"/>
    </row>
    <row r="45" ht="31.5" customHeight="1" s="12">
      <c r="A45" s="1" t="n"/>
      <c r="B45" s="6" t="n"/>
      <c r="C45" s="13" t="n"/>
      <c r="D45" s="1" t="n"/>
      <c r="E45" s="14" t="n"/>
      <c r="F45" s="14" t="n"/>
      <c r="G45" s="6" t="n"/>
      <c r="H45" s="6" t="n"/>
      <c r="I45" s="6" t="n"/>
      <c r="J45" s="6" t="n"/>
      <c r="K45" s="6" t="n"/>
      <c r="L45" s="6" t="n"/>
      <c r="M45" s="6" t="n"/>
      <c r="N45" s="6" t="n"/>
      <c r="O45" s="6" t="n"/>
      <c r="P45" s="6" t="n"/>
      <c r="Q45" s="6" t="n"/>
      <c r="R45" s="6" t="n"/>
      <c r="S45" s="6" t="n"/>
      <c r="T45" s="6" t="n"/>
      <c r="U45" s="6" t="n"/>
      <c r="V45" s="6" t="n"/>
      <c r="W45" s="6" t="n"/>
      <c r="X45" s="6" t="n"/>
      <c r="Y45" s="6" t="n"/>
      <c r="Z45" s="6" t="n"/>
    </row>
    <row r="46" ht="31.5" customHeight="1" s="12">
      <c r="A46" s="1" t="n"/>
      <c r="B46" s="6" t="n"/>
      <c r="C46" s="13" t="n"/>
      <c r="D46" s="1" t="n"/>
      <c r="E46" s="14" t="n"/>
      <c r="F46" s="14" t="n"/>
      <c r="G46" s="6" t="n"/>
      <c r="H46" s="6" t="n"/>
      <c r="I46" s="6" t="n"/>
      <c r="J46" s="6" t="n"/>
      <c r="K46" s="6" t="n"/>
      <c r="L46" s="6" t="n"/>
      <c r="M46" s="6" t="n"/>
      <c r="N46" s="6" t="n"/>
      <c r="O46" s="6" t="n"/>
      <c r="P46" s="6" t="n"/>
      <c r="Q46" s="6" t="n"/>
      <c r="R46" s="6" t="n"/>
      <c r="S46" s="6" t="n"/>
      <c r="T46" s="6" t="n"/>
      <c r="U46" s="6" t="n"/>
      <c r="V46" s="6" t="n"/>
      <c r="W46" s="6" t="n"/>
      <c r="X46" s="6" t="n"/>
      <c r="Y46" s="6" t="n"/>
      <c r="Z46" s="6" t="n"/>
    </row>
    <row r="47" ht="31.5" customHeight="1" s="12">
      <c r="A47" s="1" t="n"/>
      <c r="B47" s="6" t="n"/>
      <c r="C47" s="13" t="n"/>
      <c r="D47" s="1" t="n"/>
      <c r="E47" s="14" t="n"/>
      <c r="F47" s="14" t="n"/>
      <c r="G47" s="6" t="n"/>
      <c r="H47" s="6" t="n"/>
      <c r="I47" s="6" t="n"/>
      <c r="J47" s="6" t="n"/>
      <c r="K47" s="6" t="n"/>
      <c r="L47" s="6" t="n"/>
      <c r="M47" s="6" t="n"/>
      <c r="N47" s="6" t="n"/>
      <c r="O47" s="6" t="n"/>
      <c r="P47" s="6" t="n"/>
      <c r="Q47" s="6" t="n"/>
      <c r="R47" s="6" t="n"/>
      <c r="S47" s="6" t="n"/>
      <c r="T47" s="6" t="n"/>
      <c r="U47" s="6" t="n"/>
      <c r="V47" s="6" t="n"/>
      <c r="W47" s="6" t="n"/>
      <c r="X47" s="6" t="n"/>
      <c r="Y47" s="6" t="n"/>
      <c r="Z47" s="6" t="n"/>
    </row>
    <row r="48" ht="31.5" customHeight="1" s="12">
      <c r="A48" s="1" t="n"/>
      <c r="B48" s="6" t="n"/>
      <c r="C48" s="13" t="n"/>
      <c r="D48" s="1" t="n"/>
      <c r="E48" s="14" t="n"/>
      <c r="F48" s="14" t="n"/>
      <c r="G48" s="6" t="n"/>
      <c r="H48" s="6" t="n"/>
      <c r="I48" s="6" t="n"/>
      <c r="J48" s="6" t="n"/>
      <c r="K48" s="6" t="n"/>
      <c r="L48" s="6" t="n"/>
      <c r="M48" s="6" t="n"/>
      <c r="N48" s="6" t="n"/>
      <c r="O48" s="6" t="n"/>
      <c r="P48" s="6" t="n"/>
      <c r="Q48" s="6" t="n"/>
      <c r="R48" s="6" t="n"/>
      <c r="S48" s="6" t="n"/>
      <c r="T48" s="6" t="n"/>
      <c r="U48" s="6" t="n"/>
      <c r="V48" s="6" t="n"/>
      <c r="W48" s="6" t="n"/>
      <c r="X48" s="6" t="n"/>
      <c r="Y48" s="6" t="n"/>
      <c r="Z48" s="6" t="n"/>
    </row>
    <row r="49" ht="31.5" customHeight="1" s="12">
      <c r="A49" s="1" t="n"/>
      <c r="B49" s="6" t="n"/>
      <c r="C49" s="13" t="n"/>
      <c r="D49" s="1" t="n"/>
      <c r="E49" s="14" t="n"/>
      <c r="F49" s="14" t="n"/>
      <c r="G49" s="6" t="n"/>
      <c r="H49" s="6" t="n"/>
      <c r="I49" s="6" t="n"/>
      <c r="J49" s="6" t="n"/>
      <c r="K49" s="6" t="n"/>
      <c r="L49" s="6" t="n"/>
      <c r="M49" s="6" t="n"/>
      <c r="N49" s="6" t="n"/>
      <c r="O49" s="6" t="n"/>
      <c r="P49" s="6" t="n"/>
      <c r="Q49" s="6" t="n"/>
      <c r="R49" s="6" t="n"/>
      <c r="S49" s="6" t="n"/>
      <c r="T49" s="6" t="n"/>
      <c r="U49" s="6" t="n"/>
      <c r="V49" s="6" t="n"/>
      <c r="W49" s="6" t="n"/>
      <c r="X49" s="6" t="n"/>
      <c r="Y49" s="6" t="n"/>
      <c r="Z49" s="6" t="n"/>
    </row>
    <row r="50" ht="31.5" customHeight="1" s="12">
      <c r="A50" s="1" t="n"/>
      <c r="B50" s="6" t="n"/>
      <c r="C50" s="13" t="n"/>
      <c r="D50" s="1" t="n"/>
      <c r="E50" s="14" t="n"/>
      <c r="F50" s="14" t="n"/>
      <c r="G50" s="6" t="n"/>
      <c r="H50" s="6" t="n"/>
      <c r="I50" s="6" t="n"/>
      <c r="J50" s="6" t="n"/>
      <c r="K50" s="6" t="n"/>
      <c r="L50" s="6" t="n"/>
      <c r="M50" s="6" t="n"/>
      <c r="N50" s="6" t="n"/>
      <c r="O50" s="6" t="n"/>
      <c r="P50" s="6" t="n"/>
      <c r="Q50" s="6" t="n"/>
      <c r="R50" s="6" t="n"/>
      <c r="S50" s="6" t="n"/>
      <c r="T50" s="6" t="n"/>
      <c r="U50" s="6" t="n"/>
      <c r="V50" s="6" t="n"/>
      <c r="W50" s="6" t="n"/>
      <c r="X50" s="6" t="n"/>
      <c r="Y50" s="6" t="n"/>
      <c r="Z50" s="6" t="n"/>
    </row>
    <row r="51" ht="31.5" customHeight="1" s="12">
      <c r="A51" s="1" t="n"/>
      <c r="B51" s="6" t="n"/>
      <c r="C51" s="13" t="n"/>
      <c r="D51" s="1" t="n"/>
      <c r="E51" s="14" t="n"/>
      <c r="F51" s="14" t="n"/>
      <c r="G51" s="6" t="n"/>
      <c r="H51" s="6" t="n"/>
      <c r="I51" s="6" t="n"/>
      <c r="J51" s="6" t="n"/>
      <c r="K51" s="6" t="n"/>
      <c r="L51" s="6" t="n"/>
      <c r="M51" s="6" t="n"/>
      <c r="N51" s="6" t="n"/>
      <c r="O51" s="6" t="n"/>
      <c r="P51" s="6" t="n"/>
      <c r="Q51" s="6" t="n"/>
      <c r="R51" s="6" t="n"/>
      <c r="S51" s="6" t="n"/>
      <c r="T51" s="6" t="n"/>
      <c r="U51" s="6" t="n"/>
      <c r="V51" s="6" t="n"/>
      <c r="W51" s="6" t="n"/>
      <c r="X51" s="6" t="n"/>
      <c r="Y51" s="6" t="n"/>
      <c r="Z51" s="6" t="n"/>
    </row>
    <row r="52" ht="31.5" customHeight="1" s="12">
      <c r="A52" s="1" t="n"/>
      <c r="B52" s="6" t="n"/>
      <c r="C52" s="13" t="n"/>
      <c r="D52" s="1" t="n"/>
      <c r="E52" s="14" t="n"/>
      <c r="F52" s="14" t="n"/>
      <c r="G52" s="6" t="n"/>
      <c r="H52" s="6" t="n"/>
      <c r="I52" s="6" t="n"/>
      <c r="J52" s="6" t="n"/>
      <c r="K52" s="6" t="n"/>
      <c r="L52" s="6" t="n"/>
      <c r="M52" s="6" t="n"/>
      <c r="N52" s="6" t="n"/>
      <c r="O52" s="6" t="n"/>
      <c r="P52" s="6" t="n"/>
      <c r="Q52" s="6" t="n"/>
      <c r="R52" s="6" t="n"/>
      <c r="S52" s="6" t="n"/>
      <c r="T52" s="6" t="n"/>
      <c r="U52" s="6" t="n"/>
      <c r="V52" s="6" t="n"/>
      <c r="W52" s="6" t="n"/>
      <c r="X52" s="6" t="n"/>
      <c r="Y52" s="6" t="n"/>
      <c r="Z52" s="6" t="n"/>
    </row>
    <row r="53" ht="31.5" customHeight="1" s="12">
      <c r="A53" s="1" t="n"/>
      <c r="B53" s="6" t="n"/>
      <c r="C53" s="13" t="n"/>
      <c r="D53" s="1" t="n"/>
      <c r="E53" s="14" t="n"/>
      <c r="F53" s="14" t="n"/>
      <c r="G53" s="6" t="n"/>
      <c r="H53" s="6" t="n"/>
      <c r="I53" s="6" t="n"/>
      <c r="J53" s="6" t="n"/>
      <c r="K53" s="6" t="n"/>
      <c r="L53" s="6" t="n"/>
      <c r="M53" s="6" t="n"/>
      <c r="N53" s="6" t="n"/>
      <c r="O53" s="6" t="n"/>
      <c r="P53" s="6" t="n"/>
      <c r="Q53" s="6" t="n"/>
      <c r="R53" s="6" t="n"/>
      <c r="S53" s="6" t="n"/>
      <c r="T53" s="6" t="n"/>
      <c r="U53" s="6" t="n"/>
      <c r="V53" s="6" t="n"/>
      <c r="W53" s="6" t="n"/>
      <c r="X53" s="6" t="n"/>
      <c r="Y53" s="6" t="n"/>
      <c r="Z53" s="6" t="n"/>
    </row>
    <row r="54" ht="31.5" customHeight="1" s="12">
      <c r="A54" s="1" t="n"/>
      <c r="B54" s="23" t="n"/>
      <c r="C54" s="13" t="n"/>
      <c r="D54" s="1" t="n"/>
      <c r="E54" s="14" t="n"/>
      <c r="F54" s="14" t="n"/>
      <c r="G54" s="6" t="n"/>
      <c r="H54" s="6" t="n"/>
      <c r="I54" s="6" t="n"/>
      <c r="J54" s="6" t="n"/>
      <c r="K54" s="6" t="n"/>
      <c r="L54" s="6" t="n"/>
      <c r="M54" s="6" t="n"/>
      <c r="N54" s="6" t="n"/>
      <c r="O54" s="6" t="n"/>
      <c r="P54" s="6" t="n"/>
      <c r="Q54" s="6" t="n"/>
      <c r="R54" s="6" t="n"/>
      <c r="S54" s="6" t="n"/>
      <c r="T54" s="6" t="n"/>
      <c r="U54" s="6" t="n"/>
      <c r="V54" s="6" t="n"/>
      <c r="W54" s="6" t="n"/>
      <c r="X54" s="6" t="n"/>
      <c r="Y54" s="6" t="n"/>
      <c r="Z54" s="6" t="n"/>
    </row>
    <row r="55" ht="31.5" customHeight="1" s="12">
      <c r="A55" s="1" t="n"/>
      <c r="B55" s="6" t="n"/>
      <c r="C55" s="13" t="n"/>
      <c r="D55" s="1" t="n"/>
      <c r="E55" s="14" t="n"/>
      <c r="F55" s="14" t="n"/>
      <c r="G55" s="6" t="n"/>
      <c r="H55" s="6" t="n"/>
      <c r="I55" s="6" t="n"/>
      <c r="J55" s="6" t="n"/>
      <c r="K55" s="6" t="n"/>
      <c r="L55" s="6" t="n"/>
      <c r="M55" s="6" t="n"/>
      <c r="N55" s="6" t="n"/>
      <c r="O55" s="6" t="n"/>
      <c r="P55" s="6" t="n"/>
      <c r="Q55" s="6" t="n"/>
      <c r="R55" s="6" t="n"/>
      <c r="S55" s="6" t="n"/>
      <c r="T55" s="6" t="n"/>
      <c r="U55" s="6" t="n"/>
      <c r="V55" s="6" t="n"/>
      <c r="W55" s="6" t="n"/>
      <c r="X55" s="6" t="n"/>
      <c r="Y55" s="6" t="n"/>
      <c r="Z55" s="6" t="n"/>
    </row>
    <row r="56" ht="31.5" customHeight="1" s="12">
      <c r="A56" s="1" t="n"/>
      <c r="B56" s="6" t="n"/>
      <c r="C56" s="13" t="n"/>
      <c r="D56" s="1" t="n"/>
      <c r="E56" s="14" t="n"/>
      <c r="F56" s="14" t="n"/>
      <c r="G56" s="6" t="n"/>
      <c r="H56" s="6" t="n"/>
      <c r="I56" s="6" t="n"/>
      <c r="J56" s="6" t="n"/>
      <c r="K56" s="6" t="n"/>
      <c r="L56" s="6" t="n"/>
      <c r="M56" s="6" t="n"/>
      <c r="N56" s="6" t="n"/>
      <c r="O56" s="6" t="n"/>
      <c r="P56" s="6" t="n"/>
      <c r="Q56" s="6" t="n"/>
      <c r="R56" s="6" t="n"/>
      <c r="S56" s="6" t="n"/>
      <c r="T56" s="6" t="n"/>
      <c r="U56" s="6" t="n"/>
      <c r="V56" s="6" t="n"/>
      <c r="W56" s="6" t="n"/>
      <c r="X56" s="6" t="n"/>
      <c r="Y56" s="6" t="n"/>
      <c r="Z56" s="6" t="n"/>
    </row>
    <row r="57" ht="31.5" customHeight="1" s="12">
      <c r="A57" s="1" t="n"/>
      <c r="B57" s="6" t="n"/>
      <c r="C57" s="13" t="n"/>
      <c r="D57" s="1" t="n"/>
      <c r="E57" s="14" t="n"/>
      <c r="F57" s="14" t="n"/>
      <c r="G57" s="6" t="n"/>
      <c r="H57" s="6" t="n"/>
      <c r="I57" s="6" t="n"/>
      <c r="J57" s="6" t="n"/>
      <c r="K57" s="6" t="n"/>
      <c r="L57" s="6" t="n"/>
      <c r="M57" s="6" t="n"/>
      <c r="N57" s="6" t="n"/>
      <c r="O57" s="6" t="n"/>
      <c r="P57" s="6" t="n"/>
      <c r="Q57" s="6" t="n"/>
      <c r="R57" s="6" t="n"/>
      <c r="S57" s="6" t="n"/>
      <c r="T57" s="6" t="n"/>
      <c r="U57" s="6" t="n"/>
      <c r="V57" s="6" t="n"/>
      <c r="W57" s="6" t="n"/>
      <c r="X57" s="6" t="n"/>
      <c r="Y57" s="6" t="n"/>
      <c r="Z57" s="6" t="n"/>
    </row>
    <row r="58" ht="31.5" customHeight="1" s="12">
      <c r="A58" s="1" t="n"/>
      <c r="B58" s="6" t="n"/>
      <c r="C58" s="13" t="n"/>
      <c r="D58" s="1" t="n"/>
      <c r="E58" s="14" t="n"/>
      <c r="F58" s="14" t="n"/>
      <c r="G58" s="6" t="n"/>
      <c r="H58" s="6" t="n"/>
      <c r="I58" s="6" t="n"/>
      <c r="J58" s="6" t="n"/>
      <c r="K58" s="6" t="n"/>
      <c r="L58" s="6" t="n"/>
      <c r="M58" s="6" t="n"/>
      <c r="N58" s="6" t="n"/>
      <c r="O58" s="6" t="n"/>
      <c r="P58" s="6" t="n"/>
      <c r="Q58" s="6" t="n"/>
      <c r="R58" s="6" t="n"/>
      <c r="S58" s="6" t="n"/>
      <c r="T58" s="6" t="n"/>
      <c r="U58" s="6" t="n"/>
      <c r="V58" s="6" t="n"/>
      <c r="W58" s="6" t="n"/>
      <c r="X58" s="6" t="n"/>
      <c r="Y58" s="6" t="n"/>
      <c r="Z58" s="6" t="n"/>
    </row>
    <row r="59" ht="31.5" customHeight="1" s="12">
      <c r="A59" s="1" t="n"/>
      <c r="B59" s="6" t="n"/>
      <c r="C59" s="13" t="n"/>
      <c r="D59" s="1" t="n"/>
      <c r="E59" s="14" t="n"/>
      <c r="F59" s="14" t="n"/>
      <c r="G59" s="6" t="n"/>
      <c r="H59" s="6" t="n"/>
      <c r="I59" s="6" t="n"/>
      <c r="J59" s="6" t="n"/>
      <c r="K59" s="6" t="n"/>
      <c r="L59" s="6" t="n"/>
      <c r="M59" s="6" t="n"/>
      <c r="N59" s="6" t="n"/>
      <c r="O59" s="6" t="n"/>
      <c r="P59" s="6" t="n"/>
      <c r="Q59" s="6" t="n"/>
      <c r="R59" s="6" t="n"/>
      <c r="S59" s="6" t="n"/>
      <c r="T59" s="6" t="n"/>
      <c r="U59" s="6" t="n"/>
      <c r="V59" s="6" t="n"/>
      <c r="W59" s="6" t="n"/>
      <c r="X59" s="6" t="n"/>
      <c r="Y59" s="6" t="n"/>
      <c r="Z59" s="6" t="n"/>
    </row>
    <row r="60" ht="31.5" customHeight="1" s="12">
      <c r="A60" s="1" t="n"/>
      <c r="B60" s="6" t="n"/>
      <c r="C60" s="13" t="n"/>
      <c r="D60" s="1" t="n"/>
      <c r="E60" s="14" t="n"/>
      <c r="F60" s="14" t="n"/>
      <c r="G60" s="6" t="n"/>
      <c r="H60" s="6" t="n"/>
      <c r="I60" s="6" t="n"/>
      <c r="J60" s="6" t="n"/>
      <c r="K60" s="6" t="n"/>
      <c r="L60" s="6" t="n"/>
      <c r="M60" s="6" t="n"/>
      <c r="N60" s="6" t="n"/>
      <c r="O60" s="6" t="n"/>
      <c r="P60" s="6" t="n"/>
      <c r="Q60" s="6" t="n"/>
      <c r="R60" s="6" t="n"/>
      <c r="S60" s="6" t="n"/>
      <c r="T60" s="6" t="n"/>
      <c r="U60" s="6" t="n"/>
      <c r="V60" s="6" t="n"/>
      <c r="W60" s="6" t="n"/>
      <c r="X60" s="6" t="n"/>
      <c r="Y60" s="6" t="n"/>
      <c r="Z60" s="6" t="n"/>
    </row>
    <row r="61" ht="31.5" customHeight="1" s="12">
      <c r="A61" s="1" t="n"/>
      <c r="B61" s="6" t="n"/>
      <c r="C61" s="13" t="n"/>
      <c r="D61" s="1" t="n"/>
      <c r="E61" s="14" t="n"/>
      <c r="F61" s="14" t="n"/>
      <c r="G61" s="6" t="n"/>
      <c r="H61" s="6" t="n"/>
      <c r="I61" s="6" t="n"/>
      <c r="J61" s="6" t="n"/>
      <c r="K61" s="6" t="n"/>
      <c r="L61" s="6" t="n"/>
      <c r="M61" s="6" t="n"/>
      <c r="N61" s="6" t="n"/>
      <c r="O61" s="6" t="n"/>
      <c r="P61" s="6" t="n"/>
      <c r="Q61" s="6" t="n"/>
      <c r="R61" s="6" t="n"/>
      <c r="S61" s="6" t="n"/>
      <c r="T61" s="6" t="n"/>
      <c r="U61" s="6" t="n"/>
      <c r="V61" s="6" t="n"/>
      <c r="W61" s="6" t="n"/>
      <c r="X61" s="6" t="n"/>
      <c r="Y61" s="6" t="n"/>
      <c r="Z61" s="6" t="n"/>
    </row>
    <row r="62" ht="31.5" customHeight="1" s="12">
      <c r="A62" s="1" t="n"/>
      <c r="B62" s="6" t="n"/>
      <c r="C62" s="13" t="n"/>
      <c r="D62" s="1" t="n"/>
      <c r="E62" s="14" t="n"/>
      <c r="F62" s="14" t="n"/>
      <c r="G62" s="6" t="n"/>
      <c r="H62" s="6" t="n"/>
      <c r="I62" s="6" t="n"/>
      <c r="J62" s="6" t="n"/>
      <c r="K62" s="6" t="n"/>
      <c r="L62" s="6" t="n"/>
      <c r="M62" s="6" t="n"/>
      <c r="N62" s="6" t="n"/>
      <c r="O62" s="6" t="n"/>
      <c r="P62" s="6" t="n"/>
      <c r="Q62" s="6" t="n"/>
      <c r="R62" s="6" t="n"/>
      <c r="S62" s="6" t="n"/>
      <c r="T62" s="6" t="n"/>
      <c r="U62" s="6" t="n"/>
      <c r="V62" s="6" t="n"/>
      <c r="W62" s="6" t="n"/>
      <c r="X62" s="6" t="n"/>
      <c r="Y62" s="6" t="n"/>
      <c r="Z62" s="6" t="n"/>
    </row>
    <row r="63" ht="31.5" customHeight="1" s="12">
      <c r="A63" s="1" t="n"/>
      <c r="B63" s="6" t="n"/>
      <c r="C63" s="13" t="n"/>
      <c r="D63" s="1" t="n"/>
      <c r="E63" s="14" t="n"/>
      <c r="F63" s="14" t="n"/>
      <c r="G63" s="6" t="n"/>
      <c r="H63" s="6" t="n"/>
      <c r="I63" s="6" t="n"/>
      <c r="J63" s="6" t="n"/>
      <c r="K63" s="6" t="n"/>
      <c r="L63" s="6" t="n"/>
      <c r="M63" s="6" t="n"/>
      <c r="N63" s="6" t="n"/>
      <c r="O63" s="6" t="n"/>
      <c r="P63" s="6" t="n"/>
      <c r="Q63" s="6" t="n"/>
      <c r="R63" s="6" t="n"/>
      <c r="S63" s="6" t="n"/>
      <c r="T63" s="6" t="n"/>
      <c r="U63" s="6" t="n"/>
      <c r="V63" s="6" t="n"/>
      <c r="W63" s="6" t="n"/>
      <c r="X63" s="6" t="n"/>
      <c r="Y63" s="6" t="n"/>
      <c r="Z63" s="6" t="n"/>
    </row>
    <row r="64" ht="31.5" customHeight="1" s="12">
      <c r="A64" s="1" t="n"/>
      <c r="B64" s="6" t="n"/>
      <c r="C64" s="13" t="n"/>
      <c r="D64" s="1" t="n"/>
      <c r="E64" s="14" t="n"/>
      <c r="F64" s="14" t="n"/>
      <c r="G64" s="6" t="n"/>
      <c r="H64" s="6" t="n"/>
      <c r="I64" s="6" t="n"/>
      <c r="J64" s="6" t="n"/>
      <c r="K64" s="6" t="n"/>
      <c r="L64" s="6" t="n"/>
      <c r="M64" s="6" t="n"/>
      <c r="N64" s="6" t="n"/>
      <c r="O64" s="6" t="n"/>
      <c r="P64" s="6" t="n"/>
      <c r="Q64" s="6" t="n"/>
      <c r="R64" s="6" t="n"/>
      <c r="S64" s="6" t="n"/>
      <c r="T64" s="6" t="n"/>
      <c r="U64" s="6" t="n"/>
      <c r="V64" s="6" t="n"/>
      <c r="W64" s="6" t="n"/>
      <c r="X64" s="6" t="n"/>
      <c r="Y64" s="6" t="n"/>
      <c r="Z64" s="6" t="n"/>
    </row>
    <row r="65" ht="31.5" customHeight="1" s="12">
      <c r="A65" s="1" t="n"/>
      <c r="B65" s="6" t="n"/>
      <c r="C65" s="13" t="n"/>
      <c r="D65" s="1" t="n"/>
      <c r="E65" s="14" t="n"/>
      <c r="F65" s="14" t="n"/>
      <c r="G65" s="6" t="n"/>
      <c r="H65" s="6" t="n"/>
      <c r="I65" s="6" t="n"/>
      <c r="J65" s="6" t="n"/>
      <c r="K65" s="6" t="n"/>
      <c r="L65" s="6" t="n"/>
      <c r="M65" s="6" t="n"/>
      <c r="N65" s="6" t="n"/>
      <c r="O65" s="6" t="n"/>
      <c r="P65" s="6" t="n"/>
      <c r="Q65" s="6" t="n"/>
      <c r="R65" s="6" t="n"/>
      <c r="S65" s="6" t="n"/>
      <c r="T65" s="6" t="n"/>
      <c r="U65" s="6" t="n"/>
      <c r="V65" s="6" t="n"/>
      <c r="W65" s="6" t="n"/>
      <c r="X65" s="6" t="n"/>
      <c r="Y65" s="6" t="n"/>
      <c r="Z65" s="6" t="n"/>
    </row>
    <row r="66" ht="31.5" customHeight="1" s="12">
      <c r="A66" s="1" t="n"/>
      <c r="B66" s="6" t="n"/>
      <c r="C66" s="13" t="n"/>
      <c r="D66" s="1" t="n"/>
      <c r="E66" s="14" t="n"/>
      <c r="F66" s="14" t="n"/>
      <c r="G66" s="6" t="n"/>
      <c r="H66" s="6" t="n"/>
      <c r="I66" s="6" t="n"/>
      <c r="J66" s="6" t="n"/>
      <c r="K66" s="6" t="n"/>
      <c r="L66" s="6" t="n"/>
      <c r="M66" s="6" t="n"/>
      <c r="N66" s="6" t="n"/>
      <c r="O66" s="6" t="n"/>
      <c r="P66" s="6" t="n"/>
      <c r="Q66" s="6" t="n"/>
      <c r="R66" s="6" t="n"/>
      <c r="S66" s="6" t="n"/>
      <c r="T66" s="6" t="n"/>
      <c r="U66" s="6" t="n"/>
      <c r="V66" s="6" t="n"/>
      <c r="W66" s="6" t="n"/>
      <c r="X66" s="6" t="n"/>
      <c r="Y66" s="6" t="n"/>
      <c r="Z66" s="6" t="n"/>
    </row>
    <row r="67" ht="31.5" customHeight="1" s="12">
      <c r="A67" s="1" t="n"/>
      <c r="B67" s="6" t="n"/>
      <c r="C67" s="13" t="n"/>
      <c r="D67" s="1" t="n"/>
      <c r="E67" s="14" t="n"/>
      <c r="F67" s="14" t="n"/>
      <c r="G67" s="6" t="n"/>
      <c r="H67" s="6" t="n"/>
      <c r="I67" s="6" t="n"/>
      <c r="J67" s="6" t="n"/>
      <c r="K67" s="6" t="n"/>
      <c r="L67" s="6" t="n"/>
      <c r="M67" s="6" t="n"/>
      <c r="N67" s="6" t="n"/>
      <c r="O67" s="6" t="n"/>
      <c r="P67" s="6" t="n"/>
      <c r="Q67" s="6" t="n"/>
      <c r="R67" s="6" t="n"/>
      <c r="S67" s="6" t="n"/>
      <c r="T67" s="6" t="n"/>
      <c r="U67" s="6" t="n"/>
      <c r="V67" s="6" t="n"/>
      <c r="W67" s="6" t="n"/>
      <c r="X67" s="6" t="n"/>
      <c r="Y67" s="6" t="n"/>
      <c r="Z67" s="6" t="n"/>
    </row>
    <row r="68" ht="31.5" customHeight="1" s="12">
      <c r="A68" s="1" t="n"/>
      <c r="B68" s="6" t="n"/>
      <c r="C68" s="13" t="n"/>
      <c r="D68" s="1" t="n"/>
      <c r="E68" s="14" t="n"/>
      <c r="F68" s="14" t="n"/>
      <c r="G68" s="6" t="n"/>
      <c r="H68" s="6" t="n"/>
      <c r="I68" s="6" t="n"/>
      <c r="J68" s="6" t="n"/>
      <c r="K68" s="6" t="n"/>
      <c r="L68" s="6" t="n"/>
      <c r="M68" s="6" t="n"/>
      <c r="N68" s="6" t="n"/>
      <c r="O68" s="6" t="n"/>
      <c r="P68" s="6" t="n"/>
      <c r="Q68" s="6" t="n"/>
      <c r="R68" s="6" t="n"/>
      <c r="S68" s="6" t="n"/>
      <c r="T68" s="6" t="n"/>
      <c r="U68" s="6" t="n"/>
      <c r="V68" s="6" t="n"/>
      <c r="W68" s="6" t="n"/>
      <c r="X68" s="6" t="n"/>
      <c r="Y68" s="6" t="n"/>
      <c r="Z68" s="6" t="n"/>
    </row>
    <row r="69" ht="31.5" customHeight="1" s="12">
      <c r="A69" s="1" t="n"/>
      <c r="B69" s="6" t="n"/>
      <c r="C69" s="13" t="n"/>
      <c r="D69" s="1" t="n"/>
      <c r="E69" s="14" t="n"/>
      <c r="F69" s="14" t="n"/>
      <c r="G69" s="6" t="n"/>
      <c r="H69" s="6" t="n"/>
      <c r="I69" s="6" t="n"/>
      <c r="J69" s="6" t="n"/>
      <c r="K69" s="6" t="n"/>
      <c r="L69" s="6" t="n"/>
      <c r="M69" s="6" t="n"/>
      <c r="N69" s="6" t="n"/>
      <c r="O69" s="6" t="n"/>
      <c r="P69" s="6" t="n"/>
      <c r="Q69" s="6" t="n"/>
      <c r="R69" s="6" t="n"/>
      <c r="S69" s="6" t="n"/>
      <c r="T69" s="6" t="n"/>
      <c r="U69" s="6" t="n"/>
      <c r="V69" s="6" t="n"/>
      <c r="W69" s="6" t="n"/>
      <c r="X69" s="6" t="n"/>
      <c r="Y69" s="6" t="n"/>
      <c r="Z69" s="6" t="n"/>
    </row>
    <row r="70" ht="31.5" customHeight="1" s="12">
      <c r="A70" s="1" t="n"/>
      <c r="B70" s="6" t="n"/>
      <c r="C70" s="13" t="n"/>
      <c r="D70" s="1" t="n"/>
      <c r="E70" s="14" t="n"/>
      <c r="F70" s="14" t="n"/>
      <c r="G70" s="6" t="n"/>
      <c r="H70" s="6" t="n"/>
      <c r="I70" s="6" t="n"/>
      <c r="J70" s="6" t="n"/>
      <c r="K70" s="6" t="n"/>
      <c r="L70" s="6" t="n"/>
      <c r="M70" s="6" t="n"/>
      <c r="N70" s="6" t="n"/>
      <c r="O70" s="6" t="n"/>
      <c r="P70" s="6" t="n"/>
      <c r="Q70" s="6" t="n"/>
      <c r="R70" s="6" t="n"/>
      <c r="S70" s="6" t="n"/>
      <c r="T70" s="6" t="n"/>
      <c r="U70" s="6" t="n"/>
      <c r="V70" s="6" t="n"/>
      <c r="W70" s="6" t="n"/>
      <c r="X70" s="6" t="n"/>
      <c r="Y70" s="6" t="n"/>
      <c r="Z70" s="6" t="n"/>
    </row>
    <row r="71" ht="31.5" customHeight="1" s="12">
      <c r="A71" s="1" t="n"/>
      <c r="B71" s="6" t="n"/>
      <c r="C71" s="13" t="n"/>
      <c r="D71" s="1" t="n"/>
      <c r="E71" s="14" t="n"/>
      <c r="F71" s="14" t="n"/>
      <c r="G71" s="6" t="n"/>
      <c r="H71" s="6" t="n"/>
      <c r="I71" s="6" t="n"/>
      <c r="J71" s="6" t="n"/>
      <c r="K71" s="6" t="n"/>
      <c r="L71" s="6" t="n"/>
      <c r="M71" s="6" t="n"/>
      <c r="N71" s="6" t="n"/>
      <c r="O71" s="6" t="n"/>
      <c r="P71" s="6" t="n"/>
      <c r="Q71" s="6" t="n"/>
      <c r="R71" s="6" t="n"/>
      <c r="S71" s="6" t="n"/>
      <c r="T71" s="6" t="n"/>
      <c r="U71" s="6" t="n"/>
      <c r="V71" s="6" t="n"/>
      <c r="W71" s="6" t="n"/>
      <c r="X71" s="6" t="n"/>
      <c r="Y71" s="6" t="n"/>
      <c r="Z71" s="6" t="n"/>
    </row>
    <row r="72" ht="31.5" customHeight="1" s="12">
      <c r="A72" s="1" t="n"/>
      <c r="B72" s="6" t="n"/>
      <c r="C72" s="13" t="n"/>
      <c r="D72" s="1" t="n"/>
      <c r="E72" s="14" t="n"/>
      <c r="F72" s="14" t="n"/>
      <c r="G72" s="6" t="n"/>
      <c r="H72" s="6" t="n"/>
      <c r="I72" s="6" t="n"/>
      <c r="J72" s="6" t="n"/>
      <c r="K72" s="6" t="n"/>
      <c r="L72" s="6" t="n"/>
      <c r="M72" s="6" t="n"/>
      <c r="N72" s="6" t="n"/>
      <c r="O72" s="6" t="n"/>
      <c r="P72" s="6" t="n"/>
      <c r="Q72" s="6" t="n"/>
      <c r="R72" s="6" t="n"/>
      <c r="S72" s="6" t="n"/>
      <c r="T72" s="6" t="n"/>
      <c r="U72" s="6" t="n"/>
      <c r="V72" s="6" t="n"/>
      <c r="W72" s="6" t="n"/>
      <c r="X72" s="6" t="n"/>
      <c r="Y72" s="6" t="n"/>
      <c r="Z72" s="6" t="n"/>
    </row>
    <row r="73" ht="31.5" customHeight="1" s="12">
      <c r="A73" s="1" t="n"/>
      <c r="B73" s="6" t="n"/>
      <c r="C73" s="13" t="n"/>
      <c r="D73" s="1" t="n"/>
      <c r="E73" s="14" t="n"/>
      <c r="F73" s="14" t="n"/>
      <c r="G73" s="6" t="n"/>
      <c r="H73" s="6" t="n"/>
      <c r="I73" s="6" t="n"/>
      <c r="J73" s="6" t="n"/>
      <c r="K73" s="6" t="n"/>
      <c r="L73" s="6" t="n"/>
      <c r="M73" s="6" t="n"/>
      <c r="N73" s="6" t="n"/>
      <c r="O73" s="6" t="n"/>
      <c r="P73" s="6" t="n"/>
      <c r="Q73" s="6" t="n"/>
      <c r="R73" s="6" t="n"/>
      <c r="S73" s="6" t="n"/>
      <c r="T73" s="6" t="n"/>
      <c r="U73" s="6" t="n"/>
      <c r="V73" s="6" t="n"/>
      <c r="W73" s="6" t="n"/>
      <c r="X73" s="6" t="n"/>
      <c r="Y73" s="6" t="n"/>
      <c r="Z73" s="6" t="n"/>
    </row>
    <row r="74" ht="31.5" customHeight="1" s="12">
      <c r="A74" s="1" t="n"/>
      <c r="B74" s="6" t="n"/>
      <c r="C74" s="13" t="n"/>
      <c r="D74" s="1" t="n"/>
      <c r="E74" s="14" t="n"/>
      <c r="F74" s="14" t="n"/>
      <c r="G74" s="6" t="n"/>
      <c r="H74" s="6" t="n"/>
      <c r="I74" s="6" t="n"/>
      <c r="J74" s="6" t="n"/>
      <c r="K74" s="6" t="n"/>
      <c r="L74" s="6" t="n"/>
      <c r="M74" s="6" t="n"/>
      <c r="N74" s="6" t="n"/>
      <c r="O74" s="6" t="n"/>
      <c r="P74" s="6" t="n"/>
      <c r="Q74" s="6" t="n"/>
      <c r="R74" s="6" t="n"/>
      <c r="S74" s="6" t="n"/>
      <c r="T74" s="6" t="n"/>
      <c r="U74" s="6" t="n"/>
      <c r="V74" s="6" t="n"/>
      <c r="W74" s="6" t="n"/>
      <c r="X74" s="6" t="n"/>
      <c r="Y74" s="6" t="n"/>
      <c r="Z74" s="6" t="n"/>
    </row>
    <row r="75" ht="31.5" customHeight="1" s="12">
      <c r="A75" s="1" t="n"/>
      <c r="B75" s="6" t="n"/>
      <c r="C75" s="13" t="n"/>
      <c r="D75" s="1" t="n"/>
      <c r="E75" s="14" t="n"/>
      <c r="F75" s="14" t="n"/>
      <c r="G75" s="6" t="n"/>
      <c r="H75" s="6" t="n"/>
      <c r="I75" s="6" t="n"/>
      <c r="J75" s="6" t="n"/>
      <c r="K75" s="6" t="n"/>
      <c r="L75" s="6" t="n"/>
      <c r="M75" s="6" t="n"/>
      <c r="N75" s="6" t="n"/>
      <c r="O75" s="6" t="n"/>
      <c r="P75" s="6" t="n"/>
      <c r="Q75" s="6" t="n"/>
      <c r="R75" s="6" t="n"/>
      <c r="S75" s="6" t="n"/>
      <c r="T75" s="6" t="n"/>
      <c r="U75" s="6" t="n"/>
      <c r="V75" s="6" t="n"/>
      <c r="W75" s="6" t="n"/>
      <c r="X75" s="6" t="n"/>
      <c r="Y75" s="6" t="n"/>
      <c r="Z75" s="6" t="n"/>
    </row>
    <row r="76" ht="31.5" customHeight="1" s="12">
      <c r="A76" s="1" t="n"/>
      <c r="B76" s="6" t="n"/>
      <c r="C76" s="13" t="n"/>
      <c r="D76" s="1" t="n"/>
      <c r="E76" s="14" t="n"/>
      <c r="F76" s="14" t="n"/>
      <c r="G76" s="6" t="n"/>
      <c r="H76" s="6" t="n"/>
      <c r="I76" s="6" t="n"/>
      <c r="J76" s="6" t="n"/>
      <c r="K76" s="6" t="n"/>
      <c r="L76" s="6" t="n"/>
      <c r="M76" s="6" t="n"/>
      <c r="N76" s="6" t="n"/>
      <c r="O76" s="6" t="n"/>
      <c r="P76" s="6" t="n"/>
      <c r="Q76" s="6" t="n"/>
      <c r="R76" s="6" t="n"/>
      <c r="S76" s="6" t="n"/>
      <c r="T76" s="6" t="n"/>
      <c r="U76" s="6" t="n"/>
      <c r="V76" s="6" t="n"/>
      <c r="W76" s="6" t="n"/>
      <c r="X76" s="6" t="n"/>
      <c r="Y76" s="6" t="n"/>
      <c r="Z76" s="6" t="n"/>
    </row>
    <row r="77" ht="31.5" customHeight="1" s="12">
      <c r="A77" s="1" t="n"/>
      <c r="B77" s="6" t="n"/>
      <c r="C77" s="13" t="n"/>
      <c r="D77" s="1" t="n"/>
      <c r="E77" s="14" t="n"/>
      <c r="F77" s="14" t="n"/>
      <c r="G77" s="6" t="n"/>
      <c r="H77" s="6" t="n"/>
      <c r="I77" s="6" t="n"/>
      <c r="J77" s="6" t="n"/>
      <c r="K77" s="6" t="n"/>
      <c r="L77" s="6" t="n"/>
      <c r="M77" s="6" t="n"/>
      <c r="N77" s="6" t="n"/>
      <c r="O77" s="6" t="n"/>
      <c r="P77" s="6" t="n"/>
      <c r="Q77" s="6" t="n"/>
      <c r="R77" s="6" t="n"/>
      <c r="S77" s="6" t="n"/>
      <c r="T77" s="6" t="n"/>
      <c r="U77" s="6" t="n"/>
      <c r="V77" s="6" t="n"/>
      <c r="W77" s="6" t="n"/>
      <c r="X77" s="6" t="n"/>
      <c r="Y77" s="6" t="n"/>
      <c r="Z77" s="6" t="n"/>
    </row>
    <row r="78" ht="31.5" customHeight="1" s="12">
      <c r="A78" s="1" t="n"/>
      <c r="B78" s="6" t="n"/>
      <c r="C78" s="13" t="n"/>
      <c r="D78" s="1" t="n"/>
      <c r="E78" s="14" t="n"/>
      <c r="F78" s="14" t="n"/>
      <c r="G78" s="6" t="n"/>
      <c r="H78" s="6" t="n"/>
      <c r="I78" s="6" t="n"/>
      <c r="J78" s="6" t="n"/>
      <c r="K78" s="6" t="n"/>
      <c r="L78" s="6" t="n"/>
      <c r="M78" s="6" t="n"/>
      <c r="N78" s="6" t="n"/>
      <c r="O78" s="6" t="n"/>
      <c r="P78" s="6" t="n"/>
      <c r="Q78" s="6" t="n"/>
      <c r="R78" s="6" t="n"/>
      <c r="S78" s="6" t="n"/>
      <c r="T78" s="6" t="n"/>
      <c r="U78" s="6" t="n"/>
      <c r="V78" s="6" t="n"/>
      <c r="W78" s="6" t="n"/>
      <c r="X78" s="6" t="n"/>
      <c r="Y78" s="6" t="n"/>
      <c r="Z78" s="6" t="n"/>
    </row>
    <row r="79" ht="31.5" customHeight="1" s="12">
      <c r="A79" s="1" t="n"/>
      <c r="B79" s="6" t="n"/>
      <c r="C79" s="13" t="n"/>
      <c r="D79" s="1" t="n"/>
      <c r="E79" s="14" t="n"/>
      <c r="F79" s="14" t="n"/>
      <c r="G79" s="6" t="n"/>
      <c r="H79" s="6" t="n"/>
      <c r="I79" s="6" t="n"/>
      <c r="J79" s="6" t="n"/>
      <c r="K79" s="6" t="n"/>
      <c r="L79" s="6" t="n"/>
      <c r="M79" s="6" t="n"/>
      <c r="N79" s="6" t="n"/>
      <c r="O79" s="6" t="n"/>
      <c r="P79" s="6" t="n"/>
      <c r="Q79" s="6" t="n"/>
      <c r="R79" s="6" t="n"/>
      <c r="S79" s="6" t="n"/>
      <c r="T79" s="6" t="n"/>
      <c r="U79" s="6" t="n"/>
      <c r="V79" s="6" t="n"/>
      <c r="W79" s="6" t="n"/>
      <c r="X79" s="6" t="n"/>
      <c r="Y79" s="6" t="n"/>
      <c r="Z79" s="6" t="n"/>
    </row>
    <row r="80" ht="31.5" customHeight="1" s="12">
      <c r="A80" s="1" t="n"/>
      <c r="B80" s="6" t="n"/>
      <c r="C80" s="13" t="n"/>
      <c r="D80" s="1" t="n"/>
      <c r="E80" s="14" t="n"/>
      <c r="F80" s="14" t="n"/>
      <c r="G80" s="6" t="n"/>
      <c r="H80" s="6" t="n"/>
      <c r="I80" s="6" t="n"/>
      <c r="J80" s="6" t="n"/>
      <c r="K80" s="6" t="n"/>
      <c r="L80" s="6" t="n"/>
      <c r="M80" s="6" t="n"/>
      <c r="N80" s="6" t="n"/>
      <c r="O80" s="6" t="n"/>
      <c r="P80" s="6" t="n"/>
      <c r="Q80" s="6" t="n"/>
      <c r="R80" s="6" t="n"/>
      <c r="S80" s="6" t="n"/>
      <c r="T80" s="6" t="n"/>
      <c r="U80" s="6" t="n"/>
      <c r="V80" s="6" t="n"/>
      <c r="W80" s="6" t="n"/>
      <c r="X80" s="6" t="n"/>
      <c r="Y80" s="6" t="n"/>
      <c r="Z80" s="6" t="n"/>
    </row>
    <row r="81" ht="31.5" customHeight="1" s="12">
      <c r="A81" s="1" t="n"/>
      <c r="B81" s="6" t="n"/>
      <c r="C81" s="13" t="n"/>
      <c r="D81" s="1" t="n"/>
      <c r="E81" s="14" t="n"/>
      <c r="F81" s="14" t="n"/>
      <c r="G81" s="6" t="n"/>
      <c r="H81" s="6" t="n"/>
      <c r="I81" s="6" t="n"/>
      <c r="J81" s="6" t="n"/>
      <c r="K81" s="6" t="n"/>
      <c r="L81" s="6" t="n"/>
      <c r="M81" s="6" t="n"/>
      <c r="N81" s="6" t="n"/>
      <c r="O81" s="6" t="n"/>
      <c r="P81" s="6" t="n"/>
      <c r="Q81" s="6" t="n"/>
      <c r="R81" s="6" t="n"/>
      <c r="S81" s="6" t="n"/>
      <c r="T81" s="6" t="n"/>
      <c r="U81" s="6" t="n"/>
      <c r="V81" s="6" t="n"/>
      <c r="W81" s="6" t="n"/>
      <c r="X81" s="6" t="n"/>
      <c r="Y81" s="6" t="n"/>
      <c r="Z81" s="6" t="n"/>
    </row>
    <row r="82" ht="31.5" customHeight="1" s="12">
      <c r="A82" s="1" t="n"/>
      <c r="B82" s="6" t="n"/>
      <c r="C82" s="13" t="n"/>
      <c r="D82" s="1" t="n"/>
      <c r="E82" s="14" t="n"/>
      <c r="F82" s="14" t="n"/>
      <c r="G82" s="6" t="n"/>
      <c r="H82" s="6" t="n"/>
      <c r="I82" s="6" t="n"/>
      <c r="J82" s="6" t="n"/>
      <c r="K82" s="6" t="n"/>
      <c r="L82" s="6" t="n"/>
      <c r="M82" s="6" t="n"/>
      <c r="N82" s="6" t="n"/>
      <c r="O82" s="6" t="n"/>
      <c r="P82" s="6" t="n"/>
      <c r="Q82" s="6" t="n"/>
      <c r="R82" s="6" t="n"/>
      <c r="S82" s="6" t="n"/>
      <c r="T82" s="6" t="n"/>
      <c r="U82" s="6" t="n"/>
      <c r="V82" s="6" t="n"/>
      <c r="W82" s="6" t="n"/>
      <c r="X82" s="6" t="n"/>
      <c r="Y82" s="6" t="n"/>
      <c r="Z82" s="6" t="n"/>
    </row>
    <row r="83" ht="31.5" customHeight="1" s="12">
      <c r="A83" s="1" t="n"/>
      <c r="B83" s="6" t="n"/>
      <c r="C83" s="13" t="n"/>
      <c r="D83" s="1" t="n"/>
      <c r="E83" s="14" t="n"/>
      <c r="F83" s="14" t="n"/>
      <c r="G83" s="6" t="n"/>
      <c r="H83" s="6" t="n"/>
      <c r="I83" s="6" t="n"/>
      <c r="J83" s="6" t="n"/>
      <c r="K83" s="6" t="n"/>
      <c r="L83" s="6" t="n"/>
      <c r="M83" s="6" t="n"/>
      <c r="N83" s="6" t="n"/>
      <c r="O83" s="6" t="n"/>
      <c r="P83" s="6" t="n"/>
      <c r="Q83" s="6" t="n"/>
      <c r="R83" s="6" t="n"/>
      <c r="S83" s="6" t="n"/>
      <c r="T83" s="6" t="n"/>
      <c r="U83" s="6" t="n"/>
      <c r="V83" s="6" t="n"/>
      <c r="W83" s="6" t="n"/>
      <c r="X83" s="6" t="n"/>
      <c r="Y83" s="6" t="n"/>
      <c r="Z83" s="6" t="n"/>
    </row>
    <row r="84" ht="31.5" customHeight="1" s="12">
      <c r="A84" s="1" t="n"/>
      <c r="B84" s="6" t="n"/>
      <c r="C84" s="13" t="n"/>
      <c r="D84" s="1" t="n"/>
      <c r="E84" s="14" t="n"/>
      <c r="F84" s="14" t="n"/>
      <c r="G84" s="6" t="n"/>
      <c r="H84" s="6" t="n"/>
      <c r="I84" s="6" t="n"/>
      <c r="J84" s="6" t="n"/>
      <c r="K84" s="6" t="n"/>
      <c r="L84" s="6" t="n"/>
      <c r="M84" s="6" t="n"/>
      <c r="N84" s="6" t="n"/>
      <c r="O84" s="6" t="n"/>
      <c r="P84" s="6" t="n"/>
      <c r="Q84" s="6" t="n"/>
      <c r="R84" s="6" t="n"/>
      <c r="S84" s="6" t="n"/>
      <c r="T84" s="6" t="n"/>
      <c r="U84" s="6" t="n"/>
      <c r="V84" s="6" t="n"/>
      <c r="W84" s="6" t="n"/>
      <c r="X84" s="6" t="n"/>
      <c r="Y84" s="6" t="n"/>
      <c r="Z84" s="6" t="n"/>
    </row>
    <row r="85" ht="31.5" customHeight="1" s="12">
      <c r="A85" s="1" t="n"/>
      <c r="B85" s="6" t="n"/>
      <c r="C85" s="13" t="n"/>
      <c r="D85" s="1" t="n"/>
      <c r="E85" s="14" t="n"/>
      <c r="F85" s="14" t="n"/>
      <c r="G85" s="6" t="n"/>
      <c r="H85" s="6" t="n"/>
      <c r="I85" s="6" t="n"/>
      <c r="J85" s="6" t="n"/>
      <c r="K85" s="6" t="n"/>
      <c r="L85" s="6" t="n"/>
      <c r="M85" s="6" t="n"/>
      <c r="N85" s="6" t="n"/>
      <c r="O85" s="6" t="n"/>
      <c r="P85" s="6" t="n"/>
      <c r="Q85" s="6" t="n"/>
      <c r="R85" s="6" t="n"/>
      <c r="S85" s="6" t="n"/>
      <c r="T85" s="6" t="n"/>
      <c r="U85" s="6" t="n"/>
      <c r="V85" s="6" t="n"/>
      <c r="W85" s="6" t="n"/>
      <c r="X85" s="6" t="n"/>
      <c r="Y85" s="6" t="n"/>
      <c r="Z85" s="6" t="n"/>
    </row>
    <row r="86" ht="31.5" customHeight="1" s="12">
      <c r="A86" s="1" t="n"/>
      <c r="B86" s="6" t="n"/>
      <c r="C86" s="13" t="n"/>
      <c r="D86" s="1" t="n"/>
      <c r="E86" s="14" t="n"/>
      <c r="F86" s="14" t="n"/>
      <c r="G86" s="6" t="n"/>
      <c r="H86" s="6" t="n"/>
      <c r="I86" s="6" t="n"/>
      <c r="J86" s="6" t="n"/>
      <c r="K86" s="6" t="n"/>
      <c r="L86" s="6" t="n"/>
      <c r="M86" s="6" t="n"/>
      <c r="N86" s="6" t="n"/>
      <c r="O86" s="6" t="n"/>
      <c r="P86" s="6" t="n"/>
      <c r="Q86" s="6" t="n"/>
      <c r="R86" s="6" t="n"/>
      <c r="S86" s="6" t="n"/>
      <c r="T86" s="6" t="n"/>
      <c r="U86" s="6" t="n"/>
      <c r="V86" s="6" t="n"/>
      <c r="W86" s="6" t="n"/>
      <c r="X86" s="6" t="n"/>
      <c r="Y86" s="6" t="n"/>
      <c r="Z86" s="6" t="n"/>
    </row>
    <row r="87" ht="31.5" customHeight="1" s="12">
      <c r="A87" s="1" t="n"/>
      <c r="B87" s="6" t="n"/>
      <c r="C87" s="13" t="n"/>
      <c r="D87" s="1" t="n"/>
      <c r="E87" s="14" t="n"/>
      <c r="F87" s="14" t="n"/>
      <c r="G87" s="6" t="n"/>
      <c r="H87" s="6" t="n"/>
      <c r="I87" s="6" t="n"/>
      <c r="J87" s="6" t="n"/>
      <c r="K87" s="6" t="n"/>
      <c r="L87" s="6" t="n"/>
      <c r="M87" s="6" t="n"/>
      <c r="N87" s="6" t="n"/>
      <c r="O87" s="6" t="n"/>
      <c r="P87" s="6" t="n"/>
      <c r="Q87" s="6" t="n"/>
      <c r="R87" s="6" t="n"/>
      <c r="S87" s="6" t="n"/>
      <c r="T87" s="6" t="n"/>
      <c r="U87" s="6" t="n"/>
      <c r="V87" s="6" t="n"/>
      <c r="W87" s="6" t="n"/>
      <c r="X87" s="6" t="n"/>
      <c r="Y87" s="6" t="n"/>
      <c r="Z87" s="6" t="n"/>
    </row>
    <row r="88" ht="31.5" customHeight="1" s="12">
      <c r="A88" s="1" t="n"/>
      <c r="B88" s="6" t="n"/>
      <c r="C88" s="13" t="n"/>
      <c r="D88" s="1" t="n"/>
      <c r="E88" s="14" t="n"/>
      <c r="F88" s="14" t="n"/>
      <c r="G88" s="6" t="n"/>
      <c r="H88" s="6" t="n"/>
      <c r="I88" s="6" t="n"/>
      <c r="J88" s="6" t="n"/>
      <c r="K88" s="6" t="n"/>
      <c r="L88" s="6" t="n"/>
      <c r="M88" s="6" t="n"/>
      <c r="N88" s="6" t="n"/>
      <c r="O88" s="6" t="n"/>
      <c r="P88" s="6" t="n"/>
      <c r="Q88" s="6" t="n"/>
      <c r="R88" s="6" t="n"/>
      <c r="S88" s="6" t="n"/>
      <c r="T88" s="6" t="n"/>
      <c r="U88" s="6" t="n"/>
      <c r="V88" s="6" t="n"/>
      <c r="W88" s="6" t="n"/>
      <c r="X88" s="6" t="n"/>
      <c r="Y88" s="6" t="n"/>
      <c r="Z88" s="6" t="n"/>
    </row>
    <row r="89" ht="31.5" customHeight="1" s="12">
      <c r="A89" s="1" t="n"/>
      <c r="B89" s="6" t="n"/>
      <c r="C89" s="13" t="n"/>
      <c r="D89" s="1" t="n"/>
      <c r="E89" s="14" t="n"/>
      <c r="F89" s="14" t="n"/>
      <c r="G89" s="6" t="n"/>
      <c r="H89" s="6" t="n"/>
      <c r="I89" s="6" t="n"/>
      <c r="J89" s="6" t="n"/>
      <c r="K89" s="6" t="n"/>
      <c r="L89" s="6" t="n"/>
      <c r="M89" s="6" t="n"/>
      <c r="N89" s="6" t="n"/>
      <c r="O89" s="6" t="n"/>
      <c r="P89" s="6" t="n"/>
      <c r="Q89" s="6" t="n"/>
      <c r="R89" s="6" t="n"/>
      <c r="S89" s="6" t="n"/>
      <c r="T89" s="6" t="n"/>
      <c r="U89" s="6" t="n"/>
      <c r="V89" s="6" t="n"/>
      <c r="W89" s="6" t="n"/>
      <c r="X89" s="6" t="n"/>
      <c r="Y89" s="6" t="n"/>
      <c r="Z89" s="6" t="n"/>
    </row>
    <row r="90" ht="31.5" customHeight="1" s="12">
      <c r="A90" s="1" t="n"/>
      <c r="B90" s="6" t="n"/>
      <c r="C90" s="13" t="n"/>
      <c r="D90" s="1" t="n"/>
      <c r="E90" s="14" t="n"/>
      <c r="F90" s="14" t="n"/>
      <c r="G90" s="6" t="n"/>
      <c r="H90" s="6" t="n"/>
      <c r="I90" s="6" t="n"/>
      <c r="J90" s="6" t="n"/>
      <c r="K90" s="6" t="n"/>
      <c r="L90" s="6" t="n"/>
      <c r="M90" s="6" t="n"/>
      <c r="N90" s="6" t="n"/>
      <c r="O90" s="6" t="n"/>
      <c r="P90" s="6" t="n"/>
      <c r="Q90" s="6" t="n"/>
      <c r="R90" s="6" t="n"/>
      <c r="S90" s="6" t="n"/>
      <c r="T90" s="6" t="n"/>
      <c r="U90" s="6" t="n"/>
      <c r="V90" s="6" t="n"/>
      <c r="W90" s="6" t="n"/>
      <c r="X90" s="6" t="n"/>
      <c r="Y90" s="6" t="n"/>
      <c r="Z90" s="6" t="n"/>
    </row>
    <row r="91" ht="31.5" customHeight="1" s="12">
      <c r="A91" s="1" t="n"/>
      <c r="B91" s="6" t="n"/>
      <c r="C91" s="13" t="n"/>
      <c r="D91" s="1" t="n"/>
      <c r="E91" s="14" t="n"/>
      <c r="F91" s="14" t="n"/>
      <c r="G91" s="6" t="n"/>
      <c r="H91" s="6" t="n"/>
      <c r="I91" s="6" t="n"/>
      <c r="J91" s="6" t="n"/>
      <c r="K91" s="6" t="n"/>
      <c r="L91" s="6" t="n"/>
      <c r="M91" s="6" t="n"/>
      <c r="N91" s="6" t="n"/>
      <c r="O91" s="6" t="n"/>
      <c r="P91" s="6" t="n"/>
      <c r="Q91" s="6" t="n"/>
      <c r="R91" s="6" t="n"/>
      <c r="S91" s="6" t="n"/>
      <c r="T91" s="6" t="n"/>
      <c r="U91" s="6" t="n"/>
      <c r="V91" s="6" t="n"/>
      <c r="W91" s="6" t="n"/>
      <c r="X91" s="6" t="n"/>
      <c r="Y91" s="6" t="n"/>
      <c r="Z91" s="6" t="n"/>
    </row>
    <row r="92" ht="31.5" customHeight="1" s="12">
      <c r="A92" s="1" t="n"/>
      <c r="B92" s="6" t="n"/>
      <c r="C92" s="13" t="n"/>
      <c r="D92" s="1" t="n"/>
      <c r="E92" s="14" t="n"/>
      <c r="F92" s="14" t="n"/>
      <c r="G92" s="6" t="n"/>
      <c r="H92" s="6" t="n"/>
      <c r="I92" s="6" t="n"/>
      <c r="J92" s="6" t="n"/>
      <c r="K92" s="6" t="n"/>
      <c r="L92" s="6" t="n"/>
      <c r="M92" s="6" t="n"/>
      <c r="N92" s="6" t="n"/>
      <c r="O92" s="6" t="n"/>
      <c r="P92" s="6" t="n"/>
      <c r="Q92" s="6" t="n"/>
      <c r="R92" s="6" t="n"/>
      <c r="S92" s="6" t="n"/>
      <c r="T92" s="6" t="n"/>
      <c r="U92" s="6" t="n"/>
      <c r="V92" s="6" t="n"/>
      <c r="W92" s="6" t="n"/>
      <c r="X92" s="6" t="n"/>
      <c r="Y92" s="6" t="n"/>
      <c r="Z92" s="6" t="n"/>
    </row>
    <row r="93" ht="31.5" customHeight="1" s="12">
      <c r="A93" s="1" t="n"/>
      <c r="B93" s="6" t="n"/>
      <c r="C93" s="13" t="n"/>
      <c r="D93" s="1" t="n"/>
      <c r="E93" s="14" t="n"/>
      <c r="F93" s="14" t="n"/>
      <c r="G93" s="6" t="n"/>
      <c r="H93" s="6" t="n"/>
      <c r="I93" s="6" t="n"/>
      <c r="J93" s="6" t="n"/>
      <c r="K93" s="6" t="n"/>
      <c r="L93" s="6" t="n"/>
      <c r="M93" s="6" t="n"/>
      <c r="N93" s="6" t="n"/>
      <c r="O93" s="6" t="n"/>
      <c r="P93" s="6" t="n"/>
      <c r="Q93" s="6" t="n"/>
      <c r="R93" s="6" t="n"/>
      <c r="S93" s="6" t="n"/>
      <c r="T93" s="6" t="n"/>
      <c r="U93" s="6" t="n"/>
      <c r="V93" s="6" t="n"/>
      <c r="W93" s="6" t="n"/>
      <c r="X93" s="6" t="n"/>
      <c r="Y93" s="6" t="n"/>
      <c r="Z93" s="6" t="n"/>
    </row>
    <row r="94" ht="31.5" customHeight="1" s="12">
      <c r="A94" s="1" t="n"/>
      <c r="B94" s="6" t="n"/>
      <c r="C94" s="13" t="n"/>
      <c r="D94" s="1" t="n"/>
      <c r="E94" s="14" t="n"/>
      <c r="F94" s="14" t="n"/>
      <c r="G94" s="6" t="n"/>
      <c r="H94" s="6" t="n"/>
      <c r="I94" s="6" t="n"/>
      <c r="J94" s="6" t="n"/>
      <c r="K94" s="6" t="n"/>
      <c r="L94" s="6" t="n"/>
      <c r="M94" s="6" t="n"/>
      <c r="N94" s="6" t="n"/>
      <c r="O94" s="6" t="n"/>
      <c r="P94" s="6" t="n"/>
      <c r="Q94" s="6" t="n"/>
      <c r="R94" s="6" t="n"/>
      <c r="S94" s="6" t="n"/>
      <c r="T94" s="6" t="n"/>
      <c r="U94" s="6" t="n"/>
      <c r="V94" s="6" t="n"/>
      <c r="W94" s="6" t="n"/>
      <c r="X94" s="6" t="n"/>
      <c r="Y94" s="6" t="n"/>
      <c r="Z94" s="6" t="n"/>
    </row>
    <row r="95" ht="31.5" customHeight="1" s="12">
      <c r="A95" s="1" t="n"/>
      <c r="B95" s="6" t="n"/>
      <c r="C95" s="13" t="n"/>
      <c r="D95" s="1" t="n"/>
      <c r="E95" s="14" t="n"/>
      <c r="F95" s="14" t="n"/>
      <c r="G95" s="6" t="n"/>
      <c r="H95" s="6" t="n"/>
      <c r="I95" s="6" t="n"/>
      <c r="J95" s="6" t="n"/>
      <c r="K95" s="6" t="n"/>
      <c r="L95" s="6" t="n"/>
      <c r="M95" s="6" t="n"/>
      <c r="N95" s="6" t="n"/>
      <c r="O95" s="6" t="n"/>
      <c r="P95" s="6" t="n"/>
      <c r="Q95" s="6" t="n"/>
      <c r="R95" s="6" t="n"/>
      <c r="S95" s="6" t="n"/>
      <c r="T95" s="6" t="n"/>
      <c r="U95" s="6" t="n"/>
      <c r="V95" s="6" t="n"/>
      <c r="W95" s="6" t="n"/>
      <c r="X95" s="6" t="n"/>
      <c r="Y95" s="6" t="n"/>
      <c r="Z95" s="6" t="n"/>
    </row>
    <row r="96" ht="31.5" customHeight="1" s="12">
      <c r="A96" s="1" t="n"/>
      <c r="B96" s="6" t="n"/>
      <c r="C96" s="13" t="n"/>
      <c r="D96" s="1" t="n"/>
      <c r="E96" s="14" t="n"/>
      <c r="F96" s="14" t="n"/>
      <c r="G96" s="6" t="n"/>
      <c r="H96" s="6" t="n"/>
      <c r="I96" s="6" t="n"/>
      <c r="J96" s="6" t="n"/>
      <c r="K96" s="6" t="n"/>
      <c r="L96" s="6" t="n"/>
      <c r="M96" s="6" t="n"/>
      <c r="N96" s="6" t="n"/>
      <c r="O96" s="6" t="n"/>
      <c r="P96" s="6" t="n"/>
      <c r="Q96" s="6" t="n"/>
      <c r="R96" s="6" t="n"/>
      <c r="S96" s="6" t="n"/>
      <c r="T96" s="6" t="n"/>
      <c r="U96" s="6" t="n"/>
      <c r="V96" s="6" t="n"/>
      <c r="W96" s="6" t="n"/>
      <c r="X96" s="6" t="n"/>
      <c r="Y96" s="6" t="n"/>
      <c r="Z96" s="6" t="n"/>
    </row>
    <row r="97" ht="31.5" customHeight="1" s="12">
      <c r="A97" s="1" t="n"/>
      <c r="B97" s="6" t="n"/>
      <c r="C97" s="13" t="n"/>
      <c r="D97" s="1" t="n"/>
      <c r="E97" s="14" t="n"/>
      <c r="F97" s="14" t="n"/>
      <c r="G97" s="6" t="n"/>
      <c r="H97" s="6" t="n"/>
      <c r="I97" s="6" t="n"/>
      <c r="J97" s="6" t="n"/>
      <c r="K97" s="6" t="n"/>
      <c r="L97" s="6" t="n"/>
      <c r="M97" s="6" t="n"/>
      <c r="N97" s="6" t="n"/>
      <c r="O97" s="6" t="n"/>
      <c r="P97" s="6" t="n"/>
      <c r="Q97" s="6" t="n"/>
      <c r="R97" s="6" t="n"/>
      <c r="S97" s="6" t="n"/>
      <c r="T97" s="6" t="n"/>
      <c r="U97" s="6" t="n"/>
      <c r="V97" s="6" t="n"/>
      <c r="W97" s="6" t="n"/>
      <c r="X97" s="6" t="n"/>
      <c r="Y97" s="6" t="n"/>
      <c r="Z97" s="6" t="n"/>
    </row>
    <row r="98" ht="31.5" customHeight="1" s="12">
      <c r="A98" s="1" t="n"/>
      <c r="B98" s="6" t="n"/>
      <c r="C98" s="13" t="n"/>
      <c r="D98" s="1" t="n"/>
      <c r="E98" s="14" t="n"/>
      <c r="F98" s="14" t="n"/>
      <c r="G98" s="6" t="n"/>
      <c r="H98" s="6" t="n"/>
      <c r="I98" s="6" t="n"/>
      <c r="J98" s="6" t="n"/>
      <c r="K98" s="6" t="n"/>
      <c r="L98" s="6" t="n"/>
      <c r="M98" s="6" t="n"/>
      <c r="N98" s="6" t="n"/>
      <c r="O98" s="6" t="n"/>
      <c r="P98" s="6" t="n"/>
      <c r="Q98" s="6" t="n"/>
      <c r="R98" s="6" t="n"/>
      <c r="S98" s="6" t="n"/>
      <c r="T98" s="6" t="n"/>
      <c r="U98" s="6" t="n"/>
      <c r="V98" s="6" t="n"/>
      <c r="W98" s="6" t="n"/>
      <c r="X98" s="6" t="n"/>
      <c r="Y98" s="6" t="n"/>
      <c r="Z98" s="6" t="n"/>
    </row>
    <row r="99" ht="31.5" customHeight="1" s="12">
      <c r="A99" s="1" t="n"/>
      <c r="B99" s="6" t="n"/>
      <c r="C99" s="13" t="n"/>
      <c r="D99" s="1" t="n"/>
      <c r="E99" s="14" t="n"/>
      <c r="F99" s="14" t="n"/>
      <c r="G99" s="6" t="n"/>
      <c r="H99" s="6" t="n"/>
      <c r="I99" s="6" t="n"/>
      <c r="J99" s="6" t="n"/>
      <c r="K99" s="6" t="n"/>
      <c r="L99" s="6" t="n"/>
      <c r="M99" s="6" t="n"/>
      <c r="N99" s="6" t="n"/>
      <c r="O99" s="6" t="n"/>
      <c r="P99" s="6" t="n"/>
      <c r="Q99" s="6" t="n"/>
      <c r="R99" s="6" t="n"/>
      <c r="S99" s="6" t="n"/>
      <c r="T99" s="6" t="n"/>
      <c r="U99" s="6" t="n"/>
      <c r="V99" s="6" t="n"/>
      <c r="W99" s="6" t="n"/>
      <c r="X99" s="6" t="n"/>
      <c r="Y99" s="6" t="n"/>
      <c r="Z99" s="6" t="n"/>
    </row>
    <row r="100" ht="31.5" customHeight="1" s="12">
      <c r="A100" s="1" t="n"/>
      <c r="B100" s="6" t="n"/>
      <c r="C100" s="13" t="n"/>
      <c r="D100" s="1" t="n"/>
      <c r="E100" s="14" t="n"/>
      <c r="F100" s="14"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31.5" customHeight="1" s="12">
      <c r="A101" s="1" t="n"/>
      <c r="B101" s="6" t="n"/>
      <c r="C101" s="13" t="n"/>
      <c r="D101" s="1" t="n"/>
      <c r="E101" s="14" t="n"/>
      <c r="F101" s="14"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31.5" customHeight="1" s="12">
      <c r="A102" s="1" t="n"/>
      <c r="B102" s="6" t="n"/>
      <c r="C102" s="13" t="n"/>
      <c r="D102" s="1" t="n"/>
      <c r="E102" s="14" t="n"/>
      <c r="F102" s="14"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31.5" customHeight="1" s="12">
      <c r="A103" s="1" t="n"/>
      <c r="B103" s="6" t="n"/>
      <c r="C103" s="13" t="n"/>
      <c r="D103" s="1" t="n"/>
      <c r="E103" s="14" t="n"/>
      <c r="F103" s="14"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31.5" customHeight="1" s="12">
      <c r="A104" s="1" t="n"/>
      <c r="B104" s="6" t="n"/>
      <c r="C104" s="13" t="n"/>
      <c r="D104" s="1" t="n"/>
      <c r="E104" s="14" t="n"/>
      <c r="F104" s="14"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31.5" customHeight="1" s="12">
      <c r="A105" s="1" t="n"/>
      <c r="B105" s="6" t="n"/>
      <c r="C105" s="13" t="n"/>
      <c r="D105" s="1" t="n"/>
      <c r="E105" s="14" t="n"/>
      <c r="F105" s="14"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31.5" customHeight="1" s="12">
      <c r="A106" s="1" t="n"/>
      <c r="B106" s="6" t="n"/>
      <c r="C106" s="13" t="n"/>
      <c r="D106" s="1" t="n"/>
      <c r="E106" s="14" t="n"/>
      <c r="F106" s="14"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31.5" customHeight="1" s="12">
      <c r="A107" s="1" t="n"/>
      <c r="B107" s="6" t="n"/>
      <c r="C107" s="13" t="n"/>
      <c r="D107" s="1" t="n"/>
      <c r="E107" s="14" t="n"/>
      <c r="F107" s="14"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31.5" customHeight="1" s="12">
      <c r="A108" s="1" t="n"/>
      <c r="B108" s="6" t="n"/>
      <c r="C108" s="13" t="n"/>
      <c r="D108" s="1" t="n"/>
      <c r="E108" s="14" t="n"/>
      <c r="F108" s="14"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31.5" customHeight="1" s="12">
      <c r="A109" s="1" t="n"/>
      <c r="B109" s="6" t="n"/>
      <c r="C109" s="13" t="n"/>
      <c r="D109" s="1" t="n"/>
      <c r="E109" s="14" t="n"/>
      <c r="F109" s="14"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31.5" customHeight="1" s="12">
      <c r="A110" s="1" t="n"/>
      <c r="B110" s="6" t="n"/>
      <c r="C110" s="13" t="n"/>
      <c r="D110" s="1" t="n"/>
      <c r="E110" s="14" t="n"/>
      <c r="F110" s="14"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1.5" customHeight="1" s="12">
      <c r="A111" s="1" t="n"/>
      <c r="B111" s="6" t="n"/>
      <c r="C111" s="13" t="n"/>
      <c r="D111" s="1" t="n"/>
      <c r="E111" s="14" t="n"/>
      <c r="F111" s="14"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31.5" customHeight="1" s="12">
      <c r="A112" s="1" t="n"/>
      <c r="B112" s="6" t="n"/>
      <c r="C112" s="13" t="n"/>
      <c r="D112" s="1" t="n"/>
      <c r="E112" s="14" t="n"/>
      <c r="F112" s="14"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1.5" customHeight="1" s="12">
      <c r="A113" s="1" t="n"/>
      <c r="B113" s="6" t="n"/>
      <c r="C113" s="13" t="n"/>
      <c r="D113" s="1" t="n"/>
      <c r="E113" s="14" t="n"/>
      <c r="F113" s="14"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31.5" customHeight="1" s="12">
      <c r="A114" s="1" t="n"/>
      <c r="B114" s="6" t="n"/>
      <c r="C114" s="13" t="n"/>
      <c r="D114" s="1" t="n"/>
      <c r="E114" s="14" t="n"/>
      <c r="F114" s="14"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1.5" customHeight="1" s="12">
      <c r="A115" s="1" t="n"/>
      <c r="B115" s="6" t="n"/>
      <c r="C115" s="13" t="n"/>
      <c r="D115" s="1" t="n"/>
      <c r="E115" s="14" t="n"/>
      <c r="F115" s="14"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31.5" customHeight="1" s="12">
      <c r="A116" s="1" t="n"/>
      <c r="B116" s="6" t="n"/>
      <c r="C116" s="13" t="n"/>
      <c r="D116" s="1" t="n"/>
      <c r="E116" s="14" t="n"/>
      <c r="F116" s="14"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31.5" customHeight="1" s="12">
      <c r="A117" s="1" t="n"/>
      <c r="B117" s="6" t="n"/>
      <c r="C117" s="13" t="n"/>
      <c r="D117" s="1" t="n"/>
      <c r="E117" s="14" t="n"/>
      <c r="F117" s="14"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31.5" customHeight="1" s="12">
      <c r="A118" s="1" t="n"/>
      <c r="B118" s="6" t="n"/>
      <c r="C118" s="13" t="n"/>
      <c r="D118" s="1" t="n"/>
      <c r="E118" s="14" t="n"/>
      <c r="F118" s="14"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31.5" customHeight="1" s="12">
      <c r="A119" s="1" t="n"/>
      <c r="B119" s="6" t="n"/>
      <c r="C119" s="13" t="n"/>
      <c r="D119" s="1" t="n"/>
      <c r="E119" s="14" t="n"/>
      <c r="F119" s="14"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31.5" customHeight="1" s="12">
      <c r="A120" s="1" t="n"/>
      <c r="B120" s="6" t="n"/>
      <c r="C120" s="13" t="n"/>
      <c r="D120" s="1" t="n"/>
      <c r="E120" s="14" t="n"/>
      <c r="F120" s="14"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31.5" customHeight="1" s="12">
      <c r="A121" s="1" t="n"/>
      <c r="B121" s="6" t="n"/>
      <c r="C121" s="13" t="n"/>
      <c r="D121" s="1" t="n"/>
      <c r="E121" s="14" t="n"/>
      <c r="F121" s="14"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31.5" customHeight="1" s="12">
      <c r="A122" s="1" t="n"/>
      <c r="B122" s="6" t="n"/>
      <c r="C122" s="13" t="n"/>
      <c r="D122" s="1" t="n"/>
      <c r="E122" s="14" t="n"/>
      <c r="F122" s="14"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31.5" customHeight="1" s="12">
      <c r="A123" s="1" t="n"/>
      <c r="B123" s="6" t="n"/>
      <c r="C123" s="13" t="n"/>
      <c r="D123" s="1" t="n"/>
      <c r="E123" s="14" t="n"/>
      <c r="F123" s="14"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31.5" customHeight="1" s="12">
      <c r="A124" s="1" t="n"/>
      <c r="B124" s="6" t="n"/>
      <c r="C124" s="13" t="n"/>
      <c r="D124" s="1" t="n"/>
      <c r="E124" s="14" t="n"/>
      <c r="F124" s="14"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31.5" customHeight="1" s="12">
      <c r="A125" s="1" t="n"/>
      <c r="B125" s="6" t="n"/>
      <c r="C125" s="13" t="n"/>
      <c r="D125" s="1" t="n"/>
      <c r="E125" s="14" t="n"/>
      <c r="F125" s="14"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31.5" customHeight="1" s="12">
      <c r="A126" s="1" t="n"/>
      <c r="B126" s="6" t="n"/>
      <c r="C126" s="13" t="n"/>
      <c r="D126" s="1" t="n"/>
      <c r="E126" s="14" t="n"/>
      <c r="F126" s="14"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31.5" customHeight="1" s="12">
      <c r="A127" s="1" t="n"/>
      <c r="B127" s="6" t="n"/>
      <c r="C127" s="13" t="n"/>
      <c r="D127" s="1" t="n"/>
      <c r="E127" s="14" t="n"/>
      <c r="F127" s="14"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31.5" customHeight="1" s="12">
      <c r="A128" s="1" t="n"/>
      <c r="B128" s="6" t="n"/>
      <c r="C128" s="13" t="n"/>
      <c r="D128" s="1" t="n"/>
      <c r="E128" s="14" t="n"/>
      <c r="F128" s="14"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31.5" customHeight="1" s="12">
      <c r="A129" s="1" t="n"/>
      <c r="B129" s="6" t="n"/>
      <c r="C129" s="13" t="n"/>
      <c r="D129" s="1" t="n"/>
      <c r="E129" s="14" t="n"/>
      <c r="F129" s="14"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31.5" customHeight="1" s="12">
      <c r="A130" s="1" t="n"/>
      <c r="B130" s="6" t="n"/>
      <c r="C130" s="13" t="n"/>
      <c r="D130" s="1" t="n"/>
      <c r="E130" s="14" t="n"/>
      <c r="F130" s="14"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31.5" customHeight="1" s="12">
      <c r="A131" s="1" t="n"/>
      <c r="B131" s="6" t="n"/>
      <c r="C131" s="13" t="n"/>
      <c r="D131" s="1" t="n"/>
      <c r="E131" s="14" t="n"/>
      <c r="F131" s="14"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31.5" customHeight="1" s="12">
      <c r="A132" s="1" t="n"/>
      <c r="B132" s="6" t="n"/>
      <c r="C132" s="13" t="n"/>
      <c r="D132" s="1" t="n"/>
      <c r="E132" s="14" t="n"/>
      <c r="F132" s="14"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31.5" customHeight="1" s="12">
      <c r="A133" s="1" t="n"/>
      <c r="B133" s="6" t="n"/>
      <c r="C133" s="13" t="n"/>
      <c r="D133" s="1" t="n"/>
      <c r="E133" s="14" t="n"/>
      <c r="F133" s="14"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31.5" customHeight="1" s="12">
      <c r="A134" s="1" t="n"/>
      <c r="B134" s="6" t="n"/>
      <c r="C134" s="13" t="n"/>
      <c r="D134" s="1" t="n"/>
      <c r="E134" s="14" t="n"/>
      <c r="F134" s="14"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31.5" customHeight="1" s="12">
      <c r="A135" s="1" t="n"/>
      <c r="B135" s="6" t="n"/>
      <c r="C135" s="13" t="n"/>
      <c r="D135" s="1" t="n"/>
      <c r="E135" s="14" t="n"/>
      <c r="F135" s="14"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31.5" customHeight="1" s="12">
      <c r="A136" s="1" t="n"/>
      <c r="B136" s="6" t="n"/>
      <c r="C136" s="13" t="n"/>
      <c r="D136" s="1" t="n"/>
      <c r="E136" s="14" t="n"/>
      <c r="F136" s="14"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31.5" customHeight="1" s="12">
      <c r="A137" s="1" t="n"/>
      <c r="B137" s="6" t="n"/>
      <c r="C137" s="13" t="n"/>
      <c r="D137" s="1" t="n"/>
      <c r="E137" s="14" t="n"/>
      <c r="F137" s="14"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31.5" customHeight="1" s="12">
      <c r="A138" s="1" t="n"/>
      <c r="B138" s="6" t="n"/>
      <c r="C138" s="13" t="n"/>
      <c r="D138" s="1" t="n"/>
      <c r="E138" s="14" t="n"/>
      <c r="F138" s="14"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31.5" customHeight="1" s="12">
      <c r="A139" s="1" t="n"/>
      <c r="B139" s="6" t="n"/>
      <c r="C139" s="13" t="n"/>
      <c r="D139" s="1" t="n"/>
      <c r="E139" s="14" t="n"/>
      <c r="F139" s="14"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31.5" customHeight="1" s="12">
      <c r="A140" s="1" t="n"/>
      <c r="B140" s="6" t="n"/>
      <c r="C140" s="13" t="n"/>
      <c r="D140" s="1" t="n"/>
      <c r="E140" s="14" t="n"/>
      <c r="F140" s="14"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31.5" customHeight="1" s="12">
      <c r="A141" s="1" t="n"/>
      <c r="B141" s="6" t="n"/>
      <c r="C141" s="13" t="n"/>
      <c r="D141" s="1" t="n"/>
      <c r="E141" s="14" t="n"/>
      <c r="F141" s="14"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31.5" customHeight="1" s="12">
      <c r="A142" s="1" t="n"/>
      <c r="B142" s="6" t="n"/>
      <c r="C142" s="13" t="n"/>
      <c r="D142" s="1" t="n"/>
      <c r="E142" s="14" t="n"/>
      <c r="F142" s="14"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31.5" customHeight="1" s="12">
      <c r="A143" s="1" t="n"/>
      <c r="B143" s="6" t="n"/>
      <c r="C143" s="13" t="n"/>
      <c r="D143" s="1" t="n"/>
      <c r="E143" s="14" t="n"/>
      <c r="F143" s="14"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31.5" customHeight="1" s="12">
      <c r="A144" s="1" t="n"/>
      <c r="B144" s="6" t="n"/>
      <c r="C144" s="13" t="n"/>
      <c r="D144" s="1" t="n"/>
      <c r="E144" s="14" t="n"/>
      <c r="F144" s="14"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31.5" customHeight="1" s="12">
      <c r="A145" s="1" t="n"/>
      <c r="B145" s="6" t="n"/>
      <c r="C145" s="13" t="n"/>
      <c r="D145" s="1" t="n"/>
      <c r="E145" s="14" t="n"/>
      <c r="F145" s="14"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31.5" customHeight="1" s="12">
      <c r="A146" s="1" t="n"/>
      <c r="B146" s="6" t="n"/>
      <c r="C146" s="13" t="n"/>
      <c r="D146" s="1" t="n"/>
      <c r="E146" s="14" t="n"/>
      <c r="F146" s="14"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31.5" customHeight="1" s="12">
      <c r="A147" s="1" t="n"/>
      <c r="B147" s="6" t="n"/>
      <c r="C147" s="13" t="n"/>
      <c r="D147" s="1" t="n"/>
      <c r="E147" s="14" t="n"/>
      <c r="F147" s="14"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31.5" customHeight="1" s="12">
      <c r="A148" s="1" t="n"/>
      <c r="B148" s="6" t="n"/>
      <c r="C148" s="13" t="n"/>
      <c r="D148" s="1" t="n"/>
      <c r="E148" s="14" t="n"/>
      <c r="F148" s="14"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31.5" customHeight="1" s="12">
      <c r="A149" s="1" t="n"/>
      <c r="B149" s="6" t="n"/>
      <c r="C149" s="13" t="n"/>
      <c r="D149" s="1" t="n"/>
      <c r="E149" s="14" t="n"/>
      <c r="F149" s="14"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31.5" customHeight="1" s="12">
      <c r="A150" s="1" t="n"/>
      <c r="B150" s="6" t="n"/>
      <c r="C150" s="13" t="n"/>
      <c r="D150" s="1" t="n"/>
      <c r="E150" s="14" t="n"/>
      <c r="F150" s="14"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31.5" customHeight="1" s="12">
      <c r="A151" s="1" t="n"/>
      <c r="B151" s="6" t="n"/>
      <c r="C151" s="13" t="n"/>
      <c r="D151" s="1" t="n"/>
      <c r="E151" s="14" t="n"/>
      <c r="F151" s="14"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31.5" customHeight="1" s="12">
      <c r="A152" s="1" t="n"/>
      <c r="B152" s="6" t="n"/>
      <c r="C152" s="13" t="n"/>
      <c r="D152" s="1" t="n"/>
      <c r="E152" s="14" t="n"/>
      <c r="F152" s="14"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31.5" customHeight="1" s="12">
      <c r="A153" s="1" t="n"/>
      <c r="B153" s="6" t="n"/>
      <c r="C153" s="13" t="n"/>
      <c r="D153" s="1" t="n"/>
      <c r="E153" s="14" t="n"/>
      <c r="F153" s="14"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31.5" customHeight="1" s="12">
      <c r="A154" s="1" t="n"/>
      <c r="B154" s="6" t="n"/>
      <c r="C154" s="13" t="n"/>
      <c r="D154" s="1" t="n"/>
      <c r="E154" s="14" t="n"/>
      <c r="F154" s="14"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31.5" customHeight="1" s="12">
      <c r="A155" s="1" t="n"/>
      <c r="B155" s="6" t="n"/>
      <c r="C155" s="13" t="n"/>
      <c r="D155" s="1" t="n"/>
      <c r="E155" s="14" t="n"/>
      <c r="F155" s="14"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31.5" customHeight="1" s="12">
      <c r="A156" s="1" t="n"/>
      <c r="B156" s="6" t="n"/>
      <c r="C156" s="13" t="n"/>
      <c r="D156" s="1" t="n"/>
      <c r="E156" s="14" t="n"/>
      <c r="F156" s="14"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31.5" customHeight="1" s="12">
      <c r="A157" s="1" t="n"/>
      <c r="B157" s="6" t="n"/>
      <c r="C157" s="13" t="n"/>
      <c r="D157" s="1" t="n"/>
      <c r="E157" s="14" t="n"/>
      <c r="F157" s="14"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31.5" customHeight="1" s="12">
      <c r="A158" s="1" t="n"/>
      <c r="B158" s="6" t="n"/>
      <c r="C158" s="13" t="n"/>
      <c r="D158" s="1" t="n"/>
      <c r="E158" s="14" t="n"/>
      <c r="F158" s="14"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31.5" customHeight="1" s="12">
      <c r="A159" s="1" t="n"/>
      <c r="B159" s="6" t="n"/>
      <c r="C159" s="13" t="n"/>
      <c r="D159" s="1" t="n"/>
      <c r="E159" s="14" t="n"/>
      <c r="F159" s="14"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31.5" customHeight="1" s="12">
      <c r="A160" s="1" t="n"/>
      <c r="B160" s="6" t="n"/>
      <c r="C160" s="13" t="n"/>
      <c r="D160" s="1" t="n"/>
      <c r="E160" s="14" t="n"/>
      <c r="F160" s="14"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31.5" customHeight="1" s="12">
      <c r="A161" s="1" t="n"/>
      <c r="B161" s="6" t="n"/>
      <c r="C161" s="13" t="n"/>
      <c r="D161" s="1" t="n"/>
      <c r="E161" s="14" t="n"/>
      <c r="F161" s="14"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31.5" customHeight="1" s="12">
      <c r="A162" s="1" t="n"/>
      <c r="B162" s="6" t="n"/>
      <c r="C162" s="13" t="n"/>
      <c r="D162" s="1" t="n"/>
      <c r="E162" s="14" t="n"/>
      <c r="F162" s="14"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31.5" customHeight="1" s="12">
      <c r="A163" s="1" t="n"/>
      <c r="B163" s="6" t="n"/>
      <c r="C163" s="13" t="n"/>
      <c r="D163" s="1" t="n"/>
      <c r="E163" s="14" t="n"/>
      <c r="F163" s="14"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31.5" customHeight="1" s="12">
      <c r="A164" s="1" t="n"/>
      <c r="B164" s="6" t="n"/>
      <c r="C164" s="13" t="n"/>
      <c r="D164" s="1" t="n"/>
      <c r="E164" s="14" t="n"/>
      <c r="F164" s="14"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31.5" customHeight="1" s="12">
      <c r="A165" s="1" t="n"/>
      <c r="B165" s="6" t="n"/>
      <c r="C165" s="13" t="n"/>
      <c r="D165" s="1" t="n"/>
      <c r="E165" s="14" t="n"/>
      <c r="F165" s="14"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31.5" customHeight="1" s="12">
      <c r="A166" s="1" t="n"/>
      <c r="B166" s="6" t="n"/>
      <c r="C166" s="13" t="n"/>
      <c r="D166" s="1" t="n"/>
      <c r="E166" s="14" t="n"/>
      <c r="F166" s="14"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31.5" customHeight="1" s="12">
      <c r="A167" s="1" t="n"/>
      <c r="B167" s="6" t="n"/>
      <c r="C167" s="13" t="n"/>
      <c r="D167" s="1" t="n"/>
      <c r="E167" s="14" t="n"/>
      <c r="F167" s="14"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31.5" customHeight="1" s="12">
      <c r="A168" s="1" t="n"/>
      <c r="B168" s="6" t="n"/>
      <c r="C168" s="13" t="n"/>
      <c r="D168" s="1" t="n"/>
      <c r="E168" s="14" t="n"/>
      <c r="F168" s="14"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31.5" customHeight="1" s="12">
      <c r="A169" s="1" t="n"/>
      <c r="B169" s="6" t="n"/>
      <c r="C169" s="13" t="n"/>
      <c r="D169" s="1" t="n"/>
      <c r="E169" s="14" t="n"/>
      <c r="F169" s="14"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31.5" customHeight="1" s="12">
      <c r="A170" s="1" t="n"/>
      <c r="B170" s="6" t="n"/>
      <c r="C170" s="13" t="n"/>
      <c r="D170" s="1" t="n"/>
      <c r="E170" s="14" t="n"/>
      <c r="F170" s="14"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31.5" customHeight="1" s="12">
      <c r="A171" s="1" t="n"/>
      <c r="B171" s="6" t="n"/>
      <c r="C171" s="13" t="n"/>
      <c r="D171" s="1" t="n"/>
      <c r="E171" s="14" t="n"/>
      <c r="F171" s="14"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31.5" customHeight="1" s="12">
      <c r="A172" s="1" t="n"/>
      <c r="B172" s="6" t="n"/>
      <c r="C172" s="13" t="n"/>
      <c r="D172" s="1" t="n"/>
      <c r="E172" s="14" t="n"/>
      <c r="F172" s="14"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31.5" customHeight="1" s="12">
      <c r="A173" s="1" t="n"/>
      <c r="B173" s="6" t="n"/>
      <c r="C173" s="13" t="n"/>
      <c r="D173" s="1" t="n"/>
      <c r="E173" s="14" t="n"/>
      <c r="F173" s="14"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31.5" customHeight="1" s="12">
      <c r="A174" s="1" t="n"/>
      <c r="B174" s="6" t="n"/>
      <c r="C174" s="13" t="n"/>
      <c r="D174" s="1" t="n"/>
      <c r="E174" s="14" t="n"/>
      <c r="F174" s="14"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31.5" customHeight="1" s="12">
      <c r="A175" s="1" t="n"/>
      <c r="B175" s="6" t="n"/>
      <c r="C175" s="13" t="n"/>
      <c r="D175" s="1" t="n"/>
      <c r="E175" s="14" t="n"/>
      <c r="F175" s="14"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31.5" customHeight="1" s="12">
      <c r="A176" s="1" t="n"/>
      <c r="B176" s="6" t="n"/>
      <c r="C176" s="13" t="n"/>
      <c r="D176" s="1" t="n"/>
      <c r="E176" s="14" t="n"/>
      <c r="F176" s="14"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1.5" customHeight="1" s="12">
      <c r="A177" s="1" t="n"/>
      <c r="B177" s="6" t="n"/>
      <c r="C177" s="13" t="n"/>
      <c r="D177" s="1" t="n"/>
      <c r="E177" s="14" t="n"/>
      <c r="F177" s="14"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31.5" customHeight="1" s="12">
      <c r="A178" s="1" t="n"/>
      <c r="B178" s="6" t="n"/>
      <c r="C178" s="13" t="n"/>
      <c r="D178" s="1" t="n"/>
      <c r="E178" s="14" t="n"/>
      <c r="F178" s="14"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31.5" customHeight="1" s="12">
      <c r="A179" s="1" t="n"/>
      <c r="B179" s="6" t="n"/>
      <c r="C179" s="13" t="n"/>
      <c r="D179" s="1" t="n"/>
      <c r="E179" s="14" t="n"/>
      <c r="F179" s="14"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31.5" customHeight="1" s="12">
      <c r="A180" s="1" t="n"/>
      <c r="B180" s="6" t="n"/>
      <c r="C180" s="13" t="n"/>
      <c r="D180" s="1" t="n"/>
      <c r="E180" s="14" t="n"/>
      <c r="F180" s="14"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31.5" customHeight="1" s="12">
      <c r="A181" s="1" t="n"/>
      <c r="B181" s="6" t="n"/>
      <c r="C181" s="13" t="n"/>
      <c r="D181" s="1" t="n"/>
      <c r="E181" s="14" t="n"/>
      <c r="F181" s="14"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31.5" customHeight="1" s="12">
      <c r="A182" s="1" t="n"/>
      <c r="B182" s="6" t="n"/>
      <c r="C182" s="13" t="n"/>
      <c r="D182" s="1" t="n"/>
      <c r="E182" s="14" t="n"/>
      <c r="F182" s="14"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31.5" customHeight="1" s="12">
      <c r="A183" s="1" t="n"/>
      <c r="B183" s="6" t="n"/>
      <c r="C183" s="13" t="n"/>
      <c r="D183" s="1" t="n"/>
      <c r="E183" s="14" t="n"/>
      <c r="F183" s="14"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1.5" customHeight="1" s="12">
      <c r="A184" s="1" t="n"/>
      <c r="B184" s="6" t="n"/>
      <c r="C184" s="13" t="n"/>
      <c r="D184" s="1" t="n"/>
      <c r="E184" s="14" t="n"/>
      <c r="F184" s="14"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31.5" customHeight="1" s="12">
      <c r="A185" s="1" t="n"/>
      <c r="B185" s="6" t="n"/>
      <c r="C185" s="13" t="n"/>
      <c r="D185" s="1" t="n"/>
      <c r="E185" s="14" t="n"/>
      <c r="F185" s="14"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1.5" customHeight="1" s="12">
      <c r="A186" s="1" t="n"/>
      <c r="B186" s="6" t="n"/>
      <c r="C186" s="13" t="n"/>
      <c r="D186" s="1" t="n"/>
      <c r="E186" s="14" t="n"/>
      <c r="F186" s="14"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1.5" customHeight="1" s="12">
      <c r="A187" s="1" t="n"/>
      <c r="B187" s="6" t="n"/>
      <c r="C187" s="13" t="n"/>
      <c r="D187" s="1" t="n"/>
      <c r="E187" s="14" t="n"/>
      <c r="F187" s="14"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1.5" customHeight="1" s="12">
      <c r="A188" s="1" t="n"/>
      <c r="B188" s="6" t="n"/>
      <c r="C188" s="13" t="n"/>
      <c r="D188" s="1" t="n"/>
      <c r="E188" s="14" t="n"/>
      <c r="F188" s="14"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1.5" customHeight="1" s="12">
      <c r="A189" s="1" t="n"/>
      <c r="B189" s="6" t="n"/>
      <c r="C189" s="13" t="n"/>
      <c r="D189" s="1" t="n"/>
      <c r="E189" s="14" t="n"/>
      <c r="F189" s="14"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31.5" customHeight="1" s="12">
      <c r="A190" s="1" t="n"/>
      <c r="B190" s="6" t="n"/>
      <c r="C190" s="13" t="n"/>
      <c r="D190" s="1" t="n"/>
      <c r="E190" s="14" t="n"/>
      <c r="F190" s="14"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31.5" customHeight="1" s="12">
      <c r="A191" s="1" t="n"/>
      <c r="B191" s="6" t="n"/>
      <c r="C191" s="13" t="n"/>
      <c r="D191" s="1" t="n"/>
      <c r="E191" s="14" t="n"/>
      <c r="F191" s="14"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31.5" customHeight="1" s="12">
      <c r="A192" s="1" t="n"/>
      <c r="B192" s="6" t="n"/>
      <c r="C192" s="13" t="n"/>
      <c r="D192" s="1" t="n"/>
      <c r="E192" s="14" t="n"/>
      <c r="F192" s="14"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31.5" customHeight="1" s="12">
      <c r="A193" s="1" t="n"/>
      <c r="B193" s="6" t="n"/>
      <c r="C193" s="13" t="n"/>
      <c r="D193" s="1" t="n"/>
      <c r="E193" s="14" t="n"/>
      <c r="F193" s="14"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31.5" customHeight="1" s="12">
      <c r="A194" s="1" t="n"/>
      <c r="B194" s="6" t="n"/>
      <c r="C194" s="13" t="n"/>
      <c r="D194" s="1" t="n"/>
      <c r="E194" s="14" t="n"/>
      <c r="F194" s="14"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31.5" customHeight="1" s="12">
      <c r="A195" s="1" t="n"/>
      <c r="B195" s="6" t="n"/>
      <c r="C195" s="13" t="n"/>
      <c r="D195" s="1" t="n"/>
      <c r="E195" s="14" t="n"/>
      <c r="F195" s="14"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31.5" customHeight="1" s="12">
      <c r="A196" s="1" t="n"/>
      <c r="B196" s="6" t="n"/>
      <c r="C196" s="13" t="n"/>
      <c r="D196" s="1" t="n"/>
      <c r="E196" s="14" t="n"/>
      <c r="F196" s="14"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31.5" customHeight="1" s="12">
      <c r="A197" s="1" t="n"/>
      <c r="B197" s="6" t="n"/>
      <c r="C197" s="13" t="n"/>
      <c r="D197" s="1" t="n"/>
      <c r="E197" s="14" t="n"/>
      <c r="F197" s="14"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31.5" customHeight="1" s="12">
      <c r="A198" s="1" t="n"/>
      <c r="B198" s="6" t="n"/>
      <c r="C198" s="13" t="n"/>
      <c r="D198" s="1" t="n"/>
      <c r="E198" s="14" t="n"/>
      <c r="F198" s="14"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31.5" customHeight="1" s="12">
      <c r="A199" s="1" t="n"/>
      <c r="B199" s="6" t="n"/>
      <c r="C199" s="13" t="n"/>
      <c r="D199" s="1" t="n"/>
      <c r="E199" s="14" t="n"/>
      <c r="F199" s="14"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31.5" customHeight="1" s="12">
      <c r="A200" s="1" t="n"/>
      <c r="B200" s="6" t="n"/>
      <c r="C200" s="13" t="n"/>
      <c r="D200" s="1" t="n"/>
      <c r="E200" s="14" t="n"/>
      <c r="F200" s="14"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31.5" customHeight="1" s="12">
      <c r="A201" s="1" t="n"/>
      <c r="B201" s="6" t="n"/>
      <c r="C201" s="13" t="n"/>
      <c r="D201" s="1" t="n"/>
      <c r="E201" s="14" t="n"/>
      <c r="F201" s="14"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31.5" customHeight="1" s="12">
      <c r="A202" s="1" t="n"/>
      <c r="B202" s="6" t="n"/>
      <c r="C202" s="13" t="n"/>
      <c r="D202" s="1" t="n"/>
      <c r="E202" s="14" t="n"/>
      <c r="F202" s="14"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31.5" customHeight="1" s="12">
      <c r="A203" s="1" t="n"/>
      <c r="B203" s="6" t="n"/>
      <c r="C203" s="13" t="n"/>
      <c r="D203" s="1" t="n"/>
      <c r="E203" s="14" t="n"/>
      <c r="F203" s="14"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31.5" customHeight="1" s="12">
      <c r="A204" s="1" t="n"/>
      <c r="B204" s="6" t="n"/>
      <c r="C204" s="13" t="n"/>
      <c r="D204" s="1" t="n"/>
      <c r="E204" s="14" t="n"/>
      <c r="F204" s="14"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1.5" customHeight="1" s="12">
      <c r="A205" s="1" t="n"/>
      <c r="B205" s="6" t="n"/>
      <c r="C205" s="13" t="n"/>
      <c r="D205" s="1" t="n"/>
      <c r="E205" s="14" t="n"/>
      <c r="F205" s="14"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31.5" customHeight="1" s="12">
      <c r="A206" s="1" t="n"/>
      <c r="B206" s="6" t="n"/>
      <c r="C206" s="13" t="n"/>
      <c r="D206" s="1" t="n"/>
      <c r="E206" s="14" t="n"/>
      <c r="F206" s="14"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31.5" customHeight="1" s="12">
      <c r="A207" s="1" t="n"/>
      <c r="B207" s="6" t="n"/>
      <c r="C207" s="13" t="n"/>
      <c r="D207" s="1" t="n"/>
      <c r="E207" s="14" t="n"/>
      <c r="F207" s="14"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31.5" customHeight="1" s="12">
      <c r="A208" s="1" t="n"/>
      <c r="B208" s="6" t="n"/>
      <c r="C208" s="13" t="n"/>
      <c r="D208" s="1" t="n"/>
      <c r="E208" s="14" t="n"/>
      <c r="F208" s="14"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31.5" customHeight="1" s="12">
      <c r="A209" s="1" t="n"/>
      <c r="B209" s="6" t="n"/>
      <c r="C209" s="13" t="n"/>
      <c r="D209" s="1" t="n"/>
      <c r="E209" s="14" t="n"/>
      <c r="F209" s="14"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31.5" customHeight="1" s="12">
      <c r="A210" s="1" t="n"/>
      <c r="B210" s="6" t="n"/>
      <c r="C210" s="13" t="n"/>
      <c r="D210" s="1" t="n"/>
      <c r="E210" s="14" t="n"/>
      <c r="F210" s="14"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1.5" customHeight="1" s="12">
      <c r="A211" s="1" t="n"/>
      <c r="B211" s="6" t="n"/>
      <c r="C211" s="13" t="n"/>
      <c r="D211" s="1" t="n"/>
      <c r="E211" s="14" t="n"/>
      <c r="F211" s="14"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31.5" customHeight="1" s="12">
      <c r="A212" s="1" t="n"/>
      <c r="B212" s="6" t="n"/>
      <c r="C212" s="13" t="n"/>
      <c r="D212" s="1" t="n"/>
      <c r="E212" s="14" t="n"/>
      <c r="F212" s="14"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31.5" customHeight="1" s="12">
      <c r="A213" s="1" t="n"/>
      <c r="B213" s="6" t="n"/>
      <c r="C213" s="13" t="n"/>
      <c r="D213" s="1" t="n"/>
      <c r="E213" s="14" t="n"/>
      <c r="F213" s="14"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31.5" customHeight="1" s="12">
      <c r="A214" s="1" t="n"/>
      <c r="B214" s="6" t="n"/>
      <c r="C214" s="13" t="n"/>
      <c r="D214" s="1" t="n"/>
      <c r="E214" s="14" t="n"/>
      <c r="F214" s="14"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31.5" customHeight="1" s="12">
      <c r="A215" s="1" t="n"/>
      <c r="B215" s="6" t="n"/>
      <c r="C215" s="13" t="n"/>
      <c r="D215" s="1" t="n"/>
      <c r="E215" s="14" t="n"/>
      <c r="F215" s="14"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1.5" customHeight="1" s="12">
      <c r="A216" s="1" t="n"/>
      <c r="B216" s="6" t="n"/>
      <c r="C216" s="13" t="n"/>
      <c r="D216" s="1" t="n"/>
      <c r="E216" s="14" t="n"/>
      <c r="F216" s="14"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31.5" customHeight="1" s="12">
      <c r="A217" s="1" t="n"/>
      <c r="B217" s="6" t="n"/>
      <c r="C217" s="13" t="n"/>
      <c r="D217" s="1" t="n"/>
      <c r="E217" s="14" t="n"/>
      <c r="F217" s="14"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31.5" customHeight="1" s="12">
      <c r="A218" s="1" t="n"/>
      <c r="B218" s="6" t="n"/>
      <c r="C218" s="13" t="n"/>
      <c r="D218" s="1" t="n"/>
      <c r="E218" s="14" t="n"/>
      <c r="F218" s="14"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31.5" customHeight="1" s="12">
      <c r="A219" s="1" t="n"/>
      <c r="B219" s="6" t="n"/>
      <c r="C219" s="13" t="n"/>
      <c r="D219" s="1" t="n"/>
      <c r="E219" s="14" t="n"/>
      <c r="F219" s="14"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31.5" customHeight="1" s="12">
      <c r="A220" s="1" t="n"/>
      <c r="B220" s="6" t="n"/>
      <c r="C220" s="13" t="n"/>
      <c r="D220" s="1" t="n"/>
      <c r="E220" s="14" t="n"/>
      <c r="F220" s="14"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31.5" customHeight="1" s="12">
      <c r="A221" s="1" t="n"/>
      <c r="B221" s="6" t="n"/>
      <c r="C221" s="13" t="n"/>
      <c r="D221" s="1" t="n"/>
      <c r="E221" s="14" t="n"/>
      <c r="F221" s="14"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31.5" customHeight="1" s="12">
      <c r="A222" s="1" t="n"/>
      <c r="B222" s="6" t="n"/>
      <c r="C222" s="13" t="n"/>
      <c r="D222" s="1" t="n"/>
      <c r="E222" s="14" t="n"/>
      <c r="F222" s="14"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31.5" customHeight="1" s="12">
      <c r="A223" s="1" t="n"/>
      <c r="B223" s="6" t="n"/>
      <c r="C223" s="13" t="n"/>
      <c r="D223" s="1" t="n"/>
      <c r="E223" s="14" t="n"/>
      <c r="F223" s="14"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31.5" customHeight="1" s="12">
      <c r="A224" s="1" t="n"/>
      <c r="B224" s="6" t="n"/>
      <c r="C224" s="13" t="n"/>
      <c r="D224" s="1" t="n"/>
      <c r="E224" s="14" t="n"/>
      <c r="F224" s="14"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31.5" customHeight="1" s="12">
      <c r="A225" s="1" t="n"/>
      <c r="B225" s="6" t="n"/>
      <c r="C225" s="13" t="n"/>
      <c r="D225" s="1" t="n"/>
      <c r="E225" s="14" t="n"/>
      <c r="F225" s="14"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31.5" customHeight="1" s="12">
      <c r="A226" s="1" t="n"/>
      <c r="B226" s="6" t="n"/>
      <c r="C226" s="13" t="n"/>
      <c r="D226" s="1" t="n"/>
      <c r="E226" s="14" t="n"/>
      <c r="F226" s="14"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31.5" customHeight="1" s="12">
      <c r="A227" s="1" t="n"/>
      <c r="B227" s="6" t="n"/>
      <c r="C227" s="13" t="n"/>
      <c r="D227" s="1" t="n"/>
      <c r="E227" s="14" t="n"/>
      <c r="F227" s="14"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31.5" customHeight="1" s="12">
      <c r="A228" s="1" t="n"/>
      <c r="B228" s="6" t="n"/>
      <c r="C228" s="13" t="n"/>
      <c r="D228" s="1" t="n"/>
      <c r="E228" s="14" t="n"/>
      <c r="F228" s="14"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31.5" customHeight="1" s="12">
      <c r="A229" s="1" t="n"/>
      <c r="B229" s="6" t="n"/>
      <c r="C229" s="13" t="n"/>
      <c r="D229" s="1" t="n"/>
      <c r="E229" s="14" t="n"/>
      <c r="F229" s="14"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31.5" customHeight="1" s="12">
      <c r="A230" s="1" t="n"/>
      <c r="B230" s="6" t="n"/>
      <c r="C230" s="13" t="n"/>
      <c r="D230" s="1" t="n"/>
      <c r="E230" s="14" t="n"/>
      <c r="F230" s="14"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31.5" customHeight="1" s="12">
      <c r="A231" s="1" t="n"/>
      <c r="B231" s="6" t="n"/>
      <c r="C231" s="13" t="n"/>
      <c r="D231" s="1" t="n"/>
      <c r="E231" s="14" t="n"/>
      <c r="F231" s="14"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31.5" customHeight="1" s="12">
      <c r="A232" s="1" t="n"/>
      <c r="B232" s="6" t="n"/>
      <c r="C232" s="13" t="n"/>
      <c r="D232" s="1" t="n"/>
      <c r="E232" s="14" t="n"/>
      <c r="F232" s="14"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31.5" customHeight="1" s="12">
      <c r="A233" s="1" t="n"/>
      <c r="B233" s="6" t="n"/>
      <c r="C233" s="13" t="n"/>
      <c r="D233" s="1" t="n"/>
      <c r="E233" s="14" t="n"/>
      <c r="F233" s="14"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31.5" customHeight="1" s="12">
      <c r="A234" s="1" t="n"/>
      <c r="B234" s="6" t="n"/>
      <c r="C234" s="13" t="n"/>
      <c r="D234" s="1" t="n"/>
      <c r="E234" s="14" t="n"/>
      <c r="F234" s="14"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31.5" customHeight="1" s="12">
      <c r="A235" s="1" t="n"/>
      <c r="B235" s="6" t="n"/>
      <c r="C235" s="13" t="n"/>
      <c r="D235" s="1" t="n"/>
      <c r="E235" s="14" t="n"/>
      <c r="F235" s="14"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1.5" customHeight="1" s="12">
      <c r="A236" s="1" t="n"/>
      <c r="B236" s="6" t="n"/>
      <c r="C236" s="13" t="n"/>
      <c r="D236" s="1" t="n"/>
      <c r="E236" s="14" t="n"/>
      <c r="F236" s="14"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31.5" customHeight="1" s="12">
      <c r="A237" s="1" t="n"/>
      <c r="B237" s="6" t="n"/>
      <c r="C237" s="13" t="n"/>
      <c r="D237" s="1" t="n"/>
      <c r="E237" s="14" t="n"/>
      <c r="F237" s="14"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31.5" customHeight="1" s="12">
      <c r="A238" s="1" t="n"/>
      <c r="B238" s="6" t="n"/>
      <c r="C238" s="13" t="n"/>
      <c r="D238" s="1" t="n"/>
      <c r="E238" s="14" t="n"/>
      <c r="F238" s="14"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31.5" customHeight="1" s="12">
      <c r="A239" s="1" t="n"/>
      <c r="B239" s="6" t="n"/>
      <c r="C239" s="13" t="n"/>
      <c r="D239" s="1" t="n"/>
      <c r="E239" s="14" t="n"/>
      <c r="F239" s="14"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31.5" customHeight="1" s="12">
      <c r="A240" s="1" t="n"/>
      <c r="B240" s="6" t="n"/>
      <c r="C240" s="13" t="n"/>
      <c r="D240" s="1" t="n"/>
      <c r="E240" s="14" t="n"/>
      <c r="F240" s="14"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31.5" customHeight="1" s="12">
      <c r="A241" s="1" t="n"/>
      <c r="B241" s="6" t="n"/>
      <c r="C241" s="13" t="n"/>
      <c r="D241" s="1" t="n"/>
      <c r="E241" s="14" t="n"/>
      <c r="F241" s="14"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31.5" customHeight="1" s="12">
      <c r="A242" s="1" t="n"/>
      <c r="B242" s="6" t="n"/>
      <c r="C242" s="13" t="n"/>
      <c r="D242" s="1" t="n"/>
      <c r="E242" s="14" t="n"/>
      <c r="F242" s="14"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31.5" customHeight="1" s="12">
      <c r="A243" s="1" t="n"/>
      <c r="B243" s="6" t="n"/>
      <c r="C243" s="13" t="n"/>
      <c r="D243" s="1" t="n"/>
      <c r="E243" s="14" t="n"/>
      <c r="F243" s="14"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31.5" customHeight="1" s="12">
      <c r="A244" s="1" t="n"/>
      <c r="B244" s="6" t="n"/>
      <c r="C244" s="13" t="n"/>
      <c r="D244" s="1" t="n"/>
      <c r="E244" s="14" t="n"/>
      <c r="F244" s="14"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31.5" customHeight="1" s="12">
      <c r="A245" s="1" t="n"/>
      <c r="B245" s="6" t="n"/>
      <c r="C245" s="13" t="n"/>
      <c r="D245" s="1" t="n"/>
      <c r="E245" s="14" t="n"/>
      <c r="F245" s="14"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31.5" customHeight="1" s="12">
      <c r="A246" s="1" t="n"/>
      <c r="B246" s="6" t="n"/>
      <c r="C246" s="13" t="n"/>
      <c r="D246" s="1" t="n"/>
      <c r="E246" s="14" t="n"/>
      <c r="F246" s="14"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31.5" customHeight="1" s="12">
      <c r="A247" s="1" t="n"/>
      <c r="B247" s="6" t="n"/>
      <c r="C247" s="13" t="n"/>
      <c r="D247" s="1" t="n"/>
      <c r="E247" s="14" t="n"/>
      <c r="F247" s="14"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31.5" customHeight="1" s="12">
      <c r="A248" s="1" t="n"/>
      <c r="B248" s="6" t="n"/>
      <c r="C248" s="13" t="n"/>
      <c r="D248" s="1" t="n"/>
      <c r="E248" s="14" t="n"/>
      <c r="F248" s="14"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31.5" customHeight="1" s="12">
      <c r="A249" s="1" t="n"/>
      <c r="B249" s="6" t="n"/>
      <c r="C249" s="13" t="n"/>
      <c r="D249" s="1" t="n"/>
      <c r="E249" s="14" t="n"/>
      <c r="F249" s="14"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31.5" customHeight="1" s="12">
      <c r="A250" s="1" t="n"/>
      <c r="B250" s="6" t="n"/>
      <c r="C250" s="13" t="n"/>
      <c r="D250" s="1" t="n"/>
      <c r="E250" s="14" t="n"/>
      <c r="F250" s="14"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31.5" customHeight="1" s="12">
      <c r="A251" s="1" t="n"/>
      <c r="B251" s="6" t="n"/>
      <c r="C251" s="13" t="n"/>
      <c r="D251" s="1" t="n"/>
      <c r="E251" s="14" t="n"/>
      <c r="F251" s="14"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31.5" customHeight="1" s="12">
      <c r="A252" s="1" t="n"/>
      <c r="B252" s="6" t="n"/>
      <c r="C252" s="13" t="n"/>
      <c r="D252" s="1" t="n"/>
      <c r="E252" s="14" t="n"/>
      <c r="F252" s="14"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31.5" customHeight="1" s="12">
      <c r="A253" s="1" t="n"/>
      <c r="B253" s="6" t="n"/>
      <c r="C253" s="13" t="n"/>
      <c r="D253" s="1" t="n"/>
      <c r="E253" s="14" t="n"/>
      <c r="F253" s="14"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31.5" customHeight="1" s="12">
      <c r="A254" s="1" t="n"/>
      <c r="B254" s="6" t="n"/>
      <c r="C254" s="13" t="n"/>
      <c r="D254" s="1" t="n"/>
      <c r="E254" s="14" t="n"/>
      <c r="F254" s="14"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31.5" customHeight="1" s="12">
      <c r="A255" s="1" t="n"/>
      <c r="B255" s="6" t="n"/>
      <c r="C255" s="13" t="n"/>
      <c r="D255" s="1" t="n"/>
      <c r="E255" s="14" t="n"/>
      <c r="F255" s="14"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31.5" customHeight="1" s="12">
      <c r="A256" s="1" t="n"/>
      <c r="B256" s="6" t="n"/>
      <c r="C256" s="13" t="n"/>
      <c r="D256" s="1" t="n"/>
      <c r="E256" s="14" t="n"/>
      <c r="F256" s="14"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31.5" customHeight="1" s="12">
      <c r="A257" s="1" t="n"/>
      <c r="B257" s="6" t="n"/>
      <c r="C257" s="13" t="n"/>
      <c r="D257" s="1" t="n"/>
      <c r="E257" s="14" t="n"/>
      <c r="F257" s="14"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31.5" customHeight="1" s="12">
      <c r="A258" s="1" t="n"/>
      <c r="B258" s="6" t="n"/>
      <c r="C258" s="13" t="n"/>
      <c r="D258" s="1" t="n"/>
      <c r="E258" s="14" t="n"/>
      <c r="F258" s="14"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31.5" customHeight="1" s="12">
      <c r="A259" s="1" t="n"/>
      <c r="B259" s="6" t="n"/>
      <c r="C259" s="13" t="n"/>
      <c r="D259" s="1" t="n"/>
      <c r="E259" s="14" t="n"/>
      <c r="F259" s="14"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31.5" customHeight="1" s="12">
      <c r="A260" s="1" t="n"/>
      <c r="B260" s="6" t="n"/>
      <c r="C260" s="13" t="n"/>
      <c r="D260" s="1" t="n"/>
      <c r="E260" s="14" t="n"/>
      <c r="F260" s="14"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31.5" customHeight="1" s="12">
      <c r="A261" s="1" t="n"/>
      <c r="B261" s="6" t="n"/>
      <c r="C261" s="13" t="n"/>
      <c r="D261" s="1" t="n"/>
      <c r="E261" s="14" t="n"/>
      <c r="F261" s="14"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31.5" customHeight="1" s="12">
      <c r="A262" s="1" t="n"/>
      <c r="B262" s="6" t="n"/>
      <c r="C262" s="13" t="n"/>
      <c r="D262" s="1" t="n"/>
      <c r="E262" s="14" t="n"/>
      <c r="F262" s="14"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31.5" customHeight="1" s="12">
      <c r="A263" s="1" t="n"/>
      <c r="B263" s="6" t="n"/>
      <c r="C263" s="13" t="n"/>
      <c r="D263" s="1" t="n"/>
      <c r="E263" s="14" t="n"/>
      <c r="F263" s="14"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31.5" customHeight="1" s="12">
      <c r="A264" s="1" t="n"/>
      <c r="B264" s="6" t="n"/>
      <c r="C264" s="13" t="n"/>
      <c r="D264" s="1" t="n"/>
      <c r="E264" s="14" t="n"/>
      <c r="F264" s="14"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31.5" customHeight="1" s="12">
      <c r="A265" s="1" t="n"/>
      <c r="B265" s="6" t="n"/>
      <c r="C265" s="13" t="n"/>
      <c r="D265" s="1" t="n"/>
      <c r="E265" s="14" t="n"/>
      <c r="F265" s="14"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31.5" customHeight="1" s="12">
      <c r="A266" s="1" t="n"/>
      <c r="B266" s="6" t="n"/>
      <c r="C266" s="13" t="n"/>
      <c r="D266" s="1" t="n"/>
      <c r="E266" s="14" t="n"/>
      <c r="F266" s="14"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1.5" customHeight="1" s="12">
      <c r="A267" s="1" t="n"/>
      <c r="B267" s="6" t="n"/>
      <c r="C267" s="13" t="n"/>
      <c r="D267" s="1" t="n"/>
      <c r="E267" s="14" t="n"/>
      <c r="F267" s="14"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31.5" customHeight="1" s="12">
      <c r="A268" s="1" t="n"/>
      <c r="B268" s="6" t="n"/>
      <c r="C268" s="13" t="n"/>
      <c r="D268" s="1" t="n"/>
      <c r="E268" s="14" t="n"/>
      <c r="F268" s="14"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31.5" customHeight="1" s="12">
      <c r="A269" s="1" t="n"/>
      <c r="B269" s="6" t="n"/>
      <c r="C269" s="13" t="n"/>
      <c r="D269" s="1" t="n"/>
      <c r="E269" s="14" t="n"/>
      <c r="F269" s="14"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31.5" customHeight="1" s="12">
      <c r="A270" s="1" t="n"/>
      <c r="B270" s="6" t="n"/>
      <c r="C270" s="13" t="n"/>
      <c r="D270" s="1" t="n"/>
      <c r="E270" s="14" t="n"/>
      <c r="F270" s="14"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31.5" customHeight="1" s="12">
      <c r="A271" s="1" t="n"/>
      <c r="B271" s="6" t="n"/>
      <c r="C271" s="13" t="n"/>
      <c r="D271" s="1" t="n"/>
      <c r="E271" s="14" t="n"/>
      <c r="F271" s="14"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31.5" customHeight="1" s="12">
      <c r="A272" s="1" t="n"/>
      <c r="B272" s="6" t="n"/>
      <c r="C272" s="13" t="n"/>
      <c r="D272" s="1" t="n"/>
      <c r="E272" s="14" t="n"/>
      <c r="F272" s="1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31.5" customHeight="1" s="12">
      <c r="A273" s="1" t="n"/>
      <c r="B273" s="6" t="n"/>
      <c r="C273" s="13" t="n"/>
      <c r="D273" s="1" t="n"/>
      <c r="E273" s="14" t="n"/>
      <c r="F273" s="14"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31.5" customHeight="1" s="12">
      <c r="A274" s="1" t="n"/>
      <c r="B274" s="6" t="n"/>
      <c r="C274" s="13" t="n"/>
      <c r="D274" s="1" t="n"/>
      <c r="E274" s="14" t="n"/>
      <c r="F274" s="14"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31.5" customHeight="1" s="12">
      <c r="A275" s="1" t="n"/>
      <c r="B275" s="6" t="n"/>
      <c r="C275" s="13" t="n"/>
      <c r="D275" s="1" t="n"/>
      <c r="E275" s="14" t="n"/>
      <c r="F275" s="14"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31.5" customHeight="1" s="12">
      <c r="A276" s="1" t="n"/>
      <c r="B276" s="6" t="n"/>
      <c r="C276" s="13" t="n"/>
      <c r="D276" s="1" t="n"/>
      <c r="E276" s="14" t="n"/>
      <c r="F276" s="14"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31.5" customHeight="1" s="12">
      <c r="A277" s="1" t="n"/>
      <c r="B277" s="6" t="n"/>
      <c r="C277" s="13" t="n"/>
      <c r="D277" s="1" t="n"/>
      <c r="E277" s="14" t="n"/>
      <c r="F277" s="14"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31.5" customHeight="1" s="12">
      <c r="A278" s="1" t="n"/>
      <c r="B278" s="6" t="n"/>
      <c r="C278" s="13" t="n"/>
      <c r="D278" s="1" t="n"/>
      <c r="E278" s="14" t="n"/>
      <c r="F278" s="14"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31.5" customHeight="1" s="12">
      <c r="A279" s="1" t="n"/>
      <c r="B279" s="6" t="n"/>
      <c r="C279" s="13" t="n"/>
      <c r="D279" s="1" t="n"/>
      <c r="E279" s="14" t="n"/>
      <c r="F279" s="14"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31.5" customHeight="1" s="12">
      <c r="A280" s="1" t="n"/>
      <c r="B280" s="6" t="n"/>
      <c r="C280" s="13" t="n"/>
      <c r="D280" s="1" t="n"/>
      <c r="E280" s="14" t="n"/>
      <c r="F280" s="14"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31.5" customHeight="1" s="12">
      <c r="A281" s="1" t="n"/>
      <c r="B281" s="6" t="n"/>
      <c r="C281" s="13" t="n"/>
      <c r="D281" s="1" t="n"/>
      <c r="E281" s="14" t="n"/>
      <c r="F281" s="14"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31.5" customHeight="1" s="12">
      <c r="A282" s="1" t="n"/>
      <c r="B282" s="6" t="n"/>
      <c r="C282" s="13" t="n"/>
      <c r="D282" s="1" t="n"/>
      <c r="E282" s="14" t="n"/>
      <c r="F282" s="14"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1.5" customHeight="1" s="12">
      <c r="A283" s="1" t="n"/>
      <c r="B283" s="6" t="n"/>
      <c r="C283" s="13" t="n"/>
      <c r="D283" s="1" t="n"/>
      <c r="E283" s="14" t="n"/>
      <c r="F283" s="14"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31.5" customHeight="1" s="12">
      <c r="A284" s="1" t="n"/>
      <c r="B284" s="6" t="n"/>
      <c r="C284" s="13" t="n"/>
      <c r="D284" s="1" t="n"/>
      <c r="E284" s="14" t="n"/>
      <c r="F284" s="14"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31.5" customHeight="1" s="12">
      <c r="A285" s="1" t="n"/>
      <c r="B285" s="6" t="n"/>
      <c r="C285" s="13" t="n"/>
      <c r="D285" s="1" t="n"/>
      <c r="E285" s="14" t="n"/>
      <c r="F285" s="14"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31.5" customHeight="1" s="12">
      <c r="A286" s="1" t="n"/>
      <c r="B286" s="6" t="n"/>
      <c r="C286" s="13" t="n"/>
      <c r="D286" s="1" t="n"/>
      <c r="E286" s="14" t="n"/>
      <c r="F286" s="14"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31.5" customHeight="1" s="12">
      <c r="A287" s="1" t="n"/>
      <c r="B287" s="6" t="n"/>
      <c r="C287" s="13" t="n"/>
      <c r="D287" s="1" t="n"/>
      <c r="E287" s="14" t="n"/>
      <c r="F287" s="14"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31.5" customHeight="1" s="12">
      <c r="A288" s="1" t="n"/>
      <c r="B288" s="6" t="n"/>
      <c r="C288" s="13" t="n"/>
      <c r="D288" s="1" t="n"/>
      <c r="E288" s="14" t="n"/>
      <c r="F288" s="14"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31.5" customHeight="1" s="12">
      <c r="A289" s="1" t="n"/>
      <c r="B289" s="6" t="n"/>
      <c r="C289" s="13" t="n"/>
      <c r="D289" s="1" t="n"/>
      <c r="E289" s="14" t="n"/>
      <c r="F289" s="14"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31.5" customHeight="1" s="12">
      <c r="A290" s="1" t="n"/>
      <c r="B290" s="6" t="n"/>
      <c r="C290" s="13" t="n"/>
      <c r="D290" s="1" t="n"/>
      <c r="E290" s="14" t="n"/>
      <c r="F290" s="14"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31.5" customHeight="1" s="12">
      <c r="A291" s="1" t="n"/>
      <c r="B291" s="6" t="n"/>
      <c r="C291" s="13" t="n"/>
      <c r="D291" s="1" t="n"/>
      <c r="E291" s="14" t="n"/>
      <c r="F291" s="14"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31.5" customHeight="1" s="12">
      <c r="A292" s="1" t="n"/>
      <c r="B292" s="6" t="n"/>
      <c r="C292" s="13" t="n"/>
      <c r="D292" s="1" t="n"/>
      <c r="E292" s="14" t="n"/>
      <c r="F292" s="14"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31.5" customHeight="1" s="12">
      <c r="A293" s="1" t="n"/>
      <c r="B293" s="6" t="n"/>
      <c r="C293" s="13" t="n"/>
      <c r="D293" s="1" t="n"/>
      <c r="E293" s="14" t="n"/>
      <c r="F293" s="14"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31.5" customHeight="1" s="12">
      <c r="A294" s="1" t="n"/>
      <c r="B294" s="6" t="n"/>
      <c r="C294" s="13" t="n"/>
      <c r="D294" s="1" t="n"/>
      <c r="E294" s="14" t="n"/>
      <c r="F294" s="14"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31.5" customHeight="1" s="12">
      <c r="A295" s="1" t="n"/>
      <c r="B295" s="6" t="n"/>
      <c r="C295" s="13" t="n"/>
      <c r="D295" s="1" t="n"/>
      <c r="E295" s="14" t="n"/>
      <c r="F295" s="14"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31.5" customHeight="1" s="12">
      <c r="A296" s="1" t="n"/>
      <c r="B296" s="6" t="n"/>
      <c r="C296" s="13" t="n"/>
      <c r="D296" s="1" t="n"/>
      <c r="E296" s="14" t="n"/>
      <c r="F296" s="14"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31.5" customHeight="1" s="12">
      <c r="A297" s="1" t="n"/>
      <c r="B297" s="6" t="n"/>
      <c r="C297" s="13" t="n"/>
      <c r="D297" s="1" t="n"/>
      <c r="E297" s="14" t="n"/>
      <c r="F297" s="14"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31.5" customHeight="1" s="12">
      <c r="A298" s="1" t="n"/>
      <c r="B298" s="6" t="n"/>
      <c r="C298" s="13" t="n"/>
      <c r="D298" s="1" t="n"/>
      <c r="E298" s="14" t="n"/>
      <c r="F298" s="14"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31.5" customHeight="1" s="12">
      <c r="A299" s="1" t="n"/>
      <c r="B299" s="6" t="n"/>
      <c r="C299" s="13" t="n"/>
      <c r="D299" s="1" t="n"/>
      <c r="E299" s="14" t="n"/>
      <c r="F299" s="14"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31.5" customHeight="1" s="12">
      <c r="A300" s="1" t="n"/>
      <c r="B300" s="6" t="n"/>
      <c r="C300" s="13" t="n"/>
      <c r="D300" s="1" t="n"/>
      <c r="E300" s="14" t="n"/>
      <c r="F300" s="14"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31.5" customHeight="1" s="12">
      <c r="A301" s="1" t="n"/>
      <c r="B301" s="6" t="n"/>
      <c r="C301" s="13" t="n"/>
      <c r="D301" s="1" t="n"/>
      <c r="E301" s="14" t="n"/>
      <c r="F301" s="14"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31.5" customHeight="1" s="12">
      <c r="A302" s="1" t="n"/>
      <c r="B302" s="6" t="n"/>
      <c r="C302" s="13" t="n"/>
      <c r="D302" s="1" t="n"/>
      <c r="E302" s="14" t="n"/>
      <c r="F302" s="14"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31.5" customHeight="1" s="12">
      <c r="A303" s="1" t="n"/>
      <c r="B303" s="6" t="n"/>
      <c r="C303" s="13" t="n"/>
      <c r="D303" s="1" t="n"/>
      <c r="E303" s="14" t="n"/>
      <c r="F303" s="14"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31.5" customHeight="1" s="12">
      <c r="A304" s="1" t="n"/>
      <c r="B304" s="6" t="n"/>
      <c r="C304" s="13" t="n"/>
      <c r="D304" s="1" t="n"/>
      <c r="E304" s="14" t="n"/>
      <c r="F304" s="14"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31.5" customHeight="1" s="12">
      <c r="A305" s="1" t="n"/>
      <c r="B305" s="6" t="n"/>
      <c r="C305" s="13" t="n"/>
      <c r="D305" s="1" t="n"/>
      <c r="E305" s="14" t="n"/>
      <c r="F305" s="14"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31.5" customHeight="1" s="12">
      <c r="A306" s="1" t="n"/>
      <c r="B306" s="6" t="n"/>
      <c r="C306" s="13" t="n"/>
      <c r="D306" s="1" t="n"/>
      <c r="E306" s="14" t="n"/>
      <c r="F306" s="14"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31.5" customHeight="1" s="12">
      <c r="A307" s="1" t="n"/>
      <c r="B307" s="6" t="n"/>
      <c r="C307" s="13" t="n"/>
      <c r="D307" s="1" t="n"/>
      <c r="E307" s="14" t="n"/>
      <c r="F307" s="14"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31.5" customHeight="1" s="12">
      <c r="A308" s="1" t="n"/>
      <c r="B308" s="6" t="n"/>
      <c r="C308" s="13" t="n"/>
      <c r="D308" s="1" t="n"/>
      <c r="E308" s="14" t="n"/>
      <c r="F308" s="14"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31.5" customHeight="1" s="12">
      <c r="A309" s="1" t="n"/>
      <c r="B309" s="6" t="n"/>
      <c r="C309" s="13" t="n"/>
      <c r="D309" s="1" t="n"/>
      <c r="E309" s="14" t="n"/>
      <c r="F309" s="14"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31.5" customHeight="1" s="12">
      <c r="A310" s="1" t="n"/>
      <c r="B310" s="6" t="n"/>
      <c r="C310" s="13" t="n"/>
      <c r="D310" s="1" t="n"/>
      <c r="E310" s="14" t="n"/>
      <c r="F310" s="14"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31.5" customHeight="1" s="12">
      <c r="A311" s="1" t="n"/>
      <c r="B311" s="6" t="n"/>
      <c r="C311" s="13" t="n"/>
      <c r="D311" s="1" t="n"/>
      <c r="E311" s="14" t="n"/>
      <c r="F311" s="14"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31.5" customHeight="1" s="12">
      <c r="A312" s="1" t="n"/>
      <c r="B312" s="6" t="n"/>
      <c r="C312" s="13" t="n"/>
      <c r="D312" s="1" t="n"/>
      <c r="E312" s="14" t="n"/>
      <c r="F312" s="14"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31.5" customHeight="1" s="12">
      <c r="A313" s="1" t="n"/>
      <c r="B313" s="6" t="n"/>
      <c r="C313" s="13" t="n"/>
      <c r="D313" s="1" t="n"/>
      <c r="E313" s="14" t="n"/>
      <c r="F313" s="14"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31.5" customHeight="1" s="12">
      <c r="A314" s="1" t="n"/>
      <c r="B314" s="6" t="n"/>
      <c r="C314" s="13" t="n"/>
      <c r="D314" s="1" t="n"/>
      <c r="E314" s="14" t="n"/>
      <c r="F314" s="14"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31.5" customHeight="1" s="12">
      <c r="A315" s="1" t="n"/>
      <c r="B315" s="6" t="n"/>
      <c r="C315" s="13" t="n"/>
      <c r="D315" s="1" t="n"/>
      <c r="E315" s="14" t="n"/>
      <c r="F315" s="14"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1.5" customHeight="1" s="12">
      <c r="A316" s="1" t="n"/>
      <c r="B316" s="6" t="n"/>
      <c r="C316" s="13" t="n"/>
      <c r="D316" s="1" t="n"/>
      <c r="E316" s="14" t="n"/>
      <c r="F316" s="14"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31.5" customHeight="1" s="12">
      <c r="A317" s="1" t="n"/>
      <c r="B317" s="6" t="n"/>
      <c r="C317" s="13" t="n"/>
      <c r="D317" s="1" t="n"/>
      <c r="E317" s="14" t="n"/>
      <c r="F317" s="14"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1.5" customHeight="1" s="12">
      <c r="A318" s="1" t="n"/>
      <c r="B318" s="6" t="n"/>
      <c r="C318" s="13" t="n"/>
      <c r="D318" s="1" t="n"/>
      <c r="E318" s="14" t="n"/>
      <c r="F318" s="14"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31.5" customHeight="1" s="12">
      <c r="A319" s="1" t="n"/>
      <c r="B319" s="6" t="n"/>
      <c r="C319" s="13" t="n"/>
      <c r="D319" s="1" t="n"/>
      <c r="E319" s="14" t="n"/>
      <c r="F319" s="14"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1.5" customHeight="1" s="12">
      <c r="A320" s="1" t="n"/>
      <c r="B320" s="6" t="n"/>
      <c r="C320" s="13" t="n"/>
      <c r="D320" s="1" t="n"/>
      <c r="E320" s="14" t="n"/>
      <c r="F320" s="14"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31.5" customHeight="1" s="12">
      <c r="A321" s="1" t="n"/>
      <c r="B321" s="6" t="n"/>
      <c r="C321" s="13" t="n"/>
      <c r="D321" s="1" t="n"/>
      <c r="E321" s="14" t="n"/>
      <c r="F321" s="14"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31.5" customHeight="1" s="12">
      <c r="A322" s="1" t="n"/>
      <c r="B322" s="6" t="n"/>
      <c r="C322" s="13" t="n"/>
      <c r="D322" s="1" t="n"/>
      <c r="E322" s="14" t="n"/>
      <c r="F322" s="14"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31.5" customHeight="1" s="12">
      <c r="A323" s="1" t="n"/>
      <c r="B323" s="6" t="n"/>
      <c r="C323" s="13" t="n"/>
      <c r="D323" s="1" t="n"/>
      <c r="E323" s="14" t="n"/>
      <c r="F323" s="14"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31.5" customHeight="1" s="12">
      <c r="A324" s="1" t="n"/>
      <c r="B324" s="6" t="n"/>
      <c r="C324" s="13" t="n"/>
      <c r="D324" s="1" t="n"/>
      <c r="E324" s="14" t="n"/>
      <c r="F324" s="14"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31.5" customHeight="1" s="12">
      <c r="A325" s="1" t="n"/>
      <c r="B325" s="6" t="n"/>
      <c r="C325" s="13" t="n"/>
      <c r="D325" s="1" t="n"/>
      <c r="E325" s="14" t="n"/>
      <c r="F325" s="14"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31.5" customHeight="1" s="12">
      <c r="A326" s="1" t="n"/>
      <c r="B326" s="6" t="n"/>
      <c r="C326" s="13" t="n"/>
      <c r="D326" s="1" t="n"/>
      <c r="E326" s="14" t="n"/>
      <c r="F326" s="14"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31.5" customHeight="1" s="12">
      <c r="A327" s="1" t="n"/>
      <c r="B327" s="6" t="n"/>
      <c r="C327" s="13" t="n"/>
      <c r="D327" s="1" t="n"/>
      <c r="E327" s="14" t="n"/>
      <c r="F327" s="14"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31.5" customHeight="1" s="12">
      <c r="A328" s="1" t="n"/>
      <c r="B328" s="6" t="n"/>
      <c r="C328" s="13" t="n"/>
      <c r="D328" s="1" t="n"/>
      <c r="E328" s="14" t="n"/>
      <c r="F328" s="14"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31.5" customHeight="1" s="12">
      <c r="A329" s="1" t="n"/>
      <c r="B329" s="6" t="n"/>
      <c r="C329" s="13" t="n"/>
      <c r="D329" s="1" t="n"/>
      <c r="E329" s="14" t="n"/>
      <c r="F329" s="14"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31.5" customHeight="1" s="12">
      <c r="A330" s="1" t="n"/>
      <c r="B330" s="6" t="n"/>
      <c r="C330" s="13" t="n"/>
      <c r="D330" s="1" t="n"/>
      <c r="E330" s="14" t="n"/>
      <c r="F330" s="14"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31.5" customHeight="1" s="12">
      <c r="A331" s="1" t="n"/>
      <c r="B331" s="6" t="n"/>
      <c r="C331" s="13" t="n"/>
      <c r="D331" s="1" t="n"/>
      <c r="E331" s="14" t="n"/>
      <c r="F331" s="14"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31.5" customHeight="1" s="12">
      <c r="A332" s="1" t="n"/>
      <c r="B332" s="6" t="n"/>
      <c r="C332" s="13" t="n"/>
      <c r="D332" s="1" t="n"/>
      <c r="E332" s="14" t="n"/>
      <c r="F332" s="14"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31.5" customHeight="1" s="12">
      <c r="A333" s="1" t="n"/>
      <c r="B333" s="6" t="n"/>
      <c r="C333" s="13" t="n"/>
      <c r="D333" s="1" t="n"/>
      <c r="E333" s="14" t="n"/>
      <c r="F333" s="14"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31.5" customHeight="1" s="12">
      <c r="A334" s="1" t="n"/>
      <c r="B334" s="6" t="n"/>
      <c r="C334" s="13" t="n"/>
      <c r="D334" s="1" t="n"/>
      <c r="E334" s="14" t="n"/>
      <c r="F334" s="14"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31.5" customHeight="1" s="12">
      <c r="A335" s="1" t="n"/>
      <c r="B335" s="6" t="n"/>
      <c r="C335" s="13" t="n"/>
      <c r="D335" s="1" t="n"/>
      <c r="E335" s="14" t="n"/>
      <c r="F335" s="14"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31.5" customHeight="1" s="12">
      <c r="A336" s="1" t="n"/>
      <c r="B336" s="6" t="n"/>
      <c r="C336" s="13" t="n"/>
      <c r="D336" s="1" t="n"/>
      <c r="E336" s="14" t="n"/>
      <c r="F336" s="14"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31.5" customHeight="1" s="12">
      <c r="A337" s="1" t="n"/>
      <c r="B337" s="6" t="n"/>
      <c r="C337" s="13" t="n"/>
      <c r="D337" s="1" t="n"/>
      <c r="E337" s="14" t="n"/>
      <c r="F337" s="14"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31.5" customHeight="1" s="12">
      <c r="A338" s="1" t="n"/>
      <c r="B338" s="6" t="n"/>
      <c r="C338" s="13" t="n"/>
      <c r="D338" s="1" t="n"/>
      <c r="E338" s="14" t="n"/>
      <c r="F338" s="14"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31.5" customHeight="1" s="12">
      <c r="A339" s="1" t="n"/>
      <c r="B339" s="6" t="n"/>
      <c r="C339" s="13" t="n"/>
      <c r="D339" s="1" t="n"/>
      <c r="E339" s="14" t="n"/>
      <c r="F339" s="14"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31.5" customHeight="1" s="12">
      <c r="A340" s="1" t="n"/>
      <c r="B340" s="6" t="n"/>
      <c r="C340" s="13" t="n"/>
      <c r="D340" s="1" t="n"/>
      <c r="E340" s="14" t="n"/>
      <c r="F340" s="14"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31.5" customHeight="1" s="12">
      <c r="A341" s="1" t="n"/>
      <c r="B341" s="6" t="n"/>
      <c r="C341" s="13" t="n"/>
      <c r="D341" s="1" t="n"/>
      <c r="E341" s="14" t="n"/>
      <c r="F341" s="14"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31.5" customHeight="1" s="12">
      <c r="A342" s="1" t="n"/>
      <c r="B342" s="6" t="n"/>
      <c r="C342" s="13" t="n"/>
      <c r="D342" s="1" t="n"/>
      <c r="E342" s="14" t="n"/>
      <c r="F342" s="14"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31.5" customHeight="1" s="12">
      <c r="A343" s="1" t="n"/>
      <c r="B343" s="6" t="n"/>
      <c r="C343" s="13" t="n"/>
      <c r="D343" s="1" t="n"/>
      <c r="E343" s="14" t="n"/>
      <c r="F343" s="14"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31.5" customHeight="1" s="12">
      <c r="A344" s="1" t="n"/>
      <c r="B344" s="6" t="n"/>
      <c r="C344" s="13" t="n"/>
      <c r="D344" s="1" t="n"/>
      <c r="E344" s="14" t="n"/>
      <c r="F344" s="14"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31.5" customHeight="1" s="12">
      <c r="A345" s="1" t="n"/>
      <c r="B345" s="6" t="n"/>
      <c r="C345" s="13" t="n"/>
      <c r="D345" s="1" t="n"/>
      <c r="E345" s="14" t="n"/>
      <c r="F345" s="14"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1.5" customHeight="1" s="12">
      <c r="A346" s="1" t="n"/>
      <c r="B346" s="6" t="n"/>
      <c r="C346" s="13" t="n"/>
      <c r="D346" s="1" t="n"/>
      <c r="E346" s="14" t="n"/>
      <c r="F346" s="14"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31.5" customHeight="1" s="12">
      <c r="A347" s="1" t="n"/>
      <c r="B347" s="6" t="n"/>
      <c r="C347" s="13" t="n"/>
      <c r="D347" s="1" t="n"/>
      <c r="E347" s="14" t="n"/>
      <c r="F347" s="14"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31.5" customHeight="1" s="12">
      <c r="A348" s="1" t="n"/>
      <c r="B348" s="6" t="n"/>
      <c r="C348" s="13" t="n"/>
      <c r="D348" s="1" t="n"/>
      <c r="E348" s="14" t="n"/>
      <c r="F348" s="14"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31.5" customHeight="1" s="12">
      <c r="A349" s="1" t="n"/>
      <c r="B349" s="6" t="n"/>
      <c r="C349" s="13" t="n"/>
      <c r="D349" s="1" t="n"/>
      <c r="E349" s="14" t="n"/>
      <c r="F349" s="14"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31.5" customHeight="1" s="12">
      <c r="A350" s="1" t="n"/>
      <c r="B350" s="6" t="n"/>
      <c r="C350" s="13" t="n"/>
      <c r="D350" s="1" t="n"/>
      <c r="E350" s="14" t="n"/>
      <c r="F350" s="14"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31.5" customHeight="1" s="12">
      <c r="A351" s="1" t="n"/>
      <c r="B351" s="6" t="n"/>
      <c r="C351" s="13" t="n"/>
      <c r="D351" s="1" t="n"/>
      <c r="E351" s="14" t="n"/>
      <c r="F351" s="14"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31.5" customHeight="1" s="12">
      <c r="A352" s="1" t="n"/>
      <c r="B352" s="6" t="n"/>
      <c r="C352" s="13" t="n"/>
      <c r="D352" s="1" t="n"/>
      <c r="E352" s="14" t="n"/>
      <c r="F352" s="14"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31.5" customHeight="1" s="12">
      <c r="A353" s="1" t="n"/>
      <c r="B353" s="6" t="n"/>
      <c r="C353" s="13" t="n"/>
      <c r="D353" s="1" t="n"/>
      <c r="E353" s="14" t="n"/>
      <c r="F353" s="14"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31.5" customHeight="1" s="12">
      <c r="A354" s="1" t="n"/>
      <c r="B354" s="6" t="n"/>
      <c r="C354" s="13" t="n"/>
      <c r="D354" s="1" t="n"/>
      <c r="E354" s="14" t="n"/>
      <c r="F354" s="14"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31.5" customHeight="1" s="12">
      <c r="A355" s="1" t="n"/>
      <c r="B355" s="6" t="n"/>
      <c r="C355" s="13" t="n"/>
      <c r="D355" s="1" t="n"/>
      <c r="E355" s="14" t="n"/>
      <c r="F355" s="14"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31.5" customHeight="1" s="12">
      <c r="A356" s="1" t="n"/>
      <c r="B356" s="6" t="n"/>
      <c r="C356" s="13" t="n"/>
      <c r="D356" s="1" t="n"/>
      <c r="E356" s="14" t="n"/>
      <c r="F356" s="14"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31.5" customHeight="1" s="12">
      <c r="A357" s="1" t="n"/>
      <c r="B357" s="6" t="n"/>
      <c r="C357" s="13" t="n"/>
      <c r="D357" s="1" t="n"/>
      <c r="E357" s="14" t="n"/>
      <c r="F357" s="14"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31.5" customHeight="1" s="12">
      <c r="A358" s="1" t="n"/>
      <c r="B358" s="6" t="n"/>
      <c r="C358" s="13" t="n"/>
      <c r="D358" s="1" t="n"/>
      <c r="E358" s="14" t="n"/>
      <c r="F358" s="14"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31.5" customHeight="1" s="12">
      <c r="A359" s="1" t="n"/>
      <c r="B359" s="6" t="n"/>
      <c r="C359" s="13" t="n"/>
      <c r="D359" s="1" t="n"/>
      <c r="E359" s="14" t="n"/>
      <c r="F359" s="14"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31.5" customHeight="1" s="12">
      <c r="A360" s="1" t="n"/>
      <c r="B360" s="6" t="n"/>
      <c r="C360" s="13" t="n"/>
      <c r="D360" s="1" t="n"/>
      <c r="E360" s="14" t="n"/>
      <c r="F360" s="14"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31.5" customHeight="1" s="12">
      <c r="A361" s="1" t="n"/>
      <c r="B361" s="6" t="n"/>
      <c r="C361" s="13" t="n"/>
      <c r="D361" s="1" t="n"/>
      <c r="E361" s="14" t="n"/>
      <c r="F361" s="14"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31.5" customHeight="1" s="12">
      <c r="A362" s="1" t="n"/>
      <c r="B362" s="6" t="n"/>
      <c r="C362" s="13" t="n"/>
      <c r="D362" s="1" t="n"/>
      <c r="E362" s="14" t="n"/>
      <c r="F362" s="14"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1.5" customHeight="1" s="12">
      <c r="A363" s="1" t="n"/>
      <c r="B363" s="6" t="n"/>
      <c r="C363" s="13" t="n"/>
      <c r="D363" s="1" t="n"/>
      <c r="E363" s="14" t="n"/>
      <c r="F363" s="14"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31.5" customHeight="1" s="12">
      <c r="A364" s="1" t="n"/>
      <c r="B364" s="6" t="n"/>
      <c r="C364" s="13" t="n"/>
      <c r="D364" s="1" t="n"/>
      <c r="E364" s="14" t="n"/>
      <c r="F364" s="14"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31.5" customHeight="1" s="12">
      <c r="A365" s="1" t="n"/>
      <c r="B365" s="6" t="n"/>
      <c r="C365" s="13" t="n"/>
      <c r="D365" s="1" t="n"/>
      <c r="E365" s="14" t="n"/>
      <c r="F365" s="14"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31.5" customHeight="1" s="12">
      <c r="A366" s="1" t="n"/>
      <c r="B366" s="6" t="n"/>
      <c r="C366" s="13" t="n"/>
      <c r="D366" s="1" t="n"/>
      <c r="E366" s="14" t="n"/>
      <c r="F366" s="14"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31.5" customHeight="1" s="12">
      <c r="A367" s="1" t="n"/>
      <c r="B367" s="6" t="n"/>
      <c r="C367" s="13" t="n"/>
      <c r="D367" s="1" t="n"/>
      <c r="E367" s="14" t="n"/>
      <c r="F367" s="14"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31.5" customHeight="1" s="12">
      <c r="A368" s="1" t="n"/>
      <c r="B368" s="6" t="n"/>
      <c r="C368" s="13" t="n"/>
      <c r="D368" s="1" t="n"/>
      <c r="E368" s="14" t="n"/>
      <c r="F368" s="14"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31.5" customHeight="1" s="12">
      <c r="A369" s="1" t="n"/>
      <c r="B369" s="6" t="n"/>
      <c r="C369" s="13" t="n"/>
      <c r="D369" s="1" t="n"/>
      <c r="E369" s="14" t="n"/>
      <c r="F369" s="14"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31.5" customHeight="1" s="12">
      <c r="A370" s="1" t="n"/>
      <c r="B370" s="6" t="n"/>
      <c r="C370" s="13" t="n"/>
      <c r="D370" s="1" t="n"/>
      <c r="E370" s="14" t="n"/>
      <c r="F370" s="14"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31.5" customHeight="1" s="12">
      <c r="A371" s="1" t="n"/>
      <c r="B371" s="6" t="n"/>
      <c r="C371" s="13" t="n"/>
      <c r="D371" s="1" t="n"/>
      <c r="E371" s="14" t="n"/>
      <c r="F371" s="14"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31.5" customHeight="1" s="12">
      <c r="A372" s="1" t="n"/>
      <c r="B372" s="6" t="n"/>
      <c r="C372" s="13" t="n"/>
      <c r="D372" s="1" t="n"/>
      <c r="E372" s="14" t="n"/>
      <c r="F372" s="14"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31.5" customHeight="1" s="12">
      <c r="A373" s="1" t="n"/>
      <c r="B373" s="6" t="n"/>
      <c r="C373" s="13" t="n"/>
      <c r="D373" s="1" t="n"/>
      <c r="E373" s="14" t="n"/>
      <c r="F373" s="14"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1.5" customHeight="1" s="12">
      <c r="A374" s="1" t="n"/>
      <c r="B374" s="6" t="n"/>
      <c r="C374" s="13" t="n"/>
      <c r="D374" s="1" t="n"/>
      <c r="E374" s="14" t="n"/>
      <c r="F374" s="14"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31.5" customHeight="1" s="12">
      <c r="A375" s="1" t="n"/>
      <c r="B375" s="6" t="n"/>
      <c r="C375" s="13" t="n"/>
      <c r="D375" s="1" t="n"/>
      <c r="E375" s="14" t="n"/>
      <c r="F375" s="14"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31.5" customHeight="1" s="12">
      <c r="A376" s="1" t="n"/>
      <c r="B376" s="6" t="n"/>
      <c r="C376" s="13" t="n"/>
      <c r="D376" s="1" t="n"/>
      <c r="E376" s="14" t="n"/>
      <c r="F376" s="14"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31.5" customHeight="1" s="12">
      <c r="A377" s="1" t="n"/>
      <c r="B377" s="6" t="n"/>
      <c r="C377" s="13" t="n"/>
      <c r="D377" s="1" t="n"/>
      <c r="E377" s="14" t="n"/>
      <c r="F377" s="14"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31.5" customHeight="1" s="12">
      <c r="A378" s="1" t="n"/>
      <c r="B378" s="6" t="n"/>
      <c r="C378" s="13" t="n"/>
      <c r="D378" s="1" t="n"/>
      <c r="E378" s="14" t="n"/>
      <c r="F378" s="14"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31.5" customHeight="1" s="12">
      <c r="A379" s="1" t="n"/>
      <c r="B379" s="6" t="n"/>
      <c r="C379" s="13" t="n"/>
      <c r="D379" s="1" t="n"/>
      <c r="E379" s="14" t="n"/>
      <c r="F379" s="14"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31.5" customHeight="1" s="12">
      <c r="A380" s="1" t="n"/>
      <c r="B380" s="6" t="n"/>
      <c r="C380" s="13" t="n"/>
      <c r="D380" s="1" t="n"/>
      <c r="E380" s="14" t="n"/>
      <c r="F380" s="14"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31.5" customHeight="1" s="12">
      <c r="A381" s="1" t="n"/>
      <c r="B381" s="6" t="n"/>
      <c r="C381" s="13" t="n"/>
      <c r="D381" s="1" t="n"/>
      <c r="E381" s="14" t="n"/>
      <c r="F381" s="14"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31.5" customHeight="1" s="12">
      <c r="A382" s="1" t="n"/>
      <c r="B382" s="6" t="n"/>
      <c r="C382" s="13" t="n"/>
      <c r="D382" s="1" t="n"/>
      <c r="E382" s="14" t="n"/>
      <c r="F382" s="14"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31.5" customHeight="1" s="12">
      <c r="A383" s="1" t="n"/>
      <c r="B383" s="6" t="n"/>
      <c r="C383" s="13" t="n"/>
      <c r="D383" s="1" t="n"/>
      <c r="E383" s="14" t="n"/>
      <c r="F383" s="14"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31.5" customHeight="1" s="12">
      <c r="A384" s="1" t="n"/>
      <c r="B384" s="6" t="n"/>
      <c r="C384" s="13" t="n"/>
      <c r="D384" s="1" t="n"/>
      <c r="E384" s="14" t="n"/>
      <c r="F384" s="14"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31.5" customHeight="1" s="12">
      <c r="A385" s="1" t="n"/>
      <c r="B385" s="6" t="n"/>
      <c r="C385" s="13" t="n"/>
      <c r="D385" s="1" t="n"/>
      <c r="E385" s="14" t="n"/>
      <c r="F385" s="14"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31.5" customHeight="1" s="12">
      <c r="A386" s="1" t="n"/>
      <c r="B386" s="6" t="n"/>
      <c r="C386" s="13" t="n"/>
      <c r="D386" s="1" t="n"/>
      <c r="E386" s="14" t="n"/>
      <c r="F386" s="14"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31.5" customHeight="1" s="12">
      <c r="A387" s="1" t="n"/>
      <c r="B387" s="6" t="n"/>
      <c r="C387" s="13" t="n"/>
      <c r="D387" s="1" t="n"/>
      <c r="E387" s="14" t="n"/>
      <c r="F387" s="14"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31.5" customHeight="1" s="12">
      <c r="A388" s="1" t="n"/>
      <c r="B388" s="6" t="n"/>
      <c r="C388" s="13" t="n"/>
      <c r="D388" s="1" t="n"/>
      <c r="E388" s="14" t="n"/>
      <c r="F388" s="14"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31.5" customHeight="1" s="12">
      <c r="A389" s="1" t="n"/>
      <c r="B389" s="6" t="n"/>
      <c r="C389" s="13" t="n"/>
      <c r="D389" s="1" t="n"/>
      <c r="E389" s="14" t="n"/>
      <c r="F389" s="14"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31.5" customHeight="1" s="12">
      <c r="A390" s="1" t="n"/>
      <c r="B390" s="6" t="n"/>
      <c r="C390" s="13" t="n"/>
      <c r="D390" s="1" t="n"/>
      <c r="E390" s="14" t="n"/>
      <c r="F390" s="14"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31.5" customHeight="1" s="12">
      <c r="A391" s="1" t="n"/>
      <c r="B391" s="6" t="n"/>
      <c r="C391" s="13" t="n"/>
      <c r="D391" s="1" t="n"/>
      <c r="E391" s="14" t="n"/>
      <c r="F391" s="14"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31.5" customHeight="1" s="12">
      <c r="A392" s="1" t="n"/>
      <c r="B392" s="6" t="n"/>
      <c r="C392" s="13" t="n"/>
      <c r="D392" s="1" t="n"/>
      <c r="E392" s="14" t="n"/>
      <c r="F392" s="14"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31.5" customHeight="1" s="12">
      <c r="A393" s="1" t="n"/>
      <c r="B393" s="6" t="n"/>
      <c r="C393" s="13" t="n"/>
      <c r="D393" s="1" t="n"/>
      <c r="E393" s="14" t="n"/>
      <c r="F393" s="14"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31.5" customHeight="1" s="12">
      <c r="A394" s="1" t="n"/>
      <c r="B394" s="6" t="n"/>
      <c r="C394" s="13" t="n"/>
      <c r="D394" s="1" t="n"/>
      <c r="E394" s="14" t="n"/>
      <c r="F394" s="14"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31.5" customHeight="1" s="12">
      <c r="A395" s="1" t="n"/>
      <c r="B395" s="6" t="n"/>
      <c r="C395" s="13" t="n"/>
      <c r="D395" s="1" t="n"/>
      <c r="E395" s="14" t="n"/>
      <c r="F395" s="14"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31.5" customHeight="1" s="12">
      <c r="A396" s="1" t="n"/>
      <c r="B396" s="6" t="n"/>
      <c r="C396" s="13" t="n"/>
      <c r="D396" s="1" t="n"/>
      <c r="E396" s="14" t="n"/>
      <c r="F396" s="14"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31.5" customHeight="1" s="12">
      <c r="A397" s="1" t="n"/>
      <c r="B397" s="6" t="n"/>
      <c r="C397" s="13" t="n"/>
      <c r="D397" s="1" t="n"/>
      <c r="E397" s="14" t="n"/>
      <c r="F397" s="14"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31.5" customHeight="1" s="12">
      <c r="A398" s="1" t="n"/>
      <c r="B398" s="6" t="n"/>
      <c r="C398" s="13" t="n"/>
      <c r="D398" s="1" t="n"/>
      <c r="E398" s="14" t="n"/>
      <c r="F398" s="14"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31.5" customHeight="1" s="12">
      <c r="A399" s="1" t="n"/>
      <c r="B399" s="6" t="n"/>
      <c r="C399" s="13" t="n"/>
      <c r="D399" s="1" t="n"/>
      <c r="E399" s="14" t="n"/>
      <c r="F399" s="14"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31.5" customHeight="1" s="12">
      <c r="A400" s="1" t="n"/>
      <c r="B400" s="6" t="n"/>
      <c r="C400" s="13" t="n"/>
      <c r="D400" s="1" t="n"/>
      <c r="E400" s="14" t="n"/>
      <c r="F400" s="14"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31.5" customHeight="1" s="12">
      <c r="A401" s="1" t="n"/>
      <c r="B401" s="6" t="n"/>
      <c r="C401" s="13" t="n"/>
      <c r="D401" s="1" t="n"/>
      <c r="E401" s="14" t="n"/>
      <c r="F401" s="14"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31.5" customHeight="1" s="12">
      <c r="A402" s="1" t="n"/>
      <c r="B402" s="6" t="n"/>
      <c r="C402" s="13" t="n"/>
      <c r="D402" s="1" t="n"/>
      <c r="E402" s="14" t="n"/>
      <c r="F402" s="14"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31.5" customHeight="1" s="12">
      <c r="A403" s="1" t="n"/>
      <c r="B403" s="6" t="n"/>
      <c r="C403" s="13" t="n"/>
      <c r="D403" s="1" t="n"/>
      <c r="E403" s="14" t="n"/>
      <c r="F403" s="14"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31.5" customHeight="1" s="12">
      <c r="A404" s="1" t="n"/>
      <c r="B404" s="6" t="n"/>
      <c r="C404" s="13" t="n"/>
      <c r="D404" s="1" t="n"/>
      <c r="E404" s="14" t="n"/>
      <c r="F404" s="14"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1.5" customHeight="1" s="12">
      <c r="A405" s="1" t="n"/>
      <c r="B405" s="6" t="n"/>
      <c r="C405" s="13" t="n"/>
      <c r="D405" s="1" t="n"/>
      <c r="E405" s="14" t="n"/>
      <c r="F405" s="14"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31.5" customHeight="1" s="12">
      <c r="A406" s="1" t="n"/>
      <c r="B406" s="6" t="n"/>
      <c r="C406" s="13" t="n"/>
      <c r="D406" s="1" t="n"/>
      <c r="E406" s="14" t="n"/>
      <c r="F406" s="14"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31.5" customHeight="1" s="12">
      <c r="A407" s="1" t="n"/>
      <c r="B407" s="6" t="n"/>
      <c r="C407" s="13" t="n"/>
      <c r="D407" s="1" t="n"/>
      <c r="E407" s="14" t="n"/>
      <c r="F407" s="14"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31.5" customHeight="1" s="12">
      <c r="A408" s="1" t="n"/>
      <c r="B408" s="6" t="n"/>
      <c r="C408" s="13" t="n"/>
      <c r="D408" s="1" t="n"/>
      <c r="E408" s="14" t="n"/>
      <c r="F408" s="14"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31.5" customHeight="1" s="12">
      <c r="A409" s="1" t="n"/>
      <c r="B409" s="6" t="n"/>
      <c r="C409" s="13" t="n"/>
      <c r="D409" s="1" t="n"/>
      <c r="E409" s="14" t="n"/>
      <c r="F409" s="14"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31.5" customHeight="1" s="12">
      <c r="A410" s="1" t="n"/>
      <c r="B410" s="6" t="n"/>
      <c r="C410" s="13" t="n"/>
      <c r="D410" s="1" t="n"/>
      <c r="E410" s="14" t="n"/>
      <c r="F410" s="14"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31.5" customHeight="1" s="12">
      <c r="A411" s="1" t="n"/>
      <c r="B411" s="6" t="n"/>
      <c r="C411" s="13" t="n"/>
      <c r="D411" s="1" t="n"/>
      <c r="E411" s="14" t="n"/>
      <c r="F411" s="14"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31.5" customHeight="1" s="12">
      <c r="A412" s="1" t="n"/>
      <c r="B412" s="6" t="n"/>
      <c r="C412" s="13" t="n"/>
      <c r="D412" s="1" t="n"/>
      <c r="E412" s="14" t="n"/>
      <c r="F412" s="14"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31.5" customHeight="1" s="12">
      <c r="A413" s="1" t="n"/>
      <c r="B413" s="6" t="n"/>
      <c r="C413" s="13" t="n"/>
      <c r="D413" s="1" t="n"/>
      <c r="E413" s="14" t="n"/>
      <c r="F413" s="14"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31.5" customHeight="1" s="12">
      <c r="A414" s="1" t="n"/>
      <c r="B414" s="6" t="n"/>
      <c r="C414" s="13" t="n"/>
      <c r="D414" s="1" t="n"/>
      <c r="E414" s="14" t="n"/>
      <c r="F414" s="14"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31.5" customHeight="1" s="12">
      <c r="A415" s="1" t="n"/>
      <c r="B415" s="6" t="n"/>
      <c r="C415" s="13" t="n"/>
      <c r="D415" s="1" t="n"/>
      <c r="E415" s="14" t="n"/>
      <c r="F415" s="14"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31.5" customHeight="1" s="12">
      <c r="A416" s="1" t="n"/>
      <c r="B416" s="6" t="n"/>
      <c r="C416" s="13" t="n"/>
      <c r="D416" s="1" t="n"/>
      <c r="E416" s="14" t="n"/>
      <c r="F416" s="14"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31.5" customHeight="1" s="12">
      <c r="A417" s="1" t="n"/>
      <c r="B417" s="6" t="n"/>
      <c r="C417" s="13" t="n"/>
      <c r="D417" s="1" t="n"/>
      <c r="E417" s="14" t="n"/>
      <c r="F417" s="14"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1.5" customHeight="1" s="12">
      <c r="A418" s="1" t="n"/>
      <c r="B418" s="6" t="n"/>
      <c r="C418" s="13" t="n"/>
      <c r="D418" s="1" t="n"/>
      <c r="E418" s="14" t="n"/>
      <c r="F418" s="14"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31.5" customHeight="1" s="12">
      <c r="A419" s="1" t="n"/>
      <c r="B419" s="6" t="n"/>
      <c r="C419" s="13" t="n"/>
      <c r="D419" s="1" t="n"/>
      <c r="E419" s="14" t="n"/>
      <c r="F419" s="14"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31.5" customHeight="1" s="12">
      <c r="A420" s="1" t="n"/>
      <c r="B420" s="6" t="n"/>
      <c r="C420" s="13" t="n"/>
      <c r="D420" s="1" t="n"/>
      <c r="E420" s="14" t="n"/>
      <c r="F420" s="14"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31.5" customHeight="1" s="12">
      <c r="A421" s="1" t="n"/>
      <c r="B421" s="6" t="n"/>
      <c r="C421" s="13" t="n"/>
      <c r="D421" s="1" t="n"/>
      <c r="E421" s="14" t="n"/>
      <c r="F421" s="14"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31.5" customHeight="1" s="12">
      <c r="A422" s="1" t="n"/>
      <c r="B422" s="6" t="n"/>
      <c r="C422" s="13" t="n"/>
      <c r="D422" s="1" t="n"/>
      <c r="E422" s="14" t="n"/>
      <c r="F422" s="14"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31.5" customHeight="1" s="12">
      <c r="A423" s="1" t="n"/>
      <c r="B423" s="6" t="n"/>
      <c r="C423" s="13" t="n"/>
      <c r="D423" s="1" t="n"/>
      <c r="E423" s="14" t="n"/>
      <c r="F423" s="14"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31.5" customHeight="1" s="12">
      <c r="A424" s="1" t="n"/>
      <c r="B424" s="6" t="n"/>
      <c r="C424" s="13" t="n"/>
      <c r="D424" s="1" t="n"/>
      <c r="E424" s="14" t="n"/>
      <c r="F424" s="14"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31.5" customHeight="1" s="12">
      <c r="A425" s="1" t="n"/>
      <c r="B425" s="6" t="n"/>
      <c r="C425" s="13" t="n"/>
      <c r="D425" s="1" t="n"/>
      <c r="E425" s="14" t="n"/>
      <c r="F425" s="14"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31.5" customHeight="1" s="12">
      <c r="A426" s="1" t="n"/>
      <c r="B426" s="6" t="n"/>
      <c r="C426" s="13" t="n"/>
      <c r="D426" s="1" t="n"/>
      <c r="E426" s="14" t="n"/>
      <c r="F426" s="14"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31.5" customHeight="1" s="12">
      <c r="A427" s="1" t="n"/>
      <c r="B427" s="6" t="n"/>
      <c r="C427" s="13" t="n"/>
      <c r="D427" s="1" t="n"/>
      <c r="E427" s="14" t="n"/>
      <c r="F427" s="14"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31.5" customHeight="1" s="12">
      <c r="A428" s="1" t="n"/>
      <c r="B428" s="6" t="n"/>
      <c r="C428" s="13" t="n"/>
      <c r="D428" s="1" t="n"/>
      <c r="E428" s="14" t="n"/>
      <c r="F428" s="14"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31.5" customHeight="1" s="12">
      <c r="A429" s="1" t="n"/>
      <c r="B429" s="6" t="n"/>
      <c r="C429" s="13" t="n"/>
      <c r="D429" s="1" t="n"/>
      <c r="E429" s="14" t="n"/>
      <c r="F429" s="14"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31.5" customHeight="1" s="12">
      <c r="A430" s="1" t="n"/>
      <c r="B430" s="6" t="n"/>
      <c r="C430" s="13" t="n"/>
      <c r="D430" s="1" t="n"/>
      <c r="E430" s="14" t="n"/>
      <c r="F430" s="14"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31.5" customHeight="1" s="12">
      <c r="A431" s="1" t="n"/>
      <c r="B431" s="6" t="n"/>
      <c r="C431" s="13" t="n"/>
      <c r="D431" s="1" t="n"/>
      <c r="E431" s="14" t="n"/>
      <c r="F431" s="14"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31.5" customHeight="1" s="12">
      <c r="A432" s="1" t="n"/>
      <c r="B432" s="6" t="n"/>
      <c r="C432" s="13" t="n"/>
      <c r="D432" s="1" t="n"/>
      <c r="E432" s="14" t="n"/>
      <c r="F432" s="14"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31.5" customHeight="1" s="12">
      <c r="A433" s="1" t="n"/>
      <c r="B433" s="6" t="n"/>
      <c r="C433" s="13" t="n"/>
      <c r="D433" s="1" t="n"/>
      <c r="E433" s="14" t="n"/>
      <c r="F433" s="14"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31.5" customHeight="1" s="12">
      <c r="A434" s="1" t="n"/>
      <c r="B434" s="6" t="n"/>
      <c r="C434" s="13" t="n"/>
      <c r="D434" s="1" t="n"/>
      <c r="E434" s="14" t="n"/>
      <c r="F434" s="14"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31.5" customHeight="1" s="12">
      <c r="A435" s="1" t="n"/>
      <c r="B435" s="6" t="n"/>
      <c r="C435" s="13" t="n"/>
      <c r="D435" s="1" t="n"/>
      <c r="E435" s="14" t="n"/>
      <c r="F435" s="14"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1.5" customHeight="1" s="12">
      <c r="A436" s="1" t="n"/>
      <c r="B436" s="6" t="n"/>
      <c r="C436" s="13" t="n"/>
      <c r="D436" s="1" t="n"/>
      <c r="E436" s="14" t="n"/>
      <c r="F436" s="14"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31.5" customHeight="1" s="12">
      <c r="A437" s="1" t="n"/>
      <c r="B437" s="6" t="n"/>
      <c r="C437" s="13" t="n"/>
      <c r="D437" s="1" t="n"/>
      <c r="E437" s="14" t="n"/>
      <c r="F437" s="14"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31.5" customHeight="1" s="12">
      <c r="A438" s="1" t="n"/>
      <c r="B438" s="6" t="n"/>
      <c r="C438" s="13" t="n"/>
      <c r="D438" s="1" t="n"/>
      <c r="E438" s="14" t="n"/>
      <c r="F438" s="14"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31.5" customHeight="1" s="12">
      <c r="A439" s="1" t="n"/>
      <c r="B439" s="6" t="n"/>
      <c r="C439" s="13" t="n"/>
      <c r="D439" s="1" t="n"/>
      <c r="E439" s="14" t="n"/>
      <c r="F439" s="14"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31.5" customHeight="1" s="12">
      <c r="A440" s="1" t="n"/>
      <c r="B440" s="6" t="n"/>
      <c r="C440" s="13" t="n"/>
      <c r="D440" s="1" t="n"/>
      <c r="E440" s="14" t="n"/>
      <c r="F440" s="14"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31.5" customHeight="1" s="12">
      <c r="A441" s="1" t="n"/>
      <c r="B441" s="6" t="n"/>
      <c r="C441" s="13" t="n"/>
      <c r="D441" s="1" t="n"/>
      <c r="E441" s="14" t="n"/>
      <c r="F441" s="14"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31.5" customHeight="1" s="12">
      <c r="A442" s="1" t="n"/>
      <c r="B442" s="6" t="n"/>
      <c r="C442" s="13" t="n"/>
      <c r="D442" s="1" t="n"/>
      <c r="E442" s="14" t="n"/>
      <c r="F442" s="14"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31.5" customHeight="1" s="12">
      <c r="A443" s="1" t="n"/>
      <c r="B443" s="6" t="n"/>
      <c r="C443" s="13" t="n"/>
      <c r="D443" s="1" t="n"/>
      <c r="E443" s="14" t="n"/>
      <c r="F443" s="14"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31.5" customHeight="1" s="12">
      <c r="A444" s="1" t="n"/>
      <c r="B444" s="6" t="n"/>
      <c r="C444" s="13" t="n"/>
      <c r="D444" s="1" t="n"/>
      <c r="E444" s="14" t="n"/>
      <c r="F444" s="14"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31.5" customHeight="1" s="12">
      <c r="A445" s="1" t="n"/>
      <c r="B445" s="6" t="n"/>
      <c r="C445" s="13" t="n"/>
      <c r="D445" s="1" t="n"/>
      <c r="E445" s="14" t="n"/>
      <c r="F445" s="14"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31.5" customHeight="1" s="12">
      <c r="A446" s="1" t="n"/>
      <c r="B446" s="6" t="n"/>
      <c r="C446" s="13" t="n"/>
      <c r="D446" s="1" t="n"/>
      <c r="E446" s="14" t="n"/>
      <c r="F446" s="14"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31.5" customHeight="1" s="12">
      <c r="A447" s="1" t="n"/>
      <c r="B447" s="6" t="n"/>
      <c r="C447" s="13" t="n"/>
      <c r="D447" s="1" t="n"/>
      <c r="E447" s="14" t="n"/>
      <c r="F447" s="14"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31.5" customHeight="1" s="12">
      <c r="A448" s="1" t="n"/>
      <c r="B448" s="6" t="n"/>
      <c r="C448" s="13" t="n"/>
      <c r="D448" s="1" t="n"/>
      <c r="E448" s="14" t="n"/>
      <c r="F448" s="14"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31.5" customHeight="1" s="12">
      <c r="A449" s="1" t="n"/>
      <c r="B449" s="6" t="n"/>
      <c r="C449" s="13" t="n"/>
      <c r="D449" s="1" t="n"/>
      <c r="E449" s="14" t="n"/>
      <c r="F449" s="14"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31.5" customHeight="1" s="12">
      <c r="A450" s="1" t="n"/>
      <c r="B450" s="6" t="n"/>
      <c r="C450" s="13" t="n"/>
      <c r="D450" s="1" t="n"/>
      <c r="E450" s="14" t="n"/>
      <c r="F450" s="14"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31.5" customHeight="1" s="12">
      <c r="A451" s="1" t="n"/>
      <c r="B451" s="6" t="n"/>
      <c r="C451" s="13" t="n"/>
      <c r="D451" s="1" t="n"/>
      <c r="E451" s="14" t="n"/>
      <c r="F451" s="14"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31.5" customHeight="1" s="12">
      <c r="A452" s="1" t="n"/>
      <c r="B452" s="6" t="n"/>
      <c r="C452" s="13" t="n"/>
      <c r="D452" s="1" t="n"/>
      <c r="E452" s="14" t="n"/>
      <c r="F452" s="14"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31.5" customHeight="1" s="12">
      <c r="A453" s="1" t="n"/>
      <c r="B453" s="6" t="n"/>
      <c r="C453" s="13" t="n"/>
      <c r="D453" s="1" t="n"/>
      <c r="E453" s="14" t="n"/>
      <c r="F453" s="14"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31.5" customHeight="1" s="12">
      <c r="A454" s="1" t="n"/>
      <c r="B454" s="6" t="n"/>
      <c r="C454" s="13" t="n"/>
      <c r="D454" s="1" t="n"/>
      <c r="E454" s="14" t="n"/>
      <c r="F454" s="14"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31.5" customHeight="1" s="12">
      <c r="A455" s="1" t="n"/>
      <c r="B455" s="6" t="n"/>
      <c r="C455" s="13" t="n"/>
      <c r="D455" s="1" t="n"/>
      <c r="E455" s="14" t="n"/>
      <c r="F455" s="14"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31.5" customHeight="1" s="12">
      <c r="A456" s="1" t="n"/>
      <c r="B456" s="6" t="n"/>
      <c r="C456" s="13" t="n"/>
      <c r="D456" s="1" t="n"/>
      <c r="E456" s="14" t="n"/>
      <c r="F456" s="14"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31.5" customHeight="1" s="12">
      <c r="A457" s="1" t="n"/>
      <c r="B457" s="6" t="n"/>
      <c r="C457" s="13" t="n"/>
      <c r="D457" s="1" t="n"/>
      <c r="E457" s="14" t="n"/>
      <c r="F457" s="14"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31.5" customHeight="1" s="12">
      <c r="A458" s="1" t="n"/>
      <c r="B458" s="6" t="n"/>
      <c r="C458" s="13" t="n"/>
      <c r="D458" s="1" t="n"/>
      <c r="E458" s="14" t="n"/>
      <c r="F458" s="14"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31.5" customHeight="1" s="12">
      <c r="A459" s="1" t="n"/>
      <c r="B459" s="6" t="n"/>
      <c r="C459" s="13" t="n"/>
      <c r="D459" s="1" t="n"/>
      <c r="E459" s="14" t="n"/>
      <c r="F459" s="14"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31.5" customHeight="1" s="12">
      <c r="A460" s="1" t="n"/>
      <c r="B460" s="6" t="n"/>
      <c r="C460" s="13" t="n"/>
      <c r="D460" s="1" t="n"/>
      <c r="E460" s="14" t="n"/>
      <c r="F460" s="14"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31.5" customHeight="1" s="12">
      <c r="A461" s="1" t="n"/>
      <c r="B461" s="6" t="n"/>
      <c r="C461" s="13" t="n"/>
      <c r="D461" s="1" t="n"/>
      <c r="E461" s="14" t="n"/>
      <c r="F461" s="14"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31.5" customHeight="1" s="12">
      <c r="A462" s="1" t="n"/>
      <c r="B462" s="6" t="n"/>
      <c r="C462" s="13" t="n"/>
      <c r="D462" s="1" t="n"/>
      <c r="E462" s="14" t="n"/>
      <c r="F462" s="14"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31.5" customHeight="1" s="12">
      <c r="A463" s="1" t="n"/>
      <c r="B463" s="6" t="n"/>
      <c r="C463" s="13" t="n"/>
      <c r="D463" s="1" t="n"/>
      <c r="E463" s="14" t="n"/>
      <c r="F463" s="14"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31.5" customHeight="1" s="12">
      <c r="A464" s="1" t="n"/>
      <c r="B464" s="6" t="n"/>
      <c r="C464" s="13" t="n"/>
      <c r="D464" s="1" t="n"/>
      <c r="E464" s="14" t="n"/>
      <c r="F464" s="14"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31.5" customHeight="1" s="12">
      <c r="A465" s="1" t="n"/>
      <c r="B465" s="6" t="n"/>
      <c r="C465" s="13" t="n"/>
      <c r="D465" s="1" t="n"/>
      <c r="E465" s="14" t="n"/>
      <c r="F465" s="14"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31.5" customHeight="1" s="12">
      <c r="A466" s="1" t="n"/>
      <c r="B466" s="6" t="n"/>
      <c r="C466" s="13" t="n"/>
      <c r="D466" s="1" t="n"/>
      <c r="E466" s="14" t="n"/>
      <c r="F466" s="14"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31.5" customHeight="1" s="12">
      <c r="A467" s="1" t="n"/>
      <c r="B467" s="6" t="n"/>
      <c r="C467" s="13" t="n"/>
      <c r="D467" s="1" t="n"/>
      <c r="E467" s="14" t="n"/>
      <c r="F467" s="14"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31.5" customHeight="1" s="12">
      <c r="A468" s="1" t="n"/>
      <c r="B468" s="6" t="n"/>
      <c r="C468" s="13" t="n"/>
      <c r="D468" s="1" t="n"/>
      <c r="E468" s="14" t="n"/>
      <c r="F468" s="14"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31.5" customHeight="1" s="12">
      <c r="A469" s="1" t="n"/>
      <c r="B469" s="6" t="n"/>
      <c r="C469" s="13" t="n"/>
      <c r="D469" s="1" t="n"/>
      <c r="E469" s="14" t="n"/>
      <c r="F469" s="14"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31.5" customHeight="1" s="12">
      <c r="A470" s="1" t="n"/>
      <c r="B470" s="6" t="n"/>
      <c r="C470" s="13" t="n"/>
      <c r="D470" s="1" t="n"/>
      <c r="E470" s="14" t="n"/>
      <c r="F470" s="14"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31.5" customHeight="1" s="12">
      <c r="A471" s="1" t="n"/>
      <c r="B471" s="6" t="n"/>
      <c r="C471" s="13" t="n"/>
      <c r="D471" s="1" t="n"/>
      <c r="E471" s="14" t="n"/>
      <c r="F471" s="14"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31.5" customHeight="1" s="12">
      <c r="A472" s="1" t="n"/>
      <c r="B472" s="6" t="n"/>
      <c r="C472" s="13" t="n"/>
      <c r="D472" s="1" t="n"/>
      <c r="E472" s="14" t="n"/>
      <c r="F472" s="14"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31.5" customHeight="1" s="12">
      <c r="A473" s="1" t="n"/>
      <c r="B473" s="6" t="n"/>
      <c r="C473" s="13" t="n"/>
      <c r="D473" s="1" t="n"/>
      <c r="E473" s="14" t="n"/>
      <c r="F473" s="14"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31.5" customHeight="1" s="12">
      <c r="A474" s="1" t="n"/>
      <c r="B474" s="6" t="n"/>
      <c r="C474" s="13" t="n"/>
      <c r="D474" s="1" t="n"/>
      <c r="E474" s="14" t="n"/>
      <c r="F474" s="14"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31.5" customHeight="1" s="12">
      <c r="A475" s="1" t="n"/>
      <c r="B475" s="6" t="n"/>
      <c r="C475" s="13" t="n"/>
      <c r="D475" s="1" t="n"/>
      <c r="E475" s="14" t="n"/>
      <c r="F475" s="14"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31.5" customHeight="1" s="12">
      <c r="A476" s="1" t="n"/>
      <c r="B476" s="6" t="n"/>
      <c r="C476" s="13" t="n"/>
      <c r="D476" s="1" t="n"/>
      <c r="E476" s="14" t="n"/>
      <c r="F476" s="14"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31.5" customHeight="1" s="12">
      <c r="A477" s="1" t="n"/>
      <c r="B477" s="6" t="n"/>
      <c r="C477" s="13" t="n"/>
      <c r="D477" s="1" t="n"/>
      <c r="E477" s="14" t="n"/>
      <c r="F477" s="14"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31.5" customHeight="1" s="12">
      <c r="A478" s="1" t="n"/>
      <c r="B478" s="6" t="n"/>
      <c r="C478" s="13" t="n"/>
      <c r="D478" s="1" t="n"/>
      <c r="E478" s="14" t="n"/>
      <c r="F478" s="14"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31.5" customHeight="1" s="12">
      <c r="A479" s="1" t="n"/>
      <c r="B479" s="6" t="n"/>
      <c r="C479" s="13" t="n"/>
      <c r="D479" s="1" t="n"/>
      <c r="E479" s="14" t="n"/>
      <c r="F479" s="14"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31.5" customHeight="1" s="12">
      <c r="A480" s="1" t="n"/>
      <c r="B480" s="6" t="n"/>
      <c r="C480" s="13" t="n"/>
      <c r="D480" s="1" t="n"/>
      <c r="E480" s="14" t="n"/>
      <c r="F480" s="14"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31.5" customHeight="1" s="12">
      <c r="A481" s="1" t="n"/>
      <c r="B481" s="6" t="n"/>
      <c r="C481" s="13" t="n"/>
      <c r="D481" s="1" t="n"/>
      <c r="E481" s="14" t="n"/>
      <c r="F481" s="14"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31.5" customHeight="1" s="12">
      <c r="A482" s="1" t="n"/>
      <c r="B482" s="6" t="n"/>
      <c r="C482" s="13" t="n"/>
      <c r="D482" s="1" t="n"/>
      <c r="E482" s="14" t="n"/>
      <c r="F482" s="14"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31.5" customHeight="1" s="12">
      <c r="A483" s="1" t="n"/>
      <c r="B483" s="6" t="n"/>
      <c r="C483" s="13" t="n"/>
      <c r="D483" s="1" t="n"/>
      <c r="E483" s="14" t="n"/>
      <c r="F483" s="14"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31.5" customHeight="1" s="12">
      <c r="A484" s="1" t="n"/>
      <c r="B484" s="6" t="n"/>
      <c r="C484" s="13" t="n"/>
      <c r="D484" s="1" t="n"/>
      <c r="E484" s="14" t="n"/>
      <c r="F484" s="14"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31.5" customHeight="1" s="12">
      <c r="A485" s="1" t="n"/>
      <c r="B485" s="6" t="n"/>
      <c r="C485" s="13" t="n"/>
      <c r="D485" s="1" t="n"/>
      <c r="E485" s="14" t="n"/>
      <c r="F485" s="14"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31.5" customHeight="1" s="12">
      <c r="A486" s="1" t="n"/>
      <c r="B486" s="6" t="n"/>
      <c r="C486" s="13" t="n"/>
      <c r="D486" s="1" t="n"/>
      <c r="E486" s="14" t="n"/>
      <c r="F486" s="14"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31.5" customHeight="1" s="12">
      <c r="A487" s="1" t="n"/>
      <c r="B487" s="6" t="n"/>
      <c r="C487" s="13" t="n"/>
      <c r="D487" s="1" t="n"/>
      <c r="E487" s="14" t="n"/>
      <c r="F487" s="14"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31.5" customHeight="1" s="12">
      <c r="A488" s="1" t="n"/>
      <c r="B488" s="6" t="n"/>
      <c r="C488" s="13" t="n"/>
      <c r="D488" s="1" t="n"/>
      <c r="E488" s="14" t="n"/>
      <c r="F488" s="14"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31.5" customHeight="1" s="12">
      <c r="A489" s="1" t="n"/>
      <c r="B489" s="6" t="n"/>
      <c r="C489" s="13" t="n"/>
      <c r="D489" s="1" t="n"/>
      <c r="E489" s="14" t="n"/>
      <c r="F489" s="14"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31.5" customHeight="1" s="12">
      <c r="A490" s="1" t="n"/>
      <c r="B490" s="6" t="n"/>
      <c r="C490" s="13" t="n"/>
      <c r="D490" s="1" t="n"/>
      <c r="E490" s="14" t="n"/>
      <c r="F490" s="14"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31.5" customHeight="1" s="12">
      <c r="A491" s="1" t="n"/>
      <c r="B491" s="6" t="n"/>
      <c r="C491" s="13" t="n"/>
      <c r="D491" s="1" t="n"/>
      <c r="E491" s="14" t="n"/>
      <c r="F491" s="14"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31.5" customHeight="1" s="12">
      <c r="A492" s="1" t="n"/>
      <c r="B492" s="6" t="n"/>
      <c r="C492" s="13" t="n"/>
      <c r="D492" s="1" t="n"/>
      <c r="E492" s="14" t="n"/>
      <c r="F492" s="14"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31.5" customHeight="1" s="12">
      <c r="A493" s="1" t="n"/>
      <c r="B493" s="6" t="n"/>
      <c r="C493" s="13" t="n"/>
      <c r="D493" s="1" t="n"/>
      <c r="E493" s="14" t="n"/>
      <c r="F493" s="14"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31.5" customHeight="1" s="12">
      <c r="A494" s="1" t="n"/>
      <c r="B494" s="6" t="n"/>
      <c r="C494" s="13" t="n"/>
      <c r="D494" s="1" t="n"/>
      <c r="E494" s="14" t="n"/>
      <c r="F494" s="14"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31.5" customHeight="1" s="12">
      <c r="A495" s="1" t="n"/>
      <c r="B495" s="6" t="n"/>
      <c r="C495" s="13" t="n"/>
      <c r="D495" s="1" t="n"/>
      <c r="E495" s="14" t="n"/>
      <c r="F495" s="14"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31.5" customHeight="1" s="12">
      <c r="A496" s="1" t="n"/>
      <c r="B496" s="6" t="n"/>
      <c r="C496" s="13" t="n"/>
      <c r="D496" s="1" t="n"/>
      <c r="E496" s="14" t="n"/>
      <c r="F496" s="14"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31.5" customHeight="1" s="12">
      <c r="A497" s="1" t="n"/>
      <c r="B497" s="6" t="n"/>
      <c r="C497" s="13" t="n"/>
      <c r="D497" s="1" t="n"/>
      <c r="E497" s="14" t="n"/>
      <c r="F497" s="14"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31.5" customHeight="1" s="12">
      <c r="A498" s="1" t="n"/>
      <c r="B498" s="6" t="n"/>
      <c r="C498" s="13" t="n"/>
      <c r="D498" s="1" t="n"/>
      <c r="E498" s="14" t="n"/>
      <c r="F498" s="14"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31.5" customHeight="1" s="12">
      <c r="A499" s="1" t="n"/>
      <c r="B499" s="6" t="n"/>
      <c r="C499" s="13" t="n"/>
      <c r="D499" s="1" t="n"/>
      <c r="E499" s="14" t="n"/>
      <c r="F499" s="14"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31.5" customHeight="1" s="12">
      <c r="A500" s="1" t="n"/>
      <c r="B500" s="6" t="n"/>
      <c r="C500" s="13" t="n"/>
      <c r="D500" s="1" t="n"/>
      <c r="E500" s="14" t="n"/>
      <c r="F500" s="14"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31.5" customHeight="1" s="12">
      <c r="A501" s="1" t="n"/>
      <c r="B501" s="6" t="n"/>
      <c r="C501" s="13" t="n"/>
      <c r="D501" s="1" t="n"/>
      <c r="E501" s="14" t="n"/>
      <c r="F501" s="14"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31.5" customHeight="1" s="12">
      <c r="A502" s="1" t="n"/>
      <c r="B502" s="6" t="n"/>
      <c r="C502" s="13" t="n"/>
      <c r="D502" s="1" t="n"/>
      <c r="E502" s="14" t="n"/>
      <c r="F502" s="14"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31.5" customHeight="1" s="12">
      <c r="A503" s="1" t="n"/>
      <c r="B503" s="6" t="n"/>
      <c r="C503" s="13" t="n"/>
      <c r="D503" s="1" t="n"/>
      <c r="E503" s="14" t="n"/>
      <c r="F503" s="14"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31.5" customHeight="1" s="12">
      <c r="A504" s="1" t="n"/>
      <c r="B504" s="6" t="n"/>
      <c r="C504" s="13" t="n"/>
      <c r="D504" s="1" t="n"/>
      <c r="E504" s="14" t="n"/>
      <c r="F504" s="14"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1.5" customHeight="1" s="12">
      <c r="A505" s="1" t="n"/>
      <c r="B505" s="6" t="n"/>
      <c r="C505" s="13" t="n"/>
      <c r="D505" s="1" t="n"/>
      <c r="E505" s="14" t="n"/>
      <c r="F505" s="14"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31.5" customHeight="1" s="12">
      <c r="A506" s="1" t="n"/>
      <c r="B506" s="6" t="n"/>
      <c r="C506" s="13" t="n"/>
      <c r="D506" s="1" t="n"/>
      <c r="E506" s="14" t="n"/>
      <c r="F506" s="14"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31.5" customHeight="1" s="12">
      <c r="A507" s="1" t="n"/>
      <c r="B507" s="6" t="n"/>
      <c r="C507" s="13" t="n"/>
      <c r="D507" s="1" t="n"/>
      <c r="E507" s="14" t="n"/>
      <c r="F507" s="14"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31.5" customHeight="1" s="12">
      <c r="A508" s="1" t="n"/>
      <c r="B508" s="6" t="n"/>
      <c r="C508" s="13" t="n"/>
      <c r="D508" s="1" t="n"/>
      <c r="E508" s="14" t="n"/>
      <c r="F508" s="14"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1.5" customHeight="1" s="12">
      <c r="A509" s="1" t="n"/>
      <c r="B509" s="6" t="n"/>
      <c r="C509" s="13" t="n"/>
      <c r="D509" s="1" t="n"/>
      <c r="E509" s="14" t="n"/>
      <c r="F509" s="14"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31.5" customHeight="1" s="12">
      <c r="A510" s="1" t="n"/>
      <c r="B510" s="6" t="n"/>
      <c r="C510" s="13" t="n"/>
      <c r="D510" s="1" t="n"/>
      <c r="E510" s="14" t="n"/>
      <c r="F510" s="14"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31.5" customHeight="1" s="12">
      <c r="A511" s="1" t="n"/>
      <c r="B511" s="6" t="n"/>
      <c r="C511" s="13" t="n"/>
      <c r="D511" s="1" t="n"/>
      <c r="E511" s="14" t="n"/>
      <c r="F511" s="14"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31.5" customHeight="1" s="12">
      <c r="A512" s="1" t="n"/>
      <c r="B512" s="6" t="n"/>
      <c r="C512" s="13" t="n"/>
      <c r="D512" s="1" t="n"/>
      <c r="E512" s="14" t="n"/>
      <c r="F512" s="14"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31.5" customHeight="1" s="12">
      <c r="A513" s="1" t="n"/>
      <c r="B513" s="6" t="n"/>
      <c r="C513" s="13" t="n"/>
      <c r="D513" s="1" t="n"/>
      <c r="E513" s="14" t="n"/>
      <c r="F513" s="14"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31.5" customHeight="1" s="12">
      <c r="A514" s="1" t="n"/>
      <c r="B514" s="6" t="n"/>
      <c r="C514" s="13" t="n"/>
      <c r="D514" s="1" t="n"/>
      <c r="E514" s="14" t="n"/>
      <c r="F514" s="14"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31.5" customHeight="1" s="12">
      <c r="A515" s="1" t="n"/>
      <c r="B515" s="6" t="n"/>
      <c r="C515" s="13" t="n"/>
      <c r="D515" s="1" t="n"/>
      <c r="E515" s="14" t="n"/>
      <c r="F515" s="14"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31.5" customHeight="1" s="12">
      <c r="A516" s="1" t="n"/>
      <c r="B516" s="6" t="n"/>
      <c r="C516" s="13" t="n"/>
      <c r="D516" s="1" t="n"/>
      <c r="E516" s="14" t="n"/>
      <c r="F516" s="14"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31.5" customHeight="1" s="12">
      <c r="A517" s="1" t="n"/>
      <c r="B517" s="6" t="n"/>
      <c r="C517" s="13" t="n"/>
      <c r="D517" s="1" t="n"/>
      <c r="E517" s="14" t="n"/>
      <c r="F517" s="14"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31.5" customHeight="1" s="12">
      <c r="A518" s="1" t="n"/>
      <c r="B518" s="6" t="n"/>
      <c r="C518" s="13" t="n"/>
      <c r="D518" s="1" t="n"/>
      <c r="E518" s="14" t="n"/>
      <c r="F518" s="14"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31.5" customHeight="1" s="12">
      <c r="A519" s="1" t="n"/>
      <c r="B519" s="6" t="n"/>
      <c r="C519" s="13" t="n"/>
      <c r="D519" s="1" t="n"/>
      <c r="E519" s="14" t="n"/>
      <c r="F519" s="14"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31.5" customHeight="1" s="12">
      <c r="A520" s="1" t="n"/>
      <c r="B520" s="6" t="n"/>
      <c r="C520" s="13" t="n"/>
      <c r="D520" s="1" t="n"/>
      <c r="E520" s="14" t="n"/>
      <c r="F520" s="14"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31.5" customHeight="1" s="12">
      <c r="A521" s="1" t="n"/>
      <c r="B521" s="6" t="n"/>
      <c r="C521" s="13" t="n"/>
      <c r="D521" s="1" t="n"/>
      <c r="E521" s="14" t="n"/>
      <c r="F521" s="14"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31.5" customHeight="1" s="12">
      <c r="A522" s="1" t="n"/>
      <c r="B522" s="6" t="n"/>
      <c r="C522" s="13" t="n"/>
      <c r="D522" s="1" t="n"/>
      <c r="E522" s="14" t="n"/>
      <c r="F522" s="14"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31.5" customHeight="1" s="12">
      <c r="A523" s="1" t="n"/>
      <c r="B523" s="6" t="n"/>
      <c r="C523" s="13" t="n"/>
      <c r="D523" s="1" t="n"/>
      <c r="E523" s="14" t="n"/>
      <c r="F523" s="14"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31.5" customHeight="1" s="12">
      <c r="A524" s="1" t="n"/>
      <c r="B524" s="6" t="n"/>
      <c r="C524" s="13" t="n"/>
      <c r="D524" s="1" t="n"/>
      <c r="E524" s="14" t="n"/>
      <c r="F524" s="1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31.5" customHeight="1" s="12">
      <c r="A525" s="1" t="n"/>
      <c r="B525" s="6" t="n"/>
      <c r="C525" s="13" t="n"/>
      <c r="D525" s="1" t="n"/>
      <c r="E525" s="14" t="n"/>
      <c r="F525" s="1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31.5" customHeight="1" s="12">
      <c r="A526" s="1" t="n"/>
      <c r="B526" s="6" t="n"/>
      <c r="C526" s="13" t="n"/>
      <c r="D526" s="1" t="n"/>
      <c r="E526" s="14" t="n"/>
      <c r="F526" s="1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31.5" customHeight="1" s="12">
      <c r="A527" s="1" t="n"/>
      <c r="B527" s="6" t="n"/>
      <c r="C527" s="13" t="n"/>
      <c r="D527" s="1" t="n"/>
      <c r="E527" s="14" t="n"/>
      <c r="F527" s="1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31.5" customHeight="1" s="12">
      <c r="A528" s="1" t="n"/>
      <c r="B528" s="6" t="n"/>
      <c r="C528" s="13" t="n"/>
      <c r="D528" s="1" t="n"/>
      <c r="E528" s="14" t="n"/>
      <c r="F528" s="1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31.5" customHeight="1" s="12">
      <c r="A529" s="1" t="n"/>
      <c r="B529" s="6" t="n"/>
      <c r="C529" s="13" t="n"/>
      <c r="D529" s="1" t="n"/>
      <c r="E529" s="14" t="n"/>
      <c r="F529" s="1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31.5" customHeight="1" s="12">
      <c r="A530" s="1" t="n"/>
      <c r="B530" s="6" t="n"/>
      <c r="C530" s="13" t="n"/>
      <c r="D530" s="1" t="n"/>
      <c r="E530" s="14" t="n"/>
      <c r="F530" s="1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31.5" customHeight="1" s="12">
      <c r="A531" s="1" t="n"/>
      <c r="B531" s="6" t="n"/>
      <c r="C531" s="13" t="n"/>
      <c r="D531" s="1" t="n"/>
      <c r="E531" s="14" t="n"/>
      <c r="F531" s="1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31.5" customHeight="1" s="12">
      <c r="A532" s="1" t="n"/>
      <c r="B532" s="6" t="n"/>
      <c r="C532" s="13" t="n"/>
      <c r="D532" s="1" t="n"/>
      <c r="E532" s="14" t="n"/>
      <c r="F532" s="1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31.5" customHeight="1" s="12">
      <c r="A533" s="1" t="n"/>
      <c r="B533" s="6" t="n"/>
      <c r="C533" s="13" t="n"/>
      <c r="D533" s="1" t="n"/>
      <c r="E533" s="14" t="n"/>
      <c r="F533" s="1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31.5" customHeight="1" s="12">
      <c r="A534" s="1" t="n"/>
      <c r="B534" s="6" t="n"/>
      <c r="C534" s="13" t="n"/>
      <c r="D534" s="1" t="n"/>
      <c r="E534" s="14" t="n"/>
      <c r="F534" s="1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31.5" customHeight="1" s="12">
      <c r="A535" s="1" t="n"/>
      <c r="B535" s="6" t="n"/>
      <c r="C535" s="13" t="n"/>
      <c r="D535" s="1" t="n"/>
      <c r="E535" s="14" t="n"/>
      <c r="F535" s="1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31.5" customHeight="1" s="12">
      <c r="A536" s="1" t="n"/>
      <c r="B536" s="6" t="n"/>
      <c r="C536" s="13" t="n"/>
      <c r="D536" s="1" t="n"/>
      <c r="E536" s="14" t="n"/>
      <c r="F536" s="1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31.5" customHeight="1" s="12">
      <c r="A537" s="1" t="n"/>
      <c r="B537" s="6" t="n"/>
      <c r="C537" s="13" t="n"/>
      <c r="D537" s="1" t="n"/>
      <c r="E537" s="14" t="n"/>
      <c r="F537" s="1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31.5" customHeight="1" s="12">
      <c r="A538" s="1" t="n"/>
      <c r="B538" s="6" t="n"/>
      <c r="C538" s="13" t="n"/>
      <c r="D538" s="1" t="n"/>
      <c r="E538" s="14" t="n"/>
      <c r="F538" s="1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31.5" customHeight="1" s="12">
      <c r="A539" s="1" t="n"/>
      <c r="B539" s="6" t="n"/>
      <c r="C539" s="13" t="n"/>
      <c r="D539" s="1" t="n"/>
      <c r="E539" s="14" t="n"/>
      <c r="F539" s="1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31.5" customHeight="1" s="12">
      <c r="A540" s="1" t="n"/>
      <c r="B540" s="6" t="n"/>
      <c r="C540" s="13" t="n"/>
      <c r="D540" s="1" t="n"/>
      <c r="E540" s="14" t="n"/>
      <c r="F540" s="1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31.5" customHeight="1" s="12">
      <c r="A541" s="1" t="n"/>
      <c r="B541" s="6" t="n"/>
      <c r="C541" s="13" t="n"/>
      <c r="D541" s="1" t="n"/>
      <c r="E541" s="14" t="n"/>
      <c r="F541" s="1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31.5" customHeight="1" s="12">
      <c r="A542" s="1" t="n"/>
      <c r="B542" s="6" t="n"/>
      <c r="C542" s="13" t="n"/>
      <c r="D542" s="1" t="n"/>
      <c r="E542" s="14" t="n"/>
      <c r="F542" s="1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31.5" customHeight="1" s="12">
      <c r="A543" s="1" t="n"/>
      <c r="B543" s="6" t="n"/>
      <c r="C543" s="13" t="n"/>
      <c r="D543" s="1" t="n"/>
      <c r="E543" s="14" t="n"/>
      <c r="F543" s="1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31.5" customHeight="1" s="12">
      <c r="A544" s="1" t="n"/>
      <c r="B544" s="6" t="n"/>
      <c r="C544" s="13" t="n"/>
      <c r="D544" s="1" t="n"/>
      <c r="E544" s="14" t="n"/>
      <c r="F544" s="1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31.5" customHeight="1" s="12">
      <c r="A545" s="1" t="n"/>
      <c r="B545" s="6" t="n"/>
      <c r="C545" s="13" t="n"/>
      <c r="D545" s="1" t="n"/>
      <c r="E545" s="14" t="n"/>
      <c r="F545" s="1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31.5" customHeight="1" s="12">
      <c r="A546" s="1" t="n"/>
      <c r="B546" s="6" t="n"/>
      <c r="C546" s="13" t="n"/>
      <c r="D546" s="1" t="n"/>
      <c r="E546" s="14" t="n"/>
      <c r="F546" s="1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31.5" customHeight="1" s="12">
      <c r="A547" s="1" t="n"/>
      <c r="B547" s="6" t="n"/>
      <c r="C547" s="13" t="n"/>
      <c r="D547" s="1" t="n"/>
      <c r="E547" s="14" t="n"/>
      <c r="F547" s="1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31.5" customHeight="1" s="12">
      <c r="A548" s="1" t="n"/>
      <c r="B548" s="6" t="n"/>
      <c r="C548" s="13" t="n"/>
      <c r="D548" s="1" t="n"/>
      <c r="E548" s="14" t="n"/>
      <c r="F548" s="1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31.5" customHeight="1" s="12">
      <c r="A549" s="1" t="n"/>
      <c r="B549" s="6" t="n"/>
      <c r="C549" s="13" t="n"/>
      <c r="D549" s="1" t="n"/>
      <c r="E549" s="14" t="n"/>
      <c r="F549" s="1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31.5" customHeight="1" s="12">
      <c r="A550" s="1" t="n"/>
      <c r="B550" s="6" t="n"/>
      <c r="C550" s="13" t="n"/>
      <c r="D550" s="1" t="n"/>
      <c r="E550" s="14" t="n"/>
      <c r="F550" s="14"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31.5" customHeight="1" s="12">
      <c r="A551" s="1" t="n"/>
      <c r="B551" s="6" t="n"/>
      <c r="C551" s="13" t="n"/>
      <c r="D551" s="1" t="n"/>
      <c r="E551" s="14" t="n"/>
      <c r="F551" s="14"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31.5" customHeight="1" s="12">
      <c r="A552" s="1" t="n"/>
      <c r="B552" s="6" t="n"/>
      <c r="C552" s="13" t="n"/>
      <c r="D552" s="1" t="n"/>
      <c r="E552" s="14" t="n"/>
      <c r="F552" s="14"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31.5" customHeight="1" s="12">
      <c r="A553" s="1" t="n"/>
      <c r="B553" s="6" t="n"/>
      <c r="C553" s="13" t="n"/>
      <c r="D553" s="1" t="n"/>
      <c r="E553" s="14" t="n"/>
      <c r="F553" s="14"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31.5" customHeight="1" s="12">
      <c r="A554" s="1" t="n"/>
      <c r="B554" s="6" t="n"/>
      <c r="C554" s="13" t="n"/>
      <c r="D554" s="1" t="n"/>
      <c r="E554" s="14" t="n"/>
      <c r="F554" s="14"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31.5" customHeight="1" s="12">
      <c r="A555" s="1" t="n"/>
      <c r="B555" s="6" t="n"/>
      <c r="C555" s="13" t="n"/>
      <c r="D555" s="1" t="n"/>
      <c r="E555" s="14" t="n"/>
      <c r="F555" s="14"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31.5" customHeight="1" s="12">
      <c r="A556" s="1" t="n"/>
      <c r="B556" s="6" t="n"/>
      <c r="C556" s="13" t="n"/>
      <c r="D556" s="1" t="n"/>
      <c r="E556" s="14" t="n"/>
      <c r="F556" s="14"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31.5" customHeight="1" s="12">
      <c r="A557" s="1" t="n"/>
      <c r="B557" s="6" t="n"/>
      <c r="C557" s="13" t="n"/>
      <c r="D557" s="1" t="n"/>
      <c r="E557" s="14" t="n"/>
      <c r="F557" s="14"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31.5" customHeight="1" s="12">
      <c r="A558" s="1" t="n"/>
      <c r="B558" s="6" t="n"/>
      <c r="C558" s="13" t="n"/>
      <c r="D558" s="1" t="n"/>
      <c r="E558" s="14" t="n"/>
      <c r="F558" s="14"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1.5" customHeight="1" s="12">
      <c r="A559" s="1" t="n"/>
      <c r="B559" s="6" t="n"/>
      <c r="C559" s="13" t="n"/>
      <c r="D559" s="1" t="n"/>
      <c r="E559" s="14" t="n"/>
      <c r="F559" s="14"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31.5" customHeight="1" s="12">
      <c r="A560" s="1" t="n"/>
      <c r="B560" s="6" t="n"/>
      <c r="C560" s="13" t="n"/>
      <c r="D560" s="1" t="n"/>
      <c r="E560" s="14" t="n"/>
      <c r="F560" s="14"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31.5" customHeight="1" s="12">
      <c r="A561" s="1" t="n"/>
      <c r="B561" s="6" t="n"/>
      <c r="C561" s="13" t="n"/>
      <c r="D561" s="1" t="n"/>
      <c r="E561" s="14" t="n"/>
      <c r="F561" s="14"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31.5" customHeight="1" s="12">
      <c r="A562" s="1" t="n"/>
      <c r="B562" s="6" t="n"/>
      <c r="C562" s="13" t="n"/>
      <c r="D562" s="1" t="n"/>
      <c r="E562" s="14" t="n"/>
      <c r="F562" s="14"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31.5" customHeight="1" s="12">
      <c r="A563" s="1" t="n"/>
      <c r="B563" s="6" t="n"/>
      <c r="C563" s="13" t="n"/>
      <c r="D563" s="1" t="n"/>
      <c r="E563" s="14" t="n"/>
      <c r="F563" s="14"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31.5" customHeight="1" s="12">
      <c r="A564" s="1" t="n"/>
      <c r="B564" s="6" t="n"/>
      <c r="C564" s="13" t="n"/>
      <c r="D564" s="1" t="n"/>
      <c r="E564" s="14" t="n"/>
      <c r="F564" s="14"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31.5" customHeight="1" s="12">
      <c r="A565" s="1" t="n"/>
      <c r="B565" s="6" t="n"/>
      <c r="C565" s="13" t="n"/>
      <c r="D565" s="1" t="n"/>
      <c r="E565" s="14" t="n"/>
      <c r="F565" s="14"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31.5" customHeight="1" s="12">
      <c r="A566" s="1" t="n"/>
      <c r="B566" s="6" t="n"/>
      <c r="C566" s="13" t="n"/>
      <c r="D566" s="1" t="n"/>
      <c r="E566" s="14" t="n"/>
      <c r="F566" s="14"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31.5" customHeight="1" s="12">
      <c r="A567" s="1" t="n"/>
      <c r="B567" s="6" t="n"/>
      <c r="C567" s="13" t="n"/>
      <c r="D567" s="1" t="n"/>
      <c r="E567" s="14" t="n"/>
      <c r="F567" s="14"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31.5" customHeight="1" s="12">
      <c r="A568" s="1" t="n"/>
      <c r="B568" s="6" t="n"/>
      <c r="C568" s="13" t="n"/>
      <c r="D568" s="1" t="n"/>
      <c r="E568" s="14" t="n"/>
      <c r="F568" s="14"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31.5" customHeight="1" s="12">
      <c r="A569" s="1" t="n"/>
      <c r="B569" s="6" t="n"/>
      <c r="C569" s="13" t="n"/>
      <c r="D569" s="1" t="n"/>
      <c r="E569" s="14" t="n"/>
      <c r="F569" s="14"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31.5" customHeight="1" s="12">
      <c r="A570" s="1" t="n"/>
      <c r="B570" s="6" t="n"/>
      <c r="C570" s="13" t="n"/>
      <c r="D570" s="1" t="n"/>
      <c r="E570" s="14" t="n"/>
      <c r="F570" s="14"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1.5" customHeight="1" s="12">
      <c r="A571" s="1" t="n"/>
      <c r="B571" s="6" t="n"/>
      <c r="C571" s="13" t="n"/>
      <c r="D571" s="1" t="n"/>
      <c r="E571" s="14" t="n"/>
      <c r="F571" s="14"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31.5" customHeight="1" s="12">
      <c r="A572" s="1" t="n"/>
      <c r="B572" s="6" t="n"/>
      <c r="C572" s="13" t="n"/>
      <c r="D572" s="1" t="n"/>
      <c r="E572" s="14" t="n"/>
      <c r="F572" s="14"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31.5" customHeight="1" s="12">
      <c r="A573" s="1" t="n"/>
      <c r="B573" s="6" t="n"/>
      <c r="C573" s="13" t="n"/>
      <c r="D573" s="1" t="n"/>
      <c r="E573" s="14" t="n"/>
      <c r="F573" s="14"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1.5" customHeight="1" s="12">
      <c r="A574" s="1" t="n"/>
      <c r="B574" s="6" t="n"/>
      <c r="C574" s="13" t="n"/>
      <c r="D574" s="1" t="n"/>
      <c r="E574" s="14" t="n"/>
      <c r="F574" s="14"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31.5" customHeight="1" s="12">
      <c r="A575" s="1" t="n"/>
      <c r="B575" s="6" t="n"/>
      <c r="C575" s="13" t="n"/>
      <c r="D575" s="1" t="n"/>
      <c r="E575" s="14" t="n"/>
      <c r="F575" s="14"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31.5" customHeight="1" s="12">
      <c r="A576" s="1" t="n"/>
      <c r="B576" s="6" t="n"/>
      <c r="C576" s="13" t="n"/>
      <c r="D576" s="1" t="n"/>
      <c r="E576" s="14" t="n"/>
      <c r="F576" s="14"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31.5" customHeight="1" s="12">
      <c r="A577" s="1" t="n"/>
      <c r="B577" s="6" t="n"/>
      <c r="C577" s="13" t="n"/>
      <c r="D577" s="1" t="n"/>
      <c r="E577" s="14" t="n"/>
      <c r="F577" s="14"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31.5" customHeight="1" s="12">
      <c r="A578" s="1" t="n"/>
      <c r="B578" s="6" t="n"/>
      <c r="C578" s="13" t="n"/>
      <c r="D578" s="1" t="n"/>
      <c r="E578" s="14" t="n"/>
      <c r="F578" s="14"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31.5" customHeight="1" s="12">
      <c r="A579" s="1" t="n"/>
      <c r="B579" s="6" t="n"/>
      <c r="C579" s="13" t="n"/>
      <c r="D579" s="1" t="n"/>
      <c r="E579" s="14" t="n"/>
      <c r="F579" s="14"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31.5" customHeight="1" s="12">
      <c r="A580" s="1" t="n"/>
      <c r="B580" s="6" t="n"/>
      <c r="C580" s="13" t="n"/>
      <c r="D580" s="1" t="n"/>
      <c r="E580" s="14" t="n"/>
      <c r="F580" s="14"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31.5" customHeight="1" s="12">
      <c r="A581" s="1" t="n"/>
      <c r="B581" s="6" t="n"/>
      <c r="C581" s="13" t="n"/>
      <c r="D581" s="1" t="n"/>
      <c r="E581" s="14" t="n"/>
      <c r="F581" s="14"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1.5" customHeight="1" s="12">
      <c r="A582" s="1" t="n"/>
      <c r="B582" s="6" t="n"/>
      <c r="C582" s="13" t="n"/>
      <c r="D582" s="1" t="n"/>
      <c r="E582" s="14" t="n"/>
      <c r="F582" s="14"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31.5" customHeight="1" s="12">
      <c r="A583" s="1" t="n"/>
      <c r="B583" s="6" t="n"/>
      <c r="C583" s="13" t="n"/>
      <c r="D583" s="1" t="n"/>
      <c r="E583" s="14" t="n"/>
      <c r="F583" s="14"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31.5" customHeight="1" s="12">
      <c r="A584" s="1" t="n"/>
      <c r="B584" s="6" t="n"/>
      <c r="C584" s="13" t="n"/>
      <c r="D584" s="1" t="n"/>
      <c r="E584" s="14" t="n"/>
      <c r="F584" s="14"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31.5" customHeight="1" s="12">
      <c r="A585" s="1" t="n"/>
      <c r="B585" s="6" t="n"/>
      <c r="C585" s="13" t="n"/>
      <c r="D585" s="1" t="n"/>
      <c r="E585" s="14" t="n"/>
      <c r="F585" s="14"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31.5" customHeight="1" s="12">
      <c r="A586" s="1" t="n"/>
      <c r="B586" s="6" t="n"/>
      <c r="C586" s="13" t="n"/>
      <c r="D586" s="1" t="n"/>
      <c r="E586" s="14" t="n"/>
      <c r="F586" s="14"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1.5" customHeight="1" s="12">
      <c r="A587" s="1" t="n"/>
      <c r="B587" s="6" t="n"/>
      <c r="C587" s="13" t="n"/>
      <c r="D587" s="1" t="n"/>
      <c r="E587" s="14" t="n"/>
      <c r="F587" s="14"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31.5" customHeight="1" s="12">
      <c r="A588" s="1" t="n"/>
      <c r="B588" s="6" t="n"/>
      <c r="C588" s="13" t="n"/>
      <c r="D588" s="1" t="n"/>
      <c r="E588" s="14" t="n"/>
      <c r="F588" s="14"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31.5" customHeight="1" s="12">
      <c r="A589" s="1" t="n"/>
      <c r="B589" s="6" t="n"/>
      <c r="C589" s="13" t="n"/>
      <c r="D589" s="1" t="n"/>
      <c r="E589" s="14" t="n"/>
      <c r="F589" s="14"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31.5" customHeight="1" s="12">
      <c r="A590" s="1" t="n"/>
      <c r="B590" s="6" t="n"/>
      <c r="C590" s="13" t="n"/>
      <c r="D590" s="1" t="n"/>
      <c r="E590" s="14" t="n"/>
      <c r="F590" s="14"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31.5" customHeight="1" s="12">
      <c r="A591" s="1" t="n"/>
      <c r="B591" s="6" t="n"/>
      <c r="C591" s="13" t="n"/>
      <c r="D591" s="1" t="n"/>
      <c r="E591" s="14" t="n"/>
      <c r="F591" s="14"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31.5" customHeight="1" s="12">
      <c r="A592" s="1" t="n"/>
      <c r="B592" s="6" t="n"/>
      <c r="C592" s="13" t="n"/>
      <c r="D592" s="1" t="n"/>
      <c r="E592" s="14" t="n"/>
      <c r="F592" s="14"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31.5" customHeight="1" s="12">
      <c r="A593" s="1" t="n"/>
      <c r="B593" s="6" t="n"/>
      <c r="C593" s="13" t="n"/>
      <c r="D593" s="1" t="n"/>
      <c r="E593" s="14" t="n"/>
      <c r="F593" s="14"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31.5" customHeight="1" s="12">
      <c r="A594" s="1" t="n"/>
      <c r="B594" s="6" t="n"/>
      <c r="C594" s="13" t="n"/>
      <c r="D594" s="1" t="n"/>
      <c r="E594" s="14" t="n"/>
      <c r="F594" s="14"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31.5" customHeight="1" s="12">
      <c r="A595" s="1" t="n"/>
      <c r="B595" s="6" t="n"/>
      <c r="C595" s="13" t="n"/>
      <c r="D595" s="1" t="n"/>
      <c r="E595" s="14" t="n"/>
      <c r="F595" s="14"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31.5" customHeight="1" s="12">
      <c r="A596" s="1" t="n"/>
      <c r="B596" s="6" t="n"/>
      <c r="C596" s="13" t="n"/>
      <c r="D596" s="1" t="n"/>
      <c r="E596" s="14" t="n"/>
      <c r="F596" s="14"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31.5" customHeight="1" s="12">
      <c r="A597" s="1" t="n"/>
      <c r="B597" s="6" t="n"/>
      <c r="C597" s="13" t="n"/>
      <c r="D597" s="1" t="n"/>
      <c r="E597" s="14" t="n"/>
      <c r="F597" s="14"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31.5" customHeight="1" s="12">
      <c r="A598" s="1" t="n"/>
      <c r="B598" s="6" t="n"/>
      <c r="C598" s="13" t="n"/>
      <c r="D598" s="1" t="n"/>
      <c r="E598" s="14" t="n"/>
      <c r="F598" s="14"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31.5" customHeight="1" s="12">
      <c r="A599" s="1" t="n"/>
      <c r="B599" s="6" t="n"/>
      <c r="C599" s="13" t="n"/>
      <c r="D599" s="1" t="n"/>
      <c r="E599" s="14" t="n"/>
      <c r="F599" s="14"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31.5" customHeight="1" s="12">
      <c r="A600" s="1" t="n"/>
      <c r="B600" s="6" t="n"/>
      <c r="C600" s="13" t="n"/>
      <c r="D600" s="1" t="n"/>
      <c r="E600" s="14" t="n"/>
      <c r="F600" s="14"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31.5" customHeight="1" s="12">
      <c r="A601" s="1" t="n"/>
      <c r="B601" s="6" t="n"/>
      <c r="C601" s="13" t="n"/>
      <c r="D601" s="1" t="n"/>
      <c r="E601" s="14" t="n"/>
      <c r="F601" s="14"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31.5" customHeight="1" s="12">
      <c r="A602" s="1" t="n"/>
      <c r="B602" s="6" t="n"/>
      <c r="C602" s="13" t="n"/>
      <c r="D602" s="1" t="n"/>
      <c r="E602" s="14" t="n"/>
      <c r="F602" s="14"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31.5" customHeight="1" s="12">
      <c r="A603" s="1" t="n"/>
      <c r="B603" s="6" t="n"/>
      <c r="C603" s="13" t="n"/>
      <c r="D603" s="1" t="n"/>
      <c r="E603" s="14" t="n"/>
      <c r="F603" s="14"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31.5" customHeight="1" s="12">
      <c r="A604" s="1" t="n"/>
      <c r="B604" s="6" t="n"/>
      <c r="C604" s="13" t="n"/>
      <c r="D604" s="1" t="n"/>
      <c r="E604" s="14" t="n"/>
      <c r="F604" s="14"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31.5" customHeight="1" s="12">
      <c r="A605" s="1" t="n"/>
      <c r="B605" s="6" t="n"/>
      <c r="C605" s="13" t="n"/>
      <c r="D605" s="1" t="n"/>
      <c r="E605" s="14" t="n"/>
      <c r="F605" s="14"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31.5" customHeight="1" s="12">
      <c r="A606" s="1" t="n"/>
      <c r="B606" s="6" t="n"/>
      <c r="C606" s="13" t="n"/>
      <c r="D606" s="1" t="n"/>
      <c r="E606" s="14" t="n"/>
      <c r="F606" s="14"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31.5" customHeight="1" s="12">
      <c r="A607" s="1" t="n"/>
      <c r="B607" s="6" t="n"/>
      <c r="C607" s="13" t="n"/>
      <c r="D607" s="1" t="n"/>
      <c r="E607" s="14" t="n"/>
      <c r="F607" s="14"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31.5" customHeight="1" s="12">
      <c r="A608" s="1" t="n"/>
      <c r="B608" s="6" t="n"/>
      <c r="C608" s="13" t="n"/>
      <c r="D608" s="1" t="n"/>
      <c r="E608" s="14" t="n"/>
      <c r="F608" s="14"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31.5" customHeight="1" s="12">
      <c r="A609" s="1" t="n"/>
      <c r="B609" s="6" t="n"/>
      <c r="C609" s="13" t="n"/>
      <c r="D609" s="1" t="n"/>
      <c r="E609" s="14" t="n"/>
      <c r="F609" s="14"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31.5" customHeight="1" s="12">
      <c r="A610" s="1" t="n"/>
      <c r="B610" s="6" t="n"/>
      <c r="C610" s="13" t="n"/>
      <c r="D610" s="1" t="n"/>
      <c r="E610" s="14" t="n"/>
      <c r="F610" s="14"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31.5" customHeight="1" s="12">
      <c r="A611" s="1" t="n"/>
      <c r="B611" s="6" t="n"/>
      <c r="C611" s="13" t="n"/>
      <c r="D611" s="1" t="n"/>
      <c r="E611" s="14" t="n"/>
      <c r="F611" s="14"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31.5" customHeight="1" s="12">
      <c r="A612" s="1" t="n"/>
      <c r="B612" s="6" t="n"/>
      <c r="C612" s="13" t="n"/>
      <c r="D612" s="1" t="n"/>
      <c r="E612" s="14" t="n"/>
      <c r="F612" s="14"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31.5" customHeight="1" s="12">
      <c r="A613" s="1" t="n"/>
      <c r="B613" s="6" t="n"/>
      <c r="C613" s="13" t="n"/>
      <c r="D613" s="1" t="n"/>
      <c r="E613" s="14" t="n"/>
      <c r="F613" s="14"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31.5" customHeight="1" s="12">
      <c r="A614" s="1" t="n"/>
      <c r="B614" s="6" t="n"/>
      <c r="C614" s="13" t="n"/>
      <c r="D614" s="1" t="n"/>
      <c r="E614" s="14" t="n"/>
      <c r="F614" s="14"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31.5" customHeight="1" s="12">
      <c r="A615" s="1" t="n"/>
      <c r="B615" s="6" t="n"/>
      <c r="C615" s="13" t="n"/>
      <c r="D615" s="1" t="n"/>
      <c r="E615" s="14" t="n"/>
      <c r="F615" s="14"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1.5" customHeight="1" s="12">
      <c r="A616" s="1" t="n"/>
      <c r="B616" s="6" t="n"/>
      <c r="C616" s="13" t="n"/>
      <c r="D616" s="1" t="n"/>
      <c r="E616" s="14" t="n"/>
      <c r="F616" s="14"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31.5" customHeight="1" s="12">
      <c r="A617" s="1" t="n"/>
      <c r="B617" s="6" t="n"/>
      <c r="C617" s="13" t="n"/>
      <c r="D617" s="1" t="n"/>
      <c r="E617" s="14" t="n"/>
      <c r="F617" s="14"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31.5" customHeight="1" s="12">
      <c r="A618" s="1" t="n"/>
      <c r="B618" s="6" t="n"/>
      <c r="C618" s="13" t="n"/>
      <c r="D618" s="1" t="n"/>
      <c r="E618" s="14" t="n"/>
      <c r="F618" s="14"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31.5" customHeight="1" s="12">
      <c r="A619" s="1" t="n"/>
      <c r="B619" s="6" t="n"/>
      <c r="C619" s="13" t="n"/>
      <c r="D619" s="1" t="n"/>
      <c r="E619" s="14" t="n"/>
      <c r="F619" s="14"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31.5" customHeight="1" s="12">
      <c r="A620" s="1" t="n"/>
      <c r="B620" s="6" t="n"/>
      <c r="C620" s="13" t="n"/>
      <c r="D620" s="1" t="n"/>
      <c r="E620" s="14" t="n"/>
      <c r="F620" s="14"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31.5" customHeight="1" s="12">
      <c r="A621" s="1" t="n"/>
      <c r="B621" s="6" t="n"/>
      <c r="C621" s="13" t="n"/>
      <c r="D621" s="1" t="n"/>
      <c r="E621" s="14" t="n"/>
      <c r="F621" s="14"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31.5" customHeight="1" s="12">
      <c r="A622" s="1" t="n"/>
      <c r="B622" s="6" t="n"/>
      <c r="C622" s="13" t="n"/>
      <c r="D622" s="1" t="n"/>
      <c r="E622" s="14" t="n"/>
      <c r="F622" s="14"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31.5" customHeight="1" s="12">
      <c r="A623" s="1" t="n"/>
      <c r="B623" s="6" t="n"/>
      <c r="C623" s="13" t="n"/>
      <c r="D623" s="1" t="n"/>
      <c r="E623" s="14" t="n"/>
      <c r="F623" s="14"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31.5" customHeight="1" s="12">
      <c r="A624" s="1" t="n"/>
      <c r="B624" s="6" t="n"/>
      <c r="C624" s="13" t="n"/>
      <c r="D624" s="1" t="n"/>
      <c r="E624" s="14" t="n"/>
      <c r="F624" s="14"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31.5" customHeight="1" s="12">
      <c r="A625" s="1" t="n"/>
      <c r="B625" s="6" t="n"/>
      <c r="C625" s="13" t="n"/>
      <c r="D625" s="1" t="n"/>
      <c r="E625" s="14" t="n"/>
      <c r="F625" s="14"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1.5" customHeight="1" s="12">
      <c r="A626" s="1" t="n"/>
      <c r="B626" s="6" t="n"/>
      <c r="C626" s="13" t="n"/>
      <c r="D626" s="1" t="n"/>
      <c r="E626" s="14" t="n"/>
      <c r="F626" s="14"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31.5" customHeight="1" s="12">
      <c r="A627" s="1" t="n"/>
      <c r="B627" s="6" t="n"/>
      <c r="C627" s="13" t="n"/>
      <c r="D627" s="1" t="n"/>
      <c r="E627" s="14" t="n"/>
      <c r="F627" s="1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31.5" customHeight="1" s="12">
      <c r="A628" s="1" t="n"/>
      <c r="B628" s="6" t="n"/>
      <c r="C628" s="13" t="n"/>
      <c r="D628" s="1" t="n"/>
      <c r="E628" s="14" t="n"/>
      <c r="F628" s="14"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31.5" customHeight="1" s="12">
      <c r="A629" s="1" t="n"/>
      <c r="B629" s="6" t="n"/>
      <c r="C629" s="13" t="n"/>
      <c r="D629" s="1" t="n"/>
      <c r="E629" s="14" t="n"/>
      <c r="F629" s="14"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31.5" customHeight="1" s="12">
      <c r="A630" s="1" t="n"/>
      <c r="B630" s="6" t="n"/>
      <c r="C630" s="13" t="n"/>
      <c r="D630" s="1" t="n"/>
      <c r="E630" s="14" t="n"/>
      <c r="F630" s="14"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31.5" customHeight="1" s="12">
      <c r="A631" s="1" t="n"/>
      <c r="B631" s="6" t="n"/>
      <c r="C631" s="13" t="n"/>
      <c r="D631" s="1" t="n"/>
      <c r="E631" s="14" t="n"/>
      <c r="F631" s="14"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31.5" customHeight="1" s="12">
      <c r="A632" s="1" t="n"/>
      <c r="B632" s="6" t="n"/>
      <c r="C632" s="13" t="n"/>
      <c r="D632" s="1" t="n"/>
      <c r="E632" s="14" t="n"/>
      <c r="F632" s="14"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31.5" customHeight="1" s="12">
      <c r="A633" s="1" t="n"/>
      <c r="B633" s="6" t="n"/>
      <c r="C633" s="13" t="n"/>
      <c r="D633" s="1" t="n"/>
      <c r="E633" s="14" t="n"/>
      <c r="F633" s="14"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31.5" customHeight="1" s="12">
      <c r="A634" s="1" t="n"/>
      <c r="B634" s="6" t="n"/>
      <c r="C634" s="13" t="n"/>
      <c r="D634" s="1" t="n"/>
      <c r="E634" s="14" t="n"/>
      <c r="F634" s="14"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31.5" customHeight="1" s="12">
      <c r="A635" s="1" t="n"/>
      <c r="B635" s="6" t="n"/>
      <c r="C635" s="13" t="n"/>
      <c r="D635" s="1" t="n"/>
      <c r="E635" s="14" t="n"/>
      <c r="F635" s="14"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31.5" customHeight="1" s="12">
      <c r="A636" s="1" t="n"/>
      <c r="B636" s="6" t="n"/>
      <c r="C636" s="13" t="n"/>
      <c r="D636" s="1" t="n"/>
      <c r="E636" s="14" t="n"/>
      <c r="F636" s="14"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31.5" customHeight="1" s="12">
      <c r="A637" s="1" t="n"/>
      <c r="B637" s="6" t="n"/>
      <c r="C637" s="13" t="n"/>
      <c r="D637" s="1" t="n"/>
      <c r="E637" s="14" t="n"/>
      <c r="F637" s="14"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31.5" customHeight="1" s="12">
      <c r="A638" s="1" t="n"/>
      <c r="B638" s="6" t="n"/>
      <c r="C638" s="13" t="n"/>
      <c r="D638" s="1" t="n"/>
      <c r="E638" s="14" t="n"/>
      <c r="F638" s="14"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31.5" customHeight="1" s="12">
      <c r="A639" s="1" t="n"/>
      <c r="B639" s="6" t="n"/>
      <c r="C639" s="13" t="n"/>
      <c r="D639" s="1" t="n"/>
      <c r="E639" s="14" t="n"/>
      <c r="F639" s="14"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31.5" customHeight="1" s="12">
      <c r="A640" s="1" t="n"/>
      <c r="B640" s="6" t="n"/>
      <c r="C640" s="13" t="n"/>
      <c r="D640" s="1" t="n"/>
      <c r="E640" s="14" t="n"/>
      <c r="F640" s="14"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31.5" customHeight="1" s="12">
      <c r="A641" s="1" t="n"/>
      <c r="B641" s="6" t="n"/>
      <c r="C641" s="13" t="n"/>
      <c r="D641" s="1" t="n"/>
      <c r="E641" s="14" t="n"/>
      <c r="F641" s="14"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31.5" customHeight="1" s="12">
      <c r="A642" s="1" t="n"/>
      <c r="B642" s="6" t="n"/>
      <c r="C642" s="13" t="n"/>
      <c r="D642" s="1" t="n"/>
      <c r="E642" s="14" t="n"/>
      <c r="F642" s="14"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31.5" customHeight="1" s="12">
      <c r="A643" s="1" t="n"/>
      <c r="B643" s="6" t="n"/>
      <c r="C643" s="13" t="n"/>
      <c r="D643" s="1" t="n"/>
      <c r="E643" s="14" t="n"/>
      <c r="F643" s="14"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31.5" customHeight="1" s="12">
      <c r="A644" s="1" t="n"/>
      <c r="B644" s="6" t="n"/>
      <c r="C644" s="13" t="n"/>
      <c r="D644" s="1" t="n"/>
      <c r="E644" s="14" t="n"/>
      <c r="F644" s="14"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1.5" customHeight="1" s="12">
      <c r="A645" s="1" t="n"/>
      <c r="B645" s="6" t="n"/>
      <c r="C645" s="13" t="n"/>
      <c r="D645" s="1" t="n"/>
      <c r="E645" s="14" t="n"/>
      <c r="F645" s="14"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1.5" customHeight="1" s="12">
      <c r="A646" s="1" t="n"/>
      <c r="B646" s="6" t="n"/>
      <c r="C646" s="13" t="n"/>
      <c r="D646" s="1" t="n"/>
      <c r="E646" s="14" t="n"/>
      <c r="F646" s="14"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31.5" customHeight="1" s="12">
      <c r="A647" s="1" t="n"/>
      <c r="B647" s="6" t="n"/>
      <c r="C647" s="13" t="n"/>
      <c r="D647" s="1" t="n"/>
      <c r="E647" s="14" t="n"/>
      <c r="F647" s="14"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31.5" customHeight="1" s="12">
      <c r="A648" s="1" t="n"/>
      <c r="B648" s="6" t="n"/>
      <c r="C648" s="13" t="n"/>
      <c r="D648" s="1" t="n"/>
      <c r="E648" s="14" t="n"/>
      <c r="F648" s="14"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31.5" customHeight="1" s="12">
      <c r="A649" s="1" t="n"/>
      <c r="B649" s="6" t="n"/>
      <c r="C649" s="13" t="n"/>
      <c r="D649" s="1" t="n"/>
      <c r="E649" s="14" t="n"/>
      <c r="F649" s="14"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31.5" customHeight="1" s="12">
      <c r="A650" s="1" t="n"/>
      <c r="B650" s="6" t="n"/>
      <c r="C650" s="13" t="n"/>
      <c r="D650" s="1" t="n"/>
      <c r="E650" s="14" t="n"/>
      <c r="F650" s="14"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31.5" customHeight="1" s="12">
      <c r="A651" s="1" t="n"/>
      <c r="B651" s="6" t="n"/>
      <c r="C651" s="13" t="n"/>
      <c r="D651" s="1" t="n"/>
      <c r="E651" s="14" t="n"/>
      <c r="F651" s="14"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31.5" customHeight="1" s="12">
      <c r="A652" s="1" t="n"/>
      <c r="B652" s="6" t="n"/>
      <c r="C652" s="13" t="n"/>
      <c r="D652" s="1" t="n"/>
      <c r="E652" s="14" t="n"/>
      <c r="F652" s="14"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31.5" customHeight="1" s="12">
      <c r="A653" s="1" t="n"/>
      <c r="B653" s="6" t="n"/>
      <c r="C653" s="13" t="n"/>
      <c r="D653" s="1" t="n"/>
      <c r="E653" s="14" t="n"/>
      <c r="F653" s="14"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31.5" customHeight="1" s="12">
      <c r="A654" s="1" t="n"/>
      <c r="B654" s="6" t="n"/>
      <c r="C654" s="13" t="n"/>
      <c r="D654" s="1" t="n"/>
      <c r="E654" s="14" t="n"/>
      <c r="F654" s="14"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31.5" customHeight="1" s="12">
      <c r="A655" s="1" t="n"/>
      <c r="B655" s="6" t="n"/>
      <c r="C655" s="13" t="n"/>
      <c r="D655" s="1" t="n"/>
      <c r="E655" s="14" t="n"/>
      <c r="F655" s="14"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31.5" customHeight="1" s="12">
      <c r="A656" s="1" t="n"/>
      <c r="B656" s="6" t="n"/>
      <c r="C656" s="13" t="n"/>
      <c r="D656" s="1" t="n"/>
      <c r="E656" s="14" t="n"/>
      <c r="F656" s="14"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31.5" customHeight="1" s="12">
      <c r="A657" s="1" t="n"/>
      <c r="B657" s="6" t="n"/>
      <c r="C657" s="13" t="n"/>
      <c r="D657" s="1" t="n"/>
      <c r="E657" s="14" t="n"/>
      <c r="F657" s="14"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31.5" customHeight="1" s="12">
      <c r="A658" s="1" t="n"/>
      <c r="B658" s="6" t="n"/>
      <c r="C658" s="13" t="n"/>
      <c r="D658" s="1" t="n"/>
      <c r="E658" s="14" t="n"/>
      <c r="F658" s="14"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31.5" customHeight="1" s="12">
      <c r="A659" s="1" t="n"/>
      <c r="B659" s="6" t="n"/>
      <c r="C659" s="13" t="n"/>
      <c r="D659" s="1" t="n"/>
      <c r="E659" s="14" t="n"/>
      <c r="F659" s="14"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31.5" customHeight="1" s="12">
      <c r="A660" s="1" t="n"/>
      <c r="B660" s="6" t="n"/>
      <c r="C660" s="13" t="n"/>
      <c r="D660" s="1" t="n"/>
      <c r="E660" s="14" t="n"/>
      <c r="F660" s="14"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31.5" customHeight="1" s="12">
      <c r="A661" s="1" t="n"/>
      <c r="B661" s="6" t="n"/>
      <c r="C661" s="13" t="n"/>
      <c r="D661" s="1" t="n"/>
      <c r="E661" s="14" t="n"/>
      <c r="F661" s="14"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31.5" customHeight="1" s="12">
      <c r="A662" s="1" t="n"/>
      <c r="B662" s="6" t="n"/>
      <c r="C662" s="13" t="n"/>
      <c r="D662" s="1" t="n"/>
      <c r="E662" s="14" t="n"/>
      <c r="F662" s="14"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31.5" customHeight="1" s="12">
      <c r="A663" s="1" t="n"/>
      <c r="B663" s="6" t="n"/>
      <c r="C663" s="13" t="n"/>
      <c r="D663" s="1" t="n"/>
      <c r="E663" s="14" t="n"/>
      <c r="F663" s="14"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31.5" customHeight="1" s="12">
      <c r="A664" s="1" t="n"/>
      <c r="B664" s="6" t="n"/>
      <c r="C664" s="13" t="n"/>
      <c r="D664" s="1" t="n"/>
      <c r="E664" s="14" t="n"/>
      <c r="F664" s="14"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31.5" customHeight="1" s="12">
      <c r="A665" s="1" t="n"/>
      <c r="B665" s="6" t="n"/>
      <c r="C665" s="13" t="n"/>
      <c r="D665" s="1" t="n"/>
      <c r="E665" s="14" t="n"/>
      <c r="F665" s="14"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31.5" customHeight="1" s="12">
      <c r="A666" s="1" t="n"/>
      <c r="B666" s="6" t="n"/>
      <c r="C666" s="13" t="n"/>
      <c r="D666" s="1" t="n"/>
      <c r="E666" s="14" t="n"/>
      <c r="F666" s="14"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31.5" customHeight="1" s="12">
      <c r="A667" s="1" t="n"/>
      <c r="B667" s="6" t="n"/>
      <c r="C667" s="13" t="n"/>
      <c r="D667" s="1" t="n"/>
      <c r="E667" s="14" t="n"/>
      <c r="F667" s="14"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31.5" customHeight="1" s="12">
      <c r="A668" s="1" t="n"/>
      <c r="B668" s="6" t="n"/>
      <c r="C668" s="13" t="n"/>
      <c r="D668" s="1" t="n"/>
      <c r="E668" s="14" t="n"/>
      <c r="F668" s="14"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31.5" customHeight="1" s="12">
      <c r="A669" s="1" t="n"/>
      <c r="B669" s="6" t="n"/>
      <c r="C669" s="13" t="n"/>
      <c r="D669" s="1" t="n"/>
      <c r="E669" s="14" t="n"/>
      <c r="F669" s="14"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31.5" customHeight="1" s="12">
      <c r="A670" s="1" t="n"/>
      <c r="B670" s="6" t="n"/>
      <c r="C670" s="13" t="n"/>
      <c r="D670" s="1" t="n"/>
      <c r="E670" s="14" t="n"/>
      <c r="F670" s="14"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31.5" customHeight="1" s="12">
      <c r="A671" s="1" t="n"/>
      <c r="B671" s="6" t="n"/>
      <c r="C671" s="13" t="n"/>
      <c r="D671" s="1" t="n"/>
      <c r="E671" s="14" t="n"/>
      <c r="F671" s="14"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31.5" customHeight="1" s="12">
      <c r="A672" s="1" t="n"/>
      <c r="B672" s="6" t="n"/>
      <c r="C672" s="13" t="n"/>
      <c r="D672" s="1" t="n"/>
      <c r="E672" s="14" t="n"/>
      <c r="F672" s="14"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31.5" customHeight="1" s="12">
      <c r="A673" s="1" t="n"/>
      <c r="B673" s="6" t="n"/>
      <c r="C673" s="13" t="n"/>
      <c r="D673" s="1" t="n"/>
      <c r="E673" s="14" t="n"/>
      <c r="F673" s="14"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31.5" customHeight="1" s="12">
      <c r="A674" s="1" t="n"/>
      <c r="B674" s="6" t="n"/>
      <c r="C674" s="13" t="n"/>
      <c r="D674" s="1" t="n"/>
      <c r="E674" s="14" t="n"/>
      <c r="F674" s="14"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31.5" customHeight="1" s="12">
      <c r="A675" s="1" t="n"/>
      <c r="B675" s="6" t="n"/>
      <c r="C675" s="13" t="n"/>
      <c r="D675" s="1" t="n"/>
      <c r="E675" s="14" t="n"/>
      <c r="F675" s="14"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31.5" customHeight="1" s="12">
      <c r="A676" s="1" t="n"/>
      <c r="B676" s="6" t="n"/>
      <c r="C676" s="13" t="n"/>
      <c r="D676" s="1" t="n"/>
      <c r="E676" s="14" t="n"/>
      <c r="F676" s="14"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31.5" customHeight="1" s="12">
      <c r="A677" s="1" t="n"/>
      <c r="B677" s="6" t="n"/>
      <c r="C677" s="13" t="n"/>
      <c r="D677" s="1" t="n"/>
      <c r="E677" s="14" t="n"/>
      <c r="F677" s="14"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31.5" customHeight="1" s="12">
      <c r="A678" s="1" t="n"/>
      <c r="B678" s="6" t="n"/>
      <c r="C678" s="13" t="n"/>
      <c r="D678" s="1" t="n"/>
      <c r="E678" s="14" t="n"/>
      <c r="F678" s="14"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31.5" customHeight="1" s="12">
      <c r="A679" s="1" t="n"/>
      <c r="B679" s="6" t="n"/>
      <c r="C679" s="13" t="n"/>
      <c r="D679" s="1" t="n"/>
      <c r="E679" s="14" t="n"/>
      <c r="F679" s="14"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31.5" customHeight="1" s="12">
      <c r="A680" s="1" t="n"/>
      <c r="B680" s="6" t="n"/>
      <c r="C680" s="13" t="n"/>
      <c r="D680" s="1" t="n"/>
      <c r="E680" s="14" t="n"/>
      <c r="F680" s="14"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31.5" customHeight="1" s="12">
      <c r="A681" s="1" t="n"/>
      <c r="B681" s="6" t="n"/>
      <c r="C681" s="13" t="n"/>
      <c r="D681" s="1" t="n"/>
      <c r="E681" s="14" t="n"/>
      <c r="F681" s="14"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31.5" customHeight="1" s="12">
      <c r="A682" s="1" t="n"/>
      <c r="B682" s="6" t="n"/>
      <c r="C682" s="13" t="n"/>
      <c r="D682" s="1" t="n"/>
      <c r="E682" s="14" t="n"/>
      <c r="F682" s="14"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31.5" customHeight="1" s="12">
      <c r="A683" s="1" t="n"/>
      <c r="B683" s="6" t="n"/>
      <c r="C683" s="13" t="n"/>
      <c r="D683" s="1" t="n"/>
      <c r="E683" s="14" t="n"/>
      <c r="F683" s="14"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31.5" customHeight="1" s="12">
      <c r="A684" s="1" t="n"/>
      <c r="B684" s="6" t="n"/>
      <c r="C684" s="13" t="n"/>
      <c r="D684" s="1" t="n"/>
      <c r="E684" s="14" t="n"/>
      <c r="F684" s="14"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31.5" customHeight="1" s="12">
      <c r="A685" s="1" t="n"/>
      <c r="B685" s="6" t="n"/>
      <c r="C685" s="13" t="n"/>
      <c r="D685" s="1" t="n"/>
      <c r="E685" s="14" t="n"/>
      <c r="F685" s="14"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31.5" customHeight="1" s="12">
      <c r="A686" s="1" t="n"/>
      <c r="B686" s="6" t="n"/>
      <c r="C686" s="13" t="n"/>
      <c r="D686" s="1" t="n"/>
      <c r="E686" s="14" t="n"/>
      <c r="F686" s="14"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31.5" customHeight="1" s="12">
      <c r="A687" s="1" t="n"/>
      <c r="B687" s="6" t="n"/>
      <c r="C687" s="13" t="n"/>
      <c r="D687" s="1" t="n"/>
      <c r="E687" s="14" t="n"/>
      <c r="F687" s="14"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31.5" customHeight="1" s="12">
      <c r="A688" s="1" t="n"/>
      <c r="B688" s="6" t="n"/>
      <c r="C688" s="13" t="n"/>
      <c r="D688" s="1" t="n"/>
      <c r="E688" s="14" t="n"/>
      <c r="F688" s="14"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31.5" customHeight="1" s="12">
      <c r="A689" s="1" t="n"/>
      <c r="B689" s="6" t="n"/>
      <c r="C689" s="13" t="n"/>
      <c r="D689" s="1" t="n"/>
      <c r="E689" s="14" t="n"/>
      <c r="F689" s="14"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31.5" customHeight="1" s="12">
      <c r="A690" s="1" t="n"/>
      <c r="B690" s="6" t="n"/>
      <c r="C690" s="13" t="n"/>
      <c r="D690" s="1" t="n"/>
      <c r="E690" s="14" t="n"/>
      <c r="F690" s="14"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31.5" customHeight="1" s="12">
      <c r="A691" s="1" t="n"/>
      <c r="B691" s="6" t="n"/>
      <c r="C691" s="13" t="n"/>
      <c r="D691" s="1" t="n"/>
      <c r="E691" s="14" t="n"/>
      <c r="F691" s="14"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31.5" customHeight="1" s="12">
      <c r="A692" s="1" t="n"/>
      <c r="B692" s="6" t="n"/>
      <c r="C692" s="13" t="n"/>
      <c r="D692" s="1" t="n"/>
      <c r="E692" s="14" t="n"/>
      <c r="F692" s="14"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31.5" customHeight="1" s="12">
      <c r="A693" s="1" t="n"/>
      <c r="B693" s="6" t="n"/>
      <c r="C693" s="13" t="n"/>
      <c r="D693" s="1" t="n"/>
      <c r="E693" s="14" t="n"/>
      <c r="F693" s="14"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31.5" customHeight="1" s="12">
      <c r="A694" s="1" t="n"/>
      <c r="B694" s="6" t="n"/>
      <c r="C694" s="13" t="n"/>
      <c r="D694" s="1" t="n"/>
      <c r="E694" s="14" t="n"/>
      <c r="F694" s="14"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31.5" customHeight="1" s="12">
      <c r="A695" s="1" t="n"/>
      <c r="B695" s="6" t="n"/>
      <c r="C695" s="13" t="n"/>
      <c r="D695" s="1" t="n"/>
      <c r="E695" s="14" t="n"/>
      <c r="F695" s="14"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31.5" customHeight="1" s="12">
      <c r="A696" s="1" t="n"/>
      <c r="B696" s="6" t="n"/>
      <c r="C696" s="13" t="n"/>
      <c r="D696" s="1" t="n"/>
      <c r="E696" s="14" t="n"/>
      <c r="F696" s="14"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31.5" customHeight="1" s="12">
      <c r="A697" s="1" t="n"/>
      <c r="B697" s="6" t="n"/>
      <c r="C697" s="13" t="n"/>
      <c r="D697" s="1" t="n"/>
      <c r="E697" s="14" t="n"/>
      <c r="F697" s="14"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31.5" customHeight="1" s="12">
      <c r="A698" s="1" t="n"/>
      <c r="B698" s="6" t="n"/>
      <c r="C698" s="13" t="n"/>
      <c r="D698" s="1" t="n"/>
      <c r="E698" s="14" t="n"/>
      <c r="F698" s="14"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31.5" customHeight="1" s="12">
      <c r="A699" s="1" t="n"/>
      <c r="B699" s="6" t="n"/>
      <c r="C699" s="13" t="n"/>
      <c r="D699" s="1" t="n"/>
      <c r="E699" s="14" t="n"/>
      <c r="F699" s="14"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31.5" customHeight="1" s="12">
      <c r="A700" s="1" t="n"/>
      <c r="B700" s="6" t="n"/>
      <c r="C700" s="13" t="n"/>
      <c r="D700" s="1" t="n"/>
      <c r="E700" s="14" t="n"/>
      <c r="F700" s="14"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31.5" customHeight="1" s="12">
      <c r="A701" s="1" t="n"/>
      <c r="B701" s="6" t="n"/>
      <c r="C701" s="13" t="n"/>
      <c r="D701" s="1" t="n"/>
      <c r="E701" s="14" t="n"/>
      <c r="F701" s="14"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31.5" customHeight="1" s="12">
      <c r="A702" s="1" t="n"/>
      <c r="B702" s="6" t="n"/>
      <c r="C702" s="13" t="n"/>
      <c r="D702" s="1" t="n"/>
      <c r="E702" s="14" t="n"/>
      <c r="F702" s="14"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31.5" customHeight="1" s="12">
      <c r="A703" s="1" t="n"/>
      <c r="B703" s="6" t="n"/>
      <c r="C703" s="13" t="n"/>
      <c r="D703" s="1" t="n"/>
      <c r="E703" s="14" t="n"/>
      <c r="F703" s="14"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31.5" customHeight="1" s="12">
      <c r="A704" s="1" t="n"/>
      <c r="B704" s="6" t="n"/>
      <c r="C704" s="13" t="n"/>
      <c r="D704" s="1" t="n"/>
      <c r="E704" s="14" t="n"/>
      <c r="F704" s="14"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31.5" customHeight="1" s="12">
      <c r="A705" s="1" t="n"/>
      <c r="B705" s="6" t="n"/>
      <c r="C705" s="13" t="n"/>
      <c r="D705" s="1" t="n"/>
      <c r="E705" s="14" t="n"/>
      <c r="F705" s="14"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31.5" customHeight="1" s="12">
      <c r="A706" s="1" t="n"/>
      <c r="B706" s="6" t="n"/>
      <c r="C706" s="13" t="n"/>
      <c r="D706" s="1" t="n"/>
      <c r="E706" s="14" t="n"/>
      <c r="F706" s="14"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31.5" customHeight="1" s="12">
      <c r="A707" s="1" t="n"/>
      <c r="B707" s="6" t="n"/>
      <c r="C707" s="13" t="n"/>
      <c r="D707" s="1" t="n"/>
      <c r="E707" s="14" t="n"/>
      <c r="F707" s="14"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31.5" customHeight="1" s="12">
      <c r="A708" s="1" t="n"/>
      <c r="B708" s="6" t="n"/>
      <c r="C708" s="13" t="n"/>
      <c r="D708" s="1" t="n"/>
      <c r="E708" s="14" t="n"/>
      <c r="F708" s="14"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31.5" customHeight="1" s="12">
      <c r="A709" s="1" t="n"/>
      <c r="B709" s="6" t="n"/>
      <c r="C709" s="13" t="n"/>
      <c r="D709" s="1" t="n"/>
      <c r="E709" s="14" t="n"/>
      <c r="F709" s="14"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31.5" customHeight="1" s="12">
      <c r="A710" s="1" t="n"/>
      <c r="B710" s="6" t="n"/>
      <c r="C710" s="13" t="n"/>
      <c r="D710" s="1" t="n"/>
      <c r="E710" s="14" t="n"/>
      <c r="F710" s="1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31.5" customHeight="1" s="12">
      <c r="A711" s="1" t="n"/>
      <c r="B711" s="6" t="n"/>
      <c r="C711" s="13" t="n"/>
      <c r="D711" s="1" t="n"/>
      <c r="E711" s="14" t="n"/>
      <c r="F711" s="1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31.5" customHeight="1" s="12">
      <c r="A712" s="1" t="n"/>
      <c r="B712" s="6" t="n"/>
      <c r="C712" s="13" t="n"/>
      <c r="D712" s="1" t="n"/>
      <c r="E712" s="14" t="n"/>
      <c r="F712" s="1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31.5" customHeight="1" s="12">
      <c r="A713" s="1" t="n"/>
      <c r="B713" s="6" t="n"/>
      <c r="C713" s="13" t="n"/>
      <c r="D713" s="1" t="n"/>
      <c r="E713" s="14" t="n"/>
      <c r="F713" s="14"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31.5" customHeight="1" s="12">
      <c r="A714" s="1" t="n"/>
      <c r="B714" s="6" t="n"/>
      <c r="C714" s="13" t="n"/>
      <c r="D714" s="1" t="n"/>
      <c r="E714" s="14" t="n"/>
      <c r="F714" s="14"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31.5" customHeight="1" s="12">
      <c r="A715" s="1" t="n"/>
      <c r="B715" s="6" t="n"/>
      <c r="C715" s="13" t="n"/>
      <c r="D715" s="1" t="n"/>
      <c r="E715" s="14" t="n"/>
      <c r="F715" s="14"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31.5" customHeight="1" s="12">
      <c r="A716" s="1" t="n"/>
      <c r="B716" s="6" t="n"/>
      <c r="C716" s="13" t="n"/>
      <c r="D716" s="1" t="n"/>
      <c r="E716" s="14" t="n"/>
      <c r="F716" s="14"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31.5" customHeight="1" s="12">
      <c r="A717" s="1" t="n"/>
      <c r="B717" s="6" t="n"/>
      <c r="C717" s="13" t="n"/>
      <c r="D717" s="1" t="n"/>
      <c r="E717" s="14" t="n"/>
      <c r="F717" s="1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31.5" customHeight="1" s="12">
      <c r="A718" s="1" t="n"/>
      <c r="B718" s="6" t="n"/>
      <c r="C718" s="13" t="n"/>
      <c r="D718" s="1" t="n"/>
      <c r="E718" s="14" t="n"/>
      <c r="F718" s="1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31.5" customHeight="1" s="12">
      <c r="A719" s="1" t="n"/>
      <c r="B719" s="6" t="n"/>
      <c r="C719" s="13" t="n"/>
      <c r="D719" s="1" t="n"/>
      <c r="E719" s="14" t="n"/>
      <c r="F719" s="14"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31.5" customHeight="1" s="12">
      <c r="A720" s="1" t="n"/>
      <c r="B720" s="6" t="n"/>
      <c r="C720" s="13" t="n"/>
      <c r="D720" s="1" t="n"/>
      <c r="E720" s="14" t="n"/>
      <c r="F720" s="14"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31.5" customHeight="1" s="12">
      <c r="A721" s="1" t="n"/>
      <c r="B721" s="6" t="n"/>
      <c r="C721" s="13" t="n"/>
      <c r="D721" s="1" t="n"/>
      <c r="E721" s="14" t="n"/>
      <c r="F721" s="14"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31.5" customHeight="1" s="12">
      <c r="A722" s="1" t="n"/>
      <c r="B722" s="6" t="n"/>
      <c r="C722" s="13" t="n"/>
      <c r="D722" s="1" t="n"/>
      <c r="E722" s="14" t="n"/>
      <c r="F722" s="14"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1.5" customHeight="1" s="12">
      <c r="A723" s="1" t="n"/>
      <c r="B723" s="6" t="n"/>
      <c r="C723" s="13" t="n"/>
      <c r="D723" s="1" t="n"/>
      <c r="E723" s="14" t="n"/>
      <c r="F723" s="14"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31.5" customHeight="1" s="12">
      <c r="A724" s="1" t="n"/>
      <c r="B724" s="6" t="n"/>
      <c r="C724" s="13" t="n"/>
      <c r="D724" s="1" t="n"/>
      <c r="E724" s="14" t="n"/>
      <c r="F724" s="14"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31.5" customHeight="1" s="12">
      <c r="A725" s="1" t="n"/>
      <c r="B725" s="6" t="n"/>
      <c r="C725" s="13" t="n"/>
      <c r="D725" s="1" t="n"/>
      <c r="E725" s="14" t="n"/>
      <c r="F725" s="14"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31.5" customHeight="1" s="12">
      <c r="A726" s="1" t="n"/>
      <c r="B726" s="6" t="n"/>
      <c r="C726" s="13" t="n"/>
      <c r="D726" s="1" t="n"/>
      <c r="E726" s="14" t="n"/>
      <c r="F726" s="14"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1.5" customHeight="1" s="12">
      <c r="A727" s="1" t="n"/>
      <c r="B727" s="6" t="n"/>
      <c r="C727" s="13" t="n"/>
      <c r="D727" s="1" t="n"/>
      <c r="E727" s="14" t="n"/>
      <c r="F727" s="14"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31.5" customHeight="1" s="12">
      <c r="A728" s="1" t="n"/>
      <c r="B728" s="6" t="n"/>
      <c r="C728" s="13" t="n"/>
      <c r="D728" s="1" t="n"/>
      <c r="E728" s="14" t="n"/>
      <c r="F728" s="14"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31.5" customHeight="1" s="12">
      <c r="A729" s="1" t="n"/>
      <c r="B729" s="6" t="n"/>
      <c r="C729" s="13" t="n"/>
      <c r="D729" s="1" t="n"/>
      <c r="E729" s="14" t="n"/>
      <c r="F729" s="14"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31.5" customHeight="1" s="12">
      <c r="A730" s="1" t="n"/>
      <c r="B730" s="6" t="n"/>
      <c r="C730" s="13" t="n"/>
      <c r="D730" s="1" t="n"/>
      <c r="E730" s="14" t="n"/>
      <c r="F730" s="14"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31.5" customHeight="1" s="12">
      <c r="A731" s="1" t="n"/>
      <c r="B731" s="6" t="n"/>
      <c r="C731" s="13" t="n"/>
      <c r="D731" s="1" t="n"/>
      <c r="E731" s="14" t="n"/>
      <c r="F731" s="14"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31.5" customHeight="1" s="12">
      <c r="A732" s="1" t="n"/>
      <c r="B732" s="6" t="n"/>
      <c r="C732" s="13" t="n"/>
      <c r="D732" s="1" t="n"/>
      <c r="E732" s="14" t="n"/>
      <c r="F732" s="14"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31.5" customHeight="1" s="12">
      <c r="A733" s="1" t="n"/>
      <c r="B733" s="6" t="n"/>
      <c r="C733" s="13" t="n"/>
      <c r="D733" s="1" t="n"/>
      <c r="E733" s="14" t="n"/>
      <c r="F733" s="14"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31.5" customHeight="1" s="12">
      <c r="A734" s="1" t="n"/>
      <c r="B734" s="6" t="n"/>
      <c r="C734" s="13" t="n"/>
      <c r="D734" s="1" t="n"/>
      <c r="E734" s="14" t="n"/>
      <c r="F734" s="14"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31.5" customHeight="1" s="12">
      <c r="A735" s="1" t="n"/>
      <c r="B735" s="6" t="n"/>
      <c r="C735" s="13" t="n"/>
      <c r="D735" s="1" t="n"/>
      <c r="E735" s="14" t="n"/>
      <c r="F735" s="14"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31.5" customHeight="1" s="12">
      <c r="A736" s="1" t="n"/>
      <c r="B736" s="6" t="n"/>
      <c r="C736" s="13" t="n"/>
      <c r="D736" s="1" t="n"/>
      <c r="E736" s="14" t="n"/>
      <c r="F736" s="14"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31.5" customHeight="1" s="12">
      <c r="A737" s="1" t="n"/>
      <c r="B737" s="6" t="n"/>
      <c r="C737" s="13" t="n"/>
      <c r="D737" s="1" t="n"/>
      <c r="E737" s="14" t="n"/>
      <c r="F737" s="14"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31.5" customHeight="1" s="12">
      <c r="A738" s="1" t="n"/>
      <c r="B738" s="6" t="n"/>
      <c r="C738" s="13" t="n"/>
      <c r="D738" s="1" t="n"/>
      <c r="E738" s="14" t="n"/>
      <c r="F738" s="14"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31.5" customHeight="1" s="12">
      <c r="A739" s="1" t="n"/>
      <c r="B739" s="6" t="n"/>
      <c r="C739" s="13" t="n"/>
      <c r="D739" s="1" t="n"/>
      <c r="E739" s="14" t="n"/>
      <c r="F739" s="14"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31.5" customHeight="1" s="12">
      <c r="A740" s="1" t="n"/>
      <c r="B740" s="6" t="n"/>
      <c r="C740" s="13" t="n"/>
      <c r="D740" s="1" t="n"/>
      <c r="E740" s="14" t="n"/>
      <c r="F740" s="14"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31.5" customHeight="1" s="12">
      <c r="A741" s="1" t="n"/>
      <c r="B741" s="6" t="n"/>
      <c r="C741" s="13" t="n"/>
      <c r="D741" s="1" t="n"/>
      <c r="E741" s="14" t="n"/>
      <c r="F741" s="14"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31.5" customHeight="1" s="12">
      <c r="A742" s="1" t="n"/>
      <c r="B742" s="6" t="n"/>
      <c r="C742" s="13" t="n"/>
      <c r="D742" s="1" t="n"/>
      <c r="E742" s="14" t="n"/>
      <c r="F742" s="14"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31.5" customHeight="1" s="12">
      <c r="A743" s="1" t="n"/>
      <c r="B743" s="6" t="n"/>
      <c r="C743" s="13" t="n"/>
      <c r="D743" s="1" t="n"/>
      <c r="E743" s="14" t="n"/>
      <c r="F743" s="14"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31.5" customHeight="1" s="12">
      <c r="A744" s="1" t="n"/>
      <c r="B744" s="6" t="n"/>
      <c r="C744" s="13" t="n"/>
      <c r="D744" s="1" t="n"/>
      <c r="E744" s="14" t="n"/>
      <c r="F744" s="14"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1.5" customHeight="1" s="12">
      <c r="A745" s="1" t="n"/>
      <c r="B745" s="6" t="n"/>
      <c r="C745" s="13" t="n"/>
      <c r="D745" s="1" t="n"/>
      <c r="E745" s="14" t="n"/>
      <c r="F745" s="14"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1.5" customHeight="1" s="12">
      <c r="A746" s="1" t="n"/>
      <c r="B746" s="6" t="n"/>
      <c r="C746" s="13" t="n"/>
      <c r="D746" s="1" t="n"/>
      <c r="E746" s="14" t="n"/>
      <c r="F746" s="14"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31.5" customHeight="1" s="12">
      <c r="A747" s="1" t="n"/>
      <c r="B747" s="6" t="n"/>
      <c r="C747" s="13" t="n"/>
      <c r="D747" s="1" t="n"/>
      <c r="E747" s="14" t="n"/>
      <c r="F747" s="14"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31.5" customHeight="1" s="12">
      <c r="A748" s="1" t="n"/>
      <c r="B748" s="6" t="n"/>
      <c r="C748" s="13" t="n"/>
      <c r="D748" s="1" t="n"/>
      <c r="E748" s="14" t="n"/>
      <c r="F748" s="14"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31.5" customHeight="1" s="12">
      <c r="A749" s="1" t="n"/>
      <c r="B749" s="6" t="n"/>
      <c r="C749" s="13" t="n"/>
      <c r="D749" s="1" t="n"/>
      <c r="E749" s="14" t="n"/>
      <c r="F749" s="14"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31.5" customHeight="1" s="12">
      <c r="A750" s="1" t="n"/>
      <c r="B750" s="6" t="n"/>
      <c r="C750" s="13" t="n"/>
      <c r="D750" s="1" t="n"/>
      <c r="E750" s="14" t="n"/>
      <c r="F750" s="14"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31.5" customHeight="1" s="12">
      <c r="A751" s="1" t="n"/>
      <c r="B751" s="6" t="n"/>
      <c r="C751" s="13" t="n"/>
      <c r="D751" s="1" t="n"/>
      <c r="E751" s="14" t="n"/>
      <c r="F751" s="14"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31.5" customHeight="1" s="12">
      <c r="A752" s="1" t="n"/>
      <c r="B752" s="6" t="n"/>
      <c r="C752" s="13" t="n"/>
      <c r="D752" s="1" t="n"/>
      <c r="E752" s="14" t="n"/>
      <c r="F752" s="14"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31.5" customHeight="1" s="12">
      <c r="A753" s="1" t="n"/>
      <c r="B753" s="6" t="n"/>
      <c r="C753" s="13" t="n"/>
      <c r="D753" s="1" t="n"/>
      <c r="E753" s="14" t="n"/>
      <c r="F753" s="14"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31.5" customHeight="1" s="12">
      <c r="A754" s="1" t="n"/>
      <c r="B754" s="6" t="n"/>
      <c r="C754" s="13" t="n"/>
      <c r="D754" s="1" t="n"/>
      <c r="E754" s="14" t="n"/>
      <c r="F754" s="14"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31.5" customHeight="1" s="12">
      <c r="A755" s="1" t="n"/>
      <c r="B755" s="6" t="n"/>
      <c r="C755" s="13" t="n"/>
      <c r="D755" s="1" t="n"/>
      <c r="E755" s="14" t="n"/>
      <c r="F755" s="14"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31.5" customHeight="1" s="12">
      <c r="A756" s="1" t="n"/>
      <c r="B756" s="6" t="n"/>
      <c r="C756" s="13" t="n"/>
      <c r="D756" s="1" t="n"/>
      <c r="E756" s="14" t="n"/>
      <c r="F756" s="14"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31.5" customHeight="1" s="12">
      <c r="A757" s="1" t="n"/>
      <c r="B757" s="6" t="n"/>
      <c r="C757" s="13" t="n"/>
      <c r="D757" s="1" t="n"/>
      <c r="E757" s="14" t="n"/>
      <c r="F757" s="14"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31.5" customHeight="1" s="12">
      <c r="A758" s="1" t="n"/>
      <c r="B758" s="6" t="n"/>
      <c r="C758" s="13" t="n"/>
      <c r="D758" s="1" t="n"/>
      <c r="E758" s="14" t="n"/>
      <c r="F758" s="14"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31.5" customHeight="1" s="12">
      <c r="A759" s="1" t="n"/>
      <c r="B759" s="6" t="n"/>
      <c r="C759" s="13" t="n"/>
      <c r="D759" s="1" t="n"/>
      <c r="E759" s="14" t="n"/>
      <c r="F759" s="14"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31.5" customHeight="1" s="12">
      <c r="A760" s="1" t="n"/>
      <c r="B760" s="6" t="n"/>
      <c r="C760" s="13" t="n"/>
      <c r="D760" s="1" t="n"/>
      <c r="E760" s="14" t="n"/>
      <c r="F760" s="14"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31.5" customHeight="1" s="12">
      <c r="A761" s="1" t="n"/>
      <c r="B761" s="6" t="n"/>
      <c r="C761" s="13" t="n"/>
      <c r="D761" s="1" t="n"/>
      <c r="E761" s="14" t="n"/>
      <c r="F761" s="14"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31.5" customHeight="1" s="12">
      <c r="A762" s="1" t="n"/>
      <c r="B762" s="6" t="n"/>
      <c r="C762" s="13" t="n"/>
      <c r="D762" s="1" t="n"/>
      <c r="E762" s="14" t="n"/>
      <c r="F762" s="14"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31.5" customHeight="1" s="12">
      <c r="A763" s="1" t="n"/>
      <c r="B763" s="6" t="n"/>
      <c r="C763" s="13" t="n"/>
      <c r="D763" s="1" t="n"/>
      <c r="E763" s="14" t="n"/>
      <c r="F763" s="14"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31.5" customHeight="1" s="12">
      <c r="A764" s="1" t="n"/>
      <c r="B764" s="6" t="n"/>
      <c r="C764" s="13" t="n"/>
      <c r="D764" s="1" t="n"/>
      <c r="E764" s="14" t="n"/>
      <c r="F764" s="14"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31.5" customHeight="1" s="12">
      <c r="A765" s="1" t="n"/>
      <c r="B765" s="6" t="n"/>
      <c r="C765" s="13" t="n"/>
      <c r="D765" s="1" t="n"/>
      <c r="E765" s="14" t="n"/>
      <c r="F765" s="14"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31.5" customHeight="1" s="12">
      <c r="A766" s="1" t="n"/>
      <c r="B766" s="6" t="n"/>
      <c r="C766" s="13" t="n"/>
      <c r="D766" s="1" t="n"/>
      <c r="E766" s="14" t="n"/>
      <c r="F766" s="14"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31.5" customHeight="1" s="12">
      <c r="A767" s="1" t="n"/>
      <c r="B767" s="6" t="n"/>
      <c r="C767" s="13" t="n"/>
      <c r="D767" s="1" t="n"/>
      <c r="E767" s="14" t="n"/>
      <c r="F767" s="14"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1.5" customHeight="1" s="12">
      <c r="A768" s="1" t="n"/>
      <c r="B768" s="6" t="n"/>
      <c r="C768" s="13" t="n"/>
      <c r="D768" s="1" t="n"/>
      <c r="E768" s="14" t="n"/>
      <c r="F768" s="14"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31.5" customHeight="1" s="12">
      <c r="A769" s="1" t="n"/>
      <c r="B769" s="6" t="n"/>
      <c r="C769" s="13" t="n"/>
      <c r="D769" s="1" t="n"/>
      <c r="E769" s="14" t="n"/>
      <c r="F769" s="14"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31.5" customHeight="1" s="12">
      <c r="A770" s="1" t="n"/>
      <c r="B770" s="6" t="n"/>
      <c r="C770" s="13" t="n"/>
      <c r="D770" s="1" t="n"/>
      <c r="E770" s="14" t="n"/>
      <c r="F770" s="14"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31.5" customHeight="1" s="12">
      <c r="A771" s="1" t="n"/>
      <c r="B771" s="6" t="n"/>
      <c r="C771" s="13" t="n"/>
      <c r="D771" s="1" t="n"/>
      <c r="E771" s="14" t="n"/>
      <c r="F771" s="14"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31.5" customHeight="1" s="12">
      <c r="A772" s="1" t="n"/>
      <c r="B772" s="6" t="n"/>
      <c r="C772" s="13" t="n"/>
      <c r="D772" s="1" t="n"/>
      <c r="E772" s="14" t="n"/>
      <c r="F772" s="14"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31.5" customHeight="1" s="12">
      <c r="A773" s="1" t="n"/>
      <c r="B773" s="6" t="n"/>
      <c r="C773" s="13" t="n"/>
      <c r="D773" s="1" t="n"/>
      <c r="E773" s="14" t="n"/>
      <c r="F773" s="14"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31.5" customHeight="1" s="12">
      <c r="A774" s="1" t="n"/>
      <c r="B774" s="6" t="n"/>
      <c r="C774" s="13" t="n"/>
      <c r="D774" s="1" t="n"/>
      <c r="E774" s="14" t="n"/>
      <c r="F774" s="14"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31.5" customHeight="1" s="12">
      <c r="A775" s="1" t="n"/>
      <c r="B775" s="6" t="n"/>
      <c r="C775" s="13" t="n"/>
      <c r="D775" s="1" t="n"/>
      <c r="E775" s="14" t="n"/>
      <c r="F775" s="14"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31.5" customHeight="1" s="12">
      <c r="A776" s="1" t="n"/>
      <c r="B776" s="6" t="n"/>
      <c r="C776" s="13" t="n"/>
      <c r="D776" s="1" t="n"/>
      <c r="E776" s="14" t="n"/>
      <c r="F776" s="14"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31.5" customHeight="1" s="12">
      <c r="A777" s="1" t="n"/>
      <c r="B777" s="6" t="n"/>
      <c r="C777" s="13" t="n"/>
      <c r="D777" s="1" t="n"/>
      <c r="E777" s="14" t="n"/>
      <c r="F777" s="14"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31.5" customHeight="1" s="12">
      <c r="A778" s="1" t="n"/>
      <c r="B778" s="6" t="n"/>
      <c r="C778" s="13" t="n"/>
      <c r="D778" s="1" t="n"/>
      <c r="E778" s="14" t="n"/>
      <c r="F778" s="14"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31.5" customHeight="1" s="12">
      <c r="A779" s="1" t="n"/>
      <c r="B779" s="6" t="n"/>
      <c r="C779" s="13" t="n"/>
      <c r="D779" s="1" t="n"/>
      <c r="E779" s="14" t="n"/>
      <c r="F779" s="14"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31.5" customHeight="1" s="12">
      <c r="A780" s="1" t="n"/>
      <c r="B780" s="6" t="n"/>
      <c r="C780" s="13" t="n"/>
      <c r="D780" s="1" t="n"/>
      <c r="E780" s="14" t="n"/>
      <c r="F780" s="14"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31.5" customHeight="1" s="12">
      <c r="A781" s="1" t="n"/>
      <c r="B781" s="6" t="n"/>
      <c r="C781" s="13" t="n"/>
      <c r="D781" s="1" t="n"/>
      <c r="E781" s="14" t="n"/>
      <c r="F781" s="14"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31.5" customHeight="1" s="12">
      <c r="A782" s="1" t="n"/>
      <c r="B782" s="6" t="n"/>
      <c r="C782" s="13" t="n"/>
      <c r="D782" s="1" t="n"/>
      <c r="E782" s="14" t="n"/>
      <c r="F782" s="14"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31.5" customHeight="1" s="12">
      <c r="A783" s="1" t="n"/>
      <c r="B783" s="6" t="n"/>
      <c r="C783" s="13" t="n"/>
      <c r="D783" s="1" t="n"/>
      <c r="E783" s="14" t="n"/>
      <c r="F783" s="14"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31.5" customHeight="1" s="12">
      <c r="A784" s="1" t="n"/>
      <c r="B784" s="6" t="n"/>
      <c r="C784" s="13" t="n"/>
      <c r="D784" s="1" t="n"/>
      <c r="E784" s="14" t="n"/>
      <c r="F784" s="14"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31.5" customHeight="1" s="12">
      <c r="A785" s="1" t="n"/>
      <c r="B785" s="6" t="n"/>
      <c r="C785" s="13" t="n"/>
      <c r="D785" s="1" t="n"/>
      <c r="E785" s="14" t="n"/>
      <c r="F785" s="14"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31.5" customHeight="1" s="12">
      <c r="A786" s="1" t="n"/>
      <c r="B786" s="6" t="n"/>
      <c r="C786" s="13" t="n"/>
      <c r="D786" s="1" t="n"/>
      <c r="E786" s="14" t="n"/>
      <c r="F786" s="14"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31.5" customHeight="1" s="12">
      <c r="A787" s="1" t="n"/>
      <c r="B787" s="6" t="n"/>
      <c r="C787" s="13" t="n"/>
      <c r="D787" s="1" t="n"/>
      <c r="E787" s="14" t="n"/>
      <c r="F787" s="14"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31.5" customHeight="1" s="12">
      <c r="A788" s="1" t="n"/>
      <c r="B788" s="6" t="n"/>
      <c r="C788" s="13" t="n"/>
      <c r="D788" s="1" t="n"/>
      <c r="E788" s="14" t="n"/>
      <c r="F788" s="14"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31.5" customHeight="1" s="12">
      <c r="A789" s="1" t="n"/>
      <c r="B789" s="6" t="n"/>
      <c r="C789" s="13" t="n"/>
      <c r="D789" s="1" t="n"/>
      <c r="E789" s="14" t="n"/>
      <c r="F789" s="14"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31.5" customHeight="1" s="12">
      <c r="A790" s="1" t="n"/>
      <c r="B790" s="6" t="n"/>
      <c r="C790" s="13" t="n"/>
      <c r="D790" s="1" t="n"/>
      <c r="E790" s="14" t="n"/>
      <c r="F790" s="14"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31.5" customHeight="1" s="12">
      <c r="A791" s="1" t="n"/>
      <c r="B791" s="6" t="n"/>
      <c r="C791" s="13" t="n"/>
      <c r="D791" s="1" t="n"/>
      <c r="E791" s="14" t="n"/>
      <c r="F791" s="14"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31.5" customHeight="1" s="12">
      <c r="A792" s="1" t="n"/>
      <c r="B792" s="6" t="n"/>
      <c r="C792" s="13" t="n"/>
      <c r="D792" s="1" t="n"/>
      <c r="E792" s="14" t="n"/>
      <c r="F792" s="14"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31.5" customHeight="1" s="12">
      <c r="A793" s="1" t="n"/>
      <c r="B793" s="6" t="n"/>
      <c r="C793" s="13" t="n"/>
      <c r="D793" s="1" t="n"/>
      <c r="E793" s="14" t="n"/>
      <c r="F793" s="14"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31.5" customHeight="1" s="12">
      <c r="A794" s="1" t="n"/>
      <c r="B794" s="6" t="n"/>
      <c r="C794" s="13" t="n"/>
      <c r="D794" s="1" t="n"/>
      <c r="E794" s="14" t="n"/>
      <c r="F794" s="14"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31.5" customHeight="1" s="12">
      <c r="A795" s="1" t="n"/>
      <c r="B795" s="6" t="n"/>
      <c r="C795" s="13" t="n"/>
      <c r="D795" s="1" t="n"/>
      <c r="E795" s="14" t="n"/>
      <c r="F795" s="14"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31.5" customHeight="1" s="12">
      <c r="A796" s="1" t="n"/>
      <c r="B796" s="6" t="n"/>
      <c r="C796" s="13" t="n"/>
      <c r="D796" s="1" t="n"/>
      <c r="E796" s="14" t="n"/>
      <c r="F796" s="14"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31.5" customHeight="1" s="12">
      <c r="A797" s="1" t="n"/>
      <c r="B797" s="6" t="n"/>
      <c r="C797" s="13" t="n"/>
      <c r="D797" s="1" t="n"/>
      <c r="E797" s="14" t="n"/>
      <c r="F797" s="14"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31.5" customHeight="1" s="12">
      <c r="A798" s="1" t="n"/>
      <c r="B798" s="6" t="n"/>
      <c r="C798" s="13" t="n"/>
      <c r="D798" s="1" t="n"/>
      <c r="E798" s="14" t="n"/>
      <c r="F798" s="14"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1.5" customHeight="1" s="12">
      <c r="A799" s="1" t="n"/>
      <c r="B799" s="6" t="n"/>
      <c r="C799" s="13" t="n"/>
      <c r="D799" s="1" t="n"/>
      <c r="E799" s="14" t="n"/>
      <c r="F799" s="14"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1.5" customHeight="1" s="12">
      <c r="A800" s="1" t="n"/>
      <c r="B800" s="6" t="n"/>
      <c r="C800" s="13" t="n"/>
      <c r="D800" s="1" t="n"/>
      <c r="E800" s="14" t="n"/>
      <c r="F800" s="14"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1.5" customHeight="1" s="12">
      <c r="A801" s="1" t="n"/>
      <c r="B801" s="6" t="n"/>
      <c r="C801" s="13" t="n"/>
      <c r="D801" s="1" t="n"/>
      <c r="E801" s="14" t="n"/>
      <c r="F801" s="14"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1.5" customHeight="1" s="12">
      <c r="A802" s="1" t="n"/>
      <c r="B802" s="6" t="n"/>
      <c r="C802" s="13" t="n"/>
      <c r="D802" s="1" t="n"/>
      <c r="E802" s="14" t="n"/>
      <c r="F802" s="14"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1.5" customHeight="1" s="12">
      <c r="A803" s="1" t="n"/>
      <c r="B803" s="6" t="n"/>
      <c r="C803" s="13" t="n"/>
      <c r="D803" s="1" t="n"/>
      <c r="E803" s="14" t="n"/>
      <c r="F803" s="14"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1.5" customHeight="1" s="12">
      <c r="A804" s="1" t="n"/>
      <c r="B804" s="6" t="n"/>
      <c r="C804" s="13" t="n"/>
      <c r="D804" s="1" t="n"/>
      <c r="E804" s="14" t="n"/>
      <c r="F804" s="14"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1.5" customHeight="1" s="12">
      <c r="A805" s="1" t="n"/>
      <c r="B805" s="6" t="n"/>
      <c r="C805" s="13" t="n"/>
      <c r="D805" s="1" t="n"/>
      <c r="E805" s="14" t="n"/>
      <c r="F805" s="14"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1.5" customHeight="1" s="12">
      <c r="A806" s="1" t="n"/>
      <c r="B806" s="6" t="n"/>
      <c r="C806" s="13" t="n"/>
      <c r="D806" s="1" t="n"/>
      <c r="E806" s="14" t="n"/>
      <c r="F806" s="14"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31.5" customHeight="1" s="12">
      <c r="A807" s="1" t="n"/>
      <c r="B807" s="6" t="n"/>
      <c r="C807" s="13" t="n"/>
      <c r="D807" s="1" t="n"/>
      <c r="E807" s="14" t="n"/>
      <c r="F807" s="14"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31.5" customHeight="1" s="12">
      <c r="A808" s="1" t="n"/>
      <c r="B808" s="6" t="n"/>
      <c r="C808" s="13" t="n"/>
      <c r="D808" s="1" t="n"/>
      <c r="E808" s="14" t="n"/>
      <c r="F808" s="14"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31.5" customHeight="1" s="12">
      <c r="A809" s="1" t="n"/>
      <c r="B809" s="6" t="n"/>
      <c r="C809" s="13" t="n"/>
      <c r="D809" s="1" t="n"/>
      <c r="E809" s="14" t="n"/>
      <c r="F809" s="14"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31.5" customHeight="1" s="12">
      <c r="A810" s="1" t="n"/>
      <c r="B810" s="6" t="n"/>
      <c r="C810" s="13" t="n"/>
      <c r="D810" s="1" t="n"/>
      <c r="E810" s="14" t="n"/>
      <c r="F810" s="14"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31.5" customHeight="1" s="12">
      <c r="A811" s="1" t="n"/>
      <c r="B811" s="6" t="n"/>
      <c r="C811" s="13" t="n"/>
      <c r="D811" s="1" t="n"/>
      <c r="E811" s="14" t="n"/>
      <c r="F811" s="14"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31.5" customHeight="1" s="12">
      <c r="A812" s="1" t="n"/>
      <c r="B812" s="6" t="n"/>
      <c r="C812" s="13" t="n"/>
      <c r="D812" s="1" t="n"/>
      <c r="E812" s="14" t="n"/>
      <c r="F812" s="14"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31.5" customHeight="1" s="12">
      <c r="A813" s="1" t="n"/>
      <c r="B813" s="6" t="n"/>
      <c r="C813" s="13" t="n"/>
      <c r="D813" s="1" t="n"/>
      <c r="E813" s="14" t="n"/>
      <c r="F813" s="14"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31.5" customHeight="1" s="12">
      <c r="A814" s="1" t="n"/>
      <c r="B814" s="6" t="n"/>
      <c r="C814" s="13" t="n"/>
      <c r="D814" s="1" t="n"/>
      <c r="E814" s="14" t="n"/>
      <c r="F814" s="14"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31.5" customHeight="1" s="12">
      <c r="A815" s="1" t="n"/>
      <c r="B815" s="6" t="n"/>
      <c r="C815" s="13" t="n"/>
      <c r="D815" s="1" t="n"/>
      <c r="E815" s="14" t="n"/>
      <c r="F815" s="14"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31.5" customHeight="1" s="12">
      <c r="A816" s="1" t="n"/>
      <c r="B816" s="6" t="n"/>
      <c r="C816" s="13" t="n"/>
      <c r="D816" s="1" t="n"/>
      <c r="E816" s="14" t="n"/>
      <c r="F816" s="14"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31.5" customHeight="1" s="12">
      <c r="A817" s="1" t="n"/>
      <c r="B817" s="6" t="n"/>
      <c r="C817" s="13" t="n"/>
      <c r="D817" s="1" t="n"/>
      <c r="E817" s="14" t="n"/>
      <c r="F817" s="14"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31.5" customHeight="1" s="12">
      <c r="A818" s="1" t="n"/>
      <c r="B818" s="6" t="n"/>
      <c r="C818" s="13" t="n"/>
      <c r="D818" s="1" t="n"/>
      <c r="E818" s="14" t="n"/>
      <c r="F818" s="14"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31.5" customHeight="1" s="12">
      <c r="A819" s="1" t="n"/>
      <c r="B819" s="6" t="n"/>
      <c r="C819" s="13" t="n"/>
      <c r="D819" s="1" t="n"/>
      <c r="E819" s="14" t="n"/>
      <c r="F819" s="14"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31.5" customHeight="1" s="12">
      <c r="A820" s="1" t="n"/>
      <c r="B820" s="6" t="n"/>
      <c r="C820" s="13" t="n"/>
      <c r="D820" s="1" t="n"/>
      <c r="E820" s="14" t="n"/>
      <c r="F820" s="14"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31.5" customHeight="1" s="12">
      <c r="A821" s="1" t="n"/>
      <c r="B821" s="6" t="n"/>
      <c r="C821" s="13" t="n"/>
      <c r="D821" s="1" t="n"/>
      <c r="E821" s="14" t="n"/>
      <c r="F821" s="14"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31.5" customHeight="1" s="12">
      <c r="A822" s="1" t="n"/>
      <c r="B822" s="6" t="n"/>
      <c r="C822" s="13" t="n"/>
      <c r="D822" s="1" t="n"/>
      <c r="E822" s="14" t="n"/>
      <c r="F822" s="14"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31.5" customHeight="1" s="12">
      <c r="A823" s="1" t="n"/>
      <c r="B823" s="6" t="n"/>
      <c r="C823" s="13" t="n"/>
      <c r="D823" s="1" t="n"/>
      <c r="E823" s="14" t="n"/>
      <c r="F823" s="14"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31.5" customHeight="1" s="12">
      <c r="A824" s="1" t="n"/>
      <c r="B824" s="6" t="n"/>
      <c r="C824" s="13" t="n"/>
      <c r="D824" s="1" t="n"/>
      <c r="E824" s="14" t="n"/>
      <c r="F824" s="14"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31.5" customHeight="1" s="12">
      <c r="A825" s="1" t="n"/>
      <c r="B825" s="6" t="n"/>
      <c r="C825" s="13" t="n"/>
      <c r="D825" s="1" t="n"/>
      <c r="E825" s="14" t="n"/>
      <c r="F825" s="1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31.5" customHeight="1" s="12">
      <c r="A826" s="1" t="n"/>
      <c r="B826" s="6" t="n"/>
      <c r="C826" s="13" t="n"/>
      <c r="D826" s="1" t="n"/>
      <c r="E826" s="14" t="n"/>
      <c r="F826" s="1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31.5" customHeight="1" s="12">
      <c r="A827" s="1" t="n"/>
      <c r="B827" s="6" t="n"/>
      <c r="C827" s="13" t="n"/>
      <c r="D827" s="1" t="n"/>
      <c r="E827" s="14" t="n"/>
      <c r="F827" s="1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31.5" customHeight="1" s="12">
      <c r="A828" s="1" t="n"/>
      <c r="B828" s="6" t="n"/>
      <c r="C828" s="13" t="n"/>
      <c r="D828" s="1" t="n"/>
      <c r="E828" s="14" t="n"/>
      <c r="F828" s="1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31.5" customHeight="1" s="12">
      <c r="A829" s="1" t="n"/>
      <c r="B829" s="6" t="n"/>
      <c r="C829" s="13" t="n"/>
      <c r="D829" s="1" t="n"/>
      <c r="E829" s="14" t="n"/>
      <c r="F829" s="1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31.5" customHeight="1" s="12">
      <c r="A830" s="1" t="n"/>
      <c r="B830" s="6" t="n"/>
      <c r="C830" s="13" t="n"/>
      <c r="D830" s="1" t="n"/>
      <c r="E830" s="14" t="n"/>
      <c r="F830" s="14"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31.5" customHeight="1" s="12">
      <c r="A831" s="1" t="n"/>
      <c r="B831" s="6" t="n"/>
      <c r="C831" s="13" t="n"/>
      <c r="D831" s="1" t="n"/>
      <c r="E831" s="14" t="n"/>
      <c r="F831" s="14"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31.5" customHeight="1" s="12">
      <c r="A832" s="1" t="n"/>
      <c r="B832" s="6" t="n"/>
      <c r="C832" s="13" t="n"/>
      <c r="D832" s="1" t="n"/>
      <c r="E832" s="14" t="n"/>
      <c r="F832" s="14"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31.5" customHeight="1" s="12">
      <c r="A833" s="1" t="n"/>
      <c r="B833" s="6" t="n"/>
      <c r="C833" s="13" t="n"/>
      <c r="D833" s="1" t="n"/>
      <c r="E833" s="14" t="n"/>
      <c r="F833" s="14"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31.5" customHeight="1" s="12">
      <c r="A834" s="1" t="n"/>
      <c r="B834" s="6" t="n"/>
      <c r="C834" s="13" t="n"/>
      <c r="D834" s="1" t="n"/>
      <c r="E834" s="14" t="n"/>
      <c r="F834" s="14"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31.5" customHeight="1" s="12">
      <c r="A835" s="1" t="n"/>
      <c r="B835" s="6" t="n"/>
      <c r="C835" s="13" t="n"/>
      <c r="D835" s="1" t="n"/>
      <c r="E835" s="14" t="n"/>
      <c r="F835" s="14"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31.5" customHeight="1" s="12">
      <c r="A836" s="1" t="n"/>
      <c r="B836" s="6" t="n"/>
      <c r="C836" s="13" t="n"/>
      <c r="D836" s="1" t="n"/>
      <c r="E836" s="14" t="n"/>
      <c r="F836" s="14"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31.5" customHeight="1" s="12">
      <c r="A837" s="1" t="n"/>
      <c r="B837" s="6" t="n"/>
      <c r="C837" s="13" t="n"/>
      <c r="D837" s="1" t="n"/>
      <c r="E837" s="14" t="n"/>
      <c r="F837" s="14"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31.5" customHeight="1" s="12">
      <c r="A838" s="1" t="n"/>
      <c r="B838" s="6" t="n"/>
      <c r="C838" s="13" t="n"/>
      <c r="D838" s="1" t="n"/>
      <c r="E838" s="14" t="n"/>
      <c r="F838" s="14"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31.5" customHeight="1" s="12">
      <c r="A839" s="1" t="n"/>
      <c r="B839" s="6" t="n"/>
      <c r="C839" s="13" t="n"/>
      <c r="D839" s="1" t="n"/>
      <c r="E839" s="14" t="n"/>
      <c r="F839" s="14"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31.5" customHeight="1" s="12">
      <c r="A840" s="1" t="n"/>
      <c r="B840" s="6" t="n"/>
      <c r="C840" s="13" t="n"/>
      <c r="D840" s="1" t="n"/>
      <c r="E840" s="14" t="n"/>
      <c r="F840" s="14"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31.5" customHeight="1" s="12">
      <c r="A841" s="1" t="n"/>
      <c r="B841" s="6" t="n"/>
      <c r="C841" s="13" t="n"/>
      <c r="D841" s="1" t="n"/>
      <c r="E841" s="14" t="n"/>
      <c r="F841" s="14"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31.5" customHeight="1" s="12">
      <c r="A842" s="1" t="n"/>
      <c r="B842" s="6" t="n"/>
      <c r="C842" s="13" t="n"/>
      <c r="D842" s="1" t="n"/>
      <c r="E842" s="14" t="n"/>
      <c r="F842" s="14"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1.5" customHeight="1" s="12">
      <c r="A843" s="1" t="n"/>
      <c r="B843" s="6" t="n"/>
      <c r="C843" s="13" t="n"/>
      <c r="D843" s="1" t="n"/>
      <c r="E843" s="14" t="n"/>
      <c r="F843" s="14"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31.5" customHeight="1" s="12">
      <c r="A844" s="1" t="n"/>
      <c r="B844" s="6" t="n"/>
      <c r="C844" s="13" t="n"/>
      <c r="D844" s="1" t="n"/>
      <c r="E844" s="14" t="n"/>
      <c r="F844" s="14"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31.5" customHeight="1" s="12">
      <c r="A845" s="1" t="n"/>
      <c r="B845" s="6" t="n"/>
      <c r="C845" s="13" t="n"/>
      <c r="D845" s="1" t="n"/>
      <c r="E845" s="14" t="n"/>
      <c r="F845" s="14"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31.5" customHeight="1" s="12">
      <c r="A846" s="1" t="n"/>
      <c r="B846" s="6" t="n"/>
      <c r="C846" s="13" t="n"/>
      <c r="D846" s="1" t="n"/>
      <c r="E846" s="14" t="n"/>
      <c r="F846" s="14"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31.5" customHeight="1" s="12">
      <c r="A847" s="1" t="n"/>
      <c r="B847" s="6" t="n"/>
      <c r="C847" s="13" t="n"/>
      <c r="D847" s="1" t="n"/>
      <c r="E847" s="14" t="n"/>
      <c r="F847" s="14"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31.5" customHeight="1" s="12">
      <c r="A848" s="1" t="n"/>
      <c r="B848" s="6" t="n"/>
      <c r="C848" s="13" t="n"/>
      <c r="D848" s="1" t="n"/>
      <c r="E848" s="14" t="n"/>
      <c r="F848" s="14"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31.5" customHeight="1" s="12">
      <c r="A849" s="1" t="n"/>
      <c r="B849" s="6" t="n"/>
      <c r="C849" s="13" t="n"/>
      <c r="D849" s="1" t="n"/>
      <c r="E849" s="14" t="n"/>
      <c r="F849" s="14"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31.5" customHeight="1" s="12">
      <c r="A850" s="1" t="n"/>
      <c r="B850" s="6" t="n"/>
      <c r="C850" s="13" t="n"/>
      <c r="D850" s="1" t="n"/>
      <c r="E850" s="14" t="n"/>
      <c r="F850" s="14"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31.5" customHeight="1" s="12">
      <c r="A851" s="1" t="n"/>
      <c r="B851" s="6" t="n"/>
      <c r="C851" s="13" t="n"/>
      <c r="D851" s="1" t="n"/>
      <c r="E851" s="14" t="n"/>
      <c r="F851" s="14"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31.5" customHeight="1" s="12">
      <c r="A852" s="1" t="n"/>
      <c r="B852" s="6" t="n"/>
      <c r="C852" s="13" t="n"/>
      <c r="D852" s="1" t="n"/>
      <c r="E852" s="14" t="n"/>
      <c r="F852" s="14"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31.5" customHeight="1" s="12">
      <c r="A853" s="1" t="n"/>
      <c r="B853" s="6" t="n"/>
      <c r="C853" s="13" t="n"/>
      <c r="D853" s="1" t="n"/>
      <c r="E853" s="14" t="n"/>
      <c r="F853" s="14"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31.5" customHeight="1" s="12">
      <c r="A854" s="1" t="n"/>
      <c r="B854" s="6" t="n"/>
      <c r="C854" s="13" t="n"/>
      <c r="D854" s="1" t="n"/>
      <c r="E854" s="14" t="n"/>
      <c r="F854" s="14"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31.5" customHeight="1" s="12">
      <c r="A855" s="1" t="n"/>
      <c r="B855" s="6" t="n"/>
      <c r="C855" s="13" t="n"/>
      <c r="D855" s="1" t="n"/>
      <c r="E855" s="14" t="n"/>
      <c r="F855" s="14"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31.5" customHeight="1" s="12">
      <c r="A856" s="1" t="n"/>
      <c r="B856" s="6" t="n"/>
      <c r="C856" s="13" t="n"/>
      <c r="D856" s="1" t="n"/>
      <c r="E856" s="14" t="n"/>
      <c r="F856" s="14"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31.5" customHeight="1" s="12">
      <c r="A857" s="1" t="n"/>
      <c r="B857" s="6" t="n"/>
      <c r="C857" s="13" t="n"/>
      <c r="D857" s="1" t="n"/>
      <c r="E857" s="14" t="n"/>
      <c r="F857" s="14"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31.5" customHeight="1" s="12">
      <c r="A858" s="1" t="n"/>
      <c r="B858" s="6" t="n"/>
      <c r="C858" s="13" t="n"/>
      <c r="D858" s="1" t="n"/>
      <c r="E858" s="14" t="n"/>
      <c r="F858" s="14"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31.5" customHeight="1" s="12">
      <c r="A859" s="1" t="n"/>
      <c r="B859" s="6" t="n"/>
      <c r="C859" s="13" t="n"/>
      <c r="D859" s="1" t="n"/>
      <c r="E859" s="14" t="n"/>
      <c r="F859" s="14"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31.5" customHeight="1" s="12">
      <c r="A860" s="1" t="n"/>
      <c r="B860" s="6" t="n"/>
      <c r="C860" s="13" t="n"/>
      <c r="D860" s="1" t="n"/>
      <c r="E860" s="14" t="n"/>
      <c r="F860" s="14"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31.5" customHeight="1" s="12">
      <c r="A861" s="1" t="n"/>
      <c r="B861" s="6" t="n"/>
      <c r="C861" s="13" t="n"/>
      <c r="D861" s="1" t="n"/>
      <c r="E861" s="14" t="n"/>
      <c r="F861" s="14"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31.5" customHeight="1" s="12">
      <c r="A862" s="1" t="n"/>
      <c r="B862" s="6" t="n"/>
      <c r="C862" s="13" t="n"/>
      <c r="D862" s="1" t="n"/>
      <c r="E862" s="14" t="n"/>
      <c r="F862" s="14"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31.5" customHeight="1" s="12">
      <c r="A863" s="1" t="n"/>
      <c r="B863" s="6" t="n"/>
      <c r="C863" s="13" t="n"/>
      <c r="D863" s="1" t="n"/>
      <c r="E863" s="14" t="n"/>
      <c r="F863" s="14"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31.5" customHeight="1" s="12">
      <c r="A864" s="1" t="n"/>
      <c r="B864" s="6" t="n"/>
      <c r="C864" s="13" t="n"/>
      <c r="D864" s="1" t="n"/>
      <c r="E864" s="14" t="n"/>
      <c r="F864" s="14"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31.5" customHeight="1" s="12">
      <c r="A865" s="1" t="n"/>
      <c r="B865" s="6" t="n"/>
      <c r="C865" s="13" t="n"/>
      <c r="D865" s="1" t="n"/>
      <c r="E865" s="14" t="n"/>
      <c r="F865" s="14"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31.5" customHeight="1" s="12">
      <c r="A866" s="1" t="n"/>
      <c r="B866" s="6" t="n"/>
      <c r="C866" s="13" t="n"/>
      <c r="D866" s="1" t="n"/>
      <c r="E866" s="14" t="n"/>
      <c r="F866" s="14"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1.5" customHeight="1" s="12">
      <c r="A867" s="1" t="n"/>
      <c r="B867" s="6" t="n"/>
      <c r="C867" s="13" t="n"/>
      <c r="D867" s="1" t="n"/>
      <c r="E867" s="14" t="n"/>
      <c r="F867" s="14"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1.5" customHeight="1" s="12">
      <c r="A868" s="1" t="n"/>
      <c r="B868" s="6" t="n"/>
      <c r="C868" s="13" t="n"/>
      <c r="D868" s="1" t="n"/>
      <c r="E868" s="14" t="n"/>
      <c r="F868" s="14"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31.5" customHeight="1" s="12">
      <c r="A869" s="1" t="n"/>
      <c r="B869" s="6" t="n"/>
      <c r="C869" s="13" t="n"/>
      <c r="D869" s="1" t="n"/>
      <c r="E869" s="14" t="n"/>
      <c r="F869" s="14"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31.5" customHeight="1" s="12">
      <c r="A870" s="1" t="n"/>
      <c r="B870" s="6" t="n"/>
      <c r="C870" s="13" t="n"/>
      <c r="D870" s="1" t="n"/>
      <c r="E870" s="14" t="n"/>
      <c r="F870" s="14"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31.5" customHeight="1" s="12">
      <c r="A871" s="1" t="n"/>
      <c r="B871" s="6" t="n"/>
      <c r="C871" s="13" t="n"/>
      <c r="D871" s="1" t="n"/>
      <c r="E871" s="14" t="n"/>
      <c r="F871" s="14"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31.5" customHeight="1" s="12">
      <c r="A872" s="1" t="n"/>
      <c r="B872" s="6" t="n"/>
      <c r="C872" s="13" t="n"/>
      <c r="D872" s="1" t="n"/>
      <c r="E872" s="14" t="n"/>
      <c r="F872" s="14"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31.5" customHeight="1" s="12">
      <c r="A873" s="1" t="n"/>
      <c r="B873" s="6" t="n"/>
      <c r="C873" s="13" t="n"/>
      <c r="D873" s="1" t="n"/>
      <c r="E873" s="14" t="n"/>
      <c r="F873" s="14"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31.5" customHeight="1" s="12">
      <c r="A874" s="1" t="n"/>
      <c r="B874" s="6" t="n"/>
      <c r="C874" s="13" t="n"/>
      <c r="D874" s="1" t="n"/>
      <c r="E874" s="14" t="n"/>
      <c r="F874" s="14"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31.5" customHeight="1" s="12">
      <c r="A875" s="1" t="n"/>
      <c r="B875" s="6" t="n"/>
      <c r="C875" s="13" t="n"/>
      <c r="D875" s="1" t="n"/>
      <c r="E875" s="14" t="n"/>
      <c r="F875" s="14"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31.5" customHeight="1" s="12">
      <c r="A876" s="1" t="n"/>
      <c r="B876" s="6" t="n"/>
      <c r="C876" s="13" t="n"/>
      <c r="D876" s="1" t="n"/>
      <c r="E876" s="14" t="n"/>
      <c r="F876" s="14"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31.5" customHeight="1" s="12">
      <c r="A877" s="1" t="n"/>
      <c r="B877" s="6" t="n"/>
      <c r="C877" s="13" t="n"/>
      <c r="D877" s="1" t="n"/>
      <c r="E877" s="14" t="n"/>
      <c r="F877" s="14"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31.5" customHeight="1" s="12">
      <c r="A878" s="1" t="n"/>
      <c r="B878" s="6" t="n"/>
      <c r="C878" s="13" t="n"/>
      <c r="D878" s="1" t="n"/>
      <c r="E878" s="14" t="n"/>
      <c r="F878" s="14"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31.5" customHeight="1" s="12">
      <c r="A879" s="1" t="n"/>
      <c r="B879" s="6" t="n"/>
      <c r="C879" s="13" t="n"/>
      <c r="D879" s="1" t="n"/>
      <c r="E879" s="14" t="n"/>
      <c r="F879" s="14"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31.5" customHeight="1" s="12">
      <c r="A880" s="1" t="n"/>
      <c r="B880" s="6" t="n"/>
      <c r="C880" s="13" t="n"/>
      <c r="D880" s="1" t="n"/>
      <c r="E880" s="14" t="n"/>
      <c r="F880" s="14"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31.5" customHeight="1" s="12">
      <c r="A881" s="1" t="n"/>
      <c r="B881" s="6" t="n"/>
      <c r="C881" s="13" t="n"/>
      <c r="D881" s="1" t="n"/>
      <c r="E881" s="14" t="n"/>
      <c r="F881" s="14"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31.5" customHeight="1" s="12">
      <c r="A882" s="1" t="n"/>
      <c r="B882" s="6" t="n"/>
      <c r="C882" s="13" t="n"/>
      <c r="D882" s="1" t="n"/>
      <c r="E882" s="14" t="n"/>
      <c r="F882" s="14"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31.5" customHeight="1" s="12">
      <c r="A883" s="1" t="n"/>
      <c r="B883" s="6" t="n"/>
      <c r="C883" s="13" t="n"/>
      <c r="D883" s="1" t="n"/>
      <c r="E883" s="14" t="n"/>
      <c r="F883" s="14"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31.5" customHeight="1" s="12">
      <c r="A884" s="1" t="n"/>
      <c r="B884" s="6" t="n"/>
      <c r="C884" s="13" t="n"/>
      <c r="D884" s="1" t="n"/>
      <c r="E884" s="14" t="n"/>
      <c r="F884" s="14"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31.5" customHeight="1" s="12">
      <c r="A885" s="1" t="n"/>
      <c r="B885" s="6" t="n"/>
      <c r="C885" s="13" t="n"/>
      <c r="D885" s="1" t="n"/>
      <c r="E885" s="14" t="n"/>
      <c r="F885" s="14"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31.5" customHeight="1" s="12">
      <c r="A886" s="1" t="n"/>
      <c r="B886" s="6" t="n"/>
      <c r="C886" s="13" t="n"/>
      <c r="D886" s="1" t="n"/>
      <c r="E886" s="14" t="n"/>
      <c r="F886" s="14"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31.5" customHeight="1" s="12">
      <c r="A887" s="1" t="n"/>
      <c r="B887" s="6" t="n"/>
      <c r="C887" s="13" t="n"/>
      <c r="D887" s="1" t="n"/>
      <c r="E887" s="14" t="n"/>
      <c r="F887" s="14"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31.5" customHeight="1" s="12">
      <c r="A888" s="1" t="n"/>
      <c r="B888" s="6" t="n"/>
      <c r="C888" s="13" t="n"/>
      <c r="D888" s="1" t="n"/>
      <c r="E888" s="14" t="n"/>
      <c r="F888" s="14"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31.5" customHeight="1" s="12">
      <c r="A889" s="1" t="n"/>
      <c r="B889" s="6" t="n"/>
      <c r="C889" s="13" t="n"/>
      <c r="D889" s="1" t="n"/>
      <c r="E889" s="14" t="n"/>
      <c r="F889" s="14"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31.5" customHeight="1" s="12">
      <c r="A890" s="1" t="n"/>
      <c r="B890" s="6" t="n"/>
      <c r="C890" s="13" t="n"/>
      <c r="D890" s="1" t="n"/>
      <c r="E890" s="14" t="n"/>
      <c r="F890" s="14"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31.5" customHeight="1" s="12">
      <c r="A891" s="1" t="n"/>
      <c r="B891" s="6" t="n"/>
      <c r="C891" s="13" t="n"/>
      <c r="D891" s="1" t="n"/>
      <c r="E891" s="14" t="n"/>
      <c r="F891" s="14"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31.5" customHeight="1" s="12">
      <c r="A892" s="1" t="n"/>
      <c r="B892" s="6" t="n"/>
      <c r="C892" s="13" t="n"/>
      <c r="D892" s="1" t="n"/>
      <c r="E892" s="14" t="n"/>
      <c r="F892" s="14"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31.5" customHeight="1" s="12">
      <c r="A893" s="1" t="n"/>
      <c r="B893" s="6" t="n"/>
      <c r="C893" s="13" t="n"/>
      <c r="D893" s="1" t="n"/>
      <c r="E893" s="14" t="n"/>
      <c r="F893" s="14"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31.5" customHeight="1" s="12">
      <c r="A894" s="1" t="n"/>
      <c r="B894" s="6" t="n"/>
      <c r="C894" s="13" t="n"/>
      <c r="D894" s="1" t="n"/>
      <c r="E894" s="14" t="n"/>
      <c r="F894" s="14"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31.5" customHeight="1" s="12">
      <c r="A895" s="1" t="n"/>
      <c r="B895" s="6" t="n"/>
      <c r="C895" s="13" t="n"/>
      <c r="D895" s="1" t="n"/>
      <c r="E895" s="14" t="n"/>
      <c r="F895" s="14"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31.5" customHeight="1" s="12">
      <c r="A896" s="1" t="n"/>
      <c r="B896" s="6" t="n"/>
      <c r="C896" s="13" t="n"/>
      <c r="D896" s="1" t="n"/>
      <c r="E896" s="14" t="n"/>
      <c r="F896" s="14"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31.5" customHeight="1" s="12">
      <c r="A897" s="1" t="n"/>
      <c r="B897" s="6" t="n"/>
      <c r="C897" s="13" t="n"/>
      <c r="D897" s="1" t="n"/>
      <c r="E897" s="14" t="n"/>
      <c r="F897" s="14"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31.5" customHeight="1" s="12">
      <c r="A898" s="1" t="n"/>
      <c r="B898" s="6" t="n"/>
      <c r="C898" s="13" t="n"/>
      <c r="D898" s="1" t="n"/>
      <c r="E898" s="14" t="n"/>
      <c r="F898" s="14"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31.5" customHeight="1" s="12">
      <c r="A899" s="1" t="n"/>
      <c r="B899" s="6" t="n"/>
      <c r="C899" s="13" t="n"/>
      <c r="D899" s="1" t="n"/>
      <c r="E899" s="14" t="n"/>
      <c r="F899" s="14"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31.5" customHeight="1" s="12">
      <c r="A900" s="1" t="n"/>
      <c r="B900" s="6" t="n"/>
      <c r="C900" s="13" t="n"/>
      <c r="D900" s="1" t="n"/>
      <c r="E900" s="14" t="n"/>
      <c r="F900" s="14"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31.5" customHeight="1" s="12">
      <c r="A901" s="1" t="n"/>
      <c r="B901" s="6" t="n"/>
      <c r="C901" s="13" t="n"/>
      <c r="D901" s="1" t="n"/>
      <c r="E901" s="14" t="n"/>
      <c r="F901" s="14"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31.5" customHeight="1" s="12">
      <c r="A902" s="1" t="n"/>
      <c r="B902" s="6" t="n"/>
      <c r="C902" s="13" t="n"/>
      <c r="D902" s="1" t="n"/>
      <c r="E902" s="14" t="n"/>
      <c r="F902" s="14"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31.5" customHeight="1" s="12">
      <c r="A903" s="1" t="n"/>
      <c r="B903" s="6" t="n"/>
      <c r="C903" s="13" t="n"/>
      <c r="D903" s="1" t="n"/>
      <c r="E903" s="14" t="n"/>
      <c r="F903" s="14"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31.5" customHeight="1" s="12">
      <c r="A904" s="1" t="n"/>
      <c r="B904" s="6" t="n"/>
      <c r="C904" s="13" t="n"/>
      <c r="D904" s="1" t="n"/>
      <c r="E904" s="14" t="n"/>
      <c r="F904" s="14"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31.5" customHeight="1" s="12">
      <c r="A905" s="1" t="n"/>
      <c r="B905" s="6" t="n"/>
      <c r="C905" s="13" t="n"/>
      <c r="D905" s="1" t="n"/>
      <c r="E905" s="14" t="n"/>
      <c r="F905" s="14"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31.5" customHeight="1" s="12">
      <c r="A906" s="1" t="n"/>
      <c r="B906" s="6" t="n"/>
      <c r="C906" s="13" t="n"/>
      <c r="D906" s="1" t="n"/>
      <c r="E906" s="14" t="n"/>
      <c r="F906" s="14"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31.5" customHeight="1" s="12">
      <c r="A907" s="1" t="n"/>
      <c r="B907" s="6" t="n"/>
      <c r="C907" s="13" t="n"/>
      <c r="D907" s="1" t="n"/>
      <c r="E907" s="14" t="n"/>
      <c r="F907" s="14"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31.5" customHeight="1" s="12">
      <c r="A908" s="1" t="n"/>
      <c r="B908" s="6" t="n"/>
      <c r="C908" s="13" t="n"/>
      <c r="D908" s="1" t="n"/>
      <c r="E908" s="14" t="n"/>
      <c r="F908" s="14"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1.5" customHeight="1" s="12">
      <c r="A909" s="1" t="n"/>
      <c r="B909" s="6" t="n"/>
      <c r="C909" s="13" t="n"/>
      <c r="D909" s="1" t="n"/>
      <c r="E909" s="14" t="n"/>
      <c r="F909" s="14"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31.5" customHeight="1" s="12">
      <c r="A910" s="1" t="n"/>
      <c r="B910" s="6" t="n"/>
      <c r="C910" s="13" t="n"/>
      <c r="D910" s="1" t="n"/>
      <c r="E910" s="14" t="n"/>
      <c r="F910" s="14"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31.5" customHeight="1" s="12">
      <c r="A911" s="1" t="n"/>
      <c r="B911" s="6" t="n"/>
      <c r="C911" s="13" t="n"/>
      <c r="D911" s="1" t="n"/>
      <c r="E911" s="14" t="n"/>
      <c r="F911" s="14"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1.5" customHeight="1" s="12">
      <c r="A912" s="1" t="n"/>
      <c r="B912" s="6" t="n"/>
      <c r="C912" s="13" t="n"/>
      <c r="D912" s="1" t="n"/>
      <c r="E912" s="14" t="n"/>
      <c r="F912" s="14"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31.5" customHeight="1" s="12">
      <c r="A913" s="1" t="n"/>
      <c r="B913" s="6" t="n"/>
      <c r="C913" s="13" t="n"/>
      <c r="D913" s="1" t="n"/>
      <c r="E913" s="14" t="n"/>
      <c r="F913" s="14"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1.5" customHeight="1" s="12">
      <c r="A914" s="1" t="n"/>
      <c r="B914" s="6" t="n"/>
      <c r="C914" s="13" t="n"/>
      <c r="D914" s="1" t="n"/>
      <c r="E914" s="14" t="n"/>
      <c r="F914" s="14"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31.5" customHeight="1" s="12">
      <c r="A915" s="1" t="n"/>
      <c r="B915" s="6" t="n"/>
      <c r="C915" s="13" t="n"/>
      <c r="D915" s="1" t="n"/>
      <c r="E915" s="14" t="n"/>
      <c r="F915" s="14"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31.5" customHeight="1" s="12">
      <c r="A916" s="1" t="n"/>
      <c r="B916" s="6" t="n"/>
      <c r="C916" s="13" t="n"/>
      <c r="D916" s="1" t="n"/>
      <c r="E916" s="14" t="n"/>
      <c r="F916" s="14"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1.5" customHeight="1" s="12">
      <c r="A917" s="1" t="n"/>
      <c r="B917" s="6" t="n"/>
      <c r="C917" s="13" t="n"/>
      <c r="D917" s="1" t="n"/>
      <c r="E917" s="14" t="n"/>
      <c r="F917" s="14"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31.5" customHeight="1" s="12">
      <c r="A918" s="1" t="n"/>
      <c r="B918" s="6" t="n"/>
      <c r="C918" s="13" t="n"/>
      <c r="D918" s="1" t="n"/>
      <c r="E918" s="14" t="n"/>
      <c r="F918" s="14"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31.5" customHeight="1" s="12">
      <c r="A919" s="1" t="n"/>
      <c r="B919" s="6" t="n"/>
      <c r="C919" s="13" t="n"/>
      <c r="D919" s="1" t="n"/>
      <c r="E919" s="14" t="n"/>
      <c r="F919" s="14"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31.5" customHeight="1" s="12">
      <c r="A920" s="1" t="n"/>
      <c r="B920" s="6" t="n"/>
      <c r="C920" s="13" t="n"/>
      <c r="D920" s="1" t="n"/>
      <c r="E920" s="14" t="n"/>
      <c r="F920" s="14"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31.5" customHeight="1" s="12">
      <c r="A921" s="1" t="n"/>
      <c r="B921" s="6" t="n"/>
      <c r="C921" s="13" t="n"/>
      <c r="D921" s="1" t="n"/>
      <c r="E921" s="14" t="n"/>
      <c r="F921" s="14"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31.5" customHeight="1" s="12">
      <c r="A922" s="1" t="n"/>
      <c r="B922" s="6" t="n"/>
      <c r="C922" s="13" t="n"/>
      <c r="D922" s="1" t="n"/>
      <c r="E922" s="14" t="n"/>
      <c r="F922" s="14"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1.5" customHeight="1" s="12">
      <c r="A923" s="1" t="n"/>
      <c r="B923" s="6" t="n"/>
      <c r="C923" s="13" t="n"/>
      <c r="D923" s="1" t="n"/>
      <c r="E923" s="14" t="n"/>
      <c r="F923" s="14"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1.5" customHeight="1" s="12">
      <c r="A924" s="1" t="n"/>
      <c r="B924" s="6" t="n"/>
      <c r="C924" s="13" t="n"/>
      <c r="D924" s="1" t="n"/>
      <c r="E924" s="14" t="n"/>
      <c r="F924" s="14"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31.5" customHeight="1" s="12">
      <c r="A925" s="1" t="n"/>
      <c r="B925" s="6" t="n"/>
      <c r="C925" s="13" t="n"/>
      <c r="D925" s="1" t="n"/>
      <c r="E925" s="14" t="n"/>
      <c r="F925" s="14"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1.5" customHeight="1" s="12">
      <c r="A926" s="1" t="n"/>
      <c r="B926" s="6" t="n"/>
      <c r="C926" s="13" t="n"/>
      <c r="D926" s="1" t="n"/>
      <c r="E926" s="14" t="n"/>
      <c r="F926" s="14"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1.5" customHeight="1" s="12">
      <c r="A927" s="1" t="n"/>
      <c r="B927" s="6" t="n"/>
      <c r="C927" s="13" t="n"/>
      <c r="D927" s="1" t="n"/>
      <c r="E927" s="14" t="n"/>
      <c r="F927" s="14"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31.5" customHeight="1" s="12">
      <c r="A928" s="1" t="n"/>
      <c r="B928" s="6" t="n"/>
      <c r="C928" s="13" t="n"/>
      <c r="D928" s="1" t="n"/>
      <c r="E928" s="14" t="n"/>
      <c r="F928" s="14"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31.5" customHeight="1" s="12">
      <c r="A929" s="1" t="n"/>
      <c r="B929" s="6" t="n"/>
      <c r="C929" s="13" t="n"/>
      <c r="D929" s="1" t="n"/>
      <c r="E929" s="14" t="n"/>
      <c r="F929" s="14"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31.5" customHeight="1" s="12">
      <c r="A930" s="1" t="n"/>
      <c r="B930" s="6" t="n"/>
      <c r="C930" s="13" t="n"/>
      <c r="D930" s="1" t="n"/>
      <c r="E930" s="14" t="n"/>
      <c r="F930" s="14"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31.5" customHeight="1" s="12">
      <c r="A931" s="1" t="n"/>
      <c r="B931" s="6" t="n"/>
      <c r="C931" s="13" t="n"/>
      <c r="D931" s="1" t="n"/>
      <c r="E931" s="14" t="n"/>
      <c r="F931" s="14"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31.5" customHeight="1" s="12">
      <c r="A932" s="1" t="n"/>
      <c r="B932" s="6" t="n"/>
      <c r="C932" s="13" t="n"/>
      <c r="D932" s="1" t="n"/>
      <c r="E932" s="14" t="n"/>
      <c r="F932" s="14"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31.5" customHeight="1" s="12">
      <c r="A933" s="1" t="n"/>
      <c r="B933" s="6" t="n"/>
      <c r="C933" s="13" t="n"/>
      <c r="D933" s="1" t="n"/>
      <c r="E933" s="14" t="n"/>
      <c r="F933" s="14"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31.5" customHeight="1" s="12">
      <c r="A934" s="1" t="n"/>
      <c r="B934" s="6" t="n"/>
      <c r="C934" s="13" t="n"/>
      <c r="D934" s="1" t="n"/>
      <c r="E934" s="14" t="n"/>
      <c r="F934" s="14"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31.5" customHeight="1" s="12">
      <c r="A935" s="1" t="n"/>
      <c r="B935" s="6" t="n"/>
      <c r="C935" s="13" t="n"/>
      <c r="D935" s="1" t="n"/>
      <c r="E935" s="14" t="n"/>
      <c r="F935" s="14"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31.5" customHeight="1" s="12">
      <c r="A936" s="1" t="n"/>
      <c r="B936" s="6" t="n"/>
      <c r="C936" s="13" t="n"/>
      <c r="D936" s="1" t="n"/>
      <c r="E936" s="14" t="n"/>
      <c r="F936" s="14"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31.5" customHeight="1" s="12">
      <c r="A937" s="1" t="n"/>
      <c r="B937" s="6" t="n"/>
      <c r="C937" s="13" t="n"/>
      <c r="D937" s="1" t="n"/>
      <c r="E937" s="14" t="n"/>
      <c r="F937" s="14"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31.5" customHeight="1" s="12">
      <c r="A938" s="1" t="n"/>
      <c r="B938" s="6" t="n"/>
      <c r="C938" s="13" t="n"/>
      <c r="D938" s="1" t="n"/>
      <c r="E938" s="14" t="n"/>
      <c r="F938" s="14"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31.5" customHeight="1" s="12">
      <c r="A939" s="1" t="n"/>
      <c r="B939" s="6" t="n"/>
      <c r="C939" s="13" t="n"/>
      <c r="D939" s="1" t="n"/>
      <c r="E939" s="14" t="n"/>
      <c r="F939" s="14"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1.5" customHeight="1" s="12">
      <c r="A940" s="1" t="n"/>
      <c r="B940" s="6" t="n"/>
      <c r="C940" s="13" t="n"/>
      <c r="D940" s="1" t="n"/>
      <c r="E940" s="14" t="n"/>
      <c r="F940" s="14"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31.5" customHeight="1" s="12">
      <c r="A941" s="1" t="n"/>
      <c r="B941" s="6" t="n"/>
      <c r="C941" s="13" t="n"/>
      <c r="D941" s="1" t="n"/>
      <c r="E941" s="14" t="n"/>
      <c r="F941" s="14"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31.5" customHeight="1" s="12">
      <c r="A942" s="1" t="n"/>
      <c r="B942" s="6" t="n"/>
      <c r="C942" s="13" t="n"/>
      <c r="D942" s="1" t="n"/>
      <c r="E942" s="14" t="n"/>
      <c r="F942" s="14"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31.5" customHeight="1" s="12">
      <c r="A943" s="1" t="n"/>
      <c r="B943" s="6" t="n"/>
      <c r="C943" s="13" t="n"/>
      <c r="D943" s="1" t="n"/>
      <c r="E943" s="14" t="n"/>
      <c r="F943" s="14"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31.5" customHeight="1" s="12">
      <c r="A944" s="1" t="n"/>
      <c r="B944" s="6" t="n"/>
      <c r="C944" s="13" t="n"/>
      <c r="D944" s="1" t="n"/>
      <c r="E944" s="14" t="n"/>
      <c r="F944" s="14"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31.5" customHeight="1" s="12">
      <c r="A945" s="1" t="n"/>
      <c r="B945" s="6" t="n"/>
      <c r="C945" s="13" t="n"/>
      <c r="D945" s="1" t="n"/>
      <c r="E945" s="14" t="n"/>
      <c r="F945" s="14"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31.5" customHeight="1" s="12">
      <c r="A946" s="1" t="n"/>
      <c r="B946" s="6" t="n"/>
      <c r="C946" s="13" t="n"/>
      <c r="D946" s="1" t="n"/>
      <c r="E946" s="14" t="n"/>
      <c r="F946" s="14"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31.5" customHeight="1" s="12">
      <c r="A947" s="1" t="n"/>
      <c r="B947" s="6" t="n"/>
      <c r="C947" s="13" t="n"/>
      <c r="D947" s="1" t="n"/>
      <c r="E947" s="14" t="n"/>
      <c r="F947" s="14"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31.5" customHeight="1" s="12">
      <c r="A948" s="1" t="n"/>
      <c r="B948" s="6" t="n"/>
      <c r="C948" s="13" t="n"/>
      <c r="D948" s="1" t="n"/>
      <c r="E948" s="14" t="n"/>
      <c r="F948" s="14"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31.5" customHeight="1" s="12">
      <c r="A949" s="1" t="n"/>
      <c r="B949" s="6" t="n"/>
      <c r="C949" s="13" t="n"/>
      <c r="D949" s="1" t="n"/>
      <c r="E949" s="14" t="n"/>
      <c r="F949" s="14"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31.5" customHeight="1" s="12">
      <c r="A950" s="1" t="n"/>
      <c r="B950" s="6" t="n"/>
      <c r="C950" s="13" t="n"/>
      <c r="D950" s="1" t="n"/>
      <c r="E950" s="14" t="n"/>
      <c r="F950" s="14"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31.5" customHeight="1" s="12">
      <c r="A951" s="1" t="n"/>
      <c r="B951" s="6" t="n"/>
      <c r="C951" s="13" t="n"/>
      <c r="D951" s="1" t="n"/>
      <c r="E951" s="14" t="n"/>
      <c r="F951" s="14"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31.5" customHeight="1" s="12">
      <c r="A952" s="1" t="n"/>
      <c r="B952" s="6" t="n"/>
      <c r="C952" s="13" t="n"/>
      <c r="D952" s="1" t="n"/>
      <c r="E952" s="14" t="n"/>
      <c r="F952" s="14"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31.5" customHeight="1" s="12">
      <c r="A953" s="1" t="n"/>
      <c r="B953" s="6" t="n"/>
      <c r="C953" s="13" t="n"/>
      <c r="D953" s="1" t="n"/>
      <c r="E953" s="14" t="n"/>
      <c r="F953" s="14"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31.5" customHeight="1" s="12">
      <c r="A954" s="1" t="n"/>
      <c r="B954" s="6" t="n"/>
      <c r="C954" s="13" t="n"/>
      <c r="D954" s="1" t="n"/>
      <c r="E954" s="14" t="n"/>
      <c r="F954" s="14"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31.5" customHeight="1" s="12">
      <c r="A955" s="1" t="n"/>
      <c r="B955" s="6" t="n"/>
      <c r="C955" s="13" t="n"/>
      <c r="D955" s="1" t="n"/>
      <c r="E955" s="14" t="n"/>
      <c r="F955" s="14"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31.5" customHeight="1" s="12">
      <c r="A956" s="1" t="n"/>
      <c r="B956" s="6" t="n"/>
      <c r="C956" s="13" t="n"/>
      <c r="D956" s="1" t="n"/>
      <c r="E956" s="14" t="n"/>
      <c r="F956" s="14"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31.5" customHeight="1" s="12">
      <c r="A957" s="1" t="n"/>
      <c r="B957" s="6" t="n"/>
      <c r="C957" s="13" t="n"/>
      <c r="D957" s="1" t="n"/>
      <c r="E957" s="14" t="n"/>
      <c r="F957" s="14"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31.5" customHeight="1" s="12">
      <c r="A958" s="1" t="n"/>
      <c r="B958" s="6" t="n"/>
      <c r="C958" s="13" t="n"/>
      <c r="D958" s="1" t="n"/>
      <c r="E958" s="14" t="n"/>
      <c r="F958" s="14"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31.5" customHeight="1" s="12">
      <c r="A959" s="1" t="n"/>
      <c r="B959" s="6" t="n"/>
      <c r="C959" s="13" t="n"/>
      <c r="D959" s="1" t="n"/>
      <c r="E959" s="14" t="n"/>
      <c r="F959" s="14"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31.5" customHeight="1" s="12">
      <c r="A960" s="1" t="n"/>
      <c r="B960" s="6" t="n"/>
      <c r="C960" s="13" t="n"/>
      <c r="D960" s="1" t="n"/>
      <c r="E960" s="14" t="n"/>
      <c r="F960" s="14"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31.5" customHeight="1" s="12">
      <c r="A961" s="1" t="n"/>
      <c r="B961" s="6" t="n"/>
      <c r="C961" s="13" t="n"/>
      <c r="D961" s="1" t="n"/>
      <c r="E961" s="14" t="n"/>
      <c r="F961" s="14"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31.5" customHeight="1" s="12">
      <c r="A962" s="1" t="n"/>
      <c r="B962" s="6" t="n"/>
      <c r="C962" s="13" t="n"/>
      <c r="D962" s="1" t="n"/>
      <c r="E962" s="14" t="n"/>
      <c r="F962" s="14"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31.5" customHeight="1" s="12">
      <c r="A963" s="1" t="n"/>
      <c r="B963" s="6" t="n"/>
      <c r="C963" s="13" t="n"/>
      <c r="D963" s="1" t="n"/>
      <c r="E963" s="14" t="n"/>
      <c r="F963" s="14"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31.5" customHeight="1" s="12">
      <c r="A964" s="1" t="n"/>
      <c r="B964" s="6" t="n"/>
      <c r="C964" s="13" t="n"/>
      <c r="D964" s="1" t="n"/>
      <c r="E964" s="14" t="n"/>
      <c r="F964" s="14"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31.5" customHeight="1" s="12">
      <c r="A965" s="1" t="n"/>
      <c r="B965" s="6" t="n"/>
      <c r="C965" s="13" t="n"/>
      <c r="D965" s="1" t="n"/>
      <c r="E965" s="14" t="n"/>
      <c r="F965" s="14"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31.5" customHeight="1" s="12">
      <c r="A966" s="1" t="n"/>
      <c r="B966" s="6" t="n"/>
      <c r="C966" s="13" t="n"/>
      <c r="D966" s="1" t="n"/>
      <c r="E966" s="14" t="n"/>
      <c r="F966" s="14"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31.5" customHeight="1" s="12">
      <c r="A967" s="1" t="n"/>
      <c r="B967" s="6" t="n"/>
      <c r="C967" s="13" t="n"/>
      <c r="D967" s="1" t="n"/>
      <c r="E967" s="14" t="n"/>
      <c r="F967" s="14"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31.5" customHeight="1" s="12">
      <c r="A968" s="1" t="n"/>
      <c r="B968" s="6" t="n"/>
      <c r="C968" s="13" t="n"/>
      <c r="D968" s="1" t="n"/>
      <c r="E968" s="14" t="n"/>
      <c r="F968" s="14"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31.5" customHeight="1" s="12">
      <c r="A969" s="1" t="n"/>
      <c r="B969" s="6" t="n"/>
      <c r="C969" s="13" t="n"/>
      <c r="D969" s="1" t="n"/>
      <c r="E969" s="14" t="n"/>
      <c r="F969" s="14"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31.5" customHeight="1" s="12">
      <c r="A970" s="1" t="n"/>
      <c r="B970" s="6" t="n"/>
      <c r="C970" s="13" t="n"/>
      <c r="D970" s="1" t="n"/>
      <c r="E970" s="14" t="n"/>
      <c r="F970" s="14"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31.5" customHeight="1" s="12">
      <c r="A971" s="1" t="n"/>
      <c r="B971" s="6" t="n"/>
      <c r="C971" s="13" t="n"/>
      <c r="D971" s="1" t="n"/>
      <c r="E971" s="14" t="n"/>
      <c r="F971" s="14"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31.5" customHeight="1" s="12">
      <c r="A972" s="1" t="n"/>
      <c r="B972" s="6" t="n"/>
      <c r="C972" s="13" t="n"/>
      <c r="D972" s="1" t="n"/>
      <c r="E972" s="14" t="n"/>
      <c r="F972" s="14"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31.5" customHeight="1" s="12">
      <c r="A973" s="1" t="n"/>
      <c r="B973" s="6" t="n"/>
      <c r="C973" s="13" t="n"/>
      <c r="D973" s="1" t="n"/>
      <c r="E973" s="14" t="n"/>
      <c r="F973" s="14"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31.5" customHeight="1" s="12">
      <c r="A974" s="1" t="n"/>
      <c r="B974" s="6" t="n"/>
      <c r="C974" s="13" t="n"/>
      <c r="D974" s="1" t="n"/>
      <c r="E974" s="14" t="n"/>
      <c r="F974" s="14"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31.5" customHeight="1" s="12">
      <c r="A975" s="1" t="n"/>
      <c r="B975" s="6" t="n"/>
      <c r="C975" s="13" t="n"/>
      <c r="D975" s="1" t="n"/>
      <c r="E975" s="14" t="n"/>
      <c r="F975" s="14"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31.5" customHeight="1" s="12">
      <c r="A976" s="1" t="n"/>
      <c r="B976" s="6" t="n"/>
      <c r="C976" s="13" t="n"/>
      <c r="D976" s="1" t="n"/>
      <c r="E976" s="14" t="n"/>
      <c r="F976" s="14"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31.5" customHeight="1" s="12">
      <c r="A977" s="1" t="n"/>
      <c r="B977" s="6" t="n"/>
      <c r="C977" s="13" t="n"/>
      <c r="D977" s="1" t="n"/>
      <c r="E977" s="14" t="n"/>
      <c r="F977" s="14"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31.5" customHeight="1" s="12">
      <c r="A978" s="1" t="n"/>
      <c r="B978" s="6" t="n"/>
      <c r="C978" s="13" t="n"/>
      <c r="D978" s="1" t="n"/>
      <c r="E978" s="14" t="n"/>
      <c r="F978" s="14"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31.5" customHeight="1" s="12">
      <c r="A979" s="1" t="n"/>
      <c r="B979" s="6" t="n"/>
      <c r="C979" s="13" t="n"/>
      <c r="D979" s="1" t="n"/>
      <c r="E979" s="14" t="n"/>
      <c r="F979" s="14"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1.5" customHeight="1" s="12">
      <c r="A980" s="1" t="n"/>
      <c r="B980" s="6" t="n"/>
      <c r="C980" s="13" t="n"/>
      <c r="D980" s="1" t="n"/>
      <c r="E980" s="14" t="n"/>
      <c r="F980" s="14"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31.5" customHeight="1" s="12">
      <c r="A981" s="1" t="n"/>
      <c r="B981" s="6" t="n"/>
      <c r="C981" s="13" t="n"/>
      <c r="D981" s="1" t="n"/>
      <c r="E981" s="14" t="n"/>
      <c r="F981" s="14"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31.5" customHeight="1" s="12">
      <c r="A982" s="1" t="n"/>
      <c r="B982" s="6" t="n"/>
      <c r="C982" s="13" t="n"/>
      <c r="D982" s="1" t="n"/>
      <c r="E982" s="14" t="n"/>
      <c r="F982" s="14"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31.5" customHeight="1" s="12">
      <c r="A983" s="1" t="n"/>
      <c r="B983" s="6" t="n"/>
      <c r="C983" s="13" t="n"/>
      <c r="D983" s="1" t="n"/>
      <c r="E983" s="14" t="n"/>
      <c r="F983" s="14"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31.5" customHeight="1" s="12">
      <c r="A984" s="1" t="n"/>
      <c r="B984" s="6" t="n"/>
      <c r="C984" s="13" t="n"/>
      <c r="D984" s="1" t="n"/>
      <c r="E984" s="14" t="n"/>
      <c r="F984" s="14"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31.5" customHeight="1" s="12">
      <c r="A985" s="1" t="n"/>
      <c r="B985" s="6" t="n"/>
      <c r="C985" s="13" t="n"/>
      <c r="D985" s="1" t="n"/>
      <c r="E985" s="14" t="n"/>
      <c r="F985" s="14"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31.5" customHeight="1" s="12">
      <c r="A986" s="1" t="n"/>
      <c r="B986" s="6" t="n"/>
      <c r="C986" s="13" t="n"/>
      <c r="D986" s="1" t="n"/>
      <c r="E986" s="14" t="n"/>
      <c r="F986" s="14"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31.5" customHeight="1" s="12">
      <c r="A987" s="1" t="n"/>
      <c r="B987" s="6" t="n"/>
      <c r="C987" s="13" t="n"/>
      <c r="D987" s="1" t="n"/>
      <c r="E987" s="14" t="n"/>
      <c r="F987" s="14"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31.5" customHeight="1" s="12">
      <c r="A988" s="1" t="n"/>
      <c r="B988" s="6" t="n"/>
      <c r="C988" s="13" t="n"/>
      <c r="D988" s="1" t="n"/>
      <c r="E988" s="14" t="n"/>
      <c r="F988" s="14"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31.5" customHeight="1" s="12">
      <c r="A989" s="1" t="n"/>
      <c r="B989" s="6" t="n"/>
      <c r="C989" s="13" t="n"/>
      <c r="D989" s="1" t="n"/>
      <c r="E989" s="14" t="n"/>
      <c r="F989" s="14"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31.5" customHeight="1" s="12">
      <c r="A990" s="1" t="n"/>
      <c r="B990" s="6" t="n"/>
      <c r="C990" s="13" t="n"/>
      <c r="D990" s="1" t="n"/>
      <c r="E990" s="14" t="n"/>
      <c r="F990" s="14"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31.5" customHeight="1" s="12">
      <c r="A991" s="1" t="n"/>
      <c r="B991" s="6" t="n"/>
      <c r="C991" s="13" t="n"/>
      <c r="D991" s="1" t="n"/>
      <c r="E991" s="14" t="n"/>
      <c r="F991" s="14"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31.5" customHeight="1" s="12">
      <c r="A992" s="1" t="n"/>
      <c r="B992" s="6" t="n"/>
      <c r="C992" s="13" t="n"/>
      <c r="D992" s="1" t="n"/>
      <c r="E992" s="14" t="n"/>
      <c r="F992" s="14"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31.5" customHeight="1" s="12">
      <c r="A993" s="1" t="n"/>
      <c r="B993" s="6" t="n"/>
      <c r="C993" s="13" t="n"/>
      <c r="D993" s="1" t="n"/>
      <c r="E993" s="14" t="n"/>
      <c r="F993" s="14"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31.5" customHeight="1" s="12">
      <c r="A994" s="1" t="n"/>
      <c r="B994" s="6" t="n"/>
      <c r="C994" s="13" t="n"/>
      <c r="D994" s="1" t="n"/>
      <c r="E994" s="14" t="n"/>
      <c r="F994" s="14"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31.5" customHeight="1" s="12">
      <c r="A995" s="1" t="n"/>
      <c r="B995" s="6" t="n"/>
      <c r="C995" s="13" t="n"/>
      <c r="D995" s="1" t="n"/>
      <c r="E995" s="14" t="n"/>
      <c r="F995" s="14"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31.5" customHeight="1" s="12">
      <c r="A996" s="1" t="n"/>
      <c r="B996" s="6" t="n"/>
      <c r="C996" s="13" t="n"/>
      <c r="D996" s="1" t="n"/>
      <c r="E996" s="14" t="n"/>
      <c r="F996" s="1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31.5" customHeight="1" s="12">
      <c r="A997" s="1" t="n"/>
      <c r="B997" s="6" t="n"/>
      <c r="C997" s="13" t="n"/>
      <c r="D997" s="1" t="n"/>
      <c r="E997" s="14" t="n"/>
      <c r="F997" s="14"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31.5" customHeight="1" s="12">
      <c r="A998" s="1" t="n"/>
      <c r="B998" s="6" t="n"/>
      <c r="C998" s="13" t="n"/>
      <c r="D998" s="1" t="n"/>
      <c r="E998" s="14" t="n"/>
      <c r="F998" s="14"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sheetData>
  <mergeCells count="2">
    <mergeCell ref="B17:F17"/>
    <mergeCell ref="B11:F11"/>
  </mergeCells>
  <pageMargins left="0.7086614173228347" right="0.7086614173228347" top="0.7480314960629921" bottom="0.7480314960629921" header="0" footer="0"/>
  <pageSetup orientation="portrait" paperSize="9" scale="58" fitToHeight="0"/>
  <headerFooter>
    <oddHeader/>
    <oddFooter>&amp;C&amp;P/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FFC55A11"/>
    <outlinePr summaryBelow="1" summaryRight="1"/>
    <pageSetUpPr fitToPage="1"/>
  </sheetPr>
  <dimension ref="A1:F978"/>
  <sheetViews>
    <sheetView view="pageBreakPreview" zoomScale="104" zoomScaleNormal="68" workbookViewId="0">
      <selection activeCell="B14" sqref="B14"/>
    </sheetView>
  </sheetViews>
  <sheetFormatPr baseColWidth="8" defaultColWidth="14.44140625" defaultRowHeight="15" customHeight="1"/>
  <cols>
    <col width="14.33203125" customWidth="1" style="12" min="1" max="1"/>
    <col width="80.44140625" customWidth="1" style="12" min="2" max="2"/>
    <col width="26.33203125" customWidth="1" style="12" min="3" max="3"/>
    <col width="31.77734375" customWidth="1" style="55" min="4" max="4"/>
  </cols>
  <sheetData>
    <row r="1" ht="21" customHeight="1" s="12">
      <c r="A1" s="24" t="inlineStr">
        <is>
          <t>PROJECT: BLOCK N REDEVELOPMENT</t>
        </is>
      </c>
      <c r="B1" s="24" t="n"/>
      <c r="C1" s="25" t="n"/>
      <c r="D1" s="26" t="n"/>
      <c r="E1" s="27" t="n"/>
      <c r="F1" s="27" t="n"/>
    </row>
    <row r="2" ht="21" customHeight="1" s="12">
      <c r="A2" s="24" t="inlineStr">
        <is>
          <t>LOCATION: KANESHIE</t>
        </is>
      </c>
      <c r="B2" s="24" t="n"/>
      <c r="C2" s="25" t="n"/>
      <c r="D2" s="28" t="n"/>
      <c r="E2" s="27" t="n"/>
      <c r="F2" s="27" t="n"/>
    </row>
    <row r="3" ht="21" customHeight="1" s="12">
      <c r="A3" s="24" t="inlineStr">
        <is>
          <t>CLIENT: STATE HOUSING LIMITED</t>
        </is>
      </c>
      <c r="B3" s="24" t="n"/>
      <c r="C3" s="25" t="n"/>
      <c r="D3" s="26" t="n"/>
      <c r="E3" s="27" t="n"/>
      <c r="F3" s="27" t="n"/>
    </row>
    <row r="4" ht="21" customHeight="1" s="12" thickBot="1">
      <c r="A4" s="29" t="str">
        <f>'Cover Page '!F23</f>
        <v>DATE:9/30/2026</v>
      </c>
      <c r="B4" s="29" t="n"/>
      <c r="C4" s="25" t="n"/>
      <c r="D4" s="26" t="n"/>
      <c r="E4" s="27" t="n"/>
      <c r="F4" s="27" t="n"/>
    </row>
    <row r="5" ht="23.25" customHeight="1" s="12" thickBot="1">
      <c r="A5" s="30" t="inlineStr">
        <is>
          <t>ITEM</t>
        </is>
      </c>
      <c r="B5" s="31" t="inlineStr">
        <is>
          <t>GENERAL SUMMARY</t>
        </is>
      </c>
      <c r="C5" s="32" t="n"/>
      <c r="D5" s="33" t="inlineStr">
        <is>
          <t>GHC</t>
        </is>
      </c>
      <c r="E5" s="34" t="n"/>
      <c r="F5" s="34" t="n"/>
    </row>
    <row r="6" ht="14.25" customHeight="1" s="12">
      <c r="A6" s="35" t="n"/>
      <c r="B6" s="36" t="n"/>
      <c r="C6" s="37" t="n"/>
      <c r="D6" s="515" t="n"/>
      <c r="E6" s="27" t="n"/>
      <c r="F6" s="27" t="n"/>
    </row>
    <row r="7" ht="21" customHeight="1" s="12">
      <c r="A7" s="35" t="inlineStr">
        <is>
          <t>A</t>
        </is>
      </c>
      <c r="B7" s="38" t="inlineStr">
        <is>
          <t xml:space="preserve"> PRELIMINARIES AND GENERAL ITEMS</t>
        </is>
      </c>
      <c r="C7" s="39" t="n"/>
      <c r="D7" s="515">
        <f>'PRELIMS &amp; GEN. ITEMS'!F41</f>
        <v>6123000.0</v>
      </c>
      <c r="E7" s="27" t="n"/>
      <c r="F7" s="27" t="n"/>
    </row>
    <row r="8" ht="14.25" customHeight="1" s="12">
      <c r="A8" s="35" t="n"/>
      <c r="B8" s="38" t="n"/>
      <c r="C8" s="38" t="n"/>
      <c r="D8" s="515" t="n"/>
      <c r="E8" s="27" t="n"/>
      <c r="F8" s="27" t="n"/>
    </row>
    <row r="9" ht="21" customHeight="1" s="12">
      <c r="A9" s="35" t="inlineStr">
        <is>
          <t>B</t>
        </is>
      </c>
      <c r="B9" s="38" t="inlineStr">
        <is>
          <t>SUBSTRUCTURE (ALL PROVISIONAL)</t>
        </is>
      </c>
      <c r="C9" s="40" t="n"/>
      <c r="D9" s="515">
        <f>SUBSTRUCTURE!F19</f>
        <v>13010012.701249998</v>
      </c>
      <c r="E9" s="27" t="n"/>
      <c r="F9" s="27" t="n"/>
    </row>
    <row r="10" ht="12.45" customHeight="1" s="12">
      <c r="A10" s="35" t="n"/>
      <c r="B10" s="38" t="n"/>
      <c r="C10" s="38" t="n"/>
      <c r="D10" s="515" t="n"/>
      <c r="E10" s="27" t="n"/>
      <c r="F10" s="27" t="n"/>
    </row>
    <row r="11" ht="15.6" customHeight="1" s="12">
      <c r="A11" s="35" t="inlineStr">
        <is>
          <t>C</t>
        </is>
      </c>
      <c r="B11" s="38" t="inlineStr">
        <is>
          <t>GROUND FLOOR (INCL. M1 PARKING LEVEL)</t>
        </is>
      </c>
      <c r="C11" s="40" t="n"/>
      <c r="D11" s="515">
        <f>'GROUND FLR '!F25</f>
        <v>4201917.052952058</v>
      </c>
      <c r="E11" s="27" t="n"/>
      <c r="F11" s="27" t="n"/>
    </row>
    <row r="12" ht="15.6" customHeight="1" s="12">
      <c r="A12" s="35" t="n"/>
      <c r="B12" s="38" t="n"/>
      <c r="C12" s="38" t="n"/>
      <c r="D12" s="515" t="n"/>
      <c r="E12" s="27" t="n"/>
      <c r="F12" s="27" t="n"/>
    </row>
    <row r="13" ht="15.6" customHeight="1" s="12">
      <c r="A13" s="35" t="inlineStr">
        <is>
          <t>D</t>
        </is>
      </c>
      <c r="B13" s="38" t="inlineStr">
        <is>
          <t>FIRST FLOOR (INCL. M2 PARKING LEVEL)</t>
        </is>
      </c>
      <c r="C13" s="40" t="n"/>
      <c r="D13" s="515">
        <f>'1ST FLR '!F25</f>
        <v>4073182.133829545</v>
      </c>
      <c r="E13" s="27" t="n"/>
      <c r="F13" s="27" t="n"/>
    </row>
    <row r="14" ht="15.6" customHeight="1" s="12">
      <c r="A14" s="35" t="n"/>
      <c r="B14" s="38" t="n"/>
      <c r="C14" s="38" t="n"/>
      <c r="D14" s="515" t="n"/>
      <c r="E14" s="27" t="n"/>
      <c r="F14" s="27" t="n"/>
    </row>
    <row r="15" ht="15.6" customHeight="1" s="12">
      <c r="A15" s="35" t="inlineStr">
        <is>
          <t>E</t>
        </is>
      </c>
      <c r="B15" s="38" t="inlineStr">
        <is>
          <t>SECOND FLOOR (INCL. MEZZANINE PARKING LEVEL)</t>
        </is>
      </c>
      <c r="C15" s="40" t="n"/>
      <c r="D15" s="515">
        <f>'2ND FLR'!F25</f>
        <v>4870821.760704547</v>
      </c>
      <c r="E15" s="27" t="n"/>
      <c r="F15" s="27" t="n"/>
    </row>
    <row r="16" ht="15.6" customHeight="1" s="12">
      <c r="A16" s="35" t="n"/>
      <c r="B16" s="38" t="n"/>
      <c r="C16" s="38" t="n"/>
      <c r="D16" s="515" t="n"/>
      <c r="E16" s="27" t="n"/>
      <c r="F16" s="27" t="n"/>
    </row>
    <row r="17" ht="15.6" customHeight="1" s="12">
      <c r="A17" s="35" t="inlineStr">
        <is>
          <t>F</t>
        </is>
      </c>
      <c r="B17" s="38" t="inlineStr">
        <is>
          <t>THIRD FLOOR</t>
        </is>
      </c>
      <c r="C17" s="40" t="n"/>
      <c r="D17" s="515">
        <f>'3RD FLR'!F25</f>
        <v>5599162.755085526</v>
      </c>
      <c r="E17" s="27" t="n"/>
      <c r="F17" s="27" t="n"/>
    </row>
    <row r="18" ht="15.6" customHeight="1" s="12">
      <c r="A18" s="35" t="n"/>
      <c r="B18" s="38" t="n"/>
      <c r="C18" s="38" t="n"/>
      <c r="D18" s="515" t="n"/>
      <c r="E18" s="27" t="n"/>
      <c r="F18" s="27" t="n"/>
    </row>
    <row r="19" ht="15.6" customHeight="1" s="12">
      <c r="A19" s="35" t="inlineStr">
        <is>
          <t>G</t>
        </is>
      </c>
      <c r="B19" s="38" t="inlineStr">
        <is>
          <t>FOURTH FLOOR</t>
        </is>
      </c>
      <c r="C19" s="40" t="n"/>
      <c r="D19" s="515">
        <f>'4TH FLR '!F25</f>
        <v>5197425.573828947</v>
      </c>
      <c r="E19" s="27" t="n"/>
      <c r="F19" s="27" t="n"/>
    </row>
    <row r="20" ht="15.6" customHeight="1" s="12">
      <c r="A20" s="35" t="n"/>
      <c r="B20" s="38" t="n"/>
      <c r="C20" s="38" t="n"/>
      <c r="D20" s="515" t="n"/>
      <c r="E20" s="27" t="n"/>
      <c r="F20" s="27" t="n"/>
    </row>
    <row r="21" ht="15.6" customHeight="1" s="12">
      <c r="A21" s="35" t="inlineStr">
        <is>
          <t>H</t>
        </is>
      </c>
      <c r="B21" s="38" t="inlineStr">
        <is>
          <t>FIFTH FLOOR</t>
        </is>
      </c>
      <c r="C21" s="40" t="n"/>
      <c r="D21" s="515">
        <f>'5TH FLR '!F25</f>
        <v>5106769.738506578</v>
      </c>
      <c r="E21" s="27" t="n"/>
      <c r="F21" s="27" t="n"/>
    </row>
    <row r="22" ht="15.6" customHeight="1" s="12">
      <c r="A22" s="35" t="n"/>
      <c r="B22" s="38" t="n"/>
      <c r="C22" s="38" t="n"/>
      <c r="D22" s="515" t="n"/>
      <c r="E22" s="27" t="n"/>
      <c r="F22" s="27" t="n"/>
    </row>
    <row r="23" ht="15.6" customHeight="1" s="12">
      <c r="A23" s="35" t="inlineStr">
        <is>
          <t>J</t>
        </is>
      </c>
      <c r="B23" s="38" t="inlineStr">
        <is>
          <t>SIXTH FLOOR</t>
        </is>
      </c>
      <c r="C23" s="40" t="n"/>
      <c r="D23" s="515">
        <f>'6TH FLR  '!F25</f>
        <v>5180255.715296052</v>
      </c>
      <c r="E23" s="27" t="n"/>
      <c r="F23" s="27" t="n"/>
    </row>
    <row r="24" ht="15.6" customHeight="1" s="12">
      <c r="A24" s="35" t="n"/>
      <c r="B24" s="38" t="n"/>
      <c r="C24" s="38" t="n"/>
      <c r="D24" s="515" t="n"/>
      <c r="E24" s="27" t="n"/>
      <c r="F24" s="27" t="n"/>
    </row>
    <row r="25" ht="18.6" customHeight="1" s="12">
      <c r="A25" s="35" t="inlineStr">
        <is>
          <t>K</t>
        </is>
      </c>
      <c r="B25" s="38" t="inlineStr">
        <is>
          <t>SEVENTH FLOOR</t>
        </is>
      </c>
      <c r="C25" s="40" t="n"/>
      <c r="D25" s="515">
        <f>'7TH FLR   '!F25</f>
        <v>5124646.7545592105</v>
      </c>
      <c r="E25" s="27" t="n"/>
      <c r="F25" s="27" t="n"/>
    </row>
    <row r="26" ht="15.6" customHeight="1" s="12">
      <c r="A26" s="35" t="n"/>
      <c r="B26" s="38" t="n"/>
      <c r="C26" s="38" t="n"/>
      <c r="D26" s="515" t="n"/>
      <c r="E26" s="27" t="n"/>
      <c r="F26" s="27" t="n"/>
    </row>
    <row r="27" ht="15.6" customHeight="1" s="12">
      <c r="A27" s="35" t="inlineStr">
        <is>
          <t>L</t>
        </is>
      </c>
      <c r="B27" s="38" t="inlineStr">
        <is>
          <t>EIGHTH FLOOR</t>
        </is>
      </c>
      <c r="C27" s="40" t="n"/>
      <c r="D27" s="515">
        <f>'8TH FLR   '!F25</f>
        <v>5120461.937552632</v>
      </c>
      <c r="E27" s="27" t="n"/>
      <c r="F27" s="27" t="n"/>
    </row>
    <row r="28" ht="15.6" customHeight="1" s="12">
      <c r="A28" s="35" t="n"/>
      <c r="B28" s="38" t="n"/>
      <c r="C28" s="38" t="n"/>
      <c r="D28" s="515" t="n"/>
      <c r="E28" s="27" t="n"/>
      <c r="F28" s="27" t="n"/>
    </row>
    <row r="29" ht="15.6" customHeight="1" s="12">
      <c r="A29" s="35" t="inlineStr">
        <is>
          <t>M</t>
        </is>
      </c>
      <c r="B29" s="38" t="inlineStr">
        <is>
          <t>NINTH FLOOR</t>
        </is>
      </c>
      <c r="C29" s="38" t="n"/>
      <c r="D29" s="515">
        <f>'9TH FLR    '!F27</f>
        <v>4768520.022717105</v>
      </c>
      <c r="E29" s="27" t="n"/>
      <c r="F29" s="27" t="n"/>
    </row>
    <row r="30" ht="15.6" customHeight="1" s="12">
      <c r="A30" s="35" t="n"/>
      <c r="B30" s="38" t="n"/>
      <c r="C30" s="38" t="n"/>
      <c r="D30" s="515" t="n"/>
      <c r="E30" s="27" t="n"/>
      <c r="F30" s="27" t="n"/>
    </row>
    <row r="31" ht="15.6" customHeight="1" s="12">
      <c r="A31" s="35" t="inlineStr">
        <is>
          <t>N</t>
        </is>
      </c>
      <c r="B31" s="38" t="inlineStr">
        <is>
          <t>TENTH FLOOR</t>
        </is>
      </c>
      <c r="C31" s="38" t="n"/>
      <c r="D31" s="515">
        <f>'10TH FLR   '!F25</f>
        <v>3957994.9559013154</v>
      </c>
      <c r="E31" s="27" t="n"/>
      <c r="F31" s="27" t="n"/>
    </row>
    <row r="32" ht="15.6" customHeight="1" s="12">
      <c r="A32" s="35" t="n"/>
      <c r="B32" s="38" t="n"/>
      <c r="C32" s="38" t="n"/>
      <c r="D32" s="515" t="n"/>
      <c r="E32" s="27" t="n"/>
      <c r="F32" s="27" t="n"/>
    </row>
    <row r="33" ht="15.6" customHeight="1" s="12">
      <c r="A33" s="35" t="inlineStr">
        <is>
          <t>P</t>
        </is>
      </c>
      <c r="B33" s="38" t="inlineStr">
        <is>
          <t>ELEVENTH LEVEL - ROOF TOP TERRACE</t>
        </is>
      </c>
      <c r="C33" s="38" t="n"/>
      <c r="D33" s="515">
        <f>'11TH FLR'!F27</f>
        <v>3142285.1775657893</v>
      </c>
      <c r="E33" s="27" t="n"/>
      <c r="F33" s="27" t="n"/>
    </row>
    <row r="34" ht="15.6" customHeight="1" s="12">
      <c r="A34" s="35" t="n"/>
      <c r="B34" s="38" t="n"/>
      <c r="C34" s="38" t="n"/>
      <c r="D34" s="515" t="n"/>
      <c r="E34" s="27" t="n"/>
      <c r="F34" s="27" t="n"/>
    </row>
    <row r="35" ht="15.6" customHeight="1" s="12">
      <c r="A35" s="35" t="inlineStr">
        <is>
          <t>Q</t>
        </is>
      </c>
      <c r="B35" s="38" t="inlineStr">
        <is>
          <t>TWELFTH LEVEL - ROOF LEVEL &amp; LIFT CORE</t>
        </is>
      </c>
      <c r="C35" s="38" t="n"/>
      <c r="D35" s="515">
        <f>'12TH FLR '!F19</f>
        <v>656113.096875</v>
      </c>
      <c r="E35" s="27" t="n"/>
      <c r="F35" s="27" t="n"/>
    </row>
    <row r="36" ht="21" customHeight="1" s="12">
      <c r="A36" s="503" t="n"/>
      <c r="B36" s="504" t="n"/>
      <c r="C36" s="43" t="n"/>
      <c r="D36" s="516" t="n"/>
      <c r="E36" s="27" t="n"/>
      <c r="F36" s="27" t="n"/>
    </row>
    <row r="37" ht="21" customHeight="1" s="12">
      <c r="A37" s="35" t="inlineStr">
        <is>
          <t>R</t>
        </is>
      </c>
      <c r="B37" s="38" t="inlineStr">
        <is>
          <t>LIFTS AND PROVISIONAL SUMS</t>
        </is>
      </c>
      <c r="C37" s="45" t="n"/>
      <c r="D37" s="517">
        <f>'LIFTS &amp; PS'!F17</f>
        <v>8770000.0</v>
      </c>
      <c r="E37" s="27" t="n"/>
      <c r="F37" s="27" t="n"/>
    </row>
    <row r="38" ht="21" customHeight="1" s="12">
      <c r="A38" s="46" t="n"/>
      <c r="B38" s="47" t="inlineStr">
        <is>
          <t>SUB - TOTAL (1)</t>
        </is>
      </c>
      <c r="C38" s="48" t="inlineStr">
        <is>
          <t>GHC</t>
        </is>
      </c>
      <c r="D38" s="518">
        <f>SUM(D6:D37)</f>
        <v>84902569.3766243</v>
      </c>
      <c r="E38" s="27" t="n"/>
      <c r="F38" s="27" t="n"/>
    </row>
    <row r="39" ht="21" customHeight="1" s="12">
      <c r="A39" s="49" t="n"/>
      <c r="B39" s="38" t="n"/>
      <c r="C39" s="37" t="n"/>
      <c r="D39" s="515" t="n"/>
      <c r="E39" s="27" t="n"/>
      <c r="F39" s="27" t="n"/>
    </row>
    <row r="40" ht="21" customHeight="1" s="12">
      <c r="A40" s="50" t="n"/>
      <c r="B40" s="44" t="n"/>
      <c r="C40" s="45" t="n"/>
      <c r="D40" s="517" t="n"/>
      <c r="E40" s="27" t="n"/>
      <c r="F40" s="27" t="n"/>
    </row>
    <row r="41" ht="21" customHeight="1" s="12">
      <c r="A41" s="49" t="n"/>
      <c r="B41" s="505" t="inlineStr">
        <is>
          <t>ADD: STATUTORY LEVIES AND TAXES</t>
        </is>
      </c>
      <c r="C41" s="506" t="n">
        <v>0.2</v>
      </c>
      <c r="D41" s="518">
        <f>D38*C41</f>
        <v>16980513.87532486</v>
      </c>
      <c r="E41" s="27" t="n"/>
      <c r="F41" s="27" t="n"/>
    </row>
    <row r="42" ht="21" customHeight="1" s="12">
      <c r="A42" s="512" t="n"/>
      <c r="B42" s="513" t="n"/>
      <c r="C42" s="513" t="n"/>
      <c r="D42" s="519" t="n"/>
      <c r="E42" s="27" t="n"/>
      <c r="F42" s="27" t="n"/>
    </row>
    <row r="43" ht="23.4" customHeight="1" s="12">
      <c r="A43" s="509" t="n"/>
      <c r="B43" s="510" t="inlineStr">
        <is>
          <t>TOTAL COST OF THE WORKS</t>
        </is>
      </c>
      <c r="C43" s="48" t="inlineStr">
        <is>
          <t>GHC</t>
        </is>
      </c>
      <c r="D43" s="520">
        <f>D41+D38</f>
        <v>101883083.25194916</v>
      </c>
      <c r="E43" s="27" t="n"/>
      <c r="F43" s="27" t="n"/>
    </row>
    <row r="44" ht="21.6" customHeight="1" s="12" thickBot="1">
      <c r="A44" s="51" t="n"/>
      <c r="B44" s="52" t="n"/>
      <c r="C44" s="53" t="n"/>
      <c r="D44" s="54" t="n"/>
      <c r="E44" s="27" t="n"/>
      <c r="F44" s="27" t="n"/>
    </row>
    <row r="45" ht="14.25" customHeight="1" s="12" thickTop="1">
      <c r="A45" s="27" t="n"/>
      <c r="B45" s="27" t="n"/>
      <c r="C45" s="27" t="n"/>
      <c r="D45" s="26" t="n"/>
      <c r="E45" s="27" t="n"/>
      <c r="F45" s="27" t="n"/>
    </row>
    <row r="46" ht="14.25" customHeight="1" s="12">
      <c r="A46" s="27" t="n"/>
      <c r="B46" s="27" t="n"/>
      <c r="C46" s="27" t="n"/>
      <c r="D46" s="26" t="n"/>
      <c r="E46" s="27" t="n"/>
      <c r="F46" s="27" t="n"/>
    </row>
    <row r="47" ht="14.25" customHeight="1" s="12">
      <c r="A47" s="27" t="n"/>
      <c r="B47" s="27" t="n"/>
      <c r="C47" s="27" t="n"/>
      <c r="D47" s="26" t="n"/>
      <c r="E47" s="27" t="n"/>
      <c r="F47" s="27" t="n"/>
    </row>
    <row r="48" ht="14.25" customHeight="1" s="12">
      <c r="A48" s="27" t="n"/>
      <c r="B48" s="27" t="n"/>
      <c r="C48" s="27" t="n"/>
      <c r="D48" s="26" t="n"/>
      <c r="E48" s="27" t="n"/>
      <c r="F48" s="27" t="n"/>
    </row>
    <row r="49" ht="14.25" customHeight="1" s="12">
      <c r="A49" s="27" t="n"/>
      <c r="B49" s="27" t="n"/>
      <c r="C49" s="27" t="n"/>
      <c r="D49" s="26" t="n"/>
      <c r="E49" s="27" t="n"/>
      <c r="F49" s="27" t="n"/>
    </row>
    <row r="50" ht="14.25" customHeight="1" s="12">
      <c r="A50" s="27" t="n"/>
      <c r="B50" s="27" t="n"/>
      <c r="C50" s="27" t="n"/>
      <c r="D50" s="26" t="n"/>
      <c r="E50" s="27" t="n"/>
      <c r="F50" s="27" t="n"/>
    </row>
    <row r="51" ht="14.25" customHeight="1" s="12">
      <c r="A51" s="27" t="n"/>
      <c r="B51" s="27" t="n"/>
      <c r="C51" s="27" t="n"/>
      <c r="D51" s="26" t="n"/>
      <c r="E51" s="27" t="n"/>
      <c r="F51" s="27" t="n"/>
    </row>
    <row r="52" ht="14.25" customHeight="1" s="12">
      <c r="A52" s="27" t="n"/>
      <c r="B52" s="27" t="n"/>
      <c r="C52" s="27" t="n"/>
      <c r="D52" s="26" t="n"/>
      <c r="E52" s="27" t="n"/>
      <c r="F52" s="27" t="n"/>
    </row>
    <row r="53" ht="14.25" customHeight="1" s="12">
      <c r="A53" s="27" t="n"/>
      <c r="B53" s="27" t="n"/>
      <c r="C53" s="27" t="n"/>
      <c r="D53" s="26" t="n"/>
      <c r="E53" s="27" t="n"/>
      <c r="F53" s="27" t="n"/>
    </row>
    <row r="54" ht="14.25" customHeight="1" s="12">
      <c r="A54" s="27" t="n"/>
      <c r="B54" s="27" t="n"/>
      <c r="C54" s="27" t="n"/>
      <c r="D54" s="26" t="n"/>
      <c r="E54" s="27" t="n"/>
      <c r="F54" s="27" t="n"/>
    </row>
    <row r="55" ht="14.25" customHeight="1" s="12">
      <c r="A55" s="27" t="n"/>
      <c r="B55" s="27" t="n"/>
      <c r="C55" s="27" t="n"/>
      <c r="D55" s="26" t="n"/>
      <c r="E55" s="27" t="n"/>
      <c r="F55" s="27" t="n"/>
    </row>
    <row r="56" ht="14.25" customHeight="1" s="12">
      <c r="A56" s="27" t="n"/>
      <c r="B56" s="27" t="n"/>
      <c r="C56" s="27" t="n"/>
      <c r="D56" s="26" t="n"/>
      <c r="E56" s="27" t="n"/>
      <c r="F56" s="27" t="n"/>
    </row>
    <row r="57" ht="14.25" customHeight="1" s="12">
      <c r="A57" s="27" t="n"/>
      <c r="B57" s="27" t="n"/>
      <c r="C57" s="27" t="n"/>
      <c r="D57" s="26" t="n"/>
      <c r="E57" s="27" t="n"/>
      <c r="F57" s="27" t="n"/>
    </row>
    <row r="58" ht="14.25" customHeight="1" s="12">
      <c r="A58" s="27" t="n"/>
      <c r="B58" s="27" t="n"/>
      <c r="C58" s="27" t="n"/>
      <c r="D58" s="26" t="n"/>
      <c r="E58" s="27" t="n"/>
      <c r="F58" s="27" t="n"/>
    </row>
    <row r="59" ht="14.25" customHeight="1" s="12">
      <c r="A59" s="27" t="n"/>
      <c r="B59" s="27" t="n"/>
      <c r="C59" s="27" t="n"/>
      <c r="D59" s="26" t="n"/>
      <c r="E59" s="27" t="n"/>
      <c r="F59" s="27" t="n"/>
    </row>
    <row r="60" ht="14.25" customHeight="1" s="12">
      <c r="A60" s="27" t="n"/>
      <c r="B60" s="27" t="n"/>
      <c r="C60" s="27" t="n"/>
      <c r="D60" s="26" t="n"/>
      <c r="E60" s="27" t="n"/>
      <c r="F60" s="27" t="n"/>
    </row>
    <row r="61" ht="14.25" customHeight="1" s="12">
      <c r="A61" s="27" t="n"/>
      <c r="B61" s="27" t="n"/>
      <c r="C61" s="27" t="n"/>
      <c r="D61" s="26" t="n"/>
      <c r="E61" s="27" t="n"/>
      <c r="F61" s="27" t="n"/>
    </row>
    <row r="62" ht="14.25" customHeight="1" s="12">
      <c r="A62" s="27" t="n"/>
      <c r="B62" s="27" t="n"/>
      <c r="C62" s="27" t="n"/>
      <c r="D62" s="26" t="n"/>
      <c r="E62" s="27" t="n"/>
      <c r="F62" s="27" t="n"/>
    </row>
    <row r="63" ht="14.25" customHeight="1" s="12">
      <c r="A63" s="27" t="n"/>
      <c r="B63" s="27" t="n"/>
      <c r="C63" s="27" t="n"/>
      <c r="D63" s="26" t="n"/>
      <c r="E63" s="27" t="n"/>
      <c r="F63" s="27" t="n"/>
    </row>
    <row r="64" ht="14.25" customHeight="1" s="12">
      <c r="A64" s="27" t="n"/>
      <c r="B64" s="27" t="n"/>
      <c r="C64" s="27" t="n"/>
      <c r="D64" s="26" t="n"/>
      <c r="E64" s="27" t="n"/>
      <c r="F64" s="27" t="n"/>
    </row>
    <row r="65" ht="14.25" customHeight="1" s="12">
      <c r="A65" s="27" t="n"/>
      <c r="B65" s="27" t="n"/>
      <c r="C65" s="27" t="n"/>
      <c r="D65" s="26" t="n"/>
      <c r="E65" s="27" t="n"/>
      <c r="F65" s="27" t="n"/>
    </row>
    <row r="66" ht="14.25" customHeight="1" s="12">
      <c r="A66" s="27" t="n"/>
      <c r="B66" s="27" t="n"/>
      <c r="C66" s="27" t="n"/>
      <c r="D66" s="26" t="n"/>
      <c r="E66" s="27" t="n"/>
      <c r="F66" s="27" t="n"/>
    </row>
    <row r="67" ht="14.25" customHeight="1" s="12">
      <c r="A67" s="27" t="n"/>
      <c r="B67" s="27" t="n"/>
      <c r="C67" s="27" t="n"/>
      <c r="D67" s="26" t="n"/>
      <c r="E67" s="27" t="n"/>
      <c r="F67" s="27" t="n"/>
    </row>
    <row r="68" ht="14.25" customHeight="1" s="12">
      <c r="A68" s="27" t="n"/>
      <c r="B68" s="27" t="n"/>
      <c r="C68" s="27" t="n"/>
      <c r="D68" s="26" t="n"/>
      <c r="E68" s="27" t="n"/>
      <c r="F68" s="27" t="n"/>
    </row>
    <row r="69" ht="14.25" customHeight="1" s="12">
      <c r="A69" s="27" t="n"/>
      <c r="B69" s="27" t="n"/>
      <c r="C69" s="27" t="n"/>
      <c r="D69" s="26" t="n"/>
      <c r="E69" s="27" t="n"/>
      <c r="F69" s="27" t="n"/>
    </row>
    <row r="70" ht="14.25" customHeight="1" s="12">
      <c r="A70" s="27" t="n"/>
      <c r="B70" s="27" t="n"/>
      <c r="C70" s="27" t="n"/>
      <c r="D70" s="26" t="n"/>
      <c r="E70" s="27" t="n"/>
      <c r="F70" s="27" t="n"/>
    </row>
    <row r="71" ht="14.25" customHeight="1" s="12">
      <c r="A71" s="27" t="n"/>
      <c r="B71" s="27" t="n"/>
      <c r="C71" s="27" t="n"/>
      <c r="D71" s="26" t="n"/>
      <c r="E71" s="27" t="n"/>
      <c r="F71" s="27" t="n"/>
    </row>
    <row r="72" ht="14.25" customHeight="1" s="12">
      <c r="A72" s="27" t="n"/>
      <c r="B72" s="27" t="n"/>
      <c r="C72" s="27" t="n"/>
      <c r="D72" s="26" t="n"/>
      <c r="E72" s="27" t="n"/>
      <c r="F72" s="27" t="n"/>
    </row>
    <row r="73" ht="14.25" customHeight="1" s="12">
      <c r="A73" s="27" t="n"/>
      <c r="B73" s="27" t="n"/>
      <c r="C73" s="27" t="n"/>
      <c r="D73" s="26" t="n"/>
      <c r="E73" s="27" t="n"/>
      <c r="F73" s="27" t="n"/>
    </row>
    <row r="74" ht="14.25" customHeight="1" s="12">
      <c r="A74" s="27" t="n"/>
      <c r="B74" s="27" t="n"/>
      <c r="C74" s="27" t="n"/>
      <c r="D74" s="26" t="n"/>
      <c r="E74" s="27" t="n"/>
      <c r="F74" s="27" t="n"/>
    </row>
    <row r="75" ht="14.25" customHeight="1" s="12">
      <c r="A75" s="27" t="n"/>
      <c r="B75" s="27" t="n"/>
      <c r="C75" s="27" t="n"/>
      <c r="D75" s="26" t="n"/>
      <c r="E75" s="27" t="n"/>
      <c r="F75" s="27" t="n"/>
    </row>
    <row r="76" ht="14.25" customHeight="1" s="12">
      <c r="A76" s="27" t="n"/>
      <c r="B76" s="27" t="n"/>
      <c r="C76" s="27" t="n"/>
      <c r="D76" s="26" t="n"/>
      <c r="E76" s="27" t="n"/>
      <c r="F76" s="27" t="n"/>
    </row>
    <row r="77" ht="14.25" customHeight="1" s="12">
      <c r="A77" s="27" t="n"/>
      <c r="B77" s="27" t="n"/>
      <c r="C77" s="27" t="n"/>
      <c r="D77" s="26" t="n"/>
      <c r="E77" s="27" t="n"/>
      <c r="F77" s="27" t="n"/>
    </row>
    <row r="78" ht="14.25" customHeight="1" s="12">
      <c r="A78" s="27" t="n"/>
      <c r="B78" s="27" t="n"/>
      <c r="C78" s="27" t="n"/>
      <c r="D78" s="26" t="n"/>
      <c r="E78" s="27" t="n"/>
      <c r="F78" s="27" t="n"/>
    </row>
    <row r="79" ht="14.25" customHeight="1" s="12">
      <c r="A79" s="27" t="n"/>
      <c r="B79" s="27" t="n"/>
      <c r="C79" s="27" t="n"/>
      <c r="D79" s="26" t="n"/>
      <c r="E79" s="27" t="n"/>
      <c r="F79" s="27" t="n"/>
    </row>
    <row r="80" ht="14.25" customHeight="1" s="12">
      <c r="A80" s="27" t="n"/>
      <c r="B80" s="27" t="n"/>
      <c r="C80" s="27" t="n"/>
      <c r="D80" s="26" t="n"/>
      <c r="E80" s="27" t="n"/>
      <c r="F80" s="27" t="n"/>
    </row>
    <row r="81" ht="14.25" customHeight="1" s="12">
      <c r="A81" s="27" t="n"/>
      <c r="B81" s="27" t="n"/>
      <c r="C81" s="27" t="n"/>
      <c r="D81" s="26" t="n"/>
      <c r="E81" s="27" t="n"/>
      <c r="F81" s="27" t="n"/>
    </row>
    <row r="82" ht="14.25" customHeight="1" s="12">
      <c r="A82" s="27" t="n"/>
      <c r="B82" s="27" t="n"/>
      <c r="C82" s="27" t="n"/>
      <c r="D82" s="26" t="n"/>
      <c r="E82" s="27" t="n"/>
      <c r="F82" s="27" t="n"/>
    </row>
    <row r="83" ht="14.25" customHeight="1" s="12">
      <c r="A83" s="27" t="n"/>
      <c r="B83" s="27" t="n"/>
      <c r="C83" s="27" t="n"/>
      <c r="D83" s="26" t="n"/>
      <c r="E83" s="27" t="n"/>
      <c r="F83" s="27" t="n"/>
    </row>
    <row r="84" ht="14.25" customHeight="1" s="12">
      <c r="A84" s="27" t="n"/>
      <c r="B84" s="27" t="n"/>
      <c r="C84" s="27" t="n"/>
      <c r="D84" s="26" t="n"/>
      <c r="E84" s="27" t="n"/>
      <c r="F84" s="27" t="n"/>
    </row>
    <row r="85" ht="14.25" customHeight="1" s="12">
      <c r="A85" s="27" t="n"/>
      <c r="B85" s="27" t="n"/>
      <c r="C85" s="27" t="n"/>
      <c r="D85" s="26" t="n"/>
      <c r="E85" s="27" t="n"/>
      <c r="F85" s="27" t="n"/>
    </row>
    <row r="86" ht="14.25" customHeight="1" s="12">
      <c r="A86" s="27" t="n"/>
      <c r="B86" s="27" t="n"/>
      <c r="C86" s="27" t="n"/>
      <c r="D86" s="26" t="n"/>
      <c r="E86" s="27" t="n"/>
      <c r="F86" s="27" t="n"/>
    </row>
    <row r="87" ht="14.25" customHeight="1" s="12">
      <c r="A87" s="27" t="n"/>
      <c r="B87" s="27" t="n"/>
      <c r="C87" s="27" t="n"/>
      <c r="D87" s="26" t="n"/>
      <c r="E87" s="27" t="n"/>
      <c r="F87" s="27" t="n"/>
    </row>
    <row r="88" ht="14.25" customHeight="1" s="12">
      <c r="A88" s="27" t="n"/>
      <c r="B88" s="27" t="n"/>
      <c r="C88" s="27" t="n"/>
      <c r="D88" s="26" t="n"/>
      <c r="E88" s="27" t="n"/>
      <c r="F88" s="27" t="n"/>
    </row>
    <row r="89" ht="14.25" customHeight="1" s="12">
      <c r="A89" s="27" t="n"/>
      <c r="B89" s="27" t="n"/>
      <c r="C89" s="27" t="n"/>
      <c r="D89" s="26" t="n"/>
      <c r="E89" s="27" t="n"/>
      <c r="F89" s="27" t="n"/>
    </row>
    <row r="90" ht="14.25" customHeight="1" s="12">
      <c r="A90" s="27" t="n"/>
      <c r="B90" s="27" t="n"/>
      <c r="C90" s="27" t="n"/>
      <c r="D90" s="26" t="n"/>
      <c r="E90" s="27" t="n"/>
      <c r="F90" s="27" t="n"/>
    </row>
    <row r="91" ht="14.25" customHeight="1" s="12">
      <c r="A91" s="27" t="n"/>
      <c r="B91" s="27" t="n"/>
      <c r="C91" s="27" t="n"/>
      <c r="D91" s="26" t="n"/>
      <c r="E91" s="27" t="n"/>
      <c r="F91" s="27" t="n"/>
    </row>
    <row r="92" ht="14.25" customHeight="1" s="12">
      <c r="A92" s="27" t="n"/>
      <c r="B92" s="27" t="n"/>
      <c r="C92" s="27" t="n"/>
      <c r="D92" s="26" t="n"/>
      <c r="E92" s="27" t="n"/>
      <c r="F92" s="27" t="n"/>
    </row>
    <row r="93" ht="14.25" customHeight="1" s="12">
      <c r="A93" s="27" t="n"/>
      <c r="B93" s="27" t="n"/>
      <c r="C93" s="27" t="n"/>
      <c r="D93" s="26" t="n"/>
      <c r="E93" s="27" t="n"/>
      <c r="F93" s="27" t="n"/>
    </row>
    <row r="94" ht="14.25" customHeight="1" s="12">
      <c r="A94" s="27" t="n"/>
      <c r="B94" s="27" t="n"/>
      <c r="C94" s="27" t="n"/>
      <c r="D94" s="26" t="n"/>
      <c r="E94" s="27" t="n"/>
      <c r="F94" s="27" t="n"/>
    </row>
    <row r="95" ht="14.25" customHeight="1" s="12">
      <c r="A95" s="27" t="n"/>
      <c r="B95" s="27" t="n"/>
      <c r="C95" s="27" t="n"/>
      <c r="D95" s="26" t="n"/>
      <c r="E95" s="27" t="n"/>
      <c r="F95" s="27" t="n"/>
    </row>
    <row r="96" ht="14.25" customHeight="1" s="12">
      <c r="A96" s="27" t="n"/>
      <c r="B96" s="27" t="n"/>
      <c r="C96" s="27" t="n"/>
      <c r="D96" s="26" t="n"/>
      <c r="E96" s="27" t="n"/>
      <c r="F96" s="27" t="n"/>
    </row>
    <row r="97" ht="14.25" customHeight="1" s="12">
      <c r="A97" s="27" t="n"/>
      <c r="B97" s="27" t="n"/>
      <c r="C97" s="27" t="n"/>
      <c r="D97" s="26" t="n"/>
      <c r="E97" s="27" t="n"/>
      <c r="F97" s="27" t="n"/>
    </row>
    <row r="98" ht="14.25" customHeight="1" s="12">
      <c r="A98" s="27" t="n"/>
      <c r="B98" s="27" t="n"/>
      <c r="C98" s="27" t="n"/>
      <c r="D98" s="26" t="n"/>
      <c r="E98" s="27" t="n"/>
      <c r="F98" s="27" t="n"/>
    </row>
    <row r="99" ht="14.25" customHeight="1" s="12">
      <c r="A99" s="27" t="n"/>
      <c r="B99" s="27" t="n"/>
      <c r="C99" s="27" t="n"/>
      <c r="D99" s="26" t="n"/>
      <c r="E99" s="27" t="n"/>
      <c r="F99" s="27" t="n"/>
    </row>
    <row r="100" ht="14.25" customHeight="1" s="12">
      <c r="A100" s="27" t="n"/>
      <c r="B100" s="27" t="n"/>
      <c r="C100" s="27" t="n"/>
      <c r="D100" s="26" t="n"/>
      <c r="E100" s="27" t="n"/>
      <c r="F100" s="27" t="n"/>
    </row>
    <row r="101" ht="14.25" customHeight="1" s="12">
      <c r="A101" s="27" t="n"/>
      <c r="B101" s="27" t="n"/>
      <c r="C101" s="27" t="n"/>
      <c r="D101" s="26" t="n"/>
      <c r="E101" s="27" t="n"/>
      <c r="F101" s="27" t="n"/>
    </row>
    <row r="102" ht="14.25" customHeight="1" s="12">
      <c r="A102" s="27" t="n"/>
      <c r="B102" s="27" t="n"/>
      <c r="C102" s="27" t="n"/>
      <c r="D102" s="26" t="n"/>
      <c r="E102" s="27" t="n"/>
      <c r="F102" s="27" t="n"/>
    </row>
    <row r="103" ht="14.25" customHeight="1" s="12">
      <c r="A103" s="27" t="n"/>
      <c r="B103" s="27" t="n"/>
      <c r="C103" s="27" t="n"/>
      <c r="D103" s="26" t="n"/>
      <c r="E103" s="27" t="n"/>
      <c r="F103" s="27" t="n"/>
    </row>
    <row r="104" ht="14.25" customHeight="1" s="12">
      <c r="A104" s="27" t="n"/>
      <c r="B104" s="27" t="n"/>
      <c r="C104" s="27" t="n"/>
      <c r="D104" s="26" t="n"/>
      <c r="E104" s="27" t="n"/>
      <c r="F104" s="27" t="n"/>
    </row>
    <row r="105" ht="14.25" customHeight="1" s="12">
      <c r="A105" s="27" t="n"/>
      <c r="B105" s="27" t="n"/>
      <c r="C105" s="27" t="n"/>
      <c r="D105" s="26" t="n"/>
      <c r="E105" s="27" t="n"/>
      <c r="F105" s="27" t="n"/>
    </row>
    <row r="106" ht="14.25" customHeight="1" s="12">
      <c r="A106" s="27" t="n"/>
      <c r="B106" s="27" t="n"/>
      <c r="C106" s="27" t="n"/>
      <c r="D106" s="26" t="n"/>
      <c r="E106" s="27" t="n"/>
      <c r="F106" s="27" t="n"/>
    </row>
    <row r="107" ht="14.25" customHeight="1" s="12">
      <c r="A107" s="27" t="n"/>
      <c r="B107" s="27" t="n"/>
      <c r="C107" s="27" t="n"/>
      <c r="D107" s="26" t="n"/>
      <c r="E107" s="27" t="n"/>
      <c r="F107" s="27" t="n"/>
    </row>
    <row r="108" ht="14.25" customHeight="1" s="12">
      <c r="A108" s="27" t="n"/>
      <c r="B108" s="27" t="n"/>
      <c r="C108" s="27" t="n"/>
      <c r="D108" s="26" t="n"/>
      <c r="E108" s="27" t="n"/>
      <c r="F108" s="27" t="n"/>
    </row>
    <row r="109" ht="14.25" customHeight="1" s="12">
      <c r="A109" s="27" t="n"/>
      <c r="B109" s="27" t="n"/>
      <c r="C109" s="27" t="n"/>
      <c r="D109" s="26" t="n"/>
      <c r="E109" s="27" t="n"/>
      <c r="F109" s="27" t="n"/>
    </row>
    <row r="110" ht="14.25" customHeight="1" s="12">
      <c r="A110" s="27" t="n"/>
      <c r="B110" s="27" t="n"/>
      <c r="C110" s="27" t="n"/>
      <c r="D110" s="26" t="n"/>
      <c r="E110" s="27" t="n"/>
      <c r="F110" s="27" t="n"/>
    </row>
    <row r="111" ht="14.25" customHeight="1" s="12">
      <c r="A111" s="27" t="n"/>
      <c r="B111" s="27" t="n"/>
      <c r="C111" s="27" t="n"/>
      <c r="D111" s="26" t="n"/>
      <c r="E111" s="27" t="n"/>
      <c r="F111" s="27" t="n"/>
    </row>
    <row r="112" ht="14.25" customHeight="1" s="12">
      <c r="A112" s="27" t="n"/>
      <c r="B112" s="27" t="n"/>
      <c r="C112" s="27" t="n"/>
      <c r="D112" s="26" t="n"/>
      <c r="E112" s="27" t="n"/>
      <c r="F112" s="27" t="n"/>
    </row>
    <row r="113" ht="14.25" customHeight="1" s="12">
      <c r="A113" s="27" t="n"/>
      <c r="B113" s="27" t="n"/>
      <c r="C113" s="27" t="n"/>
      <c r="D113" s="26" t="n"/>
      <c r="E113" s="27" t="n"/>
      <c r="F113" s="27" t="n"/>
    </row>
    <row r="114" ht="14.25" customHeight="1" s="12">
      <c r="A114" s="27" t="n"/>
      <c r="B114" s="27" t="n"/>
      <c r="C114" s="27" t="n"/>
      <c r="D114" s="26" t="n"/>
      <c r="E114" s="27" t="n"/>
      <c r="F114" s="27" t="n"/>
    </row>
    <row r="115" ht="14.25" customHeight="1" s="12">
      <c r="A115" s="27" t="n"/>
      <c r="B115" s="27" t="n"/>
      <c r="C115" s="27" t="n"/>
      <c r="D115" s="26" t="n"/>
      <c r="E115" s="27" t="n"/>
      <c r="F115" s="27" t="n"/>
    </row>
    <row r="116" ht="14.25" customHeight="1" s="12">
      <c r="A116" s="27" t="n"/>
      <c r="B116" s="27" t="n"/>
      <c r="C116" s="27" t="n"/>
      <c r="D116" s="26" t="n"/>
      <c r="E116" s="27" t="n"/>
      <c r="F116" s="27" t="n"/>
    </row>
    <row r="117" ht="14.25" customHeight="1" s="12">
      <c r="A117" s="27" t="n"/>
      <c r="B117" s="27" t="n"/>
      <c r="C117" s="27" t="n"/>
      <c r="D117" s="26" t="n"/>
      <c r="E117" s="27" t="n"/>
      <c r="F117" s="27" t="n"/>
    </row>
    <row r="118" ht="14.25" customHeight="1" s="12">
      <c r="A118" s="27" t="n"/>
      <c r="B118" s="27" t="n"/>
      <c r="C118" s="27" t="n"/>
      <c r="D118" s="26" t="n"/>
      <c r="E118" s="27" t="n"/>
      <c r="F118" s="27" t="n"/>
    </row>
    <row r="119" ht="14.25" customHeight="1" s="12">
      <c r="A119" s="27" t="n"/>
      <c r="B119" s="27" t="n"/>
      <c r="C119" s="27" t="n"/>
      <c r="D119" s="26" t="n"/>
      <c r="E119" s="27" t="n"/>
      <c r="F119" s="27" t="n"/>
    </row>
    <row r="120" ht="14.25" customHeight="1" s="12">
      <c r="A120" s="27" t="n"/>
      <c r="B120" s="27" t="n"/>
      <c r="C120" s="27" t="n"/>
      <c r="D120" s="26" t="n"/>
      <c r="E120" s="27" t="n"/>
      <c r="F120" s="27" t="n"/>
    </row>
    <row r="121" ht="14.25" customHeight="1" s="12">
      <c r="A121" s="27" t="n"/>
      <c r="B121" s="27" t="n"/>
      <c r="C121" s="27" t="n"/>
      <c r="D121" s="26" t="n"/>
      <c r="E121" s="27" t="n"/>
      <c r="F121" s="27" t="n"/>
    </row>
    <row r="122" ht="14.25" customHeight="1" s="12">
      <c r="A122" s="27" t="n"/>
      <c r="B122" s="27" t="n"/>
      <c r="C122" s="27" t="n"/>
      <c r="D122" s="26" t="n"/>
      <c r="E122" s="27" t="n"/>
      <c r="F122" s="27" t="n"/>
    </row>
    <row r="123" ht="14.25" customHeight="1" s="12">
      <c r="A123" s="27" t="n"/>
      <c r="B123" s="27" t="n"/>
      <c r="C123" s="27" t="n"/>
      <c r="D123" s="26" t="n"/>
      <c r="E123" s="27" t="n"/>
      <c r="F123" s="27" t="n"/>
    </row>
    <row r="124" ht="14.25" customHeight="1" s="12">
      <c r="A124" s="27" t="n"/>
      <c r="B124" s="27" t="n"/>
      <c r="C124" s="27" t="n"/>
      <c r="D124" s="26" t="n"/>
      <c r="E124" s="27" t="n"/>
      <c r="F124" s="27" t="n"/>
    </row>
    <row r="125" ht="14.25" customHeight="1" s="12">
      <c r="A125" s="27" t="n"/>
      <c r="B125" s="27" t="n"/>
      <c r="C125" s="27" t="n"/>
      <c r="D125" s="26" t="n"/>
      <c r="E125" s="27" t="n"/>
      <c r="F125" s="27" t="n"/>
    </row>
    <row r="126" ht="14.25" customHeight="1" s="12">
      <c r="A126" s="27" t="n"/>
      <c r="B126" s="27" t="n"/>
      <c r="C126" s="27" t="n"/>
      <c r="D126" s="26" t="n"/>
      <c r="E126" s="27" t="n"/>
      <c r="F126" s="27" t="n"/>
    </row>
    <row r="127" ht="14.25" customHeight="1" s="12">
      <c r="A127" s="27" t="n"/>
      <c r="B127" s="27" t="n"/>
      <c r="C127" s="27" t="n"/>
      <c r="D127" s="26" t="n"/>
      <c r="E127" s="27" t="n"/>
      <c r="F127" s="27" t="n"/>
    </row>
    <row r="128" ht="14.25" customHeight="1" s="12">
      <c r="A128" s="27" t="n"/>
      <c r="B128" s="27" t="n"/>
      <c r="C128" s="27" t="n"/>
      <c r="D128" s="26" t="n"/>
      <c r="E128" s="27" t="n"/>
      <c r="F128" s="27" t="n"/>
    </row>
    <row r="129" ht="14.25" customHeight="1" s="12">
      <c r="A129" s="27" t="n"/>
      <c r="B129" s="27" t="n"/>
      <c r="C129" s="27" t="n"/>
      <c r="D129" s="26" t="n"/>
      <c r="E129" s="27" t="n"/>
      <c r="F129" s="27" t="n"/>
    </row>
    <row r="130" ht="14.25" customHeight="1" s="12">
      <c r="A130" s="27" t="n"/>
      <c r="B130" s="27" t="n"/>
      <c r="C130" s="27" t="n"/>
      <c r="D130" s="26" t="n"/>
      <c r="E130" s="27" t="n"/>
      <c r="F130" s="27" t="n"/>
    </row>
    <row r="131" ht="14.25" customHeight="1" s="12">
      <c r="A131" s="27" t="n"/>
      <c r="B131" s="27" t="n"/>
      <c r="C131" s="27" t="n"/>
      <c r="D131" s="26" t="n"/>
      <c r="E131" s="27" t="n"/>
      <c r="F131" s="27" t="n"/>
    </row>
    <row r="132" ht="14.25" customHeight="1" s="12">
      <c r="A132" s="27" t="n"/>
      <c r="B132" s="27" t="n"/>
      <c r="C132" s="27" t="n"/>
      <c r="D132" s="26" t="n"/>
      <c r="E132" s="27" t="n"/>
      <c r="F132" s="27" t="n"/>
    </row>
    <row r="133" ht="14.25" customHeight="1" s="12">
      <c r="A133" s="27" t="n"/>
      <c r="B133" s="27" t="n"/>
      <c r="C133" s="27" t="n"/>
      <c r="D133" s="26" t="n"/>
      <c r="E133" s="27" t="n"/>
      <c r="F133" s="27" t="n"/>
    </row>
    <row r="134" ht="14.25" customHeight="1" s="12">
      <c r="A134" s="27" t="n"/>
      <c r="B134" s="27" t="n"/>
      <c r="C134" s="27" t="n"/>
      <c r="D134" s="26" t="n"/>
      <c r="E134" s="27" t="n"/>
      <c r="F134" s="27" t="n"/>
    </row>
    <row r="135" ht="14.25" customHeight="1" s="12">
      <c r="A135" s="27" t="n"/>
      <c r="B135" s="27" t="n"/>
      <c r="C135" s="27" t="n"/>
      <c r="D135" s="26" t="n"/>
      <c r="E135" s="27" t="n"/>
      <c r="F135" s="27" t="n"/>
    </row>
    <row r="136" ht="14.25" customHeight="1" s="12">
      <c r="A136" s="27" t="n"/>
      <c r="B136" s="27" t="n"/>
      <c r="C136" s="27" t="n"/>
      <c r="D136" s="26" t="n"/>
      <c r="E136" s="27" t="n"/>
      <c r="F136" s="27" t="n"/>
    </row>
    <row r="137" ht="14.25" customHeight="1" s="12">
      <c r="A137" s="27" t="n"/>
      <c r="B137" s="27" t="n"/>
      <c r="C137" s="27" t="n"/>
      <c r="D137" s="26" t="n"/>
      <c r="E137" s="27" t="n"/>
      <c r="F137" s="27" t="n"/>
    </row>
    <row r="138" ht="14.25" customHeight="1" s="12">
      <c r="A138" s="27" t="n"/>
      <c r="B138" s="27" t="n"/>
      <c r="C138" s="27" t="n"/>
      <c r="D138" s="26" t="n"/>
      <c r="E138" s="27" t="n"/>
      <c r="F138" s="27" t="n"/>
    </row>
    <row r="139" ht="14.25" customHeight="1" s="12">
      <c r="A139" s="27" t="n"/>
      <c r="B139" s="27" t="n"/>
      <c r="C139" s="27" t="n"/>
      <c r="D139" s="26" t="n"/>
      <c r="E139" s="27" t="n"/>
      <c r="F139" s="27" t="n"/>
    </row>
    <row r="140" ht="14.25" customHeight="1" s="12">
      <c r="A140" s="27" t="n"/>
      <c r="B140" s="27" t="n"/>
      <c r="C140" s="27" t="n"/>
      <c r="D140" s="26" t="n"/>
      <c r="E140" s="27" t="n"/>
      <c r="F140" s="27" t="n"/>
    </row>
    <row r="141" ht="14.25" customHeight="1" s="12">
      <c r="A141" s="27" t="n"/>
      <c r="B141" s="27" t="n"/>
      <c r="C141" s="27" t="n"/>
      <c r="D141" s="26" t="n"/>
      <c r="E141" s="27" t="n"/>
      <c r="F141" s="27" t="n"/>
    </row>
    <row r="142" ht="14.25" customHeight="1" s="12">
      <c r="A142" s="27" t="n"/>
      <c r="B142" s="27" t="n"/>
      <c r="C142" s="27" t="n"/>
      <c r="D142" s="26" t="n"/>
      <c r="E142" s="27" t="n"/>
      <c r="F142" s="27" t="n"/>
    </row>
    <row r="143" ht="14.25" customHeight="1" s="12">
      <c r="A143" s="27" t="n"/>
      <c r="B143" s="27" t="n"/>
      <c r="C143" s="27" t="n"/>
      <c r="D143" s="26" t="n"/>
      <c r="E143" s="27" t="n"/>
      <c r="F143" s="27" t="n"/>
    </row>
    <row r="144" ht="14.25" customHeight="1" s="12">
      <c r="A144" s="27" t="n"/>
      <c r="B144" s="27" t="n"/>
      <c r="C144" s="27" t="n"/>
      <c r="D144" s="26" t="n"/>
      <c r="E144" s="27" t="n"/>
      <c r="F144" s="27" t="n"/>
    </row>
    <row r="145" ht="14.25" customHeight="1" s="12">
      <c r="A145" s="27" t="n"/>
      <c r="B145" s="27" t="n"/>
      <c r="C145" s="27" t="n"/>
      <c r="D145" s="26" t="n"/>
      <c r="E145" s="27" t="n"/>
      <c r="F145" s="27" t="n"/>
    </row>
    <row r="146" ht="14.25" customHeight="1" s="12">
      <c r="A146" s="27" t="n"/>
      <c r="B146" s="27" t="n"/>
      <c r="C146" s="27" t="n"/>
      <c r="D146" s="26" t="n"/>
      <c r="E146" s="27" t="n"/>
      <c r="F146" s="27" t="n"/>
    </row>
    <row r="147" ht="14.25" customHeight="1" s="12">
      <c r="A147" s="27" t="n"/>
      <c r="B147" s="27" t="n"/>
      <c r="C147" s="27" t="n"/>
      <c r="D147" s="26" t="n"/>
      <c r="E147" s="27" t="n"/>
      <c r="F147" s="27" t="n"/>
    </row>
    <row r="148" ht="14.25" customHeight="1" s="12">
      <c r="A148" s="27" t="n"/>
      <c r="B148" s="27" t="n"/>
      <c r="C148" s="27" t="n"/>
      <c r="D148" s="26" t="n"/>
      <c r="E148" s="27" t="n"/>
      <c r="F148" s="27" t="n"/>
    </row>
    <row r="149" ht="14.25" customHeight="1" s="12">
      <c r="A149" s="27" t="n"/>
      <c r="B149" s="27" t="n"/>
      <c r="C149" s="27" t="n"/>
      <c r="D149" s="26" t="n"/>
      <c r="E149" s="27" t="n"/>
      <c r="F149" s="27" t="n"/>
    </row>
    <row r="150" ht="14.25" customHeight="1" s="12">
      <c r="A150" s="27" t="n"/>
      <c r="B150" s="27" t="n"/>
      <c r="C150" s="27" t="n"/>
      <c r="D150" s="26" t="n"/>
      <c r="E150" s="27" t="n"/>
      <c r="F150" s="27" t="n"/>
    </row>
    <row r="151" ht="14.25" customHeight="1" s="12">
      <c r="A151" s="27" t="n"/>
      <c r="B151" s="27" t="n"/>
      <c r="C151" s="27" t="n"/>
      <c r="D151" s="26" t="n"/>
      <c r="E151" s="27" t="n"/>
      <c r="F151" s="27" t="n"/>
    </row>
    <row r="152" ht="14.25" customHeight="1" s="12">
      <c r="A152" s="27" t="n"/>
      <c r="B152" s="27" t="n"/>
      <c r="C152" s="27" t="n"/>
      <c r="D152" s="26" t="n"/>
      <c r="E152" s="27" t="n"/>
      <c r="F152" s="27" t="n"/>
    </row>
    <row r="153" ht="14.25" customHeight="1" s="12">
      <c r="A153" s="27" t="n"/>
      <c r="B153" s="27" t="n"/>
      <c r="C153" s="27" t="n"/>
      <c r="D153" s="26" t="n"/>
      <c r="E153" s="27" t="n"/>
      <c r="F153" s="27" t="n"/>
    </row>
    <row r="154" ht="14.25" customHeight="1" s="12">
      <c r="A154" s="27" t="n"/>
      <c r="B154" s="27" t="n"/>
      <c r="C154" s="27" t="n"/>
      <c r="D154" s="26" t="n"/>
      <c r="E154" s="27" t="n"/>
      <c r="F154" s="27" t="n"/>
    </row>
    <row r="155" ht="14.25" customHeight="1" s="12">
      <c r="A155" s="27" t="n"/>
      <c r="B155" s="27" t="n"/>
      <c r="C155" s="27" t="n"/>
      <c r="D155" s="26" t="n"/>
      <c r="E155" s="27" t="n"/>
      <c r="F155" s="27" t="n"/>
    </row>
    <row r="156" ht="14.25" customHeight="1" s="12">
      <c r="A156" s="27" t="n"/>
      <c r="B156" s="27" t="n"/>
      <c r="C156" s="27" t="n"/>
      <c r="D156" s="26" t="n"/>
      <c r="E156" s="27" t="n"/>
      <c r="F156" s="27" t="n"/>
    </row>
    <row r="157" ht="14.25" customHeight="1" s="12">
      <c r="A157" s="27" t="n"/>
      <c r="B157" s="27" t="n"/>
      <c r="C157" s="27" t="n"/>
      <c r="D157" s="26" t="n"/>
      <c r="E157" s="27" t="n"/>
      <c r="F157" s="27" t="n"/>
    </row>
    <row r="158" ht="14.25" customHeight="1" s="12">
      <c r="A158" s="27" t="n"/>
      <c r="B158" s="27" t="n"/>
      <c r="C158" s="27" t="n"/>
      <c r="D158" s="26" t="n"/>
      <c r="E158" s="27" t="n"/>
      <c r="F158" s="27" t="n"/>
    </row>
    <row r="159" ht="14.25" customHeight="1" s="12">
      <c r="A159" s="27" t="n"/>
      <c r="B159" s="27" t="n"/>
      <c r="C159" s="27" t="n"/>
      <c r="D159" s="26" t="n"/>
      <c r="E159" s="27" t="n"/>
      <c r="F159" s="27" t="n"/>
    </row>
    <row r="160" ht="14.25" customHeight="1" s="12">
      <c r="A160" s="27" t="n"/>
      <c r="B160" s="27" t="n"/>
      <c r="C160" s="27" t="n"/>
      <c r="D160" s="26" t="n"/>
      <c r="E160" s="27" t="n"/>
      <c r="F160" s="27" t="n"/>
    </row>
    <row r="161" ht="14.25" customHeight="1" s="12">
      <c r="A161" s="27" t="n"/>
      <c r="B161" s="27" t="n"/>
      <c r="C161" s="27" t="n"/>
      <c r="D161" s="26" t="n"/>
      <c r="E161" s="27" t="n"/>
      <c r="F161" s="27" t="n"/>
    </row>
    <row r="162" ht="14.25" customHeight="1" s="12">
      <c r="A162" s="27" t="n"/>
      <c r="B162" s="27" t="n"/>
      <c r="C162" s="27" t="n"/>
      <c r="D162" s="26" t="n"/>
      <c r="E162" s="27" t="n"/>
      <c r="F162" s="27" t="n"/>
    </row>
    <row r="163" ht="14.25" customHeight="1" s="12">
      <c r="A163" s="27" t="n"/>
      <c r="B163" s="27" t="n"/>
      <c r="C163" s="27" t="n"/>
      <c r="D163" s="26" t="n"/>
      <c r="E163" s="27" t="n"/>
      <c r="F163" s="27" t="n"/>
    </row>
    <row r="164" ht="14.25" customHeight="1" s="12">
      <c r="A164" s="27" t="n"/>
      <c r="B164" s="27" t="n"/>
      <c r="C164" s="27" t="n"/>
      <c r="D164" s="26" t="n"/>
      <c r="E164" s="27" t="n"/>
      <c r="F164" s="27" t="n"/>
    </row>
    <row r="165" ht="14.25" customHeight="1" s="12">
      <c r="A165" s="27" t="n"/>
      <c r="B165" s="27" t="n"/>
      <c r="C165" s="27" t="n"/>
      <c r="D165" s="26" t="n"/>
      <c r="E165" s="27" t="n"/>
      <c r="F165" s="27" t="n"/>
    </row>
    <row r="166" ht="14.25" customHeight="1" s="12">
      <c r="A166" s="27" t="n"/>
      <c r="B166" s="27" t="n"/>
      <c r="C166" s="27" t="n"/>
      <c r="D166" s="26" t="n"/>
      <c r="E166" s="27" t="n"/>
      <c r="F166" s="27" t="n"/>
    </row>
    <row r="167" ht="14.25" customHeight="1" s="12">
      <c r="A167" s="27" t="n"/>
      <c r="B167" s="27" t="n"/>
      <c r="C167" s="27" t="n"/>
      <c r="D167" s="26" t="n"/>
      <c r="E167" s="27" t="n"/>
      <c r="F167" s="27" t="n"/>
    </row>
    <row r="168" ht="14.25" customHeight="1" s="12">
      <c r="A168" s="27" t="n"/>
      <c r="B168" s="27" t="n"/>
      <c r="C168" s="27" t="n"/>
      <c r="D168" s="26" t="n"/>
      <c r="E168" s="27" t="n"/>
      <c r="F168" s="27" t="n"/>
    </row>
    <row r="169" ht="14.25" customHeight="1" s="12">
      <c r="A169" s="27" t="n"/>
      <c r="B169" s="27" t="n"/>
      <c r="C169" s="27" t="n"/>
      <c r="D169" s="26" t="n"/>
      <c r="E169" s="27" t="n"/>
      <c r="F169" s="27" t="n"/>
    </row>
    <row r="170" ht="14.25" customHeight="1" s="12">
      <c r="A170" s="27" t="n"/>
      <c r="B170" s="27" t="n"/>
      <c r="C170" s="27" t="n"/>
      <c r="D170" s="26" t="n"/>
      <c r="E170" s="27" t="n"/>
      <c r="F170" s="27" t="n"/>
    </row>
    <row r="171" ht="14.25" customHeight="1" s="12">
      <c r="A171" s="27" t="n"/>
      <c r="B171" s="27" t="n"/>
      <c r="C171" s="27" t="n"/>
      <c r="D171" s="26" t="n"/>
      <c r="E171" s="27" t="n"/>
      <c r="F171" s="27" t="n"/>
    </row>
    <row r="172" ht="14.25" customHeight="1" s="12">
      <c r="A172" s="27" t="n"/>
      <c r="B172" s="27" t="n"/>
      <c r="C172" s="27" t="n"/>
      <c r="D172" s="26" t="n"/>
      <c r="E172" s="27" t="n"/>
      <c r="F172" s="27" t="n"/>
    </row>
    <row r="173" ht="14.25" customHeight="1" s="12">
      <c r="A173" s="27" t="n"/>
      <c r="B173" s="27" t="n"/>
      <c r="C173" s="27" t="n"/>
      <c r="D173" s="26" t="n"/>
      <c r="E173" s="27" t="n"/>
      <c r="F173" s="27" t="n"/>
    </row>
    <row r="174" ht="14.25" customHeight="1" s="12">
      <c r="A174" s="27" t="n"/>
      <c r="B174" s="27" t="n"/>
      <c r="C174" s="27" t="n"/>
      <c r="D174" s="26" t="n"/>
      <c r="E174" s="27" t="n"/>
      <c r="F174" s="27" t="n"/>
    </row>
    <row r="175" ht="14.25" customHeight="1" s="12">
      <c r="A175" s="27" t="n"/>
      <c r="B175" s="27" t="n"/>
      <c r="C175" s="27" t="n"/>
      <c r="D175" s="26" t="n"/>
      <c r="E175" s="27" t="n"/>
      <c r="F175" s="27" t="n"/>
    </row>
    <row r="176" ht="14.25" customHeight="1" s="12">
      <c r="A176" s="27" t="n"/>
      <c r="B176" s="27" t="n"/>
      <c r="C176" s="27" t="n"/>
      <c r="D176" s="26" t="n"/>
      <c r="E176" s="27" t="n"/>
      <c r="F176" s="27" t="n"/>
    </row>
    <row r="177" ht="14.25" customHeight="1" s="12">
      <c r="A177" s="27" t="n"/>
      <c r="B177" s="27" t="n"/>
      <c r="C177" s="27" t="n"/>
      <c r="D177" s="26" t="n"/>
      <c r="E177" s="27" t="n"/>
      <c r="F177" s="27" t="n"/>
    </row>
    <row r="178" ht="14.25" customHeight="1" s="12">
      <c r="A178" s="27" t="n"/>
      <c r="B178" s="27" t="n"/>
      <c r="C178" s="27" t="n"/>
      <c r="D178" s="26" t="n"/>
      <c r="E178" s="27" t="n"/>
      <c r="F178" s="27" t="n"/>
    </row>
    <row r="179" ht="14.25" customHeight="1" s="12">
      <c r="A179" s="27" t="n"/>
      <c r="B179" s="27" t="n"/>
      <c r="C179" s="27" t="n"/>
      <c r="D179" s="26" t="n"/>
      <c r="E179" s="27" t="n"/>
      <c r="F179" s="27" t="n"/>
    </row>
    <row r="180" ht="14.25" customHeight="1" s="12">
      <c r="A180" s="27" t="n"/>
      <c r="B180" s="27" t="n"/>
      <c r="C180" s="27" t="n"/>
      <c r="D180" s="26" t="n"/>
      <c r="E180" s="27" t="n"/>
      <c r="F180" s="27" t="n"/>
    </row>
    <row r="181" ht="14.25" customHeight="1" s="12">
      <c r="A181" s="27" t="n"/>
      <c r="B181" s="27" t="n"/>
      <c r="C181" s="27" t="n"/>
      <c r="D181" s="26" t="n"/>
      <c r="E181" s="27" t="n"/>
      <c r="F181" s="27" t="n"/>
    </row>
    <row r="182" ht="14.25" customHeight="1" s="12">
      <c r="A182" s="27" t="n"/>
      <c r="B182" s="27" t="n"/>
      <c r="C182" s="27" t="n"/>
      <c r="D182" s="26" t="n"/>
      <c r="E182" s="27" t="n"/>
      <c r="F182" s="27" t="n"/>
    </row>
    <row r="183" ht="14.25" customHeight="1" s="12">
      <c r="A183" s="27" t="n"/>
      <c r="B183" s="27" t="n"/>
      <c r="C183" s="27" t="n"/>
      <c r="D183" s="26" t="n"/>
      <c r="E183" s="27" t="n"/>
      <c r="F183" s="27" t="n"/>
    </row>
    <row r="184" ht="14.25" customHeight="1" s="12">
      <c r="A184" s="27" t="n"/>
      <c r="B184" s="27" t="n"/>
      <c r="C184" s="27" t="n"/>
      <c r="D184" s="26" t="n"/>
      <c r="E184" s="27" t="n"/>
      <c r="F184" s="27" t="n"/>
    </row>
    <row r="185" ht="14.25" customHeight="1" s="12">
      <c r="A185" s="27" t="n"/>
      <c r="B185" s="27" t="n"/>
      <c r="C185" s="27" t="n"/>
      <c r="D185" s="26" t="n"/>
      <c r="E185" s="27" t="n"/>
      <c r="F185" s="27" t="n"/>
    </row>
    <row r="186" ht="14.25" customHeight="1" s="12">
      <c r="A186" s="27" t="n"/>
      <c r="B186" s="27" t="n"/>
      <c r="C186" s="27" t="n"/>
      <c r="D186" s="26" t="n"/>
      <c r="E186" s="27" t="n"/>
      <c r="F186" s="27" t="n"/>
    </row>
    <row r="187" ht="14.25" customHeight="1" s="12">
      <c r="A187" s="27" t="n"/>
      <c r="B187" s="27" t="n"/>
      <c r="C187" s="27" t="n"/>
      <c r="D187" s="26" t="n"/>
      <c r="E187" s="27" t="n"/>
      <c r="F187" s="27" t="n"/>
    </row>
    <row r="188" ht="14.25" customHeight="1" s="12">
      <c r="A188" s="27" t="n"/>
      <c r="B188" s="27" t="n"/>
      <c r="C188" s="27" t="n"/>
      <c r="D188" s="26" t="n"/>
      <c r="E188" s="27" t="n"/>
      <c r="F188" s="27" t="n"/>
    </row>
    <row r="189" ht="14.25" customHeight="1" s="12">
      <c r="A189" s="27" t="n"/>
      <c r="B189" s="27" t="n"/>
      <c r="C189" s="27" t="n"/>
      <c r="D189" s="26" t="n"/>
      <c r="E189" s="27" t="n"/>
      <c r="F189" s="27" t="n"/>
    </row>
    <row r="190" ht="14.25" customHeight="1" s="12">
      <c r="A190" s="27" t="n"/>
      <c r="B190" s="27" t="n"/>
      <c r="C190" s="27" t="n"/>
      <c r="D190" s="26" t="n"/>
      <c r="E190" s="27" t="n"/>
      <c r="F190" s="27" t="n"/>
    </row>
    <row r="191" ht="14.25" customHeight="1" s="12">
      <c r="A191" s="27" t="n"/>
      <c r="B191" s="27" t="n"/>
      <c r="C191" s="27" t="n"/>
      <c r="D191" s="26" t="n"/>
      <c r="E191" s="27" t="n"/>
      <c r="F191" s="27" t="n"/>
    </row>
    <row r="192" ht="14.25" customHeight="1" s="12">
      <c r="A192" s="27" t="n"/>
      <c r="B192" s="27" t="n"/>
      <c r="C192" s="27" t="n"/>
      <c r="D192" s="26" t="n"/>
      <c r="E192" s="27" t="n"/>
      <c r="F192" s="27" t="n"/>
    </row>
    <row r="193" ht="14.25" customHeight="1" s="12">
      <c r="A193" s="27" t="n"/>
      <c r="B193" s="27" t="n"/>
      <c r="C193" s="27" t="n"/>
      <c r="D193" s="26" t="n"/>
      <c r="E193" s="27" t="n"/>
      <c r="F193" s="27" t="n"/>
    </row>
    <row r="194" ht="14.25" customHeight="1" s="12">
      <c r="A194" s="27" t="n"/>
      <c r="B194" s="27" t="n"/>
      <c r="C194" s="27" t="n"/>
      <c r="D194" s="26" t="n"/>
      <c r="E194" s="27" t="n"/>
      <c r="F194" s="27" t="n"/>
    </row>
    <row r="195" ht="14.25" customHeight="1" s="12">
      <c r="A195" s="27" t="n"/>
      <c r="B195" s="27" t="n"/>
      <c r="C195" s="27" t="n"/>
      <c r="D195" s="26" t="n"/>
      <c r="E195" s="27" t="n"/>
      <c r="F195" s="27" t="n"/>
    </row>
    <row r="196" ht="14.25" customHeight="1" s="12">
      <c r="A196" s="27" t="n"/>
      <c r="B196" s="27" t="n"/>
      <c r="C196" s="27" t="n"/>
      <c r="D196" s="26" t="n"/>
      <c r="E196" s="27" t="n"/>
      <c r="F196" s="27" t="n"/>
    </row>
    <row r="197" ht="14.25" customHeight="1" s="12">
      <c r="A197" s="27" t="n"/>
      <c r="B197" s="27" t="n"/>
      <c r="C197" s="27" t="n"/>
      <c r="D197" s="26" t="n"/>
      <c r="E197" s="27" t="n"/>
      <c r="F197" s="27" t="n"/>
    </row>
    <row r="198" ht="14.25" customHeight="1" s="12">
      <c r="A198" s="27" t="n"/>
      <c r="B198" s="27" t="n"/>
      <c r="C198" s="27" t="n"/>
      <c r="D198" s="26" t="n"/>
      <c r="E198" s="27" t="n"/>
      <c r="F198" s="27" t="n"/>
    </row>
    <row r="199" ht="14.25" customHeight="1" s="12">
      <c r="A199" s="27" t="n"/>
      <c r="B199" s="27" t="n"/>
      <c r="C199" s="27" t="n"/>
      <c r="D199" s="26" t="n"/>
      <c r="E199" s="27" t="n"/>
      <c r="F199" s="27" t="n"/>
    </row>
    <row r="200" ht="14.25" customHeight="1" s="12">
      <c r="A200" s="27" t="n"/>
      <c r="B200" s="27" t="n"/>
      <c r="C200" s="27" t="n"/>
      <c r="D200" s="26" t="n"/>
      <c r="E200" s="27" t="n"/>
      <c r="F200" s="27" t="n"/>
    </row>
    <row r="201" ht="14.25" customHeight="1" s="12">
      <c r="A201" s="27" t="n"/>
      <c r="B201" s="27" t="n"/>
      <c r="C201" s="27" t="n"/>
      <c r="D201" s="26" t="n"/>
      <c r="E201" s="27" t="n"/>
      <c r="F201" s="27" t="n"/>
    </row>
    <row r="202" ht="14.25" customHeight="1" s="12">
      <c r="A202" s="27" t="n"/>
      <c r="B202" s="27" t="n"/>
      <c r="C202" s="27" t="n"/>
      <c r="D202" s="26" t="n"/>
      <c r="E202" s="27" t="n"/>
      <c r="F202" s="27" t="n"/>
    </row>
    <row r="203" ht="14.25" customHeight="1" s="12">
      <c r="A203" s="27" t="n"/>
      <c r="B203" s="27" t="n"/>
      <c r="C203" s="27" t="n"/>
      <c r="D203" s="26" t="n"/>
      <c r="E203" s="27" t="n"/>
      <c r="F203" s="27" t="n"/>
    </row>
    <row r="204" ht="14.25" customHeight="1" s="12">
      <c r="A204" s="27" t="n"/>
      <c r="B204" s="27" t="n"/>
      <c r="C204" s="27" t="n"/>
      <c r="D204" s="26" t="n"/>
      <c r="E204" s="27" t="n"/>
      <c r="F204" s="27" t="n"/>
    </row>
    <row r="205" ht="14.25" customHeight="1" s="12">
      <c r="A205" s="27" t="n"/>
      <c r="B205" s="27" t="n"/>
      <c r="C205" s="27" t="n"/>
      <c r="D205" s="26" t="n"/>
      <c r="E205" s="27" t="n"/>
      <c r="F205" s="27" t="n"/>
    </row>
    <row r="206" ht="14.25" customHeight="1" s="12">
      <c r="A206" s="27" t="n"/>
      <c r="B206" s="27" t="n"/>
      <c r="C206" s="27" t="n"/>
      <c r="D206" s="26" t="n"/>
      <c r="E206" s="27" t="n"/>
      <c r="F206" s="27" t="n"/>
    </row>
    <row r="207" ht="14.25" customHeight="1" s="12">
      <c r="A207" s="27" t="n"/>
      <c r="B207" s="27" t="n"/>
      <c r="C207" s="27" t="n"/>
      <c r="D207" s="26" t="n"/>
      <c r="E207" s="27" t="n"/>
      <c r="F207" s="27" t="n"/>
    </row>
    <row r="208" ht="14.25" customHeight="1" s="12">
      <c r="A208" s="27" t="n"/>
      <c r="B208" s="27" t="n"/>
      <c r="C208" s="27" t="n"/>
      <c r="D208" s="26" t="n"/>
      <c r="E208" s="27" t="n"/>
      <c r="F208" s="27" t="n"/>
    </row>
    <row r="209" ht="14.25" customHeight="1" s="12">
      <c r="A209" s="27" t="n"/>
      <c r="B209" s="27" t="n"/>
      <c r="C209" s="27" t="n"/>
      <c r="D209" s="26" t="n"/>
      <c r="E209" s="27" t="n"/>
      <c r="F209" s="27" t="n"/>
    </row>
    <row r="210" ht="14.25" customHeight="1" s="12">
      <c r="A210" s="27" t="n"/>
      <c r="B210" s="27" t="n"/>
      <c r="C210" s="27" t="n"/>
      <c r="D210" s="26" t="n"/>
      <c r="E210" s="27" t="n"/>
      <c r="F210" s="27" t="n"/>
    </row>
    <row r="211" ht="14.25" customHeight="1" s="12">
      <c r="A211" s="27" t="n"/>
      <c r="B211" s="27" t="n"/>
      <c r="C211" s="27" t="n"/>
      <c r="D211" s="26" t="n"/>
      <c r="E211" s="27" t="n"/>
      <c r="F211" s="27" t="n"/>
    </row>
    <row r="212" ht="14.25" customHeight="1" s="12">
      <c r="A212" s="27" t="n"/>
      <c r="B212" s="27" t="n"/>
      <c r="C212" s="27" t="n"/>
      <c r="D212" s="26" t="n"/>
      <c r="E212" s="27" t="n"/>
      <c r="F212" s="27" t="n"/>
    </row>
    <row r="213" ht="14.25" customHeight="1" s="12">
      <c r="A213" s="27" t="n"/>
      <c r="B213" s="27" t="n"/>
      <c r="C213" s="27" t="n"/>
      <c r="D213" s="26" t="n"/>
      <c r="E213" s="27" t="n"/>
      <c r="F213" s="27" t="n"/>
    </row>
    <row r="214" ht="14.25" customHeight="1" s="12">
      <c r="A214" s="27" t="n"/>
      <c r="B214" s="27" t="n"/>
      <c r="C214" s="27" t="n"/>
      <c r="D214" s="26" t="n"/>
      <c r="E214" s="27" t="n"/>
      <c r="F214" s="27" t="n"/>
    </row>
    <row r="215" ht="14.25" customHeight="1" s="12">
      <c r="A215" s="27" t="n"/>
      <c r="B215" s="27" t="n"/>
      <c r="C215" s="27" t="n"/>
      <c r="D215" s="26" t="n"/>
      <c r="E215" s="27" t="n"/>
      <c r="F215" s="27" t="n"/>
    </row>
    <row r="216" ht="14.25" customHeight="1" s="12">
      <c r="A216" s="27" t="n"/>
      <c r="B216" s="27" t="n"/>
      <c r="C216" s="27" t="n"/>
      <c r="D216" s="26" t="n"/>
      <c r="E216" s="27" t="n"/>
      <c r="F216" s="27" t="n"/>
    </row>
    <row r="217" ht="14.25" customHeight="1" s="12">
      <c r="A217" s="27" t="n"/>
      <c r="B217" s="27" t="n"/>
      <c r="C217" s="27" t="n"/>
      <c r="D217" s="26" t="n"/>
      <c r="E217" s="27" t="n"/>
      <c r="F217" s="27" t="n"/>
    </row>
    <row r="218" ht="14.25" customHeight="1" s="12">
      <c r="A218" s="27" t="n"/>
      <c r="B218" s="27" t="n"/>
      <c r="C218" s="27" t="n"/>
      <c r="D218" s="26" t="n"/>
      <c r="E218" s="27" t="n"/>
      <c r="F218" s="27" t="n"/>
    </row>
    <row r="219" ht="14.25" customHeight="1" s="12">
      <c r="A219" s="27" t="n"/>
      <c r="B219" s="27" t="n"/>
      <c r="C219" s="27" t="n"/>
      <c r="D219" s="26" t="n"/>
      <c r="E219" s="27" t="n"/>
      <c r="F219" s="27" t="n"/>
    </row>
    <row r="220" ht="14.25" customHeight="1" s="12">
      <c r="A220" s="27" t="n"/>
      <c r="B220" s="27" t="n"/>
      <c r="C220" s="27" t="n"/>
      <c r="D220" s="26" t="n"/>
      <c r="E220" s="27" t="n"/>
      <c r="F220" s="27" t="n"/>
    </row>
    <row r="221" ht="14.25" customHeight="1" s="12">
      <c r="A221" s="27" t="n"/>
      <c r="B221" s="27" t="n"/>
      <c r="C221" s="27" t="n"/>
      <c r="D221" s="26" t="n"/>
      <c r="E221" s="27" t="n"/>
      <c r="F221" s="27" t="n"/>
    </row>
    <row r="222" ht="14.25" customHeight="1" s="12">
      <c r="A222" s="27" t="n"/>
      <c r="B222" s="27" t="n"/>
      <c r="C222" s="27" t="n"/>
      <c r="D222" s="26" t="n"/>
      <c r="E222" s="27" t="n"/>
      <c r="F222" s="27" t="n"/>
    </row>
    <row r="223" ht="14.25" customHeight="1" s="12">
      <c r="A223" s="27" t="n"/>
      <c r="B223" s="27" t="n"/>
      <c r="C223" s="27" t="n"/>
      <c r="D223" s="26" t="n"/>
      <c r="E223" s="27" t="n"/>
      <c r="F223" s="27" t="n"/>
    </row>
    <row r="224" ht="14.25" customHeight="1" s="12">
      <c r="A224" s="27" t="n"/>
      <c r="B224" s="27" t="n"/>
      <c r="C224" s="27" t="n"/>
      <c r="D224" s="26" t="n"/>
      <c r="E224" s="27" t="n"/>
      <c r="F224" s="27" t="n"/>
    </row>
    <row r="225" ht="14.25" customHeight="1" s="12">
      <c r="A225" s="27" t="n"/>
      <c r="B225" s="27" t="n"/>
      <c r="C225" s="27" t="n"/>
      <c r="D225" s="26" t="n"/>
      <c r="E225" s="27" t="n"/>
      <c r="F225" s="27" t="n"/>
    </row>
    <row r="226" ht="14.25" customHeight="1" s="12">
      <c r="A226" s="27" t="n"/>
      <c r="B226" s="27" t="n"/>
      <c r="C226" s="27" t="n"/>
      <c r="D226" s="26" t="n"/>
      <c r="E226" s="27" t="n"/>
      <c r="F226" s="27" t="n"/>
    </row>
    <row r="227" ht="14.25" customHeight="1" s="12">
      <c r="A227" s="27" t="n"/>
      <c r="B227" s="27" t="n"/>
      <c r="C227" s="27" t="n"/>
      <c r="D227" s="26" t="n"/>
      <c r="E227" s="27" t="n"/>
      <c r="F227" s="27" t="n"/>
    </row>
    <row r="228" ht="14.25" customHeight="1" s="12">
      <c r="A228" s="27" t="n"/>
      <c r="B228" s="27" t="n"/>
      <c r="C228" s="27" t="n"/>
      <c r="D228" s="26" t="n"/>
      <c r="E228" s="27" t="n"/>
      <c r="F228" s="27" t="n"/>
    </row>
    <row r="229" ht="14.25" customHeight="1" s="12">
      <c r="A229" s="27" t="n"/>
      <c r="B229" s="27" t="n"/>
      <c r="C229" s="27" t="n"/>
      <c r="D229" s="26" t="n"/>
      <c r="E229" s="27" t="n"/>
      <c r="F229" s="27" t="n"/>
    </row>
    <row r="230" ht="14.25" customHeight="1" s="12">
      <c r="A230" s="27" t="n"/>
      <c r="B230" s="27" t="n"/>
      <c r="C230" s="27" t="n"/>
      <c r="D230" s="26" t="n"/>
      <c r="E230" s="27" t="n"/>
      <c r="F230" s="27" t="n"/>
    </row>
    <row r="231" ht="14.25" customHeight="1" s="12">
      <c r="A231" s="27" t="n"/>
      <c r="B231" s="27" t="n"/>
      <c r="C231" s="27" t="n"/>
      <c r="D231" s="26" t="n"/>
      <c r="E231" s="27" t="n"/>
      <c r="F231" s="27" t="n"/>
    </row>
    <row r="232" ht="14.25" customHeight="1" s="12">
      <c r="A232" s="27" t="n"/>
      <c r="B232" s="27" t="n"/>
      <c r="C232" s="27" t="n"/>
      <c r="D232" s="26" t="n"/>
      <c r="E232" s="27" t="n"/>
      <c r="F232" s="27" t="n"/>
    </row>
    <row r="233" ht="14.25" customHeight="1" s="12">
      <c r="A233" s="27" t="n"/>
      <c r="B233" s="27" t="n"/>
      <c r="C233" s="27" t="n"/>
      <c r="D233" s="26" t="n"/>
      <c r="E233" s="27" t="n"/>
      <c r="F233" s="27" t="n"/>
    </row>
    <row r="234" ht="14.25" customHeight="1" s="12">
      <c r="A234" s="27" t="n"/>
      <c r="B234" s="27" t="n"/>
      <c r="C234" s="27" t="n"/>
      <c r="D234" s="26" t="n"/>
      <c r="E234" s="27" t="n"/>
      <c r="F234" s="27" t="n"/>
    </row>
    <row r="235" ht="14.25" customHeight="1" s="12">
      <c r="A235" s="27" t="n"/>
      <c r="B235" s="27" t="n"/>
      <c r="C235" s="27" t="n"/>
      <c r="D235" s="26" t="n"/>
      <c r="E235" s="27" t="n"/>
      <c r="F235" s="27" t="n"/>
    </row>
    <row r="236" ht="14.25" customHeight="1" s="12">
      <c r="A236" s="27" t="n"/>
      <c r="B236" s="27" t="n"/>
      <c r="C236" s="27" t="n"/>
      <c r="D236" s="26" t="n"/>
      <c r="E236" s="27" t="n"/>
      <c r="F236" s="27" t="n"/>
    </row>
    <row r="237" ht="14.25" customHeight="1" s="12">
      <c r="A237" s="27" t="n"/>
      <c r="B237" s="27" t="n"/>
      <c r="C237" s="27" t="n"/>
      <c r="D237" s="26" t="n"/>
      <c r="E237" s="27" t="n"/>
      <c r="F237" s="27" t="n"/>
    </row>
    <row r="238" ht="14.25" customHeight="1" s="12">
      <c r="A238" s="27" t="n"/>
      <c r="B238" s="27" t="n"/>
      <c r="C238" s="27" t="n"/>
      <c r="D238" s="26" t="n"/>
      <c r="E238" s="27" t="n"/>
      <c r="F238" s="27" t="n"/>
    </row>
    <row r="239" ht="14.25" customHeight="1" s="12">
      <c r="A239" s="27" t="n"/>
      <c r="B239" s="27" t="n"/>
      <c r="C239" s="27" t="n"/>
      <c r="D239" s="26" t="n"/>
      <c r="E239" s="27" t="n"/>
      <c r="F239" s="27" t="n"/>
    </row>
    <row r="240" ht="14.25" customHeight="1" s="12">
      <c r="A240" s="27" t="n"/>
      <c r="B240" s="27" t="n"/>
      <c r="C240" s="27" t="n"/>
      <c r="D240" s="26" t="n"/>
      <c r="E240" s="27" t="n"/>
      <c r="F240" s="27" t="n"/>
    </row>
    <row r="241" ht="14.25" customHeight="1" s="12">
      <c r="A241" s="27" t="n"/>
      <c r="B241" s="27" t="n"/>
      <c r="C241" s="27" t="n"/>
      <c r="D241" s="26" t="n"/>
      <c r="E241" s="27" t="n"/>
      <c r="F241" s="27" t="n"/>
    </row>
    <row r="242" ht="15.75" customHeight="1" s="12">
      <c r="A242" s="27" t="n"/>
      <c r="B242" s="27" t="n"/>
      <c r="C242" s="27" t="n"/>
      <c r="D242" s="26" t="n"/>
      <c r="E242" s="27" t="n"/>
      <c r="F242" s="27" t="n"/>
    </row>
    <row r="243" ht="15.75" customHeight="1" s="12">
      <c r="A243" s="27" t="n"/>
      <c r="B243" s="27" t="n"/>
      <c r="C243" s="27" t="n"/>
      <c r="D243" s="26" t="n"/>
      <c r="E243" s="27" t="n"/>
      <c r="F243" s="27" t="n"/>
    </row>
    <row r="244" ht="15.75" customHeight="1" s="12">
      <c r="A244" s="27" t="n"/>
      <c r="B244" s="27" t="n"/>
      <c r="C244" s="27" t="n"/>
      <c r="D244" s="26" t="n"/>
      <c r="E244" s="27" t="n"/>
      <c r="F244" s="27" t="n"/>
    </row>
    <row r="245" ht="15.75" customHeight="1" s="12">
      <c r="A245" s="27" t="n"/>
      <c r="B245" s="27" t="n"/>
      <c r="C245" s="27" t="n"/>
      <c r="D245" s="26" t="n"/>
      <c r="E245" s="27" t="n"/>
      <c r="F245" s="27" t="n"/>
    </row>
    <row r="246" ht="15.75" customHeight="1" s="12">
      <c r="A246" s="27" t="n"/>
      <c r="B246" s="27" t="n"/>
      <c r="C246" s="27" t="n"/>
      <c r="D246" s="26" t="n"/>
      <c r="E246" s="27" t="n"/>
      <c r="F246" s="27" t="n"/>
    </row>
    <row r="247" ht="15.75" customHeight="1" s="12">
      <c r="A247" s="27" t="n"/>
      <c r="B247" s="27" t="n"/>
      <c r="C247" s="27" t="n"/>
      <c r="D247" s="26" t="n"/>
      <c r="E247" s="27" t="n"/>
      <c r="F247" s="27" t="n"/>
    </row>
    <row r="248" ht="15.75" customHeight="1" s="12">
      <c r="A248" s="27" t="n"/>
      <c r="B248" s="27" t="n"/>
      <c r="C248" s="27" t="n"/>
      <c r="D248" s="26" t="n"/>
      <c r="E248" s="27" t="n"/>
      <c r="F248" s="27" t="n"/>
    </row>
    <row r="249" ht="15.75" customHeight="1" s="12">
      <c r="A249" s="27" t="n"/>
      <c r="B249" s="27" t="n"/>
      <c r="C249" s="27" t="n"/>
      <c r="D249" s="26" t="n"/>
      <c r="E249" s="27" t="n"/>
      <c r="F249" s="27" t="n"/>
    </row>
    <row r="250" ht="15.75" customHeight="1" s="12">
      <c r="A250" s="27" t="n"/>
      <c r="B250" s="27" t="n"/>
      <c r="C250" s="27" t="n"/>
      <c r="D250" s="26" t="n"/>
      <c r="E250" s="27" t="n"/>
      <c r="F250" s="27" t="n"/>
    </row>
    <row r="251" ht="15.75" customHeight="1" s="12">
      <c r="A251" s="27" t="n"/>
      <c r="B251" s="27" t="n"/>
      <c r="C251" s="27" t="n"/>
      <c r="D251" s="26" t="n"/>
      <c r="E251" s="27" t="n"/>
      <c r="F251" s="27" t="n"/>
    </row>
    <row r="252" ht="15.75" customHeight="1" s="12">
      <c r="A252" s="27" t="n"/>
      <c r="B252" s="27" t="n"/>
      <c r="C252" s="27" t="n"/>
      <c r="D252" s="26" t="n"/>
      <c r="E252" s="27" t="n"/>
      <c r="F252" s="27" t="n"/>
    </row>
    <row r="253" ht="15.75" customHeight="1" s="12">
      <c r="A253" s="27" t="n"/>
      <c r="B253" s="27" t="n"/>
      <c r="C253" s="27" t="n"/>
      <c r="D253" s="26" t="n"/>
      <c r="E253" s="27" t="n"/>
      <c r="F253" s="27" t="n"/>
    </row>
    <row r="254" ht="15.75" customHeight="1" s="12">
      <c r="A254" s="27" t="n"/>
      <c r="B254" s="27" t="n"/>
      <c r="C254" s="27" t="n"/>
      <c r="D254" s="26" t="n"/>
      <c r="E254" s="27" t="n"/>
      <c r="F254" s="27" t="n"/>
    </row>
    <row r="255" ht="15.75" customHeight="1" s="12">
      <c r="A255" s="27" t="n"/>
      <c r="B255" s="27" t="n"/>
      <c r="C255" s="27" t="n"/>
      <c r="D255" s="26" t="n"/>
      <c r="E255" s="27" t="n"/>
      <c r="F255" s="27" t="n"/>
    </row>
    <row r="256" ht="15.75" customHeight="1" s="12">
      <c r="A256" s="27" t="n"/>
      <c r="B256" s="27" t="n"/>
      <c r="C256" s="27" t="n"/>
      <c r="D256" s="26" t="n"/>
      <c r="E256" s="27" t="n"/>
      <c r="F256" s="27" t="n"/>
    </row>
    <row r="257" ht="15.75" customHeight="1" s="12">
      <c r="A257" s="27" t="n"/>
      <c r="B257" s="27" t="n"/>
      <c r="C257" s="27" t="n"/>
      <c r="D257" s="26" t="n"/>
      <c r="E257" s="27" t="n"/>
      <c r="F257" s="27" t="n"/>
    </row>
    <row r="258" ht="15.75" customHeight="1" s="12">
      <c r="A258" s="27" t="n"/>
      <c r="B258" s="27" t="n"/>
      <c r="C258" s="27" t="n"/>
      <c r="D258" s="26" t="n"/>
      <c r="E258" s="27" t="n"/>
      <c r="F258" s="27" t="n"/>
    </row>
    <row r="259" ht="15.75" customHeight="1" s="12">
      <c r="A259" s="27" t="n"/>
      <c r="B259" s="27" t="n"/>
      <c r="C259" s="27" t="n"/>
      <c r="D259" s="26" t="n"/>
      <c r="E259" s="27" t="n"/>
      <c r="F259" s="27" t="n"/>
    </row>
    <row r="260" ht="15.75" customHeight="1" s="12">
      <c r="A260" s="27" t="n"/>
      <c r="B260" s="27" t="n"/>
      <c r="C260" s="27" t="n"/>
      <c r="D260" s="26" t="n"/>
      <c r="E260" s="27" t="n"/>
      <c r="F260" s="27" t="n"/>
    </row>
    <row r="261" ht="15.75" customHeight="1" s="12">
      <c r="A261" s="27" t="n"/>
      <c r="B261" s="27" t="n"/>
      <c r="C261" s="27" t="n"/>
      <c r="D261" s="26" t="n"/>
      <c r="E261" s="27" t="n"/>
      <c r="F261" s="27" t="n"/>
    </row>
    <row r="262" ht="15.75" customHeight="1" s="12">
      <c r="A262" s="27" t="n"/>
      <c r="B262" s="27" t="n"/>
      <c r="C262" s="27" t="n"/>
      <c r="D262" s="26" t="n"/>
      <c r="E262" s="27" t="n"/>
      <c r="F262" s="27" t="n"/>
    </row>
    <row r="263" ht="15.75" customHeight="1" s="12">
      <c r="A263" s="27" t="n"/>
      <c r="B263" s="27" t="n"/>
      <c r="C263" s="27" t="n"/>
      <c r="D263" s="26" t="n"/>
      <c r="E263" s="27" t="n"/>
      <c r="F263" s="27" t="n"/>
    </row>
    <row r="264" ht="15.75" customHeight="1" s="12">
      <c r="A264" s="27" t="n"/>
      <c r="B264" s="27" t="n"/>
      <c r="C264" s="27" t="n"/>
      <c r="D264" s="26" t="n"/>
      <c r="E264" s="27" t="n"/>
      <c r="F264" s="27" t="n"/>
    </row>
    <row r="265" ht="15.75" customHeight="1" s="12">
      <c r="A265" s="27" t="n"/>
      <c r="B265" s="27" t="n"/>
      <c r="C265" s="27" t="n"/>
      <c r="D265" s="26" t="n"/>
      <c r="E265" s="27" t="n"/>
      <c r="F265" s="27" t="n"/>
    </row>
    <row r="266" ht="15.75" customHeight="1" s="12">
      <c r="A266" s="27" t="n"/>
      <c r="B266" s="27" t="n"/>
      <c r="C266" s="27" t="n"/>
      <c r="D266" s="26" t="n"/>
      <c r="E266" s="27" t="n"/>
      <c r="F266" s="27" t="n"/>
    </row>
    <row r="267" ht="15.75" customHeight="1" s="12">
      <c r="A267" s="27" t="n"/>
      <c r="B267" s="27" t="n"/>
      <c r="C267" s="27" t="n"/>
      <c r="D267" s="26" t="n"/>
      <c r="E267" s="27" t="n"/>
      <c r="F267" s="27" t="n"/>
    </row>
    <row r="268" ht="15.75" customHeight="1" s="12">
      <c r="A268" s="27" t="n"/>
      <c r="B268" s="27" t="n"/>
      <c r="C268" s="27" t="n"/>
      <c r="D268" s="26" t="n"/>
      <c r="E268" s="27" t="n"/>
      <c r="F268" s="27" t="n"/>
    </row>
    <row r="269" ht="15.75" customHeight="1" s="12">
      <c r="A269" s="27" t="n"/>
      <c r="B269" s="27" t="n"/>
      <c r="C269" s="27" t="n"/>
      <c r="D269" s="26" t="n"/>
      <c r="E269" s="27" t="n"/>
      <c r="F269" s="27" t="n"/>
    </row>
    <row r="270" ht="15.75" customHeight="1" s="12">
      <c r="A270" s="27" t="n"/>
      <c r="B270" s="27" t="n"/>
      <c r="C270" s="27" t="n"/>
      <c r="D270" s="26" t="n"/>
      <c r="E270" s="27" t="n"/>
      <c r="F270" s="27" t="n"/>
    </row>
    <row r="271" ht="15.75" customHeight="1" s="12">
      <c r="A271" s="27" t="n"/>
      <c r="B271" s="27" t="n"/>
      <c r="C271" s="27" t="n"/>
      <c r="D271" s="26" t="n"/>
      <c r="E271" s="27" t="n"/>
      <c r="F271" s="27" t="n"/>
    </row>
    <row r="272" ht="15.75" customHeight="1" s="12">
      <c r="A272" s="27" t="n"/>
      <c r="B272" s="27" t="n"/>
      <c r="C272" s="27" t="n"/>
      <c r="D272" s="26" t="n"/>
      <c r="E272" s="27" t="n"/>
      <c r="F272" s="27" t="n"/>
    </row>
    <row r="273" ht="15.75" customHeight="1" s="12">
      <c r="A273" s="27" t="n"/>
      <c r="B273" s="27" t="n"/>
      <c r="C273" s="27" t="n"/>
      <c r="D273" s="26" t="n"/>
      <c r="E273" s="27" t="n"/>
      <c r="F273" s="27" t="n"/>
    </row>
    <row r="274" ht="15.75" customHeight="1" s="12">
      <c r="A274" s="27" t="n"/>
      <c r="B274" s="27" t="n"/>
      <c r="C274" s="27" t="n"/>
      <c r="D274" s="26" t="n"/>
      <c r="E274" s="27" t="n"/>
      <c r="F274" s="27" t="n"/>
    </row>
    <row r="275" ht="15.75" customHeight="1" s="12">
      <c r="A275" s="27" t="n"/>
      <c r="B275" s="27" t="n"/>
      <c r="C275" s="27" t="n"/>
      <c r="D275" s="26" t="n"/>
      <c r="E275" s="27" t="n"/>
      <c r="F275" s="27" t="n"/>
    </row>
    <row r="276" ht="15.75" customHeight="1" s="12">
      <c r="A276" s="27" t="n"/>
      <c r="B276" s="27" t="n"/>
      <c r="C276" s="27" t="n"/>
      <c r="D276" s="26" t="n"/>
      <c r="E276" s="27" t="n"/>
      <c r="F276" s="27" t="n"/>
    </row>
    <row r="277" ht="15.75" customHeight="1" s="12">
      <c r="A277" s="27" t="n"/>
      <c r="B277" s="27" t="n"/>
      <c r="C277" s="27" t="n"/>
      <c r="D277" s="26" t="n"/>
      <c r="E277" s="27" t="n"/>
      <c r="F277" s="27" t="n"/>
    </row>
    <row r="278" ht="15.75" customHeight="1" s="12">
      <c r="A278" s="27" t="n"/>
      <c r="B278" s="27" t="n"/>
      <c r="C278" s="27" t="n"/>
      <c r="D278" s="26" t="n"/>
      <c r="E278" s="27" t="n"/>
      <c r="F278" s="27" t="n"/>
    </row>
    <row r="279" ht="15.75" customHeight="1" s="12">
      <c r="A279" s="27" t="n"/>
      <c r="B279" s="27" t="n"/>
      <c r="C279" s="27" t="n"/>
      <c r="D279" s="26" t="n"/>
      <c r="E279" s="27" t="n"/>
      <c r="F279" s="27" t="n"/>
    </row>
    <row r="280" ht="15.75" customHeight="1" s="12">
      <c r="A280" s="27" t="n"/>
      <c r="B280" s="27" t="n"/>
      <c r="C280" s="27" t="n"/>
      <c r="D280" s="26" t="n"/>
      <c r="E280" s="27" t="n"/>
      <c r="F280" s="27" t="n"/>
    </row>
    <row r="281" ht="15.75" customHeight="1" s="12">
      <c r="A281" s="27" t="n"/>
      <c r="B281" s="27" t="n"/>
      <c r="C281" s="27" t="n"/>
      <c r="D281" s="26" t="n"/>
      <c r="E281" s="27" t="n"/>
      <c r="F281" s="27" t="n"/>
    </row>
    <row r="282" ht="15.75" customHeight="1" s="12">
      <c r="A282" s="27" t="n"/>
      <c r="B282" s="27" t="n"/>
      <c r="C282" s="27" t="n"/>
      <c r="D282" s="26" t="n"/>
      <c r="E282" s="27" t="n"/>
      <c r="F282" s="27" t="n"/>
    </row>
    <row r="283" ht="15.75" customHeight="1" s="12">
      <c r="A283" s="27" t="n"/>
      <c r="B283" s="27" t="n"/>
      <c r="C283" s="27" t="n"/>
      <c r="D283" s="26" t="n"/>
      <c r="E283" s="27" t="n"/>
      <c r="F283" s="27" t="n"/>
    </row>
    <row r="284" ht="15.75" customHeight="1" s="12">
      <c r="A284" s="27" t="n"/>
      <c r="B284" s="27" t="n"/>
      <c r="C284" s="27" t="n"/>
      <c r="D284" s="26" t="n"/>
      <c r="E284" s="27" t="n"/>
      <c r="F284" s="27" t="n"/>
    </row>
    <row r="285" ht="15.75" customHeight="1" s="12">
      <c r="A285" s="27" t="n"/>
      <c r="B285" s="27" t="n"/>
      <c r="C285" s="27" t="n"/>
      <c r="D285" s="26" t="n"/>
      <c r="E285" s="27" t="n"/>
      <c r="F285" s="27" t="n"/>
    </row>
    <row r="286" ht="15.75" customHeight="1" s="12">
      <c r="A286" s="27" t="n"/>
      <c r="B286" s="27" t="n"/>
      <c r="C286" s="27" t="n"/>
      <c r="D286" s="26" t="n"/>
      <c r="E286" s="27" t="n"/>
      <c r="F286" s="27" t="n"/>
    </row>
    <row r="287" ht="15.75" customHeight="1" s="12">
      <c r="A287" s="27" t="n"/>
      <c r="B287" s="27" t="n"/>
      <c r="C287" s="27" t="n"/>
      <c r="D287" s="26" t="n"/>
      <c r="E287" s="27" t="n"/>
      <c r="F287" s="27" t="n"/>
    </row>
    <row r="288" ht="15.75" customHeight="1" s="12">
      <c r="A288" s="27" t="n"/>
      <c r="B288" s="27" t="n"/>
      <c r="C288" s="27" t="n"/>
      <c r="D288" s="26" t="n"/>
      <c r="E288" s="27" t="n"/>
      <c r="F288" s="27" t="n"/>
    </row>
    <row r="289" ht="15.75" customHeight="1" s="12">
      <c r="A289" s="27" t="n"/>
      <c r="B289" s="27" t="n"/>
      <c r="C289" s="27" t="n"/>
      <c r="D289" s="26" t="n"/>
      <c r="E289" s="27" t="n"/>
      <c r="F289" s="27" t="n"/>
    </row>
    <row r="290" ht="15.75" customHeight="1" s="12">
      <c r="A290" s="27" t="n"/>
      <c r="B290" s="27" t="n"/>
      <c r="C290" s="27" t="n"/>
      <c r="D290" s="26" t="n"/>
      <c r="E290" s="27" t="n"/>
      <c r="F290" s="27" t="n"/>
    </row>
    <row r="291" ht="15.75" customHeight="1" s="12">
      <c r="A291" s="27" t="n"/>
      <c r="B291" s="27" t="n"/>
      <c r="C291" s="27" t="n"/>
      <c r="D291" s="26" t="n"/>
      <c r="E291" s="27" t="n"/>
      <c r="F291" s="27" t="n"/>
    </row>
    <row r="292" ht="15.75" customHeight="1" s="12">
      <c r="A292" s="27" t="n"/>
      <c r="B292" s="27" t="n"/>
      <c r="C292" s="27" t="n"/>
      <c r="D292" s="26" t="n"/>
      <c r="E292" s="27" t="n"/>
      <c r="F292" s="27" t="n"/>
    </row>
    <row r="293" ht="15.75" customHeight="1" s="12">
      <c r="A293" s="27" t="n"/>
      <c r="B293" s="27" t="n"/>
      <c r="C293" s="27" t="n"/>
      <c r="D293" s="26" t="n"/>
      <c r="E293" s="27" t="n"/>
      <c r="F293" s="27" t="n"/>
    </row>
    <row r="294" ht="15.75" customHeight="1" s="12">
      <c r="A294" s="27" t="n"/>
      <c r="B294" s="27" t="n"/>
      <c r="C294" s="27" t="n"/>
      <c r="D294" s="26" t="n"/>
      <c r="E294" s="27" t="n"/>
      <c r="F294" s="27" t="n"/>
    </row>
    <row r="295" ht="15.75" customHeight="1" s="12">
      <c r="A295" s="27" t="n"/>
      <c r="B295" s="27" t="n"/>
      <c r="C295" s="27" t="n"/>
      <c r="D295" s="26" t="n"/>
      <c r="E295" s="27" t="n"/>
      <c r="F295" s="27" t="n"/>
    </row>
    <row r="296" ht="15.75" customHeight="1" s="12">
      <c r="A296" s="27" t="n"/>
      <c r="B296" s="27" t="n"/>
      <c r="C296" s="27" t="n"/>
      <c r="D296" s="26" t="n"/>
      <c r="E296" s="27" t="n"/>
      <c r="F296" s="27" t="n"/>
    </row>
    <row r="297" ht="15.75" customHeight="1" s="12">
      <c r="A297" s="27" t="n"/>
      <c r="B297" s="27" t="n"/>
      <c r="C297" s="27" t="n"/>
      <c r="D297" s="26" t="n"/>
      <c r="E297" s="27" t="n"/>
      <c r="F297" s="27" t="n"/>
    </row>
    <row r="298" ht="15.75" customHeight="1" s="12">
      <c r="A298" s="27" t="n"/>
      <c r="B298" s="27" t="n"/>
      <c r="C298" s="27" t="n"/>
      <c r="D298" s="26" t="n"/>
      <c r="E298" s="27" t="n"/>
      <c r="F298" s="27" t="n"/>
    </row>
    <row r="299" ht="15.75" customHeight="1" s="12">
      <c r="A299" s="27" t="n"/>
      <c r="B299" s="27" t="n"/>
      <c r="C299" s="27" t="n"/>
      <c r="D299" s="26" t="n"/>
      <c r="E299" s="27" t="n"/>
      <c r="F299" s="27" t="n"/>
    </row>
    <row r="300" ht="15.75" customHeight="1" s="12">
      <c r="A300" s="27" t="n"/>
      <c r="B300" s="27" t="n"/>
      <c r="C300" s="27" t="n"/>
      <c r="D300" s="26" t="n"/>
      <c r="E300" s="27" t="n"/>
      <c r="F300" s="27" t="n"/>
    </row>
    <row r="301" ht="15.75" customHeight="1" s="12">
      <c r="A301" s="27" t="n"/>
      <c r="B301" s="27" t="n"/>
      <c r="C301" s="27" t="n"/>
      <c r="D301" s="26" t="n"/>
      <c r="E301" s="27" t="n"/>
      <c r="F301" s="27" t="n"/>
    </row>
    <row r="302" ht="15.75" customHeight="1" s="12">
      <c r="A302" s="27" t="n"/>
      <c r="B302" s="27" t="n"/>
      <c r="C302" s="27" t="n"/>
      <c r="D302" s="26" t="n"/>
      <c r="E302" s="27" t="n"/>
      <c r="F302" s="27" t="n"/>
    </row>
    <row r="303" ht="15.75" customHeight="1" s="12">
      <c r="A303" s="27" t="n"/>
      <c r="B303" s="27" t="n"/>
      <c r="C303" s="27" t="n"/>
      <c r="D303" s="26" t="n"/>
      <c r="E303" s="27" t="n"/>
      <c r="F303" s="27" t="n"/>
    </row>
    <row r="304" ht="15.75" customHeight="1" s="12">
      <c r="A304" s="27" t="n"/>
      <c r="B304" s="27" t="n"/>
      <c r="C304" s="27" t="n"/>
      <c r="D304" s="26" t="n"/>
      <c r="E304" s="27" t="n"/>
      <c r="F304" s="27" t="n"/>
    </row>
    <row r="305" ht="15.75" customHeight="1" s="12">
      <c r="A305" s="27" t="n"/>
      <c r="B305" s="27" t="n"/>
      <c r="C305" s="27" t="n"/>
      <c r="D305" s="26" t="n"/>
      <c r="E305" s="27" t="n"/>
      <c r="F305" s="27" t="n"/>
    </row>
    <row r="306" ht="15.75" customHeight="1" s="12">
      <c r="A306" s="27" t="n"/>
      <c r="B306" s="27" t="n"/>
      <c r="C306" s="27" t="n"/>
      <c r="D306" s="26" t="n"/>
      <c r="E306" s="27" t="n"/>
      <c r="F306" s="27" t="n"/>
    </row>
    <row r="307" ht="15.75" customHeight="1" s="12">
      <c r="A307" s="27" t="n"/>
      <c r="B307" s="27" t="n"/>
      <c r="C307" s="27" t="n"/>
      <c r="D307" s="26" t="n"/>
      <c r="E307" s="27" t="n"/>
      <c r="F307" s="27" t="n"/>
    </row>
    <row r="308" ht="15.75" customHeight="1" s="12">
      <c r="A308" s="27" t="n"/>
      <c r="B308" s="27" t="n"/>
      <c r="C308" s="27" t="n"/>
      <c r="D308" s="26" t="n"/>
      <c r="E308" s="27" t="n"/>
      <c r="F308" s="27" t="n"/>
    </row>
    <row r="309" ht="15.75" customHeight="1" s="12">
      <c r="A309" s="27" t="n"/>
      <c r="B309" s="27" t="n"/>
      <c r="C309" s="27" t="n"/>
      <c r="D309" s="26" t="n"/>
      <c r="E309" s="27" t="n"/>
      <c r="F309" s="27" t="n"/>
    </row>
    <row r="310" ht="15.75" customHeight="1" s="12">
      <c r="A310" s="27" t="n"/>
      <c r="B310" s="27" t="n"/>
      <c r="C310" s="27" t="n"/>
      <c r="D310" s="26" t="n"/>
      <c r="E310" s="27" t="n"/>
      <c r="F310" s="27" t="n"/>
    </row>
    <row r="311" ht="15.75" customHeight="1" s="12">
      <c r="A311" s="27" t="n"/>
      <c r="B311" s="27" t="n"/>
      <c r="C311" s="27" t="n"/>
      <c r="D311" s="26" t="n"/>
      <c r="E311" s="27" t="n"/>
      <c r="F311" s="27" t="n"/>
    </row>
    <row r="312" ht="15.75" customHeight="1" s="12">
      <c r="A312" s="27" t="n"/>
      <c r="B312" s="27" t="n"/>
      <c r="C312" s="27" t="n"/>
      <c r="D312" s="26" t="n"/>
      <c r="E312" s="27" t="n"/>
      <c r="F312" s="27" t="n"/>
    </row>
    <row r="313" ht="15.75" customHeight="1" s="12">
      <c r="A313" s="27" t="n"/>
      <c r="B313" s="27" t="n"/>
      <c r="C313" s="27" t="n"/>
      <c r="D313" s="26" t="n"/>
      <c r="E313" s="27" t="n"/>
      <c r="F313" s="27" t="n"/>
    </row>
    <row r="314" ht="15.75" customHeight="1" s="12">
      <c r="A314" s="27" t="n"/>
      <c r="B314" s="27" t="n"/>
      <c r="C314" s="27" t="n"/>
      <c r="D314" s="26" t="n"/>
      <c r="E314" s="27" t="n"/>
      <c r="F314" s="27" t="n"/>
    </row>
    <row r="315" ht="15.75" customHeight="1" s="12">
      <c r="A315" s="27" t="n"/>
      <c r="B315" s="27" t="n"/>
      <c r="C315" s="27" t="n"/>
      <c r="D315" s="26" t="n"/>
      <c r="E315" s="27" t="n"/>
      <c r="F315" s="27" t="n"/>
    </row>
    <row r="316" ht="15.75" customHeight="1" s="12">
      <c r="A316" s="27" t="n"/>
      <c r="B316" s="27" t="n"/>
      <c r="C316" s="27" t="n"/>
      <c r="D316" s="26" t="n"/>
      <c r="E316" s="27" t="n"/>
      <c r="F316" s="27" t="n"/>
    </row>
    <row r="317" ht="15.75" customHeight="1" s="12">
      <c r="A317" s="27" t="n"/>
      <c r="B317" s="27" t="n"/>
      <c r="C317" s="27" t="n"/>
      <c r="D317" s="26" t="n"/>
      <c r="E317" s="27" t="n"/>
      <c r="F317" s="27" t="n"/>
    </row>
    <row r="318" ht="15.75" customHeight="1" s="12">
      <c r="A318" s="27" t="n"/>
      <c r="B318" s="27" t="n"/>
      <c r="C318" s="27" t="n"/>
      <c r="D318" s="26" t="n"/>
      <c r="E318" s="27" t="n"/>
      <c r="F318" s="27" t="n"/>
    </row>
    <row r="319" ht="15.75" customHeight="1" s="12">
      <c r="A319" s="27" t="n"/>
      <c r="B319" s="27" t="n"/>
      <c r="C319" s="27" t="n"/>
      <c r="D319" s="26" t="n"/>
      <c r="E319" s="27" t="n"/>
      <c r="F319" s="27" t="n"/>
    </row>
    <row r="320" ht="15.75" customHeight="1" s="12">
      <c r="A320" s="27" t="n"/>
      <c r="B320" s="27" t="n"/>
      <c r="C320" s="27" t="n"/>
      <c r="D320" s="26" t="n"/>
      <c r="E320" s="27" t="n"/>
      <c r="F320" s="27" t="n"/>
    </row>
    <row r="321" ht="15.75" customHeight="1" s="12">
      <c r="A321" s="27" t="n"/>
      <c r="B321" s="27" t="n"/>
      <c r="C321" s="27" t="n"/>
      <c r="D321" s="26" t="n"/>
      <c r="E321" s="27" t="n"/>
      <c r="F321" s="27" t="n"/>
    </row>
    <row r="322" ht="15.75" customHeight="1" s="12">
      <c r="A322" s="27" t="n"/>
      <c r="B322" s="27" t="n"/>
      <c r="C322" s="27" t="n"/>
      <c r="D322" s="26" t="n"/>
      <c r="E322" s="27" t="n"/>
      <c r="F322" s="27" t="n"/>
    </row>
    <row r="323" ht="15.75" customHeight="1" s="12">
      <c r="A323" s="27" t="n"/>
      <c r="B323" s="27" t="n"/>
      <c r="C323" s="27" t="n"/>
      <c r="D323" s="26" t="n"/>
      <c r="E323" s="27" t="n"/>
      <c r="F323" s="27" t="n"/>
    </row>
    <row r="324" ht="15.75" customHeight="1" s="12">
      <c r="A324" s="27" t="n"/>
      <c r="B324" s="27" t="n"/>
      <c r="C324" s="27" t="n"/>
      <c r="D324" s="26" t="n"/>
      <c r="E324" s="27" t="n"/>
      <c r="F324" s="27" t="n"/>
    </row>
    <row r="325" ht="15.75" customHeight="1" s="12">
      <c r="A325" s="27" t="n"/>
      <c r="B325" s="27" t="n"/>
      <c r="C325" s="27" t="n"/>
      <c r="D325" s="26" t="n"/>
      <c r="E325" s="27" t="n"/>
      <c r="F325" s="27" t="n"/>
    </row>
    <row r="326" ht="15.75" customHeight="1" s="12">
      <c r="A326" s="27" t="n"/>
      <c r="B326" s="27" t="n"/>
      <c r="C326" s="27" t="n"/>
      <c r="D326" s="26" t="n"/>
      <c r="E326" s="27" t="n"/>
      <c r="F326" s="27" t="n"/>
    </row>
    <row r="327" ht="15.75" customHeight="1" s="12">
      <c r="A327" s="27" t="n"/>
      <c r="B327" s="27" t="n"/>
      <c r="C327" s="27" t="n"/>
      <c r="D327" s="26" t="n"/>
      <c r="E327" s="27" t="n"/>
      <c r="F327" s="27" t="n"/>
    </row>
    <row r="328" ht="15.75" customHeight="1" s="12">
      <c r="A328" s="27" t="n"/>
      <c r="B328" s="27" t="n"/>
      <c r="C328" s="27" t="n"/>
      <c r="D328" s="26" t="n"/>
      <c r="E328" s="27" t="n"/>
      <c r="F328" s="27" t="n"/>
    </row>
    <row r="329" ht="15.75" customHeight="1" s="12">
      <c r="A329" s="27" t="n"/>
      <c r="B329" s="27" t="n"/>
      <c r="C329" s="27" t="n"/>
      <c r="D329" s="26" t="n"/>
      <c r="E329" s="27" t="n"/>
      <c r="F329" s="27" t="n"/>
    </row>
    <row r="330" ht="15.75" customHeight="1" s="12">
      <c r="A330" s="27" t="n"/>
      <c r="B330" s="27" t="n"/>
      <c r="C330" s="27" t="n"/>
      <c r="D330" s="26" t="n"/>
      <c r="E330" s="27" t="n"/>
      <c r="F330" s="27" t="n"/>
    </row>
    <row r="331" ht="15.75" customHeight="1" s="12">
      <c r="A331" s="27" t="n"/>
      <c r="B331" s="27" t="n"/>
      <c r="C331" s="27" t="n"/>
      <c r="D331" s="26" t="n"/>
      <c r="E331" s="27" t="n"/>
      <c r="F331" s="27" t="n"/>
    </row>
    <row r="332" ht="15.75" customHeight="1" s="12">
      <c r="A332" s="27" t="n"/>
      <c r="B332" s="27" t="n"/>
      <c r="C332" s="27" t="n"/>
      <c r="D332" s="26" t="n"/>
      <c r="E332" s="27" t="n"/>
      <c r="F332" s="27" t="n"/>
    </row>
    <row r="333" ht="15.75" customHeight="1" s="12">
      <c r="A333" s="27" t="n"/>
      <c r="B333" s="27" t="n"/>
      <c r="C333" s="27" t="n"/>
      <c r="D333" s="26" t="n"/>
      <c r="E333" s="27" t="n"/>
      <c r="F333" s="27" t="n"/>
    </row>
    <row r="334" ht="15.75" customHeight="1" s="12">
      <c r="A334" s="27" t="n"/>
      <c r="B334" s="27" t="n"/>
      <c r="C334" s="27" t="n"/>
      <c r="D334" s="26" t="n"/>
      <c r="E334" s="27" t="n"/>
      <c r="F334" s="27" t="n"/>
    </row>
    <row r="335" ht="15.75" customHeight="1" s="12">
      <c r="A335" s="27" t="n"/>
      <c r="B335" s="27" t="n"/>
      <c r="C335" s="27" t="n"/>
      <c r="D335" s="26" t="n"/>
      <c r="E335" s="27" t="n"/>
      <c r="F335" s="27" t="n"/>
    </row>
    <row r="336" ht="15.75" customHeight="1" s="12">
      <c r="A336" s="27" t="n"/>
      <c r="B336" s="27" t="n"/>
      <c r="C336" s="27" t="n"/>
      <c r="D336" s="26" t="n"/>
      <c r="E336" s="27" t="n"/>
      <c r="F336" s="27" t="n"/>
    </row>
    <row r="337" ht="15.75" customHeight="1" s="12">
      <c r="A337" s="27" t="n"/>
      <c r="B337" s="27" t="n"/>
      <c r="C337" s="27" t="n"/>
      <c r="D337" s="26" t="n"/>
      <c r="E337" s="27" t="n"/>
      <c r="F337" s="27" t="n"/>
    </row>
    <row r="338" ht="15.75" customHeight="1" s="12">
      <c r="A338" s="27" t="n"/>
      <c r="B338" s="27" t="n"/>
      <c r="C338" s="27" t="n"/>
      <c r="D338" s="26" t="n"/>
      <c r="E338" s="27" t="n"/>
      <c r="F338" s="27" t="n"/>
    </row>
    <row r="339" ht="15.75" customHeight="1" s="12">
      <c r="A339" s="27" t="n"/>
      <c r="B339" s="27" t="n"/>
      <c r="C339" s="27" t="n"/>
      <c r="D339" s="26" t="n"/>
      <c r="E339" s="27" t="n"/>
      <c r="F339" s="27" t="n"/>
    </row>
    <row r="340" ht="15.75" customHeight="1" s="12">
      <c r="A340" s="27" t="n"/>
      <c r="B340" s="27" t="n"/>
      <c r="C340" s="27" t="n"/>
      <c r="D340" s="26" t="n"/>
      <c r="E340" s="27" t="n"/>
      <c r="F340" s="27" t="n"/>
    </row>
    <row r="341" ht="15.75" customHeight="1" s="12">
      <c r="A341" s="27" t="n"/>
      <c r="B341" s="27" t="n"/>
      <c r="C341" s="27" t="n"/>
      <c r="D341" s="26" t="n"/>
      <c r="E341" s="27" t="n"/>
      <c r="F341" s="27" t="n"/>
    </row>
    <row r="342" ht="15.75" customHeight="1" s="12">
      <c r="A342" s="27" t="n"/>
      <c r="B342" s="27" t="n"/>
      <c r="C342" s="27" t="n"/>
      <c r="D342" s="26" t="n"/>
      <c r="E342" s="27" t="n"/>
      <c r="F342" s="27" t="n"/>
    </row>
    <row r="343" ht="15.75" customHeight="1" s="12">
      <c r="A343" s="27" t="n"/>
      <c r="B343" s="27" t="n"/>
      <c r="C343" s="27" t="n"/>
      <c r="D343" s="26" t="n"/>
      <c r="E343" s="27" t="n"/>
      <c r="F343" s="27" t="n"/>
    </row>
    <row r="344" ht="15.75" customHeight="1" s="12">
      <c r="A344" s="27" t="n"/>
      <c r="B344" s="27" t="n"/>
      <c r="C344" s="27" t="n"/>
      <c r="D344" s="26" t="n"/>
      <c r="E344" s="27" t="n"/>
      <c r="F344" s="27" t="n"/>
    </row>
    <row r="345" ht="15.75" customHeight="1" s="12">
      <c r="A345" s="27" t="n"/>
      <c r="B345" s="27" t="n"/>
      <c r="C345" s="27" t="n"/>
      <c r="D345" s="26" t="n"/>
      <c r="E345" s="27" t="n"/>
      <c r="F345" s="27" t="n"/>
    </row>
    <row r="346" ht="15.75" customHeight="1" s="12">
      <c r="A346" s="27" t="n"/>
      <c r="B346" s="27" t="n"/>
      <c r="C346" s="27" t="n"/>
      <c r="D346" s="26" t="n"/>
      <c r="E346" s="27" t="n"/>
      <c r="F346" s="27" t="n"/>
    </row>
    <row r="347" ht="15.75" customHeight="1" s="12">
      <c r="A347" s="27" t="n"/>
      <c r="B347" s="27" t="n"/>
      <c r="C347" s="27" t="n"/>
      <c r="D347" s="26" t="n"/>
      <c r="E347" s="27" t="n"/>
      <c r="F347" s="27" t="n"/>
    </row>
    <row r="348" ht="15.75" customHeight="1" s="12">
      <c r="A348" s="27" t="n"/>
      <c r="B348" s="27" t="n"/>
      <c r="C348" s="27" t="n"/>
      <c r="D348" s="26" t="n"/>
      <c r="E348" s="27" t="n"/>
      <c r="F348" s="27" t="n"/>
    </row>
    <row r="349" ht="15.75" customHeight="1" s="12">
      <c r="A349" s="27" t="n"/>
      <c r="B349" s="27" t="n"/>
      <c r="C349" s="27" t="n"/>
      <c r="D349" s="26" t="n"/>
      <c r="E349" s="27" t="n"/>
      <c r="F349" s="27" t="n"/>
    </row>
    <row r="350" ht="15.75" customHeight="1" s="12">
      <c r="A350" s="27" t="n"/>
      <c r="B350" s="27" t="n"/>
      <c r="C350" s="27" t="n"/>
      <c r="D350" s="26" t="n"/>
      <c r="E350" s="27" t="n"/>
      <c r="F350" s="27" t="n"/>
    </row>
    <row r="351" ht="15.75" customHeight="1" s="12">
      <c r="A351" s="27" t="n"/>
      <c r="B351" s="27" t="n"/>
      <c r="C351" s="27" t="n"/>
      <c r="D351" s="26" t="n"/>
      <c r="E351" s="27" t="n"/>
      <c r="F351" s="27" t="n"/>
    </row>
    <row r="352" ht="15.75" customHeight="1" s="12">
      <c r="A352" s="27" t="n"/>
      <c r="B352" s="27" t="n"/>
      <c r="C352" s="27" t="n"/>
      <c r="D352" s="26" t="n"/>
      <c r="E352" s="27" t="n"/>
      <c r="F352" s="27" t="n"/>
    </row>
    <row r="353" ht="15.75" customHeight="1" s="12">
      <c r="A353" s="27" t="n"/>
      <c r="B353" s="27" t="n"/>
      <c r="C353" s="27" t="n"/>
      <c r="D353" s="26" t="n"/>
      <c r="E353" s="27" t="n"/>
      <c r="F353" s="27" t="n"/>
    </row>
    <row r="354" ht="15.75" customHeight="1" s="12">
      <c r="A354" s="27" t="n"/>
      <c r="B354" s="27" t="n"/>
      <c r="C354" s="27" t="n"/>
      <c r="D354" s="26" t="n"/>
      <c r="E354" s="27" t="n"/>
      <c r="F354" s="27" t="n"/>
    </row>
    <row r="355" ht="15.75" customHeight="1" s="12">
      <c r="A355" s="27" t="n"/>
      <c r="B355" s="27" t="n"/>
      <c r="C355" s="27" t="n"/>
      <c r="D355" s="26" t="n"/>
      <c r="E355" s="27" t="n"/>
      <c r="F355" s="27" t="n"/>
    </row>
    <row r="356" ht="15.75" customHeight="1" s="12">
      <c r="A356" s="27" t="n"/>
      <c r="B356" s="27" t="n"/>
      <c r="C356" s="27" t="n"/>
      <c r="D356" s="26" t="n"/>
      <c r="E356" s="27" t="n"/>
      <c r="F356" s="27" t="n"/>
    </row>
    <row r="357" ht="15.75" customHeight="1" s="12">
      <c r="A357" s="27" t="n"/>
      <c r="B357" s="27" t="n"/>
      <c r="C357" s="27" t="n"/>
      <c r="D357" s="26" t="n"/>
      <c r="E357" s="27" t="n"/>
      <c r="F357" s="27" t="n"/>
    </row>
    <row r="358" ht="15.75" customHeight="1" s="12">
      <c r="A358" s="27" t="n"/>
      <c r="B358" s="27" t="n"/>
      <c r="C358" s="27" t="n"/>
      <c r="D358" s="26" t="n"/>
      <c r="E358" s="27" t="n"/>
      <c r="F358" s="27" t="n"/>
    </row>
    <row r="359" ht="15.75" customHeight="1" s="12">
      <c r="A359" s="27" t="n"/>
      <c r="B359" s="27" t="n"/>
      <c r="C359" s="27" t="n"/>
      <c r="D359" s="26" t="n"/>
      <c r="E359" s="27" t="n"/>
      <c r="F359" s="27" t="n"/>
    </row>
    <row r="360" ht="15.75" customHeight="1" s="12">
      <c r="A360" s="27" t="n"/>
      <c r="B360" s="27" t="n"/>
      <c r="C360" s="27" t="n"/>
      <c r="D360" s="26" t="n"/>
      <c r="E360" s="27" t="n"/>
      <c r="F360" s="27" t="n"/>
    </row>
    <row r="361" ht="15.75" customHeight="1" s="12">
      <c r="A361" s="27" t="n"/>
      <c r="B361" s="27" t="n"/>
      <c r="C361" s="27" t="n"/>
      <c r="D361" s="26" t="n"/>
      <c r="E361" s="27" t="n"/>
      <c r="F361" s="27" t="n"/>
    </row>
    <row r="362" ht="15.75" customHeight="1" s="12">
      <c r="A362" s="27" t="n"/>
      <c r="B362" s="27" t="n"/>
      <c r="C362" s="27" t="n"/>
      <c r="D362" s="26" t="n"/>
      <c r="E362" s="27" t="n"/>
      <c r="F362" s="27" t="n"/>
    </row>
    <row r="363" ht="15.75" customHeight="1" s="12">
      <c r="A363" s="27" t="n"/>
      <c r="B363" s="27" t="n"/>
      <c r="C363" s="27" t="n"/>
      <c r="D363" s="26" t="n"/>
      <c r="E363" s="27" t="n"/>
      <c r="F363" s="27" t="n"/>
    </row>
    <row r="364" ht="15.75" customHeight="1" s="12">
      <c r="A364" s="27" t="n"/>
      <c r="B364" s="27" t="n"/>
      <c r="C364" s="27" t="n"/>
      <c r="D364" s="26" t="n"/>
      <c r="E364" s="27" t="n"/>
      <c r="F364" s="27" t="n"/>
    </row>
    <row r="365" ht="15.75" customHeight="1" s="12">
      <c r="A365" s="27" t="n"/>
      <c r="B365" s="27" t="n"/>
      <c r="C365" s="27" t="n"/>
      <c r="D365" s="26" t="n"/>
      <c r="E365" s="27" t="n"/>
      <c r="F365" s="27" t="n"/>
    </row>
    <row r="366" ht="15.75" customHeight="1" s="12">
      <c r="A366" s="27" t="n"/>
      <c r="B366" s="27" t="n"/>
      <c r="C366" s="27" t="n"/>
      <c r="D366" s="26" t="n"/>
      <c r="E366" s="27" t="n"/>
      <c r="F366" s="27" t="n"/>
    </row>
    <row r="367" ht="15.75" customHeight="1" s="12">
      <c r="A367" s="27" t="n"/>
      <c r="B367" s="27" t="n"/>
      <c r="C367" s="27" t="n"/>
      <c r="D367" s="26" t="n"/>
      <c r="E367" s="27" t="n"/>
      <c r="F367" s="27" t="n"/>
    </row>
    <row r="368" ht="15.75" customHeight="1" s="12">
      <c r="A368" s="27" t="n"/>
      <c r="B368" s="27" t="n"/>
      <c r="C368" s="27" t="n"/>
      <c r="D368" s="26" t="n"/>
      <c r="E368" s="27" t="n"/>
      <c r="F368" s="27" t="n"/>
    </row>
    <row r="369" ht="15.75" customHeight="1" s="12">
      <c r="A369" s="27" t="n"/>
      <c r="B369" s="27" t="n"/>
      <c r="C369" s="27" t="n"/>
      <c r="D369" s="26" t="n"/>
      <c r="E369" s="27" t="n"/>
      <c r="F369" s="27" t="n"/>
    </row>
    <row r="370" ht="15.75" customHeight="1" s="12">
      <c r="A370" s="27" t="n"/>
      <c r="B370" s="27" t="n"/>
      <c r="C370" s="27" t="n"/>
      <c r="D370" s="26" t="n"/>
      <c r="E370" s="27" t="n"/>
      <c r="F370" s="27" t="n"/>
    </row>
    <row r="371" ht="15.75" customHeight="1" s="12">
      <c r="A371" s="27" t="n"/>
      <c r="B371" s="27" t="n"/>
      <c r="C371" s="27" t="n"/>
      <c r="D371" s="26" t="n"/>
      <c r="E371" s="27" t="n"/>
      <c r="F371" s="27" t="n"/>
    </row>
    <row r="372" ht="15.75" customHeight="1" s="12">
      <c r="A372" s="27" t="n"/>
      <c r="B372" s="27" t="n"/>
      <c r="C372" s="27" t="n"/>
      <c r="D372" s="26" t="n"/>
      <c r="E372" s="27" t="n"/>
      <c r="F372" s="27" t="n"/>
    </row>
    <row r="373" ht="15.75" customHeight="1" s="12">
      <c r="A373" s="27" t="n"/>
      <c r="B373" s="27" t="n"/>
      <c r="C373" s="27" t="n"/>
      <c r="D373" s="26" t="n"/>
      <c r="E373" s="27" t="n"/>
      <c r="F373" s="27" t="n"/>
    </row>
    <row r="374" ht="15.75" customHeight="1" s="12">
      <c r="A374" s="27" t="n"/>
      <c r="B374" s="27" t="n"/>
      <c r="C374" s="27" t="n"/>
      <c r="D374" s="26" t="n"/>
      <c r="E374" s="27" t="n"/>
      <c r="F374" s="27" t="n"/>
    </row>
    <row r="375" ht="15.75" customHeight="1" s="12">
      <c r="A375" s="27" t="n"/>
      <c r="B375" s="27" t="n"/>
      <c r="C375" s="27" t="n"/>
      <c r="D375" s="26" t="n"/>
      <c r="E375" s="27" t="n"/>
      <c r="F375" s="27" t="n"/>
    </row>
    <row r="376" ht="15.75" customHeight="1" s="12">
      <c r="A376" s="27" t="n"/>
      <c r="B376" s="27" t="n"/>
      <c r="C376" s="27" t="n"/>
      <c r="D376" s="26" t="n"/>
      <c r="E376" s="27" t="n"/>
      <c r="F376" s="27" t="n"/>
    </row>
    <row r="377" ht="15.75" customHeight="1" s="12">
      <c r="A377" s="27" t="n"/>
      <c r="B377" s="27" t="n"/>
      <c r="C377" s="27" t="n"/>
      <c r="D377" s="26" t="n"/>
      <c r="E377" s="27" t="n"/>
      <c r="F377" s="27" t="n"/>
    </row>
    <row r="378" ht="15.75" customHeight="1" s="12">
      <c r="A378" s="27" t="n"/>
      <c r="B378" s="27" t="n"/>
      <c r="C378" s="27" t="n"/>
      <c r="D378" s="26" t="n"/>
      <c r="E378" s="27" t="n"/>
      <c r="F378" s="27" t="n"/>
    </row>
    <row r="379" ht="15.75" customHeight="1" s="12">
      <c r="A379" s="27" t="n"/>
      <c r="B379" s="27" t="n"/>
      <c r="C379" s="27" t="n"/>
      <c r="D379" s="26" t="n"/>
      <c r="E379" s="27" t="n"/>
      <c r="F379" s="27" t="n"/>
    </row>
    <row r="380" ht="15.75" customHeight="1" s="12">
      <c r="A380" s="27" t="n"/>
      <c r="B380" s="27" t="n"/>
      <c r="C380" s="27" t="n"/>
      <c r="D380" s="26" t="n"/>
      <c r="E380" s="27" t="n"/>
      <c r="F380" s="27" t="n"/>
    </row>
    <row r="381" ht="15.75" customHeight="1" s="12">
      <c r="A381" s="27" t="n"/>
      <c r="B381" s="27" t="n"/>
      <c r="C381" s="27" t="n"/>
      <c r="D381" s="26" t="n"/>
      <c r="E381" s="27" t="n"/>
      <c r="F381" s="27" t="n"/>
    </row>
    <row r="382" ht="15.75" customHeight="1" s="12">
      <c r="A382" s="27" t="n"/>
      <c r="B382" s="27" t="n"/>
      <c r="C382" s="27" t="n"/>
      <c r="D382" s="26" t="n"/>
      <c r="E382" s="27" t="n"/>
      <c r="F382" s="27" t="n"/>
    </row>
    <row r="383" ht="15.75" customHeight="1" s="12">
      <c r="A383" s="27" t="n"/>
      <c r="B383" s="27" t="n"/>
      <c r="C383" s="27" t="n"/>
      <c r="D383" s="26" t="n"/>
      <c r="E383" s="27" t="n"/>
      <c r="F383" s="27" t="n"/>
    </row>
    <row r="384" ht="15.75" customHeight="1" s="12">
      <c r="A384" s="27" t="n"/>
      <c r="B384" s="27" t="n"/>
      <c r="C384" s="27" t="n"/>
      <c r="D384" s="26" t="n"/>
      <c r="E384" s="27" t="n"/>
      <c r="F384" s="27" t="n"/>
    </row>
    <row r="385" ht="15.75" customHeight="1" s="12">
      <c r="A385" s="27" t="n"/>
      <c r="B385" s="27" t="n"/>
      <c r="C385" s="27" t="n"/>
      <c r="D385" s="26" t="n"/>
      <c r="E385" s="27" t="n"/>
      <c r="F385" s="27" t="n"/>
    </row>
    <row r="386" ht="15.75" customHeight="1" s="12">
      <c r="A386" s="27" t="n"/>
      <c r="B386" s="27" t="n"/>
      <c r="C386" s="27" t="n"/>
      <c r="D386" s="26" t="n"/>
      <c r="E386" s="27" t="n"/>
      <c r="F386" s="27" t="n"/>
    </row>
    <row r="387" ht="15.75" customHeight="1" s="12">
      <c r="A387" s="27" t="n"/>
      <c r="B387" s="27" t="n"/>
      <c r="C387" s="27" t="n"/>
      <c r="D387" s="26" t="n"/>
      <c r="E387" s="27" t="n"/>
      <c r="F387" s="27" t="n"/>
    </row>
    <row r="388" ht="15.75" customHeight="1" s="12">
      <c r="A388" s="27" t="n"/>
      <c r="B388" s="27" t="n"/>
      <c r="C388" s="27" t="n"/>
      <c r="D388" s="26" t="n"/>
      <c r="E388" s="27" t="n"/>
      <c r="F388" s="27" t="n"/>
    </row>
    <row r="389" ht="15.75" customHeight="1" s="12">
      <c r="A389" s="27" t="n"/>
      <c r="B389" s="27" t="n"/>
      <c r="C389" s="27" t="n"/>
      <c r="D389" s="26" t="n"/>
      <c r="E389" s="27" t="n"/>
      <c r="F389" s="27" t="n"/>
    </row>
    <row r="390" ht="15.75" customHeight="1" s="12">
      <c r="A390" s="27" t="n"/>
      <c r="B390" s="27" t="n"/>
      <c r="C390" s="27" t="n"/>
      <c r="D390" s="26" t="n"/>
      <c r="E390" s="27" t="n"/>
      <c r="F390" s="27" t="n"/>
    </row>
    <row r="391" ht="15.75" customHeight="1" s="12">
      <c r="A391" s="27" t="n"/>
      <c r="B391" s="27" t="n"/>
      <c r="C391" s="27" t="n"/>
      <c r="D391" s="26" t="n"/>
      <c r="E391" s="27" t="n"/>
      <c r="F391" s="27" t="n"/>
    </row>
    <row r="392" ht="15.75" customHeight="1" s="12">
      <c r="A392" s="27" t="n"/>
      <c r="B392" s="27" t="n"/>
      <c r="C392" s="27" t="n"/>
      <c r="D392" s="26" t="n"/>
      <c r="E392" s="27" t="n"/>
      <c r="F392" s="27" t="n"/>
    </row>
    <row r="393" ht="15.75" customHeight="1" s="12">
      <c r="A393" s="27" t="n"/>
      <c r="B393" s="27" t="n"/>
      <c r="C393" s="27" t="n"/>
      <c r="D393" s="26" t="n"/>
      <c r="E393" s="27" t="n"/>
      <c r="F393" s="27" t="n"/>
    </row>
    <row r="394" ht="15.75" customHeight="1" s="12">
      <c r="A394" s="27" t="n"/>
      <c r="B394" s="27" t="n"/>
      <c r="C394" s="27" t="n"/>
      <c r="D394" s="26" t="n"/>
      <c r="E394" s="27" t="n"/>
      <c r="F394" s="27" t="n"/>
    </row>
    <row r="395" ht="15.75" customHeight="1" s="12">
      <c r="A395" s="27" t="n"/>
      <c r="B395" s="27" t="n"/>
      <c r="C395" s="27" t="n"/>
      <c r="D395" s="26" t="n"/>
      <c r="E395" s="27" t="n"/>
      <c r="F395" s="27" t="n"/>
    </row>
    <row r="396" ht="15.75" customHeight="1" s="12">
      <c r="A396" s="27" t="n"/>
      <c r="B396" s="27" t="n"/>
      <c r="C396" s="27" t="n"/>
      <c r="D396" s="26" t="n"/>
      <c r="E396" s="27" t="n"/>
      <c r="F396" s="27" t="n"/>
    </row>
    <row r="397" ht="15.75" customHeight="1" s="12">
      <c r="A397" s="27" t="n"/>
      <c r="B397" s="27" t="n"/>
      <c r="C397" s="27" t="n"/>
      <c r="D397" s="26" t="n"/>
      <c r="E397" s="27" t="n"/>
      <c r="F397" s="27" t="n"/>
    </row>
    <row r="398" ht="15.75" customHeight="1" s="12">
      <c r="A398" s="27" t="n"/>
      <c r="B398" s="27" t="n"/>
      <c r="C398" s="27" t="n"/>
      <c r="D398" s="26" t="n"/>
      <c r="E398" s="27" t="n"/>
      <c r="F398" s="27" t="n"/>
    </row>
    <row r="399" ht="15.75" customHeight="1" s="12">
      <c r="A399" s="27" t="n"/>
      <c r="B399" s="27" t="n"/>
      <c r="C399" s="27" t="n"/>
      <c r="D399" s="26" t="n"/>
      <c r="E399" s="27" t="n"/>
      <c r="F399" s="27" t="n"/>
    </row>
    <row r="400" ht="15.75" customHeight="1" s="12">
      <c r="A400" s="27" t="n"/>
      <c r="B400" s="27" t="n"/>
      <c r="C400" s="27" t="n"/>
      <c r="D400" s="26" t="n"/>
      <c r="E400" s="27" t="n"/>
      <c r="F400" s="27" t="n"/>
    </row>
    <row r="401" ht="15.75" customHeight="1" s="12">
      <c r="A401" s="27" t="n"/>
      <c r="B401" s="27" t="n"/>
      <c r="C401" s="27" t="n"/>
      <c r="D401" s="26" t="n"/>
      <c r="E401" s="27" t="n"/>
      <c r="F401" s="27" t="n"/>
    </row>
    <row r="402" ht="15.75" customHeight="1" s="12">
      <c r="A402" s="27" t="n"/>
      <c r="B402" s="27" t="n"/>
      <c r="C402" s="27" t="n"/>
      <c r="D402" s="26" t="n"/>
      <c r="E402" s="27" t="n"/>
      <c r="F402" s="27" t="n"/>
    </row>
    <row r="403" ht="15.75" customHeight="1" s="12">
      <c r="A403" s="27" t="n"/>
      <c r="B403" s="27" t="n"/>
      <c r="C403" s="27" t="n"/>
      <c r="D403" s="26" t="n"/>
      <c r="E403" s="27" t="n"/>
      <c r="F403" s="27" t="n"/>
    </row>
    <row r="404" ht="15.75" customHeight="1" s="12">
      <c r="A404" s="27" t="n"/>
      <c r="B404" s="27" t="n"/>
      <c r="C404" s="27" t="n"/>
      <c r="D404" s="26" t="n"/>
      <c r="E404" s="27" t="n"/>
      <c r="F404" s="27" t="n"/>
    </row>
    <row r="405" ht="15.75" customHeight="1" s="12">
      <c r="A405" s="27" t="n"/>
      <c r="B405" s="27" t="n"/>
      <c r="C405" s="27" t="n"/>
      <c r="D405" s="26" t="n"/>
      <c r="E405" s="27" t="n"/>
      <c r="F405" s="27" t="n"/>
    </row>
    <row r="406" ht="15.75" customHeight="1" s="12">
      <c r="A406" s="27" t="n"/>
      <c r="B406" s="27" t="n"/>
      <c r="C406" s="27" t="n"/>
      <c r="D406" s="26" t="n"/>
      <c r="E406" s="27" t="n"/>
      <c r="F406" s="27" t="n"/>
    </row>
    <row r="407" ht="15.75" customHeight="1" s="12">
      <c r="A407" s="27" t="n"/>
      <c r="B407" s="27" t="n"/>
      <c r="C407" s="27" t="n"/>
      <c r="D407" s="26" t="n"/>
      <c r="E407" s="27" t="n"/>
      <c r="F407" s="27" t="n"/>
    </row>
    <row r="408" ht="15.75" customHeight="1" s="12">
      <c r="A408" s="27" t="n"/>
      <c r="B408" s="27" t="n"/>
      <c r="C408" s="27" t="n"/>
      <c r="D408" s="26" t="n"/>
      <c r="E408" s="27" t="n"/>
      <c r="F408" s="27" t="n"/>
    </row>
    <row r="409" ht="15.75" customHeight="1" s="12">
      <c r="A409" s="27" t="n"/>
      <c r="B409" s="27" t="n"/>
      <c r="C409" s="27" t="n"/>
      <c r="D409" s="26" t="n"/>
      <c r="E409" s="27" t="n"/>
      <c r="F409" s="27" t="n"/>
    </row>
    <row r="410" ht="15.75" customHeight="1" s="12">
      <c r="A410" s="27" t="n"/>
      <c r="B410" s="27" t="n"/>
      <c r="C410" s="27" t="n"/>
      <c r="D410" s="26" t="n"/>
      <c r="E410" s="27" t="n"/>
      <c r="F410" s="27" t="n"/>
    </row>
    <row r="411" ht="15.75" customHeight="1" s="12">
      <c r="A411" s="27" t="n"/>
      <c r="B411" s="27" t="n"/>
      <c r="C411" s="27" t="n"/>
      <c r="D411" s="26" t="n"/>
      <c r="E411" s="27" t="n"/>
      <c r="F411" s="27" t="n"/>
    </row>
    <row r="412" ht="15.75" customHeight="1" s="12">
      <c r="A412" s="27" t="n"/>
      <c r="B412" s="27" t="n"/>
      <c r="C412" s="27" t="n"/>
      <c r="D412" s="26" t="n"/>
      <c r="E412" s="27" t="n"/>
      <c r="F412" s="27" t="n"/>
    </row>
    <row r="413" ht="15.75" customHeight="1" s="12">
      <c r="A413" s="27" t="n"/>
      <c r="B413" s="27" t="n"/>
      <c r="C413" s="27" t="n"/>
      <c r="D413" s="26" t="n"/>
      <c r="E413" s="27" t="n"/>
      <c r="F413" s="27" t="n"/>
    </row>
    <row r="414" ht="15.75" customHeight="1" s="12">
      <c r="A414" s="27" t="n"/>
      <c r="B414" s="27" t="n"/>
      <c r="C414" s="27" t="n"/>
      <c r="D414" s="26" t="n"/>
      <c r="E414" s="27" t="n"/>
      <c r="F414" s="27" t="n"/>
    </row>
    <row r="415" ht="15.75" customHeight="1" s="12">
      <c r="A415" s="27" t="n"/>
      <c r="B415" s="27" t="n"/>
      <c r="C415" s="27" t="n"/>
      <c r="D415" s="26" t="n"/>
      <c r="E415" s="27" t="n"/>
      <c r="F415" s="27" t="n"/>
    </row>
    <row r="416" ht="15.75" customHeight="1" s="12">
      <c r="A416" s="27" t="n"/>
      <c r="B416" s="27" t="n"/>
      <c r="C416" s="27" t="n"/>
      <c r="D416" s="26" t="n"/>
      <c r="E416" s="27" t="n"/>
      <c r="F416" s="27" t="n"/>
    </row>
    <row r="417" ht="15.75" customHeight="1" s="12">
      <c r="A417" s="27" t="n"/>
      <c r="B417" s="27" t="n"/>
      <c r="C417" s="27" t="n"/>
      <c r="D417" s="26" t="n"/>
      <c r="E417" s="27" t="n"/>
      <c r="F417" s="27" t="n"/>
    </row>
    <row r="418" ht="15.75" customHeight="1" s="12">
      <c r="A418" s="27" t="n"/>
      <c r="B418" s="27" t="n"/>
      <c r="C418" s="27" t="n"/>
      <c r="D418" s="26" t="n"/>
      <c r="E418" s="27" t="n"/>
      <c r="F418" s="27" t="n"/>
    </row>
    <row r="419" ht="15.75" customHeight="1" s="12">
      <c r="A419" s="27" t="n"/>
      <c r="B419" s="27" t="n"/>
      <c r="C419" s="27" t="n"/>
      <c r="D419" s="26" t="n"/>
      <c r="E419" s="27" t="n"/>
      <c r="F419" s="27" t="n"/>
    </row>
    <row r="420" ht="15.75" customHeight="1" s="12">
      <c r="A420" s="27" t="n"/>
      <c r="B420" s="27" t="n"/>
      <c r="C420" s="27" t="n"/>
      <c r="D420" s="26" t="n"/>
      <c r="E420" s="27" t="n"/>
      <c r="F420" s="27" t="n"/>
    </row>
    <row r="421" ht="15.75" customHeight="1" s="12">
      <c r="A421" s="27" t="n"/>
      <c r="B421" s="27" t="n"/>
      <c r="C421" s="27" t="n"/>
      <c r="D421" s="26" t="n"/>
      <c r="E421" s="27" t="n"/>
      <c r="F421" s="27" t="n"/>
    </row>
    <row r="422" ht="15.75" customHeight="1" s="12">
      <c r="A422" s="27" t="n"/>
      <c r="B422" s="27" t="n"/>
      <c r="C422" s="27" t="n"/>
      <c r="D422" s="26" t="n"/>
      <c r="E422" s="27" t="n"/>
      <c r="F422" s="27" t="n"/>
    </row>
    <row r="423" ht="15.75" customHeight="1" s="12">
      <c r="A423" s="27" t="n"/>
      <c r="B423" s="27" t="n"/>
      <c r="C423" s="27" t="n"/>
      <c r="D423" s="26" t="n"/>
      <c r="E423" s="27" t="n"/>
      <c r="F423" s="27" t="n"/>
    </row>
    <row r="424" ht="15.75" customHeight="1" s="12">
      <c r="A424" s="27" t="n"/>
      <c r="B424" s="27" t="n"/>
      <c r="C424" s="27" t="n"/>
      <c r="D424" s="26" t="n"/>
      <c r="E424" s="27" t="n"/>
      <c r="F424" s="27" t="n"/>
    </row>
    <row r="425" ht="15.75" customHeight="1" s="12">
      <c r="A425" s="27" t="n"/>
      <c r="B425" s="27" t="n"/>
      <c r="C425" s="27" t="n"/>
      <c r="D425" s="26" t="n"/>
      <c r="E425" s="27" t="n"/>
      <c r="F425" s="27" t="n"/>
    </row>
    <row r="426" ht="15.75" customHeight="1" s="12">
      <c r="A426" s="27" t="n"/>
      <c r="B426" s="27" t="n"/>
      <c r="C426" s="27" t="n"/>
      <c r="D426" s="26" t="n"/>
      <c r="E426" s="27" t="n"/>
      <c r="F426" s="27" t="n"/>
    </row>
    <row r="427" ht="15.75" customHeight="1" s="12">
      <c r="A427" s="27" t="n"/>
      <c r="B427" s="27" t="n"/>
      <c r="C427" s="27" t="n"/>
      <c r="D427" s="26" t="n"/>
      <c r="E427" s="27" t="n"/>
      <c r="F427" s="27" t="n"/>
    </row>
    <row r="428" ht="15.75" customHeight="1" s="12">
      <c r="A428" s="27" t="n"/>
      <c r="B428" s="27" t="n"/>
      <c r="C428" s="27" t="n"/>
      <c r="D428" s="26" t="n"/>
      <c r="E428" s="27" t="n"/>
      <c r="F428" s="27" t="n"/>
    </row>
    <row r="429" ht="15.75" customHeight="1" s="12">
      <c r="A429" s="27" t="n"/>
      <c r="B429" s="27" t="n"/>
      <c r="C429" s="27" t="n"/>
      <c r="D429" s="26" t="n"/>
      <c r="E429" s="27" t="n"/>
      <c r="F429" s="27" t="n"/>
    </row>
    <row r="430" ht="15.75" customHeight="1" s="12">
      <c r="A430" s="27" t="n"/>
      <c r="B430" s="27" t="n"/>
      <c r="C430" s="27" t="n"/>
      <c r="D430" s="26" t="n"/>
      <c r="E430" s="27" t="n"/>
      <c r="F430" s="27" t="n"/>
    </row>
    <row r="431" ht="15.75" customHeight="1" s="12">
      <c r="A431" s="27" t="n"/>
      <c r="B431" s="27" t="n"/>
      <c r="C431" s="27" t="n"/>
      <c r="D431" s="26" t="n"/>
      <c r="E431" s="27" t="n"/>
      <c r="F431" s="27" t="n"/>
    </row>
    <row r="432" ht="15.75" customHeight="1" s="12">
      <c r="A432" s="27" t="n"/>
      <c r="B432" s="27" t="n"/>
      <c r="C432" s="27" t="n"/>
      <c r="D432" s="26" t="n"/>
      <c r="E432" s="27" t="n"/>
      <c r="F432" s="27" t="n"/>
    </row>
    <row r="433" ht="15.75" customHeight="1" s="12">
      <c r="A433" s="27" t="n"/>
      <c r="B433" s="27" t="n"/>
      <c r="C433" s="27" t="n"/>
      <c r="D433" s="26" t="n"/>
      <c r="E433" s="27" t="n"/>
      <c r="F433" s="27" t="n"/>
    </row>
    <row r="434" ht="15.75" customHeight="1" s="12">
      <c r="A434" s="27" t="n"/>
      <c r="B434" s="27" t="n"/>
      <c r="C434" s="27" t="n"/>
      <c r="D434" s="26" t="n"/>
      <c r="E434" s="27" t="n"/>
      <c r="F434" s="27" t="n"/>
    </row>
    <row r="435" ht="15.75" customHeight="1" s="12">
      <c r="A435" s="27" t="n"/>
      <c r="B435" s="27" t="n"/>
      <c r="C435" s="27" t="n"/>
      <c r="D435" s="26" t="n"/>
      <c r="E435" s="27" t="n"/>
      <c r="F435" s="27" t="n"/>
    </row>
    <row r="436" ht="15.75" customHeight="1" s="12">
      <c r="A436" s="27" t="n"/>
      <c r="B436" s="27" t="n"/>
      <c r="C436" s="27" t="n"/>
      <c r="D436" s="26" t="n"/>
      <c r="E436" s="27" t="n"/>
      <c r="F436" s="27" t="n"/>
    </row>
    <row r="437" ht="15.75" customHeight="1" s="12">
      <c r="A437" s="27" t="n"/>
      <c r="B437" s="27" t="n"/>
      <c r="C437" s="27" t="n"/>
      <c r="D437" s="26" t="n"/>
      <c r="E437" s="27" t="n"/>
      <c r="F437" s="27" t="n"/>
    </row>
    <row r="438" ht="15.75" customHeight="1" s="12">
      <c r="A438" s="27" t="n"/>
      <c r="B438" s="27" t="n"/>
      <c r="C438" s="27" t="n"/>
      <c r="D438" s="26" t="n"/>
      <c r="E438" s="27" t="n"/>
      <c r="F438" s="27" t="n"/>
    </row>
    <row r="439" ht="15.75" customHeight="1" s="12">
      <c r="A439" s="27" t="n"/>
      <c r="B439" s="27" t="n"/>
      <c r="C439" s="27" t="n"/>
      <c r="D439" s="26" t="n"/>
      <c r="E439" s="27" t="n"/>
      <c r="F439" s="27" t="n"/>
    </row>
    <row r="440" ht="15.75" customHeight="1" s="12">
      <c r="A440" s="27" t="n"/>
      <c r="B440" s="27" t="n"/>
      <c r="C440" s="27" t="n"/>
      <c r="D440" s="26" t="n"/>
      <c r="E440" s="27" t="n"/>
      <c r="F440" s="27" t="n"/>
    </row>
    <row r="441" ht="15.75" customHeight="1" s="12">
      <c r="A441" s="27" t="n"/>
      <c r="B441" s="27" t="n"/>
      <c r="C441" s="27" t="n"/>
      <c r="D441" s="26" t="n"/>
      <c r="E441" s="27" t="n"/>
      <c r="F441" s="27" t="n"/>
    </row>
    <row r="442" ht="15.75" customHeight="1" s="12">
      <c r="A442" s="27" t="n"/>
      <c r="B442" s="27" t="n"/>
      <c r="C442" s="27" t="n"/>
      <c r="D442" s="26" t="n"/>
      <c r="E442" s="27" t="n"/>
      <c r="F442" s="27" t="n"/>
    </row>
    <row r="443" ht="15.75" customHeight="1" s="12">
      <c r="A443" s="27" t="n"/>
      <c r="B443" s="27" t="n"/>
      <c r="C443" s="27" t="n"/>
      <c r="D443" s="26" t="n"/>
      <c r="E443" s="27" t="n"/>
      <c r="F443" s="27" t="n"/>
    </row>
    <row r="444" ht="15.75" customHeight="1" s="12">
      <c r="A444" s="27" t="n"/>
      <c r="B444" s="27" t="n"/>
      <c r="C444" s="27" t="n"/>
      <c r="D444" s="26" t="n"/>
      <c r="E444" s="27" t="n"/>
      <c r="F444" s="27" t="n"/>
    </row>
    <row r="445" ht="15.75" customHeight="1" s="12">
      <c r="A445" s="27" t="n"/>
      <c r="B445" s="27" t="n"/>
      <c r="C445" s="27" t="n"/>
      <c r="D445" s="26" t="n"/>
      <c r="E445" s="27" t="n"/>
      <c r="F445" s="27" t="n"/>
    </row>
    <row r="446" ht="15.75" customHeight="1" s="12">
      <c r="A446" s="27" t="n"/>
      <c r="B446" s="27" t="n"/>
      <c r="C446" s="27" t="n"/>
      <c r="D446" s="26" t="n"/>
      <c r="E446" s="27" t="n"/>
      <c r="F446" s="27" t="n"/>
    </row>
    <row r="447" ht="15.75" customHeight="1" s="12">
      <c r="A447" s="27" t="n"/>
      <c r="B447" s="27" t="n"/>
      <c r="C447" s="27" t="n"/>
      <c r="D447" s="26" t="n"/>
      <c r="E447" s="27" t="n"/>
      <c r="F447" s="27" t="n"/>
    </row>
    <row r="448" ht="15.75" customHeight="1" s="12">
      <c r="A448" s="27" t="n"/>
      <c r="B448" s="27" t="n"/>
      <c r="C448" s="27" t="n"/>
      <c r="D448" s="26" t="n"/>
      <c r="E448" s="27" t="n"/>
      <c r="F448" s="27" t="n"/>
    </row>
    <row r="449" ht="15.75" customHeight="1" s="12">
      <c r="A449" s="27" t="n"/>
      <c r="B449" s="27" t="n"/>
      <c r="C449" s="27" t="n"/>
      <c r="D449" s="26" t="n"/>
      <c r="E449" s="27" t="n"/>
      <c r="F449" s="27" t="n"/>
    </row>
    <row r="450" ht="15.75" customHeight="1" s="12">
      <c r="A450" s="27" t="n"/>
      <c r="B450" s="27" t="n"/>
      <c r="C450" s="27" t="n"/>
      <c r="D450" s="26" t="n"/>
      <c r="E450" s="27" t="n"/>
      <c r="F450" s="27" t="n"/>
    </row>
    <row r="451" ht="15.75" customHeight="1" s="12">
      <c r="A451" s="27" t="n"/>
      <c r="B451" s="27" t="n"/>
      <c r="C451" s="27" t="n"/>
      <c r="D451" s="26" t="n"/>
      <c r="E451" s="27" t="n"/>
      <c r="F451" s="27" t="n"/>
    </row>
    <row r="452" ht="15.75" customHeight="1" s="12">
      <c r="A452" s="27" t="n"/>
      <c r="B452" s="27" t="n"/>
      <c r="C452" s="27" t="n"/>
      <c r="D452" s="26" t="n"/>
      <c r="E452" s="27" t="n"/>
      <c r="F452" s="27" t="n"/>
    </row>
    <row r="453" ht="15.75" customHeight="1" s="12">
      <c r="A453" s="27" t="n"/>
      <c r="B453" s="27" t="n"/>
      <c r="C453" s="27" t="n"/>
      <c r="D453" s="26" t="n"/>
      <c r="E453" s="27" t="n"/>
      <c r="F453" s="27" t="n"/>
    </row>
    <row r="454" ht="15.75" customHeight="1" s="12">
      <c r="A454" s="27" t="n"/>
      <c r="B454" s="27" t="n"/>
      <c r="C454" s="27" t="n"/>
      <c r="D454" s="26" t="n"/>
      <c r="E454" s="27" t="n"/>
      <c r="F454" s="27" t="n"/>
    </row>
    <row r="455" ht="15.75" customHeight="1" s="12">
      <c r="A455" s="27" t="n"/>
      <c r="B455" s="27" t="n"/>
      <c r="C455" s="27" t="n"/>
      <c r="D455" s="26" t="n"/>
      <c r="E455" s="27" t="n"/>
      <c r="F455" s="27" t="n"/>
    </row>
    <row r="456" ht="15.75" customHeight="1" s="12">
      <c r="A456" s="27" t="n"/>
      <c r="B456" s="27" t="n"/>
      <c r="C456" s="27" t="n"/>
      <c r="D456" s="26" t="n"/>
      <c r="E456" s="27" t="n"/>
      <c r="F456" s="27" t="n"/>
    </row>
    <row r="457" ht="15.75" customHeight="1" s="12">
      <c r="A457" s="27" t="n"/>
      <c r="B457" s="27" t="n"/>
      <c r="C457" s="27" t="n"/>
      <c r="D457" s="26" t="n"/>
      <c r="E457" s="27" t="n"/>
      <c r="F457" s="27" t="n"/>
    </row>
    <row r="458" ht="15.75" customHeight="1" s="12">
      <c r="A458" s="27" t="n"/>
      <c r="B458" s="27" t="n"/>
      <c r="C458" s="27" t="n"/>
      <c r="D458" s="26" t="n"/>
      <c r="E458" s="27" t="n"/>
      <c r="F458" s="27" t="n"/>
    </row>
    <row r="459" ht="15.75" customHeight="1" s="12">
      <c r="A459" s="27" t="n"/>
      <c r="B459" s="27" t="n"/>
      <c r="C459" s="27" t="n"/>
      <c r="D459" s="26" t="n"/>
      <c r="E459" s="27" t="n"/>
      <c r="F459" s="27" t="n"/>
    </row>
    <row r="460" ht="15.75" customHeight="1" s="12">
      <c r="A460" s="27" t="n"/>
      <c r="B460" s="27" t="n"/>
      <c r="C460" s="27" t="n"/>
      <c r="D460" s="26" t="n"/>
      <c r="E460" s="27" t="n"/>
      <c r="F460" s="27" t="n"/>
    </row>
    <row r="461" ht="15.75" customHeight="1" s="12">
      <c r="A461" s="27" t="n"/>
      <c r="B461" s="27" t="n"/>
      <c r="C461" s="27" t="n"/>
      <c r="D461" s="26" t="n"/>
      <c r="E461" s="27" t="n"/>
      <c r="F461" s="27" t="n"/>
    </row>
    <row r="462" ht="15.75" customHeight="1" s="12">
      <c r="A462" s="27" t="n"/>
      <c r="B462" s="27" t="n"/>
      <c r="C462" s="27" t="n"/>
      <c r="D462" s="26" t="n"/>
      <c r="E462" s="27" t="n"/>
      <c r="F462" s="27" t="n"/>
    </row>
    <row r="463" ht="15.75" customHeight="1" s="12">
      <c r="A463" s="27" t="n"/>
      <c r="B463" s="27" t="n"/>
      <c r="C463" s="27" t="n"/>
      <c r="D463" s="26" t="n"/>
      <c r="E463" s="27" t="n"/>
      <c r="F463" s="27" t="n"/>
    </row>
    <row r="464" ht="15.75" customHeight="1" s="12">
      <c r="A464" s="27" t="n"/>
      <c r="B464" s="27" t="n"/>
      <c r="C464" s="27" t="n"/>
      <c r="D464" s="26" t="n"/>
      <c r="E464" s="27" t="n"/>
      <c r="F464" s="27" t="n"/>
    </row>
    <row r="465" ht="15.75" customHeight="1" s="12">
      <c r="A465" s="27" t="n"/>
      <c r="B465" s="27" t="n"/>
      <c r="C465" s="27" t="n"/>
      <c r="D465" s="26" t="n"/>
      <c r="E465" s="27" t="n"/>
      <c r="F465" s="27" t="n"/>
    </row>
    <row r="466" ht="15.75" customHeight="1" s="12">
      <c r="A466" s="27" t="n"/>
      <c r="B466" s="27" t="n"/>
      <c r="C466" s="27" t="n"/>
      <c r="D466" s="26" t="n"/>
      <c r="E466" s="27" t="n"/>
      <c r="F466" s="27" t="n"/>
    </row>
    <row r="467" ht="15.75" customHeight="1" s="12">
      <c r="A467" s="27" t="n"/>
      <c r="B467" s="27" t="n"/>
      <c r="C467" s="27" t="n"/>
      <c r="D467" s="26" t="n"/>
      <c r="E467" s="27" t="n"/>
      <c r="F467" s="27" t="n"/>
    </row>
    <row r="468" ht="15.75" customHeight="1" s="12">
      <c r="A468" s="27" t="n"/>
      <c r="B468" s="27" t="n"/>
      <c r="C468" s="27" t="n"/>
      <c r="D468" s="26" t="n"/>
      <c r="E468" s="27" t="n"/>
      <c r="F468" s="27" t="n"/>
    </row>
    <row r="469" ht="15.75" customHeight="1" s="12">
      <c r="A469" s="27" t="n"/>
      <c r="B469" s="27" t="n"/>
      <c r="C469" s="27" t="n"/>
      <c r="D469" s="26" t="n"/>
      <c r="E469" s="27" t="n"/>
      <c r="F469" s="27" t="n"/>
    </row>
    <row r="470" ht="15.75" customHeight="1" s="12">
      <c r="A470" s="27" t="n"/>
      <c r="B470" s="27" t="n"/>
      <c r="C470" s="27" t="n"/>
      <c r="D470" s="26" t="n"/>
      <c r="E470" s="27" t="n"/>
      <c r="F470" s="27" t="n"/>
    </row>
    <row r="471" ht="15.75" customHeight="1" s="12">
      <c r="A471" s="27" t="n"/>
      <c r="B471" s="27" t="n"/>
      <c r="C471" s="27" t="n"/>
      <c r="D471" s="26" t="n"/>
      <c r="E471" s="27" t="n"/>
      <c r="F471" s="27" t="n"/>
    </row>
    <row r="472" ht="15.75" customHeight="1" s="12">
      <c r="A472" s="27" t="n"/>
      <c r="B472" s="27" t="n"/>
      <c r="C472" s="27" t="n"/>
      <c r="D472" s="26" t="n"/>
      <c r="E472" s="27" t="n"/>
      <c r="F472" s="27" t="n"/>
    </row>
    <row r="473" ht="15.75" customHeight="1" s="12">
      <c r="A473" s="27" t="n"/>
      <c r="B473" s="27" t="n"/>
      <c r="C473" s="27" t="n"/>
      <c r="D473" s="26" t="n"/>
      <c r="E473" s="27" t="n"/>
      <c r="F473" s="27" t="n"/>
    </row>
    <row r="474" ht="15.75" customHeight="1" s="12">
      <c r="A474" s="27" t="n"/>
      <c r="B474" s="27" t="n"/>
      <c r="C474" s="27" t="n"/>
      <c r="D474" s="26" t="n"/>
      <c r="E474" s="27" t="n"/>
      <c r="F474" s="27" t="n"/>
    </row>
    <row r="475" ht="15.75" customHeight="1" s="12">
      <c r="A475" s="27" t="n"/>
      <c r="B475" s="27" t="n"/>
      <c r="C475" s="27" t="n"/>
      <c r="D475" s="26" t="n"/>
      <c r="E475" s="27" t="n"/>
      <c r="F475" s="27" t="n"/>
    </row>
    <row r="476" ht="15.75" customHeight="1" s="12">
      <c r="A476" s="27" t="n"/>
      <c r="B476" s="27" t="n"/>
      <c r="C476" s="27" t="n"/>
      <c r="D476" s="26" t="n"/>
      <c r="E476" s="27" t="n"/>
      <c r="F476" s="27" t="n"/>
    </row>
    <row r="477" ht="15.75" customHeight="1" s="12">
      <c r="A477" s="27" t="n"/>
      <c r="B477" s="27" t="n"/>
      <c r="C477" s="27" t="n"/>
      <c r="D477" s="26" t="n"/>
      <c r="E477" s="27" t="n"/>
      <c r="F477" s="27" t="n"/>
    </row>
    <row r="478" ht="15.75" customHeight="1" s="12">
      <c r="A478" s="27" t="n"/>
      <c r="B478" s="27" t="n"/>
      <c r="C478" s="27" t="n"/>
      <c r="D478" s="26" t="n"/>
      <c r="E478" s="27" t="n"/>
      <c r="F478" s="27" t="n"/>
    </row>
    <row r="479" ht="15.75" customHeight="1" s="12">
      <c r="A479" s="27" t="n"/>
      <c r="B479" s="27" t="n"/>
      <c r="C479" s="27" t="n"/>
      <c r="D479" s="26" t="n"/>
      <c r="E479" s="27" t="n"/>
      <c r="F479" s="27" t="n"/>
    </row>
    <row r="480" ht="15.75" customHeight="1" s="12">
      <c r="A480" s="27" t="n"/>
      <c r="B480" s="27" t="n"/>
      <c r="C480" s="27" t="n"/>
      <c r="D480" s="26" t="n"/>
      <c r="E480" s="27" t="n"/>
      <c r="F480" s="27" t="n"/>
    </row>
    <row r="481" ht="15.75" customHeight="1" s="12">
      <c r="A481" s="27" t="n"/>
      <c r="B481" s="27" t="n"/>
      <c r="C481" s="27" t="n"/>
      <c r="D481" s="26" t="n"/>
      <c r="E481" s="27" t="n"/>
      <c r="F481" s="27" t="n"/>
    </row>
    <row r="482" ht="15.75" customHeight="1" s="12">
      <c r="A482" s="27" t="n"/>
      <c r="B482" s="27" t="n"/>
      <c r="C482" s="27" t="n"/>
      <c r="D482" s="26" t="n"/>
      <c r="E482" s="27" t="n"/>
      <c r="F482" s="27" t="n"/>
    </row>
    <row r="483" ht="15.75" customHeight="1" s="12">
      <c r="A483" s="27" t="n"/>
      <c r="B483" s="27" t="n"/>
      <c r="C483" s="27" t="n"/>
      <c r="D483" s="26" t="n"/>
      <c r="E483" s="27" t="n"/>
      <c r="F483" s="27" t="n"/>
    </row>
    <row r="484" ht="15.75" customHeight="1" s="12">
      <c r="A484" s="27" t="n"/>
      <c r="B484" s="27" t="n"/>
      <c r="C484" s="27" t="n"/>
      <c r="D484" s="26" t="n"/>
      <c r="E484" s="27" t="n"/>
      <c r="F484" s="27" t="n"/>
    </row>
    <row r="485" ht="15.75" customHeight="1" s="12">
      <c r="A485" s="27" t="n"/>
      <c r="B485" s="27" t="n"/>
      <c r="C485" s="27" t="n"/>
      <c r="D485" s="26" t="n"/>
      <c r="E485" s="27" t="n"/>
      <c r="F485" s="27" t="n"/>
    </row>
    <row r="486" ht="15.75" customHeight="1" s="12">
      <c r="A486" s="27" t="n"/>
      <c r="B486" s="27" t="n"/>
      <c r="C486" s="27" t="n"/>
      <c r="D486" s="26" t="n"/>
      <c r="E486" s="27" t="n"/>
      <c r="F486" s="27" t="n"/>
    </row>
    <row r="487" ht="15.75" customHeight="1" s="12">
      <c r="A487" s="27" t="n"/>
      <c r="B487" s="27" t="n"/>
      <c r="C487" s="27" t="n"/>
      <c r="D487" s="26" t="n"/>
      <c r="E487" s="27" t="n"/>
      <c r="F487" s="27" t="n"/>
    </row>
    <row r="488" ht="15.75" customHeight="1" s="12">
      <c r="A488" s="27" t="n"/>
      <c r="B488" s="27" t="n"/>
      <c r="C488" s="27" t="n"/>
      <c r="D488" s="26" t="n"/>
      <c r="E488" s="27" t="n"/>
      <c r="F488" s="27" t="n"/>
    </row>
    <row r="489" ht="15.75" customHeight="1" s="12">
      <c r="A489" s="27" t="n"/>
      <c r="B489" s="27" t="n"/>
      <c r="C489" s="27" t="n"/>
      <c r="D489" s="26" t="n"/>
      <c r="E489" s="27" t="n"/>
      <c r="F489" s="27" t="n"/>
    </row>
    <row r="490" ht="15.75" customHeight="1" s="12">
      <c r="A490" s="27" t="n"/>
      <c r="B490" s="27" t="n"/>
      <c r="C490" s="27" t="n"/>
      <c r="D490" s="26" t="n"/>
      <c r="E490" s="27" t="n"/>
      <c r="F490" s="27" t="n"/>
    </row>
    <row r="491" ht="15.75" customHeight="1" s="12">
      <c r="A491" s="27" t="n"/>
      <c r="B491" s="27" t="n"/>
      <c r="C491" s="27" t="n"/>
      <c r="D491" s="26" t="n"/>
      <c r="E491" s="27" t="n"/>
      <c r="F491" s="27" t="n"/>
    </row>
    <row r="492" ht="15.75" customHeight="1" s="12">
      <c r="A492" s="27" t="n"/>
      <c r="B492" s="27" t="n"/>
      <c r="C492" s="27" t="n"/>
      <c r="D492" s="26" t="n"/>
      <c r="E492" s="27" t="n"/>
      <c r="F492" s="27" t="n"/>
    </row>
    <row r="493" ht="15.75" customHeight="1" s="12">
      <c r="A493" s="27" t="n"/>
      <c r="B493" s="27" t="n"/>
      <c r="C493" s="27" t="n"/>
      <c r="D493" s="26" t="n"/>
      <c r="E493" s="27" t="n"/>
      <c r="F493" s="27" t="n"/>
    </row>
    <row r="494" ht="15.75" customHeight="1" s="12">
      <c r="A494" s="27" t="n"/>
      <c r="B494" s="27" t="n"/>
      <c r="C494" s="27" t="n"/>
      <c r="D494" s="26" t="n"/>
      <c r="E494" s="27" t="n"/>
      <c r="F494" s="27" t="n"/>
    </row>
    <row r="495" ht="15.75" customHeight="1" s="12">
      <c r="A495" s="27" t="n"/>
      <c r="B495" s="27" t="n"/>
      <c r="C495" s="27" t="n"/>
      <c r="D495" s="26" t="n"/>
      <c r="E495" s="27" t="n"/>
      <c r="F495" s="27" t="n"/>
    </row>
    <row r="496" ht="15.75" customHeight="1" s="12">
      <c r="A496" s="27" t="n"/>
      <c r="B496" s="27" t="n"/>
      <c r="C496" s="27" t="n"/>
      <c r="D496" s="26" t="n"/>
      <c r="E496" s="27" t="n"/>
      <c r="F496" s="27" t="n"/>
    </row>
    <row r="497" ht="15.75" customHeight="1" s="12">
      <c r="A497" s="27" t="n"/>
      <c r="B497" s="27" t="n"/>
      <c r="C497" s="27" t="n"/>
      <c r="D497" s="26" t="n"/>
      <c r="E497" s="27" t="n"/>
      <c r="F497" s="27" t="n"/>
    </row>
    <row r="498" ht="15.75" customHeight="1" s="12">
      <c r="A498" s="27" t="n"/>
      <c r="B498" s="27" t="n"/>
      <c r="C498" s="27" t="n"/>
      <c r="D498" s="26" t="n"/>
      <c r="E498" s="27" t="n"/>
      <c r="F498" s="27" t="n"/>
    </row>
    <row r="499" ht="15.75" customHeight="1" s="12">
      <c r="A499" s="27" t="n"/>
      <c r="B499" s="27" t="n"/>
      <c r="C499" s="27" t="n"/>
      <c r="D499" s="26" t="n"/>
      <c r="E499" s="27" t="n"/>
      <c r="F499" s="27" t="n"/>
    </row>
    <row r="500" ht="15.75" customHeight="1" s="12">
      <c r="A500" s="27" t="n"/>
      <c r="B500" s="27" t="n"/>
      <c r="C500" s="27" t="n"/>
      <c r="D500" s="26" t="n"/>
      <c r="E500" s="27" t="n"/>
      <c r="F500" s="27" t="n"/>
    </row>
    <row r="501" ht="15.75" customHeight="1" s="12">
      <c r="A501" s="27" t="n"/>
      <c r="B501" s="27" t="n"/>
      <c r="C501" s="27" t="n"/>
      <c r="D501" s="26" t="n"/>
      <c r="E501" s="27" t="n"/>
      <c r="F501" s="27" t="n"/>
    </row>
    <row r="502" ht="15.75" customHeight="1" s="12">
      <c r="A502" s="27" t="n"/>
      <c r="B502" s="27" t="n"/>
      <c r="C502" s="27" t="n"/>
      <c r="D502" s="26" t="n"/>
      <c r="E502" s="27" t="n"/>
      <c r="F502" s="27" t="n"/>
    </row>
    <row r="503" ht="15.75" customHeight="1" s="12">
      <c r="A503" s="27" t="n"/>
      <c r="B503" s="27" t="n"/>
      <c r="C503" s="27" t="n"/>
      <c r="D503" s="26" t="n"/>
      <c r="E503" s="27" t="n"/>
      <c r="F503" s="27" t="n"/>
    </row>
    <row r="504" ht="15.75" customHeight="1" s="12">
      <c r="A504" s="27" t="n"/>
      <c r="B504" s="27" t="n"/>
      <c r="C504" s="27" t="n"/>
      <c r="D504" s="26" t="n"/>
      <c r="E504" s="27" t="n"/>
      <c r="F504" s="27" t="n"/>
    </row>
    <row r="505" ht="15.75" customHeight="1" s="12">
      <c r="A505" s="27" t="n"/>
      <c r="B505" s="27" t="n"/>
      <c r="C505" s="27" t="n"/>
      <c r="D505" s="26" t="n"/>
      <c r="E505" s="27" t="n"/>
      <c r="F505" s="27" t="n"/>
    </row>
    <row r="506" ht="15.75" customHeight="1" s="12">
      <c r="A506" s="27" t="n"/>
      <c r="B506" s="27" t="n"/>
      <c r="C506" s="27" t="n"/>
      <c r="D506" s="26" t="n"/>
      <c r="E506" s="27" t="n"/>
      <c r="F506" s="27" t="n"/>
    </row>
    <row r="507" ht="15.75" customHeight="1" s="12">
      <c r="A507" s="27" t="n"/>
      <c r="B507" s="27" t="n"/>
      <c r="C507" s="27" t="n"/>
      <c r="D507" s="26" t="n"/>
      <c r="E507" s="27" t="n"/>
      <c r="F507" s="27" t="n"/>
    </row>
    <row r="508" ht="15.75" customHeight="1" s="12">
      <c r="A508" s="27" t="n"/>
      <c r="B508" s="27" t="n"/>
      <c r="C508" s="27" t="n"/>
      <c r="D508" s="26" t="n"/>
      <c r="E508" s="27" t="n"/>
      <c r="F508" s="27" t="n"/>
    </row>
    <row r="509" ht="15.75" customHeight="1" s="12">
      <c r="A509" s="27" t="n"/>
      <c r="B509" s="27" t="n"/>
      <c r="C509" s="27" t="n"/>
      <c r="D509" s="26" t="n"/>
      <c r="E509" s="27" t="n"/>
      <c r="F509" s="27" t="n"/>
    </row>
    <row r="510" ht="15.75" customHeight="1" s="12">
      <c r="A510" s="27" t="n"/>
      <c r="B510" s="27" t="n"/>
      <c r="C510" s="27" t="n"/>
      <c r="D510" s="26" t="n"/>
      <c r="E510" s="27" t="n"/>
      <c r="F510" s="27" t="n"/>
    </row>
    <row r="511" ht="15.75" customHeight="1" s="12">
      <c r="A511" s="27" t="n"/>
      <c r="B511" s="27" t="n"/>
      <c r="C511" s="27" t="n"/>
      <c r="D511" s="26" t="n"/>
      <c r="E511" s="27" t="n"/>
      <c r="F511" s="27" t="n"/>
    </row>
    <row r="512" ht="15.75" customHeight="1" s="12">
      <c r="A512" s="27" t="n"/>
      <c r="B512" s="27" t="n"/>
      <c r="C512" s="27" t="n"/>
      <c r="D512" s="26" t="n"/>
      <c r="E512" s="27" t="n"/>
      <c r="F512" s="27" t="n"/>
    </row>
    <row r="513" ht="15.75" customHeight="1" s="12">
      <c r="A513" s="27" t="n"/>
      <c r="B513" s="27" t="n"/>
      <c r="C513" s="27" t="n"/>
      <c r="D513" s="26" t="n"/>
      <c r="E513" s="27" t="n"/>
      <c r="F513" s="27" t="n"/>
    </row>
    <row r="514" ht="15.75" customHeight="1" s="12">
      <c r="A514" s="27" t="n"/>
      <c r="B514" s="27" t="n"/>
      <c r="C514" s="27" t="n"/>
      <c r="D514" s="26" t="n"/>
      <c r="E514" s="27" t="n"/>
      <c r="F514" s="27" t="n"/>
    </row>
    <row r="515" ht="15.75" customHeight="1" s="12">
      <c r="A515" s="27" t="n"/>
      <c r="B515" s="27" t="n"/>
      <c r="C515" s="27" t="n"/>
      <c r="D515" s="26" t="n"/>
      <c r="E515" s="27" t="n"/>
      <c r="F515" s="27" t="n"/>
    </row>
    <row r="516" ht="15.75" customHeight="1" s="12">
      <c r="A516" s="27" t="n"/>
      <c r="B516" s="27" t="n"/>
      <c r="C516" s="27" t="n"/>
      <c r="D516" s="26" t="n"/>
      <c r="E516" s="27" t="n"/>
      <c r="F516" s="27" t="n"/>
    </row>
    <row r="517" ht="15.75" customHeight="1" s="12">
      <c r="A517" s="27" t="n"/>
      <c r="B517" s="27" t="n"/>
      <c r="C517" s="27" t="n"/>
      <c r="D517" s="26" t="n"/>
      <c r="E517" s="27" t="n"/>
      <c r="F517" s="27" t="n"/>
    </row>
    <row r="518" ht="15.75" customHeight="1" s="12">
      <c r="A518" s="27" t="n"/>
      <c r="B518" s="27" t="n"/>
      <c r="C518" s="27" t="n"/>
      <c r="D518" s="26" t="n"/>
      <c r="E518" s="27" t="n"/>
      <c r="F518" s="27" t="n"/>
    </row>
    <row r="519" ht="15.75" customHeight="1" s="12">
      <c r="A519" s="27" t="n"/>
      <c r="B519" s="27" t="n"/>
      <c r="C519" s="27" t="n"/>
      <c r="D519" s="26" t="n"/>
      <c r="E519" s="27" t="n"/>
      <c r="F519" s="27" t="n"/>
    </row>
    <row r="520" ht="15.75" customHeight="1" s="12">
      <c r="A520" s="27" t="n"/>
      <c r="B520" s="27" t="n"/>
      <c r="C520" s="27" t="n"/>
      <c r="D520" s="26" t="n"/>
      <c r="E520" s="27" t="n"/>
      <c r="F520" s="27" t="n"/>
    </row>
    <row r="521" ht="15.75" customHeight="1" s="12">
      <c r="A521" s="27" t="n"/>
      <c r="B521" s="27" t="n"/>
      <c r="C521" s="27" t="n"/>
      <c r="D521" s="26" t="n"/>
      <c r="E521" s="27" t="n"/>
      <c r="F521" s="27" t="n"/>
    </row>
    <row r="522" ht="15.75" customHeight="1" s="12">
      <c r="A522" s="27" t="n"/>
      <c r="B522" s="27" t="n"/>
      <c r="C522" s="27" t="n"/>
      <c r="D522" s="26" t="n"/>
      <c r="E522" s="27" t="n"/>
      <c r="F522" s="27" t="n"/>
    </row>
    <row r="523" ht="15.75" customHeight="1" s="12">
      <c r="A523" s="27" t="n"/>
      <c r="B523" s="27" t="n"/>
      <c r="C523" s="27" t="n"/>
      <c r="D523" s="26" t="n"/>
      <c r="E523" s="27" t="n"/>
      <c r="F523" s="27" t="n"/>
    </row>
    <row r="524" ht="15.75" customHeight="1" s="12">
      <c r="A524" s="27" t="n"/>
      <c r="B524" s="27" t="n"/>
      <c r="C524" s="27" t="n"/>
      <c r="D524" s="26" t="n"/>
      <c r="E524" s="27" t="n"/>
      <c r="F524" s="27" t="n"/>
    </row>
    <row r="525" ht="15.75" customHeight="1" s="12">
      <c r="A525" s="27" t="n"/>
      <c r="B525" s="27" t="n"/>
      <c r="C525" s="27" t="n"/>
      <c r="D525" s="26" t="n"/>
      <c r="E525" s="27" t="n"/>
      <c r="F525" s="27" t="n"/>
    </row>
    <row r="526" ht="15.75" customHeight="1" s="12">
      <c r="A526" s="27" t="n"/>
      <c r="B526" s="27" t="n"/>
      <c r="C526" s="27" t="n"/>
      <c r="D526" s="26" t="n"/>
      <c r="E526" s="27" t="n"/>
      <c r="F526" s="27" t="n"/>
    </row>
    <row r="527" ht="15.75" customHeight="1" s="12">
      <c r="A527" s="27" t="n"/>
      <c r="B527" s="27" t="n"/>
      <c r="C527" s="27" t="n"/>
      <c r="D527" s="26" t="n"/>
      <c r="E527" s="27" t="n"/>
      <c r="F527" s="27" t="n"/>
    </row>
    <row r="528" ht="15.75" customHeight="1" s="12">
      <c r="A528" s="27" t="n"/>
      <c r="B528" s="27" t="n"/>
      <c r="C528" s="27" t="n"/>
      <c r="D528" s="26" t="n"/>
      <c r="E528" s="27" t="n"/>
      <c r="F528" s="27" t="n"/>
    </row>
    <row r="529" ht="15.75" customHeight="1" s="12">
      <c r="A529" s="27" t="n"/>
      <c r="B529" s="27" t="n"/>
      <c r="C529" s="27" t="n"/>
      <c r="D529" s="26" t="n"/>
      <c r="E529" s="27" t="n"/>
      <c r="F529" s="27" t="n"/>
    </row>
    <row r="530" ht="15.75" customHeight="1" s="12">
      <c r="A530" s="27" t="n"/>
      <c r="B530" s="27" t="n"/>
      <c r="C530" s="27" t="n"/>
      <c r="D530" s="26" t="n"/>
      <c r="E530" s="27" t="n"/>
      <c r="F530" s="27" t="n"/>
    </row>
    <row r="531" ht="15.75" customHeight="1" s="12">
      <c r="A531" s="27" t="n"/>
      <c r="B531" s="27" t="n"/>
      <c r="C531" s="27" t="n"/>
      <c r="D531" s="26" t="n"/>
      <c r="E531" s="27" t="n"/>
      <c r="F531" s="27" t="n"/>
    </row>
    <row r="532" ht="15.75" customHeight="1" s="12">
      <c r="A532" s="27" t="n"/>
      <c r="B532" s="27" t="n"/>
      <c r="C532" s="27" t="n"/>
      <c r="D532" s="26" t="n"/>
      <c r="E532" s="27" t="n"/>
      <c r="F532" s="27" t="n"/>
    </row>
    <row r="533" ht="15.75" customHeight="1" s="12">
      <c r="A533" s="27" t="n"/>
      <c r="B533" s="27" t="n"/>
      <c r="C533" s="27" t="n"/>
      <c r="D533" s="26" t="n"/>
      <c r="E533" s="27" t="n"/>
      <c r="F533" s="27" t="n"/>
    </row>
    <row r="534" ht="15.75" customHeight="1" s="12">
      <c r="A534" s="27" t="n"/>
      <c r="B534" s="27" t="n"/>
      <c r="C534" s="27" t="n"/>
      <c r="D534" s="26" t="n"/>
      <c r="E534" s="27" t="n"/>
      <c r="F534" s="27" t="n"/>
    </row>
    <row r="535" ht="15.75" customHeight="1" s="12">
      <c r="A535" s="27" t="n"/>
      <c r="B535" s="27" t="n"/>
      <c r="C535" s="27" t="n"/>
      <c r="D535" s="26" t="n"/>
      <c r="E535" s="27" t="n"/>
      <c r="F535" s="27" t="n"/>
    </row>
    <row r="536" ht="15.75" customHeight="1" s="12">
      <c r="A536" s="27" t="n"/>
      <c r="B536" s="27" t="n"/>
      <c r="C536" s="27" t="n"/>
      <c r="D536" s="26" t="n"/>
      <c r="E536" s="27" t="n"/>
      <c r="F536" s="27" t="n"/>
    </row>
    <row r="537" ht="15.75" customHeight="1" s="12">
      <c r="A537" s="27" t="n"/>
      <c r="B537" s="27" t="n"/>
      <c r="C537" s="27" t="n"/>
      <c r="D537" s="26" t="n"/>
      <c r="E537" s="27" t="n"/>
      <c r="F537" s="27" t="n"/>
    </row>
    <row r="538" ht="15.75" customHeight="1" s="12">
      <c r="A538" s="27" t="n"/>
      <c r="B538" s="27" t="n"/>
      <c r="C538" s="27" t="n"/>
      <c r="D538" s="26" t="n"/>
      <c r="E538" s="27" t="n"/>
      <c r="F538" s="27" t="n"/>
    </row>
    <row r="539" ht="15.75" customHeight="1" s="12">
      <c r="A539" s="27" t="n"/>
      <c r="B539" s="27" t="n"/>
      <c r="C539" s="27" t="n"/>
      <c r="D539" s="26" t="n"/>
      <c r="E539" s="27" t="n"/>
      <c r="F539" s="27" t="n"/>
    </row>
    <row r="540" ht="15.75" customHeight="1" s="12">
      <c r="A540" s="27" t="n"/>
      <c r="B540" s="27" t="n"/>
      <c r="C540" s="27" t="n"/>
      <c r="D540" s="26" t="n"/>
      <c r="E540" s="27" t="n"/>
      <c r="F540" s="27" t="n"/>
    </row>
    <row r="541" ht="15.75" customHeight="1" s="12">
      <c r="A541" s="27" t="n"/>
      <c r="B541" s="27" t="n"/>
      <c r="C541" s="27" t="n"/>
      <c r="D541" s="26" t="n"/>
      <c r="E541" s="27" t="n"/>
      <c r="F541" s="27" t="n"/>
    </row>
    <row r="542" ht="15.75" customHeight="1" s="12">
      <c r="A542" s="27" t="n"/>
      <c r="B542" s="27" t="n"/>
      <c r="C542" s="27" t="n"/>
      <c r="D542" s="26" t="n"/>
      <c r="E542" s="27" t="n"/>
      <c r="F542" s="27" t="n"/>
    </row>
    <row r="543" ht="15.75" customHeight="1" s="12">
      <c r="A543" s="27" t="n"/>
      <c r="B543" s="27" t="n"/>
      <c r="C543" s="27" t="n"/>
      <c r="D543" s="26" t="n"/>
      <c r="E543" s="27" t="n"/>
      <c r="F543" s="27" t="n"/>
    </row>
    <row r="544" ht="15.75" customHeight="1" s="12">
      <c r="A544" s="27" t="n"/>
      <c r="B544" s="27" t="n"/>
      <c r="C544" s="27" t="n"/>
      <c r="D544" s="26" t="n"/>
      <c r="E544" s="27" t="n"/>
      <c r="F544" s="27" t="n"/>
    </row>
    <row r="545" ht="15.75" customHeight="1" s="12">
      <c r="A545" s="27" t="n"/>
      <c r="B545" s="27" t="n"/>
      <c r="C545" s="27" t="n"/>
      <c r="D545" s="26" t="n"/>
      <c r="E545" s="27" t="n"/>
      <c r="F545" s="27" t="n"/>
    </row>
    <row r="546" ht="15.75" customHeight="1" s="12">
      <c r="A546" s="27" t="n"/>
      <c r="B546" s="27" t="n"/>
      <c r="C546" s="27" t="n"/>
      <c r="D546" s="26" t="n"/>
      <c r="E546" s="27" t="n"/>
      <c r="F546" s="27" t="n"/>
    </row>
    <row r="547" ht="15.75" customHeight="1" s="12">
      <c r="A547" s="27" t="n"/>
      <c r="B547" s="27" t="n"/>
      <c r="C547" s="27" t="n"/>
      <c r="D547" s="26" t="n"/>
      <c r="E547" s="27" t="n"/>
      <c r="F547" s="27" t="n"/>
    </row>
    <row r="548" ht="15.75" customHeight="1" s="12">
      <c r="A548" s="27" t="n"/>
      <c r="B548" s="27" t="n"/>
      <c r="C548" s="27" t="n"/>
      <c r="D548" s="26" t="n"/>
      <c r="E548" s="27" t="n"/>
      <c r="F548" s="27" t="n"/>
    </row>
    <row r="549" ht="15.75" customHeight="1" s="12">
      <c r="A549" s="27" t="n"/>
      <c r="B549" s="27" t="n"/>
      <c r="C549" s="27" t="n"/>
      <c r="D549" s="26" t="n"/>
      <c r="E549" s="27" t="n"/>
      <c r="F549" s="27" t="n"/>
    </row>
    <row r="550" ht="15.75" customHeight="1" s="12">
      <c r="A550" s="27" t="n"/>
      <c r="B550" s="27" t="n"/>
      <c r="C550" s="27" t="n"/>
      <c r="D550" s="26" t="n"/>
      <c r="E550" s="27" t="n"/>
      <c r="F550" s="27" t="n"/>
    </row>
    <row r="551" ht="15.75" customHeight="1" s="12">
      <c r="A551" s="27" t="n"/>
      <c r="B551" s="27" t="n"/>
      <c r="C551" s="27" t="n"/>
      <c r="D551" s="26" t="n"/>
      <c r="E551" s="27" t="n"/>
      <c r="F551" s="27" t="n"/>
    </row>
    <row r="552" ht="15.75" customHeight="1" s="12">
      <c r="A552" s="27" t="n"/>
      <c r="B552" s="27" t="n"/>
      <c r="C552" s="27" t="n"/>
      <c r="D552" s="26" t="n"/>
      <c r="E552" s="27" t="n"/>
      <c r="F552" s="27" t="n"/>
    </row>
    <row r="553" ht="15.75" customHeight="1" s="12">
      <c r="A553" s="27" t="n"/>
      <c r="B553" s="27" t="n"/>
      <c r="C553" s="27" t="n"/>
      <c r="D553" s="26" t="n"/>
      <c r="E553" s="27" t="n"/>
      <c r="F553" s="27" t="n"/>
    </row>
    <row r="554" ht="15.75" customHeight="1" s="12">
      <c r="A554" s="27" t="n"/>
      <c r="B554" s="27" t="n"/>
      <c r="C554" s="27" t="n"/>
      <c r="D554" s="26" t="n"/>
      <c r="E554" s="27" t="n"/>
      <c r="F554" s="27" t="n"/>
    </row>
    <row r="555" ht="15.75" customHeight="1" s="12">
      <c r="A555" s="27" t="n"/>
      <c r="B555" s="27" t="n"/>
      <c r="C555" s="27" t="n"/>
      <c r="D555" s="26" t="n"/>
      <c r="E555" s="27" t="n"/>
      <c r="F555" s="27" t="n"/>
    </row>
    <row r="556" ht="15.75" customHeight="1" s="12">
      <c r="A556" s="27" t="n"/>
      <c r="B556" s="27" t="n"/>
      <c r="C556" s="27" t="n"/>
      <c r="D556" s="26" t="n"/>
      <c r="E556" s="27" t="n"/>
      <c r="F556" s="27" t="n"/>
    </row>
    <row r="557" ht="15.75" customHeight="1" s="12">
      <c r="A557" s="27" t="n"/>
      <c r="B557" s="27" t="n"/>
      <c r="C557" s="27" t="n"/>
      <c r="D557" s="26" t="n"/>
      <c r="E557" s="27" t="n"/>
      <c r="F557" s="27" t="n"/>
    </row>
    <row r="558" ht="15.75" customHeight="1" s="12">
      <c r="A558" s="27" t="n"/>
      <c r="B558" s="27" t="n"/>
      <c r="C558" s="27" t="n"/>
      <c r="D558" s="26" t="n"/>
      <c r="E558" s="27" t="n"/>
      <c r="F558" s="27" t="n"/>
    </row>
    <row r="559" ht="15.75" customHeight="1" s="12">
      <c r="A559" s="27" t="n"/>
      <c r="B559" s="27" t="n"/>
      <c r="C559" s="27" t="n"/>
      <c r="D559" s="26" t="n"/>
      <c r="E559" s="27" t="n"/>
      <c r="F559" s="27" t="n"/>
    </row>
    <row r="560" ht="15.75" customHeight="1" s="12">
      <c r="A560" s="27" t="n"/>
      <c r="B560" s="27" t="n"/>
      <c r="C560" s="27" t="n"/>
      <c r="D560" s="26" t="n"/>
      <c r="E560" s="27" t="n"/>
      <c r="F560" s="27" t="n"/>
    </row>
    <row r="561" ht="15.75" customHeight="1" s="12">
      <c r="A561" s="27" t="n"/>
      <c r="B561" s="27" t="n"/>
      <c r="C561" s="27" t="n"/>
      <c r="D561" s="26" t="n"/>
      <c r="E561" s="27" t="n"/>
      <c r="F561" s="27" t="n"/>
    </row>
    <row r="562" ht="15.75" customHeight="1" s="12">
      <c r="A562" s="27" t="n"/>
      <c r="B562" s="27" t="n"/>
      <c r="C562" s="27" t="n"/>
      <c r="D562" s="26" t="n"/>
      <c r="E562" s="27" t="n"/>
      <c r="F562" s="27" t="n"/>
    </row>
    <row r="563" ht="15.75" customHeight="1" s="12">
      <c r="A563" s="27" t="n"/>
      <c r="B563" s="27" t="n"/>
      <c r="C563" s="27" t="n"/>
      <c r="D563" s="26" t="n"/>
      <c r="E563" s="27" t="n"/>
      <c r="F563" s="27" t="n"/>
    </row>
    <row r="564" ht="15.75" customHeight="1" s="12">
      <c r="A564" s="27" t="n"/>
      <c r="B564" s="27" t="n"/>
      <c r="C564" s="27" t="n"/>
      <c r="D564" s="26" t="n"/>
      <c r="E564" s="27" t="n"/>
      <c r="F564" s="27" t="n"/>
    </row>
    <row r="565" ht="15.75" customHeight="1" s="12">
      <c r="A565" s="27" t="n"/>
      <c r="B565" s="27" t="n"/>
      <c r="C565" s="27" t="n"/>
      <c r="D565" s="26" t="n"/>
      <c r="E565" s="27" t="n"/>
      <c r="F565" s="27" t="n"/>
    </row>
    <row r="566" ht="15.75" customHeight="1" s="12">
      <c r="A566" s="27" t="n"/>
      <c r="B566" s="27" t="n"/>
      <c r="C566" s="27" t="n"/>
      <c r="D566" s="26" t="n"/>
      <c r="E566" s="27" t="n"/>
      <c r="F566" s="27" t="n"/>
    </row>
    <row r="567" ht="15.75" customHeight="1" s="12">
      <c r="A567" s="27" t="n"/>
      <c r="B567" s="27" t="n"/>
      <c r="C567" s="27" t="n"/>
      <c r="D567" s="26" t="n"/>
      <c r="E567" s="27" t="n"/>
      <c r="F567" s="27" t="n"/>
    </row>
    <row r="568" ht="15.75" customHeight="1" s="12">
      <c r="A568" s="27" t="n"/>
      <c r="B568" s="27" t="n"/>
      <c r="C568" s="27" t="n"/>
      <c r="D568" s="26" t="n"/>
      <c r="E568" s="27" t="n"/>
      <c r="F568" s="27" t="n"/>
    </row>
    <row r="569" ht="15.75" customHeight="1" s="12">
      <c r="A569" s="27" t="n"/>
      <c r="B569" s="27" t="n"/>
      <c r="C569" s="27" t="n"/>
      <c r="D569" s="26" t="n"/>
      <c r="E569" s="27" t="n"/>
      <c r="F569" s="27" t="n"/>
    </row>
    <row r="570" ht="15.75" customHeight="1" s="12">
      <c r="A570" s="27" t="n"/>
      <c r="B570" s="27" t="n"/>
      <c r="C570" s="27" t="n"/>
      <c r="D570" s="26" t="n"/>
      <c r="E570" s="27" t="n"/>
      <c r="F570" s="27" t="n"/>
    </row>
    <row r="571" ht="15.75" customHeight="1" s="12">
      <c r="A571" s="27" t="n"/>
      <c r="B571" s="27" t="n"/>
      <c r="C571" s="27" t="n"/>
      <c r="D571" s="26" t="n"/>
      <c r="E571" s="27" t="n"/>
      <c r="F571" s="27" t="n"/>
    </row>
    <row r="572" ht="15.75" customHeight="1" s="12">
      <c r="A572" s="27" t="n"/>
      <c r="B572" s="27" t="n"/>
      <c r="C572" s="27" t="n"/>
      <c r="D572" s="26" t="n"/>
      <c r="E572" s="27" t="n"/>
      <c r="F572" s="27" t="n"/>
    </row>
    <row r="573" ht="15.75" customHeight="1" s="12">
      <c r="A573" s="27" t="n"/>
      <c r="B573" s="27" t="n"/>
      <c r="C573" s="27" t="n"/>
      <c r="D573" s="26" t="n"/>
      <c r="E573" s="27" t="n"/>
      <c r="F573" s="27" t="n"/>
    </row>
    <row r="574" ht="15.75" customHeight="1" s="12">
      <c r="A574" s="27" t="n"/>
      <c r="B574" s="27" t="n"/>
      <c r="C574" s="27" t="n"/>
      <c r="D574" s="26" t="n"/>
      <c r="E574" s="27" t="n"/>
      <c r="F574" s="27" t="n"/>
    </row>
    <row r="575" ht="15.75" customHeight="1" s="12">
      <c r="A575" s="27" t="n"/>
      <c r="B575" s="27" t="n"/>
      <c r="C575" s="27" t="n"/>
      <c r="D575" s="26" t="n"/>
      <c r="E575" s="27" t="n"/>
      <c r="F575" s="27" t="n"/>
    </row>
    <row r="576" ht="15.75" customHeight="1" s="12">
      <c r="A576" s="27" t="n"/>
      <c r="B576" s="27" t="n"/>
      <c r="C576" s="27" t="n"/>
      <c r="D576" s="26" t="n"/>
      <c r="E576" s="27" t="n"/>
      <c r="F576" s="27" t="n"/>
    </row>
    <row r="577" ht="15.75" customHeight="1" s="12">
      <c r="A577" s="27" t="n"/>
      <c r="B577" s="27" t="n"/>
      <c r="C577" s="27" t="n"/>
      <c r="D577" s="26" t="n"/>
      <c r="E577" s="27" t="n"/>
      <c r="F577" s="27" t="n"/>
    </row>
    <row r="578" ht="15.75" customHeight="1" s="12">
      <c r="A578" s="27" t="n"/>
      <c r="B578" s="27" t="n"/>
      <c r="C578" s="27" t="n"/>
      <c r="D578" s="26" t="n"/>
      <c r="E578" s="27" t="n"/>
      <c r="F578" s="27" t="n"/>
    </row>
    <row r="579" ht="15.75" customHeight="1" s="12">
      <c r="A579" s="27" t="n"/>
      <c r="B579" s="27" t="n"/>
      <c r="C579" s="27" t="n"/>
      <c r="D579" s="26" t="n"/>
      <c r="E579" s="27" t="n"/>
      <c r="F579" s="27" t="n"/>
    </row>
    <row r="580" ht="15.75" customHeight="1" s="12">
      <c r="A580" s="27" t="n"/>
      <c r="B580" s="27" t="n"/>
      <c r="C580" s="27" t="n"/>
      <c r="D580" s="26" t="n"/>
      <c r="E580" s="27" t="n"/>
      <c r="F580" s="27" t="n"/>
    </row>
    <row r="581" ht="15.75" customHeight="1" s="12">
      <c r="A581" s="27" t="n"/>
      <c r="B581" s="27" t="n"/>
      <c r="C581" s="27" t="n"/>
      <c r="D581" s="26" t="n"/>
      <c r="E581" s="27" t="n"/>
      <c r="F581" s="27" t="n"/>
    </row>
    <row r="582" ht="15.75" customHeight="1" s="12">
      <c r="A582" s="27" t="n"/>
      <c r="B582" s="27" t="n"/>
      <c r="C582" s="27" t="n"/>
      <c r="D582" s="26" t="n"/>
      <c r="E582" s="27" t="n"/>
      <c r="F582" s="27" t="n"/>
    </row>
    <row r="583" ht="15.75" customHeight="1" s="12">
      <c r="A583" s="27" t="n"/>
      <c r="B583" s="27" t="n"/>
      <c r="C583" s="27" t="n"/>
      <c r="D583" s="26" t="n"/>
      <c r="E583" s="27" t="n"/>
      <c r="F583" s="27" t="n"/>
    </row>
    <row r="584" ht="15.75" customHeight="1" s="12">
      <c r="A584" s="27" t="n"/>
      <c r="B584" s="27" t="n"/>
      <c r="C584" s="27" t="n"/>
      <c r="D584" s="26" t="n"/>
      <c r="E584" s="27" t="n"/>
      <c r="F584" s="27" t="n"/>
    </row>
    <row r="585" ht="15.75" customHeight="1" s="12">
      <c r="A585" s="27" t="n"/>
      <c r="B585" s="27" t="n"/>
      <c r="C585" s="27" t="n"/>
      <c r="D585" s="26" t="n"/>
      <c r="E585" s="27" t="n"/>
      <c r="F585" s="27" t="n"/>
    </row>
    <row r="586" ht="15.75" customHeight="1" s="12">
      <c r="A586" s="27" t="n"/>
      <c r="B586" s="27" t="n"/>
      <c r="C586" s="27" t="n"/>
      <c r="D586" s="26" t="n"/>
      <c r="E586" s="27" t="n"/>
      <c r="F586" s="27" t="n"/>
    </row>
    <row r="587" ht="15.75" customHeight="1" s="12">
      <c r="A587" s="27" t="n"/>
      <c r="B587" s="27" t="n"/>
      <c r="C587" s="27" t="n"/>
      <c r="D587" s="26" t="n"/>
      <c r="E587" s="27" t="n"/>
      <c r="F587" s="27" t="n"/>
    </row>
    <row r="588" ht="15.75" customHeight="1" s="12">
      <c r="A588" s="27" t="n"/>
      <c r="B588" s="27" t="n"/>
      <c r="C588" s="27" t="n"/>
      <c r="D588" s="26" t="n"/>
      <c r="E588" s="27" t="n"/>
      <c r="F588" s="27" t="n"/>
    </row>
    <row r="589" ht="15.75" customHeight="1" s="12">
      <c r="A589" s="27" t="n"/>
      <c r="B589" s="27" t="n"/>
      <c r="C589" s="27" t="n"/>
      <c r="D589" s="26" t="n"/>
      <c r="E589" s="27" t="n"/>
      <c r="F589" s="27" t="n"/>
    </row>
    <row r="590" ht="15.75" customHeight="1" s="12">
      <c r="A590" s="27" t="n"/>
      <c r="B590" s="27" t="n"/>
      <c r="C590" s="27" t="n"/>
      <c r="D590" s="26" t="n"/>
      <c r="E590" s="27" t="n"/>
      <c r="F590" s="27" t="n"/>
    </row>
    <row r="591" ht="15.75" customHeight="1" s="12">
      <c r="A591" s="27" t="n"/>
      <c r="B591" s="27" t="n"/>
      <c r="C591" s="27" t="n"/>
      <c r="D591" s="26" t="n"/>
      <c r="E591" s="27" t="n"/>
      <c r="F591" s="27" t="n"/>
    </row>
    <row r="592" ht="15.75" customHeight="1" s="12">
      <c r="A592" s="27" t="n"/>
      <c r="B592" s="27" t="n"/>
      <c r="C592" s="27" t="n"/>
      <c r="D592" s="26" t="n"/>
      <c r="E592" s="27" t="n"/>
      <c r="F592" s="27" t="n"/>
    </row>
    <row r="593" ht="15.75" customHeight="1" s="12">
      <c r="A593" s="27" t="n"/>
      <c r="B593" s="27" t="n"/>
      <c r="C593" s="27" t="n"/>
      <c r="D593" s="26" t="n"/>
      <c r="E593" s="27" t="n"/>
      <c r="F593" s="27" t="n"/>
    </row>
    <row r="594" ht="15.75" customHeight="1" s="12">
      <c r="A594" s="27" t="n"/>
      <c r="B594" s="27" t="n"/>
      <c r="C594" s="27" t="n"/>
      <c r="D594" s="26" t="n"/>
      <c r="E594" s="27" t="n"/>
      <c r="F594" s="27" t="n"/>
    </row>
    <row r="595" ht="15.75" customHeight="1" s="12">
      <c r="A595" s="27" t="n"/>
      <c r="B595" s="27" t="n"/>
      <c r="C595" s="27" t="n"/>
      <c r="D595" s="26" t="n"/>
      <c r="E595" s="27" t="n"/>
      <c r="F595" s="27" t="n"/>
    </row>
    <row r="596" ht="15.75" customHeight="1" s="12">
      <c r="A596" s="27" t="n"/>
      <c r="B596" s="27" t="n"/>
      <c r="C596" s="27" t="n"/>
      <c r="D596" s="26" t="n"/>
      <c r="E596" s="27" t="n"/>
      <c r="F596" s="27" t="n"/>
    </row>
    <row r="597" ht="15.75" customHeight="1" s="12">
      <c r="A597" s="27" t="n"/>
      <c r="B597" s="27" t="n"/>
      <c r="C597" s="27" t="n"/>
      <c r="D597" s="26" t="n"/>
      <c r="E597" s="27" t="n"/>
      <c r="F597" s="27" t="n"/>
    </row>
    <row r="598" ht="15.75" customHeight="1" s="12">
      <c r="A598" s="27" t="n"/>
      <c r="B598" s="27" t="n"/>
      <c r="C598" s="27" t="n"/>
      <c r="D598" s="26" t="n"/>
      <c r="E598" s="27" t="n"/>
      <c r="F598" s="27" t="n"/>
    </row>
    <row r="599" ht="15.75" customHeight="1" s="12">
      <c r="A599" s="27" t="n"/>
      <c r="B599" s="27" t="n"/>
      <c r="C599" s="27" t="n"/>
      <c r="D599" s="26" t="n"/>
      <c r="E599" s="27" t="n"/>
      <c r="F599" s="27" t="n"/>
    </row>
    <row r="600" ht="15.75" customHeight="1" s="12">
      <c r="A600" s="27" t="n"/>
      <c r="B600" s="27" t="n"/>
      <c r="C600" s="27" t="n"/>
      <c r="D600" s="26" t="n"/>
      <c r="E600" s="27" t="n"/>
      <c r="F600" s="27" t="n"/>
    </row>
    <row r="601" ht="15.75" customHeight="1" s="12">
      <c r="A601" s="27" t="n"/>
      <c r="B601" s="27" t="n"/>
      <c r="C601" s="27" t="n"/>
      <c r="D601" s="26" t="n"/>
      <c r="E601" s="27" t="n"/>
      <c r="F601" s="27" t="n"/>
    </row>
    <row r="602" ht="15.75" customHeight="1" s="12">
      <c r="A602" s="27" t="n"/>
      <c r="B602" s="27" t="n"/>
      <c r="C602" s="27" t="n"/>
      <c r="D602" s="26" t="n"/>
      <c r="E602" s="27" t="n"/>
      <c r="F602" s="27" t="n"/>
    </row>
    <row r="603" ht="15.75" customHeight="1" s="12">
      <c r="A603" s="27" t="n"/>
      <c r="B603" s="27" t="n"/>
      <c r="C603" s="27" t="n"/>
      <c r="D603" s="26" t="n"/>
      <c r="E603" s="27" t="n"/>
      <c r="F603" s="27" t="n"/>
    </row>
    <row r="604" ht="15.75" customHeight="1" s="12">
      <c r="A604" s="27" t="n"/>
      <c r="B604" s="27" t="n"/>
      <c r="C604" s="27" t="n"/>
      <c r="D604" s="26" t="n"/>
      <c r="E604" s="27" t="n"/>
      <c r="F604" s="27" t="n"/>
    </row>
    <row r="605" ht="15.75" customHeight="1" s="12">
      <c r="A605" s="27" t="n"/>
      <c r="B605" s="27" t="n"/>
      <c r="C605" s="27" t="n"/>
      <c r="D605" s="26" t="n"/>
      <c r="E605" s="27" t="n"/>
      <c r="F605" s="27" t="n"/>
    </row>
    <row r="606" ht="15.75" customHeight="1" s="12">
      <c r="A606" s="27" t="n"/>
      <c r="B606" s="27" t="n"/>
      <c r="C606" s="27" t="n"/>
      <c r="D606" s="26" t="n"/>
      <c r="E606" s="27" t="n"/>
      <c r="F606" s="27" t="n"/>
    </row>
    <row r="607" ht="15.75" customHeight="1" s="12">
      <c r="A607" s="27" t="n"/>
      <c r="B607" s="27" t="n"/>
      <c r="C607" s="27" t="n"/>
      <c r="D607" s="26" t="n"/>
      <c r="E607" s="27" t="n"/>
      <c r="F607" s="27" t="n"/>
    </row>
    <row r="608" ht="15.75" customHeight="1" s="12">
      <c r="A608" s="27" t="n"/>
      <c r="B608" s="27" t="n"/>
      <c r="C608" s="27" t="n"/>
      <c r="D608" s="26" t="n"/>
      <c r="E608" s="27" t="n"/>
      <c r="F608" s="27" t="n"/>
    </row>
    <row r="609" ht="15.75" customHeight="1" s="12">
      <c r="A609" s="27" t="n"/>
      <c r="B609" s="27" t="n"/>
      <c r="C609" s="27" t="n"/>
      <c r="D609" s="26" t="n"/>
      <c r="E609" s="27" t="n"/>
      <c r="F609" s="27" t="n"/>
    </row>
    <row r="610" ht="15.75" customHeight="1" s="12">
      <c r="A610" s="27" t="n"/>
      <c r="B610" s="27" t="n"/>
      <c r="C610" s="27" t="n"/>
      <c r="D610" s="26" t="n"/>
      <c r="E610" s="27" t="n"/>
      <c r="F610" s="27" t="n"/>
    </row>
    <row r="611" ht="15.75" customHeight="1" s="12">
      <c r="A611" s="27" t="n"/>
      <c r="B611" s="27" t="n"/>
      <c r="C611" s="27" t="n"/>
      <c r="D611" s="26" t="n"/>
      <c r="E611" s="27" t="n"/>
      <c r="F611" s="27" t="n"/>
    </row>
    <row r="612" ht="15.75" customHeight="1" s="12">
      <c r="A612" s="27" t="n"/>
      <c r="B612" s="27" t="n"/>
      <c r="C612" s="27" t="n"/>
      <c r="D612" s="26" t="n"/>
      <c r="E612" s="27" t="n"/>
      <c r="F612" s="27" t="n"/>
    </row>
    <row r="613" ht="15.75" customHeight="1" s="12">
      <c r="A613" s="27" t="n"/>
      <c r="B613" s="27" t="n"/>
      <c r="C613" s="27" t="n"/>
      <c r="D613" s="26" t="n"/>
      <c r="E613" s="27" t="n"/>
      <c r="F613" s="27" t="n"/>
    </row>
    <row r="614" ht="15.75" customHeight="1" s="12">
      <c r="A614" s="27" t="n"/>
      <c r="B614" s="27" t="n"/>
      <c r="C614" s="27" t="n"/>
      <c r="D614" s="26" t="n"/>
      <c r="E614" s="27" t="n"/>
      <c r="F614" s="27" t="n"/>
    </row>
    <row r="615" ht="15.75" customHeight="1" s="12">
      <c r="A615" s="27" t="n"/>
      <c r="B615" s="27" t="n"/>
      <c r="C615" s="27" t="n"/>
      <c r="D615" s="26" t="n"/>
      <c r="E615" s="27" t="n"/>
      <c r="F615" s="27" t="n"/>
    </row>
    <row r="616" ht="15.75" customHeight="1" s="12">
      <c r="A616" s="27" t="n"/>
      <c r="B616" s="27" t="n"/>
      <c r="C616" s="27" t="n"/>
      <c r="D616" s="26" t="n"/>
      <c r="E616" s="27" t="n"/>
      <c r="F616" s="27" t="n"/>
    </row>
    <row r="617" ht="15.75" customHeight="1" s="12">
      <c r="A617" s="27" t="n"/>
      <c r="B617" s="27" t="n"/>
      <c r="C617" s="27" t="n"/>
      <c r="D617" s="26" t="n"/>
      <c r="E617" s="27" t="n"/>
      <c r="F617" s="27" t="n"/>
    </row>
    <row r="618" ht="15.75" customHeight="1" s="12">
      <c r="A618" s="27" t="n"/>
      <c r="B618" s="27" t="n"/>
      <c r="C618" s="27" t="n"/>
      <c r="D618" s="26" t="n"/>
      <c r="E618" s="27" t="n"/>
      <c r="F618" s="27" t="n"/>
    </row>
    <row r="619" ht="15.75" customHeight="1" s="12">
      <c r="A619" s="27" t="n"/>
      <c r="B619" s="27" t="n"/>
      <c r="C619" s="27" t="n"/>
      <c r="D619" s="26" t="n"/>
      <c r="E619" s="27" t="n"/>
      <c r="F619" s="27" t="n"/>
    </row>
    <row r="620" ht="15.75" customHeight="1" s="12">
      <c r="A620" s="27" t="n"/>
      <c r="B620" s="27" t="n"/>
      <c r="C620" s="27" t="n"/>
      <c r="D620" s="26" t="n"/>
      <c r="E620" s="27" t="n"/>
      <c r="F620" s="27" t="n"/>
    </row>
    <row r="621" ht="15.75" customHeight="1" s="12">
      <c r="A621" s="27" t="n"/>
      <c r="B621" s="27" t="n"/>
      <c r="C621" s="27" t="n"/>
      <c r="D621" s="26" t="n"/>
      <c r="E621" s="27" t="n"/>
      <c r="F621" s="27" t="n"/>
    </row>
    <row r="622" ht="15.75" customHeight="1" s="12">
      <c r="A622" s="27" t="n"/>
      <c r="B622" s="27" t="n"/>
      <c r="C622" s="27" t="n"/>
      <c r="D622" s="26" t="n"/>
      <c r="E622" s="27" t="n"/>
      <c r="F622" s="27" t="n"/>
    </row>
    <row r="623" ht="15.75" customHeight="1" s="12">
      <c r="A623" s="27" t="n"/>
      <c r="B623" s="27" t="n"/>
      <c r="C623" s="27" t="n"/>
      <c r="D623" s="26" t="n"/>
      <c r="E623" s="27" t="n"/>
      <c r="F623" s="27" t="n"/>
    </row>
    <row r="624" ht="15.75" customHeight="1" s="12">
      <c r="A624" s="27" t="n"/>
      <c r="B624" s="27" t="n"/>
      <c r="C624" s="27" t="n"/>
      <c r="D624" s="26" t="n"/>
      <c r="E624" s="27" t="n"/>
      <c r="F624" s="27" t="n"/>
    </row>
    <row r="625" ht="15.75" customHeight="1" s="12">
      <c r="A625" s="27" t="n"/>
      <c r="B625" s="27" t="n"/>
      <c r="C625" s="27" t="n"/>
      <c r="D625" s="26" t="n"/>
      <c r="E625" s="27" t="n"/>
      <c r="F625" s="27" t="n"/>
    </row>
    <row r="626" ht="15.75" customHeight="1" s="12">
      <c r="A626" s="27" t="n"/>
      <c r="B626" s="27" t="n"/>
      <c r="C626" s="27" t="n"/>
      <c r="D626" s="26" t="n"/>
      <c r="E626" s="27" t="n"/>
      <c r="F626" s="27" t="n"/>
    </row>
    <row r="627" ht="15.75" customHeight="1" s="12">
      <c r="A627" s="27" t="n"/>
      <c r="B627" s="27" t="n"/>
      <c r="C627" s="27" t="n"/>
      <c r="D627" s="26" t="n"/>
      <c r="E627" s="27" t="n"/>
      <c r="F627" s="27" t="n"/>
    </row>
    <row r="628" ht="15.75" customHeight="1" s="12">
      <c r="A628" s="27" t="n"/>
      <c r="B628" s="27" t="n"/>
      <c r="C628" s="27" t="n"/>
      <c r="D628" s="26" t="n"/>
      <c r="E628" s="27" t="n"/>
      <c r="F628" s="27" t="n"/>
    </row>
    <row r="629" ht="15.75" customHeight="1" s="12">
      <c r="A629" s="27" t="n"/>
      <c r="B629" s="27" t="n"/>
      <c r="C629" s="27" t="n"/>
      <c r="D629" s="26" t="n"/>
      <c r="E629" s="27" t="n"/>
      <c r="F629" s="27" t="n"/>
    </row>
    <row r="630" ht="15.75" customHeight="1" s="12">
      <c r="A630" s="27" t="n"/>
      <c r="B630" s="27" t="n"/>
      <c r="C630" s="27" t="n"/>
      <c r="D630" s="26" t="n"/>
      <c r="E630" s="27" t="n"/>
      <c r="F630" s="27" t="n"/>
    </row>
    <row r="631" ht="15.75" customHeight="1" s="12">
      <c r="A631" s="27" t="n"/>
      <c r="B631" s="27" t="n"/>
      <c r="C631" s="27" t="n"/>
      <c r="D631" s="26" t="n"/>
      <c r="E631" s="27" t="n"/>
      <c r="F631" s="27" t="n"/>
    </row>
    <row r="632" ht="15.75" customHeight="1" s="12">
      <c r="A632" s="27" t="n"/>
      <c r="B632" s="27" t="n"/>
      <c r="C632" s="27" t="n"/>
      <c r="D632" s="26" t="n"/>
      <c r="E632" s="27" t="n"/>
      <c r="F632" s="27" t="n"/>
    </row>
    <row r="633" ht="15.75" customHeight="1" s="12">
      <c r="A633" s="27" t="n"/>
      <c r="B633" s="27" t="n"/>
      <c r="C633" s="27" t="n"/>
      <c r="D633" s="26" t="n"/>
      <c r="E633" s="27" t="n"/>
      <c r="F633" s="27" t="n"/>
    </row>
    <row r="634" ht="15.75" customHeight="1" s="12">
      <c r="A634" s="27" t="n"/>
      <c r="B634" s="27" t="n"/>
      <c r="C634" s="27" t="n"/>
      <c r="D634" s="26" t="n"/>
      <c r="E634" s="27" t="n"/>
      <c r="F634" s="27" t="n"/>
    </row>
    <row r="635" ht="15.75" customHeight="1" s="12">
      <c r="A635" s="27" t="n"/>
      <c r="B635" s="27" t="n"/>
      <c r="C635" s="27" t="n"/>
      <c r="D635" s="26" t="n"/>
      <c r="E635" s="27" t="n"/>
      <c r="F635" s="27" t="n"/>
    </row>
    <row r="636" ht="15.75" customHeight="1" s="12">
      <c r="A636" s="27" t="n"/>
      <c r="B636" s="27" t="n"/>
      <c r="C636" s="27" t="n"/>
      <c r="D636" s="26" t="n"/>
      <c r="E636" s="27" t="n"/>
      <c r="F636" s="27" t="n"/>
    </row>
    <row r="637" ht="15.75" customHeight="1" s="12">
      <c r="A637" s="27" t="n"/>
      <c r="B637" s="27" t="n"/>
      <c r="C637" s="27" t="n"/>
      <c r="D637" s="26" t="n"/>
      <c r="E637" s="27" t="n"/>
      <c r="F637" s="27" t="n"/>
    </row>
    <row r="638" ht="15.75" customHeight="1" s="12">
      <c r="A638" s="27" t="n"/>
      <c r="B638" s="27" t="n"/>
      <c r="C638" s="27" t="n"/>
      <c r="D638" s="26" t="n"/>
      <c r="E638" s="27" t="n"/>
      <c r="F638" s="27" t="n"/>
    </row>
    <row r="639" ht="15.75" customHeight="1" s="12">
      <c r="A639" s="27" t="n"/>
      <c r="B639" s="27" t="n"/>
      <c r="C639" s="27" t="n"/>
      <c r="D639" s="26" t="n"/>
      <c r="E639" s="27" t="n"/>
      <c r="F639" s="27" t="n"/>
    </row>
    <row r="640" ht="15.75" customHeight="1" s="12">
      <c r="A640" s="27" t="n"/>
      <c r="B640" s="27" t="n"/>
      <c r="C640" s="27" t="n"/>
      <c r="D640" s="26" t="n"/>
      <c r="E640" s="27" t="n"/>
      <c r="F640" s="27" t="n"/>
    </row>
    <row r="641" ht="15.75" customHeight="1" s="12">
      <c r="A641" s="27" t="n"/>
      <c r="B641" s="27" t="n"/>
      <c r="C641" s="27" t="n"/>
      <c r="D641" s="26" t="n"/>
      <c r="E641" s="27" t="n"/>
      <c r="F641" s="27" t="n"/>
    </row>
    <row r="642" ht="15.75" customHeight="1" s="12">
      <c r="A642" s="27" t="n"/>
      <c r="B642" s="27" t="n"/>
      <c r="C642" s="27" t="n"/>
      <c r="D642" s="26" t="n"/>
      <c r="E642" s="27" t="n"/>
      <c r="F642" s="27" t="n"/>
    </row>
    <row r="643" ht="15.75" customHeight="1" s="12">
      <c r="A643" s="27" t="n"/>
      <c r="B643" s="27" t="n"/>
      <c r="C643" s="27" t="n"/>
      <c r="D643" s="26" t="n"/>
      <c r="E643" s="27" t="n"/>
      <c r="F643" s="27" t="n"/>
    </row>
    <row r="644" ht="15.75" customHeight="1" s="12">
      <c r="A644" s="27" t="n"/>
      <c r="B644" s="27" t="n"/>
      <c r="C644" s="27" t="n"/>
      <c r="D644" s="26" t="n"/>
      <c r="E644" s="27" t="n"/>
      <c r="F644" s="27" t="n"/>
    </row>
    <row r="645" ht="15.75" customHeight="1" s="12">
      <c r="A645" s="27" t="n"/>
      <c r="B645" s="27" t="n"/>
      <c r="C645" s="27" t="n"/>
      <c r="D645" s="26" t="n"/>
      <c r="E645" s="27" t="n"/>
      <c r="F645" s="27" t="n"/>
    </row>
    <row r="646" ht="15.75" customHeight="1" s="12">
      <c r="A646" s="27" t="n"/>
      <c r="B646" s="27" t="n"/>
      <c r="C646" s="27" t="n"/>
      <c r="D646" s="26" t="n"/>
      <c r="E646" s="27" t="n"/>
      <c r="F646" s="27" t="n"/>
    </row>
    <row r="647" ht="15.75" customHeight="1" s="12">
      <c r="A647" s="27" t="n"/>
      <c r="B647" s="27" t="n"/>
      <c r="C647" s="27" t="n"/>
      <c r="D647" s="26" t="n"/>
      <c r="E647" s="27" t="n"/>
      <c r="F647" s="27" t="n"/>
    </row>
    <row r="648" ht="15.75" customHeight="1" s="12">
      <c r="A648" s="27" t="n"/>
      <c r="B648" s="27" t="n"/>
      <c r="C648" s="27" t="n"/>
      <c r="D648" s="26" t="n"/>
      <c r="E648" s="27" t="n"/>
      <c r="F648" s="27" t="n"/>
    </row>
    <row r="649" ht="15.75" customHeight="1" s="12">
      <c r="A649" s="27" t="n"/>
      <c r="B649" s="27" t="n"/>
      <c r="C649" s="27" t="n"/>
      <c r="D649" s="26" t="n"/>
      <c r="E649" s="27" t="n"/>
      <c r="F649" s="27" t="n"/>
    </row>
    <row r="650" ht="15.75" customHeight="1" s="12">
      <c r="A650" s="27" t="n"/>
      <c r="B650" s="27" t="n"/>
      <c r="C650" s="27" t="n"/>
      <c r="D650" s="26" t="n"/>
      <c r="E650" s="27" t="n"/>
      <c r="F650" s="27" t="n"/>
    </row>
    <row r="651" ht="15.75" customHeight="1" s="12">
      <c r="A651" s="27" t="n"/>
      <c r="B651" s="27" t="n"/>
      <c r="C651" s="27" t="n"/>
      <c r="D651" s="26" t="n"/>
      <c r="E651" s="27" t="n"/>
      <c r="F651" s="27" t="n"/>
    </row>
    <row r="652" ht="15.75" customHeight="1" s="12">
      <c r="A652" s="27" t="n"/>
      <c r="B652" s="27" t="n"/>
      <c r="C652" s="27" t="n"/>
      <c r="D652" s="26" t="n"/>
      <c r="E652" s="27" t="n"/>
      <c r="F652" s="27" t="n"/>
    </row>
    <row r="653" ht="15.75" customHeight="1" s="12">
      <c r="A653" s="27" t="n"/>
      <c r="B653" s="27" t="n"/>
      <c r="C653" s="27" t="n"/>
      <c r="D653" s="26" t="n"/>
      <c r="E653" s="27" t="n"/>
      <c r="F653" s="27" t="n"/>
    </row>
    <row r="654" ht="15.75" customHeight="1" s="12">
      <c r="A654" s="27" t="n"/>
      <c r="B654" s="27" t="n"/>
      <c r="C654" s="27" t="n"/>
      <c r="D654" s="26" t="n"/>
      <c r="E654" s="27" t="n"/>
      <c r="F654" s="27" t="n"/>
    </row>
    <row r="655" ht="15.75" customHeight="1" s="12">
      <c r="A655" s="27" t="n"/>
      <c r="B655" s="27" t="n"/>
      <c r="C655" s="27" t="n"/>
      <c r="D655" s="26" t="n"/>
      <c r="E655" s="27" t="n"/>
      <c r="F655" s="27" t="n"/>
    </row>
    <row r="656" ht="15.75" customHeight="1" s="12">
      <c r="A656" s="27" t="n"/>
      <c r="B656" s="27" t="n"/>
      <c r="C656" s="27" t="n"/>
      <c r="D656" s="26" t="n"/>
      <c r="E656" s="27" t="n"/>
      <c r="F656" s="27" t="n"/>
    </row>
    <row r="657" ht="15.75" customHeight="1" s="12">
      <c r="A657" s="27" t="n"/>
      <c r="B657" s="27" t="n"/>
      <c r="C657" s="27" t="n"/>
      <c r="D657" s="26" t="n"/>
      <c r="E657" s="27" t="n"/>
      <c r="F657" s="27" t="n"/>
    </row>
    <row r="658" ht="15.75" customHeight="1" s="12">
      <c r="A658" s="27" t="n"/>
      <c r="B658" s="27" t="n"/>
      <c r="C658" s="27" t="n"/>
      <c r="D658" s="26" t="n"/>
      <c r="E658" s="27" t="n"/>
      <c r="F658" s="27" t="n"/>
    </row>
    <row r="659" ht="15.75" customHeight="1" s="12">
      <c r="A659" s="27" t="n"/>
      <c r="B659" s="27" t="n"/>
      <c r="C659" s="27" t="n"/>
      <c r="D659" s="26" t="n"/>
      <c r="E659" s="27" t="n"/>
      <c r="F659" s="27" t="n"/>
    </row>
    <row r="660" ht="15.75" customHeight="1" s="12">
      <c r="A660" s="27" t="n"/>
      <c r="B660" s="27" t="n"/>
      <c r="C660" s="27" t="n"/>
      <c r="D660" s="26" t="n"/>
      <c r="E660" s="27" t="n"/>
      <c r="F660" s="27" t="n"/>
    </row>
    <row r="661" ht="15.75" customHeight="1" s="12">
      <c r="A661" s="27" t="n"/>
      <c r="B661" s="27" t="n"/>
      <c r="C661" s="27" t="n"/>
      <c r="D661" s="26" t="n"/>
      <c r="E661" s="27" t="n"/>
      <c r="F661" s="27" t="n"/>
    </row>
    <row r="662" ht="15.75" customHeight="1" s="12">
      <c r="A662" s="27" t="n"/>
      <c r="B662" s="27" t="n"/>
      <c r="C662" s="27" t="n"/>
      <c r="D662" s="26" t="n"/>
      <c r="E662" s="27" t="n"/>
      <c r="F662" s="27" t="n"/>
    </row>
    <row r="663" ht="15.75" customHeight="1" s="12">
      <c r="A663" s="27" t="n"/>
      <c r="B663" s="27" t="n"/>
      <c r="C663" s="27" t="n"/>
      <c r="D663" s="26" t="n"/>
      <c r="E663" s="27" t="n"/>
      <c r="F663" s="27" t="n"/>
    </row>
    <row r="664" ht="15.75" customHeight="1" s="12">
      <c r="A664" s="27" t="n"/>
      <c r="B664" s="27" t="n"/>
      <c r="C664" s="27" t="n"/>
      <c r="D664" s="26" t="n"/>
      <c r="E664" s="27" t="n"/>
      <c r="F664" s="27" t="n"/>
    </row>
    <row r="665" ht="15.75" customHeight="1" s="12">
      <c r="A665" s="27" t="n"/>
      <c r="B665" s="27" t="n"/>
      <c r="C665" s="27" t="n"/>
      <c r="D665" s="26" t="n"/>
      <c r="E665" s="27" t="n"/>
      <c r="F665" s="27" t="n"/>
    </row>
    <row r="666" ht="15.75" customHeight="1" s="12">
      <c r="A666" s="27" t="n"/>
      <c r="B666" s="27" t="n"/>
      <c r="C666" s="27" t="n"/>
      <c r="D666" s="26" t="n"/>
      <c r="E666" s="27" t="n"/>
      <c r="F666" s="27" t="n"/>
    </row>
    <row r="667" ht="15.75" customHeight="1" s="12">
      <c r="A667" s="27" t="n"/>
      <c r="B667" s="27" t="n"/>
      <c r="C667" s="27" t="n"/>
      <c r="D667" s="26" t="n"/>
      <c r="E667" s="27" t="n"/>
      <c r="F667" s="27" t="n"/>
    </row>
    <row r="668" ht="15.75" customHeight="1" s="12">
      <c r="A668" s="27" t="n"/>
      <c r="B668" s="27" t="n"/>
      <c r="C668" s="27" t="n"/>
      <c r="D668" s="26" t="n"/>
      <c r="E668" s="27" t="n"/>
      <c r="F668" s="27" t="n"/>
    </row>
    <row r="669" ht="15.75" customHeight="1" s="12">
      <c r="A669" s="27" t="n"/>
      <c r="B669" s="27" t="n"/>
      <c r="C669" s="27" t="n"/>
      <c r="D669" s="26" t="n"/>
      <c r="E669" s="27" t="n"/>
      <c r="F669" s="27" t="n"/>
    </row>
    <row r="670" ht="15.75" customHeight="1" s="12">
      <c r="A670" s="27" t="n"/>
      <c r="B670" s="27" t="n"/>
      <c r="C670" s="27" t="n"/>
      <c r="D670" s="26" t="n"/>
      <c r="E670" s="27" t="n"/>
      <c r="F670" s="27" t="n"/>
    </row>
    <row r="671" ht="15.75" customHeight="1" s="12">
      <c r="A671" s="27" t="n"/>
      <c r="B671" s="27" t="n"/>
      <c r="C671" s="27" t="n"/>
      <c r="D671" s="26" t="n"/>
      <c r="E671" s="27" t="n"/>
      <c r="F671" s="27" t="n"/>
    </row>
    <row r="672" ht="15.75" customHeight="1" s="12">
      <c r="A672" s="27" t="n"/>
      <c r="B672" s="27" t="n"/>
      <c r="C672" s="27" t="n"/>
      <c r="D672" s="26" t="n"/>
      <c r="E672" s="27" t="n"/>
      <c r="F672" s="27" t="n"/>
    </row>
    <row r="673" ht="15.75" customHeight="1" s="12">
      <c r="A673" s="27" t="n"/>
      <c r="B673" s="27" t="n"/>
      <c r="C673" s="27" t="n"/>
      <c r="D673" s="26" t="n"/>
      <c r="E673" s="27" t="n"/>
      <c r="F673" s="27" t="n"/>
    </row>
    <row r="674" ht="15.75" customHeight="1" s="12">
      <c r="A674" s="27" t="n"/>
      <c r="B674" s="27" t="n"/>
      <c r="C674" s="27" t="n"/>
      <c r="D674" s="26" t="n"/>
      <c r="E674" s="27" t="n"/>
      <c r="F674" s="27" t="n"/>
    </row>
    <row r="675" ht="15.75" customHeight="1" s="12">
      <c r="A675" s="27" t="n"/>
      <c r="B675" s="27" t="n"/>
      <c r="C675" s="27" t="n"/>
      <c r="D675" s="26" t="n"/>
      <c r="E675" s="27" t="n"/>
      <c r="F675" s="27" t="n"/>
    </row>
    <row r="676" ht="15.75" customHeight="1" s="12">
      <c r="A676" s="27" t="n"/>
      <c r="B676" s="27" t="n"/>
      <c r="C676" s="27" t="n"/>
      <c r="D676" s="26" t="n"/>
      <c r="E676" s="27" t="n"/>
      <c r="F676" s="27" t="n"/>
    </row>
    <row r="677" ht="15.75" customHeight="1" s="12">
      <c r="A677" s="27" t="n"/>
      <c r="B677" s="27" t="n"/>
      <c r="C677" s="27" t="n"/>
      <c r="D677" s="26" t="n"/>
      <c r="E677" s="27" t="n"/>
      <c r="F677" s="27" t="n"/>
    </row>
    <row r="678" ht="15.75" customHeight="1" s="12">
      <c r="A678" s="27" t="n"/>
      <c r="B678" s="27" t="n"/>
      <c r="C678" s="27" t="n"/>
      <c r="D678" s="26" t="n"/>
      <c r="E678" s="27" t="n"/>
      <c r="F678" s="27" t="n"/>
    </row>
    <row r="679" ht="15.75" customHeight="1" s="12">
      <c r="A679" s="27" t="n"/>
      <c r="B679" s="27" t="n"/>
      <c r="C679" s="27" t="n"/>
      <c r="D679" s="26" t="n"/>
      <c r="E679" s="27" t="n"/>
      <c r="F679" s="27" t="n"/>
    </row>
    <row r="680" ht="15.75" customHeight="1" s="12">
      <c r="A680" s="27" t="n"/>
      <c r="B680" s="27" t="n"/>
      <c r="C680" s="27" t="n"/>
      <c r="D680" s="26" t="n"/>
      <c r="E680" s="27" t="n"/>
      <c r="F680" s="27" t="n"/>
    </row>
    <row r="681" ht="15.75" customHeight="1" s="12">
      <c r="A681" s="27" t="n"/>
      <c r="B681" s="27" t="n"/>
      <c r="C681" s="27" t="n"/>
      <c r="D681" s="26" t="n"/>
      <c r="E681" s="27" t="n"/>
      <c r="F681" s="27" t="n"/>
    </row>
    <row r="682" ht="15.75" customHeight="1" s="12">
      <c r="A682" s="27" t="n"/>
      <c r="B682" s="27" t="n"/>
      <c r="C682" s="27" t="n"/>
      <c r="D682" s="26" t="n"/>
      <c r="E682" s="27" t="n"/>
      <c r="F682" s="27" t="n"/>
    </row>
    <row r="683" ht="15.75" customHeight="1" s="12">
      <c r="A683" s="27" t="n"/>
      <c r="B683" s="27" t="n"/>
      <c r="C683" s="27" t="n"/>
      <c r="D683" s="26" t="n"/>
      <c r="E683" s="27" t="n"/>
      <c r="F683" s="27" t="n"/>
    </row>
    <row r="684" ht="15.75" customHeight="1" s="12">
      <c r="A684" s="27" t="n"/>
      <c r="B684" s="27" t="n"/>
      <c r="C684" s="27" t="n"/>
      <c r="D684" s="26" t="n"/>
      <c r="E684" s="27" t="n"/>
      <c r="F684" s="27" t="n"/>
    </row>
    <row r="685" ht="15.75" customHeight="1" s="12">
      <c r="A685" s="27" t="n"/>
      <c r="B685" s="27" t="n"/>
      <c r="C685" s="27" t="n"/>
      <c r="D685" s="26" t="n"/>
      <c r="E685" s="27" t="n"/>
      <c r="F685" s="27" t="n"/>
    </row>
    <row r="686" ht="15.75" customHeight="1" s="12">
      <c r="A686" s="27" t="n"/>
      <c r="B686" s="27" t="n"/>
      <c r="C686" s="27" t="n"/>
      <c r="D686" s="26" t="n"/>
      <c r="E686" s="27" t="n"/>
      <c r="F686" s="27" t="n"/>
    </row>
    <row r="687" ht="15.75" customHeight="1" s="12">
      <c r="A687" s="27" t="n"/>
      <c r="B687" s="27" t="n"/>
      <c r="C687" s="27" t="n"/>
      <c r="D687" s="26" t="n"/>
      <c r="E687" s="27" t="n"/>
      <c r="F687" s="27" t="n"/>
    </row>
    <row r="688" ht="15.75" customHeight="1" s="12">
      <c r="A688" s="27" t="n"/>
      <c r="B688" s="27" t="n"/>
      <c r="C688" s="27" t="n"/>
      <c r="D688" s="26" t="n"/>
      <c r="E688" s="27" t="n"/>
      <c r="F688" s="27" t="n"/>
    </row>
    <row r="689" ht="15.75" customHeight="1" s="12">
      <c r="A689" s="27" t="n"/>
      <c r="B689" s="27" t="n"/>
      <c r="C689" s="27" t="n"/>
      <c r="D689" s="26" t="n"/>
      <c r="E689" s="27" t="n"/>
      <c r="F689" s="27" t="n"/>
    </row>
    <row r="690" ht="15.75" customHeight="1" s="12">
      <c r="A690" s="27" t="n"/>
      <c r="B690" s="27" t="n"/>
      <c r="C690" s="27" t="n"/>
      <c r="D690" s="26" t="n"/>
      <c r="E690" s="27" t="n"/>
      <c r="F690" s="27" t="n"/>
    </row>
    <row r="691" ht="15.75" customHeight="1" s="12">
      <c r="A691" s="27" t="n"/>
      <c r="B691" s="27" t="n"/>
      <c r="C691" s="27" t="n"/>
      <c r="D691" s="26" t="n"/>
      <c r="E691" s="27" t="n"/>
      <c r="F691" s="27" t="n"/>
    </row>
    <row r="692" ht="15.75" customHeight="1" s="12">
      <c r="A692" s="27" t="n"/>
      <c r="B692" s="27" t="n"/>
      <c r="C692" s="27" t="n"/>
      <c r="D692" s="26" t="n"/>
      <c r="E692" s="27" t="n"/>
      <c r="F692" s="27" t="n"/>
    </row>
    <row r="693" ht="15.75" customHeight="1" s="12">
      <c r="A693" s="27" t="n"/>
      <c r="B693" s="27" t="n"/>
      <c r="C693" s="27" t="n"/>
      <c r="D693" s="26" t="n"/>
      <c r="E693" s="27" t="n"/>
      <c r="F693" s="27" t="n"/>
    </row>
    <row r="694" ht="15.75" customHeight="1" s="12">
      <c r="A694" s="27" t="n"/>
      <c r="B694" s="27" t="n"/>
      <c r="C694" s="27" t="n"/>
      <c r="D694" s="26" t="n"/>
      <c r="E694" s="27" t="n"/>
      <c r="F694" s="27" t="n"/>
    </row>
    <row r="695" ht="15.75" customHeight="1" s="12">
      <c r="A695" s="27" t="n"/>
      <c r="B695" s="27" t="n"/>
      <c r="C695" s="27" t="n"/>
      <c r="D695" s="26" t="n"/>
      <c r="E695" s="27" t="n"/>
      <c r="F695" s="27" t="n"/>
    </row>
    <row r="696" ht="15.75" customHeight="1" s="12">
      <c r="A696" s="27" t="n"/>
      <c r="B696" s="27" t="n"/>
      <c r="C696" s="27" t="n"/>
      <c r="D696" s="26" t="n"/>
      <c r="E696" s="27" t="n"/>
      <c r="F696" s="27" t="n"/>
    </row>
    <row r="697" ht="15.75" customHeight="1" s="12">
      <c r="A697" s="27" t="n"/>
      <c r="B697" s="27" t="n"/>
      <c r="C697" s="27" t="n"/>
      <c r="D697" s="26" t="n"/>
      <c r="E697" s="27" t="n"/>
      <c r="F697" s="27" t="n"/>
    </row>
    <row r="698" ht="15.75" customHeight="1" s="12">
      <c r="A698" s="27" t="n"/>
      <c r="B698" s="27" t="n"/>
      <c r="C698" s="27" t="n"/>
      <c r="D698" s="26" t="n"/>
      <c r="E698" s="27" t="n"/>
      <c r="F698" s="27" t="n"/>
    </row>
    <row r="699" ht="15.75" customHeight="1" s="12">
      <c r="A699" s="27" t="n"/>
      <c r="B699" s="27" t="n"/>
      <c r="C699" s="27" t="n"/>
      <c r="D699" s="26" t="n"/>
      <c r="E699" s="27" t="n"/>
      <c r="F699" s="27" t="n"/>
    </row>
    <row r="700" ht="15.75" customHeight="1" s="12">
      <c r="A700" s="27" t="n"/>
      <c r="B700" s="27" t="n"/>
      <c r="C700" s="27" t="n"/>
      <c r="D700" s="26" t="n"/>
      <c r="E700" s="27" t="n"/>
      <c r="F700" s="27" t="n"/>
    </row>
    <row r="701" ht="15.75" customHeight="1" s="12">
      <c r="A701" s="27" t="n"/>
      <c r="B701" s="27" t="n"/>
      <c r="C701" s="27" t="n"/>
      <c r="D701" s="26" t="n"/>
      <c r="E701" s="27" t="n"/>
      <c r="F701" s="27" t="n"/>
    </row>
    <row r="702" ht="15.75" customHeight="1" s="12">
      <c r="A702" s="27" t="n"/>
      <c r="B702" s="27" t="n"/>
      <c r="C702" s="27" t="n"/>
      <c r="D702" s="26" t="n"/>
      <c r="E702" s="27" t="n"/>
      <c r="F702" s="27" t="n"/>
    </row>
    <row r="703" ht="15.75" customHeight="1" s="12">
      <c r="A703" s="27" t="n"/>
      <c r="B703" s="27" t="n"/>
      <c r="C703" s="27" t="n"/>
      <c r="D703" s="26" t="n"/>
      <c r="E703" s="27" t="n"/>
      <c r="F703" s="27" t="n"/>
    </row>
    <row r="704" ht="15.75" customHeight="1" s="12">
      <c r="A704" s="27" t="n"/>
      <c r="B704" s="27" t="n"/>
      <c r="C704" s="27" t="n"/>
      <c r="D704" s="26" t="n"/>
      <c r="E704" s="27" t="n"/>
      <c r="F704" s="27" t="n"/>
    </row>
    <row r="705" ht="15.75" customHeight="1" s="12">
      <c r="A705" s="27" t="n"/>
      <c r="B705" s="27" t="n"/>
      <c r="C705" s="27" t="n"/>
      <c r="D705" s="26" t="n"/>
      <c r="E705" s="27" t="n"/>
      <c r="F705" s="27" t="n"/>
    </row>
    <row r="706" ht="15.75" customHeight="1" s="12">
      <c r="A706" s="27" t="n"/>
      <c r="B706" s="27" t="n"/>
      <c r="C706" s="27" t="n"/>
      <c r="D706" s="26" t="n"/>
      <c r="E706" s="27" t="n"/>
      <c r="F706" s="27" t="n"/>
    </row>
    <row r="707" ht="15.75" customHeight="1" s="12">
      <c r="A707" s="27" t="n"/>
      <c r="B707" s="27" t="n"/>
      <c r="C707" s="27" t="n"/>
      <c r="D707" s="26" t="n"/>
      <c r="E707" s="27" t="n"/>
      <c r="F707" s="27" t="n"/>
    </row>
    <row r="708" ht="15.75" customHeight="1" s="12">
      <c r="A708" s="27" t="n"/>
      <c r="B708" s="27" t="n"/>
      <c r="C708" s="27" t="n"/>
      <c r="D708" s="26" t="n"/>
      <c r="E708" s="27" t="n"/>
      <c r="F708" s="27" t="n"/>
    </row>
    <row r="709" ht="15.75" customHeight="1" s="12">
      <c r="A709" s="27" t="n"/>
      <c r="B709" s="27" t="n"/>
      <c r="C709" s="27" t="n"/>
      <c r="D709" s="26" t="n"/>
      <c r="E709" s="27" t="n"/>
      <c r="F709" s="27" t="n"/>
    </row>
    <row r="710" ht="15.75" customHeight="1" s="12">
      <c r="A710" s="27" t="n"/>
      <c r="B710" s="27" t="n"/>
      <c r="C710" s="27" t="n"/>
      <c r="D710" s="26" t="n"/>
      <c r="E710" s="27" t="n"/>
      <c r="F710" s="27" t="n"/>
    </row>
    <row r="711" ht="15.75" customHeight="1" s="12">
      <c r="A711" s="27" t="n"/>
      <c r="B711" s="27" t="n"/>
      <c r="C711" s="27" t="n"/>
      <c r="D711" s="26" t="n"/>
      <c r="E711" s="27" t="n"/>
      <c r="F711" s="27" t="n"/>
    </row>
    <row r="712" ht="15.75" customHeight="1" s="12">
      <c r="A712" s="27" t="n"/>
      <c r="B712" s="27" t="n"/>
      <c r="C712" s="27" t="n"/>
      <c r="D712" s="26" t="n"/>
      <c r="E712" s="27" t="n"/>
      <c r="F712" s="27" t="n"/>
    </row>
    <row r="713" ht="15.75" customHeight="1" s="12">
      <c r="A713" s="27" t="n"/>
      <c r="B713" s="27" t="n"/>
      <c r="C713" s="27" t="n"/>
      <c r="D713" s="26" t="n"/>
      <c r="E713" s="27" t="n"/>
      <c r="F713" s="27" t="n"/>
    </row>
    <row r="714" ht="15.75" customHeight="1" s="12">
      <c r="A714" s="27" t="n"/>
      <c r="B714" s="27" t="n"/>
      <c r="C714" s="27" t="n"/>
      <c r="D714" s="26" t="n"/>
      <c r="E714" s="27" t="n"/>
      <c r="F714" s="27" t="n"/>
    </row>
    <row r="715" ht="15.75" customHeight="1" s="12">
      <c r="A715" s="27" t="n"/>
      <c r="B715" s="27" t="n"/>
      <c r="C715" s="27" t="n"/>
      <c r="D715" s="26" t="n"/>
      <c r="E715" s="27" t="n"/>
      <c r="F715" s="27" t="n"/>
    </row>
    <row r="716" ht="15.75" customHeight="1" s="12">
      <c r="A716" s="27" t="n"/>
      <c r="B716" s="27" t="n"/>
      <c r="C716" s="27" t="n"/>
      <c r="D716" s="26" t="n"/>
      <c r="E716" s="27" t="n"/>
      <c r="F716" s="27" t="n"/>
    </row>
    <row r="717" ht="15.75" customHeight="1" s="12">
      <c r="A717" s="27" t="n"/>
      <c r="B717" s="27" t="n"/>
      <c r="C717" s="27" t="n"/>
      <c r="D717" s="26" t="n"/>
      <c r="E717" s="27" t="n"/>
      <c r="F717" s="27" t="n"/>
    </row>
    <row r="718" ht="15.75" customHeight="1" s="12">
      <c r="A718" s="27" t="n"/>
      <c r="B718" s="27" t="n"/>
      <c r="C718" s="27" t="n"/>
      <c r="D718" s="26" t="n"/>
      <c r="E718" s="27" t="n"/>
      <c r="F718" s="27" t="n"/>
    </row>
    <row r="719" ht="15.75" customHeight="1" s="12">
      <c r="A719" s="27" t="n"/>
      <c r="B719" s="27" t="n"/>
      <c r="C719" s="27" t="n"/>
      <c r="D719" s="26" t="n"/>
      <c r="E719" s="27" t="n"/>
      <c r="F719" s="27" t="n"/>
    </row>
    <row r="720" ht="15.75" customHeight="1" s="12">
      <c r="A720" s="27" t="n"/>
      <c r="B720" s="27" t="n"/>
      <c r="C720" s="27" t="n"/>
      <c r="D720" s="26" t="n"/>
      <c r="E720" s="27" t="n"/>
      <c r="F720" s="27" t="n"/>
    </row>
    <row r="721" ht="15.75" customHeight="1" s="12">
      <c r="A721" s="27" t="n"/>
      <c r="B721" s="27" t="n"/>
      <c r="C721" s="27" t="n"/>
      <c r="D721" s="26" t="n"/>
      <c r="E721" s="27" t="n"/>
      <c r="F721" s="27" t="n"/>
    </row>
    <row r="722" ht="15.75" customHeight="1" s="12">
      <c r="A722" s="27" t="n"/>
      <c r="B722" s="27" t="n"/>
      <c r="C722" s="27" t="n"/>
      <c r="D722" s="26" t="n"/>
      <c r="E722" s="27" t="n"/>
      <c r="F722" s="27" t="n"/>
    </row>
    <row r="723" ht="15.75" customHeight="1" s="12">
      <c r="A723" s="27" t="n"/>
      <c r="B723" s="27" t="n"/>
      <c r="C723" s="27" t="n"/>
      <c r="D723" s="26" t="n"/>
      <c r="E723" s="27" t="n"/>
      <c r="F723" s="27" t="n"/>
    </row>
    <row r="724" ht="15.75" customHeight="1" s="12">
      <c r="A724" s="27" t="n"/>
      <c r="B724" s="27" t="n"/>
      <c r="C724" s="27" t="n"/>
      <c r="D724" s="26" t="n"/>
      <c r="E724" s="27" t="n"/>
      <c r="F724" s="27" t="n"/>
    </row>
    <row r="725" ht="15.75" customHeight="1" s="12">
      <c r="A725" s="27" t="n"/>
      <c r="B725" s="27" t="n"/>
      <c r="C725" s="27" t="n"/>
      <c r="D725" s="26" t="n"/>
      <c r="E725" s="27" t="n"/>
      <c r="F725" s="27" t="n"/>
    </row>
    <row r="726" ht="15.75" customHeight="1" s="12">
      <c r="A726" s="27" t="n"/>
      <c r="B726" s="27" t="n"/>
      <c r="C726" s="27" t="n"/>
      <c r="D726" s="26" t="n"/>
      <c r="E726" s="27" t="n"/>
      <c r="F726" s="27" t="n"/>
    </row>
    <row r="727" ht="15.75" customHeight="1" s="12">
      <c r="A727" s="27" t="n"/>
      <c r="B727" s="27" t="n"/>
      <c r="C727" s="27" t="n"/>
      <c r="D727" s="26" t="n"/>
      <c r="E727" s="27" t="n"/>
      <c r="F727" s="27" t="n"/>
    </row>
    <row r="728" ht="15.75" customHeight="1" s="12">
      <c r="A728" s="27" t="n"/>
      <c r="B728" s="27" t="n"/>
      <c r="C728" s="27" t="n"/>
      <c r="D728" s="26" t="n"/>
      <c r="E728" s="27" t="n"/>
      <c r="F728" s="27" t="n"/>
    </row>
    <row r="729" ht="15.75" customHeight="1" s="12">
      <c r="A729" s="27" t="n"/>
      <c r="B729" s="27" t="n"/>
      <c r="C729" s="27" t="n"/>
      <c r="D729" s="26" t="n"/>
      <c r="E729" s="27" t="n"/>
      <c r="F729" s="27" t="n"/>
    </row>
    <row r="730" ht="15.75" customHeight="1" s="12">
      <c r="A730" s="27" t="n"/>
      <c r="B730" s="27" t="n"/>
      <c r="C730" s="27" t="n"/>
      <c r="D730" s="26" t="n"/>
      <c r="E730" s="27" t="n"/>
      <c r="F730" s="27" t="n"/>
    </row>
    <row r="731" ht="15.75" customHeight="1" s="12">
      <c r="A731" s="27" t="n"/>
      <c r="B731" s="27" t="n"/>
      <c r="C731" s="27" t="n"/>
      <c r="D731" s="26" t="n"/>
      <c r="E731" s="27" t="n"/>
      <c r="F731" s="27" t="n"/>
    </row>
    <row r="732" ht="15.75" customHeight="1" s="12">
      <c r="A732" s="27" t="n"/>
      <c r="B732" s="27" t="n"/>
      <c r="C732" s="27" t="n"/>
      <c r="D732" s="26" t="n"/>
      <c r="E732" s="27" t="n"/>
      <c r="F732" s="27" t="n"/>
    </row>
    <row r="733" ht="15.75" customHeight="1" s="12">
      <c r="A733" s="27" t="n"/>
      <c r="B733" s="27" t="n"/>
      <c r="C733" s="27" t="n"/>
      <c r="D733" s="26" t="n"/>
      <c r="E733" s="27" t="n"/>
      <c r="F733" s="27" t="n"/>
    </row>
    <row r="734" ht="15.75" customHeight="1" s="12">
      <c r="A734" s="27" t="n"/>
      <c r="B734" s="27" t="n"/>
      <c r="C734" s="27" t="n"/>
      <c r="D734" s="26" t="n"/>
      <c r="E734" s="27" t="n"/>
      <c r="F734" s="27" t="n"/>
    </row>
    <row r="735" ht="15.75" customHeight="1" s="12">
      <c r="A735" s="27" t="n"/>
      <c r="B735" s="27" t="n"/>
      <c r="C735" s="27" t="n"/>
      <c r="D735" s="26" t="n"/>
      <c r="E735" s="27" t="n"/>
      <c r="F735" s="27" t="n"/>
    </row>
    <row r="736" ht="15.75" customHeight="1" s="12">
      <c r="A736" s="27" t="n"/>
      <c r="B736" s="27" t="n"/>
      <c r="C736" s="27" t="n"/>
      <c r="D736" s="26" t="n"/>
      <c r="E736" s="27" t="n"/>
      <c r="F736" s="27" t="n"/>
    </row>
    <row r="737" ht="15.75" customHeight="1" s="12">
      <c r="A737" s="27" t="n"/>
      <c r="B737" s="27" t="n"/>
      <c r="C737" s="27" t="n"/>
      <c r="D737" s="26" t="n"/>
      <c r="E737" s="27" t="n"/>
      <c r="F737" s="27" t="n"/>
    </row>
    <row r="738" ht="15.75" customHeight="1" s="12">
      <c r="A738" s="27" t="n"/>
      <c r="B738" s="27" t="n"/>
      <c r="C738" s="27" t="n"/>
      <c r="D738" s="26" t="n"/>
      <c r="E738" s="27" t="n"/>
      <c r="F738" s="27" t="n"/>
    </row>
    <row r="739" ht="15.75" customHeight="1" s="12">
      <c r="A739" s="27" t="n"/>
      <c r="B739" s="27" t="n"/>
      <c r="C739" s="27" t="n"/>
      <c r="D739" s="26" t="n"/>
      <c r="E739" s="27" t="n"/>
      <c r="F739" s="27" t="n"/>
    </row>
    <row r="740" ht="15.75" customHeight="1" s="12">
      <c r="A740" s="27" t="n"/>
      <c r="B740" s="27" t="n"/>
      <c r="C740" s="27" t="n"/>
      <c r="D740" s="26" t="n"/>
      <c r="E740" s="27" t="n"/>
      <c r="F740" s="27" t="n"/>
    </row>
    <row r="741" ht="15.75" customHeight="1" s="12">
      <c r="A741" s="27" t="n"/>
      <c r="B741" s="27" t="n"/>
      <c r="C741" s="27" t="n"/>
      <c r="D741" s="26" t="n"/>
      <c r="E741" s="27" t="n"/>
      <c r="F741" s="27" t="n"/>
    </row>
    <row r="742" ht="15.75" customHeight="1" s="12">
      <c r="A742" s="27" t="n"/>
      <c r="B742" s="27" t="n"/>
      <c r="C742" s="27" t="n"/>
      <c r="D742" s="26" t="n"/>
      <c r="E742" s="27" t="n"/>
      <c r="F742" s="27" t="n"/>
    </row>
    <row r="743" ht="15.75" customHeight="1" s="12">
      <c r="A743" s="27" t="n"/>
      <c r="B743" s="27" t="n"/>
      <c r="C743" s="27" t="n"/>
      <c r="D743" s="26" t="n"/>
      <c r="E743" s="27" t="n"/>
      <c r="F743" s="27" t="n"/>
    </row>
    <row r="744" ht="15.75" customHeight="1" s="12">
      <c r="A744" s="27" t="n"/>
      <c r="B744" s="27" t="n"/>
      <c r="C744" s="27" t="n"/>
      <c r="D744" s="26" t="n"/>
      <c r="E744" s="27" t="n"/>
      <c r="F744" s="27" t="n"/>
    </row>
    <row r="745" ht="15.75" customHeight="1" s="12">
      <c r="A745" s="27" t="n"/>
      <c r="B745" s="27" t="n"/>
      <c r="C745" s="27" t="n"/>
      <c r="D745" s="26" t="n"/>
      <c r="E745" s="27" t="n"/>
      <c r="F745" s="27" t="n"/>
    </row>
    <row r="746" ht="15.75" customHeight="1" s="12">
      <c r="A746" s="27" t="n"/>
      <c r="B746" s="27" t="n"/>
      <c r="C746" s="27" t="n"/>
      <c r="D746" s="26" t="n"/>
      <c r="E746" s="27" t="n"/>
      <c r="F746" s="27" t="n"/>
    </row>
    <row r="747" ht="15.75" customHeight="1" s="12">
      <c r="A747" s="27" t="n"/>
      <c r="B747" s="27" t="n"/>
      <c r="C747" s="27" t="n"/>
      <c r="D747" s="26" t="n"/>
      <c r="E747" s="27" t="n"/>
      <c r="F747" s="27" t="n"/>
    </row>
    <row r="748" ht="15.75" customHeight="1" s="12">
      <c r="A748" s="27" t="n"/>
      <c r="B748" s="27" t="n"/>
      <c r="C748" s="27" t="n"/>
      <c r="D748" s="26" t="n"/>
      <c r="E748" s="27" t="n"/>
      <c r="F748" s="27" t="n"/>
    </row>
    <row r="749" ht="15.75" customHeight="1" s="12">
      <c r="A749" s="27" t="n"/>
      <c r="B749" s="27" t="n"/>
      <c r="C749" s="27" t="n"/>
      <c r="D749" s="26" t="n"/>
      <c r="E749" s="27" t="n"/>
      <c r="F749" s="27" t="n"/>
    </row>
    <row r="750" ht="15.75" customHeight="1" s="12">
      <c r="A750" s="27" t="n"/>
      <c r="B750" s="27" t="n"/>
      <c r="C750" s="27" t="n"/>
      <c r="D750" s="26" t="n"/>
      <c r="E750" s="27" t="n"/>
      <c r="F750" s="27" t="n"/>
    </row>
    <row r="751" ht="15.75" customHeight="1" s="12">
      <c r="A751" s="27" t="n"/>
      <c r="B751" s="27" t="n"/>
      <c r="C751" s="27" t="n"/>
      <c r="D751" s="26" t="n"/>
      <c r="E751" s="27" t="n"/>
      <c r="F751" s="27" t="n"/>
    </row>
    <row r="752" ht="15.75" customHeight="1" s="12">
      <c r="A752" s="27" t="n"/>
      <c r="B752" s="27" t="n"/>
      <c r="C752" s="27" t="n"/>
      <c r="D752" s="26" t="n"/>
      <c r="E752" s="27" t="n"/>
      <c r="F752" s="27" t="n"/>
    </row>
    <row r="753" ht="15.75" customHeight="1" s="12">
      <c r="A753" s="27" t="n"/>
      <c r="B753" s="27" t="n"/>
      <c r="C753" s="27" t="n"/>
      <c r="D753" s="26" t="n"/>
      <c r="E753" s="27" t="n"/>
      <c r="F753" s="27" t="n"/>
    </row>
    <row r="754" ht="15.75" customHeight="1" s="12">
      <c r="A754" s="27" t="n"/>
      <c r="B754" s="27" t="n"/>
      <c r="C754" s="27" t="n"/>
      <c r="D754" s="26" t="n"/>
      <c r="E754" s="27" t="n"/>
      <c r="F754" s="27" t="n"/>
    </row>
    <row r="755" ht="15.75" customHeight="1" s="12">
      <c r="A755" s="27" t="n"/>
      <c r="B755" s="27" t="n"/>
      <c r="C755" s="27" t="n"/>
      <c r="D755" s="26" t="n"/>
      <c r="E755" s="27" t="n"/>
      <c r="F755" s="27" t="n"/>
    </row>
    <row r="756" ht="15.75" customHeight="1" s="12">
      <c r="A756" s="27" t="n"/>
      <c r="B756" s="27" t="n"/>
      <c r="C756" s="27" t="n"/>
      <c r="D756" s="26" t="n"/>
      <c r="E756" s="27" t="n"/>
      <c r="F756" s="27" t="n"/>
    </row>
    <row r="757" ht="15.75" customHeight="1" s="12">
      <c r="A757" s="27" t="n"/>
      <c r="B757" s="27" t="n"/>
      <c r="C757" s="27" t="n"/>
      <c r="D757" s="26" t="n"/>
      <c r="E757" s="27" t="n"/>
      <c r="F757" s="27" t="n"/>
    </row>
    <row r="758" ht="15.75" customHeight="1" s="12">
      <c r="A758" s="27" t="n"/>
      <c r="B758" s="27" t="n"/>
      <c r="C758" s="27" t="n"/>
      <c r="D758" s="26" t="n"/>
      <c r="E758" s="27" t="n"/>
      <c r="F758" s="27" t="n"/>
    </row>
    <row r="759" ht="15.75" customHeight="1" s="12">
      <c r="A759" s="27" t="n"/>
      <c r="B759" s="27" t="n"/>
      <c r="C759" s="27" t="n"/>
      <c r="D759" s="26" t="n"/>
      <c r="E759" s="27" t="n"/>
      <c r="F759" s="27" t="n"/>
    </row>
    <row r="760" ht="15.75" customHeight="1" s="12">
      <c r="A760" s="27" t="n"/>
      <c r="B760" s="27" t="n"/>
      <c r="C760" s="27" t="n"/>
      <c r="D760" s="26" t="n"/>
      <c r="E760" s="27" t="n"/>
      <c r="F760" s="27" t="n"/>
    </row>
    <row r="761" ht="15.75" customHeight="1" s="12">
      <c r="A761" s="27" t="n"/>
      <c r="B761" s="27" t="n"/>
      <c r="C761" s="27" t="n"/>
      <c r="D761" s="26" t="n"/>
      <c r="E761" s="27" t="n"/>
      <c r="F761" s="27" t="n"/>
    </row>
    <row r="762" ht="15.75" customHeight="1" s="12">
      <c r="A762" s="27" t="n"/>
      <c r="B762" s="27" t="n"/>
      <c r="C762" s="27" t="n"/>
      <c r="D762" s="26" t="n"/>
      <c r="E762" s="27" t="n"/>
      <c r="F762" s="27" t="n"/>
    </row>
    <row r="763" ht="15.75" customHeight="1" s="12">
      <c r="A763" s="27" t="n"/>
      <c r="B763" s="27" t="n"/>
      <c r="C763" s="27" t="n"/>
      <c r="D763" s="26" t="n"/>
      <c r="E763" s="27" t="n"/>
      <c r="F763" s="27" t="n"/>
    </row>
    <row r="764" ht="15.75" customHeight="1" s="12">
      <c r="A764" s="27" t="n"/>
      <c r="B764" s="27" t="n"/>
      <c r="C764" s="27" t="n"/>
      <c r="D764" s="26" t="n"/>
      <c r="E764" s="27" t="n"/>
      <c r="F764" s="27" t="n"/>
    </row>
    <row r="765" ht="15.75" customHeight="1" s="12">
      <c r="A765" s="27" t="n"/>
      <c r="B765" s="27" t="n"/>
      <c r="C765" s="27" t="n"/>
      <c r="D765" s="26" t="n"/>
      <c r="E765" s="27" t="n"/>
      <c r="F765" s="27" t="n"/>
    </row>
    <row r="766" ht="15.75" customHeight="1" s="12">
      <c r="A766" s="27" t="n"/>
      <c r="B766" s="27" t="n"/>
      <c r="C766" s="27" t="n"/>
      <c r="D766" s="26" t="n"/>
      <c r="E766" s="27" t="n"/>
      <c r="F766" s="27" t="n"/>
    </row>
    <row r="767" ht="15.75" customHeight="1" s="12">
      <c r="A767" s="27" t="n"/>
      <c r="B767" s="27" t="n"/>
      <c r="C767" s="27" t="n"/>
      <c r="D767" s="26" t="n"/>
      <c r="E767" s="27" t="n"/>
      <c r="F767" s="27" t="n"/>
    </row>
    <row r="768" ht="15.75" customHeight="1" s="12">
      <c r="A768" s="27" t="n"/>
      <c r="B768" s="27" t="n"/>
      <c r="C768" s="27" t="n"/>
      <c r="D768" s="26" t="n"/>
      <c r="E768" s="27" t="n"/>
      <c r="F768" s="27" t="n"/>
    </row>
    <row r="769" ht="15.75" customHeight="1" s="12">
      <c r="A769" s="27" t="n"/>
      <c r="B769" s="27" t="n"/>
      <c r="C769" s="27" t="n"/>
      <c r="D769" s="26" t="n"/>
      <c r="E769" s="27" t="n"/>
      <c r="F769" s="27" t="n"/>
    </row>
    <row r="770" ht="15.75" customHeight="1" s="12">
      <c r="A770" s="27" t="n"/>
      <c r="B770" s="27" t="n"/>
      <c r="C770" s="27" t="n"/>
      <c r="D770" s="26" t="n"/>
      <c r="E770" s="27" t="n"/>
      <c r="F770" s="27" t="n"/>
    </row>
    <row r="771" ht="15.75" customHeight="1" s="12">
      <c r="A771" s="27" t="n"/>
      <c r="B771" s="27" t="n"/>
      <c r="C771" s="27" t="n"/>
      <c r="D771" s="26" t="n"/>
      <c r="E771" s="27" t="n"/>
      <c r="F771" s="27" t="n"/>
    </row>
    <row r="772" ht="15.75" customHeight="1" s="12">
      <c r="A772" s="27" t="n"/>
      <c r="B772" s="27" t="n"/>
      <c r="C772" s="27" t="n"/>
      <c r="D772" s="26" t="n"/>
      <c r="E772" s="27" t="n"/>
      <c r="F772" s="27" t="n"/>
    </row>
    <row r="773" ht="15.75" customHeight="1" s="12">
      <c r="A773" s="27" t="n"/>
      <c r="B773" s="27" t="n"/>
      <c r="C773" s="27" t="n"/>
      <c r="D773" s="26" t="n"/>
      <c r="E773" s="27" t="n"/>
      <c r="F773" s="27" t="n"/>
    </row>
    <row r="774" ht="15.75" customHeight="1" s="12">
      <c r="A774" s="27" t="n"/>
      <c r="B774" s="27" t="n"/>
      <c r="C774" s="27" t="n"/>
      <c r="D774" s="26" t="n"/>
      <c r="E774" s="27" t="n"/>
      <c r="F774" s="27" t="n"/>
    </row>
    <row r="775" ht="15.75" customHeight="1" s="12">
      <c r="A775" s="27" t="n"/>
      <c r="B775" s="27" t="n"/>
      <c r="C775" s="27" t="n"/>
      <c r="D775" s="26" t="n"/>
      <c r="E775" s="27" t="n"/>
      <c r="F775" s="27" t="n"/>
    </row>
    <row r="776" ht="15.75" customHeight="1" s="12">
      <c r="A776" s="27" t="n"/>
      <c r="B776" s="27" t="n"/>
      <c r="C776" s="27" t="n"/>
      <c r="D776" s="26" t="n"/>
      <c r="E776" s="27" t="n"/>
      <c r="F776" s="27" t="n"/>
    </row>
    <row r="777" ht="15.75" customHeight="1" s="12">
      <c r="A777" s="27" t="n"/>
      <c r="B777" s="27" t="n"/>
      <c r="C777" s="27" t="n"/>
      <c r="D777" s="26" t="n"/>
      <c r="E777" s="27" t="n"/>
      <c r="F777" s="27" t="n"/>
    </row>
    <row r="778" ht="15.75" customHeight="1" s="12">
      <c r="A778" s="27" t="n"/>
      <c r="B778" s="27" t="n"/>
      <c r="C778" s="27" t="n"/>
      <c r="D778" s="26" t="n"/>
      <c r="E778" s="27" t="n"/>
      <c r="F778" s="27" t="n"/>
    </row>
    <row r="779" ht="15.75" customHeight="1" s="12">
      <c r="A779" s="27" t="n"/>
      <c r="B779" s="27" t="n"/>
      <c r="C779" s="27" t="n"/>
      <c r="D779" s="26" t="n"/>
      <c r="E779" s="27" t="n"/>
      <c r="F779" s="27" t="n"/>
    </row>
    <row r="780" ht="15.75" customHeight="1" s="12">
      <c r="A780" s="27" t="n"/>
      <c r="B780" s="27" t="n"/>
      <c r="C780" s="27" t="n"/>
      <c r="D780" s="26" t="n"/>
      <c r="E780" s="27" t="n"/>
      <c r="F780" s="27" t="n"/>
    </row>
    <row r="781" ht="15.75" customHeight="1" s="12">
      <c r="A781" s="27" t="n"/>
      <c r="B781" s="27" t="n"/>
      <c r="C781" s="27" t="n"/>
      <c r="D781" s="26" t="n"/>
      <c r="E781" s="27" t="n"/>
      <c r="F781" s="27" t="n"/>
    </row>
    <row r="782" ht="15.75" customHeight="1" s="12">
      <c r="A782" s="27" t="n"/>
      <c r="B782" s="27" t="n"/>
      <c r="C782" s="27" t="n"/>
      <c r="D782" s="26" t="n"/>
      <c r="E782" s="27" t="n"/>
      <c r="F782" s="27" t="n"/>
    </row>
    <row r="783" ht="15.75" customHeight="1" s="12">
      <c r="A783" s="27" t="n"/>
      <c r="B783" s="27" t="n"/>
      <c r="C783" s="27" t="n"/>
      <c r="D783" s="26" t="n"/>
      <c r="E783" s="27" t="n"/>
      <c r="F783" s="27" t="n"/>
    </row>
    <row r="784" ht="15.75" customHeight="1" s="12">
      <c r="A784" s="27" t="n"/>
      <c r="B784" s="27" t="n"/>
      <c r="C784" s="27" t="n"/>
      <c r="D784" s="26" t="n"/>
      <c r="E784" s="27" t="n"/>
      <c r="F784" s="27" t="n"/>
    </row>
    <row r="785" ht="15.75" customHeight="1" s="12">
      <c r="A785" s="27" t="n"/>
      <c r="B785" s="27" t="n"/>
      <c r="C785" s="27" t="n"/>
      <c r="D785" s="26" t="n"/>
      <c r="E785" s="27" t="n"/>
      <c r="F785" s="27" t="n"/>
    </row>
    <row r="786" ht="15.75" customHeight="1" s="12">
      <c r="A786" s="27" t="n"/>
      <c r="B786" s="27" t="n"/>
      <c r="C786" s="27" t="n"/>
      <c r="D786" s="26" t="n"/>
      <c r="E786" s="27" t="n"/>
      <c r="F786" s="27" t="n"/>
    </row>
    <row r="787" ht="15.75" customHeight="1" s="12">
      <c r="A787" s="27" t="n"/>
      <c r="B787" s="27" t="n"/>
      <c r="C787" s="27" t="n"/>
      <c r="D787" s="26" t="n"/>
      <c r="E787" s="27" t="n"/>
      <c r="F787" s="27" t="n"/>
    </row>
    <row r="788" ht="15.75" customHeight="1" s="12">
      <c r="A788" s="27" t="n"/>
      <c r="B788" s="27" t="n"/>
      <c r="C788" s="27" t="n"/>
      <c r="D788" s="26" t="n"/>
      <c r="E788" s="27" t="n"/>
      <c r="F788" s="27" t="n"/>
    </row>
    <row r="789" ht="15.75" customHeight="1" s="12">
      <c r="A789" s="27" t="n"/>
      <c r="B789" s="27" t="n"/>
      <c r="C789" s="27" t="n"/>
      <c r="D789" s="26" t="n"/>
      <c r="E789" s="27" t="n"/>
      <c r="F789" s="27" t="n"/>
    </row>
    <row r="790" ht="15.75" customHeight="1" s="12">
      <c r="A790" s="27" t="n"/>
      <c r="B790" s="27" t="n"/>
      <c r="C790" s="27" t="n"/>
      <c r="D790" s="26" t="n"/>
      <c r="E790" s="27" t="n"/>
      <c r="F790" s="27" t="n"/>
    </row>
    <row r="791" ht="15.75" customHeight="1" s="12">
      <c r="A791" s="27" t="n"/>
      <c r="B791" s="27" t="n"/>
      <c r="C791" s="27" t="n"/>
      <c r="D791" s="26" t="n"/>
      <c r="E791" s="27" t="n"/>
      <c r="F791" s="27" t="n"/>
    </row>
    <row r="792" ht="15.75" customHeight="1" s="12">
      <c r="A792" s="27" t="n"/>
      <c r="B792" s="27" t="n"/>
      <c r="C792" s="27" t="n"/>
      <c r="D792" s="26" t="n"/>
      <c r="E792" s="27" t="n"/>
      <c r="F792" s="27" t="n"/>
    </row>
    <row r="793" ht="15.75" customHeight="1" s="12">
      <c r="A793" s="27" t="n"/>
      <c r="B793" s="27" t="n"/>
      <c r="C793" s="27" t="n"/>
      <c r="D793" s="26" t="n"/>
      <c r="E793" s="27" t="n"/>
      <c r="F793" s="27" t="n"/>
    </row>
    <row r="794" ht="15.75" customHeight="1" s="12">
      <c r="A794" s="27" t="n"/>
      <c r="B794" s="27" t="n"/>
      <c r="C794" s="27" t="n"/>
      <c r="D794" s="26" t="n"/>
      <c r="E794" s="27" t="n"/>
      <c r="F794" s="27" t="n"/>
    </row>
    <row r="795" ht="15.75" customHeight="1" s="12">
      <c r="A795" s="27" t="n"/>
      <c r="B795" s="27" t="n"/>
      <c r="C795" s="27" t="n"/>
      <c r="D795" s="26" t="n"/>
      <c r="E795" s="27" t="n"/>
      <c r="F795" s="27" t="n"/>
    </row>
    <row r="796" ht="15.75" customHeight="1" s="12">
      <c r="A796" s="27" t="n"/>
      <c r="B796" s="27" t="n"/>
      <c r="C796" s="27" t="n"/>
      <c r="D796" s="26" t="n"/>
      <c r="E796" s="27" t="n"/>
      <c r="F796" s="27" t="n"/>
    </row>
    <row r="797" ht="15.75" customHeight="1" s="12">
      <c r="A797" s="27" t="n"/>
      <c r="B797" s="27" t="n"/>
      <c r="C797" s="27" t="n"/>
      <c r="D797" s="26" t="n"/>
      <c r="E797" s="27" t="n"/>
      <c r="F797" s="27" t="n"/>
    </row>
    <row r="798" ht="15.75" customHeight="1" s="12">
      <c r="A798" s="27" t="n"/>
      <c r="B798" s="27" t="n"/>
      <c r="C798" s="27" t="n"/>
      <c r="D798" s="26" t="n"/>
      <c r="E798" s="27" t="n"/>
      <c r="F798" s="27" t="n"/>
    </row>
    <row r="799" ht="15.75" customHeight="1" s="12">
      <c r="A799" s="27" t="n"/>
      <c r="B799" s="27" t="n"/>
      <c r="C799" s="27" t="n"/>
      <c r="D799" s="26" t="n"/>
      <c r="E799" s="27" t="n"/>
      <c r="F799" s="27" t="n"/>
    </row>
    <row r="800" ht="15.75" customHeight="1" s="12">
      <c r="A800" s="27" t="n"/>
      <c r="B800" s="27" t="n"/>
      <c r="C800" s="27" t="n"/>
      <c r="D800" s="26" t="n"/>
      <c r="E800" s="27" t="n"/>
      <c r="F800" s="27" t="n"/>
    </row>
    <row r="801" ht="15.75" customHeight="1" s="12">
      <c r="A801" s="27" t="n"/>
      <c r="B801" s="27" t="n"/>
      <c r="C801" s="27" t="n"/>
      <c r="D801" s="26" t="n"/>
      <c r="E801" s="27" t="n"/>
      <c r="F801" s="27" t="n"/>
    </row>
    <row r="802" ht="15.75" customHeight="1" s="12">
      <c r="A802" s="27" t="n"/>
      <c r="B802" s="27" t="n"/>
      <c r="C802" s="27" t="n"/>
      <c r="D802" s="26" t="n"/>
      <c r="E802" s="27" t="n"/>
      <c r="F802" s="27" t="n"/>
    </row>
    <row r="803" ht="15.75" customHeight="1" s="12">
      <c r="A803" s="27" t="n"/>
      <c r="B803" s="27" t="n"/>
      <c r="C803" s="27" t="n"/>
      <c r="D803" s="26" t="n"/>
      <c r="E803" s="27" t="n"/>
      <c r="F803" s="27" t="n"/>
    </row>
    <row r="804" ht="15.75" customHeight="1" s="12">
      <c r="A804" s="27" t="n"/>
      <c r="B804" s="27" t="n"/>
      <c r="C804" s="27" t="n"/>
      <c r="D804" s="26" t="n"/>
      <c r="E804" s="27" t="n"/>
      <c r="F804" s="27" t="n"/>
    </row>
    <row r="805" ht="15.75" customHeight="1" s="12">
      <c r="A805" s="27" t="n"/>
      <c r="B805" s="27" t="n"/>
      <c r="C805" s="27" t="n"/>
      <c r="D805" s="26" t="n"/>
      <c r="E805" s="27" t="n"/>
      <c r="F805" s="27" t="n"/>
    </row>
    <row r="806" ht="15.75" customHeight="1" s="12">
      <c r="A806" s="27" t="n"/>
      <c r="B806" s="27" t="n"/>
      <c r="C806" s="27" t="n"/>
      <c r="D806" s="26" t="n"/>
      <c r="E806" s="27" t="n"/>
      <c r="F806" s="27" t="n"/>
    </row>
    <row r="807" ht="15.75" customHeight="1" s="12">
      <c r="A807" s="27" t="n"/>
      <c r="B807" s="27" t="n"/>
      <c r="C807" s="27" t="n"/>
      <c r="D807" s="26" t="n"/>
      <c r="E807" s="27" t="n"/>
      <c r="F807" s="27" t="n"/>
    </row>
    <row r="808" ht="15.75" customHeight="1" s="12">
      <c r="A808" s="27" t="n"/>
      <c r="B808" s="27" t="n"/>
      <c r="C808" s="27" t="n"/>
      <c r="D808" s="26" t="n"/>
      <c r="E808" s="27" t="n"/>
      <c r="F808" s="27" t="n"/>
    </row>
    <row r="809" ht="15.75" customHeight="1" s="12">
      <c r="A809" s="27" t="n"/>
      <c r="B809" s="27" t="n"/>
      <c r="C809" s="27" t="n"/>
      <c r="D809" s="26" t="n"/>
      <c r="E809" s="27" t="n"/>
      <c r="F809" s="27" t="n"/>
    </row>
    <row r="810" ht="15.75" customHeight="1" s="12">
      <c r="A810" s="27" t="n"/>
      <c r="B810" s="27" t="n"/>
      <c r="C810" s="27" t="n"/>
      <c r="D810" s="26" t="n"/>
      <c r="E810" s="27" t="n"/>
      <c r="F810" s="27" t="n"/>
    </row>
    <row r="811" ht="15.75" customHeight="1" s="12">
      <c r="A811" s="27" t="n"/>
      <c r="B811" s="27" t="n"/>
      <c r="C811" s="27" t="n"/>
      <c r="D811" s="26" t="n"/>
      <c r="E811" s="27" t="n"/>
      <c r="F811" s="27" t="n"/>
    </row>
    <row r="812" ht="15.75" customHeight="1" s="12">
      <c r="A812" s="27" t="n"/>
      <c r="B812" s="27" t="n"/>
      <c r="C812" s="27" t="n"/>
      <c r="D812" s="26" t="n"/>
      <c r="E812" s="27" t="n"/>
      <c r="F812" s="27" t="n"/>
    </row>
    <row r="813" ht="15.75" customHeight="1" s="12">
      <c r="A813" s="27" t="n"/>
      <c r="B813" s="27" t="n"/>
      <c r="C813" s="27" t="n"/>
      <c r="D813" s="26" t="n"/>
      <c r="E813" s="27" t="n"/>
      <c r="F813" s="27" t="n"/>
    </row>
    <row r="814" ht="15.75" customHeight="1" s="12">
      <c r="A814" s="27" t="n"/>
      <c r="B814" s="27" t="n"/>
      <c r="C814" s="27" t="n"/>
      <c r="D814" s="26" t="n"/>
      <c r="E814" s="27" t="n"/>
      <c r="F814" s="27" t="n"/>
    </row>
    <row r="815" ht="15.75" customHeight="1" s="12">
      <c r="A815" s="27" t="n"/>
      <c r="B815" s="27" t="n"/>
      <c r="C815" s="27" t="n"/>
      <c r="D815" s="26" t="n"/>
      <c r="E815" s="27" t="n"/>
      <c r="F815" s="27" t="n"/>
    </row>
    <row r="816" ht="15.75" customHeight="1" s="12">
      <c r="A816" s="27" t="n"/>
      <c r="B816" s="27" t="n"/>
      <c r="C816" s="27" t="n"/>
      <c r="D816" s="26" t="n"/>
      <c r="E816" s="27" t="n"/>
      <c r="F816" s="27" t="n"/>
    </row>
    <row r="817" ht="15.75" customHeight="1" s="12">
      <c r="A817" s="27" t="n"/>
      <c r="B817" s="27" t="n"/>
      <c r="C817" s="27" t="n"/>
      <c r="D817" s="26" t="n"/>
      <c r="E817" s="27" t="n"/>
      <c r="F817" s="27" t="n"/>
    </row>
    <row r="818" ht="15.75" customHeight="1" s="12">
      <c r="A818" s="27" t="n"/>
      <c r="B818" s="27" t="n"/>
      <c r="C818" s="27" t="n"/>
      <c r="D818" s="26" t="n"/>
      <c r="E818" s="27" t="n"/>
      <c r="F818" s="27" t="n"/>
    </row>
    <row r="819" ht="15.75" customHeight="1" s="12">
      <c r="A819" s="27" t="n"/>
      <c r="B819" s="27" t="n"/>
      <c r="C819" s="27" t="n"/>
      <c r="D819" s="26" t="n"/>
      <c r="E819" s="27" t="n"/>
      <c r="F819" s="27" t="n"/>
    </row>
    <row r="820" ht="15.75" customHeight="1" s="12">
      <c r="A820" s="27" t="n"/>
      <c r="B820" s="27" t="n"/>
      <c r="C820" s="27" t="n"/>
      <c r="D820" s="26" t="n"/>
      <c r="E820" s="27" t="n"/>
      <c r="F820" s="27" t="n"/>
    </row>
    <row r="821" ht="15.75" customHeight="1" s="12">
      <c r="A821" s="27" t="n"/>
      <c r="B821" s="27" t="n"/>
      <c r="C821" s="27" t="n"/>
      <c r="D821" s="26" t="n"/>
      <c r="E821" s="27" t="n"/>
      <c r="F821" s="27" t="n"/>
    </row>
    <row r="822" ht="15.75" customHeight="1" s="12">
      <c r="A822" s="27" t="n"/>
      <c r="B822" s="27" t="n"/>
      <c r="C822" s="27" t="n"/>
      <c r="D822" s="26" t="n"/>
      <c r="E822" s="27" t="n"/>
      <c r="F822" s="27" t="n"/>
    </row>
    <row r="823" ht="15.75" customHeight="1" s="12">
      <c r="A823" s="27" t="n"/>
      <c r="B823" s="27" t="n"/>
      <c r="C823" s="27" t="n"/>
      <c r="D823" s="26" t="n"/>
      <c r="E823" s="27" t="n"/>
      <c r="F823" s="27" t="n"/>
    </row>
    <row r="824" ht="15.75" customHeight="1" s="12">
      <c r="A824" s="27" t="n"/>
      <c r="B824" s="27" t="n"/>
      <c r="C824" s="27" t="n"/>
      <c r="D824" s="26" t="n"/>
      <c r="E824" s="27" t="n"/>
      <c r="F824" s="27" t="n"/>
    </row>
    <row r="825" ht="15.75" customHeight="1" s="12">
      <c r="A825" s="27" t="n"/>
      <c r="B825" s="27" t="n"/>
      <c r="C825" s="27" t="n"/>
      <c r="D825" s="26" t="n"/>
      <c r="E825" s="27" t="n"/>
      <c r="F825" s="27" t="n"/>
    </row>
    <row r="826" ht="15.75" customHeight="1" s="12">
      <c r="A826" s="27" t="n"/>
      <c r="B826" s="27" t="n"/>
      <c r="C826" s="27" t="n"/>
      <c r="D826" s="26" t="n"/>
      <c r="E826" s="27" t="n"/>
      <c r="F826" s="27" t="n"/>
    </row>
    <row r="827" ht="15.75" customHeight="1" s="12">
      <c r="A827" s="27" t="n"/>
      <c r="B827" s="27" t="n"/>
      <c r="C827" s="27" t="n"/>
      <c r="D827" s="26" t="n"/>
      <c r="E827" s="27" t="n"/>
      <c r="F827" s="27" t="n"/>
    </row>
    <row r="828" ht="15.75" customHeight="1" s="12">
      <c r="A828" s="27" t="n"/>
      <c r="B828" s="27" t="n"/>
      <c r="C828" s="27" t="n"/>
      <c r="D828" s="26" t="n"/>
      <c r="E828" s="27" t="n"/>
      <c r="F828" s="27" t="n"/>
    </row>
    <row r="829" ht="15.75" customHeight="1" s="12">
      <c r="A829" s="27" t="n"/>
      <c r="B829" s="27" t="n"/>
      <c r="C829" s="27" t="n"/>
      <c r="D829" s="26" t="n"/>
      <c r="E829" s="27" t="n"/>
      <c r="F829" s="27" t="n"/>
    </row>
    <row r="830" ht="15.75" customHeight="1" s="12">
      <c r="A830" s="27" t="n"/>
      <c r="B830" s="27" t="n"/>
      <c r="C830" s="27" t="n"/>
      <c r="D830" s="26" t="n"/>
      <c r="E830" s="27" t="n"/>
      <c r="F830" s="27" t="n"/>
    </row>
    <row r="831" ht="15.75" customHeight="1" s="12">
      <c r="A831" s="27" t="n"/>
      <c r="B831" s="27" t="n"/>
      <c r="C831" s="27" t="n"/>
      <c r="D831" s="26" t="n"/>
      <c r="E831" s="27" t="n"/>
      <c r="F831" s="27" t="n"/>
    </row>
    <row r="832" ht="15.75" customHeight="1" s="12">
      <c r="A832" s="27" t="n"/>
      <c r="B832" s="27" t="n"/>
      <c r="C832" s="27" t="n"/>
      <c r="D832" s="26" t="n"/>
      <c r="E832" s="27" t="n"/>
      <c r="F832" s="27" t="n"/>
    </row>
    <row r="833" ht="15.75" customHeight="1" s="12">
      <c r="A833" s="27" t="n"/>
      <c r="B833" s="27" t="n"/>
      <c r="C833" s="27" t="n"/>
      <c r="D833" s="26" t="n"/>
      <c r="E833" s="27" t="n"/>
      <c r="F833" s="27" t="n"/>
    </row>
    <row r="834" ht="15.75" customHeight="1" s="12">
      <c r="A834" s="27" t="n"/>
      <c r="B834" s="27" t="n"/>
      <c r="C834" s="27" t="n"/>
      <c r="D834" s="26" t="n"/>
      <c r="E834" s="27" t="n"/>
      <c r="F834" s="27" t="n"/>
    </row>
    <row r="835" ht="15.75" customHeight="1" s="12">
      <c r="A835" s="27" t="n"/>
      <c r="B835" s="27" t="n"/>
      <c r="C835" s="27" t="n"/>
      <c r="D835" s="26" t="n"/>
      <c r="E835" s="27" t="n"/>
      <c r="F835" s="27" t="n"/>
    </row>
    <row r="836" ht="15.75" customHeight="1" s="12">
      <c r="A836" s="27" t="n"/>
      <c r="B836" s="27" t="n"/>
      <c r="C836" s="27" t="n"/>
      <c r="D836" s="26" t="n"/>
      <c r="E836" s="27" t="n"/>
      <c r="F836" s="27" t="n"/>
    </row>
    <row r="837" ht="15.75" customHeight="1" s="12">
      <c r="A837" s="27" t="n"/>
      <c r="B837" s="27" t="n"/>
      <c r="C837" s="27" t="n"/>
      <c r="D837" s="26" t="n"/>
      <c r="E837" s="27" t="n"/>
      <c r="F837" s="27" t="n"/>
    </row>
    <row r="838" ht="15.75" customHeight="1" s="12">
      <c r="A838" s="27" t="n"/>
      <c r="B838" s="27" t="n"/>
      <c r="C838" s="27" t="n"/>
      <c r="D838" s="26" t="n"/>
      <c r="E838" s="27" t="n"/>
      <c r="F838" s="27" t="n"/>
    </row>
    <row r="839" ht="15.75" customHeight="1" s="12">
      <c r="A839" s="27" t="n"/>
      <c r="B839" s="27" t="n"/>
      <c r="C839" s="27" t="n"/>
      <c r="D839" s="26" t="n"/>
      <c r="E839" s="27" t="n"/>
      <c r="F839" s="27" t="n"/>
    </row>
    <row r="840" ht="15.75" customHeight="1" s="12">
      <c r="A840" s="27" t="n"/>
      <c r="B840" s="27" t="n"/>
      <c r="C840" s="27" t="n"/>
      <c r="D840" s="26" t="n"/>
      <c r="E840" s="27" t="n"/>
      <c r="F840" s="27" t="n"/>
    </row>
    <row r="841" ht="15.75" customHeight="1" s="12">
      <c r="A841" s="27" t="n"/>
      <c r="B841" s="27" t="n"/>
      <c r="C841" s="27" t="n"/>
      <c r="D841" s="26" t="n"/>
      <c r="E841" s="27" t="n"/>
      <c r="F841" s="27" t="n"/>
    </row>
    <row r="842" ht="15.75" customHeight="1" s="12">
      <c r="A842" s="27" t="n"/>
      <c r="B842" s="27" t="n"/>
      <c r="C842" s="27" t="n"/>
      <c r="D842" s="26" t="n"/>
      <c r="E842" s="27" t="n"/>
      <c r="F842" s="27" t="n"/>
    </row>
    <row r="843" ht="15.75" customHeight="1" s="12">
      <c r="A843" s="27" t="n"/>
      <c r="B843" s="27" t="n"/>
      <c r="C843" s="27" t="n"/>
      <c r="D843" s="26" t="n"/>
      <c r="E843" s="27" t="n"/>
      <c r="F843" s="27" t="n"/>
    </row>
    <row r="844" ht="15.75" customHeight="1" s="12">
      <c r="A844" s="27" t="n"/>
      <c r="B844" s="27" t="n"/>
      <c r="C844" s="27" t="n"/>
      <c r="D844" s="26" t="n"/>
      <c r="E844" s="27" t="n"/>
      <c r="F844" s="27" t="n"/>
    </row>
    <row r="845" ht="15.75" customHeight="1" s="12">
      <c r="A845" s="27" t="n"/>
      <c r="B845" s="27" t="n"/>
      <c r="C845" s="27" t="n"/>
      <c r="D845" s="26" t="n"/>
      <c r="E845" s="27" t="n"/>
      <c r="F845" s="27" t="n"/>
    </row>
    <row r="846" ht="15.75" customHeight="1" s="12">
      <c r="A846" s="27" t="n"/>
      <c r="B846" s="27" t="n"/>
      <c r="C846" s="27" t="n"/>
      <c r="D846" s="26" t="n"/>
      <c r="E846" s="27" t="n"/>
      <c r="F846" s="27" t="n"/>
    </row>
    <row r="847" ht="15.75" customHeight="1" s="12">
      <c r="A847" s="27" t="n"/>
      <c r="B847" s="27" t="n"/>
      <c r="C847" s="27" t="n"/>
      <c r="D847" s="26" t="n"/>
      <c r="E847" s="27" t="n"/>
      <c r="F847" s="27" t="n"/>
    </row>
    <row r="848" ht="15.75" customHeight="1" s="12">
      <c r="A848" s="27" t="n"/>
      <c r="B848" s="27" t="n"/>
      <c r="C848" s="27" t="n"/>
      <c r="D848" s="26" t="n"/>
      <c r="E848" s="27" t="n"/>
      <c r="F848" s="27" t="n"/>
    </row>
    <row r="849" ht="15.75" customHeight="1" s="12">
      <c r="A849" s="27" t="n"/>
      <c r="B849" s="27" t="n"/>
      <c r="C849" s="27" t="n"/>
      <c r="D849" s="26" t="n"/>
      <c r="E849" s="27" t="n"/>
      <c r="F849" s="27" t="n"/>
    </row>
    <row r="850" ht="15.75" customHeight="1" s="12">
      <c r="A850" s="27" t="n"/>
      <c r="B850" s="27" t="n"/>
      <c r="C850" s="27" t="n"/>
      <c r="D850" s="26" t="n"/>
      <c r="E850" s="27" t="n"/>
      <c r="F850" s="27" t="n"/>
    </row>
    <row r="851" ht="15.75" customHeight="1" s="12">
      <c r="A851" s="27" t="n"/>
      <c r="B851" s="27" t="n"/>
      <c r="C851" s="27" t="n"/>
      <c r="D851" s="26" t="n"/>
      <c r="E851" s="27" t="n"/>
      <c r="F851" s="27" t="n"/>
    </row>
    <row r="852" ht="15.75" customHeight="1" s="12">
      <c r="A852" s="27" t="n"/>
      <c r="B852" s="27" t="n"/>
      <c r="C852" s="27" t="n"/>
      <c r="D852" s="26" t="n"/>
      <c r="E852" s="27" t="n"/>
      <c r="F852" s="27" t="n"/>
    </row>
    <row r="853" ht="15.75" customHeight="1" s="12">
      <c r="A853" s="27" t="n"/>
      <c r="B853" s="27" t="n"/>
      <c r="C853" s="27" t="n"/>
      <c r="D853" s="26" t="n"/>
      <c r="E853" s="27" t="n"/>
      <c r="F853" s="27" t="n"/>
    </row>
    <row r="854" ht="15.75" customHeight="1" s="12">
      <c r="A854" s="27" t="n"/>
      <c r="B854" s="27" t="n"/>
      <c r="C854" s="27" t="n"/>
      <c r="D854" s="26" t="n"/>
      <c r="E854" s="27" t="n"/>
      <c r="F854" s="27" t="n"/>
    </row>
    <row r="855" ht="15.75" customHeight="1" s="12">
      <c r="A855" s="27" t="n"/>
      <c r="B855" s="27" t="n"/>
      <c r="C855" s="27" t="n"/>
      <c r="D855" s="26" t="n"/>
      <c r="E855" s="27" t="n"/>
      <c r="F855" s="27" t="n"/>
    </row>
    <row r="856" ht="15.75" customHeight="1" s="12">
      <c r="A856" s="27" t="n"/>
      <c r="B856" s="27" t="n"/>
      <c r="C856" s="27" t="n"/>
      <c r="D856" s="26" t="n"/>
      <c r="E856" s="27" t="n"/>
      <c r="F856" s="27" t="n"/>
    </row>
    <row r="857" ht="15.75" customHeight="1" s="12">
      <c r="A857" s="27" t="n"/>
      <c r="B857" s="27" t="n"/>
      <c r="C857" s="27" t="n"/>
      <c r="D857" s="26" t="n"/>
      <c r="E857" s="27" t="n"/>
      <c r="F857" s="27" t="n"/>
    </row>
    <row r="858" ht="15.75" customHeight="1" s="12">
      <c r="A858" s="27" t="n"/>
      <c r="B858" s="27" t="n"/>
      <c r="C858" s="27" t="n"/>
      <c r="D858" s="26" t="n"/>
      <c r="E858" s="27" t="n"/>
      <c r="F858" s="27" t="n"/>
    </row>
    <row r="859" ht="15.75" customHeight="1" s="12">
      <c r="A859" s="27" t="n"/>
      <c r="B859" s="27" t="n"/>
      <c r="C859" s="27" t="n"/>
      <c r="D859" s="26" t="n"/>
      <c r="E859" s="27" t="n"/>
      <c r="F859" s="27" t="n"/>
    </row>
    <row r="860" ht="15.75" customHeight="1" s="12">
      <c r="A860" s="27" t="n"/>
      <c r="B860" s="27" t="n"/>
      <c r="C860" s="27" t="n"/>
      <c r="D860" s="26" t="n"/>
      <c r="E860" s="27" t="n"/>
      <c r="F860" s="27" t="n"/>
    </row>
    <row r="861" ht="15.75" customHeight="1" s="12">
      <c r="A861" s="27" t="n"/>
      <c r="B861" s="27" t="n"/>
      <c r="C861" s="27" t="n"/>
      <c r="D861" s="26" t="n"/>
      <c r="E861" s="27" t="n"/>
      <c r="F861" s="27" t="n"/>
    </row>
    <row r="862" ht="15.75" customHeight="1" s="12">
      <c r="A862" s="27" t="n"/>
      <c r="B862" s="27" t="n"/>
      <c r="C862" s="27" t="n"/>
      <c r="D862" s="26" t="n"/>
      <c r="E862" s="27" t="n"/>
      <c r="F862" s="27" t="n"/>
    </row>
    <row r="863" ht="15.75" customHeight="1" s="12">
      <c r="A863" s="27" t="n"/>
      <c r="B863" s="27" t="n"/>
      <c r="C863" s="27" t="n"/>
      <c r="D863" s="26" t="n"/>
      <c r="E863" s="27" t="n"/>
      <c r="F863" s="27" t="n"/>
    </row>
    <row r="864" ht="15.75" customHeight="1" s="12">
      <c r="A864" s="27" t="n"/>
      <c r="B864" s="27" t="n"/>
      <c r="C864" s="27" t="n"/>
      <c r="D864" s="26" t="n"/>
      <c r="E864" s="27" t="n"/>
      <c r="F864" s="27" t="n"/>
    </row>
    <row r="865" ht="15.75" customHeight="1" s="12">
      <c r="A865" s="27" t="n"/>
      <c r="B865" s="27" t="n"/>
      <c r="C865" s="27" t="n"/>
      <c r="D865" s="26" t="n"/>
      <c r="E865" s="27" t="n"/>
      <c r="F865" s="27" t="n"/>
    </row>
    <row r="866" ht="15.75" customHeight="1" s="12">
      <c r="A866" s="27" t="n"/>
      <c r="B866" s="27" t="n"/>
      <c r="C866" s="27" t="n"/>
      <c r="D866" s="26" t="n"/>
      <c r="E866" s="27" t="n"/>
      <c r="F866" s="27" t="n"/>
    </row>
    <row r="867" ht="15.75" customHeight="1" s="12">
      <c r="A867" s="27" t="n"/>
      <c r="B867" s="27" t="n"/>
      <c r="C867" s="27" t="n"/>
      <c r="D867" s="26" t="n"/>
      <c r="E867" s="27" t="n"/>
      <c r="F867" s="27" t="n"/>
    </row>
    <row r="868" ht="15.75" customHeight="1" s="12">
      <c r="A868" s="27" t="n"/>
      <c r="B868" s="27" t="n"/>
      <c r="C868" s="27" t="n"/>
      <c r="D868" s="26" t="n"/>
      <c r="E868" s="27" t="n"/>
      <c r="F868" s="27" t="n"/>
    </row>
    <row r="869" ht="15.75" customHeight="1" s="12">
      <c r="A869" s="27" t="n"/>
      <c r="B869" s="27" t="n"/>
      <c r="C869" s="27" t="n"/>
      <c r="D869" s="26" t="n"/>
      <c r="E869" s="27" t="n"/>
      <c r="F869" s="27" t="n"/>
    </row>
    <row r="870" ht="15.75" customHeight="1" s="12">
      <c r="A870" s="27" t="n"/>
      <c r="B870" s="27" t="n"/>
      <c r="C870" s="27" t="n"/>
      <c r="D870" s="26" t="n"/>
      <c r="E870" s="27" t="n"/>
      <c r="F870" s="27" t="n"/>
    </row>
    <row r="871" ht="15.75" customHeight="1" s="12">
      <c r="A871" s="27" t="n"/>
      <c r="B871" s="27" t="n"/>
      <c r="C871" s="27" t="n"/>
      <c r="D871" s="26" t="n"/>
      <c r="E871" s="27" t="n"/>
      <c r="F871" s="27" t="n"/>
    </row>
    <row r="872" ht="15.75" customHeight="1" s="12">
      <c r="A872" s="27" t="n"/>
      <c r="B872" s="27" t="n"/>
      <c r="C872" s="27" t="n"/>
      <c r="D872" s="26" t="n"/>
      <c r="E872" s="27" t="n"/>
      <c r="F872" s="27" t="n"/>
    </row>
    <row r="873" ht="15.75" customHeight="1" s="12">
      <c r="A873" s="27" t="n"/>
      <c r="B873" s="27" t="n"/>
      <c r="C873" s="27" t="n"/>
      <c r="D873" s="26" t="n"/>
      <c r="E873" s="27" t="n"/>
      <c r="F873" s="27" t="n"/>
    </row>
    <row r="874" ht="15.75" customHeight="1" s="12">
      <c r="A874" s="27" t="n"/>
      <c r="B874" s="27" t="n"/>
      <c r="C874" s="27" t="n"/>
      <c r="D874" s="26" t="n"/>
      <c r="E874" s="27" t="n"/>
      <c r="F874" s="27" t="n"/>
    </row>
    <row r="875" ht="15.75" customHeight="1" s="12">
      <c r="A875" s="27" t="n"/>
      <c r="B875" s="27" t="n"/>
      <c r="C875" s="27" t="n"/>
      <c r="D875" s="26" t="n"/>
      <c r="E875" s="27" t="n"/>
      <c r="F875" s="27" t="n"/>
    </row>
    <row r="876" ht="15.75" customHeight="1" s="12">
      <c r="A876" s="27" t="n"/>
      <c r="B876" s="27" t="n"/>
      <c r="C876" s="27" t="n"/>
      <c r="D876" s="26" t="n"/>
      <c r="E876" s="27" t="n"/>
      <c r="F876" s="27" t="n"/>
    </row>
    <row r="877" ht="15.75" customHeight="1" s="12">
      <c r="A877" s="27" t="n"/>
      <c r="B877" s="27" t="n"/>
      <c r="C877" s="27" t="n"/>
      <c r="D877" s="26" t="n"/>
      <c r="E877" s="27" t="n"/>
      <c r="F877" s="27" t="n"/>
    </row>
    <row r="878" ht="15.75" customHeight="1" s="12">
      <c r="A878" s="27" t="n"/>
      <c r="B878" s="27" t="n"/>
      <c r="C878" s="27" t="n"/>
      <c r="D878" s="26" t="n"/>
      <c r="E878" s="27" t="n"/>
      <c r="F878" s="27" t="n"/>
    </row>
    <row r="879" ht="15.75" customHeight="1" s="12">
      <c r="A879" s="27" t="n"/>
      <c r="B879" s="27" t="n"/>
      <c r="C879" s="27" t="n"/>
      <c r="D879" s="26" t="n"/>
      <c r="E879" s="27" t="n"/>
      <c r="F879" s="27" t="n"/>
    </row>
    <row r="880" ht="15.75" customHeight="1" s="12">
      <c r="A880" s="27" t="n"/>
      <c r="B880" s="27" t="n"/>
      <c r="C880" s="27" t="n"/>
      <c r="D880" s="26" t="n"/>
      <c r="E880" s="27" t="n"/>
      <c r="F880" s="27" t="n"/>
    </row>
    <row r="881" ht="15.75" customHeight="1" s="12">
      <c r="A881" s="27" t="n"/>
      <c r="B881" s="27" t="n"/>
      <c r="C881" s="27" t="n"/>
      <c r="D881" s="26" t="n"/>
      <c r="E881" s="27" t="n"/>
      <c r="F881" s="27" t="n"/>
    </row>
    <row r="882" ht="15.75" customHeight="1" s="12">
      <c r="A882" s="27" t="n"/>
      <c r="B882" s="27" t="n"/>
      <c r="C882" s="27" t="n"/>
      <c r="D882" s="26" t="n"/>
      <c r="E882" s="27" t="n"/>
      <c r="F882" s="27" t="n"/>
    </row>
    <row r="883" ht="15.75" customHeight="1" s="12">
      <c r="A883" s="27" t="n"/>
      <c r="B883" s="27" t="n"/>
      <c r="C883" s="27" t="n"/>
      <c r="D883" s="26" t="n"/>
      <c r="E883" s="27" t="n"/>
      <c r="F883" s="27" t="n"/>
    </row>
    <row r="884" ht="15.75" customHeight="1" s="12">
      <c r="A884" s="27" t="n"/>
      <c r="B884" s="27" t="n"/>
      <c r="C884" s="27" t="n"/>
      <c r="D884" s="26" t="n"/>
      <c r="E884" s="27" t="n"/>
      <c r="F884" s="27" t="n"/>
    </row>
    <row r="885" ht="15.75" customHeight="1" s="12">
      <c r="A885" s="27" t="n"/>
      <c r="B885" s="27" t="n"/>
      <c r="C885" s="27" t="n"/>
      <c r="D885" s="26" t="n"/>
      <c r="E885" s="27" t="n"/>
      <c r="F885" s="27" t="n"/>
    </row>
    <row r="886" ht="15.75" customHeight="1" s="12">
      <c r="A886" s="27" t="n"/>
      <c r="B886" s="27" t="n"/>
      <c r="C886" s="27" t="n"/>
      <c r="D886" s="26" t="n"/>
      <c r="E886" s="27" t="n"/>
      <c r="F886" s="27" t="n"/>
    </row>
    <row r="887" ht="15.75" customHeight="1" s="12">
      <c r="A887" s="27" t="n"/>
      <c r="B887" s="27" t="n"/>
      <c r="C887" s="27" t="n"/>
      <c r="D887" s="26" t="n"/>
      <c r="E887" s="27" t="n"/>
      <c r="F887" s="27" t="n"/>
    </row>
    <row r="888" ht="15.75" customHeight="1" s="12">
      <c r="A888" s="27" t="n"/>
      <c r="B888" s="27" t="n"/>
      <c r="C888" s="27" t="n"/>
      <c r="D888" s="26" t="n"/>
      <c r="E888" s="27" t="n"/>
      <c r="F888" s="27" t="n"/>
    </row>
    <row r="889" ht="15.75" customHeight="1" s="12">
      <c r="A889" s="27" t="n"/>
      <c r="B889" s="27" t="n"/>
      <c r="C889" s="27" t="n"/>
      <c r="D889" s="26" t="n"/>
      <c r="E889" s="27" t="n"/>
      <c r="F889" s="27" t="n"/>
    </row>
    <row r="890" ht="15.75" customHeight="1" s="12">
      <c r="A890" s="27" t="n"/>
      <c r="B890" s="27" t="n"/>
      <c r="C890" s="27" t="n"/>
      <c r="D890" s="26" t="n"/>
      <c r="E890" s="27" t="n"/>
      <c r="F890" s="27" t="n"/>
    </row>
    <row r="891" ht="15.75" customHeight="1" s="12">
      <c r="A891" s="27" t="n"/>
      <c r="B891" s="27" t="n"/>
      <c r="C891" s="27" t="n"/>
      <c r="D891" s="26" t="n"/>
      <c r="E891" s="27" t="n"/>
      <c r="F891" s="27" t="n"/>
    </row>
    <row r="892" ht="15.75" customHeight="1" s="12">
      <c r="A892" s="27" t="n"/>
      <c r="B892" s="27" t="n"/>
      <c r="C892" s="27" t="n"/>
      <c r="D892" s="26" t="n"/>
      <c r="E892" s="27" t="n"/>
      <c r="F892" s="27" t="n"/>
    </row>
    <row r="893" ht="15.75" customHeight="1" s="12">
      <c r="A893" s="27" t="n"/>
      <c r="B893" s="27" t="n"/>
      <c r="C893" s="27" t="n"/>
      <c r="D893" s="26" t="n"/>
      <c r="E893" s="27" t="n"/>
      <c r="F893" s="27" t="n"/>
    </row>
    <row r="894" ht="15.75" customHeight="1" s="12">
      <c r="A894" s="27" t="n"/>
      <c r="B894" s="27" t="n"/>
      <c r="C894" s="27" t="n"/>
      <c r="D894" s="26" t="n"/>
      <c r="E894" s="27" t="n"/>
      <c r="F894" s="27" t="n"/>
    </row>
    <row r="895" ht="15.75" customHeight="1" s="12">
      <c r="A895" s="27" t="n"/>
      <c r="B895" s="27" t="n"/>
      <c r="C895" s="27" t="n"/>
      <c r="D895" s="26" t="n"/>
      <c r="E895" s="27" t="n"/>
      <c r="F895" s="27" t="n"/>
    </row>
    <row r="896" ht="15.75" customHeight="1" s="12">
      <c r="A896" s="27" t="n"/>
      <c r="B896" s="27" t="n"/>
      <c r="C896" s="27" t="n"/>
      <c r="D896" s="26" t="n"/>
      <c r="E896" s="27" t="n"/>
      <c r="F896" s="27" t="n"/>
    </row>
    <row r="897" ht="15.75" customHeight="1" s="12">
      <c r="A897" s="27" t="n"/>
      <c r="B897" s="27" t="n"/>
      <c r="C897" s="27" t="n"/>
      <c r="D897" s="26" t="n"/>
      <c r="E897" s="27" t="n"/>
      <c r="F897" s="27" t="n"/>
    </row>
    <row r="898" ht="15.75" customHeight="1" s="12">
      <c r="A898" s="27" t="n"/>
      <c r="B898" s="27" t="n"/>
      <c r="C898" s="27" t="n"/>
      <c r="D898" s="26" t="n"/>
      <c r="E898" s="27" t="n"/>
      <c r="F898" s="27" t="n"/>
    </row>
    <row r="899" ht="15.75" customHeight="1" s="12">
      <c r="A899" s="27" t="n"/>
      <c r="B899" s="27" t="n"/>
      <c r="C899" s="27" t="n"/>
      <c r="D899" s="26" t="n"/>
      <c r="E899" s="27" t="n"/>
      <c r="F899" s="27" t="n"/>
    </row>
    <row r="900" ht="15.75" customHeight="1" s="12">
      <c r="A900" s="27" t="n"/>
      <c r="B900" s="27" t="n"/>
      <c r="C900" s="27" t="n"/>
      <c r="D900" s="26" t="n"/>
      <c r="E900" s="27" t="n"/>
      <c r="F900" s="27" t="n"/>
    </row>
    <row r="901" ht="15.75" customHeight="1" s="12">
      <c r="A901" s="27" t="n"/>
      <c r="B901" s="27" t="n"/>
      <c r="C901" s="27" t="n"/>
      <c r="D901" s="26" t="n"/>
      <c r="E901" s="27" t="n"/>
      <c r="F901" s="27" t="n"/>
    </row>
    <row r="902" ht="15.75" customHeight="1" s="12">
      <c r="A902" s="27" t="n"/>
      <c r="B902" s="27" t="n"/>
      <c r="C902" s="27" t="n"/>
      <c r="D902" s="26" t="n"/>
      <c r="E902" s="27" t="n"/>
      <c r="F902" s="27" t="n"/>
    </row>
    <row r="903" ht="15.75" customHeight="1" s="12">
      <c r="A903" s="27" t="n"/>
      <c r="B903" s="27" t="n"/>
      <c r="C903" s="27" t="n"/>
      <c r="D903" s="26" t="n"/>
      <c r="E903" s="27" t="n"/>
      <c r="F903" s="27" t="n"/>
    </row>
    <row r="904" ht="15.75" customHeight="1" s="12">
      <c r="A904" s="27" t="n"/>
      <c r="B904" s="27" t="n"/>
      <c r="C904" s="27" t="n"/>
      <c r="D904" s="26" t="n"/>
      <c r="E904" s="27" t="n"/>
      <c r="F904" s="27" t="n"/>
    </row>
    <row r="905" ht="15.75" customHeight="1" s="12">
      <c r="A905" s="27" t="n"/>
      <c r="B905" s="27" t="n"/>
      <c r="C905" s="27" t="n"/>
      <c r="D905" s="26" t="n"/>
      <c r="E905" s="27" t="n"/>
      <c r="F905" s="27" t="n"/>
    </row>
    <row r="906" ht="15.75" customHeight="1" s="12">
      <c r="A906" s="27" t="n"/>
      <c r="B906" s="27" t="n"/>
      <c r="C906" s="27" t="n"/>
      <c r="D906" s="26" t="n"/>
      <c r="E906" s="27" t="n"/>
      <c r="F906" s="27" t="n"/>
    </row>
    <row r="907" ht="15.75" customHeight="1" s="12">
      <c r="A907" s="27" t="n"/>
      <c r="B907" s="27" t="n"/>
      <c r="C907" s="27" t="n"/>
      <c r="D907" s="26" t="n"/>
      <c r="E907" s="27" t="n"/>
      <c r="F907" s="27" t="n"/>
    </row>
    <row r="908" ht="15.75" customHeight="1" s="12">
      <c r="A908" s="27" t="n"/>
      <c r="B908" s="27" t="n"/>
      <c r="C908" s="27" t="n"/>
      <c r="D908" s="26" t="n"/>
      <c r="E908" s="27" t="n"/>
      <c r="F908" s="27" t="n"/>
    </row>
    <row r="909" ht="15.75" customHeight="1" s="12">
      <c r="A909" s="27" t="n"/>
      <c r="B909" s="27" t="n"/>
      <c r="C909" s="27" t="n"/>
      <c r="D909" s="26" t="n"/>
      <c r="E909" s="27" t="n"/>
      <c r="F909" s="27" t="n"/>
    </row>
    <row r="910" ht="15.75" customHeight="1" s="12">
      <c r="A910" s="27" t="n"/>
      <c r="B910" s="27" t="n"/>
      <c r="C910" s="27" t="n"/>
      <c r="D910" s="26" t="n"/>
      <c r="E910" s="27" t="n"/>
      <c r="F910" s="27" t="n"/>
    </row>
    <row r="911" ht="15.75" customHeight="1" s="12">
      <c r="A911" s="27" t="n"/>
      <c r="B911" s="27" t="n"/>
      <c r="C911" s="27" t="n"/>
      <c r="D911" s="26" t="n"/>
      <c r="E911" s="27" t="n"/>
      <c r="F911" s="27" t="n"/>
    </row>
    <row r="912" ht="15.75" customHeight="1" s="12">
      <c r="A912" s="27" t="n"/>
      <c r="B912" s="27" t="n"/>
      <c r="C912" s="27" t="n"/>
      <c r="D912" s="26" t="n"/>
      <c r="E912" s="27" t="n"/>
      <c r="F912" s="27" t="n"/>
    </row>
    <row r="913" ht="15.75" customHeight="1" s="12">
      <c r="A913" s="27" t="n"/>
      <c r="B913" s="27" t="n"/>
      <c r="C913" s="27" t="n"/>
      <c r="D913" s="26" t="n"/>
      <c r="E913" s="27" t="n"/>
      <c r="F913" s="27" t="n"/>
    </row>
    <row r="914" ht="15.75" customHeight="1" s="12">
      <c r="A914" s="27" t="n"/>
      <c r="B914" s="27" t="n"/>
      <c r="C914" s="27" t="n"/>
      <c r="D914" s="26" t="n"/>
      <c r="E914" s="27" t="n"/>
      <c r="F914" s="27" t="n"/>
    </row>
    <row r="915" ht="15.75" customHeight="1" s="12">
      <c r="A915" s="27" t="n"/>
      <c r="B915" s="27" t="n"/>
      <c r="C915" s="27" t="n"/>
      <c r="D915" s="26" t="n"/>
      <c r="E915" s="27" t="n"/>
      <c r="F915" s="27" t="n"/>
    </row>
    <row r="916" ht="15.75" customHeight="1" s="12">
      <c r="A916" s="27" t="n"/>
      <c r="B916" s="27" t="n"/>
      <c r="C916" s="27" t="n"/>
      <c r="D916" s="26" t="n"/>
      <c r="E916" s="27" t="n"/>
      <c r="F916" s="27" t="n"/>
    </row>
    <row r="917" ht="15.75" customHeight="1" s="12">
      <c r="A917" s="27" t="n"/>
      <c r="B917" s="27" t="n"/>
      <c r="C917" s="27" t="n"/>
      <c r="D917" s="26" t="n"/>
      <c r="E917" s="27" t="n"/>
      <c r="F917" s="27" t="n"/>
    </row>
    <row r="918" ht="15.75" customHeight="1" s="12">
      <c r="A918" s="27" t="n"/>
      <c r="B918" s="27" t="n"/>
      <c r="C918" s="27" t="n"/>
      <c r="D918" s="26" t="n"/>
      <c r="E918" s="27" t="n"/>
      <c r="F918" s="27" t="n"/>
    </row>
    <row r="919" ht="15.75" customHeight="1" s="12">
      <c r="A919" s="27" t="n"/>
      <c r="B919" s="27" t="n"/>
      <c r="C919" s="27" t="n"/>
      <c r="D919" s="26" t="n"/>
      <c r="E919" s="27" t="n"/>
      <c r="F919" s="27" t="n"/>
    </row>
    <row r="920" ht="15.75" customHeight="1" s="12">
      <c r="A920" s="27" t="n"/>
      <c r="B920" s="27" t="n"/>
      <c r="C920" s="27" t="n"/>
      <c r="D920" s="26" t="n"/>
      <c r="E920" s="27" t="n"/>
      <c r="F920" s="27" t="n"/>
    </row>
    <row r="921" ht="15.75" customHeight="1" s="12">
      <c r="A921" s="27" t="n"/>
      <c r="B921" s="27" t="n"/>
      <c r="C921" s="27" t="n"/>
      <c r="D921" s="26" t="n"/>
      <c r="E921" s="27" t="n"/>
      <c r="F921" s="27" t="n"/>
    </row>
    <row r="922" ht="15.75" customHeight="1" s="12">
      <c r="A922" s="27" t="n"/>
      <c r="B922" s="27" t="n"/>
      <c r="C922" s="27" t="n"/>
      <c r="D922" s="26" t="n"/>
      <c r="E922" s="27" t="n"/>
      <c r="F922" s="27" t="n"/>
    </row>
    <row r="923" ht="15.75" customHeight="1" s="12">
      <c r="A923" s="27" t="n"/>
      <c r="B923" s="27" t="n"/>
      <c r="C923" s="27" t="n"/>
      <c r="D923" s="26" t="n"/>
      <c r="E923" s="27" t="n"/>
      <c r="F923" s="27" t="n"/>
    </row>
    <row r="924" ht="15.75" customHeight="1" s="12">
      <c r="A924" s="27" t="n"/>
      <c r="B924" s="27" t="n"/>
      <c r="C924" s="27" t="n"/>
      <c r="D924" s="26" t="n"/>
      <c r="E924" s="27" t="n"/>
      <c r="F924" s="27" t="n"/>
    </row>
    <row r="925" ht="15.75" customHeight="1" s="12">
      <c r="A925" s="27" t="n"/>
      <c r="B925" s="27" t="n"/>
      <c r="C925" s="27" t="n"/>
      <c r="D925" s="26" t="n"/>
      <c r="E925" s="27" t="n"/>
      <c r="F925" s="27" t="n"/>
    </row>
    <row r="926" ht="15.75" customHeight="1" s="12">
      <c r="A926" s="27" t="n"/>
      <c r="B926" s="27" t="n"/>
      <c r="C926" s="27" t="n"/>
      <c r="D926" s="26" t="n"/>
      <c r="E926" s="27" t="n"/>
      <c r="F926" s="27" t="n"/>
    </row>
    <row r="927" ht="15.75" customHeight="1" s="12">
      <c r="A927" s="27" t="n"/>
      <c r="B927" s="27" t="n"/>
      <c r="C927" s="27" t="n"/>
      <c r="D927" s="26" t="n"/>
      <c r="E927" s="27" t="n"/>
      <c r="F927" s="27" t="n"/>
    </row>
    <row r="928" ht="15.75" customHeight="1" s="12">
      <c r="A928" s="27" t="n"/>
      <c r="B928" s="27" t="n"/>
      <c r="C928" s="27" t="n"/>
      <c r="D928" s="26" t="n"/>
      <c r="E928" s="27" t="n"/>
      <c r="F928" s="27" t="n"/>
    </row>
    <row r="929" ht="15.75" customHeight="1" s="12">
      <c r="A929" s="27" t="n"/>
      <c r="B929" s="27" t="n"/>
      <c r="C929" s="27" t="n"/>
      <c r="D929" s="26" t="n"/>
      <c r="E929" s="27" t="n"/>
      <c r="F929" s="27" t="n"/>
    </row>
    <row r="930" ht="15.75" customHeight="1" s="12">
      <c r="A930" s="27" t="n"/>
      <c r="B930" s="27" t="n"/>
      <c r="C930" s="27" t="n"/>
      <c r="D930" s="26" t="n"/>
      <c r="E930" s="27" t="n"/>
      <c r="F930" s="27" t="n"/>
    </row>
    <row r="931" ht="15.75" customHeight="1" s="12">
      <c r="A931" s="27" t="n"/>
      <c r="B931" s="27" t="n"/>
      <c r="C931" s="27" t="n"/>
      <c r="D931" s="26" t="n"/>
      <c r="E931" s="27" t="n"/>
      <c r="F931" s="27" t="n"/>
    </row>
    <row r="932" ht="15.75" customHeight="1" s="12">
      <c r="A932" s="27" t="n"/>
      <c r="B932" s="27" t="n"/>
      <c r="C932" s="27" t="n"/>
      <c r="D932" s="26" t="n"/>
      <c r="E932" s="27" t="n"/>
      <c r="F932" s="27" t="n"/>
    </row>
    <row r="933" ht="15.75" customHeight="1" s="12">
      <c r="A933" s="27" t="n"/>
      <c r="B933" s="27" t="n"/>
      <c r="C933" s="27" t="n"/>
      <c r="D933" s="26" t="n"/>
      <c r="E933" s="27" t="n"/>
      <c r="F933" s="27" t="n"/>
    </row>
    <row r="934" ht="15.75" customHeight="1" s="12">
      <c r="A934" s="27" t="n"/>
      <c r="B934" s="27" t="n"/>
      <c r="C934" s="27" t="n"/>
      <c r="D934" s="26" t="n"/>
      <c r="E934" s="27" t="n"/>
      <c r="F934" s="27" t="n"/>
    </row>
    <row r="935" ht="15.75" customHeight="1" s="12">
      <c r="A935" s="27" t="n"/>
      <c r="B935" s="27" t="n"/>
      <c r="C935" s="27" t="n"/>
      <c r="D935" s="26" t="n"/>
      <c r="E935" s="27" t="n"/>
      <c r="F935" s="27" t="n"/>
    </row>
    <row r="936" ht="15.75" customHeight="1" s="12">
      <c r="A936" s="27" t="n"/>
      <c r="B936" s="27" t="n"/>
      <c r="C936" s="27" t="n"/>
      <c r="D936" s="26" t="n"/>
      <c r="E936" s="27" t="n"/>
      <c r="F936" s="27" t="n"/>
    </row>
    <row r="937" ht="15.75" customHeight="1" s="12">
      <c r="A937" s="27" t="n"/>
      <c r="B937" s="27" t="n"/>
      <c r="C937" s="27" t="n"/>
      <c r="D937" s="26" t="n"/>
      <c r="E937" s="27" t="n"/>
      <c r="F937" s="27" t="n"/>
    </row>
    <row r="938" ht="15.75" customHeight="1" s="12">
      <c r="A938" s="27" t="n"/>
      <c r="B938" s="27" t="n"/>
      <c r="C938" s="27" t="n"/>
      <c r="D938" s="26" t="n"/>
      <c r="E938" s="27" t="n"/>
      <c r="F938" s="27" t="n"/>
    </row>
    <row r="939" ht="15.75" customHeight="1" s="12">
      <c r="A939" s="27" t="n"/>
      <c r="B939" s="27" t="n"/>
      <c r="C939" s="27" t="n"/>
      <c r="D939" s="26" t="n"/>
      <c r="E939" s="27" t="n"/>
      <c r="F939" s="27" t="n"/>
    </row>
    <row r="940" ht="15.75" customHeight="1" s="12">
      <c r="A940" s="27" t="n"/>
      <c r="B940" s="27" t="n"/>
      <c r="C940" s="27" t="n"/>
      <c r="D940" s="26" t="n"/>
      <c r="E940" s="27" t="n"/>
      <c r="F940" s="27" t="n"/>
    </row>
    <row r="941" ht="15.75" customHeight="1" s="12">
      <c r="A941" s="27" t="n"/>
      <c r="B941" s="27" t="n"/>
      <c r="C941" s="27" t="n"/>
      <c r="D941" s="26" t="n"/>
      <c r="E941" s="27" t="n"/>
      <c r="F941" s="27" t="n"/>
    </row>
    <row r="942" ht="15.75" customHeight="1" s="12">
      <c r="A942" s="27" t="n"/>
      <c r="B942" s="27" t="n"/>
      <c r="C942" s="27" t="n"/>
      <c r="D942" s="26" t="n"/>
      <c r="E942" s="27" t="n"/>
      <c r="F942" s="27" t="n"/>
    </row>
    <row r="943" ht="15.75" customHeight="1" s="12">
      <c r="A943" s="27" t="n"/>
      <c r="B943" s="27" t="n"/>
      <c r="C943" s="27" t="n"/>
      <c r="D943" s="26" t="n"/>
      <c r="E943" s="27" t="n"/>
      <c r="F943" s="27" t="n"/>
    </row>
    <row r="944" ht="15.75" customHeight="1" s="12">
      <c r="A944" s="27" t="n"/>
      <c r="B944" s="27" t="n"/>
      <c r="C944" s="27" t="n"/>
      <c r="D944" s="26" t="n"/>
      <c r="E944" s="27" t="n"/>
      <c r="F944" s="27" t="n"/>
    </row>
    <row r="945" ht="15.75" customHeight="1" s="12">
      <c r="A945" s="27" t="n"/>
      <c r="B945" s="27" t="n"/>
      <c r="C945" s="27" t="n"/>
      <c r="D945" s="26" t="n"/>
      <c r="E945" s="27" t="n"/>
      <c r="F945" s="27" t="n"/>
    </row>
    <row r="946" ht="15.75" customHeight="1" s="12">
      <c r="A946" s="27" t="n"/>
      <c r="B946" s="27" t="n"/>
      <c r="C946" s="27" t="n"/>
      <c r="D946" s="26" t="n"/>
      <c r="E946" s="27" t="n"/>
      <c r="F946" s="27" t="n"/>
    </row>
    <row r="947" ht="15.75" customHeight="1" s="12">
      <c r="A947" s="27" t="n"/>
      <c r="B947" s="27" t="n"/>
      <c r="C947" s="27" t="n"/>
      <c r="D947" s="26" t="n"/>
      <c r="E947" s="27" t="n"/>
      <c r="F947" s="27" t="n"/>
    </row>
    <row r="948" ht="15.75" customHeight="1" s="12">
      <c r="A948" s="27" t="n"/>
      <c r="B948" s="27" t="n"/>
      <c r="C948" s="27" t="n"/>
      <c r="D948" s="26" t="n"/>
      <c r="E948" s="27" t="n"/>
      <c r="F948" s="27" t="n"/>
    </row>
    <row r="949" ht="15.75" customHeight="1" s="12">
      <c r="A949" s="27" t="n"/>
      <c r="B949" s="27" t="n"/>
      <c r="C949" s="27" t="n"/>
      <c r="D949" s="26" t="n"/>
      <c r="E949" s="27" t="n"/>
      <c r="F949" s="27" t="n"/>
    </row>
    <row r="950" ht="15.75" customHeight="1" s="12">
      <c r="A950" s="27" t="n"/>
      <c r="B950" s="27" t="n"/>
      <c r="C950" s="27" t="n"/>
      <c r="D950" s="26" t="n"/>
      <c r="E950" s="27" t="n"/>
      <c r="F950" s="27" t="n"/>
    </row>
    <row r="951" ht="15.75" customHeight="1" s="12">
      <c r="A951" s="27" t="n"/>
      <c r="B951" s="27" t="n"/>
      <c r="C951" s="27" t="n"/>
      <c r="D951" s="26" t="n"/>
      <c r="E951" s="27" t="n"/>
      <c r="F951" s="27" t="n"/>
    </row>
    <row r="952" ht="15.75" customHeight="1" s="12">
      <c r="A952" s="27" t="n"/>
      <c r="B952" s="27" t="n"/>
      <c r="C952" s="27" t="n"/>
      <c r="D952" s="26" t="n"/>
      <c r="E952" s="27" t="n"/>
      <c r="F952" s="27" t="n"/>
    </row>
    <row r="953" ht="15.75" customHeight="1" s="12">
      <c r="A953" s="27" t="n"/>
      <c r="B953" s="27" t="n"/>
      <c r="C953" s="27" t="n"/>
      <c r="D953" s="26" t="n"/>
      <c r="E953" s="27" t="n"/>
      <c r="F953" s="27" t="n"/>
    </row>
    <row r="954" ht="15.75" customHeight="1" s="12">
      <c r="A954" s="27" t="n"/>
      <c r="B954" s="27" t="n"/>
      <c r="C954" s="27" t="n"/>
      <c r="D954" s="26" t="n"/>
      <c r="E954" s="27" t="n"/>
      <c r="F954" s="27" t="n"/>
    </row>
    <row r="955" ht="15.75" customHeight="1" s="12">
      <c r="A955" s="27" t="n"/>
      <c r="B955" s="27" t="n"/>
      <c r="C955" s="27" t="n"/>
      <c r="D955" s="26" t="n"/>
      <c r="E955" s="27" t="n"/>
      <c r="F955" s="27" t="n"/>
    </row>
    <row r="956" ht="15.75" customHeight="1" s="12">
      <c r="A956" s="27" t="n"/>
      <c r="B956" s="27" t="n"/>
      <c r="C956" s="27" t="n"/>
      <c r="D956" s="26" t="n"/>
      <c r="E956" s="27" t="n"/>
      <c r="F956" s="27" t="n"/>
    </row>
    <row r="957" ht="15.75" customHeight="1" s="12">
      <c r="A957" s="27" t="n"/>
      <c r="B957" s="27" t="n"/>
      <c r="C957" s="27" t="n"/>
      <c r="D957" s="26" t="n"/>
      <c r="E957" s="27" t="n"/>
      <c r="F957" s="27" t="n"/>
    </row>
    <row r="958" ht="15.75" customHeight="1" s="12">
      <c r="A958" s="27" t="n"/>
      <c r="B958" s="27" t="n"/>
      <c r="C958" s="27" t="n"/>
      <c r="D958" s="26" t="n"/>
      <c r="E958" s="27" t="n"/>
      <c r="F958" s="27" t="n"/>
    </row>
    <row r="959" ht="15.75" customHeight="1" s="12">
      <c r="A959" s="27" t="n"/>
      <c r="B959" s="27" t="n"/>
      <c r="C959" s="27" t="n"/>
      <c r="D959" s="26" t="n"/>
      <c r="E959" s="27" t="n"/>
      <c r="F959" s="27" t="n"/>
    </row>
    <row r="960" ht="15.75" customHeight="1" s="12">
      <c r="A960" s="27" t="n"/>
      <c r="B960" s="27" t="n"/>
      <c r="C960" s="27" t="n"/>
      <c r="D960" s="26" t="n"/>
      <c r="E960" s="27" t="n"/>
      <c r="F960" s="27" t="n"/>
    </row>
    <row r="961" ht="15.75" customHeight="1" s="12">
      <c r="A961" s="27" t="n"/>
      <c r="B961" s="27" t="n"/>
      <c r="C961" s="27" t="n"/>
      <c r="D961" s="26" t="n"/>
      <c r="E961" s="27" t="n"/>
      <c r="F961" s="27" t="n"/>
    </row>
    <row r="962" ht="15.75" customHeight="1" s="12">
      <c r="A962" s="27" t="n"/>
      <c r="B962" s="27" t="n"/>
      <c r="C962" s="27" t="n"/>
      <c r="D962" s="26" t="n"/>
      <c r="E962" s="27" t="n"/>
      <c r="F962" s="27" t="n"/>
    </row>
    <row r="963" ht="15.75" customHeight="1" s="12">
      <c r="A963" s="27" t="n"/>
      <c r="B963" s="27" t="n"/>
      <c r="C963" s="27" t="n"/>
      <c r="D963" s="26" t="n"/>
      <c r="E963" s="27" t="n"/>
      <c r="F963" s="27" t="n"/>
    </row>
    <row r="964" ht="15.75" customHeight="1" s="12">
      <c r="A964" s="27" t="n"/>
      <c r="B964" s="27" t="n"/>
      <c r="C964" s="27" t="n"/>
      <c r="D964" s="26" t="n"/>
      <c r="E964" s="27" t="n"/>
      <c r="F964" s="27" t="n"/>
    </row>
    <row r="965" ht="15.75" customHeight="1" s="12">
      <c r="A965" s="27" t="n"/>
      <c r="B965" s="27" t="n"/>
      <c r="C965" s="27" t="n"/>
      <c r="D965" s="26" t="n"/>
      <c r="E965" s="27" t="n"/>
      <c r="F965" s="27" t="n"/>
    </row>
    <row r="966" ht="15.75" customHeight="1" s="12">
      <c r="A966" s="27" t="n"/>
      <c r="B966" s="27" t="n"/>
      <c r="C966" s="27" t="n"/>
      <c r="D966" s="26" t="n"/>
      <c r="E966" s="27" t="n"/>
      <c r="F966" s="27" t="n"/>
    </row>
    <row r="967" ht="15.75" customHeight="1" s="12">
      <c r="A967" s="27" t="n"/>
      <c r="B967" s="27" t="n"/>
      <c r="C967" s="27" t="n"/>
      <c r="D967" s="26" t="n"/>
      <c r="E967" s="27" t="n"/>
      <c r="F967" s="27" t="n"/>
    </row>
    <row r="968" ht="15.75" customHeight="1" s="12">
      <c r="A968" s="27" t="n"/>
      <c r="B968" s="27" t="n"/>
      <c r="C968" s="27" t="n"/>
      <c r="D968" s="26" t="n"/>
      <c r="E968" s="27" t="n"/>
      <c r="F968" s="27" t="n"/>
    </row>
    <row r="969" ht="15.75" customHeight="1" s="12">
      <c r="A969" s="27" t="n"/>
      <c r="B969" s="27" t="n"/>
      <c r="C969" s="27" t="n"/>
      <c r="D969" s="26" t="n"/>
      <c r="E969" s="27" t="n"/>
      <c r="F969" s="27" t="n"/>
    </row>
    <row r="970" ht="15.75" customHeight="1" s="12">
      <c r="A970" s="27" t="n"/>
      <c r="B970" s="27" t="n"/>
      <c r="C970" s="27" t="n"/>
      <c r="D970" s="26" t="n"/>
      <c r="E970" s="27" t="n"/>
      <c r="F970" s="27" t="n"/>
    </row>
    <row r="971" ht="15.75" customHeight="1" s="12">
      <c r="A971" s="27" t="n"/>
      <c r="B971" s="27" t="n"/>
      <c r="C971" s="27" t="n"/>
      <c r="D971" s="26" t="n"/>
      <c r="E971" s="27" t="n"/>
      <c r="F971" s="27" t="n"/>
    </row>
    <row r="972" ht="15.75" customHeight="1" s="12">
      <c r="A972" s="27" t="n"/>
      <c r="B972" s="27" t="n"/>
      <c r="C972" s="27" t="n"/>
      <c r="D972" s="26" t="n"/>
      <c r="E972" s="27" t="n"/>
      <c r="F972" s="27" t="n"/>
    </row>
    <row r="973" ht="15.75" customHeight="1" s="12">
      <c r="A973" s="27" t="n"/>
      <c r="B973" s="27" t="n"/>
      <c r="C973" s="27" t="n"/>
      <c r="D973" s="26" t="n"/>
      <c r="E973" s="27" t="n"/>
      <c r="F973" s="27" t="n"/>
    </row>
    <row r="974" ht="15.75" customHeight="1" s="12">
      <c r="A974" s="27" t="n"/>
      <c r="B974" s="27" t="n"/>
      <c r="C974" s="27" t="n"/>
      <c r="D974" s="26" t="n"/>
      <c r="E974" s="27" t="n"/>
      <c r="F974" s="27" t="n"/>
    </row>
    <row r="975" ht="15.75" customHeight="1" s="12">
      <c r="A975" s="27" t="n"/>
      <c r="B975" s="27" t="n"/>
      <c r="C975" s="27" t="n"/>
      <c r="D975" s="26" t="n"/>
      <c r="E975" s="27" t="n"/>
      <c r="F975" s="27" t="n"/>
    </row>
    <row r="976" ht="15.75" customHeight="1" s="12">
      <c r="A976" s="27" t="n"/>
      <c r="B976" s="27" t="n"/>
      <c r="C976" s="27" t="n"/>
      <c r="D976" s="26" t="n"/>
      <c r="E976" s="27" t="n"/>
      <c r="F976" s="27" t="n"/>
    </row>
    <row r="977" ht="15.75" customHeight="1" s="12">
      <c r="A977" s="27" t="n"/>
      <c r="B977" s="27" t="n"/>
      <c r="C977" s="27" t="n"/>
      <c r="D977" s="26" t="n"/>
      <c r="E977" s="27" t="n"/>
      <c r="F977" s="27" t="n"/>
    </row>
    <row r="978" ht="15.75" customHeight="1" s="12">
      <c r="A978" s="27" t="n"/>
      <c r="B978" s="27" t="n"/>
      <c r="C978" s="27" t="n"/>
      <c r="D978" s="26" t="n"/>
      <c r="E978" s="27" t="n"/>
      <c r="F978" s="27" t="n"/>
    </row>
  </sheetData>
  <pageMargins left="0.7" right="0.7" top="0.75" bottom="0.75" header="0" footer="0"/>
  <pageSetup orientation="portrait" scale="59" fitToHeight="0"/>
</worksheet>
</file>

<file path=xl/worksheets/sheet3.xml><?xml version="1.0" encoding="utf-8"?>
<worksheet xmlns="http://schemas.openxmlformats.org/spreadsheetml/2006/main">
  <sheetPr>
    <tabColor theme="5" tint="-0.249977111117893"/>
    <outlinePr summaryBelow="1" summaryRight="1"/>
    <pageSetUpPr fitToPage="1"/>
  </sheetPr>
  <dimension ref="A1:P388"/>
  <sheetViews>
    <sheetView view="pageBreakPreview" zoomScale="78" zoomScaleNormal="100" workbookViewId="0">
      <selection activeCell="B5" sqref="B5"/>
    </sheetView>
  </sheetViews>
  <sheetFormatPr baseColWidth="8" defaultColWidth="8.88671875" defaultRowHeight="18"/>
  <cols>
    <col width="8.88671875" customWidth="1" style="65" min="1" max="1"/>
    <col width="76.44140625" customWidth="1" style="66" min="2" max="2"/>
    <col width="12.6640625" customWidth="1" style="66" min="3" max="4"/>
    <col width="13.44140625" customWidth="1" style="66" min="5" max="5"/>
    <col width="24.109375" customWidth="1" style="521" min="6" max="6"/>
    <col width="22.109375" customWidth="1" style="68" min="7" max="7"/>
    <col width="10.109375" customWidth="1" style="68" min="8" max="8"/>
    <col width="12.88671875" customWidth="1" style="68" min="9" max="9"/>
    <col width="8.88671875" customWidth="1" style="68" min="10" max="10"/>
    <col width="8.6640625" customWidth="1" style="68" min="11" max="11"/>
    <col width="8.88671875" customWidth="1" style="68" min="12" max="16"/>
    <col width="8.88671875" customWidth="1" style="68" min="17" max="16384"/>
  </cols>
  <sheetData>
    <row r="1" customFormat="1" s="59">
      <c r="A1" s="56" t="n"/>
      <c r="B1" s="57" t="n"/>
      <c r="C1" s="57" t="n"/>
      <c r="D1" s="57" t="n"/>
      <c r="E1" s="57" t="n"/>
      <c r="F1" s="522" t="n"/>
      <c r="G1" s="58" t="n"/>
      <c r="H1" s="58" t="n"/>
    </row>
    <row r="2" customFormat="1" s="63">
      <c r="A2" s="60" t="str">
        <f>'GEN SUMMARY'!A1</f>
        <v>PROJECT: BLOCK N REDEVELOPMENT</v>
      </c>
      <c r="B2" s="61" t="n"/>
      <c r="C2" s="61" t="n"/>
      <c r="D2" s="61" t="n"/>
      <c r="E2" s="61" t="n"/>
      <c r="F2" s="522" t="n"/>
      <c r="G2" s="62" t="n"/>
      <c r="H2" s="62" t="n"/>
    </row>
    <row r="3" customFormat="1" s="64">
      <c r="A3" s="60" t="str">
        <f>'GEN SUMMARY'!A2</f>
        <v>LOCATION: KANESHIE</v>
      </c>
      <c r="B3" s="61" t="n"/>
      <c r="C3" s="61" t="n"/>
      <c r="D3" s="61" t="n"/>
      <c r="E3" s="61" t="n"/>
      <c r="F3" s="522" t="n"/>
      <c r="G3" s="62" t="n"/>
      <c r="H3" s="62" t="n"/>
    </row>
    <row r="4" customFormat="1" s="64">
      <c r="A4" s="60" t="str">
        <f>'GEN SUMMARY'!A3</f>
        <v>CLIENT: STATE HOUSING LIMITED</v>
      </c>
      <c r="B4" s="61" t="n"/>
      <c r="C4" s="61" t="n"/>
      <c r="D4" s="61" t="n"/>
      <c r="E4" s="61" t="n"/>
      <c r="F4" s="522" t="n"/>
      <c r="G4" s="62" t="n"/>
      <c r="H4" s="62" t="n"/>
    </row>
    <row r="5" customFormat="1" s="64">
      <c r="A5" s="60" t="str">
        <f>'GEN SUMMARY'!A4</f>
        <v>DATE:9/30/2026</v>
      </c>
      <c r="B5" s="61" t="n"/>
      <c r="C5" s="61" t="n"/>
      <c r="D5" s="61" t="n"/>
      <c r="E5" s="61" t="n"/>
      <c r="F5" s="522" t="n"/>
      <c r="G5" s="62" t="n"/>
      <c r="H5" s="62" t="n"/>
    </row>
    <row r="6">
      <c r="F6" s="522" t="n"/>
      <c r="G6" s="67" t="n"/>
      <c r="H6" s="67" t="n"/>
    </row>
    <row r="7" ht="18.6" customHeight="1" s="12" thickBot="1">
      <c r="B7" s="69" t="inlineStr">
        <is>
          <t>BILL NO.1- PRELIMINARIES BILL AND GENERAL CONDITIONS</t>
        </is>
      </c>
      <c r="C7" s="69" t="n"/>
      <c r="D7" s="69" t="n"/>
      <c r="E7" s="69" t="n"/>
      <c r="F7" s="523" t="n"/>
      <c r="G7" s="70" t="n"/>
      <c r="H7" s="70" t="n"/>
      <c r="I7" s="71" t="n"/>
      <c r="J7" s="71" t="n"/>
      <c r="K7" s="71" t="n"/>
      <c r="L7" s="71" t="n"/>
      <c r="M7" s="71" t="n"/>
      <c r="N7" s="71" t="n"/>
      <c r="O7" s="71" t="n"/>
      <c r="P7" s="71" t="n"/>
    </row>
    <row r="8" ht="31.2" customFormat="1" customHeight="1" s="76" thickBot="1">
      <c r="A8" s="72" t="inlineStr">
        <is>
          <t>ITEM</t>
        </is>
      </c>
      <c r="B8" s="73" t="inlineStr">
        <is>
          <t>DESCRIPTION</t>
        </is>
      </c>
      <c r="C8" s="73" t="inlineStr">
        <is>
          <t>QTY</t>
        </is>
      </c>
      <c r="D8" s="73" t="inlineStr">
        <is>
          <t>UNIT</t>
        </is>
      </c>
      <c r="E8" s="74" t="inlineStr">
        <is>
          <t xml:space="preserve"> RATE</t>
        </is>
      </c>
      <c r="F8" s="524" t="inlineStr">
        <is>
          <t>AMOUNT GHS</t>
        </is>
      </c>
      <c r="G8" s="75" t="n"/>
      <c r="H8" s="75" t="n"/>
      <c r="I8" s="75" t="n"/>
      <c r="J8" s="75" t="n"/>
      <c r="K8" s="75" t="n"/>
      <c r="L8" s="75" t="n"/>
      <c r="M8" s="75" t="n"/>
      <c r="N8" s="75" t="n"/>
      <c r="O8" s="75" t="n"/>
      <c r="P8" s="75" t="n"/>
    </row>
    <row r="9" ht="21" customFormat="1" customHeight="1" s="76">
      <c r="A9" s="77" t="n"/>
      <c r="B9" s="78" t="n"/>
      <c r="C9" s="78" t="n"/>
      <c r="D9" s="78" t="n"/>
      <c r="E9" s="78" t="n"/>
      <c r="F9" s="525" t="n"/>
      <c r="G9" s="75" t="n"/>
      <c r="H9" s="75" t="n"/>
      <c r="I9" s="75" t="n"/>
      <c r="J9" s="75" t="n"/>
      <c r="K9" s="75" t="n"/>
      <c r="L9" s="75" t="n"/>
      <c r="M9" s="75" t="n"/>
      <c r="N9" s="75" t="n"/>
      <c r="O9" s="75" t="n"/>
      <c r="P9" s="75" t="n"/>
    </row>
    <row r="10" ht="21" customFormat="1" customHeight="1" s="76">
      <c r="A10" s="77" t="n"/>
      <c r="B10" s="79" t="inlineStr">
        <is>
          <t xml:space="preserve">SUMMARY </t>
        </is>
      </c>
      <c r="C10" s="78" t="n"/>
      <c r="D10" s="78" t="n"/>
      <c r="E10" s="78" t="n"/>
      <c r="F10" s="525" t="n"/>
      <c r="G10" s="75" t="n"/>
      <c r="H10" s="75" t="n"/>
      <c r="I10" s="75" t="n"/>
      <c r="J10" s="75" t="n"/>
      <c r="K10" s="75" t="n"/>
      <c r="L10" s="75" t="n"/>
      <c r="M10" s="75" t="n"/>
      <c r="N10" s="75" t="n"/>
      <c r="O10" s="75" t="n"/>
      <c r="P10" s="75" t="n"/>
    </row>
    <row r="11" ht="21" customFormat="1" customHeight="1" s="76">
      <c r="A11" s="77" t="n"/>
      <c r="B11" s="79" t="n"/>
      <c r="C11" s="78" t="n"/>
      <c r="D11" s="78" t="n"/>
      <c r="E11" s="78" t="n"/>
      <c r="F11" s="525" t="n"/>
      <c r="G11" s="75" t="n"/>
      <c r="H11" s="75" t="n"/>
      <c r="I11" s="75" t="n"/>
      <c r="J11" s="75" t="n"/>
      <c r="K11" s="75" t="n"/>
      <c r="L11" s="75" t="n"/>
      <c r="M11" s="75" t="n"/>
      <c r="N11" s="75" t="n"/>
      <c r="O11" s="75" t="n"/>
      <c r="P11" s="75" t="n"/>
    </row>
    <row r="12" ht="21" customHeight="1" s="12">
      <c r="A12" s="100" t="n"/>
      <c r="B12" s="81" t="inlineStr">
        <is>
          <t>COLLECTION</t>
        </is>
      </c>
      <c r="C12" s="82" t="n"/>
      <c r="D12" s="82" t="n"/>
      <c r="E12" s="82" t="n"/>
      <c r="F12" s="526" t="n"/>
      <c r="G12" s="83" t="n"/>
      <c r="H12" s="83" t="n"/>
      <c r="I12" s="83" t="n"/>
      <c r="J12" s="83" t="n"/>
      <c r="K12" s="83" t="n"/>
      <c r="L12" s="83" t="n"/>
      <c r="M12" s="83" t="n"/>
      <c r="N12" s="83" t="n"/>
      <c r="O12" s="83" t="n"/>
      <c r="P12" s="83" t="n"/>
    </row>
    <row r="13" ht="21" customHeight="1" s="12">
      <c r="A13" s="100" t="n"/>
      <c r="B13" s="81" t="inlineStr">
        <is>
          <t>Page 2</t>
        </is>
      </c>
      <c r="C13" s="82" t="n"/>
      <c r="D13" s="82" t="n"/>
      <c r="E13" s="82" t="n"/>
      <c r="F13" s="526">
        <f>F74</f>
        <v>0.0</v>
      </c>
      <c r="G13" s="83" t="n"/>
      <c r="H13" s="83" t="n"/>
      <c r="I13" s="83" t="n"/>
      <c r="J13" s="83" t="n"/>
      <c r="K13" s="83" t="n"/>
      <c r="L13" s="83" t="n"/>
      <c r="M13" s="83" t="n"/>
      <c r="N13" s="83" t="n"/>
      <c r="O13" s="83" t="n"/>
      <c r="P13" s="83" t="n"/>
    </row>
    <row r="14" ht="21" customHeight="1" s="12">
      <c r="A14" s="100" t="n"/>
      <c r="B14" s="81" t="n"/>
      <c r="C14" s="82" t="n"/>
      <c r="D14" s="82" t="n"/>
      <c r="E14" s="82" t="n"/>
      <c r="F14" s="526" t="n"/>
      <c r="G14" s="83" t="n"/>
      <c r="H14" s="83" t="n"/>
      <c r="I14" s="83" t="n"/>
      <c r="J14" s="83" t="n"/>
      <c r="K14" s="83" t="n"/>
      <c r="L14" s="83" t="n"/>
      <c r="M14" s="83" t="n"/>
      <c r="N14" s="83" t="n"/>
      <c r="O14" s="83" t="n"/>
      <c r="P14" s="83" t="n"/>
    </row>
    <row r="15" ht="21" customHeight="1" s="12">
      <c r="A15" s="100" t="n"/>
      <c r="B15" s="81" t="inlineStr">
        <is>
          <t>Page 3</t>
        </is>
      </c>
      <c r="C15" s="82" t="n"/>
      <c r="D15" s="82" t="n"/>
      <c r="E15" s="82" t="n"/>
      <c r="F15" s="526">
        <f>F106</f>
        <v>0.0</v>
      </c>
      <c r="G15" s="83" t="n"/>
      <c r="H15" s="83" t="n"/>
      <c r="I15" s="83" t="n"/>
      <c r="J15" s="83" t="n"/>
      <c r="K15" s="83" t="n"/>
      <c r="L15" s="83" t="n"/>
      <c r="M15" s="83" t="n"/>
      <c r="N15" s="83" t="n"/>
      <c r="O15" s="83" t="n"/>
      <c r="P15" s="83" t="n"/>
    </row>
    <row r="16" ht="21" customHeight="1" s="12">
      <c r="A16" s="100" t="n"/>
      <c r="B16" s="81" t="n"/>
      <c r="C16" s="82" t="n"/>
      <c r="D16" s="82" t="n"/>
      <c r="E16" s="82" t="n"/>
      <c r="F16" s="526" t="n"/>
      <c r="G16" s="83" t="n"/>
      <c r="H16" s="83" t="n"/>
      <c r="I16" s="83" t="n"/>
      <c r="J16" s="83" t="n"/>
      <c r="K16" s="83" t="n"/>
      <c r="L16" s="83" t="n"/>
      <c r="M16" s="83" t="n"/>
      <c r="N16" s="83" t="n"/>
      <c r="O16" s="83" t="n"/>
      <c r="P16" s="83" t="n"/>
    </row>
    <row r="17" ht="21" customHeight="1" s="12">
      <c r="A17" s="100" t="n"/>
      <c r="B17" s="81" t="inlineStr">
        <is>
          <t>Page 4</t>
        </is>
      </c>
      <c r="C17" s="82" t="n"/>
      <c r="D17" s="82" t="n"/>
      <c r="E17" s="82" t="n"/>
      <c r="F17" s="526">
        <f>F137</f>
        <v>910000.0</v>
      </c>
      <c r="G17" s="83" t="n"/>
      <c r="H17" s="83" t="n"/>
      <c r="I17" s="83" t="n"/>
      <c r="J17" s="83" t="n"/>
      <c r="K17" s="83" t="n"/>
      <c r="L17" s="83" t="n"/>
      <c r="M17" s="83" t="n"/>
      <c r="N17" s="83" t="n"/>
      <c r="O17" s="83" t="n"/>
      <c r="P17" s="83" t="n"/>
    </row>
    <row r="18" ht="21" customHeight="1" s="12">
      <c r="A18" s="100" t="n"/>
      <c r="B18" s="81" t="n"/>
      <c r="C18" s="82" t="n"/>
      <c r="D18" s="82" t="n"/>
      <c r="E18" s="82" t="n"/>
      <c r="F18" s="526" t="n"/>
      <c r="G18" s="83" t="n"/>
      <c r="H18" s="83" t="n"/>
      <c r="I18" s="83" t="n"/>
      <c r="J18" s="83" t="n"/>
      <c r="K18" s="83" t="n"/>
      <c r="L18" s="83" t="n"/>
      <c r="M18" s="83" t="n"/>
      <c r="N18" s="83" t="n"/>
      <c r="O18" s="83" t="n"/>
      <c r="P18" s="83" t="n"/>
    </row>
    <row r="19" ht="21" customHeight="1" s="12">
      <c r="A19" s="100" t="n"/>
      <c r="B19" s="81" t="inlineStr">
        <is>
          <t>Page 5</t>
        </is>
      </c>
      <c r="C19" s="82" t="n"/>
      <c r="D19" s="82" t="n"/>
      <c r="E19" s="82" t="n"/>
      <c r="F19" s="526">
        <f>F163</f>
        <v>245000.0</v>
      </c>
      <c r="G19" s="83" t="n"/>
      <c r="H19" s="83" t="n"/>
      <c r="I19" s="83" t="n"/>
      <c r="J19" s="83" t="n"/>
      <c r="K19" s="83" t="n"/>
      <c r="L19" s="83" t="n"/>
      <c r="M19" s="83" t="n"/>
      <c r="N19" s="83" t="n"/>
      <c r="O19" s="83" t="n"/>
      <c r="P19" s="83" t="n"/>
    </row>
    <row r="20" ht="21" customHeight="1" s="12">
      <c r="A20" s="100" t="n"/>
      <c r="B20" s="81" t="n"/>
      <c r="C20" s="82" t="n"/>
      <c r="D20" s="82" t="n"/>
      <c r="E20" s="82" t="n"/>
      <c r="F20" s="526" t="n"/>
      <c r="G20" s="83" t="n"/>
      <c r="H20" s="83" t="n"/>
      <c r="I20" s="83" t="n"/>
      <c r="J20" s="83" t="n"/>
      <c r="K20" s="83" t="n"/>
      <c r="L20" s="83" t="n"/>
      <c r="M20" s="83" t="n"/>
      <c r="N20" s="83" t="n"/>
      <c r="O20" s="83" t="n"/>
      <c r="P20" s="83" t="n"/>
    </row>
    <row r="21" ht="21" customHeight="1" s="12">
      <c r="A21" s="100" t="n"/>
      <c r="B21" s="81" t="inlineStr">
        <is>
          <t>Page 6</t>
        </is>
      </c>
      <c r="C21" s="82" t="n"/>
      <c r="D21" s="82" t="n"/>
      <c r="E21" s="82" t="n"/>
      <c r="F21" s="526">
        <f>F186</f>
        <v>0.0</v>
      </c>
      <c r="G21" s="83" t="n"/>
      <c r="H21" s="83" t="n"/>
      <c r="I21" s="83" t="n"/>
      <c r="J21" s="83" t="n"/>
      <c r="K21" s="83" t="n"/>
      <c r="L21" s="83" t="n"/>
      <c r="M21" s="83" t="n"/>
      <c r="N21" s="83" t="n"/>
      <c r="O21" s="83" t="n"/>
      <c r="P21" s="83" t="n"/>
    </row>
    <row r="22" ht="21" customHeight="1" s="12">
      <c r="A22" s="100" t="n"/>
      <c r="B22" s="81" t="n"/>
      <c r="C22" s="82" t="n"/>
      <c r="D22" s="82" t="n"/>
      <c r="E22" s="82" t="n"/>
      <c r="F22" s="526" t="n"/>
      <c r="G22" s="83" t="n"/>
      <c r="H22" s="83" t="n"/>
      <c r="I22" s="83" t="n"/>
      <c r="J22" s="83" t="n"/>
      <c r="K22" s="83" t="n"/>
      <c r="L22" s="83" t="n"/>
      <c r="M22" s="83" t="n"/>
      <c r="N22" s="83" t="n"/>
      <c r="O22" s="83" t="n"/>
      <c r="P22" s="83" t="n"/>
    </row>
    <row r="23" ht="21" customHeight="1" s="12">
      <c r="A23" s="100" t="n"/>
      <c r="B23" s="81" t="inlineStr">
        <is>
          <t>Page 7</t>
        </is>
      </c>
      <c r="C23" s="82" t="n"/>
      <c r="D23" s="82" t="n"/>
      <c r="E23" s="82" t="n"/>
      <c r="F23" s="526">
        <f>F216</f>
        <v>3000000.0</v>
      </c>
      <c r="G23" s="83" t="n"/>
      <c r="H23" s="83" t="n"/>
      <c r="I23" s="83" t="n"/>
      <c r="J23" s="83" t="n"/>
      <c r="K23" s="83" t="n"/>
      <c r="L23" s="83" t="n"/>
      <c r="M23" s="83" t="n"/>
      <c r="N23" s="83" t="n"/>
      <c r="O23" s="83" t="n"/>
      <c r="P23" s="83" t="n"/>
    </row>
    <row r="24" ht="21" customHeight="1" s="12">
      <c r="A24" s="100" t="n"/>
      <c r="B24" s="81" t="n"/>
      <c r="C24" s="82" t="n"/>
      <c r="D24" s="82" t="n"/>
      <c r="E24" s="82" t="n"/>
      <c r="F24" s="526" t="n"/>
      <c r="G24" s="83" t="n"/>
      <c r="H24" s="83" t="n"/>
      <c r="I24" s="83" t="n"/>
      <c r="J24" s="83" t="n"/>
      <c r="K24" s="83" t="n"/>
      <c r="L24" s="83" t="n"/>
      <c r="M24" s="83" t="n"/>
      <c r="N24" s="83" t="n"/>
      <c r="O24" s="83" t="n"/>
      <c r="P24" s="83" t="n"/>
    </row>
    <row r="25" ht="21" customHeight="1" s="12">
      <c r="A25" s="100" t="n"/>
      <c r="B25" s="81" t="inlineStr">
        <is>
          <t>Page 8</t>
        </is>
      </c>
      <c r="C25" s="82" t="n"/>
      <c r="D25" s="82" t="n"/>
      <c r="E25" s="82" t="n"/>
      <c r="F25" s="526">
        <f>F241</f>
        <v>801000.0</v>
      </c>
      <c r="G25" s="83" t="n"/>
      <c r="H25" s="83" t="n"/>
      <c r="I25" s="83" t="n"/>
      <c r="J25" s="83" t="n"/>
      <c r="K25" s="83" t="n"/>
      <c r="L25" s="83" t="n"/>
      <c r="M25" s="83" t="n"/>
      <c r="N25" s="83" t="n"/>
      <c r="O25" s="83" t="n"/>
      <c r="P25" s="83" t="n"/>
    </row>
    <row r="26" ht="21" customHeight="1" s="12">
      <c r="A26" s="100" t="n"/>
      <c r="B26" s="81" t="n"/>
      <c r="C26" s="82" t="n"/>
      <c r="D26" s="82" t="n"/>
      <c r="E26" s="82" t="n"/>
      <c r="F26" s="526" t="n"/>
      <c r="G26" s="83" t="n"/>
      <c r="H26" s="83" t="n"/>
      <c r="I26" s="83" t="n"/>
      <c r="J26" s="83" t="n"/>
      <c r="K26" s="83" t="n"/>
      <c r="L26" s="83" t="n"/>
      <c r="M26" s="83" t="n"/>
      <c r="N26" s="83" t="n"/>
      <c r="O26" s="83" t="n"/>
      <c r="P26" s="83" t="n"/>
    </row>
    <row r="27" ht="21" customHeight="1" s="12">
      <c r="A27" s="100" t="n"/>
      <c r="B27" s="81" t="inlineStr">
        <is>
          <t>Page 9</t>
        </is>
      </c>
      <c r="C27" s="82" t="n"/>
      <c r="D27" s="82" t="n"/>
      <c r="E27" s="82" t="n"/>
      <c r="F27" s="526">
        <f>F268</f>
        <v>650000.0</v>
      </c>
      <c r="G27" s="83" t="n"/>
      <c r="H27" s="83" t="n"/>
      <c r="I27" s="83" t="n"/>
      <c r="J27" s="83" t="n"/>
      <c r="K27" s="83" t="n"/>
      <c r="L27" s="83" t="n"/>
      <c r="M27" s="83" t="n"/>
      <c r="N27" s="83" t="n"/>
      <c r="O27" s="83" t="n"/>
      <c r="P27" s="83" t="n"/>
    </row>
    <row r="28" ht="21" customHeight="1" s="12">
      <c r="A28" s="100" t="n"/>
      <c r="B28" s="81" t="n"/>
      <c r="C28" s="82" t="n"/>
      <c r="D28" s="82" t="n"/>
      <c r="E28" s="82" t="n"/>
      <c r="F28" s="526" t="n"/>
      <c r="G28" s="83" t="n"/>
      <c r="H28" s="83" t="n"/>
      <c r="I28" s="83" t="n"/>
      <c r="J28" s="83" t="n"/>
      <c r="K28" s="83" t="n"/>
      <c r="L28" s="83" t="n"/>
      <c r="M28" s="83" t="n"/>
      <c r="N28" s="83" t="n"/>
      <c r="O28" s="83" t="n"/>
      <c r="P28" s="83" t="n"/>
    </row>
    <row r="29" ht="21" customHeight="1" s="12">
      <c r="A29" s="100" t="n"/>
      <c r="B29" s="81" t="inlineStr">
        <is>
          <t>Page 10</t>
        </is>
      </c>
      <c r="C29" s="82" t="n"/>
      <c r="D29" s="82" t="n"/>
      <c r="E29" s="82" t="n"/>
      <c r="F29" s="526">
        <f>F295</f>
        <v>60000.0</v>
      </c>
      <c r="G29" s="83" t="n"/>
      <c r="H29" s="83" t="n"/>
      <c r="I29" s="83" t="n"/>
      <c r="J29" s="83" t="n"/>
      <c r="K29" s="83" t="n"/>
      <c r="L29" s="83" t="n"/>
      <c r="M29" s="83" t="n"/>
      <c r="N29" s="83" t="n"/>
      <c r="O29" s="83" t="n"/>
      <c r="P29" s="83" t="n"/>
    </row>
    <row r="30" ht="21" customHeight="1" s="12">
      <c r="A30" s="100" t="n"/>
      <c r="B30" s="81" t="n"/>
      <c r="C30" s="82" t="n"/>
      <c r="D30" s="82" t="n"/>
      <c r="E30" s="82" t="n"/>
      <c r="F30" s="526" t="n"/>
      <c r="G30" s="83" t="n"/>
      <c r="H30" s="83" t="n"/>
      <c r="I30" s="83" t="n"/>
      <c r="J30" s="83" t="n"/>
      <c r="K30" s="83" t="n"/>
      <c r="L30" s="83" t="n"/>
      <c r="M30" s="83" t="n"/>
      <c r="N30" s="83" t="n"/>
      <c r="O30" s="83" t="n"/>
      <c r="P30" s="83" t="n"/>
    </row>
    <row r="31" ht="21" customHeight="1" s="12">
      <c r="A31" s="100" t="n"/>
      <c r="B31" s="81" t="inlineStr">
        <is>
          <t>Page 11</t>
        </is>
      </c>
      <c r="C31" s="82" t="n"/>
      <c r="D31" s="82" t="n"/>
      <c r="E31" s="82" t="n"/>
      <c r="F31" s="526">
        <f>F325</f>
        <v>282000.0</v>
      </c>
      <c r="G31" s="83" t="n"/>
      <c r="H31" s="83" t="n"/>
      <c r="I31" s="83" t="n"/>
      <c r="J31" s="83" t="n"/>
      <c r="K31" s="83" t="n"/>
      <c r="L31" s="83" t="n"/>
      <c r="M31" s="83" t="n"/>
      <c r="N31" s="83" t="n"/>
      <c r="O31" s="83" t="n"/>
      <c r="P31" s="83" t="n"/>
    </row>
    <row r="32" ht="21" customHeight="1" s="12">
      <c r="A32" s="100" t="n"/>
      <c r="B32" s="81" t="n"/>
      <c r="C32" s="82" t="n"/>
      <c r="D32" s="82" t="n"/>
      <c r="E32" s="82" t="n"/>
      <c r="F32" s="526" t="n"/>
      <c r="G32" s="83" t="n"/>
      <c r="H32" s="83" t="n"/>
      <c r="I32" s="83" t="n"/>
      <c r="J32" s="83" t="n"/>
      <c r="K32" s="83" t="n"/>
      <c r="L32" s="83" t="n"/>
      <c r="M32" s="83" t="n"/>
      <c r="N32" s="83" t="n"/>
      <c r="O32" s="83" t="n"/>
      <c r="P32" s="83" t="n"/>
    </row>
    <row r="33" ht="21" customHeight="1" s="12">
      <c r="A33" s="100" t="n"/>
      <c r="B33" s="81" t="inlineStr">
        <is>
          <t>Page 12</t>
        </is>
      </c>
      <c r="C33" s="82" t="n"/>
      <c r="D33" s="82" t="n"/>
      <c r="E33" s="82" t="n"/>
      <c r="F33" s="526">
        <f>F355</f>
        <v>90000.0</v>
      </c>
      <c r="G33" s="83" t="n"/>
      <c r="H33" s="83" t="n"/>
      <c r="I33" s="83" t="n"/>
      <c r="J33" s="83" t="n"/>
      <c r="K33" s="83" t="n"/>
      <c r="L33" s="83" t="n"/>
      <c r="M33" s="83" t="n"/>
      <c r="N33" s="83" t="n"/>
      <c r="O33" s="83" t="n"/>
      <c r="P33" s="83" t="n"/>
    </row>
    <row r="34" ht="21" customHeight="1" s="12">
      <c r="A34" s="100" t="n"/>
      <c r="B34" s="81" t="n"/>
      <c r="C34" s="82" t="n"/>
      <c r="D34" s="82" t="n"/>
      <c r="E34" s="82" t="n"/>
      <c r="F34" s="526" t="n"/>
      <c r="G34" s="83" t="n"/>
      <c r="H34" s="83" t="n"/>
      <c r="I34" s="83" t="n"/>
      <c r="J34" s="83" t="n"/>
      <c r="K34" s="83" t="n"/>
      <c r="L34" s="83" t="n"/>
      <c r="M34" s="83" t="n"/>
      <c r="N34" s="83" t="n"/>
      <c r="O34" s="83" t="n"/>
      <c r="P34" s="83" t="n"/>
    </row>
    <row r="35" ht="21" customHeight="1" s="12">
      <c r="A35" s="100" t="n"/>
      <c r="B35" s="81" t="inlineStr">
        <is>
          <t>Page 13</t>
        </is>
      </c>
      <c r="C35" s="82" t="n"/>
      <c r="D35" s="82" t="n"/>
      <c r="E35" s="82" t="n"/>
      <c r="F35" s="526">
        <f>F370</f>
        <v>25000.0</v>
      </c>
      <c r="G35" s="83" t="n"/>
      <c r="H35" s="83" t="n"/>
      <c r="I35" s="83" t="n"/>
      <c r="J35" s="83" t="n"/>
      <c r="K35" s="83" t="n"/>
      <c r="L35" s="83" t="n"/>
      <c r="M35" s="83" t="n"/>
      <c r="N35" s="83" t="n"/>
      <c r="O35" s="83" t="n"/>
      <c r="P35" s="83" t="n"/>
    </row>
    <row r="36" ht="21" customHeight="1" s="12">
      <c r="A36" s="100" t="n"/>
      <c r="B36" s="81" t="n"/>
      <c r="C36" s="82" t="n"/>
      <c r="D36" s="82" t="n"/>
      <c r="E36" s="82" t="n"/>
      <c r="F36" s="526" t="n"/>
      <c r="G36" s="83" t="n"/>
      <c r="H36" s="83" t="n"/>
      <c r="I36" s="83" t="n"/>
      <c r="J36" s="83" t="n"/>
      <c r="K36" s="83" t="n"/>
      <c r="L36" s="83" t="n"/>
      <c r="M36" s="83" t="n"/>
      <c r="N36" s="83" t="n"/>
      <c r="O36" s="83" t="n"/>
      <c r="P36" s="83" t="n"/>
    </row>
    <row r="37" ht="21" customHeight="1" s="12">
      <c r="A37" s="100" t="n"/>
      <c r="B37" s="81" t="inlineStr">
        <is>
          <t>Page 14</t>
        </is>
      </c>
      <c r="C37" s="82" t="n"/>
      <c r="D37" s="82" t="n"/>
      <c r="E37" s="82" t="n"/>
      <c r="F37" s="526">
        <f>F379</f>
        <v>60000.0</v>
      </c>
      <c r="G37" s="83" t="n"/>
      <c r="H37" s="83" t="n"/>
      <c r="I37" s="83" t="n"/>
      <c r="J37" s="83" t="n"/>
      <c r="K37" s="83" t="n"/>
      <c r="L37" s="83" t="n"/>
      <c r="M37" s="83" t="n"/>
      <c r="N37" s="83" t="n"/>
      <c r="O37" s="83" t="n"/>
      <c r="P37" s="83" t="n"/>
    </row>
    <row r="38" ht="21" customHeight="1" s="12">
      <c r="A38" s="100" t="n"/>
      <c r="B38" s="81" t="n"/>
      <c r="C38" s="82" t="n"/>
      <c r="D38" s="82" t="n"/>
      <c r="E38" s="82" t="n"/>
      <c r="F38" s="526" t="n"/>
      <c r="G38" s="83" t="n"/>
      <c r="H38" s="83" t="n"/>
      <c r="I38" s="83" t="n"/>
      <c r="J38" s="83" t="n"/>
      <c r="K38" s="83" t="n"/>
      <c r="L38" s="83" t="n"/>
      <c r="M38" s="83" t="n"/>
      <c r="N38" s="83" t="n"/>
      <c r="O38" s="83" t="n"/>
      <c r="P38" s="83" t="n"/>
    </row>
    <row r="39" ht="21" customHeight="1" s="12">
      <c r="A39" s="100" t="n"/>
      <c r="B39" s="81" t="n"/>
      <c r="C39" s="82" t="n"/>
      <c r="D39" s="82" t="n"/>
      <c r="E39" s="82" t="n"/>
      <c r="F39" s="526" t="n"/>
      <c r="G39" s="83" t="n"/>
      <c r="H39" s="83" t="n"/>
      <c r="I39" s="83" t="n"/>
      <c r="J39" s="83" t="n"/>
      <c r="K39" s="83" t="n"/>
      <c r="L39" s="83" t="n"/>
      <c r="M39" s="83" t="n"/>
      <c r="N39" s="83" t="n"/>
      <c r="O39" s="83" t="n"/>
      <c r="P39" s="83" t="n"/>
    </row>
    <row r="40" ht="21" customHeight="1" s="12">
      <c r="A40" s="100" t="n"/>
      <c r="B40" s="81" t="n"/>
      <c r="C40" s="82" t="n"/>
      <c r="D40" s="82" t="n"/>
      <c r="E40" s="82" t="n"/>
      <c r="F40" s="526" t="n"/>
      <c r="G40" s="83" t="n"/>
      <c r="H40" s="83" t="n"/>
      <c r="I40" s="83" t="n"/>
      <c r="J40" s="83" t="n"/>
      <c r="K40" s="83" t="n"/>
      <c r="L40" s="83" t="n"/>
      <c r="M40" s="83" t="n"/>
      <c r="N40" s="83" t="n"/>
      <c r="O40" s="83" t="n"/>
      <c r="P40" s="83" t="n"/>
    </row>
    <row r="41" ht="21" customHeight="1" s="12">
      <c r="A41" s="84" t="n"/>
      <c r="B41" s="85" t="inlineStr">
        <is>
          <t xml:space="preserve">PRELIMINARIES AND GENERAL ITEMS </t>
        </is>
      </c>
      <c r="C41" s="86" t="n"/>
      <c r="D41" s="86" t="n"/>
      <c r="E41" s="86" t="n"/>
      <c r="F41" s="527">
        <f>SUM(F13:F39)</f>
        <v>6123000.0</v>
      </c>
      <c r="G41" s="528" t="n"/>
      <c r="H41" s="83" t="n"/>
      <c r="I41" s="83" t="n"/>
      <c r="J41" s="83" t="n"/>
      <c r="K41" s="83" t="n"/>
      <c r="L41" s="83" t="n"/>
      <c r="M41" s="83" t="n"/>
      <c r="N41" s="83" t="n"/>
      <c r="O41" s="83" t="n"/>
      <c r="P41" s="83" t="n"/>
    </row>
    <row r="42" ht="18.6" customHeight="1" s="12" thickBot="1">
      <c r="A42" s="88" t="n"/>
      <c r="B42" s="89" t="inlineStr">
        <is>
          <t>TOTAL CARRIED TO GENERAL SUMMARY</t>
        </is>
      </c>
      <c r="C42" s="90" t="n"/>
      <c r="D42" s="90" t="n"/>
      <c r="E42" s="90" t="n"/>
      <c r="F42" s="529" t="n"/>
      <c r="G42" s="83" t="n"/>
      <c r="H42" s="83" t="n"/>
      <c r="I42" s="83" t="n"/>
      <c r="J42" s="83" t="n"/>
      <c r="K42" s="83" t="n"/>
      <c r="L42" s="83" t="n"/>
      <c r="M42" s="83" t="n"/>
      <c r="N42" s="83" t="n"/>
      <c r="O42" s="83" t="n"/>
      <c r="P42" s="83" t="n"/>
    </row>
    <row r="43">
      <c r="A43" s="100" t="inlineStr">
        <is>
          <t>A</t>
        </is>
      </c>
      <c r="B43" s="91" t="inlineStr">
        <is>
          <t>Generally</t>
        </is>
      </c>
      <c r="C43" s="91" t="n"/>
      <c r="D43" s="91" t="n"/>
      <c r="E43" s="91" t="n"/>
      <c r="F43" s="530" t="n"/>
      <c r="G43" s="92" t="n"/>
      <c r="H43" s="92" t="n"/>
      <c r="I43" s="92" t="n"/>
      <c r="J43" s="92" t="n"/>
      <c r="K43" s="92" t="n"/>
      <c r="L43" s="92" t="n"/>
      <c r="M43" s="92" t="n"/>
      <c r="N43" s="92" t="n"/>
      <c r="O43" s="92" t="n"/>
      <c r="P43" s="92" t="n"/>
    </row>
    <row r="44" ht="113.4" customHeight="1" s="12">
      <c r="A44" s="100" t="n"/>
      <c r="B44" s="82" t="inlineStr">
        <is>
          <t>The contractor shall be deemed to have allowed against each item a rate which complies with all the requirements of the “Preliminaries”. All unpriced preliminaries items shall be deemed to have been included in the general pricing of the works.
All item containing “Preliminaries” shall apply to the whole of the works The contractor shall be deemed to have allowed against each item or in his rates of complying with all the requirements of the “Preliminaries”.
All item containing “Preliminaries” shall apply to the whole of the works</t>
        </is>
      </c>
      <c r="C44" s="82" t="n"/>
      <c r="D44" s="82" t="n"/>
      <c r="E44" s="82" t="n"/>
      <c r="F44" s="531" t="n"/>
      <c r="G44" s="83" t="n"/>
      <c r="H44" s="83" t="n"/>
      <c r="I44" s="83" t="n"/>
      <c r="J44" s="83" t="n"/>
      <c r="K44" s="83" t="n"/>
      <c r="L44" s="83" t="n"/>
      <c r="M44" s="83" t="n"/>
      <c r="N44" s="83" t="n"/>
      <c r="O44" s="83" t="n"/>
      <c r="P44" s="83" t="n"/>
    </row>
    <row r="45">
      <c r="A45" s="100" t="n"/>
      <c r="B45" s="82" t="n"/>
      <c r="C45" s="82" t="n"/>
      <c r="D45" s="82" t="n"/>
      <c r="E45" s="82" t="n"/>
      <c r="F45" s="531" t="n"/>
      <c r="G45" s="83" t="n"/>
      <c r="H45" s="83" t="n"/>
      <c r="I45" s="83" t="n"/>
      <c r="J45" s="83" t="n"/>
      <c r="K45" s="83" t="n"/>
      <c r="L45" s="83" t="n"/>
      <c r="M45" s="83" t="n"/>
      <c r="N45" s="83" t="n"/>
      <c r="O45" s="83" t="n"/>
      <c r="P45" s="83" t="n"/>
    </row>
    <row r="46">
      <c r="A46" s="100" t="inlineStr">
        <is>
          <t>B</t>
        </is>
      </c>
      <c r="B46" s="91" t="inlineStr">
        <is>
          <t>Names of Parties</t>
        </is>
      </c>
      <c r="C46" s="91" t="n"/>
      <c r="D46" s="91" t="n"/>
      <c r="E46" s="91" t="n"/>
      <c r="F46" s="530" t="n"/>
      <c r="G46" s="92" t="n"/>
      <c r="H46" s="92" t="n"/>
      <c r="I46" s="92" t="n"/>
      <c r="J46" s="92" t="n"/>
      <c r="K46" s="92" t="n"/>
      <c r="L46" s="92" t="n"/>
      <c r="M46" s="92" t="n"/>
      <c r="N46" s="92" t="n"/>
      <c r="O46" s="92" t="n"/>
      <c r="P46" s="92" t="n"/>
    </row>
    <row r="47" ht="28.8" customHeight="1" s="12">
      <c r="A47" s="100" t="n"/>
      <c r="B47" s="82" t="inlineStr">
        <is>
          <t>The names of parties referred to in these Bills of Quantities and in the
Conditions of Contract are as follows:-</t>
        </is>
      </c>
      <c r="C47" s="82" t="n"/>
      <c r="D47" s="82" t="n"/>
      <c r="E47" s="82" t="n"/>
      <c r="F47" s="531" t="n"/>
      <c r="G47" s="83" t="n"/>
      <c r="H47" s="83" t="n"/>
      <c r="I47" s="83" t="n"/>
      <c r="J47" s="83" t="n"/>
      <c r="K47" s="83" t="n"/>
      <c r="L47" s="83" t="n"/>
      <c r="M47" s="83" t="n"/>
      <c r="N47" s="83" t="n"/>
      <c r="O47" s="83" t="n"/>
      <c r="P47" s="83" t="n"/>
    </row>
    <row r="48">
      <c r="A48" s="100" t="n"/>
      <c r="B48" s="94" t="inlineStr">
        <is>
          <t>ENTERPRISE LIFE COMPANY LIMITED</t>
        </is>
      </c>
      <c r="C48" s="94" t="n"/>
      <c r="D48" s="94" t="n"/>
      <c r="E48" s="94" t="n"/>
      <c r="F48" s="531" t="n"/>
      <c r="G48" s="71" t="n"/>
      <c r="H48" s="71" t="n"/>
      <c r="I48" s="71" t="n"/>
      <c r="J48" s="71" t="n"/>
      <c r="K48" s="71" t="n"/>
      <c r="L48" s="71" t="n"/>
      <c r="M48" s="71" t="n"/>
      <c r="N48" s="71" t="n"/>
      <c r="O48" s="71" t="n"/>
      <c r="P48" s="71" t="n"/>
    </row>
    <row r="49">
      <c r="A49" s="100" t="n"/>
      <c r="B49" s="94" t="n"/>
      <c r="C49" s="94" t="n"/>
      <c r="D49" s="94" t="n"/>
      <c r="E49" s="94" t="n"/>
      <c r="F49" s="531" t="n"/>
      <c r="G49" s="71" t="n"/>
      <c r="H49" s="71" t="n"/>
      <c r="I49" s="71" t="n"/>
      <c r="J49" s="71" t="n"/>
      <c r="K49" s="71" t="n"/>
      <c r="L49" s="71" t="n"/>
      <c r="M49" s="71" t="n"/>
      <c r="N49" s="71" t="n"/>
      <c r="O49" s="71" t="n"/>
      <c r="P49" s="71" t="n"/>
    </row>
    <row r="50">
      <c r="A50" s="100" t="inlineStr">
        <is>
          <t>C</t>
        </is>
      </c>
      <c r="B50" s="91" t="inlineStr">
        <is>
          <t>ALL DRAWINGS</t>
        </is>
      </c>
      <c r="C50" s="91" t="n"/>
      <c r="D50" s="91" t="n"/>
      <c r="E50" s="91" t="n"/>
      <c r="F50" s="530" t="n"/>
      <c r="G50" s="95" t="n"/>
      <c r="H50" s="95" t="n"/>
      <c r="I50" s="95" t="n"/>
      <c r="J50" s="95" t="n"/>
      <c r="K50" s="95" t="n"/>
      <c r="L50" s="95" t="n"/>
      <c r="M50" s="95" t="n"/>
      <c r="N50" s="95" t="n"/>
      <c r="O50" s="95" t="n"/>
      <c r="P50" s="95" t="n"/>
    </row>
    <row r="51" ht="28.8" customHeight="1" s="12">
      <c r="A51" s="100" t="n"/>
      <c r="B51" s="82" t="inlineStr">
        <is>
          <t>The drawings used for the preparation of the bills of quantities are scheduled at the Appendix</t>
        </is>
      </c>
      <c r="C51" s="82" t="n"/>
      <c r="D51" s="82" t="n"/>
      <c r="E51" s="82" t="n"/>
      <c r="F51" s="531" t="n"/>
      <c r="G51" s="96" t="n"/>
      <c r="H51" s="96" t="n"/>
      <c r="I51" s="96" t="n"/>
      <c r="J51" s="96" t="n"/>
      <c r="K51" s="96" t="n"/>
      <c r="L51" s="96" t="n"/>
      <c r="M51" s="96" t="n"/>
      <c r="N51" s="96" t="n"/>
      <c r="O51" s="96" t="n"/>
      <c r="P51" s="96" t="n"/>
    </row>
    <row r="52">
      <c r="A52" s="100" t="n"/>
      <c r="B52" s="82" t="n"/>
      <c r="C52" s="82" t="n"/>
      <c r="D52" s="82" t="n"/>
      <c r="E52" s="82" t="n"/>
      <c r="F52" s="531" t="n"/>
      <c r="G52" s="96" t="n"/>
      <c r="H52" s="96" t="n"/>
      <c r="I52" s="96" t="n"/>
      <c r="J52" s="96" t="n"/>
      <c r="K52" s="96" t="n"/>
      <c r="L52" s="96" t="n"/>
      <c r="M52" s="96" t="n"/>
      <c r="N52" s="96" t="n"/>
      <c r="O52" s="96" t="n"/>
      <c r="P52" s="96" t="n"/>
    </row>
    <row r="53">
      <c r="A53" s="100" t="inlineStr">
        <is>
          <t>D</t>
        </is>
      </c>
      <c r="B53" s="97" t="inlineStr">
        <is>
          <t>Format of Bills of Quantities</t>
        </is>
      </c>
      <c r="C53" s="97" t="n"/>
      <c r="D53" s="97" t="n"/>
      <c r="E53" s="97" t="n"/>
      <c r="F53" s="532" t="n"/>
      <c r="G53" s="98" t="n"/>
      <c r="H53" s="98" t="n"/>
      <c r="I53" s="98" t="n"/>
      <c r="J53" s="98" t="n"/>
      <c r="K53" s="98" t="n"/>
      <c r="L53" s="98" t="n"/>
      <c r="M53" s="98" t="n"/>
      <c r="N53" s="98" t="n"/>
      <c r="O53" s="98" t="n"/>
      <c r="P53" s="98" t="n"/>
    </row>
    <row r="54" ht="184.95" customHeight="1" s="12">
      <c r="A54" s="100" t="n"/>
      <c r="B54" s="82" t="inlineStr">
        <is>
          <t>Major portions of this Bills of Quantities have been prepared in accordance with  the  "Standard Method  of  Measurement of  Building  Works", Seventh (7th) Edition (metric) Revised SMM7R (metric)  dated July 1998 issued by the Royal Institution of Chartered Surveyors (R.I.C.S.) and the building Employers Confederation (B.E.C.) both of the United Kingdom. However, departures from this method of measurement (see General Notes on Method of Measurement)  have  been  effected  to  reduce  the  number  of  measured Labour items and also to simplify certain other measured items. The Contractor must allow for this departures in his/her pricing so that his/her tender figure shall represent the total cost of all items of works involved in the project. No claim for extra payment will be entertained on the ground that method of the measurement adopted does not comply with the said Standard Method of Measurement.</t>
        </is>
      </c>
      <c r="C54" s="82" t="n"/>
      <c r="D54" s="82" t="n"/>
      <c r="E54" s="82" t="n"/>
      <c r="F54" s="531" t="n"/>
      <c r="G54" s="83" t="n"/>
      <c r="H54" s="83" t="n"/>
      <c r="I54" s="83" t="n"/>
      <c r="J54" s="83" t="n"/>
      <c r="K54" s="83" t="n"/>
      <c r="L54" s="83" t="n"/>
      <c r="M54" s="83" t="n"/>
      <c r="N54" s="83" t="n"/>
      <c r="O54" s="83" t="n"/>
      <c r="P54" s="83" t="n"/>
    </row>
    <row r="55">
      <c r="A55" s="100" t="n"/>
      <c r="B55" s="99" t="n"/>
      <c r="C55" s="99" t="n"/>
      <c r="D55" s="99" t="n"/>
      <c r="E55" s="99" t="n"/>
      <c r="F55" s="533" t="n"/>
    </row>
    <row r="56">
      <c r="A56" s="100" t="inlineStr">
        <is>
          <t>E</t>
        </is>
      </c>
      <c r="B56" s="97" t="inlineStr">
        <is>
          <t>Prohibition of Use</t>
        </is>
      </c>
      <c r="C56" s="97" t="n"/>
      <c r="D56" s="97" t="n"/>
      <c r="E56" s="97" t="n"/>
      <c r="F56" s="532" t="n"/>
      <c r="G56" s="98" t="n"/>
      <c r="H56" s="98" t="n"/>
      <c r="I56" s="98" t="n"/>
      <c r="J56" s="98" t="n"/>
      <c r="K56" s="98" t="n"/>
      <c r="L56" s="98" t="n"/>
      <c r="M56" s="98" t="n"/>
      <c r="N56" s="98" t="n"/>
      <c r="O56" s="98" t="n"/>
      <c r="P56" s="98" t="n"/>
    </row>
    <row r="57" ht="43.2" customHeight="1" s="12">
      <c r="A57" s="100" t="n"/>
      <c r="B57" s="82" t="inlineStr">
        <is>
          <t>The quantities given in the Bills of Quantities are not intended for ordering of materials/components. Quantities for use in ordering materials/components must be calculated by the Contractor by measurement on site or from contract drawings.</t>
        </is>
      </c>
      <c r="C57" s="82" t="n"/>
      <c r="D57" s="82" t="n"/>
      <c r="E57" s="82" t="n"/>
      <c r="F57" s="531" t="n"/>
      <c r="G57" s="83" t="n"/>
      <c r="H57" s="83" t="n"/>
      <c r="I57" s="83" t="n"/>
      <c r="J57" s="83" t="n"/>
      <c r="K57" s="83" t="n"/>
      <c r="L57" s="83" t="n"/>
      <c r="M57" s="83" t="n"/>
      <c r="N57" s="83" t="n"/>
      <c r="O57" s="83" t="n"/>
      <c r="P57" s="83" t="n"/>
    </row>
    <row r="58">
      <c r="A58" s="100" t="n"/>
      <c r="B58" s="82" t="n"/>
      <c r="C58" s="82" t="n"/>
      <c r="D58" s="82" t="n"/>
      <c r="E58" s="82" t="n"/>
      <c r="F58" s="531" t="n"/>
      <c r="G58" s="83" t="n"/>
      <c r="H58" s="83" t="n"/>
      <c r="I58" s="83" t="n"/>
      <c r="J58" s="83" t="n"/>
      <c r="K58" s="83" t="n"/>
      <c r="L58" s="83" t="n"/>
      <c r="M58" s="83" t="n"/>
      <c r="N58" s="83" t="n"/>
      <c r="O58" s="83" t="n"/>
      <c r="P58" s="83" t="n"/>
    </row>
    <row r="59">
      <c r="A59" s="100" t="inlineStr">
        <is>
          <t>F</t>
        </is>
      </c>
      <c r="B59" s="91" t="inlineStr">
        <is>
          <t>Site Location</t>
        </is>
      </c>
      <c r="C59" s="91" t="n"/>
      <c r="D59" s="91" t="n"/>
      <c r="E59" s="91" t="n"/>
      <c r="F59" s="530" t="n"/>
      <c r="G59" s="92" t="n"/>
      <c r="H59" s="92" t="n"/>
      <c r="I59" s="92" t="n"/>
      <c r="J59" s="92" t="n"/>
      <c r="K59" s="92" t="n"/>
      <c r="L59" s="92" t="n"/>
      <c r="M59" s="92" t="n"/>
      <c r="N59" s="92" t="n"/>
      <c r="O59" s="92" t="n"/>
      <c r="P59" s="92" t="n"/>
    </row>
    <row r="60" ht="57.6" customHeight="1" s="12">
      <c r="A60" s="100" t="n"/>
      <c r="B60" s="82" t="inlineStr">
        <is>
          <t>The Site is located at: Accra in the Greater Accra Region
The Contractor is to visit and examine the site and satisfy himself as to the site conditions and facilities for obtaining special materials and shall obtain generally his own information on all matters affecting the execution of the Works.</t>
        </is>
      </c>
      <c r="C60" s="82" t="n"/>
      <c r="D60" s="82" t="n"/>
      <c r="E60" s="82" t="n"/>
      <c r="F60" s="531" t="n"/>
      <c r="G60" s="83" t="n"/>
      <c r="H60" s="83" t="n"/>
      <c r="I60" s="83" t="n"/>
      <c r="J60" s="83" t="n"/>
      <c r="K60" s="83" t="n"/>
      <c r="L60" s="83" t="n"/>
      <c r="M60" s="83" t="n"/>
      <c r="N60" s="83" t="n"/>
      <c r="O60" s="83" t="n"/>
      <c r="P60" s="83" t="n"/>
    </row>
    <row r="61" ht="16.2" customHeight="1" s="12">
      <c r="A61" s="100" t="n"/>
      <c r="B61" s="82" t="n"/>
      <c r="C61" s="82" t="n"/>
      <c r="D61" s="82" t="n"/>
      <c r="E61" s="82" t="n"/>
      <c r="F61" s="531" t="n"/>
      <c r="G61" s="83" t="n"/>
      <c r="H61" s="83" t="n"/>
      <c r="I61" s="83" t="n"/>
      <c r="J61" s="83" t="n"/>
      <c r="K61" s="83" t="n"/>
      <c r="L61" s="83" t="n"/>
      <c r="M61" s="83" t="n"/>
      <c r="N61" s="83" t="n"/>
      <c r="O61" s="83" t="n"/>
      <c r="P61" s="83" t="n"/>
    </row>
    <row r="62">
      <c r="A62" s="100" t="inlineStr">
        <is>
          <t>G</t>
        </is>
      </c>
      <c r="B62" s="94" t="inlineStr">
        <is>
          <t>Overtime</t>
        </is>
      </c>
      <c r="C62" s="94" t="n"/>
      <c r="D62" s="94" t="n"/>
      <c r="E62" s="94" t="n"/>
      <c r="F62" s="531" t="n"/>
      <c r="G62" s="71" t="n"/>
      <c r="H62" s="71" t="n"/>
      <c r="I62" s="71" t="n"/>
      <c r="J62" s="71" t="n"/>
      <c r="K62" s="71" t="n"/>
      <c r="L62" s="71" t="n"/>
      <c r="M62" s="71" t="n"/>
      <c r="N62" s="71" t="n"/>
      <c r="O62" s="71" t="n"/>
      <c r="P62" s="71" t="n"/>
    </row>
    <row r="63" ht="86.40000000000001" customHeight="1" s="12">
      <c r="A63" s="100" t="n"/>
      <c r="B63" s="82" t="inlineStr">
        <is>
          <t>The Contractor shall be held to have made all enquiries as to the source of his
labour and to have made all provisions in his tender for every cost to him of providing and maintaining the labour force necessary to complete the contract including all extra and additional works in the contract Time, including all overtime and weekend working which he considers he shall require and supervisory cost associated therewith. No extra will be allowed on the contract Sum for this Clause.</t>
        </is>
      </c>
      <c r="C63" s="82" t="n"/>
      <c r="D63" s="82" t="n"/>
      <c r="E63" s="82" t="n"/>
      <c r="F63" s="531" t="n"/>
      <c r="G63" s="83" t="n"/>
      <c r="H63" s="83" t="n"/>
      <c r="I63" s="83" t="n"/>
      <c r="J63" s="83" t="n"/>
      <c r="K63" s="83" t="n"/>
      <c r="L63" s="83" t="n"/>
      <c r="M63" s="83" t="n"/>
      <c r="N63" s="83" t="n"/>
      <c r="O63" s="83" t="n"/>
      <c r="P63" s="83" t="n"/>
    </row>
    <row r="64" ht="14.4" customHeight="1" s="12">
      <c r="A64" s="100" t="n"/>
      <c r="B64" s="82" t="n"/>
      <c r="C64" s="82" t="n"/>
      <c r="D64" s="82" t="n"/>
      <c r="E64" s="82" t="n"/>
      <c r="F64" s="531" t="n"/>
      <c r="G64" s="83" t="n"/>
      <c r="H64" s="83" t="n"/>
      <c r="I64" s="83" t="n"/>
      <c r="J64" s="83" t="n"/>
      <c r="K64" s="83" t="n"/>
      <c r="L64" s="83" t="n"/>
      <c r="M64" s="83" t="n"/>
      <c r="N64" s="83" t="n"/>
      <c r="O64" s="83" t="n"/>
      <c r="P64" s="83" t="n"/>
    </row>
    <row r="65">
      <c r="A65" s="100" t="inlineStr">
        <is>
          <t>H</t>
        </is>
      </c>
      <c r="B65" s="97" t="inlineStr">
        <is>
          <t>Definition of Abbreviations</t>
        </is>
      </c>
      <c r="C65" s="97" t="n"/>
      <c r="D65" s="97" t="n"/>
      <c r="E65" s="97" t="n"/>
      <c r="F65" s="532" t="n"/>
      <c r="G65" s="98" t="n"/>
      <c r="H65" s="98" t="n"/>
      <c r="I65" s="98" t="n"/>
      <c r="J65" s="98" t="n"/>
      <c r="K65" s="98" t="n"/>
      <c r="L65" s="98" t="n"/>
      <c r="M65" s="98" t="n"/>
      <c r="N65" s="98" t="n"/>
      <c r="O65" s="98" t="n"/>
      <c r="P65" s="98" t="n"/>
    </row>
    <row r="66" ht="28.8" customHeight="1" s="12">
      <c r="A66" s="100" t="n"/>
      <c r="B66" s="82" t="inlineStr">
        <is>
          <t>Abbreviations have  been  used  in  the  Bills  of  Quantities  for  the  units  of
measurement  and  the  Contractor  should  take  due  notice  of  the  under-mentioned:</t>
        </is>
      </c>
      <c r="C66" s="82" t="n"/>
      <c r="D66" s="82" t="n"/>
      <c r="E66" s="82" t="n"/>
      <c r="F66" s="531" t="n"/>
      <c r="G66" s="83" t="n"/>
      <c r="H66" s="83" t="n"/>
      <c r="I66" s="83" t="n"/>
      <c r="J66" s="83" t="n"/>
      <c r="K66" s="83" t="n"/>
      <c r="L66" s="83" t="n"/>
      <c r="M66" s="83" t="n"/>
      <c r="N66" s="83" t="n"/>
      <c r="O66" s="83" t="n"/>
      <c r="P66" s="83" t="n"/>
    </row>
    <row r="67">
      <c r="A67" s="534" t="n"/>
      <c r="B67" s="82" t="inlineStr">
        <is>
          <t>m3/ m3/cu. m.   -     Cubic Metre</t>
        </is>
      </c>
      <c r="C67" s="82" t="n"/>
      <c r="D67" s="82" t="n"/>
      <c r="E67" s="82" t="n"/>
      <c r="F67" s="531" t="n"/>
      <c r="G67" s="83" t="n"/>
      <c r="H67" s="83" t="n"/>
      <c r="I67" s="83" t="n"/>
      <c r="J67" s="83" t="n"/>
      <c r="K67" s="83" t="n"/>
      <c r="L67" s="83" t="n"/>
      <c r="M67" s="83" t="n"/>
      <c r="N67" s="83" t="n"/>
      <c r="O67" s="83" t="n"/>
      <c r="P67" s="83" t="n"/>
    </row>
    <row r="68">
      <c r="A68" s="534" t="n"/>
      <c r="B68" s="82" t="inlineStr">
        <is>
          <t>m2/ m2/sq. m.   -     Square Metre</t>
        </is>
      </c>
      <c r="C68" s="82" t="n"/>
      <c r="D68" s="82" t="n"/>
      <c r="E68" s="82" t="n"/>
      <c r="F68" s="531" t="n"/>
      <c r="G68" s="83" t="n"/>
      <c r="H68" s="83" t="n"/>
      <c r="I68" s="83" t="n"/>
      <c r="J68" s="83" t="n"/>
      <c r="K68" s="83" t="n"/>
      <c r="L68" s="83" t="n"/>
      <c r="M68" s="83" t="n"/>
      <c r="N68" s="83" t="n"/>
      <c r="O68" s="83" t="n"/>
      <c r="P68" s="83" t="n"/>
    </row>
    <row r="69">
      <c r="A69" s="534" t="n"/>
      <c r="B69" s="82" t="inlineStr">
        <is>
          <t>lm             -      Linear Metre</t>
        </is>
      </c>
      <c r="C69" s="82" t="n"/>
      <c r="D69" s="82" t="n"/>
      <c r="E69" s="82" t="n"/>
      <c r="F69" s="531" t="n"/>
      <c r="G69" s="83" t="n"/>
      <c r="H69" s="83" t="n"/>
      <c r="I69" s="83" t="n"/>
      <c r="J69" s="83" t="n"/>
      <c r="K69" s="83" t="n"/>
      <c r="L69" s="83" t="n"/>
      <c r="M69" s="83" t="n"/>
      <c r="N69" s="83" t="n"/>
      <c r="O69" s="83" t="n"/>
      <c r="P69" s="83" t="n"/>
    </row>
    <row r="70">
      <c r="A70" s="534" t="n"/>
      <c r="B70" s="82" t="inlineStr">
        <is>
          <t>mm           -      Millimetre</t>
        </is>
      </c>
      <c r="C70" s="82" t="n"/>
      <c r="D70" s="82" t="n"/>
      <c r="E70" s="82" t="n"/>
      <c r="F70" s="531" t="n"/>
      <c r="G70" s="83" t="n"/>
      <c r="H70" s="83" t="n"/>
      <c r="I70" s="83" t="n"/>
      <c r="J70" s="83" t="n"/>
      <c r="K70" s="83" t="n"/>
      <c r="L70" s="83" t="n"/>
      <c r="M70" s="83" t="n"/>
      <c r="N70" s="83" t="n"/>
      <c r="O70" s="83" t="n"/>
      <c r="P70" s="83" t="n"/>
    </row>
    <row r="71">
      <c r="A71" s="534" t="n"/>
      <c r="B71" s="82" t="inlineStr">
        <is>
          <t>kg             -      Kilogramme</t>
        </is>
      </c>
      <c r="C71" s="82" t="n"/>
      <c r="D71" s="82" t="n"/>
      <c r="E71" s="82" t="n"/>
      <c r="F71" s="531" t="n"/>
      <c r="G71" s="83" t="n"/>
      <c r="H71" s="83" t="n"/>
      <c r="I71" s="83" t="n"/>
      <c r="J71" s="83" t="n"/>
      <c r="K71" s="83" t="n"/>
      <c r="L71" s="83" t="n"/>
      <c r="M71" s="83" t="n"/>
      <c r="N71" s="83" t="n"/>
      <c r="O71" s="83" t="n"/>
      <c r="P71" s="83" t="n"/>
    </row>
    <row r="72">
      <c r="A72" s="534" t="n"/>
      <c r="B72" s="82" t="inlineStr">
        <is>
          <t>T/ton        -      Tonne</t>
        </is>
      </c>
      <c r="C72" s="82" t="n"/>
      <c r="D72" s="82" t="n"/>
      <c r="E72" s="82" t="n"/>
      <c r="F72" s="531" t="n"/>
      <c r="G72" s="83" t="n"/>
      <c r="H72" s="83" t="n"/>
      <c r="I72" s="83" t="n"/>
      <c r="J72" s="83" t="n"/>
      <c r="K72" s="83" t="n"/>
      <c r="L72" s="83" t="n"/>
      <c r="M72" s="83" t="n"/>
      <c r="N72" s="83" t="n"/>
      <c r="O72" s="83" t="n"/>
      <c r="P72" s="83" t="n"/>
    </row>
    <row r="73" ht="18.6" customHeight="1" s="12" thickBot="1">
      <c r="A73" s="534" t="n"/>
      <c r="B73" s="82" t="inlineStr">
        <is>
          <t>No./Nr.      -      Number</t>
        </is>
      </c>
      <c r="C73" s="82" t="n"/>
      <c r="D73" s="82" t="n"/>
      <c r="E73" s="82" t="n"/>
      <c r="F73" s="531" t="n"/>
      <c r="G73" s="83" t="n"/>
      <c r="H73" s="83" t="n"/>
      <c r="I73" s="83" t="n"/>
      <c r="J73" s="83" t="n"/>
      <c r="K73" s="83" t="n"/>
      <c r="L73" s="83" t="n"/>
      <c r="M73" s="83" t="n"/>
      <c r="N73" s="83" t="n"/>
      <c r="O73" s="83" t="n"/>
      <c r="P73" s="83" t="n"/>
    </row>
    <row r="74" ht="18.6" customHeight="1" s="12" thickBot="1">
      <c r="A74" s="101" t="n"/>
      <c r="B74" s="102" t="inlineStr">
        <is>
          <t>TO COLLECTION</t>
        </is>
      </c>
      <c r="C74" s="103" t="n"/>
      <c r="D74" s="103" t="n"/>
      <c r="E74" s="103" t="n"/>
      <c r="F74" s="535">
        <f>SUM(F43:F73)</f>
        <v>0.0</v>
      </c>
      <c r="G74" s="83" t="n"/>
      <c r="H74" s="83" t="n"/>
      <c r="I74" s="83" t="n"/>
      <c r="J74" s="83" t="n"/>
      <c r="K74" s="83" t="n"/>
      <c r="L74" s="83" t="n"/>
      <c r="M74" s="83" t="n"/>
      <c r="N74" s="83" t="n"/>
      <c r="O74" s="83" t="n"/>
      <c r="P74" s="83" t="n"/>
    </row>
    <row r="75">
      <c r="A75" s="100" t="inlineStr">
        <is>
          <t>A</t>
        </is>
      </c>
      <c r="B75" s="97" t="inlineStr">
        <is>
          <t>Alterations to the Bills of Quantities</t>
        </is>
      </c>
      <c r="C75" s="97" t="n"/>
      <c r="D75" s="97" t="n"/>
      <c r="E75" s="97" t="n"/>
      <c r="F75" s="532" t="n"/>
      <c r="G75" s="98" t="n"/>
      <c r="H75" s="98" t="n"/>
      <c r="I75" s="98" t="n"/>
      <c r="J75" s="98" t="n"/>
      <c r="K75" s="98" t="n"/>
      <c r="L75" s="98" t="n"/>
      <c r="M75" s="98" t="n"/>
      <c r="N75" s="98" t="n"/>
      <c r="O75" s="98" t="n"/>
      <c r="P75" s="98" t="n"/>
    </row>
    <row r="76" ht="72" customHeight="1" s="12">
      <c r="A76" s="100" t="n"/>
      <c r="B76" s="82" t="inlineStr">
        <is>
          <t>No alterations or qualifications of any kind whatsoever shall be made by the Contractor to the text of the Bills of Quantities unless authorised or directed in  writing  by  the  Engineer  or  Quantity  Surveyor.  If  any  unauthorised alteration or qualification is made by the Contractor, it will be ignored and the text prepared text will be rigidly adhered to.</t>
        </is>
      </c>
      <c r="C76" s="82" t="n"/>
      <c r="D76" s="82" t="n"/>
      <c r="E76" s="82" t="n"/>
      <c r="F76" s="531" t="n"/>
      <c r="G76" s="83" t="n"/>
      <c r="H76" s="83" t="n"/>
      <c r="I76" s="83" t="n"/>
      <c r="J76" s="83" t="n"/>
      <c r="K76" s="83" t="n"/>
      <c r="L76" s="83" t="n"/>
      <c r="M76" s="83" t="n"/>
      <c r="N76" s="83" t="n"/>
      <c r="O76" s="83" t="n"/>
      <c r="P76" s="83" t="n"/>
    </row>
    <row r="77">
      <c r="A77" s="100" t="n"/>
      <c r="B77" s="99" t="n"/>
      <c r="C77" s="99" t="n"/>
      <c r="D77" s="99" t="n"/>
      <c r="E77" s="99" t="n"/>
      <c r="F77" s="533" t="n"/>
    </row>
    <row r="78">
      <c r="A78" s="100" t="inlineStr">
        <is>
          <t>B</t>
        </is>
      </c>
      <c r="B78" s="97" t="inlineStr">
        <is>
          <t>Preamble References</t>
        </is>
      </c>
      <c r="C78" s="97" t="n"/>
      <c r="D78" s="97" t="n"/>
      <c r="E78" s="97" t="n"/>
      <c r="F78" s="532" t="n"/>
      <c r="G78" s="98" t="n"/>
      <c r="H78" s="98" t="n"/>
      <c r="I78" s="98" t="n"/>
      <c r="J78" s="98" t="n"/>
      <c r="K78" s="98" t="n"/>
      <c r="L78" s="98" t="n"/>
      <c r="M78" s="98" t="n"/>
      <c r="N78" s="98" t="n"/>
      <c r="O78" s="98" t="n"/>
      <c r="P78" s="98" t="n"/>
    </row>
    <row r="79" ht="86.40000000000001" customHeight="1" s="12">
      <c r="A79" s="100" t="n"/>
      <c r="B79" s="82" t="inlineStr">
        <is>
          <t>To avoid long descriptions and repetitions, certain description of measured items contain only brief details of materials and/or workmanship and reference to a preamble clause. Whether specifically referred to or not, items in the preambles section in these Bills of Quantities are deemed to qualify and be part of every description of measured work to which they refer and shall be deemed to have been taken into consideration in pricing the whole of these Bills of Quantities.</t>
        </is>
      </c>
      <c r="C79" s="82" t="n"/>
      <c r="D79" s="82" t="n"/>
      <c r="E79" s="82" t="n"/>
      <c r="F79" s="531" t="n"/>
      <c r="G79" s="83" t="n"/>
      <c r="H79" s="83" t="n"/>
      <c r="I79" s="83" t="n"/>
      <c r="J79" s="83" t="n"/>
      <c r="K79" s="83" t="n"/>
      <c r="L79" s="83" t="n"/>
      <c r="M79" s="83" t="n"/>
      <c r="N79" s="83" t="n"/>
      <c r="O79" s="83" t="n"/>
      <c r="P79" s="83" t="n"/>
    </row>
    <row r="80">
      <c r="A80" s="100" t="n"/>
      <c r="B80" s="82" t="n"/>
      <c r="C80" s="82" t="n"/>
      <c r="D80" s="82" t="n"/>
      <c r="E80" s="82" t="n"/>
      <c r="F80" s="531" t="n"/>
      <c r="G80" s="83" t="n"/>
      <c r="H80" s="83" t="n"/>
      <c r="I80" s="83" t="n"/>
      <c r="J80" s="83" t="n"/>
      <c r="K80" s="83" t="n"/>
      <c r="L80" s="83" t="n"/>
      <c r="M80" s="83" t="n"/>
      <c r="N80" s="83" t="n"/>
      <c r="O80" s="83" t="n"/>
      <c r="P80" s="83" t="n"/>
    </row>
    <row r="81">
      <c r="A81" s="100" t="inlineStr">
        <is>
          <t>C</t>
        </is>
      </c>
      <c r="B81" s="97" t="inlineStr">
        <is>
          <t>Priced Bills of Quantities</t>
        </is>
      </c>
      <c r="C81" s="97" t="n"/>
      <c r="D81" s="97" t="n"/>
      <c r="E81" s="97" t="n"/>
      <c r="F81" s="532" t="n"/>
      <c r="G81" s="98" t="n"/>
      <c r="H81" s="98" t="n"/>
      <c r="I81" s="98" t="n"/>
      <c r="J81" s="98" t="n"/>
      <c r="K81" s="98" t="n"/>
      <c r="L81" s="98" t="n"/>
      <c r="M81" s="98" t="n"/>
      <c r="N81" s="98" t="n"/>
      <c r="O81" s="98" t="n"/>
      <c r="P81" s="98" t="n"/>
    </row>
    <row r="82" ht="100.8" customHeight="1" s="12">
      <c r="A82" s="100" t="n"/>
      <c r="B82" s="82" t="inlineStr">
        <is>
          <t>Should there be a difference between a Contractor's Tender Sum and the arithmetically corrected  Tender  Figure  of  the  "measured  works"  (after  a complete technical and arithmetical check) an adjustment will be made to the rates by agreement. Conversely, a percentage adjustment shall be calculated by using the total amount of the errors in relation to the value of the "measured works" and thus leaving the original Tender Sum unaltered. Variations to the "measured works" in both approaches shall be subject to the same rate amendments or percentage adjustments respectively.</t>
        </is>
      </c>
      <c r="C82" s="82" t="n"/>
      <c r="D82" s="82" t="n"/>
      <c r="E82" s="82" t="n"/>
      <c r="F82" s="531" t="n"/>
      <c r="G82" s="83" t="n"/>
      <c r="H82" s="83" t="n"/>
      <c r="I82" s="83" t="n"/>
      <c r="J82" s="83" t="n"/>
      <c r="K82" s="83" t="n"/>
      <c r="L82" s="83" t="n"/>
      <c r="M82" s="83" t="n"/>
      <c r="N82" s="83" t="n"/>
      <c r="O82" s="83" t="n"/>
      <c r="P82" s="83" t="n"/>
    </row>
    <row r="83">
      <c r="A83" s="100" t="n"/>
      <c r="B83" s="82" t="n"/>
      <c r="C83" s="82" t="n"/>
      <c r="D83" s="82" t="n"/>
      <c r="E83" s="82" t="n"/>
      <c r="F83" s="531" t="n"/>
      <c r="G83" s="83" t="n"/>
      <c r="H83" s="83" t="n"/>
      <c r="I83" s="83" t="n"/>
      <c r="J83" s="83" t="n"/>
      <c r="K83" s="83" t="n"/>
      <c r="L83" s="83" t="n"/>
      <c r="M83" s="83" t="n"/>
      <c r="N83" s="83" t="n"/>
      <c r="O83" s="83" t="n"/>
      <c r="P83" s="83" t="n"/>
    </row>
    <row r="84">
      <c r="A84" s="100" t="inlineStr">
        <is>
          <t>D</t>
        </is>
      </c>
      <c r="B84" s="97" t="inlineStr">
        <is>
          <t>Provisional Sum</t>
        </is>
      </c>
      <c r="C84" s="97" t="n"/>
      <c r="D84" s="97" t="n"/>
      <c r="E84" s="97" t="n"/>
      <c r="F84" s="532" t="n"/>
      <c r="G84" s="98" t="n"/>
      <c r="H84" s="98" t="n"/>
      <c r="I84" s="98" t="n"/>
      <c r="J84" s="98" t="n"/>
      <c r="K84" s="98" t="n"/>
      <c r="L84" s="98" t="n"/>
      <c r="M84" s="98" t="n"/>
      <c r="N84" s="98" t="n"/>
      <c r="O84" s="98" t="n"/>
      <c r="P84" s="98" t="n"/>
    </row>
    <row r="85" ht="86.40000000000001" customHeight="1" s="12">
      <c r="A85" s="100" t="n"/>
      <c r="B85" s="82" t="inlineStr">
        <is>
          <t>The Provisional Sum in these Bills of Quantities are used solely to indicate a
gross amount inclusive of Contractor's profit and all other elements of loss. These sums will be expended or deducted in whole or in part as required by the Engineer and no claim for loss of profit will be entertained in this respect. The Contractor must not order expenditure against any work covered by Provisional Sums unless receipt of order in writing from the Engineer.</t>
        </is>
      </c>
      <c r="C85" s="82" t="n"/>
      <c r="D85" s="82" t="n"/>
      <c r="E85" s="82" t="n"/>
      <c r="F85" s="531" t="n"/>
      <c r="G85" s="83" t="n"/>
      <c r="H85" s="83" t="n"/>
      <c r="I85" s="83" t="n"/>
      <c r="J85" s="83" t="n"/>
      <c r="K85" s="83" t="n"/>
      <c r="L85" s="83" t="n"/>
      <c r="M85" s="83" t="n"/>
      <c r="N85" s="83" t="n"/>
      <c r="O85" s="83" t="n"/>
      <c r="P85" s="83" t="n"/>
    </row>
    <row r="86">
      <c r="A86" s="100" t="n"/>
      <c r="B86" s="82" t="n"/>
      <c r="C86" s="82" t="n"/>
      <c r="D86" s="82" t="n"/>
      <c r="E86" s="82" t="n"/>
      <c r="F86" s="531" t="n"/>
      <c r="G86" s="83" t="n"/>
      <c r="H86" s="83" t="n"/>
      <c r="I86" s="83" t="n"/>
      <c r="J86" s="83" t="n"/>
      <c r="K86" s="83" t="n"/>
      <c r="L86" s="83" t="n"/>
      <c r="M86" s="83" t="n"/>
      <c r="N86" s="83" t="n"/>
      <c r="O86" s="83" t="n"/>
      <c r="P86" s="83" t="n"/>
    </row>
    <row r="87">
      <c r="A87" s="100" t="inlineStr">
        <is>
          <t>E</t>
        </is>
      </c>
      <c r="B87" s="97" t="inlineStr">
        <is>
          <t>Prime Cost (PC) Sums</t>
        </is>
      </c>
      <c r="C87" s="97" t="n"/>
      <c r="D87" s="97" t="n"/>
      <c r="E87" s="97" t="n"/>
      <c r="F87" s="532" t="n"/>
      <c r="G87" s="98" t="n"/>
      <c r="H87" s="98" t="n"/>
      <c r="I87" s="98" t="n"/>
      <c r="J87" s="98" t="n"/>
      <c r="K87" s="98" t="n"/>
      <c r="L87" s="98" t="n"/>
      <c r="M87" s="98" t="n"/>
      <c r="N87" s="98" t="n"/>
      <c r="O87" s="98" t="n"/>
      <c r="P87" s="98" t="n"/>
    </row>
    <row r="88" ht="144" customHeight="1" s="12">
      <c r="A88" s="100" t="n"/>
      <c r="B88" s="82" t="inlineStr">
        <is>
          <t>Prime Cost (PC) Sums included in these Bills of Quantities are for goods to be supplied by a Supplier or work to be executed by a Contractor both to be nominated by the Engineer, P.C. Sums shall be understood to mean the NET amount expended in favour of such persons after deducting all discounts and shall include all taxes (where applicable) and the cost of packing, carriage/freight and delivery as specified. All such PC Sums are at the complete disposal of the Engineer who may direct how they are expended, deducted in whole or in part from the Contract Sum.
Following a PC Sum, provision has been made for the Contractor to insert an element of profit and attendance. The Contractor shall express the element of profit as a percentage of the PC Sum and that of attendance as a lump sum.</t>
        </is>
      </c>
      <c r="C88" s="82" t="n"/>
      <c r="D88" s="82" t="n"/>
      <c r="E88" s="82" t="n"/>
      <c r="F88" s="531" t="n"/>
      <c r="G88" s="83" t="n"/>
      <c r="H88" s="83" t="n"/>
      <c r="I88" s="83" t="n"/>
      <c r="J88" s="83" t="n"/>
      <c r="K88" s="83" t="n"/>
      <c r="L88" s="83" t="n"/>
      <c r="M88" s="83" t="n"/>
      <c r="N88" s="83" t="n"/>
      <c r="O88" s="83" t="n"/>
      <c r="P88" s="83" t="n"/>
    </row>
    <row r="89">
      <c r="A89" s="100" t="n"/>
      <c r="B89" s="99" t="n"/>
      <c r="C89" s="99" t="n"/>
      <c r="D89" s="99" t="n"/>
      <c r="E89" s="99" t="n"/>
      <c r="F89" s="533" t="n"/>
    </row>
    <row r="90">
      <c r="A90" s="100" t="inlineStr">
        <is>
          <t>F</t>
        </is>
      </c>
      <c r="B90" s="97" t="inlineStr">
        <is>
          <t>Price Adjustment</t>
        </is>
      </c>
      <c r="C90" s="97" t="n"/>
      <c r="D90" s="97" t="n"/>
      <c r="E90" s="97" t="n"/>
      <c r="F90" s="532" t="n"/>
      <c r="G90" s="98" t="n"/>
      <c r="H90" s="98" t="n"/>
      <c r="I90" s="98" t="n"/>
      <c r="J90" s="98" t="n"/>
      <c r="K90" s="98" t="n"/>
      <c r="L90" s="98" t="n"/>
      <c r="M90" s="98" t="n"/>
      <c r="N90" s="98" t="n"/>
      <c r="O90" s="98" t="n"/>
      <c r="P90" s="98" t="n"/>
    </row>
    <row r="91">
      <c r="A91" s="100" t="n"/>
      <c r="B91" s="82" t="inlineStr">
        <is>
          <t>There shall be no adjustment for fluctuations</t>
        </is>
      </c>
      <c r="C91" s="82" t="n"/>
      <c r="D91" s="82" t="n"/>
      <c r="E91" s="82" t="n"/>
      <c r="F91" s="531" t="n"/>
      <c r="G91" s="83" t="n"/>
      <c r="H91" s="83" t="n"/>
      <c r="I91" s="83" t="n"/>
      <c r="J91" s="83" t="n"/>
      <c r="K91" s="83" t="n"/>
      <c r="L91" s="83" t="n"/>
      <c r="M91" s="83" t="n"/>
      <c r="N91" s="83" t="n"/>
      <c r="O91" s="83" t="n"/>
      <c r="P91" s="83" t="n"/>
    </row>
    <row r="92">
      <c r="A92" s="100" t="n"/>
      <c r="B92" s="82" t="n"/>
      <c r="C92" s="82" t="n"/>
      <c r="D92" s="82" t="n"/>
      <c r="E92" s="82" t="n"/>
      <c r="F92" s="531" t="n"/>
      <c r="G92" s="83" t="n"/>
      <c r="H92" s="83" t="n"/>
      <c r="I92" s="83" t="n"/>
      <c r="J92" s="83" t="n"/>
      <c r="K92" s="83" t="n"/>
      <c r="L92" s="83" t="n"/>
      <c r="M92" s="83" t="n"/>
      <c r="N92" s="83" t="n"/>
      <c r="O92" s="83" t="n"/>
      <c r="P92" s="83" t="n"/>
    </row>
    <row r="93">
      <c r="A93" s="100" t="inlineStr">
        <is>
          <t>G</t>
        </is>
      </c>
      <c r="B93" s="97" t="inlineStr">
        <is>
          <t>Description of the Works</t>
        </is>
      </c>
      <c r="C93" s="97" t="n"/>
      <c r="D93" s="97" t="n"/>
      <c r="E93" s="97" t="n"/>
      <c r="F93" s="532" t="n"/>
      <c r="G93" s="98" t="n"/>
      <c r="H93" s="98" t="n"/>
      <c r="I93" s="98" t="n"/>
      <c r="J93" s="98" t="n"/>
      <c r="K93" s="98" t="n"/>
      <c r="L93" s="98" t="n"/>
      <c r="M93" s="98" t="n"/>
      <c r="N93" s="98" t="n"/>
      <c r="O93" s="98" t="n"/>
      <c r="P93" s="98" t="n"/>
    </row>
    <row r="94" ht="28.8" customHeight="1" s="12">
      <c r="A94" s="100" t="n"/>
      <c r="B94" s="104" t="inlineStr">
        <is>
          <t>The works shall comprise the construction the following facilities including
external services and works. Included in this document are the following:</t>
        </is>
      </c>
      <c r="C94" s="104" t="n"/>
      <c r="D94" s="104" t="n"/>
      <c r="E94" s="104" t="n"/>
      <c r="F94" s="536" t="n"/>
      <c r="G94" s="105" t="n"/>
      <c r="H94" s="105" t="n"/>
      <c r="I94" s="105" t="n"/>
      <c r="J94" s="105" t="n"/>
      <c r="K94" s="105" t="n"/>
      <c r="L94" s="105" t="n"/>
      <c r="M94" s="105" t="n"/>
      <c r="N94" s="105" t="n"/>
      <c r="O94" s="105" t="n"/>
      <c r="P94" s="105" t="n"/>
    </row>
    <row r="95">
      <c r="A95" s="100" t="n"/>
      <c r="B95" s="82" t="inlineStr">
        <is>
          <t>PRELIMINARIES AND GENERAL CONDITIONS</t>
        </is>
      </c>
      <c r="C95" s="82" t="n"/>
      <c r="D95" s="82" t="n"/>
      <c r="E95" s="82" t="n"/>
      <c r="F95" s="531" t="n"/>
      <c r="G95" s="83" t="n"/>
      <c r="H95" s="83" t="n"/>
      <c r="I95" s="83" t="n"/>
      <c r="J95" s="83" t="n"/>
      <c r="K95" s="83" t="n"/>
      <c r="L95" s="83" t="n"/>
      <c r="M95" s="83" t="n"/>
      <c r="N95" s="83" t="n"/>
      <c r="O95" s="83" t="n"/>
      <c r="P95" s="83" t="n"/>
    </row>
    <row r="96">
      <c r="A96" s="100" t="n"/>
      <c r="B96" s="82" t="inlineStr">
        <is>
          <t>DEMOLITION / ALTERATIONS/RENOVATIONS</t>
        </is>
      </c>
      <c r="C96" s="82" t="n"/>
      <c r="D96" s="82" t="n"/>
      <c r="E96" s="82" t="n"/>
      <c r="F96" s="531" t="n"/>
      <c r="G96" s="83" t="n"/>
      <c r="H96" s="83" t="n"/>
      <c r="I96" s="83" t="n"/>
      <c r="J96" s="83" t="n"/>
      <c r="K96" s="83" t="n"/>
      <c r="L96" s="83" t="n"/>
      <c r="M96" s="83" t="n"/>
      <c r="N96" s="83" t="n"/>
      <c r="O96" s="83" t="n"/>
      <c r="P96" s="83" t="n"/>
    </row>
    <row r="97">
      <c r="A97" s="100" t="n"/>
      <c r="B97" s="82" t="inlineStr">
        <is>
          <t>CONCRETE WORKS</t>
        </is>
      </c>
      <c r="C97" s="82" t="n"/>
      <c r="D97" s="82" t="n"/>
      <c r="E97" s="82" t="n"/>
      <c r="F97" s="531" t="n"/>
      <c r="G97" s="83" t="n"/>
      <c r="H97" s="83" t="n"/>
      <c r="I97" s="83" t="n"/>
      <c r="J97" s="83" t="n"/>
      <c r="K97" s="83" t="n"/>
      <c r="L97" s="83" t="n"/>
      <c r="M97" s="83" t="n"/>
      <c r="N97" s="83" t="n"/>
      <c r="O97" s="83" t="n"/>
      <c r="P97" s="83" t="n"/>
    </row>
    <row r="98">
      <c r="A98" s="100" t="n"/>
      <c r="B98" s="82" t="inlineStr">
        <is>
          <t>MASONRY</t>
        </is>
      </c>
      <c r="C98" s="82" t="n"/>
      <c r="D98" s="82" t="n"/>
      <c r="E98" s="82" t="n"/>
      <c r="F98" s="531" t="n"/>
      <c r="G98" s="83" t="n"/>
      <c r="H98" s="83" t="n"/>
      <c r="I98" s="83" t="n"/>
      <c r="J98" s="83" t="n"/>
      <c r="K98" s="83" t="n"/>
      <c r="L98" s="83" t="n"/>
      <c r="M98" s="83" t="n"/>
      <c r="N98" s="83" t="n"/>
      <c r="O98" s="83" t="n"/>
      <c r="P98" s="83" t="n"/>
    </row>
    <row r="99" ht="14.4" customHeight="1" s="12">
      <c r="A99" s="100" t="n"/>
      <c r="B99" s="82" t="inlineStr">
        <is>
          <t>STURCTURAL / CARCASING METAL / TIMBER
CLADDING/COVERING LININGS/SHEATHING/DRY PARTITIONING</t>
        </is>
      </c>
      <c r="C99" s="82" t="n"/>
      <c r="D99" s="82" t="n"/>
      <c r="E99" s="82" t="n"/>
      <c r="F99" s="531" t="n"/>
      <c r="G99" s="83" t="n"/>
      <c r="H99" s="83" t="n"/>
      <c r="I99" s="83" t="n"/>
      <c r="J99" s="83" t="n"/>
      <c r="K99" s="83" t="n"/>
      <c r="L99" s="83" t="n"/>
      <c r="M99" s="83" t="n"/>
      <c r="N99" s="83" t="n"/>
      <c r="O99" s="83" t="n"/>
      <c r="P99" s="83" t="n"/>
    </row>
    <row r="100">
      <c r="A100" s="100" t="n"/>
      <c r="B100" s="82" t="inlineStr">
        <is>
          <t>WINDOWS/DOORS/STAIRS</t>
        </is>
      </c>
      <c r="C100" s="82" t="n"/>
      <c r="D100" s="82" t="n"/>
      <c r="E100" s="82" t="n"/>
      <c r="F100" s="531" t="n"/>
      <c r="G100" s="83" t="n"/>
      <c r="H100" s="83" t="n"/>
      <c r="I100" s="83" t="n"/>
      <c r="J100" s="83" t="n"/>
      <c r="K100" s="83" t="n"/>
      <c r="L100" s="83" t="n"/>
      <c r="M100" s="83" t="n"/>
      <c r="N100" s="83" t="n"/>
      <c r="O100" s="83" t="n"/>
      <c r="P100" s="83" t="n"/>
    </row>
    <row r="101">
      <c r="A101" s="100" t="n"/>
      <c r="B101" s="82" t="inlineStr">
        <is>
          <t>SURFACE FINISHES</t>
        </is>
      </c>
      <c r="C101" s="82" t="n"/>
      <c r="D101" s="82" t="n"/>
      <c r="E101" s="82" t="n"/>
      <c r="F101" s="531" t="n"/>
      <c r="G101" s="83" t="n"/>
      <c r="H101" s="83" t="n"/>
      <c r="I101" s="83" t="n"/>
      <c r="J101" s="83" t="n"/>
      <c r="K101" s="83" t="n"/>
      <c r="L101" s="83" t="n"/>
      <c r="M101" s="83" t="n"/>
      <c r="N101" s="83" t="n"/>
      <c r="O101" s="83" t="n"/>
      <c r="P101" s="83" t="n"/>
    </row>
    <row r="102">
      <c r="A102" s="100" t="n"/>
      <c r="B102" s="82" t="inlineStr">
        <is>
          <t>FURNITURE/EQUIPMENT</t>
        </is>
      </c>
      <c r="C102" s="82" t="n"/>
      <c r="D102" s="82" t="n"/>
      <c r="E102" s="82" t="n"/>
      <c r="F102" s="531" t="n"/>
      <c r="G102" s="83" t="n"/>
      <c r="H102" s="83" t="n"/>
      <c r="I102" s="83" t="n"/>
      <c r="J102" s="83" t="n"/>
      <c r="K102" s="83" t="n"/>
      <c r="L102" s="83" t="n"/>
      <c r="M102" s="83" t="n"/>
      <c r="N102" s="83" t="n"/>
      <c r="O102" s="83" t="n"/>
      <c r="P102" s="83" t="n"/>
    </row>
    <row r="103">
      <c r="A103" s="100" t="n"/>
      <c r="B103" s="82" t="inlineStr">
        <is>
          <t>ELECTRICAL/FIRE</t>
        </is>
      </c>
      <c r="C103" s="82" t="n"/>
      <c r="D103" s="82" t="n"/>
      <c r="E103" s="82" t="n"/>
      <c r="F103" s="531" t="n"/>
      <c r="G103" s="83" t="n"/>
      <c r="H103" s="83" t="n"/>
      <c r="I103" s="83" t="n"/>
      <c r="J103" s="83" t="n"/>
      <c r="K103" s="83" t="n"/>
      <c r="L103" s="83" t="n"/>
      <c r="M103" s="83" t="n"/>
      <c r="N103" s="83" t="n"/>
      <c r="O103" s="83" t="n"/>
      <c r="P103" s="83" t="n"/>
    </row>
    <row r="104">
      <c r="A104" s="100" t="n"/>
      <c r="B104" s="82" t="inlineStr">
        <is>
          <t>PLUMBING INSTALLATION</t>
        </is>
      </c>
      <c r="C104" s="82" t="n"/>
      <c r="D104" s="82" t="n"/>
      <c r="E104" s="82" t="n"/>
      <c r="F104" s="531" t="n"/>
      <c r="G104" s="83" t="n"/>
      <c r="H104" s="83" t="n"/>
      <c r="I104" s="83" t="n"/>
      <c r="J104" s="83" t="n"/>
      <c r="K104" s="83" t="n"/>
      <c r="L104" s="83" t="n"/>
      <c r="M104" s="83" t="n"/>
      <c r="N104" s="83" t="n"/>
      <c r="O104" s="83" t="n"/>
      <c r="P104" s="83" t="n"/>
    </row>
    <row r="105" ht="14.4" customHeight="1" s="12" thickBot="1">
      <c r="A105" s="100" t="n"/>
      <c r="B105" s="82" t="inlineStr">
        <is>
          <t>VENTILATION /AIR CONDITIONING SYSTEMS
ELEVATOR INSALLATION EXTERNAL WORKS</t>
        </is>
      </c>
      <c r="C105" s="82" t="n"/>
      <c r="D105" s="82" t="n"/>
      <c r="E105" s="82" t="n"/>
      <c r="F105" s="531" t="n"/>
      <c r="G105" s="83" t="n"/>
      <c r="H105" s="83" t="n"/>
      <c r="I105" s="83" t="n"/>
      <c r="J105" s="83" t="n"/>
      <c r="K105" s="83" t="n"/>
      <c r="L105" s="83" t="n"/>
      <c r="M105" s="83" t="n"/>
      <c r="N105" s="83" t="n"/>
      <c r="O105" s="83" t="n"/>
      <c r="P105" s="83" t="n"/>
    </row>
    <row r="106" ht="14.4" customHeight="1" s="12" thickBot="1">
      <c r="A106" s="101" t="n"/>
      <c r="B106" s="102" t="inlineStr">
        <is>
          <t>TO COLLECTION</t>
        </is>
      </c>
      <c r="C106" s="103" t="n"/>
      <c r="D106" s="103" t="n"/>
      <c r="E106" s="103" t="n"/>
      <c r="F106" s="535">
        <f>SUM(F75:F105)</f>
        <v>0.0</v>
      </c>
      <c r="G106" s="83" t="n"/>
      <c r="H106" s="83" t="n"/>
      <c r="I106" s="83" t="n"/>
      <c r="J106" s="83" t="n"/>
      <c r="K106" s="83" t="n"/>
      <c r="L106" s="83" t="n"/>
      <c r="M106" s="83" t="n"/>
      <c r="N106" s="83" t="n"/>
      <c r="O106" s="83" t="n"/>
      <c r="P106" s="83" t="n"/>
    </row>
    <row r="107">
      <c r="A107" s="100" t="inlineStr">
        <is>
          <t>A</t>
        </is>
      </c>
      <c r="B107" s="91" t="inlineStr">
        <is>
          <t>Assistance to Consultant, Etc.</t>
        </is>
      </c>
      <c r="C107" s="91" t="n"/>
      <c r="D107" s="91" t="n"/>
      <c r="E107" s="91" t="n"/>
      <c r="F107" s="530" t="n"/>
      <c r="G107" s="92" t="n"/>
      <c r="H107" s="92" t="n"/>
      <c r="I107" s="92" t="n"/>
      <c r="J107" s="92" t="n"/>
      <c r="K107" s="92" t="n"/>
      <c r="L107" s="92" t="n"/>
      <c r="M107" s="92" t="n"/>
      <c r="N107" s="92" t="n"/>
      <c r="O107" s="92" t="n"/>
      <c r="P107" s="92" t="n"/>
    </row>
    <row r="108" ht="43.2" customHeight="1" s="12">
      <c r="A108" s="100" t="n"/>
      <c r="B108" s="82" t="inlineStr">
        <is>
          <t>Allow a sum for providing all reasonable information, labour and facilities
required by the Supervising Consultant (Resident Clerk of works, Engineer, Architect, Etc) in carrying out their duties in connection with this contract per specification.</t>
        </is>
      </c>
      <c r="C108" s="82" t="n"/>
      <c r="D108" s="82" t="n"/>
      <c r="E108" s="82" t="n"/>
      <c r="F108" s="531" t="n"/>
      <c r="G108" s="83" t="n"/>
      <c r="H108" s="83" t="n"/>
      <c r="I108" s="83" t="n"/>
      <c r="J108" s="83" t="n"/>
      <c r="K108" s="83" t="n"/>
      <c r="L108" s="83" t="n"/>
      <c r="M108" s="83" t="n"/>
      <c r="N108" s="83" t="n"/>
      <c r="O108" s="83" t="n"/>
      <c r="P108" s="83" t="n"/>
    </row>
    <row r="109">
      <c r="A109" s="100" t="n"/>
      <c r="B109" s="82" t="n"/>
      <c r="C109" s="82" t="n"/>
      <c r="D109" s="82" t="n"/>
      <c r="E109" s="82" t="n"/>
      <c r="F109" s="531" t="n"/>
      <c r="G109" s="83" t="n"/>
      <c r="H109" s="83" t="n"/>
      <c r="I109" s="83" t="n"/>
      <c r="J109" s="83" t="n"/>
      <c r="K109" s="83" t="n"/>
      <c r="L109" s="83" t="n"/>
      <c r="M109" s="83" t="n"/>
      <c r="N109" s="83" t="n"/>
      <c r="O109" s="83" t="n"/>
      <c r="P109" s="83" t="n"/>
    </row>
    <row r="110">
      <c r="A110" s="100" t="inlineStr">
        <is>
          <t>B</t>
        </is>
      </c>
      <c r="B110" s="106" t="inlineStr">
        <is>
          <t>Performance  Guarantee</t>
        </is>
      </c>
      <c r="C110" s="97" t="n"/>
      <c r="D110" s="97" t="n"/>
      <c r="E110" s="97" t="n"/>
      <c r="F110" s="537">
        <f>RATES!$D$142</f>
        <v>250000.0</v>
      </c>
      <c r="G110" s="98" t="n"/>
      <c r="H110" s="98" t="n"/>
      <c r="I110" s="98" t="n"/>
      <c r="J110" s="98" t="n"/>
      <c r="K110" s="98" t="n"/>
      <c r="L110" s="98" t="n"/>
      <c r="M110" s="98" t="n"/>
      <c r="N110" s="98" t="n"/>
      <c r="O110" s="98" t="n"/>
      <c r="P110" s="98" t="n"/>
    </row>
    <row r="111" ht="57.6" customHeight="1" s="12">
      <c r="A111" s="100" t="n"/>
      <c r="B111" s="82" t="inlineStr">
        <is>
          <t>The Contractor shall be required within twenty eight (28) days of receiving
the acceptance letter to enter into a written, signed and witnessed guarantee to guarantee the due performance of the works in the sum of ten percent (10%) of the total amount of the contract for performance guarantee .</t>
        </is>
      </c>
      <c r="C111" s="82" t="n"/>
      <c r="D111" s="82" t="n"/>
      <c r="E111" s="82" t="n"/>
      <c r="F111" s="533" t="n"/>
      <c r="G111" s="107" t="n"/>
      <c r="H111" s="83" t="n"/>
      <c r="I111" s="83" t="n"/>
      <c r="J111" s="83" t="n"/>
      <c r="K111" s="83" t="n"/>
      <c r="L111" s="83" t="n"/>
      <c r="M111" s="83" t="n"/>
      <c r="N111" s="83" t="n"/>
      <c r="O111" s="83" t="n"/>
      <c r="P111" s="83" t="n"/>
    </row>
    <row r="112" ht="70.95" customHeight="1" s="12">
      <c r="A112" s="100" t="n"/>
      <c r="B112" s="82" t="inlineStr">
        <is>
          <t>The acceptance of a Performance Guarantee obtained by the Contractor with a  Bank   Company  shall  be  at  the  sole  discretion  of  the  Employer.  The guarantee will remain in force until such time as the Contractor has made good the defects notified to him/her by the Engineer in accordance with the Conditions of Contract.</t>
        </is>
      </c>
      <c r="C112" s="82" t="n"/>
      <c r="D112" s="82" t="n"/>
      <c r="E112" s="82" t="n"/>
      <c r="F112" s="538" t="n"/>
      <c r="G112" s="539" t="n"/>
      <c r="H112" s="83" t="n"/>
      <c r="I112" s="83" t="n"/>
      <c r="J112" s="83" t="n"/>
      <c r="K112" s="83" t="n"/>
      <c r="L112" s="83" t="n"/>
      <c r="M112" s="83" t="n"/>
      <c r="N112" s="83" t="n"/>
      <c r="O112" s="83" t="n"/>
      <c r="P112" s="83" t="n"/>
    </row>
    <row r="113">
      <c r="A113" s="100" t="n"/>
      <c r="B113" s="82" t="n"/>
      <c r="C113" s="82" t="n"/>
      <c r="D113" s="82" t="n"/>
      <c r="E113" s="82" t="n"/>
      <c r="F113" s="531" t="n"/>
      <c r="G113" s="107" t="n"/>
      <c r="H113" s="83" t="n"/>
      <c r="I113" s="83" t="n"/>
      <c r="J113" s="83" t="n"/>
      <c r="K113" s="83" t="n"/>
      <c r="L113" s="83" t="n"/>
      <c r="M113" s="83" t="n"/>
      <c r="N113" s="83" t="n"/>
      <c r="O113" s="83" t="n"/>
      <c r="P113" s="83" t="n"/>
    </row>
    <row r="114">
      <c r="A114" s="100" t="inlineStr">
        <is>
          <t>C</t>
        </is>
      </c>
      <c r="B114" s="106" t="inlineStr">
        <is>
          <t>Advance Payment Guarantee</t>
        </is>
      </c>
      <c r="C114" s="97" t="n"/>
      <c r="D114" s="97" t="n"/>
      <c r="E114" s="97" t="n"/>
      <c r="F114" s="537">
        <f>RATES!$D$143</f>
        <v>150000.0</v>
      </c>
      <c r="G114" s="109" t="n"/>
      <c r="H114" s="98" t="n"/>
      <c r="I114" s="98" t="n"/>
      <c r="J114" s="98" t="n"/>
      <c r="K114" s="98" t="n"/>
      <c r="L114" s="98" t="n"/>
      <c r="M114" s="98" t="n"/>
      <c r="N114" s="98" t="n"/>
      <c r="O114" s="98" t="n"/>
      <c r="P114" s="98" t="n"/>
    </row>
    <row r="115" ht="43.2" customHeight="1" s="12">
      <c r="A115" s="100" t="n"/>
      <c r="B115" s="82" t="inlineStr">
        <is>
          <t>Should any advance be given, the Contractor shall provide as a condition precedent, an acceptable advance guarantee from a Bank covering the amount of the advance until its repayment in full.</t>
        </is>
      </c>
      <c r="C115" s="82" t="n"/>
      <c r="D115" s="82" t="n"/>
      <c r="E115" s="82" t="n"/>
      <c r="F115" s="538" t="n"/>
      <c r="G115" s="539" t="n"/>
      <c r="H115" s="83" t="n"/>
      <c r="I115" s="83" t="n"/>
      <c r="J115" s="83" t="n"/>
      <c r="K115" s="83" t="n"/>
      <c r="L115" s="83" t="n"/>
      <c r="M115" s="83" t="n"/>
      <c r="N115" s="83" t="n"/>
      <c r="O115" s="83" t="n"/>
      <c r="P115" s="83" t="n"/>
    </row>
    <row r="116">
      <c r="A116" s="100" t="n"/>
      <c r="B116" s="99" t="n"/>
      <c r="C116" s="99" t="n"/>
      <c r="D116" s="99" t="n"/>
      <c r="E116" s="99" t="n"/>
      <c r="F116" s="533" t="n"/>
      <c r="G116" s="110" t="n"/>
    </row>
    <row r="117">
      <c r="A117" s="100" t="n"/>
      <c r="B117" s="106" t="inlineStr">
        <is>
          <t>All Risks Insurance</t>
        </is>
      </c>
      <c r="C117" s="99" t="n"/>
      <c r="D117" s="99" t="n"/>
      <c r="E117" s="99" t="n"/>
      <c r="F117" s="533" t="n"/>
      <c r="G117" s="110" t="n"/>
    </row>
    <row r="118" ht="43.2" customHeight="1" s="12">
      <c r="A118" s="111" t="inlineStr">
        <is>
          <t>D</t>
        </is>
      </c>
      <c r="B118" s="82" t="inlineStr">
        <is>
          <t>Provide and maintain All Risks Insurance for the Works, plant, materials, and temporary works including third-party liability, in accordance with the Conditions of Contract.</t>
        </is>
      </c>
      <c r="C118" s="99" t="n"/>
      <c r="D118" s="99" t="n"/>
      <c r="E118" s="99" t="n"/>
      <c r="F118" s="540">
        <f>RATES!$D$144</f>
        <v>450000.0</v>
      </c>
      <c r="G118" s="110" t="n"/>
    </row>
    <row r="119">
      <c r="A119" s="100" t="n"/>
      <c r="B119" s="99" t="n"/>
      <c r="C119" s="99" t="n"/>
      <c r="D119" s="99" t="n"/>
      <c r="E119" s="99" t="n"/>
      <c r="F119" s="533" t="n"/>
      <c r="G119" s="110" t="n"/>
    </row>
    <row r="120">
      <c r="A120" s="100" t="n"/>
      <c r="B120" s="99" t="n"/>
      <c r="C120" s="99" t="n"/>
      <c r="D120" s="99" t="n"/>
      <c r="E120" s="99" t="n"/>
      <c r="F120" s="533" t="n"/>
      <c r="G120" s="110" t="n"/>
    </row>
    <row r="121">
      <c r="A121" s="100" t="inlineStr">
        <is>
          <t>E</t>
        </is>
      </c>
      <c r="B121" s="112" t="inlineStr">
        <is>
          <t>Direct Payments</t>
        </is>
      </c>
      <c r="C121" s="112" t="n"/>
      <c r="D121" s="112" t="n"/>
      <c r="E121" s="112" t="n"/>
      <c r="F121" s="533" t="n"/>
      <c r="G121" s="110" t="n"/>
    </row>
    <row r="122" ht="72" customHeight="1" s="12">
      <c r="A122" s="100" t="n"/>
      <c r="B122" s="99" t="inlineStr">
        <is>
          <t>The  Direct  Payment are  for  works,  materials/components to  be  provided
either by the Employer or by persons directly contracted to/or directly engaged by him/her. The sums will not be paid to or through the Contractor. They will be deducted in full from the contract sum as and when the works and materials/components are delivered.</t>
        </is>
      </c>
      <c r="C122" s="99" t="n"/>
      <c r="D122" s="99" t="n"/>
      <c r="E122" s="99" t="n"/>
      <c r="F122" s="533" t="n"/>
      <c r="G122" s="110" t="n"/>
      <c r="I122" s="541" t="n"/>
    </row>
    <row r="123">
      <c r="A123" s="100" t="n"/>
      <c r="B123" s="99" t="n"/>
      <c r="C123" s="99" t="n"/>
      <c r="D123" s="99" t="n"/>
      <c r="E123" s="99" t="n"/>
      <c r="F123" s="533" t="n"/>
      <c r="I123" s="541" t="n"/>
    </row>
    <row r="124">
      <c r="A124" s="100" t="inlineStr">
        <is>
          <t>F</t>
        </is>
      </c>
      <c r="B124" s="112" t="inlineStr">
        <is>
          <t>Setting Out the Works</t>
        </is>
      </c>
      <c r="C124" s="112" t="n"/>
      <c r="D124" s="112" t="n"/>
      <c r="E124" s="112" t="n"/>
      <c r="F124" s="542">
        <f>RATES!$D$145</f>
        <v>60000.0</v>
      </c>
      <c r="I124" s="543" t="n"/>
    </row>
    <row r="125" ht="72" customHeight="1" s="12">
      <c r="A125" s="100" t="n"/>
      <c r="B125" s="99" t="inlineStr">
        <is>
          <t>At commencement of the contract and during progress of the works, the
Contractor shall  set  out  the  whole  of  the  works  in  accordance with  the drawings and in conjunction with levels and measurements taken on the site and  shall  be  responsible  for  the  accuracy  thereof,  and  if  inaccurate,  for making alterations as required by the Engineer.</t>
        </is>
      </c>
      <c r="C125" s="99" t="n"/>
      <c r="D125" s="99" t="n"/>
      <c r="E125" s="99" t="n"/>
      <c r="F125" s="533" t="n"/>
      <c r="I125" s="115" t="n"/>
    </row>
    <row r="126" ht="57.6" customHeight="1" s="12">
      <c r="A126" s="100" t="n"/>
      <c r="B126" s="99" t="inlineStr">
        <is>
          <t>The Contractor shall perform all setting out by a method to be approved by
the Engineer and provide all instruments, templates, rods and setting out boards  etc.  as  may  be  necessary  for  this  purpose  and  where  required maintain these for reference during the progress of the works.</t>
        </is>
      </c>
      <c r="C126" s="99" t="n"/>
      <c r="D126" s="99" t="n"/>
      <c r="E126" s="99" t="n"/>
      <c r="F126" s="533" t="n"/>
      <c r="I126" s="541" t="n"/>
    </row>
    <row r="127" ht="28.8" customHeight="1" s="12">
      <c r="A127" s="100" t="n"/>
      <c r="B127" s="99" t="inlineStr">
        <is>
          <t>The Contractor shall protect and preserve all bench marks, site rails, pegs and other items used for setting out the works.</t>
        </is>
      </c>
      <c r="C127" s="99" t="n"/>
      <c r="D127" s="99" t="n"/>
      <c r="E127" s="99" t="n"/>
      <c r="F127" s="533" t="n"/>
    </row>
    <row r="128">
      <c r="A128" s="100" t="n"/>
      <c r="B128" s="99" t="n"/>
      <c r="C128" s="99" t="n"/>
      <c r="D128" s="99" t="n"/>
      <c r="E128" s="99" t="n"/>
      <c r="F128" s="533" t="n"/>
    </row>
    <row r="129">
      <c r="A129" s="100" t="inlineStr">
        <is>
          <t>G</t>
        </is>
      </c>
      <c r="B129" s="112" t="inlineStr">
        <is>
          <t>Existing Materials on Site</t>
        </is>
      </c>
      <c r="C129" s="112" t="n"/>
      <c r="D129" s="112" t="n"/>
      <c r="E129" s="112" t="n"/>
      <c r="F129" s="533" t="n"/>
    </row>
    <row r="130" ht="72" customHeight="1" s="12">
      <c r="A130" s="100" t="n"/>
      <c r="B130" s="99" t="inlineStr">
        <is>
          <t>Sand, gravel, vegetable soil, turf and other materials obtained from the site shall remain the property of the Employer until removed from the site in accordance with the contract. Excavations shall not be made or enlarged for the purpose of obtaining such materials. These materials shall not be used for any purpose other than for the execution of the works.</t>
        </is>
      </c>
      <c r="C130" s="99" t="n"/>
      <c r="D130" s="99" t="n"/>
      <c r="E130" s="99" t="n"/>
      <c r="F130" s="533" t="n"/>
    </row>
    <row r="131">
      <c r="A131" s="100" t="n"/>
      <c r="B131" s="99" t="n"/>
      <c r="C131" s="99" t="n"/>
      <c r="D131" s="99" t="n"/>
      <c r="E131" s="99" t="n"/>
      <c r="F131" s="533" t="n"/>
    </row>
    <row r="132">
      <c r="A132" s="100" t="inlineStr">
        <is>
          <t>H</t>
        </is>
      </c>
      <c r="B132" s="112" t="inlineStr">
        <is>
          <t>Maintenance of Services</t>
        </is>
      </c>
      <c r="C132" s="112" t="n"/>
      <c r="D132" s="112" t="n"/>
      <c r="E132" s="112" t="n"/>
      <c r="F132" s="533" t="n"/>
    </row>
    <row r="133" ht="86.40000000000001" customHeight="1" s="12">
      <c r="A133" s="100" t="n"/>
      <c r="B133" s="99" t="inlineStr">
        <is>
          <t>The  Contractor  shall  protect,  uphold,  temporarily  direct  and  maintain  all pipes, ducts, drains, sewers, service mains, overhead cables and the like during the execution of the works. The Contractor shall make good damage to  any cause within its control at  its own expense or  pay any costs and charges in connection therewith. Approval shall be obtained at least two (2) weeks in advance if any services have to be interrupted.</t>
        </is>
      </c>
      <c r="C133" s="99" t="n"/>
      <c r="D133" s="99" t="n"/>
      <c r="E133" s="99" t="n"/>
      <c r="F133" s="533" t="n"/>
    </row>
    <row r="134">
      <c r="A134" s="100" t="n"/>
      <c r="B134" s="99" t="n"/>
      <c r="C134" s="99" t="n"/>
      <c r="D134" s="99" t="n"/>
      <c r="E134" s="99" t="n"/>
      <c r="F134" s="533" t="n"/>
    </row>
    <row r="135">
      <c r="A135" s="100" t="inlineStr">
        <is>
          <t>H</t>
        </is>
      </c>
      <c r="B135" s="116" t="inlineStr">
        <is>
          <t>Temporary Accommodation for the Employer</t>
        </is>
      </c>
      <c r="C135" s="116" t="n"/>
      <c r="D135" s="116" t="n"/>
      <c r="E135" s="116" t="n"/>
      <c r="F135" s="544" t="n"/>
      <c r="G135" s="117" t="n"/>
      <c r="H135" s="117" t="n"/>
      <c r="I135" s="117" t="n"/>
      <c r="J135" s="117" t="n"/>
      <c r="K135" s="117" t="n"/>
      <c r="L135" s="117" t="n"/>
      <c r="M135" s="117" t="n"/>
      <c r="N135" s="117" t="n"/>
      <c r="O135" s="117" t="n"/>
      <c r="P135" s="117" t="n"/>
    </row>
    <row r="136" ht="85.2" customHeight="1" s="12" thickBot="1">
      <c r="A136" s="100" t="n"/>
      <c r="B136" s="82" t="inlineStr">
        <is>
          <t>The  Contractor  shall  at  his/her  own  expense  provide  and  erect  suitable offices of not less than fifty (50) square metres in floor area for the exclusive use of the Client's consultants complete with plan chest, tables  and  chairs,  other  furniture  and  equipment including  the  supply of electricity.(N/A)</t>
        </is>
      </c>
      <c r="C136" s="82" t="n"/>
      <c r="D136" s="82" t="n"/>
      <c r="E136" s="82" t="n"/>
      <c r="F136" s="531" t="n"/>
      <c r="G136" s="93">
        <f>F136*70%</f>
        <v>0.0</v>
      </c>
      <c r="H136" s="83" t="n"/>
      <c r="I136" s="83" t="n"/>
      <c r="J136" s="83" t="n"/>
      <c r="K136" s="83" t="n"/>
      <c r="L136" s="83" t="n"/>
      <c r="M136" s="83" t="n"/>
      <c r="N136" s="83" t="n"/>
      <c r="O136" s="83" t="n"/>
      <c r="P136" s="83" t="n"/>
    </row>
    <row r="137" ht="18.6" customHeight="1" s="12" thickBot="1">
      <c r="A137" s="101" t="n"/>
      <c r="B137" s="102" t="inlineStr">
        <is>
          <t>TO COLLECTION</t>
        </is>
      </c>
      <c r="C137" s="103" t="n"/>
      <c r="D137" s="103" t="n"/>
      <c r="E137" s="103" t="n"/>
      <c r="F137" s="545">
        <f>SUM(F107:F136)</f>
        <v>910000.0</v>
      </c>
      <c r="G137" s="83" t="n"/>
      <c r="H137" s="83" t="n"/>
      <c r="I137" s="83" t="n"/>
      <c r="J137" s="83" t="n"/>
      <c r="K137" s="83" t="n"/>
      <c r="L137" s="83" t="n"/>
      <c r="M137" s="83" t="n"/>
      <c r="N137" s="83" t="n"/>
      <c r="O137" s="83" t="n"/>
      <c r="P137" s="83" t="n"/>
    </row>
    <row r="138">
      <c r="A138" s="100" t="inlineStr">
        <is>
          <t>A</t>
        </is>
      </c>
      <c r="B138" s="97" t="inlineStr">
        <is>
          <t>Semi-Permanent Name/Project Display Board</t>
        </is>
      </c>
      <c r="C138" s="97" t="n"/>
      <c r="D138" s="97" t="n"/>
      <c r="E138" s="97" t="n"/>
      <c r="F138" s="546">
        <f>RATES!$D$146</f>
        <v>25000.0</v>
      </c>
      <c r="G138" s="98" t="n"/>
      <c r="H138" s="98" t="n"/>
      <c r="I138" s="98" t="n"/>
      <c r="J138" s="98" t="n"/>
      <c r="K138" s="98" t="n"/>
      <c r="L138" s="98" t="n"/>
      <c r="M138" s="98" t="n"/>
      <c r="N138" s="98" t="n"/>
      <c r="O138" s="98" t="n"/>
      <c r="P138" s="98" t="n"/>
    </row>
    <row r="139" ht="71.40000000000001" customHeight="1" s="12">
      <c r="A139" s="100" t="n"/>
      <c r="B139" s="82" t="inlineStr">
        <is>
          <t>The Contractor shall provide a steel framed and steel sheet notice board at the entrance of the site bearing the names of the Project, Contractor, 3-D architects impression of the project  and all Consultants. The size, design and colour of the notice board shall be subject to the approval of the Engineer.</t>
        </is>
      </c>
      <c r="C139" s="82" t="n"/>
      <c r="D139" s="82" t="n"/>
      <c r="E139" s="82" t="n"/>
      <c r="F139" s="538" t="n"/>
      <c r="G139" s="83" t="n"/>
      <c r="H139" s="83" t="n"/>
      <c r="I139" s="83" t="n"/>
      <c r="J139" s="83" t="n"/>
      <c r="K139" s="83" t="n"/>
      <c r="L139" s="83" t="n"/>
      <c r="M139" s="83" t="n"/>
      <c r="N139" s="83" t="n"/>
      <c r="O139" s="83" t="n"/>
      <c r="P139" s="83" t="n"/>
    </row>
    <row r="140">
      <c r="A140" s="100" t="n"/>
      <c r="B140" s="82" t="n"/>
      <c r="C140" s="82" t="n"/>
      <c r="D140" s="82" t="n"/>
      <c r="E140" s="82" t="n"/>
      <c r="F140" s="531" t="n"/>
      <c r="G140" s="83" t="n"/>
      <c r="H140" s="83" t="n"/>
      <c r="I140" s="83" t="n"/>
      <c r="J140" s="83" t="n"/>
      <c r="K140" s="83" t="n"/>
      <c r="L140" s="83" t="n"/>
      <c r="M140" s="83" t="n"/>
      <c r="N140" s="83" t="n"/>
      <c r="O140" s="83" t="n"/>
      <c r="P140" s="83" t="n"/>
    </row>
    <row r="141">
      <c r="A141" s="100" t="inlineStr">
        <is>
          <t>B</t>
        </is>
      </c>
      <c r="B141" s="97" t="inlineStr">
        <is>
          <t>Advertising Right</t>
        </is>
      </c>
      <c r="C141" s="97" t="n"/>
      <c r="D141" s="97" t="n"/>
      <c r="E141" s="97" t="n"/>
      <c r="F141" s="544" t="n"/>
      <c r="G141" s="117" t="n"/>
      <c r="H141" s="117" t="n"/>
      <c r="I141" s="117" t="n"/>
      <c r="J141" s="117" t="n"/>
      <c r="K141" s="117" t="n"/>
      <c r="L141" s="117" t="n"/>
      <c r="M141" s="117" t="n"/>
      <c r="N141" s="117" t="n"/>
      <c r="O141" s="117" t="n"/>
      <c r="P141" s="117" t="n"/>
    </row>
    <row r="142" ht="43.2" customHeight="1" s="12">
      <c r="A142" s="100" t="n"/>
      <c r="B142" s="82" t="inlineStr">
        <is>
          <t>The Contractor shall not display any other notice or advertisement in any
form on any part of the site, works, hoardings or adjoining ground without the prior approval in writing of the Engineer.</t>
        </is>
      </c>
      <c r="C142" s="82" t="n"/>
      <c r="D142" s="82" t="n"/>
      <c r="E142" s="82" t="n"/>
      <c r="F142" s="531" t="n"/>
      <c r="G142" s="83" t="n"/>
      <c r="H142" s="83" t="n"/>
      <c r="I142" s="83" t="n"/>
      <c r="J142" s="83" t="n"/>
      <c r="K142" s="83" t="n"/>
      <c r="L142" s="83" t="n"/>
      <c r="M142" s="83" t="n"/>
      <c r="N142" s="83" t="n"/>
      <c r="O142" s="83" t="n"/>
      <c r="P142" s="83" t="n"/>
    </row>
    <row r="143">
      <c r="A143" s="100" t="n"/>
      <c r="B143" s="82" t="n"/>
      <c r="C143" s="82" t="n"/>
      <c r="D143" s="82" t="n"/>
      <c r="E143" s="82" t="n"/>
      <c r="F143" s="531" t="n"/>
      <c r="G143" s="83" t="n"/>
      <c r="H143" s="83" t="n"/>
      <c r="I143" s="83" t="n"/>
      <c r="J143" s="83" t="n"/>
      <c r="K143" s="83" t="n"/>
      <c r="L143" s="83" t="n"/>
      <c r="M143" s="83" t="n"/>
      <c r="N143" s="83" t="n"/>
      <c r="O143" s="83" t="n"/>
      <c r="P143" s="83" t="n"/>
    </row>
    <row r="144">
      <c r="A144" s="100" t="inlineStr">
        <is>
          <t>C</t>
        </is>
      </c>
      <c r="B144" s="97" t="inlineStr">
        <is>
          <t>Records of Temperature, Visitors, etc</t>
        </is>
      </c>
      <c r="C144" s="97" t="n"/>
      <c r="D144" s="97" t="n"/>
      <c r="E144" s="97" t="n"/>
      <c r="F144" s="544" t="n"/>
      <c r="G144" s="117" t="n"/>
      <c r="H144" s="117" t="n"/>
      <c r="I144" s="117" t="n"/>
      <c r="J144" s="117" t="n"/>
      <c r="K144" s="117" t="n"/>
      <c r="L144" s="117" t="n"/>
      <c r="M144" s="117" t="n"/>
      <c r="N144" s="117" t="n"/>
      <c r="O144" s="117" t="n"/>
      <c r="P144" s="117" t="n"/>
    </row>
    <row r="145" ht="28.8" customHeight="1" s="12">
      <c r="A145" s="100" t="n"/>
      <c r="B145" s="82" t="inlineStr">
        <is>
          <t>The Contractor shall keep accurate records of the temperature, visitors and any other occurrences affecting the progress of quality of the works.</t>
        </is>
      </c>
      <c r="C145" s="82" t="n"/>
      <c r="D145" s="82" t="n"/>
      <c r="E145" s="82" t="n"/>
      <c r="F145" s="533" t="n"/>
      <c r="G145" s="118" t="n"/>
      <c r="H145" s="118" t="n"/>
      <c r="I145" s="118" t="n"/>
      <c r="J145" s="118" t="n"/>
      <c r="K145" s="118" t="n"/>
      <c r="L145" s="118" t="n"/>
      <c r="M145" s="118" t="n"/>
      <c r="N145" s="118" t="n"/>
      <c r="O145" s="118" t="n"/>
      <c r="P145" s="118" t="n"/>
    </row>
    <row r="146">
      <c r="A146" s="100" t="n"/>
      <c r="B146" s="82" t="n"/>
      <c r="C146" s="82" t="n"/>
      <c r="D146" s="82" t="n"/>
      <c r="E146" s="82" t="n"/>
      <c r="F146" s="533" t="n"/>
      <c r="G146" s="118" t="n"/>
      <c r="H146" s="118" t="n"/>
      <c r="I146" s="118" t="n"/>
      <c r="J146" s="118" t="n"/>
      <c r="K146" s="118" t="n"/>
      <c r="L146" s="118" t="n"/>
      <c r="M146" s="118" t="n"/>
      <c r="N146" s="118" t="n"/>
      <c r="O146" s="118" t="n"/>
      <c r="P146" s="118" t="n"/>
    </row>
    <row r="147">
      <c r="A147" s="100" t="inlineStr">
        <is>
          <t>D</t>
        </is>
      </c>
      <c r="B147" s="97" t="inlineStr">
        <is>
          <t>Transport for work people</t>
        </is>
      </c>
      <c r="C147" s="97" t="n"/>
      <c r="D147" s="97" t="n"/>
      <c r="E147" s="97" t="n"/>
      <c r="F147" s="547">
        <f>RATES!$D$147</f>
        <v>180000.0</v>
      </c>
      <c r="G147" s="117" t="n"/>
      <c r="H147" s="117" t="n"/>
      <c r="I147" s="117" t="n"/>
      <c r="J147" s="117" t="n"/>
      <c r="K147" s="117" t="n"/>
      <c r="L147" s="117" t="n"/>
      <c r="M147" s="117" t="n"/>
      <c r="N147" s="117" t="n"/>
      <c r="O147" s="117" t="n"/>
      <c r="P147" s="117" t="n"/>
    </row>
    <row r="148" ht="30" customHeight="1" s="12">
      <c r="A148" s="100" t="n"/>
      <c r="B148" s="82" t="inlineStr">
        <is>
          <t>Allow for all costs in connection with the provision of transport for work
people.</t>
        </is>
      </c>
      <c r="C148" s="82" t="n"/>
      <c r="D148" s="82" t="n"/>
      <c r="E148" s="82" t="n"/>
      <c r="F148" s="531" t="n"/>
      <c r="G148" s="548" t="n"/>
      <c r="H148" s="83" t="n"/>
      <c r="I148" s="83" t="n"/>
      <c r="J148" s="83" t="n"/>
      <c r="K148" s="83" t="n"/>
      <c r="L148" s="83" t="n"/>
      <c r="M148" s="83" t="n"/>
      <c r="N148" s="83" t="n"/>
      <c r="O148" s="83" t="n"/>
      <c r="P148" s="83" t="n"/>
    </row>
    <row r="149">
      <c r="A149" s="100" t="n"/>
      <c r="B149" s="82" t="n"/>
      <c r="C149" s="82" t="n"/>
      <c r="D149" s="82" t="n"/>
      <c r="E149" s="82" t="n"/>
      <c r="F149" s="531" t="n"/>
      <c r="G149" s="83" t="n"/>
      <c r="H149" s="83" t="n"/>
      <c r="I149" s="83" t="n"/>
      <c r="J149" s="83" t="n"/>
      <c r="K149" s="83" t="n"/>
      <c r="L149" s="83" t="n"/>
      <c r="M149" s="83" t="n"/>
      <c r="N149" s="83" t="n"/>
      <c r="O149" s="83" t="n"/>
      <c r="P149" s="83" t="n"/>
    </row>
    <row r="150">
      <c r="A150" s="100" t="inlineStr">
        <is>
          <t>E</t>
        </is>
      </c>
      <c r="B150" s="97" t="inlineStr">
        <is>
          <t>Surveying Equipment</t>
        </is>
      </c>
      <c r="C150" s="97" t="n"/>
      <c r="D150" s="97" t="n"/>
      <c r="E150" s="97" t="n"/>
      <c r="F150" s="547">
        <f>RATES!$D$148</f>
        <v>40000.0</v>
      </c>
      <c r="G150" s="117" t="n"/>
      <c r="H150" s="117" t="n"/>
      <c r="I150" s="117" t="n"/>
      <c r="J150" s="117" t="n"/>
      <c r="K150" s="117" t="n"/>
      <c r="L150" s="117" t="n"/>
      <c r="M150" s="117" t="n"/>
      <c r="N150" s="117" t="n"/>
      <c r="O150" s="117" t="n"/>
      <c r="P150" s="117" t="n"/>
    </row>
    <row r="151" ht="57.6" customHeight="1" s="12">
      <c r="A151" s="100" t="n"/>
      <c r="B151" s="82" t="inlineStr">
        <is>
          <t>The Contractor shall provide and keep on the works a level tripod and staff for the sole use of the Clerk of Works and other artisans employed directly by the Employer. The instrument shall be maintained in proper adjustment by the Contractor who shall also provide all necessary attendance.</t>
        </is>
      </c>
      <c r="C151" s="82" t="n"/>
      <c r="D151" s="82" t="n"/>
      <c r="E151" s="82" t="n"/>
      <c r="F151" s="533" t="n"/>
      <c r="G151" s="118" t="n"/>
      <c r="H151" s="118" t="n"/>
      <c r="I151" s="118" t="n"/>
      <c r="J151" s="118" t="n"/>
      <c r="K151" s="118" t="n"/>
      <c r="L151" s="118" t="n"/>
      <c r="M151" s="118" t="n"/>
      <c r="N151" s="118" t="n"/>
      <c r="O151" s="118" t="n"/>
      <c r="P151" s="118" t="n"/>
    </row>
    <row r="152">
      <c r="A152" s="100" t="n"/>
      <c r="B152" s="99" t="n"/>
      <c r="C152" s="99" t="n"/>
      <c r="D152" s="99" t="n"/>
      <c r="E152" s="99" t="n"/>
      <c r="F152" s="533" t="n"/>
    </row>
    <row r="153">
      <c r="A153" s="100" t="n"/>
      <c r="B153" s="91" t="inlineStr">
        <is>
          <t>NOMINATED SUB-CONTRACTORS, SUPPLIERS AND PUBLIC BODIES</t>
        </is>
      </c>
      <c r="C153" s="91" t="n"/>
      <c r="D153" s="91" t="n"/>
      <c r="E153" s="91" t="n"/>
      <c r="F153" s="530" t="n"/>
      <c r="G153" s="92" t="n"/>
      <c r="H153" s="92" t="n"/>
      <c r="I153" s="92" t="n"/>
      <c r="J153" s="92" t="n"/>
      <c r="K153" s="92" t="n"/>
      <c r="L153" s="92" t="n"/>
      <c r="M153" s="92" t="n"/>
      <c r="N153" s="92" t="n"/>
      <c r="O153" s="92" t="n"/>
      <c r="P153" s="92" t="n"/>
    </row>
    <row r="154">
      <c r="A154" s="100" t="inlineStr">
        <is>
          <t>F</t>
        </is>
      </c>
      <c r="B154" s="97" t="inlineStr">
        <is>
          <t>Nominated Sub-Contractors</t>
        </is>
      </c>
      <c r="C154" s="97" t="n"/>
      <c r="D154" s="97" t="n"/>
      <c r="E154" s="97" t="n"/>
      <c r="F154" s="544" t="n"/>
      <c r="G154" s="117" t="n"/>
      <c r="H154" s="117" t="n"/>
      <c r="I154" s="117" t="n"/>
      <c r="J154" s="117" t="n"/>
      <c r="K154" s="117" t="n"/>
      <c r="L154" s="117" t="n"/>
      <c r="M154" s="117" t="n"/>
      <c r="N154" s="117" t="n"/>
      <c r="O154" s="117" t="n"/>
      <c r="P154" s="117" t="n"/>
    </row>
    <row r="155" ht="58.2" customHeight="1" s="12">
      <c r="A155" s="100" t="n"/>
      <c r="B155" s="82" t="inlineStr">
        <is>
          <t>The Contractor shall be responsible for the supervision and administration of any Nominated Sub-Contractor in accordance with the Conditions of Contract and will be required to arrange a programme with each Nominated Sub- Contractor.</t>
        </is>
      </c>
      <c r="C155" s="82" t="n"/>
      <c r="D155" s="82" t="n"/>
      <c r="E155" s="82" t="n"/>
      <c r="F155" s="531" t="n"/>
      <c r="G155" s="83" t="n"/>
      <c r="H155" s="83" t="n"/>
      <c r="I155" s="83" t="n"/>
      <c r="J155" s="83" t="n"/>
      <c r="K155" s="83" t="n"/>
      <c r="L155" s="83" t="n"/>
      <c r="M155" s="83" t="n"/>
      <c r="N155" s="83" t="n"/>
      <c r="O155" s="83" t="n"/>
      <c r="P155" s="83" t="n"/>
    </row>
    <row r="156" ht="28.8" customHeight="1" s="12">
      <c r="A156" s="100" t="n"/>
      <c r="B156" s="82" t="inlineStr">
        <is>
          <t>Works required to be executed by a Nominated Sub-Contractor are given as
Prime Cost (PC) Sums.</t>
        </is>
      </c>
      <c r="C156" s="82" t="n"/>
      <c r="D156" s="82" t="n"/>
      <c r="E156" s="82" t="n"/>
      <c r="F156" s="531" t="n"/>
      <c r="G156" s="83" t="n"/>
      <c r="H156" s="83" t="n"/>
      <c r="I156" s="83" t="n"/>
      <c r="J156" s="83" t="n"/>
      <c r="K156" s="83" t="n"/>
      <c r="L156" s="83" t="n"/>
      <c r="M156" s="83" t="n"/>
      <c r="N156" s="83" t="n"/>
      <c r="O156" s="83" t="n"/>
      <c r="P156" s="83" t="n"/>
    </row>
    <row r="157">
      <c r="A157" s="100" t="n"/>
      <c r="B157" s="82" t="n"/>
      <c r="C157" s="82" t="n"/>
      <c r="D157" s="82" t="n"/>
      <c r="E157" s="82" t="n"/>
      <c r="F157" s="531" t="n"/>
      <c r="G157" s="83" t="n"/>
      <c r="H157" s="83" t="n"/>
      <c r="I157" s="83" t="n"/>
      <c r="J157" s="83" t="n"/>
      <c r="K157" s="83" t="n"/>
      <c r="L157" s="83" t="n"/>
      <c r="M157" s="83" t="n"/>
      <c r="N157" s="83" t="n"/>
      <c r="O157" s="83" t="n"/>
      <c r="P157" s="83" t="n"/>
    </row>
    <row r="158">
      <c r="A158" s="100" t="inlineStr">
        <is>
          <t>G</t>
        </is>
      </c>
      <c r="B158" s="97" t="inlineStr">
        <is>
          <t>Payments to Nominated Sub-Contractors</t>
        </is>
      </c>
      <c r="C158" s="97" t="n"/>
      <c r="D158" s="97" t="n"/>
      <c r="E158" s="97" t="n"/>
      <c r="F158" s="544" t="n"/>
      <c r="G158" s="117" t="n"/>
      <c r="H158" s="117" t="n"/>
      <c r="I158" s="117" t="n"/>
      <c r="J158" s="117" t="n"/>
      <c r="K158" s="117" t="n"/>
      <c r="L158" s="117" t="n"/>
      <c r="M158" s="117" t="n"/>
      <c r="N158" s="117" t="n"/>
      <c r="O158" s="117" t="n"/>
      <c r="P158" s="117" t="n"/>
    </row>
    <row r="159" ht="57.6" customHeight="1" s="12">
      <c r="A159" s="100" t="n"/>
      <c r="B159" s="82" t="inlineStr">
        <is>
          <t>At the time of every valuation of the works for Interim Certificate purposes, the Contractor shall submit in duplicate (through Consultants as applicable) with one copy to the Quantity Surveyor, a statement from each of the Nominated Sub-Contractors showing:</t>
        </is>
      </c>
      <c r="C159" s="82" t="n"/>
      <c r="D159" s="82" t="n"/>
      <c r="E159" s="82" t="n"/>
      <c r="F159" s="531" t="n"/>
      <c r="G159" s="83" t="n"/>
      <c r="H159" s="83" t="n"/>
      <c r="I159" s="83" t="n"/>
      <c r="J159" s="83" t="n"/>
      <c r="K159" s="83" t="n"/>
      <c r="L159" s="83" t="n"/>
      <c r="M159" s="83" t="n"/>
      <c r="N159" s="83" t="n"/>
      <c r="O159" s="83" t="n"/>
      <c r="P159" s="83" t="n"/>
    </row>
    <row r="160" ht="28.8" customHeight="1" s="12">
      <c r="A160" s="100" t="n"/>
      <c r="B160" s="82" t="inlineStr">
        <is>
          <t>I. ► The gross amount (including cash discount and retention) claimed in the current valuation.</t>
        </is>
      </c>
      <c r="C160" s="82" t="n"/>
      <c r="D160" s="82" t="n"/>
      <c r="E160" s="82" t="n"/>
      <c r="F160" s="533" t="n"/>
      <c r="G160" s="118" t="n"/>
      <c r="H160" s="118" t="n"/>
      <c r="I160" s="118" t="n"/>
      <c r="J160" s="118" t="n"/>
      <c r="K160" s="118" t="n"/>
      <c r="L160" s="118" t="n"/>
      <c r="M160" s="118" t="n"/>
      <c r="N160" s="118" t="n"/>
      <c r="O160" s="118" t="n"/>
      <c r="P160" s="118" t="n"/>
    </row>
    <row r="161" ht="28.8" customHeight="1" s="12">
      <c r="A161" s="100" t="n"/>
      <c r="B161" s="82" t="inlineStr">
        <is>
          <t>An amount in respect of Nominated Sub-Contractors will not be included in valuation unless these statements are receive in good time.</t>
        </is>
      </c>
      <c r="C161" s="82" t="n"/>
      <c r="D161" s="82" t="n"/>
      <c r="E161" s="82" t="n"/>
      <c r="F161" s="531" t="n"/>
      <c r="G161" s="83" t="n"/>
      <c r="H161" s="83" t="n"/>
      <c r="I161" s="83" t="n"/>
      <c r="J161" s="83" t="n"/>
      <c r="K161" s="83" t="n"/>
      <c r="L161" s="83" t="n"/>
      <c r="M161" s="83" t="n"/>
      <c r="N161" s="83" t="n"/>
      <c r="O161" s="83" t="n"/>
      <c r="P161" s="83" t="n"/>
    </row>
    <row r="162" ht="58.2" customHeight="1" s="12" thickBot="1">
      <c r="A162" s="100" t="n"/>
      <c r="B162" s="82" t="inlineStr">
        <is>
          <t>These statements will be accepted as "reasonable proof" of payments to the Nominated Sub-Contractor, however, in addition, the receipted invoices of Nominated Sub-Contractors, shall be submitted to the Quantity Surveyor as a proof of such payments.</t>
        </is>
      </c>
      <c r="C162" s="82" t="n"/>
      <c r="D162" s="82" t="n"/>
      <c r="E162" s="82" t="n"/>
      <c r="F162" s="531" t="n"/>
      <c r="G162" s="83" t="n"/>
      <c r="H162" s="83" t="n"/>
      <c r="I162" s="83" t="n"/>
      <c r="J162" s="83" t="n"/>
      <c r="K162" s="83" t="n"/>
      <c r="L162" s="83" t="n"/>
      <c r="M162" s="83" t="n"/>
      <c r="N162" s="83" t="n"/>
      <c r="O162" s="83" t="n"/>
      <c r="P162" s="83" t="n"/>
    </row>
    <row r="163" ht="18.6" customHeight="1" s="12" thickBot="1">
      <c r="A163" s="101" t="n"/>
      <c r="B163" s="102" t="inlineStr">
        <is>
          <t>TO COLLECTION</t>
        </is>
      </c>
      <c r="C163" s="103" t="n"/>
      <c r="D163" s="103" t="n"/>
      <c r="E163" s="103" t="n"/>
      <c r="F163" s="545">
        <f>SUM(F138:F162)</f>
        <v>245000.0</v>
      </c>
      <c r="G163" s="83" t="n"/>
      <c r="H163" s="83" t="n"/>
      <c r="I163" s="83" t="n"/>
      <c r="J163" s="83" t="n"/>
      <c r="K163" s="83" t="n"/>
      <c r="L163" s="83" t="n"/>
      <c r="M163" s="83" t="n"/>
      <c r="N163" s="83" t="n"/>
      <c r="O163" s="83" t="n"/>
      <c r="P163" s="83" t="n"/>
    </row>
    <row r="164">
      <c r="A164" s="100" t="inlineStr">
        <is>
          <t>A</t>
        </is>
      </c>
      <c r="B164" s="97" t="inlineStr">
        <is>
          <t>General Attendance</t>
        </is>
      </c>
      <c r="C164" s="97" t="n"/>
      <c r="D164" s="97" t="n"/>
      <c r="E164" s="97" t="n"/>
      <c r="F164" s="532" t="n"/>
      <c r="G164" s="98" t="n"/>
      <c r="H164" s="98" t="n"/>
      <c r="I164" s="98" t="n"/>
      <c r="J164" s="98" t="n"/>
      <c r="K164" s="98" t="n"/>
      <c r="L164" s="98" t="n"/>
      <c r="M164" s="98" t="n"/>
      <c r="N164" s="98" t="n"/>
      <c r="O164" s="98" t="n"/>
      <c r="P164" s="98" t="n"/>
    </row>
    <row r="165" ht="135.6" customHeight="1" s="12">
      <c r="A165" s="100" t="n"/>
      <c r="B165" s="82" t="inlineStr">
        <is>
          <t>The Contractor shall allow against the items following each Prime Cost Sum described as "General Attendance" for  Sub-Contractors. This item is to include for use of the Contractors temporary roads, paving and paths, standing scaffolding, standing power, operated hoisting plant, the provision of temporary lighting and water supplies, clearing away rubbish, provision of space for the  Sub- Contractors own offices and for the storage of plant and materials and the use of messrooms, sanitary accommodation and welfare facilities..
In  addition, the Contractor shall give such facilities as the Project Manager may consider reasonable to all  Sub-Contractors or Companies employed upon the works.</t>
        </is>
      </c>
      <c r="C165" s="82" t="n"/>
      <c r="D165" s="82" t="n"/>
      <c r="E165" s="82" t="n"/>
      <c r="F165" s="531" t="n"/>
      <c r="G165" s="83" t="n"/>
      <c r="H165" s="83" t="n"/>
      <c r="I165" s="83" t="n"/>
      <c r="J165" s="83" t="n"/>
      <c r="K165" s="83" t="n"/>
      <c r="L165" s="83" t="n"/>
      <c r="M165" s="83" t="n"/>
      <c r="N165" s="83" t="n"/>
      <c r="O165" s="83" t="n"/>
      <c r="P165" s="83" t="n"/>
    </row>
    <row r="166" ht="57.6" customHeight="1" s="12">
      <c r="A166" s="100" t="n"/>
      <c r="B166" s="82" t="inlineStr">
        <is>
          <t>The Contractor shall give all such  Sub-Contractors or Companies all information reasonably necessary to enable them to set out and execute their work properly in harmony with the surroundings and with other regards and shall not allow them to proceed otherwise.</t>
        </is>
      </c>
      <c r="C166" s="82" t="n"/>
      <c r="D166" s="82" t="n"/>
      <c r="E166" s="82" t="n"/>
      <c r="F166" s="533" t="n"/>
      <c r="G166" s="118" t="n"/>
      <c r="H166" s="118" t="n"/>
      <c r="I166" s="118" t="n"/>
      <c r="J166" s="118" t="n"/>
      <c r="K166" s="118" t="n"/>
      <c r="L166" s="118" t="n"/>
      <c r="M166" s="118" t="n"/>
      <c r="N166" s="118" t="n"/>
      <c r="O166" s="118" t="n"/>
      <c r="P166" s="118" t="n"/>
    </row>
    <row r="167">
      <c r="A167" s="100" t="n"/>
      <c r="B167" s="99" t="n"/>
      <c r="C167" s="99" t="n"/>
      <c r="D167" s="99" t="n"/>
      <c r="E167" s="99" t="n"/>
      <c r="F167" s="533" t="n"/>
    </row>
    <row r="168">
      <c r="A168" s="100" t="inlineStr">
        <is>
          <t>B</t>
        </is>
      </c>
      <c r="B168" s="120" t="inlineStr">
        <is>
          <t>Special Attendance</t>
        </is>
      </c>
      <c r="C168" s="97" t="n"/>
      <c r="D168" s="97" t="n"/>
      <c r="E168" s="97" t="n"/>
      <c r="F168" s="532" t="n"/>
      <c r="G168" s="98" t="n"/>
      <c r="H168" s="98" t="n"/>
      <c r="I168" s="98" t="n"/>
      <c r="J168" s="98" t="n"/>
      <c r="K168" s="98" t="n"/>
      <c r="L168" s="98" t="n"/>
      <c r="M168" s="98" t="n"/>
      <c r="N168" s="98" t="n"/>
      <c r="O168" s="98" t="n"/>
      <c r="P168" s="98" t="n"/>
    </row>
    <row r="169" ht="138" customHeight="1" s="12">
      <c r="A169" s="100" t="n"/>
      <c r="B169" s="82" t="inlineStr">
        <is>
          <t>Where required, the Contractor shall allow against the items following some Prime Cost Sums described as "Special Attendance" for some Nominated Sub-Contractors shall be given as an item in each case giving particulars (e.g. unloading, storing, hoisting, placing in position, providing power and additional or special scaffolding).
The Contractor will be required to produce evidence to the Project Manager that a Sub-Contract agreement has been entered into with each Sub-Contractor and when required, produce relevant documents to the Project Manager for inspection.
The  Project  Manager  will  require  proof  of  payment  of  previously
certified monies to Nominated Sub-Contractors before certifying any and/or final payment.</t>
        </is>
      </c>
      <c r="C169" s="82" t="n"/>
      <c r="D169" s="82" t="n"/>
      <c r="E169" s="82" t="n"/>
      <c r="F169" s="531" t="n"/>
      <c r="G169" s="83" t="n"/>
      <c r="H169" s="83" t="n"/>
      <c r="I169" s="83" t="n"/>
      <c r="J169" s="83" t="n"/>
      <c r="K169" s="83" t="n"/>
      <c r="L169" s="83" t="n"/>
      <c r="M169" s="83" t="n"/>
      <c r="N169" s="83" t="n"/>
      <c r="O169" s="83" t="n"/>
      <c r="P169" s="83" t="n"/>
    </row>
    <row r="170">
      <c r="A170" s="100" t="n"/>
      <c r="B170" s="82" t="n"/>
      <c r="C170" s="82" t="n"/>
      <c r="D170" s="82" t="n"/>
      <c r="E170" s="82" t="n"/>
      <c r="F170" s="531" t="n"/>
      <c r="G170" s="83" t="n"/>
      <c r="H170" s="83" t="n"/>
      <c r="I170" s="83" t="n"/>
      <c r="J170" s="83" t="n"/>
      <c r="K170" s="83" t="n"/>
      <c r="L170" s="83" t="n"/>
      <c r="M170" s="83" t="n"/>
      <c r="N170" s="83" t="n"/>
      <c r="O170" s="83" t="n"/>
      <c r="P170" s="83" t="n"/>
    </row>
    <row r="171">
      <c r="A171" s="100" t="inlineStr">
        <is>
          <t>C</t>
        </is>
      </c>
      <c r="B171" s="97" t="inlineStr">
        <is>
          <t>Provisional Sums Tendered for by Contractor</t>
        </is>
      </c>
      <c r="C171" s="97" t="n"/>
      <c r="D171" s="97" t="n"/>
      <c r="E171" s="97" t="n"/>
      <c r="F171" s="532" t="n"/>
      <c r="G171" s="98" t="n"/>
      <c r="H171" s="98" t="n"/>
      <c r="I171" s="98" t="n"/>
      <c r="J171" s="98" t="n"/>
      <c r="K171" s="98" t="n"/>
      <c r="L171" s="98" t="n"/>
      <c r="M171" s="98" t="n"/>
      <c r="N171" s="98" t="n"/>
      <c r="O171" s="98" t="n"/>
      <c r="P171" s="98" t="n"/>
    </row>
    <row r="172" ht="72" customHeight="1" s="12">
      <c r="A172" s="100" t="n"/>
      <c r="B172" s="82" t="inlineStr">
        <is>
          <t>Should the Contractor tender for work covered in the Bill of Quantities by a
Provisional Sum, the Contractor will be deemed to have included for all profit, overheads, discounts etc., required by him/her in his/her Sub-tender and the Provisional Sum included in these Bills of Quantities together with any profit shall be omitted if his/her tender is accepted.</t>
        </is>
      </c>
      <c r="C172" s="82" t="n"/>
      <c r="D172" s="82" t="n"/>
      <c r="E172" s="82" t="n"/>
      <c r="F172" s="531" t="n"/>
      <c r="G172" s="83" t="n"/>
      <c r="H172" s="83" t="n"/>
      <c r="I172" s="83" t="n"/>
      <c r="J172" s="83" t="n"/>
      <c r="K172" s="83" t="n"/>
      <c r="L172" s="83" t="n"/>
      <c r="M172" s="83" t="n"/>
      <c r="N172" s="83" t="n"/>
      <c r="O172" s="83" t="n"/>
      <c r="P172" s="83" t="n"/>
    </row>
    <row r="173">
      <c r="A173" s="100" t="n"/>
      <c r="B173" s="99" t="n"/>
      <c r="C173" s="99" t="n"/>
      <c r="D173" s="99" t="n"/>
      <c r="E173" s="99" t="n"/>
      <c r="F173" s="533" t="n"/>
    </row>
    <row r="174">
      <c r="A174" s="100" t="inlineStr">
        <is>
          <t>D</t>
        </is>
      </c>
      <c r="B174" s="97" t="inlineStr">
        <is>
          <t>Builder's Work</t>
        </is>
      </c>
      <c r="C174" s="97" t="n"/>
      <c r="D174" s="97" t="n"/>
      <c r="E174" s="97" t="n"/>
      <c r="F174" s="532" t="n"/>
      <c r="G174" s="98" t="n"/>
      <c r="H174" s="98" t="n"/>
      <c r="I174" s="98" t="n"/>
      <c r="J174" s="98" t="n"/>
      <c r="K174" s="98" t="n"/>
      <c r="L174" s="98" t="n"/>
      <c r="M174" s="98" t="n"/>
      <c r="N174" s="98" t="n"/>
      <c r="O174" s="98" t="n"/>
      <c r="P174" s="98" t="n"/>
    </row>
    <row r="175" ht="140.4" customHeight="1" s="12">
      <c r="A175" s="100" t="n"/>
      <c r="B175" s="82" t="inlineStr">
        <is>
          <t>Unless otherwise stated, Builder's Work in connection with Nominated Sub- Contractor's Work shall be measured separately. The Contractor shall be responsible for ascertaining and co-ordinating Nominated Sub-Contractors requirements for all holes, chases, fixings and the like to structural concrete, block work and for obtaining the prior approval of the Engineer thereto. Holes and chases in concrete shall be formed at the time of casting the concrete and shall not be cut later, except with the approval of the Project Manager. No claim shall be considered for the extra cost of cutting away work already built as a result of the failure of Contractor to obtain sufficient particulars before hand.</t>
        </is>
      </c>
      <c r="C175" s="82" t="n"/>
      <c r="D175" s="82" t="n"/>
      <c r="E175" s="82" t="n"/>
      <c r="F175" s="531" t="n"/>
      <c r="G175" s="83" t="n"/>
      <c r="H175" s="83" t="n"/>
      <c r="I175" s="83" t="n"/>
      <c r="J175" s="83" t="n"/>
      <c r="K175" s="83" t="n"/>
      <c r="L175" s="83" t="n"/>
      <c r="M175" s="83" t="n"/>
      <c r="N175" s="83" t="n"/>
      <c r="O175" s="83" t="n"/>
      <c r="P175" s="83" t="n"/>
    </row>
    <row r="176">
      <c r="A176" s="100" t="n"/>
      <c r="B176" s="82" t="n"/>
      <c r="C176" s="82" t="n"/>
      <c r="D176" s="82" t="n"/>
      <c r="E176" s="82" t="n"/>
      <c r="F176" s="531" t="n"/>
      <c r="G176" s="83" t="n"/>
      <c r="H176" s="83" t="n"/>
      <c r="I176" s="83" t="n"/>
      <c r="J176" s="83" t="n"/>
      <c r="K176" s="83" t="n"/>
      <c r="L176" s="83" t="n"/>
      <c r="M176" s="83" t="n"/>
      <c r="N176" s="83" t="n"/>
      <c r="O176" s="83" t="n"/>
      <c r="P176" s="83" t="n"/>
    </row>
    <row r="177">
      <c r="A177" s="100" t="inlineStr">
        <is>
          <t>E</t>
        </is>
      </c>
      <c r="B177" s="97" t="inlineStr">
        <is>
          <t>Nominated Suppliers</t>
        </is>
      </c>
      <c r="C177" s="97" t="n"/>
      <c r="D177" s="97" t="n"/>
      <c r="E177" s="97" t="n"/>
      <c r="F177" s="532" t="n"/>
      <c r="G177" s="98" t="n"/>
      <c r="H177" s="98" t="n"/>
      <c r="I177" s="98" t="n"/>
      <c r="J177" s="98" t="n"/>
      <c r="K177" s="98" t="n"/>
      <c r="L177" s="98" t="n"/>
      <c r="M177" s="98" t="n"/>
      <c r="N177" s="98" t="n"/>
      <c r="O177" s="98" t="n"/>
      <c r="P177" s="98" t="n"/>
    </row>
    <row r="178" ht="28.8" customHeight="1" s="12">
      <c r="A178" s="100" t="n"/>
      <c r="B178" s="82" t="inlineStr">
        <is>
          <t>Nominated Suppliers are given at Prime cost Sums. The Engineer reserves the right to inspect the relevant contracts of sale of all Nominated Suppliers.</t>
        </is>
      </c>
      <c r="C178" s="82" t="n"/>
      <c r="D178" s="82" t="n"/>
      <c r="E178" s="82" t="n"/>
      <c r="F178" s="531" t="n"/>
      <c r="G178" s="83" t="n"/>
      <c r="H178" s="83" t="n"/>
      <c r="I178" s="83" t="n"/>
      <c r="J178" s="83" t="n"/>
      <c r="K178" s="83" t="n"/>
      <c r="L178" s="83" t="n"/>
      <c r="M178" s="83" t="n"/>
      <c r="N178" s="83" t="n"/>
      <c r="O178" s="83" t="n"/>
      <c r="P178" s="83" t="n"/>
    </row>
    <row r="179" ht="14.4" customHeight="1" s="12">
      <c r="A179" s="100" t="n"/>
      <c r="B179" s="82" t="n"/>
      <c r="C179" s="82" t="n"/>
      <c r="D179" s="82" t="n"/>
      <c r="E179" s="82" t="n"/>
      <c r="F179" s="531" t="n"/>
      <c r="G179" s="83" t="n"/>
      <c r="H179" s="83" t="n"/>
      <c r="I179" s="83" t="n"/>
      <c r="J179" s="83" t="n"/>
      <c r="K179" s="83" t="n"/>
      <c r="L179" s="83" t="n"/>
      <c r="M179" s="83" t="n"/>
      <c r="N179" s="83" t="n"/>
      <c r="O179" s="83" t="n"/>
      <c r="P179" s="83" t="n"/>
    </row>
    <row r="180">
      <c r="A180" s="100" t="inlineStr">
        <is>
          <t>F</t>
        </is>
      </c>
      <c r="B180" s="97" t="inlineStr">
        <is>
          <t>Fix Only</t>
        </is>
      </c>
      <c r="C180" s="97" t="n"/>
      <c r="D180" s="97" t="n"/>
      <c r="E180" s="97" t="n"/>
      <c r="F180" s="532" t="n"/>
      <c r="G180" s="98" t="n"/>
      <c r="H180" s="98" t="n"/>
      <c r="I180" s="98" t="n"/>
      <c r="J180" s="98" t="n"/>
      <c r="K180" s="98" t="n"/>
      <c r="L180" s="98" t="n"/>
      <c r="M180" s="98" t="n"/>
      <c r="N180" s="98" t="n"/>
      <c r="O180" s="98" t="n"/>
      <c r="P180" s="98" t="n"/>
    </row>
    <row r="181" ht="14.4" customHeight="1" s="12">
      <c r="A181" s="100" t="n"/>
      <c r="B181" s="82" t="inlineStr">
        <is>
          <t>The term 'FIX ONLY" used in connection with the fixing of goods and
materials obtained from a Nominated Supplier shall be held to include in addition to the stipulations in the Standard Method of Measurement, the opening of crates and packages, inspecting goods and materials before taking delivery, notifying the Nominated Supplier of any breakages or deficiencies and ensuring rectification of any irregularities. No claim will be
considered for extra costs or delay in consequence of any neglect on the part of the Contractor to carry out such inspection.</t>
        </is>
      </c>
      <c r="C181" s="82" t="n"/>
      <c r="D181" s="82" t="n"/>
      <c r="E181" s="82" t="n"/>
      <c r="F181" s="531" t="n"/>
      <c r="G181" s="83" t="n"/>
      <c r="H181" s="83" t="n"/>
      <c r="I181" s="83" t="n"/>
      <c r="J181" s="83" t="n"/>
      <c r="K181" s="83" t="n"/>
      <c r="L181" s="83" t="n"/>
      <c r="M181" s="83" t="n"/>
      <c r="N181" s="83" t="n"/>
      <c r="O181" s="83" t="n"/>
      <c r="P181" s="83" t="n"/>
    </row>
    <row r="182" ht="72" customHeight="1" s="12">
      <c r="A182" s="100" t="n"/>
      <c r="B182" s="82" t="inlineStr">
        <is>
          <t>The Contractor shall allow for taking delivery of goods at the Nominated Suppliers warehouse (where applicable and transporting it to site). It must allow in addition for providing adequate and effective insurance cover for all materials from the point at which the suppliers insurance liability ceases until the time that such materials components are installed.</t>
        </is>
      </c>
      <c r="C182" s="82" t="n"/>
      <c r="D182" s="82" t="n"/>
      <c r="E182" s="82" t="n"/>
      <c r="F182" s="531" t="n"/>
      <c r="G182" s="83" t="n"/>
      <c r="H182" s="83" t="n"/>
      <c r="I182" s="83" t="n"/>
      <c r="J182" s="83" t="n"/>
      <c r="K182" s="83" t="n"/>
      <c r="L182" s="83" t="n"/>
      <c r="M182" s="83" t="n"/>
      <c r="N182" s="83" t="n"/>
      <c r="O182" s="83" t="n"/>
      <c r="P182" s="83" t="n"/>
    </row>
    <row r="183">
      <c r="A183" s="100" t="n"/>
      <c r="B183" s="121" t="n"/>
      <c r="C183" s="121" t="n"/>
      <c r="D183" s="121" t="n"/>
      <c r="E183" s="121" t="n"/>
      <c r="F183" s="531" t="n"/>
      <c r="G183" s="122" t="n"/>
      <c r="H183" s="122" t="n"/>
      <c r="I183" s="122" t="n"/>
      <c r="J183" s="122" t="n"/>
      <c r="K183" s="122" t="n"/>
      <c r="L183" s="122" t="n"/>
      <c r="M183" s="122" t="n"/>
      <c r="N183" s="122" t="n"/>
      <c r="O183" s="122" t="n"/>
      <c r="P183" s="122" t="n"/>
    </row>
    <row r="184">
      <c r="A184" s="100" t="inlineStr">
        <is>
          <t>G</t>
        </is>
      </c>
      <c r="B184" s="97" t="inlineStr">
        <is>
          <t>Contractor's Responsibility</t>
        </is>
      </c>
      <c r="C184" s="97" t="n"/>
      <c r="D184" s="97" t="n"/>
      <c r="E184" s="97" t="n"/>
      <c r="F184" s="532" t="n"/>
      <c r="G184" s="98" t="n"/>
      <c r="H184" s="98" t="n"/>
      <c r="I184" s="98" t="n"/>
      <c r="J184" s="98" t="n"/>
      <c r="K184" s="98" t="n"/>
      <c r="L184" s="98" t="n"/>
      <c r="M184" s="98" t="n"/>
      <c r="N184" s="98" t="n"/>
      <c r="O184" s="98" t="n"/>
      <c r="P184" s="98" t="n"/>
    </row>
    <row r="185" ht="58.2" customHeight="1" s="12" thickBot="1">
      <c r="A185" s="100" t="n"/>
      <c r="B185" s="82" t="inlineStr">
        <is>
          <t>The Contractor shall be responsible for agreeing with each Nominated Sub- Contractor/Supplier the dates at which It will require their respective approved drawings so that the works can progress regularly and diligently and shall keep the Project Manager informed of all such agreed dates.</t>
        </is>
      </c>
      <c r="C185" s="82" t="n"/>
      <c r="D185" s="82" t="n"/>
      <c r="E185" s="82" t="n"/>
      <c r="F185" s="531" t="n"/>
      <c r="G185" s="83" t="n"/>
      <c r="H185" s="83" t="n"/>
      <c r="I185" s="83" t="n"/>
      <c r="J185" s="83" t="n"/>
      <c r="K185" s="83" t="n"/>
      <c r="L185" s="83" t="n"/>
      <c r="M185" s="83" t="n"/>
      <c r="N185" s="83" t="n"/>
      <c r="O185" s="83" t="n"/>
      <c r="P185" s="83" t="n"/>
    </row>
    <row r="186" ht="18.6" customHeight="1" s="12" thickBot="1">
      <c r="A186" s="101" t="n"/>
      <c r="B186" s="102" t="inlineStr">
        <is>
          <t>TO COLLECTION</t>
        </is>
      </c>
      <c r="C186" s="103" t="n"/>
      <c r="D186" s="103" t="n"/>
      <c r="E186" s="103" t="n"/>
      <c r="F186" s="545">
        <f>SUM(F164:F185)</f>
        <v>0.0</v>
      </c>
    </row>
    <row r="187">
      <c r="A187" s="100" t="n"/>
      <c r="B187" s="91" t="inlineStr">
        <is>
          <t>GENERAL FACILITIES AND OBLIGATIONS</t>
        </is>
      </c>
      <c r="C187" s="91" t="n"/>
      <c r="D187" s="91" t="n"/>
      <c r="E187" s="91" t="n"/>
      <c r="F187" s="549" t="n"/>
      <c r="G187" s="123" t="n"/>
      <c r="H187" s="123" t="n"/>
      <c r="I187" s="123" t="n"/>
      <c r="J187" s="123" t="n"/>
      <c r="K187" s="123" t="n"/>
      <c r="L187" s="123" t="n"/>
      <c r="M187" s="123" t="n"/>
      <c r="N187" s="123" t="n"/>
      <c r="O187" s="123" t="n"/>
      <c r="P187" s="123" t="n"/>
    </row>
    <row r="188">
      <c r="A188" s="100" t="inlineStr">
        <is>
          <t>A</t>
        </is>
      </c>
      <c r="B188" s="97" t="inlineStr">
        <is>
          <t>Plant, Tools and Vehicles</t>
        </is>
      </c>
      <c r="C188" s="97" t="n"/>
      <c r="D188" s="97" t="n"/>
      <c r="E188" s="97" t="n"/>
      <c r="F188" s="547">
        <f>RATES!$D$149</f>
        <v>1800000.0</v>
      </c>
      <c r="G188" s="117" t="n"/>
      <c r="H188" s="117" t="n"/>
      <c r="I188" s="117" t="n"/>
      <c r="J188" s="117" t="n"/>
      <c r="K188" s="117" t="n"/>
      <c r="L188" s="117" t="n"/>
      <c r="M188" s="117" t="n"/>
      <c r="N188" s="117" t="n"/>
      <c r="O188" s="117" t="n"/>
      <c r="P188" s="117" t="n"/>
    </row>
    <row r="189" ht="100.8" customHeight="1" s="12">
      <c r="A189" s="100" t="n"/>
      <c r="B189" s="82" t="inlineStr">
        <is>
          <t>The Contractor shall provide, maintain and remove on completion mechanical
and other plant, transport, fuel, tools, tackle, scaffolding, stagging, instruments, implements and equipment of every description necessary for the  full  and  complete  execution of  every  part  of  the  works.  All  work  in connection with plant, scaffolding, staging, working accommodation, and the like shall be executed and maintained to the requirements of the Area Local Authority and to the satisfaction of the Project Manager.</t>
        </is>
      </c>
      <c r="C189" s="82" t="n"/>
      <c r="D189" s="82" t="n"/>
      <c r="E189" s="82" t="n"/>
      <c r="F189" s="533" t="n"/>
      <c r="G189" s="118" t="n"/>
      <c r="H189" s="124" t="n"/>
      <c r="I189" s="550" t="n"/>
      <c r="J189" s="118" t="n"/>
      <c r="K189" s="118" t="n"/>
      <c r="L189" s="118" t="n"/>
      <c r="M189" s="118" t="n"/>
      <c r="N189" s="118" t="n"/>
      <c r="O189" s="118" t="n"/>
      <c r="P189" s="118" t="n"/>
    </row>
    <row r="190">
      <c r="A190" s="100" t="n"/>
      <c r="B190" s="82" t="n"/>
      <c r="C190" s="82" t="n"/>
      <c r="D190" s="82" t="n"/>
      <c r="E190" s="82" t="n"/>
      <c r="F190" s="533" t="n"/>
      <c r="G190" s="118" t="n"/>
      <c r="H190" s="118" t="n"/>
      <c r="I190" s="118" t="n"/>
      <c r="J190" s="118" t="n"/>
      <c r="K190" s="118" t="n"/>
      <c r="L190" s="118" t="n"/>
      <c r="M190" s="118" t="n"/>
      <c r="N190" s="118" t="n"/>
      <c r="O190" s="118" t="n"/>
      <c r="P190" s="118" t="n"/>
    </row>
    <row r="191" ht="26.4" customHeight="1" s="12">
      <c r="A191" s="100" t="inlineStr">
        <is>
          <t>B</t>
        </is>
      </c>
      <c r="B191" s="97" t="inlineStr">
        <is>
          <t>Grid of Levels</t>
        </is>
      </c>
      <c r="C191" s="97" t="n"/>
      <c r="D191" s="97" t="n"/>
      <c r="E191" s="97" t="n"/>
      <c r="F191" s="544" t="n"/>
      <c r="G191" s="117" t="n"/>
      <c r="H191" s="117" t="n"/>
      <c r="I191" s="117" t="n"/>
      <c r="J191" s="117" t="n"/>
      <c r="K191" s="117" t="n"/>
      <c r="L191" s="117" t="n"/>
      <c r="M191" s="117" t="n"/>
      <c r="N191" s="117" t="n"/>
      <c r="O191" s="117" t="n"/>
      <c r="P191" s="117" t="n"/>
    </row>
    <row r="192" ht="57.6" customHeight="1" s="12">
      <c r="A192" s="100" t="n"/>
      <c r="B192" s="82" t="inlineStr">
        <is>
          <t>Immediately  on  hand  over  of  the  site  and  before  any  work  has  been
commenced, the Contractor shall arrange for a grid of levels to be taken of the site in the presence of and agreed by the Project Manager and shall supply the Project Manager and Quantity Surveyor with copies thereof.</t>
        </is>
      </c>
      <c r="C192" s="82" t="n"/>
      <c r="D192" s="82" t="n"/>
      <c r="E192" s="82" t="n"/>
      <c r="F192" s="533" t="n"/>
      <c r="G192" s="118" t="n"/>
      <c r="H192" s="118" t="n"/>
      <c r="I192" s="118" t="n"/>
      <c r="J192" s="118" t="n"/>
      <c r="K192" s="118" t="n"/>
      <c r="L192" s="118" t="n"/>
      <c r="M192" s="118" t="n"/>
      <c r="N192" s="118" t="n"/>
      <c r="O192" s="118" t="n"/>
      <c r="P192" s="118" t="n"/>
    </row>
    <row r="193">
      <c r="A193" s="100" t="n"/>
      <c r="B193" s="82" t="n"/>
      <c r="C193" s="82" t="n"/>
      <c r="D193" s="82" t="n"/>
      <c r="E193" s="82" t="n"/>
      <c r="F193" s="533" t="n"/>
      <c r="G193" s="118" t="n"/>
      <c r="H193" s="118" t="n"/>
      <c r="I193" s="118" t="n"/>
      <c r="J193" s="118" t="n"/>
      <c r="K193" s="118" t="n"/>
      <c r="L193" s="118" t="n"/>
      <c r="M193" s="118" t="n"/>
      <c r="N193" s="118" t="n"/>
      <c r="O193" s="118" t="n"/>
      <c r="P193" s="118" t="n"/>
    </row>
    <row r="194" ht="26.4" customHeight="1" s="12">
      <c r="A194" s="100" t="inlineStr">
        <is>
          <t>C</t>
        </is>
      </c>
      <c r="B194" s="97" t="inlineStr">
        <is>
          <t>Warning Lights</t>
        </is>
      </c>
      <c r="C194" s="97" t="n"/>
      <c r="D194" s="97" t="n"/>
      <c r="E194" s="97" t="n"/>
      <c r="F194" s="544" t="n"/>
      <c r="G194" s="117" t="n"/>
      <c r="H194" s="117" t="n"/>
      <c r="I194" s="117" t="n"/>
      <c r="J194" s="117" t="n"/>
      <c r="K194" s="117" t="n"/>
      <c r="L194" s="117" t="n"/>
      <c r="M194" s="117" t="n"/>
      <c r="N194" s="117" t="n"/>
      <c r="O194" s="117" t="n"/>
      <c r="P194" s="117" t="n"/>
    </row>
    <row r="195" ht="43.2" customHeight="1" s="12">
      <c r="A195" s="100" t="n"/>
      <c r="B195" s="82" t="inlineStr">
        <is>
          <t>The Contractor shall provide and maintain all necessary temporary warning
lights and notices in connection with scaffolding, fans, gantries, guardrail, hoardings and the like.</t>
        </is>
      </c>
      <c r="C195" s="82" t="n"/>
      <c r="D195" s="82" t="n"/>
      <c r="E195" s="82" t="n"/>
      <c r="F195" s="533" t="n"/>
      <c r="G195" s="118" t="n"/>
      <c r="H195" s="118" t="n"/>
      <c r="I195" s="118" t="n"/>
      <c r="J195" s="118" t="n"/>
      <c r="K195" s="118" t="n"/>
      <c r="L195" s="118" t="n"/>
      <c r="M195" s="118" t="n"/>
      <c r="N195" s="118" t="n"/>
      <c r="O195" s="118" t="n"/>
      <c r="P195" s="118" t="n"/>
    </row>
    <row r="196">
      <c r="A196" s="100" t="n"/>
      <c r="B196" s="82" t="n"/>
      <c r="C196" s="82" t="n"/>
      <c r="D196" s="82" t="n"/>
      <c r="E196" s="82" t="n"/>
      <c r="F196" s="533" t="n"/>
      <c r="G196" s="118" t="n"/>
      <c r="H196" s="118" t="n"/>
      <c r="I196" s="118" t="n"/>
      <c r="J196" s="118" t="n"/>
      <c r="K196" s="118" t="n"/>
      <c r="L196" s="118" t="n"/>
      <c r="M196" s="118" t="n"/>
      <c r="N196" s="118" t="n"/>
      <c r="O196" s="118" t="n"/>
      <c r="P196" s="118" t="n"/>
    </row>
    <row r="197">
      <c r="A197" s="100" t="inlineStr">
        <is>
          <t>D</t>
        </is>
      </c>
      <c r="B197" s="97" t="inlineStr">
        <is>
          <t>Working Drawings</t>
        </is>
      </c>
      <c r="C197" s="97" t="n"/>
      <c r="D197" s="97" t="n"/>
      <c r="E197" s="97" t="n"/>
      <c r="F197" s="544" t="n"/>
      <c r="G197" s="117" t="n"/>
      <c r="H197" s="117" t="n"/>
      <c r="I197" s="117" t="n"/>
      <c r="J197" s="117" t="n"/>
      <c r="K197" s="117" t="n"/>
      <c r="L197" s="117" t="n"/>
      <c r="M197" s="117" t="n"/>
      <c r="N197" s="117" t="n"/>
      <c r="O197" s="117" t="n"/>
      <c r="P197" s="117" t="n"/>
    </row>
    <row r="198" ht="28.8" customHeight="1" s="12">
      <c r="A198" s="100" t="n"/>
      <c r="B198" s="82" t="inlineStr">
        <is>
          <t>The Contractor shall keep working drawings for all works on site at all times pasted on approved flat board and protected at all times from damage.</t>
        </is>
      </c>
      <c r="C198" s="82" t="n"/>
      <c r="D198" s="82" t="n"/>
      <c r="E198" s="82" t="n"/>
      <c r="F198" s="533" t="n"/>
      <c r="G198" s="118" t="n"/>
      <c r="H198" s="118" t="n"/>
      <c r="I198" s="118" t="n"/>
      <c r="J198" s="118" t="n"/>
      <c r="K198" s="118" t="n"/>
      <c r="L198" s="118" t="n"/>
      <c r="M198" s="118" t="n"/>
      <c r="N198" s="118" t="n"/>
      <c r="O198" s="118" t="n"/>
      <c r="P198" s="118" t="n"/>
    </row>
    <row r="199">
      <c r="A199" s="100" t="n"/>
      <c r="B199" s="82" t="n"/>
      <c r="C199" s="82" t="n"/>
      <c r="D199" s="82" t="n"/>
      <c r="E199" s="82" t="n"/>
      <c r="F199" s="533" t="n"/>
      <c r="G199" s="118" t="n"/>
      <c r="H199" s="118" t="n"/>
      <c r="I199" s="118" t="n"/>
      <c r="J199" s="118" t="n"/>
      <c r="K199" s="118" t="n"/>
      <c r="L199" s="118" t="n"/>
      <c r="M199" s="118" t="n"/>
      <c r="N199" s="118" t="n"/>
      <c r="O199" s="118" t="n"/>
      <c r="P199" s="118" t="n"/>
    </row>
    <row r="200">
      <c r="A200" s="100" t="inlineStr">
        <is>
          <t>E</t>
        </is>
      </c>
      <c r="B200" s="97" t="inlineStr">
        <is>
          <t>Articles of Value and Burial Remains</t>
        </is>
      </c>
      <c r="C200" s="97" t="n"/>
      <c r="D200" s="97" t="n"/>
      <c r="E200" s="97" t="n"/>
      <c r="F200" s="544" t="n"/>
      <c r="G200" s="117" t="n"/>
      <c r="H200" s="117" t="n"/>
      <c r="I200" s="117" t="n"/>
      <c r="J200" s="117" t="n"/>
      <c r="K200" s="117" t="n"/>
      <c r="L200" s="117" t="n"/>
      <c r="M200" s="117" t="n"/>
      <c r="N200" s="117" t="n"/>
      <c r="O200" s="117" t="n"/>
      <c r="P200" s="117" t="n"/>
    </row>
    <row r="201" ht="43.2" customHeight="1" s="12">
      <c r="A201" s="100" t="n"/>
      <c r="B201" s="82" t="inlineStr">
        <is>
          <t>All coins or articles of value or antiquity which may be discovered in the
excavations and/or on the site shall remain the property of the Employer and must be delivered up to the Consultants for instructions.</t>
        </is>
      </c>
      <c r="C201" s="82" t="n"/>
      <c r="D201" s="82" t="n"/>
      <c r="E201" s="82" t="n"/>
      <c r="F201" s="533" t="n"/>
      <c r="G201" s="118" t="n"/>
      <c r="H201" s="118" t="n"/>
      <c r="I201" s="118" t="n"/>
      <c r="J201" s="118" t="n"/>
      <c r="K201" s="118" t="n"/>
      <c r="L201" s="118" t="n"/>
      <c r="M201" s="118" t="n"/>
      <c r="N201" s="118" t="n"/>
      <c r="O201" s="118" t="n"/>
      <c r="P201" s="118" t="n"/>
    </row>
    <row r="202" ht="28.8" customHeight="1" s="12">
      <c r="A202" s="100" t="n"/>
      <c r="B202" s="82" t="inlineStr">
        <is>
          <t>The  Contractor  shall,  on  discovery  on  site  of  bones  or  burial  remains,
adequately protect same and inform the Consultants for instructions.</t>
        </is>
      </c>
      <c r="C202" s="82" t="n"/>
      <c r="D202" s="82" t="n"/>
      <c r="E202" s="82" t="n"/>
      <c r="F202" s="533" t="n"/>
      <c r="G202" s="118" t="n"/>
      <c r="H202" s="118" t="n"/>
      <c r="I202" s="118" t="n"/>
      <c r="J202" s="118" t="n"/>
      <c r="K202" s="118" t="n"/>
      <c r="L202" s="118" t="n"/>
      <c r="M202" s="118" t="n"/>
      <c r="N202" s="118" t="n"/>
      <c r="O202" s="118" t="n"/>
      <c r="P202" s="118" t="n"/>
    </row>
    <row r="203">
      <c r="A203" s="100" t="n"/>
      <c r="B203" s="82" t="n"/>
      <c r="C203" s="82" t="n"/>
      <c r="D203" s="82" t="n"/>
      <c r="E203" s="82" t="n"/>
      <c r="F203" s="533" t="n"/>
      <c r="G203" s="118" t="n"/>
      <c r="H203" s="118" t="n"/>
      <c r="I203" s="118" t="n"/>
      <c r="J203" s="118" t="n"/>
      <c r="K203" s="118" t="n"/>
      <c r="L203" s="118" t="n"/>
      <c r="M203" s="118" t="n"/>
      <c r="N203" s="118" t="n"/>
      <c r="O203" s="118" t="n"/>
      <c r="P203" s="118" t="n"/>
    </row>
    <row r="204">
      <c r="A204" s="100" t="inlineStr">
        <is>
          <t>F</t>
        </is>
      </c>
      <c r="B204" s="97" t="inlineStr">
        <is>
          <t>Contractor's Supervision</t>
        </is>
      </c>
      <c r="C204" s="97" t="n"/>
      <c r="D204" s="97" t="n"/>
      <c r="E204" s="97" t="n"/>
      <c r="F204" s="547">
        <f>RATES!$D$150</f>
        <v>1200000.0</v>
      </c>
      <c r="G204" s="117" t="n"/>
      <c r="H204" s="117" t="n"/>
      <c r="I204" s="117" t="n"/>
      <c r="J204" s="117" t="n"/>
      <c r="K204" s="117" t="n"/>
      <c r="L204" s="117" t="n"/>
      <c r="M204" s="117" t="n"/>
      <c r="N204" s="117" t="n"/>
      <c r="O204" s="117" t="n"/>
      <c r="P204" s="117" t="n"/>
    </row>
    <row r="205" ht="105" customFormat="1" customHeight="1" s="130">
      <c r="A205" s="126" t="n"/>
      <c r="B205" s="82" t="inlineStr">
        <is>
          <t>The  Contractor  shall  provide  full  and  adequate  supervision  during  the
progress of the works and shall keep a competent and authorised person (approved by Consultants) in-charge of the works at all reasonable times. Such  persons  in-charge  shall  be  responsible  for  the  supervision,  co- ordination and administration of the works and must be able to receive and act upon (on behalf of the Contractor) all instructions, directions or orders issued by the Consultants.</t>
        </is>
      </c>
      <c r="C205" s="127" t="n"/>
      <c r="D205" s="127" t="n"/>
      <c r="E205" s="127" t="n"/>
      <c r="F205" s="533" t="n"/>
      <c r="G205" s="551" t="n"/>
      <c r="H205" s="129" t="n"/>
      <c r="I205" s="129" t="n"/>
      <c r="J205" s="129" t="n"/>
      <c r="K205" s="129" t="n"/>
      <c r="L205" s="129" t="n"/>
      <c r="M205" s="129" t="n"/>
      <c r="N205" s="129" t="n"/>
      <c r="O205" s="129" t="n"/>
      <c r="P205" s="129" t="n"/>
    </row>
    <row r="206">
      <c r="A206" s="100" t="n"/>
      <c r="B206" s="99" t="n"/>
      <c r="C206" s="99" t="n"/>
      <c r="D206" s="99" t="n"/>
      <c r="E206" s="99" t="n"/>
      <c r="F206" s="533" t="n"/>
    </row>
    <row r="207">
      <c r="A207" s="100" t="inlineStr">
        <is>
          <t>G</t>
        </is>
      </c>
      <c r="B207" s="97" t="inlineStr">
        <is>
          <t>Obligations of Contractor</t>
        </is>
      </c>
      <c r="C207" s="97" t="n"/>
      <c r="D207" s="97" t="n"/>
      <c r="E207" s="97" t="n"/>
      <c r="F207" s="532" t="n"/>
      <c r="G207" s="98" t="n"/>
      <c r="H207" s="98" t="n"/>
      <c r="I207" s="98" t="n"/>
      <c r="J207" s="98" t="n"/>
      <c r="K207" s="98" t="n"/>
      <c r="L207" s="98" t="n"/>
      <c r="M207" s="98" t="n"/>
      <c r="N207" s="98" t="n"/>
      <c r="O207" s="98" t="n"/>
      <c r="P207" s="98" t="n"/>
    </row>
    <row r="208" ht="28.8" customHeight="1" s="12">
      <c r="A208" s="100" t="n"/>
      <c r="B208" s="82" t="inlineStr">
        <is>
          <t>The Employer may engage other specialists, artisans or workers to execute
works not forming part of this contract.</t>
        </is>
      </c>
      <c r="C208" s="82" t="n"/>
      <c r="D208" s="82" t="n"/>
      <c r="E208" s="82" t="n"/>
      <c r="F208" s="531" t="n"/>
      <c r="G208" s="83" t="n"/>
      <c r="H208" s="83" t="n"/>
      <c r="I208" s="83" t="n"/>
      <c r="J208" s="83" t="n"/>
      <c r="K208" s="83" t="n"/>
      <c r="L208" s="83" t="n"/>
      <c r="M208" s="83" t="n"/>
      <c r="N208" s="83" t="n"/>
      <c r="O208" s="83" t="n"/>
      <c r="P208" s="83" t="n"/>
    </row>
    <row r="209" ht="43.95" customHeight="1" s="12">
      <c r="A209" s="100" t="n"/>
      <c r="B209" s="82" t="inlineStr">
        <is>
          <t>The Contractor shall be deemed to have made allowance for his/her responsibilities and obligations in connection with any persons directly engaged by the Employer.</t>
        </is>
      </c>
      <c r="C209" s="82" t="n"/>
      <c r="D209" s="82" t="n"/>
      <c r="E209" s="82" t="n"/>
      <c r="F209" s="531" t="n"/>
      <c r="G209" s="83" t="n"/>
      <c r="H209" s="83" t="n"/>
      <c r="I209" s="83" t="n"/>
      <c r="J209" s="83" t="n"/>
      <c r="K209" s="83" t="n"/>
      <c r="L209" s="83" t="n"/>
      <c r="M209" s="83" t="n"/>
      <c r="N209" s="83" t="n"/>
      <c r="O209" s="83" t="n"/>
      <c r="P209" s="83" t="n"/>
    </row>
    <row r="210">
      <c r="A210" s="100" t="n"/>
      <c r="B210" s="82" t="n"/>
      <c r="C210" s="82" t="n"/>
      <c r="D210" s="82" t="n"/>
      <c r="E210" s="82" t="n"/>
      <c r="F210" s="531" t="n"/>
      <c r="G210" s="83" t="n"/>
      <c r="H210" s="83" t="n"/>
      <c r="I210" s="83" t="n"/>
      <c r="J210" s="83" t="n"/>
      <c r="K210" s="83" t="n"/>
      <c r="L210" s="83" t="n"/>
      <c r="M210" s="83" t="n"/>
      <c r="N210" s="83" t="n"/>
      <c r="O210" s="83" t="n"/>
      <c r="P210" s="83" t="n"/>
    </row>
    <row r="211">
      <c r="A211" s="100" t="inlineStr">
        <is>
          <t>H</t>
        </is>
      </c>
      <c r="B211" s="97" t="inlineStr">
        <is>
          <t>Co-ordination etc. of Work not Forming Part of this Contract</t>
        </is>
      </c>
      <c r="C211" s="97" t="n"/>
      <c r="D211" s="97" t="n"/>
      <c r="E211" s="97" t="n"/>
      <c r="F211" s="532" t="n"/>
      <c r="G211" s="98" t="n"/>
      <c r="H211" s="98" t="n"/>
      <c r="I211" s="98" t="n"/>
      <c r="J211" s="98" t="n"/>
      <c r="K211" s="98" t="n"/>
      <c r="L211" s="98" t="n"/>
      <c r="M211" s="98" t="n"/>
      <c r="N211" s="98" t="n"/>
      <c r="O211" s="98" t="n"/>
      <c r="P211" s="98" t="n"/>
    </row>
    <row r="212" ht="101.4" customHeight="1" s="12">
      <c r="A212" s="100" t="n"/>
      <c r="B212" s="82" t="inlineStr">
        <is>
          <t>The Contractor shall be responsible for the co-ordination of work not forming part of this contract with the remainder of the works. The Contractor shall provide the various Authorities or Specialist Companies carrying out such work with sufficient information regarding line, level etc. as shown on the drawings, to enable them to provide and lay mains, cables etc. along routes on or adjacent to the site without any undue delays or interruptions and to suit the programme for the works.</t>
        </is>
      </c>
      <c r="C212" s="82" t="n"/>
      <c r="D212" s="82" t="n"/>
      <c r="E212" s="82" t="n"/>
      <c r="F212" s="531" t="n"/>
      <c r="G212" s="83" t="n"/>
      <c r="H212" s="83" t="n"/>
      <c r="I212" s="83" t="n"/>
      <c r="J212" s="83" t="n"/>
      <c r="K212" s="83" t="n"/>
      <c r="L212" s="83" t="n"/>
      <c r="M212" s="83" t="n"/>
      <c r="N212" s="83" t="n"/>
      <c r="O212" s="83" t="n"/>
      <c r="P212" s="83" t="n"/>
    </row>
    <row r="213">
      <c r="A213" s="100" t="n"/>
      <c r="B213" s="82" t="n"/>
      <c r="C213" s="82" t="n"/>
      <c r="D213" s="82" t="n"/>
      <c r="E213" s="82" t="n"/>
      <c r="F213" s="531" t="n"/>
      <c r="G213" s="83" t="n"/>
      <c r="H213" s="83" t="n"/>
      <c r="I213" s="83" t="n"/>
      <c r="J213" s="83" t="n"/>
      <c r="K213" s="83" t="n"/>
      <c r="L213" s="83" t="n"/>
      <c r="M213" s="83" t="n"/>
      <c r="N213" s="83" t="n"/>
      <c r="O213" s="83" t="n"/>
      <c r="P213" s="83" t="n"/>
    </row>
    <row r="214">
      <c r="A214" s="100" t="inlineStr">
        <is>
          <t>J</t>
        </is>
      </c>
      <c r="B214" s="97" t="inlineStr">
        <is>
          <t>Temporary Sheds</t>
        </is>
      </c>
      <c r="C214" s="97" t="n"/>
      <c r="D214" s="97" t="n"/>
      <c r="E214" s="97" t="n"/>
      <c r="F214" s="532" t="n"/>
      <c r="G214" s="98" t="n"/>
      <c r="H214" s="98" t="n"/>
      <c r="I214" s="98" t="n"/>
      <c r="J214" s="98" t="n"/>
      <c r="K214" s="98" t="n"/>
      <c r="L214" s="98" t="n"/>
      <c r="M214" s="98" t="n"/>
      <c r="N214" s="98" t="n"/>
      <c r="O214" s="98" t="n"/>
      <c r="P214" s="98" t="n"/>
    </row>
    <row r="215" ht="101.4" customHeight="1" s="12" thickBot="1">
      <c r="A215" s="100" t="n"/>
      <c r="B215" s="82" t="inlineStr">
        <is>
          <t>The Contractor shall provide and maintain temporary water-tight lock-up sheds for the storage of materials, tools and tackle for the use of all persons employed on the site including Nominated Sub-Contractors/Suppliers and others. |After, shift and adapt from time to time as necessary. Those sheds used for storage of cement and other perishable materials and the like shall have raised floors. Reinforcing bars, pipes and the like shall be racked under cover. Clear away on completion and reinstate all works disturbed.</t>
        </is>
      </c>
      <c r="C215" s="82" t="n"/>
      <c r="D215" s="82" t="n"/>
      <c r="E215" s="82" t="n"/>
      <c r="F215" s="531" t="n"/>
      <c r="G215" s="93">
        <f>F215*70%</f>
        <v>0.0</v>
      </c>
      <c r="H215" s="83" t="n"/>
      <c r="I215" s="83" t="n"/>
      <c r="J215" s="83" t="n"/>
      <c r="K215" s="83" t="n"/>
      <c r="L215" s="83" t="n"/>
      <c r="M215" s="83" t="n"/>
      <c r="N215" s="83" t="n"/>
      <c r="O215" s="83" t="n"/>
      <c r="P215" s="83" t="n"/>
    </row>
    <row r="216" ht="18.6" customHeight="1" s="12" thickBot="1">
      <c r="A216" s="101" t="n"/>
      <c r="B216" s="102" t="inlineStr">
        <is>
          <t>TO COLLECTION</t>
        </is>
      </c>
      <c r="C216" s="103" t="n"/>
      <c r="D216" s="103" t="n"/>
      <c r="E216" s="103" t="n"/>
      <c r="F216" s="545">
        <f>SUM(F187:F215)</f>
        <v>3000000.0</v>
      </c>
      <c r="G216" s="83" t="n"/>
      <c r="H216" s="83" t="n"/>
      <c r="I216" s="83" t="n"/>
      <c r="J216" s="83" t="n"/>
      <c r="K216" s="83" t="n"/>
      <c r="L216" s="83" t="n"/>
      <c r="M216" s="83" t="n"/>
      <c r="N216" s="83" t="n"/>
      <c r="O216" s="83" t="n"/>
      <c r="P216" s="83" t="n"/>
    </row>
    <row r="217">
      <c r="A217" s="100" t="inlineStr">
        <is>
          <t>A</t>
        </is>
      </c>
      <c r="B217" s="97" t="inlineStr">
        <is>
          <t>Temporary Office Accommodation</t>
        </is>
      </c>
      <c r="C217" s="97" t="n"/>
      <c r="D217" s="97" t="n"/>
      <c r="E217" s="97" t="n"/>
      <c r="F217" s="546">
        <f>RATES!$D$151</f>
        <v>150000.0</v>
      </c>
      <c r="G217" s="98" t="n"/>
      <c r="H217" s="98" t="n"/>
      <c r="I217" s="98" t="n"/>
      <c r="J217" s="98" t="n"/>
      <c r="K217" s="98" t="n"/>
      <c r="L217" s="98" t="n"/>
      <c r="M217" s="98" t="n"/>
      <c r="N217" s="98" t="n"/>
      <c r="O217" s="98" t="n"/>
      <c r="P217" s="98" t="n"/>
    </row>
    <row r="218" ht="57.6" customHeight="1" s="12">
      <c r="A218" s="100" t="n"/>
      <c r="B218" s="82" t="inlineStr">
        <is>
          <t>The Contractor shall provide and maintain adequate office and other temporary accommodation and facilities for the use of the Contractor's site staff and for site meetings. After, shift and adapt from time to time as necessary and clear away on completion.</t>
        </is>
      </c>
      <c r="C218" s="82" t="n"/>
      <c r="D218" s="82" t="n"/>
      <c r="E218" s="82" t="n"/>
      <c r="F218" s="531" t="n"/>
      <c r="G218" s="93">
        <f>F218*70%</f>
        <v>0.0</v>
      </c>
      <c r="H218" s="83" t="n"/>
      <c r="I218" s="83" t="n"/>
      <c r="J218" s="83" t="n"/>
      <c r="K218" s="83" t="n"/>
      <c r="L218" s="83" t="n"/>
      <c r="M218" s="83" t="n"/>
      <c r="N218" s="83" t="n"/>
      <c r="O218" s="83" t="n"/>
      <c r="P218" s="83" t="n"/>
    </row>
    <row r="219">
      <c r="A219" s="100" t="n"/>
      <c r="B219" s="82" t="n"/>
      <c r="C219" s="82" t="n"/>
      <c r="D219" s="82" t="n"/>
      <c r="E219" s="82" t="n"/>
      <c r="F219" s="531" t="n"/>
      <c r="G219" s="83" t="n"/>
      <c r="H219" s="83" t="n"/>
      <c r="I219" s="83" t="n"/>
      <c r="J219" s="83" t="n"/>
      <c r="K219" s="83" t="n"/>
      <c r="L219" s="83" t="n"/>
      <c r="M219" s="83" t="n"/>
      <c r="N219" s="83" t="n"/>
      <c r="O219" s="83" t="n"/>
      <c r="P219" s="83" t="n"/>
    </row>
    <row r="220">
      <c r="A220" s="100" t="inlineStr">
        <is>
          <t>B</t>
        </is>
      </c>
      <c r="B220" s="97" t="inlineStr">
        <is>
          <t>Temporary Fencing, Hoardings, Screens Fans and Similar Items</t>
        </is>
      </c>
      <c r="C220" s="97" t="n"/>
      <c r="D220" s="97" t="n"/>
      <c r="E220" s="97" t="n"/>
      <c r="F220" s="546">
        <f>RATES!$D$152</f>
        <v>220000.0</v>
      </c>
      <c r="G220" s="98" t="n"/>
      <c r="H220" s="98" t="n"/>
      <c r="I220" s="98" t="n"/>
      <c r="J220" s="98" t="n"/>
      <c r="K220" s="98" t="n"/>
      <c r="L220" s="98" t="n"/>
      <c r="M220" s="98" t="n"/>
      <c r="N220" s="98" t="n"/>
      <c r="O220" s="98" t="n"/>
      <c r="P220" s="98" t="n"/>
    </row>
    <row r="221" ht="57.6" customHeight="1" s="12">
      <c r="A221" s="100" t="n"/>
      <c r="B221" s="82" t="inlineStr">
        <is>
          <t>The Contractor shall provide and maintain all necessary temporary hoardings, screens, fencing and gates to adequately enclose all the boundaries of the
site for the duration of the contract for the protection of the public and for the proper execution of the works. Clear away on completion and reinstate all works disturbed.</t>
        </is>
      </c>
      <c r="C221" s="82" t="n"/>
      <c r="D221" s="82" t="n"/>
      <c r="E221" s="82" t="n"/>
      <c r="F221" s="538" t="n"/>
      <c r="G221" s="131" t="n"/>
      <c r="H221" s="83" t="n"/>
      <c r="I221" s="83" t="n"/>
      <c r="J221" s="83" t="n"/>
      <c r="K221" s="83" t="n"/>
      <c r="L221" s="83" t="n"/>
      <c r="M221" s="83" t="n"/>
      <c r="N221" s="83" t="n"/>
      <c r="O221" s="83" t="n"/>
      <c r="P221" s="83" t="n"/>
    </row>
    <row r="222">
      <c r="A222" s="100" t="n"/>
      <c r="B222" s="99" t="n"/>
      <c r="C222" s="99" t="n"/>
      <c r="D222" s="99" t="n"/>
      <c r="E222" s="99" t="n"/>
      <c r="F222" s="533" t="n"/>
    </row>
    <row r="223">
      <c r="A223" s="100" t="inlineStr">
        <is>
          <t>C</t>
        </is>
      </c>
      <c r="B223" s="97" t="inlineStr">
        <is>
          <t>Maintenance of Public and Private Property</t>
        </is>
      </c>
      <c r="C223" s="97" t="n"/>
      <c r="D223" s="97" t="n"/>
      <c r="E223" s="97" t="n"/>
      <c r="F223" s="532" t="n"/>
      <c r="G223" s="98" t="n"/>
      <c r="H223" s="98" t="n"/>
      <c r="I223" s="98" t="n"/>
      <c r="J223" s="98" t="n"/>
      <c r="K223" s="98" t="n"/>
      <c r="L223" s="98" t="n"/>
      <c r="M223" s="98" t="n"/>
      <c r="N223" s="98" t="n"/>
      <c r="O223" s="98" t="n"/>
      <c r="P223" s="98" t="n"/>
    </row>
    <row r="224" ht="103.2" customHeight="1" s="12">
      <c r="A224" s="100" t="n"/>
      <c r="B224" s="82" t="inlineStr">
        <is>
          <t>The Contractor shall maintain public and private property (i.e. carriageways, footpaths, ditches, kerbs and the like) and shall keep the approach to the site free from excavated material, mud and debris. The Contractor shall be held responsible for and must make good at his/her own expense any damage caused in carriageways, kerbs, pavements, paving's, lamp posts, fencing, drain pipes, cables, main services etc. arising from the execution of the works.</t>
        </is>
      </c>
      <c r="C224" s="82" t="n"/>
      <c r="D224" s="82" t="n"/>
      <c r="E224" s="82" t="n"/>
      <c r="F224" s="531" t="n"/>
      <c r="G224" s="83" t="n"/>
      <c r="H224" s="83" t="n"/>
      <c r="I224" s="83" t="n"/>
      <c r="J224" s="83" t="n"/>
      <c r="K224" s="83" t="n"/>
      <c r="L224" s="83" t="n"/>
      <c r="M224" s="83" t="n"/>
      <c r="N224" s="83" t="n"/>
      <c r="O224" s="83" t="n"/>
      <c r="P224" s="83" t="n"/>
    </row>
    <row r="225" ht="14.4" customHeight="1" s="12">
      <c r="A225" s="100" t="n"/>
      <c r="B225" s="82" t="n"/>
      <c r="C225" s="82" t="n"/>
      <c r="D225" s="82" t="n"/>
      <c r="E225" s="82" t="n"/>
      <c r="F225" s="531" t="n"/>
      <c r="G225" s="83" t="n"/>
      <c r="H225" s="83" t="n"/>
      <c r="I225" s="83" t="n"/>
      <c r="J225" s="83" t="n"/>
      <c r="K225" s="83" t="n"/>
      <c r="L225" s="83" t="n"/>
      <c r="M225" s="83" t="n"/>
      <c r="N225" s="83" t="n"/>
      <c r="O225" s="83" t="n"/>
      <c r="P225" s="83" t="n"/>
    </row>
    <row r="226">
      <c r="A226" s="100" t="inlineStr">
        <is>
          <t>D</t>
        </is>
      </c>
      <c r="B226" s="97" t="inlineStr">
        <is>
          <t>Temporary Roads, Hard standings, Crossovers and Similar Items</t>
        </is>
      </c>
      <c r="C226" s="97" t="n"/>
      <c r="D226" s="97" t="n"/>
      <c r="E226" s="97" t="n"/>
      <c r="F226" s="546">
        <f>RATES!$D$153</f>
        <v>80000.0</v>
      </c>
      <c r="G226" s="98" t="n"/>
      <c r="H226" s="98" t="n"/>
      <c r="I226" s="98" t="n"/>
      <c r="J226" s="98" t="n"/>
      <c r="K226" s="98" t="n"/>
      <c r="L226" s="98" t="n"/>
      <c r="M226" s="98" t="n"/>
      <c r="N226" s="98" t="n"/>
      <c r="O226" s="98" t="n"/>
      <c r="P226" s="98" t="n"/>
    </row>
    <row r="227" ht="57.6" customHeight="1" s="12">
      <c r="A227" s="100" t="n"/>
      <c r="B227" s="82" t="inlineStr">
        <is>
          <t>The Contractor shall provide and maintain as necessary all temporary roads, tracks, paths, hardstanding, shed bases, pavement, crossovers, and other temporary works and the like including those required by Nominated Sub- Contractors/Suppliers and others. Clear away on completion and reinstate all works disturbed.</t>
        </is>
      </c>
      <c r="C227" s="82" t="n"/>
      <c r="D227" s="82" t="n"/>
      <c r="E227" s="82" t="n"/>
      <c r="F227" s="531" t="n"/>
      <c r="G227" s="83" t="n"/>
      <c r="H227" s="83" t="n"/>
      <c r="I227" s="83" t="n"/>
      <c r="J227" s="83" t="n"/>
      <c r="K227" s="83" t="n"/>
      <c r="L227" s="83" t="n"/>
      <c r="M227" s="83" t="n"/>
      <c r="N227" s="83" t="n"/>
      <c r="O227" s="83" t="n"/>
      <c r="P227" s="83" t="n"/>
    </row>
    <row r="228">
      <c r="A228" s="100" t="n"/>
      <c r="B228" s="82" t="n"/>
      <c r="C228" s="82" t="n"/>
      <c r="D228" s="82" t="n"/>
      <c r="E228" s="82" t="n"/>
      <c r="F228" s="531" t="n"/>
      <c r="G228" s="83" t="n"/>
      <c r="H228" s="83" t="n"/>
      <c r="I228" s="83" t="n"/>
      <c r="J228" s="83" t="n"/>
      <c r="K228" s="83" t="n"/>
      <c r="L228" s="83" t="n"/>
      <c r="M228" s="83" t="n"/>
      <c r="N228" s="83" t="n"/>
      <c r="O228" s="83" t="n"/>
      <c r="P228" s="83" t="n"/>
    </row>
    <row r="229">
      <c r="A229" s="100" t="inlineStr">
        <is>
          <t>E</t>
        </is>
      </c>
      <c r="B229" s="97" t="inlineStr">
        <is>
          <t>Temporary Sanitary Accommodation</t>
        </is>
      </c>
      <c r="C229" s="97" t="n"/>
      <c r="D229" s="97" t="n"/>
      <c r="E229" s="97" t="n"/>
      <c r="F229" s="546">
        <f>RATES!$D$154</f>
        <v>60000.0</v>
      </c>
      <c r="G229" s="98" t="n"/>
      <c r="H229" s="98" t="n"/>
      <c r="I229" s="98" t="n"/>
      <c r="J229" s="98" t="n"/>
      <c r="K229" s="98" t="n"/>
      <c r="L229" s="98" t="n"/>
      <c r="M229" s="98" t="n"/>
      <c r="N229" s="98" t="n"/>
      <c r="O229" s="98" t="n"/>
      <c r="P229" s="98" t="n"/>
    </row>
    <row r="230" ht="72" customHeight="1" s="12">
      <c r="A230" s="100" t="n"/>
      <c r="B230" s="82" t="inlineStr">
        <is>
          <t>The Contractor shall provide, maintain and keep in a hygienic condition adequate temporary sanitary accommodation and facilities for all persons employed on the works including Nominated Sub-Contractors. Alter, shift and adapt from  time  to  time  as  necessary. On  completion of  the  works,  the Contractor shall remove/ clear the said facilities, disinfect the ground and leave same in a clean and orderly manner.</t>
        </is>
      </c>
      <c r="C230" s="82" t="n"/>
      <c r="D230" s="82" t="n"/>
      <c r="E230" s="82" t="n"/>
      <c r="F230" s="531" t="n"/>
      <c r="G230" s="93">
        <f>F230*70%</f>
        <v>0.0</v>
      </c>
      <c r="H230" s="83" t="n"/>
      <c r="I230" s="83" t="n"/>
      <c r="J230" s="83" t="n"/>
      <c r="K230" s="83" t="n"/>
      <c r="L230" s="83" t="n"/>
      <c r="M230" s="83" t="n"/>
      <c r="N230" s="83" t="n"/>
      <c r="O230" s="83" t="n"/>
      <c r="P230" s="83" t="n"/>
    </row>
    <row r="231">
      <c r="A231" s="100" t="n"/>
      <c r="B231" s="82" t="n"/>
      <c r="C231" s="82" t="n"/>
      <c r="D231" s="82" t="n"/>
      <c r="E231" s="82" t="n"/>
      <c r="F231" s="531" t="n"/>
      <c r="G231" s="83" t="n"/>
      <c r="H231" s="83" t="n"/>
      <c r="I231" s="83" t="n"/>
      <c r="J231" s="83" t="n"/>
      <c r="K231" s="83" t="n"/>
      <c r="L231" s="83" t="n"/>
      <c r="M231" s="83" t="n"/>
      <c r="N231" s="83" t="n"/>
      <c r="O231" s="83" t="n"/>
      <c r="P231" s="83" t="n"/>
    </row>
    <row r="232">
      <c r="A232" s="100" t="inlineStr">
        <is>
          <t>F</t>
        </is>
      </c>
      <c r="B232" s="97" t="inlineStr">
        <is>
          <t>Site Meetings</t>
        </is>
      </c>
      <c r="C232" s="97" t="n"/>
      <c r="D232" s="97" t="n"/>
      <c r="E232" s="97" t="n"/>
      <c r="F232" s="546">
        <f>RATES!$D$155</f>
        <v>36000.0</v>
      </c>
      <c r="G232" s="98" t="n"/>
      <c r="H232" s="98" t="n"/>
      <c r="I232" s="98" t="n"/>
      <c r="J232" s="98" t="n"/>
      <c r="K232" s="98" t="n"/>
      <c r="L232" s="98" t="n"/>
      <c r="M232" s="98" t="n"/>
      <c r="N232" s="98" t="n"/>
      <c r="O232" s="98" t="n"/>
      <c r="P232" s="98" t="n"/>
    </row>
    <row r="233" ht="158.4" customHeight="1" s="12">
      <c r="A233" s="100" t="n"/>
      <c r="B233" s="82" t="inlineStr">
        <is>
          <t>The  Contractor  shall  hold  progress  meetings which  shall  be  attended  by
representatives of all Nominated Sub-Contractors/Suppliers engaged on the works, (and required by him/her to be present) to co-ordinate progress and ensure that the programme is met in all aspects. The contractor shall make adequate provision for logistics for the meeting including tables, chairs, snacks, food, etc
As soon as practicable, after the progress meeting, the Contractor shall convene a site meeting to be chaired and recorded by the Consultants and attended by  other parties as may be appropriate. The Contractor shall be responsible for circulating minutes to all appropriate Nominated Sub- Contractors and for informing them of meetings and for providing the usual facilities and services required by such meetings.</t>
        </is>
      </c>
      <c r="C233" s="82" t="n"/>
      <c r="D233" s="82" t="n"/>
      <c r="E233" s="82" t="n"/>
      <c r="F233" s="531" t="n"/>
      <c r="G233" s="83" t="n"/>
      <c r="H233" s="83" t="n"/>
      <c r="I233" s="83" t="n"/>
      <c r="J233" s="83" t="n"/>
      <c r="K233" s="83" t="n"/>
      <c r="L233" s="83" t="n"/>
      <c r="M233" s="83" t="n"/>
      <c r="N233" s="83" t="n"/>
      <c r="O233" s="83" t="n"/>
      <c r="P233" s="83" t="n"/>
    </row>
    <row r="234" ht="14.4" customHeight="1" s="12">
      <c r="A234" s="100" t="n"/>
      <c r="B234" s="82" t="n"/>
      <c r="C234" s="82" t="n"/>
      <c r="D234" s="82" t="n"/>
      <c r="E234" s="82" t="n"/>
      <c r="F234" s="531" t="n"/>
      <c r="G234" s="83" t="n"/>
      <c r="H234" s="83" t="n"/>
      <c r="I234" s="83" t="n"/>
      <c r="J234" s="83" t="n"/>
      <c r="K234" s="83" t="n"/>
      <c r="L234" s="83" t="n"/>
      <c r="M234" s="83" t="n"/>
      <c r="N234" s="83" t="n"/>
      <c r="O234" s="83" t="n"/>
      <c r="P234" s="83" t="n"/>
    </row>
    <row r="235">
      <c r="A235" s="100" t="inlineStr">
        <is>
          <t>G</t>
        </is>
      </c>
      <c r="B235" s="97" t="inlineStr">
        <is>
          <t>First Aid Equipment</t>
        </is>
      </c>
      <c r="C235" s="97" t="n"/>
      <c r="D235" s="97" t="n"/>
      <c r="E235" s="97" t="n"/>
      <c r="F235" s="546">
        <f>RATES!$D$156</f>
        <v>15000.0</v>
      </c>
      <c r="G235" s="98" t="n"/>
      <c r="H235" s="98" t="n"/>
      <c r="I235" s="98" t="n"/>
      <c r="J235" s="98" t="n"/>
      <c r="K235" s="98" t="n"/>
      <c r="L235" s="98" t="n"/>
      <c r="M235" s="98" t="n"/>
      <c r="N235" s="98" t="n"/>
      <c r="O235" s="98" t="n"/>
      <c r="P235" s="98" t="n"/>
    </row>
    <row r="236" ht="34.2" customHeight="1" s="12">
      <c r="A236" s="100" t="n"/>
      <c r="B236" s="82" t="inlineStr">
        <is>
          <t>The Contractor shall provide adequate First Aid Equipment which shall be available for the use of the workmen during working hours.</t>
        </is>
      </c>
      <c r="C236" s="82" t="n"/>
      <c r="D236" s="82" t="n"/>
      <c r="E236" s="82" t="n"/>
      <c r="F236" s="531" t="n"/>
      <c r="G236" s="83" t="n"/>
      <c r="H236" s="83" t="n"/>
      <c r="I236" s="83" t="n"/>
      <c r="J236" s="83" t="n"/>
      <c r="K236" s="83" t="n"/>
      <c r="L236" s="83" t="n"/>
      <c r="M236" s="83" t="n"/>
      <c r="N236" s="83" t="n"/>
      <c r="O236" s="83" t="n"/>
      <c r="P236" s="83" t="n"/>
    </row>
    <row r="237">
      <c r="A237" s="100" t="n"/>
      <c r="B237" s="99" t="n"/>
      <c r="C237" s="99" t="n"/>
      <c r="D237" s="99" t="n"/>
      <c r="E237" s="99" t="n"/>
      <c r="F237" s="533" t="n"/>
    </row>
    <row r="238">
      <c r="A238" s="100" t="inlineStr">
        <is>
          <t>H</t>
        </is>
      </c>
      <c r="B238" s="97" t="inlineStr">
        <is>
          <t>Site Security</t>
        </is>
      </c>
      <c r="C238" s="97" t="n"/>
      <c r="D238" s="97" t="n"/>
      <c r="E238" s="97" t="n"/>
      <c r="F238" s="546">
        <f>RATES!$D$157</f>
        <v>240000.0</v>
      </c>
      <c r="G238" s="98" t="n"/>
      <c r="H238" s="98" t="n"/>
      <c r="I238" s="98" t="n"/>
      <c r="J238" s="98" t="n"/>
      <c r="K238" s="98" t="n"/>
      <c r="L238" s="98" t="n"/>
      <c r="M238" s="98" t="n"/>
      <c r="N238" s="98" t="n"/>
      <c r="O238" s="98" t="n"/>
      <c r="P238" s="98" t="n"/>
    </row>
    <row r="239" ht="86.40000000000001" customHeight="1" s="12">
      <c r="A239" s="100" t="n"/>
      <c r="B239" s="82" t="inlineStr">
        <is>
          <t>The whole of the works including those of Nominated Sub-Contractors shall
be  under  the  protection  of  the  Contractor  until  the  works  are  formally handed over to the Employer. Therefore, the Contractor shall safeguard the works, materials and plant against damage or theft. It will provide all necessary watching and lighting for the security of the works and the protection of the public. It will provide shelter and fuel for any watchman as required.</t>
        </is>
      </c>
      <c r="C239" s="82" t="n"/>
      <c r="D239" s="82" t="n"/>
      <c r="E239" s="82" t="n"/>
      <c r="F239" s="531" t="n"/>
      <c r="G239" s="83" t="n"/>
      <c r="H239" s="83" t="n"/>
      <c r="I239" s="83" t="n"/>
      <c r="J239" s="83" t="n"/>
      <c r="K239" s="83" t="n"/>
      <c r="L239" s="83" t="n"/>
      <c r="M239" s="83" t="n"/>
      <c r="N239" s="83" t="n"/>
      <c r="O239" s="83" t="n"/>
      <c r="P239" s="83" t="n"/>
    </row>
    <row r="240" ht="29.4" customHeight="1" s="12" thickBot="1">
      <c r="A240" s="100" t="n"/>
      <c r="B240" s="82" t="inlineStr">
        <is>
          <t>The Contractor shall be held responsible for the theft of any materials, plant,
tools etc. while executing the works.</t>
        </is>
      </c>
      <c r="C240" s="82" t="n"/>
      <c r="D240" s="82" t="n"/>
      <c r="E240" s="82" t="n"/>
      <c r="F240" s="531" t="n"/>
      <c r="G240" s="83" t="n"/>
      <c r="H240" s="83" t="n"/>
      <c r="I240" s="83" t="n"/>
      <c r="J240" s="83" t="n"/>
      <c r="K240" s="83" t="n"/>
      <c r="L240" s="83" t="n"/>
      <c r="M240" s="83" t="n"/>
      <c r="N240" s="83" t="n"/>
      <c r="O240" s="83" t="n"/>
      <c r="P240" s="83" t="n"/>
    </row>
    <row r="241" ht="14.4" customHeight="1" s="12" thickBot="1">
      <c r="A241" s="101" t="n"/>
      <c r="B241" s="102" t="inlineStr">
        <is>
          <t>TO COLLECTION</t>
        </is>
      </c>
      <c r="C241" s="103" t="n"/>
      <c r="D241" s="103" t="n"/>
      <c r="E241" s="103" t="n"/>
      <c r="F241" s="545">
        <f>SUM(F217:F240)</f>
        <v>801000.0</v>
      </c>
      <c r="G241" s="83" t="n"/>
      <c r="H241" s="83" t="n"/>
      <c r="I241" s="83" t="n"/>
      <c r="J241" s="83" t="n"/>
      <c r="K241" s="83" t="n"/>
      <c r="L241" s="83" t="n"/>
      <c r="M241" s="83" t="n"/>
      <c r="N241" s="83" t="n"/>
      <c r="O241" s="83" t="n"/>
      <c r="P241" s="83" t="n"/>
    </row>
    <row r="242">
      <c r="A242" s="100" t="inlineStr">
        <is>
          <t>A</t>
        </is>
      </c>
      <c r="B242" s="97" t="inlineStr">
        <is>
          <t>Protection of Works</t>
        </is>
      </c>
      <c r="C242" s="97" t="n"/>
      <c r="D242" s="97" t="n"/>
      <c r="E242" s="97" t="n"/>
      <c r="F242" s="546">
        <f>RATES!$D$158</f>
        <v>80000.0</v>
      </c>
      <c r="G242" s="98" t="n"/>
      <c r="H242" s="98" t="n"/>
      <c r="I242" s="98" t="n"/>
      <c r="J242" s="98" t="n"/>
      <c r="K242" s="98" t="n"/>
      <c r="L242" s="98" t="n"/>
      <c r="M242" s="98" t="n"/>
      <c r="N242" s="98" t="n"/>
      <c r="O242" s="98" t="n"/>
      <c r="P242" s="98" t="n"/>
    </row>
    <row r="243" ht="86.40000000000001" customHeight="1" s="12">
      <c r="A243" s="100" t="n"/>
      <c r="B243" s="82" t="inlineStr">
        <is>
          <t>The Contractor shall allow for protecting, in an approved manner, all parts of the works liable to damage from the effects of the sun, rain, drying winds or other unfavourable weather conditions. It shall further include for casing or otherwise suitably protecting all work of any description from any injury or damage arising out of the execution of the works. Should any part of the works become damaged, it  must  be  reinstated to  the  Project Manager's satisfaction and at the Contractor's sole expense.</t>
        </is>
      </c>
      <c r="C243" s="82" t="n"/>
      <c r="D243" s="82" t="n"/>
      <c r="E243" s="82" t="n"/>
      <c r="F243" s="531" t="n"/>
      <c r="G243" s="131" t="n"/>
      <c r="H243" s="131" t="n"/>
      <c r="I243" s="83" t="n"/>
      <c r="J243" s="83" t="n"/>
      <c r="K243" s="83" t="n"/>
      <c r="L243" s="83" t="n"/>
      <c r="M243" s="83" t="n"/>
      <c r="N243" s="83" t="n"/>
      <c r="O243" s="83" t="n"/>
      <c r="P243" s="83" t="n"/>
    </row>
    <row r="244">
      <c r="A244" s="100" t="n"/>
      <c r="B244" s="82" t="n"/>
      <c r="C244" s="82" t="n"/>
      <c r="D244" s="82" t="n"/>
      <c r="E244" s="82" t="n"/>
      <c r="F244" s="531" t="n"/>
      <c r="G244" s="83" t="n"/>
      <c r="H244" s="83" t="n"/>
      <c r="I244" s="83" t="n"/>
      <c r="J244" s="83" t="n"/>
      <c r="K244" s="83" t="n"/>
      <c r="L244" s="83" t="n"/>
      <c r="M244" s="83" t="n"/>
      <c r="N244" s="83" t="n"/>
      <c r="O244" s="83" t="n"/>
      <c r="P244" s="83" t="n"/>
    </row>
    <row r="245">
      <c r="A245" s="100" t="inlineStr">
        <is>
          <t>B</t>
        </is>
      </c>
      <c r="B245" s="97" t="inlineStr">
        <is>
          <t>Protection Against Damage and Injury</t>
        </is>
      </c>
      <c r="C245" s="97" t="n"/>
      <c r="D245" s="97" t="n"/>
      <c r="E245" s="97" t="n"/>
      <c r="F245" s="532" t="n"/>
      <c r="G245" s="98" t="n"/>
      <c r="H245" s="98" t="n"/>
      <c r="I245" s="98" t="n"/>
      <c r="J245" s="98" t="n"/>
      <c r="K245" s="98" t="n"/>
      <c r="L245" s="98" t="n"/>
      <c r="M245" s="98" t="n"/>
      <c r="N245" s="98" t="n"/>
      <c r="O245" s="98" t="n"/>
      <c r="P245" s="98" t="n"/>
    </row>
    <row r="246" ht="102.6" customHeight="1" s="12">
      <c r="A246" s="100" t="n"/>
      <c r="B246" s="82" t="inlineStr">
        <is>
          <t>The Contractor shall allow for providing all temporary fans, gantries, hoardings, guardrails, special protection and other means to all sides of the works and site as necessary to fully and efficiently protect adjoining property, persons, vehicles and the like from damage or injury and as required for the proper  execution  and  completion  of  the  whole  of  the  works.  It  shall indemnify the Employer against all such damage or injury and reinstate and make good any damage caused.</t>
        </is>
      </c>
      <c r="C246" s="82" t="n"/>
      <c r="D246" s="82" t="n"/>
      <c r="E246" s="82" t="n"/>
      <c r="F246" s="531" t="n"/>
      <c r="G246" s="83" t="n"/>
      <c r="H246" s="83" t="n"/>
      <c r="I246" s="83" t="n"/>
      <c r="J246" s="83" t="n"/>
      <c r="K246" s="83" t="n"/>
      <c r="L246" s="83" t="n"/>
      <c r="M246" s="83" t="n"/>
      <c r="N246" s="83" t="n"/>
      <c r="O246" s="83" t="n"/>
      <c r="P246" s="83" t="n"/>
    </row>
    <row r="247">
      <c r="A247" s="100" t="n"/>
      <c r="B247" s="82" t="n"/>
      <c r="C247" s="82" t="n"/>
      <c r="D247" s="82" t="n"/>
      <c r="E247" s="82" t="n"/>
      <c r="F247" s="531" t="n"/>
      <c r="G247" s="83" t="n"/>
      <c r="H247" s="83" t="n"/>
      <c r="I247" s="83" t="n"/>
      <c r="J247" s="83" t="n"/>
      <c r="K247" s="83" t="n"/>
      <c r="L247" s="83" t="n"/>
      <c r="M247" s="83" t="n"/>
      <c r="N247" s="83" t="n"/>
      <c r="O247" s="83" t="n"/>
      <c r="P247" s="83" t="n"/>
    </row>
    <row r="248">
      <c r="A248" s="100" t="inlineStr">
        <is>
          <t>C</t>
        </is>
      </c>
      <c r="B248" s="97" t="inlineStr">
        <is>
          <t>Water for the Works</t>
        </is>
      </c>
      <c r="C248" s="97" t="n"/>
      <c r="D248" s="97" t="n"/>
      <c r="E248" s="97" t="n"/>
      <c r="F248" s="546">
        <f>RATES!$D$159</f>
        <v>150000.0</v>
      </c>
      <c r="G248" s="98" t="n"/>
      <c r="H248" s="98" t="n"/>
      <c r="I248" s="98" t="n"/>
      <c r="J248" s="98" t="n"/>
      <c r="K248" s="98" t="n"/>
      <c r="L248" s="98" t="n"/>
      <c r="M248" s="98" t="n"/>
      <c r="N248" s="98" t="n"/>
      <c r="O248" s="98" t="n"/>
      <c r="P248" s="98" t="n"/>
    </row>
    <row r="249" ht="100.8" customHeight="1" s="12">
      <c r="A249" s="100" t="n"/>
      <c r="B249" s="82" t="inlineStr">
        <is>
          <t>The Contractor shall provide water  required for  the  works including that required by sub-contractors. The Contractor shall provide temporary arrangement for storing and distributing water on the site and alter, adapt and maintain as required and clear away on completion and pay all fees and charges in connection.
All work in connection with the water supply shall be executed in accordance with the requirements of the Local Water Company.</t>
        </is>
      </c>
      <c r="C249" s="82" t="n"/>
      <c r="D249" s="82" t="n"/>
      <c r="E249" s="82" t="n"/>
      <c r="F249" s="531" t="n"/>
      <c r="G249" s="83" t="n"/>
      <c r="H249" s="83" t="n"/>
      <c r="I249" s="83" t="n"/>
      <c r="J249" s="83" t="n"/>
      <c r="K249" s="83" t="n"/>
      <c r="L249" s="83" t="n"/>
      <c r="M249" s="83" t="n"/>
      <c r="N249" s="83" t="n"/>
      <c r="O249" s="83" t="n"/>
      <c r="P249" s="83" t="n"/>
    </row>
    <row r="250">
      <c r="A250" s="100" t="n"/>
      <c r="B250" s="99" t="n"/>
      <c r="C250" s="99" t="n"/>
      <c r="D250" s="99" t="n"/>
      <c r="E250" s="99" t="n"/>
      <c r="F250" s="533" t="n"/>
    </row>
    <row r="251">
      <c r="A251" s="100" t="inlineStr">
        <is>
          <t>D</t>
        </is>
      </c>
      <c r="B251" s="97" t="inlineStr">
        <is>
          <t>Temporary Lighting and Power</t>
        </is>
      </c>
      <c r="C251" s="97" t="n"/>
      <c r="D251" s="97" t="n"/>
      <c r="E251" s="97" t="n"/>
      <c r="F251" s="546">
        <f>RATES!$D$160</f>
        <v>300000.0</v>
      </c>
      <c r="G251" s="98" t="n"/>
      <c r="H251" s="98" t="n"/>
      <c r="I251" s="98" t="n"/>
      <c r="J251" s="98" t="n"/>
      <c r="K251" s="98" t="n"/>
      <c r="L251" s="98" t="n"/>
      <c r="M251" s="98" t="n"/>
      <c r="N251" s="98" t="n"/>
      <c r="O251" s="98" t="n"/>
      <c r="P251" s="98" t="n"/>
    </row>
    <row r="252" ht="100.2" customHeight="1" s="12">
      <c r="A252" s="100" t="n"/>
      <c r="B252" s="82" t="inlineStr">
        <is>
          <t>The Contractor shall provide all necessary temporary electric lighting and power for the works, including that required by Nominated Sub-Contractors. The Contractor shall make temporary arrangement for distributing power on the site and alter, adapt and maintain as required and clear away on completion and pay all fees and charges in connection. All such electrical work shall be executed in conformance with the requirement or regulations of the Local Electricity Company</t>
        </is>
      </c>
      <c r="C252" s="82" t="n"/>
      <c r="D252" s="82" t="n"/>
      <c r="E252" s="82" t="n"/>
      <c r="F252" s="531" t="n"/>
      <c r="G252" s="93">
        <f>F252*50%</f>
        <v>0.0</v>
      </c>
      <c r="H252" s="83" t="n"/>
      <c r="I252" s="83" t="n"/>
      <c r="J252" s="83" t="n"/>
      <c r="K252" s="83" t="n"/>
      <c r="L252" s="83" t="n"/>
      <c r="M252" s="83" t="n"/>
      <c r="N252" s="83" t="n"/>
      <c r="O252" s="83" t="n"/>
      <c r="P252" s="83" t="n"/>
    </row>
    <row r="253">
      <c r="A253" s="100" t="n"/>
      <c r="B253" s="82" t="n"/>
      <c r="C253" s="82" t="n"/>
      <c r="D253" s="82" t="n"/>
      <c r="E253" s="82" t="n"/>
      <c r="F253" s="531" t="n"/>
      <c r="G253" s="83" t="n"/>
      <c r="H253" s="83" t="n"/>
      <c r="I253" s="83" t="n"/>
      <c r="J253" s="83" t="n"/>
      <c r="K253" s="83" t="n"/>
      <c r="L253" s="83" t="n"/>
      <c r="M253" s="83" t="n"/>
      <c r="N253" s="83" t="n"/>
      <c r="O253" s="83" t="n"/>
      <c r="P253" s="83" t="n"/>
    </row>
    <row r="254">
      <c r="A254" s="100" t="inlineStr">
        <is>
          <t>E</t>
        </is>
      </c>
      <c r="B254" s="97" t="inlineStr">
        <is>
          <t>Social Security Act</t>
        </is>
      </c>
      <c r="C254" s="97" t="n"/>
      <c r="D254" s="97" t="n"/>
      <c r="E254" s="97" t="n"/>
      <c r="F254" s="532" t="n"/>
      <c r="G254" s="98" t="n"/>
      <c r="H254" s="98" t="n"/>
      <c r="I254" s="98" t="n"/>
      <c r="J254" s="98" t="n"/>
      <c r="K254" s="98" t="n"/>
      <c r="L254" s="98" t="n"/>
      <c r="M254" s="98" t="n"/>
      <c r="N254" s="98" t="n"/>
      <c r="O254" s="98" t="n"/>
      <c r="P254" s="98" t="n"/>
    </row>
    <row r="255">
      <c r="A255" s="100" t="n"/>
      <c r="B255" s="82" t="inlineStr">
        <is>
          <t>The Contractor shall allow for all costs arising out of the Social Security Act.</t>
        </is>
      </c>
      <c r="C255" s="82" t="n"/>
      <c r="D255" s="82" t="n"/>
      <c r="E255" s="82" t="n"/>
      <c r="F255" s="531" t="n"/>
      <c r="G255" s="83" t="n"/>
      <c r="H255" s="83" t="n"/>
      <c r="I255" s="83" t="n"/>
      <c r="J255" s="83" t="n"/>
      <c r="K255" s="83" t="n"/>
      <c r="L255" s="83" t="n"/>
      <c r="M255" s="83" t="n"/>
      <c r="N255" s="83" t="n"/>
      <c r="O255" s="83" t="n"/>
      <c r="P255" s="83" t="n"/>
    </row>
    <row r="256">
      <c r="A256" s="100" t="n"/>
      <c r="B256" s="82" t="n"/>
      <c r="C256" s="82" t="n"/>
      <c r="D256" s="82" t="n"/>
      <c r="E256" s="82" t="n"/>
      <c r="F256" s="531" t="n"/>
      <c r="G256" s="83" t="n"/>
      <c r="H256" s="83" t="n"/>
      <c r="I256" s="83" t="n"/>
      <c r="J256" s="83" t="n"/>
      <c r="K256" s="83" t="n"/>
      <c r="L256" s="83" t="n"/>
      <c r="M256" s="83" t="n"/>
      <c r="N256" s="83" t="n"/>
      <c r="O256" s="83" t="n"/>
      <c r="P256" s="83" t="n"/>
    </row>
    <row r="257">
      <c r="A257" s="100" t="inlineStr">
        <is>
          <t>F</t>
        </is>
      </c>
      <c r="B257" s="97" t="inlineStr">
        <is>
          <t>Fair Wages</t>
        </is>
      </c>
      <c r="C257" s="97" t="n"/>
      <c r="D257" s="97" t="n"/>
      <c r="E257" s="97" t="n"/>
      <c r="F257" s="532" t="n"/>
      <c r="G257" s="98" t="n"/>
      <c r="H257" s="98" t="n"/>
      <c r="I257" s="98" t="n"/>
      <c r="J257" s="98" t="n"/>
      <c r="K257" s="98" t="n"/>
      <c r="L257" s="98" t="n"/>
      <c r="M257" s="98" t="n"/>
      <c r="N257" s="98" t="n"/>
      <c r="O257" s="98" t="n"/>
      <c r="P257" s="98" t="n"/>
    </row>
    <row r="258" ht="57.6" customHeight="1" s="12">
      <c r="A258" s="100" t="n"/>
      <c r="B258" s="82" t="inlineStr">
        <is>
          <t>The Contractor shall pay rates and wages and observe hours and conditions of labour which are not less favourable than the general level of wages, hours and conditions observed by other Building Trade Employers whose general circumstances in the Construction industry are similar.</t>
        </is>
      </c>
      <c r="C258" s="82" t="n"/>
      <c r="D258" s="82" t="n"/>
      <c r="E258" s="82" t="n"/>
      <c r="F258" s="531" t="n"/>
      <c r="G258" s="83" t="n"/>
      <c r="H258" s="83" t="n"/>
      <c r="I258" s="83" t="n"/>
      <c r="J258" s="83" t="n"/>
      <c r="K258" s="83" t="n"/>
      <c r="L258" s="83" t="n"/>
      <c r="M258" s="83" t="n"/>
      <c r="N258" s="83" t="n"/>
      <c r="O258" s="83" t="n"/>
      <c r="P258" s="83" t="n"/>
    </row>
    <row r="259">
      <c r="A259" s="100" t="n"/>
      <c r="B259" s="82" t="n"/>
      <c r="C259" s="82" t="n"/>
      <c r="D259" s="82" t="n"/>
      <c r="E259" s="82" t="n"/>
      <c r="F259" s="531" t="n"/>
      <c r="G259" s="83" t="n"/>
      <c r="H259" s="83" t="n"/>
      <c r="I259" s="83" t="n"/>
      <c r="J259" s="83" t="n"/>
      <c r="K259" s="83" t="n"/>
      <c r="L259" s="83" t="n"/>
      <c r="M259" s="83" t="n"/>
      <c r="N259" s="83" t="n"/>
      <c r="O259" s="83" t="n"/>
      <c r="P259" s="83" t="n"/>
    </row>
    <row r="260">
      <c r="A260" s="100" t="inlineStr">
        <is>
          <t>G</t>
        </is>
      </c>
      <c r="B260" s="97" t="inlineStr">
        <is>
          <t>Police Regulations</t>
        </is>
      </c>
      <c r="C260" s="97" t="n"/>
      <c r="D260" s="97" t="n"/>
      <c r="E260" s="97" t="n"/>
      <c r="F260" s="532" t="n"/>
      <c r="G260" s="98" t="n"/>
      <c r="H260" s="98" t="n"/>
      <c r="I260" s="98" t="n"/>
      <c r="J260" s="98" t="n"/>
      <c r="K260" s="98" t="n"/>
      <c r="L260" s="98" t="n"/>
      <c r="M260" s="98" t="n"/>
      <c r="N260" s="98" t="n"/>
      <c r="O260" s="98" t="n"/>
      <c r="P260" s="98" t="n"/>
    </row>
    <row r="261" ht="28.8" customHeight="1" s="12">
      <c r="A261" s="100" t="n"/>
      <c r="B261" s="82" t="inlineStr">
        <is>
          <t>The Contractor shall allow for all costs arising from restrictions that may be imposed by the Police or other Authorities upon the execution of the works.</t>
        </is>
      </c>
      <c r="C261" s="82" t="n"/>
      <c r="D261" s="82" t="n"/>
      <c r="E261" s="82" t="n"/>
      <c r="F261" s="531" t="n"/>
      <c r="G261" s="83" t="n"/>
      <c r="H261" s="83" t="n"/>
      <c r="I261" s="83" t="n"/>
      <c r="J261" s="83" t="n"/>
      <c r="K261" s="83" t="n"/>
      <c r="L261" s="83" t="n"/>
      <c r="M261" s="83" t="n"/>
      <c r="N261" s="83" t="n"/>
      <c r="O261" s="83" t="n"/>
      <c r="P261" s="83" t="n"/>
    </row>
    <row r="262" ht="14.4" customHeight="1" s="12">
      <c r="A262" s="100" t="n"/>
      <c r="B262" s="82" t="n"/>
      <c r="C262" s="82" t="n"/>
      <c r="D262" s="82" t="n"/>
      <c r="E262" s="82" t="n"/>
      <c r="F262" s="531" t="n"/>
      <c r="G262" s="83" t="n"/>
      <c r="H262" s="83" t="n"/>
      <c r="I262" s="83" t="n"/>
      <c r="J262" s="83" t="n"/>
      <c r="K262" s="83" t="n"/>
      <c r="L262" s="83" t="n"/>
      <c r="M262" s="83" t="n"/>
      <c r="N262" s="83" t="n"/>
      <c r="O262" s="83" t="n"/>
      <c r="P262" s="83" t="n"/>
    </row>
    <row r="263">
      <c r="A263" s="100" t="inlineStr">
        <is>
          <t>H</t>
        </is>
      </c>
      <c r="B263" s="97" t="inlineStr">
        <is>
          <t>Programme Chart</t>
        </is>
      </c>
      <c r="C263" s="97" t="n"/>
      <c r="D263" s="97" t="n"/>
      <c r="E263" s="97" t="n"/>
      <c r="F263" s="532" t="n"/>
      <c r="G263" s="98" t="n"/>
      <c r="H263" s="98" t="n"/>
      <c r="I263" s="98" t="n"/>
      <c r="J263" s="98" t="n"/>
      <c r="K263" s="98" t="n"/>
      <c r="L263" s="98" t="n"/>
      <c r="M263" s="98" t="n"/>
      <c r="N263" s="98" t="n"/>
      <c r="O263" s="98" t="n"/>
      <c r="P263" s="98" t="n"/>
    </row>
    <row r="264" ht="86.40000000000001" customHeight="1" s="12">
      <c r="A264" s="100" t="n"/>
      <c r="B264" s="82" t="inlineStr">
        <is>
          <t>Within twenty eight (28) days of the order to  commence the  works, the Contractor shall prepare and submit for the Consultant's approval a comprehensive programme chart covering all aspects of the works showing earliest and latest start and finish dates for each activity including all Nominated Sub-Contract work. The Contractor shall allow for preparing four (4) sets at monthly intervals or at stages to be determined by the Engineer.</t>
        </is>
      </c>
      <c r="C264" s="82" t="n"/>
      <c r="D264" s="82" t="n"/>
      <c r="E264" s="82" t="n"/>
      <c r="F264" s="552" t="n"/>
      <c r="G264" s="83" t="n"/>
      <c r="H264" s="83" t="n"/>
      <c r="I264" s="83" t="n"/>
      <c r="J264" s="83" t="n"/>
      <c r="K264" s="83" t="n"/>
      <c r="L264" s="83" t="n"/>
      <c r="M264" s="83" t="n"/>
      <c r="N264" s="83" t="n"/>
      <c r="O264" s="83" t="n"/>
      <c r="P264" s="83" t="n"/>
    </row>
    <row r="265" ht="14.4" customHeight="1" s="12">
      <c r="A265" s="100" t="n"/>
      <c r="B265" s="82" t="n"/>
      <c r="C265" s="82" t="n"/>
      <c r="D265" s="82" t="n"/>
      <c r="E265" s="82" t="n"/>
      <c r="F265" s="531" t="n"/>
      <c r="G265" s="83" t="n"/>
      <c r="H265" s="83" t="n"/>
      <c r="I265" s="83" t="n"/>
      <c r="J265" s="83" t="n"/>
      <c r="K265" s="83" t="n"/>
      <c r="L265" s="83" t="n"/>
      <c r="M265" s="83" t="n"/>
      <c r="N265" s="83" t="n"/>
      <c r="O265" s="83" t="n"/>
      <c r="P265" s="83" t="n"/>
    </row>
    <row r="266">
      <c r="A266" s="100" t="inlineStr">
        <is>
          <t>J</t>
        </is>
      </c>
      <c r="B266" s="97" t="inlineStr">
        <is>
          <t>Safety, Health and Welfare</t>
        </is>
      </c>
      <c r="C266" s="97" t="n"/>
      <c r="D266" s="97" t="n"/>
      <c r="E266" s="97" t="n"/>
      <c r="F266" s="546">
        <f>RATES!$D$161</f>
        <v>120000.0</v>
      </c>
      <c r="G266" s="98" t="n"/>
      <c r="H266" s="98" t="n"/>
      <c r="I266" s="98" t="n"/>
      <c r="J266" s="98" t="n"/>
      <c r="K266" s="98" t="n"/>
      <c r="L266" s="98" t="n"/>
      <c r="M266" s="98" t="n"/>
      <c r="N266" s="98" t="n"/>
      <c r="O266" s="98" t="n"/>
      <c r="P266" s="98" t="n"/>
    </row>
    <row r="267" ht="85.2" customHeight="1" s="12" thickBot="1">
      <c r="A267" s="100" t="n"/>
      <c r="B267" s="82" t="inlineStr">
        <is>
          <t>The  Contractor  shall  be  responsible  for  the  welfare  of  all  work  people
engaged upon the works and shall maintain all Safety, Health and Welfare measures for their protection. Amenities are to be provided of a suitable standard and are to be in accordance with any statute applicable. The Contractor shall recognise and allow for all statutory and religious holidays and rites.</t>
        </is>
      </c>
      <c r="C267" s="82" t="n"/>
      <c r="D267" s="82" t="n"/>
      <c r="E267" s="82" t="n"/>
      <c r="F267" s="531" t="n"/>
      <c r="G267" s="93">
        <f>F267*80%</f>
        <v>0.0</v>
      </c>
      <c r="H267" s="83" t="n"/>
      <c r="I267" s="83" t="n"/>
      <c r="J267" s="83" t="n"/>
      <c r="K267" s="83" t="n"/>
      <c r="L267" s="83" t="n"/>
      <c r="M267" s="83" t="n"/>
      <c r="N267" s="83" t="n"/>
      <c r="O267" s="83" t="n"/>
      <c r="P267" s="83" t="n"/>
    </row>
    <row r="268" ht="18.6" customHeight="1" s="12" thickBot="1">
      <c r="A268" s="101" t="n"/>
      <c r="B268" s="102" t="inlineStr">
        <is>
          <t>TO COLLECTION</t>
        </is>
      </c>
      <c r="C268" s="103" t="n"/>
      <c r="D268" s="103" t="n"/>
      <c r="E268" s="103" t="n"/>
      <c r="F268" s="545">
        <f>SUM(F242:F267)</f>
        <v>650000.0</v>
      </c>
    </row>
    <row r="269">
      <c r="A269" s="100" t="inlineStr">
        <is>
          <t>A</t>
        </is>
      </c>
      <c r="B269" s="97" t="inlineStr">
        <is>
          <t>Hard Hat and Protective Clothing</t>
        </is>
      </c>
      <c r="C269" s="97" t="n"/>
      <c r="D269" s="97" t="n"/>
      <c r="E269" s="97" t="n"/>
      <c r="F269" s="553">
        <f>RATES!$D$162</f>
        <v>60000.0</v>
      </c>
      <c r="G269" s="98" t="n"/>
      <c r="H269" s="98" t="n"/>
      <c r="I269" s="98" t="n"/>
      <c r="J269" s="98" t="n"/>
      <c r="K269" s="98" t="n"/>
      <c r="L269" s="98" t="n"/>
      <c r="M269" s="98" t="n"/>
      <c r="N269" s="98" t="n"/>
      <c r="O269" s="98" t="n"/>
      <c r="P269" s="98" t="n"/>
    </row>
    <row r="270" ht="87" customHeight="1" s="12">
      <c r="A270" s="100" t="n"/>
      <c r="B270" s="82" t="inlineStr">
        <is>
          <t>The Contractor shall provide all site operatives with protective clothing such as hard hat and protective foot wear (i.e. wellington boots) to protect such operatives from head and foot injury. The Contractor shall also provide all visitors to the site including all resident construction professionals with protective clothing such as hard hat and wellington boots and insist on their use.</t>
        </is>
      </c>
      <c r="C270" s="82" t="n"/>
      <c r="D270" s="82" t="n"/>
      <c r="E270" s="82" t="n"/>
      <c r="F270" s="531" t="n"/>
      <c r="G270" s="93">
        <f>F270*80%</f>
        <v>0.0</v>
      </c>
      <c r="H270" s="83" t="n"/>
      <c r="I270" s="83" t="n"/>
      <c r="J270" s="83" t="n"/>
      <c r="K270" s="83" t="n"/>
      <c r="L270" s="83" t="n"/>
      <c r="M270" s="83" t="n"/>
      <c r="N270" s="83" t="n"/>
      <c r="O270" s="83" t="n"/>
      <c r="P270" s="83" t="n"/>
    </row>
    <row r="271">
      <c r="A271" s="100" t="n"/>
      <c r="B271" s="82" t="n"/>
      <c r="C271" s="82" t="n"/>
      <c r="D271" s="82" t="n"/>
      <c r="E271" s="82" t="n"/>
      <c r="F271" s="531" t="n"/>
      <c r="G271" s="83" t="n"/>
      <c r="H271" s="83" t="n"/>
      <c r="I271" s="83" t="n"/>
      <c r="J271" s="83" t="n"/>
      <c r="K271" s="83" t="n"/>
      <c r="L271" s="83" t="n"/>
      <c r="M271" s="83" t="n"/>
      <c r="N271" s="83" t="n"/>
      <c r="O271" s="83" t="n"/>
      <c r="P271" s="83" t="n"/>
    </row>
    <row r="272">
      <c r="A272" s="100" t="inlineStr">
        <is>
          <t>B</t>
        </is>
      </c>
      <c r="B272" s="97" t="inlineStr">
        <is>
          <t>Expenses on Labour</t>
        </is>
      </c>
      <c r="C272" s="97" t="n"/>
      <c r="D272" s="97" t="n"/>
      <c r="E272" s="97" t="n"/>
      <c r="F272" s="532" t="n"/>
      <c r="G272" s="98" t="n"/>
      <c r="H272" s="98" t="n"/>
      <c r="I272" s="98" t="n"/>
      <c r="J272" s="98" t="n"/>
      <c r="K272" s="98" t="n"/>
      <c r="L272" s="98" t="n"/>
      <c r="M272" s="98" t="n"/>
      <c r="N272" s="98" t="n"/>
      <c r="O272" s="98" t="n"/>
      <c r="P272" s="98" t="n"/>
    </row>
    <row r="273" ht="86.40000000000001" customHeight="1" s="12">
      <c r="A273" s="100" t="n"/>
      <c r="B273" s="82" t="inlineStr">
        <is>
          <t>The Contractor shall allow for all emoluments and expenses arising out of Government, Trade Union and other applicable rules for the Construction Industry. Allow for all costs including transport in sending out or bringing labour to the site. Allow for all payments in respect of holidays with pay, the application of any bonus scheme and for all overtime and incentives which the Contractor may offer in order to attract and retain the necessary labour on the site and to achieve the date for completion.</t>
        </is>
      </c>
      <c r="C273" s="82" t="n"/>
      <c r="D273" s="82" t="n"/>
      <c r="E273" s="82" t="n"/>
      <c r="F273" s="531" t="n"/>
      <c r="G273" s="83" t="n"/>
      <c r="H273" s="83" t="n"/>
      <c r="I273" s="83" t="n"/>
      <c r="J273" s="83" t="n"/>
      <c r="K273" s="83" t="n"/>
      <c r="L273" s="83" t="n"/>
      <c r="M273" s="83" t="n"/>
      <c r="N273" s="83" t="n"/>
      <c r="O273" s="83" t="n"/>
      <c r="P273" s="83" t="n"/>
    </row>
    <row r="274">
      <c r="A274" s="100" t="n"/>
      <c r="B274" s="82" t="n"/>
      <c r="C274" s="82" t="n"/>
      <c r="D274" s="82" t="n"/>
      <c r="E274" s="82" t="n"/>
      <c r="F274" s="531" t="n"/>
      <c r="G274" s="83" t="n"/>
      <c r="H274" s="83" t="n"/>
      <c r="I274" s="83" t="n"/>
      <c r="J274" s="83" t="n"/>
      <c r="K274" s="83" t="n"/>
      <c r="L274" s="83" t="n"/>
      <c r="M274" s="83" t="n"/>
      <c r="N274" s="83" t="n"/>
      <c r="O274" s="83" t="n"/>
      <c r="P274" s="83" t="n"/>
    </row>
    <row r="275">
      <c r="A275" s="100" t="inlineStr">
        <is>
          <t>C</t>
        </is>
      </c>
      <c r="B275" s="97" t="inlineStr">
        <is>
          <t>Labour Returns</t>
        </is>
      </c>
      <c r="C275" s="97" t="n"/>
      <c r="D275" s="97" t="n"/>
      <c r="E275" s="97" t="n"/>
      <c r="F275" s="532" t="n"/>
      <c r="G275" s="98" t="n"/>
      <c r="H275" s="98" t="n"/>
      <c r="I275" s="98" t="n"/>
      <c r="J275" s="98" t="n"/>
      <c r="K275" s="98" t="n"/>
      <c r="L275" s="98" t="n"/>
      <c r="M275" s="98" t="n"/>
      <c r="N275" s="98" t="n"/>
      <c r="O275" s="98" t="n"/>
      <c r="P275" s="98" t="n"/>
    </row>
    <row r="276" ht="43.95" customHeight="1" s="12">
      <c r="A276" s="100" t="n"/>
      <c r="B276" s="82" t="inlineStr">
        <is>
          <t>The Contractor shall keep an accurate record of the labour employed on the project. The details when requested shall be submitted to the Engineer for his/her records.</t>
        </is>
      </c>
      <c r="C276" s="82" t="n"/>
      <c r="D276" s="82" t="n"/>
      <c r="E276" s="82" t="n"/>
      <c r="F276" s="531" t="n"/>
      <c r="G276" s="83" t="n"/>
      <c r="H276" s="83" t="n"/>
      <c r="I276" s="83" t="n"/>
      <c r="J276" s="83" t="n"/>
      <c r="K276" s="83" t="n"/>
      <c r="L276" s="83" t="n"/>
      <c r="M276" s="83" t="n"/>
      <c r="N276" s="83" t="n"/>
      <c r="O276" s="83" t="n"/>
      <c r="P276" s="83" t="n"/>
    </row>
    <row r="277">
      <c r="A277" s="100" t="n"/>
      <c r="B277" s="82" t="n"/>
      <c r="C277" s="82" t="n"/>
      <c r="D277" s="82" t="n"/>
      <c r="E277" s="82" t="n"/>
      <c r="F277" s="531" t="n"/>
      <c r="G277" s="83" t="n"/>
      <c r="H277" s="83" t="n"/>
      <c r="I277" s="83" t="n"/>
      <c r="J277" s="83" t="n"/>
      <c r="K277" s="83" t="n"/>
      <c r="L277" s="83" t="n"/>
      <c r="M277" s="83" t="n"/>
      <c r="N277" s="83" t="n"/>
      <c r="O277" s="83" t="n"/>
      <c r="P277" s="83" t="n"/>
    </row>
    <row r="278">
      <c r="A278" s="100" t="inlineStr">
        <is>
          <t>D</t>
        </is>
      </c>
      <c r="B278" s="97" t="inlineStr">
        <is>
          <t>Dismissal of persons from Site</t>
        </is>
      </c>
      <c r="C278" s="97" t="n"/>
      <c r="D278" s="97" t="n"/>
      <c r="E278" s="97" t="n"/>
      <c r="F278" s="532" t="n"/>
      <c r="G278" s="98" t="n"/>
      <c r="H278" s="98" t="n"/>
      <c r="I278" s="98" t="n"/>
      <c r="J278" s="98" t="n"/>
      <c r="K278" s="98" t="n"/>
      <c r="L278" s="98" t="n"/>
      <c r="M278" s="98" t="n"/>
      <c r="N278" s="98" t="n"/>
      <c r="O278" s="98" t="n"/>
      <c r="P278" s="98" t="n"/>
    </row>
    <row r="279" ht="43.2" customHeight="1" s="12">
      <c r="A279" s="100" t="n"/>
      <c r="B279" s="82" t="inlineStr">
        <is>
          <t>Any person employed on the  works who  in the  opinion of  Consultant  is incompetent or who may act in an improper manner shall be immediately dismissed from the works by the instructions of the Engineer.</t>
        </is>
      </c>
      <c r="C279" s="82" t="n"/>
      <c r="D279" s="82" t="n"/>
      <c r="E279" s="82" t="n"/>
      <c r="F279" s="531" t="n"/>
      <c r="G279" s="83" t="n"/>
      <c r="H279" s="83" t="n"/>
      <c r="I279" s="83" t="n"/>
      <c r="J279" s="83" t="n"/>
      <c r="K279" s="83" t="n"/>
      <c r="L279" s="83" t="n"/>
      <c r="M279" s="83" t="n"/>
      <c r="N279" s="83" t="n"/>
      <c r="O279" s="83" t="n"/>
      <c r="P279" s="83" t="n"/>
    </row>
    <row r="280">
      <c r="A280" s="100" t="n"/>
      <c r="B280" s="82" t="n"/>
      <c r="C280" s="82" t="n"/>
      <c r="D280" s="82" t="n"/>
      <c r="E280" s="82" t="n"/>
      <c r="F280" s="531" t="n"/>
      <c r="G280" s="83" t="n"/>
      <c r="H280" s="83" t="n"/>
      <c r="I280" s="83" t="n"/>
      <c r="J280" s="83" t="n"/>
      <c r="K280" s="83" t="n"/>
      <c r="L280" s="83" t="n"/>
      <c r="M280" s="83" t="n"/>
      <c r="N280" s="83" t="n"/>
      <c r="O280" s="83" t="n"/>
      <c r="P280" s="83" t="n"/>
    </row>
    <row r="281">
      <c r="A281" s="100" t="inlineStr">
        <is>
          <t>E</t>
        </is>
      </c>
      <c r="B281" s="97" t="inlineStr">
        <is>
          <t>Working Hours and Overtime</t>
        </is>
      </c>
      <c r="C281" s="97" t="n"/>
      <c r="D281" s="97" t="n"/>
      <c r="E281" s="97" t="n"/>
      <c r="F281" s="532" t="n"/>
      <c r="G281" s="98" t="n"/>
      <c r="H281" s="98" t="n"/>
      <c r="I281" s="98" t="n"/>
      <c r="J281" s="98" t="n"/>
      <c r="K281" s="98" t="n"/>
      <c r="L281" s="98" t="n"/>
      <c r="M281" s="98" t="n"/>
      <c r="N281" s="98" t="n"/>
      <c r="O281" s="98" t="n"/>
      <c r="P281" s="98" t="n"/>
    </row>
    <row r="282" ht="57.6" customHeight="1" s="12">
      <c r="A282" s="100" t="n"/>
      <c r="B282" s="82" t="inlineStr">
        <is>
          <t>The Contractor shall carry out the works during normal working hours. If the Contractor wishes, for any reason, to work overtime, It shall, except in the case of emergency, first obtain permission from the Engineer and give at least two (2) full working days notice. No extra payment will be allowed in respect of overtime working.</t>
        </is>
      </c>
      <c r="C282" s="82" t="n"/>
      <c r="D282" s="82" t="n"/>
      <c r="E282" s="82" t="n"/>
      <c r="F282" s="531" t="n"/>
      <c r="G282" s="83" t="n"/>
      <c r="H282" s="83" t="n"/>
      <c r="I282" s="83" t="n"/>
      <c r="J282" s="83" t="n"/>
      <c r="K282" s="83" t="n"/>
      <c r="L282" s="83" t="n"/>
      <c r="M282" s="83" t="n"/>
      <c r="N282" s="83" t="n"/>
      <c r="O282" s="83" t="n"/>
      <c r="P282" s="83" t="n"/>
    </row>
    <row r="283" ht="43.2" customHeight="1" s="12">
      <c r="A283" s="100" t="n"/>
      <c r="B283" s="82" t="inlineStr">
        <is>
          <t>The Contractor is required to state the basic working hours per day of his/her work people upon which his/her tender is based. This information shall be given prior to production on site.</t>
        </is>
      </c>
      <c r="C283" s="82" t="n"/>
      <c r="D283" s="82" t="n"/>
      <c r="E283" s="82" t="n"/>
      <c r="F283" s="531" t="n"/>
      <c r="G283" s="83" t="n"/>
      <c r="H283" s="83" t="n"/>
      <c r="I283" s="83" t="n"/>
      <c r="J283" s="83" t="n"/>
      <c r="K283" s="83" t="n"/>
      <c r="L283" s="83" t="n"/>
      <c r="M283" s="83" t="n"/>
      <c r="N283" s="83" t="n"/>
      <c r="O283" s="83" t="n"/>
      <c r="P283" s="83" t="n"/>
    </row>
    <row r="284" ht="14.4" customHeight="1" s="12">
      <c r="A284" s="100" t="n"/>
      <c r="B284" s="82" t="n"/>
      <c r="C284" s="82" t="n"/>
      <c r="D284" s="82" t="n"/>
      <c r="E284" s="82" t="n"/>
      <c r="F284" s="531" t="n"/>
      <c r="G284" s="83" t="n"/>
      <c r="H284" s="83" t="n"/>
      <c r="I284" s="83" t="n"/>
      <c r="J284" s="83" t="n"/>
      <c r="K284" s="83" t="n"/>
      <c r="L284" s="83" t="n"/>
      <c r="M284" s="83" t="n"/>
      <c r="N284" s="83" t="n"/>
      <c r="O284" s="83" t="n"/>
      <c r="P284" s="83" t="n"/>
    </row>
    <row r="285">
      <c r="A285" s="100" t="inlineStr">
        <is>
          <t>F</t>
        </is>
      </c>
      <c r="B285" s="97" t="inlineStr">
        <is>
          <t>Adverse Weather</t>
        </is>
      </c>
      <c r="C285" s="97" t="n"/>
      <c r="D285" s="97" t="n"/>
      <c r="E285" s="97" t="n"/>
      <c r="F285" s="532" t="n"/>
      <c r="G285" s="98" t="n"/>
      <c r="H285" s="98" t="n"/>
      <c r="I285" s="98" t="n"/>
      <c r="J285" s="98" t="n"/>
      <c r="K285" s="98" t="n"/>
      <c r="L285" s="98" t="n"/>
      <c r="M285" s="98" t="n"/>
      <c r="N285" s="98" t="n"/>
      <c r="O285" s="98" t="n"/>
      <c r="P285" s="98" t="n"/>
    </row>
    <row r="286" ht="43.2" customHeight="1" s="12">
      <c r="A286" s="100" t="n"/>
      <c r="B286" s="82" t="inlineStr">
        <is>
          <t>During adverse weather conditions, the Contractor shall suspend concreting
and plastering for such time as the Engineer may direct and shall protect from injury all works then in the course of construction.</t>
        </is>
      </c>
      <c r="C286" s="82" t="n"/>
      <c r="D286" s="82" t="n"/>
      <c r="E286" s="82" t="n"/>
      <c r="F286" s="531" t="n"/>
      <c r="G286" s="83" t="n"/>
      <c r="H286" s="83" t="n"/>
      <c r="I286" s="83" t="n"/>
      <c r="J286" s="83" t="n"/>
      <c r="K286" s="83" t="n"/>
      <c r="L286" s="83" t="n"/>
      <c r="M286" s="83" t="n"/>
      <c r="N286" s="83" t="n"/>
      <c r="O286" s="83" t="n"/>
      <c r="P286" s="83" t="n"/>
    </row>
    <row r="287">
      <c r="A287" s="100" t="n"/>
      <c r="B287" s="99" t="n"/>
      <c r="C287" s="99" t="n"/>
      <c r="D287" s="99" t="n"/>
      <c r="E287" s="99" t="n"/>
      <c r="F287" s="533" t="n"/>
    </row>
    <row r="288">
      <c r="A288" s="100" t="inlineStr">
        <is>
          <t>G</t>
        </is>
      </c>
      <c r="B288" s="97" t="inlineStr">
        <is>
          <t>Dayworks</t>
        </is>
      </c>
      <c r="C288" s="97" t="n"/>
      <c r="D288" s="97" t="n"/>
      <c r="E288" s="97" t="n"/>
      <c r="F288" s="532" t="n"/>
      <c r="G288" s="98" t="n"/>
      <c r="H288" s="98" t="n"/>
      <c r="I288" s="98" t="n"/>
      <c r="J288" s="98" t="n"/>
      <c r="K288" s="98" t="n"/>
      <c r="L288" s="98" t="n"/>
      <c r="M288" s="98" t="n"/>
      <c r="N288" s="98" t="n"/>
      <c r="O288" s="98" t="n"/>
      <c r="P288" s="98" t="n"/>
    </row>
    <row r="289" ht="70.95" customHeight="1" s="12">
      <c r="A289" s="100" t="n"/>
      <c r="B289" s="82" t="inlineStr">
        <is>
          <t>Should it be found in the opinion of the Engineer that, by reason of their intricate nature or exceptional circumstances, works ordered by him/her cannot be fairly valued at the schedule of rates for measured works, It may order  these  to  be  carried  out  on  time  and  material  (daywork)  basis  as Contract Condition</t>
        </is>
      </c>
      <c r="C289" s="82" t="n"/>
      <c r="D289" s="82" t="n"/>
      <c r="E289" s="82" t="n"/>
      <c r="F289" s="531" t="n"/>
      <c r="G289" s="83" t="n"/>
      <c r="H289" s="83" t="n"/>
      <c r="I289" s="83" t="n"/>
      <c r="J289" s="83" t="n"/>
      <c r="K289" s="83" t="n"/>
      <c r="L289" s="83" t="n"/>
      <c r="M289" s="83" t="n"/>
      <c r="N289" s="83" t="n"/>
      <c r="O289" s="83" t="n"/>
      <c r="P289" s="83" t="n"/>
    </row>
    <row r="290" ht="43.2" customHeight="1" s="12">
      <c r="A290" s="100" t="n"/>
      <c r="B290" s="82" t="inlineStr">
        <is>
          <t>The Contractor shall give notice to the Engineer or his/her representative on the  commencement and  completion of  any  work for  which It  intends to submit Daywork Vouchers.</t>
        </is>
      </c>
      <c r="C290" s="82" t="n"/>
      <c r="D290" s="82" t="n"/>
      <c r="E290" s="82" t="n"/>
      <c r="F290" s="531" t="n"/>
      <c r="G290" s="83" t="n"/>
      <c r="H290" s="83" t="n"/>
      <c r="I290" s="83" t="n"/>
      <c r="J290" s="83" t="n"/>
      <c r="K290" s="83" t="n"/>
      <c r="L290" s="83" t="n"/>
      <c r="M290" s="83" t="n"/>
      <c r="N290" s="83" t="n"/>
      <c r="O290" s="83" t="n"/>
      <c r="P290" s="83" t="n"/>
    </row>
    <row r="291" ht="86.40000000000001" customHeight="1" s="12">
      <c r="A291" s="100" t="n"/>
      <c r="B291" s="82" t="inlineStr">
        <is>
          <t>The Contractor shall keep an accurate record of time spent and materials and
plant used on  each separate instruction given. Daywork voucher shall be numbered and shall describe fully the instructions to which they refer and they shall be summarised, fully priced and submitted to the Engineer each week with a copy to the Quantity Surveyor. The submission of such Daywork voucher does not necessarily mean that the works will be valued under Contract Condition</t>
        </is>
      </c>
      <c r="C291" s="82" t="n"/>
      <c r="D291" s="82" t="n"/>
      <c r="E291" s="82" t="n"/>
      <c r="F291" s="531" t="n"/>
      <c r="G291" s="83" t="n"/>
      <c r="H291" s="83" t="n"/>
      <c r="I291" s="83" t="n"/>
      <c r="J291" s="83" t="n"/>
      <c r="K291" s="83" t="n"/>
      <c r="L291" s="83" t="n"/>
      <c r="M291" s="83" t="n"/>
      <c r="N291" s="83" t="n"/>
      <c r="O291" s="83" t="n"/>
      <c r="P291" s="83" t="n"/>
    </row>
    <row r="292" ht="14.4" customHeight="1" s="12">
      <c r="A292" s="100" t="n"/>
      <c r="B292" s="82" t="n"/>
      <c r="C292" s="82" t="n"/>
      <c r="D292" s="82" t="n"/>
      <c r="E292" s="82" t="n"/>
      <c r="F292" s="531" t="n"/>
      <c r="G292" s="83" t="n"/>
      <c r="H292" s="83" t="n"/>
      <c r="I292" s="83" t="n"/>
      <c r="J292" s="83" t="n"/>
      <c r="K292" s="83" t="n"/>
      <c r="L292" s="83" t="n"/>
      <c r="M292" s="83" t="n"/>
      <c r="N292" s="83" t="n"/>
      <c r="O292" s="83" t="n"/>
      <c r="P292" s="83" t="n"/>
    </row>
    <row r="293">
      <c r="A293" s="100" t="inlineStr">
        <is>
          <t>H</t>
        </is>
      </c>
      <c r="B293" s="97" t="inlineStr">
        <is>
          <t>Certificates and Payments</t>
        </is>
      </c>
      <c r="C293" s="97" t="n"/>
      <c r="D293" s="97" t="n"/>
      <c r="E293" s="97" t="n"/>
      <c r="F293" s="532" t="n"/>
      <c r="G293" s="98" t="n"/>
      <c r="H293" s="98" t="n"/>
      <c r="I293" s="98" t="n"/>
      <c r="J293" s="98" t="n"/>
      <c r="K293" s="98" t="n"/>
      <c r="L293" s="98" t="n"/>
      <c r="M293" s="98" t="n"/>
      <c r="N293" s="98" t="n"/>
      <c r="O293" s="98" t="n"/>
      <c r="P293" s="98" t="n"/>
    </row>
    <row r="294" ht="87" customHeight="1" s="12" thickBot="1">
      <c r="A294" s="100" t="n"/>
      <c r="B294" s="82" t="inlineStr">
        <is>
          <t>The Contractor shall supply the Quantity Surveyor with detailed priced statement of work executed and details of materials supplied to assist the Quantity Surveyor  in  the  valuation  of  the  amount  to  be  certified  by  the Engineer   for   an   interim   payment.   Preliminaries  shall   be   valued   on   a proportion of work properly executed (rather than on a time basis) after due allowance having been made for initial site set up and final site clearance.</t>
        </is>
      </c>
      <c r="C294" s="82" t="n"/>
      <c r="D294" s="82" t="n"/>
      <c r="E294" s="82" t="n"/>
      <c r="F294" s="531" t="n"/>
      <c r="G294" s="83" t="n"/>
      <c r="H294" s="83" t="n"/>
      <c r="I294" s="83" t="n"/>
      <c r="J294" s="83" t="n"/>
      <c r="K294" s="83" t="n"/>
      <c r="L294" s="83" t="n"/>
      <c r="M294" s="83" t="n"/>
      <c r="N294" s="83" t="n"/>
      <c r="O294" s="83" t="n"/>
      <c r="P294" s="83" t="n"/>
    </row>
    <row r="295" ht="18.6" customHeight="1" s="12" thickBot="1">
      <c r="A295" s="101" t="n"/>
      <c r="B295" s="102" t="inlineStr">
        <is>
          <t>TO COLLECTION</t>
        </is>
      </c>
      <c r="C295" s="103" t="n"/>
      <c r="D295" s="103" t="n"/>
      <c r="E295" s="103" t="n"/>
      <c r="F295" s="545">
        <f>SUM(F269:F294)</f>
        <v>60000.0</v>
      </c>
      <c r="G295" s="83" t="n"/>
      <c r="H295" s="83" t="n"/>
      <c r="I295" s="83" t="n"/>
      <c r="J295" s="83" t="n"/>
      <c r="K295" s="83" t="n"/>
      <c r="L295" s="83" t="n"/>
      <c r="M295" s="83" t="n"/>
      <c r="N295" s="83" t="n"/>
      <c r="O295" s="83" t="n"/>
      <c r="P295" s="83" t="n"/>
    </row>
    <row r="296">
      <c r="A296" s="100" t="inlineStr">
        <is>
          <t>A</t>
        </is>
      </c>
      <c r="B296" s="97" t="inlineStr">
        <is>
          <t>Removing Water</t>
        </is>
      </c>
      <c r="C296" s="97" t="n"/>
      <c r="D296" s="97" t="n"/>
      <c r="E296" s="97" t="n"/>
      <c r="F296" s="546">
        <f>RATES!$D$163</f>
        <v>150000.0</v>
      </c>
      <c r="G296" s="98" t="n"/>
      <c r="H296" s="98" t="n"/>
      <c r="I296" s="98" t="n"/>
      <c r="J296" s="98" t="n"/>
      <c r="K296" s="98" t="n"/>
      <c r="L296" s="98" t="n"/>
      <c r="M296" s="98" t="n"/>
      <c r="N296" s="98" t="n"/>
      <c r="O296" s="98" t="n"/>
      <c r="P296" s="98" t="n"/>
    </row>
    <row r="297" ht="86.40000000000001" customFormat="1" customHeight="1" s="130">
      <c r="A297" s="126" t="n"/>
      <c r="B297" s="82" t="inlineStr">
        <is>
          <t>The Contractor shall allow for bailing, pumping or otherwise removing all
water (whether arising from the  nature of  the  ground, weather, springs, drains or any other source) which may accumulate in the excavation or elsewhere on the site during the progress of the works.
The Contractor should allow here also for keeping the excavation and the
works free from water in the ground below water level.</t>
        </is>
      </c>
      <c r="C297" s="127" t="n"/>
      <c r="D297" s="127" t="n"/>
      <c r="E297" s="127" t="n"/>
      <c r="F297" s="554" t="n"/>
      <c r="G297" s="132" t="n"/>
      <c r="H297" s="132" t="n"/>
      <c r="I297" s="132" t="n"/>
      <c r="J297" s="132" t="n"/>
      <c r="K297" s="132" t="n"/>
      <c r="L297" s="132" t="n"/>
      <c r="M297" s="132" t="n"/>
      <c r="N297" s="132" t="n"/>
      <c r="O297" s="132" t="n"/>
      <c r="P297" s="132" t="n"/>
    </row>
    <row r="298">
      <c r="A298" s="100" t="n"/>
      <c r="B298" s="99" t="n"/>
      <c r="C298" s="99" t="n"/>
      <c r="D298" s="99" t="n"/>
      <c r="E298" s="99" t="n"/>
      <c r="F298" s="533" t="n"/>
    </row>
    <row r="299">
      <c r="A299" s="100" t="inlineStr">
        <is>
          <t>B</t>
        </is>
      </c>
      <c r="B299" s="97" t="inlineStr">
        <is>
          <t>Removing Rubbish etc.</t>
        </is>
      </c>
      <c r="C299" s="97" t="n"/>
      <c r="D299" s="97" t="n"/>
      <c r="E299" s="97" t="n"/>
      <c r="F299" s="546">
        <f>RATES!$D$164</f>
        <v>120000.0</v>
      </c>
      <c r="G299" s="98" t="n"/>
      <c r="H299" s="98" t="n"/>
      <c r="I299" s="98" t="n"/>
      <c r="J299" s="98" t="n"/>
      <c r="K299" s="98" t="n"/>
      <c r="L299" s="98" t="n"/>
      <c r="M299" s="98" t="n"/>
      <c r="N299" s="98" t="n"/>
      <c r="O299" s="98" t="n"/>
      <c r="P299" s="98" t="n"/>
    </row>
    <row r="300" ht="14.4" customHeight="1" s="12">
      <c r="A300" s="100" t="n"/>
      <c r="B300" s="82" t="inlineStr">
        <is>
          <t>The Contractor shall remove all rubbish from site both as it accumulates
from time to time and at completion.</t>
        </is>
      </c>
      <c r="C300" s="82" t="n"/>
      <c r="D300" s="82" t="n"/>
      <c r="E300" s="82" t="n"/>
      <c r="F300" s="531" t="n"/>
      <c r="G300" s="83" t="n"/>
      <c r="H300" s="83" t="n"/>
      <c r="I300" s="83" t="n"/>
      <c r="J300" s="83" t="n"/>
      <c r="K300" s="83" t="n"/>
      <c r="L300" s="83" t="n"/>
      <c r="M300" s="83" t="n"/>
      <c r="N300" s="83" t="n"/>
      <c r="O300" s="83" t="n"/>
      <c r="P300" s="83" t="n"/>
    </row>
    <row r="301" ht="43.2" customHeight="1" s="12">
      <c r="A301" s="100" t="n"/>
      <c r="B301" s="82" t="inlineStr">
        <is>
          <t>The Contractor shall clean the works inside and out, remove stains and touch up paintwork and polished work and shall leave the whole works clean, ready for occupation and to the satisfaction of the Project Manager.</t>
        </is>
      </c>
      <c r="C301" s="82" t="n"/>
      <c r="D301" s="82" t="n"/>
      <c r="E301" s="82" t="n"/>
      <c r="F301" s="531" t="n"/>
      <c r="G301" s="83" t="n"/>
      <c r="H301" s="83" t="n"/>
      <c r="I301" s="83" t="n"/>
      <c r="J301" s="83" t="n"/>
      <c r="K301" s="83" t="n"/>
      <c r="L301" s="83" t="n"/>
      <c r="M301" s="83" t="n"/>
      <c r="N301" s="83" t="n"/>
      <c r="O301" s="83" t="n"/>
      <c r="P301" s="83" t="n"/>
    </row>
    <row r="302" ht="57.6" customHeight="1" s="12">
      <c r="A302" s="100" t="n"/>
      <c r="B302" s="82" t="inlineStr">
        <is>
          <t>On completion of the works, the Contractor shall remove from site all plant, building appliances, apparatus or equipment and unused or surplus materials together with all rubbish, debris, (including that of Nominated Sub- Contractors) all temporary buildings, sheds, barriers, scaffolding and the like and shall make good all works disturbed.</t>
        </is>
      </c>
      <c r="C302" s="82" t="n"/>
      <c r="D302" s="82" t="n"/>
      <c r="E302" s="82" t="n"/>
      <c r="F302" s="531" t="n"/>
      <c r="G302" s="83" t="n"/>
      <c r="H302" s="83" t="n"/>
      <c r="I302" s="83" t="n"/>
      <c r="J302" s="83" t="n"/>
      <c r="K302" s="83" t="n"/>
      <c r="L302" s="83" t="n"/>
      <c r="M302" s="83" t="n"/>
      <c r="N302" s="83" t="n"/>
      <c r="O302" s="83" t="n"/>
      <c r="P302" s="83" t="n"/>
    </row>
    <row r="303" ht="14.4" customHeight="1" s="12">
      <c r="A303" s="100" t="n"/>
      <c r="B303" s="82" t="n"/>
      <c r="C303" s="82" t="n"/>
      <c r="D303" s="82" t="n"/>
      <c r="E303" s="82" t="n"/>
      <c r="F303" s="531" t="n"/>
      <c r="G303" s="83" t="n"/>
      <c r="H303" s="83" t="n"/>
      <c r="I303" s="83" t="n"/>
      <c r="J303" s="83" t="n"/>
      <c r="K303" s="83" t="n"/>
      <c r="L303" s="83" t="n"/>
      <c r="M303" s="83" t="n"/>
      <c r="N303" s="83" t="n"/>
      <c r="O303" s="83" t="n"/>
      <c r="P303" s="83" t="n"/>
    </row>
    <row r="304">
      <c r="A304" s="100" t="inlineStr">
        <is>
          <t>C</t>
        </is>
      </c>
      <c r="B304" s="97" t="inlineStr">
        <is>
          <t>Progress Photographs</t>
        </is>
      </c>
      <c r="C304" s="97" t="n"/>
      <c r="D304" s="97" t="n"/>
      <c r="E304" s="97" t="n"/>
      <c r="F304" s="546">
        <f>RATES!$D$165</f>
        <v>12000.0</v>
      </c>
      <c r="G304" s="98" t="n"/>
      <c r="H304" s="98" t="n"/>
      <c r="I304" s="98" t="n"/>
      <c r="J304" s="98" t="n"/>
      <c r="K304" s="98" t="n"/>
      <c r="L304" s="98" t="n"/>
      <c r="M304" s="98" t="n"/>
      <c r="N304" s="98" t="n"/>
      <c r="O304" s="98" t="n"/>
      <c r="P304" s="98" t="n"/>
    </row>
    <row r="305" ht="72" customHeight="1" s="12">
      <c r="A305" s="100" t="n"/>
      <c r="B305" s="82" t="inlineStr">
        <is>
          <t xml:space="preserve">The Contractor shall allow for supplying four (4) copies of progress photographs (in full plate size [A4] and in colour) monthly to the Engineer throughout the  duration  of  the  contract.  The  pictures  must  be  taken  at specific locations of the site as agreed with the Engineer to show a comprenhsive state of the work done on site
</t>
        </is>
      </c>
      <c r="C305" s="82" t="n"/>
      <c r="D305" s="82" t="n"/>
      <c r="E305" s="82" t="n"/>
      <c r="F305" s="555" t="n"/>
      <c r="G305" s="83" t="n"/>
      <c r="H305" s="83" t="n"/>
      <c r="I305" s="83" t="n"/>
      <c r="J305" s="83" t="n"/>
      <c r="K305" s="83" t="n"/>
      <c r="L305" s="83" t="n"/>
      <c r="M305" s="83" t="n"/>
      <c r="N305" s="83" t="n"/>
      <c r="O305" s="83" t="n"/>
      <c r="P305" s="83" t="n"/>
    </row>
    <row r="306">
      <c r="A306" s="100" t="n"/>
      <c r="B306" s="97" t="inlineStr">
        <is>
          <t>Records Keeping</t>
        </is>
      </c>
      <c r="C306" s="82" t="n"/>
      <c r="D306" s="82" t="n"/>
      <c r="E306" s="82" t="n"/>
      <c r="F306" s="531" t="n"/>
      <c r="G306" s="83" t="n"/>
      <c r="H306" s="83" t="n"/>
      <c r="I306" s="83" t="n"/>
      <c r="J306" s="83" t="n"/>
      <c r="K306" s="83" t="n"/>
      <c r="L306" s="83" t="n"/>
      <c r="M306" s="83" t="n"/>
      <c r="N306" s="83" t="n"/>
      <c r="O306" s="83" t="n"/>
      <c r="P306" s="83" t="n"/>
    </row>
    <row r="307" ht="86.40000000000001" customHeight="1" s="12">
      <c r="A307" s="100" t="n"/>
      <c r="B307" s="82" t="inlineStr">
        <is>
          <t>The Contractor shall keep accurate dated record in the form of "works diary" on the site recording the weather, the number of men employed in all trades, progress of the works, temperature, delivery of materials to the site, visitors and other events influencing the progress and quality of the works. Proper delivery notes of materials etc. (stating the name of the project) shall be kept and presented to the or his/her representative for inspection.</t>
        </is>
      </c>
      <c r="C307" s="82" t="n"/>
      <c r="D307" s="82" t="n"/>
      <c r="E307" s="82" t="n"/>
      <c r="F307" s="531" t="n"/>
      <c r="G307" s="83" t="n"/>
      <c r="H307" s="83" t="n"/>
      <c r="I307" s="83" t="n"/>
      <c r="J307" s="83" t="n"/>
      <c r="K307" s="83" t="n"/>
      <c r="L307" s="83" t="n"/>
      <c r="M307" s="83" t="n"/>
      <c r="N307" s="83" t="n"/>
      <c r="O307" s="83" t="n"/>
      <c r="P307" s="83" t="n"/>
    </row>
    <row r="308" ht="14.4" customHeight="1" s="12">
      <c r="A308" s="100" t="n"/>
      <c r="B308" s="82" t="n"/>
      <c r="C308" s="82" t="n"/>
      <c r="D308" s="82" t="n"/>
      <c r="E308" s="82" t="n"/>
      <c r="F308" s="531" t="n"/>
      <c r="G308" s="83" t="n"/>
      <c r="H308" s="83" t="n"/>
      <c r="I308" s="83" t="n"/>
      <c r="J308" s="83" t="n"/>
      <c r="K308" s="83" t="n"/>
      <c r="L308" s="83" t="n"/>
      <c r="M308" s="83" t="n"/>
      <c r="N308" s="83" t="n"/>
      <c r="O308" s="83" t="n"/>
      <c r="P308" s="83" t="n"/>
    </row>
    <row r="309">
      <c r="A309" s="100" t="inlineStr">
        <is>
          <t>D</t>
        </is>
      </c>
      <c r="B309" s="97" t="inlineStr">
        <is>
          <t>Inspection of Invoices and Receipts</t>
        </is>
      </c>
      <c r="C309" s="97" t="n"/>
      <c r="D309" s="97" t="n"/>
      <c r="E309" s="97" t="n"/>
      <c r="F309" s="532" t="n"/>
      <c r="G309" s="98" t="n"/>
      <c r="H309" s="98" t="n"/>
      <c r="I309" s="98" t="n"/>
      <c r="J309" s="98" t="n"/>
      <c r="K309" s="98" t="n"/>
      <c r="L309" s="98" t="n"/>
      <c r="M309" s="98" t="n"/>
      <c r="N309" s="98" t="n"/>
      <c r="O309" s="98" t="n"/>
      <c r="P309" s="98" t="n"/>
    </row>
    <row r="310" ht="57.6" customHeight="1" s="12">
      <c r="A310" s="100" t="n"/>
      <c r="B310" s="82" t="inlineStr">
        <is>
          <t>The Contractor shall, whenever required, produce for inspection all invoices and receipted account relating to the project. Such invoices and accounts may be retained by the Engineer and/or Quantity Surveyor for inspection and will be returned to the Contractor with all convenient speed.</t>
        </is>
      </c>
      <c r="C310" s="82" t="n"/>
      <c r="D310" s="82" t="n"/>
      <c r="E310" s="82" t="n"/>
      <c r="F310" s="531" t="n"/>
      <c r="G310" s="83" t="n"/>
      <c r="H310" s="83" t="n"/>
      <c r="I310" s="83" t="n"/>
      <c r="J310" s="83" t="n"/>
      <c r="K310" s="83" t="n"/>
      <c r="L310" s="83" t="n"/>
      <c r="M310" s="83" t="n"/>
      <c r="N310" s="83" t="n"/>
      <c r="O310" s="83" t="n"/>
      <c r="P310" s="83" t="n"/>
    </row>
    <row r="311">
      <c r="A311" s="100" t="n"/>
      <c r="B311" s="99" t="n"/>
      <c r="C311" s="99" t="n"/>
      <c r="D311" s="99" t="n"/>
      <c r="E311" s="99" t="n"/>
      <c r="F311" s="533" t="n"/>
    </row>
    <row r="312">
      <c r="A312" s="100" t="inlineStr">
        <is>
          <t>E</t>
        </is>
      </c>
      <c r="B312" s="97" t="inlineStr">
        <is>
          <t>Checking Schedules, Drawings and Information</t>
        </is>
      </c>
      <c r="C312" s="97" t="n"/>
      <c r="D312" s="97" t="n"/>
      <c r="E312" s="97" t="n"/>
      <c r="F312" s="532" t="n"/>
      <c r="G312" s="98" t="n"/>
      <c r="H312" s="98" t="n"/>
      <c r="I312" s="98" t="n"/>
      <c r="J312" s="98" t="n"/>
      <c r="K312" s="98" t="n"/>
      <c r="L312" s="98" t="n"/>
      <c r="M312" s="98" t="n"/>
      <c r="N312" s="98" t="n"/>
      <c r="O312" s="98" t="n"/>
      <c r="P312" s="98" t="n"/>
    </row>
    <row r="313" ht="101.4" customHeight="1" s="12">
      <c r="A313" s="100" t="n"/>
      <c r="B313" s="82" t="inlineStr">
        <is>
          <t>The Contractor shall be responsible for checking all schedules, drawings and all other information supplied by the Consultants. In the event of any discrepancy between the schedules, drawings and the like, the Contractor shall report the discrepancy to the Engineer for his/her instructions. Should the Contractor consider the need for a detailed drawn information It shall apply for such detailed drawn information at least four (4) weeks before the works concerned are to be executed.</t>
        </is>
      </c>
      <c r="C313" s="82" t="n"/>
      <c r="D313" s="82" t="n"/>
      <c r="E313" s="82" t="n"/>
      <c r="F313" s="533" t="n"/>
      <c r="G313" s="118" t="n"/>
      <c r="H313" s="118" t="n"/>
      <c r="I313" s="118" t="n"/>
      <c r="J313" s="118" t="n"/>
      <c r="K313" s="118" t="n"/>
      <c r="L313" s="118" t="n"/>
      <c r="M313" s="118" t="n"/>
      <c r="N313" s="118" t="n"/>
      <c r="O313" s="118" t="n"/>
      <c r="P313" s="118" t="n"/>
    </row>
    <row r="314">
      <c r="A314" s="100" t="n"/>
      <c r="B314" s="82" t="n"/>
      <c r="C314" s="82" t="n"/>
      <c r="D314" s="82" t="n"/>
      <c r="E314" s="82" t="n"/>
      <c r="F314" s="533" t="n"/>
      <c r="G314" s="118" t="n"/>
      <c r="H314" s="118" t="n"/>
      <c r="I314" s="118" t="n"/>
      <c r="J314" s="118" t="n"/>
      <c r="K314" s="118" t="n"/>
      <c r="L314" s="118" t="n"/>
      <c r="M314" s="118" t="n"/>
      <c r="N314" s="118" t="n"/>
      <c r="O314" s="118" t="n"/>
      <c r="P314" s="118" t="n"/>
    </row>
    <row r="315">
      <c r="A315" s="100" t="inlineStr">
        <is>
          <t>F</t>
        </is>
      </c>
      <c r="B315" s="116" t="inlineStr">
        <is>
          <t>Quality of Materials and Workmanship</t>
        </is>
      </c>
      <c r="C315" s="116" t="n"/>
      <c r="D315" s="116" t="n"/>
      <c r="E315" s="116" t="n"/>
      <c r="F315" s="544" t="n"/>
      <c r="G315" s="117" t="n"/>
      <c r="H315" s="117" t="n"/>
      <c r="I315" s="117" t="n"/>
      <c r="J315" s="117" t="n"/>
      <c r="K315" s="117" t="n"/>
      <c r="L315" s="117" t="n"/>
      <c r="M315" s="117" t="n"/>
      <c r="N315" s="117" t="n"/>
      <c r="O315" s="117" t="n"/>
      <c r="P315" s="117" t="n"/>
    </row>
    <row r="316" ht="43.2" customHeight="1" s="12">
      <c r="A316" s="100" t="n"/>
      <c r="B316" s="82" t="inlineStr">
        <is>
          <t>Where and to the extent that materials/components, products and workmanship are not fully described in these Bills of Quantities, such materials/components shall be deemed to be:</t>
        </is>
      </c>
      <c r="C316" s="82" t="n"/>
      <c r="D316" s="82" t="n"/>
      <c r="E316" s="82" t="n"/>
      <c r="F316" s="531" t="n"/>
      <c r="G316" s="83" t="n"/>
      <c r="H316" s="83" t="n"/>
      <c r="I316" s="83" t="n"/>
      <c r="J316" s="83" t="n"/>
      <c r="K316" s="83" t="n"/>
      <c r="L316" s="83" t="n"/>
      <c r="M316" s="83" t="n"/>
      <c r="N316" s="83" t="n"/>
      <c r="O316" s="83" t="n"/>
      <c r="P316" s="83" t="n"/>
    </row>
    <row r="317">
      <c r="A317" s="100" t="n"/>
      <c r="B317" s="133" t="inlineStr">
        <is>
          <t>New materials/components</t>
        </is>
      </c>
      <c r="C317" s="133" t="n"/>
      <c r="D317" s="133" t="n"/>
      <c r="E317" s="133" t="n"/>
      <c r="F317" s="533" t="n"/>
      <c r="G317" s="118" t="n"/>
      <c r="H317" s="118" t="n"/>
      <c r="I317" s="118" t="n"/>
      <c r="J317" s="118" t="n"/>
      <c r="K317" s="118" t="n"/>
      <c r="L317" s="118" t="n"/>
      <c r="M317" s="118" t="n"/>
      <c r="N317" s="118" t="n"/>
      <c r="O317" s="118" t="n"/>
    </row>
    <row r="318" ht="54" customHeight="1" s="12">
      <c r="A318" s="100" t="n"/>
      <c r="B318" s="134" t="inlineStr">
        <is>
          <t>1.Suitable for the purpose of the works stated in or reasonably to be
2.inferred from the Contract Documentation. 
3. In accordance with good building practice.</t>
        </is>
      </c>
      <c r="C318" s="82" t="n"/>
      <c r="D318" s="82" t="n"/>
      <c r="E318" s="82" t="n"/>
      <c r="F318" s="531" t="n"/>
      <c r="G318" s="131" t="n"/>
      <c r="H318" s="83" t="n"/>
      <c r="I318" s="83" t="n"/>
      <c r="J318" s="83" t="n"/>
      <c r="K318" s="83" t="n"/>
      <c r="L318" s="83" t="n"/>
      <c r="M318" s="83" t="n"/>
      <c r="N318" s="83" t="n"/>
      <c r="O318" s="83" t="n"/>
    </row>
    <row r="319">
      <c r="A319" s="100" t="n"/>
      <c r="B319" s="82" t="n"/>
      <c r="C319" s="82" t="n"/>
      <c r="D319" s="82" t="n"/>
      <c r="E319" s="82" t="n"/>
      <c r="F319" s="531" t="n"/>
      <c r="G319" s="83" t="n"/>
      <c r="H319" s="83" t="n"/>
      <c r="I319" s="83" t="n"/>
      <c r="J319" s="83" t="n"/>
      <c r="K319" s="83" t="n"/>
      <c r="L319" s="83" t="n"/>
      <c r="M319" s="83" t="n"/>
      <c r="N319" s="83" t="n"/>
      <c r="O319" s="83" t="n"/>
    </row>
    <row r="320">
      <c r="A320" s="100" t="inlineStr">
        <is>
          <t>G</t>
        </is>
      </c>
      <c r="B320" s="116" t="inlineStr">
        <is>
          <t>Publicity</t>
        </is>
      </c>
      <c r="C320" s="116" t="n"/>
      <c r="D320" s="116" t="n"/>
      <c r="E320" s="116" t="n"/>
      <c r="F320" s="544" t="n"/>
      <c r="G320" s="117" t="n"/>
      <c r="H320" s="117" t="n"/>
      <c r="I320" s="117" t="n"/>
      <c r="J320" s="117" t="n"/>
      <c r="K320" s="117" t="n"/>
      <c r="L320" s="117" t="n"/>
      <c r="M320" s="117" t="n"/>
      <c r="N320" s="117" t="n"/>
      <c r="O320" s="117" t="n"/>
      <c r="P320" s="117" t="n"/>
    </row>
    <row r="321" ht="70.95" customHeight="1" s="12">
      <c r="A321" s="100" t="n"/>
      <c r="B321" s="82" t="inlineStr">
        <is>
          <t>The contract documents and everything contained therein shall be treated as
private and confidential. In particular, no information, drawing or photograph concerning  the  works  shall  be  published  unless  previously  approved  in writing by the Engineer.</t>
        </is>
      </c>
      <c r="C321" s="82" t="n"/>
      <c r="D321" s="82" t="n"/>
      <c r="E321" s="82" t="n"/>
      <c r="F321" s="531" t="n"/>
      <c r="G321" s="83" t="n"/>
      <c r="H321" s="83" t="n"/>
      <c r="I321" s="83" t="n"/>
      <c r="J321" s="83" t="n"/>
      <c r="K321" s="83" t="n"/>
      <c r="L321" s="83" t="n"/>
      <c r="M321" s="83" t="n"/>
      <c r="N321" s="83" t="n"/>
      <c r="O321" s="83" t="n"/>
      <c r="P321" s="83" t="n"/>
    </row>
    <row r="322">
      <c r="A322" s="100" t="n"/>
      <c r="B322" s="82" t="n"/>
      <c r="C322" s="82" t="n"/>
      <c r="D322" s="82" t="n"/>
      <c r="E322" s="82" t="n"/>
      <c r="F322" s="531" t="n"/>
      <c r="G322" s="83" t="n"/>
      <c r="H322" s="83" t="n"/>
      <c r="I322" s="83" t="n"/>
      <c r="J322" s="83" t="n"/>
      <c r="K322" s="83" t="n"/>
      <c r="L322" s="83" t="n"/>
      <c r="M322" s="83" t="n"/>
      <c r="N322" s="83" t="n"/>
      <c r="O322" s="83" t="n"/>
      <c r="P322" s="83" t="n"/>
    </row>
    <row r="323">
      <c r="A323" s="100" t="inlineStr">
        <is>
          <t>H</t>
        </is>
      </c>
      <c r="B323" s="97" t="inlineStr">
        <is>
          <t>Materials Short Supply</t>
        </is>
      </c>
      <c r="C323" s="97" t="n"/>
      <c r="D323" s="97" t="n"/>
      <c r="E323" s="97" t="n"/>
      <c r="F323" s="544" t="n"/>
      <c r="G323" s="117" t="n"/>
      <c r="H323" s="117" t="n"/>
      <c r="I323" s="117" t="n"/>
      <c r="J323" s="117" t="n"/>
      <c r="K323" s="117" t="n"/>
      <c r="L323" s="117" t="n"/>
      <c r="M323" s="117" t="n"/>
      <c r="N323" s="117" t="n"/>
      <c r="O323" s="117" t="n"/>
      <c r="P323" s="117" t="n"/>
    </row>
    <row r="324" ht="43.8" customHeight="1" s="12" thickBot="1">
      <c r="A324" s="100" t="n"/>
      <c r="B324" s="82" t="inlineStr">
        <is>
          <t>The Contractor shall order in advance any material in short supply and shall allow in his/her tender for any additional cost of double handling, special storage requirement and the like.</t>
        </is>
      </c>
      <c r="C324" s="82" t="n"/>
      <c r="D324" s="82" t="n"/>
      <c r="E324" s="82" t="n"/>
      <c r="F324" s="533" t="n"/>
      <c r="G324" s="118" t="n"/>
      <c r="H324" s="118" t="n"/>
      <c r="I324" s="118" t="n"/>
      <c r="J324" s="118" t="n"/>
      <c r="K324" s="118" t="n"/>
      <c r="L324" s="118" t="n"/>
      <c r="M324" s="118" t="n"/>
      <c r="N324" s="118" t="n"/>
      <c r="O324" s="118" t="n"/>
      <c r="P324" s="118" t="n"/>
    </row>
    <row r="325" ht="18.6" customHeight="1" s="12" thickBot="1">
      <c r="A325" s="101" t="n"/>
      <c r="B325" s="102" t="inlineStr">
        <is>
          <t>TO COLLECTION</t>
        </is>
      </c>
      <c r="C325" s="103" t="n"/>
      <c r="D325" s="103" t="n"/>
      <c r="E325" s="103" t="n"/>
      <c r="F325" s="545">
        <f>SUM(F296:F324)</f>
        <v>282000.0</v>
      </c>
      <c r="G325" s="118" t="n"/>
      <c r="H325" s="118" t="n"/>
      <c r="I325" s="118" t="n"/>
      <c r="J325" s="118" t="n"/>
      <c r="K325" s="118" t="n"/>
      <c r="L325" s="118" t="n"/>
      <c r="M325" s="118" t="n"/>
      <c r="N325" s="118" t="n"/>
      <c r="O325" s="118" t="n"/>
      <c r="P325" s="118" t="n"/>
    </row>
    <row r="326">
      <c r="A326" s="100" t="inlineStr">
        <is>
          <t>A</t>
        </is>
      </c>
      <c r="B326" s="97" t="inlineStr">
        <is>
          <t>Material Deliveries</t>
        </is>
      </c>
      <c r="C326" s="97" t="n"/>
      <c r="D326" s="97" t="n"/>
      <c r="E326" s="97" t="n"/>
      <c r="F326" s="544" t="n"/>
      <c r="G326" s="117" t="n"/>
      <c r="H326" s="117" t="n"/>
      <c r="I326" s="117" t="n"/>
      <c r="J326" s="117" t="n"/>
      <c r="K326" s="117" t="n"/>
      <c r="L326" s="117" t="n"/>
      <c r="M326" s="117" t="n"/>
      <c r="N326" s="117" t="n"/>
      <c r="O326" s="117" t="n"/>
      <c r="P326" s="117" t="n"/>
    </row>
    <row r="327" ht="71.40000000000001" customHeight="1" s="12">
      <c r="A327" s="100" t="n"/>
      <c r="B327" s="82" t="inlineStr">
        <is>
          <t>The Contractor shall be responsible for ensuring that all building materials,
plant etc. including that of Nominated Sub-Contractors are available at the site at the proper time for use in the works, and shall make all necessary enquiries,  throughout the  progress of  the  works  to  ensure  continuity of supplies.</t>
        </is>
      </c>
      <c r="C327" s="82" t="n"/>
      <c r="D327" s="82" t="n"/>
      <c r="E327" s="82" t="n"/>
      <c r="F327" s="531" t="n"/>
      <c r="G327" s="83" t="n"/>
      <c r="H327" s="83" t="n"/>
      <c r="I327" s="83" t="n"/>
      <c r="J327" s="83" t="n"/>
      <c r="K327" s="83" t="n"/>
      <c r="L327" s="83" t="n"/>
      <c r="M327" s="83" t="n"/>
      <c r="N327" s="83" t="n"/>
      <c r="O327" s="83" t="n"/>
      <c r="P327" s="83" t="n"/>
    </row>
    <row r="328" ht="72" customHeight="1" s="12">
      <c r="A328" s="100" t="n"/>
      <c r="B328" s="82" t="inlineStr">
        <is>
          <t>The Contractor shall make an allowance which It may consider necessary for
additional handling of materials and provision of storage accommodation by reason of the necessity for him/her to accept deliveries of materials in advance  of  requirements  so  as  to   obviate  any  delays  which  may  be occasioned by transport and delivery difficulties.</t>
        </is>
      </c>
      <c r="C328" s="82" t="n"/>
      <c r="D328" s="82" t="n"/>
      <c r="E328" s="82" t="n"/>
      <c r="F328" s="531" t="n"/>
      <c r="G328" s="83" t="n"/>
      <c r="H328" s="83" t="n"/>
      <c r="I328" s="83" t="n"/>
      <c r="J328" s="83" t="n"/>
      <c r="K328" s="83" t="n"/>
      <c r="L328" s="83" t="n"/>
      <c r="M328" s="83" t="n"/>
      <c r="N328" s="83" t="n"/>
      <c r="O328" s="83" t="n"/>
      <c r="P328" s="83" t="n"/>
    </row>
    <row r="329">
      <c r="A329" s="100" t="n"/>
      <c r="B329" s="99" t="n"/>
      <c r="C329" s="99" t="n"/>
      <c r="D329" s="99" t="n"/>
      <c r="E329" s="99" t="n"/>
      <c r="F329" s="533" t="n"/>
    </row>
    <row r="330">
      <c r="A330" s="100" t="inlineStr">
        <is>
          <t>B</t>
        </is>
      </c>
      <c r="B330" s="97" t="inlineStr">
        <is>
          <t>Responsibility for Offshore Materials</t>
        </is>
      </c>
      <c r="C330" s="97" t="n"/>
      <c r="D330" s="97" t="n"/>
      <c r="E330" s="97" t="n"/>
      <c r="F330" s="532" t="n"/>
      <c r="G330" s="98" t="n"/>
      <c r="H330" s="98" t="n"/>
      <c r="I330" s="98" t="n"/>
      <c r="J330" s="98" t="n"/>
      <c r="K330" s="98" t="n"/>
      <c r="L330" s="98" t="n"/>
      <c r="M330" s="98" t="n"/>
      <c r="N330" s="98" t="n"/>
      <c r="O330" s="98" t="n"/>
      <c r="P330" s="98" t="n"/>
    </row>
    <row r="331" ht="72" customHeight="1" s="12">
      <c r="A331" s="100" t="n"/>
      <c r="B331" s="82" t="inlineStr">
        <is>
          <t>The  Contractor  shall  take  full  responsibility  for  obtaining  any  offshore
materials specified and where such materials are not readily obtainable locally, the Contractor shall obtain the necessary import licences and/or exchange control permits and all cost of obtaining licences, foreign exchange and all additional charges for importation and delivery to the site are deemed to be included in his/her rates.</t>
        </is>
      </c>
      <c r="C331" s="82" t="n"/>
      <c r="D331" s="82" t="n"/>
      <c r="E331" s="82" t="n"/>
      <c r="F331" s="531" t="n"/>
      <c r="G331" s="83" t="n"/>
      <c r="H331" s="83" t="n"/>
      <c r="I331" s="83" t="n"/>
      <c r="J331" s="83" t="n"/>
      <c r="K331" s="83" t="n"/>
      <c r="L331" s="83" t="n"/>
      <c r="M331" s="83" t="n"/>
      <c r="N331" s="83" t="n"/>
      <c r="O331" s="83" t="n"/>
      <c r="P331" s="83" t="n"/>
    </row>
    <row r="332">
      <c r="A332" s="100" t="n"/>
      <c r="B332" s="82" t="n"/>
      <c r="C332" s="82" t="n"/>
      <c r="D332" s="82" t="n"/>
      <c r="E332" s="82" t="n"/>
      <c r="F332" s="531" t="n"/>
      <c r="G332" s="83" t="n"/>
      <c r="H332" s="83" t="n"/>
      <c r="I332" s="83" t="n"/>
      <c r="J332" s="83" t="n"/>
      <c r="K332" s="83" t="n"/>
      <c r="L332" s="83" t="n"/>
      <c r="M332" s="83" t="n"/>
      <c r="N332" s="83" t="n"/>
      <c r="O332" s="83" t="n"/>
      <c r="P332" s="83" t="n"/>
    </row>
    <row r="333">
      <c r="A333" s="100" t="inlineStr">
        <is>
          <t>C</t>
        </is>
      </c>
      <c r="B333" s="116" t="inlineStr">
        <is>
          <t>Equivalent Materials</t>
        </is>
      </c>
      <c r="C333" s="116" t="n"/>
      <c r="D333" s="116" t="n"/>
      <c r="E333" s="116" t="n"/>
      <c r="F333" s="544" t="n"/>
      <c r="G333" s="117" t="n"/>
      <c r="H333" s="117" t="n"/>
      <c r="I333" s="117" t="n"/>
      <c r="J333" s="117" t="n"/>
      <c r="K333" s="117" t="n"/>
      <c r="L333" s="117" t="n"/>
      <c r="M333" s="117" t="n"/>
      <c r="N333" s="117" t="n"/>
      <c r="O333" s="117" t="n"/>
      <c r="P333" s="117" t="n"/>
    </row>
    <row r="334" ht="43.2" customHeight="1" s="12">
      <c r="A334" s="100" t="n"/>
      <c r="B334" s="82" t="inlineStr">
        <is>
          <t>Where applicable or processes are specified, the Contractor may propose an equivalent material or process as an alternative thereto but no such material or process shall be used in the works without prior consent in writing by the Project Manager.</t>
        </is>
      </c>
      <c r="C334" s="82" t="n"/>
      <c r="D334" s="82" t="n"/>
      <c r="E334" s="82" t="n"/>
      <c r="F334" s="531" t="n"/>
      <c r="G334" s="83" t="n"/>
      <c r="H334" s="83" t="n"/>
      <c r="I334" s="83" t="n"/>
      <c r="J334" s="83" t="n"/>
      <c r="K334" s="83" t="n"/>
      <c r="L334" s="83" t="n"/>
      <c r="M334" s="83" t="n"/>
      <c r="N334" s="83" t="n"/>
      <c r="O334" s="83" t="n"/>
      <c r="P334" s="83" t="n"/>
    </row>
    <row r="335">
      <c r="A335" s="100" t="n"/>
      <c r="B335" s="82" t="n"/>
      <c r="C335" s="82" t="n"/>
      <c r="D335" s="82" t="n"/>
      <c r="E335" s="82" t="n"/>
      <c r="F335" s="531" t="n"/>
      <c r="G335" s="83" t="n"/>
      <c r="H335" s="83" t="n"/>
      <c r="I335" s="83" t="n"/>
      <c r="J335" s="83" t="n"/>
      <c r="K335" s="83" t="n"/>
      <c r="L335" s="83" t="n"/>
      <c r="M335" s="83" t="n"/>
      <c r="N335" s="83" t="n"/>
      <c r="O335" s="83" t="n"/>
      <c r="P335" s="83" t="n"/>
    </row>
    <row r="336">
      <c r="A336" s="100" t="inlineStr">
        <is>
          <t>D</t>
        </is>
      </c>
      <c r="B336" s="97" t="inlineStr">
        <is>
          <t>Testing of Materials</t>
        </is>
      </c>
      <c r="C336" s="97" t="n"/>
      <c r="D336" s="97" t="n"/>
      <c r="E336" s="97" t="n"/>
      <c r="F336" s="546">
        <f>RATES!$D$166</f>
        <v>90000.0</v>
      </c>
      <c r="G336" s="98" t="n"/>
      <c r="H336" s="98" t="n"/>
      <c r="I336" s="98" t="n"/>
      <c r="J336" s="98" t="n"/>
      <c r="K336" s="98" t="n"/>
      <c r="L336" s="98" t="n"/>
      <c r="M336" s="98" t="n"/>
      <c r="N336" s="98" t="n"/>
      <c r="O336" s="98" t="n"/>
      <c r="P336" s="98" t="n"/>
    </row>
    <row r="337" ht="43.2" customHeight="1" s="12">
      <c r="A337" s="100" t="n"/>
      <c r="B337" s="82" t="inlineStr">
        <is>
          <t>The contractor will be required to carry out geotechnical and materials test
on site and to prepare, pack and dispatch when instructed to do so by the
Consultant.</t>
        </is>
      </c>
      <c r="C337" s="82" t="n"/>
      <c r="D337" s="82" t="n"/>
      <c r="E337" s="82" t="n"/>
      <c r="F337" s="531" t="n"/>
      <c r="G337" s="83" t="n"/>
      <c r="H337" s="83" t="n"/>
      <c r="I337" s="83" t="n"/>
      <c r="J337" s="83" t="n"/>
      <c r="K337" s="83" t="n"/>
      <c r="L337" s="83" t="n"/>
      <c r="M337" s="83" t="n"/>
      <c r="N337" s="83" t="n"/>
      <c r="O337" s="83" t="n"/>
      <c r="P337" s="83" t="n"/>
    </row>
    <row r="338">
      <c r="A338" s="100" t="n"/>
      <c r="B338" s="82" t="n"/>
      <c r="C338" s="82" t="n"/>
      <c r="D338" s="82" t="n"/>
      <c r="E338" s="82" t="n"/>
      <c r="F338" s="531" t="n"/>
      <c r="G338" s="83" t="n"/>
      <c r="H338" s="83" t="n"/>
      <c r="I338" s="83" t="n"/>
      <c r="J338" s="83" t="n"/>
      <c r="K338" s="83" t="n"/>
      <c r="L338" s="83" t="n"/>
      <c r="M338" s="83" t="n"/>
      <c r="N338" s="83" t="n"/>
      <c r="O338" s="83" t="n"/>
      <c r="P338" s="83" t="n"/>
    </row>
    <row r="339">
      <c r="A339" s="100" t="inlineStr">
        <is>
          <t>E</t>
        </is>
      </c>
      <c r="B339" s="97" t="inlineStr">
        <is>
          <t>Approval of Samples</t>
        </is>
      </c>
      <c r="C339" s="97" t="n"/>
      <c r="D339" s="97" t="n"/>
      <c r="E339" s="97" t="n"/>
      <c r="F339" s="532" t="n"/>
      <c r="G339" s="98" t="n"/>
      <c r="H339" s="98" t="n"/>
      <c r="I339" s="98" t="n"/>
      <c r="J339" s="98" t="n"/>
      <c r="K339" s="98" t="n"/>
      <c r="L339" s="98" t="n"/>
      <c r="M339" s="98" t="n"/>
      <c r="N339" s="98" t="n"/>
      <c r="O339" s="98" t="n"/>
      <c r="P339" s="98" t="n"/>
    </row>
    <row r="340" ht="74.40000000000001" customHeight="1" s="12">
      <c r="A340" s="100" t="n"/>
      <c r="B340" s="82" t="inlineStr">
        <is>
          <t>Where and to the extent that products, materials/components and work are specified to be approved, or if the Consultants instructs or requires that they are to be approved, the same must be supplied and executed to comply with all other requirements and in respect of the stated or implied characteristics either:</t>
        </is>
      </c>
      <c r="C340" s="82" t="n"/>
      <c r="D340" s="82" t="n"/>
      <c r="E340" s="82" t="n"/>
      <c r="F340" s="531" t="n"/>
      <c r="G340" s="83" t="n"/>
      <c r="H340" s="83" t="n"/>
      <c r="I340" s="83" t="n"/>
      <c r="J340" s="83" t="n"/>
      <c r="K340" s="83" t="n"/>
      <c r="L340" s="83" t="n"/>
      <c r="M340" s="83" t="n"/>
      <c r="N340" s="83" t="n"/>
      <c r="O340" s="83" t="n"/>
      <c r="P340" s="83" t="n"/>
    </row>
    <row r="341" ht="43.2" customHeight="1" s="12">
      <c r="A341" s="100" t="n"/>
      <c r="B341" s="82" t="inlineStr">
        <is>
          <t>1.  To the express approval of the Consultants or
2.   To match a sample expressly approved by the Consultants as a standard
for the purpose</t>
        </is>
      </c>
      <c r="C341" s="82" t="n"/>
      <c r="D341" s="82" t="n"/>
      <c r="E341" s="82" t="n"/>
      <c r="F341" s="531" t="n"/>
      <c r="G341" s="83" t="n"/>
      <c r="H341" s="83" t="n"/>
      <c r="I341" s="83" t="n"/>
      <c r="J341" s="83" t="n"/>
      <c r="K341" s="83" t="n"/>
      <c r="L341" s="83" t="n"/>
      <c r="M341" s="83" t="n"/>
      <c r="N341" s="83" t="n"/>
      <c r="O341" s="83" t="n"/>
      <c r="P341" s="83" t="n"/>
    </row>
    <row r="342" ht="43.2" customHeight="1" s="12">
      <c r="A342" s="100" t="n"/>
      <c r="B342" s="82" t="inlineStr">
        <is>
          <t>The Contractor shall provide all samples or other evidence of suitability and retain  for  comparison  with  products,  materials/components  and  finished work included in the works and remove from site when no longer required.</t>
        </is>
      </c>
      <c r="C342" s="82" t="n"/>
      <c r="D342" s="82" t="n"/>
      <c r="E342" s="82" t="n"/>
      <c r="F342" s="531" t="n"/>
      <c r="G342" s="83" t="n"/>
      <c r="H342" s="83" t="n"/>
      <c r="I342" s="83" t="n"/>
      <c r="J342" s="83" t="n"/>
      <c r="K342" s="83" t="n"/>
      <c r="L342" s="83" t="n"/>
      <c r="M342" s="83" t="n"/>
      <c r="N342" s="83" t="n"/>
      <c r="O342" s="83" t="n"/>
      <c r="P342" s="83" t="n"/>
    </row>
    <row r="343" ht="43.2" customHeight="1" s="12">
      <c r="A343" s="100" t="n"/>
      <c r="B343" s="82" t="inlineStr">
        <is>
          <t>Inspection or  any  other  action  by  the  Consultants must  not  be  taken as approval of materials/components, products or work unless the Consultants so confirm in writing stating:</t>
        </is>
      </c>
      <c r="C343" s="82" t="n"/>
      <c r="D343" s="82" t="n"/>
      <c r="E343" s="82" t="n"/>
      <c r="F343" s="531" t="n"/>
      <c r="G343" s="83" t="n"/>
      <c r="H343" s="83" t="n"/>
      <c r="I343" s="83" t="n"/>
      <c r="J343" s="83" t="n"/>
      <c r="K343" s="83" t="n"/>
      <c r="L343" s="83" t="n"/>
      <c r="M343" s="83" t="n"/>
      <c r="N343" s="83" t="n"/>
      <c r="O343" s="83" t="n"/>
      <c r="P343" s="83" t="n"/>
    </row>
    <row r="344" ht="43.2" customHeight="1" s="12">
      <c r="A344" s="100" t="n"/>
      <c r="B344" s="82" t="inlineStr">
        <is>
          <t>1.  Date of inspection
2.  Part of the works inspected.
3.  Respects of characteristics which are approved.</t>
        </is>
      </c>
      <c r="C344" s="82" t="n"/>
      <c r="D344" s="82" t="n"/>
      <c r="E344" s="82" t="n"/>
      <c r="F344" s="531" t="n"/>
      <c r="G344" s="83" t="n"/>
      <c r="H344" s="83" t="n"/>
      <c r="I344" s="83" t="n"/>
      <c r="J344" s="83" t="n"/>
      <c r="K344" s="83" t="n"/>
      <c r="L344" s="83" t="n"/>
      <c r="M344" s="83" t="n"/>
      <c r="N344" s="83" t="n"/>
      <c r="O344" s="83" t="n"/>
      <c r="P344" s="83" t="n"/>
    </row>
    <row r="345" ht="28.8" customHeight="1" s="12">
      <c r="A345" s="100" t="n"/>
      <c r="B345" s="82" t="inlineStr">
        <is>
          <t>4.  Extent and purpose of the approval.
5.  Any associated conditions.</t>
        </is>
      </c>
      <c r="C345" s="82" t="n"/>
      <c r="D345" s="82" t="n"/>
      <c r="E345" s="82" t="n"/>
      <c r="F345" s="531" t="n"/>
      <c r="G345" s="83" t="n"/>
      <c r="H345" s="83" t="n"/>
      <c r="I345" s="83" t="n"/>
      <c r="J345" s="83" t="n"/>
      <c r="K345" s="83" t="n"/>
      <c r="L345" s="83" t="n"/>
      <c r="M345" s="83" t="n"/>
      <c r="N345" s="83" t="n"/>
      <c r="O345" s="83" t="n"/>
      <c r="P345" s="83" t="n"/>
    </row>
    <row r="346">
      <c r="A346" s="100" t="n"/>
      <c r="B346" s="99" t="n"/>
      <c r="C346" s="99" t="n"/>
      <c r="D346" s="99" t="n"/>
      <c r="E346" s="99" t="n"/>
      <c r="F346" s="533" t="n"/>
    </row>
    <row r="347">
      <c r="A347" s="100" t="inlineStr">
        <is>
          <t>F</t>
        </is>
      </c>
      <c r="B347" s="97" t="inlineStr">
        <is>
          <t>Fire Precautions</t>
        </is>
      </c>
      <c r="C347" s="97" t="n"/>
      <c r="D347" s="97" t="n"/>
      <c r="E347" s="97" t="n"/>
      <c r="F347" s="532" t="n"/>
      <c r="G347" s="98" t="n"/>
      <c r="H347" s="98" t="n"/>
      <c r="I347" s="98" t="n"/>
      <c r="J347" s="98" t="n"/>
      <c r="K347" s="98" t="n"/>
      <c r="L347" s="98" t="n"/>
      <c r="M347" s="98" t="n"/>
      <c r="N347" s="98" t="n"/>
      <c r="O347" s="98" t="n"/>
      <c r="P347" s="98" t="n"/>
    </row>
    <row r="348" ht="71.40000000000001" customHeight="1" s="12">
      <c r="A348" s="100" t="n"/>
      <c r="B348" s="82" t="inlineStr">
        <is>
          <t>The Contractor shall take all the necessary precautions to eliminate all fire hazards and prevent fire damage works, building materials/components, equipment and all other property both public and personal involved or in connection with the project. All oil and petrol containers shall be kept in suitable sheds.</t>
        </is>
      </c>
      <c r="C348" s="82" t="n"/>
      <c r="D348" s="82" t="n"/>
      <c r="E348" s="82" t="n"/>
      <c r="F348" s="531" t="n"/>
      <c r="G348" s="83" t="n"/>
      <c r="H348" s="83" t="n"/>
      <c r="I348" s="83" t="n"/>
      <c r="J348" s="83" t="n"/>
      <c r="K348" s="83" t="n"/>
      <c r="L348" s="83" t="n"/>
      <c r="M348" s="83" t="n"/>
      <c r="N348" s="83" t="n"/>
      <c r="O348" s="83" t="n"/>
      <c r="P348" s="83" t="n"/>
    </row>
    <row r="349">
      <c r="A349" s="100" t="n"/>
      <c r="B349" s="82" t="n"/>
      <c r="C349" s="82" t="n"/>
      <c r="D349" s="82" t="n"/>
      <c r="E349" s="82" t="n"/>
      <c r="F349" s="531" t="n"/>
      <c r="G349" s="83" t="n"/>
      <c r="H349" s="83" t="n"/>
      <c r="I349" s="83" t="n"/>
      <c r="J349" s="83" t="n"/>
      <c r="K349" s="83" t="n"/>
      <c r="L349" s="83" t="n"/>
      <c r="M349" s="83" t="n"/>
      <c r="N349" s="83" t="n"/>
      <c r="O349" s="83" t="n"/>
      <c r="P349" s="83" t="n"/>
    </row>
    <row r="350">
      <c r="A350" s="100" t="inlineStr">
        <is>
          <t>G</t>
        </is>
      </c>
      <c r="B350" s="97" t="inlineStr">
        <is>
          <t>Defective Materials and Workmanship</t>
        </is>
      </c>
      <c r="C350" s="97" t="n"/>
      <c r="D350" s="97" t="n"/>
      <c r="E350" s="97" t="n"/>
      <c r="F350" s="532" t="n"/>
      <c r="G350" s="98" t="n"/>
      <c r="H350" s="98" t="n"/>
      <c r="I350" s="98" t="n"/>
      <c r="J350" s="98" t="n"/>
      <c r="K350" s="98" t="n"/>
      <c r="L350" s="98" t="n"/>
      <c r="M350" s="98" t="n"/>
      <c r="N350" s="98" t="n"/>
      <c r="O350" s="98" t="n"/>
      <c r="P350" s="98" t="n"/>
    </row>
    <row r="351" ht="72" customHeight="1" s="12">
      <c r="A351" s="100" t="n"/>
      <c r="B351" s="82" t="inlineStr">
        <is>
          <t>The Contractor shall use only the specified materials in the execution of the works in a proper manner. All unspecified materials and faulty workmanship shall be rejected by the Engineer. Upon receipt of notice of any rejection, the Contractor shall remove such unacceptable materials and/or defective workmanship from the works and shall be replaced with the specified materials and workmanship in a satisfactory manner.</t>
        </is>
      </c>
      <c r="C351" s="82" t="n"/>
      <c r="D351" s="82" t="n"/>
      <c r="E351" s="82" t="n"/>
      <c r="F351" s="531" t="n"/>
      <c r="G351" s="83" t="n"/>
      <c r="H351" s="83" t="n"/>
      <c r="I351" s="83" t="n"/>
      <c r="J351" s="83" t="n"/>
      <c r="K351" s="83" t="n"/>
      <c r="L351" s="83" t="n"/>
      <c r="M351" s="83" t="n"/>
      <c r="N351" s="83" t="n"/>
      <c r="O351" s="83" t="n"/>
      <c r="P351" s="83" t="n"/>
    </row>
    <row r="352">
      <c r="A352" s="100" t="n"/>
      <c r="B352" s="82" t="n"/>
      <c r="C352" s="82" t="n"/>
      <c r="D352" s="82" t="n"/>
      <c r="E352" s="82" t="n"/>
      <c r="F352" s="531" t="n"/>
      <c r="G352" s="83" t="n"/>
      <c r="H352" s="83" t="n"/>
      <c r="I352" s="83" t="n"/>
      <c r="J352" s="83" t="n"/>
      <c r="K352" s="83" t="n"/>
      <c r="L352" s="83" t="n"/>
      <c r="M352" s="83" t="n"/>
      <c r="N352" s="83" t="n"/>
      <c r="O352" s="83" t="n"/>
      <c r="P352" s="83" t="n"/>
    </row>
    <row r="353">
      <c r="A353" s="100" t="inlineStr">
        <is>
          <t>H</t>
        </is>
      </c>
      <c r="B353" s="97" t="inlineStr">
        <is>
          <t>Religious Rites</t>
        </is>
      </c>
      <c r="C353" s="97" t="n"/>
      <c r="D353" s="97" t="n"/>
      <c r="E353" s="97" t="n"/>
      <c r="F353" s="532" t="n"/>
      <c r="G353" s="98" t="n"/>
      <c r="H353" s="98" t="n"/>
      <c r="I353" s="98" t="n"/>
      <c r="J353" s="98" t="n"/>
      <c r="K353" s="98" t="n"/>
      <c r="L353" s="98" t="n"/>
      <c r="M353" s="98" t="n"/>
      <c r="N353" s="98" t="n"/>
      <c r="O353" s="98" t="n"/>
      <c r="P353" s="98" t="n"/>
    </row>
    <row r="354" ht="18.6" customHeight="1" s="12" thickBot="1">
      <c r="A354" s="100" t="n"/>
      <c r="B354" s="82" t="inlineStr">
        <is>
          <t>Religious Rites shall not be interfered with unnecessarily.</t>
        </is>
      </c>
      <c r="C354" s="82" t="n"/>
      <c r="D354" s="82" t="n"/>
      <c r="E354" s="82" t="n"/>
      <c r="F354" s="531" t="n"/>
      <c r="G354" s="83" t="n"/>
      <c r="H354" s="83" t="n"/>
      <c r="I354" s="83" t="n"/>
      <c r="J354" s="83" t="n"/>
      <c r="K354" s="83" t="n"/>
      <c r="L354" s="83" t="n"/>
      <c r="M354" s="83" t="n"/>
      <c r="N354" s="83" t="n"/>
      <c r="O354" s="83" t="n"/>
      <c r="P354" s="83" t="n"/>
    </row>
    <row r="355" ht="18.6" customHeight="1" s="12" thickBot="1">
      <c r="A355" s="101" t="n"/>
      <c r="B355" s="102" t="inlineStr">
        <is>
          <t>TO COLLECTION</t>
        </is>
      </c>
      <c r="C355" s="103" t="n"/>
      <c r="D355" s="103" t="n"/>
      <c r="E355" s="103" t="n"/>
      <c r="F355" s="545">
        <f>SUM(F326:F354)</f>
        <v>90000.0</v>
      </c>
      <c r="G355" s="83" t="n"/>
      <c r="H355" s="83" t="n"/>
      <c r="I355" s="83" t="n"/>
      <c r="J355" s="83" t="n"/>
      <c r="K355" s="83" t="n"/>
      <c r="L355" s="83" t="n"/>
      <c r="M355" s="83" t="n"/>
      <c r="N355" s="83" t="n"/>
      <c r="O355" s="83" t="n"/>
      <c r="P355" s="83" t="n"/>
    </row>
    <row r="356">
      <c r="A356" s="100" t="inlineStr">
        <is>
          <t>A</t>
        </is>
      </c>
      <c r="B356" s="97" t="inlineStr">
        <is>
          <t>Examination of the Works</t>
        </is>
      </c>
      <c r="C356" s="97" t="n"/>
      <c r="D356" s="97" t="n"/>
      <c r="E356" s="97" t="n"/>
      <c r="F356" s="532" t="n"/>
      <c r="G356" s="98" t="n"/>
      <c r="H356" s="98" t="n"/>
      <c r="I356" s="98" t="n"/>
      <c r="J356" s="98" t="n"/>
      <c r="K356" s="98" t="n"/>
      <c r="L356" s="98" t="n"/>
      <c r="M356" s="98" t="n"/>
      <c r="N356" s="98" t="n"/>
      <c r="O356" s="98" t="n"/>
      <c r="P356" s="98" t="n"/>
    </row>
    <row r="357" ht="28.8" customHeight="1" s="12">
      <c r="A357" s="100" t="n"/>
      <c r="B357" s="82" t="inlineStr">
        <is>
          <t>No  completed  part  of  the  works  shall  be  covered  up  until  it  has  been
examined and declared satisfactory by the Engineer.</t>
        </is>
      </c>
      <c r="C357" s="82" t="n"/>
      <c r="D357" s="82" t="n"/>
      <c r="E357" s="82" t="n"/>
      <c r="F357" s="531" t="n"/>
      <c r="G357" s="83" t="n"/>
      <c r="H357" s="83" t="n"/>
      <c r="I357" s="83" t="n"/>
      <c r="J357" s="83" t="n"/>
      <c r="K357" s="83" t="n"/>
      <c r="L357" s="83" t="n"/>
      <c r="M357" s="83" t="n"/>
      <c r="N357" s="83" t="n"/>
      <c r="O357" s="83" t="n"/>
      <c r="P357" s="83" t="n"/>
    </row>
    <row r="358" ht="57.6" customHeight="1" s="12">
      <c r="A358" s="100" t="n"/>
      <c r="B358" s="82" t="inlineStr">
        <is>
          <t>The Contractor shall, if required by the  Engineer, at his/her own cost open up completed works and search for the cause of any defect, imperfection or fault. The Contractor shall at his/her own cost repair, rectify and make good that defect, imperfection or fault to the Engineer's satisfaction.</t>
        </is>
      </c>
      <c r="C358" s="82" t="n"/>
      <c r="D358" s="82" t="n"/>
      <c r="E358" s="82" t="n"/>
      <c r="F358" s="531" t="n"/>
      <c r="G358" s="83" t="n"/>
      <c r="H358" s="83" t="n"/>
      <c r="I358" s="83" t="n"/>
      <c r="J358" s="83" t="n"/>
      <c r="K358" s="83" t="n"/>
      <c r="L358" s="83" t="n"/>
      <c r="M358" s="83" t="n"/>
      <c r="N358" s="83" t="n"/>
      <c r="O358" s="83" t="n"/>
      <c r="P358" s="83" t="n"/>
    </row>
    <row r="359">
      <c r="A359" s="100" t="n"/>
      <c r="B359" s="82" t="n"/>
      <c r="C359" s="82" t="n"/>
      <c r="D359" s="82" t="n"/>
      <c r="E359" s="82" t="n"/>
      <c r="F359" s="531" t="n"/>
      <c r="G359" s="83" t="n"/>
      <c r="H359" s="83" t="n"/>
      <c r="I359" s="83" t="n"/>
      <c r="J359" s="83" t="n"/>
      <c r="K359" s="83" t="n"/>
      <c r="L359" s="83" t="n"/>
      <c r="M359" s="83" t="n"/>
      <c r="N359" s="83" t="n"/>
      <c r="O359" s="83" t="n"/>
      <c r="P359" s="83" t="n"/>
    </row>
    <row r="360">
      <c r="A360" s="100" t="inlineStr">
        <is>
          <t>B</t>
        </is>
      </c>
      <c r="B360" s="97" t="inlineStr">
        <is>
          <t>Trespass and Nuisance</t>
        </is>
      </c>
      <c r="C360" s="97" t="n"/>
      <c r="D360" s="97" t="n"/>
      <c r="E360" s="97" t="n"/>
      <c r="F360" s="532" t="n"/>
      <c r="G360" s="98" t="n"/>
      <c r="H360" s="98" t="n"/>
      <c r="I360" s="98" t="n"/>
      <c r="J360" s="98" t="n"/>
      <c r="K360" s="98" t="n"/>
      <c r="L360" s="98" t="n"/>
      <c r="M360" s="98" t="n"/>
      <c r="N360" s="98" t="n"/>
      <c r="O360" s="98" t="n"/>
      <c r="P360" s="98" t="n"/>
    </row>
    <row r="361" ht="94.2" customHeight="1" s="12">
      <c r="A361" s="100" t="n"/>
      <c r="B361" s="82" t="inlineStr">
        <is>
          <t>The Contractor shall take all reasonable precaution to prevent a nuisance or inconvenience to the Employer and owners, tenants or occupiers of adjoining properties and to the general public. The Contractor shall prevent his/her operatives from entering any adjoining land or property other than that in which It is actually employed, and the Contractor will be held responsible for any  loss  or  damage  which  can  be  ascertained and  proved to  have  been occasioned by his/her operatives.</t>
        </is>
      </c>
      <c r="C361" s="82" t="n"/>
      <c r="D361" s="82" t="n"/>
      <c r="E361" s="82" t="n"/>
      <c r="F361" s="531" t="n"/>
      <c r="G361" s="83" t="n"/>
      <c r="H361" s="83" t="n"/>
      <c r="I361" s="83" t="n"/>
      <c r="J361" s="83" t="n"/>
      <c r="K361" s="83" t="n"/>
      <c r="L361" s="83" t="n"/>
      <c r="M361" s="83" t="n"/>
      <c r="N361" s="83" t="n"/>
      <c r="O361" s="83" t="n"/>
      <c r="P361" s="83" t="n"/>
    </row>
    <row r="362">
      <c r="A362" s="100" t="n"/>
      <c r="B362" s="82" t="n"/>
      <c r="C362" s="82" t="n"/>
      <c r="D362" s="82" t="n"/>
      <c r="E362" s="82" t="n"/>
      <c r="F362" s="531" t="n"/>
      <c r="G362" s="83" t="n"/>
      <c r="H362" s="83" t="n"/>
      <c r="I362" s="83" t="n"/>
      <c r="J362" s="83" t="n"/>
      <c r="K362" s="83" t="n"/>
      <c r="L362" s="83" t="n"/>
      <c r="M362" s="83" t="n"/>
      <c r="N362" s="83" t="n"/>
      <c r="O362" s="83" t="n"/>
      <c r="P362" s="83" t="n"/>
    </row>
    <row r="363">
      <c r="A363" s="100" t="inlineStr">
        <is>
          <t>C</t>
        </is>
      </c>
      <c r="B363" s="91" t="inlineStr">
        <is>
          <t>Antiquities</t>
        </is>
      </c>
      <c r="C363" s="91" t="n"/>
      <c r="D363" s="91" t="n"/>
      <c r="E363" s="91" t="n"/>
      <c r="F363" s="530" t="n"/>
      <c r="G363" s="92" t="n"/>
      <c r="H363" s="92" t="n"/>
      <c r="I363" s="92" t="n"/>
      <c r="J363" s="92" t="n"/>
      <c r="K363" s="92" t="n"/>
      <c r="L363" s="92" t="n"/>
      <c r="M363" s="92" t="n"/>
      <c r="N363" s="92" t="n"/>
      <c r="O363" s="92" t="n"/>
      <c r="P363" s="92" t="n"/>
    </row>
    <row r="364" ht="43.2" customHeight="1" s="12">
      <c r="A364" s="100" t="n"/>
      <c r="B364" s="82" t="inlineStr">
        <is>
          <t>All objects of value or antiquity found on the Site shall remain the property of
the   Employer   and   such   funds   shall   be   immediately   reported   to   the Consultant.</t>
        </is>
      </c>
      <c r="C364" s="82" t="n"/>
      <c r="D364" s="82" t="n"/>
      <c r="E364" s="82" t="n"/>
      <c r="F364" s="531" t="n"/>
      <c r="G364" s="83" t="n"/>
      <c r="H364" s="83" t="n"/>
      <c r="I364" s="83" t="n"/>
      <c r="J364" s="83" t="n"/>
      <c r="K364" s="83" t="n"/>
      <c r="L364" s="83" t="n"/>
      <c r="M364" s="83" t="n"/>
      <c r="N364" s="83" t="n"/>
      <c r="O364" s="83" t="n"/>
      <c r="P364" s="83" t="n"/>
    </row>
    <row r="365">
      <c r="A365" s="100" t="n"/>
      <c r="B365" s="99" t="n"/>
      <c r="C365" s="99" t="n"/>
      <c r="D365" s="99" t="n"/>
      <c r="E365" s="99" t="n"/>
      <c r="F365" s="533" t="n"/>
    </row>
    <row r="366">
      <c r="A366" s="100" t="inlineStr">
        <is>
          <t>D</t>
        </is>
      </c>
      <c r="B366" s="97" t="inlineStr">
        <is>
          <t>Operating and Maintenance Manual</t>
        </is>
      </c>
      <c r="C366" s="97" t="n"/>
      <c r="D366" s="97" t="n"/>
      <c r="E366" s="97" t="n"/>
      <c r="F366" s="546">
        <f>RATES!$D$167</f>
        <v>25000.0</v>
      </c>
      <c r="G366" s="98" t="n"/>
      <c r="H366" s="98" t="n"/>
      <c r="I366" s="98" t="n"/>
      <c r="J366" s="98" t="n"/>
      <c r="K366" s="98" t="n"/>
      <c r="L366" s="98" t="n"/>
      <c r="M366" s="98" t="n"/>
      <c r="N366" s="98" t="n"/>
      <c r="O366" s="98" t="n"/>
      <c r="P366" s="98" t="n"/>
    </row>
    <row r="367" ht="85.2" customHeight="1" s="12">
      <c r="A367" s="100" t="n"/>
      <c r="B367" s="82" t="inlineStr">
        <is>
          <t>The Contractor shall arrange for and provide the  Engineer at completion and
handover of the works, with an operating and maintenance manual containing manufacturer's printed brochures covering all items of plant, equipment and controls used for electrical installation, cold and hot water installation and fire fighting equipment.</t>
        </is>
      </c>
      <c r="C367" s="82" t="n"/>
      <c r="D367" s="82" t="n"/>
      <c r="E367" s="82" t="n"/>
      <c r="F367" s="531" t="n"/>
      <c r="G367" s="83" t="n"/>
      <c r="H367" s="83" t="n"/>
      <c r="I367" s="83" t="n"/>
      <c r="J367" s="83" t="n"/>
      <c r="K367" s="83" t="n"/>
      <c r="L367" s="83" t="n"/>
      <c r="M367" s="83" t="n"/>
      <c r="N367" s="83" t="n"/>
      <c r="O367" s="83" t="n"/>
      <c r="P367" s="83" t="n"/>
    </row>
    <row r="368">
      <c r="A368" s="100" t="n"/>
      <c r="B368" s="82" t="inlineStr">
        <is>
          <t>The brochures shall also contain:</t>
        </is>
      </c>
      <c r="C368" s="82" t="n"/>
      <c r="D368" s="82" t="n"/>
      <c r="E368" s="82" t="n"/>
      <c r="F368" s="531" t="n"/>
      <c r="G368" s="83" t="n"/>
      <c r="H368" s="83" t="n"/>
      <c r="I368" s="83" t="n"/>
      <c r="J368" s="83" t="n"/>
      <c r="K368" s="83" t="n"/>
      <c r="L368" s="83" t="n"/>
      <c r="M368" s="83" t="n"/>
      <c r="N368" s="83" t="n"/>
      <c r="O368" s="83" t="n"/>
      <c r="P368" s="83" t="n"/>
    </row>
    <row r="369" ht="187.8" customHeight="1" s="12" thickBot="1">
      <c r="A369" s="100" t="n"/>
      <c r="B369" s="82" t="inlineStr">
        <is>
          <t>I.     Names and address of the Sub-Contractors nominated for the
installation together with all the required guarantees.
ii.   Names, addresses and telephone numbers for component producers and places where services or spare parts may be obtained.
iii.  Complete, typed and detailed instruction sheets for correct identification of each item of equipment and/or controls.
iv.   A general description of the scope, purpose and manner of working of
each system of automatic control apparatus.
v.    Data on general design parameters and associated normal operating temperatures, pressures etc. based on the commissioning tests.
vi.   Clear and comprehensive instructions for the starting up, running or shutdown of each system or apparatus.
vii.  Instructions in respect of the care of apparatus normally subject to seasonal disuse.</t>
        </is>
      </c>
      <c r="C369" s="82" t="n"/>
      <c r="D369" s="82" t="n"/>
      <c r="E369" s="82" t="n"/>
      <c r="F369" s="531" t="n"/>
      <c r="G369" s="83" t="n"/>
      <c r="H369" s="83" t="n"/>
      <c r="I369" s="83" t="n"/>
      <c r="J369" s="83" t="n"/>
      <c r="K369" s="83" t="n"/>
      <c r="L369" s="83" t="n"/>
      <c r="M369" s="83" t="n"/>
      <c r="N369" s="83" t="n"/>
      <c r="O369" s="83" t="n"/>
      <c r="P369" s="83" t="n"/>
    </row>
    <row r="370" ht="18.6" customHeight="1" s="12" thickBot="1">
      <c r="A370" s="101" t="n"/>
      <c r="B370" s="102" t="inlineStr">
        <is>
          <t>TO COLLECTION</t>
        </is>
      </c>
      <c r="C370" s="103" t="n"/>
      <c r="D370" s="103" t="n"/>
      <c r="E370" s="103" t="n"/>
      <c r="F370" s="545">
        <f>SUM(F356:F369)</f>
        <v>25000.0</v>
      </c>
      <c r="G370" s="83" t="n"/>
      <c r="H370" s="83" t="n"/>
      <c r="I370" s="83" t="n"/>
      <c r="J370" s="83" t="n"/>
      <c r="K370" s="83" t="n"/>
      <c r="L370" s="83" t="n"/>
      <c r="M370" s="83" t="n"/>
      <c r="N370" s="83" t="n"/>
      <c r="O370" s="83" t="n"/>
      <c r="P370" s="83" t="n"/>
    </row>
    <row r="371">
      <c r="A371" s="100" t="inlineStr">
        <is>
          <t>A</t>
        </is>
      </c>
      <c r="B371" s="97" t="inlineStr">
        <is>
          <t>Handover of Completed Works</t>
        </is>
      </c>
      <c r="C371" s="97" t="n"/>
      <c r="D371" s="97" t="n"/>
      <c r="E371" s="97" t="n"/>
      <c r="F371" s="546">
        <f>RATES!$D$168</f>
        <v>60000.0</v>
      </c>
      <c r="G371" s="98" t="n"/>
      <c r="H371" s="98" t="n"/>
      <c r="I371" s="98" t="n"/>
      <c r="J371" s="98" t="n"/>
      <c r="K371" s="98" t="n"/>
      <c r="L371" s="98" t="n"/>
      <c r="M371" s="98" t="n"/>
      <c r="N371" s="98" t="n"/>
      <c r="O371" s="98" t="n"/>
      <c r="P371" s="98" t="n"/>
    </row>
    <row r="372" ht="43.2" customHeight="1" s="12">
      <c r="A372" s="100" t="n"/>
      <c r="B372" s="82" t="inlineStr">
        <is>
          <t>The Contractor shall allow for and comply with the following requirements for handover of the works or where the Employer with the consent of the Contractor shall take possession of any part or parts of same.</t>
        </is>
      </c>
      <c r="C372" s="82" t="n"/>
      <c r="D372" s="82" t="n"/>
      <c r="E372" s="82" t="n"/>
      <c r="F372" s="531" t="n"/>
      <c r="G372" s="83" t="n"/>
      <c r="H372" s="83" t="n"/>
      <c r="I372" s="83" t="n"/>
      <c r="J372" s="83" t="n"/>
      <c r="K372" s="83" t="n"/>
      <c r="L372" s="83" t="n"/>
      <c r="M372" s="83" t="n"/>
      <c r="N372" s="83" t="n"/>
      <c r="O372" s="83" t="n"/>
      <c r="P372" s="83" t="n"/>
    </row>
    <row r="373" ht="86.40000000000001" customHeight="1" s="12">
      <c r="A373" s="100" t="n"/>
      <c r="B373" s="82" t="inlineStr">
        <is>
          <t>The Contractor must give to the Consultants a written notice of time not
more than eight (8) weeks and not less than four (4) weeks before the date by which the Contractor proposes that the works or any part thereof for handover shall reach Practical Completion. (The Consultants will require to obtain the Employer's agreement to all proposals made by the Contractor for handover of any part or parts of the Works).</t>
        </is>
      </c>
      <c r="C373" s="82" t="n"/>
      <c r="D373" s="82" t="n"/>
      <c r="E373" s="82" t="n"/>
      <c r="F373" s="531" t="n"/>
      <c r="G373" s="83" t="n"/>
      <c r="H373" s="83" t="n"/>
      <c r="I373" s="83" t="n"/>
      <c r="J373" s="83" t="n"/>
      <c r="K373" s="83" t="n"/>
      <c r="L373" s="83" t="n"/>
      <c r="M373" s="83" t="n"/>
      <c r="N373" s="83" t="n"/>
      <c r="O373" s="83" t="n"/>
      <c r="P373" s="83" t="n"/>
    </row>
    <row r="374" ht="57.6" customHeight="1" s="12">
      <c r="A374" s="100" t="n"/>
      <c r="B374" s="82" t="inlineStr">
        <is>
          <t>Following receipt of  written notice from the  Contractor of  any proposed date(s) for handover(s), the Consultants will require to satisfy himself/herself that the Works or the relevant part(s) thereof, are in a sufficient state of readiness to attain Practical Completion by the date(s) proposed.</t>
        </is>
      </c>
      <c r="C374" s="82" t="n"/>
      <c r="D374" s="82" t="n"/>
      <c r="E374" s="82" t="n"/>
      <c r="F374" s="531" t="n"/>
      <c r="G374" s="83" t="n"/>
      <c r="H374" s="83" t="n"/>
      <c r="I374" s="83" t="n"/>
      <c r="J374" s="83" t="n"/>
      <c r="K374" s="83" t="n"/>
      <c r="L374" s="83" t="n"/>
      <c r="M374" s="83" t="n"/>
      <c r="N374" s="83" t="n"/>
      <c r="O374" s="83" t="n"/>
      <c r="P374" s="83" t="n"/>
    </row>
    <row r="375">
      <c r="A375" s="100" t="n"/>
      <c r="B375" s="99" t="n"/>
      <c r="C375" s="99" t="n"/>
      <c r="D375" s="99" t="n"/>
      <c r="E375" s="99" t="n"/>
      <c r="F375" s="533" t="n"/>
    </row>
    <row r="376" ht="100.8" customHeight="1" s="12">
      <c r="A376" s="100" t="n"/>
      <c r="B376" s="82" t="inlineStr">
        <is>
          <t>The  Consultants  will  inspect  the  Works  and  subject  to  his/her  being  so satisfied will make provisional arrangements for handover and may issue to the Contractor a list of items requiring rectification or completion before handover. The issue of such a list does not relive the Contractor of any of his/her  obligations under  the  Contract. (If  the  Project Manager  does  not consider the Works or the relevant part(s) to be in a sufficient readiness, then it is for the Contractor to bring the Works or relevant part(s) up to that stage and to inform the Consultants in writing when It has done so).</t>
        </is>
      </c>
      <c r="C376" s="82" t="n"/>
      <c r="D376" s="82" t="n"/>
      <c r="E376" s="82" t="n"/>
      <c r="F376" s="531" t="n"/>
      <c r="G376" s="83" t="n"/>
      <c r="H376" s="83" t="n"/>
      <c r="I376" s="83" t="n"/>
      <c r="J376" s="83" t="n"/>
      <c r="K376" s="83" t="n"/>
      <c r="L376" s="83" t="n"/>
      <c r="M376" s="83" t="n"/>
      <c r="N376" s="83" t="n"/>
      <c r="O376" s="83" t="n"/>
      <c r="P376" s="83" t="n"/>
    </row>
    <row r="377" ht="72" customHeight="1" s="12">
      <c r="A377" s="100" t="n"/>
      <c r="B377" s="82" t="inlineStr">
        <is>
          <t>As soon as the Contractor has satisfied himself/herself that all such items have been completed or remedied, It shall notify the Consultants  in writing. The Consultants will then make a preliminary check and provided this shows that no more than minor items of work remain to be attended to and the Contractor undertakes to do so before handover, the Consultants  will agree on the date for the normal handover inspection.</t>
        </is>
      </c>
      <c r="C377" s="82" t="n"/>
      <c r="D377" s="82" t="n"/>
      <c r="E377" s="82" t="n"/>
      <c r="F377" s="531" t="n"/>
      <c r="G377" s="83" t="n"/>
      <c r="H377" s="83" t="n"/>
      <c r="I377" s="83" t="n"/>
      <c r="J377" s="83" t="n"/>
      <c r="K377" s="83" t="n"/>
      <c r="L377" s="83" t="n"/>
      <c r="M377" s="83" t="n"/>
      <c r="N377" s="83" t="n"/>
      <c r="O377" s="83" t="n"/>
      <c r="P377" s="83" t="n"/>
    </row>
    <row r="378" ht="72.59999999999999" customHeight="1" s="12" thickBot="1">
      <c r="A378" s="100" t="n"/>
      <c r="B378" s="82" t="inlineStr">
        <is>
          <t>Such inspection will  be made  by the  Consultants in  the presence of duly authorised representatives of the Contractor and of the Employer. Subject to the Consultants being of the opinion that the Works or the relevant part(s) thereof are practically completed, within the meaning they shall be deemed to have reached Practical Completion on that day and the Consultants shall certify accordingly.</t>
        </is>
      </c>
      <c r="C378" s="82" t="n"/>
      <c r="D378" s="82" t="n"/>
      <c r="E378" s="82" t="n"/>
      <c r="F378" s="531" t="n"/>
      <c r="G378" s="83" t="n"/>
      <c r="H378" s="83" t="n"/>
      <c r="I378" s="83" t="n"/>
      <c r="J378" s="83" t="n"/>
      <c r="K378" s="83" t="n"/>
      <c r="L378" s="83" t="n"/>
      <c r="M378" s="83" t="n"/>
      <c r="N378" s="83" t="n"/>
      <c r="O378" s="83" t="n"/>
      <c r="P378" s="83" t="n"/>
    </row>
    <row r="379" ht="29.4" customHeight="1" s="12" thickBot="1">
      <c r="A379" s="101" t="n"/>
      <c r="B379" s="102" t="inlineStr">
        <is>
          <t>TO COLLECTION</t>
        </is>
      </c>
      <c r="C379" s="103" t="n"/>
      <c r="D379" s="103" t="n"/>
      <c r="E379" s="103" t="n"/>
      <c r="F379" s="545">
        <f>SUM(F371:F378)</f>
        <v>60000.0</v>
      </c>
      <c r="G379" s="556">
        <f>G270+G267+F264+G252+G230+F221+G218+G215+F139+G136+F124+F118+F115+F112</f>
        <v>510000.0</v>
      </c>
      <c r="H379" s="136">
        <f>G379/F41</f>
        <v>0.08329250367466928</v>
      </c>
      <c r="I379" s="83" t="n"/>
      <c r="J379" s="83" t="n"/>
      <c r="K379" s="83" t="n"/>
      <c r="L379" s="83" t="n"/>
      <c r="M379" s="83" t="n"/>
      <c r="N379" s="83" t="n"/>
      <c r="O379" s="83" t="n"/>
      <c r="P379" s="83" t="n"/>
    </row>
    <row r="380" ht="14.4" customHeight="1" s="12">
      <c r="A380" s="137" t="n"/>
      <c r="B380" s="137" t="n"/>
      <c r="C380" s="137" t="n"/>
      <c r="D380" s="137" t="n"/>
      <c r="E380" s="137" t="n"/>
      <c r="F380" s="557" t="n"/>
      <c r="G380" s="83" t="n"/>
      <c r="H380" s="83" t="n"/>
      <c r="I380" s="83" t="n"/>
      <c r="J380" s="83" t="n"/>
      <c r="K380" s="83" t="n"/>
      <c r="L380" s="83" t="n"/>
      <c r="M380" s="83" t="n"/>
      <c r="N380" s="83" t="n"/>
      <c r="O380" s="83" t="n"/>
      <c r="P380" s="83" t="n"/>
    </row>
    <row r="381" ht="14.4" customHeight="1" s="12">
      <c r="A381" s="137" t="n"/>
      <c r="B381" s="137" t="n"/>
      <c r="C381" s="137" t="n"/>
      <c r="D381" s="137" t="n"/>
      <c r="E381" s="137" t="n"/>
      <c r="F381" s="557" t="n"/>
      <c r="G381" s="83" t="n"/>
      <c r="H381" s="83" t="n"/>
      <c r="I381" s="83" t="n"/>
      <c r="J381" s="83" t="n"/>
      <c r="K381" s="83" t="n"/>
      <c r="L381" s="83" t="n"/>
      <c r="M381" s="83" t="n"/>
      <c r="N381" s="83" t="n"/>
      <c r="O381" s="83" t="n"/>
      <c r="P381" s="83" t="n"/>
    </row>
    <row r="382" ht="14.4" customHeight="1" s="12">
      <c r="A382" s="137" t="n"/>
      <c r="B382" s="137" t="n"/>
      <c r="C382" s="137" t="n"/>
      <c r="D382" s="137" t="n"/>
      <c r="E382" s="137" t="n"/>
      <c r="F382" s="557" t="n"/>
      <c r="G382" s="83" t="n"/>
      <c r="H382" s="83" t="n"/>
      <c r="I382" s="83" t="n"/>
      <c r="J382" s="83" t="n"/>
      <c r="K382" s="83" t="n"/>
      <c r="L382" s="83" t="n"/>
      <c r="M382" s="83" t="n"/>
      <c r="N382" s="83" t="n"/>
      <c r="O382" s="83" t="n"/>
      <c r="P382" s="83" t="n"/>
    </row>
    <row r="383" ht="14.4" customHeight="1" s="12">
      <c r="A383" s="137" t="n"/>
      <c r="B383" s="137" t="n"/>
      <c r="C383" s="137" t="n"/>
      <c r="D383" s="137" t="n"/>
      <c r="E383" s="137" t="n"/>
      <c r="F383" s="557" t="n"/>
      <c r="G383" s="83" t="n"/>
      <c r="H383" s="83" t="n"/>
      <c r="I383" s="83" t="n"/>
      <c r="J383" s="83" t="n"/>
      <c r="K383" s="83" t="n"/>
      <c r="L383" s="83" t="n"/>
      <c r="M383" s="83" t="n"/>
      <c r="N383" s="83" t="n"/>
      <c r="O383" s="83" t="n"/>
      <c r="P383" s="83" t="n"/>
    </row>
    <row r="384">
      <c r="B384" s="138" t="n"/>
      <c r="C384" s="137" t="n"/>
      <c r="D384" s="137" t="n"/>
      <c r="E384" s="137" t="n"/>
      <c r="F384" s="558" t="n"/>
      <c r="G384" s="83" t="n"/>
      <c r="H384" s="83" t="n"/>
      <c r="I384" s="83" t="n"/>
      <c r="J384" s="83" t="n"/>
      <c r="K384" s="83" t="n"/>
      <c r="L384" s="83" t="n"/>
      <c r="M384" s="83" t="n"/>
      <c r="N384" s="83" t="n"/>
      <c r="O384" s="83" t="n"/>
      <c r="P384" s="83" t="n"/>
    </row>
    <row r="385">
      <c r="B385" s="138" t="n"/>
      <c r="C385" s="137" t="n"/>
      <c r="D385" s="137" t="n"/>
      <c r="E385" s="137" t="n"/>
      <c r="F385" s="558" t="n"/>
      <c r="G385" s="83" t="n"/>
      <c r="H385" s="83" t="n"/>
      <c r="I385" s="83" t="n"/>
      <c r="J385" s="83" t="n"/>
      <c r="K385" s="83" t="n"/>
      <c r="L385" s="83" t="n"/>
      <c r="M385" s="83" t="n"/>
      <c r="N385" s="83" t="n"/>
      <c r="O385" s="83" t="n"/>
      <c r="P385" s="83" t="n"/>
    </row>
    <row r="386">
      <c r="B386" s="138" t="n"/>
      <c r="C386" s="137" t="n"/>
      <c r="D386" s="137" t="n"/>
      <c r="E386" s="137" t="n"/>
      <c r="F386" s="558" t="n"/>
      <c r="G386" s="83" t="n"/>
      <c r="H386" s="83" t="n"/>
      <c r="I386" s="83" t="n"/>
      <c r="J386" s="83" t="n"/>
      <c r="K386" s="83" t="n"/>
      <c r="L386" s="83" t="n"/>
      <c r="M386" s="83" t="n"/>
      <c r="N386" s="83" t="n"/>
      <c r="O386" s="83" t="n"/>
      <c r="P386" s="83" t="n"/>
    </row>
    <row r="387">
      <c r="B387" s="138" t="n"/>
      <c r="C387" s="137" t="n"/>
      <c r="D387" s="137" t="n"/>
      <c r="E387" s="137" t="n"/>
      <c r="F387" s="558" t="n"/>
      <c r="G387" s="83" t="n"/>
      <c r="H387" s="83" t="n"/>
      <c r="I387" s="83" t="n"/>
      <c r="J387" s="83" t="n"/>
      <c r="K387" s="83" t="n"/>
      <c r="L387" s="83" t="n"/>
      <c r="M387" s="83" t="n"/>
      <c r="N387" s="83" t="n"/>
      <c r="O387" s="83" t="n"/>
      <c r="P387" s="83" t="n"/>
    </row>
    <row r="388">
      <c r="B388" s="138" t="n"/>
      <c r="C388" s="137" t="n"/>
      <c r="D388" s="137" t="n"/>
      <c r="E388" s="137" t="n"/>
      <c r="F388" s="558" t="n"/>
      <c r="G388" s="83" t="n"/>
      <c r="H388" s="83" t="n"/>
      <c r="I388" s="83" t="n"/>
      <c r="J388" s="83" t="n"/>
      <c r="K388" s="83" t="n"/>
      <c r="L388" s="83" t="n"/>
      <c r="M388" s="83" t="n"/>
      <c r="N388" s="83" t="n"/>
      <c r="O388" s="83" t="n"/>
      <c r="P388" s="83" t="n"/>
    </row>
  </sheetData>
  <mergeCells count="1">
    <mergeCell ref="A66:A73"/>
  </mergeCells>
  <pageMargins left="0.7086614173228347" right="0.7086614173228347" top="0.7480314960629921" bottom="0.7480314960629921" header="0.3149606299212598" footer="0.3149606299212598"/>
  <pageSetup orientation="portrait" paperSize="9" scale="58" fitToHeight="0"/>
  <headerFooter differentFirst="1">
    <oddHeader/>
    <oddFooter>&amp;CBILL NR. 1  / &amp;P</oddFooter>
    <evenHeader/>
    <evenFooter/>
    <firstHeader/>
    <firstFooter/>
  </headerFooter>
  <rowBreaks count="13" manualBreakCount="13">
    <brk id="42" min="0" max="5" man="1"/>
    <brk id="74" min="0" max="5" man="1"/>
    <brk id="106" min="0" max="5" man="1"/>
    <brk id="137" min="0" max="5" man="1"/>
    <brk id="163" min="0" max="5" man="1"/>
    <brk id="186" min="0" max="5" man="1"/>
    <brk id="216" min="0" max="5" man="1"/>
    <brk id="241" min="0" max="5" man="1"/>
    <brk id="268" min="0" max="5" man="1"/>
    <brk id="295" min="0" max="5" man="1"/>
    <brk id="325" min="0" max="5" man="1"/>
    <brk id="355" min="0" max="5" man="1"/>
    <brk id="370" min="0" max="5" man="1"/>
  </rowBreaks>
</worksheet>
</file>

<file path=xl/worksheets/sheet4.xml><?xml version="1.0" encoding="utf-8"?>
<worksheet xmlns="http://schemas.openxmlformats.org/spreadsheetml/2006/main">
  <sheetPr>
    <outlinePr summaryBelow="1" summaryRight="1"/>
    <pageSetUpPr fitToPage="1"/>
  </sheetPr>
  <dimension ref="A1:G97"/>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SUBSTRUCTURE (ALL PROVISIONAL)</t>
        </is>
      </c>
    </row>
    <row r="10"/>
    <row r="11">
      <c r="B11" s="566" t="inlineStr">
        <is>
          <t>BILL SUMMARY</t>
        </is>
      </c>
    </row>
    <row r="12"/>
    <row r="13">
      <c r="A13" s="567" t="inlineStr">
        <is>
          <t>A</t>
        </is>
      </c>
      <c r="B13" s="568" t="inlineStr">
        <is>
          <t>D GROUNDWORK (D20 EXCAVATION AND FILLING)</t>
        </is>
      </c>
      <c r="C13" s="569" t="n"/>
      <c r="D13" s="569" t="n"/>
      <c r="E13" s="570" t="n"/>
      <c r="F13" s="571">
        <f>F44</f>
        <v>3070046.9875</v>
      </c>
    </row>
    <row r="14"/>
    <row r="15">
      <c r="A15" s="567" t="inlineStr">
        <is>
          <t>B</t>
        </is>
      </c>
      <c r="B15" s="568" t="inlineStr">
        <is>
          <t>E IN SITU CONCRETE</t>
        </is>
      </c>
      <c r="C15" s="569" t="n"/>
      <c r="D15" s="569" t="n"/>
      <c r="E15" s="570" t="n"/>
      <c r="F15" s="571">
        <f>F84</f>
        <v>9896922.71375</v>
      </c>
    </row>
    <row r="16"/>
    <row r="17">
      <c r="A17" s="567" t="inlineStr">
        <is>
          <t>C</t>
        </is>
      </c>
      <c r="B17" s="568" t="inlineStr">
        <is>
          <t>BLOCK WORK</t>
        </is>
      </c>
      <c r="C17" s="569" t="n"/>
      <c r="D17" s="569" t="n"/>
      <c r="E17" s="570" t="n"/>
      <c r="F17" s="571">
        <f>F93</f>
        <v>43043.00000000001</v>
      </c>
    </row>
    <row r="18"/>
    <row r="19">
      <c r="A19" s="572" t="n"/>
      <c r="B19" s="573" t="str">
        <f>B9</f>
        <v>SUBSTRUCTURE (ALL PROVISIONAL)</v>
      </c>
      <c r="C19" s="574" t="n"/>
      <c r="D19" s="574" t="n"/>
      <c r="E19" s="575" t="inlineStr">
        <is>
          <t>GHC</t>
        </is>
      </c>
      <c r="F19" s="576">
        <f>SUM(F13:F18)</f>
        <v>13010012.701249998</v>
      </c>
    </row>
    <row r="20">
      <c r="B20" s="559" t="inlineStr">
        <is>
          <t>To Bill General Summary</t>
        </is>
      </c>
    </row>
    <row r="21"/>
    <row r="22"/>
    <row r="23">
      <c r="B23" s="565" t="inlineStr">
        <is>
          <t>BILL NR. 2 - SUBSTRUCTURE</t>
        </is>
      </c>
    </row>
    <row r="24"/>
    <row r="25">
      <c r="A25" s="577" t="n"/>
      <c r="B25" s="578" t="inlineStr">
        <is>
          <t>D GROUNDWORK (D20 EXCAVATION AND FILLING)</t>
        </is>
      </c>
      <c r="C25" s="569" t="n"/>
      <c r="D25" s="569" t="n"/>
      <c r="E25" s="570" t="n"/>
      <c r="F25" s="579" t="n"/>
    </row>
    <row r="26"/>
    <row r="27" ht="24" customHeight="1" s="12">
      <c r="A27" s="577" t="n"/>
      <c r="B27" s="580" t="inlineStr">
        <is>
          <t>Site Preparation</t>
        </is>
      </c>
      <c r="C27" s="569" t="n"/>
      <c r="D27" s="569" t="n"/>
      <c r="E27" s="570" t="n"/>
      <c r="F27" s="579" t="n"/>
    </row>
    <row r="28" ht="48" customHeight="1" s="12">
      <c r="A28" s="567" t="inlineStr">
        <is>
          <t>A</t>
        </is>
      </c>
      <c r="B28" s="581" t="inlineStr">
        <is>
          <t>Clear site of all vegetation, grub up their roots and dispose-off (Block N plot and Parking-22 forecourt)</t>
        </is>
      </c>
      <c r="C28" s="582">
        <f>40.85*38.27+35.2*20.9</f>
        <v>2299.0095</v>
      </c>
      <c r="D28" s="583" t="inlineStr">
        <is>
          <t>m2</t>
        </is>
      </c>
      <c r="E28" s="584">
        <f>RATES!$D$7</f>
        <v>15.0</v>
      </c>
      <c r="F28" s="571">
        <f>C28*E28</f>
        <v>34485.1425</v>
      </c>
      <c r="G28" s="585" t="inlineStr">
        <is>
          <t>40.85*38.27+35.2*20.9</t>
        </is>
      </c>
    </row>
    <row r="29"/>
    <row r="30" ht="48" customHeight="1" s="12">
      <c r="A30" s="567" t="inlineStr">
        <is>
          <t>B</t>
        </is>
      </c>
      <c r="B30" s="581" t="inlineStr">
        <is>
          <t>Excavate oversite to remove vegetable soil average 150mm deep and deposit on site for re-use average 50m from excavation</t>
        </is>
      </c>
      <c r="C30" s="582">
        <f>(41.0+2*2.0)*(36.0+2*2.0)</f>
        <v>1800.0</v>
      </c>
      <c r="D30" s="583" t="inlineStr">
        <is>
          <t>m2</t>
        </is>
      </c>
      <c r="E30" s="584">
        <f>RATES!$D$8</f>
        <v>28.0</v>
      </c>
      <c r="F30" s="571">
        <f>C30*E30</f>
        <v>50400.0</v>
      </c>
      <c r="G30" s="585" t="inlineStr">
        <is>
          <t>(41.0+2*2.0)*(36.0+2*2.0)</t>
        </is>
      </c>
    </row>
    <row r="31"/>
    <row r="32" ht="24" customHeight="1" s="12">
      <c r="A32" s="567" t="inlineStr">
        <is>
          <t>C</t>
        </is>
      </c>
      <c r="B32" s="581" t="inlineStr">
        <is>
          <t>Excavate raft foundation to reduce levels maximum depth 4.00m</t>
        </is>
      </c>
      <c r="C32" s="582">
        <f>(45.0*40.0)*4.0</f>
        <v>7200.0</v>
      </c>
      <c r="D32" s="583" t="inlineStr">
        <is>
          <t>m3</t>
        </is>
      </c>
      <c r="E32" s="584">
        <f>RATES!$D$9</f>
        <v>85.0</v>
      </c>
      <c r="F32" s="571">
        <f>C32*E32</f>
        <v>612000.0</v>
      </c>
      <c r="G32" s="585" t="inlineStr">
        <is>
          <t>(45.0*40.0)*4.0</t>
        </is>
      </c>
    </row>
    <row r="33"/>
    <row r="34" ht="48" customHeight="1" s="12">
      <c r="A34" s="567" t="inlineStr">
        <is>
          <t>D</t>
        </is>
      </c>
      <c r="B34" s="581" t="inlineStr">
        <is>
          <t>Fill to make up levels over raft average 1000mm thick with waterproof external membrane and high strength biaxial geogrid; compacted</t>
        </is>
      </c>
      <c r="C34" s="582">
        <f>41.0*36.0*1.0-(69.445*0.25*1.0)-(13.294*1.0)</f>
        <v>1445.34475</v>
      </c>
      <c r="D34" s="583" t="inlineStr">
        <is>
          <t>m3</t>
        </is>
      </c>
      <c r="E34" s="584">
        <f>RATES!$D$10</f>
        <v>220.0</v>
      </c>
      <c r="F34" s="571">
        <f>C34*E34</f>
        <v>317975.845</v>
      </c>
      <c r="G34" s="585" t="inlineStr">
        <is>
          <t>41.0*36.0*1.0-(69.445*0.25*1.0)-(13.294*1.0)</t>
        </is>
      </c>
    </row>
    <row r="35"/>
    <row r="36" ht="48" customHeight="1" s="12">
      <c r="A36" s="567" t="inlineStr">
        <is>
          <t>E</t>
        </is>
      </c>
      <c r="B36" s="581" t="inlineStr">
        <is>
          <t>Fill to make up levels below raft 1700mm thick with 300mm thick compacted crushed rock layers between geogrid layers until formation level is reached</t>
        </is>
      </c>
      <c r="C36" s="582">
        <f>(45.0*40.0)*1.7</f>
        <v>3060.0</v>
      </c>
      <c r="D36" s="583" t="inlineStr">
        <is>
          <t>m3</t>
        </is>
      </c>
      <c r="E36" s="584">
        <f>RATES!$D$11</f>
        <v>480.0</v>
      </c>
      <c r="F36" s="571">
        <f>C36*E36</f>
        <v>1468800.0</v>
      </c>
      <c r="G36" s="585" t="inlineStr">
        <is>
          <t>(45.0*40.0)*1.7</t>
        </is>
      </c>
    </row>
    <row r="37"/>
    <row r="38" ht="24" customHeight="1" s="12">
      <c r="A38" s="567" t="inlineStr">
        <is>
          <t>F</t>
        </is>
      </c>
      <c r="B38" s="581" t="inlineStr">
        <is>
          <t>Backfill and compact selected excavated material around foundations</t>
        </is>
      </c>
      <c r="C38" s="582">
        <f>((45.0*40.0)-(41.0*36.0))*(4.0-1.7)</f>
        <v>745.1999999999999</v>
      </c>
      <c r="D38" s="583" t="inlineStr">
        <is>
          <t>m3</t>
        </is>
      </c>
      <c r="E38" s="584">
        <f>RATES!$D$12</f>
        <v>60.0</v>
      </c>
      <c r="F38" s="571">
        <f>C38*E38</f>
        <v>44711.99999999999</v>
      </c>
      <c r="G38" s="585" t="inlineStr">
        <is>
          <t>((45.0*40.0)-(41.0*36.0))*(4.0-1.7)</t>
        </is>
      </c>
    </row>
    <row r="39"/>
    <row r="40" ht="24" customHeight="1" s="12">
      <c r="A40" s="567" t="inlineStr">
        <is>
          <t>G</t>
        </is>
      </c>
      <c r="B40" s="581" t="inlineStr">
        <is>
          <t>Load up surplus excavated material and remove from site</t>
        </is>
      </c>
      <c r="C40" s="582">
        <f>(45.0*40.0)*4.0-((45.0*40.0)-(41.0*36.0))*(4.0-1.7)</f>
        <v>6454.8</v>
      </c>
      <c r="D40" s="583" t="inlineStr">
        <is>
          <t>m3</t>
        </is>
      </c>
      <c r="E40" s="584">
        <f>RATES!$D$13</f>
        <v>75.0</v>
      </c>
      <c r="F40" s="571">
        <f>C40*E40</f>
        <v>484110.0</v>
      </c>
      <c r="G40" s="585" t="inlineStr">
        <is>
          <t>(45.0*40.0)*4.0-((45.0*40.0)-(41.0*36.0))*(4.0-1.7)</t>
        </is>
      </c>
    </row>
    <row r="41"/>
    <row r="42" ht="48" customHeight="1" s="12">
      <c r="A42" s="567" t="inlineStr">
        <is>
          <t>H</t>
        </is>
      </c>
      <c r="B42" s="581" t="inlineStr">
        <is>
          <t>Approved imported granular material hardcore filling to make up levels: depositing and compacting in layers 150mm maximum thickness</t>
        </is>
      </c>
      <c r="C42" s="582">
        <f>41.0*36.0*0.15</f>
        <v>221.4</v>
      </c>
      <c r="D42" s="583" t="inlineStr">
        <is>
          <t>m3</t>
        </is>
      </c>
      <c r="E42" s="584">
        <f>RATES!$D$14</f>
        <v>260.0</v>
      </c>
      <c r="F42" s="571">
        <f>C42*E42</f>
        <v>57564.0</v>
      </c>
      <c r="G42" s="585" t="inlineStr">
        <is>
          <t>41.0*36.0*0.15</t>
        </is>
      </c>
    </row>
    <row r="43"/>
    <row r="44">
      <c r="A44" s="572" t="n"/>
      <c r="B44" s="586" t="str">
        <f>B25</f>
        <v>D GROUNDWORK (D20 EXCAVATION AND FILLING)</v>
      </c>
      <c r="C44" s="574" t="n"/>
      <c r="D44" s="574" t="n"/>
      <c r="E44" s="587" t="n"/>
      <c r="F44" s="576">
        <f>SUM(F27:F43)</f>
        <v>3070046.9875</v>
      </c>
    </row>
    <row r="45">
      <c r="B45" s="559" t="inlineStr">
        <is>
          <t>Carried to Bill Summary</t>
        </is>
      </c>
    </row>
    <row r="46"/>
    <row r="47"/>
    <row r="48">
      <c r="A48" s="577" t="n"/>
      <c r="B48" s="578" t="inlineStr">
        <is>
          <t>E IN SITU CONCRETE</t>
        </is>
      </c>
      <c r="C48" s="569" t="n"/>
      <c r="D48" s="569" t="n"/>
      <c r="E48" s="570" t="n"/>
      <c r="F48" s="579" t="n"/>
    </row>
    <row r="49"/>
    <row r="50" ht="24" customHeight="1" s="12">
      <c r="A50" s="577" t="n"/>
      <c r="B50" s="580" t="inlineStr">
        <is>
          <t>E10 Plain in-situ concrete (1:4:8 - 38mm aggregate) as described in:</t>
        </is>
      </c>
      <c r="C50" s="569" t="n"/>
      <c r="D50" s="569" t="n"/>
      <c r="E50" s="570" t="n"/>
      <c r="F50" s="579" t="n"/>
    </row>
    <row r="51" ht="24" customHeight="1" s="12">
      <c r="A51" s="567" t="inlineStr">
        <is>
          <t>A</t>
        </is>
      </c>
      <c r="B51" s="581" t="inlineStr">
        <is>
          <t>Blinding 100mm thick under raft</t>
        </is>
      </c>
      <c r="C51" s="582">
        <f>41.0*36.0*0.10</f>
        <v>147.6</v>
      </c>
      <c r="D51" s="583" t="inlineStr">
        <is>
          <t>m3</t>
        </is>
      </c>
      <c r="E51" s="584">
        <f>RATES!$D$15</f>
        <v>1650.0</v>
      </c>
      <c r="F51" s="571">
        <f>C51*E51</f>
        <v>243540.0</v>
      </c>
      <c r="G51" s="585" t="inlineStr">
        <is>
          <t>41.0*36.0*0.10</t>
        </is>
      </c>
    </row>
    <row r="52"/>
    <row r="53" ht="24" customHeight="1" s="12">
      <c r="A53" s="567" t="inlineStr">
        <is>
          <t>B</t>
        </is>
      </c>
      <c r="B53" s="581" t="inlineStr">
        <is>
          <t>150mm thick bed</t>
        </is>
      </c>
      <c r="C53" s="582">
        <f>41.0*36.0*0.15</f>
        <v>221.4</v>
      </c>
      <c r="D53" s="583" t="inlineStr">
        <is>
          <t>m3</t>
        </is>
      </c>
      <c r="E53" s="584">
        <f>RATES!$D$16</f>
        <v>2150.0</v>
      </c>
      <c r="F53" s="571">
        <f>C53*E53</f>
        <v>476010.0</v>
      </c>
      <c r="G53" s="585" t="inlineStr">
        <is>
          <t>41.0*36.0*0.15</t>
        </is>
      </c>
    </row>
    <row r="54"/>
    <row r="55" ht="24" customHeight="1" s="12">
      <c r="A55" s="577" t="n"/>
      <c r="B55" s="580" t="inlineStr">
        <is>
          <t>Vibrated in-situ concrete C40 as described in:</t>
        </is>
      </c>
      <c r="C55" s="569" t="n"/>
      <c r="D55" s="569" t="n"/>
      <c r="E55" s="570" t="n"/>
      <c r="F55" s="579" t="n"/>
    </row>
    <row r="56" ht="24" customHeight="1" s="12">
      <c r="A56" s="567" t="inlineStr">
        <is>
          <t>C</t>
        </is>
      </c>
      <c r="B56" s="581" t="inlineStr">
        <is>
          <t>Concrete walls (raft to ground floor)</t>
        </is>
      </c>
      <c r="C56" s="582">
        <f>(22.05+21.825+25.57)*0.25*1.3</f>
        <v>22.569625</v>
      </c>
      <c r="D56" s="583" t="inlineStr">
        <is>
          <t>m3</t>
        </is>
      </c>
      <c r="E56" s="584">
        <f>RATES!$D$20</f>
        <v>2750.0</v>
      </c>
      <c r="F56" s="571">
        <f>C56*E56</f>
        <v>62066.46874999999</v>
      </c>
      <c r="G56" s="585" t="inlineStr">
        <is>
          <t>(22.05+21.825+25.57)*0.25*1.3</t>
        </is>
      </c>
    </row>
    <row r="57"/>
    <row r="58" ht="24" customHeight="1" s="12">
      <c r="A58" s="567" t="inlineStr">
        <is>
          <t>D</t>
        </is>
      </c>
      <c r="B58" s="581" t="inlineStr">
        <is>
          <t>Concrete in raft 1300mm thick</t>
        </is>
      </c>
      <c r="C58" s="582">
        <f>41.0*36.0*1.3</f>
        <v>1918.8</v>
      </c>
      <c r="D58" s="583" t="inlineStr">
        <is>
          <t>m3</t>
        </is>
      </c>
      <c r="E58" s="584">
        <f>RATES!$D$19</f>
        <v>2550.0</v>
      </c>
      <c r="F58" s="571">
        <f>C58*E58</f>
        <v>4892940.0</v>
      </c>
      <c r="G58" s="585" t="inlineStr">
        <is>
          <t>41.0*36.0*1.3</t>
        </is>
      </c>
    </row>
    <row r="59"/>
    <row r="60" ht="24" customHeight="1" s="12">
      <c r="A60" s="567" t="inlineStr">
        <is>
          <t>E</t>
        </is>
      </c>
      <c r="B60" s="581" t="inlineStr">
        <is>
          <t>Concrete in columns (raft to ground floor)</t>
        </is>
      </c>
      <c r="C60" s="582">
        <f>5*0.75*0.5*1.3+1*0.75*0.5*1.3+2*0.75*0.5*1.3+1*0.75*0.5*1.3+3*1.2*0.3*1.3+6*1.2*0.3*1.3+1*1.2*0.3*1.3+15*1.2*0.3*1.3+1*(2.85*0.25+0.825*0.25)*1.3</f>
        <v>17.281875</v>
      </c>
      <c r="D60" s="583" t="inlineStr">
        <is>
          <t>m3</t>
        </is>
      </c>
      <c r="E60" s="584">
        <f>RATES!$D$21</f>
        <v>2800.0</v>
      </c>
      <c r="F60" s="571">
        <f>C60*E60</f>
        <v>48389.25</v>
      </c>
      <c r="G60" s="585" t="inlineStr">
        <is>
          <t>5*0.75*0.5*1.3+1*0.75*0.5*1.3+2*0.75*0.5*1.3+1*0.75*0.5*1.3+3*1.2*0.3*1.3+6*1.2*0.3*1.3+1*1.2*0.3*1.3+15*1.2*0.3*1.3+1*(2.85*0.25+0.825*0.25)*1.3</t>
        </is>
      </c>
    </row>
    <row r="61"/>
    <row r="62" ht="24" customHeight="1" s="12">
      <c r="A62" s="577" t="n"/>
      <c r="B62" s="580" t="inlineStr">
        <is>
          <t>E30 REINFORCEMENT - High tensile yield round bar reinforcement (standard):</t>
        </is>
      </c>
      <c r="C62" s="569" t="n"/>
      <c r="D62" s="569" t="n"/>
      <c r="E62" s="570" t="n"/>
      <c r="F62" s="579" t="n"/>
    </row>
    <row r="63" ht="24" customHeight="1" s="12">
      <c r="A63" s="567" t="inlineStr">
        <is>
          <t>F</t>
        </is>
      </c>
      <c r="B63" s="581" t="inlineStr">
        <is>
          <t>20mm diameter in raft</t>
        </is>
      </c>
      <c r="C63" s="582">
        <f>2.466</f>
        <v>2.466</v>
      </c>
      <c r="D63" s="583" t="inlineStr">
        <is>
          <t>t</t>
        </is>
      </c>
      <c r="E63" s="584">
        <f>RATES!$D$32</f>
        <v>19000.0</v>
      </c>
      <c r="F63" s="571">
        <f>C63*E63</f>
        <v>46854.00000000001</v>
      </c>
      <c r="G63" s="585" t="inlineStr">
        <is>
          <t>2.466</t>
        </is>
      </c>
    </row>
    <row r="64"/>
    <row r="65" ht="24" customHeight="1" s="12">
      <c r="A65" s="567" t="inlineStr">
        <is>
          <t>G</t>
        </is>
      </c>
      <c r="B65" s="581" t="inlineStr">
        <is>
          <t>25mm diameter in raft</t>
        </is>
      </c>
      <c r="C65" s="582">
        <f>184.672</f>
        <v>184.672</v>
      </c>
      <c r="D65" s="583" t="inlineStr">
        <is>
          <t>t</t>
        </is>
      </c>
      <c r="E65" s="584">
        <f>RATES!$D$33</f>
        <v>19000.0</v>
      </c>
      <c r="F65" s="571">
        <f>C65*E65</f>
        <v>3508768.0</v>
      </c>
      <c r="G65" s="585" t="inlineStr">
        <is>
          <t>184.672</t>
        </is>
      </c>
    </row>
    <row r="66"/>
    <row r="67" ht="24" customHeight="1" s="12">
      <c r="A67" s="567" t="inlineStr">
        <is>
          <t>H</t>
        </is>
      </c>
      <c r="B67" s="581" t="inlineStr">
        <is>
          <t>10mm diameter links to columns &amp; walls (raft to ground floor)</t>
        </is>
      </c>
      <c r="C67" s="582">
        <f>3.252+0.517+0.260</f>
        <v>4.029</v>
      </c>
      <c r="D67" s="583" t="inlineStr">
        <is>
          <t>t</t>
        </is>
      </c>
      <c r="E67" s="584">
        <f>RATES!$D$29</f>
        <v>20500.0</v>
      </c>
      <c r="F67" s="571">
        <f>C67*E67</f>
        <v>82594.5</v>
      </c>
      <c r="G67" s="585" t="inlineStr">
        <is>
          <t>3.252+0.517+0.260</t>
        </is>
      </c>
    </row>
    <row r="68"/>
    <row r="69" ht="24" customHeight="1" s="12">
      <c r="A69" s="567" t="inlineStr">
        <is>
          <t>J</t>
        </is>
      </c>
      <c r="B69" s="581" t="inlineStr">
        <is>
          <t>12mm diameter to walls (raft to ground floor)</t>
        </is>
      </c>
      <c r="C69" s="582">
        <f>0.863+0.390</f>
        <v>1.2530000000000001</v>
      </c>
      <c r="D69" s="583" t="inlineStr">
        <is>
          <t>t</t>
        </is>
      </c>
      <c r="E69" s="584">
        <f>RATES!$D$30</f>
        <v>20000.0</v>
      </c>
      <c r="F69" s="571">
        <f>C69*E69</f>
        <v>25060.000000000004</v>
      </c>
      <c r="G69" s="585" t="inlineStr">
        <is>
          <t>0.863+0.390</t>
        </is>
      </c>
    </row>
    <row r="70"/>
    <row r="71" ht="24" customHeight="1" s="12">
      <c r="A71" s="567" t="inlineStr">
        <is>
          <t>K</t>
        </is>
      </c>
      <c r="B71" s="581" t="inlineStr">
        <is>
          <t>25mm diameter to columns &amp; walls (raft to ground floor)</t>
        </is>
      </c>
      <c r="C71" s="582">
        <f>6.531+9.840+4.935</f>
        <v>21.305999999999997</v>
      </c>
      <c r="D71" s="583" t="inlineStr">
        <is>
          <t>t</t>
        </is>
      </c>
      <c r="E71" s="584">
        <f>RATES!$D$33</f>
        <v>19000.0</v>
      </c>
      <c r="F71" s="571">
        <f>C71*E71</f>
        <v>404813.99999999994</v>
      </c>
      <c r="G71" s="585" t="inlineStr">
        <is>
          <t>6.531+9.840+4.935</t>
        </is>
      </c>
    </row>
    <row r="72"/>
    <row r="73" ht="24" customHeight="1" s="12">
      <c r="A73" s="567" t="inlineStr">
        <is>
          <t>L</t>
        </is>
      </c>
      <c r="B73" s="581" t="inlineStr">
        <is>
          <t>20mm diameter in columns (raft to ground floor)</t>
        </is>
      </c>
      <c r="C73" s="582">
        <f>0.338</f>
        <v>0.338</v>
      </c>
      <c r="D73" s="583" t="inlineStr">
        <is>
          <t>t</t>
        </is>
      </c>
      <c r="E73" s="584">
        <f>RATES!$D$32</f>
        <v>19000.0</v>
      </c>
      <c r="F73" s="571">
        <f>C73*E73</f>
        <v>6422.0</v>
      </c>
      <c r="G73" s="585" t="inlineStr">
        <is>
          <t>0.338</t>
        </is>
      </c>
    </row>
    <row r="74"/>
    <row r="75" ht="24" customHeight="1" s="12">
      <c r="A75" s="577" t="n"/>
      <c r="B75" s="580" t="inlineStr">
        <is>
          <t>E20 FORMWORK</t>
        </is>
      </c>
      <c r="C75" s="569" t="n"/>
      <c r="D75" s="569" t="n"/>
      <c r="E75" s="570" t="n"/>
      <c r="F75" s="579" t="n"/>
    </row>
    <row r="76" ht="24" customHeight="1" s="12">
      <c r="A76" s="567" t="inlineStr">
        <is>
          <t>M</t>
        </is>
      </c>
      <c r="B76" s="581" t="inlineStr">
        <is>
          <t>Concrete walls (both faces)</t>
        </is>
      </c>
      <c r="C76" s="582">
        <f>2*(22.05+21.825+25.57)*1.3</f>
        <v>180.557</v>
      </c>
      <c r="D76" s="583" t="inlineStr">
        <is>
          <t>m2</t>
        </is>
      </c>
      <c r="E76" s="584">
        <f>RATES!$D$36</f>
        <v>185.0</v>
      </c>
      <c r="F76" s="571">
        <f>C76*E76</f>
        <v>33403.045</v>
      </c>
      <c r="G76" s="585" t="inlineStr">
        <is>
          <t>2*(22.05+21.825+25.57)*1.3</t>
        </is>
      </c>
    </row>
    <row r="77"/>
    <row r="78" ht="24" customHeight="1" s="12">
      <c r="A78" s="567" t="inlineStr">
        <is>
          <t>N</t>
        </is>
      </c>
      <c r="B78" s="581" t="inlineStr">
        <is>
          <t>Edges of bed 150mm high</t>
        </is>
      </c>
      <c r="C78" s="582">
        <f>2*(41.0+36.0)</f>
        <v>154.0</v>
      </c>
      <c r="D78" s="583" t="inlineStr">
        <is>
          <t>m</t>
        </is>
      </c>
      <c r="E78" s="584">
        <f>RATES!$D$40</f>
        <v>65.0</v>
      </c>
      <c r="F78" s="571">
        <f>C78*E78</f>
        <v>10010.0</v>
      </c>
      <c r="G78" s="585" t="inlineStr">
        <is>
          <t>2*(41.0+36.0)</t>
        </is>
      </c>
    </row>
    <row r="79"/>
    <row r="80" ht="24" customHeight="1" s="12">
      <c r="A80" s="567" t="inlineStr">
        <is>
          <t>P</t>
        </is>
      </c>
      <c r="B80" s="581" t="inlineStr">
        <is>
          <t>Edges of raft 1300mm high</t>
        </is>
      </c>
      <c r="C80" s="582">
        <f>2*(41.0+36.0)*1.3</f>
        <v>200.20000000000002</v>
      </c>
      <c r="D80" s="583" t="inlineStr">
        <is>
          <t>m2</t>
        </is>
      </c>
      <c r="E80" s="584">
        <f>RATES!$D$41</f>
        <v>150.0</v>
      </c>
      <c r="F80" s="571">
        <f>C80*E80</f>
        <v>30030.000000000004</v>
      </c>
      <c r="G80" s="585" t="inlineStr">
        <is>
          <t>2*(41.0+36.0)*1.3</t>
        </is>
      </c>
    </row>
    <row r="81"/>
    <row r="82" ht="24" customHeight="1" s="12">
      <c r="A82" s="567" t="inlineStr">
        <is>
          <t>Q</t>
        </is>
      </c>
      <c r="B82" s="581" t="inlineStr">
        <is>
          <t>Sides of columns (raft to ground floor)</t>
        </is>
      </c>
      <c r="C82" s="582">
        <f>5*2*(0.75+0.5)*1.3+1*2*(0.75+0.5)*1.3+2*2*(0.75+0.5)*1.3+1*2*(0.75+0.5)*1.3+3*2*(1.2+0.3)*1.3+6*2*(1.2+0.3)*1.3+1*2*(1.2+0.3)*1.3+15*2*(1.2+0.3)*1.3+1*2*(2.85+1.075)*1.3</f>
        <v>136.955</v>
      </c>
      <c r="D82" s="583" t="inlineStr">
        <is>
          <t>m2</t>
        </is>
      </c>
      <c r="E82" s="584">
        <f>RATES!$D$37</f>
        <v>190.0</v>
      </c>
      <c r="F82" s="571">
        <f>C82*E82</f>
        <v>26021.45</v>
      </c>
      <c r="G82" s="585" t="inlineStr">
        <is>
          <t>5*2*(0.75+0.5)*1.3+1*2*(0.75+0.5)*1.3+2*2*(0.75+0.5)*1.3+1*2*(0.75+0.5)*1.3+3*2*(1.2+0.3)*1.3+6*2*(1.2+0.3)*1.3+1*2*(1.2+0.3)*1.3+15*2*(1.2+0.3)*1.3+1*2*(2.85+1.075)*1.3</t>
        </is>
      </c>
    </row>
    <row r="83"/>
    <row r="84">
      <c r="A84" s="572" t="n"/>
      <c r="B84" s="586" t="str">
        <f>B48</f>
        <v>E IN SITU CONCRETE</v>
      </c>
      <c r="C84" s="574" t="n"/>
      <c r="D84" s="574" t="n"/>
      <c r="E84" s="587" t="n"/>
      <c r="F84" s="576">
        <f>SUM(F50:F83)</f>
        <v>9896922.71375</v>
      </c>
    </row>
    <row r="85">
      <c r="B85" s="559" t="inlineStr">
        <is>
          <t>Carried to Bill Summary</t>
        </is>
      </c>
    </row>
    <row r="86"/>
    <row r="87"/>
    <row r="88">
      <c r="A88" s="577" t="n"/>
      <c r="B88" s="578" t="inlineStr">
        <is>
          <t>BLOCK WORK</t>
        </is>
      </c>
      <c r="C88" s="569" t="n"/>
      <c r="D88" s="569" t="n"/>
      <c r="E88" s="570" t="n"/>
      <c r="F88" s="579" t="n"/>
    </row>
    <row r="89"/>
    <row r="90" ht="24" customHeight="1" s="12">
      <c r="A90" s="577" t="n"/>
      <c r="B90" s="580" t="inlineStr">
        <is>
          <t>Solid sandcrete blockwork in cement and sand (1:4) mortar:</t>
        </is>
      </c>
      <c r="C90" s="569" t="n"/>
      <c r="D90" s="569" t="n"/>
      <c r="E90" s="570" t="n"/>
      <c r="F90" s="579" t="n"/>
    </row>
    <row r="91" ht="24" customHeight="1" s="12">
      <c r="A91" s="567" t="inlineStr">
        <is>
          <t>A</t>
        </is>
      </c>
      <c r="B91" s="581" t="inlineStr">
        <is>
          <t>150mm walls to plinth</t>
        </is>
      </c>
      <c r="C91" s="582">
        <f>2*(41.0+36.0)*1.3</f>
        <v>200.20000000000002</v>
      </c>
      <c r="D91" s="583" t="inlineStr">
        <is>
          <t>m2</t>
        </is>
      </c>
      <c r="E91" s="584">
        <f>RATES!$D$46</f>
        <v>215.0</v>
      </c>
      <c r="F91" s="571">
        <f>C91*E91</f>
        <v>43043.00000000001</v>
      </c>
      <c r="G91" s="585" t="inlineStr">
        <is>
          <t>2*(41.0+36.0)*1.3</t>
        </is>
      </c>
    </row>
    <row r="92"/>
    <row r="93">
      <c r="A93" s="572" t="n"/>
      <c r="B93" s="586" t="str">
        <f>B88</f>
        <v>BLOCK WORK</v>
      </c>
      <c r="C93" s="574" t="n"/>
      <c r="D93" s="574" t="n"/>
      <c r="E93" s="587" t="n"/>
      <c r="F93" s="576">
        <f>SUM(F90:F92)</f>
        <v>43043.00000000001</v>
      </c>
    </row>
    <row r="94">
      <c r="B94" s="559" t="inlineStr">
        <is>
          <t>Carried to Bill Summary</t>
        </is>
      </c>
    </row>
    <row r="95"/>
    <row r="96"/>
    <row r="97">
      <c r="B97" s="588" t="inlineStr">
        <is>
          <t>Raft top SSL -1.000; formation -4.000 (STR-001). Raft 41.0 x 36.0m measured on STR-001/STR-002.</t>
        </is>
      </c>
    </row>
  </sheetData>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G233"/>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GROUND FLOOR (INCL. M1 PARKING LEVEL 1B)</t>
        </is>
      </c>
    </row>
    <row r="10"/>
    <row r="11">
      <c r="B11" s="566" t="inlineStr">
        <is>
          <t>BILL SUMMARY</t>
        </is>
      </c>
    </row>
    <row r="12"/>
    <row r="13">
      <c r="A13" s="567" t="inlineStr">
        <is>
          <t>A</t>
        </is>
      </c>
      <c r="B13" s="568" t="inlineStr">
        <is>
          <t>ELEMENT NO. 1: IN SITU CONCRETE/LARGE PRECAST CONCRETE</t>
        </is>
      </c>
      <c r="C13" s="569" t="n"/>
      <c r="D13" s="569" t="n"/>
      <c r="E13" s="570" t="n"/>
      <c r="F13" s="571">
        <f>F92</f>
        <v>2969324.2948636366</v>
      </c>
    </row>
    <row r="14"/>
    <row r="15">
      <c r="A15" s="567" t="inlineStr">
        <is>
          <t>B</t>
        </is>
      </c>
      <c r="B15" s="568" t="inlineStr">
        <is>
          <t>ELEMENT NO. 2: MASONRY</t>
        </is>
      </c>
      <c r="C15" s="569" t="n"/>
      <c r="D15" s="569" t="n"/>
      <c r="E15" s="570" t="n"/>
      <c r="F15" s="571">
        <f>F103</f>
        <v>209940.80052</v>
      </c>
    </row>
    <row r="16"/>
    <row r="17">
      <c r="A17" s="567" t="inlineStr">
        <is>
          <t>C</t>
        </is>
      </c>
      <c r="B17" s="568" t="inlineStr">
        <is>
          <t>ELEMENT NO. 4: WINDOWS/DOORS</t>
        </is>
      </c>
      <c r="C17" s="569" t="n"/>
      <c r="D17" s="569" t="n"/>
      <c r="E17" s="570" t="n"/>
      <c r="F17" s="571">
        <f>F166</f>
        <v>412711.9</v>
      </c>
    </row>
    <row r="18"/>
    <row r="19">
      <c r="A19" s="567" t="inlineStr">
        <is>
          <t>D</t>
        </is>
      </c>
      <c r="B19" s="568" t="inlineStr">
        <is>
          <t>ELEMENT NO. 5: FLOOR FINISHES</t>
        </is>
      </c>
      <c r="C19" s="569" t="n"/>
      <c r="D19" s="569" t="n"/>
      <c r="E19" s="570" t="n"/>
      <c r="F19" s="571">
        <f>F189</f>
        <v>311872.36</v>
      </c>
    </row>
    <row r="20"/>
    <row r="21">
      <c r="A21" s="567" t="inlineStr">
        <is>
          <t>E</t>
        </is>
      </c>
      <c r="B21" s="568" t="inlineStr">
        <is>
          <t>ELEMENT NO. 6: WALL FINISHES</t>
        </is>
      </c>
      <c r="C21" s="569" t="n"/>
      <c r="D21" s="569" t="n"/>
      <c r="E21" s="570" t="n"/>
      <c r="F21" s="571">
        <f>F206</f>
        <v>157798.4479894737</v>
      </c>
    </row>
    <row r="22"/>
    <row r="23">
      <c r="A23" s="567" t="inlineStr">
        <is>
          <t>F</t>
        </is>
      </c>
      <c r="B23" s="568" t="inlineStr">
        <is>
          <t>ELEMENT NO. 7: PAINTING AND DECORATING</t>
        </is>
      </c>
      <c r="C23" s="569" t="n"/>
      <c r="D23" s="569" t="n"/>
      <c r="E23" s="570" t="n"/>
      <c r="F23" s="571">
        <f>F229</f>
        <v>140269.24957894738</v>
      </c>
    </row>
    <row r="24"/>
    <row r="25">
      <c r="A25" s="572" t="n"/>
      <c r="B25" s="573" t="str">
        <f>B9</f>
        <v> GROUND FLOOR (INCL. M1 PARKING LEVEL 1B)</v>
      </c>
      <c r="C25" s="574" t="n"/>
      <c r="D25" s="574" t="n"/>
      <c r="E25" s="575" t="inlineStr">
        <is>
          <t>GHC</t>
        </is>
      </c>
      <c r="F25" s="576">
        <f>SUM(F13:F24)</f>
        <v>4201917.052952058</v>
      </c>
    </row>
    <row r="26">
      <c r="B26" s="559" t="inlineStr">
        <is>
          <t>To Bill General Summary</t>
        </is>
      </c>
    </row>
    <row r="27"/>
    <row r="28"/>
    <row r="29">
      <c r="B29" s="565" t="inlineStr">
        <is>
          <t>BILL NR. 3 - GROUND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689.1*0.25</f>
        <v>172.275</v>
      </c>
      <c r="D34" s="583" t="inlineStr">
        <is>
          <t>m3</t>
        </is>
      </c>
      <c r="E34" s="584">
        <f>RATES!$D$22</f>
        <v>2650.0</v>
      </c>
      <c r="F34" s="571">
        <f>C34*E34</f>
        <v>456528.75</v>
      </c>
      <c r="G34" s="585" t="inlineStr">
        <is>
          <t>689.1*0.25</t>
        </is>
      </c>
    </row>
    <row r="35"/>
    <row r="36" ht="24" customHeight="1" s="12">
      <c r="A36" s="567" t="inlineStr">
        <is>
          <t>B</t>
        </is>
      </c>
      <c r="B36" s="581" t="inlineStr">
        <is>
          <t>Beams (downstands below slab)</t>
        </is>
      </c>
      <c r="C36" s="582">
        <f>67.8*0.3*0.35</f>
        <v>7.119</v>
      </c>
      <c r="D36" s="583" t="inlineStr">
        <is>
          <t>m3</t>
        </is>
      </c>
      <c r="E36" s="584">
        <f>RATES!$D$23</f>
        <v>2700.0</v>
      </c>
      <c r="F36" s="571">
        <f>C36*E36</f>
        <v>19221.3</v>
      </c>
      <c r="G36" s="585" t="inlineStr">
        <is>
          <t>67.8*0.3*0.35</t>
        </is>
      </c>
    </row>
    <row r="37"/>
    <row r="38" ht="24" customHeight="1" s="12">
      <c r="A38" s="567" t="inlineStr">
        <is>
          <t>C</t>
        </is>
      </c>
      <c r="B38" s="581" t="inlineStr">
        <is>
          <t>Columns</t>
        </is>
      </c>
      <c r="C38" s="582">
        <f>5*0.75*0.5*3.6+1*0.75*0.5*3.6+2*0.75*0.5*3.6+1*0.75*0.5*1.95+1*0.75*0.5*2.45+3*1.2*0.3*3.6+6*1.2*0.3*3.6+1*1.2*0.3*3.6+15*1.2*0.3*1.95+15*1.2*0.3*2.45+1*(2.85*0.25+0.825*0.25)*3.6</f>
        <v>52.4775</v>
      </c>
      <c r="D38" s="583" t="inlineStr">
        <is>
          <t>m3</t>
        </is>
      </c>
      <c r="E38" s="584">
        <f>RATES!$D$21</f>
        <v>2800.0</v>
      </c>
      <c r="F38" s="571">
        <f>C38*E38</f>
        <v>146937.0</v>
      </c>
      <c r="G38" s="585" t="inlineStr">
        <is>
          <t>5*0.75*0.5*3.6+1*0.75*0.5*3.6+2*0.75*0.5*3.6+1*0.75*0.5*1.95+1*0.75*0.5*2.45+3*1.2*0.3*3.6+6*1.2*0.3*3.6+1*1.2*0.3*3.6+15*1.2*0.3*1.95+15*1.2*0.3*2.45+1*(2.85*0.25+0.825*0.25)*3.6</t>
        </is>
      </c>
    </row>
    <row r="39"/>
    <row r="40" ht="24" customHeight="1" s="12">
      <c r="A40" s="567" t="inlineStr">
        <is>
          <t>D</t>
        </is>
      </c>
      <c r="B40" s="581" t="inlineStr">
        <is>
          <t>Concrete wall - shear walls to main &amp; emergency stair cores, 250mm thick</t>
        </is>
      </c>
      <c r="C40" s="582">
        <f>22.05*3.6*0.25+25.57*2.25*0.25+25.57*2.45*0.25</f>
        <v>49.88975000000001</v>
      </c>
      <c r="D40" s="583" t="inlineStr">
        <is>
          <t>m3</t>
        </is>
      </c>
      <c r="E40" s="584">
        <f>RATES!$D$20</f>
        <v>2750.0</v>
      </c>
      <c r="F40" s="571">
        <f>C40*E40</f>
        <v>137196.81250000003</v>
      </c>
      <c r="G40" s="585" t="inlineStr">
        <is>
          <t>22.05*3.6*0.25+25.57*2.25*0.25+25.57*2.45*0.25</t>
        </is>
      </c>
    </row>
    <row r="41"/>
    <row r="42" ht="24" customHeight="1" s="12">
      <c r="A42" s="567" t="inlineStr">
        <is>
          <t>E</t>
        </is>
      </c>
      <c r="B42" s="581" t="inlineStr">
        <is>
          <t>Concrete wall - lift walls, 250mm thick</t>
        </is>
      </c>
      <c r="C42" s="582">
        <f>21.825*3.6*0.25</f>
        <v>19.6425</v>
      </c>
      <c r="D42" s="583" t="inlineStr">
        <is>
          <t>m3</t>
        </is>
      </c>
      <c r="E42" s="584">
        <f>RATES!$D$20</f>
        <v>2750.0</v>
      </c>
      <c r="F42" s="571">
        <f>C42*E42</f>
        <v>54016.87499999999</v>
      </c>
      <c r="G42" s="585" t="inlineStr">
        <is>
          <t>21.825*3.6*0.25</t>
        </is>
      </c>
    </row>
    <row r="43"/>
    <row r="44" ht="24" customHeight="1" s="12">
      <c r="A44" s="567" t="inlineStr">
        <is>
          <t>F</t>
        </is>
      </c>
      <c r="B44" s="581" t="inlineStr">
        <is>
          <t>Stairs</t>
        </is>
      </c>
      <c r="C44" s="582">
        <f>(2.966*3.85/3.3+2.625)+(2.966*2.5/3.3+2.625)+(2.966*2.7/3.3+2.625)</f>
        <v>16.009030303030304</v>
      </c>
      <c r="D44" s="583" t="inlineStr">
        <is>
          <t>m3</t>
        </is>
      </c>
      <c r="E44" s="584">
        <f>RATES!$D$24</f>
        <v>2850.0</v>
      </c>
      <c r="F44" s="571">
        <f>C44*E44</f>
        <v>45625.736363636366</v>
      </c>
      <c r="G44" s="585" t="inlineStr">
        <is>
          <t>(2.966*3.85/3.3+2.625)+(2.966*2.5/3.3+2.625)+(2.966*2.7/3.3+2.625)</t>
        </is>
      </c>
    </row>
    <row r="45"/>
    <row r="46" ht="24" customHeight="1" s="12">
      <c r="A46" s="567" t="inlineStr">
        <is>
          <t>G</t>
        </is>
      </c>
      <c r="B46" s="581" t="inlineStr">
        <is>
          <t>Lintels 150 x 225mm over door and window openings</t>
        </is>
      </c>
      <c r="C46" s="582">
        <f>(1*(1.8+0.3)+6*(0.9+0.3)+1*(0.9+0.3)+1*(3.2+0.3)+6*(0.75+0.3)+2*(0.7+0.3)+3*(1+0.3)+2*(0.9+0.3)+3*(1.8+0.3)+2*(1.8+0.3)+2*(2.4+0.3)+1*(5.05+0.3)+2*(4.2+0.3)+1*(3.6+0.3)+1*(1.8+0.3)+1*(1.8+0.3)+1*(3.5+0.3)+3*(3.6+0.3)+2*(2.4+0.3)+2*(2.1+0.3)+4*(0.9+0.3)+1*(0.75+0.3))*0.15*0.225</f>
        <v>3.3243749999999994</v>
      </c>
      <c r="D46" s="583" t="inlineStr">
        <is>
          <t>m3</t>
        </is>
      </c>
      <c r="E46" s="584">
        <f>RATES!$D$25</f>
        <v>2600.0</v>
      </c>
      <c r="F46" s="571">
        <f>C46*E46</f>
        <v>8643.374999999998</v>
      </c>
      <c r="G46" s="585" t="inlineStr">
        <is>
          <t>(1*(1.8+0.3)+6*(0.9+0.3)+1*(0.9+0.3)+1*(3.2+0.3)+6*(0.75+0.3)+2*(0.7+0.3)+3*(1+0.3)+2*(0.9+0.3)+3*(1.8+0.3)+2*(1.8+0.3)+2*(2.4+0.3)+1*(5.05+0.3)+2*(4.2+0.3)+1*(3.6+0.3)+1*(1.8+0.3)+1*(1.8+0.3)+1*(3.5+0.3)+3*(3.6+0.3)+2*(2.4+0.3)+2*(2.1+0.3)+4*(0.9...</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689.1</f>
        <v>689.1</v>
      </c>
      <c r="D49" s="583" t="inlineStr">
        <is>
          <t>m2</t>
        </is>
      </c>
      <c r="E49" s="584">
        <f>RATES!$D$38</f>
        <v>170.0</v>
      </c>
      <c r="F49" s="571">
        <f>C49*E49</f>
        <v>117147.0</v>
      </c>
      <c r="G49" s="585" t="inlineStr">
        <is>
          <t>689.1</t>
        </is>
      </c>
    </row>
    <row r="50"/>
    <row r="51" ht="24" customHeight="1" s="12">
      <c r="A51" s="567" t="inlineStr">
        <is>
          <t>J</t>
        </is>
      </c>
      <c r="B51" s="581" t="inlineStr">
        <is>
          <t>Edges of suspended slab 250mm high</t>
        </is>
      </c>
      <c r="C51" s="582">
        <f>238.4</f>
        <v>238.4</v>
      </c>
      <c r="D51" s="583" t="inlineStr">
        <is>
          <t>m</t>
        </is>
      </c>
      <c r="E51" s="584">
        <f>RATES!$D$40</f>
        <v>65.0</v>
      </c>
      <c r="F51" s="571">
        <f>C51*E51</f>
        <v>15496.0</v>
      </c>
      <c r="G51" s="585" t="inlineStr">
        <is>
          <t>238.4</t>
        </is>
      </c>
    </row>
    <row r="52"/>
    <row r="53" ht="24" customHeight="1" s="12">
      <c r="A53" s="567" t="inlineStr">
        <is>
          <t>K</t>
        </is>
      </c>
      <c r="B53" s="581" t="inlineStr">
        <is>
          <t>Sides and soffits of beams</t>
        </is>
      </c>
      <c r="C53" s="582">
        <f>67.8*(2*0.35+0.3)</f>
        <v>67.8</v>
      </c>
      <c r="D53" s="583" t="inlineStr">
        <is>
          <t>m2</t>
        </is>
      </c>
      <c r="E53" s="584">
        <f>RATES!$D$39</f>
        <v>200.0</v>
      </c>
      <c r="F53" s="571">
        <f>C53*E53</f>
        <v>13560.0</v>
      </c>
      <c r="G53" s="585" t="inlineStr">
        <is>
          <t>67.8*(2*0.35+0.3)</t>
        </is>
      </c>
    </row>
    <row r="54"/>
    <row r="55" ht="24" customHeight="1" s="12">
      <c r="A55" s="567" t="inlineStr">
        <is>
          <t>L</t>
        </is>
      </c>
      <c r="B55" s="581" t="inlineStr">
        <is>
          <t>Columns</t>
        </is>
      </c>
      <c r="C55" s="582">
        <f>5*2*(0.75+0.5)*3.6+1*2*(0.75+0.5)*3.6+2*2*(0.75+0.5)*3.6+1*2*(0.75+0.5)*1.95+1*2*(0.75+0.5)*2.45+3*2*(1.2+0.3)*3.6+6*2*(1.2+0.3)*3.6+1*2*(1.2+0.3)*3.6+15*2*(1.2+0.3)*1.95+15*2*(1.2+0.3)*2.45+1*2*(2.85+1.075)*3.6</f>
        <v>417.26</v>
      </c>
      <c r="D55" s="583" t="inlineStr">
        <is>
          <t>m2</t>
        </is>
      </c>
      <c r="E55" s="584">
        <f>RATES!$D$37</f>
        <v>190.0</v>
      </c>
      <c r="F55" s="571">
        <f>C55*E55</f>
        <v>79279.4</v>
      </c>
      <c r="G55" s="585" t="inlineStr">
        <is>
          <t>5*2*(0.75+0.5)*3.6+1*2*(0.75+0.5)*3.6+2*2*(0.75+0.5)*3.6+1*2*(0.75+0.5)*1.95+1*2*(0.75+0.5)*2.45+3*2*(1.2+0.3)*3.6+6*2*(1.2+0.3)*3.6+1*2*(1.2+0.3)*3.6+15*2*(1.2+0.3)*1.95+15*2*(1.2+0.3)*2.45+1*2*(2.85+1.075)*3.6</t>
        </is>
      </c>
    </row>
    <row r="56"/>
    <row r="57" ht="24" customHeight="1" s="12">
      <c r="A57" s="567" t="inlineStr">
        <is>
          <t>M</t>
        </is>
      </c>
      <c r="B57" s="581" t="inlineStr">
        <is>
          <t>Concrete wall (both faces)</t>
        </is>
      </c>
      <c r="C57" s="582">
        <f>2*22.05*3.6+2*21.825*3.6+2*25.57*2.25+2*25.57*2.45</f>
        <v>556.258</v>
      </c>
      <c r="D57" s="583" t="inlineStr">
        <is>
          <t>m2</t>
        </is>
      </c>
      <c r="E57" s="584">
        <f>RATES!$D$36</f>
        <v>185.0</v>
      </c>
      <c r="F57" s="571">
        <f>C57*E57</f>
        <v>102907.73000000001</v>
      </c>
      <c r="G57" s="585" t="inlineStr">
        <is>
          <t>2*22.05*3.6+2*21.825*3.6+2*25.57*2.25+2*25.57*2.45</t>
        </is>
      </c>
    </row>
    <row r="58"/>
    <row r="59" ht="24" customHeight="1" s="12">
      <c r="A59" s="567" t="inlineStr">
        <is>
          <t>N</t>
        </is>
      </c>
      <c r="B59" s="581" t="inlineStr">
        <is>
          <t>Soffits of stair flights, landings and risers</t>
        </is>
      </c>
      <c r="C59" s="582">
        <f>(2*3.424*1.8+15.0+22*0.15*1.8)+(2*3.424*1.8+15.0+22*0.15*1.8)+(2*3.424*1.8+15.0+22*0.15*1.8)</f>
        <v>99.79919999999998</v>
      </c>
      <c r="D59" s="583" t="inlineStr">
        <is>
          <t>m2</t>
        </is>
      </c>
      <c r="E59" s="584">
        <f>RATES!$D$42</f>
        <v>230.0</v>
      </c>
      <c r="F59" s="571">
        <f>C59*E59</f>
        <v>22953.815999999995</v>
      </c>
      <c r="G59" s="585" t="inlineStr">
        <is>
          <t>(2*3.424*1.8+15.0+22*0.15*1.8)+(2*3.424*1.8+15.0+22*0.15*1.8)+(2*3.424*1.8+15.0+22*0.15*1.8)</t>
        </is>
      </c>
    </row>
    <row r="60"/>
    <row r="61" ht="24" customHeight="1" s="12">
      <c r="A61" s="567" t="inlineStr">
        <is>
          <t>P</t>
        </is>
      </c>
      <c r="B61" s="581" t="inlineStr">
        <is>
          <t>Side and soffits of lintel / coping</t>
        </is>
      </c>
      <c r="C61" s="582">
        <f>(1*(1.8+0.3)+6*(0.9+0.3)+1*(0.9+0.3)+1*(3.2+0.3)+6*(0.75+0.3)+2*(0.7+0.3)+3*(1+0.3)+2*(0.9+0.3)+3*(1.8+0.3)+2*(1.8+0.3)+2*(2.4+0.3)+1*(5.05+0.3)+2*(4.2+0.3)+1*(3.6+0.3)+1*(1.8+0.3)+1*(1.8+0.3)+1*(3.5+0.3)+3*(3.6+0.3)+2*(2.4+0.3)+2*(2.1+0.3)+4*(0.9+0.3)+1*(0.75+0.3))*(2*0.225+0.15)</f>
        <v>59.09999999999999</v>
      </c>
      <c r="D61" s="583" t="inlineStr">
        <is>
          <t>m2</t>
        </is>
      </c>
      <c r="E61" s="584">
        <f>RATES!$D$43</f>
        <v>180.0</v>
      </c>
      <c r="F61" s="571">
        <f>C61*E61</f>
        <v>10637.999999999998</v>
      </c>
      <c r="G61" s="585" t="inlineStr">
        <is>
          <t>(1*(1.8+0.3)+6*(0.9+0.3)+1*(0.9+0.3)+1*(3.2+0.3)+6*(0.75+0.3)+2*(0.7+0.3)+3*(1+0.3)+2*(0.9+0.3)+3*(1.8+0.3)+2*(1.8+0.3)+2*(2.4+0.3)+1*(5.05+0.3)+2*(4.2+0.3)+1*(3.6+0.3)+1*(1.8+0.3)+1*(1.8+0.3)+1*(3.5+0.3)+3*(3.6+0.3)+2*(2.4+0.3)+2*(2.1+0.3)+4*(0.9...</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4.372+1.656</f>
        <v>6.028</v>
      </c>
      <c r="D64" s="583" t="inlineStr">
        <is>
          <t>t</t>
        </is>
      </c>
      <c r="E64" s="584">
        <f>RATES!$D$29</f>
        <v>20500.0</v>
      </c>
      <c r="F64" s="571">
        <f>C64*E64</f>
        <v>123573.99999999999</v>
      </c>
      <c r="G64" s="585" t="inlineStr">
        <is>
          <t>4.372+1.656</t>
        </is>
      </c>
    </row>
    <row r="65"/>
    <row r="66" ht="24" customHeight="1" s="12">
      <c r="A66" s="567" t="inlineStr">
        <is>
          <t>R</t>
        </is>
      </c>
      <c r="B66" s="581" t="inlineStr">
        <is>
          <t>20mm diameter in columns</t>
        </is>
      </c>
      <c r="C66" s="582">
        <f>0.599</f>
        <v>0.599</v>
      </c>
      <c r="D66" s="583" t="inlineStr">
        <is>
          <t>t</t>
        </is>
      </c>
      <c r="E66" s="584">
        <f>RATES!$D$32</f>
        <v>19000.0</v>
      </c>
      <c r="F66" s="571">
        <f>C66*E66</f>
        <v>11381.0</v>
      </c>
      <c r="G66" s="585" t="inlineStr">
        <is>
          <t>0.599</t>
        </is>
      </c>
    </row>
    <row r="67"/>
    <row r="68" ht="24" customHeight="1" s="12">
      <c r="A68" s="567" t="inlineStr">
        <is>
          <t>S</t>
        </is>
      </c>
      <c r="B68" s="581" t="inlineStr">
        <is>
          <t>25mm diameter in columns</t>
        </is>
      </c>
      <c r="C68" s="582">
        <f>10.083+4.303</f>
        <v>14.386</v>
      </c>
      <c r="D68" s="583" t="inlineStr">
        <is>
          <t>t</t>
        </is>
      </c>
      <c r="E68" s="584">
        <f>RATES!$D$33</f>
        <v>19000.0</v>
      </c>
      <c r="F68" s="571">
        <f>C68*E68</f>
        <v>273334.0</v>
      </c>
      <c r="G68" s="585" t="inlineStr">
        <is>
          <t>10.083+4.303</t>
        </is>
      </c>
    </row>
    <row r="69"/>
    <row r="70" ht="24" customHeight="1" s="12">
      <c r="A70" s="567" t="inlineStr">
        <is>
          <t>T</t>
        </is>
      </c>
      <c r="B70" s="581" t="inlineStr">
        <is>
          <t>10mm diameter in beams (links)</t>
        </is>
      </c>
      <c r="C70" s="582">
        <f>1.126</f>
        <v>1.126</v>
      </c>
      <c r="D70" s="583" t="inlineStr">
        <is>
          <t>t</t>
        </is>
      </c>
      <c r="E70" s="584">
        <f>RATES!$D$29</f>
        <v>20500.0</v>
      </c>
      <c r="F70" s="571">
        <f>C70*E70</f>
        <v>23082.999999999996</v>
      </c>
      <c r="G70" s="585" t="inlineStr">
        <is>
          <t>1.126</t>
        </is>
      </c>
    </row>
    <row r="71"/>
    <row r="72" ht="24" customHeight="1" s="12">
      <c r="A72" s="567" t="inlineStr">
        <is>
          <t>U</t>
        </is>
      </c>
      <c r="B72" s="581" t="inlineStr">
        <is>
          <t>16mm diameter in beams</t>
        </is>
      </c>
      <c r="C72" s="582">
        <f>0.576</f>
        <v>0.576</v>
      </c>
      <c r="D72" s="583" t="inlineStr">
        <is>
          <t>t</t>
        </is>
      </c>
      <c r="E72" s="584">
        <f>RATES!$D$31</f>
        <v>19500.0</v>
      </c>
      <c r="F72" s="571">
        <f>C72*E72</f>
        <v>11232.0</v>
      </c>
      <c r="G72" s="585" t="inlineStr">
        <is>
          <t>0.576</t>
        </is>
      </c>
    </row>
    <row r="73"/>
    <row r="74" ht="24" customHeight="1" s="12">
      <c r="A74" s="567" t="inlineStr">
        <is>
          <t>V</t>
        </is>
      </c>
      <c r="B74" s="581" t="inlineStr">
        <is>
          <t>20mm diameter in beams</t>
        </is>
      </c>
      <c r="C74" s="582">
        <f>0.814</f>
        <v>0.814</v>
      </c>
      <c r="D74" s="583" t="inlineStr">
        <is>
          <t>t</t>
        </is>
      </c>
      <c r="E74" s="584">
        <f>RATES!$D$32</f>
        <v>19000.0</v>
      </c>
      <c r="F74" s="571">
        <f>C74*E74</f>
        <v>15465.999999999998</v>
      </c>
      <c r="G74" s="585" t="inlineStr">
        <is>
          <t>0.814</t>
        </is>
      </c>
    </row>
    <row r="75"/>
    <row r="76" ht="24" customHeight="1" s="12">
      <c r="A76" s="567" t="inlineStr">
        <is>
          <t>W</t>
        </is>
      </c>
      <c r="B76" s="581" t="inlineStr">
        <is>
          <t>25mm diameter in beams</t>
        </is>
      </c>
      <c r="C76" s="582">
        <f>2.438</f>
        <v>2.438</v>
      </c>
      <c r="D76" s="583" t="inlineStr">
        <is>
          <t>t</t>
        </is>
      </c>
      <c r="E76" s="584">
        <f>RATES!$D$33</f>
        <v>19000.0</v>
      </c>
      <c r="F76" s="571">
        <f>C76*E76</f>
        <v>46322.0</v>
      </c>
      <c r="G76" s="585" t="inlineStr">
        <is>
          <t>2.438</t>
        </is>
      </c>
    </row>
    <row r="77"/>
    <row r="78" ht="24" customHeight="1" s="12">
      <c r="A78" s="567" t="inlineStr">
        <is>
          <t>X</t>
        </is>
      </c>
      <c r="B78" s="581" t="inlineStr">
        <is>
          <t>10mm diameter in shear &amp; lift walls (links)</t>
        </is>
      </c>
      <c r="C78" s="582">
        <f>1.374+0.751+0.660</f>
        <v>2.785</v>
      </c>
      <c r="D78" s="583" t="inlineStr">
        <is>
          <t>t</t>
        </is>
      </c>
      <c r="E78" s="584">
        <f>RATES!$D$29</f>
        <v>20500.0</v>
      </c>
      <c r="F78" s="571">
        <f>C78*E78</f>
        <v>57092.5</v>
      </c>
      <c r="G78" s="585" t="inlineStr">
        <is>
          <t>1.374+0.751+0.660</t>
        </is>
      </c>
    </row>
    <row r="79"/>
    <row r="80" ht="24" customHeight="1" s="12">
      <c r="A80" s="567" t="inlineStr">
        <is>
          <t>Y</t>
        </is>
      </c>
      <c r="B80" s="581" t="inlineStr">
        <is>
          <t>12mm diameter in shear, lift &amp; ramp walls</t>
        </is>
      </c>
      <c r="C80" s="582">
        <f>2.268+1.472+0.840+0.835</f>
        <v>5.415</v>
      </c>
      <c r="D80" s="583" t="inlineStr">
        <is>
          <t>t</t>
        </is>
      </c>
      <c r="E80" s="584">
        <f>RATES!$D$30</f>
        <v>20000.0</v>
      </c>
      <c r="F80" s="571">
        <f>C80*E80</f>
        <v>108300.0</v>
      </c>
      <c r="G80" s="585" t="inlineStr">
        <is>
          <t>2.268+1.472+0.840+0.835</t>
        </is>
      </c>
    </row>
    <row r="81"/>
    <row r="82" ht="24" customHeight="1" s="12">
      <c r="A82" s="567" t="inlineStr">
        <is>
          <t>Z</t>
        </is>
      </c>
      <c r="B82" s="581" t="inlineStr">
        <is>
          <t>25mm diameter in shear &amp; lift walls</t>
        </is>
      </c>
      <c r="C82" s="582">
        <f>10.865+6.137+5.196</f>
        <v>22.198</v>
      </c>
      <c r="D82" s="583" t="inlineStr">
        <is>
          <t>t</t>
        </is>
      </c>
      <c r="E82" s="584">
        <f>RATES!$D$33</f>
        <v>19000.0</v>
      </c>
      <c r="F82" s="571">
        <f>C82*E82</f>
        <v>421762.0</v>
      </c>
      <c r="G82" s="585" t="inlineStr">
        <is>
          <t>10.865+6.137+5.196</t>
        </is>
      </c>
    </row>
    <row r="83"/>
    <row r="84" ht="24" customHeight="1" s="12">
      <c r="A84" s="567" t="inlineStr">
        <is>
          <t>A</t>
        </is>
      </c>
      <c r="B84" s="581" t="inlineStr">
        <is>
          <t>12mm diameter in stairs</t>
        </is>
      </c>
      <c r="C84" s="582">
        <f>0.880+0.440</f>
        <v>1.32</v>
      </c>
      <c r="D84" s="583" t="inlineStr">
        <is>
          <t>t</t>
        </is>
      </c>
      <c r="E84" s="584">
        <f>RATES!$D$30</f>
        <v>20000.0</v>
      </c>
      <c r="F84" s="571">
        <f>C84*E84</f>
        <v>26400.0</v>
      </c>
      <c r="G84" s="585" t="inlineStr">
        <is>
          <t>0.880+0.440</t>
        </is>
      </c>
    </row>
    <row r="85"/>
    <row r="86" ht="24" customHeight="1" s="12">
      <c r="A86" s="567" t="inlineStr">
        <is>
          <t>B</t>
        </is>
      </c>
      <c r="B86" s="581" t="inlineStr">
        <is>
          <t>16mm diameter in stairs</t>
        </is>
      </c>
      <c r="C86" s="582">
        <f>1.192+0.694</f>
        <v>1.886</v>
      </c>
      <c r="D86" s="583" t="inlineStr">
        <is>
          <t>t</t>
        </is>
      </c>
      <c r="E86" s="584">
        <f>RATES!$D$31</f>
        <v>19500.0</v>
      </c>
      <c r="F86" s="571">
        <f>C86*E86</f>
        <v>36777.0</v>
      </c>
      <c r="G86" s="585" t="inlineStr">
        <is>
          <t>1.192+0.694</t>
        </is>
      </c>
    </row>
    <row r="87"/>
    <row r="88" ht="24" customHeight="1" s="12">
      <c r="A88" s="567" t="inlineStr">
        <is>
          <t>C</t>
        </is>
      </c>
      <c r="B88" s="581" t="inlineStr">
        <is>
          <t>12mm diameter for suspended slab</t>
        </is>
      </c>
      <c r="C88" s="582">
        <f>25.574</f>
        <v>25.574</v>
      </c>
      <c r="D88" s="583" t="inlineStr">
        <is>
          <t>t</t>
        </is>
      </c>
      <c r="E88" s="584">
        <f>RATES!$D$30</f>
        <v>20000.0</v>
      </c>
      <c r="F88" s="571">
        <f>C88*E88</f>
        <v>511480.00000000006</v>
      </c>
      <c r="G88" s="585" t="inlineStr">
        <is>
          <t>25.574</t>
        </is>
      </c>
    </row>
    <row r="89"/>
    <row r="90" ht="24" customHeight="1" s="12">
      <c r="A90" s="567" t="inlineStr">
        <is>
          <t>D</t>
        </is>
      </c>
      <c r="B90" s="581" t="inlineStr">
        <is>
          <t>16mm diameter for suspended slab</t>
        </is>
      </c>
      <c r="C90" s="582">
        <f>3.742</f>
        <v>3.742</v>
      </c>
      <c r="D90" s="583" t="inlineStr">
        <is>
          <t>t</t>
        </is>
      </c>
      <c r="E90" s="584">
        <f>RATES!$D$31</f>
        <v>19500.0</v>
      </c>
      <c r="F90" s="571">
        <f>C90*E90</f>
        <v>72969.0</v>
      </c>
      <c r="G90" s="585" t="inlineStr">
        <is>
          <t>3.742</t>
        </is>
      </c>
    </row>
    <row r="91"/>
    <row r="92">
      <c r="A92" s="572" t="n"/>
      <c r="B92" s="586" t="str">
        <f>B31</f>
        <v>ELEMENT NO. 1: IN SITU CONCRETE/LARGE PRECAST CONCRETE</v>
      </c>
      <c r="C92" s="574" t="n"/>
      <c r="D92" s="574" t="n"/>
      <c r="E92" s="587" t="n"/>
      <c r="F92" s="576">
        <f>SUM(F33:F91)</f>
        <v>2969324.2948636366</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203.6*3.6+(1*1.8*(3.05-2.4)+6*0.9*(3.05-2.2)+1*0.9*(3.05-2.35)+1*3.2*(3.05-2.2)+6*0.75*(3.05-2.2)+2*0.7*(3.05-2.2)+3*1*(3.05-2.2)+2*0.9*(3.05-2.2)+3*1.8*(3.05-2.2)+2*1.8*(3.05-2.2)+2*2.4*(3.05-2.2)+1*5.05*(3.05-2.2)+2*4.2*(3.05-2.157)+1*3.6*(3.05-1.9)+1*1.8*(3.05-1.5)+1*1.8*(3.05-1.9)+1*3.5*(3.05-1.5)+3*3.6*(3.05-2.2)+2*2.4*(3.05-1.9)+2*2.1*(3.05-0.9)+4*0.9*(3.05-0.6)+1*0.75*(3.05-0.6))*0.858</f>
        <v>810.6443496</v>
      </c>
      <c r="D99" s="583" t="inlineStr">
        <is>
          <t>m2</t>
        </is>
      </c>
      <c r="E99" s="584">
        <f>RATES!$D$46</f>
        <v>215.0</v>
      </c>
      <c r="F99" s="571">
        <f>C99*E99</f>
        <v>174288.535164</v>
      </c>
      <c r="G99" s="585" t="inlineStr">
        <is>
          <t>203.6*3.6+(1*1.8*(3.05-2.4)+6*0.9*(3.05-2.2)+1*0.9*(3.05-2.35)+1*3.2*(3.05-2.2)+6*0.75*(3.05-2.2)+2*0.7*(3.05-2.2)+3*1*(3.05-2.2)+2*0.9*(3.05-2.2)+3*1.8*(3.05-2.2)+2*1.8*(3.05-2.2)+2*2.4*(3.05-2.2)+1*5.05*(3.05-2.2)+2*4.2*(3.05-2.157)+1*3.6*(3.05-...</t>
        </is>
      </c>
    </row>
    <row r="100"/>
    <row r="101" ht="24" customHeight="1" s="12">
      <c r="A101" s="567" t="inlineStr">
        <is>
          <t>B</t>
        </is>
      </c>
      <c r="B101" s="581" t="inlineStr">
        <is>
          <t>200mm thick wall</t>
        </is>
      </c>
      <c r="C101" s="582">
        <f>33.8*3.6+(1*1.8*(3.05-2.4)+6*0.9*(3.05-2.2)+1*0.9*(3.05-2.35)+1*3.2*(3.05-2.2)+6*0.75*(3.05-2.2)+2*0.7*(3.05-2.2)+3*1*(3.05-2.2)+2*0.9*(3.05-2.2)+3*1.8*(3.05-2.2)+2*1.8*(3.05-2.2)+2*2.4*(3.05-2.2)+1*5.05*(3.05-2.2)+2*4.2*(3.05-2.157)+1*3.6*(3.05-1.9)+1*1.8*(3.05-1.5)+1*1.8*(3.05-1.9)+1*3.5*(3.05-1.5)+3*3.6*(3.05-2.2)+2*2.4*(3.05-1.9)+2*2.1*(3.05-0.9)+4*0.9*(3.05-0.6)+1*0.75*(3.05-0.6))*0.142</f>
        <v>134.5368504</v>
      </c>
      <c r="D101" s="583" t="inlineStr">
        <is>
          <t>m2</t>
        </is>
      </c>
      <c r="E101" s="584">
        <f>RATES!$D$47</f>
        <v>265.0</v>
      </c>
      <c r="F101" s="571">
        <f>C101*E101</f>
        <v>35652.265355999996</v>
      </c>
      <c r="G101" s="585" t="inlineStr">
        <is>
          <t>33.8*3.6+(1*1.8*(3.05-2.4)+6*0.9*(3.05-2.2)+1*0.9*(3.05-2.35)+1*3.2*(3.05-2.2)+6*0.75*(3.05-2.2)+2*0.7*(3.05-2.2)+3*1*(3.05-2.2)+2*0.9*(3.05-2.2)+3*1.8*(3.05-2.2)+2*1.8*(3.05-2.2)+2*2.4*(3.05-2.2)+1*5.05*(3.05-2.2)+2*4.2*(3.05-2.157)+1*3.6*(3.05-1...</t>
        </is>
      </c>
    </row>
    <row r="102"/>
    <row r="103">
      <c r="A103" s="572" t="n"/>
      <c r="B103" s="586" t="str">
        <f>B96</f>
        <v>ELEMENT NO. 2: MASONRY</v>
      </c>
      <c r="C103" s="574" t="n"/>
      <c r="D103" s="574" t="n"/>
      <c r="E103" s="587" t="n"/>
      <c r="F103" s="576">
        <f>SUM(F98:F102)</f>
        <v>209940.80052</v>
      </c>
    </row>
    <row r="104">
      <c r="B104" s="559" t="inlineStr">
        <is>
          <t>Carried to Bill Summary</t>
        </is>
      </c>
    </row>
    <row r="105"/>
    <row r="106"/>
    <row r="107">
      <c r="A107" s="577" t="n"/>
      <c r="B107" s="578" t="inlineStr">
        <is>
          <t>ELEMENT NO. 4: WINDOWS/DOORS</t>
        </is>
      </c>
      <c r="C107" s="569" t="n"/>
      <c r="D107" s="569" t="n"/>
      <c r="E107" s="570" t="n"/>
      <c r="F107" s="579" t="n"/>
    </row>
    <row r="108"/>
    <row r="109" ht="48" customHeight="1" s="12">
      <c r="A109" s="577" t="n"/>
      <c r="B109" s="580" t="inlineStr">
        <is>
          <t>L20 DOORS - Supply and fix the following door assemblies complete with frames, ironmongery sets to steel doors and all accessories:</t>
        </is>
      </c>
      <c r="C109" s="569" t="n"/>
      <c r="D109" s="569" t="n"/>
      <c r="E109" s="570" t="n"/>
      <c r="F109" s="579" t="n"/>
    </row>
    <row r="110" ht="24" customHeight="1" s="12">
      <c r="A110" s="567" t="inlineStr">
        <is>
          <t>A</t>
        </is>
      </c>
      <c r="B110" s="581" t="inlineStr">
        <is>
          <t>1800mm x 2400mm 2-hour fire-rated double-leaf galvanised steel door (D1)</t>
        </is>
      </c>
      <c r="C110" s="582">
        <f>1</f>
        <v>1.0</v>
      </c>
      <c r="D110" s="583" t="inlineStr">
        <is>
          <t>nr</t>
        </is>
      </c>
      <c r="E110" s="584">
        <f>RATES!$D$74</f>
        <v>18500.0</v>
      </c>
      <c r="F110" s="571">
        <f>C110*E110</f>
        <v>18500.0</v>
      </c>
      <c r="G110" s="585" t="inlineStr">
        <is>
          <t>1</t>
        </is>
      </c>
    </row>
    <row r="111"/>
    <row r="112" ht="24" customHeight="1" s="12">
      <c r="A112" s="567" t="inlineStr">
        <is>
          <t>B</t>
        </is>
      </c>
      <c r="B112" s="581" t="inlineStr">
        <is>
          <t>900mm x 2200mm single leaf timber panel door (D3)</t>
        </is>
      </c>
      <c r="C112" s="582">
        <f>6</f>
        <v>6.0</v>
      </c>
      <c r="D112" s="583" t="inlineStr">
        <is>
          <t>nr</t>
        </is>
      </c>
      <c r="E112" s="584">
        <f>RATES!$D$76</f>
        <v>3400.0</v>
      </c>
      <c r="F112" s="571">
        <f>C112*E112</f>
        <v>20400.0</v>
      </c>
      <c r="G112" s="585" t="inlineStr">
        <is>
          <t>6</t>
        </is>
      </c>
    </row>
    <row r="113"/>
    <row r="114" ht="24" customHeight="1" s="12">
      <c r="A114" s="567" t="inlineStr">
        <is>
          <t>C</t>
        </is>
      </c>
      <c r="B114" s="581" t="inlineStr">
        <is>
          <t>900mm x 2350mm single leaf timber panel door with fanlight (D4)</t>
        </is>
      </c>
      <c r="C114" s="582">
        <f>1</f>
        <v>1.0</v>
      </c>
      <c r="D114" s="583" t="inlineStr">
        <is>
          <t>nr</t>
        </is>
      </c>
      <c r="E114" s="584">
        <f>RATES!$D$77</f>
        <v>3900.0</v>
      </c>
      <c r="F114" s="571">
        <f>C114*E114</f>
        <v>3900.0</v>
      </c>
      <c r="G114" s="585" t="inlineStr">
        <is>
          <t>1</t>
        </is>
      </c>
    </row>
    <row r="115"/>
    <row r="116" ht="24" customHeight="1" s="12">
      <c r="A116" s="567" t="inlineStr">
        <is>
          <t>D</t>
        </is>
      </c>
      <c r="B116" s="581" t="inlineStr">
        <is>
          <t>3200mm x 2200mm 4-panel galvanised steel framed tempered glass sliding door assembly (D5)</t>
        </is>
      </c>
      <c r="C116" s="582">
        <f>1</f>
        <v>1.0</v>
      </c>
      <c r="D116" s="583" t="inlineStr">
        <is>
          <t>nr</t>
        </is>
      </c>
      <c r="E116" s="584">
        <f>RATES!$D$78</f>
        <v>16500.0</v>
      </c>
      <c r="F116" s="571">
        <f>C116*E116</f>
        <v>16500.0</v>
      </c>
      <c r="G116" s="585" t="inlineStr">
        <is>
          <t>1</t>
        </is>
      </c>
    </row>
    <row r="117"/>
    <row r="118" ht="24" customHeight="1" s="12">
      <c r="A118" s="567" t="inlineStr">
        <is>
          <t>E</t>
        </is>
      </c>
      <c r="B118" s="581" t="inlineStr">
        <is>
          <t>750mm x 2200mm single leaf timber flush door (D6)</t>
        </is>
      </c>
      <c r="C118" s="582">
        <f>6</f>
        <v>6.0</v>
      </c>
      <c r="D118" s="583" t="inlineStr">
        <is>
          <t>nr</t>
        </is>
      </c>
      <c r="E118" s="584">
        <f>RATES!$D$79</f>
        <v>1900.0</v>
      </c>
      <c r="F118" s="571">
        <f>C118*E118</f>
        <v>11400.0</v>
      </c>
      <c r="G118" s="585" t="inlineStr">
        <is>
          <t>6</t>
        </is>
      </c>
    </row>
    <row r="119"/>
    <row r="120" ht="24" customHeight="1" s="12">
      <c r="A120" s="567" t="inlineStr">
        <is>
          <t>F</t>
        </is>
      </c>
      <c r="B120" s="581" t="inlineStr">
        <is>
          <t>700mm x 2200mm single-leaf 2-hour fire-rated galvanised steel door (D7)</t>
        </is>
      </c>
      <c r="C120" s="582">
        <f>2</f>
        <v>2.0</v>
      </c>
      <c r="D120" s="583" t="inlineStr">
        <is>
          <t>nr</t>
        </is>
      </c>
      <c r="E120" s="584">
        <f>RATES!$D$80</f>
        <v>6800.0</v>
      </c>
      <c r="F120" s="571">
        <f>C120*E120</f>
        <v>13600.0</v>
      </c>
      <c r="G120" s="585" t="inlineStr">
        <is>
          <t>2</t>
        </is>
      </c>
    </row>
    <row r="121"/>
    <row r="122" ht="48" customHeight="1" s="12">
      <c r="A122" s="567" t="inlineStr">
        <is>
          <t>G</t>
        </is>
      </c>
      <c r="B122" s="581" t="inlineStr">
        <is>
          <t>1000mm x 2200mm 1-hour fire-rated galvanised steel single-leaf security door assembly - emergency stairs (ED1)</t>
        </is>
      </c>
      <c r="C122" s="582">
        <f>3</f>
        <v>3.0</v>
      </c>
      <c r="D122" s="583" t="inlineStr">
        <is>
          <t>nr</t>
        </is>
      </c>
      <c r="E122" s="584">
        <f>RATES!$D$82</f>
        <v>7200.0</v>
      </c>
      <c r="F122" s="571">
        <f>C122*E122</f>
        <v>21600.0</v>
      </c>
      <c r="G122" s="585" t="inlineStr">
        <is>
          <t>3</t>
        </is>
      </c>
    </row>
    <row r="123"/>
    <row r="124" ht="24" customHeight="1" s="12">
      <c r="A124" s="567" t="inlineStr">
        <is>
          <t>H</t>
        </is>
      </c>
      <c r="B124" s="581" t="inlineStr">
        <is>
          <t>900mm x 2200mm 1-hour fire-rated galvanised steel single-leaf security door assembly (D9)</t>
        </is>
      </c>
      <c r="C124" s="582">
        <f>2</f>
        <v>2.0</v>
      </c>
      <c r="D124" s="583" t="inlineStr">
        <is>
          <t>nr</t>
        </is>
      </c>
      <c r="E124" s="584">
        <f>RATES!$D$84</f>
        <v>6900.0</v>
      </c>
      <c r="F124" s="571">
        <f>C124*E124</f>
        <v>13800.0</v>
      </c>
      <c r="G124" s="585" t="inlineStr">
        <is>
          <t>2</t>
        </is>
      </c>
    </row>
    <row r="125"/>
    <row r="126" ht="24" customHeight="1" s="12">
      <c r="A126" s="567" t="inlineStr">
        <is>
          <t>J</t>
        </is>
      </c>
      <c r="B126" s="581" t="inlineStr">
        <is>
          <t>1800mm x 2200mm double-leaf 2-hour fire-rated galvanised steel refuse room door (MD1)</t>
        </is>
      </c>
      <c r="C126" s="582">
        <f>3</f>
        <v>3.0</v>
      </c>
      <c r="D126" s="583" t="inlineStr">
        <is>
          <t>nr</t>
        </is>
      </c>
      <c r="E126" s="584">
        <f>RATES!$D$85</f>
        <v>14500.0</v>
      </c>
      <c r="F126" s="571">
        <f>C126*E126</f>
        <v>43500.0</v>
      </c>
      <c r="G126" s="585" t="inlineStr">
        <is>
          <t>3</t>
        </is>
      </c>
    </row>
    <row r="127"/>
    <row r="128" ht="24" customHeight="1" s="12">
      <c r="A128" s="567" t="inlineStr">
        <is>
          <t>K</t>
        </is>
      </c>
      <c r="B128" s="581" t="inlineStr">
        <is>
          <t>1800mm x 2200mm double-leaf double-swing galvanised steel framed tempered glass door (GD1)</t>
        </is>
      </c>
      <c r="C128" s="582">
        <f>2</f>
        <v>2.0</v>
      </c>
      <c r="D128" s="583" t="inlineStr">
        <is>
          <t>nr</t>
        </is>
      </c>
      <c r="E128" s="584">
        <f>RATES!$D$91</f>
        <v>12500.0</v>
      </c>
      <c r="F128" s="571">
        <f>C128*E128</f>
        <v>25000.0</v>
      </c>
      <c r="G128" s="585" t="inlineStr">
        <is>
          <t>2</t>
        </is>
      </c>
    </row>
    <row r="129"/>
    <row r="130" ht="24" customHeight="1" s="12">
      <c r="A130" s="567" t="inlineStr">
        <is>
          <t>L</t>
        </is>
      </c>
      <c r="B130" s="581" t="inlineStr">
        <is>
          <t>2400mm x 2200mm double-leaf double-swing galvanised steel framed tempered glass door (DW1)</t>
        </is>
      </c>
      <c r="C130" s="582">
        <f>2</f>
        <v>2.0</v>
      </c>
      <c r="D130" s="583" t="inlineStr">
        <is>
          <t>nr</t>
        </is>
      </c>
      <c r="E130" s="584">
        <f>RATES!$D$92</f>
        <v>15500.0</v>
      </c>
      <c r="F130" s="571">
        <f>C130*E130</f>
        <v>31000.0</v>
      </c>
      <c r="G130" s="585" t="inlineStr">
        <is>
          <t>2</t>
        </is>
      </c>
    </row>
    <row r="131"/>
    <row r="132" ht="48" customHeight="1" s="12">
      <c r="A132" s="567" t="inlineStr">
        <is>
          <t>M</t>
        </is>
      </c>
      <c r="B132" s="581" t="inlineStr">
        <is>
          <t>5050mm x 2200mm double-leaf double-swing galvanised steel framed tempered glass door with fanlight and fixed side windows (DW2)</t>
        </is>
      </c>
      <c r="C132" s="582">
        <f>1</f>
        <v>1.0</v>
      </c>
      <c r="D132" s="583" t="inlineStr">
        <is>
          <t>nr</t>
        </is>
      </c>
      <c r="E132" s="584">
        <f>RATES!$D$93</f>
        <v>33000.0</v>
      </c>
      <c r="F132" s="571">
        <f>C132*E132</f>
        <v>33000.0</v>
      </c>
      <c r="G132" s="585" t="inlineStr">
        <is>
          <t>1</t>
        </is>
      </c>
    </row>
    <row r="133"/>
    <row r="134" ht="24" customHeight="1" s="12">
      <c r="A134" s="567" t="inlineStr">
        <is>
          <t>N</t>
        </is>
      </c>
      <c r="B134" s="581" t="inlineStr">
        <is>
          <t>Metal roller shutter door 4200mm x 2157mm (RD1)</t>
        </is>
      </c>
      <c r="C134" s="582">
        <f>2</f>
        <v>2.0</v>
      </c>
      <c r="D134" s="583" t="inlineStr">
        <is>
          <t>nr</t>
        </is>
      </c>
      <c r="E134" s="584">
        <f>RATES!$D$99</f>
        <v>23000.0</v>
      </c>
      <c r="F134" s="571">
        <f>C134*E134</f>
        <v>46000.0</v>
      </c>
      <c r="G134" s="585" t="inlineStr">
        <is>
          <t>2</t>
        </is>
      </c>
    </row>
    <row r="135"/>
    <row r="136" ht="24" customHeight="1" s="12">
      <c r="A136" s="567" t="inlineStr">
        <is>
          <t>P</t>
        </is>
      </c>
      <c r="B136" s="581" t="inlineStr">
        <is>
          <t>50mm x 150mm frames (to timber doors)</t>
        </is>
      </c>
      <c r="C136" s="582">
        <f>6*(2*2.2+0.9)+1*(2*2.35+0.9)+6*(2*2.2+0.75)</f>
        <v>68.30000000000001</v>
      </c>
      <c r="D136" s="583" t="inlineStr">
        <is>
          <t>m</t>
        </is>
      </c>
      <c r="E136" s="584">
        <f>RATES!$D$100</f>
        <v>125.0</v>
      </c>
      <c r="F136" s="571">
        <f>C136*E136</f>
        <v>8537.500000000002</v>
      </c>
      <c r="G136" s="585" t="inlineStr">
        <is>
          <t>6*(2*2.2+0.9)+1*(2*2.35+0.9)+6*(2*2.2+0.75)</t>
        </is>
      </c>
    </row>
    <row r="137"/>
    <row r="138" ht="24" customHeight="1" s="12">
      <c r="A138" s="567" t="inlineStr">
        <is>
          <t>Q</t>
        </is>
      </c>
      <c r="B138" s="581" t="inlineStr">
        <is>
          <t>50mm x 12mm door stop</t>
        </is>
      </c>
      <c r="C138" s="582">
        <f>6*(2*2.2+0.9)+1*(2*2.35+0.9)+6*(2*2.2+0.75)</f>
        <v>68.30000000000001</v>
      </c>
      <c r="D138" s="583" t="inlineStr">
        <is>
          <t>m</t>
        </is>
      </c>
      <c r="E138" s="584">
        <f>RATES!$D$101</f>
        <v>28.0</v>
      </c>
      <c r="F138" s="571">
        <f>C138*E138</f>
        <v>1912.4000000000003</v>
      </c>
      <c r="G138" s="585" t="inlineStr">
        <is>
          <t>6*(2*2.2+0.9)+1*(2*2.35+0.9)+6*(2*2.2+0.75)</t>
        </is>
      </c>
    </row>
    <row r="139"/>
    <row r="140" ht="48" customHeight="1" s="12">
      <c r="A140" s="577" t="n"/>
      <c r="B140" s="580" t="inlineStr">
        <is>
          <t>Ironmongery - Supply and fix the following approved ironmongery to hardwood with accompanying patented screws:</t>
        </is>
      </c>
      <c r="C140" s="569" t="n"/>
      <c r="D140" s="569" t="n"/>
      <c r="E140" s="570" t="n"/>
      <c r="F140" s="579" t="n"/>
    </row>
    <row r="141" ht="24" customHeight="1" s="12">
      <c r="A141" s="567" t="inlineStr">
        <is>
          <t>R</t>
        </is>
      </c>
      <c r="B141" s="581" t="inlineStr">
        <is>
          <t>Pair 100mm brass butt hinges</t>
        </is>
      </c>
      <c r="C141" s="582">
        <f>20</f>
        <v>20.0</v>
      </c>
      <c r="D141" s="583" t="inlineStr">
        <is>
          <t>pr</t>
        </is>
      </c>
      <c r="E141" s="584">
        <f>RATES!$D$102</f>
        <v>125.0</v>
      </c>
      <c r="F141" s="571">
        <f>C141*E141</f>
        <v>2500.0</v>
      </c>
      <c r="G141" s="585" t="inlineStr">
        <is>
          <t>20</t>
        </is>
      </c>
    </row>
    <row r="142"/>
    <row r="143" ht="24" customHeight="1" s="12">
      <c r="A143" s="567" t="inlineStr">
        <is>
          <t>S</t>
        </is>
      </c>
      <c r="B143" s="581" t="inlineStr">
        <is>
          <t>Ordinary locks</t>
        </is>
      </c>
      <c r="C143" s="582">
        <f>7</f>
        <v>7.0</v>
      </c>
      <c r="D143" s="583" t="inlineStr">
        <is>
          <t>nr</t>
        </is>
      </c>
      <c r="E143" s="584">
        <f>RATES!$D$103</f>
        <v>480.0</v>
      </c>
      <c r="F143" s="571">
        <f>C143*E143</f>
        <v>3360.0</v>
      </c>
      <c r="G143" s="585" t="inlineStr">
        <is>
          <t>7</t>
        </is>
      </c>
    </row>
    <row r="144"/>
    <row r="145" ht="24" customHeight="1" s="12">
      <c r="A145" s="567" t="inlineStr">
        <is>
          <t>T</t>
        </is>
      </c>
      <c r="B145" s="581" t="inlineStr">
        <is>
          <t>Approved high quality mortice indicator lock</t>
        </is>
      </c>
      <c r="C145" s="582">
        <f>6</f>
        <v>6.0</v>
      </c>
      <c r="D145" s="583" t="inlineStr">
        <is>
          <t>nr</t>
        </is>
      </c>
      <c r="E145" s="584">
        <f>RATES!$D$104</f>
        <v>560.0</v>
      </c>
      <c r="F145" s="571">
        <f>C145*E145</f>
        <v>3360.0</v>
      </c>
      <c r="G145" s="585" t="inlineStr">
        <is>
          <t>6</t>
        </is>
      </c>
    </row>
    <row r="146"/>
    <row r="147" ht="72" customHeight="1" s="12">
      <c r="A147" s="577" t="n"/>
      <c r="B147"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47" s="569" t="n"/>
      <c r="D147" s="569" t="n"/>
      <c r="E147" s="570" t="n"/>
      <c r="F147" s="579" t="n"/>
    </row>
    <row r="148" ht="24" customHeight="1" s="12">
      <c r="A148" s="567" t="inlineStr">
        <is>
          <t>U</t>
        </is>
      </c>
      <c r="B148" s="581" t="inlineStr">
        <is>
          <t>4 x 2 bay alu. framed glass awning window 3600mm x 1900mm (W1)</t>
        </is>
      </c>
      <c r="C148" s="582">
        <f>1</f>
        <v>1.0</v>
      </c>
      <c r="D148" s="583" t="inlineStr">
        <is>
          <t>nr</t>
        </is>
      </c>
      <c r="E148" s="584">
        <f>RATES!$D$108</f>
        <v>11286.0</v>
      </c>
      <c r="F148" s="571">
        <f>C148*E148</f>
        <v>11286.0</v>
      </c>
      <c r="G148" s="585" t="inlineStr">
        <is>
          <t>1</t>
        </is>
      </c>
    </row>
    <row r="149"/>
    <row r="150" ht="24" customHeight="1" s="12">
      <c r="A150" s="567" t="inlineStr">
        <is>
          <t>V</t>
        </is>
      </c>
      <c r="B150" s="581" t="inlineStr">
        <is>
          <t>2 bay alu. framed glass sliding window 1800mm x 1500mm (W3)</t>
        </is>
      </c>
      <c r="C150" s="582">
        <f>1</f>
        <v>1.0</v>
      </c>
      <c r="D150" s="583" t="inlineStr">
        <is>
          <t>nr</t>
        </is>
      </c>
      <c r="E150" s="584">
        <f>RATES!$D$110</f>
        <v>4455.0</v>
      </c>
      <c r="F150" s="571">
        <f>C150*E150</f>
        <v>4455.0</v>
      </c>
      <c r="G150" s="585" t="inlineStr">
        <is>
          <t>1</t>
        </is>
      </c>
    </row>
    <row r="151"/>
    <row r="152" ht="24" customHeight="1" s="12">
      <c r="A152" s="567" t="inlineStr">
        <is>
          <t>W</t>
        </is>
      </c>
      <c r="B152" s="581" t="inlineStr">
        <is>
          <t>2 bay alu. framed glass sliding window 1800mm x 1900mm (W5)</t>
        </is>
      </c>
      <c r="C152" s="582">
        <f>1</f>
        <v>1.0</v>
      </c>
      <c r="D152" s="583" t="inlineStr">
        <is>
          <t>nr</t>
        </is>
      </c>
      <c r="E152" s="584">
        <f>RATES!$D$112</f>
        <v>5643.0</v>
      </c>
      <c r="F152" s="571">
        <f>C152*E152</f>
        <v>5643.0</v>
      </c>
      <c r="G152" s="585" t="inlineStr">
        <is>
          <t>1</t>
        </is>
      </c>
    </row>
    <row r="153"/>
    <row r="154" ht="24" customHeight="1" s="12">
      <c r="A154" s="567" t="inlineStr">
        <is>
          <t>X</t>
        </is>
      </c>
      <c r="B154" s="581" t="inlineStr">
        <is>
          <t>L-shaped alu. framed fixed glass window 1750mm x 1750mm x 1500mm (W6)</t>
        </is>
      </c>
      <c r="C154" s="582">
        <f>1</f>
        <v>1.0</v>
      </c>
      <c r="D154" s="583" t="inlineStr">
        <is>
          <t>nr</t>
        </is>
      </c>
      <c r="E154" s="584">
        <f>RATES!$D$113</f>
        <v>8662.5</v>
      </c>
      <c r="F154" s="571">
        <f>C154*E154</f>
        <v>8662.5</v>
      </c>
      <c r="G154" s="585" t="inlineStr">
        <is>
          <t>1</t>
        </is>
      </c>
    </row>
    <row r="155"/>
    <row r="156" ht="24" customHeight="1" s="12">
      <c r="A156" s="567" t="inlineStr">
        <is>
          <t>Y</t>
        </is>
      </c>
      <c r="B156" s="581" t="inlineStr">
        <is>
          <t>3 bay alu. framed glass sliding window 3600mm x 2200mm (W14)</t>
        </is>
      </c>
      <c r="C156" s="582">
        <f>3</f>
        <v>3.0</v>
      </c>
      <c r="D156" s="583" t="inlineStr">
        <is>
          <t>nr</t>
        </is>
      </c>
      <c r="E156" s="584">
        <f>RATES!$D$121</f>
        <v>13068.000000000002</v>
      </c>
      <c r="F156" s="571">
        <f>C156*E156</f>
        <v>39204.00000000001</v>
      </c>
      <c r="G156" s="585" t="inlineStr">
        <is>
          <t>3</t>
        </is>
      </c>
    </row>
    <row r="157"/>
    <row r="158" ht="24" customHeight="1" s="12">
      <c r="A158" s="567" t="inlineStr">
        <is>
          <t>Z</t>
        </is>
      </c>
      <c r="B158" s="581" t="inlineStr">
        <is>
          <t>3 x 2 alu. framed glass awning window 2400mm x 1900mm (W16)</t>
        </is>
      </c>
      <c r="C158" s="582">
        <f>2</f>
        <v>2.0</v>
      </c>
      <c r="D158" s="583" t="inlineStr">
        <is>
          <t>nr</t>
        </is>
      </c>
      <c r="E158" s="584">
        <f>RATES!$D$123</f>
        <v>7523.999999999999</v>
      </c>
      <c r="F158" s="571">
        <f>C158*E158</f>
        <v>15047.999999999998</v>
      </c>
      <c r="G158" s="585" t="inlineStr">
        <is>
          <t>2</t>
        </is>
      </c>
    </row>
    <row r="159"/>
    <row r="160" ht="24" customHeight="1" s="12">
      <c r="A160" s="567" t="inlineStr">
        <is>
          <t>A</t>
        </is>
      </c>
      <c r="B160" s="581" t="inlineStr">
        <is>
          <t>3 bay alu. framed glass sliding window 2100mm x 900mm (W19)</t>
        </is>
      </c>
      <c r="C160" s="582">
        <f>2</f>
        <v>2.0</v>
      </c>
      <c r="D160" s="583" t="inlineStr">
        <is>
          <t>nr</t>
        </is>
      </c>
      <c r="E160" s="584">
        <f>RATES!$D$126</f>
        <v>3118.5</v>
      </c>
      <c r="F160" s="571">
        <f>C160*E160</f>
        <v>6237.0</v>
      </c>
      <c r="G160" s="585" t="inlineStr">
        <is>
          <t>2</t>
        </is>
      </c>
    </row>
    <row r="161"/>
    <row r="162" ht="24" customHeight="1" s="12">
      <c r="A162" s="567" t="inlineStr">
        <is>
          <t>B</t>
        </is>
      </c>
      <c r="B162" s="581" t="inlineStr">
        <is>
          <t>2 bay alu. framed glass sliding window 900mm x 600mm (HW1)</t>
        </is>
      </c>
      <c r="C162" s="582">
        <f>4</f>
        <v>4.0</v>
      </c>
      <c r="D162" s="583" t="inlineStr">
        <is>
          <t>nr</t>
        </is>
      </c>
      <c r="E162" s="584">
        <f>RATES!$D$128</f>
        <v>891.0000000000001</v>
      </c>
      <c r="F162" s="571">
        <f>C162*E162</f>
        <v>3564.0000000000005</v>
      </c>
      <c r="G162" s="585" t="inlineStr">
        <is>
          <t>4</t>
        </is>
      </c>
    </row>
    <row r="163"/>
    <row r="164" ht="24" customHeight="1" s="12">
      <c r="A164" s="567" t="inlineStr">
        <is>
          <t>C</t>
        </is>
      </c>
      <c r="B164" s="581" t="inlineStr">
        <is>
          <t>2 bay alu. framed glass sliding window 750mm x 600mm (HW2)</t>
        </is>
      </c>
      <c r="C164" s="582">
        <f>1</f>
        <v>1.0</v>
      </c>
      <c r="D164" s="583" t="inlineStr">
        <is>
          <t>nr</t>
        </is>
      </c>
      <c r="E164" s="584">
        <f>RATES!$D$129</f>
        <v>742.4999999999999</v>
      </c>
      <c r="F164" s="571">
        <f>C164*E164</f>
        <v>742.4999999999999</v>
      </c>
      <c r="G164" s="585" t="inlineStr">
        <is>
          <t>1</t>
        </is>
      </c>
    </row>
    <row r="165"/>
    <row r="166">
      <c r="A166" s="572" t="n"/>
      <c r="B166" s="586" t="str">
        <f>B107</f>
        <v>ELEMENT NO. 4: WINDOWS/DOORS</v>
      </c>
      <c r="C166" s="574" t="n"/>
      <c r="D166" s="574" t="n"/>
      <c r="E166" s="587" t="n"/>
      <c r="F166" s="576">
        <f>SUM(F109:F165)</f>
        <v>412711.9</v>
      </c>
    </row>
    <row r="167">
      <c r="B167" s="559" t="inlineStr">
        <is>
          <t>Carried to Bill Summary</t>
        </is>
      </c>
    </row>
    <row r="168"/>
    <row r="169"/>
    <row r="170">
      <c r="A170" s="577" t="n"/>
      <c r="B170" s="578" t="inlineStr">
        <is>
          <t>ELEMENT NO. 5: FLOOR FINISHES</t>
        </is>
      </c>
      <c r="C170" s="569" t="n"/>
      <c r="D170" s="569" t="n"/>
      <c r="E170" s="570" t="n"/>
      <c r="F170" s="579" t="n"/>
    </row>
    <row r="171"/>
    <row r="172" ht="24" customHeight="1" s="12">
      <c r="A172" s="577" t="n"/>
      <c r="B172" s="580" t="inlineStr">
        <is>
          <t>M10/M40 FLOOR FINISHES</t>
        </is>
      </c>
      <c r="C172" s="569" t="n"/>
      <c r="D172" s="569" t="n"/>
      <c r="E172" s="570" t="n"/>
      <c r="F172" s="579" t="n"/>
    </row>
    <row r="173" ht="24" customHeight="1" s="12">
      <c r="A173" s="567" t="inlineStr">
        <is>
          <t>A</t>
        </is>
      </c>
      <c r="B173" s="581" t="inlineStr">
        <is>
          <t>25mm cement and sand (1:3) screeded finish laid level on concrete and finished smooth with steel trowel</t>
        </is>
      </c>
      <c r="C173" s="582">
        <f>749.4</f>
        <v>749.4</v>
      </c>
      <c r="D173" s="583" t="inlineStr">
        <is>
          <t>m2</t>
        </is>
      </c>
      <c r="E173" s="584">
        <f>RATES!$D$50</f>
        <v>68.0</v>
      </c>
      <c r="F173" s="571">
        <f>C173*E173</f>
        <v>50959.2</v>
      </c>
      <c r="G173" s="585" t="inlineStr">
        <is>
          <t>749.4</t>
        </is>
      </c>
    </row>
    <row r="174"/>
    <row r="175" ht="24" customHeight="1" s="12">
      <c r="A175" s="567" t="inlineStr">
        <is>
          <t>B</t>
        </is>
      </c>
      <c r="B175" s="581" t="inlineStr">
        <is>
          <t>12mm cement and sand (1:4) screeded bed laid level on concrete floor to receive floor tiles</t>
        </is>
      </c>
      <c r="C175" s="582">
        <f>749.4+(2*1.8*3.0+22*0.15*1.8+2.2*3.75+1.8*3.75)+(2*1.8*3.0+22*0.15*1.8+2.2*3.75+1.8*3.75)+(2*1.8*3.0+22*0.15*1.8+2.2*3.75+1.8*3.75)</f>
        <v>844.62</v>
      </c>
      <c r="D175" s="583" t="inlineStr">
        <is>
          <t>m2</t>
        </is>
      </c>
      <c r="E175" s="584">
        <f>RATES!$D$51</f>
        <v>48.0</v>
      </c>
      <c r="F175" s="571">
        <f>C175*E175</f>
        <v>40541.76</v>
      </c>
      <c r="G175" s="585" t="inlineStr">
        <is>
          <t>749.4+(2*1.8*3.0+22*0.15*1.8+2.2*3.75+1.8*3.75)+(2*1.8*3.0+22*0.15*1.8+2.2*3.75+1.8*3.75)+(2*1.8*3.0+22*0.15*1.8+2.2*3.75+1.8*3.75)</t>
        </is>
      </c>
    </row>
    <row r="176"/>
    <row r="177" ht="24" customHeight="1" s="12">
      <c r="A177" s="567" t="inlineStr">
        <is>
          <t>C</t>
        </is>
      </c>
      <c r="B177" s="581" t="inlineStr">
        <is>
          <t>400x400mm non-slip porcelain floor tiles to washrooms &amp; WCs, adhesive, grout and cutting</t>
        </is>
      </c>
      <c r="C177" s="582">
        <f>18.1</f>
        <v>18.1</v>
      </c>
      <c r="D177" s="583" t="inlineStr">
        <is>
          <t>m2</t>
        </is>
      </c>
      <c r="E177" s="584">
        <f>RATES!$D$53</f>
        <v>230.0</v>
      </c>
      <c r="F177" s="571">
        <f>C177*E177</f>
        <v>4163.0</v>
      </c>
      <c r="G177" s="585" t="inlineStr">
        <is>
          <t>18.1</t>
        </is>
      </c>
    </row>
    <row r="178"/>
    <row r="179" ht="24" customHeight="1" s="12">
      <c r="A179" s="567" t="inlineStr">
        <is>
          <t>D</t>
        </is>
      </c>
      <c r="B179" s="581" t="inlineStr">
        <is>
          <t>500x500mm matte R11 porcelain tiles to staircases (treads, risers and landings)</t>
        </is>
      </c>
      <c r="C179" s="582">
        <f>(2*1.8*3.0+22*0.15*1.8+2.2*3.75+1.8*3.75)+(2*1.8*3.0+22*0.15*1.8+2.2*3.75+1.8*3.75)+(2*1.8*3.0+22*0.15*1.8+2.2*3.75+1.8*3.75)</f>
        <v>95.22</v>
      </c>
      <c r="D179" s="583" t="inlineStr">
        <is>
          <t>m2</t>
        </is>
      </c>
      <c r="E179" s="584">
        <f>RATES!$D$54</f>
        <v>270.0</v>
      </c>
      <c r="F179" s="571">
        <f>C179*E179</f>
        <v>25709.4</v>
      </c>
      <c r="G179" s="585" t="inlineStr">
        <is>
          <t>(2*1.8*3.0+22*0.15*1.8+2.2*3.75+1.8*3.75)+(2*1.8*3.0+22*0.15*1.8+2.2*3.75+1.8*3.75)+(2*1.8*3.0+22*0.15*1.8+2.2*3.75+1.8*3.75)</t>
        </is>
      </c>
    </row>
    <row r="180"/>
    <row r="181" ht="24" customHeight="1" s="12">
      <c r="A181" s="567" t="inlineStr">
        <is>
          <t>E</t>
        </is>
      </c>
      <c r="B181" s="581" t="inlineStr">
        <is>
          <t>600x600mm semi-polished porcelain floor tiles to habitable rooms, shops &amp; offices</t>
        </is>
      </c>
      <c r="C181" s="582">
        <f>208.6</f>
        <v>208.6</v>
      </c>
      <c r="D181" s="583" t="inlineStr">
        <is>
          <t>m2</t>
        </is>
      </c>
      <c r="E181" s="584">
        <f>RATES!$D$55</f>
        <v>265.0</v>
      </c>
      <c r="F181" s="571">
        <f>C181*E181</f>
        <v>55279.0</v>
      </c>
      <c r="G181" s="585" t="inlineStr">
        <is>
          <t>208.6</t>
        </is>
      </c>
    </row>
    <row r="182"/>
    <row r="183" ht="24" customHeight="1" s="12">
      <c r="A183" s="567" t="inlineStr">
        <is>
          <t>F</t>
        </is>
      </c>
      <c r="B183" s="581" t="inlineStr">
        <is>
          <t>600x1200mm semi-polished porcelain floor tiles to stair/lift lobbies &amp; reception</t>
        </is>
      </c>
      <c r="C183" s="582">
        <f>52.0</f>
        <v>52.0</v>
      </c>
      <c r="D183" s="583" t="inlineStr">
        <is>
          <t>m2</t>
        </is>
      </c>
      <c r="E183" s="584">
        <f>RATES!$D$56</f>
        <v>330.0</v>
      </c>
      <c r="F183" s="571">
        <f>C183*E183</f>
        <v>17160.0</v>
      </c>
      <c r="G183" s="585" t="inlineStr">
        <is>
          <t>52.0</t>
        </is>
      </c>
    </row>
    <row r="184"/>
    <row r="185" ht="24" customHeight="1" s="12">
      <c r="A185" s="567" t="inlineStr">
        <is>
          <t>G</t>
        </is>
      </c>
      <c r="B185" s="581" t="inlineStr">
        <is>
          <t>600x600mm non-slip R11 porcelain tiles to corridors, terraces, verandah &amp; service areas</t>
        </is>
      </c>
      <c r="C185" s="582">
        <f>470.8</f>
        <v>470.8</v>
      </c>
      <c r="D185" s="583" t="inlineStr">
        <is>
          <t>m2</t>
        </is>
      </c>
      <c r="E185" s="584">
        <f>RATES!$D$57</f>
        <v>250.0</v>
      </c>
      <c r="F185" s="571">
        <f>C185*E185</f>
        <v>117700.0</v>
      </c>
      <c r="G185" s="585" t="inlineStr">
        <is>
          <t>470.8</t>
        </is>
      </c>
    </row>
    <row r="186"/>
    <row r="187" ht="24" customHeight="1" s="12">
      <c r="A187" s="567" t="inlineStr">
        <is>
          <t>H</t>
        </is>
      </c>
      <c r="B187" s="581" t="inlineStr">
        <is>
          <t>Interlocking composite tiles to roof-top outdoor sitting &amp; play areas</t>
        </is>
      </c>
      <c r="C187" s="582">
        <f>1.0</f>
        <v>1.0</v>
      </c>
      <c r="D187" s="583" t="inlineStr">
        <is>
          <t>m2</t>
        </is>
      </c>
      <c r="E187" s="584">
        <f>RATES!$D$58</f>
        <v>360.0</v>
      </c>
      <c r="F187" s="571">
        <f>C187*E187</f>
        <v>360.0</v>
      </c>
      <c r="G187" s="585" t="inlineStr">
        <is>
          <t>1.0</t>
        </is>
      </c>
    </row>
    <row r="188"/>
    <row r="189">
      <c r="A189" s="572" t="n"/>
      <c r="B189" s="586" t="str">
        <f>B170</f>
        <v>ELEMENT NO. 5: FLOOR FINISHES</v>
      </c>
      <c r="C189" s="574" t="n"/>
      <c r="D189" s="574" t="n"/>
      <c r="E189" s="587" t="n"/>
      <c r="F189" s="576">
        <f>SUM(F172:F188)</f>
        <v>311872.36</v>
      </c>
    </row>
    <row r="190">
      <c r="B190" s="559" t="inlineStr">
        <is>
          <t>Carried to Bill Summary</t>
        </is>
      </c>
    </row>
    <row r="191"/>
    <row r="192"/>
    <row r="193">
      <c r="A193" s="577" t="n"/>
      <c r="B193" s="578" t="inlineStr">
        <is>
          <t>ELEMENT NO. 6: WALL FINISHES</t>
        </is>
      </c>
      <c r="C193" s="569" t="n"/>
      <c r="D193" s="569" t="n"/>
      <c r="E193" s="570" t="n"/>
      <c r="F193" s="579" t="n"/>
    </row>
    <row r="194"/>
    <row r="195" ht="48" customHeight="1" s="12">
      <c r="A195" s="577" t="n"/>
      <c r="B195" s="580" t="inlineStr">
        <is>
          <t>M20 PLASTERED/RENDERED COATINGS - 12.5mm cement and sand (1:3) rendering as described on blockwork or concrete to:</t>
        </is>
      </c>
      <c r="C195" s="569" t="n"/>
      <c r="D195" s="569" t="n"/>
      <c r="E195" s="570" t="n"/>
      <c r="F195" s="579" t="n"/>
    </row>
    <row r="196" ht="24" customHeight="1" s="12">
      <c r="A196" s="567" t="inlineStr">
        <is>
          <t>A</t>
        </is>
      </c>
      <c r="B196" s="581" t="inlineStr">
        <is>
          <t>Interior walls</t>
        </is>
      </c>
      <c r="C196" s="582">
        <f>(2*(203.6+33.8)+2*41.6-16.8-142.2)*3.6-18.1/3.8*8.0*3.6-2*(1*1.8*2.4+6*0.9*2.2+1*0.9*2.35+1*3.2*2.2+6*0.75*2.2+2*0.7*2.2+3*1*2.2+2*0.9*2.2+3*1.8*2.2+2*1.8*2.2+2*2.4*2.2+1*5.05*2.2+2*4.2*2.157)-(1*3.6*1.9+1*1.8*1.5+1*1.8*1.9+1*3.5*1.5+3*3.6*2.2+2*2.4*1.9+2*2.1*0.9+4*0.9*0.6+1*0.75*0.6)</f>
        <v>1024.7734526315794</v>
      </c>
      <c r="D196" s="583" t="inlineStr">
        <is>
          <t>m2</t>
        </is>
      </c>
      <c r="E196" s="584">
        <f>RATES!$D$48</f>
        <v>78.0</v>
      </c>
      <c r="F196" s="571">
        <f>C196*E196</f>
        <v>79932.32930526319</v>
      </c>
      <c r="G196" s="585" t="inlineStr">
        <is>
          <t>(2*(203.6+33.8)+2*41.6-16.8-142.2)*3.6-18.1/3.8*8.0*3.6-2*(1*1.8*2.4+6*0.9*2.2+1*0.9*2.35+1*3.2*2.2+6*0.75*2.2+2*0.7*2.2+3*1*2.2+2*0.9*2.2+3*1.8*2.2+2*1.8*2.2+2*2.4*2.2+1*5.05*2.2+2*4.2*2.157)-(1*3.6*1.9+1*1.8*1.5+1*1.8*1.9+1*3.5*1.5+3*3.6*2.2+2*2...</t>
        </is>
      </c>
    </row>
    <row r="197"/>
    <row r="198" ht="24" customHeight="1" s="12">
      <c r="A198" s="567" t="inlineStr">
        <is>
          <t>B</t>
        </is>
      </c>
      <c r="B198" s="581" t="inlineStr">
        <is>
          <t>Interior partitions and washrooms</t>
        </is>
      </c>
      <c r="C198" s="582">
        <f>18.1/3.8*8.0*3.6-18.1/3.8*0.75*2.2</f>
        <v>129.31973684210527</v>
      </c>
      <c r="D198" s="583" t="inlineStr">
        <is>
          <t>m2</t>
        </is>
      </c>
      <c r="E198" s="584">
        <f>RATES!$D$48</f>
        <v>78.0</v>
      </c>
      <c r="F198" s="571">
        <f>C198*E198</f>
        <v>10086.939473684211</v>
      </c>
      <c r="G198" s="585" t="inlineStr">
        <is>
          <t>18.1/3.8*8.0*3.6-18.1/3.8*0.75*2.2</t>
        </is>
      </c>
    </row>
    <row r="199"/>
    <row r="200" ht="24" customHeight="1" s="12">
      <c r="A200" s="567" t="inlineStr">
        <is>
          <t>C</t>
        </is>
      </c>
      <c r="B200" s="581" t="inlineStr">
        <is>
          <t>External walls</t>
        </is>
      </c>
      <c r="C200" s="582">
        <f>142.2*3.85-(1*3.6*1.9+1*1.8*1.5+1*1.8*1.9+1*3.5*1.5+3*3.6*2.2+2*2.4*1.9+2*2.1*0.9+4*0.9*0.6+1*0.75*0.6)</f>
        <v>489.9899999999999</v>
      </c>
      <c r="D200" s="583" t="inlineStr">
        <is>
          <t>m2</t>
        </is>
      </c>
      <c r="E200" s="584">
        <f>RATES!$D$49</f>
        <v>88.0</v>
      </c>
      <c r="F200" s="571">
        <f>C200*E200</f>
        <v>43119.11999999999</v>
      </c>
      <c r="G200" s="585" t="inlineStr">
        <is>
          <t>142.2*3.85-(1*3.6*1.9+1*1.8*1.5+1*1.8*1.9+1*3.5*1.5+3*3.6*2.2+2*2.4*1.9+2*2.1*0.9+4*0.9*0.6+1*0.75*0.6)</t>
        </is>
      </c>
    </row>
    <row r="201"/>
    <row r="202" ht="24" customHeight="1" s="12">
      <c r="A202" s="567" t="inlineStr">
        <is>
          <t>D</t>
        </is>
      </c>
      <c r="B202" s="581" t="inlineStr">
        <is>
          <t>12mm cement and sand (1:4) screeded backing to receive wall tiles</t>
        </is>
      </c>
      <c r="C202" s="582">
        <f>18.1/3.8*8.0*2.4-18.1/3.8*0.75*2.2</f>
        <v>83.59342105263158</v>
      </c>
      <c r="D202" s="583" t="inlineStr">
        <is>
          <t>m2</t>
        </is>
      </c>
      <c r="E202" s="584">
        <f>RATES!$D$52</f>
        <v>55.0</v>
      </c>
      <c r="F202" s="571">
        <f>C202*E202</f>
        <v>4597.638157894737</v>
      </c>
      <c r="G202" s="585" t="inlineStr">
        <is>
          <t>18.1/3.8*8.0*2.4-18.1/3.8*0.75*2.2</t>
        </is>
      </c>
    </row>
    <row r="203"/>
    <row r="204" ht="24" customHeight="1" s="12">
      <c r="A204" s="567" t="inlineStr">
        <is>
          <t>E</t>
        </is>
      </c>
      <c r="B204" s="581" t="inlineStr">
        <is>
          <t>Ceramic/porcelain wall tiles to washrooms to 2.4m high, adhesive &amp; grout (type TBC)</t>
        </is>
      </c>
      <c r="C204" s="582">
        <f>18.1/3.8*8.0*2.4-18.1/3.8*0.75*2.2</f>
        <v>83.59342105263158</v>
      </c>
      <c r="D204" s="583" t="inlineStr">
        <is>
          <t>m2</t>
        </is>
      </c>
      <c r="E204" s="584">
        <f>RATES!$D$60</f>
        <v>240.0</v>
      </c>
      <c r="F204" s="571">
        <f>C204*E204</f>
        <v>20062.42105263158</v>
      </c>
      <c r="G204" s="585" t="inlineStr">
        <is>
          <t>18.1/3.8*8.0*2.4-18.1/3.8*0.75*2.2</t>
        </is>
      </c>
    </row>
    <row r="205"/>
    <row r="206">
      <c r="A206" s="572" t="n"/>
      <c r="B206" s="586" t="str">
        <f>B193</f>
        <v>ELEMENT NO. 6: WALL FINISHES</v>
      </c>
      <c r="C206" s="574" t="n"/>
      <c r="D206" s="574" t="n"/>
      <c r="E206" s="587" t="n"/>
      <c r="F206" s="576">
        <f>SUM(F195:F205)</f>
        <v>157798.4479894737</v>
      </c>
    </row>
    <row r="207">
      <c r="B207" s="559" t="inlineStr">
        <is>
          <t>Carried to Bill Summary</t>
        </is>
      </c>
    </row>
    <row r="208"/>
    <row r="209"/>
    <row r="210">
      <c r="A210" s="577" t="n"/>
      <c r="B210" s="578" t="inlineStr">
        <is>
          <t>ELEMENT NO. 7: PAINTING AND DECORATING</t>
        </is>
      </c>
      <c r="C210" s="569" t="n"/>
      <c r="D210" s="569" t="n"/>
      <c r="E210" s="570" t="n"/>
      <c r="F210" s="579" t="n"/>
    </row>
    <row r="211"/>
    <row r="212" ht="24" customHeight="1" s="12">
      <c r="A212" s="577" t="n"/>
      <c r="B212" s="580" t="inlineStr">
        <is>
          <t>M60 PAINTING - Prepare and apply two undercoats and finishing coat of emulsion paint on:</t>
        </is>
      </c>
      <c r="C212" s="569" t="n"/>
      <c r="D212" s="569" t="n"/>
      <c r="E212" s="570" t="n"/>
      <c r="F212" s="579" t="n"/>
    </row>
    <row r="213" ht="24" customHeight="1" s="12">
      <c r="A213" s="567" t="inlineStr">
        <is>
          <t>A</t>
        </is>
      </c>
      <c r="B213" s="581" t="inlineStr">
        <is>
          <t>Interior walls</t>
        </is>
      </c>
      <c r="C213" s="582">
        <f>(2*(203.6+33.8)+2*41.6-16.8-142.2)*3.6-18.1/3.8*8.0*3.6-2*(1*1.8*2.4+6*0.9*2.2+1*0.9*2.35+1*3.2*2.2+6*0.75*2.2+2*0.7*2.2+3*1*2.2+2*0.9*2.2+3*1.8*2.2+2*1.8*2.2+2*2.4*2.2+1*5.05*2.2+2*4.2*2.157)-(1*3.6*1.9+1*1.8*1.5+1*1.8*1.9+1*3.5*1.5+3*3.6*2.2+2*2.4*1.9+2*2.1*0.9+4*0.9*0.6+1*0.75*0.6)</f>
        <v>1024.7734526315794</v>
      </c>
      <c r="D213" s="583" t="inlineStr">
        <is>
          <t>m2</t>
        </is>
      </c>
      <c r="E213" s="584">
        <f>RATES!$D$61</f>
        <v>45.0</v>
      </c>
      <c r="F213" s="571">
        <f>C213*E213</f>
        <v>46114.805368421075</v>
      </c>
      <c r="G213" s="585" t="inlineStr">
        <is>
          <t>(2*(203.6+33.8)+2*41.6-16.8-142.2)*3.6-18.1/3.8*8.0*3.6-2*(1*1.8*2.4+6*0.9*2.2+1*0.9*2.35+1*3.2*2.2+6*0.75*2.2+2*0.7*2.2+3*1*2.2+2*0.9*2.2+3*1.8*2.2+2*1.8*2.2+2*2.4*2.2+1*5.05*2.2+2*4.2*2.157)-(1*3.6*1.9+1*1.8*1.5+1*1.8*1.9+1*3.5*1.5+3*3.6*2.2+2*2...</t>
        </is>
      </c>
    </row>
    <row r="214"/>
    <row r="215" ht="24" customHeight="1" s="12">
      <c r="A215" s="567" t="inlineStr">
        <is>
          <t>B</t>
        </is>
      </c>
      <c r="B215" s="581" t="inlineStr">
        <is>
          <t>Interior partitions and washrooms (above wall tiling)</t>
        </is>
      </c>
      <c r="C215" s="582">
        <f>(18.1/3.8*8.0*3.6-18.1/3.8*0.75*2.2)-(18.1/3.8*8.0*2.4-18.1/3.8*0.75*2.2)</f>
        <v>45.72631578947369</v>
      </c>
      <c r="D215" s="583" t="inlineStr">
        <is>
          <t>m2</t>
        </is>
      </c>
      <c r="E215" s="584">
        <f>RATES!$D$61</f>
        <v>45.0</v>
      </c>
      <c r="F215" s="571">
        <f>C215*E215</f>
        <v>2057.684210526316</v>
      </c>
      <c r="G215" s="585" t="inlineStr">
        <is>
          <t>(18.1/3.8*8.0*3.6-18.1/3.8*0.75*2.2)-(18.1/3.8*8.0*2.4-18.1/3.8*0.75*2.2)</t>
        </is>
      </c>
    </row>
    <row r="216"/>
    <row r="217" ht="24" customHeight="1" s="12">
      <c r="A217" s="567" t="inlineStr">
        <is>
          <t>C</t>
        </is>
      </c>
      <c r="B217" s="581" t="inlineStr">
        <is>
          <t>Exterior walls</t>
        </is>
      </c>
      <c r="C217" s="582">
        <f>142.2*3.85-(1*3.6*1.9+1*1.8*1.5+1*1.8*1.9+1*3.5*1.5+3*3.6*2.2+2*2.4*1.9+2*2.1*0.9+4*0.9*0.6+1*0.75*0.6)</f>
        <v>489.9899999999999</v>
      </c>
      <c r="D217" s="583" t="inlineStr">
        <is>
          <t>m2</t>
        </is>
      </c>
      <c r="E217" s="584">
        <f>RATES!$D$62</f>
        <v>62.0</v>
      </c>
      <c r="F217" s="571">
        <f>C217*E217</f>
        <v>30379.379999999994</v>
      </c>
      <c r="G217" s="585" t="inlineStr">
        <is>
          <t>142.2*3.85-(1*3.6*1.9+1*1.8*1.5+1*1.8*1.9+1*3.5*1.5+3*3.6*2.2+2*2.4*1.9+2*2.1*0.9+4*0.9*0.6+1*0.75*0.6)</t>
        </is>
      </c>
    </row>
    <row r="218"/>
    <row r="219" ht="24" customHeight="1" s="12">
      <c r="A219" s="567" t="inlineStr">
        <is>
          <t>D</t>
        </is>
      </c>
      <c r="B219" s="581" t="inlineStr">
        <is>
          <t>Columns and walls; girth exceeding 300mm (exposed faces, ground &amp; parking levels)</t>
        </is>
      </c>
      <c r="C219" s="582">
        <f>5*2*(0.75+0.5)*3.6+1*2*(0.75+0.5)*3.6+2*2*(0.75+0.5)*3.6+1*2*(0.75+0.5)*1.95+1*2*(0.75+0.5)*2.45+3*2*(1.2+0.3)*3.6+6*2*(1.2+0.3)*3.6+1*2*(1.2+0.3)*3.6+15*2*(1.2+0.3)*1.95+15*2*(1.2+0.3)*2.45+1*2*(2.85+1.075)*3.6</f>
        <v>417.26</v>
      </c>
      <c r="D219" s="583" t="inlineStr">
        <is>
          <t>m2</t>
        </is>
      </c>
      <c r="E219" s="584">
        <f>RATES!$D$61</f>
        <v>45.0</v>
      </c>
      <c r="F219" s="571">
        <f>C219*E219</f>
        <v>18776.7</v>
      </c>
      <c r="G219" s="585" t="inlineStr">
        <is>
          <t>5*2*(0.75+0.5)*3.6+1*2*(0.75+0.5)*3.6+2*2*(0.75+0.5)*3.6+1*2*(0.75+0.5)*1.95+1*2*(0.75+0.5)*2.45+3*2*(1.2+0.3)*3.6+6*2*(1.2+0.3)*3.6+1*2*(1.2+0.3)*3.6+15*2*(1.2+0.3)*1.95+15*2*(1.2+0.3)*2.45+1*2*(2.85+1.075)*3.6</t>
        </is>
      </c>
    </row>
    <row r="220"/>
    <row r="221" ht="24" customHeight="1" s="12">
      <c r="A221" s="567" t="inlineStr">
        <is>
          <t>E</t>
        </is>
      </c>
      <c r="B221" s="581" t="inlineStr">
        <is>
          <t>Soffit of plaster board ceilings</t>
        </is>
      </c>
      <c r="C221" s="582">
        <f>731.3</f>
        <v>731.3</v>
      </c>
      <c r="D221" s="583" t="inlineStr">
        <is>
          <t>m2</t>
        </is>
      </c>
      <c r="E221" s="584">
        <f>RATES!$D$63</f>
        <v>48.0</v>
      </c>
      <c r="F221" s="571">
        <f>C221*E221</f>
        <v>35102.399999999994</v>
      </c>
      <c r="G221" s="585" t="inlineStr">
        <is>
          <t>731.3</t>
        </is>
      </c>
    </row>
    <row r="222"/>
    <row r="223" ht="24" customHeight="1" s="12">
      <c r="A223" s="567" t="inlineStr">
        <is>
          <t>F</t>
        </is>
      </c>
      <c r="B223" s="581" t="inlineStr">
        <is>
          <t>Soffit of plaster board ceilings for washrooms</t>
        </is>
      </c>
      <c r="C223" s="582">
        <f>18.1</f>
        <v>18.1</v>
      </c>
      <c r="D223" s="583" t="inlineStr">
        <is>
          <t>m2</t>
        </is>
      </c>
      <c r="E223" s="584">
        <f>RATES!$D$63</f>
        <v>48.0</v>
      </c>
      <c r="F223" s="571">
        <f>C223*E223</f>
        <v>868.8000000000001</v>
      </c>
      <c r="G223" s="585" t="inlineStr">
        <is>
          <t>18.1</t>
        </is>
      </c>
    </row>
    <row r="224"/>
    <row r="225" ht="48" customHeight="1" s="12">
      <c r="A225" s="567" t="inlineStr">
        <is>
          <t>G</t>
        </is>
      </c>
      <c r="B225" s="581" t="inlineStr">
        <is>
          <t>Knot, prime, stop and apply two undercoats and one finishing coat of gloss oil paint on general surfaces of woodwork</t>
        </is>
      </c>
      <c r="C225" s="582">
        <f>6*0.9*2.2*2+1*0.9*2.35*2+6*0.75*2.2*2+(6*(2*2.2+0.9)+1*(2*2.35+0.9)+6*(2*2.2+0.75))*0.25</f>
        <v>64.86500000000001</v>
      </c>
      <c r="D225" s="583" t="inlineStr">
        <is>
          <t>m2</t>
        </is>
      </c>
      <c r="E225" s="584">
        <f>RATES!$D$64</f>
        <v>72.0</v>
      </c>
      <c r="F225" s="571">
        <f>C225*E225</f>
        <v>4670.280000000001</v>
      </c>
      <c r="G225" s="585" t="inlineStr">
        <is>
          <t>6*0.9*2.2*2+1*0.9*2.35*2+6*0.75*2.2*2+(6*(2*2.2+0.9)+1*(2*2.35+0.9)+6*(2*2.2+0.75))*0.25</t>
        </is>
      </c>
    </row>
    <row r="226"/>
    <row r="227" ht="48" customHeight="1" s="12">
      <c r="A227" s="567" t="inlineStr">
        <is>
          <t>H</t>
        </is>
      </c>
      <c r="B227" s="581" t="inlineStr">
        <is>
          <t>Prepare and apply one coat of aluminium primer on mild steel burglar-proof bars (measured over window opening area)</t>
        </is>
      </c>
      <c r="C227" s="582">
        <f>1*3.6*1.9+1*1.8*1.5+1*1.8*1.9+1*3.5*1.5+3*3.6*2.2+2*2.4*1.9+2*2.1*0.9+4*0.9*0.6+1*0.75*0.6</f>
        <v>57.480000000000004</v>
      </c>
      <c r="D227" s="583" t="inlineStr">
        <is>
          <t>m2</t>
        </is>
      </c>
      <c r="E227" s="584">
        <f>RATES!$D$65</f>
        <v>40.0</v>
      </c>
      <c r="F227" s="571">
        <f>C227*E227</f>
        <v>2299.2000000000003</v>
      </c>
      <c r="G227" s="585" t="inlineStr">
        <is>
          <t>1*3.6*1.9+1*1.8*1.5+1*1.8*1.9+1*3.5*1.5+3*3.6*2.2+2*2.4*1.9+2*2.1*0.9+4*0.9*0.6+1*0.75*0.6</t>
        </is>
      </c>
    </row>
    <row r="228"/>
    <row r="229">
      <c r="A229" s="572" t="n"/>
      <c r="B229" s="586" t="str">
        <f>B210</f>
        <v>ELEMENT NO. 7: PAINTING AND DECORATING</v>
      </c>
      <c r="C229" s="574" t="n"/>
      <c r="D229" s="574" t="n"/>
      <c r="E229" s="587" t="n"/>
      <c r="F229" s="576">
        <f>SUM(F212:F228)</f>
        <v>140269.24957894738</v>
      </c>
    </row>
    <row r="230">
      <c r="B230" s="559" t="inlineStr">
        <is>
          <t>Carried to Bill Summary</t>
        </is>
      </c>
    </row>
    <row r="231"/>
    <row r="232"/>
    <row r="233">
      <c r="B233"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G161"/>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FIRST FLOOR - LEVEL 2A PARKING (INCL. M2 LEVEL 2B)</t>
        </is>
      </c>
    </row>
    <row r="10"/>
    <row r="11">
      <c r="B11" s="566" t="inlineStr">
        <is>
          <t>BILL SUMMARY</t>
        </is>
      </c>
    </row>
    <row r="12"/>
    <row r="13">
      <c r="A13" s="567" t="inlineStr">
        <is>
          <t>A</t>
        </is>
      </c>
      <c r="B13" s="568" t="inlineStr">
        <is>
          <t>ELEMENT NO. 1: IN SITU CONCRETE/LARGE PRECAST CONCRETE</t>
        </is>
      </c>
      <c r="C13" s="569" t="n"/>
      <c r="D13" s="569" t="n"/>
      <c r="E13" s="570" t="n"/>
      <c r="F13" s="571">
        <f>F92</f>
        <v>3630370.6288295453</v>
      </c>
    </row>
    <row r="14"/>
    <row r="15">
      <c r="A15" s="567" t="inlineStr">
        <is>
          <t>B</t>
        </is>
      </c>
      <c r="B15" s="568" t="inlineStr">
        <is>
          <t>ELEMENT NO. 2: MASONRY</t>
        </is>
      </c>
      <c r="C15" s="569" t="n"/>
      <c r="D15" s="569" t="n"/>
      <c r="E15" s="570" t="n"/>
      <c r="F15" s="571">
        <f>F103</f>
        <v>76177.55250000002</v>
      </c>
    </row>
    <row r="16"/>
    <row r="17">
      <c r="A17" s="567" t="inlineStr">
        <is>
          <t>C</t>
        </is>
      </c>
      <c r="B17" s="568" t="inlineStr">
        <is>
          <t>ELEMENT NO. 4: WINDOWS/DOORS</t>
        </is>
      </c>
      <c r="C17" s="569" t="n"/>
      <c r="D17" s="569" t="n"/>
      <c r="E17" s="570" t="n"/>
      <c r="F17" s="571">
        <f>F112</f>
        <v>21600.0</v>
      </c>
    </row>
    <row r="18"/>
    <row r="19">
      <c r="A19" s="567" t="inlineStr">
        <is>
          <t>D</t>
        </is>
      </c>
      <c r="B19" s="568" t="inlineStr">
        <is>
          <t>ELEMENT NO. 5: FLOOR FINISHES</t>
        </is>
      </c>
      <c r="C19" s="569" t="n"/>
      <c r="D19" s="569" t="n"/>
      <c r="E19" s="570" t="n"/>
      <c r="F19" s="571">
        <f>F131</f>
        <v>227701.44</v>
      </c>
    </row>
    <row r="20"/>
    <row r="21">
      <c r="A21" s="567" t="inlineStr">
        <is>
          <t>E</t>
        </is>
      </c>
      <c r="B21" s="568" t="inlineStr">
        <is>
          <t>ELEMENT NO. 6: WALL FINISHES</t>
        </is>
      </c>
      <c r="C21" s="569" t="n"/>
      <c r="D21" s="569" t="n"/>
      <c r="E21" s="570" t="n"/>
      <c r="F21" s="571">
        <f>F142</f>
        <v>63462.63000000001</v>
      </c>
    </row>
    <row r="22"/>
    <row r="23">
      <c r="A23" s="567" t="inlineStr">
        <is>
          <t>F</t>
        </is>
      </c>
      <c r="B23" s="568" t="inlineStr">
        <is>
          <t>ELEMENT NO. 7: PAINTING AND DECORATING</t>
        </is>
      </c>
      <c r="C23" s="569" t="n"/>
      <c r="D23" s="569" t="n"/>
      <c r="E23" s="570" t="n"/>
      <c r="F23" s="571">
        <f>F157</f>
        <v>53869.88250000001</v>
      </c>
    </row>
    <row r="24"/>
    <row r="25">
      <c r="A25" s="572" t="n"/>
      <c r="B25" s="573" t="str">
        <f>B9</f>
        <v> FIRST FLOOR - LEVEL 2A PARKING (INCL. M2 LEVEL 2B)</v>
      </c>
      <c r="C25" s="574" t="n"/>
      <c r="D25" s="574" t="n"/>
      <c r="E25" s="575" t="inlineStr">
        <is>
          <t>GHC</t>
        </is>
      </c>
      <c r="F25" s="576">
        <f>SUM(F13:F24)</f>
        <v>4073182.133829545</v>
      </c>
    </row>
    <row r="26">
      <c r="B26" s="559" t="inlineStr">
        <is>
          <t>To Bill General Summary</t>
        </is>
      </c>
    </row>
    <row r="27"/>
    <row r="28"/>
    <row r="29">
      <c r="B29" s="565" t="inlineStr">
        <is>
          <t>BILL NR. 4 - FIRST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737.6*0.25+650.6*0.25</f>
        <v>347.05</v>
      </c>
      <c r="D34" s="583" t="inlineStr">
        <is>
          <t>m3</t>
        </is>
      </c>
      <c r="E34" s="584">
        <f>RATES!$D$22</f>
        <v>2650.0</v>
      </c>
      <c r="F34" s="571">
        <f>C34*E34</f>
        <v>919682.5</v>
      </c>
      <c r="G34" s="585" t="inlineStr">
        <is>
          <t>737.6*0.25+650.6*0.25</t>
        </is>
      </c>
    </row>
    <row r="35"/>
    <row r="36" ht="24" customHeight="1" s="12">
      <c r="A36" s="567" t="inlineStr">
        <is>
          <t>B</t>
        </is>
      </c>
      <c r="B36" s="581" t="inlineStr">
        <is>
          <t>Beams (downstands below slab)</t>
        </is>
      </c>
      <c r="C36" s="582">
        <f>81.1*0.3*0.35+43.5*0.2*0.35+63.6*0.3*0.35</f>
        <v>18.2385</v>
      </c>
      <c r="D36" s="583" t="inlineStr">
        <is>
          <t>m3</t>
        </is>
      </c>
      <c r="E36" s="584">
        <f>RATES!$D$23</f>
        <v>2700.0</v>
      </c>
      <c r="F36" s="571">
        <f>C36*E36</f>
        <v>49243.95</v>
      </c>
      <c r="G36" s="585" t="inlineStr">
        <is>
          <t>81.1*0.3*0.35+43.5*0.2*0.35+63.6*0.3*0.35</t>
        </is>
      </c>
    </row>
    <row r="37"/>
    <row r="38" ht="24" customHeight="1" s="12">
      <c r="A38" s="567" t="inlineStr">
        <is>
          <t>C</t>
        </is>
      </c>
      <c r="B38" s="581" t="inlineStr">
        <is>
          <t>Columns</t>
        </is>
      </c>
      <c r="C38" s="582">
        <f>5*0.75*0.5*2.45+1*0.75*0.5*2.45+2*0.75*0.5*2.45+1*0.75*0.5*2.45+3*1.2*0.3*2.45+6*1.2*0.3*2.45+1*1.2*0.3*2.45+15*1.2*0.3*2.45+1*(2.85*0.25+0.825*0.25)*2.45</f>
        <v>32.5696875</v>
      </c>
      <c r="D38" s="583" t="inlineStr">
        <is>
          <t>m3</t>
        </is>
      </c>
      <c r="E38" s="584">
        <f>RATES!$D$21</f>
        <v>2800.0</v>
      </c>
      <c r="F38" s="571">
        <f>C38*E38</f>
        <v>91195.125</v>
      </c>
      <c r="G38" s="585" t="inlineStr">
        <is>
          <t>5*0.75*0.5*2.45+1*0.75*0.5*2.45+2*0.75*0.5*2.45+1*0.75*0.5*2.45+3*1.2*0.3*2.45+6*1.2*0.3*2.45+1*1.2*0.3*2.45+15*1.2*0.3*2.45+1*(2.85*0.25+0.825*0.25)*2.45</t>
        </is>
      </c>
    </row>
    <row r="39"/>
    <row r="40" ht="24" customHeight="1" s="12">
      <c r="A40" s="567" t="inlineStr">
        <is>
          <t>D</t>
        </is>
      </c>
      <c r="B40" s="581" t="inlineStr">
        <is>
          <t>Concrete wall - shear walls to main &amp; emergency stair cores, 250mm thick</t>
        </is>
      </c>
      <c r="C40" s="582">
        <f>22.05*2.45*0.25+25.57*2.45*0.25</f>
        <v>29.167250000000003</v>
      </c>
      <c r="D40" s="583" t="inlineStr">
        <is>
          <t>m3</t>
        </is>
      </c>
      <c r="E40" s="584">
        <f>RATES!$D$20</f>
        <v>2750.0</v>
      </c>
      <c r="F40" s="571">
        <f>C40*E40</f>
        <v>80209.93750000001</v>
      </c>
      <c r="G40" s="585" t="inlineStr">
        <is>
          <t>22.05*2.45*0.25+25.57*2.45*0.25</t>
        </is>
      </c>
    </row>
    <row r="41"/>
    <row r="42" ht="24" customHeight="1" s="12">
      <c r="A42" s="567" t="inlineStr">
        <is>
          <t>E</t>
        </is>
      </c>
      <c r="B42" s="581" t="inlineStr">
        <is>
          <t>Concrete wall - lift walls, 250mm thick</t>
        </is>
      </c>
      <c r="C42" s="582">
        <f>21.825*2.45*0.25</f>
        <v>13.367812500000001</v>
      </c>
      <c r="D42" s="583" t="inlineStr">
        <is>
          <t>m3</t>
        </is>
      </c>
      <c r="E42" s="584">
        <f>RATES!$D$20</f>
        <v>2750.0</v>
      </c>
      <c r="F42" s="571">
        <f>C42*E42</f>
        <v>36761.484375</v>
      </c>
      <c r="G42" s="585" t="inlineStr">
        <is>
          <t>21.825*2.45*0.25</t>
        </is>
      </c>
    </row>
    <row r="43"/>
    <row r="44" ht="24" customHeight="1" s="12">
      <c r="A44" s="567" t="inlineStr">
        <is>
          <t>F</t>
        </is>
      </c>
      <c r="B44" s="581" t="inlineStr">
        <is>
          <t>Stairs</t>
        </is>
      </c>
      <c r="C44" s="582">
        <f>(2.966*2.7/3.3+2.625)+(2.966*2.7/3.3+2.625)</f>
        <v>10.103454545454547</v>
      </c>
      <c r="D44" s="583" t="inlineStr">
        <is>
          <t>m3</t>
        </is>
      </c>
      <c r="E44" s="584">
        <f>RATES!$D$24</f>
        <v>2850.0</v>
      </c>
      <c r="F44" s="571">
        <f>C44*E44</f>
        <v>28794.84545454546</v>
      </c>
      <c r="G44" s="585" t="inlineStr">
        <is>
          <t>(2.966*2.7/3.3+2.625)+(2.966*2.7/3.3+2.625)</t>
        </is>
      </c>
    </row>
    <row r="45"/>
    <row r="46" ht="24" customHeight="1" s="12">
      <c r="A46" s="567" t="inlineStr">
        <is>
          <t>G</t>
        </is>
      </c>
      <c r="B46" s="581" t="inlineStr">
        <is>
          <t>Lintels 150 x 225mm over door and window openings</t>
        </is>
      </c>
      <c r="C46" s="582">
        <f>(3*(1+0.3))*0.15*0.225</f>
        <v>0.13162500000000002</v>
      </c>
      <c r="D46" s="583" t="inlineStr">
        <is>
          <t>m3</t>
        </is>
      </c>
      <c r="E46" s="584">
        <f>RATES!$D$25</f>
        <v>2600.0</v>
      </c>
      <c r="F46" s="571">
        <f>C46*E46</f>
        <v>342.2250000000001</v>
      </c>
      <c r="G46" s="585" t="inlineStr">
        <is>
          <t>(3*(1+0.3))*0.15*0.225</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737.6+650.6</f>
        <v>1388.2</v>
      </c>
      <c r="D49" s="583" t="inlineStr">
        <is>
          <t>m2</t>
        </is>
      </c>
      <c r="E49" s="584">
        <f>RATES!$D$38</f>
        <v>170.0</v>
      </c>
      <c r="F49" s="571">
        <f>C49*E49</f>
        <v>235994.0</v>
      </c>
      <c r="G49" s="585" t="inlineStr">
        <is>
          <t>737.6+650.6</t>
        </is>
      </c>
    </row>
    <row r="50"/>
    <row r="51" ht="24" customHeight="1" s="12">
      <c r="A51" s="567" t="inlineStr">
        <is>
          <t>J</t>
        </is>
      </c>
      <c r="B51" s="581" t="inlineStr">
        <is>
          <t>Edges of suspended slab 250mm high</t>
        </is>
      </c>
      <c r="C51" s="582">
        <f>185.9+224.9</f>
        <v>410.8</v>
      </c>
      <c r="D51" s="583" t="inlineStr">
        <is>
          <t>m</t>
        </is>
      </c>
      <c r="E51" s="584">
        <f>RATES!$D$40</f>
        <v>65.0</v>
      </c>
      <c r="F51" s="571">
        <f>C51*E51</f>
        <v>26702.0</v>
      </c>
      <c r="G51" s="585" t="inlineStr">
        <is>
          <t>185.9+224.9</t>
        </is>
      </c>
    </row>
    <row r="52"/>
    <row r="53" ht="24" customHeight="1" s="12">
      <c r="A53" s="567" t="inlineStr">
        <is>
          <t>K</t>
        </is>
      </c>
      <c r="B53" s="581" t="inlineStr">
        <is>
          <t>Sides and soffits of beams</t>
        </is>
      </c>
      <c r="C53" s="582">
        <f>81.1*(2*0.35+0.3)+43.5*(2*0.35+0.2)+63.6*(2*0.35+0.3)</f>
        <v>183.85</v>
      </c>
      <c r="D53" s="583" t="inlineStr">
        <is>
          <t>m2</t>
        </is>
      </c>
      <c r="E53" s="584">
        <f>RATES!$D$39</f>
        <v>200.0</v>
      </c>
      <c r="F53" s="571">
        <f>C53*E53</f>
        <v>36770.0</v>
      </c>
      <c r="G53" s="585" t="inlineStr">
        <is>
          <t>81.1*(2*0.35+0.3)+43.5*(2*0.35+0.2)+63.6*(2*0.35+0.3)</t>
        </is>
      </c>
    </row>
    <row r="54"/>
    <row r="55" ht="24" customHeight="1" s="12">
      <c r="A55" s="567" t="inlineStr">
        <is>
          <t>L</t>
        </is>
      </c>
      <c r="B55" s="581" t="inlineStr">
        <is>
          <t>Columns</t>
        </is>
      </c>
      <c r="C55" s="582">
        <f>5*2*(0.75+0.5)*2.45+1*2*(0.75+0.5)*2.45+2*2*(0.75+0.5)*2.45+1*2*(0.75+0.5)*2.45+3*2*(1.2+0.3)*2.45+6*2*(1.2+0.3)*2.45+1*2*(1.2+0.3)*2.45+15*2*(1.2+0.3)*2.45+1*2*(2.85+1.075)*2.45</f>
        <v>258.1075</v>
      </c>
      <c r="D55" s="583" t="inlineStr">
        <is>
          <t>m2</t>
        </is>
      </c>
      <c r="E55" s="584">
        <f>RATES!$D$37</f>
        <v>190.0</v>
      </c>
      <c r="F55" s="571">
        <f>C55*E55</f>
        <v>49040.425</v>
      </c>
      <c r="G55" s="585" t="inlineStr">
        <is>
          <t>5*2*(0.75+0.5)*2.45+1*2*(0.75+0.5)*2.45+2*2*(0.75+0.5)*2.45+1*2*(0.75+0.5)*2.45+3*2*(1.2+0.3)*2.45+6*2*(1.2+0.3)*2.45+1*2*(1.2+0.3)*2.45+15*2*(1.2+0.3)*2.45+1*2*(2.85+1.075)*2.45</t>
        </is>
      </c>
    </row>
    <row r="56"/>
    <row r="57" ht="24" customHeight="1" s="12">
      <c r="A57" s="567" t="inlineStr">
        <is>
          <t>M</t>
        </is>
      </c>
      <c r="B57" s="581" t="inlineStr">
        <is>
          <t>Concrete wall (both faces)</t>
        </is>
      </c>
      <c r="C57" s="582">
        <f>2*22.05*2.45+2*21.825*2.45+2*25.57*2.45</f>
        <v>340.2805</v>
      </c>
      <c r="D57" s="583" t="inlineStr">
        <is>
          <t>m2</t>
        </is>
      </c>
      <c r="E57" s="584">
        <f>RATES!$D$36</f>
        <v>185.0</v>
      </c>
      <c r="F57" s="571">
        <f>C57*E57</f>
        <v>62951.8925</v>
      </c>
      <c r="G57" s="585" t="inlineStr">
        <is>
          <t>2*22.05*2.45+2*21.825*2.45+2*25.57*2.45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(3*(1+0.3))*(2*0.225+0.15)</f>
        <v>2.3400000000000003</v>
      </c>
      <c r="D61" s="583" t="inlineStr">
        <is>
          <t>m2</t>
        </is>
      </c>
      <c r="E61" s="584">
        <f>RATES!$D$43</f>
        <v>180.0</v>
      </c>
      <c r="F61" s="571">
        <f>C61*E61</f>
        <v>421.20000000000005</v>
      </c>
      <c r="G61" s="585" t="inlineStr">
        <is>
          <t>(3*(1+0.3))*(2*0.225+0.15)</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2.717+1.656</f>
        <v>4.373</v>
      </c>
      <c r="D64" s="583" t="inlineStr">
        <is>
          <t>t</t>
        </is>
      </c>
      <c r="E64" s="584">
        <f>RATES!$D$29</f>
        <v>20500.0</v>
      </c>
      <c r="F64" s="571">
        <f>C64*E64</f>
        <v>89646.5</v>
      </c>
      <c r="G64" s="585" t="inlineStr">
        <is>
          <t>2.717+1.656</t>
        </is>
      </c>
    </row>
    <row r="65"/>
    <row r="66" ht="24" customHeight="1" s="12">
      <c r="A66" s="567" t="inlineStr">
        <is>
          <t>R</t>
        </is>
      </c>
      <c r="B66" s="581" t="inlineStr">
        <is>
          <t>20mm diameter in columns</t>
        </is>
      </c>
      <c r="C66" s="582">
        <f>0.462+0.154</f>
        <v>0.616</v>
      </c>
      <c r="D66" s="583" t="inlineStr">
        <is>
          <t>t</t>
        </is>
      </c>
      <c r="E66" s="584">
        <f>RATES!$D$32</f>
        <v>19000.0</v>
      </c>
      <c r="F66" s="571">
        <f>C66*E66</f>
        <v>11704.0</v>
      </c>
      <c r="G66" s="585" t="inlineStr">
        <is>
          <t>0.462+0.154</t>
        </is>
      </c>
    </row>
    <row r="67"/>
    <row r="68" ht="24" customHeight="1" s="12">
      <c r="A68" s="567" t="inlineStr">
        <is>
          <t>S</t>
        </is>
      </c>
      <c r="B68" s="581" t="inlineStr">
        <is>
          <t>25mm diameter in columns</t>
        </is>
      </c>
      <c r="C68" s="582">
        <f>4.634+4.062</f>
        <v>8.696000000000002</v>
      </c>
      <c r="D68" s="583" t="inlineStr">
        <is>
          <t>t</t>
        </is>
      </c>
      <c r="E68" s="584">
        <f>RATES!$D$33</f>
        <v>19000.0</v>
      </c>
      <c r="F68" s="571">
        <f>C68*E68</f>
        <v>165224.00000000003</v>
      </c>
      <c r="G68" s="585" t="inlineStr">
        <is>
          <t>4.634+4.062</t>
        </is>
      </c>
    </row>
    <row r="69"/>
    <row r="70" ht="24" customHeight="1" s="12">
      <c r="A70" s="567" t="inlineStr">
        <is>
          <t>T</t>
        </is>
      </c>
      <c r="B70" s="581" t="inlineStr">
        <is>
          <t>10mm diameter in beams (links)</t>
        </is>
      </c>
      <c r="C70" s="582">
        <f>0.977+0.644</f>
        <v>1.621</v>
      </c>
      <c r="D70" s="583" t="inlineStr">
        <is>
          <t>t</t>
        </is>
      </c>
      <c r="E70" s="584">
        <f>RATES!$D$29</f>
        <v>20500.0</v>
      </c>
      <c r="F70" s="571">
        <f>C70*E70</f>
        <v>33230.5</v>
      </c>
      <c r="G70" s="585" t="inlineStr">
        <is>
          <t>0.977+0.644</t>
        </is>
      </c>
    </row>
    <row r="71"/>
    <row r="72" ht="24" customHeight="1" s="12">
      <c r="A72" s="567" t="inlineStr">
        <is>
          <t>U</t>
        </is>
      </c>
      <c r="B72" s="581" t="inlineStr">
        <is>
          <t>16mm diameter in beams</t>
        </is>
      </c>
      <c r="C72" s="582">
        <f>0.763+0.460</f>
        <v>1.223</v>
      </c>
      <c r="D72" s="583" t="inlineStr">
        <is>
          <t>t</t>
        </is>
      </c>
      <c r="E72" s="584">
        <f>RATES!$D$31</f>
        <v>19500.0</v>
      </c>
      <c r="F72" s="571">
        <f>C72*E72</f>
        <v>23848.5</v>
      </c>
      <c r="G72" s="585" t="inlineStr">
        <is>
          <t>0.763+0.460</t>
        </is>
      </c>
    </row>
    <row r="73"/>
    <row r="74" ht="24" customHeight="1" s="12">
      <c r="A74" s="567" t="inlineStr">
        <is>
          <t>V</t>
        </is>
      </c>
      <c r="B74" s="581" t="inlineStr">
        <is>
          <t>20mm diameter in beams</t>
        </is>
      </c>
      <c r="C74" s="582">
        <f>0.797+0.802</f>
        <v>1.5990000000000002</v>
      </c>
      <c r="D74" s="583" t="inlineStr">
        <is>
          <t>t</t>
        </is>
      </c>
      <c r="E74" s="584">
        <f>RATES!$D$32</f>
        <v>19000.0</v>
      </c>
      <c r="F74" s="571">
        <f>C74*E74</f>
        <v>30381.000000000004</v>
      </c>
      <c r="G74" s="585" t="inlineStr">
        <is>
          <t>0.797+0.802</t>
        </is>
      </c>
    </row>
    <row r="75"/>
    <row r="76" ht="24" customHeight="1" s="12">
      <c r="A76" s="567" t="inlineStr">
        <is>
          <t>W</t>
        </is>
      </c>
      <c r="B76" s="581" t="inlineStr">
        <is>
          <t>25mm diameter in beams</t>
        </is>
      </c>
      <c r="C76" s="582">
        <f>2.973+1.624</f>
        <v>4.5969999999999995</v>
      </c>
      <c r="D76" s="583" t="inlineStr">
        <is>
          <t>t</t>
        </is>
      </c>
      <c r="E76" s="584">
        <f>RATES!$D$33</f>
        <v>19000.0</v>
      </c>
      <c r="F76" s="571">
        <f>C76*E76</f>
        <v>87342.99999999999</v>
      </c>
      <c r="G76" s="585" t="inlineStr">
        <is>
          <t>2.973+1.624</t>
        </is>
      </c>
    </row>
    <row r="77"/>
    <row r="78" ht="24" customHeight="1" s="12">
      <c r="A78" s="567" t="inlineStr">
        <is>
          <t>X</t>
        </is>
      </c>
      <c r="B78" s="581" t="inlineStr">
        <is>
          <t>10mm diameter in shear &amp; lift walls (links)</t>
        </is>
      </c>
      <c r="C78" s="582">
        <f>0.520+0.520+0.660</f>
        <v>1.7000000000000002</v>
      </c>
      <c r="D78" s="583" t="inlineStr">
        <is>
          <t>t</t>
        </is>
      </c>
      <c r="E78" s="584">
        <f>RATES!$D$29</f>
        <v>20500.0</v>
      </c>
      <c r="F78" s="571">
        <f>C78*E78</f>
        <v>34850.00000000001</v>
      </c>
      <c r="G78" s="585" t="inlineStr">
        <is>
          <t>0.520+0.520+0.660</t>
        </is>
      </c>
    </row>
    <row r="79"/>
    <row r="80" ht="24" customHeight="1" s="12">
      <c r="A80" s="567" t="inlineStr">
        <is>
          <t>Y</t>
        </is>
      </c>
      <c r="B80" s="581" t="inlineStr">
        <is>
          <t>12mm diameter in shear, lift &amp; ramp walls</t>
        </is>
      </c>
      <c r="C80" s="582">
        <f>0.699+0.692+0.835</f>
        <v>2.226</v>
      </c>
      <c r="D80" s="583" t="inlineStr">
        <is>
          <t>t</t>
        </is>
      </c>
      <c r="E80" s="584">
        <f>RATES!$D$30</f>
        <v>20000.0</v>
      </c>
      <c r="F80" s="571">
        <f>C80*E80</f>
        <v>44520.0</v>
      </c>
      <c r="G80" s="585" t="inlineStr">
        <is>
          <t>0.699+0.692+0.835</t>
        </is>
      </c>
    </row>
    <row r="81"/>
    <row r="82" ht="24" customHeight="1" s="12">
      <c r="A82" s="567" t="inlineStr">
        <is>
          <t>Z</t>
        </is>
      </c>
      <c r="B82" s="581" t="inlineStr">
        <is>
          <t>25mm diameter in shear &amp; lift walls</t>
        </is>
      </c>
      <c r="C82" s="582">
        <f>4.539+4.682+5.196</f>
        <v>14.417</v>
      </c>
      <c r="D82" s="583" t="inlineStr">
        <is>
          <t>t</t>
        </is>
      </c>
      <c r="E82" s="584">
        <f>RATES!$D$33</f>
        <v>19000.0</v>
      </c>
      <c r="F82" s="571">
        <f>C82*E82</f>
        <v>273923.0</v>
      </c>
      <c r="G82" s="585" t="inlineStr">
        <is>
          <t>4.539+4.682+5.196</t>
        </is>
      </c>
    </row>
    <row r="83"/>
    <row r="84" ht="24" customHeight="1" s="12">
      <c r="A84" s="567" t="inlineStr">
        <is>
          <t>A</t>
        </is>
      </c>
      <c r="B84" s="581" t="inlineStr">
        <is>
          <t>12mm diameter in stairs</t>
        </is>
      </c>
      <c r="C84" s="582">
        <f>0.440+0.440</f>
        <v>0.88</v>
      </c>
      <c r="D84" s="583" t="inlineStr">
        <is>
          <t>t</t>
        </is>
      </c>
      <c r="E84" s="584">
        <f>RATES!$D$30</f>
        <v>20000.0</v>
      </c>
      <c r="F84" s="571">
        <f>C84*E84</f>
        <v>17600.0</v>
      </c>
      <c r="G84" s="585" t="inlineStr">
        <is>
          <t>0.440+0.440</t>
        </is>
      </c>
    </row>
    <row r="85"/>
    <row r="86" ht="24" customHeight="1" s="12">
      <c r="A86" s="567" t="inlineStr">
        <is>
          <t>B</t>
        </is>
      </c>
      <c r="B86" s="581" t="inlineStr">
        <is>
          <t>16mm diameter in stairs</t>
        </is>
      </c>
      <c r="C86" s="582">
        <f>0.740+0.694</f>
        <v>1.434</v>
      </c>
      <c r="D86" s="583" t="inlineStr">
        <is>
          <t>t</t>
        </is>
      </c>
      <c r="E86" s="584">
        <f>RATES!$D$31</f>
        <v>19500.0</v>
      </c>
      <c r="F86" s="571">
        <f>C86*E86</f>
        <v>27963.0</v>
      </c>
      <c r="G86" s="585" t="inlineStr">
        <is>
          <t>0.740+0.694</t>
        </is>
      </c>
    </row>
    <row r="87"/>
    <row r="88" ht="24" customHeight="1" s="12">
      <c r="A88" s="567" t="inlineStr">
        <is>
          <t>C</t>
        </is>
      </c>
      <c r="B88" s="581" t="inlineStr">
        <is>
          <t>12mm diameter for suspended slab</t>
        </is>
      </c>
      <c r="C88" s="582">
        <f>27.947+23.776</f>
        <v>51.723</v>
      </c>
      <c r="D88" s="583" t="inlineStr">
        <is>
          <t>t</t>
        </is>
      </c>
      <c r="E88" s="584">
        <f>RATES!$D$30</f>
        <v>20000.0</v>
      </c>
      <c r="F88" s="571">
        <f>C88*E88</f>
        <v>1034460.0</v>
      </c>
      <c r="G88" s="585" t="inlineStr">
        <is>
          <t>27.947+23.776</t>
        </is>
      </c>
    </row>
    <row r="89"/>
    <row r="90" ht="24" customHeight="1" s="12">
      <c r="A90" s="567" t="inlineStr">
        <is>
          <t>D</t>
        </is>
      </c>
      <c r="B90" s="581" t="inlineStr">
        <is>
          <t>16mm diameter for suspended slab</t>
        </is>
      </c>
      <c r="C90" s="582">
        <f>2.528+3.742</f>
        <v>6.27</v>
      </c>
      <c r="D90" s="583" t="inlineStr">
        <is>
          <t>t</t>
        </is>
      </c>
      <c r="E90" s="584">
        <f>RATES!$D$31</f>
        <v>19500.0</v>
      </c>
      <c r="F90" s="571">
        <f>C90*E90</f>
        <v>122264.99999999999</v>
      </c>
      <c r="G90" s="585" t="inlineStr">
        <is>
          <t>2.528+3.742</t>
        </is>
      </c>
    </row>
    <row r="91"/>
    <row r="92">
      <c r="A92" s="572" t="n"/>
      <c r="B92" s="586" t="str">
        <f>B31</f>
        <v>ELEMENT NO. 1: IN SITU CONCRETE/LARGE PRECAST CONCRETE</v>
      </c>
      <c r="C92" s="574" t="n"/>
      <c r="D92" s="574" t="n"/>
      <c r="E92" s="587" t="n"/>
      <c r="F92" s="576">
        <f>SUM(F33:F91)</f>
        <v>3630370.6288295453</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98.4*2.45+(3*1*(3.05-2.2))*0.729</f>
        <v>242.93895000000003</v>
      </c>
      <c r="D99" s="583" t="inlineStr">
        <is>
          <t>m2</t>
        </is>
      </c>
      <c r="E99" s="584">
        <f>RATES!$D$46</f>
        <v>215.0</v>
      </c>
      <c r="F99" s="571">
        <f>C99*E99</f>
        <v>52231.87425000001</v>
      </c>
      <c r="G99" s="585" t="inlineStr">
        <is>
          <t>98.4*2.45+(3*1*(3.05-2.2))*0.729</t>
        </is>
      </c>
    </row>
    <row r="100"/>
    <row r="101" ht="24" customHeight="1" s="12">
      <c r="A101" s="567" t="inlineStr">
        <is>
          <t>B</t>
        </is>
      </c>
      <c r="B101" s="581" t="inlineStr">
        <is>
          <t>200mm thick wall</t>
        </is>
      </c>
      <c r="C101" s="582">
        <f>36.6*2.45+(3*1*(3.05-2.2))*0.271</f>
        <v>90.36105000000002</v>
      </c>
      <c r="D101" s="583" t="inlineStr">
        <is>
          <t>m2</t>
        </is>
      </c>
      <c r="E101" s="584">
        <f>RATES!$D$47</f>
        <v>265.0</v>
      </c>
      <c r="F101" s="571">
        <f>C101*E101</f>
        <v>23945.678250000004</v>
      </c>
      <c r="G101" s="585" t="inlineStr">
        <is>
          <t>36.6*2.45+(3*1*(3.05-2.2))*0.271</t>
        </is>
      </c>
    </row>
    <row r="102"/>
    <row r="103">
      <c r="A103" s="572" t="n"/>
      <c r="B103" s="586" t="str">
        <f>B96</f>
        <v>ELEMENT NO. 2: MASONRY</v>
      </c>
      <c r="C103" s="574" t="n"/>
      <c r="D103" s="574" t="n"/>
      <c r="E103" s="587" t="n"/>
      <c r="F103" s="576">
        <f>SUM(F98:F102)</f>
        <v>76177.55250000002</v>
      </c>
    </row>
    <row r="104">
      <c r="B104" s="559" t="inlineStr">
        <is>
          <t>Carried to Bill Summary</t>
        </is>
      </c>
    </row>
    <row r="105"/>
    <row r="106"/>
    <row r="107">
      <c r="A107" s="577" t="n"/>
      <c r="B107" s="578" t="inlineStr">
        <is>
          <t>ELEMENT NO. 4: WINDOWS/DOORS</t>
        </is>
      </c>
      <c r="C107" s="569" t="n"/>
      <c r="D107" s="569" t="n"/>
      <c r="E107" s="570" t="n"/>
      <c r="F107" s="579" t="n"/>
    </row>
    <row r="108"/>
    <row r="109" ht="48" customHeight="1" s="12">
      <c r="A109" s="577" t="n"/>
      <c r="B109" s="580" t="inlineStr">
        <is>
          <t>L20 DOORS - Supply and fix the following door assemblies complete with frames, ironmongery sets to steel doors and all accessories:</t>
        </is>
      </c>
      <c r="C109" s="569" t="n"/>
      <c r="D109" s="569" t="n"/>
      <c r="E109" s="570" t="n"/>
      <c r="F109" s="579" t="n"/>
    </row>
    <row r="110" ht="48" customHeight="1" s="12">
      <c r="A110" s="567" t="inlineStr">
        <is>
          <t>A</t>
        </is>
      </c>
      <c r="B110" s="581" t="inlineStr">
        <is>
          <t>1000mm x 2200mm 1-hour fire-rated galvanised steel single-leaf security door assembly - emergency stairs (ED1)</t>
        </is>
      </c>
      <c r="C110" s="582">
        <f>3</f>
        <v>3.0</v>
      </c>
      <c r="D110" s="583" t="inlineStr">
        <is>
          <t>nr</t>
        </is>
      </c>
      <c r="E110" s="584">
        <f>RATES!$D$82</f>
        <v>7200.0</v>
      </c>
      <c r="F110" s="571">
        <f>C110*E110</f>
        <v>21600.0</v>
      </c>
      <c r="G110" s="585" t="inlineStr">
        <is>
          <t>3</t>
        </is>
      </c>
    </row>
    <row r="111"/>
    <row r="112">
      <c r="A112" s="572" t="n"/>
      <c r="B112" s="586" t="str">
        <f>B107</f>
        <v>ELEMENT NO. 4: WINDOWS/DOORS</v>
      </c>
      <c r="C112" s="574" t="n"/>
      <c r="D112" s="574" t="n"/>
      <c r="E112" s="587" t="n"/>
      <c r="F112" s="576">
        <f>SUM(F109:F111)</f>
        <v>21600.0</v>
      </c>
    </row>
    <row r="113">
      <c r="B113" s="559" t="inlineStr">
        <is>
          <t>Carried to Bill Summary</t>
        </is>
      </c>
    </row>
    <row r="114"/>
    <row r="115"/>
    <row r="116">
      <c r="A116" s="577" t="n"/>
      <c r="B116" s="578" t="inlineStr">
        <is>
          <t>ELEMENT NO. 5: FLOOR FINISHES</t>
        </is>
      </c>
      <c r="C116" s="569" t="n"/>
      <c r="D116" s="569" t="n"/>
      <c r="E116" s="570" t="n"/>
      <c r="F116" s="579" t="n"/>
    </row>
    <row r="117"/>
    <row r="118" ht="24" customHeight="1" s="12">
      <c r="A118" s="577" t="n"/>
      <c r="B118" s="580" t="inlineStr">
        <is>
          <t>M10/M40 FLOOR FINISHES</t>
        </is>
      </c>
      <c r="C118" s="569" t="n"/>
      <c r="D118" s="569" t="n"/>
      <c r="E118" s="570" t="n"/>
      <c r="F118" s="579" t="n"/>
    </row>
    <row r="119" ht="24" customHeight="1" s="12">
      <c r="A119" s="567" t="inlineStr">
        <is>
          <t>A</t>
        </is>
      </c>
      <c r="B119" s="581" t="inlineStr">
        <is>
          <t>25mm cement and sand (1:3) screeded finish laid level on concrete and finished smooth with steel trowel</t>
        </is>
      </c>
      <c r="C119" s="582">
        <f>54.8</f>
        <v>54.8</v>
      </c>
      <c r="D119" s="583" t="inlineStr">
        <is>
          <t>m2</t>
        </is>
      </c>
      <c r="E119" s="584">
        <f>RATES!$D$50</f>
        <v>68.0</v>
      </c>
      <c r="F119" s="571">
        <f>C119*E119</f>
        <v>3726.3999999999996</v>
      </c>
      <c r="G119" s="585" t="inlineStr">
        <is>
          <t>54.8</t>
        </is>
      </c>
    </row>
    <row r="120"/>
    <row r="121" ht="24" customHeight="1" s="12">
      <c r="A121" s="567" t="inlineStr">
        <is>
          <t>B</t>
        </is>
      </c>
      <c r="B121" s="581" t="inlineStr">
        <is>
          <t>12mm cement and sand (1:4) screeded bed laid level on concrete floor to receive floor tiles</t>
        </is>
      </c>
      <c r="C121" s="582">
        <f>54.8+(2*1.8*3.0+22*0.15*1.8+2.2*3.75+1.8*3.75)+(2*1.8*3.0+22*0.15*1.8+2.2*3.75+1.8*3.75)</f>
        <v>118.28</v>
      </c>
      <c r="D121" s="583" t="inlineStr">
        <is>
          <t>m2</t>
        </is>
      </c>
      <c r="E121" s="584">
        <f>RATES!$D$51</f>
        <v>48.0</v>
      </c>
      <c r="F121" s="571">
        <f>C121*E121</f>
        <v>5677.4400000000005</v>
      </c>
      <c r="G121" s="585" t="inlineStr">
        <is>
          <t>54.8+(2*1.8*3.0+22*0.15*1.8+2.2*3.75+1.8*3.75)+(2*1.8*3.0+22*0.15*1.8+2.2*3.75+1.8*3.75)</t>
        </is>
      </c>
    </row>
    <row r="122"/>
    <row r="123" ht="24" customHeight="1" s="12">
      <c r="A123" s="567" t="inlineStr">
        <is>
          <t>C</t>
        </is>
      </c>
      <c r="B123" s="581" t="inlineStr">
        <is>
          <t>500x500mm matte R11 porcelain tiles to staircases (treads, risers and landings)</t>
        </is>
      </c>
      <c r="C123" s="582">
        <f>(2*1.8*3.0+22*0.15*1.8+2.2*3.75+1.8*3.75)+(2*1.8*3.0+22*0.15*1.8+2.2*3.75+1.8*3.75)</f>
        <v>63.480000000000004</v>
      </c>
      <c r="D123" s="583" t="inlineStr">
        <is>
          <t>m2</t>
        </is>
      </c>
      <c r="E123" s="584">
        <f>RATES!$D$54</f>
        <v>270.0</v>
      </c>
      <c r="F123" s="571">
        <f>C123*E123</f>
        <v>17139.600000000002</v>
      </c>
      <c r="G123" s="585" t="inlineStr">
        <is>
          <t>(2*1.8*3.0+22*0.15*1.8+2.2*3.75+1.8*3.75)+(2*1.8*3.0+22*0.15*1.8+2.2*3.75+1.8*3.75)</t>
        </is>
      </c>
    </row>
    <row r="124"/>
    <row r="125" ht="24" customHeight="1" s="12">
      <c r="A125" s="567" t="inlineStr">
        <is>
          <t>D</t>
        </is>
      </c>
      <c r="B125" s="581" t="inlineStr">
        <is>
          <t>600x1200mm semi-polished porcelain floor tiles to stair/lift lobbies &amp; reception</t>
        </is>
      </c>
      <c r="C125" s="582">
        <f>32.7</f>
        <v>32.7</v>
      </c>
      <c r="D125" s="583" t="inlineStr">
        <is>
          <t>m2</t>
        </is>
      </c>
      <c r="E125" s="584">
        <f>RATES!$D$56</f>
        <v>330.0</v>
      </c>
      <c r="F125" s="571">
        <f>C125*E125</f>
        <v>10791.000000000002</v>
      </c>
      <c r="G125" s="585" t="inlineStr">
        <is>
          <t>32.7</t>
        </is>
      </c>
    </row>
    <row r="126"/>
    <row r="127" ht="24" customHeight="1" s="12">
      <c r="A127" s="567" t="inlineStr">
        <is>
          <t>E</t>
        </is>
      </c>
      <c r="B127" s="581" t="inlineStr">
        <is>
          <t>600x600mm non-slip R11 porcelain tiles to corridors, terraces, verandah &amp; service areas</t>
        </is>
      </c>
      <c r="C127" s="582">
        <f>22.2</f>
        <v>22.2</v>
      </c>
      <c r="D127" s="583" t="inlineStr">
        <is>
          <t>m2</t>
        </is>
      </c>
      <c r="E127" s="584">
        <f>RATES!$D$57</f>
        <v>250.0</v>
      </c>
      <c r="F127" s="571">
        <f>C127*E127</f>
        <v>5550.0</v>
      </c>
      <c r="G127" s="585" t="inlineStr">
        <is>
          <t>22.2</t>
        </is>
      </c>
    </row>
    <row r="128"/>
    <row r="129" ht="24" customHeight="1" s="12">
      <c r="A129" s="567" t="inlineStr">
        <is>
          <t>F</t>
        </is>
      </c>
      <c r="B129" s="581" t="inlineStr">
        <is>
          <t>Seamless polyurethane (PU) resin screed / PU coating to parking decks &amp; ramps</t>
        </is>
      </c>
      <c r="C129" s="582">
        <f>637.3</f>
        <v>637.3</v>
      </c>
      <c r="D129" s="583" t="inlineStr">
        <is>
          <t>m2</t>
        </is>
      </c>
      <c r="E129" s="584">
        <f>RATES!$D$59</f>
        <v>290.0</v>
      </c>
      <c r="F129" s="571">
        <f>C129*E129</f>
        <v>184817.0</v>
      </c>
      <c r="G129" s="585" t="inlineStr">
        <is>
          <t>637.3</t>
        </is>
      </c>
    </row>
    <row r="130"/>
    <row r="131">
      <c r="A131" s="572" t="n"/>
      <c r="B131" s="586" t="str">
        <f>B116</f>
        <v>ELEMENT NO. 5: FLOOR FINISHES</v>
      </c>
      <c r="C131" s="574" t="n"/>
      <c r="D131" s="574" t="n"/>
      <c r="E131" s="587" t="n"/>
      <c r="F131" s="576">
        <f>SUM(F118:F130)</f>
        <v>227701.44</v>
      </c>
    </row>
    <row r="132">
      <c r="B132" s="559" t="inlineStr">
        <is>
          <t>Carried to Bill Summary</t>
        </is>
      </c>
    </row>
    <row r="133"/>
    <row r="134"/>
    <row r="135">
      <c r="A135" s="577" t="n"/>
      <c r="B135" s="578" t="inlineStr">
        <is>
          <t>ELEMENT NO. 6: WALL FINISHES</t>
        </is>
      </c>
      <c r="C135" s="569" t="n"/>
      <c r="D135" s="569" t="n"/>
      <c r="E135" s="570" t="n"/>
      <c r="F135" s="579" t="n"/>
    </row>
    <row r="136"/>
    <row r="137" ht="48" customHeight="1" s="12">
      <c r="A137" s="577" t="n"/>
      <c r="B137" s="580" t="inlineStr">
        <is>
          <t>M20 PLASTERED/RENDERED COATINGS - 12.5mm cement and sand (1:3) rendering as described on blockwork or concrete to:</t>
        </is>
      </c>
      <c r="C137" s="569" t="n"/>
      <c r="D137" s="569" t="n"/>
      <c r="E137" s="570" t="n"/>
      <c r="F137" s="579" t="n"/>
    </row>
    <row r="138" ht="24" customHeight="1" s="12">
      <c r="A138" s="567" t="inlineStr">
        <is>
          <t>A</t>
        </is>
      </c>
      <c r="B138" s="581" t="inlineStr">
        <is>
          <t>Interior walls</t>
        </is>
      </c>
      <c r="C138" s="582">
        <f>(2*(98.4+36.6)+2*25.8-16.8-134.3)*2.45-0-2*(3*1*2.2)-(0)</f>
        <v>404.52500000000003</v>
      </c>
      <c r="D138" s="583" t="inlineStr">
        <is>
          <t>m2</t>
        </is>
      </c>
      <c r="E138" s="584">
        <f>RATES!$D$48</f>
        <v>78.0</v>
      </c>
      <c r="F138" s="571">
        <f>C138*E138</f>
        <v>31552.950000000004</v>
      </c>
      <c r="G138" s="585" t="inlineStr">
        <is>
          <t>(2*(98.4+36.6)+2*25.8-16.8-134.3)*2.45-0-2*(3*1*2.2)-(0)</t>
        </is>
      </c>
    </row>
    <row r="139"/>
    <row r="140" ht="24" customHeight="1" s="12">
      <c r="A140" s="567" t="inlineStr">
        <is>
          <t>B</t>
        </is>
      </c>
      <c r="B140" s="581" t="inlineStr">
        <is>
          <t>External walls</t>
        </is>
      </c>
      <c r="C140" s="582">
        <f>134.3*2.7-(0)</f>
        <v>362.61000000000007</v>
      </c>
      <c r="D140" s="583" t="inlineStr">
        <is>
          <t>m2</t>
        </is>
      </c>
      <c r="E140" s="584">
        <f>RATES!$D$49</f>
        <v>88.0</v>
      </c>
      <c r="F140" s="571">
        <f>C140*E140</f>
        <v>31909.680000000008</v>
      </c>
      <c r="G140" s="585" t="inlineStr">
        <is>
          <t>134.3*2.7-(0)</t>
        </is>
      </c>
    </row>
    <row r="141"/>
    <row r="142">
      <c r="A142" s="572" t="n"/>
      <c r="B142" s="586" t="str">
        <f>B135</f>
        <v>ELEMENT NO. 6: WALL FINISHES</v>
      </c>
      <c r="C142" s="574" t="n"/>
      <c r="D142" s="574" t="n"/>
      <c r="E142" s="587" t="n"/>
      <c r="F142" s="576">
        <f>SUM(F137:F141)</f>
        <v>63462.63000000001</v>
      </c>
    </row>
    <row r="143">
      <c r="B143" s="559" t="inlineStr">
        <is>
          <t>Carried to Bill Summary</t>
        </is>
      </c>
    </row>
    <row r="144"/>
    <row r="145"/>
    <row r="146">
      <c r="A146" s="577" t="n"/>
      <c r="B146" s="578" t="inlineStr">
        <is>
          <t>ELEMENT NO. 7: PAINTING AND DECORATING</t>
        </is>
      </c>
      <c r="C146" s="569" t="n"/>
      <c r="D146" s="569" t="n"/>
      <c r="E146" s="570" t="n"/>
      <c r="F146" s="579" t="n"/>
    </row>
    <row r="147"/>
    <row r="148" ht="24" customHeight="1" s="12">
      <c r="A148" s="577" t="n"/>
      <c r="B148" s="580" t="inlineStr">
        <is>
          <t>M60 PAINTING - Prepare and apply two undercoats and finishing coat of emulsion paint on:</t>
        </is>
      </c>
      <c r="C148" s="569" t="n"/>
      <c r="D148" s="569" t="n"/>
      <c r="E148" s="570" t="n"/>
      <c r="F148" s="579" t="n"/>
    </row>
    <row r="149" ht="24" customHeight="1" s="12">
      <c r="A149" s="567" t="inlineStr">
        <is>
          <t>A</t>
        </is>
      </c>
      <c r="B149" s="581" t="inlineStr">
        <is>
          <t>Interior walls</t>
        </is>
      </c>
      <c r="C149" s="582">
        <f>(2*(98.4+36.6)+2*25.8-16.8-134.3)*2.45-0-2*(3*1*2.2)-(0)</f>
        <v>404.52500000000003</v>
      </c>
      <c r="D149" s="583" t="inlineStr">
        <is>
          <t>m2</t>
        </is>
      </c>
      <c r="E149" s="584">
        <f>RATES!$D$61</f>
        <v>45.0</v>
      </c>
      <c r="F149" s="571">
        <f>C149*E149</f>
        <v>18203.625</v>
      </c>
      <c r="G149" s="585" t="inlineStr">
        <is>
          <t>(2*(98.4+36.6)+2*25.8-16.8-134.3)*2.45-0-2*(3*1*2.2)-(0)</t>
        </is>
      </c>
    </row>
    <row r="150"/>
    <row r="151" ht="24" customHeight="1" s="12">
      <c r="A151" s="567" t="inlineStr">
        <is>
          <t>B</t>
        </is>
      </c>
      <c r="B151" s="581" t="inlineStr">
        <is>
          <t>Exterior walls</t>
        </is>
      </c>
      <c r="C151" s="582">
        <f>134.3*2.7-(0)</f>
        <v>362.61000000000007</v>
      </c>
      <c r="D151" s="583" t="inlineStr">
        <is>
          <t>m2</t>
        </is>
      </c>
      <c r="E151" s="584">
        <f>RATES!$D$62</f>
        <v>62.0</v>
      </c>
      <c r="F151" s="571">
        <f>C151*E151</f>
        <v>22481.820000000003</v>
      </c>
      <c r="G151" s="585" t="inlineStr">
        <is>
          <t>134.3*2.7-(0)</t>
        </is>
      </c>
    </row>
    <row r="152"/>
    <row r="153" ht="24" customHeight="1" s="12">
      <c r="A153" s="567" t="inlineStr">
        <is>
          <t>C</t>
        </is>
      </c>
      <c r="B153" s="581" t="inlineStr">
        <is>
          <t>Columns and walls; girth exceeding 300mm (exposed faces, ground &amp; parking levels)</t>
        </is>
      </c>
      <c r="C153" s="582">
        <f>5*2*(0.75+0.5)*2.45+1*2*(0.75+0.5)*2.45+2*2*(0.75+0.5)*2.45+1*2*(0.75+0.5)*2.45+3*2*(1.2+0.3)*2.45+6*2*(1.2+0.3)*2.45+1*2*(1.2+0.3)*2.45+15*2*(1.2+0.3)*2.45+1*2*(2.85+1.075)*2.45</f>
        <v>258.1075</v>
      </c>
      <c r="D153" s="583" t="inlineStr">
        <is>
          <t>m2</t>
        </is>
      </c>
      <c r="E153" s="584">
        <f>RATES!$D$61</f>
        <v>45.0</v>
      </c>
      <c r="F153" s="571">
        <f>C153*E153</f>
        <v>11614.837500000001</v>
      </c>
      <c r="G153" s="585" t="inlineStr">
        <is>
          <t>5*2*(0.75+0.5)*2.45+1*2*(0.75+0.5)*2.45+2*2*(0.75+0.5)*2.45+1*2*(0.75+0.5)*2.45+3*2*(1.2+0.3)*2.45+6*2*(1.2+0.3)*2.45+1*2*(1.2+0.3)*2.45+15*2*(1.2+0.3)*2.45+1*2*(2.85+1.075)*2.45</t>
        </is>
      </c>
    </row>
    <row r="154"/>
    <row r="155" ht="24" customHeight="1" s="12">
      <c r="A155" s="567" t="inlineStr">
        <is>
          <t>D</t>
        </is>
      </c>
      <c r="B155" s="581" t="inlineStr">
        <is>
          <t>Soffit of plaster board ceilings</t>
        </is>
      </c>
      <c r="C155" s="582">
        <f>32.7</f>
        <v>32.7</v>
      </c>
      <c r="D155" s="583" t="inlineStr">
        <is>
          <t>m2</t>
        </is>
      </c>
      <c r="E155" s="584">
        <f>RATES!$D$63</f>
        <v>48.0</v>
      </c>
      <c r="F155" s="571">
        <f>C155*E155</f>
        <v>1569.6000000000001</v>
      </c>
      <c r="G155" s="585" t="inlineStr">
        <is>
          <t>32.7</t>
        </is>
      </c>
    </row>
    <row r="156"/>
    <row r="157">
      <c r="A157" s="572" t="n"/>
      <c r="B157" s="586" t="str">
        <f>B146</f>
        <v>ELEMENT NO. 7: PAINTING AND DECORATING</v>
      </c>
      <c r="C157" s="574" t="n"/>
      <c r="D157" s="574" t="n"/>
      <c r="E157" s="587" t="n"/>
      <c r="F157" s="576">
        <f>SUM(F148:F156)</f>
        <v>53869.88250000001</v>
      </c>
    </row>
    <row r="158">
      <c r="B158" s="559" t="inlineStr">
        <is>
          <t>Carried to Bill Summary</t>
        </is>
      </c>
    </row>
    <row r="159"/>
    <row r="160"/>
    <row r="161">
      <c r="B161"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G161"/>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SECOND FLOOR - LEVEL 3A PARKING (INCL. MEZZANINE LEVEL 3B)</t>
        </is>
      </c>
    </row>
    <row r="10"/>
    <row r="11">
      <c r="B11" s="566" t="inlineStr">
        <is>
          <t>BILL SUMMARY</t>
        </is>
      </c>
    </row>
    <row r="12"/>
    <row r="13">
      <c r="A13" s="567" t="inlineStr">
        <is>
          <t>A</t>
        </is>
      </c>
      <c r="B13" s="568" t="inlineStr">
        <is>
          <t>ELEMENT NO. 1: IN SITU CONCRETE/LARGE PRECAST CONCRETE</t>
        </is>
      </c>
      <c r="C13" s="569" t="n"/>
      <c r="D13" s="569" t="n"/>
      <c r="E13" s="570" t="n"/>
      <c r="F13" s="571">
        <f>F92</f>
        <v>4005497.383204546</v>
      </c>
    </row>
    <row r="14"/>
    <row r="15">
      <c r="A15" s="567" t="inlineStr">
        <is>
          <t>B</t>
        </is>
      </c>
      <c r="B15" s="568" t="inlineStr">
        <is>
          <t>ELEMENT NO. 2: MASONRY</t>
        </is>
      </c>
      <c r="C15" s="569" t="n"/>
      <c r="D15" s="569" t="n"/>
      <c r="E15" s="570" t="n"/>
      <c r="F15" s="571">
        <f>F103</f>
        <v>175769.9075</v>
      </c>
    </row>
    <row r="16"/>
    <row r="17">
      <c r="A17" s="567" t="inlineStr">
        <is>
          <t>C</t>
        </is>
      </c>
      <c r="B17" s="568" t="inlineStr">
        <is>
          <t>ELEMENT NO. 4: WINDOWS/DOORS</t>
        </is>
      </c>
      <c r="C17" s="569" t="n"/>
      <c r="D17" s="569" t="n"/>
      <c r="E17" s="570" t="n"/>
      <c r="F17" s="571">
        <f>F112</f>
        <v>43200.0</v>
      </c>
    </row>
    <row r="18"/>
    <row r="19">
      <c r="A19" s="567" t="inlineStr">
        <is>
          <t>D</t>
        </is>
      </c>
      <c r="B19" s="568" t="inlineStr">
        <is>
          <t>ELEMENT NO. 5: FLOOR FINISHES</t>
        </is>
      </c>
      <c r="C19" s="569" t="n"/>
      <c r="D19" s="569" t="n"/>
      <c r="E19" s="570" t="n"/>
      <c r="F19" s="571">
        <f>F131</f>
        <v>370064.94</v>
      </c>
    </row>
    <row r="20"/>
    <row r="21">
      <c r="A21" s="567" t="inlineStr">
        <is>
          <t>E</t>
        </is>
      </c>
      <c r="B21" s="568" t="inlineStr">
        <is>
          <t>ELEMENT NO. 6: WALL FINISHES</t>
        </is>
      </c>
      <c r="C21" s="569" t="n"/>
      <c r="D21" s="569" t="n"/>
      <c r="E21" s="570" t="n"/>
      <c r="F21" s="571">
        <f>F142</f>
        <v>158847.63</v>
      </c>
    </row>
    <row r="22"/>
    <row r="23">
      <c r="A23" s="567" t="inlineStr">
        <is>
          <t>F</t>
        </is>
      </c>
      <c r="B23" s="568" t="inlineStr">
        <is>
          <t>ELEMENT NO. 7: PAINTING AND DECORATING</t>
        </is>
      </c>
      <c r="C23" s="569" t="n"/>
      <c r="D23" s="569" t="n"/>
      <c r="E23" s="570" t="n"/>
      <c r="F23" s="571">
        <f>F157</f>
        <v>117441.9</v>
      </c>
    </row>
    <row r="24"/>
    <row r="25">
      <c r="A25" s="572" t="n"/>
      <c r="B25" s="573" t="str">
        <f>B9</f>
        <v> SECOND FLOOR - LEVEL 3A PARKING (INCL. MEZZANINE LEVEL 3B)</v>
      </c>
      <c r="C25" s="574" t="n"/>
      <c r="D25" s="574" t="n"/>
      <c r="E25" s="575" t="inlineStr">
        <is>
          <t>GHC</t>
        </is>
      </c>
      <c r="F25" s="576">
        <f>SUM(F13:F24)</f>
        <v>4870821.760704547</v>
      </c>
    </row>
    <row r="26">
      <c r="B26" s="559" t="inlineStr">
        <is>
          <t>To Bill General Summary</t>
        </is>
      </c>
    </row>
    <row r="27"/>
    <row r="28"/>
    <row r="29">
      <c r="B29" s="565" t="inlineStr">
        <is>
          <t>BILL NR. 5 - SECOND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737.5*0.25+554.9*0.25</f>
        <v>323.1</v>
      </c>
      <c r="D34" s="583" t="inlineStr">
        <is>
          <t>m3</t>
        </is>
      </c>
      <c r="E34" s="584">
        <f>RATES!$D$22</f>
        <v>2650.0</v>
      </c>
      <c r="F34" s="571">
        <f>C34*E34</f>
        <v>856215.0000000001</v>
      </c>
      <c r="G34" s="585" t="inlineStr">
        <is>
          <t>737.5*0.25+554.9*0.25</t>
        </is>
      </c>
    </row>
    <row r="35"/>
    <row r="36" ht="24" customHeight="1" s="12">
      <c r="A36" s="567" t="inlineStr">
        <is>
          <t>B</t>
        </is>
      </c>
      <c r="B36" s="581" t="inlineStr">
        <is>
          <t>Beams (downstands below slab)</t>
        </is>
      </c>
      <c r="C36" s="582">
        <f>79.9*0.3*0.35+43*0.2*0.35+64.3*0.3*0.35</f>
        <v>18.151</v>
      </c>
      <c r="D36" s="583" t="inlineStr">
        <is>
          <t>m3</t>
        </is>
      </c>
      <c r="E36" s="584">
        <f>RATES!$D$23</f>
        <v>2700.0</v>
      </c>
      <c r="F36" s="571">
        <f>C36*E36</f>
        <v>49007.7</v>
      </c>
      <c r="G36" s="585" t="inlineStr">
        <is>
          <t>79.9*0.3*0.35+43*0.2*0.35+64.3*0.3*0.35</t>
        </is>
      </c>
    </row>
    <row r="37"/>
    <row r="38" ht="24" customHeight="1" s="12">
      <c r="A38" s="567" t="inlineStr">
        <is>
          <t>C</t>
        </is>
      </c>
      <c r="B38" s="581" t="inlineStr">
        <is>
          <t>Columns</t>
        </is>
      </c>
      <c r="C38" s="582">
        <f>5*0.75*0.5*3.8+1*0.75*0.5*3.8+2*0.75*0.5*3.8+1*0.75*0.5*2.75+3*1.2*0.3*3.8+6*1.2*0.3*3.8+1*1.2*0.3*3.8+15*1.2*0.3*2.75+1*(2.85*0.25+0.825*0.25)*3.8</f>
        <v>44.45249999999999</v>
      </c>
      <c r="D38" s="583" t="inlineStr">
        <is>
          <t>m3</t>
        </is>
      </c>
      <c r="E38" s="584">
        <f>RATES!$D$21</f>
        <v>2800.0</v>
      </c>
      <c r="F38" s="571">
        <f>C38*E38</f>
        <v>124466.99999999999</v>
      </c>
      <c r="G38" s="585" t="inlineStr">
        <is>
          <t>5*0.75*0.5*3.8+1*0.75*0.5*3.8+2*0.75*0.5*3.8+1*0.75*0.5*2.75+3*1.2*0.3*3.8+6*1.2*0.3*3.8+1*1.2*0.3*3.8+15*1.2*0.3*2.75+1*(2.85*0.25+0.825*0.25)*3.8</t>
        </is>
      </c>
    </row>
    <row r="39"/>
    <row r="40" ht="24" customHeight="1" s="12">
      <c r="A40" s="567" t="inlineStr">
        <is>
          <t>D</t>
        </is>
      </c>
      <c r="B40" s="581" t="inlineStr">
        <is>
          <t>Concrete wall - shear walls to main &amp; emergency stair cores, 250mm thick</t>
        </is>
      </c>
      <c r="C40" s="582">
        <f>22.05*3.8*0.25+25.57*2.75*0.25</f>
        <v>38.526875</v>
      </c>
      <c r="D40" s="583" t="inlineStr">
        <is>
          <t>m3</t>
        </is>
      </c>
      <c r="E40" s="584">
        <f>RATES!$D$20</f>
        <v>2750.0</v>
      </c>
      <c r="F40" s="571">
        <f>C40*E40</f>
        <v>105948.90624999999</v>
      </c>
      <c r="G40" s="585" t="inlineStr">
        <is>
          <t>22.05*3.8*0.25+25.57*2.75*0.25</t>
        </is>
      </c>
    </row>
    <row r="41"/>
    <row r="42" ht="24" customHeight="1" s="12">
      <c r="A42" s="567" t="inlineStr">
        <is>
          <t>E</t>
        </is>
      </c>
      <c r="B42" s="581" t="inlineStr">
        <is>
          <t>Concrete wall - lift walls, 250mm thick</t>
        </is>
      </c>
      <c r="C42" s="582">
        <f>21.825*3.8*0.25</f>
        <v>20.733749999999997</v>
      </c>
      <c r="D42" s="583" t="inlineStr">
        <is>
          <t>m3</t>
        </is>
      </c>
      <c r="E42" s="584">
        <f>RATES!$D$20</f>
        <v>2750.0</v>
      </c>
      <c r="F42" s="571">
        <f>C42*E42</f>
        <v>57017.81249999999</v>
      </c>
      <c r="G42" s="585" t="inlineStr">
        <is>
          <t>21.825*3.8*0.25</t>
        </is>
      </c>
    </row>
    <row r="43"/>
    <row r="44" ht="24" customHeight="1" s="12">
      <c r="A44" s="567" t="inlineStr">
        <is>
          <t>F</t>
        </is>
      </c>
      <c r="B44" s="581" t="inlineStr">
        <is>
          <t>Stairs</t>
        </is>
      </c>
      <c r="C44" s="582">
        <f>(2.966*4.05/3.3+2.625)+(2.966*3/3.3+2.625)</f>
        <v>11.586454545454545</v>
      </c>
      <c r="D44" s="583" t="inlineStr">
        <is>
          <t>m3</t>
        </is>
      </c>
      <c r="E44" s="584">
        <f>RATES!$D$24</f>
        <v>2850.0</v>
      </c>
      <c r="F44" s="571">
        <f>C44*E44</f>
        <v>33021.395454545454</v>
      </c>
      <c r="G44" s="585" t="inlineStr">
        <is>
          <t>(2.966*4.05/3.3+2.625)+(2.966*3/3.3+2.625)</t>
        </is>
      </c>
    </row>
    <row r="45"/>
    <row r="46" ht="24" customHeight="1" s="12">
      <c r="A46" s="567" t="inlineStr">
        <is>
          <t>G</t>
        </is>
      </c>
      <c r="B46" s="581" t="inlineStr">
        <is>
          <t>Lintels 150 x 225mm over door and window openings</t>
        </is>
      </c>
      <c r="C46" s="582">
        <f>(3*(1+0.3))*0.15*0.225+(3*(1+0.3))*0.15*0.225</f>
        <v>0.26325000000000004</v>
      </c>
      <c r="D46" s="583" t="inlineStr">
        <is>
          <t>m3</t>
        </is>
      </c>
      <c r="E46" s="584">
        <f>RATES!$D$25</f>
        <v>2600.0</v>
      </c>
      <c r="F46" s="571">
        <f>C46*E46</f>
        <v>684.4500000000002</v>
      </c>
      <c r="G46" s="585" t="inlineStr">
        <is>
          <t>(3*(1+0.3))*0.15*0.225+(3*(1+0.3))*0.15*0.225</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737.5+554.9</f>
        <v>1292.4</v>
      </c>
      <c r="D49" s="583" t="inlineStr">
        <is>
          <t>m2</t>
        </is>
      </c>
      <c r="E49" s="584">
        <f>RATES!$D$38</f>
        <v>170.0</v>
      </c>
      <c r="F49" s="571">
        <f>C49*E49</f>
        <v>219708.00000000003</v>
      </c>
      <c r="G49" s="585" t="inlineStr">
        <is>
          <t>737.5+554.9</t>
        </is>
      </c>
    </row>
    <row r="50"/>
    <row r="51" ht="24" customHeight="1" s="12">
      <c r="A51" s="567" t="inlineStr">
        <is>
          <t>J</t>
        </is>
      </c>
      <c r="B51" s="581" t="inlineStr">
        <is>
          <t>Edges of suspended slab 250mm high</t>
        </is>
      </c>
      <c r="C51" s="582">
        <f>186.5+216.4</f>
        <v>402.9</v>
      </c>
      <c r="D51" s="583" t="inlineStr">
        <is>
          <t>m</t>
        </is>
      </c>
      <c r="E51" s="584">
        <f>RATES!$D$40</f>
        <v>65.0</v>
      </c>
      <c r="F51" s="571">
        <f>C51*E51</f>
        <v>26188.5</v>
      </c>
      <c r="G51" s="585" t="inlineStr">
        <is>
          <t>186.5+216.4</t>
        </is>
      </c>
    </row>
    <row r="52"/>
    <row r="53" ht="24" customHeight="1" s="12">
      <c r="A53" s="567" t="inlineStr">
        <is>
          <t>K</t>
        </is>
      </c>
      <c r="B53" s="581" t="inlineStr">
        <is>
          <t>Sides and soffits of beams</t>
        </is>
      </c>
      <c r="C53" s="582">
        <f>79.9*(2*0.35+0.3)+43*(2*0.35+0.2)+64.3*(2*0.35+0.3)</f>
        <v>182.89999999999998</v>
      </c>
      <c r="D53" s="583" t="inlineStr">
        <is>
          <t>m2</t>
        </is>
      </c>
      <c r="E53" s="584">
        <f>RATES!$D$39</f>
        <v>200.0</v>
      </c>
      <c r="F53" s="571">
        <f>C53*E53</f>
        <v>36579.99999999999</v>
      </c>
      <c r="G53" s="585" t="inlineStr">
        <is>
          <t>79.9*(2*0.35+0.3)+43*(2*0.35+0.2)+64.3*(2*0.35+0.3)</t>
        </is>
      </c>
    </row>
    <row r="54"/>
    <row r="55" ht="24" customHeight="1" s="12">
      <c r="A55" s="567" t="inlineStr">
        <is>
          <t>L</t>
        </is>
      </c>
      <c r="B55" s="581" t="inlineStr">
        <is>
          <t>Columns</t>
        </is>
      </c>
      <c r="C55" s="582">
        <f>5*2*(0.75+0.5)*3.8+1*2*(0.75+0.5)*3.8+2*2*(0.75+0.5)*3.8+1*2*(0.75+0.5)*2.75+3*2*(1.2+0.3)*3.8+6*2*(1.2+0.3)*3.8+1*2*(1.2+0.3)*3.8+15*2*(1.2+0.3)*2.75+1*2*(2.85+1.075)*3.8</f>
        <v>350.455</v>
      </c>
      <c r="D55" s="583" t="inlineStr">
        <is>
          <t>m2</t>
        </is>
      </c>
      <c r="E55" s="584">
        <f>RATES!$D$37</f>
        <v>190.0</v>
      </c>
      <c r="F55" s="571">
        <f>C55*E55</f>
        <v>66586.45</v>
      </c>
      <c r="G55" s="585" t="inlineStr">
        <is>
          <t>5*2*(0.75+0.5)*3.8+1*2*(0.75+0.5)*3.8+2*2*(0.75+0.5)*3.8+1*2*(0.75+0.5)*2.75+3*2*(1.2+0.3)*3.8+6*2*(1.2+0.3)*3.8+1*2*(1.2+0.3)*3.8+15*2*(1.2+0.3)*2.75+1*2*(2.85+1.075)*3.8</t>
        </is>
      </c>
    </row>
    <row r="56"/>
    <row r="57" ht="24" customHeight="1" s="12">
      <c r="A57" s="567" t="inlineStr">
        <is>
          <t>M</t>
        </is>
      </c>
      <c r="B57" s="581" t="inlineStr">
        <is>
          <t>Concrete wall (both faces)</t>
        </is>
      </c>
      <c r="C57" s="582">
        <f>2*22.05*3.8+2*21.825*3.8+2*25.57*2.75</f>
        <v>474.0849999999999</v>
      </c>
      <c r="D57" s="583" t="inlineStr">
        <is>
          <t>m2</t>
        </is>
      </c>
      <c r="E57" s="584">
        <f>RATES!$D$36</f>
        <v>185.0</v>
      </c>
      <c r="F57" s="571">
        <f>C57*E57</f>
        <v>87705.72499999999</v>
      </c>
      <c r="G57" s="585" t="inlineStr">
        <is>
          <t>2*22.05*3.8+2*21.825*3.8+2*25.57*2.75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(3*(1+0.3))*(2*0.225+0.15)+(3*(1+0.3))*(2*0.225+0.15)</f>
        <v>4.680000000000001</v>
      </c>
      <c r="D61" s="583" t="inlineStr">
        <is>
          <t>m2</t>
        </is>
      </c>
      <c r="E61" s="584">
        <f>RATES!$D$43</f>
        <v>180.0</v>
      </c>
      <c r="F61" s="571">
        <f>C61*E61</f>
        <v>842.4000000000001</v>
      </c>
      <c r="G61" s="585" t="inlineStr">
        <is>
          <t>(3*(1+0.3))*(2*0.225+0.15)+(3*(1+0.3))*(2*0.225+0.15)</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3.239+1.656</f>
        <v>4.895</v>
      </c>
      <c r="D64" s="583" t="inlineStr">
        <is>
          <t>t</t>
        </is>
      </c>
      <c r="E64" s="584">
        <f>RATES!$D$29</f>
        <v>20500.0</v>
      </c>
      <c r="F64" s="571">
        <f>C64*E64</f>
        <v>100347.49999999999</v>
      </c>
      <c r="G64" s="585" t="inlineStr">
        <is>
          <t>3.239+1.656</t>
        </is>
      </c>
    </row>
    <row r="65"/>
    <row r="66" ht="24" customHeight="1" s="12">
      <c r="A66" s="567" t="inlineStr">
        <is>
          <t>R</t>
        </is>
      </c>
      <c r="B66" s="581" t="inlineStr">
        <is>
          <t>20mm diameter in columns</t>
        </is>
      </c>
      <c r="C66" s="582">
        <f>0.622+3.166</f>
        <v>3.788</v>
      </c>
      <c r="D66" s="583" t="inlineStr">
        <is>
          <t>t</t>
        </is>
      </c>
      <c r="E66" s="584">
        <f>RATES!$D$32</f>
        <v>19000.0</v>
      </c>
      <c r="F66" s="571">
        <f>C66*E66</f>
        <v>71972.0</v>
      </c>
      <c r="G66" s="585" t="inlineStr">
        <is>
          <t>0.622+3.166</t>
        </is>
      </c>
    </row>
    <row r="67"/>
    <row r="68" ht="24" customHeight="1" s="12">
      <c r="A68" s="567" t="inlineStr">
        <is>
          <t>S</t>
        </is>
      </c>
      <c r="B68" s="581" t="inlineStr">
        <is>
          <t>25mm diameter in columns</t>
        </is>
      </c>
      <c r="C68" s="582">
        <f>6.238</f>
        <v>6.238</v>
      </c>
      <c r="D68" s="583" t="inlineStr">
        <is>
          <t>t</t>
        </is>
      </c>
      <c r="E68" s="584">
        <f>RATES!$D$33</f>
        <v>19000.0</v>
      </c>
      <c r="F68" s="571">
        <f>C68*E68</f>
        <v>118522.00000000001</v>
      </c>
      <c r="G68" s="585" t="inlineStr">
        <is>
          <t>6.238</t>
        </is>
      </c>
    </row>
    <row r="69"/>
    <row r="70" ht="24" customHeight="1" s="12">
      <c r="A70" s="567" t="inlineStr">
        <is>
          <t>T</t>
        </is>
      </c>
      <c r="B70" s="581" t="inlineStr">
        <is>
          <t>10mm diameter in beams (links)</t>
        </is>
      </c>
      <c r="C70" s="582">
        <f>0.902+0.579</f>
        <v>1.4809999999999999</v>
      </c>
      <c r="D70" s="583" t="inlineStr">
        <is>
          <t>t</t>
        </is>
      </c>
      <c r="E70" s="584">
        <f>RATES!$D$29</f>
        <v>20500.0</v>
      </c>
      <c r="F70" s="571">
        <f>C70*E70</f>
        <v>30360.499999999996</v>
      </c>
      <c r="G70" s="585" t="inlineStr">
        <is>
          <t>0.902+0.579</t>
        </is>
      </c>
    </row>
    <row r="71"/>
    <row r="72" ht="24" customHeight="1" s="12">
      <c r="A72" s="567" t="inlineStr">
        <is>
          <t>U</t>
        </is>
      </c>
      <c r="B72" s="581" t="inlineStr">
        <is>
          <t>16mm diameter in beams</t>
        </is>
      </c>
      <c r="C72" s="582">
        <f>0.740+0.406</f>
        <v>1.146</v>
      </c>
      <c r="D72" s="583" t="inlineStr">
        <is>
          <t>t</t>
        </is>
      </c>
      <c r="E72" s="584">
        <f>RATES!$D$31</f>
        <v>19500.0</v>
      </c>
      <c r="F72" s="571">
        <f>C72*E72</f>
        <v>22347.0</v>
      </c>
      <c r="G72" s="585" t="inlineStr">
        <is>
          <t>0.740+0.406</t>
        </is>
      </c>
    </row>
    <row r="73"/>
    <row r="74" ht="24" customHeight="1" s="12">
      <c r="A74" s="567" t="inlineStr">
        <is>
          <t>V</t>
        </is>
      </c>
      <c r="B74" s="581" t="inlineStr">
        <is>
          <t>20mm diameter in beams</t>
        </is>
      </c>
      <c r="C74" s="582">
        <f>0.797+1.171</f>
        <v>1.968</v>
      </c>
      <c r="D74" s="583" t="inlineStr">
        <is>
          <t>t</t>
        </is>
      </c>
      <c r="E74" s="584">
        <f>RATES!$D$32</f>
        <v>19000.0</v>
      </c>
      <c r="F74" s="571">
        <f>C74*E74</f>
        <v>37392.0</v>
      </c>
      <c r="G74" s="585" t="inlineStr">
        <is>
          <t>0.797+1.171</t>
        </is>
      </c>
    </row>
    <row r="75"/>
    <row r="76" ht="24" customHeight="1" s="12">
      <c r="A76" s="567" t="inlineStr">
        <is>
          <t>W</t>
        </is>
      </c>
      <c r="B76" s="581" t="inlineStr">
        <is>
          <t>25mm diameter in beams</t>
        </is>
      </c>
      <c r="C76" s="582">
        <f>2.427+0.885</f>
        <v>3.3120000000000003</v>
      </c>
      <c r="D76" s="583" t="inlineStr">
        <is>
          <t>t</t>
        </is>
      </c>
      <c r="E76" s="584">
        <f>RATES!$D$33</f>
        <v>19000.0</v>
      </c>
      <c r="F76" s="571">
        <f>C76*E76</f>
        <v>62928.00000000001</v>
      </c>
      <c r="G76" s="585" t="inlineStr">
        <is>
          <t>2.427+0.885</t>
        </is>
      </c>
    </row>
    <row r="77"/>
    <row r="78" ht="24" customHeight="1" s="12">
      <c r="A78" s="567" t="inlineStr">
        <is>
          <t>X</t>
        </is>
      </c>
      <c r="B78" s="581" t="inlineStr">
        <is>
          <t>10mm diameter in shear &amp; lift walls (links)</t>
        </is>
      </c>
      <c r="C78" s="582">
        <f>0.780+0.780+0.733</f>
        <v>2.293</v>
      </c>
      <c r="D78" s="583" t="inlineStr">
        <is>
          <t>t</t>
        </is>
      </c>
      <c r="E78" s="584">
        <f>RATES!$D$29</f>
        <v>20500.0</v>
      </c>
      <c r="F78" s="571">
        <f>C78*E78</f>
        <v>47006.5</v>
      </c>
      <c r="G78" s="585" t="inlineStr">
        <is>
          <t>0.780+0.780+0.733</t>
        </is>
      </c>
    </row>
    <row r="79"/>
    <row r="80" ht="24" customHeight="1" s="12">
      <c r="A80" s="567" t="inlineStr">
        <is>
          <t>Y</t>
        </is>
      </c>
      <c r="B80" s="581" t="inlineStr">
        <is>
          <t>12mm diameter in shear, lift &amp; ramp walls</t>
        </is>
      </c>
      <c r="C80" s="582">
        <f>1.092+1.082+0.939</f>
        <v>3.1130000000000004</v>
      </c>
      <c r="D80" s="583" t="inlineStr">
        <is>
          <t>t</t>
        </is>
      </c>
      <c r="E80" s="584">
        <f>RATES!$D$30</f>
        <v>20000.0</v>
      </c>
      <c r="F80" s="571">
        <f>C80*E80</f>
        <v>62260.00000000001</v>
      </c>
      <c r="G80" s="585" t="inlineStr">
        <is>
          <t>1.092+1.082+0.939</t>
        </is>
      </c>
    </row>
    <row r="81"/>
    <row r="82" ht="24" customHeight="1" s="12">
      <c r="A82" s="567" t="inlineStr">
        <is>
          <t>Z</t>
        </is>
      </c>
      <c r="B82" s="581" t="inlineStr">
        <is>
          <t>25mm diameter in shear &amp; lift walls</t>
        </is>
      </c>
      <c r="C82" s="582">
        <f>6.196+6.390+5.617</f>
        <v>18.203</v>
      </c>
      <c r="D82" s="583" t="inlineStr">
        <is>
          <t>t</t>
        </is>
      </c>
      <c r="E82" s="584">
        <f>RATES!$D$33</f>
        <v>19000.0</v>
      </c>
      <c r="F82" s="571">
        <f>C82*E82</f>
        <v>345857.0</v>
      </c>
      <c r="G82" s="585" t="inlineStr">
        <is>
          <t>6.196+6.390+5.617</t>
        </is>
      </c>
    </row>
    <row r="83"/>
    <row r="84" ht="24" customHeight="1" s="12">
      <c r="A84" s="567" t="inlineStr">
        <is>
          <t>A</t>
        </is>
      </c>
      <c r="B84" s="581" t="inlineStr">
        <is>
          <t>12mm diameter in stairs</t>
        </is>
      </c>
      <c r="C84" s="582">
        <f>0.440+0.440</f>
        <v>0.88</v>
      </c>
      <c r="D84" s="583" t="inlineStr">
        <is>
          <t>t</t>
        </is>
      </c>
      <c r="E84" s="584">
        <f>RATES!$D$30</f>
        <v>20000.0</v>
      </c>
      <c r="F84" s="571">
        <f>C84*E84</f>
        <v>17600.0</v>
      </c>
      <c r="G84" s="585" t="inlineStr">
        <is>
          <t>0.440+0.440</t>
        </is>
      </c>
    </row>
    <row r="85"/>
    <row r="86" ht="24" customHeight="1" s="12">
      <c r="A86" s="567" t="inlineStr">
        <is>
          <t>B</t>
        </is>
      </c>
      <c r="B86" s="581" t="inlineStr">
        <is>
          <t>16mm diameter in stairs</t>
        </is>
      </c>
      <c r="C86" s="582">
        <f>0.740+0.694</f>
        <v>1.434</v>
      </c>
      <c r="D86" s="583" t="inlineStr">
        <is>
          <t>t</t>
        </is>
      </c>
      <c r="E86" s="584">
        <f>RATES!$D$31</f>
        <v>19500.0</v>
      </c>
      <c r="F86" s="571">
        <f>C86*E86</f>
        <v>27963.0</v>
      </c>
      <c r="G86" s="585" t="inlineStr">
        <is>
          <t>0.740+0.694</t>
        </is>
      </c>
    </row>
    <row r="87"/>
    <row r="88" ht="24" customHeight="1" s="12">
      <c r="A88" s="567" t="inlineStr">
        <is>
          <t>C</t>
        </is>
      </c>
      <c r="B88" s="581" t="inlineStr">
        <is>
          <t>12mm diameter for suspended slab</t>
        </is>
      </c>
      <c r="C88" s="582">
        <f>35.127+33.929</f>
        <v>69.05600000000001</v>
      </c>
      <c r="D88" s="583" t="inlineStr">
        <is>
          <t>t</t>
        </is>
      </c>
      <c r="E88" s="584">
        <f>RATES!$D$30</f>
        <v>20000.0</v>
      </c>
      <c r="F88" s="571">
        <f>C88*E88</f>
        <v>1381120.0000000002</v>
      </c>
      <c r="G88" s="585" t="inlineStr">
        <is>
          <t>35.127+33.929</t>
        </is>
      </c>
    </row>
    <row r="89"/>
    <row r="90" ht="24" customHeight="1" s="12">
      <c r="A90" s="567" t="inlineStr">
        <is>
          <t>D</t>
        </is>
      </c>
      <c r="B90" s="581" t="inlineStr">
        <is>
          <t>16mm diameter for suspended slab</t>
        </is>
      </c>
      <c r="C90" s="582">
        <f>0.028</f>
        <v>0.028</v>
      </c>
      <c r="D90" s="583" t="inlineStr">
        <is>
          <t>t</t>
        </is>
      </c>
      <c r="E90" s="584">
        <f>RATES!$D$31</f>
        <v>19500.0</v>
      </c>
      <c r="F90" s="571">
        <f>C90*E90</f>
        <v>546.0</v>
      </c>
      <c r="G90" s="585" t="inlineStr">
        <is>
          <t>0.028</t>
        </is>
      </c>
    </row>
    <row r="91"/>
    <row r="92">
      <c r="A92" s="572" t="n"/>
      <c r="B92" s="586" t="str">
        <f>B31</f>
        <v>ELEMENT NO. 1: IN SITU CONCRETE/LARGE PRECAST CONCRETE</v>
      </c>
      <c r="C92" s="574" t="n"/>
      <c r="D92" s="574" t="n"/>
      <c r="E92" s="587" t="n"/>
      <c r="F92" s="576">
        <f>SUM(F33:F91)</f>
        <v>4005497.383204546</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144.5*2.45+(3*1*(3.05-2.2))*0.896+127.5*2.45+(3*1*(3.05-2.2))*0.801</f>
        <v>670.72735</v>
      </c>
      <c r="D99" s="583" t="inlineStr">
        <is>
          <t>m2</t>
        </is>
      </c>
      <c r="E99" s="584">
        <f>RATES!$D$46</f>
        <v>215.0</v>
      </c>
      <c r="F99" s="571">
        <f>C99*E99</f>
        <v>144206.38025</v>
      </c>
      <c r="G99" s="585" t="inlineStr">
        <is>
          <t>144.5*2.45+(3*1*(3.05-2.2))*0.896+127.5*2.45+(3*1*(3.05-2.2))*0.801</t>
        </is>
      </c>
    </row>
    <row r="100"/>
    <row r="101" ht="24" customHeight="1" s="12">
      <c r="A101" s="567" t="inlineStr">
        <is>
          <t>B</t>
        </is>
      </c>
      <c r="B101" s="581" t="inlineStr">
        <is>
          <t>200mm thick wall</t>
        </is>
      </c>
      <c r="C101" s="582">
        <f>16.7*2.45+(3*1*(3.05-2.2))*0.104+31.6*2.45+(3*1*(3.05-2.2))*0.199</f>
        <v>119.10765000000002</v>
      </c>
      <c r="D101" s="583" t="inlineStr">
        <is>
          <t>m2</t>
        </is>
      </c>
      <c r="E101" s="584">
        <f>RATES!$D$47</f>
        <v>265.0</v>
      </c>
      <c r="F101" s="571">
        <f>C101*E101</f>
        <v>31563.527250000006</v>
      </c>
      <c r="G101" s="585" t="inlineStr">
        <is>
          <t>16.7*2.45+(3*1*(3.05-2.2))*0.104+31.6*2.45+(3*1*(3.05-2.2))*0.199</t>
        </is>
      </c>
    </row>
    <row r="102"/>
    <row r="103">
      <c r="A103" s="572" t="n"/>
      <c r="B103" s="586" t="str">
        <f>B96</f>
        <v>ELEMENT NO. 2: MASONRY</v>
      </c>
      <c r="C103" s="574" t="n"/>
      <c r="D103" s="574" t="n"/>
      <c r="E103" s="587" t="n"/>
      <c r="F103" s="576">
        <f>SUM(F98:F102)</f>
        <v>175769.9075</v>
      </c>
    </row>
    <row r="104">
      <c r="B104" s="559" t="inlineStr">
        <is>
          <t>Carried to Bill Summary</t>
        </is>
      </c>
    </row>
    <row r="105"/>
    <row r="106"/>
    <row r="107">
      <c r="A107" s="577" t="n"/>
      <c r="B107" s="578" t="inlineStr">
        <is>
          <t>ELEMENT NO. 4: WINDOWS/DOORS</t>
        </is>
      </c>
      <c r="C107" s="569" t="n"/>
      <c r="D107" s="569" t="n"/>
      <c r="E107" s="570" t="n"/>
      <c r="F107" s="579" t="n"/>
    </row>
    <row r="108"/>
    <row r="109" ht="48" customHeight="1" s="12">
      <c r="A109" s="577" t="n"/>
      <c r="B109" s="580" t="inlineStr">
        <is>
          <t>L20 DOORS - Supply and fix the following door assemblies complete with frames, ironmongery sets to steel doors and all accessories:</t>
        </is>
      </c>
      <c r="C109" s="569" t="n"/>
      <c r="D109" s="569" t="n"/>
      <c r="E109" s="570" t="n"/>
      <c r="F109" s="579" t="n"/>
    </row>
    <row r="110" ht="48" customHeight="1" s="12">
      <c r="A110" s="567" t="inlineStr">
        <is>
          <t>A</t>
        </is>
      </c>
      <c r="B110" s="581" t="inlineStr">
        <is>
          <t>1000mm x 2200mm 1-hour fire-rated galvanised steel single-leaf security door assembly - emergency stairs (ED1)</t>
        </is>
      </c>
      <c r="C110" s="582">
        <f>3+3</f>
        <v>6.0</v>
      </c>
      <c r="D110" s="583" t="inlineStr">
        <is>
          <t>nr</t>
        </is>
      </c>
      <c r="E110" s="584">
        <f>RATES!$D$82</f>
        <v>7200.0</v>
      </c>
      <c r="F110" s="571">
        <f>C110*E110</f>
        <v>43200.0</v>
      </c>
      <c r="G110" s="585" t="inlineStr">
        <is>
          <t>3+3</t>
        </is>
      </c>
    </row>
    <row r="111"/>
    <row r="112">
      <c r="A112" s="572" t="n"/>
      <c r="B112" s="586" t="str">
        <f>B107</f>
        <v>ELEMENT NO. 4: WINDOWS/DOORS</v>
      </c>
      <c r="C112" s="574" t="n"/>
      <c r="D112" s="574" t="n"/>
      <c r="E112" s="587" t="n"/>
      <c r="F112" s="576">
        <f>SUM(F109:F111)</f>
        <v>43200.0</v>
      </c>
    </row>
    <row r="113">
      <c r="B113" s="559" t="inlineStr">
        <is>
          <t>Carried to Bill Summary</t>
        </is>
      </c>
    </row>
    <row r="114"/>
    <row r="115"/>
    <row r="116">
      <c r="A116" s="577" t="n"/>
      <c r="B116" s="578" t="inlineStr">
        <is>
          <t>ELEMENT NO. 5: FLOOR FINISHES</t>
        </is>
      </c>
      <c r="C116" s="569" t="n"/>
      <c r="D116" s="569" t="n"/>
      <c r="E116" s="570" t="n"/>
      <c r="F116" s="579" t="n"/>
    </row>
    <row r="117"/>
    <row r="118" ht="24" customHeight="1" s="12">
      <c r="A118" s="577" t="n"/>
      <c r="B118" s="580" t="inlineStr">
        <is>
          <t>M10/M40 FLOOR FINISHES</t>
        </is>
      </c>
      <c r="C118" s="569" t="n"/>
      <c r="D118" s="569" t="n"/>
      <c r="E118" s="570" t="n"/>
      <c r="F118" s="579" t="n"/>
    </row>
    <row r="119" ht="24" customHeight="1" s="12">
      <c r="A119" s="567" t="inlineStr">
        <is>
          <t>A</t>
        </is>
      </c>
      <c r="B119" s="581" t="inlineStr">
        <is>
          <t>25mm cement and sand (1:3) screeded finish laid level on concrete and finished smooth with steel trowel</t>
        </is>
      </c>
      <c r="C119" s="582">
        <f>3.3+20.0</f>
        <v>23.3</v>
      </c>
      <c r="D119" s="583" t="inlineStr">
        <is>
          <t>m2</t>
        </is>
      </c>
      <c r="E119" s="584">
        <f>RATES!$D$50</f>
        <v>68.0</v>
      </c>
      <c r="F119" s="571">
        <f>C119*E119</f>
        <v>1584.4</v>
      </c>
      <c r="G119" s="585" t="inlineStr">
        <is>
          <t>3.3+20.0</t>
        </is>
      </c>
    </row>
    <row r="120"/>
    <row r="121" ht="24" customHeight="1" s="12">
      <c r="A121" s="567" t="inlineStr">
        <is>
          <t>B</t>
        </is>
      </c>
      <c r="B121" s="581" t="inlineStr">
        <is>
          <t>12mm cement and sand (1:4) screeded bed laid level on concrete floor to receive floor tiles</t>
        </is>
      </c>
      <c r="C121" s="582">
        <f>3.3+20.0+(2*1.8*3.0+22*0.15*1.8+2.2*3.75+1.8*3.75)+(2*1.8*3.0+22*0.15*1.8+2.2*3.75+1.8*3.75)</f>
        <v>86.78</v>
      </c>
      <c r="D121" s="583" t="inlineStr">
        <is>
          <t>m2</t>
        </is>
      </c>
      <c r="E121" s="584">
        <f>RATES!$D$51</f>
        <v>48.0</v>
      </c>
      <c r="F121" s="571">
        <f>C121*E121</f>
        <v>4165.4400000000005</v>
      </c>
      <c r="G121" s="585" t="inlineStr">
        <is>
          <t>3.3+20.0+(2*1.8*3.0+22*0.15*1.8+2.2*3.75+1.8*3.75)+(2*1.8*3.0+22*0.15*1.8+2.2*3.75+1.8*3.75)</t>
        </is>
      </c>
    </row>
    <row r="122"/>
    <row r="123" ht="24" customHeight="1" s="12">
      <c r="A123" s="567" t="inlineStr">
        <is>
          <t>C</t>
        </is>
      </c>
      <c r="B123" s="581" t="inlineStr">
        <is>
          <t>500x500mm matte R11 porcelain tiles to staircases (treads, risers and landings)</t>
        </is>
      </c>
      <c r="C123" s="582">
        <f>(2*1.8*3.0+22*0.15*1.8+2.2*3.75+1.8*3.75)+(2*1.8*3.0+22*0.15*1.8+2.2*3.75+1.8*3.75)</f>
        <v>63.480000000000004</v>
      </c>
      <c r="D123" s="583" t="inlineStr">
        <is>
          <t>m2</t>
        </is>
      </c>
      <c r="E123" s="584">
        <f>RATES!$D$54</f>
        <v>270.0</v>
      </c>
      <c r="F123" s="571">
        <f>C123*E123</f>
        <v>17139.600000000002</v>
      </c>
      <c r="G123" s="585" t="inlineStr">
        <is>
          <t>(2*1.8*3.0+22*0.15*1.8+2.2*3.75+1.8*3.75)+(2*1.8*3.0+22*0.15*1.8+2.2*3.75+1.8*3.75)</t>
        </is>
      </c>
    </row>
    <row r="124"/>
    <row r="125" ht="24" customHeight="1" s="12">
      <c r="A125" s="567" t="inlineStr">
        <is>
          <t>D</t>
        </is>
      </c>
      <c r="B125" s="581" t="inlineStr">
        <is>
          <t>600x600mm semi-polished porcelain floor tiles to habitable rooms, shops &amp; offices</t>
        </is>
      </c>
      <c r="C125" s="582">
        <f>3.3</f>
        <v>3.3</v>
      </c>
      <c r="D125" s="583" t="inlineStr">
        <is>
          <t>m2</t>
        </is>
      </c>
      <c r="E125" s="584">
        <f>RATES!$D$55</f>
        <v>265.0</v>
      </c>
      <c r="F125" s="571">
        <f>C125*E125</f>
        <v>874.5</v>
      </c>
      <c r="G125" s="585" t="inlineStr">
        <is>
          <t>3.3</t>
        </is>
      </c>
    </row>
    <row r="126"/>
    <row r="127" ht="24" customHeight="1" s="12">
      <c r="A127" s="567" t="inlineStr">
        <is>
          <t>E</t>
        </is>
      </c>
      <c r="B127" s="581" t="inlineStr">
        <is>
          <t>600x600mm non-slip R11 porcelain tiles to corridors, terraces, verandah &amp; service areas</t>
        </is>
      </c>
      <c r="C127" s="582">
        <f>20.0</f>
        <v>20.0</v>
      </c>
      <c r="D127" s="583" t="inlineStr">
        <is>
          <t>m2</t>
        </is>
      </c>
      <c r="E127" s="584">
        <f>RATES!$D$57</f>
        <v>250.0</v>
      </c>
      <c r="F127" s="571">
        <f>C127*E127</f>
        <v>5000.0</v>
      </c>
      <c r="G127" s="585" t="inlineStr">
        <is>
          <t>20.0</t>
        </is>
      </c>
    </row>
    <row r="128"/>
    <row r="129" ht="24" customHeight="1" s="12">
      <c r="A129" s="567" t="inlineStr">
        <is>
          <t>F</t>
        </is>
      </c>
      <c r="B129" s="581" t="inlineStr">
        <is>
          <t>Seamless polyurethane (PU) resin screed / PU coating to parking decks &amp; ramps</t>
        </is>
      </c>
      <c r="C129" s="582">
        <f>685.4+491.5</f>
        <v>1176.9</v>
      </c>
      <c r="D129" s="583" t="inlineStr">
        <is>
          <t>m2</t>
        </is>
      </c>
      <c r="E129" s="584">
        <f>RATES!$D$59</f>
        <v>290.0</v>
      </c>
      <c r="F129" s="571">
        <f>C129*E129</f>
        <v>341301.0</v>
      </c>
      <c r="G129" s="585" t="inlineStr">
        <is>
          <t>685.4+491.5</t>
        </is>
      </c>
    </row>
    <row r="130"/>
    <row r="131">
      <c r="A131" s="572" t="n"/>
      <c r="B131" s="586" t="str">
        <f>B116</f>
        <v>ELEMENT NO. 5: FLOOR FINISHES</v>
      </c>
      <c r="C131" s="574" t="n"/>
      <c r="D131" s="574" t="n"/>
      <c r="E131" s="587" t="n"/>
      <c r="F131" s="576">
        <f>SUM(F118:F130)</f>
        <v>370064.94</v>
      </c>
    </row>
    <row r="132">
      <c r="B132" s="559" t="inlineStr">
        <is>
          <t>Carried to Bill Summary</t>
        </is>
      </c>
    </row>
    <row r="133"/>
    <row r="134"/>
    <row r="135">
      <c r="A135" s="577" t="n"/>
      <c r="B135" s="578" t="inlineStr">
        <is>
          <t>ELEMENT NO. 6: WALL FINISHES</t>
        </is>
      </c>
      <c r="C135" s="569" t="n"/>
      <c r="D135" s="569" t="n"/>
      <c r="E135" s="570" t="n"/>
      <c r="F135" s="579" t="n"/>
    </row>
    <row r="136"/>
    <row r="137" ht="48" customHeight="1" s="12">
      <c r="A137" s="577" t="n"/>
      <c r="B137" s="580" t="inlineStr">
        <is>
          <t>M20 PLASTERED/RENDERED COATINGS - 12.5mm cement and sand (1:3) rendering as described on blockwork or concrete to:</t>
        </is>
      </c>
      <c r="C137" s="569" t="n"/>
      <c r="D137" s="569" t="n"/>
      <c r="E137" s="570" t="n"/>
      <c r="F137" s="579" t="n"/>
    </row>
    <row r="138" ht="24" customHeight="1" s="12">
      <c r="A138" s="567" t="inlineStr">
        <is>
          <t>A</t>
        </is>
      </c>
      <c r="B138" s="581" t="inlineStr">
        <is>
          <t>Interior walls</t>
        </is>
      </c>
      <c r="C138" s="582">
        <f>(2*(144.5+16.7)+2*35.1-16.8-134.0)*2.45-0-2*(3*1*2.2)-(0)+(2*(127.5+31.6)+2*42.8-16.8-191.5)*2.45-0-2*(3*1*2.2)-(0)</f>
        <v>1044.985</v>
      </c>
      <c r="D138" s="583" t="inlineStr">
        <is>
          <t>m2</t>
        </is>
      </c>
      <c r="E138" s="584">
        <f>RATES!$D$48</f>
        <v>78.0</v>
      </c>
      <c r="F138" s="571">
        <f>C138*E138</f>
        <v>81508.82999999999</v>
      </c>
      <c r="G138" s="585" t="inlineStr">
        <is>
          <t>(2*(144.5+16.7)+2*35.1-16.8-134.0)*2.45-0-2*(3*1*2.2)-(0)+(2*(127.5+31.6)+2*42.8-16.8-191.5)*2.45-0-2*(3*1*2.2)-(0)</t>
        </is>
      </c>
    </row>
    <row r="139"/>
    <row r="140" ht="24" customHeight="1" s="12">
      <c r="A140" s="567" t="inlineStr">
        <is>
          <t>B</t>
        </is>
      </c>
      <c r="B140" s="581" t="inlineStr">
        <is>
          <t>External walls</t>
        </is>
      </c>
      <c r="C140" s="582">
        <f>134.0*2.7-(0)+191.5*2.7-(0)</f>
        <v>878.8500000000001</v>
      </c>
      <c r="D140" s="583" t="inlineStr">
        <is>
          <t>m2</t>
        </is>
      </c>
      <c r="E140" s="584">
        <f>RATES!$D$49</f>
        <v>88.0</v>
      </c>
      <c r="F140" s="571">
        <f>C140*E140</f>
        <v>77338.80000000002</v>
      </c>
      <c r="G140" s="585" t="inlineStr">
        <is>
          <t>134.0*2.7-(0)+191.5*2.7-(0)</t>
        </is>
      </c>
    </row>
    <row r="141"/>
    <row r="142">
      <c r="A142" s="572" t="n"/>
      <c r="B142" s="586" t="str">
        <f>B135</f>
        <v>ELEMENT NO. 6: WALL FINISHES</v>
      </c>
      <c r="C142" s="574" t="n"/>
      <c r="D142" s="574" t="n"/>
      <c r="E142" s="587" t="n"/>
      <c r="F142" s="576">
        <f>SUM(F137:F141)</f>
        <v>158847.63</v>
      </c>
    </row>
    <row r="143">
      <c r="B143" s="559" t="inlineStr">
        <is>
          <t>Carried to Bill Summary</t>
        </is>
      </c>
    </row>
    <row r="144"/>
    <row r="145"/>
    <row r="146">
      <c r="A146" s="577" t="n"/>
      <c r="B146" s="578" t="inlineStr">
        <is>
          <t>ELEMENT NO. 7: PAINTING AND DECORATING</t>
        </is>
      </c>
      <c r="C146" s="569" t="n"/>
      <c r="D146" s="569" t="n"/>
      <c r="E146" s="570" t="n"/>
      <c r="F146" s="579" t="n"/>
    </row>
    <row r="147"/>
    <row r="148" ht="24" customHeight="1" s="12">
      <c r="A148" s="577" t="n"/>
      <c r="B148" s="580" t="inlineStr">
        <is>
          <t>M60 PAINTING - Prepare and apply two undercoats and finishing coat of emulsion paint on:</t>
        </is>
      </c>
      <c r="C148" s="569" t="n"/>
      <c r="D148" s="569" t="n"/>
      <c r="E148" s="570" t="n"/>
      <c r="F148" s="579" t="n"/>
    </row>
    <row r="149" ht="24" customHeight="1" s="12">
      <c r="A149" s="567" t="inlineStr">
        <is>
          <t>A</t>
        </is>
      </c>
      <c r="B149" s="581" t="inlineStr">
        <is>
          <t>Interior walls</t>
        </is>
      </c>
      <c r="C149" s="582">
        <f>(2*(144.5+16.7)+2*35.1-16.8-134.0)*2.45-0-2*(3*1*2.2)-(0)+(2*(127.5+31.6)+2*42.8-16.8-191.5)*2.45-0-2*(3*1*2.2)-(0)</f>
        <v>1044.985</v>
      </c>
      <c r="D149" s="583" t="inlineStr">
        <is>
          <t>m2</t>
        </is>
      </c>
      <c r="E149" s="584">
        <f>RATES!$D$61</f>
        <v>45.0</v>
      </c>
      <c r="F149" s="571">
        <f>C149*E149</f>
        <v>47024.325</v>
      </c>
      <c r="G149" s="585" t="inlineStr">
        <is>
          <t>(2*(144.5+16.7)+2*35.1-16.8-134.0)*2.45-0-2*(3*1*2.2)-(0)+(2*(127.5+31.6)+2*42.8-16.8-191.5)*2.45-0-2*(3*1*2.2)-(0)</t>
        </is>
      </c>
    </row>
    <row r="150"/>
    <row r="151" ht="24" customHeight="1" s="12">
      <c r="A151" s="567" t="inlineStr">
        <is>
          <t>B</t>
        </is>
      </c>
      <c r="B151" s="581" t="inlineStr">
        <is>
          <t>Exterior walls</t>
        </is>
      </c>
      <c r="C151" s="582">
        <f>134.0*2.7-(0)+191.5*2.7-(0)</f>
        <v>878.8500000000001</v>
      </c>
      <c r="D151" s="583" t="inlineStr">
        <is>
          <t>m2</t>
        </is>
      </c>
      <c r="E151" s="584">
        <f>RATES!$D$62</f>
        <v>62.0</v>
      </c>
      <c r="F151" s="571">
        <f>C151*E151</f>
        <v>54488.70000000001</v>
      </c>
      <c r="G151" s="585" t="inlineStr">
        <is>
          <t>134.0*2.7-(0)+191.5*2.7-(0)</t>
        </is>
      </c>
    </row>
    <row r="152"/>
    <row r="153" ht="24" customHeight="1" s="12">
      <c r="A153" s="567" t="inlineStr">
        <is>
          <t>C</t>
        </is>
      </c>
      <c r="B153" s="581" t="inlineStr">
        <is>
          <t>Columns and walls; girth exceeding 300mm (exposed faces, ground &amp; parking levels)</t>
        </is>
      </c>
      <c r="C153" s="582">
        <f>5*2*(0.75+0.5)*3.8+1*2*(0.75+0.5)*3.8+2*2*(0.75+0.5)*3.8+1*2*(0.75+0.5)*2.75+3*2*(1.2+0.3)*3.8+6*2*(1.2+0.3)*3.8+1*2*(1.2+0.3)*3.8+15*2*(1.2+0.3)*2.75+1*2*(2.85+1.075)*3.8</f>
        <v>350.455</v>
      </c>
      <c r="D153" s="583" t="inlineStr">
        <is>
          <t>m2</t>
        </is>
      </c>
      <c r="E153" s="584">
        <f>RATES!$D$61</f>
        <v>45.0</v>
      </c>
      <c r="F153" s="571">
        <f>C153*E153</f>
        <v>15770.474999999999</v>
      </c>
      <c r="G153" s="585" t="inlineStr">
        <is>
          <t>5*2*(0.75+0.5)*3.8+1*2*(0.75+0.5)*3.8+2*2*(0.75+0.5)*3.8+1*2*(0.75+0.5)*2.75+3*2*(1.2+0.3)*3.8+6*2*(1.2+0.3)*3.8+1*2*(1.2+0.3)*3.8+15*2*(1.2+0.3)*2.75+1*2*(2.85+1.075)*3.8</t>
        </is>
      </c>
    </row>
    <row r="154"/>
    <row r="155" ht="24" customHeight="1" s="12">
      <c r="A155" s="567" t="inlineStr">
        <is>
          <t>D</t>
        </is>
      </c>
      <c r="B155" s="581" t="inlineStr">
        <is>
          <t>Soffit of plaster board ceilings</t>
        </is>
      </c>
      <c r="C155" s="582">
        <f>3.3</f>
        <v>3.3</v>
      </c>
      <c r="D155" s="583" t="inlineStr">
        <is>
          <t>m2</t>
        </is>
      </c>
      <c r="E155" s="584">
        <f>RATES!$D$63</f>
        <v>48.0</v>
      </c>
      <c r="F155" s="571">
        <f>C155*E155</f>
        <v>158.39999999999998</v>
      </c>
      <c r="G155" s="585" t="inlineStr">
        <is>
          <t>3.3</t>
        </is>
      </c>
    </row>
    <row r="156"/>
    <row r="157">
      <c r="A157" s="572" t="n"/>
      <c r="B157" s="586" t="str">
        <f>B146</f>
        <v>ELEMENT NO. 7: PAINTING AND DECORATING</v>
      </c>
      <c r="C157" s="574" t="n"/>
      <c r="D157" s="574" t="n"/>
      <c r="E157" s="587" t="n"/>
      <c r="F157" s="576">
        <f>SUM(F148:F156)</f>
        <v>117441.9</v>
      </c>
    </row>
    <row r="158">
      <c r="B158" s="559" t="inlineStr">
        <is>
          <t>Carried to Bill Summary</t>
        </is>
      </c>
    </row>
    <row r="159"/>
    <row r="160"/>
    <row r="161">
      <c r="B161"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G253"/>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THIRD FLOOR</t>
        </is>
      </c>
    </row>
    <row r="10"/>
    <row r="11">
      <c r="B11" s="566" t="inlineStr">
        <is>
          <t>BILL SUMMARY</t>
        </is>
      </c>
    </row>
    <row r="12"/>
    <row r="13">
      <c r="A13" s="567" t="inlineStr">
        <is>
          <t>A</t>
        </is>
      </c>
      <c r="B13" s="568" t="inlineStr">
        <is>
          <t>ELEMENT NO. 1: IN SITU CONCRETE/LARGE PRECAST CONCRETE</t>
        </is>
      </c>
      <c r="C13" s="569" t="n"/>
      <c r="D13" s="569" t="n"/>
      <c r="E13" s="570" t="n"/>
      <c r="F13" s="571">
        <f>F90</f>
        <v>3579714.5608750004</v>
      </c>
    </row>
    <row r="14"/>
    <row r="15">
      <c r="A15" s="567" t="inlineStr">
        <is>
          <t>B</t>
        </is>
      </c>
      <c r="B15" s="568" t="inlineStr">
        <is>
          <t>ELEMENT NO. 2: MASONRY</t>
        </is>
      </c>
      <c r="C15" s="569" t="n"/>
      <c r="D15" s="569" t="n"/>
      <c r="E15" s="570" t="n"/>
      <c r="F15" s="571">
        <f>F101</f>
        <v>420081.85</v>
      </c>
    </row>
    <row r="16"/>
    <row r="17">
      <c r="A17" s="567" t="inlineStr">
        <is>
          <t>C</t>
        </is>
      </c>
      <c r="B17" s="568" t="inlineStr">
        <is>
          <t>ELEMENT NO. 4: WINDOWS/DOORS</t>
        </is>
      </c>
      <c r="C17" s="569" t="n"/>
      <c r="D17" s="569" t="n"/>
      <c r="E17" s="570" t="n"/>
      <c r="F17" s="571">
        <f>F190</f>
        <v>704364.25</v>
      </c>
    </row>
    <row r="18"/>
    <row r="19">
      <c r="A19" s="567" t="inlineStr">
        <is>
          <t>D</t>
        </is>
      </c>
      <c r="B19" s="568" t="inlineStr">
        <is>
          <t>ELEMENT NO. 5: FLOOR FINISHES</t>
        </is>
      </c>
      <c r="C19" s="569" t="n"/>
      <c r="D19" s="569" t="n"/>
      <c r="E19" s="570" t="n"/>
      <c r="F19" s="571">
        <f>F211</f>
        <v>385700.14</v>
      </c>
    </row>
    <row r="20"/>
    <row r="21">
      <c r="A21" s="567" t="inlineStr">
        <is>
          <t>E</t>
        </is>
      </c>
      <c r="B21" s="568" t="inlineStr">
        <is>
          <t>ELEMENT NO. 6: WALL FINISHES</t>
        </is>
      </c>
      <c r="C21" s="569" t="n"/>
      <c r="D21" s="569" t="n"/>
      <c r="E21" s="570" t="n"/>
      <c r="F21" s="571">
        <f>F228</f>
        <v>315809.6347368421</v>
      </c>
    </row>
    <row r="22"/>
    <row r="23">
      <c r="A23" s="567" t="inlineStr">
        <is>
          <t>F</t>
        </is>
      </c>
      <c r="B23" s="568" t="inlineStr">
        <is>
          <t>ELEMENT NO. 7: PAINTING AND DECORATING</t>
        </is>
      </c>
      <c r="C23" s="569" t="n"/>
      <c r="D23" s="569" t="n"/>
      <c r="E23" s="570" t="n"/>
      <c r="F23" s="571">
        <f>F249</f>
        <v>193492.31947368424</v>
      </c>
    </row>
    <row r="24"/>
    <row r="25">
      <c r="A25" s="572" t="n"/>
      <c r="B25" s="573" t="str">
        <f>B9</f>
        <v> THIRD FLOOR</v>
      </c>
      <c r="C25" s="574" t="n"/>
      <c r="D25" s="574" t="n"/>
      <c r="E25" s="575" t="inlineStr">
        <is>
          <t>GHC</t>
        </is>
      </c>
      <c r="F25" s="576">
        <f>SUM(F13:F24)</f>
        <v>5599162.755085526</v>
      </c>
    </row>
    <row r="26">
      <c r="B26" s="559" t="inlineStr">
        <is>
          <t>To Bill General Summary</t>
        </is>
      </c>
    </row>
    <row r="27"/>
    <row r="28"/>
    <row r="29">
      <c r="B29" s="565" t="inlineStr">
        <is>
          <t>BILL NR. 6 - THIRD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1273.9*0.25</f>
        <v>318.475</v>
      </c>
      <c r="D34" s="583" t="inlineStr">
        <is>
          <t>m3</t>
        </is>
      </c>
      <c r="E34" s="584">
        <f>RATES!$D$22</f>
        <v>2650.0</v>
      </c>
      <c r="F34" s="571">
        <f>C34*E34</f>
        <v>843958.7500000001</v>
      </c>
      <c r="G34" s="585" t="inlineStr">
        <is>
          <t>1273.9*0.25</t>
        </is>
      </c>
    </row>
    <row r="35"/>
    <row r="36" ht="24" customHeight="1" s="12">
      <c r="A36" s="567" t="inlineStr">
        <is>
          <t>B</t>
        </is>
      </c>
      <c r="B36" s="581" t="inlineStr">
        <is>
          <t>Beams (downstands below slab)</t>
        </is>
      </c>
      <c r="C36" s="582">
        <f>97.4*0.3*0.35+33.1*0.2*0.35</f>
        <v>12.543999999999999</v>
      </c>
      <c r="D36" s="583" t="inlineStr">
        <is>
          <t>m3</t>
        </is>
      </c>
      <c r="E36" s="584">
        <f>RATES!$D$23</f>
        <v>2700.0</v>
      </c>
      <c r="F36" s="571">
        <f>C36*E36</f>
        <v>33868.799999999996</v>
      </c>
      <c r="G36" s="585" t="inlineStr">
        <is>
          <t>97.4*0.3*0.35+33.1*0.2*0.35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(10*(1+0.3)+19*(0.9+0.3)+21*(0.75+0.3)+2*(0.7+0.3)+3*(1.2+0.3)+3*(1+0.3)+3*(1+0.3)+2*(0.9+0.3)+1*(1.5+0.3)+3*(0.9+0.3)+5*(0.75+0.3)+1*(0.45+0.3)+3*(0.6+0.3)+1*(3+0.3)+4*(1.6+0.3)+3*(1.3+0.3)+5*(1.8+0.3)+1*(1.2+0.3)+7*(1.8+0.3)+13*(0.9+0.3)+2*(1.8+0.3)+4*(1.2+0.3)+10*(1.2+0.3)+1*(1.2+0.3)+8*(1.5+0.3)+4*(1.5+0.3)+1*(2.4+0.3)+1*(3+0.3)+4*(1.8+0.3)+1*(0.75+0.3)+1*(1.45+0.3)+12*(0.9+0.3)+5*(0.75+0.3)+1*(0.6+0.3)+1*(1.2+0.3))*0.15*0.225</f>
        <v>7.904249999999999</v>
      </c>
      <c r="D46" s="583" t="inlineStr">
        <is>
          <t>m3</t>
        </is>
      </c>
      <c r="E46" s="584">
        <f>RATES!$D$25</f>
        <v>2600.0</v>
      </c>
      <c r="F46" s="571">
        <f>C46*E46</f>
        <v>20551.05</v>
      </c>
      <c r="G46" s="585" t="inlineStr">
        <is>
          <t>(10*(1+0.3)+19*(0.9+0.3)+21*(0.75+0.3)+2*(0.7+0.3)+3*(1.2+0.3)+3*(1+0.3)+3*(1+0.3)+2*(0.9+0.3)+1*(1.5+0.3)+3*(0.9+0.3)+5*(0.75+0.3)+1*(0.45+0.3)+3*(0.6+0.3)+1*(3+0.3)+4*(1.6+0.3)+3*(1.3+0.3)+5*(1.8+0.3)+1*(1.2+0.3)+7*(1.8+0.3)+13*(0.9+0.3)+2*(1.8+...</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1273.9</f>
        <v>1273.9</v>
      </c>
      <c r="D49" s="583" t="inlineStr">
        <is>
          <t>m2</t>
        </is>
      </c>
      <c r="E49" s="584">
        <f>RATES!$D$38</f>
        <v>170.0</v>
      </c>
      <c r="F49" s="571">
        <f>C49*E49</f>
        <v>216563.00000000003</v>
      </c>
      <c r="G49" s="585" t="inlineStr">
        <is>
          <t>1273.9</t>
        </is>
      </c>
    </row>
    <row r="50"/>
    <row r="51" ht="24" customHeight="1" s="12">
      <c r="A51" s="567" t="inlineStr">
        <is>
          <t>J</t>
        </is>
      </c>
      <c r="B51" s="581" t="inlineStr">
        <is>
          <t>Edges of suspended slab 250mm high</t>
        </is>
      </c>
      <c r="C51" s="582">
        <f>232.4</f>
        <v>232.4</v>
      </c>
      <c r="D51" s="583" t="inlineStr">
        <is>
          <t>m</t>
        </is>
      </c>
      <c r="E51" s="584">
        <f>RATES!$D$40</f>
        <v>65.0</v>
      </c>
      <c r="F51" s="571">
        <f>C51*E51</f>
        <v>15106.0</v>
      </c>
      <c r="G51" s="585" t="inlineStr">
        <is>
          <t>232.4</t>
        </is>
      </c>
    </row>
    <row r="52"/>
    <row r="53" ht="24" customHeight="1" s="12">
      <c r="A53" s="567" t="inlineStr">
        <is>
          <t>K</t>
        </is>
      </c>
      <c r="B53" s="581" t="inlineStr">
        <is>
          <t>Sides and soffits of beams</t>
        </is>
      </c>
      <c r="C53" s="582">
        <f>97.4*(2*0.35+0.3)+33.1*(2*0.35+0.2)</f>
        <v>127.19</v>
      </c>
      <c r="D53" s="583" t="inlineStr">
        <is>
          <t>m2</t>
        </is>
      </c>
      <c r="E53" s="584">
        <f>RATES!$D$39</f>
        <v>200.0</v>
      </c>
      <c r="F53" s="571">
        <f>C53*E53</f>
        <v>25438.0</v>
      </c>
      <c r="G53" s="585" t="inlineStr">
        <is>
          <t>97.4*(2*0.35+0.3)+33.1*(2*0.35+0.2)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(10*(1+0.3)+19*(0.9+0.3)+21*(0.75+0.3)+2*(0.7+0.3)+3*(1.2+0.3)+3*(1+0.3)+3*(1+0.3)+2*(0.9+0.3)+1*(1.5+0.3)+3*(0.9+0.3)+5*(0.75+0.3)+1*(0.45+0.3)+3*(0.6+0.3)+1*(3+0.3)+4*(1.6+0.3)+3*(1.3+0.3)+5*(1.8+0.3)+1*(1.2+0.3)+7*(1.8+0.3)+13*(0.9+0.3)+2*(1.8+0.3)+4*(1.2+0.3)+10*(1.2+0.3)+1*(1.2+0.3)+8*(1.5+0.3)+4*(1.5+0.3)+1*(2.4+0.3)+1*(3+0.3)+4*(1.8+0.3)+1*(0.75+0.3)+1*(1.45+0.3)+12*(0.9+0.3)+5*(0.75+0.3)+1*(0.6+0.3)+1*(1.2+0.3))*(2*0.225+0.15)</f>
        <v>140.51999999999998</v>
      </c>
      <c r="D61" s="583" t="inlineStr">
        <is>
          <t>m2</t>
        </is>
      </c>
      <c r="E61" s="584">
        <f>RATES!$D$43</f>
        <v>180.0</v>
      </c>
      <c r="F61" s="571">
        <f>C61*E61</f>
        <v>25293.6</v>
      </c>
      <c r="G61" s="585" t="inlineStr">
        <is>
          <t>(10*(1+0.3)+19*(0.9+0.3)+21*(0.75+0.3)+2*(0.7+0.3)+3*(1.2+0.3)+3*(1+0.3)+3*(1+0.3)+2*(0.9+0.3)+1*(1.5+0.3)+3*(0.9+0.3)+5*(0.75+0.3)+1*(0.45+0.3)+3*(0.6+0.3)+1*(3+0.3)+4*(1.6+0.3)+3*(1.3+0.3)+5*(1.8+0.3)+1*(1.2+0.3)+7*(1.8+0.3)+13*(0.9+0.3)+2*(1.8+...</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4.551</f>
        <v>4.551</v>
      </c>
      <c r="D64" s="583" t="inlineStr">
        <is>
          <t>t</t>
        </is>
      </c>
      <c r="E64" s="584">
        <f>RATES!$D$29</f>
        <v>20500.0</v>
      </c>
      <c r="F64" s="571">
        <f>C64*E64</f>
        <v>93295.5</v>
      </c>
      <c r="G64" s="585" t="inlineStr">
        <is>
          <t>4.551</t>
        </is>
      </c>
    </row>
    <row r="65"/>
    <row r="66" ht="24" customHeight="1" s="12">
      <c r="A66" s="567" t="inlineStr">
        <is>
          <t>R</t>
        </is>
      </c>
      <c r="B66" s="581" t="inlineStr">
        <is>
          <t>20mm diameter in columns</t>
        </is>
      </c>
      <c r="C66" s="582">
        <f>7.133</f>
        <v>7.133</v>
      </c>
      <c r="D66" s="583" t="inlineStr">
        <is>
          <t>t</t>
        </is>
      </c>
      <c r="E66" s="584">
        <f>RATES!$D$32</f>
        <v>19000.0</v>
      </c>
      <c r="F66" s="571">
        <f>C66*E66</f>
        <v>135527.0</v>
      </c>
      <c r="G66" s="585" t="inlineStr">
        <is>
          <t>7.133</t>
        </is>
      </c>
    </row>
    <row r="67"/>
    <row r="68" ht="24" customHeight="1" s="12">
      <c r="A68" s="567" t="inlineStr">
        <is>
          <t>S</t>
        </is>
      </c>
      <c r="B68" s="581" t="inlineStr">
        <is>
          <t>10mm diameter in beams (links)</t>
        </is>
      </c>
      <c r="C68" s="582">
        <f>1.164</f>
        <v>1.164</v>
      </c>
      <c r="D68" s="583" t="inlineStr">
        <is>
          <t>t</t>
        </is>
      </c>
      <c r="E68" s="584">
        <f>RATES!$D$29</f>
        <v>20500.0</v>
      </c>
      <c r="F68" s="571">
        <f>C68*E68</f>
        <v>23862.0</v>
      </c>
      <c r="G68" s="585" t="inlineStr">
        <is>
          <t>1.164</t>
        </is>
      </c>
    </row>
    <row r="69"/>
    <row r="70" ht="24" customHeight="1" s="12">
      <c r="A70" s="567" t="inlineStr">
        <is>
          <t>T</t>
        </is>
      </c>
      <c r="B70" s="581" t="inlineStr">
        <is>
          <t>16mm diameter in beams</t>
        </is>
      </c>
      <c r="C70" s="582">
        <f>1.003</f>
        <v>1.003</v>
      </c>
      <c r="D70" s="583" t="inlineStr">
        <is>
          <t>t</t>
        </is>
      </c>
      <c r="E70" s="584">
        <f>RATES!$D$31</f>
        <v>19500.0</v>
      </c>
      <c r="F70" s="571">
        <f>C70*E70</f>
        <v>19558.499999999996</v>
      </c>
      <c r="G70" s="585" t="inlineStr">
        <is>
          <t>1.003</t>
        </is>
      </c>
    </row>
    <row r="71"/>
    <row r="72" ht="24" customHeight="1" s="12">
      <c r="A72" s="567" t="inlineStr">
        <is>
          <t>U</t>
        </is>
      </c>
      <c r="B72" s="581" t="inlineStr">
        <is>
          <t>20mm diameter in beams</t>
        </is>
      </c>
      <c r="C72" s="582">
        <f>2.162</f>
        <v>2.162</v>
      </c>
      <c r="D72" s="583" t="inlineStr">
        <is>
          <t>t</t>
        </is>
      </c>
      <c r="E72" s="584">
        <f>RATES!$D$32</f>
        <v>19000.0</v>
      </c>
      <c r="F72" s="571">
        <f>C72*E72</f>
        <v>41078.0</v>
      </c>
      <c r="G72" s="585" t="inlineStr">
        <is>
          <t>2.162</t>
        </is>
      </c>
    </row>
    <row r="73"/>
    <row r="74" ht="24" customHeight="1" s="12">
      <c r="A74" s="567" t="inlineStr">
        <is>
          <t>V</t>
        </is>
      </c>
      <c r="B74" s="581" t="inlineStr">
        <is>
          <t>25mm diameter in beams</t>
        </is>
      </c>
      <c r="C74" s="582">
        <f>2.016</f>
        <v>2.016</v>
      </c>
      <c r="D74" s="583" t="inlineStr">
        <is>
          <t>t</t>
        </is>
      </c>
      <c r="E74" s="584">
        <f>RATES!$D$33</f>
        <v>19000.0</v>
      </c>
      <c r="F74" s="571">
        <f>C74*E74</f>
        <v>38304.0</v>
      </c>
      <c r="G74" s="585" t="inlineStr">
        <is>
          <t>2.016</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25mm diameter in shear &amp; lift walls</t>
        </is>
      </c>
      <c r="C80" s="582">
        <f>11.314+5.441</f>
        <v>16.755</v>
      </c>
      <c r="D80" s="583" t="inlineStr">
        <is>
          <t>t</t>
        </is>
      </c>
      <c r="E80" s="584">
        <f>RATES!$D$33</f>
        <v>19000.0</v>
      </c>
      <c r="F80" s="571">
        <f>C80*E80</f>
        <v>318345.0</v>
      </c>
      <c r="G80" s="585" t="inlineStr">
        <is>
          <t>11.314+5.441</t>
        </is>
      </c>
    </row>
    <row r="81"/>
    <row r="82" ht="24" customHeight="1" s="12">
      <c r="A82" s="567" t="inlineStr">
        <is>
          <t>Z</t>
        </is>
      </c>
      <c r="B82" s="581" t="inlineStr">
        <is>
          <t>12mm diameter in stairs</t>
        </is>
      </c>
      <c r="C82" s="582">
        <f>0.880</f>
        <v>0.88</v>
      </c>
      <c r="D82" s="583" t="inlineStr">
        <is>
          <t>t</t>
        </is>
      </c>
      <c r="E82" s="584">
        <f>RATES!$D$30</f>
        <v>20000.0</v>
      </c>
      <c r="F82" s="571">
        <f>C82*E82</f>
        <v>17600.0</v>
      </c>
      <c r="G82" s="585" t="inlineStr">
        <is>
          <t>0.880</t>
        </is>
      </c>
    </row>
    <row r="83"/>
    <row r="84" ht="24" customHeight="1" s="12">
      <c r="A84" s="567" t="inlineStr">
        <is>
          <t>A</t>
        </is>
      </c>
      <c r="B84" s="581" t="inlineStr">
        <is>
          <t>16mm diameter in stairs</t>
        </is>
      </c>
      <c r="C84" s="582">
        <f>1.434</f>
        <v>1.434</v>
      </c>
      <c r="D84" s="583" t="inlineStr">
        <is>
          <t>t</t>
        </is>
      </c>
      <c r="E84" s="584">
        <f>RATES!$D$31</f>
        <v>19500.0</v>
      </c>
      <c r="F84" s="571">
        <f>C84*E84</f>
        <v>27963.0</v>
      </c>
      <c r="G84" s="585" t="inlineStr">
        <is>
          <t>1.434</t>
        </is>
      </c>
    </row>
    <row r="85"/>
    <row r="86" ht="24" customHeight="1" s="12">
      <c r="A86" s="567" t="inlineStr">
        <is>
          <t>B</t>
        </is>
      </c>
      <c r="B86" s="581" t="inlineStr">
        <is>
          <t>12mm diameter for suspended slab</t>
        </is>
      </c>
      <c r="C86" s="582">
        <f>56.828</f>
        <v>56.828</v>
      </c>
      <c r="D86" s="583" t="inlineStr">
        <is>
          <t>t</t>
        </is>
      </c>
      <c r="E86" s="584">
        <f>RATES!$D$30</f>
        <v>20000.0</v>
      </c>
      <c r="F86" s="571">
        <f>C86*E86</f>
        <v>1136560.0</v>
      </c>
      <c r="G86" s="585" t="inlineStr">
        <is>
          <t>56.828</t>
        </is>
      </c>
    </row>
    <row r="87"/>
    <row r="88" ht="24" customHeight="1" s="12">
      <c r="A88" s="567" t="inlineStr">
        <is>
          <t>C</t>
        </is>
      </c>
      <c r="B88" s="581" t="inlineStr">
        <is>
          <t>16mm diameter for suspended slab</t>
        </is>
      </c>
      <c r="C88" s="582">
        <f>0.146</f>
        <v>0.146</v>
      </c>
      <c r="D88" s="583" t="inlineStr">
        <is>
          <t>t</t>
        </is>
      </c>
      <c r="E88" s="584">
        <f>RATES!$D$31</f>
        <v>19500.0</v>
      </c>
      <c r="F88" s="571">
        <f>C88*E88</f>
        <v>2847.0</v>
      </c>
      <c r="G88" s="585" t="inlineStr">
        <is>
          <t>0.146</t>
        </is>
      </c>
    </row>
    <row r="89"/>
    <row r="90">
      <c r="A90" s="572" t="n"/>
      <c r="B90" s="586" t="str">
        <f>B31</f>
        <v>ELEMENT NO. 1: IN SITU CONCRETE/LARGE PRECAST CONCRETE</v>
      </c>
      <c r="C90" s="574" t="n"/>
      <c r="D90" s="574" t="n"/>
      <c r="E90" s="587" t="n"/>
      <c r="F90" s="576">
        <f>SUM(F33:F89)</f>
        <v>3579714.5608750004</v>
      </c>
    </row>
    <row r="91">
      <c r="B91" s="559" t="inlineStr">
        <is>
          <t>Carried to Bill Summary</t>
        </is>
      </c>
    </row>
    <row r="92"/>
    <row r="93"/>
    <row r="94">
      <c r="A94" s="577" t="n"/>
      <c r="B94" s="578" t="inlineStr">
        <is>
          <t>ELEMENT NO. 2: MASONRY</t>
        </is>
      </c>
      <c r="C94" s="569" t="n"/>
      <c r="D94" s="569" t="n"/>
      <c r="E94" s="570" t="n"/>
      <c r="F94" s="579" t="n"/>
    </row>
    <row r="95"/>
    <row r="96" ht="24" customHeight="1" s="12">
      <c r="A96" s="577" t="n"/>
      <c r="B96" s="580" t="inlineStr">
        <is>
          <t>F10 BRICK/BLOCK WALL - Solid sandcrete blockwork in cement and sand (1:4) mortar as described in:</t>
        </is>
      </c>
      <c r="C96" s="569" t="n"/>
      <c r="D96" s="569" t="n"/>
      <c r="E96" s="570" t="n"/>
      <c r="F96" s="579" t="n"/>
    </row>
    <row r="97" ht="24" customHeight="1" s="12">
      <c r="A97" s="567" t="inlineStr">
        <is>
          <t>A</t>
        </is>
      </c>
      <c r="B97" s="581" t="inlineStr">
        <is>
          <t>150mm thick wall</t>
        </is>
      </c>
      <c r="C97" s="582">
        <f>500.0*3.05+(10*1*(3.05-2.2)+19*0.9*(3.05-2.2)+21*0.75*(3.05-2.2)+2*0.7*(3.05-2.2)+3*1.2*(3.05-2.2)+3*1*(3.05-2.2)+3*1*(3.05-2.2)+2*0.9*(3.05-2.2)+1*1.5*(3.05-2.2)+3*0.9*(3.05-2.2)+5*0.75*(3.05-2.2)+1*0.45*(3.05-2.2)+3*0.6*(3.05-2.2)+1*3*(3.05-2.2)+4*1.6*(3.05-2.2)+3*1.3*(3.05-2.2)+5*1.8*(3.05-2.2)+1*1.2*(3.05-2.2)+7*1.8*(3.05-1.3)+13*0.9*(3.05-1.3)+2*1.8*(3.05-1.6)+4*1.2*(3.05-1.9)+10*1.2*(3.05-1.15)+1*1.2*(3.05-1.2)+8*1.5*(3.05-1.3)+4*1.5*(3.05-1.15)+1*2.4*(3.05-1.3)+1*3*(3.05-1.6)+4*1.8*(3.05-1.9)+1*0.75*(3.05-1.3)+1*1.45*(3.05-1.9)+12*0.9*(3.05-0.6)+5*0.75*(3.05-0.6)+1*0.6*(3.05-0.6)+1*1.2*(3.05-0.6))*0.914</f>
        <v>1750.301</v>
      </c>
      <c r="D97" s="583" t="inlineStr">
        <is>
          <t>m2</t>
        </is>
      </c>
      <c r="E97" s="584">
        <f>RATES!$D$46</f>
        <v>215.0</v>
      </c>
      <c r="F97" s="571">
        <f>C97*E97</f>
        <v>376314.71499999997</v>
      </c>
      <c r="G97" s="585" t="inlineStr">
        <is>
          <t>500.0*3.05+(10*1*(3.05-2.2)+19*0.9*(3.05-2.2)+21*0.75*(3.05-2.2)+2*0.7*(3.05-2.2)+3*1.2*(3.05-2.2)+3*1*(3.05-2.2)+3*1*(3.05-2.2)+2*0.9*(3.05-2.2)+1*1.5*(3.05-2.2)+3*0.9*(3.05-2.2)+5*0.75*(3.05-2.2)+1*0.45*(3.05-2.2)+3*0.6*(3.05-2.2)+1*3*(3.05-2.2)...</t>
        </is>
      </c>
    </row>
    <row r="98"/>
    <row r="99" ht="24" customHeight="1" s="12">
      <c r="A99" s="567" t="inlineStr">
        <is>
          <t>B</t>
        </is>
      </c>
      <c r="B99" s="581" t="inlineStr">
        <is>
          <t>200mm thick wall</t>
        </is>
      </c>
      <c r="C99" s="582">
        <f>47.2*3.05+(10*1*(3.05-2.2)+19*0.9*(3.05-2.2)+21*0.75*(3.05-2.2)+2*0.7*(3.05-2.2)+3*1.2*(3.05-2.2)+3*1*(3.05-2.2)+3*1*(3.05-2.2)+2*0.9*(3.05-2.2)+1*1.5*(3.05-2.2)+3*0.9*(3.05-2.2)+5*0.75*(3.05-2.2)+1*0.45*(3.05-2.2)+3*0.6*(3.05-2.2)+1*3*(3.05-2.2)+4*1.6*(3.05-2.2)+3*1.3*(3.05-2.2)+5*1.8*(3.05-2.2)+1*1.2*(3.05-2.2)+7*1.8*(3.05-1.3)+13*0.9*(3.05-1.3)+2*1.8*(3.05-1.6)+4*1.2*(3.05-1.9)+10*1.2*(3.05-1.15)+1*1.2*(3.05-1.2)+8*1.5*(3.05-1.3)+4*1.5*(3.05-1.15)+1*2.4*(3.05-1.3)+1*3*(3.05-1.6)+4*1.8*(3.05-1.9)+1*0.75*(3.05-1.3)+1*1.45*(3.05-1.9)+12*0.9*(3.05-0.6)+5*0.75*(3.05-0.6)+1*0.6*(3.05-0.6)+1*1.2*(3.05-0.6))*0.086</f>
        <v>165.159</v>
      </c>
      <c r="D99" s="583" t="inlineStr">
        <is>
          <t>m2</t>
        </is>
      </c>
      <c r="E99" s="584">
        <f>RATES!$D$47</f>
        <v>265.0</v>
      </c>
      <c r="F99" s="571">
        <f>C99*E99</f>
        <v>43767.134999999995</v>
      </c>
      <c r="G99" s="585" t="inlineStr">
        <is>
          <t>47.2*3.05+(10*1*(3.05-2.2)+19*0.9*(3.05-2.2)+21*0.75*(3.05-2.2)+2*0.7*(3.05-2.2)+3*1.2*(3.05-2.2)+3*1*(3.05-2.2)+3*1*(3.05-2.2)+2*0.9*(3.05-2.2)+1*1.5*(3.05-2.2)+3*0.9*(3.05-2.2)+5*0.75*(3.05-2.2)+1*0.45*(3.05-2.2)+3*0.6*(3.05-2.2)+1*3*(3.05-2.2)+...</t>
        </is>
      </c>
    </row>
    <row r="100"/>
    <row r="101">
      <c r="A101" s="572" t="n"/>
      <c r="B101" s="586" t="str">
        <f>B94</f>
        <v>ELEMENT NO. 2: MASONRY</v>
      </c>
      <c r="C101" s="574" t="n"/>
      <c r="D101" s="574" t="n"/>
      <c r="E101" s="587" t="n"/>
      <c r="F101" s="576">
        <f>SUM(F96:F100)</f>
        <v>420081.85</v>
      </c>
    </row>
    <row r="102">
      <c r="B102" s="559" t="inlineStr">
        <is>
          <t>Carried to Bill Summary</t>
        </is>
      </c>
    </row>
    <row r="103"/>
    <row r="104"/>
    <row r="105">
      <c r="A105" s="577" t="n"/>
      <c r="B105" s="578" t="inlineStr">
        <is>
          <t>ELEMENT NO. 4: WINDOWS/DOORS</t>
        </is>
      </c>
      <c r="C105" s="569" t="n"/>
      <c r="D105" s="569" t="n"/>
      <c r="E105" s="570" t="n"/>
      <c r="F105" s="579" t="n"/>
    </row>
    <row r="106"/>
    <row r="107" ht="48" customHeight="1" s="12">
      <c r="A107" s="577" t="n"/>
      <c r="B107" s="580" t="inlineStr">
        <is>
          <t>L20 DOORS - Supply and fix the following door assemblies complete with frames, ironmongery sets to steel doors and all accessories:</t>
        </is>
      </c>
      <c r="C107" s="569" t="n"/>
      <c r="D107" s="569" t="n"/>
      <c r="E107" s="570" t="n"/>
      <c r="F107" s="579" t="n"/>
    </row>
    <row r="108" ht="24" customHeight="1" s="12">
      <c r="A108" s="567" t="inlineStr">
        <is>
          <t>A</t>
        </is>
      </c>
      <c r="B108" s="581" t="inlineStr">
        <is>
          <t>1000mm x 2200mm 1-hour fire-rated galvanised steel single-leaf security door assembly (D2)</t>
        </is>
      </c>
      <c r="C108" s="582">
        <f>10</f>
        <v>10.0</v>
      </c>
      <c r="D108" s="583" t="inlineStr">
        <is>
          <t>nr</t>
        </is>
      </c>
      <c r="E108" s="584">
        <f>RATES!$D$75</f>
        <v>7800.0</v>
      </c>
      <c r="F108" s="571">
        <f>C108*E108</f>
        <v>78000.0</v>
      </c>
      <c r="G108" s="585" t="inlineStr">
        <is>
          <t>10</t>
        </is>
      </c>
    </row>
    <row r="109"/>
    <row r="110" ht="24" customHeight="1" s="12">
      <c r="A110" s="567" t="inlineStr">
        <is>
          <t>B</t>
        </is>
      </c>
      <c r="B110" s="581" t="inlineStr">
        <is>
          <t>900mm x 2200mm single leaf timber panel door (D3)</t>
        </is>
      </c>
      <c r="C110" s="582">
        <f>19</f>
        <v>19.0</v>
      </c>
      <c r="D110" s="583" t="inlineStr">
        <is>
          <t>nr</t>
        </is>
      </c>
      <c r="E110" s="584">
        <f>RATES!$D$76</f>
        <v>3400.0</v>
      </c>
      <c r="F110" s="571">
        <f>C110*E110</f>
        <v>64600.0</v>
      </c>
      <c r="G110" s="585" t="inlineStr">
        <is>
          <t>19</t>
        </is>
      </c>
    </row>
    <row r="111"/>
    <row r="112" ht="24" customHeight="1" s="12">
      <c r="A112" s="567" t="inlineStr">
        <is>
          <t>C</t>
        </is>
      </c>
      <c r="B112" s="581" t="inlineStr">
        <is>
          <t>750mm x 2200mm single leaf timber flush door (D6)</t>
        </is>
      </c>
      <c r="C112" s="582">
        <f>21</f>
        <v>21.0</v>
      </c>
      <c r="D112" s="583" t="inlineStr">
        <is>
          <t>nr</t>
        </is>
      </c>
      <c r="E112" s="584">
        <f>RATES!$D$79</f>
        <v>1900.0</v>
      </c>
      <c r="F112" s="571">
        <f>C112*E112</f>
        <v>39900.0</v>
      </c>
      <c r="G112" s="585" t="inlineStr">
        <is>
          <t>21</t>
        </is>
      </c>
    </row>
    <row r="113"/>
    <row r="114" ht="24" customHeight="1" s="12">
      <c r="A114" s="567" t="inlineStr">
        <is>
          <t>D</t>
        </is>
      </c>
      <c r="B114" s="581" t="inlineStr">
        <is>
          <t>700mm x 2200mm single-leaf 2-hour fire-rated galvanised steel door (D7)</t>
        </is>
      </c>
      <c r="C114" s="582">
        <f>2</f>
        <v>2.0</v>
      </c>
      <c r="D114" s="583" t="inlineStr">
        <is>
          <t>nr</t>
        </is>
      </c>
      <c r="E114" s="584">
        <f>RATES!$D$80</f>
        <v>6800.0</v>
      </c>
      <c r="F114" s="571">
        <f>C114*E114</f>
        <v>13600.0</v>
      </c>
      <c r="G114" s="585" t="inlineStr">
        <is>
          <t>2</t>
        </is>
      </c>
    </row>
    <row r="115"/>
    <row r="116" ht="24" customHeight="1" s="12">
      <c r="A116" s="567" t="inlineStr">
        <is>
          <t>E</t>
        </is>
      </c>
      <c r="B116" s="581" t="inlineStr">
        <is>
          <t>1200mm x 2200mm 1-hour fire-rated leaf-and-a-half galvanised steel security door assembly (D8)</t>
        </is>
      </c>
      <c r="C116" s="582">
        <f>3</f>
        <v>3.0</v>
      </c>
      <c r="D116" s="583" t="inlineStr">
        <is>
          <t>nr</t>
        </is>
      </c>
      <c r="E116" s="584">
        <f>RATES!$D$81</f>
        <v>9800.0</v>
      </c>
      <c r="F116" s="571">
        <f>C116*E116</f>
        <v>29400.0</v>
      </c>
      <c r="G116" s="585" t="inlineStr">
        <is>
          <t>3</t>
        </is>
      </c>
    </row>
    <row r="117"/>
    <row r="118" ht="48" customHeight="1" s="12">
      <c r="A118" s="567" t="inlineStr">
        <is>
          <t>F</t>
        </is>
      </c>
      <c r="B118" s="581" t="inlineStr">
        <is>
          <t>1000mm x 2200mm 1-hour fire-rated galvanised steel single-leaf security door assembly - emergency stairs (ED1)</t>
        </is>
      </c>
      <c r="C118" s="582">
        <f>3</f>
        <v>3.0</v>
      </c>
      <c r="D118" s="583" t="inlineStr">
        <is>
          <t>nr</t>
        </is>
      </c>
      <c r="E118" s="584">
        <f>RATES!$D$82</f>
        <v>7200.0</v>
      </c>
      <c r="F118" s="571">
        <f>C118*E118</f>
        <v>21600.0</v>
      </c>
      <c r="G118" s="585" t="inlineStr">
        <is>
          <t>3</t>
        </is>
      </c>
    </row>
    <row r="119"/>
    <row r="120" ht="48" customHeight="1" s="12">
      <c r="A120" s="567" t="inlineStr">
        <is>
          <t>G</t>
        </is>
      </c>
      <c r="B120" s="581" t="inlineStr">
        <is>
          <t>1000mm x 2200mm 1-hour fire-rated galvanised steel single-leaf security door with translucent glass panel (ED2)</t>
        </is>
      </c>
      <c r="C120" s="582">
        <f>3</f>
        <v>3.0</v>
      </c>
      <c r="D120" s="583" t="inlineStr">
        <is>
          <t>nr</t>
        </is>
      </c>
      <c r="E120" s="584">
        <f>RATES!$D$83</f>
        <v>8100.0</v>
      </c>
      <c r="F120" s="571">
        <f>C120*E120</f>
        <v>24300.0</v>
      </c>
      <c r="G120" s="585" t="inlineStr">
        <is>
          <t>3</t>
        </is>
      </c>
    </row>
    <row r="121"/>
    <row r="122" ht="24" customHeight="1" s="12">
      <c r="A122" s="567" t="inlineStr">
        <is>
          <t>H</t>
        </is>
      </c>
      <c r="B122" s="581" t="inlineStr">
        <is>
          <t>900mm x 2200mm 1-hour fire-rated galvanised steel single-leaf security door assembly (D9)</t>
        </is>
      </c>
      <c r="C122" s="582">
        <f>2</f>
        <v>2.0</v>
      </c>
      <c r="D122" s="583" t="inlineStr">
        <is>
          <t>nr</t>
        </is>
      </c>
      <c r="E122" s="584">
        <f>RATES!$D$84</f>
        <v>6900.0</v>
      </c>
      <c r="F122" s="571">
        <f>C122*E122</f>
        <v>13800.0</v>
      </c>
      <c r="G122" s="585" t="inlineStr">
        <is>
          <t>2</t>
        </is>
      </c>
    </row>
    <row r="123"/>
    <row r="124" ht="24" customHeight="1" s="12">
      <c r="A124" s="567" t="inlineStr">
        <is>
          <t>J</t>
        </is>
      </c>
      <c r="B124" s="581" t="inlineStr">
        <is>
          <t>1500mm x 2200mm timber bi-fold door (FD1)</t>
        </is>
      </c>
      <c r="C124" s="582">
        <f>1</f>
        <v>1.0</v>
      </c>
      <c r="D124" s="583" t="inlineStr">
        <is>
          <t>nr</t>
        </is>
      </c>
      <c r="E124" s="584">
        <f>RATES!$D$86</f>
        <v>4600.0</v>
      </c>
      <c r="F124" s="571">
        <f>C124*E124</f>
        <v>4600.0</v>
      </c>
      <c r="G124" s="585" t="inlineStr">
        <is>
          <t>1</t>
        </is>
      </c>
    </row>
    <row r="125"/>
    <row r="126" ht="24" customHeight="1" s="12">
      <c r="A126" s="567" t="inlineStr">
        <is>
          <t>K</t>
        </is>
      </c>
      <c r="B126" s="581" t="inlineStr">
        <is>
          <t>900mm x 2200mm screw-fixed galvanised steel service access panel (M1)</t>
        </is>
      </c>
      <c r="C126" s="582">
        <f>3</f>
        <v>3.0</v>
      </c>
      <c r="D126" s="583" t="inlineStr">
        <is>
          <t>nr</t>
        </is>
      </c>
      <c r="E126" s="584">
        <f>RATES!$D$87</f>
        <v>2900.0</v>
      </c>
      <c r="F126" s="571">
        <f>C126*E126</f>
        <v>8700.0</v>
      </c>
      <c r="G126" s="585" t="inlineStr">
        <is>
          <t>3</t>
        </is>
      </c>
    </row>
    <row r="127"/>
    <row r="128" ht="24" customHeight="1" s="12">
      <c r="A128" s="567" t="inlineStr">
        <is>
          <t>L</t>
        </is>
      </c>
      <c r="B128" s="581" t="inlineStr">
        <is>
          <t>750mm x 2200mm screw-fixed galvanised steel service access panel (M2)</t>
        </is>
      </c>
      <c r="C128" s="582">
        <f>5</f>
        <v>5.0</v>
      </c>
      <c r="D128" s="583" t="inlineStr">
        <is>
          <t>nr</t>
        </is>
      </c>
      <c r="E128" s="584">
        <f>RATES!$D$88</f>
        <v>2600.0</v>
      </c>
      <c r="F128" s="571">
        <f>C128*E128</f>
        <v>13000.0</v>
      </c>
      <c r="G128" s="585" t="inlineStr">
        <is>
          <t>5</t>
        </is>
      </c>
    </row>
    <row r="129"/>
    <row r="130" ht="24" customHeight="1" s="12">
      <c r="A130" s="567" t="inlineStr">
        <is>
          <t>M</t>
        </is>
      </c>
      <c r="B130" s="581" t="inlineStr">
        <is>
          <t>450mm x 2200mm screw-fixed galvanised steel service access panel (M3)</t>
        </is>
      </c>
      <c r="C130" s="582">
        <f>1</f>
        <v>1.0</v>
      </c>
      <c r="D130" s="583" t="inlineStr">
        <is>
          <t>nr</t>
        </is>
      </c>
      <c r="E130" s="584">
        <f>RATES!$D$89</f>
        <v>1900.0</v>
      </c>
      <c r="F130" s="571">
        <f>C130*E130</f>
        <v>1900.0</v>
      </c>
      <c r="G130" s="585" t="inlineStr">
        <is>
          <t>1</t>
        </is>
      </c>
    </row>
    <row r="131"/>
    <row r="132" ht="24" customHeight="1" s="12">
      <c r="A132" s="567" t="inlineStr">
        <is>
          <t>N</t>
        </is>
      </c>
      <c r="B132" s="581" t="inlineStr">
        <is>
          <t>600mm x 2200mm screw-fixed galvanised steel service access panel (M5)</t>
        </is>
      </c>
      <c r="C132" s="582">
        <f>3</f>
        <v>3.0</v>
      </c>
      <c r="D132" s="583" t="inlineStr">
        <is>
          <t>nr</t>
        </is>
      </c>
      <c r="E132" s="584">
        <f>RATES!$D$90</f>
        <v>2200.0</v>
      </c>
      <c r="F132" s="571">
        <f>C132*E132</f>
        <v>6600.0</v>
      </c>
      <c r="G132" s="585" t="inlineStr">
        <is>
          <t>3</t>
        </is>
      </c>
    </row>
    <row r="133"/>
    <row r="134" ht="24" customHeight="1" s="12">
      <c r="A134" s="567" t="inlineStr">
        <is>
          <t>P</t>
        </is>
      </c>
      <c r="B134" s="581" t="inlineStr">
        <is>
          <t>3000mm x 2200mm 3-panel galvanised steel framed tempered glass sliding door (SD1)</t>
        </is>
      </c>
      <c r="C134" s="582">
        <f>1</f>
        <v>1.0</v>
      </c>
      <c r="D134" s="583" t="inlineStr">
        <is>
          <t>nr</t>
        </is>
      </c>
      <c r="E134" s="584">
        <f>RATES!$D$94</f>
        <v>14500.0</v>
      </c>
      <c r="F134" s="571">
        <f>C134*E134</f>
        <v>14500.0</v>
      </c>
      <c r="G134" s="585" t="inlineStr">
        <is>
          <t>1</t>
        </is>
      </c>
    </row>
    <row r="135"/>
    <row r="136" ht="24" customHeight="1" s="12">
      <c r="A136" s="567" t="inlineStr">
        <is>
          <t>Q</t>
        </is>
      </c>
      <c r="B136" s="581" t="inlineStr">
        <is>
          <t>1600mm x 2200mm 2-panel galvanised steel framed tempered glass sliding door (SD2)</t>
        </is>
      </c>
      <c r="C136" s="582">
        <f>4</f>
        <v>4.0</v>
      </c>
      <c r="D136" s="583" t="inlineStr">
        <is>
          <t>nr</t>
        </is>
      </c>
      <c r="E136" s="584">
        <f>RATES!$D$95</f>
        <v>8800.0</v>
      </c>
      <c r="F136" s="571">
        <f>C136*E136</f>
        <v>35200.0</v>
      </c>
      <c r="G136" s="585" t="inlineStr">
        <is>
          <t>4</t>
        </is>
      </c>
    </row>
    <row r="137"/>
    <row r="138" ht="24" customHeight="1" s="12">
      <c r="A138" s="567" t="inlineStr">
        <is>
          <t>R</t>
        </is>
      </c>
      <c r="B138" s="581" t="inlineStr">
        <is>
          <t>1300mm x 2200mm 2-panel galvanised steel framed tempered glass sliding door (SD3)</t>
        </is>
      </c>
      <c r="C138" s="582">
        <f>3</f>
        <v>3.0</v>
      </c>
      <c r="D138" s="583" t="inlineStr">
        <is>
          <t>nr</t>
        </is>
      </c>
      <c r="E138" s="584">
        <f>RATES!$D$96</f>
        <v>7600.0</v>
      </c>
      <c r="F138" s="571">
        <f>C138*E138</f>
        <v>22800.0</v>
      </c>
      <c r="G138" s="585" t="inlineStr">
        <is>
          <t>3</t>
        </is>
      </c>
    </row>
    <row r="139"/>
    <row r="140" ht="24" customHeight="1" s="12">
      <c r="A140" s="567" t="inlineStr">
        <is>
          <t>S</t>
        </is>
      </c>
      <c r="B140" s="581" t="inlineStr">
        <is>
          <t>1800mm x 2200mm 2-panel galvanised steel framed tempered glass sliding door (SD4)</t>
        </is>
      </c>
      <c r="C140" s="582">
        <f>5</f>
        <v>5.0</v>
      </c>
      <c r="D140" s="583" t="inlineStr">
        <is>
          <t>nr</t>
        </is>
      </c>
      <c r="E140" s="584">
        <f>RATES!$D$97</f>
        <v>9300.0</v>
      </c>
      <c r="F140" s="571">
        <f>C140*E140</f>
        <v>46500.0</v>
      </c>
      <c r="G140" s="585" t="inlineStr">
        <is>
          <t>5</t>
        </is>
      </c>
    </row>
    <row r="141"/>
    <row r="142" ht="24" customHeight="1" s="12">
      <c r="A142" s="567" t="inlineStr">
        <is>
          <t>T</t>
        </is>
      </c>
      <c r="B142" s="581" t="inlineStr">
        <is>
          <t>1200mm x 2200mm 2-panel galvanised steel framed tempered glass sliding door (SD5)</t>
        </is>
      </c>
      <c r="C142" s="582">
        <f>1</f>
        <v>1.0</v>
      </c>
      <c r="D142" s="583" t="inlineStr">
        <is>
          <t>nr</t>
        </is>
      </c>
      <c r="E142" s="584">
        <f>RATES!$D$98</f>
        <v>7200.0</v>
      </c>
      <c r="F142" s="571">
        <f>C142*E142</f>
        <v>7200.0</v>
      </c>
      <c r="G142" s="585" t="inlineStr">
        <is>
          <t>1</t>
        </is>
      </c>
    </row>
    <row r="143"/>
    <row r="144" ht="24" customHeight="1" s="12">
      <c r="A144" s="567" t="inlineStr">
        <is>
          <t>U</t>
        </is>
      </c>
      <c r="B144" s="581" t="inlineStr">
        <is>
          <t>50mm x 150mm frames (to timber doors)</t>
        </is>
      </c>
      <c r="C144" s="582">
        <f>19*(2*2.2+0.9)+21*(2*2.2+0.75)+1*(2*2.2+1.5)</f>
        <v>214.75000000000003</v>
      </c>
      <c r="D144" s="583" t="inlineStr">
        <is>
          <t>m</t>
        </is>
      </c>
      <c r="E144" s="584">
        <f>RATES!$D$100</f>
        <v>125.0</v>
      </c>
      <c r="F144" s="571">
        <f>C144*E144</f>
        <v>26843.750000000004</v>
      </c>
      <c r="G144" s="585" t="inlineStr">
        <is>
          <t>19*(2*2.2+0.9)+21*(2*2.2+0.75)+1*(2*2.2+1.5)</t>
        </is>
      </c>
    </row>
    <row r="145"/>
    <row r="146" ht="24" customHeight="1" s="12">
      <c r="A146" s="567" t="inlineStr">
        <is>
          <t>V</t>
        </is>
      </c>
      <c r="B146" s="581" t="inlineStr">
        <is>
          <t>50mm x 12mm door stop</t>
        </is>
      </c>
      <c r="C146" s="582">
        <f>19*(2*2.2+0.9)+21*(2*2.2+0.75)+1*(2*2.2+1.5)</f>
        <v>214.75000000000003</v>
      </c>
      <c r="D146" s="583" t="inlineStr">
        <is>
          <t>m</t>
        </is>
      </c>
      <c r="E146" s="584">
        <f>RATES!$D$101</f>
        <v>28.0</v>
      </c>
      <c r="F146" s="571">
        <f>C146*E146</f>
        <v>6013.000000000001</v>
      </c>
      <c r="G146" s="585" t="inlineStr">
        <is>
          <t>19*(2*2.2+0.9)+21*(2*2.2+0.75)+1*(2*2.2+1.5)</t>
        </is>
      </c>
    </row>
    <row r="147"/>
    <row r="148" ht="48" customHeight="1" s="12">
      <c r="A148" s="577" t="n"/>
      <c r="B148" s="580" t="inlineStr">
        <is>
          <t>Ironmongery - Supply and fix the following approved ironmongery to hardwood with accompanying patented screws:</t>
        </is>
      </c>
      <c r="C148" s="569" t="n"/>
      <c r="D148" s="569" t="n"/>
      <c r="E148" s="570" t="n"/>
      <c r="F148" s="579" t="n"/>
    </row>
    <row r="149" ht="24" customHeight="1" s="12">
      <c r="A149" s="567" t="inlineStr">
        <is>
          <t>W</t>
        </is>
      </c>
      <c r="B149" s="581" t="inlineStr">
        <is>
          <t>Pair 100mm brass butt hinges</t>
        </is>
      </c>
      <c r="C149" s="582">
        <f>60</f>
        <v>60.0</v>
      </c>
      <c r="D149" s="583" t="inlineStr">
        <is>
          <t>pr</t>
        </is>
      </c>
      <c r="E149" s="584">
        <f>RATES!$D$102</f>
        <v>125.0</v>
      </c>
      <c r="F149" s="571">
        <f>C149*E149</f>
        <v>7500.0</v>
      </c>
      <c r="G149" s="585" t="inlineStr">
        <is>
          <t>60</t>
        </is>
      </c>
    </row>
    <row r="150"/>
    <row r="151" ht="24" customHeight="1" s="12">
      <c r="A151" s="567" t="inlineStr">
        <is>
          <t>X</t>
        </is>
      </c>
      <c r="B151" s="581" t="inlineStr">
        <is>
          <t>Ordinary locks</t>
        </is>
      </c>
      <c r="C151" s="582">
        <f>19</f>
        <v>19.0</v>
      </c>
      <c r="D151" s="583" t="inlineStr">
        <is>
          <t>nr</t>
        </is>
      </c>
      <c r="E151" s="584">
        <f>RATES!$D$103</f>
        <v>480.0</v>
      </c>
      <c r="F151" s="571">
        <f>C151*E151</f>
        <v>9120.0</v>
      </c>
      <c r="G151" s="585" t="inlineStr">
        <is>
          <t>19</t>
        </is>
      </c>
    </row>
    <row r="152"/>
    <row r="153" ht="24" customHeight="1" s="12">
      <c r="A153" s="567" t="inlineStr">
        <is>
          <t>Y</t>
        </is>
      </c>
      <c r="B153" s="581" t="inlineStr">
        <is>
          <t>Approved high quality mortice indicator lock</t>
        </is>
      </c>
      <c r="C153" s="582">
        <f>21</f>
        <v>21.0</v>
      </c>
      <c r="D153" s="583" t="inlineStr">
        <is>
          <t>nr</t>
        </is>
      </c>
      <c r="E153" s="584">
        <f>RATES!$D$104</f>
        <v>560.0</v>
      </c>
      <c r="F153" s="571">
        <f>C153*E153</f>
        <v>11760.0</v>
      </c>
      <c r="G153" s="585" t="inlineStr">
        <is>
          <t>21</t>
        </is>
      </c>
    </row>
    <row r="154"/>
    <row r="155" ht="72" customHeight="1" s="12">
      <c r="A155" s="577" t="n"/>
      <c r="B155"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5" s="569" t="n"/>
      <c r="D155" s="569" t="n"/>
      <c r="E155" s="570" t="n"/>
      <c r="F155" s="579" t="n"/>
    </row>
    <row r="156" ht="24" customHeight="1" s="12">
      <c r="A156" s="567" t="inlineStr">
        <is>
          <t>Z</t>
        </is>
      </c>
      <c r="B156" s="581" t="inlineStr">
        <is>
          <t>2 bay alu. framed glass sliding window 1800mm x 1300mm (W2)</t>
        </is>
      </c>
      <c r="C156" s="582">
        <f>7</f>
        <v>7.0</v>
      </c>
      <c r="D156" s="583" t="inlineStr">
        <is>
          <t>nr</t>
        </is>
      </c>
      <c r="E156" s="584">
        <f>RATES!$D$109</f>
        <v>3861.0000000000005</v>
      </c>
      <c r="F156" s="571">
        <f>C156*E156</f>
        <v>27027.000000000004</v>
      </c>
      <c r="G156" s="585" t="inlineStr">
        <is>
          <t>7</t>
        </is>
      </c>
    </row>
    <row r="157"/>
    <row r="158" ht="24" customHeight="1" s="12">
      <c r="A158" s="567" t="inlineStr">
        <is>
          <t>A</t>
        </is>
      </c>
      <c r="B158" s="581" t="inlineStr">
        <is>
          <t>1 bay alu. framed glass awning window 900mm x 1300mm (W4)</t>
        </is>
      </c>
      <c r="C158" s="582">
        <f>13</f>
        <v>13.0</v>
      </c>
      <c r="D158" s="583" t="inlineStr">
        <is>
          <t>nr</t>
        </is>
      </c>
      <c r="E158" s="584">
        <f>RATES!$D$111</f>
        <v>1930.5000000000002</v>
      </c>
      <c r="F158" s="571">
        <f>C158*E158</f>
        <v>25096.500000000004</v>
      </c>
      <c r="G158" s="585" t="inlineStr">
        <is>
          <t>13</t>
        </is>
      </c>
    </row>
    <row r="159"/>
    <row r="160" ht="24" customHeight="1" s="12">
      <c r="A160" s="567" t="inlineStr">
        <is>
          <t>B</t>
        </is>
      </c>
      <c r="B160" s="581" t="inlineStr">
        <is>
          <t>2 bay alu. framed glass sliding window 1800mm x 1600mm (W7)</t>
        </is>
      </c>
      <c r="C160" s="582">
        <f>2</f>
        <v>2.0</v>
      </c>
      <c r="D160" s="583" t="inlineStr">
        <is>
          <t>nr</t>
        </is>
      </c>
      <c r="E160" s="584">
        <f>RATES!$D$114</f>
        <v>4752.000000000001</v>
      </c>
      <c r="F160" s="571">
        <f>C160*E160</f>
        <v>9504.000000000002</v>
      </c>
      <c r="G160" s="585" t="inlineStr">
        <is>
          <t>2</t>
        </is>
      </c>
    </row>
    <row r="161"/>
    <row r="162" ht="24" customHeight="1" s="12">
      <c r="A162" s="567" t="inlineStr">
        <is>
          <t>C</t>
        </is>
      </c>
      <c r="B162" s="581" t="inlineStr">
        <is>
          <t>1 x 3 bay alu. framed glass awning window 1200mm x 1900mm (W8)</t>
        </is>
      </c>
      <c r="C162" s="582">
        <f>4</f>
        <v>4.0</v>
      </c>
      <c r="D162" s="583" t="inlineStr">
        <is>
          <t>nr</t>
        </is>
      </c>
      <c r="E162" s="584">
        <f>RATES!$D$115</f>
        <v>3761.9999999999995</v>
      </c>
      <c r="F162" s="571">
        <f>C162*E162</f>
        <v>15047.999999999998</v>
      </c>
      <c r="G162" s="585" t="inlineStr">
        <is>
          <t>4</t>
        </is>
      </c>
    </row>
    <row r="163"/>
    <row r="164" ht="24" customHeight="1" s="12">
      <c r="A164" s="567" t="inlineStr">
        <is>
          <t>D</t>
        </is>
      </c>
      <c r="B164" s="581" t="inlineStr">
        <is>
          <t>2 bay alu. framed glass sliding window 1200mm x 1150mm (W9)</t>
        </is>
      </c>
      <c r="C164" s="582">
        <f>10</f>
        <v>10.0</v>
      </c>
      <c r="D164" s="583" t="inlineStr">
        <is>
          <t>nr</t>
        </is>
      </c>
      <c r="E164" s="584">
        <f>RATES!$D$116</f>
        <v>2277.0</v>
      </c>
      <c r="F164" s="571">
        <f>C164*E164</f>
        <v>22770.0</v>
      </c>
      <c r="G164" s="585" t="inlineStr">
        <is>
          <t>10</t>
        </is>
      </c>
    </row>
    <row r="165"/>
    <row r="166" ht="24" customHeight="1" s="12">
      <c r="A166" s="567" t="inlineStr">
        <is>
          <t>E</t>
        </is>
      </c>
      <c r="B166" s="581" t="inlineStr">
        <is>
          <t>2 bay alu. framed glass sliding window 1200mm x 1200mm (W10)</t>
        </is>
      </c>
      <c r="C166" s="582">
        <f>1</f>
        <v>1.0</v>
      </c>
      <c r="D166" s="583" t="inlineStr">
        <is>
          <t>nr</t>
        </is>
      </c>
      <c r="E166" s="584">
        <f>RATES!$D$117</f>
        <v>2376.0</v>
      </c>
      <c r="F166" s="571">
        <f>C166*E166</f>
        <v>2376.0</v>
      </c>
      <c r="G166" s="585" t="inlineStr">
        <is>
          <t>1</t>
        </is>
      </c>
    </row>
    <row r="167"/>
    <row r="168" ht="24" customHeight="1" s="12">
      <c r="A168" s="567" t="inlineStr">
        <is>
          <t>F</t>
        </is>
      </c>
      <c r="B168" s="581" t="inlineStr">
        <is>
          <t>2 bay alu. framed glass sliding window 1500mm x 1300mm (W11)</t>
        </is>
      </c>
      <c r="C168" s="582">
        <f>8</f>
        <v>8.0</v>
      </c>
      <c r="D168" s="583" t="inlineStr">
        <is>
          <t>nr</t>
        </is>
      </c>
      <c r="E168" s="584">
        <f>RATES!$D$118</f>
        <v>3217.5000000000005</v>
      </c>
      <c r="F168" s="571">
        <f>C168*E168</f>
        <v>25740.000000000004</v>
      </c>
      <c r="G168" s="585" t="inlineStr">
        <is>
          <t>8</t>
        </is>
      </c>
    </row>
    <row r="169"/>
    <row r="170" ht="24" customHeight="1" s="12">
      <c r="A170" s="567" t="inlineStr">
        <is>
          <t>G</t>
        </is>
      </c>
      <c r="B170" s="581" t="inlineStr">
        <is>
          <t>2 bay alu. framed glass sliding window 1500mm x 1150mm (W12)</t>
        </is>
      </c>
      <c r="C170" s="582">
        <f>4</f>
        <v>4.0</v>
      </c>
      <c r="D170" s="583" t="inlineStr">
        <is>
          <t>nr</t>
        </is>
      </c>
      <c r="E170" s="584">
        <f>RATES!$D$119</f>
        <v>2846.25</v>
      </c>
      <c r="F170" s="571">
        <f>C170*E170</f>
        <v>11385.0</v>
      </c>
      <c r="G170" s="585" t="inlineStr">
        <is>
          <t>4</t>
        </is>
      </c>
    </row>
    <row r="171"/>
    <row r="172" ht="24" customHeight="1" s="12">
      <c r="A172" s="567" t="inlineStr">
        <is>
          <t>H</t>
        </is>
      </c>
      <c r="B172" s="581" t="inlineStr">
        <is>
          <t>3 bay alu. framed glass awning window 2400mm x 1300mm (W13)</t>
        </is>
      </c>
      <c r="C172" s="582">
        <f>1</f>
        <v>1.0</v>
      </c>
      <c r="D172" s="583" t="inlineStr">
        <is>
          <t>nr</t>
        </is>
      </c>
      <c r="E172" s="584">
        <f>RATES!$D$120</f>
        <v>5148.0</v>
      </c>
      <c r="F172" s="571">
        <f>C172*E172</f>
        <v>5148.0</v>
      </c>
      <c r="G172" s="585" t="inlineStr">
        <is>
          <t>1</t>
        </is>
      </c>
    </row>
    <row r="173"/>
    <row r="174" ht="24" customHeight="1" s="12">
      <c r="A174" s="567" t="inlineStr">
        <is>
          <t>J</t>
        </is>
      </c>
      <c r="B174" s="581" t="inlineStr">
        <is>
          <t>3 bay alu. framed glass sliding window 3000mm x 1600mm (W15)</t>
        </is>
      </c>
      <c r="C174" s="582">
        <f>1</f>
        <v>1.0</v>
      </c>
      <c r="D174" s="583" t="inlineStr">
        <is>
          <t>nr</t>
        </is>
      </c>
      <c r="E174" s="584">
        <f>RATES!$D$122</f>
        <v>7920.000000000001</v>
      </c>
      <c r="F174" s="571">
        <f>C174*E174</f>
        <v>7920.000000000001</v>
      </c>
      <c r="G174" s="585" t="inlineStr">
        <is>
          <t>1</t>
        </is>
      </c>
    </row>
    <row r="175"/>
    <row r="176" ht="24" customHeight="1" s="12">
      <c r="A176" s="567" t="inlineStr">
        <is>
          <t>K</t>
        </is>
      </c>
      <c r="B176" s="581" t="inlineStr">
        <is>
          <t>2 x 3 alu. framed glass awning window 1800mm x 1900mm (W17)</t>
        </is>
      </c>
      <c r="C176" s="582">
        <f>4</f>
        <v>4.0</v>
      </c>
      <c r="D176" s="583" t="inlineStr">
        <is>
          <t>nr</t>
        </is>
      </c>
      <c r="E176" s="584">
        <f>RATES!$D$124</f>
        <v>5643.0</v>
      </c>
      <c r="F176" s="571">
        <f>C176*E176</f>
        <v>22572.0</v>
      </c>
      <c r="G176" s="585" t="inlineStr">
        <is>
          <t>4</t>
        </is>
      </c>
    </row>
    <row r="177"/>
    <row r="178" ht="24" customHeight="1" s="12">
      <c r="A178" s="567" t="inlineStr">
        <is>
          <t>L</t>
        </is>
      </c>
      <c r="B178" s="581" t="inlineStr">
        <is>
          <t>1 bay alu. framed glass awning window 750mm x 1300mm (W18)</t>
        </is>
      </c>
      <c r="C178" s="582">
        <f>1</f>
        <v>1.0</v>
      </c>
      <c r="D178" s="583" t="inlineStr">
        <is>
          <t>nr</t>
        </is>
      </c>
      <c r="E178" s="584">
        <f>RATES!$D$125</f>
        <v>1608.7500000000002</v>
      </c>
      <c r="F178" s="571">
        <f>C178*E178</f>
        <v>1608.7500000000002</v>
      </c>
      <c r="G178" s="585" t="inlineStr">
        <is>
          <t>1</t>
        </is>
      </c>
    </row>
    <row r="179"/>
    <row r="180" ht="24" customHeight="1" s="12">
      <c r="A180" s="567" t="inlineStr">
        <is>
          <t>M</t>
        </is>
      </c>
      <c r="B180" s="581" t="inlineStr">
        <is>
          <t>2 x 3 alu. framed glass awning window 1450mm x 1900mm (W20)</t>
        </is>
      </c>
      <c r="C180" s="582">
        <f>1</f>
        <v>1.0</v>
      </c>
      <c r="D180" s="583" t="inlineStr">
        <is>
          <t>nr</t>
        </is>
      </c>
      <c r="E180" s="584">
        <f>RATES!$D$127</f>
        <v>4545.75</v>
      </c>
      <c r="F180" s="571">
        <f>C180*E180</f>
        <v>4545.75</v>
      </c>
      <c r="G180" s="585" t="inlineStr">
        <is>
          <t>1</t>
        </is>
      </c>
    </row>
    <row r="181"/>
    <row r="182" ht="24" customHeight="1" s="12">
      <c r="A182" s="567" t="inlineStr">
        <is>
          <t>N</t>
        </is>
      </c>
      <c r="B182" s="581" t="inlineStr">
        <is>
          <t>2 bay alu. framed glass sliding window 900mm x 600mm (HW1)</t>
        </is>
      </c>
      <c r="C182" s="582">
        <f>12</f>
        <v>12.0</v>
      </c>
      <c r="D182" s="583" t="inlineStr">
        <is>
          <t>nr</t>
        </is>
      </c>
      <c r="E182" s="584">
        <f>RATES!$D$128</f>
        <v>891.0000000000001</v>
      </c>
      <c r="F182" s="571">
        <f>C182*E182</f>
        <v>10692.000000000002</v>
      </c>
      <c r="G182" s="585" t="inlineStr">
        <is>
          <t>12</t>
        </is>
      </c>
    </row>
    <row r="183"/>
    <row r="184" ht="24" customHeight="1" s="12">
      <c r="A184" s="567" t="inlineStr">
        <is>
          <t>P</t>
        </is>
      </c>
      <c r="B184" s="581" t="inlineStr">
        <is>
          <t>2 bay alu. framed glass sliding window 750mm x 600mm (HW2)</t>
        </is>
      </c>
      <c r="C184" s="582">
        <f>5</f>
        <v>5.0</v>
      </c>
      <c r="D184" s="583" t="inlineStr">
        <is>
          <t>nr</t>
        </is>
      </c>
      <c r="E184" s="584">
        <f>RATES!$D$129</f>
        <v>742.4999999999999</v>
      </c>
      <c r="F184" s="571">
        <f>C184*E184</f>
        <v>3712.4999999999995</v>
      </c>
      <c r="G184" s="585" t="inlineStr">
        <is>
          <t>5</t>
        </is>
      </c>
    </row>
    <row r="185"/>
    <row r="186" ht="24" customHeight="1" s="12">
      <c r="A186" s="567" t="inlineStr">
        <is>
          <t>Q</t>
        </is>
      </c>
      <c r="B186" s="581" t="inlineStr">
        <is>
          <t>2 bay alu. framed glass sliding window 600mm x 600mm (HW3)</t>
        </is>
      </c>
      <c r="C186" s="582">
        <f>1</f>
        <v>1.0</v>
      </c>
      <c r="D186" s="583" t="inlineStr">
        <is>
          <t>nr</t>
        </is>
      </c>
      <c r="E186" s="584">
        <f>RATES!$D$130</f>
        <v>594.0</v>
      </c>
      <c r="F186" s="571">
        <f>C186*E186</f>
        <v>594.0</v>
      </c>
      <c r="G186" s="585" t="inlineStr">
        <is>
          <t>1</t>
        </is>
      </c>
    </row>
    <row r="187"/>
    <row r="188" ht="24" customHeight="1" s="12">
      <c r="A188" s="567" t="inlineStr">
        <is>
          <t>R</t>
        </is>
      </c>
      <c r="B188" s="581" t="inlineStr">
        <is>
          <t>2 bay alu. framed glass sliding window 1200mm x 600mm (HW4)</t>
        </is>
      </c>
      <c r="C188" s="582">
        <f>1</f>
        <v>1.0</v>
      </c>
      <c r="D188" s="583" t="inlineStr">
        <is>
          <t>nr</t>
        </is>
      </c>
      <c r="E188" s="584">
        <f>RATES!$D$131</f>
        <v>1188.0</v>
      </c>
      <c r="F188" s="571">
        <f>C188*E188</f>
        <v>1188.0</v>
      </c>
      <c r="G188" s="585" t="inlineStr">
        <is>
          <t>1</t>
        </is>
      </c>
    </row>
    <row r="189"/>
    <row r="190">
      <c r="A190" s="572" t="n"/>
      <c r="B190" s="586" t="str">
        <f>B105</f>
        <v>ELEMENT NO. 4: WINDOWS/DOORS</v>
      </c>
      <c r="C190" s="574" t="n"/>
      <c r="D190" s="574" t="n"/>
      <c r="E190" s="587" t="n"/>
      <c r="F190" s="576">
        <f>SUM(F107:F189)</f>
        <v>704364.25</v>
      </c>
    </row>
    <row r="191">
      <c r="B191" s="559" t="inlineStr">
        <is>
          <t>Carried to Bill Summary</t>
        </is>
      </c>
    </row>
    <row r="192"/>
    <row r="193"/>
    <row r="194">
      <c r="A194" s="577" t="n"/>
      <c r="B194" s="578" t="inlineStr">
        <is>
          <t>ELEMENT NO. 5: FLOOR FINISHES</t>
        </is>
      </c>
      <c r="C194" s="569" t="n"/>
      <c r="D194" s="569" t="n"/>
      <c r="E194" s="570" t="n"/>
      <c r="F194" s="579" t="n"/>
    </row>
    <row r="195"/>
    <row r="196" ht="24" customHeight="1" s="12">
      <c r="A196" s="577" t="n"/>
      <c r="B196" s="580" t="inlineStr">
        <is>
          <t>M10/M40 FLOOR FINISHES</t>
        </is>
      </c>
      <c r="C196" s="569" t="n"/>
      <c r="D196" s="569" t="n"/>
      <c r="E196" s="570" t="n"/>
      <c r="F196" s="579" t="n"/>
    </row>
    <row r="197" ht="24" customHeight="1" s="12">
      <c r="A197" s="567" t="inlineStr">
        <is>
          <t>A</t>
        </is>
      </c>
      <c r="B197" s="581" t="inlineStr">
        <is>
          <t>25mm cement and sand (1:3) screeded finish laid level on concrete and finished smooth with steel trowel</t>
        </is>
      </c>
      <c r="C197" s="582">
        <f>968.0</f>
        <v>968.0</v>
      </c>
      <c r="D197" s="583" t="inlineStr">
        <is>
          <t>m2</t>
        </is>
      </c>
      <c r="E197" s="584">
        <f>RATES!$D$50</f>
        <v>68.0</v>
      </c>
      <c r="F197" s="571">
        <f>C197*E197</f>
        <v>65824.0</v>
      </c>
      <c r="G197" s="585" t="inlineStr">
        <is>
          <t>968.0</t>
        </is>
      </c>
    </row>
    <row r="198"/>
    <row r="199" ht="24" customHeight="1" s="12">
      <c r="A199" s="567" t="inlineStr">
        <is>
          <t>B</t>
        </is>
      </c>
      <c r="B199" s="581" t="inlineStr">
        <is>
          <t>12mm cement and sand (1:4) screeded bed laid level on concrete floor to receive floor tiles</t>
        </is>
      </c>
      <c r="C199" s="582">
        <f>968.0+(2*1.8*3.0+22*0.15*1.8+2.2*3.75+1.8*3.75)+(2*1.8*3.0+22*0.15*1.8+2.2*3.75+1.8*3.75)</f>
        <v>1031.48</v>
      </c>
      <c r="D199" s="583" t="inlineStr">
        <is>
          <t>m2</t>
        </is>
      </c>
      <c r="E199" s="584">
        <f>RATES!$D$51</f>
        <v>48.0</v>
      </c>
      <c r="F199" s="571">
        <f>C199*E199</f>
        <v>49511.04</v>
      </c>
      <c r="G199" s="585" t="inlineStr">
        <is>
          <t>968.0+(2*1.8*3.0+22*0.15*1.8+2.2*3.75+1.8*3.75)+(2*1.8*3.0+22*0.15*1.8+2.2*3.75+1.8*3.75)</t>
        </is>
      </c>
    </row>
    <row r="200"/>
    <row r="201" ht="24" customHeight="1" s="12">
      <c r="A201" s="567" t="inlineStr">
        <is>
          <t>C</t>
        </is>
      </c>
      <c r="B201" s="581" t="inlineStr">
        <is>
          <t>400x400mm non-slip porcelain floor tiles to washrooms &amp; WCs, adhesive, grout and cutting</t>
        </is>
      </c>
      <c r="C201" s="582">
        <f>59.2</f>
        <v>59.2</v>
      </c>
      <c r="D201" s="583" t="inlineStr">
        <is>
          <t>m2</t>
        </is>
      </c>
      <c r="E201" s="584">
        <f>RATES!$D$53</f>
        <v>230.0</v>
      </c>
      <c r="F201" s="571">
        <f>C201*E201</f>
        <v>13616.0</v>
      </c>
      <c r="G201" s="585" t="inlineStr">
        <is>
          <t>59.2</t>
        </is>
      </c>
    </row>
    <row r="202"/>
    <row r="203" ht="24" customHeight="1" s="12">
      <c r="A203" s="567" t="inlineStr">
        <is>
          <t>D</t>
        </is>
      </c>
      <c r="B203" s="581" t="inlineStr">
        <is>
          <t>500x500mm matte R11 porcelain tiles to staircases (treads, risers and landings)</t>
        </is>
      </c>
      <c r="C203" s="582">
        <f>(2*1.8*3.0+22*0.15*1.8+2.2*3.75+1.8*3.75)+(2*1.8*3.0+22*0.15*1.8+2.2*3.75+1.8*3.75)</f>
        <v>63.480000000000004</v>
      </c>
      <c r="D203" s="583" t="inlineStr">
        <is>
          <t>m2</t>
        </is>
      </c>
      <c r="E203" s="584">
        <f>RATES!$D$54</f>
        <v>270.0</v>
      </c>
      <c r="F203" s="571">
        <f>C203*E203</f>
        <v>17139.600000000002</v>
      </c>
      <c r="G203" s="585" t="inlineStr">
        <is>
          <t>(2*1.8*3.0+22*0.15*1.8+2.2*3.75+1.8*3.75)+(2*1.8*3.0+22*0.15*1.8+2.2*3.75+1.8*3.75)</t>
        </is>
      </c>
    </row>
    <row r="204"/>
    <row r="205" ht="24" customHeight="1" s="12">
      <c r="A205" s="567" t="inlineStr">
        <is>
          <t>E</t>
        </is>
      </c>
      <c r="B205" s="581" t="inlineStr">
        <is>
          <t>600x600mm semi-polished porcelain floor tiles to habitable rooms, shops &amp; offices</t>
        </is>
      </c>
      <c r="C205" s="582">
        <f>681.7</f>
        <v>681.7</v>
      </c>
      <c r="D205" s="583" t="inlineStr">
        <is>
          <t>m2</t>
        </is>
      </c>
      <c r="E205" s="584">
        <f>RATES!$D$55</f>
        <v>265.0</v>
      </c>
      <c r="F205" s="571">
        <f>C205*E205</f>
        <v>180650.5</v>
      </c>
      <c r="G205" s="585" t="inlineStr">
        <is>
          <t>681.7</t>
        </is>
      </c>
    </row>
    <row r="206"/>
    <row r="207" ht="24" customHeight="1" s="12">
      <c r="A207" s="567" t="inlineStr">
        <is>
          <t>F</t>
        </is>
      </c>
      <c r="B207" s="581" t="inlineStr">
        <is>
          <t>600x1200mm semi-polished porcelain floor tiles to stair/lift lobbies &amp; reception</t>
        </is>
      </c>
      <c r="C207" s="582">
        <f>27.3</f>
        <v>27.3</v>
      </c>
      <c r="D207" s="583" t="inlineStr">
        <is>
          <t>m2</t>
        </is>
      </c>
      <c r="E207" s="584">
        <f>RATES!$D$56</f>
        <v>330.0</v>
      </c>
      <c r="F207" s="571">
        <f>C207*E207</f>
        <v>9009.0</v>
      </c>
      <c r="G207" s="585" t="inlineStr">
        <is>
          <t>27.3</t>
        </is>
      </c>
    </row>
    <row r="208"/>
    <row r="209" ht="24" customHeight="1" s="12">
      <c r="A209" s="567" t="inlineStr">
        <is>
          <t>G</t>
        </is>
      </c>
      <c r="B209" s="581" t="inlineStr">
        <is>
          <t>600x600mm non-slip R11 porcelain tiles to corridors, terraces, verandah &amp; service areas</t>
        </is>
      </c>
      <c r="C209" s="582">
        <f>199.8</f>
        <v>199.8</v>
      </c>
      <c r="D209" s="583" t="inlineStr">
        <is>
          <t>m2</t>
        </is>
      </c>
      <c r="E209" s="584">
        <f>RATES!$D$57</f>
        <v>250.0</v>
      </c>
      <c r="F209" s="571">
        <f>C209*E209</f>
        <v>49950.0</v>
      </c>
      <c r="G209" s="585" t="inlineStr">
        <is>
          <t>199.8</t>
        </is>
      </c>
    </row>
    <row r="210"/>
    <row r="211">
      <c r="A211" s="572" t="n"/>
      <c r="B211" s="586" t="str">
        <f>B194</f>
        <v>ELEMENT NO. 5: FLOOR FINISHES</v>
      </c>
      <c r="C211" s="574" t="n"/>
      <c r="D211" s="574" t="n"/>
      <c r="E211" s="587" t="n"/>
      <c r="F211" s="576">
        <f>SUM(F196:F210)</f>
        <v>385700.14</v>
      </c>
    </row>
    <row r="212">
      <c r="B212" s="559" t="inlineStr">
        <is>
          <t>Carried to Bill Summary</t>
        </is>
      </c>
    </row>
    <row r="213"/>
    <row r="214"/>
    <row r="215">
      <c r="A215" s="577" t="n"/>
      <c r="B215" s="578" t="inlineStr">
        <is>
          <t>ELEMENT NO. 6: WALL FINISHES</t>
        </is>
      </c>
      <c r="C215" s="569" t="n"/>
      <c r="D215" s="569" t="n"/>
      <c r="E215" s="570" t="n"/>
      <c r="F215" s="579" t="n"/>
    </row>
    <row r="216"/>
    <row r="217" ht="48" customHeight="1" s="12">
      <c r="A217" s="577" t="n"/>
      <c r="B217" s="580" t="inlineStr">
        <is>
          <t>M20 PLASTERED/RENDERED COATINGS - 12.5mm cement and sand (1:3) rendering as described on blockwork or concrete to:</t>
        </is>
      </c>
      <c r="C217" s="569" t="n"/>
      <c r="D217" s="569" t="n"/>
      <c r="E217" s="570" t="n"/>
      <c r="F217" s="579" t="n"/>
    </row>
    <row r="218" ht="24" customHeight="1" s="12">
      <c r="A218" s="567" t="inlineStr">
        <is>
          <t>A</t>
        </is>
      </c>
      <c r="B218" s="581" t="inlineStr">
        <is>
          <t>Interior walls</t>
        </is>
      </c>
      <c r="C218" s="582">
        <f>(2*(500.0+47.2)+2*49.4-16.8-148.0)*3.05-59.2/3.8*8.0*3.05-2*(10*1*2.2+19*0.9*2.2+21*0.75*2.2+2*0.7*2.2+3*1.2*2.2+3*1*2.2+3*1*2.2+2*0.9*2.2+1*1.5*2.2+3*0.9*2.2+5*0.75*2.2+1*0.45*2.2+3*0.6*2.2+1*3*2.2+4*1.6*2.2+3*1.3*2.2+5*1.8*2.2+1*1.2*2.2)-(7*1.8*1.3+13*0.9*1.3+2*1.8*1.6+4*1.2*1.9+10*1.2*1.15+1*1.2*1.2+8*1.5*1.3+4*1.5*1.15+1*2.4*1.3+1*3*1.6+4*1.8*1.9+1*0.75*1.3+1*1.45*1.9+12*0.9*0.6+5*0.75*0.6+1*0.6*0.6+1*1.2*0.6)</f>
        <v>2244.0036842105264</v>
      </c>
      <c r="D218" s="583" t="inlineStr">
        <is>
          <t>m2</t>
        </is>
      </c>
      <c r="E218" s="584">
        <f>RATES!$D$48</f>
        <v>78.0</v>
      </c>
      <c r="F218" s="571">
        <f>C218*E218</f>
        <v>175032.28736842106</v>
      </c>
      <c r="G218" s="585" t="inlineStr">
        <is>
          <t>(2*(500.0+47.2)+2*49.4-16.8-148.0)*3.05-59.2/3.8*8.0*3.05-2*(10*1*2.2+19*0.9*2.2+21*0.75*2.2+2*0.7*2.2+3*1.2*2.2+3*1*2.2+3*1*2.2+2*0.9*2.2+1*1.5*2.2+3*0.9*2.2+5*0.75*2.2+1*0.45*2.2+3*0.6*2.2+1*3*2.2+4*1.6*2.2+3*1.3*2.2+5*1.8*2.2+1*1.2*2.2)-(7*1.8*...</t>
        </is>
      </c>
    </row>
    <row r="219"/>
    <row r="220" ht="24" customHeight="1" s="12">
      <c r="A220" s="567" t="inlineStr">
        <is>
          <t>B</t>
        </is>
      </c>
      <c r="B220" s="581" t="inlineStr">
        <is>
          <t>Interior partitions and washrooms</t>
        </is>
      </c>
      <c r="C220" s="582">
        <f>59.2/3.8*8.0*3.05-59.2/3.8*0.75*2.2</f>
        <v>354.42105263157896</v>
      </c>
      <c r="D220" s="583" t="inlineStr">
        <is>
          <t>m2</t>
        </is>
      </c>
      <c r="E220" s="584">
        <f>RATES!$D$48</f>
        <v>78.0</v>
      </c>
      <c r="F220" s="571">
        <f>C220*E220</f>
        <v>27644.84210526316</v>
      </c>
      <c r="G220" s="585" t="inlineStr">
        <is>
          <t>59.2/3.8*8.0*3.05-59.2/3.8*0.75*2.2</t>
        </is>
      </c>
    </row>
    <row r="221"/>
    <row r="222" ht="24" customHeight="1" s="12">
      <c r="A222" s="567" t="inlineStr">
        <is>
          <t>C</t>
        </is>
      </c>
      <c r="B222" s="581" t="inlineStr">
        <is>
          <t>External walls</t>
        </is>
      </c>
      <c r="C222" s="582">
        <f>148.0*3.3-(7*1.8*1.3+13*0.9*1.3+2*1.8*1.6+4*1.2*1.9+10*1.2*1.15+1*1.2*1.2+8*1.5*1.3+4*1.5*1.15+1*2.4*1.3+1*3*1.6+4*1.8*1.9+1*0.75*1.3+1*1.45*1.9+12*0.9*0.6+5*0.75*0.6+1*0.6*0.6+1*1.2*0.6)</f>
        <v>369.04999999999995</v>
      </c>
      <c r="D222" s="583" t="inlineStr">
        <is>
          <t>m2</t>
        </is>
      </c>
      <c r="E222" s="584">
        <f>RATES!$D$49</f>
        <v>88.0</v>
      </c>
      <c r="F222" s="571">
        <f>C222*E222</f>
        <v>32476.399999999994</v>
      </c>
      <c r="G222" s="585" t="inlineStr">
        <is>
          <t>148.0*3.3-(7*1.8*1.3+13*0.9*1.3+2*1.8*1.6+4*1.2*1.9+10*1.2*1.15+1*1.2*1.2+8*1.5*1.3+4*1.5*1.15+1*2.4*1.3+1*3*1.6+4*1.8*1.9+1*0.75*1.3+1*1.45*1.9+12*0.9*0.6+5*0.75*0.6+1*0.6*0.6+1*1.2*0.6)</t>
        </is>
      </c>
    </row>
    <row r="223"/>
    <row r="224" ht="24" customHeight="1" s="12">
      <c r="A224" s="567" t="inlineStr">
        <is>
          <t>D</t>
        </is>
      </c>
      <c r="B224" s="581" t="inlineStr">
        <is>
          <t>12mm cement and sand (1:4) screeded backing to receive wall tiles</t>
        </is>
      </c>
      <c r="C224" s="582">
        <f>59.2/3.8*8.0*2.4-59.2/3.8*0.75*2.2</f>
        <v>273.41052631578947</v>
      </c>
      <c r="D224" s="583" t="inlineStr">
        <is>
          <t>m2</t>
        </is>
      </c>
      <c r="E224" s="584">
        <f>RATES!$D$52</f>
        <v>55.0</v>
      </c>
      <c r="F224" s="571">
        <f>C224*E224</f>
        <v>15037.57894736842</v>
      </c>
      <c r="G224" s="585" t="inlineStr">
        <is>
          <t>59.2/3.8*8.0*2.4-59.2/3.8*0.75*2.2</t>
        </is>
      </c>
    </row>
    <row r="225"/>
    <row r="226" ht="24" customHeight="1" s="12">
      <c r="A226" s="567" t="inlineStr">
        <is>
          <t>E</t>
        </is>
      </c>
      <c r="B226" s="581" t="inlineStr">
        <is>
          <t>Ceramic/porcelain wall tiles to washrooms to 2.4m high, adhesive &amp; grout (type TBC)</t>
        </is>
      </c>
      <c r="C226" s="582">
        <f>59.2/3.8*8.0*2.4-59.2/3.8*0.75*2.2</f>
        <v>273.41052631578947</v>
      </c>
      <c r="D226" s="583" t="inlineStr">
        <is>
          <t>m2</t>
        </is>
      </c>
      <c r="E226" s="584">
        <f>RATES!$D$60</f>
        <v>240.0</v>
      </c>
      <c r="F226" s="571">
        <f>C226*E226</f>
        <v>65618.52631578947</v>
      </c>
      <c r="G226" s="585" t="inlineStr">
        <is>
          <t>59.2/3.8*8.0*2.4-59.2/3.8*0.75*2.2</t>
        </is>
      </c>
    </row>
    <row r="227"/>
    <row r="228">
      <c r="A228" s="572" t="n"/>
      <c r="B228" s="586" t="str">
        <f>B215</f>
        <v>ELEMENT NO. 6: WALL FINISHES</v>
      </c>
      <c r="C228" s="574" t="n"/>
      <c r="D228" s="574" t="n"/>
      <c r="E228" s="587" t="n"/>
      <c r="F228" s="576">
        <f>SUM(F217:F227)</f>
        <v>315809.6347368421</v>
      </c>
    </row>
    <row r="229">
      <c r="B229" s="559" t="inlineStr">
        <is>
          <t>Carried to Bill Summary</t>
        </is>
      </c>
    </row>
    <row r="230"/>
    <row r="231"/>
    <row r="232">
      <c r="A232" s="577" t="n"/>
      <c r="B232" s="578" t="inlineStr">
        <is>
          <t>ELEMENT NO. 7: PAINTING AND DECORATING</t>
        </is>
      </c>
      <c r="C232" s="569" t="n"/>
      <c r="D232" s="569" t="n"/>
      <c r="E232" s="570" t="n"/>
      <c r="F232" s="579" t="n"/>
    </row>
    <row r="233"/>
    <row r="234" ht="24" customHeight="1" s="12">
      <c r="A234" s="577" t="n"/>
      <c r="B234" s="580" t="inlineStr">
        <is>
          <t>M60 PAINTING - Prepare and apply two undercoats and finishing coat of emulsion paint on:</t>
        </is>
      </c>
      <c r="C234" s="569" t="n"/>
      <c r="D234" s="569" t="n"/>
      <c r="E234" s="570" t="n"/>
      <c r="F234" s="579" t="n"/>
    </row>
    <row r="235" ht="24" customHeight="1" s="12">
      <c r="A235" s="567" t="inlineStr">
        <is>
          <t>A</t>
        </is>
      </c>
      <c r="B235" s="581" t="inlineStr">
        <is>
          <t>Interior walls</t>
        </is>
      </c>
      <c r="C235" s="582">
        <f>(2*(500.0+47.2)+2*49.4-16.8-148.0)*3.05-59.2/3.8*8.0*3.05-2*(10*1*2.2+19*0.9*2.2+21*0.75*2.2+2*0.7*2.2+3*1.2*2.2+3*1*2.2+3*1*2.2+2*0.9*2.2+1*1.5*2.2+3*0.9*2.2+5*0.75*2.2+1*0.45*2.2+3*0.6*2.2+1*3*2.2+4*1.6*2.2+3*1.3*2.2+5*1.8*2.2+1*1.2*2.2)-(7*1.8*1.3+13*0.9*1.3+2*1.8*1.6+4*1.2*1.9+10*1.2*1.15+1*1.2*1.2+8*1.5*1.3+4*1.5*1.15+1*2.4*1.3+1*3*1.6+4*1.8*1.9+1*0.75*1.3+1*1.45*1.9+12*0.9*0.6+5*0.75*0.6+1*0.6*0.6+1*1.2*0.6)</f>
        <v>2244.0036842105264</v>
      </c>
      <c r="D235" s="583" t="inlineStr">
        <is>
          <t>m2</t>
        </is>
      </c>
      <c r="E235" s="584">
        <f>RATES!$D$61</f>
        <v>45.0</v>
      </c>
      <c r="F235" s="571">
        <f>C235*E235</f>
        <v>100980.16578947369</v>
      </c>
      <c r="G235" s="585" t="inlineStr">
        <is>
          <t>(2*(500.0+47.2)+2*49.4-16.8-148.0)*3.05-59.2/3.8*8.0*3.05-2*(10*1*2.2+19*0.9*2.2+21*0.75*2.2+2*0.7*2.2+3*1.2*2.2+3*1*2.2+3*1*2.2+2*0.9*2.2+1*1.5*2.2+3*0.9*2.2+5*0.75*2.2+1*0.45*2.2+3*0.6*2.2+1*3*2.2+4*1.6*2.2+3*1.3*2.2+5*1.8*2.2+1*1.2*2.2)-(7*1.8*...</t>
        </is>
      </c>
    </row>
    <row r="236"/>
    <row r="237" ht="24" customHeight="1" s="12">
      <c r="A237" s="567" t="inlineStr">
        <is>
          <t>B</t>
        </is>
      </c>
      <c r="B237" s="581" t="inlineStr">
        <is>
          <t>Interior partitions and washrooms (above wall tiling)</t>
        </is>
      </c>
      <c r="C237" s="582">
        <f>(59.2/3.8*8.0*3.05-59.2/3.8*0.75*2.2)-(59.2/3.8*8.0*2.4-59.2/3.8*0.75*2.2)</f>
        <v>81.01052631578949</v>
      </c>
      <c r="D237" s="583" t="inlineStr">
        <is>
          <t>m2</t>
        </is>
      </c>
      <c r="E237" s="584">
        <f>RATES!$D$61</f>
        <v>45.0</v>
      </c>
      <c r="F237" s="571">
        <f>C237*E237</f>
        <v>3645.473684210527</v>
      </c>
      <c r="G237" s="585" t="inlineStr">
        <is>
          <t>(59.2/3.8*8.0*3.05-59.2/3.8*0.75*2.2)-(59.2/3.8*8.0*2.4-59.2/3.8*0.75*2.2)</t>
        </is>
      </c>
    </row>
    <row r="238"/>
    <row r="239" ht="24" customHeight="1" s="12">
      <c r="A239" s="567" t="inlineStr">
        <is>
          <t>C</t>
        </is>
      </c>
      <c r="B239" s="581" t="inlineStr">
        <is>
          <t>Exterior walls</t>
        </is>
      </c>
      <c r="C239" s="582">
        <f>148.0*3.3-(7*1.8*1.3+13*0.9*1.3+2*1.8*1.6+4*1.2*1.9+10*1.2*1.15+1*1.2*1.2+8*1.5*1.3+4*1.5*1.15+1*2.4*1.3+1*3*1.6+4*1.8*1.9+1*0.75*1.3+1*1.45*1.9+12*0.9*0.6+5*0.75*0.6+1*0.6*0.6+1*1.2*0.6)</f>
        <v>369.04999999999995</v>
      </c>
      <c r="D239" s="583" t="inlineStr">
        <is>
          <t>m2</t>
        </is>
      </c>
      <c r="E239" s="584">
        <f>RATES!$D$62</f>
        <v>62.0</v>
      </c>
      <c r="F239" s="571">
        <f>C239*E239</f>
        <v>22881.1</v>
      </c>
      <c r="G239" s="585" t="inlineStr">
        <is>
          <t>148.0*3.3-(7*1.8*1.3+13*0.9*1.3+2*1.8*1.6+4*1.2*1.9+10*1.2*1.15+1*1.2*1.2+8*1.5*1.3+4*1.5*1.15+1*2.4*1.3+1*3*1.6+4*1.8*1.9+1*0.75*1.3+1*1.45*1.9+12*0.9*0.6+5*0.75*0.6+1*0.6*0.6+1*1.2*0.6)</t>
        </is>
      </c>
    </row>
    <row r="240"/>
    <row r="241" ht="24" customHeight="1" s="12">
      <c r="A241" s="567" t="inlineStr">
        <is>
          <t>D</t>
        </is>
      </c>
      <c r="B241" s="581" t="inlineStr">
        <is>
          <t>Soffit of plaster board ceilings</t>
        </is>
      </c>
      <c r="C241" s="582">
        <f>908.8</f>
        <v>908.8</v>
      </c>
      <c r="D241" s="583" t="inlineStr">
        <is>
          <t>m2</t>
        </is>
      </c>
      <c r="E241" s="584">
        <f>RATES!$D$63</f>
        <v>48.0</v>
      </c>
      <c r="F241" s="571">
        <f>C241*E241</f>
        <v>43622.399999999994</v>
      </c>
      <c r="G241" s="585" t="inlineStr">
        <is>
          <t>908.8</t>
        </is>
      </c>
    </row>
    <row r="242"/>
    <row r="243" ht="24" customHeight="1" s="12">
      <c r="A243" s="567" t="inlineStr">
        <is>
          <t>E</t>
        </is>
      </c>
      <c r="B243" s="581" t="inlineStr">
        <is>
          <t>Soffit of plaster board ceilings for washrooms</t>
        </is>
      </c>
      <c r="C243" s="582">
        <f>59.2</f>
        <v>59.2</v>
      </c>
      <c r="D243" s="583" t="inlineStr">
        <is>
          <t>m2</t>
        </is>
      </c>
      <c r="E243" s="584">
        <f>RATES!$D$63</f>
        <v>48.0</v>
      </c>
      <c r="F243" s="571">
        <f>C243*E243</f>
        <v>2841.6000000000004</v>
      </c>
      <c r="G243" s="585" t="inlineStr">
        <is>
          <t>59.2</t>
        </is>
      </c>
    </row>
    <row r="244"/>
    <row r="245" ht="48" customHeight="1" s="12">
      <c r="A245" s="567" t="inlineStr">
        <is>
          <t>F</t>
        </is>
      </c>
      <c r="B245" s="581" t="inlineStr">
        <is>
          <t>Knot, prime, stop and apply two undercoats and one finishing coat of gloss oil paint on general surfaces of woodwork</t>
        </is>
      </c>
      <c r="C245" s="582">
        <f>19*0.9*2.2*2+21*0.75*2.2*2+1*1.5*2.2*2+(19*(2*2.2+0.9)+21*(2*2.2+0.75)+1*(2*2.2+1.5))*0.25</f>
        <v>204.82750000000001</v>
      </c>
      <c r="D245" s="583" t="inlineStr">
        <is>
          <t>m2</t>
        </is>
      </c>
      <c r="E245" s="584">
        <f>RATES!$D$64</f>
        <v>72.0</v>
      </c>
      <c r="F245" s="571">
        <f>C245*E245</f>
        <v>14747.580000000002</v>
      </c>
      <c r="G245" s="585" t="inlineStr">
        <is>
          <t>19*0.9*2.2*2+21*0.75*2.2*2+1*1.5*2.2*2+(19*(2*2.2+0.9)+21*(2*2.2+0.75)+1*(2*2.2+1.5))*0.25</t>
        </is>
      </c>
    </row>
    <row r="246"/>
    <row r="247" ht="48" customHeight="1" s="12">
      <c r="A247" s="567" t="inlineStr">
        <is>
          <t>G</t>
        </is>
      </c>
      <c r="B247" s="581" t="inlineStr">
        <is>
          <t>Prepare and apply one coat of aluminium primer on mild steel burglar-proof bars (measured over window opening area)</t>
        </is>
      </c>
      <c r="C247" s="582">
        <f>7*1.8*1.3+13*0.9*1.3+2*1.8*1.6+4*1.2*1.9+10*1.2*1.15+1*1.2*1.2+8*1.5*1.3+4*1.5*1.15+1*2.4*1.3+1*3*1.6+4*1.8*1.9+1*0.75*1.3+1*1.45*1.9+12*0.9*0.6+5*0.75*0.6+1*0.6*0.6+1*1.2*0.6</f>
        <v>119.35</v>
      </c>
      <c r="D247" s="583" t="inlineStr">
        <is>
          <t>m2</t>
        </is>
      </c>
      <c r="E247" s="584">
        <f>RATES!$D$65</f>
        <v>40.0</v>
      </c>
      <c r="F247" s="571">
        <f>C247*E247</f>
        <v>4774.0</v>
      </c>
      <c r="G247" s="585" t="inlineStr">
        <is>
          <t>7*1.8*1.3+13*0.9*1.3+2*1.8*1.6+4*1.2*1.9+10*1.2*1.15+1*1.2*1.2+8*1.5*1.3+4*1.5*1.15+1*2.4*1.3+1*3*1.6+4*1.8*1.9+1*0.75*1.3+1*1.45*1.9+12*0.9*0.6+5*0.75*0.6+1*0.6*0.6+1*1.2*0.6</t>
        </is>
      </c>
    </row>
    <row r="248"/>
    <row r="249">
      <c r="A249" s="572" t="n"/>
      <c r="B249" s="586" t="str">
        <f>B232</f>
        <v>ELEMENT NO. 7: PAINTING AND DECORATING</v>
      </c>
      <c r="C249" s="574" t="n"/>
      <c r="D249" s="574" t="n"/>
      <c r="E249" s="587" t="n"/>
      <c r="F249" s="576">
        <f>SUM(F234:F248)</f>
        <v>193492.31947368424</v>
      </c>
    </row>
    <row r="250">
      <c r="B250" s="559" t="inlineStr">
        <is>
          <t>Carried to Bill Summary</t>
        </is>
      </c>
    </row>
    <row r="251"/>
    <row r="252"/>
    <row r="253">
      <c r="B253"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G255"/>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FOURTH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F92</f>
        <v>3356708.798375</v>
      </c>
    </row>
    <row r="14"/>
    <row r="15">
      <c r="A15" s="567" t="inlineStr">
        <is>
          <t>B</t>
        </is>
      </c>
      <c r="B15" s="568" t="inlineStr">
        <is>
          <t>ELEMENT NO. 2: MASONRY</t>
        </is>
      </c>
      <c r="C15" s="569" t="n"/>
      <c r="D15" s="569" t="n"/>
      <c r="E15" s="570" t="n"/>
      <c r="F15" s="571">
        <f>F103</f>
        <v>385904.18887499993</v>
      </c>
    </row>
    <row r="16"/>
    <row r="17">
      <c r="A17" s="567" t="inlineStr">
        <is>
          <t>C</t>
        </is>
      </c>
      <c r="B17" s="568" t="inlineStr">
        <is>
          <t>ELEMENT NO. 4: WINDOWS/DOORS</t>
        </is>
      </c>
      <c r="C17" s="569" t="n"/>
      <c r="D17" s="569" t="n"/>
      <c r="E17" s="570" t="n"/>
      <c r="F17" s="571">
        <f>F192</f>
        <v>624892.6</v>
      </c>
    </row>
    <row r="18"/>
    <row r="19">
      <c r="A19" s="567" t="inlineStr">
        <is>
          <t>D</t>
        </is>
      </c>
      <c r="B19" s="568" t="inlineStr">
        <is>
          <t>ELEMENT NO. 5: FLOOR FINISHES</t>
        </is>
      </c>
      <c r="C19" s="569" t="n"/>
      <c r="D19" s="569" t="n"/>
      <c r="E19" s="570" t="n"/>
      <c r="F19" s="571">
        <f>F213</f>
        <v>344765.54000000004</v>
      </c>
    </row>
    <row r="20"/>
    <row r="21">
      <c r="A21" s="567" t="inlineStr">
        <is>
          <t>E</t>
        </is>
      </c>
      <c r="B21" s="568" t="inlineStr">
        <is>
          <t>ELEMENT NO. 6: WALL FINISHES</t>
        </is>
      </c>
      <c r="C21" s="569" t="n"/>
      <c r="D21" s="569" t="n"/>
      <c r="E21" s="570" t="n"/>
      <c r="F21" s="571">
        <f>F230</f>
        <v>304843.67552631575</v>
      </c>
    </row>
    <row r="22"/>
    <row r="23">
      <c r="A23" s="567" t="inlineStr">
        <is>
          <t>F</t>
        </is>
      </c>
      <c r="B23" s="568" t="inlineStr">
        <is>
          <t>ELEMENT NO. 7: PAINTING AND DECORATING</t>
        </is>
      </c>
      <c r="C23" s="569" t="n"/>
      <c r="D23" s="569" t="n"/>
      <c r="E23" s="570" t="n"/>
      <c r="F23" s="571">
        <f>F251</f>
        <v>180310.77105263155</v>
      </c>
    </row>
    <row r="24"/>
    <row r="25">
      <c r="A25" s="572" t="n"/>
      <c r="B25" s="573" t="str">
        <f>B9</f>
        <v> FOURTH FLOOR</v>
      </c>
      <c r="C25" s="574" t="n"/>
      <c r="D25" s="574" t="n"/>
      <c r="E25" s="575" t="inlineStr">
        <is>
          <t>GHC</t>
        </is>
      </c>
      <c r="F25" s="576">
        <f>SUM(F13:F24)</f>
        <v>5197425.573828947</v>
      </c>
    </row>
    <row r="26">
      <c r="B26" s="559" t="inlineStr">
        <is>
          <t>To Bill General Summary</t>
        </is>
      </c>
    </row>
    <row r="27"/>
    <row r="28"/>
    <row r="29">
      <c r="B29" s="565" t="inlineStr">
        <is>
          <t>BILL NR. 7 - FOURTH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1134.6*0.25</f>
        <v>283.65</v>
      </c>
      <c r="D34" s="583" t="inlineStr">
        <is>
          <t>m3</t>
        </is>
      </c>
      <c r="E34" s="584">
        <f>RATES!$D$22</f>
        <v>2650.0</v>
      </c>
      <c r="F34" s="571">
        <f>C34*E34</f>
        <v>751672.4999999999</v>
      </c>
      <c r="G34" s="585" t="inlineStr">
        <is>
          <t>1134.6*0.25</t>
        </is>
      </c>
    </row>
    <row r="35"/>
    <row r="36" ht="24" customHeight="1" s="12">
      <c r="A36" s="567" t="inlineStr">
        <is>
          <t>B</t>
        </is>
      </c>
      <c r="B36" s="581" t="inlineStr">
        <is>
          <t>Beams (downstands below slab)</t>
        </is>
      </c>
      <c r="C36" s="582">
        <f>166.8*0.3*0.35+33.1*0.2*0.35</f>
        <v>19.831</v>
      </c>
      <c r="D36" s="583" t="inlineStr">
        <is>
          <t>m3</t>
        </is>
      </c>
      <c r="E36" s="584">
        <f>RATES!$D$23</f>
        <v>2700.0</v>
      </c>
      <c r="F36" s="571">
        <f>C36*E36</f>
        <v>53543.7</v>
      </c>
      <c r="G36" s="585" t="inlineStr">
        <is>
          <t>166.8*0.3*0.35+33.1*0.2*0.35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(8*(1+0.3)+15*(0.9+0.3)+22*(0.75+0.3)+1*(0.7+0.3)+3*(1.2+0.3)+3*(1+0.3)+3*(1+0.3)+2*(0.9+0.3)+1*(1.5+0.3)+3*(0.9+0.3)+5*(0.75+0.3)+1*(0.45+0.3)+3*(0.6+0.3)+1*(3+0.3)+4*(1.6+0.3)+2*(1.3+0.3)+4*(1.8+0.3)+1*(1.2+0.3)+6*(1.8+0.3)+10*(0.9+0.3)+2*(1.8+0.3)+3*(1.2+0.3)+8*(1.2+0.3)+1*(1.2+0.3)+7*(1.5+0.3)+4*(1.5+0.3)+1*(2.4+0.3)+1*(3+0.3)+3*(1.8+0.3)+1*(0.75+0.3)+1*(1.45+0.3)+13*(0.9+0.3)+5*(0.75+0.3)+2*(0.6+0.3)+2*(1.2+0.3))*0.15*0.225</f>
        <v>7.1769375</v>
      </c>
      <c r="D46" s="583" t="inlineStr">
        <is>
          <t>m3</t>
        </is>
      </c>
      <c r="E46" s="584">
        <f>RATES!$D$25</f>
        <v>2600.0</v>
      </c>
      <c r="F46" s="571">
        <f>C46*E46</f>
        <v>18660.037500000002</v>
      </c>
      <c r="G46" s="585" t="inlineStr">
        <is>
          <t>(8*(1+0.3)+15*(0.9+0.3)+22*(0.75+0.3)+1*(0.7+0.3)+3*(1.2+0.3)+3*(1+0.3)+3*(1+0.3)+2*(0.9+0.3)+1*(1.5+0.3)+3*(0.9+0.3)+5*(0.75+0.3)+1*(0.45+0.3)+3*(0.6+0.3)+1*(3+0.3)+4*(1.6+0.3)+2*(1.3+0.3)+4*(1.8+0.3)+1*(1.2+0.3)+6*(1.8+0.3)+10*(0.9+0.3)+2*(1.8+0...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1134.6</f>
        <v>1134.6</v>
      </c>
      <c r="D49" s="583" t="inlineStr">
        <is>
          <t>m2</t>
        </is>
      </c>
      <c r="E49" s="584">
        <f>RATES!$D$38</f>
        <v>170.0</v>
      </c>
      <c r="F49" s="571">
        <f>C49*E49</f>
        <v>192881.99999999997</v>
      </c>
      <c r="G49" s="585" t="inlineStr">
        <is>
          <t>1134.6</t>
        </is>
      </c>
    </row>
    <row r="50"/>
    <row r="51" ht="24" customHeight="1" s="12">
      <c r="A51" s="567" t="inlineStr">
        <is>
          <t>J</t>
        </is>
      </c>
      <c r="B51" s="581" t="inlineStr">
        <is>
          <t>Edges of suspended slab 250mm high</t>
        </is>
      </c>
      <c r="C51" s="582">
        <f>294.6</f>
        <v>294.6</v>
      </c>
      <c r="D51" s="583" t="inlineStr">
        <is>
          <t>m</t>
        </is>
      </c>
      <c r="E51" s="584">
        <f>RATES!$D$40</f>
        <v>65.0</v>
      </c>
      <c r="F51" s="571">
        <f>C51*E51</f>
        <v>19149.0</v>
      </c>
      <c r="G51" s="585" t="inlineStr">
        <is>
          <t>294.6</t>
        </is>
      </c>
    </row>
    <row r="52"/>
    <row r="53" ht="24" customHeight="1" s="12">
      <c r="A53" s="567" t="inlineStr">
        <is>
          <t>K</t>
        </is>
      </c>
      <c r="B53" s="581" t="inlineStr">
        <is>
          <t>Sides and soffits of beams</t>
        </is>
      </c>
      <c r="C53" s="582">
        <f>166.8*(2*0.35+0.3)+33.1*(2*0.35+0.2)</f>
        <v>196.59</v>
      </c>
      <c r="D53" s="583" t="inlineStr">
        <is>
          <t>m2</t>
        </is>
      </c>
      <c r="E53" s="584">
        <f>RATES!$D$39</f>
        <v>200.0</v>
      </c>
      <c r="F53" s="571">
        <f>C53*E53</f>
        <v>39318.0</v>
      </c>
      <c r="G53" s="585" t="inlineStr">
        <is>
          <t>166.8*(2*0.35+0.3)+33.1*(2*0.35+0.2)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(8*(1+0.3)+15*(0.9+0.3)+22*(0.75+0.3)+1*(0.7+0.3)+3*(1.2+0.3)+3*(1+0.3)+3*(1+0.3)+2*(0.9+0.3)+1*(1.5+0.3)+3*(0.9+0.3)+5*(0.75+0.3)+1*(0.45+0.3)+3*(0.6+0.3)+1*(3+0.3)+4*(1.6+0.3)+2*(1.3+0.3)+4*(1.8+0.3)+1*(1.2+0.3)+6*(1.8+0.3)+10*(0.9+0.3)+2*(1.8+0.3)+3*(1.2+0.3)+8*(1.2+0.3)+1*(1.2+0.3)+7*(1.5+0.3)+4*(1.5+0.3)+1*(2.4+0.3)+1*(3+0.3)+3*(1.8+0.3)+1*(0.75+0.3)+1*(1.45+0.3)+13*(0.9+0.3)+5*(0.75+0.3)+2*(0.6+0.3)+2*(1.2+0.3))*(2*0.225+0.15)</f>
        <v>127.59</v>
      </c>
      <c r="D61" s="583" t="inlineStr">
        <is>
          <t>m2</t>
        </is>
      </c>
      <c r="E61" s="584">
        <f>RATES!$D$43</f>
        <v>180.0</v>
      </c>
      <c r="F61" s="571">
        <f>C61*E61</f>
        <v>22966.2</v>
      </c>
      <c r="G61" s="585" t="inlineStr">
        <is>
          <t>(8*(1+0.3)+15*(0.9+0.3)+22*(0.75+0.3)+1*(0.7+0.3)+3*(1.2+0.3)+3*(1+0.3)+3*(1+0.3)+2*(0.9+0.3)+1*(1.5+0.3)+3*(0.9+0.3)+5*(0.75+0.3)+1*(0.45+0.3)+3*(0.6+0.3)+1*(3+0.3)+4*(1.6+0.3)+2*(1.3+0.3)+4*(1.8+0.3)+1*(1.2+0.3)+6*(1.8+0.3)+10*(0.9+0.3)+2*(1.8+0...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4.551</f>
        <v>4.551</v>
      </c>
      <c r="D64" s="583" t="inlineStr">
        <is>
          <t>t</t>
        </is>
      </c>
      <c r="E64" s="584">
        <f>RATES!$D$29</f>
        <v>20500.0</v>
      </c>
      <c r="F64" s="571">
        <f>C64*E64</f>
        <v>93295.5</v>
      </c>
      <c r="G64" s="585" t="inlineStr">
        <is>
          <t>4.551</t>
        </is>
      </c>
    </row>
    <row r="65"/>
    <row r="66" ht="24" customHeight="1" s="12">
      <c r="A66" s="567" t="inlineStr">
        <is>
          <t>R</t>
        </is>
      </c>
      <c r="B66" s="581" t="inlineStr">
        <is>
          <t>20mm diameter in columns</t>
        </is>
      </c>
      <c r="C66" s="582">
        <f>7.133</f>
        <v>7.133</v>
      </c>
      <c r="D66" s="583" t="inlineStr">
        <is>
          <t>t</t>
        </is>
      </c>
      <c r="E66" s="584">
        <f>RATES!$D$32</f>
        <v>19000.0</v>
      </c>
      <c r="F66" s="571">
        <f>C66*E66</f>
        <v>135527.0</v>
      </c>
      <c r="G66" s="585" t="inlineStr">
        <is>
          <t>7.133</t>
        </is>
      </c>
    </row>
    <row r="67"/>
    <row r="68" ht="24" customHeight="1" s="12">
      <c r="A68" s="567" t="inlineStr">
        <is>
          <t>S</t>
        </is>
      </c>
      <c r="B68" s="581" t="inlineStr">
        <is>
          <t>10mm diameter in beams (links)</t>
        </is>
      </c>
      <c r="C68" s="582">
        <f>1.806</f>
        <v>1.806</v>
      </c>
      <c r="D68" s="583" t="inlineStr">
        <is>
          <t>t</t>
        </is>
      </c>
      <c r="E68" s="584">
        <f>RATES!$D$29</f>
        <v>20500.0</v>
      </c>
      <c r="F68" s="571">
        <f>C68*E68</f>
        <v>37023.0</v>
      </c>
      <c r="G68" s="585" t="inlineStr">
        <is>
          <t>1.806</t>
        </is>
      </c>
    </row>
    <row r="69"/>
    <row r="70" ht="24" customHeight="1" s="12">
      <c r="A70" s="567" t="inlineStr">
        <is>
          <t>T</t>
        </is>
      </c>
      <c r="B70" s="581" t="inlineStr">
        <is>
          <t>16mm diameter in beams</t>
        </is>
      </c>
      <c r="C70" s="582">
        <f>1.248</f>
        <v>1.248</v>
      </c>
      <c r="D70" s="583" t="inlineStr">
        <is>
          <t>t</t>
        </is>
      </c>
      <c r="E70" s="584">
        <f>RATES!$D$31</f>
        <v>19500.0</v>
      </c>
      <c r="F70" s="571">
        <f>C70*E70</f>
        <v>24336.0</v>
      </c>
      <c r="G70" s="585" t="inlineStr">
        <is>
          <t>1.248</t>
        </is>
      </c>
    </row>
    <row r="71"/>
    <row r="72" ht="24" customHeight="1" s="12">
      <c r="A72" s="567" t="inlineStr">
        <is>
          <t>U</t>
        </is>
      </c>
      <c r="B72" s="581" t="inlineStr">
        <is>
          <t>20mm diameter in beams</t>
        </is>
      </c>
      <c r="C72" s="582">
        <f>2.135</f>
        <v>2.135</v>
      </c>
      <c r="D72" s="583" t="inlineStr">
        <is>
          <t>t</t>
        </is>
      </c>
      <c r="E72" s="584">
        <f>RATES!$D$32</f>
        <v>19000.0</v>
      </c>
      <c r="F72" s="571">
        <f>C72*E72</f>
        <v>40564.99999999999</v>
      </c>
      <c r="G72" s="585" t="inlineStr">
        <is>
          <t>2.135</t>
        </is>
      </c>
    </row>
    <row r="73"/>
    <row r="74" ht="24" customHeight="1" s="12">
      <c r="A74" s="567" t="inlineStr">
        <is>
          <t>V</t>
        </is>
      </c>
      <c r="B74" s="581" t="inlineStr">
        <is>
          <t>25mm diameter in beams</t>
        </is>
      </c>
      <c r="C74" s="582">
        <f>5.507</f>
        <v>5.507</v>
      </c>
      <c r="D74" s="583" t="inlineStr">
        <is>
          <t>t</t>
        </is>
      </c>
      <c r="E74" s="584">
        <f>RATES!$D$33</f>
        <v>19000.0</v>
      </c>
      <c r="F74" s="571">
        <f>C74*E74</f>
        <v>104633.0</v>
      </c>
      <c r="G74" s="585" t="inlineStr">
        <is>
          <t>5.507</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20mm diameter in shear &amp; lift walls</t>
        </is>
      </c>
      <c r="C80" s="582">
        <f>6.904</f>
        <v>6.904</v>
      </c>
      <c r="D80" s="583" t="inlineStr">
        <is>
          <t>t</t>
        </is>
      </c>
      <c r="E80" s="584">
        <f>RATES!$D$32</f>
        <v>19000.0</v>
      </c>
      <c r="F80" s="571">
        <f>C80*E80</f>
        <v>131176.0</v>
      </c>
      <c r="G80" s="585" t="inlineStr">
        <is>
          <t>6.904</t>
        </is>
      </c>
    </row>
    <row r="81"/>
    <row r="82" ht="24" customHeight="1" s="12">
      <c r="A82" s="567" t="inlineStr">
        <is>
          <t>Z</t>
        </is>
      </c>
      <c r="B82" s="581" t="inlineStr">
        <is>
          <t>25mm diameter in shear &amp; lift walls</t>
        </is>
      </c>
      <c r="C82" s="582">
        <f>5.441</f>
        <v>5.441</v>
      </c>
      <c r="D82" s="583" t="inlineStr">
        <is>
          <t>t</t>
        </is>
      </c>
      <c r="E82" s="584">
        <f>RATES!$D$33</f>
        <v>19000.0</v>
      </c>
      <c r="F82" s="571">
        <f>C82*E82</f>
        <v>103379.0</v>
      </c>
      <c r="G82" s="585" t="inlineStr">
        <is>
          <t>5.441</t>
        </is>
      </c>
    </row>
    <row r="83"/>
    <row r="84" ht="24" customHeight="1" s="12">
      <c r="A84" s="567" t="inlineStr">
        <is>
          <t>A</t>
        </is>
      </c>
      <c r="B84" s="581" t="inlineStr">
        <is>
          <t>12mm diameter in stairs</t>
        </is>
      </c>
      <c r="C84" s="582">
        <f>0.880</f>
        <v>0.88</v>
      </c>
      <c r="D84" s="583" t="inlineStr">
        <is>
          <t>t</t>
        </is>
      </c>
      <c r="E84" s="584">
        <f>RATES!$D$30</f>
        <v>20000.0</v>
      </c>
      <c r="F84" s="571">
        <f>C84*E84</f>
        <v>17600.0</v>
      </c>
      <c r="G84" s="585" t="inlineStr">
        <is>
          <t>0.880</t>
        </is>
      </c>
    </row>
    <row r="85"/>
    <row r="86" ht="24" customHeight="1" s="12">
      <c r="A86" s="567" t="inlineStr">
        <is>
          <t>B</t>
        </is>
      </c>
      <c r="B86" s="581" t="inlineStr">
        <is>
          <t>16mm diameter in stairs</t>
        </is>
      </c>
      <c r="C86" s="582">
        <f>1.434</f>
        <v>1.434</v>
      </c>
      <c r="D86" s="583" t="inlineStr">
        <is>
          <t>t</t>
        </is>
      </c>
      <c r="E86" s="584">
        <f>RATES!$D$31</f>
        <v>19500.0</v>
      </c>
      <c r="F86" s="571">
        <f>C86*E86</f>
        <v>27963.0</v>
      </c>
      <c r="G86" s="585" t="inlineStr">
        <is>
          <t>1.434</t>
        </is>
      </c>
    </row>
    <row r="87"/>
    <row r="88" ht="24" customHeight="1" s="12">
      <c r="A88" s="567" t="inlineStr">
        <is>
          <t>C</t>
        </is>
      </c>
      <c r="B88" s="581" t="inlineStr">
        <is>
          <t>12mm diameter for suspended slab</t>
        </is>
      </c>
      <c r="C88" s="582">
        <f>49.804</f>
        <v>49.804</v>
      </c>
      <c r="D88" s="583" t="inlineStr">
        <is>
          <t>t</t>
        </is>
      </c>
      <c r="E88" s="584">
        <f>RATES!$D$30</f>
        <v>20000.0</v>
      </c>
      <c r="F88" s="571">
        <f>C88*E88</f>
        <v>996080.0</v>
      </c>
      <c r="G88" s="585" t="inlineStr">
        <is>
          <t>49.804</t>
        </is>
      </c>
    </row>
    <row r="89"/>
    <row r="90" ht="24" customHeight="1" s="12">
      <c r="A90" s="567" t="inlineStr">
        <is>
          <t>D</t>
        </is>
      </c>
      <c r="B90" s="581" t="inlineStr">
        <is>
          <t>16mm diameter for suspended slab</t>
        </is>
      </c>
      <c r="C90" s="582">
        <f>0.151</f>
        <v>0.151</v>
      </c>
      <c r="D90" s="583" t="inlineStr">
        <is>
          <t>t</t>
        </is>
      </c>
      <c r="E90" s="584">
        <f>RATES!$D$31</f>
        <v>19500.0</v>
      </c>
      <c r="F90" s="571">
        <f>C90*E90</f>
        <v>2944.5</v>
      </c>
      <c r="G90" s="585" t="inlineStr">
        <is>
          <t>0.151</t>
        </is>
      </c>
    </row>
    <row r="91"/>
    <row r="92">
      <c r="A92" s="572" t="n"/>
      <c r="B92" s="586" t="str">
        <f>B31</f>
        <v>ELEMENT NO. 1: IN SITU CONCRETE/LARGE PRECAST CONCRETE</v>
      </c>
      <c r="C92" s="574" t="n"/>
      <c r="D92" s="574" t="n"/>
      <c r="E92" s="587" t="n"/>
      <c r="F92" s="576">
        <f>SUM(F33:F91)</f>
        <v>3356708.798375</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443.9*3.05+(8*1*(3.05-2.2)+15*0.9*(3.05-2.2)+22*0.75*(3.05-2.2)+1*0.7*(3.05-2.2)+3*1.2*(3.05-2.2)+3*1*(3.05-2.2)+3*1*(3.05-2.2)+2*0.9*(3.05-2.2)+1*1.5*(3.05-2.2)+3*0.9*(3.05-2.2)+5*0.75*(3.05-2.2)+1*0.45*(3.05-2.2)+3*0.6*(3.05-2.2)+1*3*(3.05-2.2)+4*1.6*(3.05-2.2)+2*1.3*(3.05-2.2)+4*1.8*(3.05-2.2)+1*1.2*(3.05-2.2)+6*1.8*(3.05-1.3)+10*0.9*(3.05-1.3)+2*1.8*(3.05-1.6)+3*1.2*(3.05-1.9)+8*1.2*(3.05-1.15)+1*1.2*(3.05-1.2)+7*1.5*(3.05-1.3)+4*1.5*(3.05-1.15)+1*2.4*(3.05-1.3)+1*3*(3.05-1.6)+3*1.8*(3.05-1.9)+1*0.75*(3.05-1.3)+1*1.45*(3.05-1.9)+13*0.9*(3.05-0.6)+5*0.75*(3.05-0.6)+2*0.6*(3.05-0.6)+2*1.2*(3.05-0.6))*0.889</f>
        <v>1555.9224724999997</v>
      </c>
      <c r="D99" s="583" t="inlineStr">
        <is>
          <t>m2</t>
        </is>
      </c>
      <c r="E99" s="584">
        <f>RATES!$D$46</f>
        <v>215.0</v>
      </c>
      <c r="F99" s="571">
        <f>C99*E99</f>
        <v>334523.33158749994</v>
      </c>
      <c r="G99" s="585" t="inlineStr">
        <is>
          <t>443.9*3.05+(8*1*(3.05-2.2)+15*0.9*(3.05-2.2)+22*0.75*(3.05-2.2)+1*0.7*(3.05-2.2)+3*1.2*(3.05-2.2)+3*1*(3.05-2.2)+3*1*(3.05-2.2)+2*0.9*(3.05-2.2)+1*1.5*(3.05-2.2)+3*0.9*(3.05-2.2)+5*0.75*(3.05-2.2)+1*0.45*(3.05-2.2)+3*0.6*(3.05-2.2)+1*3*(3.05-2.2)+...</t>
        </is>
      </c>
    </row>
    <row r="100"/>
    <row r="101" ht="24" customHeight="1" s="12">
      <c r="A101" s="567" t="inlineStr">
        <is>
          <t>B</t>
        </is>
      </c>
      <c r="B101" s="581" t="inlineStr">
        <is>
          <t>200mm thick wall</t>
        </is>
      </c>
      <c r="C101" s="582">
        <f>55.3*3.05+(8*1*(3.05-2.2)+15*0.9*(3.05-2.2)+22*0.75*(3.05-2.2)+1*0.7*(3.05-2.2)+3*1.2*(3.05-2.2)+3*1*(3.05-2.2)+3*1*(3.05-2.2)+2*0.9*(3.05-2.2)+1*1.5*(3.05-2.2)+3*0.9*(3.05-2.2)+5*0.75*(3.05-2.2)+1*0.45*(3.05-2.2)+3*0.6*(3.05-2.2)+1*3*(3.05-2.2)+4*1.6*(3.05-2.2)+2*1.3*(3.05-2.2)+4*1.8*(3.05-2.2)+1*1.2*(3.05-2.2)+6*1.8*(3.05-1.3)+10*0.9*(3.05-1.3)+2*1.8*(3.05-1.6)+3*1.2*(3.05-1.9)+8*1.2*(3.05-1.15)+1*1.2*(3.05-1.2)+7*1.5*(3.05-1.3)+4*1.5*(3.05-1.15)+1*2.4*(3.05-1.3)+1*3*(3.05-1.6)+3*1.8*(3.05-1.9)+1*0.75*(3.05-1.3)+1*1.45*(3.05-1.9)+13*0.9*(3.05-0.6)+5*0.75*(3.05-0.6)+2*0.6*(3.05-0.6)+2*1.2*(3.05-0.6))*0.111</f>
        <v>193.89002749999997</v>
      </c>
      <c r="D101" s="583" t="inlineStr">
        <is>
          <t>m2</t>
        </is>
      </c>
      <c r="E101" s="584">
        <f>RATES!$D$47</f>
        <v>265.0</v>
      </c>
      <c r="F101" s="571">
        <f>C101*E101</f>
        <v>51380.857287499995</v>
      </c>
      <c r="G101" s="585" t="inlineStr">
        <is>
          <t>55.3*3.05+(8*1*(3.05-2.2)+15*0.9*(3.05-2.2)+22*0.75*(3.05-2.2)+1*0.7*(3.05-2.2)+3*1.2*(3.05-2.2)+3*1*(3.05-2.2)+3*1*(3.05-2.2)+2*0.9*(3.05-2.2)+1*1.5*(3.05-2.2)+3*0.9*(3.05-2.2)+5*0.75*(3.05-2.2)+1*0.45*(3.05-2.2)+3*0.6*(3.05-2.2)+1*3*(3.05-2.2)+4...</t>
        </is>
      </c>
    </row>
    <row r="102"/>
    <row r="103">
      <c r="A103" s="572" t="n"/>
      <c r="B103" s="586" t="str">
        <f>B96</f>
        <v>ELEMENT NO. 2: MASONRY</v>
      </c>
      <c r="C103" s="574" t="n"/>
      <c r="D103" s="574" t="n"/>
      <c r="E103" s="587" t="n"/>
      <c r="F103" s="576">
        <f>SUM(F98:F102)</f>
        <v>385904.18887499993</v>
      </c>
    </row>
    <row r="104">
      <c r="B104" s="559" t="inlineStr">
        <is>
          <t>Carried to Bill Summary</t>
        </is>
      </c>
    </row>
    <row r="105"/>
    <row r="106"/>
    <row r="107">
      <c r="A107" s="577" t="n"/>
      <c r="B107" s="578" t="inlineStr">
        <is>
          <t>ELEMENT NO. 4: WINDOWS/DOORS</t>
        </is>
      </c>
      <c r="C107" s="569" t="n"/>
      <c r="D107" s="569" t="n"/>
      <c r="E107" s="570" t="n"/>
      <c r="F107" s="579" t="n"/>
    </row>
    <row r="108"/>
    <row r="109" ht="48" customHeight="1" s="12">
      <c r="A109" s="577" t="n"/>
      <c r="B109" s="580" t="inlineStr">
        <is>
          <t>L20 DOORS - Supply and fix the following door assemblies complete with frames, ironmongery sets to steel doors and all accessories:</t>
        </is>
      </c>
      <c r="C109" s="569" t="n"/>
      <c r="D109" s="569" t="n"/>
      <c r="E109" s="570" t="n"/>
      <c r="F109" s="579" t="n"/>
    </row>
    <row r="110" ht="24" customHeight="1" s="12">
      <c r="A110" s="567" t="inlineStr">
        <is>
          <t>A</t>
        </is>
      </c>
      <c r="B110" s="581" t="inlineStr">
        <is>
          <t>1000mm x 2200mm 1-hour fire-rated galvanised steel single-leaf security door assembly (D2)</t>
        </is>
      </c>
      <c r="C110" s="582">
        <f>8</f>
        <v>8.0</v>
      </c>
      <c r="D110" s="583" t="inlineStr">
        <is>
          <t>nr</t>
        </is>
      </c>
      <c r="E110" s="584">
        <f>RATES!$D$75</f>
        <v>7800.0</v>
      </c>
      <c r="F110" s="571">
        <f>C110*E110</f>
        <v>62400.0</v>
      </c>
      <c r="G110" s="585" t="inlineStr">
        <is>
          <t>8</t>
        </is>
      </c>
    </row>
    <row r="111"/>
    <row r="112" ht="24" customHeight="1" s="12">
      <c r="A112" s="567" t="inlineStr">
        <is>
          <t>B</t>
        </is>
      </c>
      <c r="B112" s="581" t="inlineStr">
        <is>
          <t>900mm x 2200mm single leaf timber panel door (D3)</t>
        </is>
      </c>
      <c r="C112" s="582">
        <f>15</f>
        <v>15.0</v>
      </c>
      <c r="D112" s="583" t="inlineStr">
        <is>
          <t>nr</t>
        </is>
      </c>
      <c r="E112" s="584">
        <f>RATES!$D$76</f>
        <v>3400.0</v>
      </c>
      <c r="F112" s="571">
        <f>C112*E112</f>
        <v>51000.0</v>
      </c>
      <c r="G112" s="585" t="inlineStr">
        <is>
          <t>15</t>
        </is>
      </c>
    </row>
    <row r="113"/>
    <row r="114" ht="24" customHeight="1" s="12">
      <c r="A114" s="567" t="inlineStr">
        <is>
          <t>C</t>
        </is>
      </c>
      <c r="B114" s="581" t="inlineStr">
        <is>
          <t>750mm x 2200mm single leaf timber flush door (D6)</t>
        </is>
      </c>
      <c r="C114" s="582">
        <f>22</f>
        <v>22.0</v>
      </c>
      <c r="D114" s="583" t="inlineStr">
        <is>
          <t>nr</t>
        </is>
      </c>
      <c r="E114" s="584">
        <f>RATES!$D$79</f>
        <v>1900.0</v>
      </c>
      <c r="F114" s="571">
        <f>C114*E114</f>
        <v>41800.0</v>
      </c>
      <c r="G114" s="585" t="inlineStr">
        <is>
          <t>22</t>
        </is>
      </c>
    </row>
    <row r="115"/>
    <row r="116" ht="24" customHeight="1" s="12">
      <c r="A116" s="567" t="inlineStr">
        <is>
          <t>D</t>
        </is>
      </c>
      <c r="B116" s="581" t="inlineStr">
        <is>
          <t>700mm x 2200mm single-leaf 2-hour fire-rated galvanised steel door (D7)</t>
        </is>
      </c>
      <c r="C116" s="582">
        <f>1</f>
        <v>1.0</v>
      </c>
      <c r="D116" s="583" t="inlineStr">
        <is>
          <t>nr</t>
        </is>
      </c>
      <c r="E116" s="584">
        <f>RATES!$D$80</f>
        <v>6800.0</v>
      </c>
      <c r="F116" s="571">
        <f>C116*E116</f>
        <v>6800.0</v>
      </c>
      <c r="G116" s="585" t="inlineStr">
        <is>
          <t>1</t>
        </is>
      </c>
    </row>
    <row r="117"/>
    <row r="118" ht="24" customHeight="1" s="12">
      <c r="A118" s="567" t="inlineStr">
        <is>
          <t>E</t>
        </is>
      </c>
      <c r="B118" s="581" t="inlineStr">
        <is>
          <t>1200mm x 2200mm 1-hour fire-rated leaf-and-a-half galvanised steel security door assembly (D8)</t>
        </is>
      </c>
      <c r="C118" s="582">
        <f>3</f>
        <v>3.0</v>
      </c>
      <c r="D118" s="583" t="inlineStr">
        <is>
          <t>nr</t>
        </is>
      </c>
      <c r="E118" s="584">
        <f>RATES!$D$81</f>
        <v>9800.0</v>
      </c>
      <c r="F118" s="571">
        <f>C118*E118</f>
        <v>29400.0</v>
      </c>
      <c r="G118" s="585" t="inlineStr">
        <is>
          <t>3</t>
        </is>
      </c>
    </row>
    <row r="119"/>
    <row r="120" ht="48" customHeight="1" s="12">
      <c r="A120" s="567" t="inlineStr">
        <is>
          <t>F</t>
        </is>
      </c>
      <c r="B120" s="581" t="inlineStr">
        <is>
          <t>1000mm x 2200mm 1-hour fire-rated galvanised steel single-leaf security door assembly - emergency stairs (ED1)</t>
        </is>
      </c>
      <c r="C120" s="582">
        <f>3</f>
        <v>3.0</v>
      </c>
      <c r="D120" s="583" t="inlineStr">
        <is>
          <t>nr</t>
        </is>
      </c>
      <c r="E120" s="584">
        <f>RATES!$D$82</f>
        <v>7200.0</v>
      </c>
      <c r="F120" s="571">
        <f>C120*E120</f>
        <v>21600.0</v>
      </c>
      <c r="G120" s="585" t="inlineStr">
        <is>
          <t>3</t>
        </is>
      </c>
    </row>
    <row r="121"/>
    <row r="122" ht="48" customHeight="1" s="12">
      <c r="A122" s="567" t="inlineStr">
        <is>
          <t>G</t>
        </is>
      </c>
      <c r="B122" s="581" t="inlineStr">
        <is>
          <t>1000mm x 2200mm 1-hour fire-rated galvanised steel single-leaf security door with translucent glass panel (ED2)</t>
        </is>
      </c>
      <c r="C122" s="582">
        <f>3</f>
        <v>3.0</v>
      </c>
      <c r="D122" s="583" t="inlineStr">
        <is>
          <t>nr</t>
        </is>
      </c>
      <c r="E122" s="584">
        <f>RATES!$D$83</f>
        <v>8100.0</v>
      </c>
      <c r="F122" s="571">
        <f>C122*E122</f>
        <v>24300.0</v>
      </c>
      <c r="G122" s="585" t="inlineStr">
        <is>
          <t>3</t>
        </is>
      </c>
    </row>
    <row r="123"/>
    <row r="124" ht="24" customHeight="1" s="12">
      <c r="A124" s="567" t="inlineStr">
        <is>
          <t>H</t>
        </is>
      </c>
      <c r="B124" s="581" t="inlineStr">
        <is>
          <t>900mm x 2200mm 1-hour fire-rated galvanised steel single-leaf security door assembly (D9)</t>
        </is>
      </c>
      <c r="C124" s="582">
        <f>2</f>
        <v>2.0</v>
      </c>
      <c r="D124" s="583" t="inlineStr">
        <is>
          <t>nr</t>
        </is>
      </c>
      <c r="E124" s="584">
        <f>RATES!$D$84</f>
        <v>6900.0</v>
      </c>
      <c r="F124" s="571">
        <f>C124*E124</f>
        <v>13800.0</v>
      </c>
      <c r="G124" s="585" t="inlineStr">
        <is>
          <t>2</t>
        </is>
      </c>
    </row>
    <row r="125"/>
    <row r="126" ht="24" customHeight="1" s="12">
      <c r="A126" s="567" t="inlineStr">
        <is>
          <t>J</t>
        </is>
      </c>
      <c r="B126" s="581" t="inlineStr">
        <is>
          <t>1500mm x 2200mm timber bi-fold door (FD1)</t>
        </is>
      </c>
      <c r="C126" s="582">
        <f>1</f>
        <v>1.0</v>
      </c>
      <c r="D126" s="583" t="inlineStr">
        <is>
          <t>nr</t>
        </is>
      </c>
      <c r="E126" s="584">
        <f>RATES!$D$86</f>
        <v>4600.0</v>
      </c>
      <c r="F126" s="571">
        <f>C126*E126</f>
        <v>4600.0</v>
      </c>
      <c r="G126" s="585" t="inlineStr">
        <is>
          <t>1</t>
        </is>
      </c>
    </row>
    <row r="127"/>
    <row r="128" ht="24" customHeight="1" s="12">
      <c r="A128" s="567" t="inlineStr">
        <is>
          <t>K</t>
        </is>
      </c>
      <c r="B128" s="581" t="inlineStr">
        <is>
          <t>900mm x 2200mm screw-fixed galvanised steel service access panel (M1)</t>
        </is>
      </c>
      <c r="C128" s="582">
        <f>3</f>
        <v>3.0</v>
      </c>
      <c r="D128" s="583" t="inlineStr">
        <is>
          <t>nr</t>
        </is>
      </c>
      <c r="E128" s="584">
        <f>RATES!$D$87</f>
        <v>2900.0</v>
      </c>
      <c r="F128" s="571">
        <f>C128*E128</f>
        <v>8700.0</v>
      </c>
      <c r="G128" s="585" t="inlineStr">
        <is>
          <t>3</t>
        </is>
      </c>
    </row>
    <row r="129"/>
    <row r="130" ht="24" customHeight="1" s="12">
      <c r="A130" s="567" t="inlineStr">
        <is>
          <t>L</t>
        </is>
      </c>
      <c r="B130" s="581" t="inlineStr">
        <is>
          <t>750mm x 2200mm screw-fixed galvanised steel service access panel (M2)</t>
        </is>
      </c>
      <c r="C130" s="582">
        <f>5</f>
        <v>5.0</v>
      </c>
      <c r="D130" s="583" t="inlineStr">
        <is>
          <t>nr</t>
        </is>
      </c>
      <c r="E130" s="584">
        <f>RATES!$D$88</f>
        <v>2600.0</v>
      </c>
      <c r="F130" s="571">
        <f>C130*E130</f>
        <v>13000.0</v>
      </c>
      <c r="G130" s="585" t="inlineStr">
        <is>
          <t>5</t>
        </is>
      </c>
    </row>
    <row r="131"/>
    <row r="132" ht="24" customHeight="1" s="12">
      <c r="A132" s="567" t="inlineStr">
        <is>
          <t>M</t>
        </is>
      </c>
      <c r="B132" s="581" t="inlineStr">
        <is>
          <t>450mm x 2200mm screw-fixed galvanised steel service access panel (M3)</t>
        </is>
      </c>
      <c r="C132" s="582">
        <f>1</f>
        <v>1.0</v>
      </c>
      <c r="D132" s="583" t="inlineStr">
        <is>
          <t>nr</t>
        </is>
      </c>
      <c r="E132" s="584">
        <f>RATES!$D$89</f>
        <v>1900.0</v>
      </c>
      <c r="F132" s="571">
        <f>C132*E132</f>
        <v>1900.0</v>
      </c>
      <c r="G132" s="585" t="inlineStr">
        <is>
          <t>1</t>
        </is>
      </c>
    </row>
    <row r="133"/>
    <row r="134" ht="24" customHeight="1" s="12">
      <c r="A134" s="567" t="inlineStr">
        <is>
          <t>N</t>
        </is>
      </c>
      <c r="B134" s="581" t="inlineStr">
        <is>
          <t>600mm x 2200mm screw-fixed galvanised steel service access panel (M5)</t>
        </is>
      </c>
      <c r="C134" s="582">
        <f>3</f>
        <v>3.0</v>
      </c>
      <c r="D134" s="583" t="inlineStr">
        <is>
          <t>nr</t>
        </is>
      </c>
      <c r="E134" s="584">
        <f>RATES!$D$90</f>
        <v>2200.0</v>
      </c>
      <c r="F134" s="571">
        <f>C134*E134</f>
        <v>6600.0</v>
      </c>
      <c r="G134" s="585" t="inlineStr">
        <is>
          <t>3</t>
        </is>
      </c>
    </row>
    <row r="135"/>
    <row r="136" ht="24" customHeight="1" s="12">
      <c r="A136" s="567" t="inlineStr">
        <is>
          <t>P</t>
        </is>
      </c>
      <c r="B136" s="581" t="inlineStr">
        <is>
          <t>3000mm x 2200mm 3-panel galvanised steel framed tempered glass sliding door (SD1)</t>
        </is>
      </c>
      <c r="C136" s="582">
        <f>1</f>
        <v>1.0</v>
      </c>
      <c r="D136" s="583" t="inlineStr">
        <is>
          <t>nr</t>
        </is>
      </c>
      <c r="E136" s="584">
        <f>RATES!$D$94</f>
        <v>14500.0</v>
      </c>
      <c r="F136" s="571">
        <f>C136*E136</f>
        <v>14500.0</v>
      </c>
      <c r="G136" s="585" t="inlineStr">
        <is>
          <t>1</t>
        </is>
      </c>
    </row>
    <row r="137"/>
    <row r="138" ht="24" customHeight="1" s="12">
      <c r="A138" s="567" t="inlineStr">
        <is>
          <t>Q</t>
        </is>
      </c>
      <c r="B138" s="581" t="inlineStr">
        <is>
          <t>1600mm x 2200mm 2-panel galvanised steel framed tempered glass sliding door (SD2)</t>
        </is>
      </c>
      <c r="C138" s="582">
        <f>4</f>
        <v>4.0</v>
      </c>
      <c r="D138" s="583" t="inlineStr">
        <is>
          <t>nr</t>
        </is>
      </c>
      <c r="E138" s="584">
        <f>RATES!$D$95</f>
        <v>8800.0</v>
      </c>
      <c r="F138" s="571">
        <f>C138*E138</f>
        <v>35200.0</v>
      </c>
      <c r="G138" s="585" t="inlineStr">
        <is>
          <t>4</t>
        </is>
      </c>
    </row>
    <row r="139"/>
    <row r="140" ht="24" customHeight="1" s="12">
      <c r="A140" s="567" t="inlineStr">
        <is>
          <t>R</t>
        </is>
      </c>
      <c r="B140" s="581" t="inlineStr">
        <is>
          <t>1300mm x 2200mm 2-panel galvanised steel framed tempered glass sliding door (SD3)</t>
        </is>
      </c>
      <c r="C140" s="582">
        <f>2</f>
        <v>2.0</v>
      </c>
      <c r="D140" s="583" t="inlineStr">
        <is>
          <t>nr</t>
        </is>
      </c>
      <c r="E140" s="584">
        <f>RATES!$D$96</f>
        <v>7600.0</v>
      </c>
      <c r="F140" s="571">
        <f>C140*E140</f>
        <v>15200.0</v>
      </c>
      <c r="G140" s="585" t="inlineStr">
        <is>
          <t>2</t>
        </is>
      </c>
    </row>
    <row r="141"/>
    <row r="142" ht="24" customHeight="1" s="12">
      <c r="A142" s="567" t="inlineStr">
        <is>
          <t>S</t>
        </is>
      </c>
      <c r="B142" s="581" t="inlineStr">
        <is>
          <t>1800mm x 2200mm 2-panel galvanised steel framed tempered glass sliding door (SD4)</t>
        </is>
      </c>
      <c r="C142" s="582">
        <f>4</f>
        <v>4.0</v>
      </c>
      <c r="D142" s="583" t="inlineStr">
        <is>
          <t>nr</t>
        </is>
      </c>
      <c r="E142" s="584">
        <f>RATES!$D$97</f>
        <v>9300.0</v>
      </c>
      <c r="F142" s="571">
        <f>C142*E142</f>
        <v>37200.0</v>
      </c>
      <c r="G142" s="585" t="inlineStr">
        <is>
          <t>4</t>
        </is>
      </c>
    </row>
    <row r="143"/>
    <row r="144" ht="24" customHeight="1" s="12">
      <c r="A144" s="567" t="inlineStr">
        <is>
          <t>T</t>
        </is>
      </c>
      <c r="B144" s="581" t="inlineStr">
        <is>
          <t>1200mm x 2200mm 2-panel galvanised steel framed tempered glass sliding door (SD5)</t>
        </is>
      </c>
      <c r="C144" s="582">
        <f>1</f>
        <v>1.0</v>
      </c>
      <c r="D144" s="583" t="inlineStr">
        <is>
          <t>nr</t>
        </is>
      </c>
      <c r="E144" s="584">
        <f>RATES!$D$98</f>
        <v>7200.0</v>
      </c>
      <c r="F144" s="571">
        <f>C144*E144</f>
        <v>7200.0</v>
      </c>
      <c r="G144" s="585" t="inlineStr">
        <is>
          <t>1</t>
        </is>
      </c>
    </row>
    <row r="145"/>
    <row r="146" ht="24" customHeight="1" s="12">
      <c r="A146" s="567" t="inlineStr">
        <is>
          <t>U</t>
        </is>
      </c>
      <c r="B146" s="581" t="inlineStr">
        <is>
          <t>50mm x 150mm frames (to timber doors)</t>
        </is>
      </c>
      <c r="C146" s="582">
        <f>15*(2*2.2+0.9)+22*(2*2.2+0.75)+1*(2*2.2+1.5)</f>
        <v>198.70000000000002</v>
      </c>
      <c r="D146" s="583" t="inlineStr">
        <is>
          <t>m</t>
        </is>
      </c>
      <c r="E146" s="584">
        <f>RATES!$D$100</f>
        <v>125.0</v>
      </c>
      <c r="F146" s="571">
        <f>C146*E146</f>
        <v>24837.500000000004</v>
      </c>
      <c r="G146" s="585" t="inlineStr">
        <is>
          <t>15*(2*2.2+0.9)+22*(2*2.2+0.75)+1*(2*2.2+1.5)</t>
        </is>
      </c>
    </row>
    <row r="147"/>
    <row r="148" ht="24" customHeight="1" s="12">
      <c r="A148" s="567" t="inlineStr">
        <is>
          <t>V</t>
        </is>
      </c>
      <c r="B148" s="581" t="inlineStr">
        <is>
          <t>50mm x 12mm door stop</t>
        </is>
      </c>
      <c r="C148" s="582">
        <f>15*(2*2.2+0.9)+22*(2*2.2+0.75)+1*(2*2.2+1.5)</f>
        <v>198.70000000000002</v>
      </c>
      <c r="D148" s="583" t="inlineStr">
        <is>
          <t>m</t>
        </is>
      </c>
      <c r="E148" s="584">
        <f>RATES!$D$101</f>
        <v>28.0</v>
      </c>
      <c r="F148" s="571">
        <f>C148*E148</f>
        <v>5563.6</v>
      </c>
      <c r="G148" s="585" t="inlineStr">
        <is>
          <t>15*(2*2.2+0.9)+22*(2*2.2+0.75)+1*(2*2.2+1.5)</t>
        </is>
      </c>
    </row>
    <row r="149"/>
    <row r="150" ht="48" customHeight="1" s="12">
      <c r="A150" s="577" t="n"/>
      <c r="B150" s="580" t="inlineStr">
        <is>
          <t>Ironmongery - Supply and fix the following approved ironmongery to hardwood with accompanying patented screws:</t>
        </is>
      </c>
      <c r="C150" s="569" t="n"/>
      <c r="D150" s="569" t="n"/>
      <c r="E150" s="570" t="n"/>
      <c r="F150" s="579" t="n"/>
    </row>
    <row r="151" ht="24" customHeight="1" s="12">
      <c r="A151" s="567" t="inlineStr">
        <is>
          <t>W</t>
        </is>
      </c>
      <c r="B151" s="581" t="inlineStr">
        <is>
          <t>Pair 100mm brass butt hinges</t>
        </is>
      </c>
      <c r="C151" s="582">
        <f>56</f>
        <v>56.0</v>
      </c>
      <c r="D151" s="583" t="inlineStr">
        <is>
          <t>pr</t>
        </is>
      </c>
      <c r="E151" s="584">
        <f>RATES!$D$102</f>
        <v>125.0</v>
      </c>
      <c r="F151" s="571">
        <f>C151*E151</f>
        <v>7000.0</v>
      </c>
      <c r="G151" s="585" t="inlineStr">
        <is>
          <t>56</t>
        </is>
      </c>
    </row>
    <row r="152"/>
    <row r="153" ht="24" customHeight="1" s="12">
      <c r="A153" s="567" t="inlineStr">
        <is>
          <t>X</t>
        </is>
      </c>
      <c r="B153" s="581" t="inlineStr">
        <is>
          <t>Ordinary locks</t>
        </is>
      </c>
      <c r="C153" s="582">
        <f>15</f>
        <v>15.0</v>
      </c>
      <c r="D153" s="583" t="inlineStr">
        <is>
          <t>nr</t>
        </is>
      </c>
      <c r="E153" s="584">
        <f>RATES!$D$103</f>
        <v>480.0</v>
      </c>
      <c r="F153" s="571">
        <f>C153*E153</f>
        <v>7200.0</v>
      </c>
      <c r="G153" s="585" t="inlineStr">
        <is>
          <t>15</t>
        </is>
      </c>
    </row>
    <row r="154"/>
    <row r="155" ht="24" customHeight="1" s="12">
      <c r="A155" s="567" t="inlineStr">
        <is>
          <t>Y</t>
        </is>
      </c>
      <c r="B155" s="581" t="inlineStr">
        <is>
          <t>Approved high quality mortice indicator lock</t>
        </is>
      </c>
      <c r="C155" s="582">
        <f>22</f>
        <v>22.0</v>
      </c>
      <c r="D155" s="583" t="inlineStr">
        <is>
          <t>nr</t>
        </is>
      </c>
      <c r="E155" s="584">
        <f>RATES!$D$104</f>
        <v>560.0</v>
      </c>
      <c r="F155" s="571">
        <f>C155*E155</f>
        <v>12320.0</v>
      </c>
      <c r="G155" s="585" t="inlineStr">
        <is>
          <t>22</t>
        </is>
      </c>
    </row>
    <row r="156"/>
    <row r="157" ht="72" customHeight="1" s="12">
      <c r="A157" s="577" t="n"/>
      <c r="B157"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7" s="569" t="n"/>
      <c r="D157" s="569" t="n"/>
      <c r="E157" s="570" t="n"/>
      <c r="F157" s="579" t="n"/>
    </row>
    <row r="158" ht="24" customHeight="1" s="12">
      <c r="A158" s="567" t="inlineStr">
        <is>
          <t>Z</t>
        </is>
      </c>
      <c r="B158" s="581" t="inlineStr">
        <is>
          <t>2 bay alu. framed glass sliding window 1800mm x 1300mm (W2)</t>
        </is>
      </c>
      <c r="C158" s="582">
        <f>6</f>
        <v>6.0</v>
      </c>
      <c r="D158" s="583" t="inlineStr">
        <is>
          <t>nr</t>
        </is>
      </c>
      <c r="E158" s="584">
        <f>RATES!$D$109</f>
        <v>3861.0000000000005</v>
      </c>
      <c r="F158" s="571">
        <f>C158*E158</f>
        <v>23166.000000000004</v>
      </c>
      <c r="G158" s="585" t="inlineStr">
        <is>
          <t>6</t>
        </is>
      </c>
    </row>
    <row r="159"/>
    <row r="160" ht="24" customHeight="1" s="12">
      <c r="A160" s="567" t="inlineStr">
        <is>
          <t>A</t>
        </is>
      </c>
      <c r="B160" s="581" t="inlineStr">
        <is>
          <t>1 bay alu. framed glass awning window 900mm x 1300mm (W4)</t>
        </is>
      </c>
      <c r="C160" s="582">
        <f>10</f>
        <v>10.0</v>
      </c>
      <c r="D160" s="583" t="inlineStr">
        <is>
          <t>nr</t>
        </is>
      </c>
      <c r="E160" s="584">
        <f>RATES!$D$111</f>
        <v>1930.5000000000002</v>
      </c>
      <c r="F160" s="571">
        <f>C160*E160</f>
        <v>19305.000000000004</v>
      </c>
      <c r="G160" s="585" t="inlineStr">
        <is>
          <t>10</t>
        </is>
      </c>
    </row>
    <row r="161"/>
    <row r="162" ht="24" customHeight="1" s="12">
      <c r="A162" s="567" t="inlineStr">
        <is>
          <t>B</t>
        </is>
      </c>
      <c r="B162" s="581" t="inlineStr">
        <is>
          <t>2 bay alu. framed glass sliding window 1800mm x 1600mm (W7)</t>
        </is>
      </c>
      <c r="C162" s="582">
        <f>2</f>
        <v>2.0</v>
      </c>
      <c r="D162" s="583" t="inlineStr">
        <is>
          <t>nr</t>
        </is>
      </c>
      <c r="E162" s="584">
        <f>RATES!$D$114</f>
        <v>4752.000000000001</v>
      </c>
      <c r="F162" s="571">
        <f>C162*E162</f>
        <v>9504.000000000002</v>
      </c>
      <c r="G162" s="585" t="inlineStr">
        <is>
          <t>2</t>
        </is>
      </c>
    </row>
    <row r="163"/>
    <row r="164" ht="24" customHeight="1" s="12">
      <c r="A164" s="567" t="inlineStr">
        <is>
          <t>C</t>
        </is>
      </c>
      <c r="B164" s="581" t="inlineStr">
        <is>
          <t>1 x 3 bay alu. framed glass awning window 1200mm x 1900mm (W8)</t>
        </is>
      </c>
      <c r="C164" s="582">
        <f>3</f>
        <v>3.0</v>
      </c>
      <c r="D164" s="583" t="inlineStr">
        <is>
          <t>nr</t>
        </is>
      </c>
      <c r="E164" s="584">
        <f>RATES!$D$115</f>
        <v>3761.9999999999995</v>
      </c>
      <c r="F164" s="571">
        <f>C164*E164</f>
        <v>11285.999999999998</v>
      </c>
      <c r="G164" s="585" t="inlineStr">
        <is>
          <t>3</t>
        </is>
      </c>
    </row>
    <row r="165"/>
    <row r="166" ht="24" customHeight="1" s="12">
      <c r="A166" s="567" t="inlineStr">
        <is>
          <t>D</t>
        </is>
      </c>
      <c r="B166" s="581" t="inlineStr">
        <is>
          <t>2 bay alu. framed glass sliding window 1200mm x 1150mm (W9)</t>
        </is>
      </c>
      <c r="C166" s="582">
        <f>8</f>
        <v>8.0</v>
      </c>
      <c r="D166" s="583" t="inlineStr">
        <is>
          <t>nr</t>
        </is>
      </c>
      <c r="E166" s="584">
        <f>RATES!$D$116</f>
        <v>2277.0</v>
      </c>
      <c r="F166" s="571">
        <f>C166*E166</f>
        <v>18216.0</v>
      </c>
      <c r="G166" s="585" t="inlineStr">
        <is>
          <t>8</t>
        </is>
      </c>
    </row>
    <row r="167"/>
    <row r="168" ht="24" customHeight="1" s="12">
      <c r="A168" s="567" t="inlineStr">
        <is>
          <t>E</t>
        </is>
      </c>
      <c r="B168" s="581" t="inlineStr">
        <is>
          <t>2 bay alu. framed glass sliding window 1200mm x 1200mm (W10)</t>
        </is>
      </c>
      <c r="C168" s="582">
        <f>1</f>
        <v>1.0</v>
      </c>
      <c r="D168" s="583" t="inlineStr">
        <is>
          <t>nr</t>
        </is>
      </c>
      <c r="E168" s="584">
        <f>RATES!$D$117</f>
        <v>2376.0</v>
      </c>
      <c r="F168" s="571">
        <f>C168*E168</f>
        <v>2376.0</v>
      </c>
      <c r="G168" s="585" t="inlineStr">
        <is>
          <t>1</t>
        </is>
      </c>
    </row>
    <row r="169"/>
    <row r="170" ht="24" customHeight="1" s="12">
      <c r="A170" s="567" t="inlineStr">
        <is>
          <t>F</t>
        </is>
      </c>
      <c r="B170" s="581" t="inlineStr">
        <is>
          <t>2 bay alu. framed glass sliding window 1500mm x 1300mm (W11)</t>
        </is>
      </c>
      <c r="C170" s="582">
        <f>7</f>
        <v>7.0</v>
      </c>
      <c r="D170" s="583" t="inlineStr">
        <is>
          <t>nr</t>
        </is>
      </c>
      <c r="E170" s="584">
        <f>RATES!$D$118</f>
        <v>3217.5000000000005</v>
      </c>
      <c r="F170" s="571">
        <f>C170*E170</f>
        <v>22522.500000000004</v>
      </c>
      <c r="G170" s="585" t="inlineStr">
        <is>
          <t>7</t>
        </is>
      </c>
    </row>
    <row r="171"/>
    <row r="172" ht="24" customHeight="1" s="12">
      <c r="A172" s="567" t="inlineStr">
        <is>
          <t>G</t>
        </is>
      </c>
      <c r="B172" s="581" t="inlineStr">
        <is>
          <t>2 bay alu. framed glass sliding window 1500mm x 1150mm (W12)</t>
        </is>
      </c>
      <c r="C172" s="582">
        <f>4</f>
        <v>4.0</v>
      </c>
      <c r="D172" s="583" t="inlineStr">
        <is>
          <t>nr</t>
        </is>
      </c>
      <c r="E172" s="584">
        <f>RATES!$D$119</f>
        <v>2846.25</v>
      </c>
      <c r="F172" s="571">
        <f>C172*E172</f>
        <v>11385.0</v>
      </c>
      <c r="G172" s="585" t="inlineStr">
        <is>
          <t>4</t>
        </is>
      </c>
    </row>
    <row r="173"/>
    <row r="174" ht="24" customHeight="1" s="12">
      <c r="A174" s="567" t="inlineStr">
        <is>
          <t>H</t>
        </is>
      </c>
      <c r="B174" s="581" t="inlineStr">
        <is>
          <t>3 bay alu. framed glass awning window 2400mm x 1300mm (W13)</t>
        </is>
      </c>
      <c r="C174" s="582">
        <f>1</f>
        <v>1.0</v>
      </c>
      <c r="D174" s="583" t="inlineStr">
        <is>
          <t>nr</t>
        </is>
      </c>
      <c r="E174" s="584">
        <f>RATES!$D$120</f>
        <v>5148.0</v>
      </c>
      <c r="F174" s="571">
        <f>C174*E174</f>
        <v>5148.0</v>
      </c>
      <c r="G174" s="585" t="inlineStr">
        <is>
          <t>1</t>
        </is>
      </c>
    </row>
    <row r="175"/>
    <row r="176" ht="24" customHeight="1" s="12">
      <c r="A176" s="567" t="inlineStr">
        <is>
          <t>J</t>
        </is>
      </c>
      <c r="B176" s="581" t="inlineStr">
        <is>
          <t>3 bay alu. framed glass sliding window 3000mm x 1600mm (W15)</t>
        </is>
      </c>
      <c r="C176" s="582">
        <f>1</f>
        <v>1.0</v>
      </c>
      <c r="D176" s="583" t="inlineStr">
        <is>
          <t>nr</t>
        </is>
      </c>
      <c r="E176" s="584">
        <f>RATES!$D$122</f>
        <v>7920.000000000001</v>
      </c>
      <c r="F176" s="571">
        <f>C176*E176</f>
        <v>7920.000000000001</v>
      </c>
      <c r="G176" s="585" t="inlineStr">
        <is>
          <t>1</t>
        </is>
      </c>
    </row>
    <row r="177"/>
    <row r="178" ht="24" customHeight="1" s="12">
      <c r="A178" s="567" t="inlineStr">
        <is>
          <t>K</t>
        </is>
      </c>
      <c r="B178" s="581" t="inlineStr">
        <is>
          <t>2 x 3 alu. framed glass awning window 1800mm x 1900mm (W17)</t>
        </is>
      </c>
      <c r="C178" s="582">
        <f>3</f>
        <v>3.0</v>
      </c>
      <c r="D178" s="583" t="inlineStr">
        <is>
          <t>nr</t>
        </is>
      </c>
      <c r="E178" s="584">
        <f>RATES!$D$124</f>
        <v>5643.0</v>
      </c>
      <c r="F178" s="571">
        <f>C178*E178</f>
        <v>16929.0</v>
      </c>
      <c r="G178" s="585" t="inlineStr">
        <is>
          <t>3</t>
        </is>
      </c>
    </row>
    <row r="179"/>
    <row r="180" ht="24" customHeight="1" s="12">
      <c r="A180" s="567" t="inlineStr">
        <is>
          <t>L</t>
        </is>
      </c>
      <c r="B180" s="581" t="inlineStr">
        <is>
          <t>1 bay alu. framed glass awning window 750mm x 1300mm (W18)</t>
        </is>
      </c>
      <c r="C180" s="582">
        <f>1</f>
        <v>1.0</v>
      </c>
      <c r="D180" s="583" t="inlineStr">
        <is>
          <t>nr</t>
        </is>
      </c>
      <c r="E180" s="584">
        <f>RATES!$D$125</f>
        <v>1608.7500000000002</v>
      </c>
      <c r="F180" s="571">
        <f>C180*E180</f>
        <v>1608.7500000000002</v>
      </c>
      <c r="G180" s="585" t="inlineStr">
        <is>
          <t>1</t>
        </is>
      </c>
    </row>
    <row r="181"/>
    <row r="182" ht="24" customHeight="1" s="12">
      <c r="A182" s="567" t="inlineStr">
        <is>
          <t>M</t>
        </is>
      </c>
      <c r="B182" s="581" t="inlineStr">
        <is>
          <t>2 x 3 alu. framed glass awning window 1450mm x 1900mm (W20)</t>
        </is>
      </c>
      <c r="C182" s="582">
        <f>1</f>
        <v>1.0</v>
      </c>
      <c r="D182" s="583" t="inlineStr">
        <is>
          <t>nr</t>
        </is>
      </c>
      <c r="E182" s="584">
        <f>RATES!$D$127</f>
        <v>4545.75</v>
      </c>
      <c r="F182" s="571">
        <f>C182*E182</f>
        <v>4545.75</v>
      </c>
      <c r="G182" s="585" t="inlineStr">
        <is>
          <t>1</t>
        </is>
      </c>
    </row>
    <row r="183"/>
    <row r="184" ht="24" customHeight="1" s="12">
      <c r="A184" s="567" t="inlineStr">
        <is>
          <t>N</t>
        </is>
      </c>
      <c r="B184" s="581" t="inlineStr">
        <is>
          <t>2 bay alu. framed glass sliding window 900mm x 600mm (HW1)</t>
        </is>
      </c>
      <c r="C184" s="582">
        <f>13</f>
        <v>13.0</v>
      </c>
      <c r="D184" s="583" t="inlineStr">
        <is>
          <t>nr</t>
        </is>
      </c>
      <c r="E184" s="584">
        <f>RATES!$D$128</f>
        <v>891.0000000000001</v>
      </c>
      <c r="F184" s="571">
        <f>C184*E184</f>
        <v>11583.000000000002</v>
      </c>
      <c r="G184" s="585" t="inlineStr">
        <is>
          <t>13</t>
        </is>
      </c>
    </row>
    <row r="185"/>
    <row r="186" ht="24" customHeight="1" s="12">
      <c r="A186" s="567" t="inlineStr">
        <is>
          <t>P</t>
        </is>
      </c>
      <c r="B186" s="581" t="inlineStr">
        <is>
          <t>2 bay alu. framed glass sliding window 750mm x 600mm (HW2)</t>
        </is>
      </c>
      <c r="C186" s="582">
        <f>5</f>
        <v>5.0</v>
      </c>
      <c r="D186" s="583" t="inlineStr">
        <is>
          <t>nr</t>
        </is>
      </c>
      <c r="E186" s="584">
        <f>RATES!$D$129</f>
        <v>742.4999999999999</v>
      </c>
      <c r="F186" s="571">
        <f>C186*E186</f>
        <v>3712.4999999999995</v>
      </c>
      <c r="G186" s="585" t="inlineStr">
        <is>
          <t>5</t>
        </is>
      </c>
    </row>
    <row r="187"/>
    <row r="188" ht="24" customHeight="1" s="12">
      <c r="A188" s="567" t="inlineStr">
        <is>
          <t>Q</t>
        </is>
      </c>
      <c r="B188" s="581" t="inlineStr">
        <is>
          <t>2 bay alu. framed glass sliding window 600mm x 600mm (HW3)</t>
        </is>
      </c>
      <c r="C188" s="582">
        <f>2</f>
        <v>2.0</v>
      </c>
      <c r="D188" s="583" t="inlineStr">
        <is>
          <t>nr</t>
        </is>
      </c>
      <c r="E188" s="584">
        <f>RATES!$D$130</f>
        <v>594.0</v>
      </c>
      <c r="F188" s="571">
        <f>C188*E188</f>
        <v>1188.0</v>
      </c>
      <c r="G188" s="585" t="inlineStr">
        <is>
          <t>2</t>
        </is>
      </c>
    </row>
    <row r="189"/>
    <row r="190" ht="24" customHeight="1" s="12">
      <c r="A190" s="567" t="inlineStr">
        <is>
          <t>R</t>
        </is>
      </c>
      <c r="B190" s="581" t="inlineStr">
        <is>
          <t>2 bay alu. framed glass sliding window 1200mm x 600mm (HW4)</t>
        </is>
      </c>
      <c r="C190" s="582">
        <f>2</f>
        <v>2.0</v>
      </c>
      <c r="D190" s="583" t="inlineStr">
        <is>
          <t>nr</t>
        </is>
      </c>
      <c r="E190" s="584">
        <f>RATES!$D$131</f>
        <v>1188.0</v>
      </c>
      <c r="F190" s="571">
        <f>C190*E190</f>
        <v>2376.0</v>
      </c>
      <c r="G190" s="585" t="inlineStr">
        <is>
          <t>2</t>
        </is>
      </c>
    </row>
    <row r="191"/>
    <row r="192">
      <c r="A192" s="572" t="n"/>
      <c r="B192" s="586" t="str">
        <f>B107</f>
        <v>ELEMENT NO. 4: WINDOWS/DOORS</v>
      </c>
      <c r="C192" s="574" t="n"/>
      <c r="D192" s="574" t="n"/>
      <c r="E192" s="587" t="n"/>
      <c r="F192" s="576">
        <f>SUM(F109:F191)</f>
        <v>624892.6</v>
      </c>
    </row>
    <row r="193">
      <c r="B193" s="559" t="inlineStr">
        <is>
          <t>Carried to Bill Summary</t>
        </is>
      </c>
    </row>
    <row r="194"/>
    <row r="195"/>
    <row r="196">
      <c r="A196" s="577" t="n"/>
      <c r="B196" s="578" t="inlineStr">
        <is>
          <t>ELEMENT NO. 5: FLOOR FINISHES</t>
        </is>
      </c>
      <c r="C196" s="569" t="n"/>
      <c r="D196" s="569" t="n"/>
      <c r="E196" s="570" t="n"/>
      <c r="F196" s="579" t="n"/>
    </row>
    <row r="197"/>
    <row r="198" ht="24" customHeight="1" s="12">
      <c r="A198" s="577" t="n"/>
      <c r="B198" s="580" t="inlineStr">
        <is>
          <t>M10/M40 FLOOR FINISHES</t>
        </is>
      </c>
      <c r="C198" s="569" t="n"/>
      <c r="D198" s="569" t="n"/>
      <c r="E198" s="570" t="n"/>
      <c r="F198" s="579" t="n"/>
    </row>
    <row r="199" ht="24" customHeight="1" s="12">
      <c r="A199" s="567" t="inlineStr">
        <is>
          <t>A</t>
        </is>
      </c>
      <c r="B199" s="581" t="inlineStr">
        <is>
          <t>25mm cement and sand (1:3) screeded finish laid level on concrete and finished smooth with steel trowel</t>
        </is>
      </c>
      <c r="C199" s="582">
        <f>859.9</f>
        <v>859.9</v>
      </c>
      <c r="D199" s="583" t="inlineStr">
        <is>
          <t>m2</t>
        </is>
      </c>
      <c r="E199" s="584">
        <f>RATES!$D$50</f>
        <v>68.0</v>
      </c>
      <c r="F199" s="571">
        <f>C199*E199</f>
        <v>58473.2</v>
      </c>
      <c r="G199" s="585" t="inlineStr">
        <is>
          <t>859.9</t>
        </is>
      </c>
    </row>
    <row r="200"/>
    <row r="201" ht="24" customHeight="1" s="12">
      <c r="A201" s="567" t="inlineStr">
        <is>
          <t>B</t>
        </is>
      </c>
      <c r="B201" s="581" t="inlineStr">
        <is>
          <t>12mm cement and sand (1:4) screeded bed laid level on concrete floor to receive floor tiles</t>
        </is>
      </c>
      <c r="C201" s="582">
        <f>859.9+(2*1.8*3.0+22*0.15*1.8+2.2*3.75+1.8*3.75)+(2*1.8*3.0+22*0.15*1.8+2.2*3.75+1.8*3.75)</f>
        <v>923.38</v>
      </c>
      <c r="D201" s="583" t="inlineStr">
        <is>
          <t>m2</t>
        </is>
      </c>
      <c r="E201" s="584">
        <f>RATES!$D$51</f>
        <v>48.0</v>
      </c>
      <c r="F201" s="571">
        <f>C201*E201</f>
        <v>44322.24</v>
      </c>
      <c r="G201" s="585" t="inlineStr">
        <is>
          <t>859.9+(2*1.8*3.0+22*0.15*1.8+2.2*3.75+1.8*3.75)+(2*1.8*3.0+22*0.15*1.8+2.2*3.75+1.8*3.75)</t>
        </is>
      </c>
    </row>
    <row r="202"/>
    <row r="203" ht="24" customHeight="1" s="12">
      <c r="A203" s="567" t="inlineStr">
        <is>
          <t>C</t>
        </is>
      </c>
      <c r="B203" s="581" t="inlineStr">
        <is>
          <t>400x400mm non-slip porcelain floor tiles to washrooms &amp; WCs, adhesive, grout and cutting</t>
        </is>
      </c>
      <c r="C203" s="582">
        <f>62.1</f>
        <v>62.1</v>
      </c>
      <c r="D203" s="583" t="inlineStr">
        <is>
          <t>m2</t>
        </is>
      </c>
      <c r="E203" s="584">
        <f>RATES!$D$53</f>
        <v>230.0</v>
      </c>
      <c r="F203" s="571">
        <f>C203*E203</f>
        <v>14283.0</v>
      </c>
      <c r="G203" s="585" t="inlineStr">
        <is>
          <t>62.1</t>
        </is>
      </c>
    </row>
    <row r="204"/>
    <row r="205" ht="24" customHeight="1" s="12">
      <c r="A205" s="567" t="inlineStr">
        <is>
          <t>D</t>
        </is>
      </c>
      <c r="B205" s="581" t="inlineStr">
        <is>
          <t>500x500mm matte R11 porcelain tiles to staircases (treads, risers and landings)</t>
        </is>
      </c>
      <c r="C205" s="582">
        <f>(2*1.8*3.0+22*0.15*1.8+2.2*3.75+1.8*3.75)+(2*1.8*3.0+22*0.15*1.8+2.2*3.75+1.8*3.75)</f>
        <v>63.480000000000004</v>
      </c>
      <c r="D205" s="583" t="inlineStr">
        <is>
          <t>m2</t>
        </is>
      </c>
      <c r="E205" s="584">
        <f>RATES!$D$54</f>
        <v>270.0</v>
      </c>
      <c r="F205" s="571">
        <f>C205*E205</f>
        <v>17139.600000000002</v>
      </c>
      <c r="G205" s="585" t="inlineStr">
        <is>
          <t>(2*1.8*3.0+22*0.15*1.8+2.2*3.75+1.8*3.75)+(2*1.8*3.0+22*0.15*1.8+2.2*3.75+1.8*3.75)</t>
        </is>
      </c>
    </row>
    <row r="206"/>
    <row r="207" ht="24" customHeight="1" s="12">
      <c r="A207" s="567" t="inlineStr">
        <is>
          <t>E</t>
        </is>
      </c>
      <c r="B207" s="581" t="inlineStr">
        <is>
          <t>600x600mm semi-polished porcelain floor tiles to habitable rooms, shops &amp; offices</t>
        </is>
      </c>
      <c r="C207" s="582">
        <f>560.1</f>
        <v>560.1</v>
      </c>
      <c r="D207" s="583" t="inlineStr">
        <is>
          <t>m2</t>
        </is>
      </c>
      <c r="E207" s="584">
        <f>RATES!$D$55</f>
        <v>265.0</v>
      </c>
      <c r="F207" s="571">
        <f>C207*E207</f>
        <v>148426.5</v>
      </c>
      <c r="G207" s="585" t="inlineStr">
        <is>
          <t>560.1</t>
        </is>
      </c>
    </row>
    <row r="208"/>
    <row r="209" ht="24" customHeight="1" s="12">
      <c r="A209" s="567" t="inlineStr">
        <is>
          <t>F</t>
        </is>
      </c>
      <c r="B209" s="581" t="inlineStr">
        <is>
          <t>600x1200mm semi-polished porcelain floor tiles to stair/lift lobbies &amp; reception</t>
        </is>
      </c>
      <c r="C209" s="582">
        <f>33.7</f>
        <v>33.7</v>
      </c>
      <c r="D209" s="583" t="inlineStr">
        <is>
          <t>m2</t>
        </is>
      </c>
      <c r="E209" s="584">
        <f>RATES!$D$56</f>
        <v>330.0</v>
      </c>
      <c r="F209" s="571">
        <f>C209*E209</f>
        <v>11121.000000000002</v>
      </c>
      <c r="G209" s="585" t="inlineStr">
        <is>
          <t>33.7</t>
        </is>
      </c>
    </row>
    <row r="210"/>
    <row r="211" ht="24" customHeight="1" s="12">
      <c r="A211" s="567" t="inlineStr">
        <is>
          <t>G</t>
        </is>
      </c>
      <c r="B211" s="581" t="inlineStr">
        <is>
          <t>600x600mm non-slip R11 porcelain tiles to corridors, terraces, verandah &amp; service areas</t>
        </is>
      </c>
      <c r="C211" s="582">
        <f>204.0</f>
        <v>204.0</v>
      </c>
      <c r="D211" s="583" t="inlineStr">
        <is>
          <t>m2</t>
        </is>
      </c>
      <c r="E211" s="584">
        <f>RATES!$D$57</f>
        <v>250.0</v>
      </c>
      <c r="F211" s="571">
        <f>C211*E211</f>
        <v>51000.0</v>
      </c>
      <c r="G211" s="585" t="inlineStr">
        <is>
          <t>204.0</t>
        </is>
      </c>
    </row>
    <row r="212"/>
    <row r="213">
      <c r="A213" s="572" t="n"/>
      <c r="B213" s="586" t="str">
        <f>B196</f>
        <v>ELEMENT NO. 5: FLOOR FINISHES</v>
      </c>
      <c r="C213" s="574" t="n"/>
      <c r="D213" s="574" t="n"/>
      <c r="E213" s="587" t="n"/>
      <c r="F213" s="576">
        <f>SUM(F198:F212)</f>
        <v>344765.54000000004</v>
      </c>
    </row>
    <row r="214">
      <c r="B214" s="559" t="inlineStr">
        <is>
          <t>Carried to Bill Summary</t>
        </is>
      </c>
    </row>
    <row r="215"/>
    <row r="216"/>
    <row r="217">
      <c r="A217" s="577" t="n"/>
      <c r="B217" s="578" t="inlineStr">
        <is>
          <t>ELEMENT NO. 6: WALL FINISHES</t>
        </is>
      </c>
      <c r="C217" s="569" t="n"/>
      <c r="D217" s="569" t="n"/>
      <c r="E217" s="570" t="n"/>
      <c r="F217" s="579" t="n"/>
    </row>
    <row r="218"/>
    <row r="219" ht="48" customHeight="1" s="12">
      <c r="A219" s="577" t="n"/>
      <c r="B219" s="580" t="inlineStr">
        <is>
          <t>M20 PLASTERED/RENDERED COATINGS - 12.5mm cement and sand (1:3) rendering as described on blockwork or concrete to:</t>
        </is>
      </c>
      <c r="C219" s="569" t="n"/>
      <c r="D219" s="569" t="n"/>
      <c r="E219" s="570" t="n"/>
      <c r="F219" s="579" t="n"/>
    </row>
    <row r="220" ht="24" customHeight="1" s="12">
      <c r="A220" s="567" t="inlineStr">
        <is>
          <t>A</t>
        </is>
      </c>
      <c r="B220" s="581" t="inlineStr">
        <is>
          <t>Interior walls</t>
        </is>
      </c>
      <c r="C220" s="582">
        <f>(2*(443.9+55.3)+2*46.5-16.8-224.2)*3.05-62.1/3.8*8.0*3.05-2*(8*1*2.2+15*0.9*2.2+22*0.75*2.2+1*0.7*2.2+3*1.2*2.2+3*1*2.2+3*1*2.2+2*0.9*2.2+1*1.5*2.2+3*0.9*2.2+5*0.75*2.2+1*0.45*2.2+3*0.6*2.2+1*3*2.2+4*1.6*2.2+2*1.3*2.2+4*1.8*2.2+1*1.2*2.2)-(6*1.8*1.3+10*0.9*1.3+2*1.8*1.6+3*1.2*1.9+8*1.2*1.15+1*1.2*1.2+7*1.5*1.3+4*1.5*1.15+1*2.4*1.3+1*3*1.6+3*1.8*1.9+1*0.75*1.3+1*1.45*1.9+13*0.9*0.6+5*0.75*0.6+2*0.6*0.6+2*1.2*0.6)</f>
        <v>1735.1826315789476</v>
      </c>
      <c r="D220" s="583" t="inlineStr">
        <is>
          <t>m2</t>
        </is>
      </c>
      <c r="E220" s="584">
        <f>RATES!$D$48</f>
        <v>78.0</v>
      </c>
      <c r="F220" s="571">
        <f>C220*E220</f>
        <v>135344.2452631579</v>
      </c>
      <c r="G220" s="585" t="inlineStr">
        <is>
          <t>(2*(443.9+55.3)+2*46.5-16.8-224.2)*3.05-62.1/3.8*8.0*3.05-2*(8*1*2.2+15*0.9*2.2+22*0.75*2.2+1*0.7*2.2+3*1.2*2.2+3*1*2.2+3*1*2.2+2*0.9*2.2+1*1.5*2.2+3*0.9*2.2+5*0.75*2.2+1*0.45*2.2+3*0.6*2.2+1*3*2.2+4*1.6*2.2+2*1.3*2.2+4*1.8*2.2+1*1.2*2.2)-(6*1.8*1...</t>
        </is>
      </c>
    </row>
    <row r="221"/>
    <row r="222" ht="24" customHeight="1" s="12">
      <c r="A222" s="567" t="inlineStr">
        <is>
          <t>B</t>
        </is>
      </c>
      <c r="B222" s="581" t="inlineStr">
        <is>
          <t>Interior partitions and washrooms</t>
        </is>
      </c>
      <c r="C222" s="582">
        <f>62.1/3.8*8.0*3.05-62.1/3.8*0.75*2.2</f>
        <v>371.78289473684214</v>
      </c>
      <c r="D222" s="583" t="inlineStr">
        <is>
          <t>m2</t>
        </is>
      </c>
      <c r="E222" s="584">
        <f>RATES!$D$48</f>
        <v>78.0</v>
      </c>
      <c r="F222" s="571">
        <f>C222*E222</f>
        <v>28999.065789473687</v>
      </c>
      <c r="G222" s="585" t="inlineStr">
        <is>
          <t>62.1/3.8*8.0*3.05-62.1/3.8*0.75*2.2</t>
        </is>
      </c>
    </row>
    <row r="223"/>
    <row r="224" ht="24" customHeight="1" s="12">
      <c r="A224" s="567" t="inlineStr">
        <is>
          <t>C</t>
        </is>
      </c>
      <c r="B224" s="581" t="inlineStr">
        <is>
          <t>External walls</t>
        </is>
      </c>
      <c r="C224" s="582">
        <f>224.2*3.3-(6*1.8*1.3+10*0.9*1.3+2*1.8*1.6+3*1.2*1.9+8*1.2*1.15+1*1.2*1.2+7*1.5*1.3+4*1.5*1.15+1*2.4*1.3+1*3*1.6+3*1.8*1.9+1*0.75*1.3+1*1.45*1.9+13*0.9*0.6+5*0.75*0.6+2*0.6*0.6+2*1.2*0.6)</f>
        <v>635.1499999999999</v>
      </c>
      <c r="D224" s="583" t="inlineStr">
        <is>
          <t>m2</t>
        </is>
      </c>
      <c r="E224" s="584">
        <f>RATES!$D$49</f>
        <v>88.0</v>
      </c>
      <c r="F224" s="571">
        <f>C224*E224</f>
        <v>55893.19999999999</v>
      </c>
      <c r="G224" s="585" t="inlineStr">
        <is>
          <t>224.2*3.3-(6*1.8*1.3+10*0.9*1.3+2*1.8*1.6+3*1.2*1.9+8*1.2*1.15+1*1.2*1.2+7*1.5*1.3+4*1.5*1.15+1*2.4*1.3+1*3*1.6+3*1.8*1.9+1*0.75*1.3+1*1.45*1.9+13*0.9*0.6+5*0.75*0.6+2*0.6*0.6+2*1.2*0.6)</t>
        </is>
      </c>
    </row>
    <row r="225"/>
    <row r="226" ht="24" customHeight="1" s="12">
      <c r="A226" s="567" t="inlineStr">
        <is>
          <t>D</t>
        </is>
      </c>
      <c r="B226" s="581" t="inlineStr">
        <is>
          <t>12mm cement and sand (1:4) screeded backing to receive wall tiles</t>
        </is>
      </c>
      <c r="C226" s="582">
        <f>62.1/3.8*8.0*2.4-62.1/3.8*0.75*2.2</f>
        <v>286.80394736842106</v>
      </c>
      <c r="D226" s="583" t="inlineStr">
        <is>
          <t>m2</t>
        </is>
      </c>
      <c r="E226" s="584">
        <f>RATES!$D$52</f>
        <v>55.0</v>
      </c>
      <c r="F226" s="571">
        <f>C226*E226</f>
        <v>15774.217105263158</v>
      </c>
      <c r="G226" s="585" t="inlineStr">
        <is>
          <t>62.1/3.8*8.0*2.4-62.1/3.8*0.75*2.2</t>
        </is>
      </c>
    </row>
    <row r="227"/>
    <row r="228" ht="24" customHeight="1" s="12">
      <c r="A228" s="567" t="inlineStr">
        <is>
          <t>E</t>
        </is>
      </c>
      <c r="B228" s="581" t="inlineStr">
        <is>
          <t>Ceramic/porcelain wall tiles to washrooms to 2.4m high, adhesive &amp; grout (type TBC)</t>
        </is>
      </c>
      <c r="C228" s="582">
        <f>62.1/3.8*8.0*2.4-62.1/3.8*0.75*2.2</f>
        <v>286.80394736842106</v>
      </c>
      <c r="D228" s="583" t="inlineStr">
        <is>
          <t>m2</t>
        </is>
      </c>
      <c r="E228" s="584">
        <f>RATES!$D$60</f>
        <v>240.0</v>
      </c>
      <c r="F228" s="571">
        <f>C228*E228</f>
        <v>68832.94736842105</v>
      </c>
      <c r="G228" s="585" t="inlineStr">
        <is>
          <t>62.1/3.8*8.0*2.4-62.1/3.8*0.75*2.2</t>
        </is>
      </c>
    </row>
    <row r="229"/>
    <row r="230">
      <c r="A230" s="572" t="n"/>
      <c r="B230" s="586" t="str">
        <f>B217</f>
        <v>ELEMENT NO. 6: WALL FINISHES</v>
      </c>
      <c r="C230" s="574" t="n"/>
      <c r="D230" s="574" t="n"/>
      <c r="E230" s="587" t="n"/>
      <c r="F230" s="576">
        <f>SUM(F219:F229)</f>
        <v>304843.67552631575</v>
      </c>
    </row>
    <row r="231">
      <c r="B231" s="559" t="inlineStr">
        <is>
          <t>Carried to Bill Summary</t>
        </is>
      </c>
    </row>
    <row r="232"/>
    <row r="233"/>
    <row r="234">
      <c r="A234" s="577" t="n"/>
      <c r="B234" s="578" t="inlineStr">
        <is>
          <t>ELEMENT NO. 7: PAINTING AND DECORATING</t>
        </is>
      </c>
      <c r="C234" s="569" t="n"/>
      <c r="D234" s="569" t="n"/>
      <c r="E234" s="570" t="n"/>
      <c r="F234" s="579" t="n"/>
    </row>
    <row r="235"/>
    <row r="236" ht="24" customHeight="1" s="12">
      <c r="A236" s="577" t="n"/>
      <c r="B236" s="580" t="inlineStr">
        <is>
          <t>M60 PAINTING - Prepare and apply two undercoats and finishing coat of emulsion paint on:</t>
        </is>
      </c>
      <c r="C236" s="569" t="n"/>
      <c r="D236" s="569" t="n"/>
      <c r="E236" s="570" t="n"/>
      <c r="F236" s="579" t="n"/>
    </row>
    <row r="237" ht="24" customHeight="1" s="12">
      <c r="A237" s="567" t="inlineStr">
        <is>
          <t>A</t>
        </is>
      </c>
      <c r="B237" s="581" t="inlineStr">
        <is>
          <t>Interior walls</t>
        </is>
      </c>
      <c r="C237" s="582">
        <f>(2*(443.9+55.3)+2*46.5-16.8-224.2)*3.05-62.1/3.8*8.0*3.05-2*(8*1*2.2+15*0.9*2.2+22*0.75*2.2+1*0.7*2.2+3*1.2*2.2+3*1*2.2+3*1*2.2+2*0.9*2.2+1*1.5*2.2+3*0.9*2.2+5*0.75*2.2+1*0.45*2.2+3*0.6*2.2+1*3*2.2+4*1.6*2.2+2*1.3*2.2+4*1.8*2.2+1*1.2*2.2)-(6*1.8*1.3+10*0.9*1.3+2*1.8*1.6+3*1.2*1.9+8*1.2*1.15+1*1.2*1.2+7*1.5*1.3+4*1.5*1.15+1*2.4*1.3+1*3*1.6+3*1.8*1.9+1*0.75*1.3+1*1.45*1.9+13*0.9*0.6+5*0.75*0.6+2*0.6*0.6+2*1.2*0.6)</f>
        <v>1735.1826315789476</v>
      </c>
      <c r="D237" s="583" t="inlineStr">
        <is>
          <t>m2</t>
        </is>
      </c>
      <c r="E237" s="584">
        <f>RATES!$D$61</f>
        <v>45.0</v>
      </c>
      <c r="F237" s="571">
        <f>C237*E237</f>
        <v>78083.21842105265</v>
      </c>
      <c r="G237" s="585" t="inlineStr">
        <is>
          <t>(2*(443.9+55.3)+2*46.5-16.8-224.2)*3.05-62.1/3.8*8.0*3.05-2*(8*1*2.2+15*0.9*2.2+22*0.75*2.2+1*0.7*2.2+3*1.2*2.2+3*1*2.2+3*1*2.2+2*0.9*2.2+1*1.5*2.2+3*0.9*2.2+5*0.75*2.2+1*0.45*2.2+3*0.6*2.2+1*3*2.2+4*1.6*2.2+2*1.3*2.2+4*1.8*2.2+1*1.2*2.2)-(6*1.8*1...</t>
        </is>
      </c>
    </row>
    <row r="238"/>
    <row r="239" ht="24" customHeight="1" s="12">
      <c r="A239" s="567" t="inlineStr">
        <is>
          <t>B</t>
        </is>
      </c>
      <c r="B239" s="581" t="inlineStr">
        <is>
          <t>Interior partitions and washrooms (above wall tiling)</t>
        </is>
      </c>
      <c r="C239" s="582">
        <f>(62.1/3.8*8.0*3.05-62.1/3.8*0.75*2.2)-(62.1/3.8*8.0*2.4-62.1/3.8*0.75*2.2)</f>
        <v>84.97894736842107</v>
      </c>
      <c r="D239" s="583" t="inlineStr">
        <is>
          <t>m2</t>
        </is>
      </c>
      <c r="E239" s="584">
        <f>RATES!$D$61</f>
        <v>45.0</v>
      </c>
      <c r="F239" s="571">
        <f>C239*E239</f>
        <v>3824.0526315789484</v>
      </c>
      <c r="G239" s="585" t="inlineStr">
        <is>
          <t>(62.1/3.8*8.0*3.05-62.1/3.8*0.75*2.2)-(62.1/3.8*8.0*2.4-62.1/3.8*0.75*2.2)</t>
        </is>
      </c>
    </row>
    <row r="240"/>
    <row r="241" ht="24" customHeight="1" s="12">
      <c r="A241" s="567" t="inlineStr">
        <is>
          <t>C</t>
        </is>
      </c>
      <c r="B241" s="581" t="inlineStr">
        <is>
          <t>Exterior walls</t>
        </is>
      </c>
      <c r="C241" s="582">
        <f>224.2*3.3-(6*1.8*1.3+10*0.9*1.3+2*1.8*1.6+3*1.2*1.9+8*1.2*1.15+1*1.2*1.2+7*1.5*1.3+4*1.5*1.15+1*2.4*1.3+1*3*1.6+3*1.8*1.9+1*0.75*1.3+1*1.45*1.9+13*0.9*0.6+5*0.75*0.6+2*0.6*0.6+2*1.2*0.6)</f>
        <v>635.1499999999999</v>
      </c>
      <c r="D241" s="583" t="inlineStr">
        <is>
          <t>m2</t>
        </is>
      </c>
      <c r="E241" s="584">
        <f>RATES!$D$62</f>
        <v>62.0</v>
      </c>
      <c r="F241" s="571">
        <f>C241*E241</f>
        <v>39379.29999999999</v>
      </c>
      <c r="G241" s="585" t="inlineStr">
        <is>
          <t>224.2*3.3-(6*1.8*1.3+10*0.9*1.3+2*1.8*1.6+3*1.2*1.9+8*1.2*1.15+1*1.2*1.2+7*1.5*1.3+4*1.5*1.15+1*2.4*1.3+1*3*1.6+3*1.8*1.9+1*0.75*1.3+1*1.45*1.9+13*0.9*0.6+5*0.75*0.6+2*0.6*0.6+2*1.2*0.6)</t>
        </is>
      </c>
    </row>
    <row r="242"/>
    <row r="243" ht="24" customHeight="1" s="12">
      <c r="A243" s="567" t="inlineStr">
        <is>
          <t>D</t>
        </is>
      </c>
      <c r="B243" s="581" t="inlineStr">
        <is>
          <t>Soffit of plaster board ceilings</t>
        </is>
      </c>
      <c r="C243" s="582">
        <f>797.9</f>
        <v>797.9</v>
      </c>
      <c r="D243" s="583" t="inlineStr">
        <is>
          <t>m2</t>
        </is>
      </c>
      <c r="E243" s="584">
        <f>RATES!$D$63</f>
        <v>48.0</v>
      </c>
      <c r="F243" s="571">
        <f>C243*E243</f>
        <v>38299.2</v>
      </c>
      <c r="G243" s="585" t="inlineStr">
        <is>
          <t>797.9</t>
        </is>
      </c>
    </row>
    <row r="244"/>
    <row r="245" ht="24" customHeight="1" s="12">
      <c r="A245" s="567" t="inlineStr">
        <is>
          <t>E</t>
        </is>
      </c>
      <c r="B245" s="581" t="inlineStr">
        <is>
          <t>Soffit of plaster board ceilings for washrooms</t>
        </is>
      </c>
      <c r="C245" s="582">
        <f>62.1</f>
        <v>62.1</v>
      </c>
      <c r="D245" s="583" t="inlineStr">
        <is>
          <t>m2</t>
        </is>
      </c>
      <c r="E245" s="584">
        <f>RATES!$D$63</f>
        <v>48.0</v>
      </c>
      <c r="F245" s="571">
        <f>C245*E245</f>
        <v>2980.8</v>
      </c>
      <c r="G245" s="585" t="inlineStr">
        <is>
          <t>62.1</t>
        </is>
      </c>
    </row>
    <row r="246"/>
    <row r="247" ht="48" customHeight="1" s="12">
      <c r="A247" s="567" t="inlineStr">
        <is>
          <t>F</t>
        </is>
      </c>
      <c r="B247" s="581" t="inlineStr">
        <is>
          <t>Knot, prime, stop and apply two undercoats and one finishing coat of gloss oil paint on general surfaces of woodwork</t>
        </is>
      </c>
      <c r="C247" s="582">
        <f>15*0.9*2.2*2+22*0.75*2.2*2+1*1.5*2.2*2+(15*(2*2.2+0.9)+22*(2*2.2+0.75)+1*(2*2.2+1.5))*0.25</f>
        <v>188.275</v>
      </c>
      <c r="D247" s="583" t="inlineStr">
        <is>
          <t>m2</t>
        </is>
      </c>
      <c r="E247" s="584">
        <f>RATES!$D$64</f>
        <v>72.0</v>
      </c>
      <c r="F247" s="571">
        <f>C247*E247</f>
        <v>13555.800000000001</v>
      </c>
      <c r="G247" s="585" t="inlineStr">
        <is>
          <t>15*0.9*2.2*2+22*0.75*2.2*2+1*1.5*2.2*2+(15*(2*2.2+0.9)+22*(2*2.2+0.75)+1*(2*2.2+1.5))*0.25</t>
        </is>
      </c>
    </row>
    <row r="248"/>
    <row r="249" ht="48" customHeight="1" s="12">
      <c r="A249" s="567" t="inlineStr">
        <is>
          <t>G</t>
        </is>
      </c>
      <c r="B249" s="581" t="inlineStr">
        <is>
          <t>Prepare and apply one coat of aluminium primer on mild steel burglar-proof bars (measured over window opening area)</t>
        </is>
      </c>
      <c r="C249" s="582">
        <f>6*1.8*1.3+10*0.9*1.3+2*1.8*1.6+3*1.2*1.9+8*1.2*1.15+1*1.2*1.2+7*1.5*1.3+4*1.5*1.15+1*2.4*1.3+1*3*1.6+3*1.8*1.9+1*0.75*1.3+1*1.45*1.9+13*0.9*0.6+5*0.75*0.6+2*0.6*0.6+2*1.2*0.6</f>
        <v>104.71</v>
      </c>
      <c r="D249" s="583" t="inlineStr">
        <is>
          <t>m2</t>
        </is>
      </c>
      <c r="E249" s="584">
        <f>RATES!$D$65</f>
        <v>40.0</v>
      </c>
      <c r="F249" s="571">
        <f>C249*E249</f>
        <v>4188.4</v>
      </c>
      <c r="G249" s="585" t="inlineStr">
        <is>
          <t>6*1.8*1.3+10*0.9*1.3+2*1.8*1.6+3*1.2*1.9+8*1.2*1.15+1*1.2*1.2+7*1.5*1.3+4*1.5*1.15+1*2.4*1.3+1*3*1.6+3*1.8*1.9+1*0.75*1.3+1*1.45*1.9+13*0.9*0.6+5*0.75*0.6+2*0.6*0.6+2*1.2*0.6</t>
        </is>
      </c>
    </row>
    <row r="250"/>
    <row r="251">
      <c r="A251" s="572" t="n"/>
      <c r="B251" s="586" t="str">
        <f>B234</f>
        <v>ELEMENT NO. 7: PAINTING AND DECORATING</v>
      </c>
      <c r="C251" s="574" t="n"/>
      <c r="D251" s="574" t="n"/>
      <c r="E251" s="587" t="n"/>
      <c r="F251" s="576">
        <f>SUM(F236:F250)</f>
        <v>180310.77105263155</v>
      </c>
    </row>
    <row r="252">
      <c r="B252" s="559" t="inlineStr">
        <is>
          <t>Carried to Bill Summary</t>
        </is>
      </c>
    </row>
    <row r="253"/>
    <row r="254"/>
    <row r="255">
      <c r="B255"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G253"/>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FIFTH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F90</f>
        <v>3312876.5108749997</v>
      </c>
    </row>
    <row r="14"/>
    <row r="15">
      <c r="A15" s="567" t="inlineStr">
        <is>
          <t>B</t>
        </is>
      </c>
      <c r="B15" s="568" t="inlineStr">
        <is>
          <t>ELEMENT NO. 2: MASONRY</t>
        </is>
      </c>
      <c r="C15" s="569" t="n"/>
      <c r="D15" s="569" t="n"/>
      <c r="E15" s="570" t="n"/>
      <c r="F15" s="571">
        <f>F101</f>
        <v>378588.88999999996</v>
      </c>
    </row>
    <row r="16"/>
    <row r="17">
      <c r="A17" s="567" t="inlineStr">
        <is>
          <t>C</t>
        </is>
      </c>
      <c r="B17" s="568" t="inlineStr">
        <is>
          <t>ELEMENT NO. 4: WINDOWS/DOORS</t>
        </is>
      </c>
      <c r="C17" s="569" t="n"/>
      <c r="D17" s="569" t="n"/>
      <c r="E17" s="570" t="n"/>
      <c r="F17" s="571">
        <f>F190</f>
        <v>577390.45</v>
      </c>
    </row>
    <row r="18"/>
    <row r="19">
      <c r="A19" s="567" t="inlineStr">
        <is>
          <t>D</t>
        </is>
      </c>
      <c r="B19" s="568" t="inlineStr">
        <is>
          <t>ELEMENT NO. 5: FLOOR FINISHES</t>
        </is>
      </c>
      <c r="C19" s="569" t="n"/>
      <c r="D19" s="569" t="n"/>
      <c r="E19" s="570" t="n"/>
      <c r="F19" s="571">
        <f>F211</f>
        <v>341125.33999999997</v>
      </c>
    </row>
    <row r="20"/>
    <row r="21">
      <c r="A21" s="567" t="inlineStr">
        <is>
          <t>E</t>
        </is>
      </c>
      <c r="B21" s="568" t="inlineStr">
        <is>
          <t>ELEMENT NO. 6: WALL FINISHES</t>
        </is>
      </c>
      <c r="C21" s="569" t="n"/>
      <c r="D21" s="569" t="n"/>
      <c r="E21" s="570" t="n"/>
      <c r="F21" s="571">
        <f>F228</f>
        <v>309236.25421052624</v>
      </c>
    </row>
    <row r="22"/>
    <row r="23">
      <c r="A23" s="567" t="inlineStr">
        <is>
          <t>F</t>
        </is>
      </c>
      <c r="B23" s="568" t="inlineStr">
        <is>
          <t>ELEMENT NO. 7: PAINTING AND DECORATING</t>
        </is>
      </c>
      <c r="C23" s="569" t="n"/>
      <c r="D23" s="569" t="n"/>
      <c r="E23" s="570" t="n"/>
      <c r="F23" s="571">
        <f>F249</f>
        <v>187552.2934210526</v>
      </c>
    </row>
    <row r="24"/>
    <row r="25">
      <c r="A25" s="572" t="n"/>
      <c r="B25" s="573" t="str">
        <f>B9</f>
        <v> FIFTH FLOOR</v>
      </c>
      <c r="C25" s="574" t="n"/>
      <c r="D25" s="574" t="n"/>
      <c r="E25" s="575" t="inlineStr">
        <is>
          <t>GHC</t>
        </is>
      </c>
      <c r="F25" s="576">
        <f>SUM(F13:F24)</f>
        <v>5106769.738506578</v>
      </c>
    </row>
    <row r="26">
      <c r="B26" s="559" t="inlineStr">
        <is>
          <t>To Bill General Summary</t>
        </is>
      </c>
    </row>
    <row r="27"/>
    <row r="28"/>
    <row r="29">
      <c r="B29" s="565" t="inlineStr">
        <is>
          <t>BILL NR. 8 - FIFTH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1134.6*0.25</f>
        <v>283.65</v>
      </c>
      <c r="D34" s="583" t="inlineStr">
        <is>
          <t>m3</t>
        </is>
      </c>
      <c r="E34" s="584">
        <f>RATES!$D$22</f>
        <v>2650.0</v>
      </c>
      <c r="F34" s="571">
        <f>C34*E34</f>
        <v>751672.4999999999</v>
      </c>
      <c r="G34" s="585" t="inlineStr">
        <is>
          <t>1134.6*0.25</t>
        </is>
      </c>
    </row>
    <row r="35"/>
    <row r="36" ht="24" customHeight="1" s="12">
      <c r="A36" s="567" t="inlineStr">
        <is>
          <t>B</t>
        </is>
      </c>
      <c r="B36" s="581" t="inlineStr">
        <is>
          <t>Beams (downstands below slab)</t>
        </is>
      </c>
      <c r="C36" s="582">
        <f>166.8*0.3*0.35+33.1*0.2*0.35</f>
        <v>19.831</v>
      </c>
      <c r="D36" s="583" t="inlineStr">
        <is>
          <t>m3</t>
        </is>
      </c>
      <c r="E36" s="584">
        <f>RATES!$D$23</f>
        <v>2700.0</v>
      </c>
      <c r="F36" s="571">
        <f>C36*E36</f>
        <v>53543.7</v>
      </c>
      <c r="G36" s="585" t="inlineStr">
        <is>
          <t>166.8*0.3*0.35+33.1*0.2*0.35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(7*(1+0.3)+15*(0.9+0.3)+20*(0.75+0.3)+1*(0.7+0.3)+3*(1.2+0.3)+3*(1+0.3)+3*(1+0.3)+1*(0.9+0.3)+1*(1.5+0.3)+2*(0.9+0.3)+5*(0.75+0.3)+1*(0.45+0.3)+3*(0.6+0.3)+1*(3+0.3)+3*(1.6+0.3)+2*(1.3+0.3)+4*(1.8+0.3)+1*(1.2+0.3)+6*(1.8+0.3)+10*(0.9+0.3)+1*(1.8+0.3)+3*(1.2+0.3)+8*(1.2+0.3)+1*(1.2+0.3)+6*(1.5+0.3)+3*(1.5+0.3)+1*(2.4+0.3)+1*(3+0.3)+3*(1.8+0.3)+1*(0.75+0.3)+1*(1.45+0.3)+12*(0.9+0.3)+4*(0.75+0.3)+1*(0.6+0.3)+1*(1.2+0.3))*0.15*0.225</f>
        <v>6.567750000000001</v>
      </c>
      <c r="D46" s="583" t="inlineStr">
        <is>
          <t>m3</t>
        </is>
      </c>
      <c r="E46" s="584">
        <f>RATES!$D$25</f>
        <v>2600.0</v>
      </c>
      <c r="F46" s="571">
        <f>C46*E46</f>
        <v>17076.15</v>
      </c>
      <c r="G46" s="585" t="inlineStr">
        <is>
          <t>(7*(1+0.3)+15*(0.9+0.3)+20*(0.75+0.3)+1*(0.7+0.3)+3*(1.2+0.3)+3*(1+0.3)+3*(1+0.3)+1*(0.9+0.3)+1*(1.5+0.3)+2*(0.9+0.3)+5*(0.75+0.3)+1*(0.45+0.3)+3*(0.6+0.3)+1*(3+0.3)+3*(1.6+0.3)+2*(1.3+0.3)+4*(1.8+0.3)+1*(1.2+0.3)+6*(1.8+0.3)+10*(0.9+0.3)+1*(1.8+0...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1134.6</f>
        <v>1134.6</v>
      </c>
      <c r="D49" s="583" t="inlineStr">
        <is>
          <t>m2</t>
        </is>
      </c>
      <c r="E49" s="584">
        <f>RATES!$D$38</f>
        <v>170.0</v>
      </c>
      <c r="F49" s="571">
        <f>C49*E49</f>
        <v>192881.99999999997</v>
      </c>
      <c r="G49" s="585" t="inlineStr">
        <is>
          <t>1134.6</t>
        </is>
      </c>
    </row>
    <row r="50"/>
    <row r="51" ht="24" customHeight="1" s="12">
      <c r="A51" s="567" t="inlineStr">
        <is>
          <t>J</t>
        </is>
      </c>
      <c r="B51" s="581" t="inlineStr">
        <is>
          <t>Edges of suspended slab 250mm high</t>
        </is>
      </c>
      <c r="C51" s="582">
        <f>294.6</f>
        <v>294.6</v>
      </c>
      <c r="D51" s="583" t="inlineStr">
        <is>
          <t>m</t>
        </is>
      </c>
      <c r="E51" s="584">
        <f>RATES!$D$40</f>
        <v>65.0</v>
      </c>
      <c r="F51" s="571">
        <f>C51*E51</f>
        <v>19149.0</v>
      </c>
      <c r="G51" s="585" t="inlineStr">
        <is>
          <t>294.6</t>
        </is>
      </c>
    </row>
    <row r="52"/>
    <row r="53" ht="24" customHeight="1" s="12">
      <c r="A53" s="567" t="inlineStr">
        <is>
          <t>K</t>
        </is>
      </c>
      <c r="B53" s="581" t="inlineStr">
        <is>
          <t>Sides and soffits of beams</t>
        </is>
      </c>
      <c r="C53" s="582">
        <f>166.8*(2*0.35+0.3)+33.1*(2*0.35+0.2)</f>
        <v>196.59</v>
      </c>
      <c r="D53" s="583" t="inlineStr">
        <is>
          <t>m2</t>
        </is>
      </c>
      <c r="E53" s="584">
        <f>RATES!$D$39</f>
        <v>200.0</v>
      </c>
      <c r="F53" s="571">
        <f>C53*E53</f>
        <v>39318.0</v>
      </c>
      <c r="G53" s="585" t="inlineStr">
        <is>
          <t>166.8*(2*0.35+0.3)+33.1*(2*0.35+0.2)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(7*(1+0.3)+15*(0.9+0.3)+20*(0.75+0.3)+1*(0.7+0.3)+3*(1.2+0.3)+3*(1+0.3)+3*(1+0.3)+1*(0.9+0.3)+1*(1.5+0.3)+2*(0.9+0.3)+5*(0.75+0.3)+1*(0.45+0.3)+3*(0.6+0.3)+1*(3+0.3)+3*(1.6+0.3)+2*(1.3+0.3)+4*(1.8+0.3)+1*(1.2+0.3)+6*(1.8+0.3)+10*(0.9+0.3)+1*(1.8+0.3)+3*(1.2+0.3)+8*(1.2+0.3)+1*(1.2+0.3)+6*(1.5+0.3)+3*(1.5+0.3)+1*(2.4+0.3)+1*(3+0.3)+3*(1.8+0.3)+1*(0.75+0.3)+1*(1.45+0.3)+12*(0.9+0.3)+4*(0.75+0.3)+1*(0.6+0.3)+1*(1.2+0.3))*(2*0.225+0.15)</f>
        <v>116.76000000000002</v>
      </c>
      <c r="D61" s="583" t="inlineStr">
        <is>
          <t>m2</t>
        </is>
      </c>
      <c r="E61" s="584">
        <f>RATES!$D$43</f>
        <v>180.0</v>
      </c>
      <c r="F61" s="571">
        <f>C61*E61</f>
        <v>21016.800000000003</v>
      </c>
      <c r="G61" s="585" t="inlineStr">
        <is>
          <t>(7*(1+0.3)+15*(0.9+0.3)+20*(0.75+0.3)+1*(0.7+0.3)+3*(1.2+0.3)+3*(1+0.3)+3*(1+0.3)+1*(0.9+0.3)+1*(1.5+0.3)+2*(0.9+0.3)+5*(0.75+0.3)+1*(0.45+0.3)+3*(0.6+0.3)+1*(3+0.3)+3*(1.6+0.3)+2*(1.3+0.3)+4*(1.8+0.3)+1*(1.2+0.3)+6*(1.8+0.3)+10*(0.9+0.3)+1*(1.8+0...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4.551</f>
        <v>4.551</v>
      </c>
      <c r="D64" s="583" t="inlineStr">
        <is>
          <t>t</t>
        </is>
      </c>
      <c r="E64" s="584">
        <f>RATES!$D$29</f>
        <v>20500.0</v>
      </c>
      <c r="F64" s="571">
        <f>C64*E64</f>
        <v>93295.5</v>
      </c>
      <c r="G64" s="585" t="inlineStr">
        <is>
          <t>4.551</t>
        </is>
      </c>
    </row>
    <row r="65"/>
    <row r="66" ht="24" customHeight="1" s="12">
      <c r="A66" s="567" t="inlineStr">
        <is>
          <t>R</t>
        </is>
      </c>
      <c r="B66" s="581" t="inlineStr">
        <is>
          <t>20mm diameter in columns</t>
        </is>
      </c>
      <c r="C66" s="582">
        <f>7.133</f>
        <v>7.133</v>
      </c>
      <c r="D66" s="583" t="inlineStr">
        <is>
          <t>t</t>
        </is>
      </c>
      <c r="E66" s="584">
        <f>RATES!$D$32</f>
        <v>19000.0</v>
      </c>
      <c r="F66" s="571">
        <f>C66*E66</f>
        <v>135527.0</v>
      </c>
      <c r="G66" s="585" t="inlineStr">
        <is>
          <t>7.133</t>
        </is>
      </c>
    </row>
    <row r="67"/>
    <row r="68" ht="24" customHeight="1" s="12">
      <c r="A68" s="567" t="inlineStr">
        <is>
          <t>S</t>
        </is>
      </c>
      <c r="B68" s="581" t="inlineStr">
        <is>
          <t>10mm diameter in beams (links)</t>
        </is>
      </c>
      <c r="C68" s="582">
        <f>1.806</f>
        <v>1.806</v>
      </c>
      <c r="D68" s="583" t="inlineStr">
        <is>
          <t>t</t>
        </is>
      </c>
      <c r="E68" s="584">
        <f>RATES!$D$29</f>
        <v>20500.0</v>
      </c>
      <c r="F68" s="571">
        <f>C68*E68</f>
        <v>37023.0</v>
      </c>
      <c r="G68" s="585" t="inlineStr">
        <is>
          <t>1.806</t>
        </is>
      </c>
    </row>
    <row r="69"/>
    <row r="70" ht="24" customHeight="1" s="12">
      <c r="A70" s="567" t="inlineStr">
        <is>
          <t>T</t>
        </is>
      </c>
      <c r="B70" s="581" t="inlineStr">
        <is>
          <t>16mm diameter in beams</t>
        </is>
      </c>
      <c r="C70" s="582">
        <f>1.248</f>
        <v>1.248</v>
      </c>
      <c r="D70" s="583" t="inlineStr">
        <is>
          <t>t</t>
        </is>
      </c>
      <c r="E70" s="584">
        <f>RATES!$D$31</f>
        <v>19500.0</v>
      </c>
      <c r="F70" s="571">
        <f>C70*E70</f>
        <v>24336.0</v>
      </c>
      <c r="G70" s="585" t="inlineStr">
        <is>
          <t>1.248</t>
        </is>
      </c>
    </row>
    <row r="71"/>
    <row r="72" ht="24" customHeight="1" s="12">
      <c r="A72" s="567" t="inlineStr">
        <is>
          <t>U</t>
        </is>
      </c>
      <c r="B72" s="581" t="inlineStr">
        <is>
          <t>20mm diameter in beams</t>
        </is>
      </c>
      <c r="C72" s="582">
        <f>2.135</f>
        <v>2.135</v>
      </c>
      <c r="D72" s="583" t="inlineStr">
        <is>
          <t>t</t>
        </is>
      </c>
      <c r="E72" s="584">
        <f>RATES!$D$32</f>
        <v>19000.0</v>
      </c>
      <c r="F72" s="571">
        <f>C72*E72</f>
        <v>40564.99999999999</v>
      </c>
      <c r="G72" s="585" t="inlineStr">
        <is>
          <t>2.135</t>
        </is>
      </c>
    </row>
    <row r="73"/>
    <row r="74" ht="24" customHeight="1" s="12">
      <c r="A74" s="567" t="inlineStr">
        <is>
          <t>V</t>
        </is>
      </c>
      <c r="B74" s="581" t="inlineStr">
        <is>
          <t>25mm diameter in beams</t>
        </is>
      </c>
      <c r="C74" s="582">
        <f>5.507</f>
        <v>5.507</v>
      </c>
      <c r="D74" s="583" t="inlineStr">
        <is>
          <t>t</t>
        </is>
      </c>
      <c r="E74" s="584">
        <f>RATES!$D$33</f>
        <v>19000.0</v>
      </c>
      <c r="F74" s="571">
        <f>C74*E74</f>
        <v>104633.0</v>
      </c>
      <c r="G74" s="585" t="inlineStr">
        <is>
          <t>5.507</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20mm diameter in shear &amp; lift walls</t>
        </is>
      </c>
      <c r="C80" s="582">
        <f>6.904+3.320</f>
        <v>10.224</v>
      </c>
      <c r="D80" s="583" t="inlineStr">
        <is>
          <t>t</t>
        </is>
      </c>
      <c r="E80" s="584">
        <f>RATES!$D$32</f>
        <v>19000.0</v>
      </c>
      <c r="F80" s="571">
        <f>C80*E80</f>
        <v>194256.0</v>
      </c>
      <c r="G80" s="585" t="inlineStr">
        <is>
          <t>6.904+3.320</t>
        </is>
      </c>
    </row>
    <row r="81"/>
    <row r="82" ht="24" customHeight="1" s="12">
      <c r="A82" s="567" t="inlineStr">
        <is>
          <t>Z</t>
        </is>
      </c>
      <c r="B82" s="581" t="inlineStr">
        <is>
          <t>12mm diameter in stairs</t>
        </is>
      </c>
      <c r="C82" s="582">
        <f>0.880</f>
        <v>0.88</v>
      </c>
      <c r="D82" s="583" t="inlineStr">
        <is>
          <t>t</t>
        </is>
      </c>
      <c r="E82" s="584">
        <f>RATES!$D$30</f>
        <v>20000.0</v>
      </c>
      <c r="F82" s="571">
        <f>C82*E82</f>
        <v>17600.0</v>
      </c>
      <c r="G82" s="585" t="inlineStr">
        <is>
          <t>0.880</t>
        </is>
      </c>
    </row>
    <row r="83"/>
    <row r="84" ht="24" customHeight="1" s="12">
      <c r="A84" s="567" t="inlineStr">
        <is>
          <t>A</t>
        </is>
      </c>
      <c r="B84" s="581" t="inlineStr">
        <is>
          <t>16mm diameter in stairs</t>
        </is>
      </c>
      <c r="C84" s="582">
        <f>1.434</f>
        <v>1.434</v>
      </c>
      <c r="D84" s="583" t="inlineStr">
        <is>
          <t>t</t>
        </is>
      </c>
      <c r="E84" s="584">
        <f>RATES!$D$31</f>
        <v>19500.0</v>
      </c>
      <c r="F84" s="571">
        <f>C84*E84</f>
        <v>27963.0</v>
      </c>
      <c r="G84" s="585" t="inlineStr">
        <is>
          <t>1.434</t>
        </is>
      </c>
    </row>
    <row r="85"/>
    <row r="86" ht="24" customHeight="1" s="12">
      <c r="A86" s="567" t="inlineStr">
        <is>
          <t>B</t>
        </is>
      </c>
      <c r="B86" s="581" t="inlineStr">
        <is>
          <t>12mm diameter for suspended slab</t>
        </is>
      </c>
      <c r="C86" s="582">
        <f>49.804</f>
        <v>49.804</v>
      </c>
      <c r="D86" s="583" t="inlineStr">
        <is>
          <t>t</t>
        </is>
      </c>
      <c r="E86" s="584">
        <f>RATES!$D$30</f>
        <v>20000.0</v>
      </c>
      <c r="F86" s="571">
        <f>C86*E86</f>
        <v>996080.0</v>
      </c>
      <c r="G86" s="585" t="inlineStr">
        <is>
          <t>49.804</t>
        </is>
      </c>
    </row>
    <row r="87"/>
    <row r="88" ht="24" customHeight="1" s="12">
      <c r="A88" s="567" t="inlineStr">
        <is>
          <t>C</t>
        </is>
      </c>
      <c r="B88" s="581" t="inlineStr">
        <is>
          <t>16mm diameter for suspended slab</t>
        </is>
      </c>
      <c r="C88" s="582">
        <f>0.151</f>
        <v>0.151</v>
      </c>
      <c r="D88" s="583" t="inlineStr">
        <is>
          <t>t</t>
        </is>
      </c>
      <c r="E88" s="584">
        <f>RATES!$D$31</f>
        <v>19500.0</v>
      </c>
      <c r="F88" s="571">
        <f>C88*E88</f>
        <v>2944.5</v>
      </c>
      <c r="G88" s="585" t="inlineStr">
        <is>
          <t>0.151</t>
        </is>
      </c>
    </row>
    <row r="89"/>
    <row r="90">
      <c r="A90" s="572" t="n"/>
      <c r="B90" s="586" t="str">
        <f>B31</f>
        <v>ELEMENT NO. 1: IN SITU CONCRETE/LARGE PRECAST CONCRETE</v>
      </c>
      <c r="C90" s="574" t="n"/>
      <c r="D90" s="574" t="n"/>
      <c r="E90" s="587" t="n"/>
      <c r="F90" s="576">
        <f>SUM(F33:F89)</f>
        <v>3312876.5108749997</v>
      </c>
    </row>
    <row r="91">
      <c r="B91" s="559" t="inlineStr">
        <is>
          <t>Carried to Bill Summary</t>
        </is>
      </c>
    </row>
    <row r="92"/>
    <row r="93"/>
    <row r="94">
      <c r="A94" s="577" t="n"/>
      <c r="B94" s="578" t="inlineStr">
        <is>
          <t>ELEMENT NO. 2: MASONRY</t>
        </is>
      </c>
      <c r="C94" s="569" t="n"/>
      <c r="D94" s="569" t="n"/>
      <c r="E94" s="570" t="n"/>
      <c r="F94" s="579" t="n"/>
    </row>
    <row r="95"/>
    <row r="96" ht="24" customHeight="1" s="12">
      <c r="A96" s="577" t="n"/>
      <c r="B96" s="580" t="inlineStr">
        <is>
          <t>F10 BRICK/BLOCK WALL - Solid sandcrete blockwork in cement and sand (1:4) mortar as described in:</t>
        </is>
      </c>
      <c r="C96" s="569" t="n"/>
      <c r="D96" s="569" t="n"/>
      <c r="E96" s="570" t="n"/>
      <c r="F96" s="579" t="n"/>
    </row>
    <row r="97" ht="24" customHeight="1" s="12">
      <c r="A97" s="567" t="inlineStr">
        <is>
          <t>A</t>
        </is>
      </c>
      <c r="B97" s="581" t="inlineStr">
        <is>
          <t>150mm thick wall</t>
        </is>
      </c>
      <c r="C97" s="582">
        <f>447.7*3.05+(7*1*(3.05-2.2)+15*0.9*(3.05-2.2)+20*0.75*(3.05-2.2)+1*0.7*(3.05-2.2)+3*1.2*(3.05-2.2)+3*1*(3.05-2.2)+3*1*(3.05-2.2)+1*0.9*(3.05-2.2)+1*1.5*(3.05-2.2)+2*0.9*(3.05-2.2)+5*0.75*(3.05-2.2)+1*0.45*(3.05-2.2)+3*0.6*(3.05-2.2)+1*3*(3.05-2.2)+3*1.6*(3.05-2.2)+2*1.3*(3.05-2.2)+4*1.8*(3.05-2.2)+1*1.2*(3.05-2.2)+6*1.8*(3.05-1.3)+10*0.9*(3.05-1.3)+1*1.8*(3.05-1.6)+3*1.2*(3.05-1.9)+8*1.2*(3.05-1.15)+1*1.2*(3.05-1.2)+6*1.5*(3.05-1.3)+3*1.5*(3.05-1.15)+1*2.4*(3.05-1.3)+1*3*(3.05-1.6)+3*1.8*(3.05-1.9)+1*0.75*(3.05-1.3)+1*1.45*(3.05-1.9)+12*0.9*(3.05-0.6)+4*0.75*(3.05-0.6)+1*0.6*(3.05-0.6)+1*1.2*(3.05-0.6))*0.901</f>
        <v>1550.8206999999998</v>
      </c>
      <c r="D97" s="583" t="inlineStr">
        <is>
          <t>m2</t>
        </is>
      </c>
      <c r="E97" s="584">
        <f>RATES!$D$46</f>
        <v>215.0</v>
      </c>
      <c r="F97" s="571">
        <f>C97*E97</f>
        <v>333426.4505</v>
      </c>
      <c r="G97" s="585" t="inlineStr">
        <is>
          <t>447.7*3.05+(7*1*(3.05-2.2)+15*0.9*(3.05-2.2)+20*0.75*(3.05-2.2)+1*0.7*(3.05-2.2)+3*1.2*(3.05-2.2)+3*1*(3.05-2.2)+3*1*(3.05-2.2)+1*0.9*(3.05-2.2)+1*1.5*(3.05-2.2)+2*0.9*(3.05-2.2)+5*0.75*(3.05-2.2)+1*0.45*(3.05-2.2)+3*0.6*(3.05-2.2)+1*3*(3.05-2.2)+...</t>
        </is>
      </c>
    </row>
    <row r="98"/>
    <row r="99" ht="24" customHeight="1" s="12">
      <c r="A99" s="567" t="inlineStr">
        <is>
          <t>B</t>
        </is>
      </c>
      <c r="B99" s="581" t="inlineStr">
        <is>
          <t>200mm thick wall</t>
        </is>
      </c>
      <c r="C99" s="582">
        <f>49.2*3.05+(7*1*(3.05-2.2)+15*0.9*(3.05-2.2)+20*0.75*(3.05-2.2)+1*0.7*(3.05-2.2)+3*1.2*(3.05-2.2)+3*1*(3.05-2.2)+3*1*(3.05-2.2)+1*0.9*(3.05-2.2)+1*1.5*(3.05-2.2)+2*0.9*(3.05-2.2)+5*0.75*(3.05-2.2)+1*0.45*(3.05-2.2)+3*0.6*(3.05-2.2)+1*3*(3.05-2.2)+3*1.6*(3.05-2.2)+2*1.3*(3.05-2.2)+4*1.8*(3.05-2.2)+1*1.2*(3.05-2.2)+6*1.8*(3.05-1.3)+10*0.9*(3.05-1.3)+1*1.8*(3.05-1.6)+3*1.2*(3.05-1.9)+8*1.2*(3.05-1.15)+1*1.2*(3.05-1.2)+6*1.5*(3.05-1.3)+3*1.5*(3.05-1.15)+1*2.4*(3.05-1.3)+1*3*(3.05-1.6)+3*1.8*(3.05-1.9)+1*0.75*(3.05-1.3)+1*1.45*(3.05-1.9)+12*0.9*(3.05-0.6)+4*0.75*(3.05-0.6)+1*0.6*(3.05-0.6)+1*1.2*(3.05-0.6))*0.099</f>
        <v>170.4243</v>
      </c>
      <c r="D99" s="583" t="inlineStr">
        <is>
          <t>m2</t>
        </is>
      </c>
      <c r="E99" s="584">
        <f>RATES!$D$47</f>
        <v>265.0</v>
      </c>
      <c r="F99" s="571">
        <f>C99*E99</f>
        <v>45162.4395</v>
      </c>
      <c r="G99" s="585" t="inlineStr">
        <is>
          <t>49.2*3.05+(7*1*(3.05-2.2)+15*0.9*(3.05-2.2)+20*0.75*(3.05-2.2)+1*0.7*(3.05-2.2)+3*1.2*(3.05-2.2)+3*1*(3.05-2.2)+3*1*(3.05-2.2)+1*0.9*(3.05-2.2)+1*1.5*(3.05-2.2)+2*0.9*(3.05-2.2)+5*0.75*(3.05-2.2)+1*0.45*(3.05-2.2)+3*0.6*(3.05-2.2)+1*3*(3.05-2.2)+3...</t>
        </is>
      </c>
    </row>
    <row r="100"/>
    <row r="101">
      <c r="A101" s="572" t="n"/>
      <c r="B101" s="586" t="str">
        <f>B94</f>
        <v>ELEMENT NO. 2: MASONRY</v>
      </c>
      <c r="C101" s="574" t="n"/>
      <c r="D101" s="574" t="n"/>
      <c r="E101" s="587" t="n"/>
      <c r="F101" s="576">
        <f>SUM(F96:F100)</f>
        <v>378588.88999999996</v>
      </c>
    </row>
    <row r="102">
      <c r="B102" s="559" t="inlineStr">
        <is>
          <t>Carried to Bill Summary</t>
        </is>
      </c>
    </row>
    <row r="103"/>
    <row r="104"/>
    <row r="105">
      <c r="A105" s="577" t="n"/>
      <c r="B105" s="578" t="inlineStr">
        <is>
          <t>ELEMENT NO. 4: WINDOWS/DOORS</t>
        </is>
      </c>
      <c r="C105" s="569" t="n"/>
      <c r="D105" s="569" t="n"/>
      <c r="E105" s="570" t="n"/>
      <c r="F105" s="579" t="n"/>
    </row>
    <row r="106"/>
    <row r="107" ht="48" customHeight="1" s="12">
      <c r="A107" s="577" t="n"/>
      <c r="B107" s="580" t="inlineStr">
        <is>
          <t>L20 DOORS - Supply and fix the following door assemblies complete with frames, ironmongery sets to steel doors and all accessories:</t>
        </is>
      </c>
      <c r="C107" s="569" t="n"/>
      <c r="D107" s="569" t="n"/>
      <c r="E107" s="570" t="n"/>
      <c r="F107" s="579" t="n"/>
    </row>
    <row r="108" ht="24" customHeight="1" s="12">
      <c r="A108" s="567" t="inlineStr">
        <is>
          <t>A</t>
        </is>
      </c>
      <c r="B108" s="581" t="inlineStr">
        <is>
          <t>1000mm x 2200mm 1-hour fire-rated galvanised steel single-leaf security door assembly (D2)</t>
        </is>
      </c>
      <c r="C108" s="582">
        <f>7</f>
        <v>7.0</v>
      </c>
      <c r="D108" s="583" t="inlineStr">
        <is>
          <t>nr</t>
        </is>
      </c>
      <c r="E108" s="584">
        <f>RATES!$D$75</f>
        <v>7800.0</v>
      </c>
      <c r="F108" s="571">
        <f>C108*E108</f>
        <v>54600.0</v>
      </c>
      <c r="G108" s="585" t="inlineStr">
        <is>
          <t>7</t>
        </is>
      </c>
    </row>
    <row r="109"/>
    <row r="110" ht="24" customHeight="1" s="12">
      <c r="A110" s="567" t="inlineStr">
        <is>
          <t>B</t>
        </is>
      </c>
      <c r="B110" s="581" t="inlineStr">
        <is>
          <t>900mm x 2200mm single leaf timber panel door (D3)</t>
        </is>
      </c>
      <c r="C110" s="582">
        <f>15</f>
        <v>15.0</v>
      </c>
      <c r="D110" s="583" t="inlineStr">
        <is>
          <t>nr</t>
        </is>
      </c>
      <c r="E110" s="584">
        <f>RATES!$D$76</f>
        <v>3400.0</v>
      </c>
      <c r="F110" s="571">
        <f>C110*E110</f>
        <v>51000.0</v>
      </c>
      <c r="G110" s="585" t="inlineStr">
        <is>
          <t>15</t>
        </is>
      </c>
    </row>
    <row r="111"/>
    <row r="112" ht="24" customHeight="1" s="12">
      <c r="A112" s="567" t="inlineStr">
        <is>
          <t>C</t>
        </is>
      </c>
      <c r="B112" s="581" t="inlineStr">
        <is>
          <t>750mm x 2200mm single leaf timber flush door (D6)</t>
        </is>
      </c>
      <c r="C112" s="582">
        <f>20</f>
        <v>20.0</v>
      </c>
      <c r="D112" s="583" t="inlineStr">
        <is>
          <t>nr</t>
        </is>
      </c>
      <c r="E112" s="584">
        <f>RATES!$D$79</f>
        <v>1900.0</v>
      </c>
      <c r="F112" s="571">
        <f>C112*E112</f>
        <v>38000.0</v>
      </c>
      <c r="G112" s="585" t="inlineStr">
        <is>
          <t>20</t>
        </is>
      </c>
    </row>
    <row r="113"/>
    <row r="114" ht="24" customHeight="1" s="12">
      <c r="A114" s="567" t="inlineStr">
        <is>
          <t>D</t>
        </is>
      </c>
      <c r="B114" s="581" t="inlineStr">
        <is>
          <t>700mm x 2200mm single-leaf 2-hour fire-rated galvanised steel door (D7)</t>
        </is>
      </c>
      <c r="C114" s="582">
        <f>1</f>
        <v>1.0</v>
      </c>
      <c r="D114" s="583" t="inlineStr">
        <is>
          <t>nr</t>
        </is>
      </c>
      <c r="E114" s="584">
        <f>RATES!$D$80</f>
        <v>6800.0</v>
      </c>
      <c r="F114" s="571">
        <f>C114*E114</f>
        <v>6800.0</v>
      </c>
      <c r="G114" s="585" t="inlineStr">
        <is>
          <t>1</t>
        </is>
      </c>
    </row>
    <row r="115"/>
    <row r="116" ht="24" customHeight="1" s="12">
      <c r="A116" s="567" t="inlineStr">
        <is>
          <t>E</t>
        </is>
      </c>
      <c r="B116" s="581" t="inlineStr">
        <is>
          <t>1200mm x 2200mm 1-hour fire-rated leaf-and-a-half galvanised steel security door assembly (D8)</t>
        </is>
      </c>
      <c r="C116" s="582">
        <f>3</f>
        <v>3.0</v>
      </c>
      <c r="D116" s="583" t="inlineStr">
        <is>
          <t>nr</t>
        </is>
      </c>
      <c r="E116" s="584">
        <f>RATES!$D$81</f>
        <v>9800.0</v>
      </c>
      <c r="F116" s="571">
        <f>C116*E116</f>
        <v>29400.0</v>
      </c>
      <c r="G116" s="585" t="inlineStr">
        <is>
          <t>3</t>
        </is>
      </c>
    </row>
    <row r="117"/>
    <row r="118" ht="48" customHeight="1" s="12">
      <c r="A118" s="567" t="inlineStr">
        <is>
          <t>F</t>
        </is>
      </c>
      <c r="B118" s="581" t="inlineStr">
        <is>
          <t>1000mm x 2200mm 1-hour fire-rated galvanised steel single-leaf security door assembly - emergency stairs (ED1)</t>
        </is>
      </c>
      <c r="C118" s="582">
        <f>3</f>
        <v>3.0</v>
      </c>
      <c r="D118" s="583" t="inlineStr">
        <is>
          <t>nr</t>
        </is>
      </c>
      <c r="E118" s="584">
        <f>RATES!$D$82</f>
        <v>7200.0</v>
      </c>
      <c r="F118" s="571">
        <f>C118*E118</f>
        <v>21600.0</v>
      </c>
      <c r="G118" s="585" t="inlineStr">
        <is>
          <t>3</t>
        </is>
      </c>
    </row>
    <row r="119"/>
    <row r="120" ht="48" customHeight="1" s="12">
      <c r="A120" s="567" t="inlineStr">
        <is>
          <t>G</t>
        </is>
      </c>
      <c r="B120" s="581" t="inlineStr">
        <is>
          <t>1000mm x 2200mm 1-hour fire-rated galvanised steel single-leaf security door with translucent glass panel (ED2)</t>
        </is>
      </c>
      <c r="C120" s="582">
        <f>3</f>
        <v>3.0</v>
      </c>
      <c r="D120" s="583" t="inlineStr">
        <is>
          <t>nr</t>
        </is>
      </c>
      <c r="E120" s="584">
        <f>RATES!$D$83</f>
        <v>8100.0</v>
      </c>
      <c r="F120" s="571">
        <f>C120*E120</f>
        <v>24300.0</v>
      </c>
      <c r="G120" s="585" t="inlineStr">
        <is>
          <t>3</t>
        </is>
      </c>
    </row>
    <row r="121"/>
    <row r="122" ht="24" customHeight="1" s="12">
      <c r="A122" s="567" t="inlineStr">
        <is>
          <t>H</t>
        </is>
      </c>
      <c r="B122" s="581" t="inlineStr">
        <is>
          <t>900mm x 2200mm 1-hour fire-rated galvanised steel single-leaf security door assembly (D9)</t>
        </is>
      </c>
      <c r="C122" s="582">
        <f>1</f>
        <v>1.0</v>
      </c>
      <c r="D122" s="583" t="inlineStr">
        <is>
          <t>nr</t>
        </is>
      </c>
      <c r="E122" s="584">
        <f>RATES!$D$84</f>
        <v>6900.0</v>
      </c>
      <c r="F122" s="571">
        <f>C122*E122</f>
        <v>6900.0</v>
      </c>
      <c r="G122" s="585" t="inlineStr">
        <is>
          <t>1</t>
        </is>
      </c>
    </row>
    <row r="123"/>
    <row r="124" ht="24" customHeight="1" s="12">
      <c r="A124" s="567" t="inlineStr">
        <is>
          <t>J</t>
        </is>
      </c>
      <c r="B124" s="581" t="inlineStr">
        <is>
          <t>1500mm x 2200mm timber bi-fold door (FD1)</t>
        </is>
      </c>
      <c r="C124" s="582">
        <f>1</f>
        <v>1.0</v>
      </c>
      <c r="D124" s="583" t="inlineStr">
        <is>
          <t>nr</t>
        </is>
      </c>
      <c r="E124" s="584">
        <f>RATES!$D$86</f>
        <v>4600.0</v>
      </c>
      <c r="F124" s="571">
        <f>C124*E124</f>
        <v>4600.0</v>
      </c>
      <c r="G124" s="585" t="inlineStr">
        <is>
          <t>1</t>
        </is>
      </c>
    </row>
    <row r="125"/>
    <row r="126" ht="24" customHeight="1" s="12">
      <c r="A126" s="567" t="inlineStr">
        <is>
          <t>K</t>
        </is>
      </c>
      <c r="B126" s="581" t="inlineStr">
        <is>
          <t>900mm x 2200mm screw-fixed galvanised steel service access panel (M1)</t>
        </is>
      </c>
      <c r="C126" s="582">
        <f>2</f>
        <v>2.0</v>
      </c>
      <c r="D126" s="583" t="inlineStr">
        <is>
          <t>nr</t>
        </is>
      </c>
      <c r="E126" s="584">
        <f>RATES!$D$87</f>
        <v>2900.0</v>
      </c>
      <c r="F126" s="571">
        <f>C126*E126</f>
        <v>5800.0</v>
      </c>
      <c r="G126" s="585" t="inlineStr">
        <is>
          <t>2</t>
        </is>
      </c>
    </row>
    <row r="127"/>
    <row r="128" ht="24" customHeight="1" s="12">
      <c r="A128" s="567" t="inlineStr">
        <is>
          <t>L</t>
        </is>
      </c>
      <c r="B128" s="581" t="inlineStr">
        <is>
          <t>750mm x 2200mm screw-fixed galvanised steel service access panel (M2)</t>
        </is>
      </c>
      <c r="C128" s="582">
        <f>5</f>
        <v>5.0</v>
      </c>
      <c r="D128" s="583" t="inlineStr">
        <is>
          <t>nr</t>
        </is>
      </c>
      <c r="E128" s="584">
        <f>RATES!$D$88</f>
        <v>2600.0</v>
      </c>
      <c r="F128" s="571">
        <f>C128*E128</f>
        <v>13000.0</v>
      </c>
      <c r="G128" s="585" t="inlineStr">
        <is>
          <t>5</t>
        </is>
      </c>
    </row>
    <row r="129"/>
    <row r="130" ht="24" customHeight="1" s="12">
      <c r="A130" s="567" t="inlineStr">
        <is>
          <t>M</t>
        </is>
      </c>
      <c r="B130" s="581" t="inlineStr">
        <is>
          <t>450mm x 2200mm screw-fixed galvanised steel service access panel (M3)</t>
        </is>
      </c>
      <c r="C130" s="582">
        <f>1</f>
        <v>1.0</v>
      </c>
      <c r="D130" s="583" t="inlineStr">
        <is>
          <t>nr</t>
        </is>
      </c>
      <c r="E130" s="584">
        <f>RATES!$D$89</f>
        <v>1900.0</v>
      </c>
      <c r="F130" s="571">
        <f>C130*E130</f>
        <v>1900.0</v>
      </c>
      <c r="G130" s="585" t="inlineStr">
        <is>
          <t>1</t>
        </is>
      </c>
    </row>
    <row r="131"/>
    <row r="132" ht="24" customHeight="1" s="12">
      <c r="A132" s="567" t="inlineStr">
        <is>
          <t>N</t>
        </is>
      </c>
      <c r="B132" s="581" t="inlineStr">
        <is>
          <t>600mm x 2200mm screw-fixed galvanised steel service access panel (M5)</t>
        </is>
      </c>
      <c r="C132" s="582">
        <f>3</f>
        <v>3.0</v>
      </c>
      <c r="D132" s="583" t="inlineStr">
        <is>
          <t>nr</t>
        </is>
      </c>
      <c r="E132" s="584">
        <f>RATES!$D$90</f>
        <v>2200.0</v>
      </c>
      <c r="F132" s="571">
        <f>C132*E132</f>
        <v>6600.0</v>
      </c>
      <c r="G132" s="585" t="inlineStr">
        <is>
          <t>3</t>
        </is>
      </c>
    </row>
    <row r="133"/>
    <row r="134" ht="24" customHeight="1" s="12">
      <c r="A134" s="567" t="inlineStr">
        <is>
          <t>P</t>
        </is>
      </c>
      <c r="B134" s="581" t="inlineStr">
        <is>
          <t>3000mm x 2200mm 3-panel galvanised steel framed tempered glass sliding door (SD1)</t>
        </is>
      </c>
      <c r="C134" s="582">
        <f>1</f>
        <v>1.0</v>
      </c>
      <c r="D134" s="583" t="inlineStr">
        <is>
          <t>nr</t>
        </is>
      </c>
      <c r="E134" s="584">
        <f>RATES!$D$94</f>
        <v>14500.0</v>
      </c>
      <c r="F134" s="571">
        <f>C134*E134</f>
        <v>14500.0</v>
      </c>
      <c r="G134" s="585" t="inlineStr">
        <is>
          <t>1</t>
        </is>
      </c>
    </row>
    <row r="135"/>
    <row r="136" ht="24" customHeight="1" s="12">
      <c r="A136" s="567" t="inlineStr">
        <is>
          <t>Q</t>
        </is>
      </c>
      <c r="B136" s="581" t="inlineStr">
        <is>
          <t>1600mm x 2200mm 2-panel galvanised steel framed tempered glass sliding door (SD2)</t>
        </is>
      </c>
      <c r="C136" s="582">
        <f>3</f>
        <v>3.0</v>
      </c>
      <c r="D136" s="583" t="inlineStr">
        <is>
          <t>nr</t>
        </is>
      </c>
      <c r="E136" s="584">
        <f>RATES!$D$95</f>
        <v>8800.0</v>
      </c>
      <c r="F136" s="571">
        <f>C136*E136</f>
        <v>26400.0</v>
      </c>
      <c r="G136" s="585" t="inlineStr">
        <is>
          <t>3</t>
        </is>
      </c>
    </row>
    <row r="137"/>
    <row r="138" ht="24" customHeight="1" s="12">
      <c r="A138" s="567" t="inlineStr">
        <is>
          <t>R</t>
        </is>
      </c>
      <c r="B138" s="581" t="inlineStr">
        <is>
          <t>1300mm x 2200mm 2-panel galvanised steel framed tempered glass sliding door (SD3)</t>
        </is>
      </c>
      <c r="C138" s="582">
        <f>2</f>
        <v>2.0</v>
      </c>
      <c r="D138" s="583" t="inlineStr">
        <is>
          <t>nr</t>
        </is>
      </c>
      <c r="E138" s="584">
        <f>RATES!$D$96</f>
        <v>7600.0</v>
      </c>
      <c r="F138" s="571">
        <f>C138*E138</f>
        <v>15200.0</v>
      </c>
      <c r="G138" s="585" t="inlineStr">
        <is>
          <t>2</t>
        </is>
      </c>
    </row>
    <row r="139"/>
    <row r="140" ht="24" customHeight="1" s="12">
      <c r="A140" s="567" t="inlineStr">
        <is>
          <t>S</t>
        </is>
      </c>
      <c r="B140" s="581" t="inlineStr">
        <is>
          <t>1800mm x 2200mm 2-panel galvanised steel framed tempered glass sliding door (SD4)</t>
        </is>
      </c>
      <c r="C140" s="582">
        <f>4</f>
        <v>4.0</v>
      </c>
      <c r="D140" s="583" t="inlineStr">
        <is>
          <t>nr</t>
        </is>
      </c>
      <c r="E140" s="584">
        <f>RATES!$D$97</f>
        <v>9300.0</v>
      </c>
      <c r="F140" s="571">
        <f>C140*E140</f>
        <v>37200.0</v>
      </c>
      <c r="G140" s="585" t="inlineStr">
        <is>
          <t>4</t>
        </is>
      </c>
    </row>
    <row r="141"/>
    <row r="142" ht="24" customHeight="1" s="12">
      <c r="A142" s="567" t="inlineStr">
        <is>
          <t>T</t>
        </is>
      </c>
      <c r="B142" s="581" t="inlineStr">
        <is>
          <t>1200mm x 2200mm 2-panel galvanised steel framed tempered glass sliding door (SD5)</t>
        </is>
      </c>
      <c r="C142" s="582">
        <f>1</f>
        <v>1.0</v>
      </c>
      <c r="D142" s="583" t="inlineStr">
        <is>
          <t>nr</t>
        </is>
      </c>
      <c r="E142" s="584">
        <f>RATES!$D$98</f>
        <v>7200.0</v>
      </c>
      <c r="F142" s="571">
        <f>C142*E142</f>
        <v>7200.0</v>
      </c>
      <c r="G142" s="585" t="inlineStr">
        <is>
          <t>1</t>
        </is>
      </c>
    </row>
    <row r="143"/>
    <row r="144" ht="24" customHeight="1" s="12">
      <c r="A144" s="567" t="inlineStr">
        <is>
          <t>U</t>
        </is>
      </c>
      <c r="B144" s="581" t="inlineStr">
        <is>
          <t>50mm x 150mm frames (to timber doors)</t>
        </is>
      </c>
      <c r="C144" s="582">
        <f>15*(2*2.2+0.9)+20*(2*2.2+0.75)+1*(2*2.2+1.5)</f>
        <v>188.4</v>
      </c>
      <c r="D144" s="583" t="inlineStr">
        <is>
          <t>m</t>
        </is>
      </c>
      <c r="E144" s="584">
        <f>RATES!$D$100</f>
        <v>125.0</v>
      </c>
      <c r="F144" s="571">
        <f>C144*E144</f>
        <v>23550.0</v>
      </c>
      <c r="G144" s="585" t="inlineStr">
        <is>
          <t>15*(2*2.2+0.9)+20*(2*2.2+0.75)+1*(2*2.2+1.5)</t>
        </is>
      </c>
    </row>
    <row r="145"/>
    <row r="146" ht="24" customHeight="1" s="12">
      <c r="A146" s="567" t="inlineStr">
        <is>
          <t>V</t>
        </is>
      </c>
      <c r="B146" s="581" t="inlineStr">
        <is>
          <t>50mm x 12mm door stop</t>
        </is>
      </c>
      <c r="C146" s="582">
        <f>15*(2*2.2+0.9)+20*(2*2.2+0.75)+1*(2*2.2+1.5)</f>
        <v>188.4</v>
      </c>
      <c r="D146" s="583" t="inlineStr">
        <is>
          <t>m</t>
        </is>
      </c>
      <c r="E146" s="584">
        <f>RATES!$D$101</f>
        <v>28.0</v>
      </c>
      <c r="F146" s="571">
        <f>C146*E146</f>
        <v>5275.2</v>
      </c>
      <c r="G146" s="585" t="inlineStr">
        <is>
          <t>15*(2*2.2+0.9)+20*(2*2.2+0.75)+1*(2*2.2+1.5)</t>
        </is>
      </c>
    </row>
    <row r="147"/>
    <row r="148" ht="48" customHeight="1" s="12">
      <c r="A148" s="577" t="n"/>
      <c r="B148" s="580" t="inlineStr">
        <is>
          <t>Ironmongery - Supply and fix the following approved ironmongery to hardwood with accompanying patented screws:</t>
        </is>
      </c>
      <c r="C148" s="569" t="n"/>
      <c r="D148" s="569" t="n"/>
      <c r="E148" s="570" t="n"/>
      <c r="F148" s="579" t="n"/>
    </row>
    <row r="149" ht="24" customHeight="1" s="12">
      <c r="A149" s="567" t="inlineStr">
        <is>
          <t>W</t>
        </is>
      </c>
      <c r="B149" s="581" t="inlineStr">
        <is>
          <t>Pair 100mm brass butt hinges</t>
        </is>
      </c>
      <c r="C149" s="582">
        <f>53</f>
        <v>53.0</v>
      </c>
      <c r="D149" s="583" t="inlineStr">
        <is>
          <t>pr</t>
        </is>
      </c>
      <c r="E149" s="584">
        <f>RATES!$D$102</f>
        <v>125.0</v>
      </c>
      <c r="F149" s="571">
        <f>C149*E149</f>
        <v>6625.0</v>
      </c>
      <c r="G149" s="585" t="inlineStr">
        <is>
          <t>53</t>
        </is>
      </c>
    </row>
    <row r="150"/>
    <row r="151" ht="24" customHeight="1" s="12">
      <c r="A151" s="567" t="inlineStr">
        <is>
          <t>X</t>
        </is>
      </c>
      <c r="B151" s="581" t="inlineStr">
        <is>
          <t>Ordinary locks</t>
        </is>
      </c>
      <c r="C151" s="582">
        <f>15</f>
        <v>15.0</v>
      </c>
      <c r="D151" s="583" t="inlineStr">
        <is>
          <t>nr</t>
        </is>
      </c>
      <c r="E151" s="584">
        <f>RATES!$D$103</f>
        <v>480.0</v>
      </c>
      <c r="F151" s="571">
        <f>C151*E151</f>
        <v>7200.0</v>
      </c>
      <c r="G151" s="585" t="inlineStr">
        <is>
          <t>15</t>
        </is>
      </c>
    </row>
    <row r="152"/>
    <row r="153" ht="24" customHeight="1" s="12">
      <c r="A153" s="567" t="inlineStr">
        <is>
          <t>Y</t>
        </is>
      </c>
      <c r="B153" s="581" t="inlineStr">
        <is>
          <t>Approved high quality mortice indicator lock</t>
        </is>
      </c>
      <c r="C153" s="582">
        <f>20</f>
        <v>20.0</v>
      </c>
      <c r="D153" s="583" t="inlineStr">
        <is>
          <t>nr</t>
        </is>
      </c>
      <c r="E153" s="584">
        <f>RATES!$D$104</f>
        <v>560.0</v>
      </c>
      <c r="F153" s="571">
        <f>C153*E153</f>
        <v>11200.0</v>
      </c>
      <c r="G153" s="585" t="inlineStr">
        <is>
          <t>20</t>
        </is>
      </c>
    </row>
    <row r="154"/>
    <row r="155" ht="72" customHeight="1" s="12">
      <c r="A155" s="577" t="n"/>
      <c r="B155"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5" s="569" t="n"/>
      <c r="D155" s="569" t="n"/>
      <c r="E155" s="570" t="n"/>
      <c r="F155" s="579" t="n"/>
    </row>
    <row r="156" ht="24" customHeight="1" s="12">
      <c r="A156" s="567" t="inlineStr">
        <is>
          <t>Z</t>
        </is>
      </c>
      <c r="B156" s="581" t="inlineStr">
        <is>
          <t>2 bay alu. framed glass sliding window 1800mm x 1300mm (W2)</t>
        </is>
      </c>
      <c r="C156" s="582">
        <f>6</f>
        <v>6.0</v>
      </c>
      <c r="D156" s="583" t="inlineStr">
        <is>
          <t>nr</t>
        </is>
      </c>
      <c r="E156" s="584">
        <f>RATES!$D$109</f>
        <v>3861.0000000000005</v>
      </c>
      <c r="F156" s="571">
        <f>C156*E156</f>
        <v>23166.000000000004</v>
      </c>
      <c r="G156" s="585" t="inlineStr">
        <is>
          <t>6</t>
        </is>
      </c>
    </row>
    <row r="157"/>
    <row r="158" ht="24" customHeight="1" s="12">
      <c r="A158" s="567" t="inlineStr">
        <is>
          <t>A</t>
        </is>
      </c>
      <c r="B158" s="581" t="inlineStr">
        <is>
          <t>1 bay alu. framed glass awning window 900mm x 1300mm (W4)</t>
        </is>
      </c>
      <c r="C158" s="582">
        <f>10</f>
        <v>10.0</v>
      </c>
      <c r="D158" s="583" t="inlineStr">
        <is>
          <t>nr</t>
        </is>
      </c>
      <c r="E158" s="584">
        <f>RATES!$D$111</f>
        <v>1930.5000000000002</v>
      </c>
      <c r="F158" s="571">
        <f>C158*E158</f>
        <v>19305.000000000004</v>
      </c>
      <c r="G158" s="585" t="inlineStr">
        <is>
          <t>10</t>
        </is>
      </c>
    </row>
    <row r="159"/>
    <row r="160" ht="24" customHeight="1" s="12">
      <c r="A160" s="567" t="inlineStr">
        <is>
          <t>B</t>
        </is>
      </c>
      <c r="B160" s="581" t="inlineStr">
        <is>
          <t>2 bay alu. framed glass sliding window 1800mm x 1600mm (W7)</t>
        </is>
      </c>
      <c r="C160" s="582">
        <f>1</f>
        <v>1.0</v>
      </c>
      <c r="D160" s="583" t="inlineStr">
        <is>
          <t>nr</t>
        </is>
      </c>
      <c r="E160" s="584">
        <f>RATES!$D$114</f>
        <v>4752.000000000001</v>
      </c>
      <c r="F160" s="571">
        <f>C160*E160</f>
        <v>4752.000000000001</v>
      </c>
      <c r="G160" s="585" t="inlineStr">
        <is>
          <t>1</t>
        </is>
      </c>
    </row>
    <row r="161"/>
    <row r="162" ht="24" customHeight="1" s="12">
      <c r="A162" s="567" t="inlineStr">
        <is>
          <t>C</t>
        </is>
      </c>
      <c r="B162" s="581" t="inlineStr">
        <is>
          <t>1 x 3 bay alu. framed glass awning window 1200mm x 1900mm (W8)</t>
        </is>
      </c>
      <c r="C162" s="582">
        <f>3</f>
        <v>3.0</v>
      </c>
      <c r="D162" s="583" t="inlineStr">
        <is>
          <t>nr</t>
        </is>
      </c>
      <c r="E162" s="584">
        <f>RATES!$D$115</f>
        <v>3761.9999999999995</v>
      </c>
      <c r="F162" s="571">
        <f>C162*E162</f>
        <v>11285.999999999998</v>
      </c>
      <c r="G162" s="585" t="inlineStr">
        <is>
          <t>3</t>
        </is>
      </c>
    </row>
    <row r="163"/>
    <row r="164" ht="24" customHeight="1" s="12">
      <c r="A164" s="567" t="inlineStr">
        <is>
          <t>D</t>
        </is>
      </c>
      <c r="B164" s="581" t="inlineStr">
        <is>
          <t>2 bay alu. framed glass sliding window 1200mm x 1150mm (W9)</t>
        </is>
      </c>
      <c r="C164" s="582">
        <f>8</f>
        <v>8.0</v>
      </c>
      <c r="D164" s="583" t="inlineStr">
        <is>
          <t>nr</t>
        </is>
      </c>
      <c r="E164" s="584">
        <f>RATES!$D$116</f>
        <v>2277.0</v>
      </c>
      <c r="F164" s="571">
        <f>C164*E164</f>
        <v>18216.0</v>
      </c>
      <c r="G164" s="585" t="inlineStr">
        <is>
          <t>8</t>
        </is>
      </c>
    </row>
    <row r="165"/>
    <row r="166" ht="24" customHeight="1" s="12">
      <c r="A166" s="567" t="inlineStr">
        <is>
          <t>E</t>
        </is>
      </c>
      <c r="B166" s="581" t="inlineStr">
        <is>
          <t>2 bay alu. framed glass sliding window 1200mm x 1200mm (W10)</t>
        </is>
      </c>
      <c r="C166" s="582">
        <f>1</f>
        <v>1.0</v>
      </c>
      <c r="D166" s="583" t="inlineStr">
        <is>
          <t>nr</t>
        </is>
      </c>
      <c r="E166" s="584">
        <f>RATES!$D$117</f>
        <v>2376.0</v>
      </c>
      <c r="F166" s="571">
        <f>C166*E166</f>
        <v>2376.0</v>
      </c>
      <c r="G166" s="585" t="inlineStr">
        <is>
          <t>1</t>
        </is>
      </c>
    </row>
    <row r="167"/>
    <row r="168" ht="24" customHeight="1" s="12">
      <c r="A168" s="567" t="inlineStr">
        <is>
          <t>F</t>
        </is>
      </c>
      <c r="B168" s="581" t="inlineStr">
        <is>
          <t>2 bay alu. framed glass sliding window 1500mm x 1300mm (W11)</t>
        </is>
      </c>
      <c r="C168" s="582">
        <f>6</f>
        <v>6.0</v>
      </c>
      <c r="D168" s="583" t="inlineStr">
        <is>
          <t>nr</t>
        </is>
      </c>
      <c r="E168" s="584">
        <f>RATES!$D$118</f>
        <v>3217.5000000000005</v>
      </c>
      <c r="F168" s="571">
        <f>C168*E168</f>
        <v>19305.000000000004</v>
      </c>
      <c r="G168" s="585" t="inlineStr">
        <is>
          <t>6</t>
        </is>
      </c>
    </row>
    <row r="169"/>
    <row r="170" ht="24" customHeight="1" s="12">
      <c r="A170" s="567" t="inlineStr">
        <is>
          <t>G</t>
        </is>
      </c>
      <c r="B170" s="581" t="inlineStr">
        <is>
          <t>2 bay alu. framed glass sliding window 1500mm x 1150mm (W12)</t>
        </is>
      </c>
      <c r="C170" s="582">
        <f>3</f>
        <v>3.0</v>
      </c>
      <c r="D170" s="583" t="inlineStr">
        <is>
          <t>nr</t>
        </is>
      </c>
      <c r="E170" s="584">
        <f>RATES!$D$119</f>
        <v>2846.25</v>
      </c>
      <c r="F170" s="571">
        <f>C170*E170</f>
        <v>8538.75</v>
      </c>
      <c r="G170" s="585" t="inlineStr">
        <is>
          <t>3</t>
        </is>
      </c>
    </row>
    <row r="171"/>
    <row r="172" ht="24" customHeight="1" s="12">
      <c r="A172" s="567" t="inlineStr">
        <is>
          <t>H</t>
        </is>
      </c>
      <c r="B172" s="581" t="inlineStr">
        <is>
          <t>3 bay alu. framed glass awning window 2400mm x 1300mm (W13)</t>
        </is>
      </c>
      <c r="C172" s="582">
        <f>1</f>
        <v>1.0</v>
      </c>
      <c r="D172" s="583" t="inlineStr">
        <is>
          <t>nr</t>
        </is>
      </c>
      <c r="E172" s="584">
        <f>RATES!$D$120</f>
        <v>5148.0</v>
      </c>
      <c r="F172" s="571">
        <f>C172*E172</f>
        <v>5148.0</v>
      </c>
      <c r="G172" s="585" t="inlineStr">
        <is>
          <t>1</t>
        </is>
      </c>
    </row>
    <row r="173"/>
    <row r="174" ht="24" customHeight="1" s="12">
      <c r="A174" s="567" t="inlineStr">
        <is>
          <t>J</t>
        </is>
      </c>
      <c r="B174" s="581" t="inlineStr">
        <is>
          <t>3 bay alu. framed glass sliding window 3000mm x 1600mm (W15)</t>
        </is>
      </c>
      <c r="C174" s="582">
        <f>1</f>
        <v>1.0</v>
      </c>
      <c r="D174" s="583" t="inlineStr">
        <is>
          <t>nr</t>
        </is>
      </c>
      <c r="E174" s="584">
        <f>RATES!$D$122</f>
        <v>7920.000000000001</v>
      </c>
      <c r="F174" s="571">
        <f>C174*E174</f>
        <v>7920.000000000001</v>
      </c>
      <c r="G174" s="585" t="inlineStr">
        <is>
          <t>1</t>
        </is>
      </c>
    </row>
    <row r="175"/>
    <row r="176" ht="24" customHeight="1" s="12">
      <c r="A176" s="567" t="inlineStr">
        <is>
          <t>K</t>
        </is>
      </c>
      <c r="B176" s="581" t="inlineStr">
        <is>
          <t>2 x 3 alu. framed glass awning window 1800mm x 1900mm (W17)</t>
        </is>
      </c>
      <c r="C176" s="582">
        <f>3</f>
        <v>3.0</v>
      </c>
      <c r="D176" s="583" t="inlineStr">
        <is>
          <t>nr</t>
        </is>
      </c>
      <c r="E176" s="584">
        <f>RATES!$D$124</f>
        <v>5643.0</v>
      </c>
      <c r="F176" s="571">
        <f>C176*E176</f>
        <v>16929.0</v>
      </c>
      <c r="G176" s="585" t="inlineStr">
        <is>
          <t>3</t>
        </is>
      </c>
    </row>
    <row r="177"/>
    <row r="178" ht="24" customHeight="1" s="12">
      <c r="A178" s="567" t="inlineStr">
        <is>
          <t>L</t>
        </is>
      </c>
      <c r="B178" s="581" t="inlineStr">
        <is>
          <t>1 bay alu. framed glass awning window 750mm x 1300mm (W18)</t>
        </is>
      </c>
      <c r="C178" s="582">
        <f>1</f>
        <v>1.0</v>
      </c>
      <c r="D178" s="583" t="inlineStr">
        <is>
          <t>nr</t>
        </is>
      </c>
      <c r="E178" s="584">
        <f>RATES!$D$125</f>
        <v>1608.7500000000002</v>
      </c>
      <c r="F178" s="571">
        <f>C178*E178</f>
        <v>1608.7500000000002</v>
      </c>
      <c r="G178" s="585" t="inlineStr">
        <is>
          <t>1</t>
        </is>
      </c>
    </row>
    <row r="179"/>
    <row r="180" ht="24" customHeight="1" s="12">
      <c r="A180" s="567" t="inlineStr">
        <is>
          <t>M</t>
        </is>
      </c>
      <c r="B180" s="581" t="inlineStr">
        <is>
          <t>2 x 3 alu. framed glass awning window 1450mm x 1900mm (W20)</t>
        </is>
      </c>
      <c r="C180" s="582">
        <f>1</f>
        <v>1.0</v>
      </c>
      <c r="D180" s="583" t="inlineStr">
        <is>
          <t>nr</t>
        </is>
      </c>
      <c r="E180" s="584">
        <f>RATES!$D$127</f>
        <v>4545.75</v>
      </c>
      <c r="F180" s="571">
        <f>C180*E180</f>
        <v>4545.75</v>
      </c>
      <c r="G180" s="585" t="inlineStr">
        <is>
          <t>1</t>
        </is>
      </c>
    </row>
    <row r="181"/>
    <row r="182" ht="24" customHeight="1" s="12">
      <c r="A182" s="567" t="inlineStr">
        <is>
          <t>N</t>
        </is>
      </c>
      <c r="B182" s="581" t="inlineStr">
        <is>
          <t>2 bay alu. framed glass sliding window 900mm x 600mm (HW1)</t>
        </is>
      </c>
      <c r="C182" s="582">
        <f>12</f>
        <v>12.0</v>
      </c>
      <c r="D182" s="583" t="inlineStr">
        <is>
          <t>nr</t>
        </is>
      </c>
      <c r="E182" s="584">
        <f>RATES!$D$128</f>
        <v>891.0000000000001</v>
      </c>
      <c r="F182" s="571">
        <f>C182*E182</f>
        <v>10692.000000000002</v>
      </c>
      <c r="G182" s="585" t="inlineStr">
        <is>
          <t>12</t>
        </is>
      </c>
    </row>
    <row r="183"/>
    <row r="184" ht="24" customHeight="1" s="12">
      <c r="A184" s="567" t="inlineStr">
        <is>
          <t>P</t>
        </is>
      </c>
      <c r="B184" s="581" t="inlineStr">
        <is>
          <t>2 bay alu. framed glass sliding window 750mm x 600mm (HW2)</t>
        </is>
      </c>
      <c r="C184" s="582">
        <f>4</f>
        <v>4.0</v>
      </c>
      <c r="D184" s="583" t="inlineStr">
        <is>
          <t>nr</t>
        </is>
      </c>
      <c r="E184" s="584">
        <f>RATES!$D$129</f>
        <v>742.4999999999999</v>
      </c>
      <c r="F184" s="571">
        <f>C184*E184</f>
        <v>2969.9999999999995</v>
      </c>
      <c r="G184" s="585" t="inlineStr">
        <is>
          <t>4</t>
        </is>
      </c>
    </row>
    <row r="185"/>
    <row r="186" ht="24" customHeight="1" s="12">
      <c r="A186" s="567" t="inlineStr">
        <is>
          <t>Q</t>
        </is>
      </c>
      <c r="B186" s="581" t="inlineStr">
        <is>
          <t>2 bay alu. framed glass sliding window 600mm x 600mm (HW3)</t>
        </is>
      </c>
      <c r="C186" s="582">
        <f>1</f>
        <v>1.0</v>
      </c>
      <c r="D186" s="583" t="inlineStr">
        <is>
          <t>nr</t>
        </is>
      </c>
      <c r="E186" s="584">
        <f>RATES!$D$130</f>
        <v>594.0</v>
      </c>
      <c r="F186" s="571">
        <f>C186*E186</f>
        <v>594.0</v>
      </c>
      <c r="G186" s="585" t="inlineStr">
        <is>
          <t>1</t>
        </is>
      </c>
    </row>
    <row r="187"/>
    <row r="188" ht="24" customHeight="1" s="12">
      <c r="A188" s="567" t="inlineStr">
        <is>
          <t>R</t>
        </is>
      </c>
      <c r="B188" s="581" t="inlineStr">
        <is>
          <t>2 bay alu. framed glass sliding window 1200mm x 600mm (HW4)</t>
        </is>
      </c>
      <c r="C188" s="582">
        <f>1</f>
        <v>1.0</v>
      </c>
      <c r="D188" s="583" t="inlineStr">
        <is>
          <t>nr</t>
        </is>
      </c>
      <c r="E188" s="584">
        <f>RATES!$D$131</f>
        <v>1188.0</v>
      </c>
      <c r="F188" s="571">
        <f>C188*E188</f>
        <v>1188.0</v>
      </c>
      <c r="G188" s="585" t="inlineStr">
        <is>
          <t>1</t>
        </is>
      </c>
    </row>
    <row r="189"/>
    <row r="190">
      <c r="A190" s="572" t="n"/>
      <c r="B190" s="586" t="str">
        <f>B105</f>
        <v>ELEMENT NO. 4: WINDOWS/DOORS</v>
      </c>
      <c r="C190" s="574" t="n"/>
      <c r="D190" s="574" t="n"/>
      <c r="E190" s="587" t="n"/>
      <c r="F190" s="576">
        <f>SUM(F107:F189)</f>
        <v>577390.45</v>
      </c>
    </row>
    <row r="191">
      <c r="B191" s="559" t="inlineStr">
        <is>
          <t>Carried to Bill Summary</t>
        </is>
      </c>
    </row>
    <row r="192"/>
    <row r="193"/>
    <row r="194">
      <c r="A194" s="577" t="n"/>
      <c r="B194" s="578" t="inlineStr">
        <is>
          <t>ELEMENT NO. 5: FLOOR FINISHES</t>
        </is>
      </c>
      <c r="C194" s="569" t="n"/>
      <c r="D194" s="569" t="n"/>
      <c r="E194" s="570" t="n"/>
      <c r="F194" s="579" t="n"/>
    </row>
    <row r="195"/>
    <row r="196" ht="24" customHeight="1" s="12">
      <c r="A196" s="577" t="n"/>
      <c r="B196" s="580" t="inlineStr">
        <is>
          <t>M10/M40 FLOOR FINISHES</t>
        </is>
      </c>
      <c r="C196" s="569" t="n"/>
      <c r="D196" s="569" t="n"/>
      <c r="E196" s="570" t="n"/>
      <c r="F196" s="579" t="n"/>
    </row>
    <row r="197" ht="24" customHeight="1" s="12">
      <c r="A197" s="567" t="inlineStr">
        <is>
          <t>A</t>
        </is>
      </c>
      <c r="B197" s="581" t="inlineStr">
        <is>
          <t>25mm cement and sand (1:3) screeded finish laid level on concrete and finished smooth with steel trowel</t>
        </is>
      </c>
      <c r="C197" s="582">
        <f>850.7</f>
        <v>850.7</v>
      </c>
      <c r="D197" s="583" t="inlineStr">
        <is>
          <t>m2</t>
        </is>
      </c>
      <c r="E197" s="584">
        <f>RATES!$D$50</f>
        <v>68.0</v>
      </c>
      <c r="F197" s="571">
        <f>C197*E197</f>
        <v>57847.600000000006</v>
      </c>
      <c r="G197" s="585" t="inlineStr">
        <is>
          <t>850.7</t>
        </is>
      </c>
    </row>
    <row r="198"/>
    <row r="199" ht="24" customHeight="1" s="12">
      <c r="A199" s="567" t="inlineStr">
        <is>
          <t>B</t>
        </is>
      </c>
      <c r="B199" s="581" t="inlineStr">
        <is>
          <t>12mm cement and sand (1:4) screeded bed laid level on concrete floor to receive floor tiles</t>
        </is>
      </c>
      <c r="C199" s="582">
        <f>850.7+(2*1.8*3.0+22*0.15*1.8+2.2*3.75+1.8*3.75)+(2*1.8*3.0+22*0.15*1.8+2.2*3.75+1.8*3.75)</f>
        <v>914.1800000000001</v>
      </c>
      <c r="D199" s="583" t="inlineStr">
        <is>
          <t>m2</t>
        </is>
      </c>
      <c r="E199" s="584">
        <f>RATES!$D$51</f>
        <v>48.0</v>
      </c>
      <c r="F199" s="571">
        <f>C199*E199</f>
        <v>43880.64</v>
      </c>
      <c r="G199" s="585" t="inlineStr">
        <is>
          <t>850.7+(2*1.8*3.0+22*0.15*1.8+2.2*3.75+1.8*3.75)+(2*1.8*3.0+22*0.15*1.8+2.2*3.75+1.8*3.75)</t>
        </is>
      </c>
    </row>
    <row r="200"/>
    <row r="201" ht="24" customHeight="1" s="12">
      <c r="A201" s="567" t="inlineStr">
        <is>
          <t>C</t>
        </is>
      </c>
      <c r="B201" s="581" t="inlineStr">
        <is>
          <t>400x400mm non-slip porcelain floor tiles to washrooms &amp; WCs, adhesive, grout and cutting</t>
        </is>
      </c>
      <c r="C201" s="582">
        <f>56.0</f>
        <v>56.0</v>
      </c>
      <c r="D201" s="583" t="inlineStr">
        <is>
          <t>m2</t>
        </is>
      </c>
      <c r="E201" s="584">
        <f>RATES!$D$53</f>
        <v>230.0</v>
      </c>
      <c r="F201" s="571">
        <f>C201*E201</f>
        <v>12880.0</v>
      </c>
      <c r="G201" s="585" t="inlineStr">
        <is>
          <t>56.0</t>
        </is>
      </c>
    </row>
    <row r="202"/>
    <row r="203" ht="24" customHeight="1" s="12">
      <c r="A203" s="567" t="inlineStr">
        <is>
          <t>D</t>
        </is>
      </c>
      <c r="B203" s="581" t="inlineStr">
        <is>
          <t>500x500mm matte R11 porcelain tiles to staircases (treads, risers and landings)</t>
        </is>
      </c>
      <c r="C203" s="582">
        <f>(2*1.8*3.0+22*0.15*1.8+2.2*3.75+1.8*3.75)+(2*1.8*3.0+22*0.15*1.8+2.2*3.75+1.8*3.75)</f>
        <v>63.480000000000004</v>
      </c>
      <c r="D203" s="583" t="inlineStr">
        <is>
          <t>m2</t>
        </is>
      </c>
      <c r="E203" s="584">
        <f>RATES!$D$54</f>
        <v>270.0</v>
      </c>
      <c r="F203" s="571">
        <f>C203*E203</f>
        <v>17139.600000000002</v>
      </c>
      <c r="G203" s="585" t="inlineStr">
        <is>
          <t>(2*1.8*3.0+22*0.15*1.8+2.2*3.75+1.8*3.75)+(2*1.8*3.0+22*0.15*1.8+2.2*3.75+1.8*3.75)</t>
        </is>
      </c>
    </row>
    <row r="204"/>
    <row r="205" ht="24" customHeight="1" s="12">
      <c r="A205" s="567" t="inlineStr">
        <is>
          <t>E</t>
        </is>
      </c>
      <c r="B205" s="581" t="inlineStr">
        <is>
          <t>600x600mm semi-polished porcelain floor tiles to habitable rooms, shops &amp; offices</t>
        </is>
      </c>
      <c r="C205" s="582">
        <f>534.9</f>
        <v>534.9</v>
      </c>
      <c r="D205" s="583" t="inlineStr">
        <is>
          <t>m2</t>
        </is>
      </c>
      <c r="E205" s="584">
        <f>RATES!$D$55</f>
        <v>265.0</v>
      </c>
      <c r="F205" s="571">
        <f>C205*E205</f>
        <v>141748.5</v>
      </c>
      <c r="G205" s="585" t="inlineStr">
        <is>
          <t>534.9</t>
        </is>
      </c>
    </row>
    <row r="206"/>
    <row r="207" ht="24" customHeight="1" s="12">
      <c r="A207" s="567" t="inlineStr">
        <is>
          <t>F</t>
        </is>
      </c>
      <c r="B207" s="581" t="inlineStr">
        <is>
          <t>600x1200mm semi-polished porcelain floor tiles to stair/lift lobbies &amp; reception</t>
        </is>
      </c>
      <c r="C207" s="582">
        <f>33.8</f>
        <v>33.8</v>
      </c>
      <c r="D207" s="583" t="inlineStr">
        <is>
          <t>m2</t>
        </is>
      </c>
      <c r="E207" s="584">
        <f>RATES!$D$56</f>
        <v>330.0</v>
      </c>
      <c r="F207" s="571">
        <f>C207*E207</f>
        <v>11153.999999999998</v>
      </c>
      <c r="G207" s="585" t="inlineStr">
        <is>
          <t>33.8</t>
        </is>
      </c>
    </row>
    <row r="208"/>
    <row r="209" ht="24" customHeight="1" s="12">
      <c r="A209" s="567" t="inlineStr">
        <is>
          <t>G</t>
        </is>
      </c>
      <c r="B209" s="581" t="inlineStr">
        <is>
          <t>600x600mm non-slip R11 porcelain tiles to corridors, terraces, verandah &amp; service areas</t>
        </is>
      </c>
      <c r="C209" s="582">
        <f>225.9</f>
        <v>225.9</v>
      </c>
      <c r="D209" s="583" t="inlineStr">
        <is>
          <t>m2</t>
        </is>
      </c>
      <c r="E209" s="584">
        <f>RATES!$D$57</f>
        <v>250.0</v>
      </c>
      <c r="F209" s="571">
        <f>C209*E209</f>
        <v>56475.0</v>
      </c>
      <c r="G209" s="585" t="inlineStr">
        <is>
          <t>225.9</t>
        </is>
      </c>
    </row>
    <row r="210"/>
    <row r="211">
      <c r="A211" s="572" t="n"/>
      <c r="B211" s="586" t="str">
        <f>B194</f>
        <v>ELEMENT NO. 5: FLOOR FINISHES</v>
      </c>
      <c r="C211" s="574" t="n"/>
      <c r="D211" s="574" t="n"/>
      <c r="E211" s="587" t="n"/>
      <c r="F211" s="576">
        <f>SUM(F196:F210)</f>
        <v>341125.33999999997</v>
      </c>
    </row>
    <row r="212">
      <c r="B212" s="559" t="inlineStr">
        <is>
          <t>Carried to Bill Summary</t>
        </is>
      </c>
    </row>
    <row r="213"/>
    <row r="214"/>
    <row r="215">
      <c r="A215" s="577" t="n"/>
      <c r="B215" s="578" t="inlineStr">
        <is>
          <t>ELEMENT NO. 6: WALL FINISHES</t>
        </is>
      </c>
      <c r="C215" s="569" t="n"/>
      <c r="D215" s="569" t="n"/>
      <c r="E215" s="570" t="n"/>
      <c r="F215" s="579" t="n"/>
    </row>
    <row r="216"/>
    <row r="217" ht="48" customHeight="1" s="12">
      <c r="A217" s="577" t="n"/>
      <c r="B217" s="580" t="inlineStr">
        <is>
          <t>M20 PLASTERED/RENDERED COATINGS - 12.5mm cement and sand (1:3) rendering as described on blockwork or concrete to:</t>
        </is>
      </c>
      <c r="C217" s="569" t="n"/>
      <c r="D217" s="569" t="n"/>
      <c r="E217" s="570" t="n"/>
      <c r="F217" s="579" t="n"/>
    </row>
    <row r="218" ht="24" customHeight="1" s="12">
      <c r="A218" s="567" t="inlineStr">
        <is>
          <t>A</t>
        </is>
      </c>
      <c r="B218" s="581" t="inlineStr">
        <is>
          <t>Interior walls</t>
        </is>
      </c>
      <c r="C218" s="582">
        <f>(2*(447.7+49.2)+2*67.8-16.8-224.2)*3.05-56.0/3.8*8.0*3.05-2*(7*1*2.2+15*0.9*2.2+20*0.75*2.2+1*0.7*2.2+3*1.2*2.2+3*1*2.2+3*1*2.2+1*0.9*2.2+1*1.5*2.2+2*0.9*2.2+5*0.75*2.2+1*0.45*2.2+3*0.6*2.2+1*3*2.2+3*1.6*2.2+2*1.3*2.2+4*1.8*2.2+1*1.2*2.2)-(6*1.8*1.3+10*0.9*1.3+1*1.8*1.6+3*1.2*1.9+8*1.2*1.15+1*1.2*1.2+6*1.5*1.3+3*1.5*1.15+1*2.4*1.3+1*3*1.6+3*1.8*1.9+1*0.75*1.3+1*1.45*1.9+12*0.9*0.6+4*0.75*0.6+1*0.6*0.6+1*1.2*0.6)</f>
        <v>1924.8360526315782</v>
      </c>
      <c r="D218" s="583" t="inlineStr">
        <is>
          <t>m2</t>
        </is>
      </c>
      <c r="E218" s="584">
        <f>RATES!$D$48</f>
        <v>78.0</v>
      </c>
      <c r="F218" s="571">
        <f>C218*E218</f>
        <v>150137.2121052631</v>
      </c>
      <c r="G218" s="585" t="inlineStr">
        <is>
          <t>(2*(447.7+49.2)+2*67.8-16.8-224.2)*3.05-56.0/3.8*8.0*3.05-2*(7*1*2.2+15*0.9*2.2+20*0.75*2.2+1*0.7*2.2+3*1.2*2.2+3*1*2.2+3*1*2.2+1*0.9*2.2+1*1.5*2.2+2*0.9*2.2+5*0.75*2.2+1*0.45*2.2+3*0.6*2.2+1*3*2.2+3*1.6*2.2+2*1.3*2.2+4*1.8*2.2+1*1.2*2.2)-(6*1.8*1...</t>
        </is>
      </c>
    </row>
    <row r="219"/>
    <row r="220" ht="24" customHeight="1" s="12">
      <c r="A220" s="567" t="inlineStr">
        <is>
          <t>B</t>
        </is>
      </c>
      <c r="B220" s="581" t="inlineStr">
        <is>
          <t>Interior partitions and washrooms</t>
        </is>
      </c>
      <c r="C220" s="582">
        <f>56.0/3.8*8.0*3.05-56.0/3.8*0.75*2.2</f>
        <v>335.2631578947368</v>
      </c>
      <c r="D220" s="583" t="inlineStr">
        <is>
          <t>m2</t>
        </is>
      </c>
      <c r="E220" s="584">
        <f>RATES!$D$48</f>
        <v>78.0</v>
      </c>
      <c r="F220" s="571">
        <f>C220*E220</f>
        <v>26150.526315789473</v>
      </c>
      <c r="G220" s="585" t="inlineStr">
        <is>
          <t>56.0/3.8*8.0*3.05-56.0/3.8*0.75*2.2</t>
        </is>
      </c>
    </row>
    <row r="221"/>
    <row r="222" ht="24" customHeight="1" s="12">
      <c r="A222" s="567" t="inlineStr">
        <is>
          <t>C</t>
        </is>
      </c>
      <c r="B222" s="581" t="inlineStr">
        <is>
          <t>External walls</t>
        </is>
      </c>
      <c r="C222" s="582">
        <f>224.2*3.3-(6*1.8*1.3+10*0.9*1.3+1*1.8*1.6+3*1.2*1.9+8*1.2*1.15+1*1.2*1.2+6*1.5*1.3+3*1.5*1.15+1*2.4*1.3+1*3*1.6+3*1.8*1.9+1*0.75*1.3+1*1.45*1.9+12*0.9*0.6+4*0.75*0.6+1*0.6*0.6+1*1.2*0.6)</f>
        <v>643.7749999999999</v>
      </c>
      <c r="D222" s="583" t="inlineStr">
        <is>
          <t>m2</t>
        </is>
      </c>
      <c r="E222" s="584">
        <f>RATES!$D$49</f>
        <v>88.0</v>
      </c>
      <c r="F222" s="571">
        <f>C222*E222</f>
        <v>56652.19999999999</v>
      </c>
      <c r="G222" s="585" t="inlineStr">
        <is>
          <t>224.2*3.3-(6*1.8*1.3+10*0.9*1.3+1*1.8*1.6+3*1.2*1.9+8*1.2*1.15+1*1.2*1.2+6*1.5*1.3+3*1.5*1.15+1*2.4*1.3+1*3*1.6+3*1.8*1.9+1*0.75*1.3+1*1.45*1.9+12*0.9*0.6+4*0.75*0.6+1*0.6*0.6+1*1.2*0.6)</t>
        </is>
      </c>
    </row>
    <row r="223"/>
    <row r="224" ht="24" customHeight="1" s="12">
      <c r="A224" s="567" t="inlineStr">
        <is>
          <t>D</t>
        </is>
      </c>
      <c r="B224" s="581" t="inlineStr">
        <is>
          <t>12mm cement and sand (1:4) screeded backing to receive wall tiles</t>
        </is>
      </c>
      <c r="C224" s="582">
        <f>56.0/3.8*8.0*2.4-56.0/3.8*0.75*2.2</f>
        <v>258.63157894736844</v>
      </c>
      <c r="D224" s="583" t="inlineStr">
        <is>
          <t>m2</t>
        </is>
      </c>
      <c r="E224" s="584">
        <f>RATES!$D$52</f>
        <v>55.0</v>
      </c>
      <c r="F224" s="571">
        <f>C224*E224</f>
        <v>14224.736842105263</v>
      </c>
      <c r="G224" s="585" t="inlineStr">
        <is>
          <t>56.0/3.8*8.0*2.4-56.0/3.8*0.75*2.2</t>
        </is>
      </c>
    </row>
    <row r="225"/>
    <row r="226" ht="24" customHeight="1" s="12">
      <c r="A226" s="567" t="inlineStr">
        <is>
          <t>E</t>
        </is>
      </c>
      <c r="B226" s="581" t="inlineStr">
        <is>
          <t>Ceramic/porcelain wall tiles to washrooms to 2.4m high, adhesive &amp; grout (type TBC)</t>
        </is>
      </c>
      <c r="C226" s="582">
        <f>56.0/3.8*8.0*2.4-56.0/3.8*0.75*2.2</f>
        <v>258.63157894736844</v>
      </c>
      <c r="D226" s="583" t="inlineStr">
        <is>
          <t>m2</t>
        </is>
      </c>
      <c r="E226" s="584">
        <f>RATES!$D$60</f>
        <v>240.0</v>
      </c>
      <c r="F226" s="571">
        <f>C226*E226</f>
        <v>62071.57894736843</v>
      </c>
      <c r="G226" s="585" t="inlineStr">
        <is>
          <t>56.0/3.8*8.0*2.4-56.0/3.8*0.75*2.2</t>
        </is>
      </c>
    </row>
    <row r="227"/>
    <row r="228">
      <c r="A228" s="572" t="n"/>
      <c r="B228" s="586" t="str">
        <f>B215</f>
        <v>ELEMENT NO. 6: WALL FINISHES</v>
      </c>
      <c r="C228" s="574" t="n"/>
      <c r="D228" s="574" t="n"/>
      <c r="E228" s="587" t="n"/>
      <c r="F228" s="576">
        <f>SUM(F217:F227)</f>
        <v>309236.25421052624</v>
      </c>
    </row>
    <row r="229">
      <c r="B229" s="559" t="inlineStr">
        <is>
          <t>Carried to Bill Summary</t>
        </is>
      </c>
    </row>
    <row r="230"/>
    <row r="231"/>
    <row r="232">
      <c r="A232" s="577" t="n"/>
      <c r="B232" s="578" t="inlineStr">
        <is>
          <t>ELEMENT NO. 7: PAINTING AND DECORATING</t>
        </is>
      </c>
      <c r="C232" s="569" t="n"/>
      <c r="D232" s="569" t="n"/>
      <c r="E232" s="570" t="n"/>
      <c r="F232" s="579" t="n"/>
    </row>
    <row r="233"/>
    <row r="234" ht="24" customHeight="1" s="12">
      <c r="A234" s="577" t="n"/>
      <c r="B234" s="580" t="inlineStr">
        <is>
          <t>M60 PAINTING - Prepare and apply two undercoats and finishing coat of emulsion paint on:</t>
        </is>
      </c>
      <c r="C234" s="569" t="n"/>
      <c r="D234" s="569" t="n"/>
      <c r="E234" s="570" t="n"/>
      <c r="F234" s="579" t="n"/>
    </row>
    <row r="235" ht="24" customHeight="1" s="12">
      <c r="A235" s="567" t="inlineStr">
        <is>
          <t>A</t>
        </is>
      </c>
      <c r="B235" s="581" t="inlineStr">
        <is>
          <t>Interior walls</t>
        </is>
      </c>
      <c r="C235" s="582">
        <f>(2*(447.7+49.2)+2*67.8-16.8-224.2)*3.05-56.0/3.8*8.0*3.05-2*(7*1*2.2+15*0.9*2.2+20*0.75*2.2+1*0.7*2.2+3*1.2*2.2+3*1*2.2+3*1*2.2+1*0.9*2.2+1*1.5*2.2+2*0.9*2.2+5*0.75*2.2+1*0.45*2.2+3*0.6*2.2+1*3*2.2+3*1.6*2.2+2*1.3*2.2+4*1.8*2.2+1*1.2*2.2)-(6*1.8*1.3+10*0.9*1.3+1*1.8*1.6+3*1.2*1.9+8*1.2*1.15+1*1.2*1.2+6*1.5*1.3+3*1.5*1.15+1*2.4*1.3+1*3*1.6+3*1.8*1.9+1*0.75*1.3+1*1.45*1.9+12*0.9*0.6+4*0.75*0.6+1*0.6*0.6+1*1.2*0.6)</f>
        <v>1924.8360526315782</v>
      </c>
      <c r="D235" s="583" t="inlineStr">
        <is>
          <t>m2</t>
        </is>
      </c>
      <c r="E235" s="584">
        <f>RATES!$D$61</f>
        <v>45.0</v>
      </c>
      <c r="F235" s="571">
        <f>C235*E235</f>
        <v>86617.62236842103</v>
      </c>
      <c r="G235" s="585" t="inlineStr">
        <is>
          <t>(2*(447.7+49.2)+2*67.8-16.8-224.2)*3.05-56.0/3.8*8.0*3.05-2*(7*1*2.2+15*0.9*2.2+20*0.75*2.2+1*0.7*2.2+3*1.2*2.2+3*1*2.2+3*1*2.2+1*0.9*2.2+1*1.5*2.2+2*0.9*2.2+5*0.75*2.2+1*0.45*2.2+3*0.6*2.2+1*3*2.2+3*1.6*2.2+2*1.3*2.2+4*1.8*2.2+1*1.2*2.2)-(6*1.8*1...</t>
        </is>
      </c>
    </row>
    <row r="236"/>
    <row r="237" ht="24" customHeight="1" s="12">
      <c r="A237" s="567" t="inlineStr">
        <is>
          <t>B</t>
        </is>
      </c>
      <c r="B237" s="581" t="inlineStr">
        <is>
          <t>Interior partitions and washrooms (above wall tiling)</t>
        </is>
      </c>
      <c r="C237" s="582">
        <f>(56.0/3.8*8.0*3.05-56.0/3.8*0.75*2.2)-(56.0/3.8*8.0*2.4-56.0/3.8*0.75*2.2)</f>
        <v>76.63157894736838</v>
      </c>
      <c r="D237" s="583" t="inlineStr">
        <is>
          <t>m2</t>
        </is>
      </c>
      <c r="E237" s="584">
        <f>RATES!$D$61</f>
        <v>45.0</v>
      </c>
      <c r="F237" s="571">
        <f>C237*E237</f>
        <v>3448.4210526315774</v>
      </c>
      <c r="G237" s="585" t="inlineStr">
        <is>
          <t>(56.0/3.8*8.0*3.05-56.0/3.8*0.75*2.2)-(56.0/3.8*8.0*2.4-56.0/3.8*0.75*2.2)</t>
        </is>
      </c>
    </row>
    <row r="238"/>
    <row r="239" ht="24" customHeight="1" s="12">
      <c r="A239" s="567" t="inlineStr">
        <is>
          <t>C</t>
        </is>
      </c>
      <c r="B239" s="581" t="inlineStr">
        <is>
          <t>Exterior walls</t>
        </is>
      </c>
      <c r="C239" s="582">
        <f>224.2*3.3-(6*1.8*1.3+10*0.9*1.3+1*1.8*1.6+3*1.2*1.9+8*1.2*1.15+1*1.2*1.2+6*1.5*1.3+3*1.5*1.15+1*2.4*1.3+1*3*1.6+3*1.8*1.9+1*0.75*1.3+1*1.45*1.9+12*0.9*0.6+4*0.75*0.6+1*0.6*0.6+1*1.2*0.6)</f>
        <v>643.7749999999999</v>
      </c>
      <c r="D239" s="583" t="inlineStr">
        <is>
          <t>m2</t>
        </is>
      </c>
      <c r="E239" s="584">
        <f>RATES!$D$62</f>
        <v>62.0</v>
      </c>
      <c r="F239" s="571">
        <f>C239*E239</f>
        <v>39914.04999999999</v>
      </c>
      <c r="G239" s="585" t="inlineStr">
        <is>
          <t>224.2*3.3-(6*1.8*1.3+10*0.9*1.3+1*1.8*1.6+3*1.2*1.9+8*1.2*1.15+1*1.2*1.2+6*1.5*1.3+3*1.5*1.15+1*2.4*1.3+1*3*1.6+3*1.8*1.9+1*0.75*1.3+1*1.45*1.9+12*0.9*0.6+4*0.75*0.6+1*0.6*0.6+1*1.2*0.6)</t>
        </is>
      </c>
    </row>
    <row r="240"/>
    <row r="241" ht="24" customHeight="1" s="12">
      <c r="A241" s="567" t="inlineStr">
        <is>
          <t>D</t>
        </is>
      </c>
      <c r="B241" s="581" t="inlineStr">
        <is>
          <t>Soffit of plaster board ceilings</t>
        </is>
      </c>
      <c r="C241" s="582">
        <f>794.7</f>
        <v>794.7</v>
      </c>
      <c r="D241" s="583" t="inlineStr">
        <is>
          <t>m2</t>
        </is>
      </c>
      <c r="E241" s="584">
        <f>RATES!$D$63</f>
        <v>48.0</v>
      </c>
      <c r="F241" s="571">
        <f>C241*E241</f>
        <v>38145.600000000006</v>
      </c>
      <c r="G241" s="585" t="inlineStr">
        <is>
          <t>794.7</t>
        </is>
      </c>
    </row>
    <row r="242"/>
    <row r="243" ht="24" customHeight="1" s="12">
      <c r="A243" s="567" t="inlineStr">
        <is>
          <t>E</t>
        </is>
      </c>
      <c r="B243" s="581" t="inlineStr">
        <is>
          <t>Soffit of plaster board ceilings for washrooms</t>
        </is>
      </c>
      <c r="C243" s="582">
        <f>56.0</f>
        <v>56.0</v>
      </c>
      <c r="D243" s="583" t="inlineStr">
        <is>
          <t>m2</t>
        </is>
      </c>
      <c r="E243" s="584">
        <f>RATES!$D$63</f>
        <v>48.0</v>
      </c>
      <c r="F243" s="571">
        <f>C243*E243</f>
        <v>2688.0</v>
      </c>
      <c r="G243" s="585" t="inlineStr">
        <is>
          <t>56.0</t>
        </is>
      </c>
    </row>
    <row r="244"/>
    <row r="245" ht="48" customHeight="1" s="12">
      <c r="A245" s="567" t="inlineStr">
        <is>
          <t>F</t>
        </is>
      </c>
      <c r="B245" s="581" t="inlineStr">
        <is>
          <t>Knot, prime, stop and apply two undercoats and one finishing coat of gloss oil paint on general surfaces of woodwork</t>
        </is>
      </c>
      <c r="C245" s="582">
        <f>15*0.9*2.2*2+20*0.75*2.2*2+1*1.5*2.2*2+(15*(2*2.2+0.9)+20*(2*2.2+0.75)+1*(2*2.2+1.5))*0.25</f>
        <v>179.1</v>
      </c>
      <c r="D245" s="583" t="inlineStr">
        <is>
          <t>m2</t>
        </is>
      </c>
      <c r="E245" s="584">
        <f>RATES!$D$64</f>
        <v>72.0</v>
      </c>
      <c r="F245" s="571">
        <f>C245*E245</f>
        <v>12895.199999999999</v>
      </c>
      <c r="G245" s="585" t="inlineStr">
        <is>
          <t>15*0.9*2.2*2+20*0.75*2.2*2+1*1.5*2.2*2+(15*(2*2.2+0.9)+20*(2*2.2+0.75)+1*(2*2.2+1.5))*0.25</t>
        </is>
      </c>
    </row>
    <row r="246"/>
    <row r="247" ht="48" customHeight="1" s="12">
      <c r="A247" s="567" t="inlineStr">
        <is>
          <t>G</t>
        </is>
      </c>
      <c r="B247" s="581" t="inlineStr">
        <is>
          <t>Prepare and apply one coat of aluminium primer on mild steel burglar-proof bars (measured over window opening area)</t>
        </is>
      </c>
      <c r="C247" s="582">
        <f>6*1.8*1.3+10*0.9*1.3+1*1.8*1.6+3*1.2*1.9+8*1.2*1.15+1*1.2*1.2+6*1.5*1.3+3*1.5*1.15+1*2.4*1.3+1*3*1.6+3*1.8*1.9+1*0.75*1.3+1*1.45*1.9+12*0.9*0.6+4*0.75*0.6+1*0.6*0.6+1*1.2*0.6</f>
        <v>96.085</v>
      </c>
      <c r="D247" s="583" t="inlineStr">
        <is>
          <t>m2</t>
        </is>
      </c>
      <c r="E247" s="584">
        <f>RATES!$D$65</f>
        <v>40.0</v>
      </c>
      <c r="F247" s="571">
        <f>C247*E247</f>
        <v>3843.3999999999996</v>
      </c>
      <c r="G247" s="585" t="inlineStr">
        <is>
          <t>6*1.8*1.3+10*0.9*1.3+1*1.8*1.6+3*1.2*1.9+8*1.2*1.15+1*1.2*1.2+6*1.5*1.3+3*1.5*1.15+1*2.4*1.3+1*3*1.6+3*1.8*1.9+1*0.75*1.3+1*1.45*1.9+12*0.9*0.6+4*0.75*0.6+1*0.6*0.6+1*1.2*0.6</t>
        </is>
      </c>
    </row>
    <row r="248"/>
    <row r="249">
      <c r="A249" s="572" t="n"/>
      <c r="B249" s="586" t="str">
        <f>B232</f>
        <v>ELEMENT NO. 7: PAINTING AND DECORATING</v>
      </c>
      <c r="C249" s="574" t="n"/>
      <c r="D249" s="574" t="n"/>
      <c r="E249" s="587" t="n"/>
      <c r="F249" s="576">
        <f>SUM(F234:F248)</f>
        <v>187552.2934210526</v>
      </c>
    </row>
    <row r="250">
      <c r="B250" s="559" t="inlineStr">
        <is>
          <t>Carried to Bill Summary</t>
        </is>
      </c>
    </row>
    <row r="251"/>
    <row r="252"/>
    <row r="253">
      <c r="B253"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G253"/>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SIXTH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F90</f>
        <v>3315382.110875</v>
      </c>
    </row>
    <row r="14"/>
    <row r="15">
      <c r="A15" s="567" t="inlineStr">
        <is>
          <t>B</t>
        </is>
      </c>
      <c r="B15" s="568" t="inlineStr">
        <is>
          <t>ELEMENT NO. 2: MASONRY</t>
        </is>
      </c>
      <c r="C15" s="569" t="n"/>
      <c r="D15" s="569" t="n"/>
      <c r="E15" s="570" t="n"/>
      <c r="F15" s="571">
        <f>F101</f>
        <v>394834.25599999994</v>
      </c>
    </row>
    <row r="16"/>
    <row r="17">
      <c r="A17" s="567" t="inlineStr">
        <is>
          <t>C</t>
        </is>
      </c>
      <c r="B17" s="568" t="inlineStr">
        <is>
          <t>ELEMENT NO. 4: WINDOWS/DOORS</t>
        </is>
      </c>
      <c r="C17" s="569" t="n"/>
      <c r="D17" s="569" t="n"/>
      <c r="E17" s="570" t="n"/>
      <c r="F17" s="571">
        <f>F190</f>
        <v>608377.15</v>
      </c>
    </row>
    <row r="18"/>
    <row r="19">
      <c r="A19" s="567" t="inlineStr">
        <is>
          <t>D</t>
        </is>
      </c>
      <c r="B19" s="568" t="inlineStr">
        <is>
          <t>ELEMENT NO. 5: FLOOR FINISHES</t>
        </is>
      </c>
      <c r="C19" s="569" t="n"/>
      <c r="D19" s="569" t="n"/>
      <c r="E19" s="570" t="n"/>
      <c r="F19" s="571">
        <f>F211</f>
        <v>349083.24</v>
      </c>
    </row>
    <row r="20"/>
    <row r="21">
      <c r="A21" s="567" t="inlineStr">
        <is>
          <t>E</t>
        </is>
      </c>
      <c r="B21" s="568" t="inlineStr">
        <is>
          <t>ELEMENT NO. 6: WALL FINISHES</t>
        </is>
      </c>
      <c r="C21" s="569" t="n"/>
      <c r="D21" s="569" t="n"/>
      <c r="E21" s="570" t="n"/>
      <c r="F21" s="571">
        <f>F228</f>
        <v>321670.3794736842</v>
      </c>
    </row>
    <row r="22"/>
    <row r="23">
      <c r="A23" s="567" t="inlineStr">
        <is>
          <t>F</t>
        </is>
      </c>
      <c r="B23" s="568" t="inlineStr">
        <is>
          <t>ELEMENT NO. 7: PAINTING AND DECORATING</t>
        </is>
      </c>
      <c r="C23" s="569" t="n"/>
      <c r="D23" s="569" t="n"/>
      <c r="E23" s="570" t="n"/>
      <c r="F23" s="571">
        <f>F249</f>
        <v>190908.57894736843</v>
      </c>
    </row>
    <row r="24"/>
    <row r="25">
      <c r="A25" s="572" t="n"/>
      <c r="B25" s="573" t="str">
        <f>B9</f>
        <v> SIXTH FLOOR</v>
      </c>
      <c r="C25" s="574" t="n"/>
      <c r="D25" s="574" t="n"/>
      <c r="E25" s="575" t="inlineStr">
        <is>
          <t>GHC</t>
        </is>
      </c>
      <c r="F25" s="576">
        <f>SUM(F13:F24)</f>
        <v>5180255.715296052</v>
      </c>
    </row>
    <row r="26">
      <c r="B26" s="559" t="inlineStr">
        <is>
          <t>To Bill General Summary</t>
        </is>
      </c>
    </row>
    <row r="27"/>
    <row r="28"/>
    <row r="29">
      <c r="B29" s="565" t="inlineStr">
        <is>
          <t>BILL NR. 9 - SIXTH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1134.6*0.25</f>
        <v>283.65</v>
      </c>
      <c r="D34" s="583" t="inlineStr">
        <is>
          <t>m3</t>
        </is>
      </c>
      <c r="E34" s="584">
        <f>RATES!$D$22</f>
        <v>2650.0</v>
      </c>
      <c r="F34" s="571">
        <f>C34*E34</f>
        <v>751672.4999999999</v>
      </c>
      <c r="G34" s="585" t="inlineStr">
        <is>
          <t>1134.6*0.25</t>
        </is>
      </c>
    </row>
    <row r="35"/>
    <row r="36" ht="24" customHeight="1" s="12">
      <c r="A36" s="567" t="inlineStr">
        <is>
          <t>B</t>
        </is>
      </c>
      <c r="B36" s="581" t="inlineStr">
        <is>
          <t>Beams (downstands below slab)</t>
        </is>
      </c>
      <c r="C36" s="582">
        <f>166.8*0.3*0.35+33.1*0.2*0.35</f>
        <v>19.831</v>
      </c>
      <c r="D36" s="583" t="inlineStr">
        <is>
          <t>m3</t>
        </is>
      </c>
      <c r="E36" s="584">
        <f>RATES!$D$23</f>
        <v>2700.0</v>
      </c>
      <c r="F36" s="571">
        <f>C36*E36</f>
        <v>53543.7</v>
      </c>
      <c r="G36" s="585" t="inlineStr">
        <is>
          <t>166.8*0.3*0.35+33.1*0.2*0.35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(8*(1+0.3)+15*(0.9+0.3)+21*(0.75+0.3)+1*(0.7+0.3)+3*(1.2+0.3)+3*(1+0.3)+3*(1+0.3)+1*(0.9+0.3)+1*(1.5+0.3)+2*(0.9+0.3)+5*(0.75+0.3)+1*(0.45+0.3)+3*(0.6+0.3)+1*(3+0.3)+4*(1.6+0.3)+2*(1.3+0.3)+4*(1.8+0.3)+1*(1.2+0.3)+6*(1.8+0.3)+10*(0.9+0.3)+2*(1.8+0.3)+3*(1.2+0.3)+8*(1.2+0.3)+1*(1.2+0.3)+6*(1.5+0.3)+4*(1.5+0.3)+1*(2.4+0.3)+1*(3+0.3)+3*(1.8+0.3)+1*(0.75+0.3)+1*(1.45+0.3)+13*(0.9+0.3)+5*(0.75+0.3)+2*(0.6+0.3)+2*(1.2+0.3))*0.15*0.225</f>
        <v>6.999750000000001</v>
      </c>
      <c r="D46" s="583" t="inlineStr">
        <is>
          <t>m3</t>
        </is>
      </c>
      <c r="E46" s="584">
        <f>RATES!$D$25</f>
        <v>2600.0</v>
      </c>
      <c r="F46" s="571">
        <f>C46*E46</f>
        <v>18199.350000000002</v>
      </c>
      <c r="G46" s="585" t="inlineStr">
        <is>
          <t>(8*(1+0.3)+15*(0.9+0.3)+21*(0.75+0.3)+1*(0.7+0.3)+3*(1.2+0.3)+3*(1+0.3)+3*(1+0.3)+1*(0.9+0.3)+1*(1.5+0.3)+2*(0.9+0.3)+5*(0.75+0.3)+1*(0.45+0.3)+3*(0.6+0.3)+1*(3+0.3)+4*(1.6+0.3)+2*(1.3+0.3)+4*(1.8+0.3)+1*(1.2+0.3)+6*(1.8+0.3)+10*(0.9+0.3)+2*(1.8+0...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1134.6</f>
        <v>1134.6</v>
      </c>
      <c r="D49" s="583" t="inlineStr">
        <is>
          <t>m2</t>
        </is>
      </c>
      <c r="E49" s="584">
        <f>RATES!$D$38</f>
        <v>170.0</v>
      </c>
      <c r="F49" s="571">
        <f>C49*E49</f>
        <v>192881.99999999997</v>
      </c>
      <c r="G49" s="585" t="inlineStr">
        <is>
          <t>1134.6</t>
        </is>
      </c>
    </row>
    <row r="50"/>
    <row r="51" ht="24" customHeight="1" s="12">
      <c r="A51" s="567" t="inlineStr">
        <is>
          <t>J</t>
        </is>
      </c>
      <c r="B51" s="581" t="inlineStr">
        <is>
          <t>Edges of suspended slab 250mm high</t>
        </is>
      </c>
      <c r="C51" s="582">
        <f>294.6</f>
        <v>294.6</v>
      </c>
      <c r="D51" s="583" t="inlineStr">
        <is>
          <t>m</t>
        </is>
      </c>
      <c r="E51" s="584">
        <f>RATES!$D$40</f>
        <v>65.0</v>
      </c>
      <c r="F51" s="571">
        <f>C51*E51</f>
        <v>19149.0</v>
      </c>
      <c r="G51" s="585" t="inlineStr">
        <is>
          <t>294.6</t>
        </is>
      </c>
    </row>
    <row r="52"/>
    <row r="53" ht="24" customHeight="1" s="12">
      <c r="A53" s="567" t="inlineStr">
        <is>
          <t>K</t>
        </is>
      </c>
      <c r="B53" s="581" t="inlineStr">
        <is>
          <t>Sides and soffits of beams</t>
        </is>
      </c>
      <c r="C53" s="582">
        <f>166.8*(2*0.35+0.3)+33.1*(2*0.35+0.2)</f>
        <v>196.59</v>
      </c>
      <c r="D53" s="583" t="inlineStr">
        <is>
          <t>m2</t>
        </is>
      </c>
      <c r="E53" s="584">
        <f>RATES!$D$39</f>
        <v>200.0</v>
      </c>
      <c r="F53" s="571">
        <f>C53*E53</f>
        <v>39318.0</v>
      </c>
      <c r="G53" s="585" t="inlineStr">
        <is>
          <t>166.8*(2*0.35+0.3)+33.1*(2*0.35+0.2)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(8*(1+0.3)+15*(0.9+0.3)+21*(0.75+0.3)+1*(0.7+0.3)+3*(1.2+0.3)+3*(1+0.3)+3*(1+0.3)+1*(0.9+0.3)+1*(1.5+0.3)+2*(0.9+0.3)+5*(0.75+0.3)+1*(0.45+0.3)+3*(0.6+0.3)+1*(3+0.3)+4*(1.6+0.3)+2*(1.3+0.3)+4*(1.8+0.3)+1*(1.2+0.3)+6*(1.8+0.3)+10*(0.9+0.3)+2*(1.8+0.3)+3*(1.2+0.3)+8*(1.2+0.3)+1*(1.2+0.3)+6*(1.5+0.3)+4*(1.5+0.3)+1*(2.4+0.3)+1*(3+0.3)+3*(1.8+0.3)+1*(0.75+0.3)+1*(1.45+0.3)+13*(0.9+0.3)+5*(0.75+0.3)+2*(0.6+0.3)+2*(1.2+0.3))*(2*0.225+0.15)</f>
        <v>124.44000000000001</v>
      </c>
      <c r="D61" s="583" t="inlineStr">
        <is>
          <t>m2</t>
        </is>
      </c>
      <c r="E61" s="584">
        <f>RATES!$D$43</f>
        <v>180.0</v>
      </c>
      <c r="F61" s="571">
        <f>C61*E61</f>
        <v>22399.2</v>
      </c>
      <c r="G61" s="585" t="inlineStr">
        <is>
          <t>(8*(1+0.3)+15*(0.9+0.3)+21*(0.75+0.3)+1*(0.7+0.3)+3*(1.2+0.3)+3*(1+0.3)+3*(1+0.3)+1*(0.9+0.3)+1*(1.5+0.3)+2*(0.9+0.3)+5*(0.75+0.3)+1*(0.45+0.3)+3*(0.6+0.3)+1*(3+0.3)+4*(1.6+0.3)+2*(1.3+0.3)+4*(1.8+0.3)+1*(1.2+0.3)+6*(1.8+0.3)+10*(0.9+0.3)+2*(1.8+0...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4.551</f>
        <v>4.551</v>
      </c>
      <c r="D64" s="583" t="inlineStr">
        <is>
          <t>t</t>
        </is>
      </c>
      <c r="E64" s="584">
        <f>RATES!$D$29</f>
        <v>20500.0</v>
      </c>
      <c r="F64" s="571">
        <f>C64*E64</f>
        <v>93295.5</v>
      </c>
      <c r="G64" s="585" t="inlineStr">
        <is>
          <t>4.551</t>
        </is>
      </c>
    </row>
    <row r="65"/>
    <row r="66" ht="24" customHeight="1" s="12">
      <c r="A66" s="567" t="inlineStr">
        <is>
          <t>R</t>
        </is>
      </c>
      <c r="B66" s="581" t="inlineStr">
        <is>
          <t>20mm diameter in columns</t>
        </is>
      </c>
      <c r="C66" s="582">
        <f>7.133</f>
        <v>7.133</v>
      </c>
      <c r="D66" s="583" t="inlineStr">
        <is>
          <t>t</t>
        </is>
      </c>
      <c r="E66" s="584">
        <f>RATES!$D$32</f>
        <v>19000.0</v>
      </c>
      <c r="F66" s="571">
        <f>C66*E66</f>
        <v>135527.0</v>
      </c>
      <c r="G66" s="585" t="inlineStr">
        <is>
          <t>7.133</t>
        </is>
      </c>
    </row>
    <row r="67"/>
    <row r="68" ht="24" customHeight="1" s="12">
      <c r="A68" s="567" t="inlineStr">
        <is>
          <t>S</t>
        </is>
      </c>
      <c r="B68" s="581" t="inlineStr">
        <is>
          <t>10mm diameter in beams (links)</t>
        </is>
      </c>
      <c r="C68" s="582">
        <f>1.806</f>
        <v>1.806</v>
      </c>
      <c r="D68" s="583" t="inlineStr">
        <is>
          <t>t</t>
        </is>
      </c>
      <c r="E68" s="584">
        <f>RATES!$D$29</f>
        <v>20500.0</v>
      </c>
      <c r="F68" s="571">
        <f>C68*E68</f>
        <v>37023.0</v>
      </c>
      <c r="G68" s="585" t="inlineStr">
        <is>
          <t>1.806</t>
        </is>
      </c>
    </row>
    <row r="69"/>
    <row r="70" ht="24" customHeight="1" s="12">
      <c r="A70" s="567" t="inlineStr">
        <is>
          <t>T</t>
        </is>
      </c>
      <c r="B70" s="581" t="inlineStr">
        <is>
          <t>16mm diameter in beams</t>
        </is>
      </c>
      <c r="C70" s="582">
        <f>1.248</f>
        <v>1.248</v>
      </c>
      <c r="D70" s="583" t="inlineStr">
        <is>
          <t>t</t>
        </is>
      </c>
      <c r="E70" s="584">
        <f>RATES!$D$31</f>
        <v>19500.0</v>
      </c>
      <c r="F70" s="571">
        <f>C70*E70</f>
        <v>24336.0</v>
      </c>
      <c r="G70" s="585" t="inlineStr">
        <is>
          <t>1.248</t>
        </is>
      </c>
    </row>
    <row r="71"/>
    <row r="72" ht="24" customHeight="1" s="12">
      <c r="A72" s="567" t="inlineStr">
        <is>
          <t>U</t>
        </is>
      </c>
      <c r="B72" s="581" t="inlineStr">
        <is>
          <t>20mm diameter in beams</t>
        </is>
      </c>
      <c r="C72" s="582">
        <f>2.135</f>
        <v>2.135</v>
      </c>
      <c r="D72" s="583" t="inlineStr">
        <is>
          <t>t</t>
        </is>
      </c>
      <c r="E72" s="584">
        <f>RATES!$D$32</f>
        <v>19000.0</v>
      </c>
      <c r="F72" s="571">
        <f>C72*E72</f>
        <v>40564.99999999999</v>
      </c>
      <c r="G72" s="585" t="inlineStr">
        <is>
          <t>2.135</t>
        </is>
      </c>
    </row>
    <row r="73"/>
    <row r="74" ht="24" customHeight="1" s="12">
      <c r="A74" s="567" t="inlineStr">
        <is>
          <t>V</t>
        </is>
      </c>
      <c r="B74" s="581" t="inlineStr">
        <is>
          <t>25mm diameter in beams</t>
        </is>
      </c>
      <c r="C74" s="582">
        <f>5.507</f>
        <v>5.507</v>
      </c>
      <c r="D74" s="583" t="inlineStr">
        <is>
          <t>t</t>
        </is>
      </c>
      <c r="E74" s="584">
        <f>RATES!$D$33</f>
        <v>19000.0</v>
      </c>
      <c r="F74" s="571">
        <f>C74*E74</f>
        <v>104633.0</v>
      </c>
      <c r="G74" s="585" t="inlineStr">
        <is>
          <t>5.507</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20mm diameter in shear &amp; lift walls</t>
        </is>
      </c>
      <c r="C80" s="582">
        <f>6.904+3.320</f>
        <v>10.224</v>
      </c>
      <c r="D80" s="583" t="inlineStr">
        <is>
          <t>t</t>
        </is>
      </c>
      <c r="E80" s="584">
        <f>RATES!$D$32</f>
        <v>19000.0</v>
      </c>
      <c r="F80" s="571">
        <f>C80*E80</f>
        <v>194256.0</v>
      </c>
      <c r="G80" s="585" t="inlineStr">
        <is>
          <t>6.904+3.320</t>
        </is>
      </c>
    </row>
    <row r="81"/>
    <row r="82" ht="24" customHeight="1" s="12">
      <c r="A82" s="567" t="inlineStr">
        <is>
          <t>Z</t>
        </is>
      </c>
      <c r="B82" s="581" t="inlineStr">
        <is>
          <t>12mm diameter in stairs</t>
        </is>
      </c>
      <c r="C82" s="582">
        <f>0.880</f>
        <v>0.88</v>
      </c>
      <c r="D82" s="583" t="inlineStr">
        <is>
          <t>t</t>
        </is>
      </c>
      <c r="E82" s="584">
        <f>RATES!$D$30</f>
        <v>20000.0</v>
      </c>
      <c r="F82" s="571">
        <f>C82*E82</f>
        <v>17600.0</v>
      </c>
      <c r="G82" s="585" t="inlineStr">
        <is>
          <t>0.880</t>
        </is>
      </c>
    </row>
    <row r="83"/>
    <row r="84" ht="24" customHeight="1" s="12">
      <c r="A84" s="567" t="inlineStr">
        <is>
          <t>A</t>
        </is>
      </c>
      <c r="B84" s="581" t="inlineStr">
        <is>
          <t>16mm diameter in stairs</t>
        </is>
      </c>
      <c r="C84" s="582">
        <f>1.434</f>
        <v>1.434</v>
      </c>
      <c r="D84" s="583" t="inlineStr">
        <is>
          <t>t</t>
        </is>
      </c>
      <c r="E84" s="584">
        <f>RATES!$D$31</f>
        <v>19500.0</v>
      </c>
      <c r="F84" s="571">
        <f>C84*E84</f>
        <v>27963.0</v>
      </c>
      <c r="G84" s="585" t="inlineStr">
        <is>
          <t>1.434</t>
        </is>
      </c>
    </row>
    <row r="85"/>
    <row r="86" ht="24" customHeight="1" s="12">
      <c r="A86" s="567" t="inlineStr">
        <is>
          <t>B</t>
        </is>
      </c>
      <c r="B86" s="581" t="inlineStr">
        <is>
          <t>12mm diameter for suspended slab</t>
        </is>
      </c>
      <c r="C86" s="582">
        <f>49.804</f>
        <v>49.804</v>
      </c>
      <c r="D86" s="583" t="inlineStr">
        <is>
          <t>t</t>
        </is>
      </c>
      <c r="E86" s="584">
        <f>RATES!$D$30</f>
        <v>20000.0</v>
      </c>
      <c r="F86" s="571">
        <f>C86*E86</f>
        <v>996080.0</v>
      </c>
      <c r="G86" s="585" t="inlineStr">
        <is>
          <t>49.804</t>
        </is>
      </c>
    </row>
    <row r="87"/>
    <row r="88" ht="24" customHeight="1" s="12">
      <c r="A88" s="567" t="inlineStr">
        <is>
          <t>C</t>
        </is>
      </c>
      <c r="B88" s="581" t="inlineStr">
        <is>
          <t>16mm diameter for suspended slab</t>
        </is>
      </c>
      <c r="C88" s="582">
        <f>0.151</f>
        <v>0.151</v>
      </c>
      <c r="D88" s="583" t="inlineStr">
        <is>
          <t>t</t>
        </is>
      </c>
      <c r="E88" s="584">
        <f>RATES!$D$31</f>
        <v>19500.0</v>
      </c>
      <c r="F88" s="571">
        <f>C88*E88</f>
        <v>2944.5</v>
      </c>
      <c r="G88" s="585" t="inlineStr">
        <is>
          <t>0.151</t>
        </is>
      </c>
    </row>
    <row r="89"/>
    <row r="90">
      <c r="A90" s="572" t="n"/>
      <c r="B90" s="586" t="str">
        <f>B31</f>
        <v>ELEMENT NO. 1: IN SITU CONCRETE/LARGE PRECAST CONCRETE</v>
      </c>
      <c r="C90" s="574" t="n"/>
      <c r="D90" s="574" t="n"/>
      <c r="E90" s="587" t="n"/>
      <c r="F90" s="576">
        <f>SUM(F33:F89)</f>
        <v>3315382.110875</v>
      </c>
    </row>
    <row r="91">
      <c r="B91" s="559" t="inlineStr">
        <is>
          <t>Carried to Bill Summary</t>
        </is>
      </c>
    </row>
    <row r="92"/>
    <row r="93"/>
    <row r="94">
      <c r="A94" s="577" t="n"/>
      <c r="B94" s="578" t="inlineStr">
        <is>
          <t>ELEMENT NO. 2: MASONRY</t>
        </is>
      </c>
      <c r="C94" s="569" t="n"/>
      <c r="D94" s="569" t="n"/>
      <c r="E94" s="570" t="n"/>
      <c r="F94" s="579" t="n"/>
    </row>
    <row r="95"/>
    <row r="96" ht="24" customHeight="1" s="12">
      <c r="A96" s="577" t="n"/>
      <c r="B96" s="580" t="inlineStr">
        <is>
          <t>F10 BRICK/BLOCK WALL - Solid sandcrete blockwork in cement and sand (1:4) mortar as described in:</t>
        </is>
      </c>
      <c r="C96" s="569" t="n"/>
      <c r="D96" s="569" t="n"/>
      <c r="E96" s="570" t="n"/>
      <c r="F96" s="579" t="n"/>
    </row>
    <row r="97" ht="24" customHeight="1" s="12">
      <c r="A97" s="567" t="inlineStr">
        <is>
          <t>A</t>
        </is>
      </c>
      <c r="B97" s="581" t="inlineStr">
        <is>
          <t>150mm thick wall</t>
        </is>
      </c>
      <c r="C97" s="582">
        <f>465.9*3.05+(8*1*(3.05-2.2)+15*0.9*(3.05-2.2)+21*0.75*(3.05-2.2)+1*0.7*(3.05-2.2)+3*1.2*(3.05-2.2)+3*1*(3.05-2.2)+3*1*(3.05-2.2)+1*0.9*(3.05-2.2)+1*1.5*(3.05-2.2)+2*0.9*(3.05-2.2)+5*0.75*(3.05-2.2)+1*0.45*(3.05-2.2)+3*0.6*(3.05-2.2)+1*3*(3.05-2.2)+4*1.6*(3.05-2.2)+2*1.3*(3.05-2.2)+4*1.8*(3.05-2.2)+1*1.2*(3.05-2.2)+6*1.8*(3.05-1.3)+10*0.9*(3.05-1.3)+2*1.8*(3.05-1.6)+3*1.2*(3.05-1.9)+8*1.2*(3.05-1.15)+1*1.2*(3.05-1.2)+6*1.5*(3.05-1.3)+4*1.5*(3.05-1.15)+1*2.4*(3.05-1.3)+1*3*(3.05-1.6)+3*1.8*(3.05-1.9)+1*0.75*(3.05-1.3)+1*1.45*(3.05-1.9)+13*0.9*(3.05-0.6)+5*0.75*(3.05-0.6)+2*0.6*(3.05-0.6)+2*1.2*(3.05-0.6))*0.903</f>
        <v>1621.8763799999997</v>
      </c>
      <c r="D97" s="583" t="inlineStr">
        <is>
          <t>m2</t>
        </is>
      </c>
      <c r="E97" s="584">
        <f>RATES!$D$46</f>
        <v>215.0</v>
      </c>
      <c r="F97" s="571">
        <f>C97*E97</f>
        <v>348703.42169999995</v>
      </c>
      <c r="G97" s="585" t="inlineStr">
        <is>
          <t>465.9*3.05+(8*1*(3.05-2.2)+15*0.9*(3.05-2.2)+21*0.75*(3.05-2.2)+1*0.7*(3.05-2.2)+3*1.2*(3.05-2.2)+3*1*(3.05-2.2)+3*1*(3.05-2.2)+1*0.9*(3.05-2.2)+1*1.5*(3.05-2.2)+2*0.9*(3.05-2.2)+5*0.75*(3.05-2.2)+1*0.45*(3.05-2.2)+3*0.6*(3.05-2.2)+1*3*(3.05-2.2)+...</t>
        </is>
      </c>
    </row>
    <row r="98"/>
    <row r="99" ht="24" customHeight="1" s="12">
      <c r="A99" s="567" t="inlineStr">
        <is>
          <t>B</t>
        </is>
      </c>
      <c r="B99" s="581" t="inlineStr">
        <is>
          <t>200mm thick wall</t>
        </is>
      </c>
      <c r="C99" s="582">
        <f>50.0*3.05+(8*1*(3.05-2.2)+15*0.9*(3.05-2.2)+21*0.75*(3.05-2.2)+1*0.7*(3.05-2.2)+3*1.2*(3.05-2.2)+3*1*(3.05-2.2)+3*1*(3.05-2.2)+1*0.9*(3.05-2.2)+1*1.5*(3.05-2.2)+2*0.9*(3.05-2.2)+5*0.75*(3.05-2.2)+1*0.45*(3.05-2.2)+3*0.6*(3.05-2.2)+1*3*(3.05-2.2)+4*1.6*(3.05-2.2)+2*1.3*(3.05-2.2)+4*1.8*(3.05-2.2)+1*1.2*(3.05-2.2)+6*1.8*(3.05-1.3)+10*0.9*(3.05-1.3)+2*1.8*(3.05-1.6)+3*1.2*(3.05-1.9)+8*1.2*(3.05-1.15)+1*1.2*(3.05-1.2)+6*1.5*(3.05-1.3)+4*1.5*(3.05-1.15)+1*2.4*(3.05-1.3)+1*3*(3.05-1.6)+3*1.8*(3.05-1.9)+1*0.75*(3.05-1.3)+1*1.45*(3.05-1.9)+13*0.9*(3.05-0.6)+5*0.75*(3.05-0.6)+2*0.6*(3.05-0.6)+2*1.2*(3.05-0.6))*0.097</f>
        <v>174.07862</v>
      </c>
      <c r="D99" s="583" t="inlineStr">
        <is>
          <t>m2</t>
        </is>
      </c>
      <c r="E99" s="584">
        <f>RATES!$D$47</f>
        <v>265.0</v>
      </c>
      <c r="F99" s="571">
        <f>C99*E99</f>
        <v>46130.8343</v>
      </c>
      <c r="G99" s="585" t="inlineStr">
        <is>
          <t>50.0*3.05+(8*1*(3.05-2.2)+15*0.9*(3.05-2.2)+21*0.75*(3.05-2.2)+1*0.7*(3.05-2.2)+3*1.2*(3.05-2.2)+3*1*(3.05-2.2)+3*1*(3.05-2.2)+1*0.9*(3.05-2.2)+1*1.5*(3.05-2.2)+2*0.9*(3.05-2.2)+5*0.75*(3.05-2.2)+1*0.45*(3.05-2.2)+3*0.6*(3.05-2.2)+1*3*(3.05-2.2)+4...</t>
        </is>
      </c>
    </row>
    <row r="100"/>
    <row r="101">
      <c r="A101" s="572" t="n"/>
      <c r="B101" s="586" t="str">
        <f>B94</f>
        <v>ELEMENT NO. 2: MASONRY</v>
      </c>
      <c r="C101" s="574" t="n"/>
      <c r="D101" s="574" t="n"/>
      <c r="E101" s="587" t="n"/>
      <c r="F101" s="576">
        <f>SUM(F96:F100)</f>
        <v>394834.25599999994</v>
      </c>
    </row>
    <row r="102">
      <c r="B102" s="559" t="inlineStr">
        <is>
          <t>Carried to Bill Summary</t>
        </is>
      </c>
    </row>
    <row r="103"/>
    <row r="104"/>
    <row r="105">
      <c r="A105" s="577" t="n"/>
      <c r="B105" s="578" t="inlineStr">
        <is>
          <t>ELEMENT NO. 4: WINDOWS/DOORS</t>
        </is>
      </c>
      <c r="C105" s="569" t="n"/>
      <c r="D105" s="569" t="n"/>
      <c r="E105" s="570" t="n"/>
      <c r="F105" s="579" t="n"/>
    </row>
    <row r="106"/>
    <row r="107" ht="48" customHeight="1" s="12">
      <c r="A107" s="577" t="n"/>
      <c r="B107" s="580" t="inlineStr">
        <is>
          <t>L20 DOORS - Supply and fix the following door assemblies complete with frames, ironmongery sets to steel doors and all accessories:</t>
        </is>
      </c>
      <c r="C107" s="569" t="n"/>
      <c r="D107" s="569" t="n"/>
      <c r="E107" s="570" t="n"/>
      <c r="F107" s="579" t="n"/>
    </row>
    <row r="108" ht="24" customHeight="1" s="12">
      <c r="A108" s="567" t="inlineStr">
        <is>
          <t>A</t>
        </is>
      </c>
      <c r="B108" s="581" t="inlineStr">
        <is>
          <t>1000mm x 2200mm 1-hour fire-rated galvanised steel single-leaf security door assembly (D2)</t>
        </is>
      </c>
      <c r="C108" s="582">
        <f>8</f>
        <v>8.0</v>
      </c>
      <c r="D108" s="583" t="inlineStr">
        <is>
          <t>nr</t>
        </is>
      </c>
      <c r="E108" s="584">
        <f>RATES!$D$75</f>
        <v>7800.0</v>
      </c>
      <c r="F108" s="571">
        <f>C108*E108</f>
        <v>62400.0</v>
      </c>
      <c r="G108" s="585" t="inlineStr">
        <is>
          <t>8</t>
        </is>
      </c>
    </row>
    <row r="109"/>
    <row r="110" ht="24" customHeight="1" s="12">
      <c r="A110" s="567" t="inlineStr">
        <is>
          <t>B</t>
        </is>
      </c>
      <c r="B110" s="581" t="inlineStr">
        <is>
          <t>900mm x 2200mm single leaf timber panel door (D3)</t>
        </is>
      </c>
      <c r="C110" s="582">
        <f>15</f>
        <v>15.0</v>
      </c>
      <c r="D110" s="583" t="inlineStr">
        <is>
          <t>nr</t>
        </is>
      </c>
      <c r="E110" s="584">
        <f>RATES!$D$76</f>
        <v>3400.0</v>
      </c>
      <c r="F110" s="571">
        <f>C110*E110</f>
        <v>51000.0</v>
      </c>
      <c r="G110" s="585" t="inlineStr">
        <is>
          <t>15</t>
        </is>
      </c>
    </row>
    <row r="111"/>
    <row r="112" ht="24" customHeight="1" s="12">
      <c r="A112" s="567" t="inlineStr">
        <is>
          <t>C</t>
        </is>
      </c>
      <c r="B112" s="581" t="inlineStr">
        <is>
          <t>750mm x 2200mm single leaf timber flush door (D6)</t>
        </is>
      </c>
      <c r="C112" s="582">
        <f>21</f>
        <v>21.0</v>
      </c>
      <c r="D112" s="583" t="inlineStr">
        <is>
          <t>nr</t>
        </is>
      </c>
      <c r="E112" s="584">
        <f>RATES!$D$79</f>
        <v>1900.0</v>
      </c>
      <c r="F112" s="571">
        <f>C112*E112</f>
        <v>39900.0</v>
      </c>
      <c r="G112" s="585" t="inlineStr">
        <is>
          <t>21</t>
        </is>
      </c>
    </row>
    <row r="113"/>
    <row r="114" ht="24" customHeight="1" s="12">
      <c r="A114" s="567" t="inlineStr">
        <is>
          <t>D</t>
        </is>
      </c>
      <c r="B114" s="581" t="inlineStr">
        <is>
          <t>700mm x 2200mm single-leaf 2-hour fire-rated galvanised steel door (D7)</t>
        </is>
      </c>
      <c r="C114" s="582">
        <f>1</f>
        <v>1.0</v>
      </c>
      <c r="D114" s="583" t="inlineStr">
        <is>
          <t>nr</t>
        </is>
      </c>
      <c r="E114" s="584">
        <f>RATES!$D$80</f>
        <v>6800.0</v>
      </c>
      <c r="F114" s="571">
        <f>C114*E114</f>
        <v>6800.0</v>
      </c>
      <c r="G114" s="585" t="inlineStr">
        <is>
          <t>1</t>
        </is>
      </c>
    </row>
    <row r="115"/>
    <row r="116" ht="24" customHeight="1" s="12">
      <c r="A116" s="567" t="inlineStr">
        <is>
          <t>E</t>
        </is>
      </c>
      <c r="B116" s="581" t="inlineStr">
        <is>
          <t>1200mm x 2200mm 1-hour fire-rated leaf-and-a-half galvanised steel security door assembly (D8)</t>
        </is>
      </c>
      <c r="C116" s="582">
        <f>3</f>
        <v>3.0</v>
      </c>
      <c r="D116" s="583" t="inlineStr">
        <is>
          <t>nr</t>
        </is>
      </c>
      <c r="E116" s="584">
        <f>RATES!$D$81</f>
        <v>9800.0</v>
      </c>
      <c r="F116" s="571">
        <f>C116*E116</f>
        <v>29400.0</v>
      </c>
      <c r="G116" s="585" t="inlineStr">
        <is>
          <t>3</t>
        </is>
      </c>
    </row>
    <row r="117"/>
    <row r="118" ht="48" customHeight="1" s="12">
      <c r="A118" s="567" t="inlineStr">
        <is>
          <t>F</t>
        </is>
      </c>
      <c r="B118" s="581" t="inlineStr">
        <is>
          <t>1000mm x 2200mm 1-hour fire-rated galvanised steel single-leaf security door assembly - emergency stairs (ED1)</t>
        </is>
      </c>
      <c r="C118" s="582">
        <f>3</f>
        <v>3.0</v>
      </c>
      <c r="D118" s="583" t="inlineStr">
        <is>
          <t>nr</t>
        </is>
      </c>
      <c r="E118" s="584">
        <f>RATES!$D$82</f>
        <v>7200.0</v>
      </c>
      <c r="F118" s="571">
        <f>C118*E118</f>
        <v>21600.0</v>
      </c>
      <c r="G118" s="585" t="inlineStr">
        <is>
          <t>3</t>
        </is>
      </c>
    </row>
    <row r="119"/>
    <row r="120" ht="48" customHeight="1" s="12">
      <c r="A120" s="567" t="inlineStr">
        <is>
          <t>G</t>
        </is>
      </c>
      <c r="B120" s="581" t="inlineStr">
        <is>
          <t>1000mm x 2200mm 1-hour fire-rated galvanised steel single-leaf security door with translucent glass panel (ED2)</t>
        </is>
      </c>
      <c r="C120" s="582">
        <f>3</f>
        <v>3.0</v>
      </c>
      <c r="D120" s="583" t="inlineStr">
        <is>
          <t>nr</t>
        </is>
      </c>
      <c r="E120" s="584">
        <f>RATES!$D$83</f>
        <v>8100.0</v>
      </c>
      <c r="F120" s="571">
        <f>C120*E120</f>
        <v>24300.0</v>
      </c>
      <c r="G120" s="585" t="inlineStr">
        <is>
          <t>3</t>
        </is>
      </c>
    </row>
    <row r="121"/>
    <row r="122" ht="24" customHeight="1" s="12">
      <c r="A122" s="567" t="inlineStr">
        <is>
          <t>H</t>
        </is>
      </c>
      <c r="B122" s="581" t="inlineStr">
        <is>
          <t>900mm x 2200mm 1-hour fire-rated galvanised steel single-leaf security door assembly (D9)</t>
        </is>
      </c>
      <c r="C122" s="582">
        <f>1</f>
        <v>1.0</v>
      </c>
      <c r="D122" s="583" t="inlineStr">
        <is>
          <t>nr</t>
        </is>
      </c>
      <c r="E122" s="584">
        <f>RATES!$D$84</f>
        <v>6900.0</v>
      </c>
      <c r="F122" s="571">
        <f>C122*E122</f>
        <v>6900.0</v>
      </c>
      <c r="G122" s="585" t="inlineStr">
        <is>
          <t>1</t>
        </is>
      </c>
    </row>
    <row r="123"/>
    <row r="124" ht="24" customHeight="1" s="12">
      <c r="A124" s="567" t="inlineStr">
        <is>
          <t>J</t>
        </is>
      </c>
      <c r="B124" s="581" t="inlineStr">
        <is>
          <t>1500mm x 2200mm timber bi-fold door (FD1)</t>
        </is>
      </c>
      <c r="C124" s="582">
        <f>1</f>
        <v>1.0</v>
      </c>
      <c r="D124" s="583" t="inlineStr">
        <is>
          <t>nr</t>
        </is>
      </c>
      <c r="E124" s="584">
        <f>RATES!$D$86</f>
        <v>4600.0</v>
      </c>
      <c r="F124" s="571">
        <f>C124*E124</f>
        <v>4600.0</v>
      </c>
      <c r="G124" s="585" t="inlineStr">
        <is>
          <t>1</t>
        </is>
      </c>
    </row>
    <row r="125"/>
    <row r="126" ht="24" customHeight="1" s="12">
      <c r="A126" s="567" t="inlineStr">
        <is>
          <t>K</t>
        </is>
      </c>
      <c r="B126" s="581" t="inlineStr">
        <is>
          <t>900mm x 2200mm screw-fixed galvanised steel service access panel (M1)</t>
        </is>
      </c>
      <c r="C126" s="582">
        <f>2</f>
        <v>2.0</v>
      </c>
      <c r="D126" s="583" t="inlineStr">
        <is>
          <t>nr</t>
        </is>
      </c>
      <c r="E126" s="584">
        <f>RATES!$D$87</f>
        <v>2900.0</v>
      </c>
      <c r="F126" s="571">
        <f>C126*E126</f>
        <v>5800.0</v>
      </c>
      <c r="G126" s="585" t="inlineStr">
        <is>
          <t>2</t>
        </is>
      </c>
    </row>
    <row r="127"/>
    <row r="128" ht="24" customHeight="1" s="12">
      <c r="A128" s="567" t="inlineStr">
        <is>
          <t>L</t>
        </is>
      </c>
      <c r="B128" s="581" t="inlineStr">
        <is>
          <t>750mm x 2200mm screw-fixed galvanised steel service access panel (M2)</t>
        </is>
      </c>
      <c r="C128" s="582">
        <f>5</f>
        <v>5.0</v>
      </c>
      <c r="D128" s="583" t="inlineStr">
        <is>
          <t>nr</t>
        </is>
      </c>
      <c r="E128" s="584">
        <f>RATES!$D$88</f>
        <v>2600.0</v>
      </c>
      <c r="F128" s="571">
        <f>C128*E128</f>
        <v>13000.0</v>
      </c>
      <c r="G128" s="585" t="inlineStr">
        <is>
          <t>5</t>
        </is>
      </c>
    </row>
    <row r="129"/>
    <row r="130" ht="24" customHeight="1" s="12">
      <c r="A130" s="567" t="inlineStr">
        <is>
          <t>M</t>
        </is>
      </c>
      <c r="B130" s="581" t="inlineStr">
        <is>
          <t>450mm x 2200mm screw-fixed galvanised steel service access panel (M3)</t>
        </is>
      </c>
      <c r="C130" s="582">
        <f>1</f>
        <v>1.0</v>
      </c>
      <c r="D130" s="583" t="inlineStr">
        <is>
          <t>nr</t>
        </is>
      </c>
      <c r="E130" s="584">
        <f>RATES!$D$89</f>
        <v>1900.0</v>
      </c>
      <c r="F130" s="571">
        <f>C130*E130</f>
        <v>1900.0</v>
      </c>
      <c r="G130" s="585" t="inlineStr">
        <is>
          <t>1</t>
        </is>
      </c>
    </row>
    <row r="131"/>
    <row r="132" ht="24" customHeight="1" s="12">
      <c r="A132" s="567" t="inlineStr">
        <is>
          <t>N</t>
        </is>
      </c>
      <c r="B132" s="581" t="inlineStr">
        <is>
          <t>600mm x 2200mm screw-fixed galvanised steel service access panel (M5)</t>
        </is>
      </c>
      <c r="C132" s="582">
        <f>3</f>
        <v>3.0</v>
      </c>
      <c r="D132" s="583" t="inlineStr">
        <is>
          <t>nr</t>
        </is>
      </c>
      <c r="E132" s="584">
        <f>RATES!$D$90</f>
        <v>2200.0</v>
      </c>
      <c r="F132" s="571">
        <f>C132*E132</f>
        <v>6600.0</v>
      </c>
      <c r="G132" s="585" t="inlineStr">
        <is>
          <t>3</t>
        </is>
      </c>
    </row>
    <row r="133"/>
    <row r="134" ht="24" customHeight="1" s="12">
      <c r="A134" s="567" t="inlineStr">
        <is>
          <t>P</t>
        </is>
      </c>
      <c r="B134" s="581" t="inlineStr">
        <is>
          <t>3000mm x 2200mm 3-panel galvanised steel framed tempered glass sliding door (SD1)</t>
        </is>
      </c>
      <c r="C134" s="582">
        <f>1</f>
        <v>1.0</v>
      </c>
      <c r="D134" s="583" t="inlineStr">
        <is>
          <t>nr</t>
        </is>
      </c>
      <c r="E134" s="584">
        <f>RATES!$D$94</f>
        <v>14500.0</v>
      </c>
      <c r="F134" s="571">
        <f>C134*E134</f>
        <v>14500.0</v>
      </c>
      <c r="G134" s="585" t="inlineStr">
        <is>
          <t>1</t>
        </is>
      </c>
    </row>
    <row r="135"/>
    <row r="136" ht="24" customHeight="1" s="12">
      <c r="A136" s="567" t="inlineStr">
        <is>
          <t>Q</t>
        </is>
      </c>
      <c r="B136" s="581" t="inlineStr">
        <is>
          <t>1600mm x 2200mm 2-panel galvanised steel framed tempered glass sliding door (SD2)</t>
        </is>
      </c>
      <c r="C136" s="582">
        <f>4</f>
        <v>4.0</v>
      </c>
      <c r="D136" s="583" t="inlineStr">
        <is>
          <t>nr</t>
        </is>
      </c>
      <c r="E136" s="584">
        <f>RATES!$D$95</f>
        <v>8800.0</v>
      </c>
      <c r="F136" s="571">
        <f>C136*E136</f>
        <v>35200.0</v>
      </c>
      <c r="G136" s="585" t="inlineStr">
        <is>
          <t>4</t>
        </is>
      </c>
    </row>
    <row r="137"/>
    <row r="138" ht="24" customHeight="1" s="12">
      <c r="A138" s="567" t="inlineStr">
        <is>
          <t>R</t>
        </is>
      </c>
      <c r="B138" s="581" t="inlineStr">
        <is>
          <t>1300mm x 2200mm 2-panel galvanised steel framed tempered glass sliding door (SD3)</t>
        </is>
      </c>
      <c r="C138" s="582">
        <f>2</f>
        <v>2.0</v>
      </c>
      <c r="D138" s="583" t="inlineStr">
        <is>
          <t>nr</t>
        </is>
      </c>
      <c r="E138" s="584">
        <f>RATES!$D$96</f>
        <v>7600.0</v>
      </c>
      <c r="F138" s="571">
        <f>C138*E138</f>
        <v>15200.0</v>
      </c>
      <c r="G138" s="585" t="inlineStr">
        <is>
          <t>2</t>
        </is>
      </c>
    </row>
    <row r="139"/>
    <row r="140" ht="24" customHeight="1" s="12">
      <c r="A140" s="567" t="inlineStr">
        <is>
          <t>S</t>
        </is>
      </c>
      <c r="B140" s="581" t="inlineStr">
        <is>
          <t>1800mm x 2200mm 2-panel galvanised steel framed tempered glass sliding door (SD4)</t>
        </is>
      </c>
      <c r="C140" s="582">
        <f>4</f>
        <v>4.0</v>
      </c>
      <c r="D140" s="583" t="inlineStr">
        <is>
          <t>nr</t>
        </is>
      </c>
      <c r="E140" s="584">
        <f>RATES!$D$97</f>
        <v>9300.0</v>
      </c>
      <c r="F140" s="571">
        <f>C140*E140</f>
        <v>37200.0</v>
      </c>
      <c r="G140" s="585" t="inlineStr">
        <is>
          <t>4</t>
        </is>
      </c>
    </row>
    <row r="141"/>
    <row r="142" ht="24" customHeight="1" s="12">
      <c r="A142" s="567" t="inlineStr">
        <is>
          <t>T</t>
        </is>
      </c>
      <c r="B142" s="581" t="inlineStr">
        <is>
          <t>1200mm x 2200mm 2-panel galvanised steel framed tempered glass sliding door (SD5)</t>
        </is>
      </c>
      <c r="C142" s="582">
        <f>1</f>
        <v>1.0</v>
      </c>
      <c r="D142" s="583" t="inlineStr">
        <is>
          <t>nr</t>
        </is>
      </c>
      <c r="E142" s="584">
        <f>RATES!$D$98</f>
        <v>7200.0</v>
      </c>
      <c r="F142" s="571">
        <f>C142*E142</f>
        <v>7200.0</v>
      </c>
      <c r="G142" s="585" t="inlineStr">
        <is>
          <t>1</t>
        </is>
      </c>
    </row>
    <row r="143"/>
    <row r="144" ht="24" customHeight="1" s="12">
      <c r="A144" s="567" t="inlineStr">
        <is>
          <t>U</t>
        </is>
      </c>
      <c r="B144" s="581" t="inlineStr">
        <is>
          <t>50mm x 150mm frames (to timber doors)</t>
        </is>
      </c>
      <c r="C144" s="582">
        <f>15*(2*2.2+0.9)+21*(2*2.2+0.75)+1*(2*2.2+1.5)</f>
        <v>193.55000000000004</v>
      </c>
      <c r="D144" s="583" t="inlineStr">
        <is>
          <t>m</t>
        </is>
      </c>
      <c r="E144" s="584">
        <f>RATES!$D$100</f>
        <v>125.0</v>
      </c>
      <c r="F144" s="571">
        <f>C144*E144</f>
        <v>24193.750000000004</v>
      </c>
      <c r="G144" s="585" t="inlineStr">
        <is>
          <t>15*(2*2.2+0.9)+21*(2*2.2+0.75)+1*(2*2.2+1.5)</t>
        </is>
      </c>
    </row>
    <row r="145"/>
    <row r="146" ht="24" customHeight="1" s="12">
      <c r="A146" s="567" t="inlineStr">
        <is>
          <t>V</t>
        </is>
      </c>
      <c r="B146" s="581" t="inlineStr">
        <is>
          <t>50mm x 12mm door stop</t>
        </is>
      </c>
      <c r="C146" s="582">
        <f>15*(2*2.2+0.9)+21*(2*2.2+0.75)+1*(2*2.2+1.5)</f>
        <v>193.55000000000004</v>
      </c>
      <c r="D146" s="583" t="inlineStr">
        <is>
          <t>m</t>
        </is>
      </c>
      <c r="E146" s="584">
        <f>RATES!$D$101</f>
        <v>28.0</v>
      </c>
      <c r="F146" s="571">
        <f>C146*E146</f>
        <v>5419.4000000000015</v>
      </c>
      <c r="G146" s="585" t="inlineStr">
        <is>
          <t>15*(2*2.2+0.9)+21*(2*2.2+0.75)+1*(2*2.2+1.5)</t>
        </is>
      </c>
    </row>
    <row r="147"/>
    <row r="148" ht="48" customHeight="1" s="12">
      <c r="A148" s="577" t="n"/>
      <c r="B148" s="580" t="inlineStr">
        <is>
          <t>Ironmongery - Supply and fix the following approved ironmongery to hardwood with accompanying patented screws:</t>
        </is>
      </c>
      <c r="C148" s="569" t="n"/>
      <c r="D148" s="569" t="n"/>
      <c r="E148" s="570" t="n"/>
      <c r="F148" s="579" t="n"/>
    </row>
    <row r="149" ht="24" customHeight="1" s="12">
      <c r="A149" s="567" t="inlineStr">
        <is>
          <t>W</t>
        </is>
      </c>
      <c r="B149" s="581" t="inlineStr">
        <is>
          <t>Pair 100mm brass butt hinges</t>
        </is>
      </c>
      <c r="C149" s="582">
        <f>54</f>
        <v>54.0</v>
      </c>
      <c r="D149" s="583" t="inlineStr">
        <is>
          <t>pr</t>
        </is>
      </c>
      <c r="E149" s="584">
        <f>RATES!$D$102</f>
        <v>125.0</v>
      </c>
      <c r="F149" s="571">
        <f>C149*E149</f>
        <v>6750.0</v>
      </c>
      <c r="G149" s="585" t="inlineStr">
        <is>
          <t>54</t>
        </is>
      </c>
    </row>
    <row r="150"/>
    <row r="151" ht="24" customHeight="1" s="12">
      <c r="A151" s="567" t="inlineStr">
        <is>
          <t>X</t>
        </is>
      </c>
      <c r="B151" s="581" t="inlineStr">
        <is>
          <t>Ordinary locks</t>
        </is>
      </c>
      <c r="C151" s="582">
        <f>15</f>
        <v>15.0</v>
      </c>
      <c r="D151" s="583" t="inlineStr">
        <is>
          <t>nr</t>
        </is>
      </c>
      <c r="E151" s="584">
        <f>RATES!$D$103</f>
        <v>480.0</v>
      </c>
      <c r="F151" s="571">
        <f>C151*E151</f>
        <v>7200.0</v>
      </c>
      <c r="G151" s="585" t="inlineStr">
        <is>
          <t>15</t>
        </is>
      </c>
    </row>
    <row r="152"/>
    <row r="153" ht="24" customHeight="1" s="12">
      <c r="A153" s="567" t="inlineStr">
        <is>
          <t>Y</t>
        </is>
      </c>
      <c r="B153" s="581" t="inlineStr">
        <is>
          <t>Approved high quality mortice indicator lock</t>
        </is>
      </c>
      <c r="C153" s="582">
        <f>21</f>
        <v>21.0</v>
      </c>
      <c r="D153" s="583" t="inlineStr">
        <is>
          <t>nr</t>
        </is>
      </c>
      <c r="E153" s="584">
        <f>RATES!$D$104</f>
        <v>560.0</v>
      </c>
      <c r="F153" s="571">
        <f>C153*E153</f>
        <v>11760.0</v>
      </c>
      <c r="G153" s="585" t="inlineStr">
        <is>
          <t>21</t>
        </is>
      </c>
    </row>
    <row r="154"/>
    <row r="155" ht="72" customHeight="1" s="12">
      <c r="A155" s="577" t="n"/>
      <c r="B155"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5" s="569" t="n"/>
      <c r="D155" s="569" t="n"/>
      <c r="E155" s="570" t="n"/>
      <c r="F155" s="579" t="n"/>
    </row>
    <row r="156" ht="24" customHeight="1" s="12">
      <c r="A156" s="567" t="inlineStr">
        <is>
          <t>Z</t>
        </is>
      </c>
      <c r="B156" s="581" t="inlineStr">
        <is>
          <t>2 bay alu. framed glass sliding window 1800mm x 1300mm (W2)</t>
        </is>
      </c>
      <c r="C156" s="582">
        <f>6</f>
        <v>6.0</v>
      </c>
      <c r="D156" s="583" t="inlineStr">
        <is>
          <t>nr</t>
        </is>
      </c>
      <c r="E156" s="584">
        <f>RATES!$D$109</f>
        <v>3861.0000000000005</v>
      </c>
      <c r="F156" s="571">
        <f>C156*E156</f>
        <v>23166.000000000004</v>
      </c>
      <c r="G156" s="585" t="inlineStr">
        <is>
          <t>6</t>
        </is>
      </c>
    </row>
    <row r="157"/>
    <row r="158" ht="24" customHeight="1" s="12">
      <c r="A158" s="567" t="inlineStr">
        <is>
          <t>A</t>
        </is>
      </c>
      <c r="B158" s="581" t="inlineStr">
        <is>
          <t>1 bay alu. framed glass awning window 900mm x 1300mm (W4)</t>
        </is>
      </c>
      <c r="C158" s="582">
        <f>10</f>
        <v>10.0</v>
      </c>
      <c r="D158" s="583" t="inlineStr">
        <is>
          <t>nr</t>
        </is>
      </c>
      <c r="E158" s="584">
        <f>RATES!$D$111</f>
        <v>1930.5000000000002</v>
      </c>
      <c r="F158" s="571">
        <f>C158*E158</f>
        <v>19305.000000000004</v>
      </c>
      <c r="G158" s="585" t="inlineStr">
        <is>
          <t>10</t>
        </is>
      </c>
    </row>
    <row r="159"/>
    <row r="160" ht="24" customHeight="1" s="12">
      <c r="A160" s="567" t="inlineStr">
        <is>
          <t>B</t>
        </is>
      </c>
      <c r="B160" s="581" t="inlineStr">
        <is>
          <t>2 bay alu. framed glass sliding window 1800mm x 1600mm (W7)</t>
        </is>
      </c>
      <c r="C160" s="582">
        <f>2</f>
        <v>2.0</v>
      </c>
      <c r="D160" s="583" t="inlineStr">
        <is>
          <t>nr</t>
        </is>
      </c>
      <c r="E160" s="584">
        <f>RATES!$D$114</f>
        <v>4752.000000000001</v>
      </c>
      <c r="F160" s="571">
        <f>C160*E160</f>
        <v>9504.000000000002</v>
      </c>
      <c r="G160" s="585" t="inlineStr">
        <is>
          <t>2</t>
        </is>
      </c>
    </row>
    <row r="161"/>
    <row r="162" ht="24" customHeight="1" s="12">
      <c r="A162" s="567" t="inlineStr">
        <is>
          <t>C</t>
        </is>
      </c>
      <c r="B162" s="581" t="inlineStr">
        <is>
          <t>1 x 3 bay alu. framed glass awning window 1200mm x 1900mm (W8)</t>
        </is>
      </c>
      <c r="C162" s="582">
        <f>3</f>
        <v>3.0</v>
      </c>
      <c r="D162" s="583" t="inlineStr">
        <is>
          <t>nr</t>
        </is>
      </c>
      <c r="E162" s="584">
        <f>RATES!$D$115</f>
        <v>3761.9999999999995</v>
      </c>
      <c r="F162" s="571">
        <f>C162*E162</f>
        <v>11285.999999999998</v>
      </c>
      <c r="G162" s="585" t="inlineStr">
        <is>
          <t>3</t>
        </is>
      </c>
    </row>
    <row r="163"/>
    <row r="164" ht="24" customHeight="1" s="12">
      <c r="A164" s="567" t="inlineStr">
        <is>
          <t>D</t>
        </is>
      </c>
      <c r="B164" s="581" t="inlineStr">
        <is>
          <t>2 bay alu. framed glass sliding window 1200mm x 1150mm (W9)</t>
        </is>
      </c>
      <c r="C164" s="582">
        <f>8</f>
        <v>8.0</v>
      </c>
      <c r="D164" s="583" t="inlineStr">
        <is>
          <t>nr</t>
        </is>
      </c>
      <c r="E164" s="584">
        <f>RATES!$D$116</f>
        <v>2277.0</v>
      </c>
      <c r="F164" s="571">
        <f>C164*E164</f>
        <v>18216.0</v>
      </c>
      <c r="G164" s="585" t="inlineStr">
        <is>
          <t>8</t>
        </is>
      </c>
    </row>
    <row r="165"/>
    <row r="166" ht="24" customHeight="1" s="12">
      <c r="A166" s="567" t="inlineStr">
        <is>
          <t>E</t>
        </is>
      </c>
      <c r="B166" s="581" t="inlineStr">
        <is>
          <t>2 bay alu. framed glass sliding window 1200mm x 1200mm (W10)</t>
        </is>
      </c>
      <c r="C166" s="582">
        <f>1</f>
        <v>1.0</v>
      </c>
      <c r="D166" s="583" t="inlineStr">
        <is>
          <t>nr</t>
        </is>
      </c>
      <c r="E166" s="584">
        <f>RATES!$D$117</f>
        <v>2376.0</v>
      </c>
      <c r="F166" s="571">
        <f>C166*E166</f>
        <v>2376.0</v>
      </c>
      <c r="G166" s="585" t="inlineStr">
        <is>
          <t>1</t>
        </is>
      </c>
    </row>
    <row r="167"/>
    <row r="168" ht="24" customHeight="1" s="12">
      <c r="A168" s="567" t="inlineStr">
        <is>
          <t>F</t>
        </is>
      </c>
      <c r="B168" s="581" t="inlineStr">
        <is>
          <t>2 bay alu. framed glass sliding window 1500mm x 1300mm (W11)</t>
        </is>
      </c>
      <c r="C168" s="582">
        <f>6</f>
        <v>6.0</v>
      </c>
      <c r="D168" s="583" t="inlineStr">
        <is>
          <t>nr</t>
        </is>
      </c>
      <c r="E168" s="584">
        <f>RATES!$D$118</f>
        <v>3217.5000000000005</v>
      </c>
      <c r="F168" s="571">
        <f>C168*E168</f>
        <v>19305.000000000004</v>
      </c>
      <c r="G168" s="585" t="inlineStr">
        <is>
          <t>6</t>
        </is>
      </c>
    </row>
    <row r="169"/>
    <row r="170" ht="24" customHeight="1" s="12">
      <c r="A170" s="567" t="inlineStr">
        <is>
          <t>G</t>
        </is>
      </c>
      <c r="B170" s="581" t="inlineStr">
        <is>
          <t>2 bay alu. framed glass sliding window 1500mm x 1150mm (W12)</t>
        </is>
      </c>
      <c r="C170" s="582">
        <f>4</f>
        <v>4.0</v>
      </c>
      <c r="D170" s="583" t="inlineStr">
        <is>
          <t>nr</t>
        </is>
      </c>
      <c r="E170" s="584">
        <f>RATES!$D$119</f>
        <v>2846.25</v>
      </c>
      <c r="F170" s="571">
        <f>C170*E170</f>
        <v>11385.0</v>
      </c>
      <c r="G170" s="585" t="inlineStr">
        <is>
          <t>4</t>
        </is>
      </c>
    </row>
    <row r="171"/>
    <row r="172" ht="24" customHeight="1" s="12">
      <c r="A172" s="567" t="inlineStr">
        <is>
          <t>H</t>
        </is>
      </c>
      <c r="B172" s="581" t="inlineStr">
        <is>
          <t>3 bay alu. framed glass awning window 2400mm x 1300mm (W13)</t>
        </is>
      </c>
      <c r="C172" s="582">
        <f>1</f>
        <v>1.0</v>
      </c>
      <c r="D172" s="583" t="inlineStr">
        <is>
          <t>nr</t>
        </is>
      </c>
      <c r="E172" s="584">
        <f>RATES!$D$120</f>
        <v>5148.0</v>
      </c>
      <c r="F172" s="571">
        <f>C172*E172</f>
        <v>5148.0</v>
      </c>
      <c r="G172" s="585" t="inlineStr">
        <is>
          <t>1</t>
        </is>
      </c>
    </row>
    <row r="173"/>
    <row r="174" ht="24" customHeight="1" s="12">
      <c r="A174" s="567" t="inlineStr">
        <is>
          <t>J</t>
        </is>
      </c>
      <c r="B174" s="581" t="inlineStr">
        <is>
          <t>3 bay alu. framed glass sliding window 3000mm x 1600mm (W15)</t>
        </is>
      </c>
      <c r="C174" s="582">
        <f>1</f>
        <v>1.0</v>
      </c>
      <c r="D174" s="583" t="inlineStr">
        <is>
          <t>nr</t>
        </is>
      </c>
      <c r="E174" s="584">
        <f>RATES!$D$122</f>
        <v>7920.000000000001</v>
      </c>
      <c r="F174" s="571">
        <f>C174*E174</f>
        <v>7920.000000000001</v>
      </c>
      <c r="G174" s="585" t="inlineStr">
        <is>
          <t>1</t>
        </is>
      </c>
    </row>
    <row r="175"/>
    <row r="176" ht="24" customHeight="1" s="12">
      <c r="A176" s="567" t="inlineStr">
        <is>
          <t>K</t>
        </is>
      </c>
      <c r="B176" s="581" t="inlineStr">
        <is>
          <t>2 x 3 alu. framed glass awning window 1800mm x 1900mm (W17)</t>
        </is>
      </c>
      <c r="C176" s="582">
        <f>3</f>
        <v>3.0</v>
      </c>
      <c r="D176" s="583" t="inlineStr">
        <is>
          <t>nr</t>
        </is>
      </c>
      <c r="E176" s="584">
        <f>RATES!$D$124</f>
        <v>5643.0</v>
      </c>
      <c r="F176" s="571">
        <f>C176*E176</f>
        <v>16929.0</v>
      </c>
      <c r="G176" s="585" t="inlineStr">
        <is>
          <t>3</t>
        </is>
      </c>
    </row>
    <row r="177"/>
    <row r="178" ht="24" customHeight="1" s="12">
      <c r="A178" s="567" t="inlineStr">
        <is>
          <t>L</t>
        </is>
      </c>
      <c r="B178" s="581" t="inlineStr">
        <is>
          <t>1 bay alu. framed glass awning window 750mm x 1300mm (W18)</t>
        </is>
      </c>
      <c r="C178" s="582">
        <f>1</f>
        <v>1.0</v>
      </c>
      <c r="D178" s="583" t="inlineStr">
        <is>
          <t>nr</t>
        </is>
      </c>
      <c r="E178" s="584">
        <f>RATES!$D$125</f>
        <v>1608.7500000000002</v>
      </c>
      <c r="F178" s="571">
        <f>C178*E178</f>
        <v>1608.7500000000002</v>
      </c>
      <c r="G178" s="585" t="inlineStr">
        <is>
          <t>1</t>
        </is>
      </c>
    </row>
    <row r="179"/>
    <row r="180" ht="24" customHeight="1" s="12">
      <c r="A180" s="567" t="inlineStr">
        <is>
          <t>M</t>
        </is>
      </c>
      <c r="B180" s="581" t="inlineStr">
        <is>
          <t>2 x 3 alu. framed glass awning window 1450mm x 1900mm (W20)</t>
        </is>
      </c>
      <c r="C180" s="582">
        <f>1</f>
        <v>1.0</v>
      </c>
      <c r="D180" s="583" t="inlineStr">
        <is>
          <t>nr</t>
        </is>
      </c>
      <c r="E180" s="584">
        <f>RATES!$D$127</f>
        <v>4545.75</v>
      </c>
      <c r="F180" s="571">
        <f>C180*E180</f>
        <v>4545.75</v>
      </c>
      <c r="G180" s="585" t="inlineStr">
        <is>
          <t>1</t>
        </is>
      </c>
    </row>
    <row r="181"/>
    <row r="182" ht="24" customHeight="1" s="12">
      <c r="A182" s="567" t="inlineStr">
        <is>
          <t>N</t>
        </is>
      </c>
      <c r="B182" s="581" t="inlineStr">
        <is>
          <t>2 bay alu. framed glass sliding window 900mm x 600mm (HW1)</t>
        </is>
      </c>
      <c r="C182" s="582">
        <f>13</f>
        <v>13.0</v>
      </c>
      <c r="D182" s="583" t="inlineStr">
        <is>
          <t>nr</t>
        </is>
      </c>
      <c r="E182" s="584">
        <f>RATES!$D$128</f>
        <v>891.0000000000001</v>
      </c>
      <c r="F182" s="571">
        <f>C182*E182</f>
        <v>11583.000000000002</v>
      </c>
      <c r="G182" s="585" t="inlineStr">
        <is>
          <t>13</t>
        </is>
      </c>
    </row>
    <row r="183"/>
    <row r="184" ht="24" customHeight="1" s="12">
      <c r="A184" s="567" t="inlineStr">
        <is>
          <t>P</t>
        </is>
      </c>
      <c r="B184" s="581" t="inlineStr">
        <is>
          <t>2 bay alu. framed glass sliding window 750mm x 600mm (HW2)</t>
        </is>
      </c>
      <c r="C184" s="582">
        <f>5</f>
        <v>5.0</v>
      </c>
      <c r="D184" s="583" t="inlineStr">
        <is>
          <t>nr</t>
        </is>
      </c>
      <c r="E184" s="584">
        <f>RATES!$D$129</f>
        <v>742.4999999999999</v>
      </c>
      <c r="F184" s="571">
        <f>C184*E184</f>
        <v>3712.4999999999995</v>
      </c>
      <c r="G184" s="585" t="inlineStr">
        <is>
          <t>5</t>
        </is>
      </c>
    </row>
    <row r="185"/>
    <row r="186" ht="24" customHeight="1" s="12">
      <c r="A186" s="567" t="inlineStr">
        <is>
          <t>Q</t>
        </is>
      </c>
      <c r="B186" s="581" t="inlineStr">
        <is>
          <t>2 bay alu. framed glass sliding window 600mm x 600mm (HW3)</t>
        </is>
      </c>
      <c r="C186" s="582">
        <f>2</f>
        <v>2.0</v>
      </c>
      <c r="D186" s="583" t="inlineStr">
        <is>
          <t>nr</t>
        </is>
      </c>
      <c r="E186" s="584">
        <f>RATES!$D$130</f>
        <v>594.0</v>
      </c>
      <c r="F186" s="571">
        <f>C186*E186</f>
        <v>1188.0</v>
      </c>
      <c r="G186" s="585" t="inlineStr">
        <is>
          <t>2</t>
        </is>
      </c>
    </row>
    <row r="187"/>
    <row r="188" ht="24" customHeight="1" s="12">
      <c r="A188" s="567" t="inlineStr">
        <is>
          <t>R</t>
        </is>
      </c>
      <c r="B188" s="581" t="inlineStr">
        <is>
          <t>2 bay alu. framed glass sliding window 1200mm x 600mm (HW4)</t>
        </is>
      </c>
      <c r="C188" s="582">
        <f>2</f>
        <v>2.0</v>
      </c>
      <c r="D188" s="583" t="inlineStr">
        <is>
          <t>nr</t>
        </is>
      </c>
      <c r="E188" s="584">
        <f>RATES!$D$131</f>
        <v>1188.0</v>
      </c>
      <c r="F188" s="571">
        <f>C188*E188</f>
        <v>2376.0</v>
      </c>
      <c r="G188" s="585" t="inlineStr">
        <is>
          <t>2</t>
        </is>
      </c>
    </row>
    <row r="189"/>
    <row r="190">
      <c r="A190" s="572" t="n"/>
      <c r="B190" s="586" t="str">
        <f>B105</f>
        <v>ELEMENT NO. 4: WINDOWS/DOORS</v>
      </c>
      <c r="C190" s="574" t="n"/>
      <c r="D190" s="574" t="n"/>
      <c r="E190" s="587" t="n"/>
      <c r="F190" s="576">
        <f>SUM(F107:F189)</f>
        <v>608377.15</v>
      </c>
    </row>
    <row r="191">
      <c r="B191" s="559" t="inlineStr">
        <is>
          <t>Carried to Bill Summary</t>
        </is>
      </c>
    </row>
    <row r="192"/>
    <row r="193"/>
    <row r="194">
      <c r="A194" s="577" t="n"/>
      <c r="B194" s="578" t="inlineStr">
        <is>
          <t>ELEMENT NO. 5: FLOOR FINISHES</t>
        </is>
      </c>
      <c r="C194" s="569" t="n"/>
      <c r="D194" s="569" t="n"/>
      <c r="E194" s="570" t="n"/>
      <c r="F194" s="579" t="n"/>
    </row>
    <row r="195"/>
    <row r="196" ht="24" customHeight="1" s="12">
      <c r="A196" s="577" t="n"/>
      <c r="B196" s="580" t="inlineStr">
        <is>
          <t>M10/M40 FLOOR FINISHES</t>
        </is>
      </c>
      <c r="C196" s="569" t="n"/>
      <c r="D196" s="569" t="n"/>
      <c r="E196" s="570" t="n"/>
      <c r="F196" s="579" t="n"/>
    </row>
    <row r="197" ht="24" customHeight="1" s="12">
      <c r="A197" s="567" t="inlineStr">
        <is>
          <t>A</t>
        </is>
      </c>
      <c r="B197" s="581" t="inlineStr">
        <is>
          <t>25mm cement and sand (1:3) screeded finish laid level on concrete and finished smooth with steel trowel</t>
        </is>
      </c>
      <c r="C197" s="582">
        <f>872.1</f>
        <v>872.1</v>
      </c>
      <c r="D197" s="583" t="inlineStr">
        <is>
          <t>m2</t>
        </is>
      </c>
      <c r="E197" s="584">
        <f>RATES!$D$50</f>
        <v>68.0</v>
      </c>
      <c r="F197" s="571">
        <f>C197*E197</f>
        <v>59302.8</v>
      </c>
      <c r="G197" s="585" t="inlineStr">
        <is>
          <t>872.1</t>
        </is>
      </c>
    </row>
    <row r="198"/>
    <row r="199" ht="24" customHeight="1" s="12">
      <c r="A199" s="567" t="inlineStr">
        <is>
          <t>B</t>
        </is>
      </c>
      <c r="B199" s="581" t="inlineStr">
        <is>
          <t>12mm cement and sand (1:4) screeded bed laid level on concrete floor to receive floor tiles</t>
        </is>
      </c>
      <c r="C199" s="582">
        <f>872.1+(2*1.8*3.0+22*0.15*1.8+2.2*3.75+1.8*3.75)+(2*1.8*3.0+22*0.15*1.8+2.2*3.75+1.8*3.75)</f>
        <v>935.58</v>
      </c>
      <c r="D199" s="583" t="inlineStr">
        <is>
          <t>m2</t>
        </is>
      </c>
      <c r="E199" s="584">
        <f>RATES!$D$51</f>
        <v>48.0</v>
      </c>
      <c r="F199" s="571">
        <f>C199*E199</f>
        <v>44907.840000000004</v>
      </c>
      <c r="G199" s="585" t="inlineStr">
        <is>
          <t>872.1+(2*1.8*3.0+22*0.15*1.8+2.2*3.75+1.8*3.75)+(2*1.8*3.0+22*0.15*1.8+2.2*3.75+1.8*3.75)</t>
        </is>
      </c>
    </row>
    <row r="200"/>
    <row r="201" ht="24" customHeight="1" s="12">
      <c r="A201" s="567" t="inlineStr">
        <is>
          <t>C</t>
        </is>
      </c>
      <c r="B201" s="581" t="inlineStr">
        <is>
          <t>400x400mm non-slip porcelain floor tiles to washrooms &amp; WCs, adhesive, grout and cutting</t>
        </is>
      </c>
      <c r="C201" s="582">
        <f>61.4</f>
        <v>61.4</v>
      </c>
      <c r="D201" s="583" t="inlineStr">
        <is>
          <t>m2</t>
        </is>
      </c>
      <c r="E201" s="584">
        <f>RATES!$D$53</f>
        <v>230.0</v>
      </c>
      <c r="F201" s="571">
        <f>C201*E201</f>
        <v>14122.0</v>
      </c>
      <c r="G201" s="585" t="inlineStr">
        <is>
          <t>61.4</t>
        </is>
      </c>
    </row>
    <row r="202"/>
    <row r="203" ht="24" customHeight="1" s="12">
      <c r="A203" s="567" t="inlineStr">
        <is>
          <t>D</t>
        </is>
      </c>
      <c r="B203" s="581" t="inlineStr">
        <is>
          <t>500x500mm matte R11 porcelain tiles to staircases (treads, risers and landings)</t>
        </is>
      </c>
      <c r="C203" s="582">
        <f>(2*1.8*3.0+22*0.15*1.8+2.2*3.75+1.8*3.75)+(2*1.8*3.0+22*0.15*1.8+2.2*3.75+1.8*3.75)</f>
        <v>63.480000000000004</v>
      </c>
      <c r="D203" s="583" t="inlineStr">
        <is>
          <t>m2</t>
        </is>
      </c>
      <c r="E203" s="584">
        <f>RATES!$D$54</f>
        <v>270.0</v>
      </c>
      <c r="F203" s="571">
        <f>C203*E203</f>
        <v>17139.600000000002</v>
      </c>
      <c r="G203" s="585" t="inlineStr">
        <is>
          <t>(2*1.8*3.0+22*0.15*1.8+2.2*3.75+1.8*3.75)+(2*1.8*3.0+22*0.15*1.8+2.2*3.75+1.8*3.75)</t>
        </is>
      </c>
    </row>
    <row r="204"/>
    <row r="205" ht="24" customHeight="1" s="12">
      <c r="A205" s="567" t="inlineStr">
        <is>
          <t>E</t>
        </is>
      </c>
      <c r="B205" s="581" t="inlineStr">
        <is>
          <t>600x600mm semi-polished porcelain floor tiles to habitable rooms, shops &amp; offices</t>
        </is>
      </c>
      <c r="C205" s="582">
        <f>546.6</f>
        <v>546.6</v>
      </c>
      <c r="D205" s="583" t="inlineStr">
        <is>
          <t>m2</t>
        </is>
      </c>
      <c r="E205" s="584">
        <f>RATES!$D$55</f>
        <v>265.0</v>
      </c>
      <c r="F205" s="571">
        <f>C205*E205</f>
        <v>144849.0</v>
      </c>
      <c r="G205" s="585" t="inlineStr">
        <is>
          <t>546.6</t>
        </is>
      </c>
    </row>
    <row r="206"/>
    <row r="207" ht="24" customHeight="1" s="12">
      <c r="A207" s="567" t="inlineStr">
        <is>
          <t>F</t>
        </is>
      </c>
      <c r="B207" s="581" t="inlineStr">
        <is>
          <t>600x1200mm semi-polished porcelain floor tiles to stair/lift lobbies &amp; reception</t>
        </is>
      </c>
      <c r="C207" s="582">
        <f>33.9</f>
        <v>33.9</v>
      </c>
      <c r="D207" s="583" t="inlineStr">
        <is>
          <t>m2</t>
        </is>
      </c>
      <c r="E207" s="584">
        <f>RATES!$D$56</f>
        <v>330.0</v>
      </c>
      <c r="F207" s="571">
        <f>C207*E207</f>
        <v>11187.0</v>
      </c>
      <c r="G207" s="585" t="inlineStr">
        <is>
          <t>33.9</t>
        </is>
      </c>
    </row>
    <row r="208"/>
    <row r="209" ht="24" customHeight="1" s="12">
      <c r="A209" s="567" t="inlineStr">
        <is>
          <t>G</t>
        </is>
      </c>
      <c r="B209" s="581" t="inlineStr">
        <is>
          <t>600x600mm non-slip R11 porcelain tiles to corridors, terraces, verandah &amp; service areas</t>
        </is>
      </c>
      <c r="C209" s="582">
        <f>230.3</f>
        <v>230.3</v>
      </c>
      <c r="D209" s="583" t="inlineStr">
        <is>
          <t>m2</t>
        </is>
      </c>
      <c r="E209" s="584">
        <f>RATES!$D$57</f>
        <v>250.0</v>
      </c>
      <c r="F209" s="571">
        <f>C209*E209</f>
        <v>57575.0</v>
      </c>
      <c r="G209" s="585" t="inlineStr">
        <is>
          <t>230.3</t>
        </is>
      </c>
    </row>
    <row r="210"/>
    <row r="211">
      <c r="A211" s="572" t="n"/>
      <c r="B211" s="586" t="str">
        <f>B194</f>
        <v>ELEMENT NO. 5: FLOOR FINISHES</v>
      </c>
      <c r="C211" s="574" t="n"/>
      <c r="D211" s="574" t="n"/>
      <c r="E211" s="587" t="n"/>
      <c r="F211" s="576">
        <f>SUM(F196:F210)</f>
        <v>349083.24</v>
      </c>
    </row>
    <row r="212">
      <c r="B212" s="559" t="inlineStr">
        <is>
          <t>Carried to Bill Summary</t>
        </is>
      </c>
    </row>
    <row r="213"/>
    <row r="214"/>
    <row r="215">
      <c r="A215" s="577" t="n"/>
      <c r="B215" s="578" t="inlineStr">
        <is>
          <t>ELEMENT NO. 6: WALL FINISHES</t>
        </is>
      </c>
      <c r="C215" s="569" t="n"/>
      <c r="D215" s="569" t="n"/>
      <c r="E215" s="570" t="n"/>
      <c r="F215" s="579" t="n"/>
    </row>
    <row r="216"/>
    <row r="217" ht="48" customHeight="1" s="12">
      <c r="A217" s="577" t="n"/>
      <c r="B217" s="580" t="inlineStr">
        <is>
          <t>M20 PLASTERED/RENDERED COATINGS - 12.5mm cement and sand (1:3) rendering as described on blockwork or concrete to:</t>
        </is>
      </c>
      <c r="C217" s="569" t="n"/>
      <c r="D217" s="569" t="n"/>
      <c r="E217" s="570" t="n"/>
      <c r="F217" s="579" t="n"/>
    </row>
    <row r="218" ht="24" customHeight="1" s="12">
      <c r="A218" s="567" t="inlineStr">
        <is>
          <t>A</t>
        </is>
      </c>
      <c r="B218" s="581" t="inlineStr">
        <is>
          <t>Interior walls</t>
        </is>
      </c>
      <c r="C218" s="582">
        <f>(2*(465.9+50.0)+2*64.6-16.8-224.2)*3.05-61.4/3.8*8.0*3.05-2*(8*1*2.2+15*0.9*2.2+21*0.75*2.2+1*0.7*2.2+3*1.2*2.2+3*1*2.2+3*1*2.2+1*0.9*2.2+1*1.5*2.2+2*0.9*2.2+5*0.75*2.2+1*0.45*2.2+3*0.6*2.2+1*3*2.2+4*1.6*2.2+2*1.3*2.2+4*1.8*2.2+1*1.2*2.2)-(6*1.8*1.3+10*0.9*1.3+2*1.8*1.6+3*1.2*1.9+8*1.2*1.15+1*1.2*1.2+6*1.5*1.3+4*1.5*1.15+1*2.4*1.3+1*3*1.6+3*1.8*1.9+1*0.75*1.3+1*1.45*1.9+13*0.9*0.6+5*0.75*0.6+2*0.6*0.6+2*1.2*0.6)</f>
        <v>1965.1273684210526</v>
      </c>
      <c r="D218" s="583" t="inlineStr">
        <is>
          <t>m2</t>
        </is>
      </c>
      <c r="E218" s="584">
        <f>RATES!$D$48</f>
        <v>78.0</v>
      </c>
      <c r="F218" s="571">
        <f>C218*E218</f>
        <v>153279.9347368421</v>
      </c>
      <c r="G218" s="585" t="inlineStr">
        <is>
          <t>(2*(465.9+50.0)+2*64.6-16.8-224.2)*3.05-61.4/3.8*8.0*3.05-2*(8*1*2.2+15*0.9*2.2+21*0.75*2.2+1*0.7*2.2+3*1.2*2.2+3*1*2.2+3*1*2.2+1*0.9*2.2+1*1.5*2.2+2*0.9*2.2+5*0.75*2.2+1*0.45*2.2+3*0.6*2.2+1*3*2.2+4*1.6*2.2+2*1.3*2.2+4*1.8*2.2+1*1.2*2.2)-(6*1.8*1...</t>
        </is>
      </c>
    </row>
    <row r="219"/>
    <row r="220" ht="24" customHeight="1" s="12">
      <c r="A220" s="567" t="inlineStr">
        <is>
          <t>B</t>
        </is>
      </c>
      <c r="B220" s="581" t="inlineStr">
        <is>
          <t>Interior partitions and washrooms</t>
        </is>
      </c>
      <c r="C220" s="582">
        <f>61.4/3.8*8.0*3.05-61.4/3.8*0.75*2.2</f>
        <v>367.5921052631579</v>
      </c>
      <c r="D220" s="583" t="inlineStr">
        <is>
          <t>m2</t>
        </is>
      </c>
      <c r="E220" s="584">
        <f>RATES!$D$48</f>
        <v>78.0</v>
      </c>
      <c r="F220" s="571">
        <f>C220*E220</f>
        <v>28672.184210526317</v>
      </c>
      <c r="G220" s="585" t="inlineStr">
        <is>
          <t>61.4/3.8*8.0*3.05-61.4/3.8*0.75*2.2</t>
        </is>
      </c>
    </row>
    <row r="221"/>
    <row r="222" ht="24" customHeight="1" s="12">
      <c r="A222" s="567" t="inlineStr">
        <is>
          <t>C</t>
        </is>
      </c>
      <c r="B222" s="581" t="inlineStr">
        <is>
          <t>External walls</t>
        </is>
      </c>
      <c r="C222" s="582">
        <f>224.2*3.3-(6*1.8*1.3+10*0.9*1.3+2*1.8*1.6+3*1.2*1.9+8*1.2*1.15+1*1.2*1.2+6*1.5*1.3+4*1.5*1.15+1*2.4*1.3+1*3*1.6+3*1.8*1.9+1*0.75*1.3+1*1.45*1.9+13*0.9*0.6+5*0.75*0.6+2*0.6*0.6+2*1.2*0.6)</f>
        <v>637.0999999999999</v>
      </c>
      <c r="D222" s="583" t="inlineStr">
        <is>
          <t>m2</t>
        </is>
      </c>
      <c r="E222" s="584">
        <f>RATES!$D$49</f>
        <v>88.0</v>
      </c>
      <c r="F222" s="571">
        <f>C222*E222</f>
        <v>56064.79999999999</v>
      </c>
      <c r="G222" s="585" t="inlineStr">
        <is>
          <t>224.2*3.3-(6*1.8*1.3+10*0.9*1.3+2*1.8*1.6+3*1.2*1.9+8*1.2*1.15+1*1.2*1.2+6*1.5*1.3+4*1.5*1.15+1*2.4*1.3+1*3*1.6+3*1.8*1.9+1*0.75*1.3+1*1.45*1.9+13*0.9*0.6+5*0.75*0.6+2*0.6*0.6+2*1.2*0.6)</t>
        </is>
      </c>
    </row>
    <row r="223"/>
    <row r="224" ht="24" customHeight="1" s="12">
      <c r="A224" s="567" t="inlineStr">
        <is>
          <t>D</t>
        </is>
      </c>
      <c r="B224" s="581" t="inlineStr">
        <is>
          <t>12mm cement and sand (1:4) screeded backing to receive wall tiles</t>
        </is>
      </c>
      <c r="C224" s="582">
        <f>61.4/3.8*8.0*2.4-61.4/3.8*0.75*2.2</f>
        <v>283.57105263157894</v>
      </c>
      <c r="D224" s="583" t="inlineStr">
        <is>
          <t>m2</t>
        </is>
      </c>
      <c r="E224" s="584">
        <f>RATES!$D$52</f>
        <v>55.0</v>
      </c>
      <c r="F224" s="571">
        <f>C224*E224</f>
        <v>15596.407894736842</v>
      </c>
      <c r="G224" s="585" t="inlineStr">
        <is>
          <t>61.4/3.8*8.0*2.4-61.4/3.8*0.75*2.2</t>
        </is>
      </c>
    </row>
    <row r="225"/>
    <row r="226" ht="24" customHeight="1" s="12">
      <c r="A226" s="567" t="inlineStr">
        <is>
          <t>E</t>
        </is>
      </c>
      <c r="B226" s="581" t="inlineStr">
        <is>
          <t>Ceramic/porcelain wall tiles to washrooms to 2.4m high, adhesive &amp; grout (type TBC)</t>
        </is>
      </c>
      <c r="C226" s="582">
        <f>61.4/3.8*8.0*2.4-61.4/3.8*0.75*2.2</f>
        <v>283.57105263157894</v>
      </c>
      <c r="D226" s="583" t="inlineStr">
        <is>
          <t>m2</t>
        </is>
      </c>
      <c r="E226" s="584">
        <f>RATES!$D$60</f>
        <v>240.0</v>
      </c>
      <c r="F226" s="571">
        <f>C226*E226</f>
        <v>68057.05263157895</v>
      </c>
      <c r="G226" s="585" t="inlineStr">
        <is>
          <t>61.4/3.8*8.0*2.4-61.4/3.8*0.75*2.2</t>
        </is>
      </c>
    </row>
    <row r="227"/>
    <row r="228">
      <c r="A228" s="572" t="n"/>
      <c r="B228" s="586" t="str">
        <f>B215</f>
        <v>ELEMENT NO. 6: WALL FINISHES</v>
      </c>
      <c r="C228" s="574" t="n"/>
      <c r="D228" s="574" t="n"/>
      <c r="E228" s="587" t="n"/>
      <c r="F228" s="576">
        <f>SUM(F217:F227)</f>
        <v>321670.3794736842</v>
      </c>
    </row>
    <row r="229">
      <c r="B229" s="559" t="inlineStr">
        <is>
          <t>Carried to Bill Summary</t>
        </is>
      </c>
    </row>
    <row r="230"/>
    <row r="231"/>
    <row r="232">
      <c r="A232" s="577" t="n"/>
      <c r="B232" s="578" t="inlineStr">
        <is>
          <t>ELEMENT NO. 7: PAINTING AND DECORATING</t>
        </is>
      </c>
      <c r="C232" s="569" t="n"/>
      <c r="D232" s="569" t="n"/>
      <c r="E232" s="570" t="n"/>
      <c r="F232" s="579" t="n"/>
    </row>
    <row r="233"/>
    <row r="234" ht="24" customHeight="1" s="12">
      <c r="A234" s="577" t="n"/>
      <c r="B234" s="580" t="inlineStr">
        <is>
          <t>M60 PAINTING - Prepare and apply two undercoats and finishing coat of emulsion paint on:</t>
        </is>
      </c>
      <c r="C234" s="569" t="n"/>
      <c r="D234" s="569" t="n"/>
      <c r="E234" s="570" t="n"/>
      <c r="F234" s="579" t="n"/>
    </row>
    <row r="235" ht="24" customHeight="1" s="12">
      <c r="A235" s="567" t="inlineStr">
        <is>
          <t>A</t>
        </is>
      </c>
      <c r="B235" s="581" t="inlineStr">
        <is>
          <t>Interior walls</t>
        </is>
      </c>
      <c r="C235" s="582">
        <f>(2*(465.9+50.0)+2*64.6-16.8-224.2)*3.05-61.4/3.8*8.0*3.05-2*(8*1*2.2+15*0.9*2.2+21*0.75*2.2+1*0.7*2.2+3*1.2*2.2+3*1*2.2+3*1*2.2+1*0.9*2.2+1*1.5*2.2+2*0.9*2.2+5*0.75*2.2+1*0.45*2.2+3*0.6*2.2+1*3*2.2+4*1.6*2.2+2*1.3*2.2+4*1.8*2.2+1*1.2*2.2)-(6*1.8*1.3+10*0.9*1.3+2*1.8*1.6+3*1.2*1.9+8*1.2*1.15+1*1.2*1.2+6*1.5*1.3+4*1.5*1.15+1*2.4*1.3+1*3*1.6+3*1.8*1.9+1*0.75*1.3+1*1.45*1.9+13*0.9*0.6+5*0.75*0.6+2*0.6*0.6+2*1.2*0.6)</f>
        <v>1965.1273684210526</v>
      </c>
      <c r="D235" s="583" t="inlineStr">
        <is>
          <t>m2</t>
        </is>
      </c>
      <c r="E235" s="584">
        <f>RATES!$D$61</f>
        <v>45.0</v>
      </c>
      <c r="F235" s="571">
        <f>C235*E235</f>
        <v>88430.73157894737</v>
      </c>
      <c r="G235" s="585" t="inlineStr">
        <is>
          <t>(2*(465.9+50.0)+2*64.6-16.8-224.2)*3.05-61.4/3.8*8.0*3.05-2*(8*1*2.2+15*0.9*2.2+21*0.75*2.2+1*0.7*2.2+3*1.2*2.2+3*1*2.2+3*1*2.2+1*0.9*2.2+1*1.5*2.2+2*0.9*2.2+5*0.75*2.2+1*0.45*2.2+3*0.6*2.2+1*3*2.2+4*1.6*2.2+2*1.3*2.2+4*1.8*2.2+1*1.2*2.2)-(6*1.8*1...</t>
        </is>
      </c>
    </row>
    <row r="236"/>
    <row r="237" ht="24" customHeight="1" s="12">
      <c r="A237" s="567" t="inlineStr">
        <is>
          <t>B</t>
        </is>
      </c>
      <c r="B237" s="581" t="inlineStr">
        <is>
          <t>Interior partitions and washrooms (above wall tiling)</t>
        </is>
      </c>
      <c r="C237" s="582">
        <f>(61.4/3.8*8.0*3.05-61.4/3.8*0.75*2.2)-(61.4/3.8*8.0*2.4-61.4/3.8*0.75*2.2)</f>
        <v>84.02105263157898</v>
      </c>
      <c r="D237" s="583" t="inlineStr">
        <is>
          <t>m2</t>
        </is>
      </c>
      <c r="E237" s="584">
        <f>RATES!$D$61</f>
        <v>45.0</v>
      </c>
      <c r="F237" s="571">
        <f>C237*E237</f>
        <v>3780.9473684210543</v>
      </c>
      <c r="G237" s="585" t="inlineStr">
        <is>
          <t>(61.4/3.8*8.0*3.05-61.4/3.8*0.75*2.2)-(61.4/3.8*8.0*2.4-61.4/3.8*0.75*2.2)</t>
        </is>
      </c>
    </row>
    <row r="238"/>
    <row r="239" ht="24" customHeight="1" s="12">
      <c r="A239" s="567" t="inlineStr">
        <is>
          <t>C</t>
        </is>
      </c>
      <c r="B239" s="581" t="inlineStr">
        <is>
          <t>Exterior walls</t>
        </is>
      </c>
      <c r="C239" s="582">
        <f>224.2*3.3-(6*1.8*1.3+10*0.9*1.3+2*1.8*1.6+3*1.2*1.9+8*1.2*1.15+1*1.2*1.2+6*1.5*1.3+4*1.5*1.15+1*2.4*1.3+1*3*1.6+3*1.8*1.9+1*0.75*1.3+1*1.45*1.9+13*0.9*0.6+5*0.75*0.6+2*0.6*0.6+2*1.2*0.6)</f>
        <v>637.0999999999999</v>
      </c>
      <c r="D239" s="583" t="inlineStr">
        <is>
          <t>m2</t>
        </is>
      </c>
      <c r="E239" s="584">
        <f>RATES!$D$62</f>
        <v>62.0</v>
      </c>
      <c r="F239" s="571">
        <f>C239*E239</f>
        <v>39500.2</v>
      </c>
      <c r="G239" s="585" t="inlineStr">
        <is>
          <t>224.2*3.3-(6*1.8*1.3+10*0.9*1.3+2*1.8*1.6+3*1.2*1.9+8*1.2*1.15+1*1.2*1.2+6*1.5*1.3+4*1.5*1.15+1*2.4*1.3+1*3*1.6+3*1.8*1.9+1*0.75*1.3+1*1.45*1.9+13*0.9*0.6+5*0.75*0.6+2*0.6*0.6+2*1.2*0.6)</t>
        </is>
      </c>
    </row>
    <row r="240"/>
    <row r="241" ht="24" customHeight="1" s="12">
      <c r="A241" s="567" t="inlineStr">
        <is>
          <t>D</t>
        </is>
      </c>
      <c r="B241" s="581" t="inlineStr">
        <is>
          <t>Soffit of plaster board ceilings</t>
        </is>
      </c>
      <c r="C241" s="582">
        <f>810.7</f>
        <v>810.7</v>
      </c>
      <c r="D241" s="583" t="inlineStr">
        <is>
          <t>m2</t>
        </is>
      </c>
      <c r="E241" s="584">
        <f>RATES!$D$63</f>
        <v>48.0</v>
      </c>
      <c r="F241" s="571">
        <f>C241*E241</f>
        <v>38913.600000000006</v>
      </c>
      <c r="G241" s="585" t="inlineStr">
        <is>
          <t>810.7</t>
        </is>
      </c>
    </row>
    <row r="242"/>
    <row r="243" ht="24" customHeight="1" s="12">
      <c r="A243" s="567" t="inlineStr">
        <is>
          <t>E</t>
        </is>
      </c>
      <c r="B243" s="581" t="inlineStr">
        <is>
          <t>Soffit of plaster board ceilings for washrooms</t>
        </is>
      </c>
      <c r="C243" s="582">
        <f>61.4</f>
        <v>61.4</v>
      </c>
      <c r="D243" s="583" t="inlineStr">
        <is>
          <t>m2</t>
        </is>
      </c>
      <c r="E243" s="584">
        <f>RATES!$D$63</f>
        <v>48.0</v>
      </c>
      <c r="F243" s="571">
        <f>C243*E243</f>
        <v>2947.2</v>
      </c>
      <c r="G243" s="585" t="inlineStr">
        <is>
          <t>61.4</t>
        </is>
      </c>
    </row>
    <row r="244"/>
    <row r="245" ht="48" customHeight="1" s="12">
      <c r="A245" s="567" t="inlineStr">
        <is>
          <t>F</t>
        </is>
      </c>
      <c r="B245" s="581" t="inlineStr">
        <is>
          <t>Knot, prime, stop and apply two undercoats and one finishing coat of gloss oil paint on general surfaces of woodwork</t>
        </is>
      </c>
      <c r="C245" s="582">
        <f>15*0.9*2.2*2+21*0.75*2.2*2+1*1.5*2.2*2+(15*(2*2.2+0.9)+21*(2*2.2+0.75)+1*(2*2.2+1.5))*0.25</f>
        <v>183.68750000000003</v>
      </c>
      <c r="D245" s="583" t="inlineStr">
        <is>
          <t>m2</t>
        </is>
      </c>
      <c r="E245" s="584">
        <f>RATES!$D$64</f>
        <v>72.0</v>
      </c>
      <c r="F245" s="571">
        <f>C245*E245</f>
        <v>13225.500000000002</v>
      </c>
      <c r="G245" s="585" t="inlineStr">
        <is>
          <t>15*0.9*2.2*2+21*0.75*2.2*2+1*1.5*2.2*2+(15*(2*2.2+0.9)+21*(2*2.2+0.75)+1*(2*2.2+1.5))*0.25</t>
        </is>
      </c>
    </row>
    <row r="246"/>
    <row r="247" ht="48" customHeight="1" s="12">
      <c r="A247" s="567" t="inlineStr">
        <is>
          <t>G</t>
        </is>
      </c>
      <c r="B247" s="581" t="inlineStr">
        <is>
          <t>Prepare and apply one coat of aluminium primer on mild steel burglar-proof bars (measured over window opening area)</t>
        </is>
      </c>
      <c r="C247" s="582">
        <f>6*1.8*1.3+10*0.9*1.3+2*1.8*1.6+3*1.2*1.9+8*1.2*1.15+1*1.2*1.2+6*1.5*1.3+4*1.5*1.15+1*2.4*1.3+1*3*1.6+3*1.8*1.9+1*0.75*1.3+1*1.45*1.9+13*0.9*0.6+5*0.75*0.6+2*0.6*0.6+2*1.2*0.6</f>
        <v>102.75999999999999</v>
      </c>
      <c r="D247" s="583" t="inlineStr">
        <is>
          <t>m2</t>
        </is>
      </c>
      <c r="E247" s="584">
        <f>RATES!$D$65</f>
        <v>40.0</v>
      </c>
      <c r="F247" s="571">
        <f>C247*E247</f>
        <v>4110.4</v>
      </c>
      <c r="G247" s="585" t="inlineStr">
        <is>
          <t>6*1.8*1.3+10*0.9*1.3+2*1.8*1.6+3*1.2*1.9+8*1.2*1.15+1*1.2*1.2+6*1.5*1.3+4*1.5*1.15+1*2.4*1.3+1*3*1.6+3*1.8*1.9+1*0.75*1.3+1*1.45*1.9+13*0.9*0.6+5*0.75*0.6+2*0.6*0.6+2*1.2*0.6</t>
        </is>
      </c>
    </row>
    <row r="248"/>
    <row r="249">
      <c r="A249" s="572" t="n"/>
      <c r="B249" s="586" t="str">
        <f>B232</f>
        <v>ELEMENT NO. 7: PAINTING AND DECORATING</v>
      </c>
      <c r="C249" s="574" t="n"/>
      <c r="D249" s="574" t="n"/>
      <c r="E249" s="587" t="n"/>
      <c r="F249" s="576">
        <f>SUM(F234:F248)</f>
        <v>190908.57894736843</v>
      </c>
    </row>
    <row r="250">
      <c r="B250" s="559" t="inlineStr">
        <is>
          <t>Carried to Bill Summary</t>
        </is>
      </c>
    </row>
    <row r="251"/>
    <row r="252"/>
    <row r="253">
      <c r="B253"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G253"/>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SEVENTH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F90</f>
        <v>3313248.4358749995</v>
      </c>
    </row>
    <row r="14"/>
    <row r="15">
      <c r="A15" s="567" t="inlineStr">
        <is>
          <t>B</t>
        </is>
      </c>
      <c r="B15" s="568" t="inlineStr">
        <is>
          <t>ELEMENT NO. 2: MASONRY</t>
        </is>
      </c>
      <c r="C15" s="569" t="n"/>
      <c r="D15" s="569" t="n"/>
      <c r="E15" s="570" t="n"/>
      <c r="F15" s="571">
        <f>F101</f>
        <v>381266.875</v>
      </c>
    </row>
    <row r="16"/>
    <row r="17">
      <c r="A17" s="567" t="inlineStr">
        <is>
          <t>C</t>
        </is>
      </c>
      <c r="B17" s="568" t="inlineStr">
        <is>
          <t>ELEMENT NO. 4: WINDOWS/DOORS</t>
        </is>
      </c>
      <c r="C17" s="569" t="n"/>
      <c r="D17" s="569" t="n"/>
      <c r="E17" s="570" t="n"/>
      <c r="F17" s="571">
        <f>F190</f>
        <v>584032.95</v>
      </c>
    </row>
    <row r="18"/>
    <row r="19">
      <c r="A19" s="567" t="inlineStr">
        <is>
          <t>D</t>
        </is>
      </c>
      <c r="B19" s="568" t="inlineStr">
        <is>
          <t>ELEMENT NO. 5: FLOOR FINISHES</t>
        </is>
      </c>
      <c r="C19" s="569" t="n"/>
      <c r="D19" s="569" t="n"/>
      <c r="E19" s="570" t="n"/>
      <c r="F19" s="571">
        <f>F211</f>
        <v>345672.24</v>
      </c>
    </row>
    <row r="20"/>
    <row r="21">
      <c r="A21" s="567" t="inlineStr">
        <is>
          <t>E</t>
        </is>
      </c>
      <c r="B21" s="568" t="inlineStr">
        <is>
          <t>ELEMENT NO. 6: WALL FINISHES</t>
        </is>
      </c>
      <c r="C21" s="569" t="n"/>
      <c r="D21" s="569" t="n"/>
      <c r="E21" s="570" t="n"/>
      <c r="F21" s="571">
        <f>F228</f>
        <v>312099.76289473684</v>
      </c>
    </row>
    <row r="22"/>
    <row r="23">
      <c r="A23" s="567" t="inlineStr">
        <is>
          <t>F</t>
        </is>
      </c>
      <c r="B23" s="568" t="inlineStr">
        <is>
          <t>ELEMENT NO. 7: PAINTING AND DECORATING</t>
        </is>
      </c>
      <c r="C23" s="569" t="n"/>
      <c r="D23" s="569" t="n"/>
      <c r="E23" s="570" t="n"/>
      <c r="F23" s="571">
        <f>F249</f>
        <v>188326.4907894737</v>
      </c>
    </row>
    <row r="24"/>
    <row r="25">
      <c r="A25" s="572" t="n"/>
      <c r="B25" s="573" t="str">
        <f>B9</f>
        <v> SEVENTH FLOOR</v>
      </c>
      <c r="C25" s="574" t="n"/>
      <c r="D25" s="574" t="n"/>
      <c r="E25" s="575" t="inlineStr">
        <is>
          <t>GHC</t>
        </is>
      </c>
      <c r="F25" s="576">
        <f>SUM(F13:F24)</f>
        <v>5124646.7545592105</v>
      </c>
    </row>
    <row r="26">
      <c r="B26" s="559" t="inlineStr">
        <is>
          <t>To Bill General Summary</t>
        </is>
      </c>
    </row>
    <row r="27"/>
    <row r="28"/>
    <row r="29">
      <c r="B29" s="565" t="inlineStr">
        <is>
          <t>BILL NR. 10 - SEVENTH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1134.6*0.25</f>
        <v>283.65</v>
      </c>
      <c r="D34" s="583" t="inlineStr">
        <is>
          <t>m3</t>
        </is>
      </c>
      <c r="E34" s="584">
        <f>RATES!$D$22</f>
        <v>2650.0</v>
      </c>
      <c r="F34" s="571">
        <f>C34*E34</f>
        <v>751672.4999999999</v>
      </c>
      <c r="G34" s="585" t="inlineStr">
        <is>
          <t>1134.6*0.25</t>
        </is>
      </c>
    </row>
    <row r="35"/>
    <row r="36" ht="24" customHeight="1" s="12">
      <c r="A36" s="567" t="inlineStr">
        <is>
          <t>B</t>
        </is>
      </c>
      <c r="B36" s="581" t="inlineStr">
        <is>
          <t>Beams (downstands below slab)</t>
        </is>
      </c>
      <c r="C36" s="582">
        <f>166.8*0.3*0.35+33.1*0.2*0.35</f>
        <v>19.831</v>
      </c>
      <c r="D36" s="583" t="inlineStr">
        <is>
          <t>m3</t>
        </is>
      </c>
      <c r="E36" s="584">
        <f>RATES!$D$23</f>
        <v>2700.0</v>
      </c>
      <c r="F36" s="571">
        <f>C36*E36</f>
        <v>53543.7</v>
      </c>
      <c r="G36" s="585" t="inlineStr">
        <is>
          <t>166.8*0.3*0.35+33.1*0.2*0.35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(8*(1+0.3)+15*(0.9+0.3)+20*(0.75+0.3)+1*(0.7+0.3)+3*(1.2+0.3)+3*(1+0.3)+2*(1+0.3)+1*(0.9+0.3)+1*(1.5+0.3)+2*(0.9+0.3)+4*(0.75+0.3)+1*(0.45+0.3)+3*(0.6+0.3)+1*(3+0.3)+4*(1.6+0.3)+2*(1.3+0.3)+4*(1.8+0.3)+1*(1.2+0.3)+6*(1.8+0.3)+10*(0.9+0.3)+1*(1.8+0.3)+3*(1.2+0.3)+8*(1.2+0.3)+1*(1.2+0.3)+6*(1.5+0.3)+3*(1.5+0.3)+1*(2.4+0.3)+1*(3+0.3)+3*(1.8+0.3)+1*(0.75+0.3)+1*(1.45+0.3)+12*(0.9+0.3)+5*(0.75+0.3)+1*(0.6+0.3)+1*(1.2+0.3))*0.15*0.225</f>
        <v>6.631875000000002</v>
      </c>
      <c r="D46" s="583" t="inlineStr">
        <is>
          <t>m3</t>
        </is>
      </c>
      <c r="E46" s="584">
        <f>RATES!$D$25</f>
        <v>2600.0</v>
      </c>
      <c r="F46" s="571">
        <f>C46*E46</f>
        <v>17242.875000000004</v>
      </c>
      <c r="G46" s="585" t="inlineStr">
        <is>
          <t>(8*(1+0.3)+15*(0.9+0.3)+20*(0.75+0.3)+1*(0.7+0.3)+3*(1.2+0.3)+3*(1+0.3)+2*(1+0.3)+1*(0.9+0.3)+1*(1.5+0.3)+2*(0.9+0.3)+4*(0.75+0.3)+1*(0.45+0.3)+3*(0.6+0.3)+1*(3+0.3)+4*(1.6+0.3)+2*(1.3+0.3)+4*(1.8+0.3)+1*(1.2+0.3)+6*(1.8+0.3)+10*(0.9+0.3)+1*(1.8+0...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1134.6</f>
        <v>1134.6</v>
      </c>
      <c r="D49" s="583" t="inlineStr">
        <is>
          <t>m2</t>
        </is>
      </c>
      <c r="E49" s="584">
        <f>RATES!$D$38</f>
        <v>170.0</v>
      </c>
      <c r="F49" s="571">
        <f>C49*E49</f>
        <v>192881.99999999997</v>
      </c>
      <c r="G49" s="585" t="inlineStr">
        <is>
          <t>1134.6</t>
        </is>
      </c>
    </row>
    <row r="50"/>
    <row r="51" ht="24" customHeight="1" s="12">
      <c r="A51" s="567" t="inlineStr">
        <is>
          <t>J</t>
        </is>
      </c>
      <c r="B51" s="581" t="inlineStr">
        <is>
          <t>Edges of suspended slab 250mm high</t>
        </is>
      </c>
      <c r="C51" s="582">
        <f>294.6</f>
        <v>294.6</v>
      </c>
      <c r="D51" s="583" t="inlineStr">
        <is>
          <t>m</t>
        </is>
      </c>
      <c r="E51" s="584">
        <f>RATES!$D$40</f>
        <v>65.0</v>
      </c>
      <c r="F51" s="571">
        <f>C51*E51</f>
        <v>19149.0</v>
      </c>
      <c r="G51" s="585" t="inlineStr">
        <is>
          <t>294.6</t>
        </is>
      </c>
    </row>
    <row r="52"/>
    <row r="53" ht="24" customHeight="1" s="12">
      <c r="A53" s="567" t="inlineStr">
        <is>
          <t>K</t>
        </is>
      </c>
      <c r="B53" s="581" t="inlineStr">
        <is>
          <t>Sides and soffits of beams</t>
        </is>
      </c>
      <c r="C53" s="582">
        <f>166.8*(2*0.35+0.3)+33.1*(2*0.35+0.2)</f>
        <v>196.59</v>
      </c>
      <c r="D53" s="583" t="inlineStr">
        <is>
          <t>m2</t>
        </is>
      </c>
      <c r="E53" s="584">
        <f>RATES!$D$39</f>
        <v>200.0</v>
      </c>
      <c r="F53" s="571">
        <f>C53*E53</f>
        <v>39318.0</v>
      </c>
      <c r="G53" s="585" t="inlineStr">
        <is>
          <t>166.8*(2*0.35+0.3)+33.1*(2*0.35+0.2)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(8*(1+0.3)+15*(0.9+0.3)+20*(0.75+0.3)+1*(0.7+0.3)+3*(1.2+0.3)+3*(1+0.3)+2*(1+0.3)+1*(0.9+0.3)+1*(1.5+0.3)+2*(0.9+0.3)+4*(0.75+0.3)+1*(0.45+0.3)+3*(0.6+0.3)+1*(3+0.3)+4*(1.6+0.3)+2*(1.3+0.3)+4*(1.8+0.3)+1*(1.2+0.3)+6*(1.8+0.3)+10*(0.9+0.3)+1*(1.8+0.3)+3*(1.2+0.3)+8*(1.2+0.3)+1*(1.2+0.3)+6*(1.5+0.3)+3*(1.5+0.3)+1*(2.4+0.3)+1*(3+0.3)+3*(1.8+0.3)+1*(0.75+0.3)+1*(1.45+0.3)+12*(0.9+0.3)+5*(0.75+0.3)+1*(0.6+0.3)+1*(1.2+0.3))*(2*0.225+0.15)</f>
        <v>117.90000000000003</v>
      </c>
      <c r="D61" s="583" t="inlineStr">
        <is>
          <t>m2</t>
        </is>
      </c>
      <c r="E61" s="584">
        <f>RATES!$D$43</f>
        <v>180.0</v>
      </c>
      <c r="F61" s="571">
        <f>C61*E61</f>
        <v>21222.000000000007</v>
      </c>
      <c r="G61" s="585" t="inlineStr">
        <is>
          <t>(8*(1+0.3)+15*(0.9+0.3)+20*(0.75+0.3)+1*(0.7+0.3)+3*(1.2+0.3)+3*(1+0.3)+2*(1+0.3)+1*(0.9+0.3)+1*(1.5+0.3)+2*(0.9+0.3)+4*(0.75+0.3)+1*(0.45+0.3)+3*(0.6+0.3)+1*(3+0.3)+4*(1.6+0.3)+2*(1.3+0.3)+4*(1.8+0.3)+1*(1.2+0.3)+6*(1.8+0.3)+10*(0.9+0.3)+1*(1.8+0...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4.551</f>
        <v>4.551</v>
      </c>
      <c r="D64" s="583" t="inlineStr">
        <is>
          <t>t</t>
        </is>
      </c>
      <c r="E64" s="584">
        <f>RATES!$D$29</f>
        <v>20500.0</v>
      </c>
      <c r="F64" s="571">
        <f>C64*E64</f>
        <v>93295.5</v>
      </c>
      <c r="G64" s="585" t="inlineStr">
        <is>
          <t>4.551</t>
        </is>
      </c>
    </row>
    <row r="65"/>
    <row r="66" ht="24" customHeight="1" s="12">
      <c r="A66" s="567" t="inlineStr">
        <is>
          <t>R</t>
        </is>
      </c>
      <c r="B66" s="581" t="inlineStr">
        <is>
          <t>20mm diameter in columns</t>
        </is>
      </c>
      <c r="C66" s="582">
        <f>7.133</f>
        <v>7.133</v>
      </c>
      <c r="D66" s="583" t="inlineStr">
        <is>
          <t>t</t>
        </is>
      </c>
      <c r="E66" s="584">
        <f>RATES!$D$32</f>
        <v>19000.0</v>
      </c>
      <c r="F66" s="571">
        <f>C66*E66</f>
        <v>135527.0</v>
      </c>
      <c r="G66" s="585" t="inlineStr">
        <is>
          <t>7.133</t>
        </is>
      </c>
    </row>
    <row r="67"/>
    <row r="68" ht="24" customHeight="1" s="12">
      <c r="A68" s="567" t="inlineStr">
        <is>
          <t>S</t>
        </is>
      </c>
      <c r="B68" s="581" t="inlineStr">
        <is>
          <t>10mm diameter in beams (links)</t>
        </is>
      </c>
      <c r="C68" s="582">
        <f>1.806</f>
        <v>1.806</v>
      </c>
      <c r="D68" s="583" t="inlineStr">
        <is>
          <t>t</t>
        </is>
      </c>
      <c r="E68" s="584">
        <f>RATES!$D$29</f>
        <v>20500.0</v>
      </c>
      <c r="F68" s="571">
        <f>C68*E68</f>
        <v>37023.0</v>
      </c>
      <c r="G68" s="585" t="inlineStr">
        <is>
          <t>1.806</t>
        </is>
      </c>
    </row>
    <row r="69"/>
    <row r="70" ht="24" customHeight="1" s="12">
      <c r="A70" s="567" t="inlineStr">
        <is>
          <t>T</t>
        </is>
      </c>
      <c r="B70" s="581" t="inlineStr">
        <is>
          <t>16mm diameter in beams</t>
        </is>
      </c>
      <c r="C70" s="582">
        <f>1.248</f>
        <v>1.248</v>
      </c>
      <c r="D70" s="583" t="inlineStr">
        <is>
          <t>t</t>
        </is>
      </c>
      <c r="E70" s="584">
        <f>RATES!$D$31</f>
        <v>19500.0</v>
      </c>
      <c r="F70" s="571">
        <f>C70*E70</f>
        <v>24336.0</v>
      </c>
      <c r="G70" s="585" t="inlineStr">
        <is>
          <t>1.248</t>
        </is>
      </c>
    </row>
    <row r="71"/>
    <row r="72" ht="24" customHeight="1" s="12">
      <c r="A72" s="567" t="inlineStr">
        <is>
          <t>U</t>
        </is>
      </c>
      <c r="B72" s="581" t="inlineStr">
        <is>
          <t>20mm diameter in beams</t>
        </is>
      </c>
      <c r="C72" s="582">
        <f>2.135</f>
        <v>2.135</v>
      </c>
      <c r="D72" s="583" t="inlineStr">
        <is>
          <t>t</t>
        </is>
      </c>
      <c r="E72" s="584">
        <f>RATES!$D$32</f>
        <v>19000.0</v>
      </c>
      <c r="F72" s="571">
        <f>C72*E72</f>
        <v>40564.99999999999</v>
      </c>
      <c r="G72" s="585" t="inlineStr">
        <is>
          <t>2.135</t>
        </is>
      </c>
    </row>
    <row r="73"/>
    <row r="74" ht="24" customHeight="1" s="12">
      <c r="A74" s="567" t="inlineStr">
        <is>
          <t>V</t>
        </is>
      </c>
      <c r="B74" s="581" t="inlineStr">
        <is>
          <t>25mm diameter in beams</t>
        </is>
      </c>
      <c r="C74" s="582">
        <f>5.507</f>
        <v>5.507</v>
      </c>
      <c r="D74" s="583" t="inlineStr">
        <is>
          <t>t</t>
        </is>
      </c>
      <c r="E74" s="584">
        <f>RATES!$D$33</f>
        <v>19000.0</v>
      </c>
      <c r="F74" s="571">
        <f>C74*E74</f>
        <v>104633.0</v>
      </c>
      <c r="G74" s="585" t="inlineStr">
        <is>
          <t>5.507</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20mm diameter in shear &amp; lift walls</t>
        </is>
      </c>
      <c r="C80" s="582">
        <f>6.904+3.320</f>
        <v>10.224</v>
      </c>
      <c r="D80" s="583" t="inlineStr">
        <is>
          <t>t</t>
        </is>
      </c>
      <c r="E80" s="584">
        <f>RATES!$D$32</f>
        <v>19000.0</v>
      </c>
      <c r="F80" s="571">
        <f>C80*E80</f>
        <v>194256.0</v>
      </c>
      <c r="G80" s="585" t="inlineStr">
        <is>
          <t>6.904+3.320</t>
        </is>
      </c>
    </row>
    <row r="81"/>
    <row r="82" ht="24" customHeight="1" s="12">
      <c r="A82" s="567" t="inlineStr">
        <is>
          <t>Z</t>
        </is>
      </c>
      <c r="B82" s="581" t="inlineStr">
        <is>
          <t>12mm diameter in stairs</t>
        </is>
      </c>
      <c r="C82" s="582">
        <f>0.880</f>
        <v>0.88</v>
      </c>
      <c r="D82" s="583" t="inlineStr">
        <is>
          <t>t</t>
        </is>
      </c>
      <c r="E82" s="584">
        <f>RATES!$D$30</f>
        <v>20000.0</v>
      </c>
      <c r="F82" s="571">
        <f>C82*E82</f>
        <v>17600.0</v>
      </c>
      <c r="G82" s="585" t="inlineStr">
        <is>
          <t>0.880</t>
        </is>
      </c>
    </row>
    <row r="83"/>
    <row r="84" ht="24" customHeight="1" s="12">
      <c r="A84" s="567" t="inlineStr">
        <is>
          <t>A</t>
        </is>
      </c>
      <c r="B84" s="581" t="inlineStr">
        <is>
          <t>16mm diameter in stairs</t>
        </is>
      </c>
      <c r="C84" s="582">
        <f>1.434</f>
        <v>1.434</v>
      </c>
      <c r="D84" s="583" t="inlineStr">
        <is>
          <t>t</t>
        </is>
      </c>
      <c r="E84" s="584">
        <f>RATES!$D$31</f>
        <v>19500.0</v>
      </c>
      <c r="F84" s="571">
        <f>C84*E84</f>
        <v>27963.0</v>
      </c>
      <c r="G84" s="585" t="inlineStr">
        <is>
          <t>1.434</t>
        </is>
      </c>
    </row>
    <row r="85"/>
    <row r="86" ht="24" customHeight="1" s="12">
      <c r="A86" s="567" t="inlineStr">
        <is>
          <t>B</t>
        </is>
      </c>
      <c r="B86" s="581" t="inlineStr">
        <is>
          <t>12mm diameter for suspended slab</t>
        </is>
      </c>
      <c r="C86" s="582">
        <f>49.804</f>
        <v>49.804</v>
      </c>
      <c r="D86" s="583" t="inlineStr">
        <is>
          <t>t</t>
        </is>
      </c>
      <c r="E86" s="584">
        <f>RATES!$D$30</f>
        <v>20000.0</v>
      </c>
      <c r="F86" s="571">
        <f>C86*E86</f>
        <v>996080.0</v>
      </c>
      <c r="G86" s="585" t="inlineStr">
        <is>
          <t>49.804</t>
        </is>
      </c>
    </row>
    <row r="87"/>
    <row r="88" ht="24" customHeight="1" s="12">
      <c r="A88" s="567" t="inlineStr">
        <is>
          <t>C</t>
        </is>
      </c>
      <c r="B88" s="581" t="inlineStr">
        <is>
          <t>16mm diameter for suspended slab</t>
        </is>
      </c>
      <c r="C88" s="582">
        <f>0.151</f>
        <v>0.151</v>
      </c>
      <c r="D88" s="583" t="inlineStr">
        <is>
          <t>t</t>
        </is>
      </c>
      <c r="E88" s="584">
        <f>RATES!$D$31</f>
        <v>19500.0</v>
      </c>
      <c r="F88" s="571">
        <f>C88*E88</f>
        <v>2944.5</v>
      </c>
      <c r="G88" s="585" t="inlineStr">
        <is>
          <t>0.151</t>
        </is>
      </c>
    </row>
    <row r="89"/>
    <row r="90">
      <c r="A90" s="572" t="n"/>
      <c r="B90" s="586" t="str">
        <f>B31</f>
        <v>ELEMENT NO. 1: IN SITU CONCRETE/LARGE PRECAST CONCRETE</v>
      </c>
      <c r="C90" s="574" t="n"/>
      <c r="D90" s="574" t="n"/>
      <c r="E90" s="587" t="n"/>
      <c r="F90" s="576">
        <f>SUM(F33:F89)</f>
        <v>3313248.4358749995</v>
      </c>
    </row>
    <row r="91">
      <c r="B91" s="559" t="inlineStr">
        <is>
          <t>Carried to Bill Summary</t>
        </is>
      </c>
    </row>
    <row r="92"/>
    <row r="93"/>
    <row r="94">
      <c r="A94" s="577" t="n"/>
      <c r="B94" s="578" t="inlineStr">
        <is>
          <t>ELEMENT NO. 2: MASONRY</t>
        </is>
      </c>
      <c r="C94" s="569" t="n"/>
      <c r="D94" s="569" t="n"/>
      <c r="E94" s="570" t="n"/>
      <c r="F94" s="579" t="n"/>
    </row>
    <row r="95"/>
    <row r="96" ht="24" customHeight="1" s="12">
      <c r="A96" s="577" t="n"/>
      <c r="B96" s="580" t="inlineStr">
        <is>
          <t>F10 BRICK/BLOCK WALL - Solid sandcrete blockwork in cement and sand (1:4) mortar as described in:</t>
        </is>
      </c>
      <c r="C96" s="569" t="n"/>
      <c r="D96" s="569" t="n"/>
      <c r="E96" s="570" t="n"/>
      <c r="F96" s="579" t="n"/>
    </row>
    <row r="97" ht="24" customHeight="1" s="12">
      <c r="A97" s="567" t="inlineStr">
        <is>
          <t>A</t>
        </is>
      </c>
      <c r="B97" s="581" t="inlineStr">
        <is>
          <t>150mm thick wall</t>
        </is>
      </c>
      <c r="C97" s="582">
        <f>449.8*3.05+(8*1*(3.05-2.2)+15*0.9*(3.05-2.2)+20*0.75*(3.05-2.2)+1*0.7*(3.05-2.2)+3*1.2*(3.05-2.2)+3*1*(3.05-2.2)+2*1*(3.05-2.2)+1*0.9*(3.05-2.2)+1*1.5*(3.05-2.2)+2*0.9*(3.05-2.2)+4*0.75*(3.05-2.2)+1*0.45*(3.05-2.2)+3*0.6*(3.05-2.2)+1*3*(3.05-2.2)+4*1.6*(3.05-2.2)+2*1.3*(3.05-2.2)+4*1.8*(3.05-2.2)+1*1.2*(3.05-2.2)+6*1.8*(3.05-1.3)+10*0.9*(3.05-1.3)+1*1.8*(3.05-1.6)+3*1.2*(3.05-1.9)+8*1.2*(3.05-1.15)+1*1.2*(3.05-1.2)+6*1.5*(3.05-1.3)+3*1.5*(3.05-1.15)+1*2.4*(3.05-1.3)+1*3*(3.05-1.6)+3*1.8*(3.05-1.9)+1*0.75*(3.05-1.3)+1*1.45*(3.05-1.9)+12*0.9*(3.05-0.6)+5*0.75*(3.05-0.6)+1*0.6*(3.05-0.6)+1*1.2*(3.05-0.6))*0.900</f>
        <v>1559.3239999999998</v>
      </c>
      <c r="D97" s="583" t="inlineStr">
        <is>
          <t>m2</t>
        </is>
      </c>
      <c r="E97" s="584">
        <f>RATES!$D$46</f>
        <v>215.0</v>
      </c>
      <c r="F97" s="571">
        <f>C97*E97</f>
        <v>335254.66</v>
      </c>
      <c r="G97" s="585" t="inlineStr">
        <is>
          <t>449.8*3.05+(8*1*(3.05-2.2)+15*0.9*(3.05-2.2)+20*0.75*(3.05-2.2)+1*0.7*(3.05-2.2)+3*1.2*(3.05-2.2)+3*1*(3.05-2.2)+2*1*(3.05-2.2)+1*0.9*(3.05-2.2)+1*1.5*(3.05-2.2)+2*0.9*(3.05-2.2)+4*0.75*(3.05-2.2)+1*0.45*(3.05-2.2)+3*0.6*(3.05-2.2)+1*3*(3.05-2.2)+...</t>
        </is>
      </c>
    </row>
    <row r="98"/>
    <row r="99" ht="24" customHeight="1" s="12">
      <c r="A99" s="567" t="inlineStr">
        <is>
          <t>B</t>
        </is>
      </c>
      <c r="B99" s="581" t="inlineStr">
        <is>
          <t>200mm thick wall</t>
        </is>
      </c>
      <c r="C99" s="582">
        <f>50.1*3.05+(8*1*(3.05-2.2)+15*0.9*(3.05-2.2)+20*0.75*(3.05-2.2)+1*0.7*(3.05-2.2)+3*1.2*(3.05-2.2)+3*1*(3.05-2.2)+2*1*(3.05-2.2)+1*0.9*(3.05-2.2)+1*1.5*(3.05-2.2)+2*0.9*(3.05-2.2)+4*0.75*(3.05-2.2)+1*0.45*(3.05-2.2)+3*0.6*(3.05-2.2)+1*3*(3.05-2.2)+4*1.6*(3.05-2.2)+2*1.3*(3.05-2.2)+4*1.8*(3.05-2.2)+1*1.2*(3.05-2.2)+6*1.8*(3.05-1.3)+10*0.9*(3.05-1.3)+1*1.8*(3.05-1.6)+3*1.2*(3.05-1.9)+8*1.2*(3.05-1.15)+1*1.2*(3.05-1.2)+6*1.5*(3.05-1.3)+3*1.5*(3.05-1.15)+1*2.4*(3.05-1.3)+1*3*(3.05-1.6)+3*1.8*(3.05-1.9)+1*0.75*(3.05-1.3)+1*1.45*(3.05-1.9)+12*0.9*(3.05-0.6)+5*0.75*(3.05-0.6)+1*0.6*(3.05-0.6)+1*1.2*(3.05-0.6))*0.100</f>
        <v>173.631</v>
      </c>
      <c r="D99" s="583" t="inlineStr">
        <is>
          <t>m2</t>
        </is>
      </c>
      <c r="E99" s="584">
        <f>RATES!$D$47</f>
        <v>265.0</v>
      </c>
      <c r="F99" s="571">
        <f>C99*E99</f>
        <v>46012.215</v>
      </c>
      <c r="G99" s="585" t="inlineStr">
        <is>
          <t>50.1*3.05+(8*1*(3.05-2.2)+15*0.9*(3.05-2.2)+20*0.75*(3.05-2.2)+1*0.7*(3.05-2.2)+3*1.2*(3.05-2.2)+3*1*(3.05-2.2)+2*1*(3.05-2.2)+1*0.9*(3.05-2.2)+1*1.5*(3.05-2.2)+2*0.9*(3.05-2.2)+4*0.75*(3.05-2.2)+1*0.45*(3.05-2.2)+3*0.6*(3.05-2.2)+1*3*(3.05-2.2)+4...</t>
        </is>
      </c>
    </row>
    <row r="100"/>
    <row r="101">
      <c r="A101" s="572" t="n"/>
      <c r="B101" s="586" t="str">
        <f>B94</f>
        <v>ELEMENT NO. 2: MASONRY</v>
      </c>
      <c r="C101" s="574" t="n"/>
      <c r="D101" s="574" t="n"/>
      <c r="E101" s="587" t="n"/>
      <c r="F101" s="576">
        <f>SUM(F96:F100)</f>
        <v>381266.875</v>
      </c>
    </row>
    <row r="102">
      <c r="B102" s="559" t="inlineStr">
        <is>
          <t>Carried to Bill Summary</t>
        </is>
      </c>
    </row>
    <row r="103"/>
    <row r="104"/>
    <row r="105">
      <c r="A105" s="577" t="n"/>
      <c r="B105" s="578" t="inlineStr">
        <is>
          <t>ELEMENT NO. 4: WINDOWS/DOORS</t>
        </is>
      </c>
      <c r="C105" s="569" t="n"/>
      <c r="D105" s="569" t="n"/>
      <c r="E105" s="570" t="n"/>
      <c r="F105" s="579" t="n"/>
    </row>
    <row r="106"/>
    <row r="107" ht="48" customHeight="1" s="12">
      <c r="A107" s="577" t="n"/>
      <c r="B107" s="580" t="inlineStr">
        <is>
          <t>L20 DOORS - Supply and fix the following door assemblies complete with frames, ironmongery sets to steel doors and all accessories:</t>
        </is>
      </c>
      <c r="C107" s="569" t="n"/>
      <c r="D107" s="569" t="n"/>
      <c r="E107" s="570" t="n"/>
      <c r="F107" s="579" t="n"/>
    </row>
    <row r="108" ht="24" customHeight="1" s="12">
      <c r="A108" s="567" t="inlineStr">
        <is>
          <t>A</t>
        </is>
      </c>
      <c r="B108" s="581" t="inlineStr">
        <is>
          <t>1000mm x 2200mm 1-hour fire-rated galvanised steel single-leaf security door assembly (D2)</t>
        </is>
      </c>
      <c r="C108" s="582">
        <f>8</f>
        <v>8.0</v>
      </c>
      <c r="D108" s="583" t="inlineStr">
        <is>
          <t>nr</t>
        </is>
      </c>
      <c r="E108" s="584">
        <f>RATES!$D$75</f>
        <v>7800.0</v>
      </c>
      <c r="F108" s="571">
        <f>C108*E108</f>
        <v>62400.0</v>
      </c>
      <c r="G108" s="585" t="inlineStr">
        <is>
          <t>8</t>
        </is>
      </c>
    </row>
    <row r="109"/>
    <row r="110" ht="24" customHeight="1" s="12">
      <c r="A110" s="567" t="inlineStr">
        <is>
          <t>B</t>
        </is>
      </c>
      <c r="B110" s="581" t="inlineStr">
        <is>
          <t>900mm x 2200mm single leaf timber panel door (D3)</t>
        </is>
      </c>
      <c r="C110" s="582">
        <f>15</f>
        <v>15.0</v>
      </c>
      <c r="D110" s="583" t="inlineStr">
        <is>
          <t>nr</t>
        </is>
      </c>
      <c r="E110" s="584">
        <f>RATES!$D$76</f>
        <v>3400.0</v>
      </c>
      <c r="F110" s="571">
        <f>C110*E110</f>
        <v>51000.0</v>
      </c>
      <c r="G110" s="585" t="inlineStr">
        <is>
          <t>15</t>
        </is>
      </c>
    </row>
    <row r="111"/>
    <row r="112" ht="24" customHeight="1" s="12">
      <c r="A112" s="567" t="inlineStr">
        <is>
          <t>C</t>
        </is>
      </c>
      <c r="B112" s="581" t="inlineStr">
        <is>
          <t>750mm x 2200mm single leaf timber flush door (D6)</t>
        </is>
      </c>
      <c r="C112" s="582">
        <f>20</f>
        <v>20.0</v>
      </c>
      <c r="D112" s="583" t="inlineStr">
        <is>
          <t>nr</t>
        </is>
      </c>
      <c r="E112" s="584">
        <f>RATES!$D$79</f>
        <v>1900.0</v>
      </c>
      <c r="F112" s="571">
        <f>C112*E112</f>
        <v>38000.0</v>
      </c>
      <c r="G112" s="585" t="inlineStr">
        <is>
          <t>20</t>
        </is>
      </c>
    </row>
    <row r="113"/>
    <row r="114" ht="24" customHeight="1" s="12">
      <c r="A114" s="567" t="inlineStr">
        <is>
          <t>D</t>
        </is>
      </c>
      <c r="B114" s="581" t="inlineStr">
        <is>
          <t>700mm x 2200mm single-leaf 2-hour fire-rated galvanised steel door (D7)</t>
        </is>
      </c>
      <c r="C114" s="582">
        <f>1</f>
        <v>1.0</v>
      </c>
      <c r="D114" s="583" t="inlineStr">
        <is>
          <t>nr</t>
        </is>
      </c>
      <c r="E114" s="584">
        <f>RATES!$D$80</f>
        <v>6800.0</v>
      </c>
      <c r="F114" s="571">
        <f>C114*E114</f>
        <v>6800.0</v>
      </c>
      <c r="G114" s="585" t="inlineStr">
        <is>
          <t>1</t>
        </is>
      </c>
    </row>
    <row r="115"/>
    <row r="116" ht="24" customHeight="1" s="12">
      <c r="A116" s="567" t="inlineStr">
        <is>
          <t>E</t>
        </is>
      </c>
      <c r="B116" s="581" t="inlineStr">
        <is>
          <t>1200mm x 2200mm 1-hour fire-rated leaf-and-a-half galvanised steel security door assembly (D8)</t>
        </is>
      </c>
      <c r="C116" s="582">
        <f>3</f>
        <v>3.0</v>
      </c>
      <c r="D116" s="583" t="inlineStr">
        <is>
          <t>nr</t>
        </is>
      </c>
      <c r="E116" s="584">
        <f>RATES!$D$81</f>
        <v>9800.0</v>
      </c>
      <c r="F116" s="571">
        <f>C116*E116</f>
        <v>29400.0</v>
      </c>
      <c r="G116" s="585" t="inlineStr">
        <is>
          <t>3</t>
        </is>
      </c>
    </row>
    <row r="117"/>
    <row r="118" ht="48" customHeight="1" s="12">
      <c r="A118" s="567" t="inlineStr">
        <is>
          <t>F</t>
        </is>
      </c>
      <c r="B118" s="581" t="inlineStr">
        <is>
          <t>1000mm x 2200mm 1-hour fire-rated galvanised steel single-leaf security door assembly - emergency stairs (ED1)</t>
        </is>
      </c>
      <c r="C118" s="582">
        <f>3</f>
        <v>3.0</v>
      </c>
      <c r="D118" s="583" t="inlineStr">
        <is>
          <t>nr</t>
        </is>
      </c>
      <c r="E118" s="584">
        <f>RATES!$D$82</f>
        <v>7200.0</v>
      </c>
      <c r="F118" s="571">
        <f>C118*E118</f>
        <v>21600.0</v>
      </c>
      <c r="G118" s="585" t="inlineStr">
        <is>
          <t>3</t>
        </is>
      </c>
    </row>
    <row r="119"/>
    <row r="120" ht="48" customHeight="1" s="12">
      <c r="A120" s="567" t="inlineStr">
        <is>
          <t>G</t>
        </is>
      </c>
      <c r="B120" s="581" t="inlineStr">
        <is>
          <t>1000mm x 2200mm 1-hour fire-rated galvanised steel single-leaf security door with translucent glass panel (ED2)</t>
        </is>
      </c>
      <c r="C120" s="582">
        <f>2</f>
        <v>2.0</v>
      </c>
      <c r="D120" s="583" t="inlineStr">
        <is>
          <t>nr</t>
        </is>
      </c>
      <c r="E120" s="584">
        <f>RATES!$D$83</f>
        <v>8100.0</v>
      </c>
      <c r="F120" s="571">
        <f>C120*E120</f>
        <v>16200.0</v>
      </c>
      <c r="G120" s="585" t="inlineStr">
        <is>
          <t>2</t>
        </is>
      </c>
    </row>
    <row r="121"/>
    <row r="122" ht="24" customHeight="1" s="12">
      <c r="A122" s="567" t="inlineStr">
        <is>
          <t>H</t>
        </is>
      </c>
      <c r="B122" s="581" t="inlineStr">
        <is>
          <t>900mm x 2200mm 1-hour fire-rated galvanised steel single-leaf security door assembly (D9)</t>
        </is>
      </c>
      <c r="C122" s="582">
        <f>1</f>
        <v>1.0</v>
      </c>
      <c r="D122" s="583" t="inlineStr">
        <is>
          <t>nr</t>
        </is>
      </c>
      <c r="E122" s="584">
        <f>RATES!$D$84</f>
        <v>6900.0</v>
      </c>
      <c r="F122" s="571">
        <f>C122*E122</f>
        <v>6900.0</v>
      </c>
      <c r="G122" s="585" t="inlineStr">
        <is>
          <t>1</t>
        </is>
      </c>
    </row>
    <row r="123"/>
    <row r="124" ht="24" customHeight="1" s="12">
      <c r="A124" s="567" t="inlineStr">
        <is>
          <t>J</t>
        </is>
      </c>
      <c r="B124" s="581" t="inlineStr">
        <is>
          <t>1500mm x 2200mm timber bi-fold door (FD1)</t>
        </is>
      </c>
      <c r="C124" s="582">
        <f>1</f>
        <v>1.0</v>
      </c>
      <c r="D124" s="583" t="inlineStr">
        <is>
          <t>nr</t>
        </is>
      </c>
      <c r="E124" s="584">
        <f>RATES!$D$86</f>
        <v>4600.0</v>
      </c>
      <c r="F124" s="571">
        <f>C124*E124</f>
        <v>4600.0</v>
      </c>
      <c r="G124" s="585" t="inlineStr">
        <is>
          <t>1</t>
        </is>
      </c>
    </row>
    <row r="125"/>
    <row r="126" ht="24" customHeight="1" s="12">
      <c r="A126" s="567" t="inlineStr">
        <is>
          <t>K</t>
        </is>
      </c>
      <c r="B126" s="581" t="inlineStr">
        <is>
          <t>900mm x 2200mm screw-fixed galvanised steel service access panel (M1)</t>
        </is>
      </c>
      <c r="C126" s="582">
        <f>2</f>
        <v>2.0</v>
      </c>
      <c r="D126" s="583" t="inlineStr">
        <is>
          <t>nr</t>
        </is>
      </c>
      <c r="E126" s="584">
        <f>RATES!$D$87</f>
        <v>2900.0</v>
      </c>
      <c r="F126" s="571">
        <f>C126*E126</f>
        <v>5800.0</v>
      </c>
      <c r="G126" s="585" t="inlineStr">
        <is>
          <t>2</t>
        </is>
      </c>
    </row>
    <row r="127"/>
    <row r="128" ht="24" customHeight="1" s="12">
      <c r="A128" s="567" t="inlineStr">
        <is>
          <t>L</t>
        </is>
      </c>
      <c r="B128" s="581" t="inlineStr">
        <is>
          <t>750mm x 2200mm screw-fixed galvanised steel service access panel (M2)</t>
        </is>
      </c>
      <c r="C128" s="582">
        <f>4</f>
        <v>4.0</v>
      </c>
      <c r="D128" s="583" t="inlineStr">
        <is>
          <t>nr</t>
        </is>
      </c>
      <c r="E128" s="584">
        <f>RATES!$D$88</f>
        <v>2600.0</v>
      </c>
      <c r="F128" s="571">
        <f>C128*E128</f>
        <v>10400.0</v>
      </c>
      <c r="G128" s="585" t="inlineStr">
        <is>
          <t>4</t>
        </is>
      </c>
    </row>
    <row r="129"/>
    <row r="130" ht="24" customHeight="1" s="12">
      <c r="A130" s="567" t="inlineStr">
        <is>
          <t>M</t>
        </is>
      </c>
      <c r="B130" s="581" t="inlineStr">
        <is>
          <t>450mm x 2200mm screw-fixed galvanised steel service access panel (M3)</t>
        </is>
      </c>
      <c r="C130" s="582">
        <f>1</f>
        <v>1.0</v>
      </c>
      <c r="D130" s="583" t="inlineStr">
        <is>
          <t>nr</t>
        </is>
      </c>
      <c r="E130" s="584">
        <f>RATES!$D$89</f>
        <v>1900.0</v>
      </c>
      <c r="F130" s="571">
        <f>C130*E130</f>
        <v>1900.0</v>
      </c>
      <c r="G130" s="585" t="inlineStr">
        <is>
          <t>1</t>
        </is>
      </c>
    </row>
    <row r="131"/>
    <row r="132" ht="24" customHeight="1" s="12">
      <c r="A132" s="567" t="inlineStr">
        <is>
          <t>N</t>
        </is>
      </c>
      <c r="B132" s="581" t="inlineStr">
        <is>
          <t>600mm x 2200mm screw-fixed galvanised steel service access panel (M5)</t>
        </is>
      </c>
      <c r="C132" s="582">
        <f>3</f>
        <v>3.0</v>
      </c>
      <c r="D132" s="583" t="inlineStr">
        <is>
          <t>nr</t>
        </is>
      </c>
      <c r="E132" s="584">
        <f>RATES!$D$90</f>
        <v>2200.0</v>
      </c>
      <c r="F132" s="571">
        <f>C132*E132</f>
        <v>6600.0</v>
      </c>
      <c r="G132" s="585" t="inlineStr">
        <is>
          <t>3</t>
        </is>
      </c>
    </row>
    <row r="133"/>
    <row r="134" ht="24" customHeight="1" s="12">
      <c r="A134" s="567" t="inlineStr">
        <is>
          <t>P</t>
        </is>
      </c>
      <c r="B134" s="581" t="inlineStr">
        <is>
          <t>3000mm x 2200mm 3-panel galvanised steel framed tempered glass sliding door (SD1)</t>
        </is>
      </c>
      <c r="C134" s="582">
        <f>1</f>
        <v>1.0</v>
      </c>
      <c r="D134" s="583" t="inlineStr">
        <is>
          <t>nr</t>
        </is>
      </c>
      <c r="E134" s="584">
        <f>RATES!$D$94</f>
        <v>14500.0</v>
      </c>
      <c r="F134" s="571">
        <f>C134*E134</f>
        <v>14500.0</v>
      </c>
      <c r="G134" s="585" t="inlineStr">
        <is>
          <t>1</t>
        </is>
      </c>
    </row>
    <row r="135"/>
    <row r="136" ht="24" customHeight="1" s="12">
      <c r="A136" s="567" t="inlineStr">
        <is>
          <t>Q</t>
        </is>
      </c>
      <c r="B136" s="581" t="inlineStr">
        <is>
          <t>1600mm x 2200mm 2-panel galvanised steel framed tempered glass sliding door (SD2)</t>
        </is>
      </c>
      <c r="C136" s="582">
        <f>4</f>
        <v>4.0</v>
      </c>
      <c r="D136" s="583" t="inlineStr">
        <is>
          <t>nr</t>
        </is>
      </c>
      <c r="E136" s="584">
        <f>RATES!$D$95</f>
        <v>8800.0</v>
      </c>
      <c r="F136" s="571">
        <f>C136*E136</f>
        <v>35200.0</v>
      </c>
      <c r="G136" s="585" t="inlineStr">
        <is>
          <t>4</t>
        </is>
      </c>
    </row>
    <row r="137"/>
    <row r="138" ht="24" customHeight="1" s="12">
      <c r="A138" s="567" t="inlineStr">
        <is>
          <t>R</t>
        </is>
      </c>
      <c r="B138" s="581" t="inlineStr">
        <is>
          <t>1300mm x 2200mm 2-panel galvanised steel framed tempered glass sliding door (SD3)</t>
        </is>
      </c>
      <c r="C138" s="582">
        <f>2</f>
        <v>2.0</v>
      </c>
      <c r="D138" s="583" t="inlineStr">
        <is>
          <t>nr</t>
        </is>
      </c>
      <c r="E138" s="584">
        <f>RATES!$D$96</f>
        <v>7600.0</v>
      </c>
      <c r="F138" s="571">
        <f>C138*E138</f>
        <v>15200.0</v>
      </c>
      <c r="G138" s="585" t="inlineStr">
        <is>
          <t>2</t>
        </is>
      </c>
    </row>
    <row r="139"/>
    <row r="140" ht="24" customHeight="1" s="12">
      <c r="A140" s="567" t="inlineStr">
        <is>
          <t>S</t>
        </is>
      </c>
      <c r="B140" s="581" t="inlineStr">
        <is>
          <t>1800mm x 2200mm 2-panel galvanised steel framed tempered glass sliding door (SD4)</t>
        </is>
      </c>
      <c r="C140" s="582">
        <f>4</f>
        <v>4.0</v>
      </c>
      <c r="D140" s="583" t="inlineStr">
        <is>
          <t>nr</t>
        </is>
      </c>
      <c r="E140" s="584">
        <f>RATES!$D$97</f>
        <v>9300.0</v>
      </c>
      <c r="F140" s="571">
        <f>C140*E140</f>
        <v>37200.0</v>
      </c>
      <c r="G140" s="585" t="inlineStr">
        <is>
          <t>4</t>
        </is>
      </c>
    </row>
    <row r="141"/>
    <row r="142" ht="24" customHeight="1" s="12">
      <c r="A142" s="567" t="inlineStr">
        <is>
          <t>T</t>
        </is>
      </c>
      <c r="B142" s="581" t="inlineStr">
        <is>
          <t>1200mm x 2200mm 2-panel galvanised steel framed tempered glass sliding door (SD5)</t>
        </is>
      </c>
      <c r="C142" s="582">
        <f>1</f>
        <v>1.0</v>
      </c>
      <c r="D142" s="583" t="inlineStr">
        <is>
          <t>nr</t>
        </is>
      </c>
      <c r="E142" s="584">
        <f>RATES!$D$98</f>
        <v>7200.0</v>
      </c>
      <c r="F142" s="571">
        <f>C142*E142</f>
        <v>7200.0</v>
      </c>
      <c r="G142" s="585" t="inlineStr">
        <is>
          <t>1</t>
        </is>
      </c>
    </row>
    <row r="143"/>
    <row r="144" ht="24" customHeight="1" s="12">
      <c r="A144" s="567" t="inlineStr">
        <is>
          <t>U</t>
        </is>
      </c>
      <c r="B144" s="581" t="inlineStr">
        <is>
          <t>50mm x 150mm frames (to timber doors)</t>
        </is>
      </c>
      <c r="C144" s="582">
        <f>15*(2*2.2+0.9)+20*(2*2.2+0.75)+1*(2*2.2+1.5)</f>
        <v>188.4</v>
      </c>
      <c r="D144" s="583" t="inlineStr">
        <is>
          <t>m</t>
        </is>
      </c>
      <c r="E144" s="584">
        <f>RATES!$D$100</f>
        <v>125.0</v>
      </c>
      <c r="F144" s="571">
        <f>C144*E144</f>
        <v>23550.0</v>
      </c>
      <c r="G144" s="585" t="inlineStr">
        <is>
          <t>15*(2*2.2+0.9)+20*(2*2.2+0.75)+1*(2*2.2+1.5)</t>
        </is>
      </c>
    </row>
    <row r="145"/>
    <row r="146" ht="24" customHeight="1" s="12">
      <c r="A146" s="567" t="inlineStr">
        <is>
          <t>V</t>
        </is>
      </c>
      <c r="B146" s="581" t="inlineStr">
        <is>
          <t>50mm x 12mm door stop</t>
        </is>
      </c>
      <c r="C146" s="582">
        <f>15*(2*2.2+0.9)+20*(2*2.2+0.75)+1*(2*2.2+1.5)</f>
        <v>188.4</v>
      </c>
      <c r="D146" s="583" t="inlineStr">
        <is>
          <t>m</t>
        </is>
      </c>
      <c r="E146" s="584">
        <f>RATES!$D$101</f>
        <v>28.0</v>
      </c>
      <c r="F146" s="571">
        <f>C146*E146</f>
        <v>5275.2</v>
      </c>
      <c r="G146" s="585" t="inlineStr">
        <is>
          <t>15*(2*2.2+0.9)+20*(2*2.2+0.75)+1*(2*2.2+1.5)</t>
        </is>
      </c>
    </row>
    <row r="147"/>
    <row r="148" ht="48" customHeight="1" s="12">
      <c r="A148" s="577" t="n"/>
      <c r="B148" s="580" t="inlineStr">
        <is>
          <t>Ironmongery - Supply and fix the following approved ironmongery to hardwood with accompanying patented screws:</t>
        </is>
      </c>
      <c r="C148" s="569" t="n"/>
      <c r="D148" s="569" t="n"/>
      <c r="E148" s="570" t="n"/>
      <c r="F148" s="579" t="n"/>
    </row>
    <row r="149" ht="24" customHeight="1" s="12">
      <c r="A149" s="567" t="inlineStr">
        <is>
          <t>W</t>
        </is>
      </c>
      <c r="B149" s="581" t="inlineStr">
        <is>
          <t>Pair 100mm brass butt hinges</t>
        </is>
      </c>
      <c r="C149" s="582">
        <f>53</f>
        <v>53.0</v>
      </c>
      <c r="D149" s="583" t="inlineStr">
        <is>
          <t>pr</t>
        </is>
      </c>
      <c r="E149" s="584">
        <f>RATES!$D$102</f>
        <v>125.0</v>
      </c>
      <c r="F149" s="571">
        <f>C149*E149</f>
        <v>6625.0</v>
      </c>
      <c r="G149" s="585" t="inlineStr">
        <is>
          <t>53</t>
        </is>
      </c>
    </row>
    <row r="150"/>
    <row r="151" ht="24" customHeight="1" s="12">
      <c r="A151" s="567" t="inlineStr">
        <is>
          <t>X</t>
        </is>
      </c>
      <c r="B151" s="581" t="inlineStr">
        <is>
          <t>Ordinary locks</t>
        </is>
      </c>
      <c r="C151" s="582">
        <f>15</f>
        <v>15.0</v>
      </c>
      <c r="D151" s="583" t="inlineStr">
        <is>
          <t>nr</t>
        </is>
      </c>
      <c r="E151" s="584">
        <f>RATES!$D$103</f>
        <v>480.0</v>
      </c>
      <c r="F151" s="571">
        <f>C151*E151</f>
        <v>7200.0</v>
      </c>
      <c r="G151" s="585" t="inlineStr">
        <is>
          <t>15</t>
        </is>
      </c>
    </row>
    <row r="152"/>
    <row r="153" ht="24" customHeight="1" s="12">
      <c r="A153" s="567" t="inlineStr">
        <is>
          <t>Y</t>
        </is>
      </c>
      <c r="B153" s="581" t="inlineStr">
        <is>
          <t>Approved high quality mortice indicator lock</t>
        </is>
      </c>
      <c r="C153" s="582">
        <f>20</f>
        <v>20.0</v>
      </c>
      <c r="D153" s="583" t="inlineStr">
        <is>
          <t>nr</t>
        </is>
      </c>
      <c r="E153" s="584">
        <f>RATES!$D$104</f>
        <v>560.0</v>
      </c>
      <c r="F153" s="571">
        <f>C153*E153</f>
        <v>11200.0</v>
      </c>
      <c r="G153" s="585" t="inlineStr">
        <is>
          <t>20</t>
        </is>
      </c>
    </row>
    <row r="154"/>
    <row r="155" ht="72" customHeight="1" s="12">
      <c r="A155" s="577" t="n"/>
      <c r="B155"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5" s="569" t="n"/>
      <c r="D155" s="569" t="n"/>
      <c r="E155" s="570" t="n"/>
      <c r="F155" s="579" t="n"/>
    </row>
    <row r="156" ht="24" customHeight="1" s="12">
      <c r="A156" s="567" t="inlineStr">
        <is>
          <t>Z</t>
        </is>
      </c>
      <c r="B156" s="581" t="inlineStr">
        <is>
          <t>2 bay alu. framed glass sliding window 1800mm x 1300mm (W2)</t>
        </is>
      </c>
      <c r="C156" s="582">
        <f>6</f>
        <v>6.0</v>
      </c>
      <c r="D156" s="583" t="inlineStr">
        <is>
          <t>nr</t>
        </is>
      </c>
      <c r="E156" s="584">
        <f>RATES!$D$109</f>
        <v>3861.0000000000005</v>
      </c>
      <c r="F156" s="571">
        <f>C156*E156</f>
        <v>23166.000000000004</v>
      </c>
      <c r="G156" s="585" t="inlineStr">
        <is>
          <t>6</t>
        </is>
      </c>
    </row>
    <row r="157"/>
    <row r="158" ht="24" customHeight="1" s="12">
      <c r="A158" s="567" t="inlineStr">
        <is>
          <t>A</t>
        </is>
      </c>
      <c r="B158" s="581" t="inlineStr">
        <is>
          <t>1 bay alu. framed glass awning window 900mm x 1300mm (W4)</t>
        </is>
      </c>
      <c r="C158" s="582">
        <f>10</f>
        <v>10.0</v>
      </c>
      <c r="D158" s="583" t="inlineStr">
        <is>
          <t>nr</t>
        </is>
      </c>
      <c r="E158" s="584">
        <f>RATES!$D$111</f>
        <v>1930.5000000000002</v>
      </c>
      <c r="F158" s="571">
        <f>C158*E158</f>
        <v>19305.000000000004</v>
      </c>
      <c r="G158" s="585" t="inlineStr">
        <is>
          <t>10</t>
        </is>
      </c>
    </row>
    <row r="159"/>
    <row r="160" ht="24" customHeight="1" s="12">
      <c r="A160" s="567" t="inlineStr">
        <is>
          <t>B</t>
        </is>
      </c>
      <c r="B160" s="581" t="inlineStr">
        <is>
          <t>2 bay alu. framed glass sliding window 1800mm x 1600mm (W7)</t>
        </is>
      </c>
      <c r="C160" s="582">
        <f>1</f>
        <v>1.0</v>
      </c>
      <c r="D160" s="583" t="inlineStr">
        <is>
          <t>nr</t>
        </is>
      </c>
      <c r="E160" s="584">
        <f>RATES!$D$114</f>
        <v>4752.000000000001</v>
      </c>
      <c r="F160" s="571">
        <f>C160*E160</f>
        <v>4752.000000000001</v>
      </c>
      <c r="G160" s="585" t="inlineStr">
        <is>
          <t>1</t>
        </is>
      </c>
    </row>
    <row r="161"/>
    <row r="162" ht="24" customHeight="1" s="12">
      <c r="A162" s="567" t="inlineStr">
        <is>
          <t>C</t>
        </is>
      </c>
      <c r="B162" s="581" t="inlineStr">
        <is>
          <t>1 x 3 bay alu. framed glass awning window 1200mm x 1900mm (W8)</t>
        </is>
      </c>
      <c r="C162" s="582">
        <f>3</f>
        <v>3.0</v>
      </c>
      <c r="D162" s="583" t="inlineStr">
        <is>
          <t>nr</t>
        </is>
      </c>
      <c r="E162" s="584">
        <f>RATES!$D$115</f>
        <v>3761.9999999999995</v>
      </c>
      <c r="F162" s="571">
        <f>C162*E162</f>
        <v>11285.999999999998</v>
      </c>
      <c r="G162" s="585" t="inlineStr">
        <is>
          <t>3</t>
        </is>
      </c>
    </row>
    <row r="163"/>
    <row r="164" ht="24" customHeight="1" s="12">
      <c r="A164" s="567" t="inlineStr">
        <is>
          <t>D</t>
        </is>
      </c>
      <c r="B164" s="581" t="inlineStr">
        <is>
          <t>2 bay alu. framed glass sliding window 1200mm x 1150mm (W9)</t>
        </is>
      </c>
      <c r="C164" s="582">
        <f>8</f>
        <v>8.0</v>
      </c>
      <c r="D164" s="583" t="inlineStr">
        <is>
          <t>nr</t>
        </is>
      </c>
      <c r="E164" s="584">
        <f>RATES!$D$116</f>
        <v>2277.0</v>
      </c>
      <c r="F164" s="571">
        <f>C164*E164</f>
        <v>18216.0</v>
      </c>
      <c r="G164" s="585" t="inlineStr">
        <is>
          <t>8</t>
        </is>
      </c>
    </row>
    <row r="165"/>
    <row r="166" ht="24" customHeight="1" s="12">
      <c r="A166" s="567" t="inlineStr">
        <is>
          <t>E</t>
        </is>
      </c>
      <c r="B166" s="581" t="inlineStr">
        <is>
          <t>2 bay alu. framed glass sliding window 1200mm x 1200mm (W10)</t>
        </is>
      </c>
      <c r="C166" s="582">
        <f>1</f>
        <v>1.0</v>
      </c>
      <c r="D166" s="583" t="inlineStr">
        <is>
          <t>nr</t>
        </is>
      </c>
      <c r="E166" s="584">
        <f>RATES!$D$117</f>
        <v>2376.0</v>
      </c>
      <c r="F166" s="571">
        <f>C166*E166</f>
        <v>2376.0</v>
      </c>
      <c r="G166" s="585" t="inlineStr">
        <is>
          <t>1</t>
        </is>
      </c>
    </row>
    <row r="167"/>
    <row r="168" ht="24" customHeight="1" s="12">
      <c r="A168" s="567" t="inlineStr">
        <is>
          <t>F</t>
        </is>
      </c>
      <c r="B168" s="581" t="inlineStr">
        <is>
          <t>2 bay alu. framed glass sliding window 1500mm x 1300mm (W11)</t>
        </is>
      </c>
      <c r="C168" s="582">
        <f>6</f>
        <v>6.0</v>
      </c>
      <c r="D168" s="583" t="inlineStr">
        <is>
          <t>nr</t>
        </is>
      </c>
      <c r="E168" s="584">
        <f>RATES!$D$118</f>
        <v>3217.5000000000005</v>
      </c>
      <c r="F168" s="571">
        <f>C168*E168</f>
        <v>19305.000000000004</v>
      </c>
      <c r="G168" s="585" t="inlineStr">
        <is>
          <t>6</t>
        </is>
      </c>
    </row>
    <row r="169"/>
    <row r="170" ht="24" customHeight="1" s="12">
      <c r="A170" s="567" t="inlineStr">
        <is>
          <t>G</t>
        </is>
      </c>
      <c r="B170" s="581" t="inlineStr">
        <is>
          <t>2 bay alu. framed glass sliding window 1500mm x 1150mm (W12)</t>
        </is>
      </c>
      <c r="C170" s="582">
        <f>3</f>
        <v>3.0</v>
      </c>
      <c r="D170" s="583" t="inlineStr">
        <is>
          <t>nr</t>
        </is>
      </c>
      <c r="E170" s="584">
        <f>RATES!$D$119</f>
        <v>2846.25</v>
      </c>
      <c r="F170" s="571">
        <f>C170*E170</f>
        <v>8538.75</v>
      </c>
      <c r="G170" s="585" t="inlineStr">
        <is>
          <t>3</t>
        </is>
      </c>
    </row>
    <row r="171"/>
    <row r="172" ht="24" customHeight="1" s="12">
      <c r="A172" s="567" t="inlineStr">
        <is>
          <t>H</t>
        </is>
      </c>
      <c r="B172" s="581" t="inlineStr">
        <is>
          <t>3 bay alu. framed glass awning window 2400mm x 1300mm (W13)</t>
        </is>
      </c>
      <c r="C172" s="582">
        <f>1</f>
        <v>1.0</v>
      </c>
      <c r="D172" s="583" t="inlineStr">
        <is>
          <t>nr</t>
        </is>
      </c>
      <c r="E172" s="584">
        <f>RATES!$D$120</f>
        <v>5148.0</v>
      </c>
      <c r="F172" s="571">
        <f>C172*E172</f>
        <v>5148.0</v>
      </c>
      <c r="G172" s="585" t="inlineStr">
        <is>
          <t>1</t>
        </is>
      </c>
    </row>
    <row r="173"/>
    <row r="174" ht="24" customHeight="1" s="12">
      <c r="A174" s="567" t="inlineStr">
        <is>
          <t>J</t>
        </is>
      </c>
      <c r="B174" s="581" t="inlineStr">
        <is>
          <t>3 bay alu. framed glass sliding window 3000mm x 1600mm (W15)</t>
        </is>
      </c>
      <c r="C174" s="582">
        <f>1</f>
        <v>1.0</v>
      </c>
      <c r="D174" s="583" t="inlineStr">
        <is>
          <t>nr</t>
        </is>
      </c>
      <c r="E174" s="584">
        <f>RATES!$D$122</f>
        <v>7920.000000000001</v>
      </c>
      <c r="F174" s="571">
        <f>C174*E174</f>
        <v>7920.000000000001</v>
      </c>
      <c r="G174" s="585" t="inlineStr">
        <is>
          <t>1</t>
        </is>
      </c>
    </row>
    <row r="175"/>
    <row r="176" ht="24" customHeight="1" s="12">
      <c r="A176" s="567" t="inlineStr">
        <is>
          <t>K</t>
        </is>
      </c>
      <c r="B176" s="581" t="inlineStr">
        <is>
          <t>2 x 3 alu. framed glass awning window 1800mm x 1900mm (W17)</t>
        </is>
      </c>
      <c r="C176" s="582">
        <f>3</f>
        <v>3.0</v>
      </c>
      <c r="D176" s="583" t="inlineStr">
        <is>
          <t>nr</t>
        </is>
      </c>
      <c r="E176" s="584">
        <f>RATES!$D$124</f>
        <v>5643.0</v>
      </c>
      <c r="F176" s="571">
        <f>C176*E176</f>
        <v>16929.0</v>
      </c>
      <c r="G176" s="585" t="inlineStr">
        <is>
          <t>3</t>
        </is>
      </c>
    </row>
    <row r="177"/>
    <row r="178" ht="24" customHeight="1" s="12">
      <c r="A178" s="567" t="inlineStr">
        <is>
          <t>L</t>
        </is>
      </c>
      <c r="B178" s="581" t="inlineStr">
        <is>
          <t>1 bay alu. framed glass awning window 750mm x 1300mm (W18)</t>
        </is>
      </c>
      <c r="C178" s="582">
        <f>1</f>
        <v>1.0</v>
      </c>
      <c r="D178" s="583" t="inlineStr">
        <is>
          <t>nr</t>
        </is>
      </c>
      <c r="E178" s="584">
        <f>RATES!$D$125</f>
        <v>1608.7500000000002</v>
      </c>
      <c r="F178" s="571">
        <f>C178*E178</f>
        <v>1608.7500000000002</v>
      </c>
      <c r="G178" s="585" t="inlineStr">
        <is>
          <t>1</t>
        </is>
      </c>
    </row>
    <row r="179"/>
    <row r="180" ht="24" customHeight="1" s="12">
      <c r="A180" s="567" t="inlineStr">
        <is>
          <t>M</t>
        </is>
      </c>
      <c r="B180" s="581" t="inlineStr">
        <is>
          <t>2 x 3 alu. framed glass awning window 1450mm x 1900mm (W20)</t>
        </is>
      </c>
      <c r="C180" s="582">
        <f>1</f>
        <v>1.0</v>
      </c>
      <c r="D180" s="583" t="inlineStr">
        <is>
          <t>nr</t>
        </is>
      </c>
      <c r="E180" s="584">
        <f>RATES!$D$127</f>
        <v>4545.75</v>
      </c>
      <c r="F180" s="571">
        <f>C180*E180</f>
        <v>4545.75</v>
      </c>
      <c r="G180" s="585" t="inlineStr">
        <is>
          <t>1</t>
        </is>
      </c>
    </row>
    <row r="181"/>
    <row r="182" ht="24" customHeight="1" s="12">
      <c r="A182" s="567" t="inlineStr">
        <is>
          <t>N</t>
        </is>
      </c>
      <c r="B182" s="581" t="inlineStr">
        <is>
          <t>2 bay alu. framed glass sliding window 900mm x 600mm (HW1)</t>
        </is>
      </c>
      <c r="C182" s="582">
        <f>12</f>
        <v>12.0</v>
      </c>
      <c r="D182" s="583" t="inlineStr">
        <is>
          <t>nr</t>
        </is>
      </c>
      <c r="E182" s="584">
        <f>RATES!$D$128</f>
        <v>891.0000000000001</v>
      </c>
      <c r="F182" s="571">
        <f>C182*E182</f>
        <v>10692.000000000002</v>
      </c>
      <c r="G182" s="585" t="inlineStr">
        <is>
          <t>12</t>
        </is>
      </c>
    </row>
    <row r="183"/>
    <row r="184" ht="24" customHeight="1" s="12">
      <c r="A184" s="567" t="inlineStr">
        <is>
          <t>P</t>
        </is>
      </c>
      <c r="B184" s="581" t="inlineStr">
        <is>
          <t>2 bay alu. framed glass sliding window 750mm x 600mm (HW2)</t>
        </is>
      </c>
      <c r="C184" s="582">
        <f>5</f>
        <v>5.0</v>
      </c>
      <c r="D184" s="583" t="inlineStr">
        <is>
          <t>nr</t>
        </is>
      </c>
      <c r="E184" s="584">
        <f>RATES!$D$129</f>
        <v>742.4999999999999</v>
      </c>
      <c r="F184" s="571">
        <f>C184*E184</f>
        <v>3712.4999999999995</v>
      </c>
      <c r="G184" s="585" t="inlineStr">
        <is>
          <t>5</t>
        </is>
      </c>
    </row>
    <row r="185"/>
    <row r="186" ht="24" customHeight="1" s="12">
      <c r="A186" s="567" t="inlineStr">
        <is>
          <t>Q</t>
        </is>
      </c>
      <c r="B186" s="581" t="inlineStr">
        <is>
          <t>2 bay alu. framed glass sliding window 600mm x 600mm (HW3)</t>
        </is>
      </c>
      <c r="C186" s="582">
        <f>1</f>
        <v>1.0</v>
      </c>
      <c r="D186" s="583" t="inlineStr">
        <is>
          <t>nr</t>
        </is>
      </c>
      <c r="E186" s="584">
        <f>RATES!$D$130</f>
        <v>594.0</v>
      </c>
      <c r="F186" s="571">
        <f>C186*E186</f>
        <v>594.0</v>
      </c>
      <c r="G186" s="585" t="inlineStr">
        <is>
          <t>1</t>
        </is>
      </c>
    </row>
    <row r="187"/>
    <row r="188" ht="24" customHeight="1" s="12">
      <c r="A188" s="567" t="inlineStr">
        <is>
          <t>R</t>
        </is>
      </c>
      <c r="B188" s="581" t="inlineStr">
        <is>
          <t>2 bay alu. framed glass sliding window 1200mm x 600mm (HW4)</t>
        </is>
      </c>
      <c r="C188" s="582">
        <f>1</f>
        <v>1.0</v>
      </c>
      <c r="D188" s="583" t="inlineStr">
        <is>
          <t>nr</t>
        </is>
      </c>
      <c r="E188" s="584">
        <f>RATES!$D$131</f>
        <v>1188.0</v>
      </c>
      <c r="F188" s="571">
        <f>C188*E188</f>
        <v>1188.0</v>
      </c>
      <c r="G188" s="585" t="inlineStr">
        <is>
          <t>1</t>
        </is>
      </c>
    </row>
    <row r="189"/>
    <row r="190">
      <c r="A190" s="572" t="n"/>
      <c r="B190" s="586" t="str">
        <f>B105</f>
        <v>ELEMENT NO. 4: WINDOWS/DOORS</v>
      </c>
      <c r="C190" s="574" t="n"/>
      <c r="D190" s="574" t="n"/>
      <c r="E190" s="587" t="n"/>
      <c r="F190" s="576">
        <f>SUM(F107:F189)</f>
        <v>584032.95</v>
      </c>
    </row>
    <row r="191">
      <c r="B191" s="559" t="inlineStr">
        <is>
          <t>Carried to Bill Summary</t>
        </is>
      </c>
    </row>
    <row r="192"/>
    <row r="193"/>
    <row r="194">
      <c r="A194" s="577" t="n"/>
      <c r="B194" s="578" t="inlineStr">
        <is>
          <t>ELEMENT NO. 5: FLOOR FINISHES</t>
        </is>
      </c>
      <c r="C194" s="569" t="n"/>
      <c r="D194" s="569" t="n"/>
      <c r="E194" s="570" t="n"/>
      <c r="F194" s="579" t="n"/>
    </row>
    <row r="195"/>
    <row r="196" ht="24" customHeight="1" s="12">
      <c r="A196" s="577" t="n"/>
      <c r="B196" s="580" t="inlineStr">
        <is>
          <t>M10/M40 FLOOR FINISHES</t>
        </is>
      </c>
      <c r="C196" s="569" t="n"/>
      <c r="D196" s="569" t="n"/>
      <c r="E196" s="570" t="n"/>
      <c r="F196" s="579" t="n"/>
    </row>
    <row r="197" ht="24" customHeight="1" s="12">
      <c r="A197" s="567" t="inlineStr">
        <is>
          <t>A</t>
        </is>
      </c>
      <c r="B197" s="581" t="inlineStr">
        <is>
          <t>25mm cement and sand (1:3) screeded finish laid level on concrete and finished smooth with steel trowel</t>
        </is>
      </c>
      <c r="C197" s="582">
        <f>863.1</f>
        <v>863.1</v>
      </c>
      <c r="D197" s="583" t="inlineStr">
        <is>
          <t>m2</t>
        </is>
      </c>
      <c r="E197" s="584">
        <f>RATES!$D$50</f>
        <v>68.0</v>
      </c>
      <c r="F197" s="571">
        <f>C197*E197</f>
        <v>58690.8</v>
      </c>
      <c r="G197" s="585" t="inlineStr">
        <is>
          <t>863.1</t>
        </is>
      </c>
    </row>
    <row r="198"/>
    <row r="199" ht="24" customHeight="1" s="12">
      <c r="A199" s="567" t="inlineStr">
        <is>
          <t>B</t>
        </is>
      </c>
      <c r="B199" s="581" t="inlineStr">
        <is>
          <t>12mm cement and sand (1:4) screeded bed laid level on concrete floor to receive floor tiles</t>
        </is>
      </c>
      <c r="C199" s="582">
        <f>863.1+(2*1.8*3.0+22*0.15*1.8+2.2*3.75+1.8*3.75)+(2*1.8*3.0+22*0.15*1.8+2.2*3.75+1.8*3.75)</f>
        <v>926.58</v>
      </c>
      <c r="D199" s="583" t="inlineStr">
        <is>
          <t>m2</t>
        </is>
      </c>
      <c r="E199" s="584">
        <f>RATES!$D$51</f>
        <v>48.0</v>
      </c>
      <c r="F199" s="571">
        <f>C199*E199</f>
        <v>44475.840000000004</v>
      </c>
      <c r="G199" s="585" t="inlineStr">
        <is>
          <t>863.1+(2*1.8*3.0+22*0.15*1.8+2.2*3.75+1.8*3.75)+(2*1.8*3.0+22*0.15*1.8+2.2*3.75+1.8*3.75)</t>
        </is>
      </c>
    </row>
    <row r="200"/>
    <row r="201" ht="24" customHeight="1" s="12">
      <c r="A201" s="567" t="inlineStr">
        <is>
          <t>C</t>
        </is>
      </c>
      <c r="B201" s="581" t="inlineStr">
        <is>
          <t>400x400mm non-slip porcelain floor tiles to washrooms &amp; WCs, adhesive, grout and cutting</t>
        </is>
      </c>
      <c r="C201" s="582">
        <f>57.5</f>
        <v>57.5</v>
      </c>
      <c r="D201" s="583" t="inlineStr">
        <is>
          <t>m2</t>
        </is>
      </c>
      <c r="E201" s="584">
        <f>RATES!$D$53</f>
        <v>230.0</v>
      </c>
      <c r="F201" s="571">
        <f>C201*E201</f>
        <v>13225.0</v>
      </c>
      <c r="G201" s="585" t="inlineStr">
        <is>
          <t>57.5</t>
        </is>
      </c>
    </row>
    <row r="202"/>
    <row r="203" ht="24" customHeight="1" s="12">
      <c r="A203" s="567" t="inlineStr">
        <is>
          <t>D</t>
        </is>
      </c>
      <c r="B203" s="581" t="inlineStr">
        <is>
          <t>500x500mm matte R11 porcelain tiles to staircases (treads, risers and landings)</t>
        </is>
      </c>
      <c r="C203" s="582">
        <f>(2*1.8*3.0+22*0.15*1.8+2.2*3.75+1.8*3.75)+(2*1.8*3.0+22*0.15*1.8+2.2*3.75+1.8*3.75)</f>
        <v>63.480000000000004</v>
      </c>
      <c r="D203" s="583" t="inlineStr">
        <is>
          <t>m2</t>
        </is>
      </c>
      <c r="E203" s="584">
        <f>RATES!$D$54</f>
        <v>270.0</v>
      </c>
      <c r="F203" s="571">
        <f>C203*E203</f>
        <v>17139.600000000002</v>
      </c>
      <c r="G203" s="585" t="inlineStr">
        <is>
          <t>(2*1.8*3.0+22*0.15*1.8+2.2*3.75+1.8*3.75)+(2*1.8*3.0+22*0.15*1.8+2.2*3.75+1.8*3.75)</t>
        </is>
      </c>
    </row>
    <row r="204"/>
    <row r="205" ht="24" customHeight="1" s="12">
      <c r="A205" s="567" t="inlineStr">
        <is>
          <t>E</t>
        </is>
      </c>
      <c r="B205" s="581" t="inlineStr">
        <is>
          <t>600x600mm semi-polished porcelain floor tiles to habitable rooms, shops &amp; offices</t>
        </is>
      </c>
      <c r="C205" s="582">
        <f>535.8</f>
        <v>535.8</v>
      </c>
      <c r="D205" s="583" t="inlineStr">
        <is>
          <t>m2</t>
        </is>
      </c>
      <c r="E205" s="584">
        <f>RATES!$D$55</f>
        <v>265.0</v>
      </c>
      <c r="F205" s="571">
        <f>C205*E205</f>
        <v>141987.0</v>
      </c>
      <c r="G205" s="585" t="inlineStr">
        <is>
          <t>535.8</t>
        </is>
      </c>
    </row>
    <row r="206"/>
    <row r="207" ht="24" customHeight="1" s="12">
      <c r="A207" s="567" t="inlineStr">
        <is>
          <t>F</t>
        </is>
      </c>
      <c r="B207" s="581" t="inlineStr">
        <is>
          <t>600x1200mm semi-polished porcelain floor tiles to stair/lift lobbies &amp; reception</t>
        </is>
      </c>
      <c r="C207" s="582">
        <f>33.8</f>
        <v>33.8</v>
      </c>
      <c r="D207" s="583" t="inlineStr">
        <is>
          <t>m2</t>
        </is>
      </c>
      <c r="E207" s="584">
        <f>RATES!$D$56</f>
        <v>330.0</v>
      </c>
      <c r="F207" s="571">
        <f>C207*E207</f>
        <v>11153.999999999998</v>
      </c>
      <c r="G207" s="585" t="inlineStr">
        <is>
          <t>33.8</t>
        </is>
      </c>
    </row>
    <row r="208"/>
    <row r="209" ht="24" customHeight="1" s="12">
      <c r="A209" s="567" t="inlineStr">
        <is>
          <t>G</t>
        </is>
      </c>
      <c r="B209" s="581" t="inlineStr">
        <is>
          <t>600x600mm non-slip R11 porcelain tiles to corridors, terraces, verandah &amp; service areas</t>
        </is>
      </c>
      <c r="C209" s="582">
        <f>236.0</f>
        <v>236.0</v>
      </c>
      <c r="D209" s="583" t="inlineStr">
        <is>
          <t>m2</t>
        </is>
      </c>
      <c r="E209" s="584">
        <f>RATES!$D$57</f>
        <v>250.0</v>
      </c>
      <c r="F209" s="571">
        <f>C209*E209</f>
        <v>59000.0</v>
      </c>
      <c r="G209" s="585" t="inlineStr">
        <is>
          <t>236.0</t>
        </is>
      </c>
    </row>
    <row r="210"/>
    <row r="211">
      <c r="A211" s="572" t="n"/>
      <c r="B211" s="586" t="str">
        <f>B194</f>
        <v>ELEMENT NO. 5: FLOOR FINISHES</v>
      </c>
      <c r="C211" s="574" t="n"/>
      <c r="D211" s="574" t="n"/>
      <c r="E211" s="587" t="n"/>
      <c r="F211" s="576">
        <f>SUM(F196:F210)</f>
        <v>345672.24</v>
      </c>
    </row>
    <row r="212">
      <c r="B212" s="559" t="inlineStr">
        <is>
          <t>Carried to Bill Summary</t>
        </is>
      </c>
    </row>
    <row r="213"/>
    <row r="214"/>
    <row r="215">
      <c r="A215" s="577" t="n"/>
      <c r="B215" s="578" t="inlineStr">
        <is>
          <t>ELEMENT NO. 6: WALL FINISHES</t>
        </is>
      </c>
      <c r="C215" s="569" t="n"/>
      <c r="D215" s="569" t="n"/>
      <c r="E215" s="570" t="n"/>
      <c r="F215" s="579" t="n"/>
    </row>
    <row r="216"/>
    <row r="217" ht="48" customHeight="1" s="12">
      <c r="A217" s="577" t="n"/>
      <c r="B217" s="580" t="inlineStr">
        <is>
          <t>M20 PLASTERED/RENDERED COATINGS - 12.5mm cement and sand (1:3) rendering as described on blockwork or concrete to:</t>
        </is>
      </c>
      <c r="C217" s="569" t="n"/>
      <c r="D217" s="569" t="n"/>
      <c r="E217" s="570" t="n"/>
      <c r="F217" s="579" t="n"/>
    </row>
    <row r="218" ht="24" customHeight="1" s="12">
      <c r="A218" s="567" t="inlineStr">
        <is>
          <t>A</t>
        </is>
      </c>
      <c r="B218" s="581" t="inlineStr">
        <is>
          <t>Interior walls</t>
        </is>
      </c>
      <c r="C218" s="582">
        <f>(2*(449.8+50.1)+2*67.4-16.8-224.2)*3.05-57.5/3.8*8.0*3.05-2*(8*1*2.2+15*0.9*2.2+20*0.75*2.2+1*0.7*2.2+3*1.2*2.2+3*1*2.2+2*1*2.2+1*0.9*2.2+1*1.5*2.2+2*0.9*2.2+4*0.75*2.2+1*0.45*2.2+3*0.6*2.2+1*3*2.2+4*1.6*2.2+2*1.3*2.2+4*1.8*2.2+1*1.2*2.2)-(6*1.8*1.3+10*0.9*1.3+1*1.8*1.6+3*1.2*1.9+8*1.2*1.15+1*1.2*1.2+6*1.5*1.3+3*1.5*1.15+1*2.4*1.3+1*3*1.6+3*1.8*1.9+1*0.75*1.3+1*1.45*1.9+12*0.9*0.6+5*0.75*0.6+1*0.6*0.6+1*1.2*0.6)</f>
        <v>1926.8744736842107</v>
      </c>
      <c r="D218" s="583" t="inlineStr">
        <is>
          <t>m2</t>
        </is>
      </c>
      <c r="E218" s="584">
        <f>RATES!$D$48</f>
        <v>78.0</v>
      </c>
      <c r="F218" s="571">
        <f>C218*E218</f>
        <v>150296.20894736843</v>
      </c>
      <c r="G218" s="585" t="inlineStr">
        <is>
          <t>(2*(449.8+50.1)+2*67.4-16.8-224.2)*3.05-57.5/3.8*8.0*3.05-2*(8*1*2.2+15*0.9*2.2+20*0.75*2.2+1*0.7*2.2+3*1.2*2.2+3*1*2.2+2*1*2.2+1*0.9*2.2+1*1.5*2.2+2*0.9*2.2+4*0.75*2.2+1*0.45*2.2+3*0.6*2.2+1*3*2.2+4*1.6*2.2+2*1.3*2.2+4*1.8*2.2+1*1.2*2.2)-(6*1.8*1...</t>
        </is>
      </c>
    </row>
    <row r="219"/>
    <row r="220" ht="24" customHeight="1" s="12">
      <c r="A220" s="567" t="inlineStr">
        <is>
          <t>B</t>
        </is>
      </c>
      <c r="B220" s="581" t="inlineStr">
        <is>
          <t>Interior partitions and washrooms</t>
        </is>
      </c>
      <c r="C220" s="582">
        <f>57.5/3.8*8.0*3.05-57.5/3.8*0.75*2.2</f>
        <v>344.24342105263156</v>
      </c>
      <c r="D220" s="583" t="inlineStr">
        <is>
          <t>m2</t>
        </is>
      </c>
      <c r="E220" s="584">
        <f>RATES!$D$48</f>
        <v>78.0</v>
      </c>
      <c r="F220" s="571">
        <f>C220*E220</f>
        <v>26850.986842105263</v>
      </c>
      <c r="G220" s="585" t="inlineStr">
        <is>
          <t>57.5/3.8*8.0*3.05-57.5/3.8*0.75*2.2</t>
        </is>
      </c>
    </row>
    <row r="221"/>
    <row r="222" ht="24" customHeight="1" s="12">
      <c r="A222" s="567" t="inlineStr">
        <is>
          <t>C</t>
        </is>
      </c>
      <c r="B222" s="581" t="inlineStr">
        <is>
          <t>External walls</t>
        </is>
      </c>
      <c r="C222" s="582">
        <f>224.2*3.3-(6*1.8*1.3+10*0.9*1.3+1*1.8*1.6+3*1.2*1.9+8*1.2*1.15+1*1.2*1.2+6*1.5*1.3+3*1.5*1.15+1*2.4*1.3+1*3*1.6+3*1.8*1.9+1*0.75*1.3+1*1.45*1.9+12*0.9*0.6+5*0.75*0.6+1*0.6*0.6+1*1.2*0.6)</f>
        <v>643.3249999999999</v>
      </c>
      <c r="D222" s="583" t="inlineStr">
        <is>
          <t>m2</t>
        </is>
      </c>
      <c r="E222" s="584">
        <f>RATES!$D$49</f>
        <v>88.0</v>
      </c>
      <c r="F222" s="571">
        <f>C222*E222</f>
        <v>56612.59999999999</v>
      </c>
      <c r="G222" s="585" t="inlineStr">
        <is>
          <t>224.2*3.3-(6*1.8*1.3+10*0.9*1.3+1*1.8*1.6+3*1.2*1.9+8*1.2*1.15+1*1.2*1.2+6*1.5*1.3+3*1.5*1.15+1*2.4*1.3+1*3*1.6+3*1.8*1.9+1*0.75*1.3+1*1.45*1.9+12*0.9*0.6+5*0.75*0.6+1*0.6*0.6+1*1.2*0.6)</t>
        </is>
      </c>
    </row>
    <row r="223"/>
    <row r="224" ht="24" customHeight="1" s="12">
      <c r="A224" s="567" t="inlineStr">
        <is>
          <t>D</t>
        </is>
      </c>
      <c r="B224" s="581" t="inlineStr">
        <is>
          <t>12mm cement and sand (1:4) screeded backing to receive wall tiles</t>
        </is>
      </c>
      <c r="C224" s="582">
        <f>57.5/3.8*8.0*2.4-57.5/3.8*0.75*2.2</f>
        <v>265.5592105263158</v>
      </c>
      <c r="D224" s="583" t="inlineStr">
        <is>
          <t>m2</t>
        </is>
      </c>
      <c r="E224" s="584">
        <f>RATES!$D$52</f>
        <v>55.0</v>
      </c>
      <c r="F224" s="571">
        <f>C224*E224</f>
        <v>14605.756578947368</v>
      </c>
      <c r="G224" s="585" t="inlineStr">
        <is>
          <t>57.5/3.8*8.0*2.4-57.5/3.8*0.75*2.2</t>
        </is>
      </c>
    </row>
    <row r="225"/>
    <row r="226" ht="24" customHeight="1" s="12">
      <c r="A226" s="567" t="inlineStr">
        <is>
          <t>E</t>
        </is>
      </c>
      <c r="B226" s="581" t="inlineStr">
        <is>
          <t>Ceramic/porcelain wall tiles to washrooms to 2.4m high, adhesive &amp; grout (type TBC)</t>
        </is>
      </c>
      <c r="C226" s="582">
        <f>57.5/3.8*8.0*2.4-57.5/3.8*0.75*2.2</f>
        <v>265.5592105263158</v>
      </c>
      <c r="D226" s="583" t="inlineStr">
        <is>
          <t>m2</t>
        </is>
      </c>
      <c r="E226" s="584">
        <f>RATES!$D$60</f>
        <v>240.0</v>
      </c>
      <c r="F226" s="571">
        <f>C226*E226</f>
        <v>63734.21052631579</v>
      </c>
      <c r="G226" s="585" t="inlineStr">
        <is>
          <t>57.5/3.8*8.0*2.4-57.5/3.8*0.75*2.2</t>
        </is>
      </c>
    </row>
    <row r="227"/>
    <row r="228">
      <c r="A228" s="572" t="n"/>
      <c r="B228" s="586" t="str">
        <f>B215</f>
        <v>ELEMENT NO. 6: WALL FINISHES</v>
      </c>
      <c r="C228" s="574" t="n"/>
      <c r="D228" s="574" t="n"/>
      <c r="E228" s="587" t="n"/>
      <c r="F228" s="576">
        <f>SUM(F217:F227)</f>
        <v>312099.76289473684</v>
      </c>
    </row>
    <row r="229">
      <c r="B229" s="559" t="inlineStr">
        <is>
          <t>Carried to Bill Summary</t>
        </is>
      </c>
    </row>
    <row r="230"/>
    <row r="231"/>
    <row r="232">
      <c r="A232" s="577" t="n"/>
      <c r="B232" s="578" t="inlineStr">
        <is>
          <t>ELEMENT NO. 7: PAINTING AND DECORATING</t>
        </is>
      </c>
      <c r="C232" s="569" t="n"/>
      <c r="D232" s="569" t="n"/>
      <c r="E232" s="570" t="n"/>
      <c r="F232" s="579" t="n"/>
    </row>
    <row r="233"/>
    <row r="234" ht="24" customHeight="1" s="12">
      <c r="A234" s="577" t="n"/>
      <c r="B234" s="580" t="inlineStr">
        <is>
          <t>M60 PAINTING - Prepare and apply two undercoats and finishing coat of emulsion paint on:</t>
        </is>
      </c>
      <c r="C234" s="569" t="n"/>
      <c r="D234" s="569" t="n"/>
      <c r="E234" s="570" t="n"/>
      <c r="F234" s="579" t="n"/>
    </row>
    <row r="235" ht="24" customHeight="1" s="12">
      <c r="A235" s="567" t="inlineStr">
        <is>
          <t>A</t>
        </is>
      </c>
      <c r="B235" s="581" t="inlineStr">
        <is>
          <t>Interior walls</t>
        </is>
      </c>
      <c r="C235" s="582">
        <f>(2*(449.8+50.1)+2*67.4-16.8-224.2)*3.05-57.5/3.8*8.0*3.05-2*(8*1*2.2+15*0.9*2.2+20*0.75*2.2+1*0.7*2.2+3*1.2*2.2+3*1*2.2+2*1*2.2+1*0.9*2.2+1*1.5*2.2+2*0.9*2.2+4*0.75*2.2+1*0.45*2.2+3*0.6*2.2+1*3*2.2+4*1.6*2.2+2*1.3*2.2+4*1.8*2.2+1*1.2*2.2)-(6*1.8*1.3+10*0.9*1.3+1*1.8*1.6+3*1.2*1.9+8*1.2*1.15+1*1.2*1.2+6*1.5*1.3+3*1.5*1.15+1*2.4*1.3+1*3*1.6+3*1.8*1.9+1*0.75*1.3+1*1.45*1.9+12*0.9*0.6+5*0.75*0.6+1*0.6*0.6+1*1.2*0.6)</f>
        <v>1926.8744736842107</v>
      </c>
      <c r="D235" s="583" t="inlineStr">
        <is>
          <t>m2</t>
        </is>
      </c>
      <c r="E235" s="584">
        <f>RATES!$D$61</f>
        <v>45.0</v>
      </c>
      <c r="F235" s="571">
        <f>C235*E235</f>
        <v>86709.35131578948</v>
      </c>
      <c r="G235" s="585" t="inlineStr">
        <is>
          <t>(2*(449.8+50.1)+2*67.4-16.8-224.2)*3.05-57.5/3.8*8.0*3.05-2*(8*1*2.2+15*0.9*2.2+20*0.75*2.2+1*0.7*2.2+3*1.2*2.2+3*1*2.2+2*1*2.2+1*0.9*2.2+1*1.5*2.2+2*0.9*2.2+4*0.75*2.2+1*0.45*2.2+3*0.6*2.2+1*3*2.2+4*1.6*2.2+2*1.3*2.2+4*1.8*2.2+1*1.2*2.2)-(6*1.8*1...</t>
        </is>
      </c>
    </row>
    <row r="236"/>
    <row r="237" ht="24" customHeight="1" s="12">
      <c r="A237" s="567" t="inlineStr">
        <is>
          <t>B</t>
        </is>
      </c>
      <c r="B237" s="581" t="inlineStr">
        <is>
          <t>Interior partitions and washrooms (above wall tiling)</t>
        </is>
      </c>
      <c r="C237" s="582">
        <f>(57.5/3.8*8.0*3.05-57.5/3.8*0.75*2.2)-(57.5/3.8*8.0*2.4-57.5/3.8*0.75*2.2)</f>
        <v>78.68421052631578</v>
      </c>
      <c r="D237" s="583" t="inlineStr">
        <is>
          <t>m2</t>
        </is>
      </c>
      <c r="E237" s="584">
        <f>RATES!$D$61</f>
        <v>45.0</v>
      </c>
      <c r="F237" s="571">
        <f>C237*E237</f>
        <v>3540.78947368421</v>
      </c>
      <c r="G237" s="585" t="inlineStr">
        <is>
          <t>(57.5/3.8*8.0*3.05-57.5/3.8*0.75*2.2)-(57.5/3.8*8.0*2.4-57.5/3.8*0.75*2.2)</t>
        </is>
      </c>
    </row>
    <row r="238"/>
    <row r="239" ht="24" customHeight="1" s="12">
      <c r="A239" s="567" t="inlineStr">
        <is>
          <t>C</t>
        </is>
      </c>
      <c r="B239" s="581" t="inlineStr">
        <is>
          <t>Exterior walls</t>
        </is>
      </c>
      <c r="C239" s="582">
        <f>224.2*3.3-(6*1.8*1.3+10*0.9*1.3+1*1.8*1.6+3*1.2*1.9+8*1.2*1.15+1*1.2*1.2+6*1.5*1.3+3*1.5*1.15+1*2.4*1.3+1*3*1.6+3*1.8*1.9+1*0.75*1.3+1*1.45*1.9+12*0.9*0.6+5*0.75*0.6+1*0.6*0.6+1*1.2*0.6)</f>
        <v>643.3249999999999</v>
      </c>
      <c r="D239" s="583" t="inlineStr">
        <is>
          <t>m2</t>
        </is>
      </c>
      <c r="E239" s="584">
        <f>RATES!$D$62</f>
        <v>62.0</v>
      </c>
      <c r="F239" s="571">
        <f>C239*E239</f>
        <v>39886.149999999994</v>
      </c>
      <c r="G239" s="585" t="inlineStr">
        <is>
          <t>224.2*3.3-(6*1.8*1.3+10*0.9*1.3+1*1.8*1.6+3*1.2*1.9+8*1.2*1.15+1*1.2*1.2+6*1.5*1.3+3*1.5*1.15+1*2.4*1.3+1*3*1.6+3*1.8*1.9+1*0.75*1.3+1*1.45*1.9+12*0.9*0.6+5*0.75*0.6+1*0.6*0.6+1*1.2*0.6)</t>
        </is>
      </c>
    </row>
    <row r="240"/>
    <row r="241" ht="24" customHeight="1" s="12">
      <c r="A241" s="567" t="inlineStr">
        <is>
          <t>D</t>
        </is>
      </c>
      <c r="B241" s="581" t="inlineStr">
        <is>
          <t>Soffit of plaster board ceilings</t>
        </is>
      </c>
      <c r="C241" s="582">
        <f>805.7</f>
        <v>805.7</v>
      </c>
      <c r="D241" s="583" t="inlineStr">
        <is>
          <t>m2</t>
        </is>
      </c>
      <c r="E241" s="584">
        <f>RATES!$D$63</f>
        <v>48.0</v>
      </c>
      <c r="F241" s="571">
        <f>C241*E241</f>
        <v>38673.600000000006</v>
      </c>
      <c r="G241" s="585" t="inlineStr">
        <is>
          <t>805.7</t>
        </is>
      </c>
    </row>
    <row r="242"/>
    <row r="243" ht="24" customHeight="1" s="12">
      <c r="A243" s="567" t="inlineStr">
        <is>
          <t>E</t>
        </is>
      </c>
      <c r="B243" s="581" t="inlineStr">
        <is>
          <t>Soffit of plaster board ceilings for washrooms</t>
        </is>
      </c>
      <c r="C243" s="582">
        <f>57.5</f>
        <v>57.5</v>
      </c>
      <c r="D243" s="583" t="inlineStr">
        <is>
          <t>m2</t>
        </is>
      </c>
      <c r="E243" s="584">
        <f>RATES!$D$63</f>
        <v>48.0</v>
      </c>
      <c r="F243" s="571">
        <f>C243*E243</f>
        <v>2760.0</v>
      </c>
      <c r="G243" s="585" t="inlineStr">
        <is>
          <t>57.5</t>
        </is>
      </c>
    </row>
    <row r="244"/>
    <row r="245" ht="48" customHeight="1" s="12">
      <c r="A245" s="567" t="inlineStr">
        <is>
          <t>F</t>
        </is>
      </c>
      <c r="B245" s="581" t="inlineStr">
        <is>
          <t>Knot, prime, stop and apply two undercoats and one finishing coat of gloss oil paint on general surfaces of woodwork</t>
        </is>
      </c>
      <c r="C245" s="582">
        <f>15*0.9*2.2*2+20*0.75*2.2*2+1*1.5*2.2*2+(15*(2*2.2+0.9)+20*(2*2.2+0.75)+1*(2*2.2+1.5))*0.25</f>
        <v>179.1</v>
      </c>
      <c r="D245" s="583" t="inlineStr">
        <is>
          <t>m2</t>
        </is>
      </c>
      <c r="E245" s="584">
        <f>RATES!$D$64</f>
        <v>72.0</v>
      </c>
      <c r="F245" s="571">
        <f>C245*E245</f>
        <v>12895.199999999999</v>
      </c>
      <c r="G245" s="585" t="inlineStr">
        <is>
          <t>15*0.9*2.2*2+20*0.75*2.2*2+1*1.5*2.2*2+(15*(2*2.2+0.9)+20*(2*2.2+0.75)+1*(2*2.2+1.5))*0.25</t>
        </is>
      </c>
    </row>
    <row r="246"/>
    <row r="247" ht="48" customHeight="1" s="12">
      <c r="A247" s="567" t="inlineStr">
        <is>
          <t>G</t>
        </is>
      </c>
      <c r="B247" s="581" t="inlineStr">
        <is>
          <t>Prepare and apply one coat of aluminium primer on mild steel burglar-proof bars (measured over window opening area)</t>
        </is>
      </c>
      <c r="C247" s="582">
        <f>6*1.8*1.3+10*0.9*1.3+1*1.8*1.6+3*1.2*1.9+8*1.2*1.15+1*1.2*1.2+6*1.5*1.3+3*1.5*1.15+1*2.4*1.3+1*3*1.6+3*1.8*1.9+1*0.75*1.3+1*1.45*1.9+12*0.9*0.6+5*0.75*0.6+1*0.6*0.6+1*1.2*0.6</f>
        <v>96.535</v>
      </c>
      <c r="D247" s="583" t="inlineStr">
        <is>
          <t>m2</t>
        </is>
      </c>
      <c r="E247" s="584">
        <f>RATES!$D$65</f>
        <v>40.0</v>
      </c>
      <c r="F247" s="571">
        <f>C247*E247</f>
        <v>3861.3999999999996</v>
      </c>
      <c r="G247" s="585" t="inlineStr">
        <is>
          <t>6*1.8*1.3+10*0.9*1.3+1*1.8*1.6+3*1.2*1.9+8*1.2*1.15+1*1.2*1.2+6*1.5*1.3+3*1.5*1.15+1*2.4*1.3+1*3*1.6+3*1.8*1.9+1*0.75*1.3+1*1.45*1.9+12*0.9*0.6+5*0.75*0.6+1*0.6*0.6+1*1.2*0.6</t>
        </is>
      </c>
    </row>
    <row r="248"/>
    <row r="249">
      <c r="A249" s="572" t="n"/>
      <c r="B249" s="586" t="str">
        <f>B232</f>
        <v>ELEMENT NO. 7: PAINTING AND DECORATING</v>
      </c>
      <c r="C249" s="574" t="n"/>
      <c r="D249" s="574" t="n"/>
      <c r="E249" s="587" t="n"/>
      <c r="F249" s="576">
        <f>SUM(F234:F248)</f>
        <v>188326.4907894737</v>
      </c>
    </row>
    <row r="250">
      <c r="B250" s="559" t="inlineStr">
        <is>
          <t>Carried to Bill Summary</t>
        </is>
      </c>
    </row>
    <row r="251"/>
    <row r="252"/>
    <row r="253">
      <c r="B253"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G255"/>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EIGHTH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F92</f>
        <v>3309777.4733749996</v>
      </c>
    </row>
    <row r="14"/>
    <row r="15">
      <c r="A15" s="567" t="inlineStr">
        <is>
          <t>B</t>
        </is>
      </c>
      <c r="B15" s="568" t="inlineStr">
        <is>
          <t>ELEMENT NO. 2: MASONRY</t>
        </is>
      </c>
      <c r="C15" s="569" t="n"/>
      <c r="D15" s="569" t="n"/>
      <c r="E15" s="570" t="n"/>
      <c r="F15" s="571">
        <f>F103</f>
        <v>379547.963125</v>
      </c>
    </row>
    <row r="16"/>
    <row r="17">
      <c r="A17" s="567" t="inlineStr">
        <is>
          <t>C</t>
        </is>
      </c>
      <c r="B17" s="568" t="inlineStr">
        <is>
          <t>ELEMENT NO. 4: WINDOWS/DOORS</t>
        </is>
      </c>
      <c r="C17" s="569" t="n"/>
      <c r="D17" s="569" t="n"/>
      <c r="E17" s="570" t="n"/>
      <c r="F17" s="571">
        <f>F192</f>
        <v>587877.15</v>
      </c>
    </row>
    <row r="18"/>
    <row r="19">
      <c r="A19" s="567" t="inlineStr">
        <is>
          <t>D</t>
        </is>
      </c>
      <c r="B19" s="568" t="inlineStr">
        <is>
          <t>ELEMENT NO. 5: FLOOR FINISHES</t>
        </is>
      </c>
      <c r="C19" s="569" t="n"/>
      <c r="D19" s="569" t="n"/>
      <c r="E19" s="570" t="n"/>
      <c r="F19" s="571">
        <f>F213</f>
        <v>345862.54000000004</v>
      </c>
    </row>
    <row r="20"/>
    <row r="21">
      <c r="A21" s="567" t="inlineStr">
        <is>
          <t>E</t>
        </is>
      </c>
      <c r="B21" s="568" t="inlineStr">
        <is>
          <t>ELEMENT NO. 6: WALL FINISHES</t>
        </is>
      </c>
      <c r="C21" s="569" t="n"/>
      <c r="D21" s="569" t="n"/>
      <c r="E21" s="570" t="n"/>
      <c r="F21" s="571">
        <f>F230</f>
        <v>311695.5136842105</v>
      </c>
    </row>
    <row r="22"/>
    <row r="23">
      <c r="A23" s="567" t="inlineStr">
        <is>
          <t>F</t>
        </is>
      </c>
      <c r="B23" s="568" t="inlineStr">
        <is>
          <t>ELEMENT NO. 7: PAINTING AND DECORATING</t>
        </is>
      </c>
      <c r="C23" s="569" t="n"/>
      <c r="D23" s="569" t="n"/>
      <c r="E23" s="570" t="n"/>
      <c r="F23" s="571">
        <f>F251</f>
        <v>185701.29736842102</v>
      </c>
    </row>
    <row r="24"/>
    <row r="25">
      <c r="A25" s="572" t="n"/>
      <c r="B25" s="573" t="str">
        <f>B9</f>
        <v> EIGHTH FLOOR</v>
      </c>
      <c r="C25" s="574" t="n"/>
      <c r="D25" s="574" t="n"/>
      <c r="E25" s="575" t="inlineStr">
        <is>
          <t>GHC</t>
        </is>
      </c>
      <c r="F25" s="576">
        <f>SUM(F13:F24)</f>
        <v>5120461.937552632</v>
      </c>
    </row>
    <row r="26">
      <c r="B26" s="559" t="inlineStr">
        <is>
          <t>To Bill General Summary</t>
        </is>
      </c>
    </row>
    <row r="27"/>
    <row r="28"/>
    <row r="29">
      <c r="B29" s="565" t="inlineStr">
        <is>
          <t>BILL NR. 11 - EIGHTH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1134.6*0.25</f>
        <v>283.65</v>
      </c>
      <c r="D34" s="583" t="inlineStr">
        <is>
          <t>m3</t>
        </is>
      </c>
      <c r="E34" s="584">
        <f>RATES!$D$22</f>
        <v>2650.0</v>
      </c>
      <c r="F34" s="571">
        <f>C34*E34</f>
        <v>751672.4999999999</v>
      </c>
      <c r="G34" s="585" t="inlineStr">
        <is>
          <t>1134.6*0.25</t>
        </is>
      </c>
    </row>
    <row r="35"/>
    <row r="36" ht="24" customHeight="1" s="12">
      <c r="A36" s="567" t="inlineStr">
        <is>
          <t>B</t>
        </is>
      </c>
      <c r="B36" s="581" t="inlineStr">
        <is>
          <t>Beams (downstands below slab)</t>
        </is>
      </c>
      <c r="C36" s="582">
        <f>166.8*0.3*0.35+33.1*0.2*0.35</f>
        <v>19.831</v>
      </c>
      <c r="D36" s="583" t="inlineStr">
        <is>
          <t>m3</t>
        </is>
      </c>
      <c r="E36" s="584">
        <f>RATES!$D$23</f>
        <v>2700.0</v>
      </c>
      <c r="F36" s="571">
        <f>C36*E36</f>
        <v>53543.7</v>
      </c>
      <c r="G36" s="585" t="inlineStr">
        <is>
          <t>166.8*0.3*0.35+33.1*0.2*0.35</t>
        </is>
      </c>
    </row>
    <row r="37"/>
    <row r="38" ht="24" customHeight="1" s="12">
      <c r="A38" s="567" t="inlineStr">
        <is>
          <t>C</t>
        </is>
      </c>
      <c r="B38" s="581" t="inlineStr">
        <is>
          <t>Columns</t>
        </is>
      </c>
      <c r="C38" s="582">
        <f>5*0.75*0.5*3.05+1*0.75*0.5*3.05+2*0.75*0.5*3.05+1*0.75*0.5*3.05+3*1.2*0.3*3.05+6*1.2*0.3*3.05+1*1.2*0.3*3.05+15*1.2*0.3*3.05+1*(2.85*0.25+0.825*0.25)*3.05</f>
        <v>40.545937499999994</v>
      </c>
      <c r="D38" s="583" t="inlineStr">
        <is>
          <t>m3</t>
        </is>
      </c>
      <c r="E38" s="584">
        <f>RATES!$D$21</f>
        <v>2800.0</v>
      </c>
      <c r="F38" s="571">
        <f>C38*E38</f>
        <v>113528.62499999999</v>
      </c>
      <c r="G38" s="585" t="inlineStr">
        <is>
          <t>5*0.75*0.5*3.05+1*0.75*0.5*3.05+2*0.75*0.5*3.05+1*0.75*0.5*3.05+3*1.2*0.3*3.05+6*1.2*0.3*3.05+1*1.2*0.3*3.05+15*1.2*0.3*3.05+1*(2.85*0.25+0.825*0.25)*3.05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(8*(1+0.3)+15*(0.9+0.3)+21*(0.75+0.3)+1*(0.7+0.3)+2*(1.2+0.3)+3*(1+0.3)+2*(1+0.3)+1*(0.9+0.3)+1*(1.5+0.3)+2*(0.9+0.3)+4*(0.75+0.3)+1*(0.45+0.3)+3*(0.6+0.3)+1*(3+0.3)+4*(1.6+0.3)+2*(1.3+0.3)+4*(1.8+0.3)+1*(1.2+0.3)+6*(1.8+0.3)+10*(0.9+0.3)+2*(1.8+0.3)+3*(1.2+0.3)+8*(1.2+0.3)+1*(1.2+0.3)+6*(1.5+0.3)+4*(1.5+0.3)+1*(2.4+0.3)+1*(3+0.3)+3*(1.8+0.3)+1*(0.75+0.3)+1*(1.45+0.3)+13*(0.9+0.3)+5*(0.75+0.3)+2*(0.6+0.3)+2*(1.2+0.3))*0.15*0.225</f>
        <v>6.869812500000002</v>
      </c>
      <c r="D46" s="583" t="inlineStr">
        <is>
          <t>m3</t>
        </is>
      </c>
      <c r="E46" s="584">
        <f>RATES!$D$25</f>
        <v>2600.0</v>
      </c>
      <c r="F46" s="571">
        <f>C46*E46</f>
        <v>17861.512500000004</v>
      </c>
      <c r="G46" s="585" t="inlineStr">
        <is>
          <t>(8*(1+0.3)+15*(0.9+0.3)+21*(0.75+0.3)+1*(0.7+0.3)+2*(1.2+0.3)+3*(1+0.3)+2*(1+0.3)+1*(0.9+0.3)+1*(1.5+0.3)+2*(0.9+0.3)+4*(0.75+0.3)+1*(0.45+0.3)+3*(0.6+0.3)+1*(3+0.3)+4*(1.6+0.3)+2*(1.3+0.3)+4*(1.8+0.3)+1*(1.2+0.3)+6*(1.8+0.3)+10*(0.9+0.3)+2*(1.8+0...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1134.6</f>
        <v>1134.6</v>
      </c>
      <c r="D49" s="583" t="inlineStr">
        <is>
          <t>m2</t>
        </is>
      </c>
      <c r="E49" s="584">
        <f>RATES!$D$38</f>
        <v>170.0</v>
      </c>
      <c r="F49" s="571">
        <f>C49*E49</f>
        <v>192881.99999999997</v>
      </c>
      <c r="G49" s="585" t="inlineStr">
        <is>
          <t>1134.6</t>
        </is>
      </c>
    </row>
    <row r="50"/>
    <row r="51" ht="24" customHeight="1" s="12">
      <c r="A51" s="567" t="inlineStr">
        <is>
          <t>J</t>
        </is>
      </c>
      <c r="B51" s="581" t="inlineStr">
        <is>
          <t>Edges of suspended slab 250mm high</t>
        </is>
      </c>
      <c r="C51" s="582">
        <f>294.6</f>
        <v>294.6</v>
      </c>
      <c r="D51" s="583" t="inlineStr">
        <is>
          <t>m</t>
        </is>
      </c>
      <c r="E51" s="584">
        <f>RATES!$D$40</f>
        <v>65.0</v>
      </c>
      <c r="F51" s="571">
        <f>C51*E51</f>
        <v>19149.0</v>
      </c>
      <c r="G51" s="585" t="inlineStr">
        <is>
          <t>294.6</t>
        </is>
      </c>
    </row>
    <row r="52"/>
    <row r="53" ht="24" customHeight="1" s="12">
      <c r="A53" s="567" t="inlineStr">
        <is>
          <t>K</t>
        </is>
      </c>
      <c r="B53" s="581" t="inlineStr">
        <is>
          <t>Sides and soffits of beams</t>
        </is>
      </c>
      <c r="C53" s="582">
        <f>166.8*(2*0.35+0.3)+33.1*(2*0.35+0.2)</f>
        <v>196.59</v>
      </c>
      <c r="D53" s="583" t="inlineStr">
        <is>
          <t>m2</t>
        </is>
      </c>
      <c r="E53" s="584">
        <f>RATES!$D$39</f>
        <v>200.0</v>
      </c>
      <c r="F53" s="571">
        <f>C53*E53</f>
        <v>39318.0</v>
      </c>
      <c r="G53" s="585" t="inlineStr">
        <is>
          <t>166.8*(2*0.35+0.3)+33.1*(2*0.35+0.2)</t>
        </is>
      </c>
    </row>
    <row r="54"/>
    <row r="55" ht="24" customHeight="1" s="12">
      <c r="A55" s="567" t="inlineStr">
        <is>
          <t>L</t>
        </is>
      </c>
      <c r="B55" s="581" t="inlineStr">
        <is>
          <t>Columns</t>
        </is>
      </c>
      <c r="C55" s="582">
        <f>5*2*(0.75+0.5)*3.05+1*2*(0.75+0.5)*3.05+2*2*(0.75+0.5)*3.05+1*2*(0.75+0.5)*3.05+3*2*(1.2+0.3)*3.05+6*2*(1.2+0.3)*3.05+1*2*(1.2+0.3)*3.05+15*2*(1.2+0.3)*3.05+1*2*(2.85+1.075)*3.05</f>
        <v>321.3175</v>
      </c>
      <c r="D55" s="583" t="inlineStr">
        <is>
          <t>m2</t>
        </is>
      </c>
      <c r="E55" s="584">
        <f>RATES!$D$37</f>
        <v>190.0</v>
      </c>
      <c r="F55" s="571">
        <f>C55*E55</f>
        <v>61050.325</v>
      </c>
      <c r="G55" s="585" t="inlineStr">
        <is>
          <t>5*2*(0.75+0.5)*3.05+1*2*(0.75+0.5)*3.05+2*2*(0.75+0.5)*3.05+1*2*(0.75+0.5)*3.05+3*2*(1.2+0.3)*3.05+6*2*(1.2+0.3)*3.05+1*2*(1.2+0.3)*3.05+15*2*(1.2+0.3)*3.05+1*2*(2.85+1.075)*3.05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(8*(1+0.3)+15*(0.9+0.3)+21*(0.75+0.3)+1*(0.7+0.3)+2*(1.2+0.3)+3*(1+0.3)+2*(1+0.3)+1*(0.9+0.3)+1*(1.5+0.3)+2*(0.9+0.3)+4*(0.75+0.3)+1*(0.45+0.3)+3*(0.6+0.3)+1*(3+0.3)+4*(1.6+0.3)+2*(1.3+0.3)+4*(1.8+0.3)+1*(1.2+0.3)+6*(1.8+0.3)+10*(0.9+0.3)+2*(1.8+0.3)+3*(1.2+0.3)+8*(1.2+0.3)+1*(1.2+0.3)+6*(1.5+0.3)+4*(1.5+0.3)+1*(2.4+0.3)+1*(3+0.3)+3*(1.8+0.3)+1*(0.75+0.3)+1*(1.45+0.3)+13*(0.9+0.3)+5*(0.75+0.3)+2*(0.6+0.3)+2*(1.2+0.3))*(2*0.225+0.15)</f>
        <v>122.13000000000002</v>
      </c>
      <c r="D61" s="583" t="inlineStr">
        <is>
          <t>m2</t>
        </is>
      </c>
      <c r="E61" s="584">
        <f>RATES!$D$43</f>
        <v>180.0</v>
      </c>
      <c r="F61" s="571">
        <f>C61*E61</f>
        <v>21983.400000000005</v>
      </c>
      <c r="G61" s="585" t="inlineStr">
        <is>
          <t>(8*(1+0.3)+15*(0.9+0.3)+21*(0.75+0.3)+1*(0.7+0.3)+2*(1.2+0.3)+3*(1+0.3)+2*(1+0.3)+1*(0.9+0.3)+1*(1.5+0.3)+2*(0.9+0.3)+4*(0.75+0.3)+1*(0.45+0.3)+3*(0.6+0.3)+1*(3+0.3)+4*(1.6+0.3)+2*(1.3+0.3)+4*(1.8+0.3)+1*(1.2+0.3)+6*(1.8+0.3)+10*(0.9+0.3)+2*(1.8+0...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4.509</f>
        <v>4.509</v>
      </c>
      <c r="D64" s="583" t="inlineStr">
        <is>
          <t>t</t>
        </is>
      </c>
      <c r="E64" s="584">
        <f>RATES!$D$29</f>
        <v>20500.0</v>
      </c>
      <c r="F64" s="571">
        <f>C64*E64</f>
        <v>92434.5</v>
      </c>
      <c r="G64" s="585" t="inlineStr">
        <is>
          <t>4.509</t>
        </is>
      </c>
    </row>
    <row r="65"/>
    <row r="66" ht="24" customHeight="1" s="12">
      <c r="A66" s="567" t="inlineStr">
        <is>
          <t>R</t>
        </is>
      </c>
      <c r="B66" s="581" t="inlineStr">
        <is>
          <t>20mm diameter in columns</t>
        </is>
      </c>
      <c r="C66" s="582">
        <f>6.299</f>
        <v>6.299</v>
      </c>
      <c r="D66" s="583" t="inlineStr">
        <is>
          <t>t</t>
        </is>
      </c>
      <c r="E66" s="584">
        <f>RATES!$D$32</f>
        <v>19000.0</v>
      </c>
      <c r="F66" s="571">
        <f>C66*E66</f>
        <v>119681.0</v>
      </c>
      <c r="G66" s="585" t="inlineStr">
        <is>
          <t>6.299</t>
        </is>
      </c>
    </row>
    <row r="67"/>
    <row r="68" ht="24" customHeight="1" s="12">
      <c r="A68" s="567" t="inlineStr">
        <is>
          <t>S</t>
        </is>
      </c>
      <c r="B68" s="581" t="inlineStr">
        <is>
          <t>25mm diameter in columns</t>
        </is>
      </c>
      <c r="C68" s="582">
        <f>0.624</f>
        <v>0.624</v>
      </c>
      <c r="D68" s="583" t="inlineStr">
        <is>
          <t>t</t>
        </is>
      </c>
      <c r="E68" s="584">
        <f>RATES!$D$33</f>
        <v>19000.0</v>
      </c>
      <c r="F68" s="571">
        <f>C68*E68</f>
        <v>11856.0</v>
      </c>
      <c r="G68" s="585" t="inlineStr">
        <is>
          <t>0.624</t>
        </is>
      </c>
    </row>
    <row r="69"/>
    <row r="70" ht="24" customHeight="1" s="12">
      <c r="A70" s="567" t="inlineStr">
        <is>
          <t>T</t>
        </is>
      </c>
      <c r="B70" s="581" t="inlineStr">
        <is>
          <t>10mm diameter in beams (links)</t>
        </is>
      </c>
      <c r="C70" s="582">
        <f>1.806</f>
        <v>1.806</v>
      </c>
      <c r="D70" s="583" t="inlineStr">
        <is>
          <t>t</t>
        </is>
      </c>
      <c r="E70" s="584">
        <f>RATES!$D$29</f>
        <v>20500.0</v>
      </c>
      <c r="F70" s="571">
        <f>C70*E70</f>
        <v>37023.0</v>
      </c>
      <c r="G70" s="585" t="inlineStr">
        <is>
          <t>1.806</t>
        </is>
      </c>
    </row>
    <row r="71"/>
    <row r="72" ht="24" customHeight="1" s="12">
      <c r="A72" s="567" t="inlineStr">
        <is>
          <t>U</t>
        </is>
      </c>
      <c r="B72" s="581" t="inlineStr">
        <is>
          <t>16mm diameter in beams</t>
        </is>
      </c>
      <c r="C72" s="582">
        <f>1.248</f>
        <v>1.248</v>
      </c>
      <c r="D72" s="583" t="inlineStr">
        <is>
          <t>t</t>
        </is>
      </c>
      <c r="E72" s="584">
        <f>RATES!$D$31</f>
        <v>19500.0</v>
      </c>
      <c r="F72" s="571">
        <f>C72*E72</f>
        <v>24336.0</v>
      </c>
      <c r="G72" s="585" t="inlineStr">
        <is>
          <t>1.248</t>
        </is>
      </c>
    </row>
    <row r="73"/>
    <row r="74" ht="24" customHeight="1" s="12">
      <c r="A74" s="567" t="inlineStr">
        <is>
          <t>V</t>
        </is>
      </c>
      <c r="B74" s="581" t="inlineStr">
        <is>
          <t>20mm diameter in beams</t>
        </is>
      </c>
      <c r="C74" s="582">
        <f>2.135</f>
        <v>2.135</v>
      </c>
      <c r="D74" s="583" t="inlineStr">
        <is>
          <t>t</t>
        </is>
      </c>
      <c r="E74" s="584">
        <f>RATES!$D$32</f>
        <v>19000.0</v>
      </c>
      <c r="F74" s="571">
        <f>C74*E74</f>
        <v>40564.99999999999</v>
      </c>
      <c r="G74" s="585" t="inlineStr">
        <is>
          <t>2.135</t>
        </is>
      </c>
    </row>
    <row r="75"/>
    <row r="76" ht="24" customHeight="1" s="12">
      <c r="A76" s="567" t="inlineStr">
        <is>
          <t>W</t>
        </is>
      </c>
      <c r="B76" s="581" t="inlineStr">
        <is>
          <t>25mm diameter in beams</t>
        </is>
      </c>
      <c r="C76" s="582">
        <f>5.507</f>
        <v>5.507</v>
      </c>
      <c r="D76" s="583" t="inlineStr">
        <is>
          <t>t</t>
        </is>
      </c>
      <c r="E76" s="584">
        <f>RATES!$D$33</f>
        <v>19000.0</v>
      </c>
      <c r="F76" s="571">
        <f>C76*E76</f>
        <v>104633.0</v>
      </c>
      <c r="G76" s="585" t="inlineStr">
        <is>
          <t>5.507</t>
        </is>
      </c>
    </row>
    <row r="77"/>
    <row r="78" ht="24" customHeight="1" s="12">
      <c r="A78" s="567" t="inlineStr">
        <is>
          <t>X</t>
        </is>
      </c>
      <c r="B78" s="581" t="inlineStr">
        <is>
          <t>10mm diameter in shear &amp; lift walls (links)</t>
        </is>
      </c>
      <c r="C78" s="582">
        <f>1.442+0.636</f>
        <v>2.078</v>
      </c>
      <c r="D78" s="583" t="inlineStr">
        <is>
          <t>t</t>
        </is>
      </c>
      <c r="E78" s="584">
        <f>RATES!$D$29</f>
        <v>20500.0</v>
      </c>
      <c r="F78" s="571">
        <f>C78*E78</f>
        <v>42599.0</v>
      </c>
      <c r="G78" s="585" t="inlineStr">
        <is>
          <t>1.442+0.636</t>
        </is>
      </c>
    </row>
    <row r="79"/>
    <row r="80" ht="24" customHeight="1" s="12">
      <c r="A80" s="567" t="inlineStr">
        <is>
          <t>Y</t>
        </is>
      </c>
      <c r="B80" s="581" t="inlineStr">
        <is>
          <t>12mm diameter in shear, lift &amp; ramp walls</t>
        </is>
      </c>
      <c r="C80" s="582">
        <f>1.917+0.866</f>
        <v>2.783</v>
      </c>
      <c r="D80" s="583" t="inlineStr">
        <is>
          <t>t</t>
        </is>
      </c>
      <c r="E80" s="584">
        <f>RATES!$D$30</f>
        <v>20000.0</v>
      </c>
      <c r="F80" s="571">
        <f>C80*E80</f>
        <v>55660.0</v>
      </c>
      <c r="G80" s="585" t="inlineStr">
        <is>
          <t>1.917+0.866</t>
        </is>
      </c>
    </row>
    <row r="81"/>
    <row r="82" ht="24" customHeight="1" s="12">
      <c r="A82" s="567" t="inlineStr">
        <is>
          <t>Z</t>
        </is>
      </c>
      <c r="B82" s="581" t="inlineStr">
        <is>
          <t>20mm diameter in shear &amp; lift walls</t>
        </is>
      </c>
      <c r="C82" s="582">
        <f>6.904+3.320</f>
        <v>10.224</v>
      </c>
      <c r="D82" s="583" t="inlineStr">
        <is>
          <t>t</t>
        </is>
      </c>
      <c r="E82" s="584">
        <f>RATES!$D$32</f>
        <v>19000.0</v>
      </c>
      <c r="F82" s="571">
        <f>C82*E82</f>
        <v>194256.0</v>
      </c>
      <c r="G82" s="585" t="inlineStr">
        <is>
          <t>6.904+3.320</t>
        </is>
      </c>
    </row>
    <row r="83"/>
    <row r="84" ht="24" customHeight="1" s="12">
      <c r="A84" s="567" t="inlineStr">
        <is>
          <t>A</t>
        </is>
      </c>
      <c r="B84" s="581" t="inlineStr">
        <is>
          <t>12mm diameter in stairs</t>
        </is>
      </c>
      <c r="C84" s="582">
        <f>0.880</f>
        <v>0.88</v>
      </c>
      <c r="D84" s="583" t="inlineStr">
        <is>
          <t>t</t>
        </is>
      </c>
      <c r="E84" s="584">
        <f>RATES!$D$30</f>
        <v>20000.0</v>
      </c>
      <c r="F84" s="571">
        <f>C84*E84</f>
        <v>17600.0</v>
      </c>
      <c r="G84" s="585" t="inlineStr">
        <is>
          <t>0.880</t>
        </is>
      </c>
    </row>
    <row r="85"/>
    <row r="86" ht="24" customHeight="1" s="12">
      <c r="A86" s="567" t="inlineStr">
        <is>
          <t>B</t>
        </is>
      </c>
      <c r="B86" s="581" t="inlineStr">
        <is>
          <t>16mm diameter in stairs</t>
        </is>
      </c>
      <c r="C86" s="582">
        <f>1.434</f>
        <v>1.434</v>
      </c>
      <c r="D86" s="583" t="inlineStr">
        <is>
          <t>t</t>
        </is>
      </c>
      <c r="E86" s="584">
        <f>RATES!$D$31</f>
        <v>19500.0</v>
      </c>
      <c r="F86" s="571">
        <f>C86*E86</f>
        <v>27963.0</v>
      </c>
      <c r="G86" s="585" t="inlineStr">
        <is>
          <t>1.434</t>
        </is>
      </c>
    </row>
    <row r="87"/>
    <row r="88" ht="24" customHeight="1" s="12">
      <c r="A88" s="567" t="inlineStr">
        <is>
          <t>C</t>
        </is>
      </c>
      <c r="B88" s="581" t="inlineStr">
        <is>
          <t>12mm diameter for suspended slab</t>
        </is>
      </c>
      <c r="C88" s="582">
        <f>49.804</f>
        <v>49.804</v>
      </c>
      <c r="D88" s="583" t="inlineStr">
        <is>
          <t>t</t>
        </is>
      </c>
      <c r="E88" s="584">
        <f>RATES!$D$30</f>
        <v>20000.0</v>
      </c>
      <c r="F88" s="571">
        <f>C88*E88</f>
        <v>996080.0</v>
      </c>
      <c r="G88" s="585" t="inlineStr">
        <is>
          <t>49.804</t>
        </is>
      </c>
    </row>
    <row r="89"/>
    <row r="90" ht="24" customHeight="1" s="12">
      <c r="A90" s="567" t="inlineStr">
        <is>
          <t>D</t>
        </is>
      </c>
      <c r="B90" s="581" t="inlineStr">
        <is>
          <t>16mm diameter for suspended slab</t>
        </is>
      </c>
      <c r="C90" s="582">
        <f>0.151</f>
        <v>0.151</v>
      </c>
      <c r="D90" s="583" t="inlineStr">
        <is>
          <t>t</t>
        </is>
      </c>
      <c r="E90" s="584">
        <f>RATES!$D$31</f>
        <v>19500.0</v>
      </c>
      <c r="F90" s="571">
        <f>C90*E90</f>
        <v>2944.5</v>
      </c>
      <c r="G90" s="585" t="inlineStr">
        <is>
          <t>0.151</t>
        </is>
      </c>
    </row>
    <row r="91"/>
    <row r="92">
      <c r="A92" s="572" t="n"/>
      <c r="B92" s="586" t="str">
        <f>B31</f>
        <v>ELEMENT NO. 1: IN SITU CONCRETE/LARGE PRECAST CONCRETE</v>
      </c>
      <c r="C92" s="574" t="n"/>
      <c r="D92" s="574" t="n"/>
      <c r="E92" s="587" t="n"/>
      <c r="F92" s="576">
        <f>SUM(F33:F91)</f>
        <v>3309777.4733749996</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441.2*3.05+(8*1*(3.05-2.2)+15*0.9*(3.05-2.2)+21*0.75*(3.05-2.2)+1*0.7*(3.05-2.2)+2*1.2*(3.05-2.2)+3*1*(3.05-2.2)+2*1*(3.05-2.2)+1*0.9*(3.05-2.2)+1*1.5*(3.05-2.2)+2*0.9*(3.05-2.2)+4*0.75*(3.05-2.2)+1*0.45*(3.05-2.2)+3*0.6*(3.05-2.2)+1*3*(3.05-2.2)+4*1.6*(3.05-2.2)+2*1.3*(3.05-2.2)+4*1.8*(3.05-2.2)+1*1.2*(3.05-2.2)+6*1.8*(3.05-1.3)+10*0.9*(3.05-1.3)+2*1.8*(3.05-1.6)+3*1.2*(3.05-1.9)+8*1.2*(3.05-1.15)+1*1.2*(3.05-1.2)+6*1.5*(3.05-1.3)+4*1.5*(3.05-1.15)+1*2.4*(3.05-1.3)+1*3*(3.05-1.6)+3*1.8*(3.05-1.9)+1*0.75*(3.05-1.3)+1*1.45*(3.05-1.9)+13*0.9*(3.05-0.6)+5*0.75*(3.05-0.6)+2*0.6*(3.05-0.6)+2*1.2*(3.05-0.6))*0.895</f>
        <v>1542.5174874999998</v>
      </c>
      <c r="D99" s="583" t="inlineStr">
        <is>
          <t>m2</t>
        </is>
      </c>
      <c r="E99" s="584">
        <f>RATES!$D$46</f>
        <v>215.0</v>
      </c>
      <c r="F99" s="571">
        <f>C99*E99</f>
        <v>331641.2598125</v>
      </c>
      <c r="G99" s="585" t="inlineStr">
        <is>
          <t>441.2*3.05+(8*1*(3.05-2.2)+15*0.9*(3.05-2.2)+21*0.75*(3.05-2.2)+1*0.7*(3.05-2.2)+2*1.2*(3.05-2.2)+3*1*(3.05-2.2)+2*1*(3.05-2.2)+1*0.9*(3.05-2.2)+1*1.5*(3.05-2.2)+2*0.9*(3.05-2.2)+4*0.75*(3.05-2.2)+1*0.45*(3.05-2.2)+3*0.6*(3.05-2.2)+1*3*(3.05-2.2)+...</t>
        </is>
      </c>
    </row>
    <row r="100"/>
    <row r="101" ht="24" customHeight="1" s="12">
      <c r="A101" s="567" t="inlineStr">
        <is>
          <t>B</t>
        </is>
      </c>
      <c r="B101" s="581" t="inlineStr">
        <is>
          <t>200mm thick wall</t>
        </is>
      </c>
      <c r="C101" s="582">
        <f>51.7*3.05+(8*1*(3.05-2.2)+15*0.9*(3.05-2.2)+21*0.75*(3.05-2.2)+1*0.7*(3.05-2.2)+2*1.2*(3.05-2.2)+3*1*(3.05-2.2)+2*1*(3.05-2.2)+1*0.9*(3.05-2.2)+1*1.5*(3.05-2.2)+2*0.9*(3.05-2.2)+4*0.75*(3.05-2.2)+1*0.45*(3.05-2.2)+3*0.6*(3.05-2.2)+1*3*(3.05-2.2)+4*1.6*(3.05-2.2)+2*1.3*(3.05-2.2)+4*1.8*(3.05-2.2)+1*1.2*(3.05-2.2)+6*1.8*(3.05-1.3)+10*0.9*(3.05-1.3)+2*1.8*(3.05-1.6)+3*1.2*(3.05-1.9)+8*1.2*(3.05-1.15)+1*1.2*(3.05-1.2)+6*1.5*(3.05-1.3)+4*1.5*(3.05-1.15)+1*2.4*(3.05-1.3)+1*3*(3.05-1.6)+3*1.8*(3.05-1.9)+1*0.75*(3.05-1.3)+1*1.45*(3.05-1.9)+13*0.9*(3.05-0.6)+5*0.75*(3.05-0.6)+2*0.6*(3.05-0.6)+2*1.2*(3.05-0.6))*0.105</f>
        <v>180.7800125</v>
      </c>
      <c r="D101" s="583" t="inlineStr">
        <is>
          <t>m2</t>
        </is>
      </c>
      <c r="E101" s="584">
        <f>RATES!$D$47</f>
        <v>265.0</v>
      </c>
      <c r="F101" s="571">
        <f>C101*E101</f>
        <v>47906.7033125</v>
      </c>
      <c r="G101" s="585" t="inlineStr">
        <is>
          <t>51.7*3.05+(8*1*(3.05-2.2)+15*0.9*(3.05-2.2)+21*0.75*(3.05-2.2)+1*0.7*(3.05-2.2)+2*1.2*(3.05-2.2)+3*1*(3.05-2.2)+2*1*(3.05-2.2)+1*0.9*(3.05-2.2)+1*1.5*(3.05-2.2)+2*0.9*(3.05-2.2)+4*0.75*(3.05-2.2)+1*0.45*(3.05-2.2)+3*0.6*(3.05-2.2)+1*3*(3.05-2.2)+4...</t>
        </is>
      </c>
    </row>
    <row r="102"/>
    <row r="103">
      <c r="A103" s="572" t="n"/>
      <c r="B103" s="586" t="str">
        <f>B96</f>
        <v>ELEMENT NO. 2: MASONRY</v>
      </c>
      <c r="C103" s="574" t="n"/>
      <c r="D103" s="574" t="n"/>
      <c r="E103" s="587" t="n"/>
      <c r="F103" s="576">
        <f>SUM(F98:F102)</f>
        <v>379547.963125</v>
      </c>
    </row>
    <row r="104">
      <c r="B104" s="559" t="inlineStr">
        <is>
          <t>Carried to Bill Summary</t>
        </is>
      </c>
    </row>
    <row r="105"/>
    <row r="106"/>
    <row r="107">
      <c r="A107" s="577" t="n"/>
      <c r="B107" s="578" t="inlineStr">
        <is>
          <t>ELEMENT NO. 4: WINDOWS/DOORS</t>
        </is>
      </c>
      <c r="C107" s="569" t="n"/>
      <c r="D107" s="569" t="n"/>
      <c r="E107" s="570" t="n"/>
      <c r="F107" s="579" t="n"/>
    </row>
    <row r="108"/>
    <row r="109" ht="48" customHeight="1" s="12">
      <c r="A109" s="577" t="n"/>
      <c r="B109" s="580" t="inlineStr">
        <is>
          <t>L20 DOORS - Supply and fix the following door assemblies complete with frames, ironmongery sets to steel doors and all accessories:</t>
        </is>
      </c>
      <c r="C109" s="569" t="n"/>
      <c r="D109" s="569" t="n"/>
      <c r="E109" s="570" t="n"/>
      <c r="F109" s="579" t="n"/>
    </row>
    <row r="110" ht="24" customHeight="1" s="12">
      <c r="A110" s="567" t="inlineStr">
        <is>
          <t>A</t>
        </is>
      </c>
      <c r="B110" s="581" t="inlineStr">
        <is>
          <t>1000mm x 2200mm 1-hour fire-rated galvanised steel single-leaf security door assembly (D2)</t>
        </is>
      </c>
      <c r="C110" s="582">
        <f>8</f>
        <v>8.0</v>
      </c>
      <c r="D110" s="583" t="inlineStr">
        <is>
          <t>nr</t>
        </is>
      </c>
      <c r="E110" s="584">
        <f>RATES!$D$75</f>
        <v>7800.0</v>
      </c>
      <c r="F110" s="571">
        <f>C110*E110</f>
        <v>62400.0</v>
      </c>
      <c r="G110" s="585" t="inlineStr">
        <is>
          <t>8</t>
        </is>
      </c>
    </row>
    <row r="111"/>
    <row r="112" ht="24" customHeight="1" s="12">
      <c r="A112" s="567" t="inlineStr">
        <is>
          <t>B</t>
        </is>
      </c>
      <c r="B112" s="581" t="inlineStr">
        <is>
          <t>900mm x 2200mm single leaf timber panel door (D3)</t>
        </is>
      </c>
      <c r="C112" s="582">
        <f>15</f>
        <v>15.0</v>
      </c>
      <c r="D112" s="583" t="inlineStr">
        <is>
          <t>nr</t>
        </is>
      </c>
      <c r="E112" s="584">
        <f>RATES!$D$76</f>
        <v>3400.0</v>
      </c>
      <c r="F112" s="571">
        <f>C112*E112</f>
        <v>51000.0</v>
      </c>
      <c r="G112" s="585" t="inlineStr">
        <is>
          <t>15</t>
        </is>
      </c>
    </row>
    <row r="113"/>
    <row r="114" ht="24" customHeight="1" s="12">
      <c r="A114" s="567" t="inlineStr">
        <is>
          <t>C</t>
        </is>
      </c>
      <c r="B114" s="581" t="inlineStr">
        <is>
          <t>750mm x 2200mm single leaf timber flush door (D6)</t>
        </is>
      </c>
      <c r="C114" s="582">
        <f>21</f>
        <v>21.0</v>
      </c>
      <c r="D114" s="583" t="inlineStr">
        <is>
          <t>nr</t>
        </is>
      </c>
      <c r="E114" s="584">
        <f>RATES!$D$79</f>
        <v>1900.0</v>
      </c>
      <c r="F114" s="571">
        <f>C114*E114</f>
        <v>39900.0</v>
      </c>
      <c r="G114" s="585" t="inlineStr">
        <is>
          <t>21</t>
        </is>
      </c>
    </row>
    <row r="115"/>
    <row r="116" ht="24" customHeight="1" s="12">
      <c r="A116" s="567" t="inlineStr">
        <is>
          <t>D</t>
        </is>
      </c>
      <c r="B116" s="581" t="inlineStr">
        <is>
          <t>700mm x 2200mm single-leaf 2-hour fire-rated galvanised steel door (D7)</t>
        </is>
      </c>
      <c r="C116" s="582">
        <f>1</f>
        <v>1.0</v>
      </c>
      <c r="D116" s="583" t="inlineStr">
        <is>
          <t>nr</t>
        </is>
      </c>
      <c r="E116" s="584">
        <f>RATES!$D$80</f>
        <v>6800.0</v>
      </c>
      <c r="F116" s="571">
        <f>C116*E116</f>
        <v>6800.0</v>
      </c>
      <c r="G116" s="585" t="inlineStr">
        <is>
          <t>1</t>
        </is>
      </c>
    </row>
    <row r="117"/>
    <row r="118" ht="24" customHeight="1" s="12">
      <c r="A118" s="567" t="inlineStr">
        <is>
          <t>E</t>
        </is>
      </c>
      <c r="B118" s="581" t="inlineStr">
        <is>
          <t>1200mm x 2200mm 1-hour fire-rated leaf-and-a-half galvanised steel security door assembly (D8)</t>
        </is>
      </c>
      <c r="C118" s="582">
        <f>2</f>
        <v>2.0</v>
      </c>
      <c r="D118" s="583" t="inlineStr">
        <is>
          <t>nr</t>
        </is>
      </c>
      <c r="E118" s="584">
        <f>RATES!$D$81</f>
        <v>9800.0</v>
      </c>
      <c r="F118" s="571">
        <f>C118*E118</f>
        <v>19600.0</v>
      </c>
      <c r="G118" s="585" t="inlineStr">
        <is>
          <t>2</t>
        </is>
      </c>
    </row>
    <row r="119"/>
    <row r="120" ht="48" customHeight="1" s="12">
      <c r="A120" s="567" t="inlineStr">
        <is>
          <t>F</t>
        </is>
      </c>
      <c r="B120" s="581" t="inlineStr">
        <is>
          <t>1000mm x 2200mm 1-hour fire-rated galvanised steel single-leaf security door assembly - emergency stairs (ED1)</t>
        </is>
      </c>
      <c r="C120" s="582">
        <f>3</f>
        <v>3.0</v>
      </c>
      <c r="D120" s="583" t="inlineStr">
        <is>
          <t>nr</t>
        </is>
      </c>
      <c r="E120" s="584">
        <f>RATES!$D$82</f>
        <v>7200.0</v>
      </c>
      <c r="F120" s="571">
        <f>C120*E120</f>
        <v>21600.0</v>
      </c>
      <c r="G120" s="585" t="inlineStr">
        <is>
          <t>3</t>
        </is>
      </c>
    </row>
    <row r="121"/>
    <row r="122" ht="48" customHeight="1" s="12">
      <c r="A122" s="567" t="inlineStr">
        <is>
          <t>G</t>
        </is>
      </c>
      <c r="B122" s="581" t="inlineStr">
        <is>
          <t>1000mm x 2200mm 1-hour fire-rated galvanised steel single-leaf security door with translucent glass panel (ED2)</t>
        </is>
      </c>
      <c r="C122" s="582">
        <f>2</f>
        <v>2.0</v>
      </c>
      <c r="D122" s="583" t="inlineStr">
        <is>
          <t>nr</t>
        </is>
      </c>
      <c r="E122" s="584">
        <f>RATES!$D$83</f>
        <v>8100.0</v>
      </c>
      <c r="F122" s="571">
        <f>C122*E122</f>
        <v>16200.0</v>
      </c>
      <c r="G122" s="585" t="inlineStr">
        <is>
          <t>2</t>
        </is>
      </c>
    </row>
    <row r="123"/>
    <row r="124" ht="24" customHeight="1" s="12">
      <c r="A124" s="567" t="inlineStr">
        <is>
          <t>H</t>
        </is>
      </c>
      <c r="B124" s="581" t="inlineStr">
        <is>
          <t>900mm x 2200mm 1-hour fire-rated galvanised steel single-leaf security door assembly (D9)</t>
        </is>
      </c>
      <c r="C124" s="582">
        <f>1</f>
        <v>1.0</v>
      </c>
      <c r="D124" s="583" t="inlineStr">
        <is>
          <t>nr</t>
        </is>
      </c>
      <c r="E124" s="584">
        <f>RATES!$D$84</f>
        <v>6900.0</v>
      </c>
      <c r="F124" s="571">
        <f>C124*E124</f>
        <v>6900.0</v>
      </c>
      <c r="G124" s="585" t="inlineStr">
        <is>
          <t>1</t>
        </is>
      </c>
    </row>
    <row r="125"/>
    <row r="126" ht="24" customHeight="1" s="12">
      <c r="A126" s="567" t="inlineStr">
        <is>
          <t>J</t>
        </is>
      </c>
      <c r="B126" s="581" t="inlineStr">
        <is>
          <t>1500mm x 2200mm timber bi-fold door (FD1)</t>
        </is>
      </c>
      <c r="C126" s="582">
        <f>1</f>
        <v>1.0</v>
      </c>
      <c r="D126" s="583" t="inlineStr">
        <is>
          <t>nr</t>
        </is>
      </c>
      <c r="E126" s="584">
        <f>RATES!$D$86</f>
        <v>4600.0</v>
      </c>
      <c r="F126" s="571">
        <f>C126*E126</f>
        <v>4600.0</v>
      </c>
      <c r="G126" s="585" t="inlineStr">
        <is>
          <t>1</t>
        </is>
      </c>
    </row>
    <row r="127"/>
    <row r="128" ht="24" customHeight="1" s="12">
      <c r="A128" s="567" t="inlineStr">
        <is>
          <t>K</t>
        </is>
      </c>
      <c r="B128" s="581" t="inlineStr">
        <is>
          <t>900mm x 2200mm screw-fixed galvanised steel service access panel (M1)</t>
        </is>
      </c>
      <c r="C128" s="582">
        <f>2</f>
        <v>2.0</v>
      </c>
      <c r="D128" s="583" t="inlineStr">
        <is>
          <t>nr</t>
        </is>
      </c>
      <c r="E128" s="584">
        <f>RATES!$D$87</f>
        <v>2900.0</v>
      </c>
      <c r="F128" s="571">
        <f>C128*E128</f>
        <v>5800.0</v>
      </c>
      <c r="G128" s="585" t="inlineStr">
        <is>
          <t>2</t>
        </is>
      </c>
    </row>
    <row r="129"/>
    <row r="130" ht="24" customHeight="1" s="12">
      <c r="A130" s="567" t="inlineStr">
        <is>
          <t>L</t>
        </is>
      </c>
      <c r="B130" s="581" t="inlineStr">
        <is>
          <t>750mm x 2200mm screw-fixed galvanised steel service access panel (M2)</t>
        </is>
      </c>
      <c r="C130" s="582">
        <f>4</f>
        <v>4.0</v>
      </c>
      <c r="D130" s="583" t="inlineStr">
        <is>
          <t>nr</t>
        </is>
      </c>
      <c r="E130" s="584">
        <f>RATES!$D$88</f>
        <v>2600.0</v>
      </c>
      <c r="F130" s="571">
        <f>C130*E130</f>
        <v>10400.0</v>
      </c>
      <c r="G130" s="585" t="inlineStr">
        <is>
          <t>4</t>
        </is>
      </c>
    </row>
    <row r="131"/>
    <row r="132" ht="24" customHeight="1" s="12">
      <c r="A132" s="567" t="inlineStr">
        <is>
          <t>M</t>
        </is>
      </c>
      <c r="B132" s="581" t="inlineStr">
        <is>
          <t>450mm x 2200mm screw-fixed galvanised steel service access panel (M3)</t>
        </is>
      </c>
      <c r="C132" s="582">
        <f>1</f>
        <v>1.0</v>
      </c>
      <c r="D132" s="583" t="inlineStr">
        <is>
          <t>nr</t>
        </is>
      </c>
      <c r="E132" s="584">
        <f>RATES!$D$89</f>
        <v>1900.0</v>
      </c>
      <c r="F132" s="571">
        <f>C132*E132</f>
        <v>1900.0</v>
      </c>
      <c r="G132" s="585" t="inlineStr">
        <is>
          <t>1</t>
        </is>
      </c>
    </row>
    <row r="133"/>
    <row r="134" ht="24" customHeight="1" s="12">
      <c r="A134" s="567" t="inlineStr">
        <is>
          <t>N</t>
        </is>
      </c>
      <c r="B134" s="581" t="inlineStr">
        <is>
          <t>600mm x 2200mm screw-fixed galvanised steel service access panel (M5)</t>
        </is>
      </c>
      <c r="C134" s="582">
        <f>3</f>
        <v>3.0</v>
      </c>
      <c r="D134" s="583" t="inlineStr">
        <is>
          <t>nr</t>
        </is>
      </c>
      <c r="E134" s="584">
        <f>RATES!$D$90</f>
        <v>2200.0</v>
      </c>
      <c r="F134" s="571">
        <f>C134*E134</f>
        <v>6600.0</v>
      </c>
      <c r="G134" s="585" t="inlineStr">
        <is>
          <t>3</t>
        </is>
      </c>
    </row>
    <row r="135"/>
    <row r="136" ht="24" customHeight="1" s="12">
      <c r="A136" s="567" t="inlineStr">
        <is>
          <t>P</t>
        </is>
      </c>
      <c r="B136" s="581" t="inlineStr">
        <is>
          <t>3000mm x 2200mm 3-panel galvanised steel framed tempered glass sliding door (SD1)</t>
        </is>
      </c>
      <c r="C136" s="582">
        <f>1</f>
        <v>1.0</v>
      </c>
      <c r="D136" s="583" t="inlineStr">
        <is>
          <t>nr</t>
        </is>
      </c>
      <c r="E136" s="584">
        <f>RATES!$D$94</f>
        <v>14500.0</v>
      </c>
      <c r="F136" s="571">
        <f>C136*E136</f>
        <v>14500.0</v>
      </c>
      <c r="G136" s="585" t="inlineStr">
        <is>
          <t>1</t>
        </is>
      </c>
    </row>
    <row r="137"/>
    <row r="138" ht="24" customHeight="1" s="12">
      <c r="A138" s="567" t="inlineStr">
        <is>
          <t>Q</t>
        </is>
      </c>
      <c r="B138" s="581" t="inlineStr">
        <is>
          <t>1600mm x 2200mm 2-panel galvanised steel framed tempered glass sliding door (SD2)</t>
        </is>
      </c>
      <c r="C138" s="582">
        <f>4</f>
        <v>4.0</v>
      </c>
      <c r="D138" s="583" t="inlineStr">
        <is>
          <t>nr</t>
        </is>
      </c>
      <c r="E138" s="584">
        <f>RATES!$D$95</f>
        <v>8800.0</v>
      </c>
      <c r="F138" s="571">
        <f>C138*E138</f>
        <v>35200.0</v>
      </c>
      <c r="G138" s="585" t="inlineStr">
        <is>
          <t>4</t>
        </is>
      </c>
    </row>
    <row r="139"/>
    <row r="140" ht="24" customHeight="1" s="12">
      <c r="A140" s="567" t="inlineStr">
        <is>
          <t>R</t>
        </is>
      </c>
      <c r="B140" s="581" t="inlineStr">
        <is>
          <t>1300mm x 2200mm 2-panel galvanised steel framed tempered glass sliding door (SD3)</t>
        </is>
      </c>
      <c r="C140" s="582">
        <f>2</f>
        <v>2.0</v>
      </c>
      <c r="D140" s="583" t="inlineStr">
        <is>
          <t>nr</t>
        </is>
      </c>
      <c r="E140" s="584">
        <f>RATES!$D$96</f>
        <v>7600.0</v>
      </c>
      <c r="F140" s="571">
        <f>C140*E140</f>
        <v>15200.0</v>
      </c>
      <c r="G140" s="585" t="inlineStr">
        <is>
          <t>2</t>
        </is>
      </c>
    </row>
    <row r="141"/>
    <row r="142" ht="24" customHeight="1" s="12">
      <c r="A142" s="567" t="inlineStr">
        <is>
          <t>S</t>
        </is>
      </c>
      <c r="B142" s="581" t="inlineStr">
        <is>
          <t>1800mm x 2200mm 2-panel galvanised steel framed tempered glass sliding door (SD4)</t>
        </is>
      </c>
      <c r="C142" s="582">
        <f>4</f>
        <v>4.0</v>
      </c>
      <c r="D142" s="583" t="inlineStr">
        <is>
          <t>nr</t>
        </is>
      </c>
      <c r="E142" s="584">
        <f>RATES!$D$97</f>
        <v>9300.0</v>
      </c>
      <c r="F142" s="571">
        <f>C142*E142</f>
        <v>37200.0</v>
      </c>
      <c r="G142" s="585" t="inlineStr">
        <is>
          <t>4</t>
        </is>
      </c>
    </row>
    <row r="143"/>
    <row r="144" ht="24" customHeight="1" s="12">
      <c r="A144" s="567" t="inlineStr">
        <is>
          <t>T</t>
        </is>
      </c>
      <c r="B144" s="581" t="inlineStr">
        <is>
          <t>1200mm x 2200mm 2-panel galvanised steel framed tempered glass sliding door (SD5)</t>
        </is>
      </c>
      <c r="C144" s="582">
        <f>1</f>
        <v>1.0</v>
      </c>
      <c r="D144" s="583" t="inlineStr">
        <is>
          <t>nr</t>
        </is>
      </c>
      <c r="E144" s="584">
        <f>RATES!$D$98</f>
        <v>7200.0</v>
      </c>
      <c r="F144" s="571">
        <f>C144*E144</f>
        <v>7200.0</v>
      </c>
      <c r="G144" s="585" t="inlineStr">
        <is>
          <t>1</t>
        </is>
      </c>
    </row>
    <row r="145"/>
    <row r="146" ht="24" customHeight="1" s="12">
      <c r="A146" s="567" t="inlineStr">
        <is>
          <t>U</t>
        </is>
      </c>
      <c r="B146" s="581" t="inlineStr">
        <is>
          <t>50mm x 150mm frames (to timber doors)</t>
        </is>
      </c>
      <c r="C146" s="582">
        <f>15*(2*2.2+0.9)+21*(2*2.2+0.75)+1*(2*2.2+1.5)</f>
        <v>193.55000000000004</v>
      </c>
      <c r="D146" s="583" t="inlineStr">
        <is>
          <t>m</t>
        </is>
      </c>
      <c r="E146" s="584">
        <f>RATES!$D$100</f>
        <v>125.0</v>
      </c>
      <c r="F146" s="571">
        <f>C146*E146</f>
        <v>24193.750000000004</v>
      </c>
      <c r="G146" s="585" t="inlineStr">
        <is>
          <t>15*(2*2.2+0.9)+21*(2*2.2+0.75)+1*(2*2.2+1.5)</t>
        </is>
      </c>
    </row>
    <row r="147"/>
    <row r="148" ht="24" customHeight="1" s="12">
      <c r="A148" s="567" t="inlineStr">
        <is>
          <t>V</t>
        </is>
      </c>
      <c r="B148" s="581" t="inlineStr">
        <is>
          <t>50mm x 12mm door stop</t>
        </is>
      </c>
      <c r="C148" s="582">
        <f>15*(2*2.2+0.9)+21*(2*2.2+0.75)+1*(2*2.2+1.5)</f>
        <v>193.55000000000004</v>
      </c>
      <c r="D148" s="583" t="inlineStr">
        <is>
          <t>m</t>
        </is>
      </c>
      <c r="E148" s="584">
        <f>RATES!$D$101</f>
        <v>28.0</v>
      </c>
      <c r="F148" s="571">
        <f>C148*E148</f>
        <v>5419.4000000000015</v>
      </c>
      <c r="G148" s="585" t="inlineStr">
        <is>
          <t>15*(2*2.2+0.9)+21*(2*2.2+0.75)+1*(2*2.2+1.5)</t>
        </is>
      </c>
    </row>
    <row r="149"/>
    <row r="150" ht="48" customHeight="1" s="12">
      <c r="A150" s="577" t="n"/>
      <c r="B150" s="580" t="inlineStr">
        <is>
          <t>Ironmongery - Supply and fix the following approved ironmongery to hardwood with accompanying patented screws:</t>
        </is>
      </c>
      <c r="C150" s="569" t="n"/>
      <c r="D150" s="569" t="n"/>
      <c r="E150" s="570" t="n"/>
      <c r="F150" s="579" t="n"/>
    </row>
    <row r="151" ht="24" customHeight="1" s="12">
      <c r="A151" s="567" t="inlineStr">
        <is>
          <t>W</t>
        </is>
      </c>
      <c r="B151" s="581" t="inlineStr">
        <is>
          <t>Pair 100mm brass butt hinges</t>
        </is>
      </c>
      <c r="C151" s="582">
        <f>54</f>
        <v>54.0</v>
      </c>
      <c r="D151" s="583" t="inlineStr">
        <is>
          <t>pr</t>
        </is>
      </c>
      <c r="E151" s="584">
        <f>RATES!$D$102</f>
        <v>125.0</v>
      </c>
      <c r="F151" s="571">
        <f>C151*E151</f>
        <v>6750.0</v>
      </c>
      <c r="G151" s="585" t="inlineStr">
        <is>
          <t>54</t>
        </is>
      </c>
    </row>
    <row r="152"/>
    <row r="153" ht="24" customHeight="1" s="12">
      <c r="A153" s="567" t="inlineStr">
        <is>
          <t>X</t>
        </is>
      </c>
      <c r="B153" s="581" t="inlineStr">
        <is>
          <t>Ordinary locks</t>
        </is>
      </c>
      <c r="C153" s="582">
        <f>15</f>
        <v>15.0</v>
      </c>
      <c r="D153" s="583" t="inlineStr">
        <is>
          <t>nr</t>
        </is>
      </c>
      <c r="E153" s="584">
        <f>RATES!$D$103</f>
        <v>480.0</v>
      </c>
      <c r="F153" s="571">
        <f>C153*E153</f>
        <v>7200.0</v>
      </c>
      <c r="G153" s="585" t="inlineStr">
        <is>
          <t>15</t>
        </is>
      </c>
    </row>
    <row r="154"/>
    <row r="155" ht="24" customHeight="1" s="12">
      <c r="A155" s="567" t="inlineStr">
        <is>
          <t>Y</t>
        </is>
      </c>
      <c r="B155" s="581" t="inlineStr">
        <is>
          <t>Approved high quality mortice indicator lock</t>
        </is>
      </c>
      <c r="C155" s="582">
        <f>21</f>
        <v>21.0</v>
      </c>
      <c r="D155" s="583" t="inlineStr">
        <is>
          <t>nr</t>
        </is>
      </c>
      <c r="E155" s="584">
        <f>RATES!$D$104</f>
        <v>560.0</v>
      </c>
      <c r="F155" s="571">
        <f>C155*E155</f>
        <v>11760.0</v>
      </c>
      <c r="G155" s="585" t="inlineStr">
        <is>
          <t>21</t>
        </is>
      </c>
    </row>
    <row r="156"/>
    <row r="157" ht="72" customHeight="1" s="12">
      <c r="A157" s="577" t="n"/>
      <c r="B157"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7" s="569" t="n"/>
      <c r="D157" s="569" t="n"/>
      <c r="E157" s="570" t="n"/>
      <c r="F157" s="579" t="n"/>
    </row>
    <row r="158" ht="24" customHeight="1" s="12">
      <c r="A158" s="567" t="inlineStr">
        <is>
          <t>Z</t>
        </is>
      </c>
      <c r="B158" s="581" t="inlineStr">
        <is>
          <t>2 bay alu. framed glass sliding window 1800mm x 1300mm (W2)</t>
        </is>
      </c>
      <c r="C158" s="582">
        <f>6</f>
        <v>6.0</v>
      </c>
      <c r="D158" s="583" t="inlineStr">
        <is>
          <t>nr</t>
        </is>
      </c>
      <c r="E158" s="584">
        <f>RATES!$D$109</f>
        <v>3861.0000000000005</v>
      </c>
      <c r="F158" s="571">
        <f>C158*E158</f>
        <v>23166.000000000004</v>
      </c>
      <c r="G158" s="585" t="inlineStr">
        <is>
          <t>6</t>
        </is>
      </c>
    </row>
    <row r="159"/>
    <row r="160" ht="24" customHeight="1" s="12">
      <c r="A160" s="567" t="inlineStr">
        <is>
          <t>A</t>
        </is>
      </c>
      <c r="B160" s="581" t="inlineStr">
        <is>
          <t>1 bay alu. framed glass awning window 900mm x 1300mm (W4)</t>
        </is>
      </c>
      <c r="C160" s="582">
        <f>10</f>
        <v>10.0</v>
      </c>
      <c r="D160" s="583" t="inlineStr">
        <is>
          <t>nr</t>
        </is>
      </c>
      <c r="E160" s="584">
        <f>RATES!$D$111</f>
        <v>1930.5000000000002</v>
      </c>
      <c r="F160" s="571">
        <f>C160*E160</f>
        <v>19305.000000000004</v>
      </c>
      <c r="G160" s="585" t="inlineStr">
        <is>
          <t>10</t>
        </is>
      </c>
    </row>
    <row r="161"/>
    <row r="162" ht="24" customHeight="1" s="12">
      <c r="A162" s="567" t="inlineStr">
        <is>
          <t>B</t>
        </is>
      </c>
      <c r="B162" s="581" t="inlineStr">
        <is>
          <t>2 bay alu. framed glass sliding window 1800mm x 1600mm (W7)</t>
        </is>
      </c>
      <c r="C162" s="582">
        <f>2</f>
        <v>2.0</v>
      </c>
      <c r="D162" s="583" t="inlineStr">
        <is>
          <t>nr</t>
        </is>
      </c>
      <c r="E162" s="584">
        <f>RATES!$D$114</f>
        <v>4752.000000000001</v>
      </c>
      <c r="F162" s="571">
        <f>C162*E162</f>
        <v>9504.000000000002</v>
      </c>
      <c r="G162" s="585" t="inlineStr">
        <is>
          <t>2</t>
        </is>
      </c>
    </row>
    <row r="163"/>
    <row r="164" ht="24" customHeight="1" s="12">
      <c r="A164" s="567" t="inlineStr">
        <is>
          <t>C</t>
        </is>
      </c>
      <c r="B164" s="581" t="inlineStr">
        <is>
          <t>1 x 3 bay alu. framed glass awning window 1200mm x 1900mm (W8)</t>
        </is>
      </c>
      <c r="C164" s="582">
        <f>3</f>
        <v>3.0</v>
      </c>
      <c r="D164" s="583" t="inlineStr">
        <is>
          <t>nr</t>
        </is>
      </c>
      <c r="E164" s="584">
        <f>RATES!$D$115</f>
        <v>3761.9999999999995</v>
      </c>
      <c r="F164" s="571">
        <f>C164*E164</f>
        <v>11285.999999999998</v>
      </c>
      <c r="G164" s="585" t="inlineStr">
        <is>
          <t>3</t>
        </is>
      </c>
    </row>
    <row r="165"/>
    <row r="166" ht="24" customHeight="1" s="12">
      <c r="A166" s="567" t="inlineStr">
        <is>
          <t>D</t>
        </is>
      </c>
      <c r="B166" s="581" t="inlineStr">
        <is>
          <t>2 bay alu. framed glass sliding window 1200mm x 1150mm (W9)</t>
        </is>
      </c>
      <c r="C166" s="582">
        <f>8</f>
        <v>8.0</v>
      </c>
      <c r="D166" s="583" t="inlineStr">
        <is>
          <t>nr</t>
        </is>
      </c>
      <c r="E166" s="584">
        <f>RATES!$D$116</f>
        <v>2277.0</v>
      </c>
      <c r="F166" s="571">
        <f>C166*E166</f>
        <v>18216.0</v>
      </c>
      <c r="G166" s="585" t="inlineStr">
        <is>
          <t>8</t>
        </is>
      </c>
    </row>
    <row r="167"/>
    <row r="168" ht="24" customHeight="1" s="12">
      <c r="A168" s="567" t="inlineStr">
        <is>
          <t>E</t>
        </is>
      </c>
      <c r="B168" s="581" t="inlineStr">
        <is>
          <t>2 bay alu. framed glass sliding window 1200mm x 1200mm (W10)</t>
        </is>
      </c>
      <c r="C168" s="582">
        <f>1</f>
        <v>1.0</v>
      </c>
      <c r="D168" s="583" t="inlineStr">
        <is>
          <t>nr</t>
        </is>
      </c>
      <c r="E168" s="584">
        <f>RATES!$D$117</f>
        <v>2376.0</v>
      </c>
      <c r="F168" s="571">
        <f>C168*E168</f>
        <v>2376.0</v>
      </c>
      <c r="G168" s="585" t="inlineStr">
        <is>
          <t>1</t>
        </is>
      </c>
    </row>
    <row r="169"/>
    <row r="170" ht="24" customHeight="1" s="12">
      <c r="A170" s="567" t="inlineStr">
        <is>
          <t>F</t>
        </is>
      </c>
      <c r="B170" s="581" t="inlineStr">
        <is>
          <t>2 bay alu. framed glass sliding window 1500mm x 1300mm (W11)</t>
        </is>
      </c>
      <c r="C170" s="582">
        <f>6</f>
        <v>6.0</v>
      </c>
      <c r="D170" s="583" t="inlineStr">
        <is>
          <t>nr</t>
        </is>
      </c>
      <c r="E170" s="584">
        <f>RATES!$D$118</f>
        <v>3217.5000000000005</v>
      </c>
      <c r="F170" s="571">
        <f>C170*E170</f>
        <v>19305.000000000004</v>
      </c>
      <c r="G170" s="585" t="inlineStr">
        <is>
          <t>6</t>
        </is>
      </c>
    </row>
    <row r="171"/>
    <row r="172" ht="24" customHeight="1" s="12">
      <c r="A172" s="567" t="inlineStr">
        <is>
          <t>G</t>
        </is>
      </c>
      <c r="B172" s="581" t="inlineStr">
        <is>
          <t>2 bay alu. framed glass sliding window 1500mm x 1150mm (W12)</t>
        </is>
      </c>
      <c r="C172" s="582">
        <f>4</f>
        <v>4.0</v>
      </c>
      <c r="D172" s="583" t="inlineStr">
        <is>
          <t>nr</t>
        </is>
      </c>
      <c r="E172" s="584">
        <f>RATES!$D$119</f>
        <v>2846.25</v>
      </c>
      <c r="F172" s="571">
        <f>C172*E172</f>
        <v>11385.0</v>
      </c>
      <c r="G172" s="585" t="inlineStr">
        <is>
          <t>4</t>
        </is>
      </c>
    </row>
    <row r="173"/>
    <row r="174" ht="24" customHeight="1" s="12">
      <c r="A174" s="567" t="inlineStr">
        <is>
          <t>H</t>
        </is>
      </c>
      <c r="B174" s="581" t="inlineStr">
        <is>
          <t>3 bay alu. framed glass awning window 2400mm x 1300mm (W13)</t>
        </is>
      </c>
      <c r="C174" s="582">
        <f>1</f>
        <v>1.0</v>
      </c>
      <c r="D174" s="583" t="inlineStr">
        <is>
          <t>nr</t>
        </is>
      </c>
      <c r="E174" s="584">
        <f>RATES!$D$120</f>
        <v>5148.0</v>
      </c>
      <c r="F174" s="571">
        <f>C174*E174</f>
        <v>5148.0</v>
      </c>
      <c r="G174" s="585" t="inlineStr">
        <is>
          <t>1</t>
        </is>
      </c>
    </row>
    <row r="175"/>
    <row r="176" ht="24" customHeight="1" s="12">
      <c r="A176" s="567" t="inlineStr">
        <is>
          <t>J</t>
        </is>
      </c>
      <c r="B176" s="581" t="inlineStr">
        <is>
          <t>3 bay alu. framed glass sliding window 3000mm x 1600mm (W15)</t>
        </is>
      </c>
      <c r="C176" s="582">
        <f>1</f>
        <v>1.0</v>
      </c>
      <c r="D176" s="583" t="inlineStr">
        <is>
          <t>nr</t>
        </is>
      </c>
      <c r="E176" s="584">
        <f>RATES!$D$122</f>
        <v>7920.000000000001</v>
      </c>
      <c r="F176" s="571">
        <f>C176*E176</f>
        <v>7920.000000000001</v>
      </c>
      <c r="G176" s="585" t="inlineStr">
        <is>
          <t>1</t>
        </is>
      </c>
    </row>
    <row r="177"/>
    <row r="178" ht="24" customHeight="1" s="12">
      <c r="A178" s="567" t="inlineStr">
        <is>
          <t>K</t>
        </is>
      </c>
      <c r="B178" s="581" t="inlineStr">
        <is>
          <t>2 x 3 alu. framed glass awning window 1800mm x 1900mm (W17)</t>
        </is>
      </c>
      <c r="C178" s="582">
        <f>3</f>
        <v>3.0</v>
      </c>
      <c r="D178" s="583" t="inlineStr">
        <is>
          <t>nr</t>
        </is>
      </c>
      <c r="E178" s="584">
        <f>RATES!$D$124</f>
        <v>5643.0</v>
      </c>
      <c r="F178" s="571">
        <f>C178*E178</f>
        <v>16929.0</v>
      </c>
      <c r="G178" s="585" t="inlineStr">
        <is>
          <t>3</t>
        </is>
      </c>
    </row>
    <row r="179"/>
    <row r="180" ht="24" customHeight="1" s="12">
      <c r="A180" s="567" t="inlineStr">
        <is>
          <t>L</t>
        </is>
      </c>
      <c r="B180" s="581" t="inlineStr">
        <is>
          <t>1 bay alu. framed glass awning window 750mm x 1300mm (W18)</t>
        </is>
      </c>
      <c r="C180" s="582">
        <f>1</f>
        <v>1.0</v>
      </c>
      <c r="D180" s="583" t="inlineStr">
        <is>
          <t>nr</t>
        </is>
      </c>
      <c r="E180" s="584">
        <f>RATES!$D$125</f>
        <v>1608.7500000000002</v>
      </c>
      <c r="F180" s="571">
        <f>C180*E180</f>
        <v>1608.7500000000002</v>
      </c>
      <c r="G180" s="585" t="inlineStr">
        <is>
          <t>1</t>
        </is>
      </c>
    </row>
    <row r="181"/>
    <row r="182" ht="24" customHeight="1" s="12">
      <c r="A182" s="567" t="inlineStr">
        <is>
          <t>M</t>
        </is>
      </c>
      <c r="B182" s="581" t="inlineStr">
        <is>
          <t>2 x 3 alu. framed glass awning window 1450mm x 1900mm (W20)</t>
        </is>
      </c>
      <c r="C182" s="582">
        <f>1</f>
        <v>1.0</v>
      </c>
      <c r="D182" s="583" t="inlineStr">
        <is>
          <t>nr</t>
        </is>
      </c>
      <c r="E182" s="584">
        <f>RATES!$D$127</f>
        <v>4545.75</v>
      </c>
      <c r="F182" s="571">
        <f>C182*E182</f>
        <v>4545.75</v>
      </c>
      <c r="G182" s="585" t="inlineStr">
        <is>
          <t>1</t>
        </is>
      </c>
    </row>
    <row r="183"/>
    <row r="184" ht="24" customHeight="1" s="12">
      <c r="A184" s="567" t="inlineStr">
        <is>
          <t>N</t>
        </is>
      </c>
      <c r="B184" s="581" t="inlineStr">
        <is>
          <t>2 bay alu. framed glass sliding window 900mm x 600mm (HW1)</t>
        </is>
      </c>
      <c r="C184" s="582">
        <f>13</f>
        <v>13.0</v>
      </c>
      <c r="D184" s="583" t="inlineStr">
        <is>
          <t>nr</t>
        </is>
      </c>
      <c r="E184" s="584">
        <f>RATES!$D$128</f>
        <v>891.0000000000001</v>
      </c>
      <c r="F184" s="571">
        <f>C184*E184</f>
        <v>11583.000000000002</v>
      </c>
      <c r="G184" s="585" t="inlineStr">
        <is>
          <t>13</t>
        </is>
      </c>
    </row>
    <row r="185"/>
    <row r="186" ht="24" customHeight="1" s="12">
      <c r="A186" s="567" t="inlineStr">
        <is>
          <t>P</t>
        </is>
      </c>
      <c r="B186" s="581" t="inlineStr">
        <is>
          <t>2 bay alu. framed glass sliding window 750mm x 600mm (HW2)</t>
        </is>
      </c>
      <c r="C186" s="582">
        <f>5</f>
        <v>5.0</v>
      </c>
      <c r="D186" s="583" t="inlineStr">
        <is>
          <t>nr</t>
        </is>
      </c>
      <c r="E186" s="584">
        <f>RATES!$D$129</f>
        <v>742.4999999999999</v>
      </c>
      <c r="F186" s="571">
        <f>C186*E186</f>
        <v>3712.4999999999995</v>
      </c>
      <c r="G186" s="585" t="inlineStr">
        <is>
          <t>5</t>
        </is>
      </c>
    </row>
    <row r="187"/>
    <row r="188" ht="24" customHeight="1" s="12">
      <c r="A188" s="567" t="inlineStr">
        <is>
          <t>Q</t>
        </is>
      </c>
      <c r="B188" s="581" t="inlineStr">
        <is>
          <t>2 bay alu. framed glass sliding window 600mm x 600mm (HW3)</t>
        </is>
      </c>
      <c r="C188" s="582">
        <f>2</f>
        <v>2.0</v>
      </c>
      <c r="D188" s="583" t="inlineStr">
        <is>
          <t>nr</t>
        </is>
      </c>
      <c r="E188" s="584">
        <f>RATES!$D$130</f>
        <v>594.0</v>
      </c>
      <c r="F188" s="571">
        <f>C188*E188</f>
        <v>1188.0</v>
      </c>
      <c r="G188" s="585" t="inlineStr">
        <is>
          <t>2</t>
        </is>
      </c>
    </row>
    <row r="189"/>
    <row r="190" ht="24" customHeight="1" s="12">
      <c r="A190" s="567" t="inlineStr">
        <is>
          <t>R</t>
        </is>
      </c>
      <c r="B190" s="581" t="inlineStr">
        <is>
          <t>2 bay alu. framed glass sliding window 1200mm x 600mm (HW4)</t>
        </is>
      </c>
      <c r="C190" s="582">
        <f>2</f>
        <v>2.0</v>
      </c>
      <c r="D190" s="583" t="inlineStr">
        <is>
          <t>nr</t>
        </is>
      </c>
      <c r="E190" s="584">
        <f>RATES!$D$131</f>
        <v>1188.0</v>
      </c>
      <c r="F190" s="571">
        <f>C190*E190</f>
        <v>2376.0</v>
      </c>
      <c r="G190" s="585" t="inlineStr">
        <is>
          <t>2</t>
        </is>
      </c>
    </row>
    <row r="191"/>
    <row r="192">
      <c r="A192" s="572" t="n"/>
      <c r="B192" s="586" t="str">
        <f>B107</f>
        <v>ELEMENT NO. 4: WINDOWS/DOORS</v>
      </c>
      <c r="C192" s="574" t="n"/>
      <c r="D192" s="574" t="n"/>
      <c r="E192" s="587" t="n"/>
      <c r="F192" s="576">
        <f>SUM(F109:F191)</f>
        <v>587877.15</v>
      </c>
    </row>
    <row r="193">
      <c r="B193" s="559" t="inlineStr">
        <is>
          <t>Carried to Bill Summary</t>
        </is>
      </c>
    </row>
    <row r="194"/>
    <row r="195"/>
    <row r="196">
      <c r="A196" s="577" t="n"/>
      <c r="B196" s="578" t="inlineStr">
        <is>
          <t>ELEMENT NO. 5: FLOOR FINISHES</t>
        </is>
      </c>
      <c r="C196" s="569" t="n"/>
      <c r="D196" s="569" t="n"/>
      <c r="E196" s="570" t="n"/>
      <c r="F196" s="579" t="n"/>
    </row>
    <row r="197"/>
    <row r="198" ht="24" customHeight="1" s="12">
      <c r="A198" s="577" t="n"/>
      <c r="B198" s="580" t="inlineStr">
        <is>
          <t>M10/M40 FLOOR FINISHES</t>
        </is>
      </c>
      <c r="C198" s="569" t="n"/>
      <c r="D198" s="569" t="n"/>
      <c r="E198" s="570" t="n"/>
      <c r="F198" s="579" t="n"/>
    </row>
    <row r="199" ht="24" customHeight="1" s="12">
      <c r="A199" s="567" t="inlineStr">
        <is>
          <t>A</t>
        </is>
      </c>
      <c r="B199" s="581" t="inlineStr">
        <is>
          <t>25mm cement and sand (1:3) screeded finish laid level on concrete and finished smooth with steel trowel</t>
        </is>
      </c>
      <c r="C199" s="582">
        <f>862.9</f>
        <v>862.9</v>
      </c>
      <c r="D199" s="583" t="inlineStr">
        <is>
          <t>m2</t>
        </is>
      </c>
      <c r="E199" s="584">
        <f>RATES!$D$50</f>
        <v>68.0</v>
      </c>
      <c r="F199" s="571">
        <f>C199*E199</f>
        <v>58677.2</v>
      </c>
      <c r="G199" s="585" t="inlineStr">
        <is>
          <t>862.9</t>
        </is>
      </c>
    </row>
    <row r="200"/>
    <row r="201" ht="24" customHeight="1" s="12">
      <c r="A201" s="567" t="inlineStr">
        <is>
          <t>B</t>
        </is>
      </c>
      <c r="B201" s="581" t="inlineStr">
        <is>
          <t>12mm cement and sand (1:4) screeded bed laid level on concrete floor to receive floor tiles</t>
        </is>
      </c>
      <c r="C201" s="582">
        <f>862.9+(2*1.8*3.0+22*0.15*1.8+2.2*3.75+1.8*3.75)+(2*1.8*3.0+22*0.15*1.8+2.2*3.75+1.8*3.75)</f>
        <v>926.38</v>
      </c>
      <c r="D201" s="583" t="inlineStr">
        <is>
          <t>m2</t>
        </is>
      </c>
      <c r="E201" s="584">
        <f>RATES!$D$51</f>
        <v>48.0</v>
      </c>
      <c r="F201" s="571">
        <f>C201*E201</f>
        <v>44466.24</v>
      </c>
      <c r="G201" s="585" t="inlineStr">
        <is>
          <t>862.9+(2*1.8*3.0+22*0.15*1.8+2.2*3.75+1.8*3.75)+(2*1.8*3.0+22*0.15*1.8+2.2*3.75+1.8*3.75)</t>
        </is>
      </c>
    </row>
    <row r="202"/>
    <row r="203" ht="24" customHeight="1" s="12">
      <c r="A203" s="567" t="inlineStr">
        <is>
          <t>C</t>
        </is>
      </c>
      <c r="B203" s="581" t="inlineStr">
        <is>
          <t>400x400mm non-slip porcelain floor tiles to washrooms &amp; WCs, adhesive, grout and cutting</t>
        </is>
      </c>
      <c r="C203" s="582">
        <f>60.4</f>
        <v>60.4</v>
      </c>
      <c r="D203" s="583" t="inlineStr">
        <is>
          <t>m2</t>
        </is>
      </c>
      <c r="E203" s="584">
        <f>RATES!$D$53</f>
        <v>230.0</v>
      </c>
      <c r="F203" s="571">
        <f>C203*E203</f>
        <v>13892.0</v>
      </c>
      <c r="G203" s="585" t="inlineStr">
        <is>
          <t>60.4</t>
        </is>
      </c>
    </row>
    <row r="204"/>
    <row r="205" ht="24" customHeight="1" s="12">
      <c r="A205" s="567" t="inlineStr">
        <is>
          <t>D</t>
        </is>
      </c>
      <c r="B205" s="581" t="inlineStr">
        <is>
          <t>500x500mm matte R11 porcelain tiles to staircases (treads, risers and landings)</t>
        </is>
      </c>
      <c r="C205" s="582">
        <f>(2*1.8*3.0+22*0.15*1.8+2.2*3.75+1.8*3.75)+(2*1.8*3.0+22*0.15*1.8+2.2*3.75+1.8*3.75)</f>
        <v>63.480000000000004</v>
      </c>
      <c r="D205" s="583" t="inlineStr">
        <is>
          <t>m2</t>
        </is>
      </c>
      <c r="E205" s="584">
        <f>RATES!$D$54</f>
        <v>270.0</v>
      </c>
      <c r="F205" s="571">
        <f>C205*E205</f>
        <v>17139.600000000002</v>
      </c>
      <c r="G205" s="585" t="inlineStr">
        <is>
          <t>(2*1.8*3.0+22*0.15*1.8+2.2*3.75+1.8*3.75)+(2*1.8*3.0+22*0.15*1.8+2.2*3.75+1.8*3.75)</t>
        </is>
      </c>
    </row>
    <row r="206"/>
    <row r="207" ht="24" customHeight="1" s="12">
      <c r="A207" s="567" t="inlineStr">
        <is>
          <t>E</t>
        </is>
      </c>
      <c r="B207" s="581" t="inlineStr">
        <is>
          <t>600x600mm semi-polished porcelain floor tiles to habitable rooms, shops &amp; offices</t>
        </is>
      </c>
      <c r="C207" s="582">
        <f>558.9</f>
        <v>558.9</v>
      </c>
      <c r="D207" s="583" t="inlineStr">
        <is>
          <t>m2</t>
        </is>
      </c>
      <c r="E207" s="584">
        <f>RATES!$D$55</f>
        <v>265.0</v>
      </c>
      <c r="F207" s="571">
        <f>C207*E207</f>
        <v>148108.5</v>
      </c>
      <c r="G207" s="585" t="inlineStr">
        <is>
          <t>558.9</t>
        </is>
      </c>
    </row>
    <row r="208"/>
    <row r="209" ht="24" customHeight="1" s="12">
      <c r="A209" s="567" t="inlineStr">
        <is>
          <t>F</t>
        </is>
      </c>
      <c r="B209" s="581" t="inlineStr">
        <is>
          <t>600x1200mm semi-polished porcelain floor tiles to stair/lift lobbies &amp; reception</t>
        </is>
      </c>
      <c r="C209" s="582">
        <f>33.8</f>
        <v>33.8</v>
      </c>
      <c r="D209" s="583" t="inlineStr">
        <is>
          <t>m2</t>
        </is>
      </c>
      <c r="E209" s="584">
        <f>RATES!$D$56</f>
        <v>330.0</v>
      </c>
      <c r="F209" s="571">
        <f>C209*E209</f>
        <v>11153.999999999998</v>
      </c>
      <c r="G209" s="585" t="inlineStr">
        <is>
          <t>33.8</t>
        </is>
      </c>
    </row>
    <row r="210"/>
    <row r="211" ht="24" customHeight="1" s="12">
      <c r="A211" s="567" t="inlineStr">
        <is>
          <t>G</t>
        </is>
      </c>
      <c r="B211" s="581" t="inlineStr">
        <is>
          <t>600x600mm non-slip R11 porcelain tiles to corridors, terraces, verandah &amp; service areas</t>
        </is>
      </c>
      <c r="C211" s="582">
        <f>209.7</f>
        <v>209.7</v>
      </c>
      <c r="D211" s="583" t="inlineStr">
        <is>
          <t>m2</t>
        </is>
      </c>
      <c r="E211" s="584">
        <f>RATES!$D$57</f>
        <v>250.0</v>
      </c>
      <c r="F211" s="571">
        <f>C211*E211</f>
        <v>52425.0</v>
      </c>
      <c r="G211" s="585" t="inlineStr">
        <is>
          <t>209.7</t>
        </is>
      </c>
    </row>
    <row r="212"/>
    <row r="213">
      <c r="A213" s="572" t="n"/>
      <c r="B213" s="586" t="str">
        <f>B196</f>
        <v>ELEMENT NO. 5: FLOOR FINISHES</v>
      </c>
      <c r="C213" s="574" t="n"/>
      <c r="D213" s="574" t="n"/>
      <c r="E213" s="587" t="n"/>
      <c r="F213" s="576">
        <f>SUM(F198:F212)</f>
        <v>345862.54000000004</v>
      </c>
    </row>
    <row r="214">
      <c r="B214" s="559" t="inlineStr">
        <is>
          <t>Carried to Bill Summary</t>
        </is>
      </c>
    </row>
    <row r="215"/>
    <row r="216"/>
    <row r="217">
      <c r="A217" s="577" t="n"/>
      <c r="B217" s="578" t="inlineStr">
        <is>
          <t>ELEMENT NO. 6: WALL FINISHES</t>
        </is>
      </c>
      <c r="C217" s="569" t="n"/>
      <c r="D217" s="569" t="n"/>
      <c r="E217" s="570" t="n"/>
      <c r="F217" s="579" t="n"/>
    </row>
    <row r="218"/>
    <row r="219" ht="48" customHeight="1" s="12">
      <c r="A219" s="577" t="n"/>
      <c r="B219" s="580" t="inlineStr">
        <is>
          <t>M20 PLASTERED/RENDERED COATINGS - 12.5mm cement and sand (1:3) rendering as described on blockwork or concrete to:</t>
        </is>
      </c>
      <c r="C219" s="569" t="n"/>
      <c r="D219" s="569" t="n"/>
      <c r="E219" s="570" t="n"/>
      <c r="F219" s="579" t="n"/>
    </row>
    <row r="220" ht="24" customHeight="1" s="12">
      <c r="A220" s="567" t="inlineStr">
        <is>
          <t>A</t>
        </is>
      </c>
      <c r="B220" s="581" t="inlineStr">
        <is>
          <t>Interior walls</t>
        </is>
      </c>
      <c r="C220" s="582">
        <f>(2*(441.2+51.7)+2*67.3-16.8-224.2)*3.05-60.4/3.8*8.0*3.05-2*(8*1*2.2+15*0.9*2.2+21*0.75*2.2+1*0.7*2.2+2*1.2*2.2+3*1*2.2+2*1*2.2+1*0.9*2.2+1*1.5*2.2+2*0.9*2.2+4*0.75*2.2+1*0.45*2.2+3*0.6*2.2+1*3*2.2+4*1.6*2.2+2*1.3*2.2+4*1.8*2.2+1*1.2*2.2)-(6*1.8*1.3+10*0.9*1.3+2*1.8*1.6+3*1.2*1.9+8*1.2*1.15+1*1.2*1.2+6*1.5*1.3+4*1.5*1.15+1*2.4*1.3+1*3*1.6+3*1.8*1.9+1*0.75*1.3+1*1.45*1.9+13*0.9*0.6+5*0.75*0.6+2*0.6*0.6+2*1.2*0.6)</f>
        <v>1860.698421052631</v>
      </c>
      <c r="D220" s="583" t="inlineStr">
        <is>
          <t>m2</t>
        </is>
      </c>
      <c r="E220" s="584">
        <f>RATES!$D$48</f>
        <v>78.0</v>
      </c>
      <c r="F220" s="571">
        <f>C220*E220</f>
        <v>145134.4768421052</v>
      </c>
      <c r="G220" s="585" t="inlineStr">
        <is>
          <t>(2*(441.2+51.7)+2*67.3-16.8-224.2)*3.05-60.4/3.8*8.0*3.05-2*(8*1*2.2+15*0.9*2.2+21*0.75*2.2+1*0.7*2.2+2*1.2*2.2+3*1*2.2+2*1*2.2+1*0.9*2.2+1*1.5*2.2+2*0.9*2.2+4*0.75*2.2+1*0.45*2.2+3*0.6*2.2+1*3*2.2+4*1.6*2.2+2*1.3*2.2+4*1.8*2.2+1*1.2*2.2)-(6*1.8*1...</t>
        </is>
      </c>
    </row>
    <row r="221"/>
    <row r="222" ht="24" customHeight="1" s="12">
      <c r="A222" s="567" t="inlineStr">
        <is>
          <t>B</t>
        </is>
      </c>
      <c r="B222" s="581" t="inlineStr">
        <is>
          <t>Interior partitions and washrooms</t>
        </is>
      </c>
      <c r="C222" s="582">
        <f>60.4/3.8*8.0*3.05-60.4/3.8*0.75*2.2</f>
        <v>361.60526315789474</v>
      </c>
      <c r="D222" s="583" t="inlineStr">
        <is>
          <t>m2</t>
        </is>
      </c>
      <c r="E222" s="584">
        <f>RATES!$D$48</f>
        <v>78.0</v>
      </c>
      <c r="F222" s="571">
        <f>C222*E222</f>
        <v>28205.21052631579</v>
      </c>
      <c r="G222" s="585" t="inlineStr">
        <is>
          <t>60.4/3.8*8.0*3.05-60.4/3.8*0.75*2.2</t>
        </is>
      </c>
    </row>
    <row r="223"/>
    <row r="224" ht="24" customHeight="1" s="12">
      <c r="A224" s="567" t="inlineStr">
        <is>
          <t>C</t>
        </is>
      </c>
      <c r="B224" s="581" t="inlineStr">
        <is>
          <t>External walls</t>
        </is>
      </c>
      <c r="C224" s="582">
        <f>224.2*3.3-(6*1.8*1.3+10*0.9*1.3+2*1.8*1.6+3*1.2*1.9+8*1.2*1.15+1*1.2*1.2+6*1.5*1.3+4*1.5*1.15+1*2.4*1.3+1*3*1.6+3*1.8*1.9+1*0.75*1.3+1*1.45*1.9+13*0.9*0.6+5*0.75*0.6+2*0.6*0.6+2*1.2*0.6)</f>
        <v>637.0999999999999</v>
      </c>
      <c r="D224" s="583" t="inlineStr">
        <is>
          <t>m2</t>
        </is>
      </c>
      <c r="E224" s="584">
        <f>RATES!$D$49</f>
        <v>88.0</v>
      </c>
      <c r="F224" s="571">
        <f>C224*E224</f>
        <v>56064.79999999999</v>
      </c>
      <c r="G224" s="585" t="inlineStr">
        <is>
          <t>224.2*3.3-(6*1.8*1.3+10*0.9*1.3+2*1.8*1.6+3*1.2*1.9+8*1.2*1.15+1*1.2*1.2+6*1.5*1.3+4*1.5*1.15+1*2.4*1.3+1*3*1.6+3*1.8*1.9+1*0.75*1.3+1*1.45*1.9+13*0.9*0.6+5*0.75*0.6+2*0.6*0.6+2*1.2*0.6)</t>
        </is>
      </c>
    </row>
    <row r="225"/>
    <row r="226" ht="24" customHeight="1" s="12">
      <c r="A226" s="567" t="inlineStr">
        <is>
          <t>D</t>
        </is>
      </c>
      <c r="B226" s="581" t="inlineStr">
        <is>
          <t>12mm cement and sand (1:4) screeded backing to receive wall tiles</t>
        </is>
      </c>
      <c r="C226" s="582">
        <f>60.4/3.8*8.0*2.4-60.4/3.8*0.75*2.2</f>
        <v>278.9526315789474</v>
      </c>
      <c r="D226" s="583" t="inlineStr">
        <is>
          <t>m2</t>
        </is>
      </c>
      <c r="E226" s="584">
        <f>RATES!$D$52</f>
        <v>55.0</v>
      </c>
      <c r="F226" s="571">
        <f>C226*E226</f>
        <v>15342.394736842105</v>
      </c>
      <c r="G226" s="585" t="inlineStr">
        <is>
          <t>60.4/3.8*8.0*2.4-60.4/3.8*0.75*2.2</t>
        </is>
      </c>
    </row>
    <row r="227"/>
    <row r="228" ht="24" customHeight="1" s="12">
      <c r="A228" s="567" t="inlineStr">
        <is>
          <t>E</t>
        </is>
      </c>
      <c r="B228" s="581" t="inlineStr">
        <is>
          <t>Ceramic/porcelain wall tiles to washrooms to 2.4m high, adhesive &amp; grout (type TBC)</t>
        </is>
      </c>
      <c r="C228" s="582">
        <f>60.4/3.8*8.0*2.4-60.4/3.8*0.75*2.2</f>
        <v>278.9526315789474</v>
      </c>
      <c r="D228" s="583" t="inlineStr">
        <is>
          <t>m2</t>
        </is>
      </c>
      <c r="E228" s="584">
        <f>RATES!$D$60</f>
        <v>240.0</v>
      </c>
      <c r="F228" s="571">
        <f>C228*E228</f>
        <v>66948.63157894737</v>
      </c>
      <c r="G228" s="585" t="inlineStr">
        <is>
          <t>60.4/3.8*8.0*2.4-60.4/3.8*0.75*2.2</t>
        </is>
      </c>
    </row>
    <row r="229"/>
    <row r="230">
      <c r="A230" s="572" t="n"/>
      <c r="B230" s="586" t="str">
        <f>B217</f>
        <v>ELEMENT NO. 6: WALL FINISHES</v>
      </c>
      <c r="C230" s="574" t="n"/>
      <c r="D230" s="574" t="n"/>
      <c r="E230" s="587" t="n"/>
      <c r="F230" s="576">
        <f>SUM(F219:F229)</f>
        <v>311695.5136842105</v>
      </c>
    </row>
    <row r="231">
      <c r="B231" s="559" t="inlineStr">
        <is>
          <t>Carried to Bill Summary</t>
        </is>
      </c>
    </row>
    <row r="232"/>
    <row r="233"/>
    <row r="234">
      <c r="A234" s="577" t="n"/>
      <c r="B234" s="578" t="inlineStr">
        <is>
          <t>ELEMENT NO. 7: PAINTING AND DECORATING</t>
        </is>
      </c>
      <c r="C234" s="569" t="n"/>
      <c r="D234" s="569" t="n"/>
      <c r="E234" s="570" t="n"/>
      <c r="F234" s="579" t="n"/>
    </row>
    <row r="235"/>
    <row r="236" ht="24" customHeight="1" s="12">
      <c r="A236" s="577" t="n"/>
      <c r="B236" s="580" t="inlineStr">
        <is>
          <t>M60 PAINTING - Prepare and apply two undercoats and finishing coat of emulsion paint on:</t>
        </is>
      </c>
      <c r="C236" s="569" t="n"/>
      <c r="D236" s="569" t="n"/>
      <c r="E236" s="570" t="n"/>
      <c r="F236" s="579" t="n"/>
    </row>
    <row r="237" ht="24" customHeight="1" s="12">
      <c r="A237" s="567" t="inlineStr">
        <is>
          <t>A</t>
        </is>
      </c>
      <c r="B237" s="581" t="inlineStr">
        <is>
          <t>Interior walls</t>
        </is>
      </c>
      <c r="C237" s="582">
        <f>(2*(441.2+51.7)+2*67.3-16.8-224.2)*3.05-60.4/3.8*8.0*3.05-2*(8*1*2.2+15*0.9*2.2+21*0.75*2.2+1*0.7*2.2+2*1.2*2.2+3*1*2.2+2*1*2.2+1*0.9*2.2+1*1.5*2.2+2*0.9*2.2+4*0.75*2.2+1*0.45*2.2+3*0.6*2.2+1*3*2.2+4*1.6*2.2+2*1.3*2.2+4*1.8*2.2+1*1.2*2.2)-(6*1.8*1.3+10*0.9*1.3+2*1.8*1.6+3*1.2*1.9+8*1.2*1.15+1*1.2*1.2+6*1.5*1.3+4*1.5*1.15+1*2.4*1.3+1*3*1.6+3*1.8*1.9+1*0.75*1.3+1*1.45*1.9+13*0.9*0.6+5*0.75*0.6+2*0.6*0.6+2*1.2*0.6)</f>
        <v>1860.698421052631</v>
      </c>
      <c r="D237" s="583" t="inlineStr">
        <is>
          <t>m2</t>
        </is>
      </c>
      <c r="E237" s="584">
        <f>RATES!$D$61</f>
        <v>45.0</v>
      </c>
      <c r="F237" s="571">
        <f>C237*E237</f>
        <v>83731.42894736839</v>
      </c>
      <c r="G237" s="585" t="inlineStr">
        <is>
          <t>(2*(441.2+51.7)+2*67.3-16.8-224.2)*3.05-60.4/3.8*8.0*3.05-2*(8*1*2.2+15*0.9*2.2+21*0.75*2.2+1*0.7*2.2+2*1.2*2.2+3*1*2.2+2*1*2.2+1*0.9*2.2+1*1.5*2.2+2*0.9*2.2+4*0.75*2.2+1*0.45*2.2+3*0.6*2.2+1*3*2.2+4*1.6*2.2+2*1.3*2.2+4*1.8*2.2+1*1.2*2.2)-(6*1.8*1...</t>
        </is>
      </c>
    </row>
    <row r="238"/>
    <row r="239" ht="24" customHeight="1" s="12">
      <c r="A239" s="567" t="inlineStr">
        <is>
          <t>B</t>
        </is>
      </c>
      <c r="B239" s="581" t="inlineStr">
        <is>
          <t>Interior partitions and washrooms (above wall tiling)</t>
        </is>
      </c>
      <c r="C239" s="582">
        <f>(60.4/3.8*8.0*3.05-60.4/3.8*0.75*2.2)-(60.4/3.8*8.0*2.4-60.4/3.8*0.75*2.2)</f>
        <v>82.65263157894736</v>
      </c>
      <c r="D239" s="583" t="inlineStr">
        <is>
          <t>m2</t>
        </is>
      </c>
      <c r="E239" s="584">
        <f>RATES!$D$61</f>
        <v>45.0</v>
      </c>
      <c r="F239" s="571">
        <f>C239*E239</f>
        <v>3719.368421052631</v>
      </c>
      <c r="G239" s="585" t="inlineStr">
        <is>
          <t>(60.4/3.8*8.0*3.05-60.4/3.8*0.75*2.2)-(60.4/3.8*8.0*2.4-60.4/3.8*0.75*2.2)</t>
        </is>
      </c>
    </row>
    <row r="240"/>
    <row r="241" ht="24" customHeight="1" s="12">
      <c r="A241" s="567" t="inlineStr">
        <is>
          <t>C</t>
        </is>
      </c>
      <c r="B241" s="581" t="inlineStr">
        <is>
          <t>Exterior walls</t>
        </is>
      </c>
      <c r="C241" s="582">
        <f>224.2*3.3-(6*1.8*1.3+10*0.9*1.3+2*1.8*1.6+3*1.2*1.9+8*1.2*1.15+1*1.2*1.2+6*1.5*1.3+4*1.5*1.15+1*2.4*1.3+1*3*1.6+3*1.8*1.9+1*0.75*1.3+1*1.45*1.9+13*0.9*0.6+5*0.75*0.6+2*0.6*0.6+2*1.2*0.6)</f>
        <v>637.0999999999999</v>
      </c>
      <c r="D241" s="583" t="inlineStr">
        <is>
          <t>m2</t>
        </is>
      </c>
      <c r="E241" s="584">
        <f>RATES!$D$62</f>
        <v>62.0</v>
      </c>
      <c r="F241" s="571">
        <f>C241*E241</f>
        <v>39500.2</v>
      </c>
      <c r="G241" s="585" t="inlineStr">
        <is>
          <t>224.2*3.3-(6*1.8*1.3+10*0.9*1.3+2*1.8*1.6+3*1.2*1.9+8*1.2*1.15+1*1.2*1.2+6*1.5*1.3+4*1.5*1.15+1*2.4*1.3+1*3*1.6+3*1.8*1.9+1*0.75*1.3+1*1.45*1.9+13*0.9*0.6+5*0.75*0.6+2*0.6*0.6+2*1.2*0.6)</t>
        </is>
      </c>
    </row>
    <row r="242"/>
    <row r="243" ht="24" customHeight="1" s="12">
      <c r="A243" s="567" t="inlineStr">
        <is>
          <t>D</t>
        </is>
      </c>
      <c r="B243" s="581" t="inlineStr">
        <is>
          <t>Soffit of plaster board ceilings</t>
        </is>
      </c>
      <c r="C243" s="582">
        <f>802.4</f>
        <v>802.4</v>
      </c>
      <c r="D243" s="583" t="inlineStr">
        <is>
          <t>m2</t>
        </is>
      </c>
      <c r="E243" s="584">
        <f>RATES!$D$63</f>
        <v>48.0</v>
      </c>
      <c r="F243" s="571">
        <f>C243*E243</f>
        <v>38515.2</v>
      </c>
      <c r="G243" s="585" t="inlineStr">
        <is>
          <t>802.4</t>
        </is>
      </c>
    </row>
    <row r="244"/>
    <row r="245" ht="24" customHeight="1" s="12">
      <c r="A245" s="567" t="inlineStr">
        <is>
          <t>E</t>
        </is>
      </c>
      <c r="B245" s="581" t="inlineStr">
        <is>
          <t>Soffit of plaster board ceilings for washrooms</t>
        </is>
      </c>
      <c r="C245" s="582">
        <f>60.4</f>
        <v>60.4</v>
      </c>
      <c r="D245" s="583" t="inlineStr">
        <is>
          <t>m2</t>
        </is>
      </c>
      <c r="E245" s="584">
        <f>RATES!$D$63</f>
        <v>48.0</v>
      </c>
      <c r="F245" s="571">
        <f>C245*E245</f>
        <v>2899.2</v>
      </c>
      <c r="G245" s="585" t="inlineStr">
        <is>
          <t>60.4</t>
        </is>
      </c>
    </row>
    <row r="246"/>
    <row r="247" ht="48" customHeight="1" s="12">
      <c r="A247" s="567" t="inlineStr">
        <is>
          <t>F</t>
        </is>
      </c>
      <c r="B247" s="581" t="inlineStr">
        <is>
          <t>Knot, prime, stop and apply two undercoats and one finishing coat of gloss oil paint on general surfaces of woodwork</t>
        </is>
      </c>
      <c r="C247" s="582">
        <f>15*0.9*2.2*2+21*0.75*2.2*2+1*1.5*2.2*2+(15*(2*2.2+0.9)+21*(2*2.2+0.75)+1*(2*2.2+1.5))*0.25</f>
        <v>183.68750000000003</v>
      </c>
      <c r="D247" s="583" t="inlineStr">
        <is>
          <t>m2</t>
        </is>
      </c>
      <c r="E247" s="584">
        <f>RATES!$D$64</f>
        <v>72.0</v>
      </c>
      <c r="F247" s="571">
        <f>C247*E247</f>
        <v>13225.500000000002</v>
      </c>
      <c r="G247" s="585" t="inlineStr">
        <is>
          <t>15*0.9*2.2*2+21*0.75*2.2*2+1*1.5*2.2*2+(15*(2*2.2+0.9)+21*(2*2.2+0.75)+1*(2*2.2+1.5))*0.25</t>
        </is>
      </c>
    </row>
    <row r="248"/>
    <row r="249" ht="48" customHeight="1" s="12">
      <c r="A249" s="567" t="inlineStr">
        <is>
          <t>G</t>
        </is>
      </c>
      <c r="B249" s="581" t="inlineStr">
        <is>
          <t>Prepare and apply one coat of aluminium primer on mild steel burglar-proof bars (measured over window opening area)</t>
        </is>
      </c>
      <c r="C249" s="582">
        <f>6*1.8*1.3+10*0.9*1.3+2*1.8*1.6+3*1.2*1.9+8*1.2*1.15+1*1.2*1.2+6*1.5*1.3+4*1.5*1.15+1*2.4*1.3+1*3*1.6+3*1.8*1.9+1*0.75*1.3+1*1.45*1.9+13*0.9*0.6+5*0.75*0.6+2*0.6*0.6+2*1.2*0.6</f>
        <v>102.75999999999999</v>
      </c>
      <c r="D249" s="583" t="inlineStr">
        <is>
          <t>m2</t>
        </is>
      </c>
      <c r="E249" s="584">
        <f>RATES!$D$65</f>
        <v>40.0</v>
      </c>
      <c r="F249" s="571">
        <f>C249*E249</f>
        <v>4110.4</v>
      </c>
      <c r="G249" s="585" t="inlineStr">
        <is>
          <t>6*1.8*1.3+10*0.9*1.3+2*1.8*1.6+3*1.2*1.9+8*1.2*1.15+1*1.2*1.2+6*1.5*1.3+4*1.5*1.15+1*2.4*1.3+1*3*1.6+3*1.8*1.9+1*0.75*1.3+1*1.45*1.9+13*0.9*0.6+5*0.75*0.6+2*0.6*0.6+2*1.2*0.6</t>
        </is>
      </c>
    </row>
    <row r="250"/>
    <row r="251">
      <c r="A251" s="572" t="n"/>
      <c r="B251" s="586" t="str">
        <f>B234</f>
        <v>ELEMENT NO. 7: PAINTING AND DECORATING</v>
      </c>
      <c r="C251" s="574" t="n"/>
      <c r="D251" s="574" t="n"/>
      <c r="E251" s="587" t="n"/>
      <c r="F251" s="576">
        <f>SUM(F236:F250)</f>
        <v>185701.29736842102</v>
      </c>
    </row>
    <row r="252">
      <c r="B252" s="559" t="inlineStr">
        <is>
          <t>Carried to Bill Summary</t>
        </is>
      </c>
    </row>
    <row r="253"/>
    <row r="254"/>
    <row r="255">
      <c r="B255"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G258"/>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NINTH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F92</f>
        <v>3230623.185875</v>
      </c>
    </row>
    <row r="14"/>
    <row r="15">
      <c r="A15" s="567" t="inlineStr">
        <is>
          <t>B</t>
        </is>
      </c>
      <c r="B15" s="568" t="inlineStr">
        <is>
          <t>ELEMENT NO. 2: MASONRY</t>
        </is>
      </c>
      <c r="C15" s="569" t="n"/>
      <c r="D15" s="569" t="n"/>
      <c r="E15" s="570" t="n"/>
      <c r="F15" s="571">
        <f>F103</f>
        <v>310127.29999999993</v>
      </c>
    </row>
    <row r="16"/>
    <row r="17">
      <c r="A17" s="567" t="inlineStr">
        <is>
          <t>C</t>
        </is>
      </c>
      <c r="B17" s="568" t="inlineStr">
        <is>
          <t>ELEMENT NO. 3: WATERPROOFING</t>
        </is>
      </c>
      <c r="C17" s="569" t="n"/>
      <c r="D17" s="569" t="n"/>
      <c r="E17" s="570" t="n"/>
      <c r="F17" s="571">
        <f>F114</f>
        <v>79963.79999999999</v>
      </c>
    </row>
    <row r="18"/>
    <row r="19">
      <c r="A19" s="567" t="inlineStr">
        <is>
          <t>D</t>
        </is>
      </c>
      <c r="B19" s="568" t="inlineStr">
        <is>
          <t>ELEMENT NO. 4: WINDOWS/DOORS</t>
        </is>
      </c>
      <c r="C19" s="569" t="n"/>
      <c r="D19" s="569" t="n"/>
      <c r="E19" s="570" t="n"/>
      <c r="F19" s="571">
        <f>F193</f>
        <v>363603.35</v>
      </c>
    </row>
    <row r="20"/>
    <row r="21">
      <c r="A21" s="567" t="inlineStr">
        <is>
          <t>E</t>
        </is>
      </c>
      <c r="B21" s="568" t="inlineStr">
        <is>
          <t>ELEMENT NO. 5: FLOOR FINISHES</t>
        </is>
      </c>
      <c r="C21" s="569" t="n"/>
      <c r="D21" s="569" t="n"/>
      <c r="E21" s="570" t="n"/>
      <c r="F21" s="571">
        <f>F216</f>
        <v>357394.34</v>
      </c>
    </row>
    <row r="22"/>
    <row r="23">
      <c r="A23" s="567" t="inlineStr">
        <is>
          <t>F</t>
        </is>
      </c>
      <c r="B23" s="568" t="inlineStr">
        <is>
          <t>ELEMENT NO. 6: WALL FINISHES</t>
        </is>
      </c>
      <c r="C23" s="569" t="n"/>
      <c r="D23" s="569" t="n"/>
      <c r="E23" s="570" t="n"/>
      <c r="F23" s="571">
        <f>F233</f>
        <v>272188.02394736843</v>
      </c>
    </row>
    <row r="24"/>
    <row r="25">
      <c r="A25" s="567" t="inlineStr">
        <is>
          <t>G</t>
        </is>
      </c>
      <c r="B25" s="568" t="inlineStr">
        <is>
          <t>ELEMENT NO. 7: PAINTING AND DECORATING</t>
        </is>
      </c>
      <c r="C25" s="569" t="n"/>
      <c r="D25" s="569" t="n"/>
      <c r="E25" s="570" t="n"/>
      <c r="F25" s="571">
        <f>F254</f>
        <v>154620.02289473685</v>
      </c>
    </row>
    <row r="26"/>
    <row r="27">
      <c r="A27" s="572" t="n"/>
      <c r="B27" s="573" t="str">
        <f>B9</f>
        <v> NINTH FLOOR</v>
      </c>
      <c r="C27" s="574" t="n"/>
      <c r="D27" s="574" t="n"/>
      <c r="E27" s="575" t="inlineStr">
        <is>
          <t>GHC</t>
        </is>
      </c>
      <c r="F27" s="576">
        <f>SUM(F13:F26)</f>
        <v>4768520.022717105</v>
      </c>
    </row>
    <row r="28">
      <c r="B28" s="559" t="inlineStr">
        <is>
          <t>To Bill General Summary</t>
        </is>
      </c>
    </row>
    <row r="29"/>
    <row r="30"/>
    <row r="31">
      <c r="B31" s="565" t="inlineStr">
        <is>
          <t>BILL NR. 12 - NINTH FLOOR</t>
        </is>
      </c>
    </row>
    <row r="32"/>
    <row r="33">
      <c r="A33" s="577" t="n"/>
      <c r="B33" s="578" t="inlineStr">
        <is>
          <t>ELEMENT NO. 1: IN SITU CONCRETE/LARGE PRECAST CONCRETE</t>
        </is>
      </c>
      <c r="C33" s="569" t="n"/>
      <c r="D33" s="569" t="n"/>
      <c r="E33" s="570" t="n"/>
      <c r="F33" s="579" t="n"/>
    </row>
    <row r="34"/>
    <row r="35" ht="24" customHeight="1" s="12">
      <c r="A35" s="577" t="n"/>
      <c r="B35" s="580" t="inlineStr">
        <is>
          <t>Vibrated in-situ concrete C40 as described in:</t>
        </is>
      </c>
      <c r="C35" s="569" t="n"/>
      <c r="D35" s="569" t="n"/>
      <c r="E35" s="570" t="n"/>
      <c r="F35" s="579" t="n"/>
    </row>
    <row r="36" ht="24" customHeight="1" s="12">
      <c r="A36" s="567" t="inlineStr">
        <is>
          <t>A</t>
        </is>
      </c>
      <c r="B36" s="581" t="inlineStr">
        <is>
          <t>Suspended slab 250mm thick</t>
        </is>
      </c>
      <c r="C36" s="582">
        <f>1134.4*0.25</f>
        <v>283.6</v>
      </c>
      <c r="D36" s="583" t="inlineStr">
        <is>
          <t>m3</t>
        </is>
      </c>
      <c r="E36" s="584">
        <f>RATES!$D$22</f>
        <v>2650.0</v>
      </c>
      <c r="F36" s="571">
        <f>C36*E36</f>
        <v>751540.0000000001</v>
      </c>
      <c r="G36" s="585" t="inlineStr">
        <is>
          <t>1134.4*0.25</t>
        </is>
      </c>
    </row>
    <row r="37"/>
    <row r="38" ht="24" customHeight="1" s="12">
      <c r="A38" s="567" t="inlineStr">
        <is>
          <t>B</t>
        </is>
      </c>
      <c r="B38" s="581" t="inlineStr">
        <is>
          <t>Beams (downstands below slab)</t>
        </is>
      </c>
      <c r="C38" s="582">
        <f>186.5*0.3*0.35+33.1*0.2*0.35</f>
        <v>21.899499999999996</v>
      </c>
      <c r="D38" s="583" t="inlineStr">
        <is>
          <t>m3</t>
        </is>
      </c>
      <c r="E38" s="584">
        <f>RATES!$D$23</f>
        <v>2700.0</v>
      </c>
      <c r="F38" s="571">
        <f>C38*E38</f>
        <v>59128.64999999999</v>
      </c>
      <c r="G38" s="585" t="inlineStr">
        <is>
          <t>186.5*0.3*0.35+33.1*0.2*0.35</t>
        </is>
      </c>
    </row>
    <row r="39"/>
    <row r="40" ht="24" customHeight="1" s="12">
      <c r="A40" s="567" t="inlineStr">
        <is>
          <t>C</t>
        </is>
      </c>
      <c r="B40" s="581" t="inlineStr">
        <is>
          <t>Columns</t>
        </is>
      </c>
      <c r="C40" s="582">
        <f>1*0.75*0.5*3.05+2*0.75*0.5*3.05+1*0.75*0.5*3.05+6*1.2*0.3*3.05+1*1.2*0.3*3.05+15*1.2*0.3*3.05</f>
        <v>28.730999999999995</v>
      </c>
      <c r="D40" s="583" t="inlineStr">
        <is>
          <t>m3</t>
        </is>
      </c>
      <c r="E40" s="584">
        <f>RATES!$D$21</f>
        <v>2800.0</v>
      </c>
      <c r="F40" s="571">
        <f>C40*E40</f>
        <v>80446.79999999999</v>
      </c>
      <c r="G40" s="585" t="inlineStr">
        <is>
          <t>1*0.75*0.5*3.05+2*0.75*0.5*3.05+1*0.75*0.5*3.05+6*1.2*0.3*3.05+1*1.2*0.3*3.05+15*1.2*0.3*3.05</t>
        </is>
      </c>
    </row>
    <row r="41"/>
    <row r="42" ht="24" customHeight="1" s="12">
      <c r="A42" s="567" t="inlineStr">
        <is>
          <t>D</t>
        </is>
      </c>
      <c r="B42" s="581" t="inlineStr">
        <is>
          <t>Concrete wall - shear walls to main &amp; emergency stair cores, 250mm thick</t>
        </is>
      </c>
      <c r="C42" s="582">
        <f>22.05*3.05*0.25+25.57*3.05*0.25</f>
        <v>36.310249999999996</v>
      </c>
      <c r="D42" s="583" t="inlineStr">
        <is>
          <t>m3</t>
        </is>
      </c>
      <c r="E42" s="584">
        <f>RATES!$D$20</f>
        <v>2750.0</v>
      </c>
      <c r="F42" s="571">
        <f>C42*E42</f>
        <v>99853.18749999999</v>
      </c>
      <c r="G42" s="585" t="inlineStr">
        <is>
          <t>22.05*3.05*0.25+25.57*3.05*0.25</t>
        </is>
      </c>
    </row>
    <row r="43"/>
    <row r="44" ht="24" customHeight="1" s="12">
      <c r="A44" s="567" t="inlineStr">
        <is>
          <t>E</t>
        </is>
      </c>
      <c r="B44" s="581" t="inlineStr">
        <is>
          <t>Concrete wall - lift walls, 250mm thick</t>
        </is>
      </c>
      <c r="C44" s="582">
        <f>21.825*3.05*0.25</f>
        <v>16.6415625</v>
      </c>
      <c r="D44" s="583" t="inlineStr">
        <is>
          <t>m3</t>
        </is>
      </c>
      <c r="E44" s="584">
        <f>RATES!$D$20</f>
        <v>2750.0</v>
      </c>
      <c r="F44" s="571">
        <f>C44*E44</f>
        <v>45764.296875</v>
      </c>
      <c r="G44" s="585" t="inlineStr">
        <is>
          <t>21.825*3.05*0.25</t>
        </is>
      </c>
    </row>
    <row r="45"/>
    <row r="46" ht="24" customHeight="1" s="12">
      <c r="A46" s="567" t="inlineStr">
        <is>
          <t>F</t>
        </is>
      </c>
      <c r="B46" s="581" t="inlineStr">
        <is>
          <t>Stairs</t>
        </is>
      </c>
      <c r="C46" s="582">
        <f>(2.966*3.3/3.3+2.625)+(2.966*3.3/3.3+2.625)</f>
        <v>11.182</v>
      </c>
      <c r="D46" s="583" t="inlineStr">
        <is>
          <t>m3</t>
        </is>
      </c>
      <c r="E46" s="584">
        <f>RATES!$D$24</f>
        <v>2850.0</v>
      </c>
      <c r="F46" s="571">
        <f>C46*E46</f>
        <v>31868.7</v>
      </c>
      <c r="G46" s="585" t="inlineStr">
        <is>
          <t>(2.966*3.3/3.3+2.625)+(2.966*3.3/3.3+2.625)</t>
        </is>
      </c>
    </row>
    <row r="47"/>
    <row r="48" ht="24" customHeight="1" s="12">
      <c r="A48" s="567" t="inlineStr">
        <is>
          <t>G</t>
        </is>
      </c>
      <c r="B48" s="581" t="inlineStr">
        <is>
          <t>Lintels 150 x 225mm over door and window openings</t>
        </is>
      </c>
      <c r="C48" s="582">
        <f>(4*(1+0.3)+8*(0.9+0.3)+17*(0.75+0.3)+1*(0.7+0.3)+2*(1.2+0.3)+2*(1+0.3)+2*(1+0.3)+1*(0.9+0.3)+2*(0.9+0.3)+4*(0.75+0.3)+1*(0.45+0.3)+3*(0.6+0.3)+1*(3+0.3)+2*(1.6+0.3)+1*(1.3+0.3)+2*(1.8+0.3)+3*(1.8+0.3)+6*(0.9+0.3)+1*(1.8+0.3)+1*(1.2+0.3)+5*(1.2+0.3)+1*(1.2+0.3)+3*(1.5+0.3)+2*(1.5+0.3)+1*(3+0.3)+1*(1.8+0.3)+10*(0.9+0.3)+4*(0.75+0.3)+1*(0.6+0.3)+1*(1.2+0.3))*0.15*0.225</f>
        <v>4.222125</v>
      </c>
      <c r="D48" s="583" t="inlineStr">
        <is>
          <t>m3</t>
        </is>
      </c>
      <c r="E48" s="584">
        <f>RATES!$D$25</f>
        <v>2600.0</v>
      </c>
      <c r="F48" s="571">
        <f>C48*E48</f>
        <v>10977.525</v>
      </c>
      <c r="G48" s="585" t="inlineStr">
        <is>
          <t>(4*(1+0.3)+8*(0.9+0.3)+17*(0.75+0.3)+1*(0.7+0.3)+2*(1.2+0.3)+2*(1+0.3)+2*(1+0.3)+1*(0.9+0.3)+2*(0.9+0.3)+4*(0.75+0.3)+1*(0.45+0.3)+3*(0.6+0.3)+1*(3+0.3)+2*(1.6+0.3)+1*(1.3+0.3)+2*(1.8+0.3)+3*(1.8+0.3)+6*(0.9+0.3)+1*(1.8+0.3)+1*(1.2+0.3)+5*(1.2+0.3...</t>
        </is>
      </c>
    </row>
    <row r="49"/>
    <row r="50" ht="24" customHeight="1" s="12">
      <c r="A50" s="577" t="n"/>
      <c r="B50" s="580" t="inlineStr">
        <is>
          <t>E20 FORMWORK - Formwork as described to:</t>
        </is>
      </c>
      <c r="C50" s="569" t="n"/>
      <c r="D50" s="569" t="n"/>
      <c r="E50" s="570" t="n"/>
      <c r="F50" s="579" t="n"/>
    </row>
    <row r="51" ht="24" customHeight="1" s="12">
      <c r="A51" s="567" t="inlineStr">
        <is>
          <t>H</t>
        </is>
      </c>
      <c r="B51" s="581" t="inlineStr">
        <is>
          <t>Soffits of suspended slab</t>
        </is>
      </c>
      <c r="C51" s="582">
        <f>1134.4</f>
        <v>1134.4</v>
      </c>
      <c r="D51" s="583" t="inlineStr">
        <is>
          <t>m2</t>
        </is>
      </c>
      <c r="E51" s="584">
        <f>RATES!$D$38</f>
        <v>170.0</v>
      </c>
      <c r="F51" s="571">
        <f>C51*E51</f>
        <v>192848.00000000003</v>
      </c>
      <c r="G51" s="585" t="inlineStr">
        <is>
          <t>1134.4</t>
        </is>
      </c>
    </row>
    <row r="52"/>
    <row r="53" ht="24" customHeight="1" s="12">
      <c r="A53" s="567" t="inlineStr">
        <is>
          <t>J</t>
        </is>
      </c>
      <c r="B53" s="581" t="inlineStr">
        <is>
          <t>Edges of suspended slab 250mm high</t>
        </is>
      </c>
      <c r="C53" s="582">
        <f>294.5</f>
        <v>294.5</v>
      </c>
      <c r="D53" s="583" t="inlineStr">
        <is>
          <t>m</t>
        </is>
      </c>
      <c r="E53" s="584">
        <f>RATES!$D$40</f>
        <v>65.0</v>
      </c>
      <c r="F53" s="571">
        <f>C53*E53</f>
        <v>19142.5</v>
      </c>
      <c r="G53" s="585" t="inlineStr">
        <is>
          <t>294.5</t>
        </is>
      </c>
    </row>
    <row r="54"/>
    <row r="55" ht="24" customHeight="1" s="12">
      <c r="A55" s="567" t="inlineStr">
        <is>
          <t>K</t>
        </is>
      </c>
      <c r="B55" s="581" t="inlineStr">
        <is>
          <t>Sides and soffits of beams</t>
        </is>
      </c>
      <c r="C55" s="582">
        <f>186.5*(2*0.35+0.3)+33.1*(2*0.35+0.2)</f>
        <v>216.29</v>
      </c>
      <c r="D55" s="583" t="inlineStr">
        <is>
          <t>m2</t>
        </is>
      </c>
      <c r="E55" s="584">
        <f>RATES!$D$39</f>
        <v>200.0</v>
      </c>
      <c r="F55" s="571">
        <f>C55*E55</f>
        <v>43258.0</v>
      </c>
      <c r="G55" s="585" t="inlineStr">
        <is>
          <t>186.5*(2*0.35+0.3)+33.1*(2*0.35+0.2)</t>
        </is>
      </c>
    </row>
    <row r="56"/>
    <row r="57" ht="24" customHeight="1" s="12">
      <c r="A57" s="567" t="inlineStr">
        <is>
          <t>L</t>
        </is>
      </c>
      <c r="B57" s="581" t="inlineStr">
        <is>
          <t>Columns</t>
        </is>
      </c>
      <c r="C57" s="582">
        <f>1*2*(0.75+0.5)*3.05+2*2*(0.75+0.5)*3.05+1*2*(0.75+0.5)*3.05+6*2*(1.2+0.3)*3.05+1*2*(1.2+0.3)*3.05+15*2*(1.2+0.3)*3.05</f>
        <v>231.8</v>
      </c>
      <c r="D57" s="583" t="inlineStr">
        <is>
          <t>m2</t>
        </is>
      </c>
      <c r="E57" s="584">
        <f>RATES!$D$37</f>
        <v>190.0</v>
      </c>
      <c r="F57" s="571">
        <f>C57*E57</f>
        <v>44042.0</v>
      </c>
      <c r="G57" s="585" t="inlineStr">
        <is>
          <t>1*2*(0.75+0.5)*3.05+2*2*(0.75+0.5)*3.05+1*2*(0.75+0.5)*3.05+6*2*(1.2+0.3)*3.05+1*2*(1.2+0.3)*3.05+15*2*(1.2+0.3)*3.05</t>
        </is>
      </c>
    </row>
    <row r="58"/>
    <row r="59" ht="24" customHeight="1" s="12">
      <c r="A59" s="567" t="inlineStr">
        <is>
          <t>M</t>
        </is>
      </c>
      <c r="B59" s="581" t="inlineStr">
        <is>
          <t>Concrete wall (both faces)</t>
        </is>
      </c>
      <c r="C59" s="582">
        <f>2*22.05*3.05+2*21.825*3.05+2*25.57*3.05</f>
        <v>423.6145</v>
      </c>
      <c r="D59" s="583" t="inlineStr">
        <is>
          <t>m2</t>
        </is>
      </c>
      <c r="E59" s="584">
        <f>RATES!$D$36</f>
        <v>185.0</v>
      </c>
      <c r="F59" s="571">
        <f>C59*E59</f>
        <v>78368.68250000001</v>
      </c>
      <c r="G59" s="585" t="inlineStr">
        <is>
          <t>2*22.05*3.05+2*21.825*3.05+2*25.57*3.05</t>
        </is>
      </c>
    </row>
    <row r="60"/>
    <row r="61" ht="24" customHeight="1" s="12">
      <c r="A61" s="567" t="inlineStr">
        <is>
          <t>N</t>
        </is>
      </c>
      <c r="B61" s="581" t="inlineStr">
        <is>
          <t>Soffits of stair flights, landings and risers</t>
        </is>
      </c>
      <c r="C61" s="582">
        <f>(2*3.424*1.8+15.0+22*0.15*1.8)+(2*3.424*1.8+15.0+22*0.15*1.8)</f>
        <v>66.5328</v>
      </c>
      <c r="D61" s="583" t="inlineStr">
        <is>
          <t>m2</t>
        </is>
      </c>
      <c r="E61" s="584">
        <f>RATES!$D$42</f>
        <v>230.0</v>
      </c>
      <c r="F61" s="571">
        <f>C61*E61</f>
        <v>15302.543999999998</v>
      </c>
      <c r="G61" s="585" t="inlineStr">
        <is>
          <t>(2*3.424*1.8+15.0+22*0.15*1.8)+(2*3.424*1.8+15.0+22*0.15*1.8)</t>
        </is>
      </c>
    </row>
    <row r="62"/>
    <row r="63" ht="24" customHeight="1" s="12">
      <c r="A63" s="567" t="inlineStr">
        <is>
          <t>P</t>
        </is>
      </c>
      <c r="B63" s="581" t="inlineStr">
        <is>
          <t>Side and soffits of lintel / coping</t>
        </is>
      </c>
      <c r="C63" s="582">
        <f>(4*(1+0.3)+8*(0.9+0.3)+17*(0.75+0.3)+1*(0.7+0.3)+2*(1.2+0.3)+2*(1+0.3)+2*(1+0.3)+1*(0.9+0.3)+2*(0.9+0.3)+4*(0.75+0.3)+1*(0.45+0.3)+3*(0.6+0.3)+1*(3+0.3)+2*(1.6+0.3)+1*(1.3+0.3)+2*(1.8+0.3)+3*(1.8+0.3)+6*(0.9+0.3)+1*(1.8+0.3)+1*(1.2+0.3)+5*(1.2+0.3)+1*(1.2+0.3)+3*(1.5+0.3)+2*(1.5+0.3)+1*(3+0.3)+1*(1.8+0.3)+10*(0.9+0.3)+4*(0.75+0.3)+1*(0.6+0.3)+1*(1.2+0.3))*(2*0.225+0.15)</f>
        <v>75.06</v>
      </c>
      <c r="D63" s="583" t="inlineStr">
        <is>
          <t>m2</t>
        </is>
      </c>
      <c r="E63" s="584">
        <f>RATES!$D$43</f>
        <v>180.0</v>
      </c>
      <c r="F63" s="571">
        <f>C63*E63</f>
        <v>13510.800000000001</v>
      </c>
      <c r="G63" s="585" t="inlineStr">
        <is>
          <t>(4*(1+0.3)+8*(0.9+0.3)+17*(0.75+0.3)+1*(0.7+0.3)+2*(1.2+0.3)+2*(1+0.3)+2*(1+0.3)+1*(0.9+0.3)+2*(0.9+0.3)+4*(0.75+0.3)+1*(0.45+0.3)+3*(0.6+0.3)+1*(3+0.3)+2*(1.6+0.3)+1*(1.3+0.3)+2*(1.8+0.3)+3*(1.8+0.3)+6*(0.9+0.3)+1*(1.8+0.3)+1*(1.2+0.3)+5*(1.2+0.3...</t>
        </is>
      </c>
    </row>
    <row r="64"/>
    <row r="65" ht="24" customHeight="1" s="12">
      <c r="A65" s="577" t="n"/>
      <c r="B65" s="580" t="inlineStr">
        <is>
          <t>E30 REINFORCEMENT - High tensile yield round bar reinforcement (standard) to BS 4449:</t>
        </is>
      </c>
      <c r="C65" s="569" t="n"/>
      <c r="D65" s="569" t="n"/>
      <c r="E65" s="570" t="n"/>
      <c r="F65" s="579" t="n"/>
    </row>
    <row r="66" ht="24" customHeight="1" s="12">
      <c r="A66" s="567" t="inlineStr">
        <is>
          <t>Q</t>
        </is>
      </c>
      <c r="B66" s="581" t="inlineStr">
        <is>
          <t>10mm diameter in columns</t>
        </is>
      </c>
      <c r="C66" s="582">
        <f>3.235</f>
        <v>3.235</v>
      </c>
      <c r="D66" s="583" t="inlineStr">
        <is>
          <t>t</t>
        </is>
      </c>
      <c r="E66" s="584">
        <f>RATES!$D$29</f>
        <v>20500.0</v>
      </c>
      <c r="F66" s="571">
        <f>C66*E66</f>
        <v>66317.5</v>
      </c>
      <c r="G66" s="585" t="inlineStr">
        <is>
          <t>3.235</t>
        </is>
      </c>
    </row>
    <row r="67"/>
    <row r="68" ht="24" customHeight="1" s="12">
      <c r="A68" s="567" t="inlineStr">
        <is>
          <t>R</t>
        </is>
      </c>
      <c r="B68" s="581" t="inlineStr">
        <is>
          <t>20mm diameter in columns</t>
        </is>
      </c>
      <c r="C68" s="582">
        <f>5.111</f>
        <v>5.111</v>
      </c>
      <c r="D68" s="583" t="inlineStr">
        <is>
          <t>t</t>
        </is>
      </c>
      <c r="E68" s="584">
        <f>RATES!$D$32</f>
        <v>19000.0</v>
      </c>
      <c r="F68" s="571">
        <f>C68*E68</f>
        <v>97109.0</v>
      </c>
      <c r="G68" s="585" t="inlineStr">
        <is>
          <t>5.111</t>
        </is>
      </c>
    </row>
    <row r="69"/>
    <row r="70" ht="24" customHeight="1" s="12">
      <c r="A70" s="567" t="inlineStr">
        <is>
          <t>S</t>
        </is>
      </c>
      <c r="B70" s="581" t="inlineStr">
        <is>
          <t>10mm diameter in beams (links)</t>
        </is>
      </c>
      <c r="C70" s="582">
        <f>2.032</f>
        <v>2.032</v>
      </c>
      <c r="D70" s="583" t="inlineStr">
        <is>
          <t>t</t>
        </is>
      </c>
      <c r="E70" s="584">
        <f>RATES!$D$29</f>
        <v>20500.0</v>
      </c>
      <c r="F70" s="571">
        <f>C70*E70</f>
        <v>41656.0</v>
      </c>
      <c r="G70" s="585" t="inlineStr">
        <is>
          <t>2.032</t>
        </is>
      </c>
    </row>
    <row r="71"/>
    <row r="72" ht="24" customHeight="1" s="12">
      <c r="A72" s="567" t="inlineStr">
        <is>
          <t>T</t>
        </is>
      </c>
      <c r="B72" s="581" t="inlineStr">
        <is>
          <t>16mm diameter in beams</t>
        </is>
      </c>
      <c r="C72" s="582">
        <f>1.163</f>
        <v>1.163</v>
      </c>
      <c r="D72" s="583" t="inlineStr">
        <is>
          <t>t</t>
        </is>
      </c>
      <c r="E72" s="584">
        <f>RATES!$D$31</f>
        <v>19500.0</v>
      </c>
      <c r="F72" s="571">
        <f>C72*E72</f>
        <v>22678.5</v>
      </c>
      <c r="G72" s="585" t="inlineStr">
        <is>
          <t>1.163</t>
        </is>
      </c>
    </row>
    <row r="73"/>
    <row r="74" ht="24" customHeight="1" s="12">
      <c r="A74" s="567" t="inlineStr">
        <is>
          <t>U</t>
        </is>
      </c>
      <c r="B74" s="581" t="inlineStr">
        <is>
          <t>20mm diameter in beams</t>
        </is>
      </c>
      <c r="C74" s="582">
        <f>2.461</f>
        <v>2.461</v>
      </c>
      <c r="D74" s="583" t="inlineStr">
        <is>
          <t>t</t>
        </is>
      </c>
      <c r="E74" s="584">
        <f>RATES!$D$32</f>
        <v>19000.0</v>
      </c>
      <c r="F74" s="571">
        <f>C74*E74</f>
        <v>46759.0</v>
      </c>
      <c r="G74" s="585" t="inlineStr">
        <is>
          <t>2.461</t>
        </is>
      </c>
    </row>
    <row r="75"/>
    <row r="76" ht="24" customHeight="1" s="12">
      <c r="A76" s="567" t="inlineStr">
        <is>
          <t>V</t>
        </is>
      </c>
      <c r="B76" s="581" t="inlineStr">
        <is>
          <t>25mm diameter in beams</t>
        </is>
      </c>
      <c r="C76" s="582">
        <f>6.491</f>
        <v>6.491</v>
      </c>
      <c r="D76" s="583" t="inlineStr">
        <is>
          <t>t</t>
        </is>
      </c>
      <c r="E76" s="584">
        <f>RATES!$D$33</f>
        <v>19000.0</v>
      </c>
      <c r="F76" s="571">
        <f>C76*E76</f>
        <v>123329.0</v>
      </c>
      <c r="G76" s="585" t="inlineStr">
        <is>
          <t>6.491</t>
        </is>
      </c>
    </row>
    <row r="77"/>
    <row r="78" ht="24" customHeight="1" s="12">
      <c r="A78" s="567" t="inlineStr">
        <is>
          <t>W</t>
        </is>
      </c>
      <c r="B78" s="581" t="inlineStr">
        <is>
          <t>10mm diameter in shear &amp; lift walls (links)</t>
        </is>
      </c>
      <c r="C78" s="582">
        <f>1.442+0.636</f>
        <v>2.078</v>
      </c>
      <c r="D78" s="583" t="inlineStr">
        <is>
          <t>t</t>
        </is>
      </c>
      <c r="E78" s="584">
        <f>RATES!$D$29</f>
        <v>20500.0</v>
      </c>
      <c r="F78" s="571">
        <f>C78*E78</f>
        <v>42599.0</v>
      </c>
      <c r="G78" s="585" t="inlineStr">
        <is>
          <t>1.442+0.636</t>
        </is>
      </c>
    </row>
    <row r="79"/>
    <row r="80" ht="24" customHeight="1" s="12">
      <c r="A80" s="567" t="inlineStr">
        <is>
          <t>X</t>
        </is>
      </c>
      <c r="B80" s="581" t="inlineStr">
        <is>
          <t>12mm diameter in shear, lift &amp; ramp walls</t>
        </is>
      </c>
      <c r="C80" s="582">
        <f>2.109+0.952</f>
        <v>3.061</v>
      </c>
      <c r="D80" s="583" t="inlineStr">
        <is>
          <t>t</t>
        </is>
      </c>
      <c r="E80" s="584">
        <f>RATES!$D$30</f>
        <v>20000.0</v>
      </c>
      <c r="F80" s="571">
        <f>C80*E80</f>
        <v>61220.0</v>
      </c>
      <c r="G80" s="585" t="inlineStr">
        <is>
          <t>2.109+0.952</t>
        </is>
      </c>
    </row>
    <row r="81"/>
    <row r="82" ht="24" customHeight="1" s="12">
      <c r="A82" s="567" t="inlineStr">
        <is>
          <t>Y</t>
        </is>
      </c>
      <c r="B82" s="581" t="inlineStr">
        <is>
          <t>20mm diameter in shear &amp; lift walls</t>
        </is>
      </c>
      <c r="C82" s="582">
        <f>6.904+3.320</f>
        <v>10.224</v>
      </c>
      <c r="D82" s="583" t="inlineStr">
        <is>
          <t>t</t>
        </is>
      </c>
      <c r="E82" s="584">
        <f>RATES!$D$32</f>
        <v>19000.0</v>
      </c>
      <c r="F82" s="571">
        <f>C82*E82</f>
        <v>194256.0</v>
      </c>
      <c r="G82" s="585" t="inlineStr">
        <is>
          <t>6.904+3.320</t>
        </is>
      </c>
    </row>
    <row r="83"/>
    <row r="84" ht="24" customHeight="1" s="12">
      <c r="A84" s="567" t="inlineStr">
        <is>
          <t>Z</t>
        </is>
      </c>
      <c r="B84" s="581" t="inlineStr">
        <is>
          <t>12mm diameter in stairs</t>
        </is>
      </c>
      <c r="C84" s="582">
        <f>0.880</f>
        <v>0.88</v>
      </c>
      <c r="D84" s="583" t="inlineStr">
        <is>
          <t>t</t>
        </is>
      </c>
      <c r="E84" s="584">
        <f>RATES!$D$30</f>
        <v>20000.0</v>
      </c>
      <c r="F84" s="571">
        <f>C84*E84</f>
        <v>17600.0</v>
      </c>
      <c r="G84" s="585" t="inlineStr">
        <is>
          <t>0.880</t>
        </is>
      </c>
    </row>
    <row r="85"/>
    <row r="86" ht="24" customHeight="1" s="12">
      <c r="A86" s="567" t="inlineStr">
        <is>
          <t>A</t>
        </is>
      </c>
      <c r="B86" s="581" t="inlineStr">
        <is>
          <t>16mm diameter in stairs</t>
        </is>
      </c>
      <c r="C86" s="582">
        <f>1.434</f>
        <v>1.434</v>
      </c>
      <c r="D86" s="583" t="inlineStr">
        <is>
          <t>t</t>
        </is>
      </c>
      <c r="E86" s="584">
        <f>RATES!$D$31</f>
        <v>19500.0</v>
      </c>
      <c r="F86" s="571">
        <f>C86*E86</f>
        <v>27963.0</v>
      </c>
      <c r="G86" s="585" t="inlineStr">
        <is>
          <t>1.434</t>
        </is>
      </c>
    </row>
    <row r="87"/>
    <row r="88" ht="24" customHeight="1" s="12">
      <c r="A88" s="567" t="inlineStr">
        <is>
          <t>B</t>
        </is>
      </c>
      <c r="B88" s="581" t="inlineStr">
        <is>
          <t>12mm diameter for suspended slab</t>
        </is>
      </c>
      <c r="C88" s="582">
        <f>50.007</f>
        <v>50.007</v>
      </c>
      <c r="D88" s="583" t="inlineStr">
        <is>
          <t>t</t>
        </is>
      </c>
      <c r="E88" s="584">
        <f>RATES!$D$30</f>
        <v>20000.0</v>
      </c>
      <c r="F88" s="571">
        <f>C88*E88</f>
        <v>1000140.0</v>
      </c>
      <c r="G88" s="585" t="inlineStr">
        <is>
          <t>50.007</t>
        </is>
      </c>
    </row>
    <row r="89"/>
    <row r="90" ht="24" customHeight="1" s="12">
      <c r="A90" s="567" t="inlineStr">
        <is>
          <t>C</t>
        </is>
      </c>
      <c r="B90" s="581" t="inlineStr">
        <is>
          <t>16mm diameter for suspended slab</t>
        </is>
      </c>
      <c r="C90" s="582">
        <f>0.151</f>
        <v>0.151</v>
      </c>
      <c r="D90" s="583" t="inlineStr">
        <is>
          <t>t</t>
        </is>
      </c>
      <c r="E90" s="584">
        <f>RATES!$D$31</f>
        <v>19500.0</v>
      </c>
      <c r="F90" s="571">
        <f>C90*E90</f>
        <v>2944.5</v>
      </c>
      <c r="G90" s="585" t="inlineStr">
        <is>
          <t>0.151</t>
        </is>
      </c>
    </row>
    <row r="91"/>
    <row r="92">
      <c r="A92" s="572" t="n"/>
      <c r="B92" s="586" t="str">
        <f>B33</f>
        <v>ELEMENT NO. 1: IN SITU CONCRETE/LARGE PRECAST CONCRETE</v>
      </c>
      <c r="C92" s="574" t="n"/>
      <c r="D92" s="574" t="n"/>
      <c r="E92" s="587" t="n"/>
      <c r="F92" s="576">
        <f>SUM(F35:F91)</f>
        <v>3230623.185875</v>
      </c>
    </row>
    <row r="93">
      <c r="B93" s="559" t="inlineStr">
        <is>
          <t>Carried to Bill Summary</t>
        </is>
      </c>
    </row>
    <row r="94"/>
    <row r="95"/>
    <row r="96">
      <c r="A96" s="577" t="n"/>
      <c r="B96" s="578" t="inlineStr">
        <is>
          <t>ELEMENT NO. 2: MASONRY</t>
        </is>
      </c>
      <c r="C96" s="569" t="n"/>
      <c r="D96" s="569" t="n"/>
      <c r="E96" s="570" t="n"/>
      <c r="F96" s="579" t="n"/>
    </row>
    <row r="97"/>
    <row r="98" ht="24" customHeight="1" s="12">
      <c r="A98" s="577" t="n"/>
      <c r="B98" s="580" t="inlineStr">
        <is>
          <t>F10 BRICK/BLOCK WALL - Solid sandcrete blockwork in cement and sand (1:4) mortar as described in:</t>
        </is>
      </c>
      <c r="C98" s="569" t="n"/>
      <c r="D98" s="569" t="n"/>
      <c r="E98" s="570" t="n"/>
      <c r="F98" s="579" t="n"/>
    </row>
    <row r="99" ht="24" customHeight="1" s="12">
      <c r="A99" s="567" t="inlineStr">
        <is>
          <t>A</t>
        </is>
      </c>
      <c r="B99" s="581" t="inlineStr">
        <is>
          <t>150mm thick wall</t>
        </is>
      </c>
      <c r="C99" s="582">
        <f>397.2*3.05+(4*1*(3.05-2.2)+8*0.9*(3.05-2.2)+17*0.75*(3.05-2.2)+1*0.7*(3.05-2.2)+2*1.2*(3.05-2.2)+2*1*(3.05-2.2)+2*1*(3.05-2.2)+1*0.9*(3.05-2.2)+2*0.9*(3.05-2.2)+4*0.75*(3.05-2.2)+1*0.45*(3.05-2.2)+3*0.6*(3.05-2.2)+1*3*(3.05-2.2)+2*1.6*(3.05-2.2)+1*1.3*(3.05-2.2)+2*1.8*(3.05-2.2)+3*1.8*(3.05-1.3)+6*0.9*(3.05-1.3)+1*1.8*(3.05-1.6)+1*1.2*(3.05-1.9)+5*1.2*(3.05-1.15)+1*1.2*(3.05-1.2)+3*1.5*(3.05-1.3)+2*1.5*(3.05-1.15)+1*3*(3.05-1.6)+1*1.8*(3.05-1.9)+10*0.9*(3.05-0.6)+4*0.75*(3.05-0.6)+1*0.6*(3.05-0.6)+1*1.2*(3.05-0.6))*0.940</f>
        <v>1336.3859999999997</v>
      </c>
      <c r="D99" s="583" t="inlineStr">
        <is>
          <t>m2</t>
        </is>
      </c>
      <c r="E99" s="584">
        <f>RATES!$D$46</f>
        <v>215.0</v>
      </c>
      <c r="F99" s="571">
        <f>C99*E99</f>
        <v>287322.98999999993</v>
      </c>
      <c r="G99" s="585" t="inlineStr">
        <is>
          <t>397.2*3.05+(4*1*(3.05-2.2)+8*0.9*(3.05-2.2)+17*0.75*(3.05-2.2)+1*0.7*(3.05-2.2)+2*1.2*(3.05-2.2)+2*1*(3.05-2.2)+2*1*(3.05-2.2)+1*0.9*(3.05-2.2)+2*0.9*(3.05-2.2)+4*0.75*(3.05-2.2)+1*0.45*(3.05-2.2)+3*0.6*(3.05-2.2)+1*3*(3.05-2.2)+2*1.6*(3.05-2.2)+1...</t>
        </is>
      </c>
    </row>
    <row r="100"/>
    <row r="101" ht="24" customHeight="1" s="12">
      <c r="A101" s="567" t="inlineStr">
        <is>
          <t>B</t>
        </is>
      </c>
      <c r="B101" s="581" t="inlineStr">
        <is>
          <t>200mm thick wall</t>
        </is>
      </c>
      <c r="C101" s="582">
        <f>25.6*3.05+(4*1*(3.05-2.2)+8*0.9*(3.05-2.2)+17*0.75*(3.05-2.2)+1*0.7*(3.05-2.2)+2*1.2*(3.05-2.2)+2*1*(3.05-2.2)+2*1*(3.05-2.2)+1*0.9*(3.05-2.2)+2*0.9*(3.05-2.2)+4*0.75*(3.05-2.2)+1*0.45*(3.05-2.2)+3*0.6*(3.05-2.2)+1*3*(3.05-2.2)+2*1.6*(3.05-2.2)+1*1.3*(3.05-2.2)+2*1.8*(3.05-2.2)+3*1.8*(3.05-1.3)+6*0.9*(3.05-1.3)+1*1.8*(3.05-1.6)+1*1.2*(3.05-1.9)+5*1.2*(3.05-1.15)+1*1.2*(3.05-1.2)+3*1.5*(3.05-1.3)+2*1.5*(3.05-1.15)+1*3*(3.05-1.6)+1*1.8*(3.05-1.9)+10*0.9*(3.05-0.6)+4*0.75*(3.05-0.6)+1*0.6*(3.05-0.6)+1*1.2*(3.05-0.6))*0.060</f>
        <v>86.054</v>
      </c>
      <c r="D101" s="583" t="inlineStr">
        <is>
          <t>m2</t>
        </is>
      </c>
      <c r="E101" s="584">
        <f>RATES!$D$47</f>
        <v>265.0</v>
      </c>
      <c r="F101" s="571">
        <f>C101*E101</f>
        <v>22804.31</v>
      </c>
      <c r="G101" s="585" t="inlineStr">
        <is>
          <t>25.6*3.05+(4*1*(3.05-2.2)+8*0.9*(3.05-2.2)+17*0.75*(3.05-2.2)+1*0.7*(3.05-2.2)+2*1.2*(3.05-2.2)+2*1*(3.05-2.2)+2*1*(3.05-2.2)+1*0.9*(3.05-2.2)+2*0.9*(3.05-2.2)+4*0.75*(3.05-2.2)+1*0.45*(3.05-2.2)+3*0.6*(3.05-2.2)+1*3*(3.05-2.2)+2*1.6*(3.05-2.2)+1*...</t>
        </is>
      </c>
    </row>
    <row r="102"/>
    <row r="103">
      <c r="A103" s="572" t="n"/>
      <c r="B103" s="586" t="str">
        <f>B96</f>
        <v>ELEMENT NO. 2: MASONRY</v>
      </c>
      <c r="C103" s="574" t="n"/>
      <c r="D103" s="574" t="n"/>
      <c r="E103" s="587" t="n"/>
      <c r="F103" s="576">
        <f>SUM(F98:F102)</f>
        <v>310127.29999999993</v>
      </c>
    </row>
    <row r="104">
      <c r="B104" s="559" t="inlineStr">
        <is>
          <t>Carried to Bill Summary</t>
        </is>
      </c>
    </row>
    <row r="105"/>
    <row r="106"/>
    <row r="107">
      <c r="A107" s="577" t="n"/>
      <c r="B107" s="578" t="inlineStr">
        <is>
          <t>ELEMENT NO. 3: WATERPROOFING</t>
        </is>
      </c>
      <c r="C107" s="569" t="n"/>
      <c r="D107" s="569" t="n"/>
      <c r="E107" s="570" t="n"/>
      <c r="F107" s="579" t="n"/>
    </row>
    <row r="108"/>
    <row r="109" ht="24" customHeight="1" s="12">
      <c r="A109" s="577" t="n"/>
      <c r="B109" s="580" t="inlineStr">
        <is>
          <t>WATERPROOFING</t>
        </is>
      </c>
      <c r="C109" s="569" t="n"/>
      <c r="D109" s="569" t="n"/>
      <c r="E109" s="570" t="n"/>
      <c r="F109" s="579" t="n"/>
    </row>
    <row r="110" ht="24" customHeight="1" s="12">
      <c r="A110" s="567" t="inlineStr">
        <is>
          <t>A</t>
        </is>
      </c>
      <c r="B110" s="581" t="inlineStr">
        <is>
          <t>Liquid/applied waterproofing to roofs, terraces and wet external areas</t>
        </is>
      </c>
      <c r="C110" s="582">
        <f>337.4</f>
        <v>337.4</v>
      </c>
      <c r="D110" s="583" t="inlineStr">
        <is>
          <t>m2</t>
        </is>
      </c>
      <c r="E110" s="584">
        <f>RATES!$D$68</f>
        <v>165.0</v>
      </c>
      <c r="F110" s="571">
        <f>C110*E110</f>
        <v>55670.99999999999</v>
      </c>
      <c r="G110" s="585" t="inlineStr">
        <is>
          <t>337.4</t>
        </is>
      </c>
    </row>
    <row r="111"/>
    <row r="112" ht="24" customHeight="1" s="12">
      <c r="A112" s="567" t="inlineStr">
        <is>
          <t>B</t>
        </is>
      </c>
      <c r="B112" s="581" t="inlineStr">
        <is>
          <t>Protective cement-sand screed over waterproofing</t>
        </is>
      </c>
      <c r="C112" s="582">
        <f>337.4</f>
        <v>337.4</v>
      </c>
      <c r="D112" s="583" t="inlineStr">
        <is>
          <t>m2</t>
        </is>
      </c>
      <c r="E112" s="584">
        <f>RATES!$D$69</f>
        <v>72.0</v>
      </c>
      <c r="F112" s="571">
        <f>C112*E112</f>
        <v>24292.8</v>
      </c>
      <c r="G112" s="585" t="inlineStr">
        <is>
          <t>337.4</t>
        </is>
      </c>
    </row>
    <row r="113"/>
    <row r="114">
      <c r="A114" s="572" t="n"/>
      <c r="B114" s="586" t="str">
        <f>B107</f>
        <v>ELEMENT NO. 3: WATERPROOFING</v>
      </c>
      <c r="C114" s="574" t="n"/>
      <c r="D114" s="574" t="n"/>
      <c r="E114" s="587" t="n"/>
      <c r="F114" s="576">
        <f>SUM(F109:F113)</f>
        <v>79963.79999999999</v>
      </c>
    </row>
    <row r="115">
      <c r="B115" s="559" t="inlineStr">
        <is>
          <t>Carried to Bill Summary</t>
        </is>
      </c>
    </row>
    <row r="116"/>
    <row r="117"/>
    <row r="118">
      <c r="A118" s="577" t="n"/>
      <c r="B118" s="578" t="inlineStr">
        <is>
          <t>ELEMENT NO. 4: WINDOWS/DOORS</t>
        </is>
      </c>
      <c r="C118" s="569" t="n"/>
      <c r="D118" s="569" t="n"/>
      <c r="E118" s="570" t="n"/>
      <c r="F118" s="579" t="n"/>
    </row>
    <row r="119"/>
    <row r="120" ht="48" customHeight="1" s="12">
      <c r="A120" s="577" t="n"/>
      <c r="B120" s="580" t="inlineStr">
        <is>
          <t>L20 DOORS - Supply and fix the following door assemblies complete with frames, ironmongery sets to steel doors and all accessories:</t>
        </is>
      </c>
      <c r="C120" s="569" t="n"/>
      <c r="D120" s="569" t="n"/>
      <c r="E120" s="570" t="n"/>
      <c r="F120" s="579" t="n"/>
    </row>
    <row r="121" ht="24" customHeight="1" s="12">
      <c r="A121" s="567" t="inlineStr">
        <is>
          <t>A</t>
        </is>
      </c>
      <c r="B121" s="581" t="inlineStr">
        <is>
          <t>1000mm x 2200mm 1-hour fire-rated galvanised steel single-leaf security door assembly (D2)</t>
        </is>
      </c>
      <c r="C121" s="582">
        <f>4</f>
        <v>4.0</v>
      </c>
      <c r="D121" s="583" t="inlineStr">
        <is>
          <t>nr</t>
        </is>
      </c>
      <c r="E121" s="584">
        <f>RATES!$D$75</f>
        <v>7800.0</v>
      </c>
      <c r="F121" s="571">
        <f>C121*E121</f>
        <v>31200.0</v>
      </c>
      <c r="G121" s="585" t="inlineStr">
        <is>
          <t>4</t>
        </is>
      </c>
    </row>
    <row r="122"/>
    <row r="123" ht="24" customHeight="1" s="12">
      <c r="A123" s="567" t="inlineStr">
        <is>
          <t>B</t>
        </is>
      </c>
      <c r="B123" s="581" t="inlineStr">
        <is>
          <t>900mm x 2200mm single leaf timber panel door (D3)</t>
        </is>
      </c>
      <c r="C123" s="582">
        <f>8</f>
        <v>8.0</v>
      </c>
      <c r="D123" s="583" t="inlineStr">
        <is>
          <t>nr</t>
        </is>
      </c>
      <c r="E123" s="584">
        <f>RATES!$D$76</f>
        <v>3400.0</v>
      </c>
      <c r="F123" s="571">
        <f>C123*E123</f>
        <v>27200.0</v>
      </c>
      <c r="G123" s="585" t="inlineStr">
        <is>
          <t>8</t>
        </is>
      </c>
    </row>
    <row r="124"/>
    <row r="125" ht="24" customHeight="1" s="12">
      <c r="A125" s="567" t="inlineStr">
        <is>
          <t>C</t>
        </is>
      </c>
      <c r="B125" s="581" t="inlineStr">
        <is>
          <t>750mm x 2200mm single leaf timber flush door (D6)</t>
        </is>
      </c>
      <c r="C125" s="582">
        <f>17</f>
        <v>17.0</v>
      </c>
      <c r="D125" s="583" t="inlineStr">
        <is>
          <t>nr</t>
        </is>
      </c>
      <c r="E125" s="584">
        <f>RATES!$D$79</f>
        <v>1900.0</v>
      </c>
      <c r="F125" s="571">
        <f>C125*E125</f>
        <v>32300.0</v>
      </c>
      <c r="G125" s="585" t="inlineStr">
        <is>
          <t>17</t>
        </is>
      </c>
    </row>
    <row r="126"/>
    <row r="127" ht="24" customHeight="1" s="12">
      <c r="A127" s="567" t="inlineStr">
        <is>
          <t>D</t>
        </is>
      </c>
      <c r="B127" s="581" t="inlineStr">
        <is>
          <t>700mm x 2200mm single-leaf 2-hour fire-rated galvanised steel door (D7)</t>
        </is>
      </c>
      <c r="C127" s="582">
        <f>1</f>
        <v>1.0</v>
      </c>
      <c r="D127" s="583" t="inlineStr">
        <is>
          <t>nr</t>
        </is>
      </c>
      <c r="E127" s="584">
        <f>RATES!$D$80</f>
        <v>6800.0</v>
      </c>
      <c r="F127" s="571">
        <f>C127*E127</f>
        <v>6800.0</v>
      </c>
      <c r="G127" s="585" t="inlineStr">
        <is>
          <t>1</t>
        </is>
      </c>
    </row>
    <row r="128"/>
    <row r="129" ht="24" customHeight="1" s="12">
      <c r="A129" s="567" t="inlineStr">
        <is>
          <t>E</t>
        </is>
      </c>
      <c r="B129" s="581" t="inlineStr">
        <is>
          <t>1200mm x 2200mm 1-hour fire-rated leaf-and-a-half galvanised steel security door assembly (D8)</t>
        </is>
      </c>
      <c r="C129" s="582">
        <f>2</f>
        <v>2.0</v>
      </c>
      <c r="D129" s="583" t="inlineStr">
        <is>
          <t>nr</t>
        </is>
      </c>
      <c r="E129" s="584">
        <f>RATES!$D$81</f>
        <v>9800.0</v>
      </c>
      <c r="F129" s="571">
        <f>C129*E129</f>
        <v>19600.0</v>
      </c>
      <c r="G129" s="585" t="inlineStr">
        <is>
          <t>2</t>
        </is>
      </c>
    </row>
    <row r="130"/>
    <row r="131" ht="48" customHeight="1" s="12">
      <c r="A131" s="567" t="inlineStr">
        <is>
          <t>F</t>
        </is>
      </c>
      <c r="B131" s="581" t="inlineStr">
        <is>
          <t>1000mm x 2200mm 1-hour fire-rated galvanised steel single-leaf security door assembly - emergency stairs (ED1)</t>
        </is>
      </c>
      <c r="C131" s="582">
        <f>2</f>
        <v>2.0</v>
      </c>
      <c r="D131" s="583" t="inlineStr">
        <is>
          <t>nr</t>
        </is>
      </c>
      <c r="E131" s="584">
        <f>RATES!$D$82</f>
        <v>7200.0</v>
      </c>
      <c r="F131" s="571">
        <f>C131*E131</f>
        <v>14400.0</v>
      </c>
      <c r="G131" s="585" t="inlineStr">
        <is>
          <t>2</t>
        </is>
      </c>
    </row>
    <row r="132"/>
    <row r="133" ht="48" customHeight="1" s="12">
      <c r="A133" s="567" t="inlineStr">
        <is>
          <t>G</t>
        </is>
      </c>
      <c r="B133" s="581" t="inlineStr">
        <is>
          <t>1000mm x 2200mm 1-hour fire-rated galvanised steel single-leaf security door with translucent glass panel (ED2)</t>
        </is>
      </c>
      <c r="C133" s="582">
        <f>2</f>
        <v>2.0</v>
      </c>
      <c r="D133" s="583" t="inlineStr">
        <is>
          <t>nr</t>
        </is>
      </c>
      <c r="E133" s="584">
        <f>RATES!$D$83</f>
        <v>8100.0</v>
      </c>
      <c r="F133" s="571">
        <f>C133*E133</f>
        <v>16200.0</v>
      </c>
      <c r="G133" s="585" t="inlineStr">
        <is>
          <t>2</t>
        </is>
      </c>
    </row>
    <row r="134"/>
    <row r="135" ht="24" customHeight="1" s="12">
      <c r="A135" s="567" t="inlineStr">
        <is>
          <t>H</t>
        </is>
      </c>
      <c r="B135" s="581" t="inlineStr">
        <is>
          <t>900mm x 2200mm 1-hour fire-rated galvanised steel single-leaf security door assembly (D9)</t>
        </is>
      </c>
      <c r="C135" s="582">
        <f>1</f>
        <v>1.0</v>
      </c>
      <c r="D135" s="583" t="inlineStr">
        <is>
          <t>nr</t>
        </is>
      </c>
      <c r="E135" s="584">
        <f>RATES!$D$84</f>
        <v>6900.0</v>
      </c>
      <c r="F135" s="571">
        <f>C135*E135</f>
        <v>6900.0</v>
      </c>
      <c r="G135" s="585" t="inlineStr">
        <is>
          <t>1</t>
        </is>
      </c>
    </row>
    <row r="136"/>
    <row r="137" ht="24" customHeight="1" s="12">
      <c r="A137" s="567" t="inlineStr">
        <is>
          <t>J</t>
        </is>
      </c>
      <c r="B137" s="581" t="inlineStr">
        <is>
          <t>900mm x 2200mm screw-fixed galvanised steel service access panel (M1)</t>
        </is>
      </c>
      <c r="C137" s="582">
        <f>2</f>
        <v>2.0</v>
      </c>
      <c r="D137" s="583" t="inlineStr">
        <is>
          <t>nr</t>
        </is>
      </c>
      <c r="E137" s="584">
        <f>RATES!$D$87</f>
        <v>2900.0</v>
      </c>
      <c r="F137" s="571">
        <f>C137*E137</f>
        <v>5800.0</v>
      </c>
      <c r="G137" s="585" t="inlineStr">
        <is>
          <t>2</t>
        </is>
      </c>
    </row>
    <row r="138"/>
    <row r="139" ht="24" customHeight="1" s="12">
      <c r="A139" s="567" t="inlineStr">
        <is>
          <t>K</t>
        </is>
      </c>
      <c r="B139" s="581" t="inlineStr">
        <is>
          <t>750mm x 2200mm screw-fixed galvanised steel service access panel (M2)</t>
        </is>
      </c>
      <c r="C139" s="582">
        <f>4</f>
        <v>4.0</v>
      </c>
      <c r="D139" s="583" t="inlineStr">
        <is>
          <t>nr</t>
        </is>
      </c>
      <c r="E139" s="584">
        <f>RATES!$D$88</f>
        <v>2600.0</v>
      </c>
      <c r="F139" s="571">
        <f>C139*E139</f>
        <v>10400.0</v>
      </c>
      <c r="G139" s="585" t="inlineStr">
        <is>
          <t>4</t>
        </is>
      </c>
    </row>
    <row r="140"/>
    <row r="141" ht="24" customHeight="1" s="12">
      <c r="A141" s="567" t="inlineStr">
        <is>
          <t>L</t>
        </is>
      </c>
      <c r="B141" s="581" t="inlineStr">
        <is>
          <t>450mm x 2200mm screw-fixed galvanised steel service access panel (M3)</t>
        </is>
      </c>
      <c r="C141" s="582">
        <f>1</f>
        <v>1.0</v>
      </c>
      <c r="D141" s="583" t="inlineStr">
        <is>
          <t>nr</t>
        </is>
      </c>
      <c r="E141" s="584">
        <f>RATES!$D$89</f>
        <v>1900.0</v>
      </c>
      <c r="F141" s="571">
        <f>C141*E141</f>
        <v>1900.0</v>
      </c>
      <c r="G141" s="585" t="inlineStr">
        <is>
          <t>1</t>
        </is>
      </c>
    </row>
    <row r="142"/>
    <row r="143" ht="24" customHeight="1" s="12">
      <c r="A143" s="567" t="inlineStr">
        <is>
          <t>M</t>
        </is>
      </c>
      <c r="B143" s="581" t="inlineStr">
        <is>
          <t>600mm x 2200mm screw-fixed galvanised steel service access panel (M5)</t>
        </is>
      </c>
      <c r="C143" s="582">
        <f>3</f>
        <v>3.0</v>
      </c>
      <c r="D143" s="583" t="inlineStr">
        <is>
          <t>nr</t>
        </is>
      </c>
      <c r="E143" s="584">
        <f>RATES!$D$90</f>
        <v>2200.0</v>
      </c>
      <c r="F143" s="571">
        <f>C143*E143</f>
        <v>6600.0</v>
      </c>
      <c r="G143" s="585" t="inlineStr">
        <is>
          <t>3</t>
        </is>
      </c>
    </row>
    <row r="144"/>
    <row r="145" ht="24" customHeight="1" s="12">
      <c r="A145" s="567" t="inlineStr">
        <is>
          <t>N</t>
        </is>
      </c>
      <c r="B145" s="581" t="inlineStr">
        <is>
          <t>3000mm x 2200mm 3-panel galvanised steel framed tempered glass sliding door (SD1)</t>
        </is>
      </c>
      <c r="C145" s="582">
        <f>1</f>
        <v>1.0</v>
      </c>
      <c r="D145" s="583" t="inlineStr">
        <is>
          <t>nr</t>
        </is>
      </c>
      <c r="E145" s="584">
        <f>RATES!$D$94</f>
        <v>14500.0</v>
      </c>
      <c r="F145" s="571">
        <f>C145*E145</f>
        <v>14500.0</v>
      </c>
      <c r="G145" s="585" t="inlineStr">
        <is>
          <t>1</t>
        </is>
      </c>
    </row>
    <row r="146"/>
    <row r="147" ht="24" customHeight="1" s="12">
      <c r="A147" s="567" t="inlineStr">
        <is>
          <t>P</t>
        </is>
      </c>
      <c r="B147" s="581" t="inlineStr">
        <is>
          <t>1600mm x 2200mm 2-panel galvanised steel framed tempered glass sliding door (SD2)</t>
        </is>
      </c>
      <c r="C147" s="582">
        <f>2</f>
        <v>2.0</v>
      </c>
      <c r="D147" s="583" t="inlineStr">
        <is>
          <t>nr</t>
        </is>
      </c>
      <c r="E147" s="584">
        <f>RATES!$D$95</f>
        <v>8800.0</v>
      </c>
      <c r="F147" s="571">
        <f>C147*E147</f>
        <v>17600.0</v>
      </c>
      <c r="G147" s="585" t="inlineStr">
        <is>
          <t>2</t>
        </is>
      </c>
    </row>
    <row r="148"/>
    <row r="149" ht="24" customHeight="1" s="12">
      <c r="A149" s="567" t="inlineStr">
        <is>
          <t>Q</t>
        </is>
      </c>
      <c r="B149" s="581" t="inlineStr">
        <is>
          <t>1300mm x 2200mm 2-panel galvanised steel framed tempered glass sliding door (SD3)</t>
        </is>
      </c>
      <c r="C149" s="582">
        <f>1</f>
        <v>1.0</v>
      </c>
      <c r="D149" s="583" t="inlineStr">
        <is>
          <t>nr</t>
        </is>
      </c>
      <c r="E149" s="584">
        <f>RATES!$D$96</f>
        <v>7600.0</v>
      </c>
      <c r="F149" s="571">
        <f>C149*E149</f>
        <v>7600.0</v>
      </c>
      <c r="G149" s="585" t="inlineStr">
        <is>
          <t>1</t>
        </is>
      </c>
    </row>
    <row r="150"/>
    <row r="151" ht="24" customHeight="1" s="12">
      <c r="A151" s="567" t="inlineStr">
        <is>
          <t>R</t>
        </is>
      </c>
      <c r="B151" s="581" t="inlineStr">
        <is>
          <t>1800mm x 2200mm 2-panel galvanised steel framed tempered glass sliding door (SD4)</t>
        </is>
      </c>
      <c r="C151" s="582">
        <f>2</f>
        <v>2.0</v>
      </c>
      <c r="D151" s="583" t="inlineStr">
        <is>
          <t>nr</t>
        </is>
      </c>
      <c r="E151" s="584">
        <f>RATES!$D$97</f>
        <v>9300.0</v>
      </c>
      <c r="F151" s="571">
        <f>C151*E151</f>
        <v>18600.0</v>
      </c>
      <c r="G151" s="585" t="inlineStr">
        <is>
          <t>2</t>
        </is>
      </c>
    </row>
    <row r="152"/>
    <row r="153" ht="24" customHeight="1" s="12">
      <c r="A153" s="567" t="inlineStr">
        <is>
          <t>S</t>
        </is>
      </c>
      <c r="B153" s="581" t="inlineStr">
        <is>
          <t>50mm x 150mm frames (to timber doors)</t>
        </is>
      </c>
      <c r="C153" s="582">
        <f>8*(2*2.2+0.9)+17*(2*2.2+0.75)</f>
        <v>129.95000000000002</v>
      </c>
      <c r="D153" s="583" t="inlineStr">
        <is>
          <t>m</t>
        </is>
      </c>
      <c r="E153" s="584">
        <f>RATES!$D$100</f>
        <v>125.0</v>
      </c>
      <c r="F153" s="571">
        <f>C153*E153</f>
        <v>16243.750000000002</v>
      </c>
      <c r="G153" s="585" t="inlineStr">
        <is>
          <t>8*(2*2.2+0.9)+17*(2*2.2+0.75)</t>
        </is>
      </c>
    </row>
    <row r="154"/>
    <row r="155" ht="24" customHeight="1" s="12">
      <c r="A155" s="567" t="inlineStr">
        <is>
          <t>T</t>
        </is>
      </c>
      <c r="B155" s="581" t="inlineStr">
        <is>
          <t>50mm x 12mm door stop</t>
        </is>
      </c>
      <c r="C155" s="582">
        <f>8*(2*2.2+0.9)+17*(2*2.2+0.75)</f>
        <v>129.95000000000002</v>
      </c>
      <c r="D155" s="583" t="inlineStr">
        <is>
          <t>m</t>
        </is>
      </c>
      <c r="E155" s="584">
        <f>RATES!$D$101</f>
        <v>28.0</v>
      </c>
      <c r="F155" s="571">
        <f>C155*E155</f>
        <v>3638.6000000000004</v>
      </c>
      <c r="G155" s="585" t="inlineStr">
        <is>
          <t>8*(2*2.2+0.9)+17*(2*2.2+0.75)</t>
        </is>
      </c>
    </row>
    <row r="156"/>
    <row r="157" ht="48" customHeight="1" s="12">
      <c r="A157" s="577" t="n"/>
      <c r="B157" s="580" t="inlineStr">
        <is>
          <t>Ironmongery - Supply and fix the following approved ironmongery to hardwood with accompanying patented screws:</t>
        </is>
      </c>
      <c r="C157" s="569" t="n"/>
      <c r="D157" s="569" t="n"/>
      <c r="E157" s="570" t="n"/>
      <c r="F157" s="579" t="n"/>
    </row>
    <row r="158" ht="24" customHeight="1" s="12">
      <c r="A158" s="567" t="inlineStr">
        <is>
          <t>U</t>
        </is>
      </c>
      <c r="B158" s="581" t="inlineStr">
        <is>
          <t>Pair 100mm brass butt hinges</t>
        </is>
      </c>
      <c r="C158" s="582">
        <f>38</f>
        <v>38.0</v>
      </c>
      <c r="D158" s="583" t="inlineStr">
        <is>
          <t>pr</t>
        </is>
      </c>
      <c r="E158" s="584">
        <f>RATES!$D$102</f>
        <v>125.0</v>
      </c>
      <c r="F158" s="571">
        <f>C158*E158</f>
        <v>4750.0</v>
      </c>
      <c r="G158" s="585" t="inlineStr">
        <is>
          <t>38</t>
        </is>
      </c>
    </row>
    <row r="159"/>
    <row r="160" ht="24" customHeight="1" s="12">
      <c r="A160" s="567" t="inlineStr">
        <is>
          <t>V</t>
        </is>
      </c>
      <c r="B160" s="581" t="inlineStr">
        <is>
          <t>Ordinary locks</t>
        </is>
      </c>
      <c r="C160" s="582">
        <f>8</f>
        <v>8.0</v>
      </c>
      <c r="D160" s="583" t="inlineStr">
        <is>
          <t>nr</t>
        </is>
      </c>
      <c r="E160" s="584">
        <f>RATES!$D$103</f>
        <v>480.0</v>
      </c>
      <c r="F160" s="571">
        <f>C160*E160</f>
        <v>3840.0</v>
      </c>
      <c r="G160" s="585" t="inlineStr">
        <is>
          <t>8</t>
        </is>
      </c>
    </row>
    <row r="161"/>
    <row r="162" ht="24" customHeight="1" s="12">
      <c r="A162" s="567" t="inlineStr">
        <is>
          <t>W</t>
        </is>
      </c>
      <c r="B162" s="581" t="inlineStr">
        <is>
          <t>Approved high quality mortice indicator lock</t>
        </is>
      </c>
      <c r="C162" s="582">
        <f>17</f>
        <v>17.0</v>
      </c>
      <c r="D162" s="583" t="inlineStr">
        <is>
          <t>nr</t>
        </is>
      </c>
      <c r="E162" s="584">
        <f>RATES!$D$104</f>
        <v>560.0</v>
      </c>
      <c r="F162" s="571">
        <f>C162*E162</f>
        <v>9520.0</v>
      </c>
      <c r="G162" s="585" t="inlineStr">
        <is>
          <t>17</t>
        </is>
      </c>
    </row>
    <row r="163"/>
    <row r="164" ht="72" customHeight="1" s="12">
      <c r="A164" s="577" t="n"/>
      <c r="B164"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64" s="569" t="n"/>
      <c r="D164" s="569" t="n"/>
      <c r="E164" s="570" t="n"/>
      <c r="F164" s="579" t="n"/>
    </row>
    <row r="165" ht="24" customHeight="1" s="12">
      <c r="A165" s="567" t="inlineStr">
        <is>
          <t>X</t>
        </is>
      </c>
      <c r="B165" s="581" t="inlineStr">
        <is>
          <t>2 bay alu. framed glass sliding window 1800mm x 1300mm (W2)</t>
        </is>
      </c>
      <c r="C165" s="582">
        <f>3</f>
        <v>3.0</v>
      </c>
      <c r="D165" s="583" t="inlineStr">
        <is>
          <t>nr</t>
        </is>
      </c>
      <c r="E165" s="584">
        <f>RATES!$D$109</f>
        <v>3861.0000000000005</v>
      </c>
      <c r="F165" s="571">
        <f>C165*E165</f>
        <v>11583.000000000002</v>
      </c>
      <c r="G165" s="585" t="inlineStr">
        <is>
          <t>3</t>
        </is>
      </c>
    </row>
    <row r="166"/>
    <row r="167" ht="24" customHeight="1" s="12">
      <c r="A167" s="567" t="inlineStr">
        <is>
          <t>Y</t>
        </is>
      </c>
      <c r="B167" s="581" t="inlineStr">
        <is>
          <t>1 bay alu. framed glass awning window 900mm x 1300mm (W4)</t>
        </is>
      </c>
      <c r="C167" s="582">
        <f>6</f>
        <v>6.0</v>
      </c>
      <c r="D167" s="583" t="inlineStr">
        <is>
          <t>nr</t>
        </is>
      </c>
      <c r="E167" s="584">
        <f>RATES!$D$111</f>
        <v>1930.5000000000002</v>
      </c>
      <c r="F167" s="571">
        <f>C167*E167</f>
        <v>11583.000000000002</v>
      </c>
      <c r="G167" s="585" t="inlineStr">
        <is>
          <t>6</t>
        </is>
      </c>
    </row>
    <row r="168"/>
    <row r="169" ht="24" customHeight="1" s="12">
      <c r="A169" s="567" t="inlineStr">
        <is>
          <t>Z</t>
        </is>
      </c>
      <c r="B169" s="581" t="inlineStr">
        <is>
          <t>2 bay alu. framed glass sliding window 1800mm x 1600mm (W7)</t>
        </is>
      </c>
      <c r="C169" s="582">
        <f>1</f>
        <v>1.0</v>
      </c>
      <c r="D169" s="583" t="inlineStr">
        <is>
          <t>nr</t>
        </is>
      </c>
      <c r="E169" s="584">
        <f>RATES!$D$114</f>
        <v>4752.000000000001</v>
      </c>
      <c r="F169" s="571">
        <f>C169*E169</f>
        <v>4752.000000000001</v>
      </c>
      <c r="G169" s="585" t="inlineStr">
        <is>
          <t>1</t>
        </is>
      </c>
    </row>
    <row r="170"/>
    <row r="171" ht="24" customHeight="1" s="12">
      <c r="A171" s="567" t="inlineStr">
        <is>
          <t>A</t>
        </is>
      </c>
      <c r="B171" s="581" t="inlineStr">
        <is>
          <t>1 x 3 bay alu. framed glass awning window 1200mm x 1900mm (W8)</t>
        </is>
      </c>
      <c r="C171" s="582">
        <f>1</f>
        <v>1.0</v>
      </c>
      <c r="D171" s="583" t="inlineStr">
        <is>
          <t>nr</t>
        </is>
      </c>
      <c r="E171" s="584">
        <f>RATES!$D$115</f>
        <v>3761.9999999999995</v>
      </c>
      <c r="F171" s="571">
        <f>C171*E171</f>
        <v>3761.9999999999995</v>
      </c>
      <c r="G171" s="585" t="inlineStr">
        <is>
          <t>1</t>
        </is>
      </c>
    </row>
    <row r="172"/>
    <row r="173" ht="24" customHeight="1" s="12">
      <c r="A173" s="567" t="inlineStr">
        <is>
          <t>B</t>
        </is>
      </c>
      <c r="B173" s="581" t="inlineStr">
        <is>
          <t>2 bay alu. framed glass sliding window 1200mm x 1150mm (W9)</t>
        </is>
      </c>
      <c r="C173" s="582">
        <f>5</f>
        <v>5.0</v>
      </c>
      <c r="D173" s="583" t="inlineStr">
        <is>
          <t>nr</t>
        </is>
      </c>
      <c r="E173" s="584">
        <f>RATES!$D$116</f>
        <v>2277.0</v>
      </c>
      <c r="F173" s="571">
        <f>C173*E173</f>
        <v>11385.0</v>
      </c>
      <c r="G173" s="585" t="inlineStr">
        <is>
          <t>5</t>
        </is>
      </c>
    </row>
    <row r="174"/>
    <row r="175" ht="24" customHeight="1" s="12">
      <c r="A175" s="567" t="inlineStr">
        <is>
          <t>C</t>
        </is>
      </c>
      <c r="B175" s="581" t="inlineStr">
        <is>
          <t>2 bay alu. framed glass sliding window 1200mm x 1200mm (W10)</t>
        </is>
      </c>
      <c r="C175" s="582">
        <f>1</f>
        <v>1.0</v>
      </c>
      <c r="D175" s="583" t="inlineStr">
        <is>
          <t>nr</t>
        </is>
      </c>
      <c r="E175" s="584">
        <f>RATES!$D$117</f>
        <v>2376.0</v>
      </c>
      <c r="F175" s="571">
        <f>C175*E175</f>
        <v>2376.0</v>
      </c>
      <c r="G175" s="585" t="inlineStr">
        <is>
          <t>1</t>
        </is>
      </c>
    </row>
    <row r="176"/>
    <row r="177" ht="24" customHeight="1" s="12">
      <c r="A177" s="567" t="inlineStr">
        <is>
          <t>D</t>
        </is>
      </c>
      <c r="B177" s="581" t="inlineStr">
        <is>
          <t>2 bay alu. framed glass sliding window 1500mm x 1300mm (W11)</t>
        </is>
      </c>
      <c r="C177" s="582">
        <f>3</f>
        <v>3.0</v>
      </c>
      <c r="D177" s="583" t="inlineStr">
        <is>
          <t>nr</t>
        </is>
      </c>
      <c r="E177" s="584">
        <f>RATES!$D$118</f>
        <v>3217.5000000000005</v>
      </c>
      <c r="F177" s="571">
        <f>C177*E177</f>
        <v>9652.500000000002</v>
      </c>
      <c r="G177" s="585" t="inlineStr">
        <is>
          <t>3</t>
        </is>
      </c>
    </row>
    <row r="178"/>
    <row r="179" ht="24" customHeight="1" s="12">
      <c r="A179" s="567" t="inlineStr">
        <is>
          <t>E</t>
        </is>
      </c>
      <c r="B179" s="581" t="inlineStr">
        <is>
          <t>2 bay alu. framed glass sliding window 1500mm x 1150mm (W12)</t>
        </is>
      </c>
      <c r="C179" s="582">
        <f>2</f>
        <v>2.0</v>
      </c>
      <c r="D179" s="583" t="inlineStr">
        <is>
          <t>nr</t>
        </is>
      </c>
      <c r="E179" s="584">
        <f>RATES!$D$119</f>
        <v>2846.25</v>
      </c>
      <c r="F179" s="571">
        <f>C179*E179</f>
        <v>5692.5</v>
      </c>
      <c r="G179" s="585" t="inlineStr">
        <is>
          <t>2</t>
        </is>
      </c>
    </row>
    <row r="180"/>
    <row r="181" ht="24" customHeight="1" s="12">
      <c r="A181" s="567" t="inlineStr">
        <is>
          <t>F</t>
        </is>
      </c>
      <c r="B181" s="581" t="inlineStr">
        <is>
          <t>3 bay alu. framed glass sliding window 3000mm x 1600mm (W15)</t>
        </is>
      </c>
      <c r="C181" s="582">
        <f>1</f>
        <v>1.0</v>
      </c>
      <c r="D181" s="583" t="inlineStr">
        <is>
          <t>nr</t>
        </is>
      </c>
      <c r="E181" s="584">
        <f>RATES!$D$122</f>
        <v>7920.000000000001</v>
      </c>
      <c r="F181" s="571">
        <f>C181*E181</f>
        <v>7920.000000000001</v>
      </c>
      <c r="G181" s="585" t="inlineStr">
        <is>
          <t>1</t>
        </is>
      </c>
    </row>
    <row r="182"/>
    <row r="183" ht="24" customHeight="1" s="12">
      <c r="A183" s="567" t="inlineStr">
        <is>
          <t>G</t>
        </is>
      </c>
      <c r="B183" s="581" t="inlineStr">
        <is>
          <t>2 x 3 alu. framed glass awning window 1800mm x 1900mm (W17)</t>
        </is>
      </c>
      <c r="C183" s="582">
        <f>1</f>
        <v>1.0</v>
      </c>
      <c r="D183" s="583" t="inlineStr">
        <is>
          <t>nr</t>
        </is>
      </c>
      <c r="E183" s="584">
        <f>RATES!$D$124</f>
        <v>5643.0</v>
      </c>
      <c r="F183" s="571">
        <f>C183*E183</f>
        <v>5643.0</v>
      </c>
      <c r="G183" s="585" t="inlineStr">
        <is>
          <t>1</t>
        </is>
      </c>
    </row>
    <row r="184"/>
    <row r="185" ht="24" customHeight="1" s="12">
      <c r="A185" s="567" t="inlineStr">
        <is>
          <t>H</t>
        </is>
      </c>
      <c r="B185" s="581" t="inlineStr">
        <is>
          <t>2 bay alu. framed glass sliding window 900mm x 600mm (HW1)</t>
        </is>
      </c>
      <c r="C185" s="582">
        <f>10</f>
        <v>10.0</v>
      </c>
      <c r="D185" s="583" t="inlineStr">
        <is>
          <t>nr</t>
        </is>
      </c>
      <c r="E185" s="584">
        <f>RATES!$D$128</f>
        <v>891.0000000000001</v>
      </c>
      <c r="F185" s="571">
        <f>C185*E185</f>
        <v>8910.000000000002</v>
      </c>
      <c r="G185" s="585" t="inlineStr">
        <is>
          <t>10</t>
        </is>
      </c>
    </row>
    <row r="186"/>
    <row r="187" ht="24" customHeight="1" s="12">
      <c r="A187" s="567" t="inlineStr">
        <is>
          <t>J</t>
        </is>
      </c>
      <c r="B187" s="581" t="inlineStr">
        <is>
          <t>2 bay alu. framed glass sliding window 750mm x 600mm (HW2)</t>
        </is>
      </c>
      <c r="C187" s="582">
        <f>4</f>
        <v>4.0</v>
      </c>
      <c r="D187" s="583" t="inlineStr">
        <is>
          <t>nr</t>
        </is>
      </c>
      <c r="E187" s="584">
        <f>RATES!$D$129</f>
        <v>742.4999999999999</v>
      </c>
      <c r="F187" s="571">
        <f>C187*E187</f>
        <v>2969.9999999999995</v>
      </c>
      <c r="G187" s="585" t="inlineStr">
        <is>
          <t>4</t>
        </is>
      </c>
    </row>
    <row r="188"/>
    <row r="189" ht="24" customHeight="1" s="12">
      <c r="A189" s="567" t="inlineStr">
        <is>
          <t>K</t>
        </is>
      </c>
      <c r="B189" s="581" t="inlineStr">
        <is>
          <t>2 bay alu. framed glass sliding window 600mm x 600mm (HW3)</t>
        </is>
      </c>
      <c r="C189" s="582">
        <f>1</f>
        <v>1.0</v>
      </c>
      <c r="D189" s="583" t="inlineStr">
        <is>
          <t>nr</t>
        </is>
      </c>
      <c r="E189" s="584">
        <f>RATES!$D$130</f>
        <v>594.0</v>
      </c>
      <c r="F189" s="571">
        <f>C189*E189</f>
        <v>594.0</v>
      </c>
      <c r="G189" s="585" t="inlineStr">
        <is>
          <t>1</t>
        </is>
      </c>
    </row>
    <row r="190"/>
    <row r="191" ht="24" customHeight="1" s="12">
      <c r="A191" s="567" t="inlineStr">
        <is>
          <t>L</t>
        </is>
      </c>
      <c r="B191" s="581" t="inlineStr">
        <is>
          <t>2 bay alu. framed glass sliding window 1200mm x 600mm (HW4)</t>
        </is>
      </c>
      <c r="C191" s="582">
        <f>1</f>
        <v>1.0</v>
      </c>
      <c r="D191" s="583" t="inlineStr">
        <is>
          <t>nr</t>
        </is>
      </c>
      <c r="E191" s="584">
        <f>RATES!$D$131</f>
        <v>1188.0</v>
      </c>
      <c r="F191" s="571">
        <f>C191*E191</f>
        <v>1188.0</v>
      </c>
      <c r="G191" s="585" t="inlineStr">
        <is>
          <t>1</t>
        </is>
      </c>
    </row>
    <row r="192"/>
    <row r="193">
      <c r="A193" s="572" t="n"/>
      <c r="B193" s="586" t="str">
        <f>B118</f>
        <v>ELEMENT NO. 4: WINDOWS/DOORS</v>
      </c>
      <c r="C193" s="574" t="n"/>
      <c r="D193" s="574" t="n"/>
      <c r="E193" s="587" t="n"/>
      <c r="F193" s="576">
        <f>SUM(F120:F192)</f>
        <v>363603.35</v>
      </c>
    </row>
    <row r="194">
      <c r="B194" s="559" t="inlineStr">
        <is>
          <t>Carried to Bill Summary</t>
        </is>
      </c>
    </row>
    <row r="195"/>
    <row r="196"/>
    <row r="197">
      <c r="A197" s="577" t="n"/>
      <c r="B197" s="578" t="inlineStr">
        <is>
          <t>ELEMENT NO. 5: FLOOR FINISHES</t>
        </is>
      </c>
      <c r="C197" s="569" t="n"/>
      <c r="D197" s="569" t="n"/>
      <c r="E197" s="570" t="n"/>
      <c r="F197" s="579" t="n"/>
    </row>
    <row r="198"/>
    <row r="199" ht="24" customHeight="1" s="12">
      <c r="A199" s="577" t="n"/>
      <c r="B199" s="580" t="inlineStr">
        <is>
          <t>M10/M40 FLOOR FINISHES</t>
        </is>
      </c>
      <c r="C199" s="569" t="n"/>
      <c r="D199" s="569" t="n"/>
      <c r="E199" s="570" t="n"/>
      <c r="F199" s="579" t="n"/>
    </row>
    <row r="200" ht="24" customHeight="1" s="12">
      <c r="A200" s="567" t="inlineStr">
        <is>
          <t>A</t>
        </is>
      </c>
      <c r="B200" s="581" t="inlineStr">
        <is>
          <t>25mm cement and sand (1:3) screeded finish laid level on concrete and finished smooth with steel trowel</t>
        </is>
      </c>
      <c r="C200" s="582">
        <f>572.7</f>
        <v>572.7</v>
      </c>
      <c r="D200" s="583" t="inlineStr">
        <is>
          <t>m2</t>
        </is>
      </c>
      <c r="E200" s="584">
        <f>RATES!$D$50</f>
        <v>68.0</v>
      </c>
      <c r="F200" s="571">
        <f>C200*E200</f>
        <v>38943.600000000006</v>
      </c>
      <c r="G200" s="585" t="inlineStr">
        <is>
          <t>572.7</t>
        </is>
      </c>
    </row>
    <row r="201"/>
    <row r="202" ht="24" customHeight="1" s="12">
      <c r="A202" s="567" t="inlineStr">
        <is>
          <t>B</t>
        </is>
      </c>
      <c r="B202" s="581" t="inlineStr">
        <is>
          <t>12mm cement and sand (1:4) screeded bed laid level on concrete floor to receive floor tiles</t>
        </is>
      </c>
      <c r="C202" s="582">
        <f>572.7+(2*1.8*3.0+22*0.15*1.8+2.2*3.75+1.8*3.75)+(2*1.8*3.0+22*0.15*1.8+2.2*3.75+1.8*3.75)</f>
        <v>636.1800000000001</v>
      </c>
      <c r="D202" s="583" t="inlineStr">
        <is>
          <t>m2</t>
        </is>
      </c>
      <c r="E202" s="584">
        <f>RATES!$D$51</f>
        <v>48.0</v>
      </c>
      <c r="F202" s="571">
        <f>C202*E202</f>
        <v>30536.640000000003</v>
      </c>
      <c r="G202" s="585" t="inlineStr">
        <is>
          <t>572.7+(2*1.8*3.0+22*0.15*1.8+2.2*3.75+1.8*3.75)+(2*1.8*3.0+22*0.15*1.8+2.2*3.75+1.8*3.75)</t>
        </is>
      </c>
    </row>
    <row r="203"/>
    <row r="204" ht="24" customHeight="1" s="12">
      <c r="A204" s="567" t="inlineStr">
        <is>
          <t>C</t>
        </is>
      </c>
      <c r="B204" s="581" t="inlineStr">
        <is>
          <t>400x400mm non-slip porcelain floor tiles to washrooms &amp; WCs, adhesive, grout and cutting</t>
        </is>
      </c>
      <c r="C204" s="582">
        <f>48.7</f>
        <v>48.7</v>
      </c>
      <c r="D204" s="583" t="inlineStr">
        <is>
          <t>m2</t>
        </is>
      </c>
      <c r="E204" s="584">
        <f>RATES!$D$53</f>
        <v>230.0</v>
      </c>
      <c r="F204" s="571">
        <f>C204*E204</f>
        <v>11201.0</v>
      </c>
      <c r="G204" s="585" t="inlineStr">
        <is>
          <t>48.7</t>
        </is>
      </c>
    </row>
    <row r="205"/>
    <row r="206" ht="24" customHeight="1" s="12">
      <c r="A206" s="567" t="inlineStr">
        <is>
          <t>D</t>
        </is>
      </c>
      <c r="B206" s="581" t="inlineStr">
        <is>
          <t>500x500mm matte R11 porcelain tiles to staircases (treads, risers and landings)</t>
        </is>
      </c>
      <c r="C206" s="582">
        <f>(2*1.8*3.0+22*0.15*1.8+2.2*3.75+1.8*3.75)+(2*1.8*3.0+22*0.15*1.8+2.2*3.75+1.8*3.75)</f>
        <v>63.480000000000004</v>
      </c>
      <c r="D206" s="583" t="inlineStr">
        <is>
          <t>m2</t>
        </is>
      </c>
      <c r="E206" s="584">
        <f>RATES!$D$54</f>
        <v>270.0</v>
      </c>
      <c r="F206" s="571">
        <f>C206*E206</f>
        <v>17139.600000000002</v>
      </c>
      <c r="G206" s="585" t="inlineStr">
        <is>
          <t>(2*1.8*3.0+22*0.15*1.8+2.2*3.75+1.8*3.75)+(2*1.8*3.0+22*0.15*1.8+2.2*3.75+1.8*3.75)</t>
        </is>
      </c>
    </row>
    <row r="207"/>
    <row r="208" ht="24" customHeight="1" s="12">
      <c r="A208" s="567" t="inlineStr">
        <is>
          <t>E</t>
        </is>
      </c>
      <c r="B208" s="581" t="inlineStr">
        <is>
          <t>600x600mm semi-polished porcelain floor tiles to habitable rooms, shops &amp; offices</t>
        </is>
      </c>
      <c r="C208" s="582">
        <f>293.7</f>
        <v>293.7</v>
      </c>
      <c r="D208" s="583" t="inlineStr">
        <is>
          <t>m2</t>
        </is>
      </c>
      <c r="E208" s="584">
        <f>RATES!$D$55</f>
        <v>265.0</v>
      </c>
      <c r="F208" s="571">
        <f>C208*E208</f>
        <v>77830.5</v>
      </c>
      <c r="G208" s="585" t="inlineStr">
        <is>
          <t>293.7</t>
        </is>
      </c>
    </row>
    <row r="209"/>
    <row r="210" ht="24" customHeight="1" s="12">
      <c r="A210" s="567" t="inlineStr">
        <is>
          <t>F</t>
        </is>
      </c>
      <c r="B210" s="581" t="inlineStr">
        <is>
          <t>600x1200mm semi-polished porcelain floor tiles to stair/lift lobbies &amp; reception</t>
        </is>
      </c>
      <c r="C210" s="582">
        <f>33.8</f>
        <v>33.8</v>
      </c>
      <c r="D210" s="583" t="inlineStr">
        <is>
          <t>m2</t>
        </is>
      </c>
      <c r="E210" s="584">
        <f>RATES!$D$56</f>
        <v>330.0</v>
      </c>
      <c r="F210" s="571">
        <f>C210*E210</f>
        <v>11153.999999999998</v>
      </c>
      <c r="G210" s="585" t="inlineStr">
        <is>
          <t>33.8</t>
        </is>
      </c>
    </row>
    <row r="211"/>
    <row r="212" ht="24" customHeight="1" s="12">
      <c r="A212" s="567" t="inlineStr">
        <is>
          <t>G</t>
        </is>
      </c>
      <c r="B212" s="581" t="inlineStr">
        <is>
          <t>600x600mm non-slip R11 porcelain tiles to corridors, terraces, verandah &amp; service areas</t>
        </is>
      </c>
      <c r="C212" s="582">
        <f>196.5</f>
        <v>196.5</v>
      </c>
      <c r="D212" s="583" t="inlineStr">
        <is>
          <t>m2</t>
        </is>
      </c>
      <c r="E212" s="584">
        <f>RATES!$D$57</f>
        <v>250.0</v>
      </c>
      <c r="F212" s="571">
        <f>C212*E212</f>
        <v>49125.0</v>
      </c>
      <c r="G212" s="585" t="inlineStr">
        <is>
          <t>196.5</t>
        </is>
      </c>
    </row>
    <row r="213"/>
    <row r="214" ht="24" customHeight="1" s="12">
      <c r="A214" s="567" t="inlineStr">
        <is>
          <t>H</t>
        </is>
      </c>
      <c r="B214" s="581" t="inlineStr">
        <is>
          <t>Interlocking composite tiles to roof-top outdoor sitting &amp; play areas</t>
        </is>
      </c>
      <c r="C214" s="582">
        <f>337.4</f>
        <v>337.4</v>
      </c>
      <c r="D214" s="583" t="inlineStr">
        <is>
          <t>m2</t>
        </is>
      </c>
      <c r="E214" s="584">
        <f>RATES!$D$58</f>
        <v>360.0</v>
      </c>
      <c r="F214" s="571">
        <f>C214*E214</f>
        <v>121463.99999999999</v>
      </c>
      <c r="G214" s="585" t="inlineStr">
        <is>
          <t>337.4</t>
        </is>
      </c>
    </row>
    <row r="215"/>
    <row r="216">
      <c r="A216" s="572" t="n"/>
      <c r="B216" s="586" t="str">
        <f>B197</f>
        <v>ELEMENT NO. 5: FLOOR FINISHES</v>
      </c>
      <c r="C216" s="574" t="n"/>
      <c r="D216" s="574" t="n"/>
      <c r="E216" s="587" t="n"/>
      <c r="F216" s="576">
        <f>SUM(F199:F215)</f>
        <v>357394.34</v>
      </c>
    </row>
    <row r="217">
      <c r="B217" s="559" t="inlineStr">
        <is>
          <t>Carried to Bill Summary</t>
        </is>
      </c>
    </row>
    <row r="218"/>
    <row r="219"/>
    <row r="220">
      <c r="A220" s="577" t="n"/>
      <c r="B220" s="578" t="inlineStr">
        <is>
          <t>ELEMENT NO. 6: WALL FINISHES</t>
        </is>
      </c>
      <c r="C220" s="569" t="n"/>
      <c r="D220" s="569" t="n"/>
      <c r="E220" s="570" t="n"/>
      <c r="F220" s="579" t="n"/>
    </row>
    <row r="221"/>
    <row r="222" ht="48" customHeight="1" s="12">
      <c r="A222" s="577" t="n"/>
      <c r="B222" s="580" t="inlineStr">
        <is>
          <t>M20 PLASTERED/RENDERED COATINGS - 12.5mm cement and sand (1:3) rendering as described on blockwork or concrete to:</t>
        </is>
      </c>
      <c r="C222" s="569" t="n"/>
      <c r="D222" s="569" t="n"/>
      <c r="E222" s="570" t="n"/>
      <c r="F222" s="579" t="n"/>
    </row>
    <row r="223" ht="24" customHeight="1" s="12">
      <c r="A223" s="567" t="inlineStr">
        <is>
          <t>A</t>
        </is>
      </c>
      <c r="B223" s="581" t="inlineStr">
        <is>
          <t>Interior walls</t>
        </is>
      </c>
      <c r="C223" s="582">
        <f>(2*(397.2+25.6)+2*51.7-16.8-224.1)*3.05-48.7/3.8*8.0*3.05-2*(4*1*2.2+8*0.9*2.2+17*0.75*2.2+1*0.7*2.2+2*1.2*2.2+2*1*2.2+2*1*2.2+1*0.9*2.2+2*0.9*2.2+4*0.75*2.2+1*0.45*2.2+3*0.6*2.2+1*3*2.2+2*1.6*2.2+1*1.3*2.2+2*1.8*2.2)-(3*1.8*1.3+6*0.9*1.3+1*1.8*1.6+1*1.2*1.9+5*1.2*1.15+1*1.2*1.2+3*1.5*1.3+2*1.5*1.15+1*3*1.6+1*1.8*1.9+10*0.9*0.6+4*0.75*0.6+1*0.6*0.6+1*1.2*0.6)</f>
        <v>1573.2197368421052</v>
      </c>
      <c r="D223" s="583" t="inlineStr">
        <is>
          <t>m2</t>
        </is>
      </c>
      <c r="E223" s="584">
        <f>RATES!$D$48</f>
        <v>78.0</v>
      </c>
      <c r="F223" s="571">
        <f>C223*E223</f>
        <v>122711.1394736842</v>
      </c>
      <c r="G223" s="585" t="inlineStr">
        <is>
          <t>(2*(397.2+25.6)+2*51.7-16.8-224.1)*3.05-48.7/3.8*8.0*3.05-2*(4*1*2.2+8*0.9*2.2+17*0.75*2.2+1*0.7*2.2+2*1.2*2.2+2*1*2.2+2*1*2.2+1*0.9*2.2+2*0.9*2.2+4*0.75*2.2+1*0.45*2.2+3*0.6*2.2+1*3*2.2+2*1.6*2.2+1*1.3*2.2+2*1.8*2.2)-(3*1.8*1.3+6*0.9*1.3+1*1.8*1....</t>
        </is>
      </c>
    </row>
    <row r="224"/>
    <row r="225" ht="24" customHeight="1" s="12">
      <c r="A225" s="567" t="inlineStr">
        <is>
          <t>B</t>
        </is>
      </c>
      <c r="B225" s="581" t="inlineStr">
        <is>
          <t>Interior partitions and washrooms</t>
        </is>
      </c>
      <c r="C225" s="582">
        <f>48.7/3.8*8.0*3.05-48.7/3.8*0.75*2.2</f>
        <v>291.55921052631584</v>
      </c>
      <c r="D225" s="583" t="inlineStr">
        <is>
          <t>m2</t>
        </is>
      </c>
      <c r="E225" s="584">
        <f>RATES!$D$48</f>
        <v>78.0</v>
      </c>
      <c r="F225" s="571">
        <f>C225*E225</f>
        <v>22741.618421052633</v>
      </c>
      <c r="G225" s="585" t="inlineStr">
        <is>
          <t>48.7/3.8*8.0*3.05-48.7/3.8*0.75*2.2</t>
        </is>
      </c>
    </row>
    <row r="226"/>
    <row r="227" ht="24" customHeight="1" s="12">
      <c r="A227" s="567" t="inlineStr">
        <is>
          <t>C</t>
        </is>
      </c>
      <c r="B227" s="581" t="inlineStr">
        <is>
          <t>External walls</t>
        </is>
      </c>
      <c r="C227" s="582">
        <f>224.1*3.3-(3*1.8*1.3+6*0.9*1.3+1*1.8*1.6+1*1.2*1.9+5*1.2*1.15+1*1.2*1.2+3*1.5*1.3+2*1.5*1.15+1*3*1.6+1*1.8*1.9+10*0.9*0.6+4*0.75*0.6+1*0.6*0.6+1*1.2*0.6)</f>
        <v>686.1899999999999</v>
      </c>
      <c r="D227" s="583" t="inlineStr">
        <is>
          <t>m2</t>
        </is>
      </c>
      <c r="E227" s="584">
        <f>RATES!$D$49</f>
        <v>88.0</v>
      </c>
      <c r="F227" s="571">
        <f>C227*E227</f>
        <v>60384.719999999994</v>
      </c>
      <c r="G227" s="585" t="inlineStr">
        <is>
          <t>224.1*3.3-(3*1.8*1.3+6*0.9*1.3+1*1.8*1.6+1*1.2*1.9+5*1.2*1.15+1*1.2*1.2+3*1.5*1.3+2*1.5*1.15+1*3*1.6+1*1.8*1.9+10*0.9*0.6+4*0.75*0.6+1*0.6*0.6+1*1.2*0.6)</t>
        </is>
      </c>
    </row>
    <row r="228"/>
    <row r="229" ht="24" customHeight="1" s="12">
      <c r="A229" s="567" t="inlineStr">
        <is>
          <t>D</t>
        </is>
      </c>
      <c r="B229" s="581" t="inlineStr">
        <is>
          <t>12mm cement and sand (1:4) screeded backing to receive wall tiles</t>
        </is>
      </c>
      <c r="C229" s="582">
        <f>48.7/3.8*8.0*2.4-48.7/3.8*0.75*2.2</f>
        <v>224.9171052631579</v>
      </c>
      <c r="D229" s="583" t="inlineStr">
        <is>
          <t>m2</t>
        </is>
      </c>
      <c r="E229" s="584">
        <f>RATES!$D$52</f>
        <v>55.0</v>
      </c>
      <c r="F229" s="571">
        <f>C229*E229</f>
        <v>12370.440789473685</v>
      </c>
      <c r="G229" s="585" t="inlineStr">
        <is>
          <t>48.7/3.8*8.0*2.4-48.7/3.8*0.75*2.2</t>
        </is>
      </c>
    </row>
    <row r="230"/>
    <row r="231" ht="24" customHeight="1" s="12">
      <c r="A231" s="567" t="inlineStr">
        <is>
          <t>E</t>
        </is>
      </c>
      <c r="B231" s="581" t="inlineStr">
        <is>
          <t>Ceramic/porcelain wall tiles to washrooms to 2.4m high, adhesive &amp; grout (type TBC)</t>
        </is>
      </c>
      <c r="C231" s="582">
        <f>48.7/3.8*8.0*2.4-48.7/3.8*0.75*2.2</f>
        <v>224.9171052631579</v>
      </c>
      <c r="D231" s="583" t="inlineStr">
        <is>
          <t>m2</t>
        </is>
      </c>
      <c r="E231" s="584">
        <f>RATES!$D$60</f>
        <v>240.0</v>
      </c>
      <c r="F231" s="571">
        <f>C231*E231</f>
        <v>53980.1052631579</v>
      </c>
      <c r="G231" s="585" t="inlineStr">
        <is>
          <t>48.7/3.8*8.0*2.4-48.7/3.8*0.75*2.2</t>
        </is>
      </c>
    </row>
    <row r="232"/>
    <row r="233">
      <c r="A233" s="572" t="n"/>
      <c r="B233" s="586" t="str">
        <f>B220</f>
        <v>ELEMENT NO. 6: WALL FINISHES</v>
      </c>
      <c r="C233" s="574" t="n"/>
      <c r="D233" s="574" t="n"/>
      <c r="E233" s="587" t="n"/>
      <c r="F233" s="576">
        <f>SUM(F222:F232)</f>
        <v>272188.02394736843</v>
      </c>
    </row>
    <row r="234">
      <c r="B234" s="559" t="inlineStr">
        <is>
          <t>Carried to Bill Summary</t>
        </is>
      </c>
    </row>
    <row r="235"/>
    <row r="236"/>
    <row r="237">
      <c r="A237" s="577" t="n"/>
      <c r="B237" s="578" t="inlineStr">
        <is>
          <t>ELEMENT NO. 7: PAINTING AND DECORATING</t>
        </is>
      </c>
      <c r="C237" s="569" t="n"/>
      <c r="D237" s="569" t="n"/>
      <c r="E237" s="570" t="n"/>
      <c r="F237" s="579" t="n"/>
    </row>
    <row r="238"/>
    <row r="239" ht="24" customHeight="1" s="12">
      <c r="A239" s="577" t="n"/>
      <c r="B239" s="580" t="inlineStr">
        <is>
          <t>M60 PAINTING - Prepare and apply two undercoats and finishing coat of emulsion paint on:</t>
        </is>
      </c>
      <c r="C239" s="569" t="n"/>
      <c r="D239" s="569" t="n"/>
      <c r="E239" s="570" t="n"/>
      <c r="F239" s="579" t="n"/>
    </row>
    <row r="240" ht="24" customHeight="1" s="12">
      <c r="A240" s="567" t="inlineStr">
        <is>
          <t>A</t>
        </is>
      </c>
      <c r="B240" s="581" t="inlineStr">
        <is>
          <t>Interior walls</t>
        </is>
      </c>
      <c r="C240" s="582">
        <f>(2*(397.2+25.6)+2*51.7-16.8-224.1)*3.05-48.7/3.8*8.0*3.05-2*(4*1*2.2+8*0.9*2.2+17*0.75*2.2+1*0.7*2.2+2*1.2*2.2+2*1*2.2+2*1*2.2+1*0.9*2.2+2*0.9*2.2+4*0.75*2.2+1*0.45*2.2+3*0.6*2.2+1*3*2.2+2*1.6*2.2+1*1.3*2.2+2*1.8*2.2)-(3*1.8*1.3+6*0.9*1.3+1*1.8*1.6+1*1.2*1.9+5*1.2*1.15+1*1.2*1.2+3*1.5*1.3+2*1.5*1.15+1*3*1.6+1*1.8*1.9+10*0.9*0.6+4*0.75*0.6+1*0.6*0.6+1*1.2*0.6)</f>
        <v>1573.2197368421052</v>
      </c>
      <c r="D240" s="583" t="inlineStr">
        <is>
          <t>m2</t>
        </is>
      </c>
      <c r="E240" s="584">
        <f>RATES!$D$61</f>
        <v>45.0</v>
      </c>
      <c r="F240" s="571">
        <f>C240*E240</f>
        <v>70794.88815789473</v>
      </c>
      <c r="G240" s="585" t="inlineStr">
        <is>
          <t>(2*(397.2+25.6)+2*51.7-16.8-224.1)*3.05-48.7/3.8*8.0*3.05-2*(4*1*2.2+8*0.9*2.2+17*0.75*2.2+1*0.7*2.2+2*1.2*2.2+2*1*2.2+2*1*2.2+1*0.9*2.2+2*0.9*2.2+4*0.75*2.2+1*0.45*2.2+3*0.6*2.2+1*3*2.2+2*1.6*2.2+1*1.3*2.2+2*1.8*2.2)-(3*1.8*1.3+6*0.9*1.3+1*1.8*1....</t>
        </is>
      </c>
    </row>
    <row r="241"/>
    <row r="242" ht="24" customHeight="1" s="12">
      <c r="A242" s="567" t="inlineStr">
        <is>
          <t>B</t>
        </is>
      </c>
      <c r="B242" s="581" t="inlineStr">
        <is>
          <t>Interior partitions and washrooms (above wall tiling)</t>
        </is>
      </c>
      <c r="C242" s="582">
        <f>(48.7/3.8*8.0*3.05-48.7/3.8*0.75*2.2)-(48.7/3.8*8.0*2.4-48.7/3.8*0.75*2.2)</f>
        <v>66.64210526315793</v>
      </c>
      <c r="D242" s="583" t="inlineStr">
        <is>
          <t>m2</t>
        </is>
      </c>
      <c r="E242" s="584">
        <f>RATES!$D$61</f>
        <v>45.0</v>
      </c>
      <c r="F242" s="571">
        <f>C242*E242</f>
        <v>2998.894736842107</v>
      </c>
      <c r="G242" s="585" t="inlineStr">
        <is>
          <t>(48.7/3.8*8.0*3.05-48.7/3.8*0.75*2.2)-(48.7/3.8*8.0*2.4-48.7/3.8*0.75*2.2)</t>
        </is>
      </c>
    </row>
    <row r="243"/>
    <row r="244" ht="24" customHeight="1" s="12">
      <c r="A244" s="567" t="inlineStr">
        <is>
          <t>C</t>
        </is>
      </c>
      <c r="B244" s="581" t="inlineStr">
        <is>
          <t>Exterior walls</t>
        </is>
      </c>
      <c r="C244" s="582">
        <f>224.1*3.3-(3*1.8*1.3+6*0.9*1.3+1*1.8*1.6+1*1.2*1.9+5*1.2*1.15+1*1.2*1.2+3*1.5*1.3+2*1.5*1.15+1*3*1.6+1*1.8*1.9+10*0.9*0.6+4*0.75*0.6+1*0.6*0.6+1*1.2*0.6)</f>
        <v>686.1899999999999</v>
      </c>
      <c r="D244" s="583" t="inlineStr">
        <is>
          <t>m2</t>
        </is>
      </c>
      <c r="E244" s="584">
        <f>RATES!$D$62</f>
        <v>62.0</v>
      </c>
      <c r="F244" s="571">
        <f>C244*E244</f>
        <v>42543.78</v>
      </c>
      <c r="G244" s="585" t="inlineStr">
        <is>
          <t>224.1*3.3-(3*1.8*1.3+6*0.9*1.3+1*1.8*1.6+1*1.2*1.9+5*1.2*1.15+1*1.2*1.2+3*1.5*1.3+2*1.5*1.15+1*3*1.6+1*1.8*1.9+10*0.9*0.6+4*0.75*0.6+1*0.6*0.6+1*1.2*0.6)</t>
        </is>
      </c>
    </row>
    <row r="245"/>
    <row r="246" ht="24" customHeight="1" s="12">
      <c r="A246" s="567" t="inlineStr">
        <is>
          <t>D</t>
        </is>
      </c>
      <c r="B246" s="581" t="inlineStr">
        <is>
          <t>Soffit of plaster board ceilings</t>
        </is>
      </c>
      <c r="C246" s="582">
        <f>524.0</f>
        <v>524.0</v>
      </c>
      <c r="D246" s="583" t="inlineStr">
        <is>
          <t>m2</t>
        </is>
      </c>
      <c r="E246" s="584">
        <f>RATES!$D$63</f>
        <v>48.0</v>
      </c>
      <c r="F246" s="571">
        <f>C246*E246</f>
        <v>25152.0</v>
      </c>
      <c r="G246" s="585" t="inlineStr">
        <is>
          <t>524.0</t>
        </is>
      </c>
    </row>
    <row r="247"/>
    <row r="248" ht="24" customHeight="1" s="12">
      <c r="A248" s="567" t="inlineStr">
        <is>
          <t>E</t>
        </is>
      </c>
      <c r="B248" s="581" t="inlineStr">
        <is>
          <t>Soffit of plaster board ceilings for washrooms</t>
        </is>
      </c>
      <c r="C248" s="582">
        <f>48.7</f>
        <v>48.7</v>
      </c>
      <c r="D248" s="583" t="inlineStr">
        <is>
          <t>m2</t>
        </is>
      </c>
      <c r="E248" s="584">
        <f>RATES!$D$63</f>
        <v>48.0</v>
      </c>
      <c r="F248" s="571">
        <f>C248*E248</f>
        <v>2337.6000000000004</v>
      </c>
      <c r="G248" s="585" t="inlineStr">
        <is>
          <t>48.7</t>
        </is>
      </c>
    </row>
    <row r="249"/>
    <row r="250" ht="48" customHeight="1" s="12">
      <c r="A250" s="567" t="inlineStr">
        <is>
          <t>F</t>
        </is>
      </c>
      <c r="B250" s="581" t="inlineStr">
        <is>
          <t>Knot, prime, stop and apply two undercoats and one finishing coat of gloss oil paint on general surfaces of woodwork</t>
        </is>
      </c>
      <c r="C250" s="582">
        <f>8*0.9*2.2*2+17*0.75*2.2*2+(8*(2*2.2+0.9)+17*(2*2.2+0.75))*0.25</f>
        <v>120.26750000000001</v>
      </c>
      <c r="D250" s="583" t="inlineStr">
        <is>
          <t>m2</t>
        </is>
      </c>
      <c r="E250" s="584">
        <f>RATES!$D$64</f>
        <v>72.0</v>
      </c>
      <c r="F250" s="571">
        <f>C250*E250</f>
        <v>8659.26</v>
      </c>
      <c r="G250" s="585" t="inlineStr">
        <is>
          <t>8*0.9*2.2*2+17*0.75*2.2*2+(8*(2*2.2+0.9)+17*(2*2.2+0.75))*0.25</t>
        </is>
      </c>
    </row>
    <row r="251"/>
    <row r="252" ht="48" customHeight="1" s="12">
      <c r="A252" s="567" t="inlineStr">
        <is>
          <t>G</t>
        </is>
      </c>
      <c r="B252" s="581" t="inlineStr">
        <is>
          <t>Prepare and apply one coat of aluminium primer on mild steel burglar-proof bars (measured over window opening area)</t>
        </is>
      </c>
      <c r="C252" s="582">
        <f>3*1.8*1.3+6*0.9*1.3+1*1.8*1.6+1*1.2*1.9+5*1.2*1.15+1*1.2*1.2+3*1.5*1.3+2*1.5*1.15+1*3*1.6+1*1.8*1.9+10*0.9*0.6+4*0.75*0.6+1*0.6*0.6+1*1.2*0.6</f>
        <v>53.339999999999996</v>
      </c>
      <c r="D252" s="583" t="inlineStr">
        <is>
          <t>m2</t>
        </is>
      </c>
      <c r="E252" s="584">
        <f>RATES!$D$65</f>
        <v>40.0</v>
      </c>
      <c r="F252" s="571">
        <f>C252*E252</f>
        <v>2133.6</v>
      </c>
      <c r="G252" s="585" t="inlineStr">
        <is>
          <t>3*1.8*1.3+6*0.9*1.3+1*1.8*1.6+1*1.2*1.9+5*1.2*1.15+1*1.2*1.2+3*1.5*1.3+2*1.5*1.15+1*3*1.6+1*1.8*1.9+10*0.9*0.6+4*0.75*0.6+1*0.6*0.6+1*1.2*0.6</t>
        </is>
      </c>
    </row>
    <row r="253"/>
    <row r="254">
      <c r="A254" s="572" t="n"/>
      <c r="B254" s="586" t="str">
        <f>B237</f>
        <v>ELEMENT NO. 7: PAINTING AND DECORATING</v>
      </c>
      <c r="C254" s="574" t="n"/>
      <c r="D254" s="574" t="n"/>
      <c r="E254" s="587" t="n"/>
      <c r="F254" s="576">
        <f>SUM(F239:F253)</f>
        <v>154620.02289473685</v>
      </c>
    </row>
    <row r="255">
      <c r="B255" s="559" t="inlineStr">
        <is>
          <t>Carried to Bill Summary</t>
        </is>
      </c>
    </row>
    <row r="256"/>
    <row r="257"/>
    <row r="258">
      <c r="B258"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G249"/>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TENTH FLOOR</t>
        </is>
      </c>
    </row>
    <row r="10"/>
    <row r="11">
      <c r="B11" s="566" t="inlineStr">
        <is>
          <t>BILL SUMMARY</t>
        </is>
      </c>
    </row>
    <row r="12"/>
    <row r="13">
      <c r="A13" s="567" t="inlineStr">
        <is>
          <t>A</t>
        </is>
      </c>
      <c r="B13" s="568" t="inlineStr">
        <is>
          <t>ELEMENT NO. 1: IN SITU CONCRETE/LARGE PRECAST CONCRETE</t>
        </is>
      </c>
      <c r="C13" s="569" t="n"/>
      <c r="D13" s="569" t="n"/>
      <c r="E13" s="570" t="n"/>
      <c r="F13" s="571">
        <f>F90</f>
        <v>2565762.610875</v>
      </c>
    </row>
    <row r="14"/>
    <row r="15">
      <c r="A15" s="567" t="inlineStr">
        <is>
          <t>B</t>
        </is>
      </c>
      <c r="B15" s="568" t="inlineStr">
        <is>
          <t>ELEMENT NO. 2: MASONRY</t>
        </is>
      </c>
      <c r="C15" s="569" t="n"/>
      <c r="D15" s="569" t="n"/>
      <c r="E15" s="570" t="n"/>
      <c r="F15" s="571">
        <f>F101</f>
        <v>293194.0845</v>
      </c>
    </row>
    <row r="16"/>
    <row r="17">
      <c r="A17" s="567" t="inlineStr">
        <is>
          <t>C</t>
        </is>
      </c>
      <c r="B17" s="568" t="inlineStr">
        <is>
          <t>ELEMENT NO. 4: WINDOWS/DOORS</t>
        </is>
      </c>
      <c r="C17" s="569" t="n"/>
      <c r="D17" s="569" t="n"/>
      <c r="E17" s="570" t="n"/>
      <c r="F17" s="571">
        <f>F186</f>
        <v>459099.8</v>
      </c>
    </row>
    <row r="18"/>
    <row r="19">
      <c r="A19" s="567" t="inlineStr">
        <is>
          <t>D</t>
        </is>
      </c>
      <c r="B19" s="568" t="inlineStr">
        <is>
          <t>ELEMENT NO. 5: FLOOR FINISHES</t>
        </is>
      </c>
      <c r="C19" s="569" t="n"/>
      <c r="D19" s="569" t="n"/>
      <c r="E19" s="570" t="n"/>
      <c r="F19" s="571">
        <f>F207</f>
        <v>264471.94</v>
      </c>
    </row>
    <row r="20"/>
    <row r="21">
      <c r="A21" s="567" t="inlineStr">
        <is>
          <t>E</t>
        </is>
      </c>
      <c r="B21" s="568" t="inlineStr">
        <is>
          <t>ELEMENT NO. 6: WALL FINISHES</t>
        </is>
      </c>
      <c r="C21" s="569" t="n"/>
      <c r="D21" s="569" t="n"/>
      <c r="E21" s="570" t="n"/>
      <c r="F21" s="571">
        <f>F224</f>
        <v>235040.24684210526</v>
      </c>
    </row>
    <row r="22"/>
    <row r="23">
      <c r="A23" s="567" t="inlineStr">
        <is>
          <t>F</t>
        </is>
      </c>
      <c r="B23" s="568" t="inlineStr">
        <is>
          <t>ELEMENT NO. 7: PAINTING AND DECORATING</t>
        </is>
      </c>
      <c r="C23" s="569" t="n"/>
      <c r="D23" s="569" t="n"/>
      <c r="E23" s="570" t="n"/>
      <c r="F23" s="571">
        <f>F245</f>
        <v>140426.27368421052</v>
      </c>
    </row>
    <row r="24"/>
    <row r="25">
      <c r="A25" s="572" t="n"/>
      <c r="B25" s="573" t="str">
        <f>B9</f>
        <v> TENTH FLOOR</v>
      </c>
      <c r="C25" s="574" t="n"/>
      <c r="D25" s="574" t="n"/>
      <c r="E25" s="575" t="inlineStr">
        <is>
          <t>GHC</t>
        </is>
      </c>
      <c r="F25" s="576">
        <f>SUM(F13:F24)</f>
        <v>3957994.9559013154</v>
      </c>
    </row>
    <row r="26">
      <c r="B26" s="559" t="inlineStr">
        <is>
          <t>To Bill General Summary</t>
        </is>
      </c>
    </row>
    <row r="27"/>
    <row r="28"/>
    <row r="29">
      <c r="B29" s="565" t="inlineStr">
        <is>
          <t>BILL NR. 13 - TENTH FLOOR</t>
        </is>
      </c>
    </row>
    <row r="30"/>
    <row r="31">
      <c r="A31" s="577" t="n"/>
      <c r="B31" s="578" t="inlineStr">
        <is>
          <t>ELEMENT NO. 1: IN SITU CONCRETE/LARGE PRECAST CONCRETE</t>
        </is>
      </c>
      <c r="C31" s="569" t="n"/>
      <c r="D31" s="569" t="n"/>
      <c r="E31" s="570" t="n"/>
      <c r="F31" s="579" t="n"/>
    </row>
    <row r="32"/>
    <row r="33" ht="24" customHeight="1" s="12">
      <c r="A33" s="577" t="n"/>
      <c r="B33" s="580" t="inlineStr">
        <is>
          <t>Vibrated in-situ concrete C40 as described in:</t>
        </is>
      </c>
      <c r="C33" s="569" t="n"/>
      <c r="D33" s="569" t="n"/>
      <c r="E33" s="570" t="n"/>
      <c r="F33" s="579" t="n"/>
    </row>
    <row r="34" ht="24" customHeight="1" s="12">
      <c r="A34" s="567" t="inlineStr">
        <is>
          <t>A</t>
        </is>
      </c>
      <c r="B34" s="581" t="inlineStr">
        <is>
          <t>Suspended slab 250mm thick</t>
        </is>
      </c>
      <c r="C34" s="582">
        <f>868.4*0.25</f>
        <v>217.1</v>
      </c>
      <c r="D34" s="583" t="inlineStr">
        <is>
          <t>m3</t>
        </is>
      </c>
      <c r="E34" s="584">
        <f>RATES!$D$22</f>
        <v>2650.0</v>
      </c>
      <c r="F34" s="571">
        <f>C34*E34</f>
        <v>575315.0</v>
      </c>
      <c r="G34" s="585" t="inlineStr">
        <is>
          <t>868.4*0.25</t>
        </is>
      </c>
    </row>
    <row r="35"/>
    <row r="36" ht="24" customHeight="1" s="12">
      <c r="A36" s="567" t="inlineStr">
        <is>
          <t>B</t>
        </is>
      </c>
      <c r="B36" s="581" t="inlineStr">
        <is>
          <t>Beams (downstands below slab)</t>
        </is>
      </c>
      <c r="C36" s="582">
        <f>122.2*0.3*0.35+14.2*0.2*0.35</f>
        <v>13.824999999999998</v>
      </c>
      <c r="D36" s="583" t="inlineStr">
        <is>
          <t>m3</t>
        </is>
      </c>
      <c r="E36" s="584">
        <f>RATES!$D$23</f>
        <v>2700.0</v>
      </c>
      <c r="F36" s="571">
        <f>C36*E36</f>
        <v>37327.49999999999</v>
      </c>
      <c r="G36" s="585" t="inlineStr">
        <is>
          <t>122.2*0.3*0.35+14.2*0.2*0.35</t>
        </is>
      </c>
    </row>
    <row r="37"/>
    <row r="38" ht="24" customHeight="1" s="12">
      <c r="A38" s="567" t="inlineStr">
        <is>
          <t>C</t>
        </is>
      </c>
      <c r="B38" s="581" t="inlineStr">
        <is>
          <t>Columns</t>
        </is>
      </c>
      <c r="C38" s="582">
        <f>1*0.75*0.5*3.05+2*0.75*0.5*3.05+1*0.75*0.5*3.05+6*1.2*0.3*3.05+1*1.2*0.3*3.05+15*1.2*0.3*3.05</f>
        <v>28.730999999999995</v>
      </c>
      <c r="D38" s="583" t="inlineStr">
        <is>
          <t>m3</t>
        </is>
      </c>
      <c r="E38" s="584">
        <f>RATES!$D$21</f>
        <v>2800.0</v>
      </c>
      <c r="F38" s="571">
        <f>C38*E38</f>
        <v>80446.79999999999</v>
      </c>
      <c r="G38" s="585" t="inlineStr">
        <is>
          <t>1*0.75*0.5*3.05+2*0.75*0.5*3.05+1*0.75*0.5*3.05+6*1.2*0.3*3.05+1*1.2*0.3*3.05+15*1.2*0.3*3.05</t>
        </is>
      </c>
    </row>
    <row r="39"/>
    <row r="40" ht="24" customHeight="1" s="12">
      <c r="A40" s="567" t="inlineStr">
        <is>
          <t>D</t>
        </is>
      </c>
      <c r="B40" s="581" t="inlineStr">
        <is>
          <t>Concrete wall - shear walls to main &amp; emergency stair cores, 250mm thick</t>
        </is>
      </c>
      <c r="C40" s="582">
        <f>22.05*3.05*0.25+25.57*3.05*0.25</f>
        <v>36.310249999999996</v>
      </c>
      <c r="D40" s="583" t="inlineStr">
        <is>
          <t>m3</t>
        </is>
      </c>
      <c r="E40" s="584">
        <f>RATES!$D$20</f>
        <v>2750.0</v>
      </c>
      <c r="F40" s="571">
        <f>C40*E40</f>
        <v>99853.18749999999</v>
      </c>
      <c r="G40" s="585" t="inlineStr">
        <is>
          <t>22.05*3.05*0.25+25.57*3.05*0.25</t>
        </is>
      </c>
    </row>
    <row r="41"/>
    <row r="42" ht="24" customHeight="1" s="12">
      <c r="A42" s="567" t="inlineStr">
        <is>
          <t>E</t>
        </is>
      </c>
      <c r="B42" s="581" t="inlineStr">
        <is>
          <t>Concrete wall - lift walls, 250mm thick</t>
        </is>
      </c>
      <c r="C42" s="582">
        <f>21.825*3.05*0.25</f>
        <v>16.6415625</v>
      </c>
      <c r="D42" s="583" t="inlineStr">
        <is>
          <t>m3</t>
        </is>
      </c>
      <c r="E42" s="584">
        <f>RATES!$D$20</f>
        <v>2750.0</v>
      </c>
      <c r="F42" s="571">
        <f>C42*E42</f>
        <v>45764.296875</v>
      </c>
      <c r="G42" s="585" t="inlineStr">
        <is>
          <t>21.825*3.05*0.25</t>
        </is>
      </c>
    </row>
    <row r="43"/>
    <row r="44" ht="24" customHeight="1" s="12">
      <c r="A44" s="567" t="inlineStr">
        <is>
          <t>F</t>
        </is>
      </c>
      <c r="B44" s="581" t="inlineStr">
        <is>
          <t>Stairs</t>
        </is>
      </c>
      <c r="C44" s="582">
        <f>(2.966*3.3/3.3+2.625)+(2.966*3.3/3.3+2.625)</f>
        <v>11.182</v>
      </c>
      <c r="D44" s="583" t="inlineStr">
        <is>
          <t>m3</t>
        </is>
      </c>
      <c r="E44" s="584">
        <f>RATES!$D$24</f>
        <v>2850.0</v>
      </c>
      <c r="F44" s="571">
        <f>C44*E44</f>
        <v>31868.7</v>
      </c>
      <c r="G44" s="585" t="inlineStr">
        <is>
          <t>(2.966*3.3/3.3+2.625)+(2.966*3.3/3.3+2.625)</t>
        </is>
      </c>
    </row>
    <row r="45"/>
    <row r="46" ht="24" customHeight="1" s="12">
      <c r="A46" s="567" t="inlineStr">
        <is>
          <t>G</t>
        </is>
      </c>
      <c r="B46" s="581" t="inlineStr">
        <is>
          <t>Lintels 150 x 225mm over door and window openings</t>
        </is>
      </c>
      <c r="C46" s="582">
        <f>(6*(1+0.3)+11*(0.9+0.3)+16*(0.75+0.3)+1*(0.7+0.3)+2*(1.2+0.3)+2*(1+0.3)+2*(1+0.3)+1*(0.9+0.3)+1*(1.5+0.3)+2*(0.9+0.3)+4*(0.75+0.3)+1*(0.45+0.3)+3*(0.6+0.3)+1*(3+0.3)+3*(1.6+0.3)+2*(1.3+0.3)+3*(1.8+0.3)+1*(1.2+0.3)+4*(1.8+0.3)+8*(0.9+0.3)+1*(1.8+0.3)+2*(1.2+0.3)+6*(1.2+0.3)+1*(1.2+0.3)+5*(1.5+0.3)+3*(1.5+0.3)+1*(3+0.3)+2*(1.8+0.3)+1*(0.75+0.3)+10*(0.9+0.3)+4*(0.75+0.3)+1*(0.6+0.3)+1*(1.2+0.3))*0.15*0.225</f>
        <v>5.2379999999999995</v>
      </c>
      <c r="D46" s="583" t="inlineStr">
        <is>
          <t>m3</t>
        </is>
      </c>
      <c r="E46" s="584">
        <f>RATES!$D$25</f>
        <v>2600.0</v>
      </c>
      <c r="F46" s="571">
        <f>C46*E46</f>
        <v>13618.8</v>
      </c>
      <c r="G46" s="585" t="inlineStr">
        <is>
          <t>(6*(1+0.3)+11*(0.9+0.3)+16*(0.75+0.3)+1*(0.7+0.3)+2*(1.2+0.3)+2*(1+0.3)+2*(1+0.3)+1*(0.9+0.3)+1*(1.5+0.3)+2*(0.9+0.3)+4*(0.75+0.3)+1*(0.45+0.3)+3*(0.6+0.3)+1*(3+0.3)+3*(1.6+0.3)+2*(1.3+0.3)+3*(1.8+0.3)+1*(1.2+0.3)+4*(1.8+0.3)+8*(0.9+0.3)+1*(1.8+0....</t>
        </is>
      </c>
    </row>
    <row r="47"/>
    <row r="48" ht="24" customHeight="1" s="12">
      <c r="A48" s="577" t="n"/>
      <c r="B48" s="580" t="inlineStr">
        <is>
          <t>E20 FORMWORK - Formwork as described to:</t>
        </is>
      </c>
      <c r="C48" s="569" t="n"/>
      <c r="D48" s="569" t="n"/>
      <c r="E48" s="570" t="n"/>
      <c r="F48" s="579" t="n"/>
    </row>
    <row r="49" ht="24" customHeight="1" s="12">
      <c r="A49" s="567" t="inlineStr">
        <is>
          <t>H</t>
        </is>
      </c>
      <c r="B49" s="581" t="inlineStr">
        <is>
          <t>Soffits of suspended slab</t>
        </is>
      </c>
      <c r="C49" s="582">
        <f>868.4</f>
        <v>868.4</v>
      </c>
      <c r="D49" s="583" t="inlineStr">
        <is>
          <t>m2</t>
        </is>
      </c>
      <c r="E49" s="584">
        <f>RATES!$D$38</f>
        <v>170.0</v>
      </c>
      <c r="F49" s="571">
        <f>C49*E49</f>
        <v>147628.0</v>
      </c>
      <c r="G49" s="585" t="inlineStr">
        <is>
          <t>868.4</t>
        </is>
      </c>
    </row>
    <row r="50"/>
    <row r="51" ht="24" customHeight="1" s="12">
      <c r="A51" s="567" t="inlineStr">
        <is>
          <t>J</t>
        </is>
      </c>
      <c r="B51" s="581" t="inlineStr">
        <is>
          <t>Edges of suspended slab 250mm high</t>
        </is>
      </c>
      <c r="C51" s="582">
        <f>252.6</f>
        <v>252.6</v>
      </c>
      <c r="D51" s="583" t="inlineStr">
        <is>
          <t>m</t>
        </is>
      </c>
      <c r="E51" s="584">
        <f>RATES!$D$40</f>
        <v>65.0</v>
      </c>
      <c r="F51" s="571">
        <f>C51*E51</f>
        <v>16419.0</v>
      </c>
      <c r="G51" s="585" t="inlineStr">
        <is>
          <t>252.6</t>
        </is>
      </c>
    </row>
    <row r="52"/>
    <row r="53" ht="24" customHeight="1" s="12">
      <c r="A53" s="567" t="inlineStr">
        <is>
          <t>K</t>
        </is>
      </c>
      <c r="B53" s="581" t="inlineStr">
        <is>
          <t>Sides and soffits of beams</t>
        </is>
      </c>
      <c r="C53" s="582">
        <f>122.2*(2*0.35+0.3)+14.2*(2*0.35+0.2)</f>
        <v>134.98</v>
      </c>
      <c r="D53" s="583" t="inlineStr">
        <is>
          <t>m2</t>
        </is>
      </c>
      <c r="E53" s="584">
        <f>RATES!$D$39</f>
        <v>200.0</v>
      </c>
      <c r="F53" s="571">
        <f>C53*E53</f>
        <v>26995.999999999996</v>
      </c>
      <c r="G53" s="585" t="inlineStr">
        <is>
          <t>122.2*(2*0.35+0.3)+14.2*(2*0.35+0.2)</t>
        </is>
      </c>
    </row>
    <row r="54"/>
    <row r="55" ht="24" customHeight="1" s="12">
      <c r="A55" s="567" t="inlineStr">
        <is>
          <t>L</t>
        </is>
      </c>
      <c r="B55" s="581" t="inlineStr">
        <is>
          <t>Columns</t>
        </is>
      </c>
      <c r="C55" s="582">
        <f>1*2*(0.75+0.5)*3.05+2*2*(0.75+0.5)*3.05+1*2*(0.75+0.5)*3.05+6*2*(1.2+0.3)*3.05+1*2*(1.2+0.3)*3.05+15*2*(1.2+0.3)*3.05</f>
        <v>231.8</v>
      </c>
      <c r="D55" s="583" t="inlineStr">
        <is>
          <t>m2</t>
        </is>
      </c>
      <c r="E55" s="584">
        <f>RATES!$D$37</f>
        <v>190.0</v>
      </c>
      <c r="F55" s="571">
        <f>C55*E55</f>
        <v>44042.0</v>
      </c>
      <c r="G55" s="585" t="inlineStr">
        <is>
          <t>1*2*(0.75+0.5)*3.05+2*2*(0.75+0.5)*3.05+1*2*(0.75+0.5)*3.05+6*2*(1.2+0.3)*3.05+1*2*(1.2+0.3)*3.05+15*2*(1.2+0.3)*3.05</t>
        </is>
      </c>
    </row>
    <row r="56"/>
    <row r="57" ht="24" customHeight="1" s="12">
      <c r="A57" s="567" t="inlineStr">
        <is>
          <t>M</t>
        </is>
      </c>
      <c r="B57" s="581" t="inlineStr">
        <is>
          <t>Concrete wall (both faces)</t>
        </is>
      </c>
      <c r="C57" s="582">
        <f>2*22.05*3.05+2*21.825*3.05+2*25.57*3.05</f>
        <v>423.6145</v>
      </c>
      <c r="D57" s="583" t="inlineStr">
        <is>
          <t>m2</t>
        </is>
      </c>
      <c r="E57" s="584">
        <f>RATES!$D$36</f>
        <v>185.0</v>
      </c>
      <c r="F57" s="571">
        <f>C57*E57</f>
        <v>78368.68250000001</v>
      </c>
      <c r="G57" s="585" t="inlineStr">
        <is>
          <t>2*22.05*3.05+2*21.825*3.05+2*25.57*3.05</t>
        </is>
      </c>
    </row>
    <row r="58"/>
    <row r="59" ht="24" customHeight="1" s="12">
      <c r="A59" s="567" t="inlineStr">
        <is>
          <t>N</t>
        </is>
      </c>
      <c r="B59" s="581" t="inlineStr">
        <is>
          <t>Soffits of stair flights, landings and risers</t>
        </is>
      </c>
      <c r="C59" s="582">
        <f>(2*3.424*1.8+15.0+22*0.15*1.8)+(2*3.424*1.8+15.0+22*0.15*1.8)</f>
        <v>66.5328</v>
      </c>
      <c r="D59" s="583" t="inlineStr">
        <is>
          <t>m2</t>
        </is>
      </c>
      <c r="E59" s="584">
        <f>RATES!$D$42</f>
        <v>230.0</v>
      </c>
      <c r="F59" s="571">
        <f>C59*E59</f>
        <v>15302.543999999998</v>
      </c>
      <c r="G59" s="585" t="inlineStr">
        <is>
          <t>(2*3.424*1.8+15.0+22*0.15*1.8)+(2*3.424*1.8+15.0+22*0.15*1.8)</t>
        </is>
      </c>
    </row>
    <row r="60"/>
    <row r="61" ht="24" customHeight="1" s="12">
      <c r="A61" s="567" t="inlineStr">
        <is>
          <t>P</t>
        </is>
      </c>
      <c r="B61" s="581" t="inlineStr">
        <is>
          <t>Side and soffits of lintel / coping</t>
        </is>
      </c>
      <c r="C61" s="582">
        <f>(6*(1+0.3)+11*(0.9+0.3)+16*(0.75+0.3)+1*(0.7+0.3)+2*(1.2+0.3)+2*(1+0.3)+2*(1+0.3)+1*(0.9+0.3)+1*(1.5+0.3)+2*(0.9+0.3)+4*(0.75+0.3)+1*(0.45+0.3)+3*(0.6+0.3)+1*(3+0.3)+3*(1.6+0.3)+2*(1.3+0.3)+3*(1.8+0.3)+1*(1.2+0.3)+4*(1.8+0.3)+8*(0.9+0.3)+1*(1.8+0.3)+2*(1.2+0.3)+6*(1.2+0.3)+1*(1.2+0.3)+5*(1.5+0.3)+3*(1.5+0.3)+1*(3+0.3)+2*(1.8+0.3)+1*(0.75+0.3)+10*(0.9+0.3)+4*(0.75+0.3)+1*(0.6+0.3)+1*(1.2+0.3))*(2*0.225+0.15)</f>
        <v>93.11999999999999</v>
      </c>
      <c r="D61" s="583" t="inlineStr">
        <is>
          <t>m2</t>
        </is>
      </c>
      <c r="E61" s="584">
        <f>RATES!$D$43</f>
        <v>180.0</v>
      </c>
      <c r="F61" s="571">
        <f>C61*E61</f>
        <v>16761.6</v>
      </c>
      <c r="G61" s="585" t="inlineStr">
        <is>
          <t>(6*(1+0.3)+11*(0.9+0.3)+16*(0.75+0.3)+1*(0.7+0.3)+2*(1.2+0.3)+2*(1+0.3)+2*(1+0.3)+1*(0.9+0.3)+1*(1.5+0.3)+2*(0.9+0.3)+4*(0.75+0.3)+1*(0.45+0.3)+3*(0.6+0.3)+1*(3+0.3)+3*(1.6+0.3)+2*(1.3+0.3)+3*(1.8+0.3)+1*(1.2+0.3)+4*(1.8+0.3)+8*(0.9+0.3)+1*(1.8+0....</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Q</t>
        </is>
      </c>
      <c r="B64" s="581" t="inlineStr">
        <is>
          <t>10mm diameter in columns</t>
        </is>
      </c>
      <c r="C64" s="582">
        <f>2.468</f>
        <v>2.468</v>
      </c>
      <c r="D64" s="583" t="inlineStr">
        <is>
          <t>t</t>
        </is>
      </c>
      <c r="E64" s="584">
        <f>RATES!$D$29</f>
        <v>20500.0</v>
      </c>
      <c r="F64" s="571">
        <f>C64*E64</f>
        <v>50594.0</v>
      </c>
      <c r="G64" s="585" t="inlineStr">
        <is>
          <t>2.468</t>
        </is>
      </c>
    </row>
    <row r="65"/>
    <row r="66" ht="24" customHeight="1" s="12">
      <c r="A66" s="567" t="inlineStr">
        <is>
          <t>R</t>
        </is>
      </c>
      <c r="B66" s="581" t="inlineStr">
        <is>
          <t>20mm diameter in columns</t>
        </is>
      </c>
      <c r="C66" s="582">
        <f>4.084</f>
        <v>4.084</v>
      </c>
      <c r="D66" s="583" t="inlineStr">
        <is>
          <t>t</t>
        </is>
      </c>
      <c r="E66" s="584">
        <f>RATES!$D$32</f>
        <v>19000.0</v>
      </c>
      <c r="F66" s="571">
        <f>C66*E66</f>
        <v>77596.0</v>
      </c>
      <c r="G66" s="585" t="inlineStr">
        <is>
          <t>4.084</t>
        </is>
      </c>
    </row>
    <row r="67"/>
    <row r="68" ht="24" customHeight="1" s="12">
      <c r="A68" s="567" t="inlineStr">
        <is>
          <t>S</t>
        </is>
      </c>
      <c r="B68" s="581" t="inlineStr">
        <is>
          <t>10mm diameter in beams (links)</t>
        </is>
      </c>
      <c r="C68" s="582">
        <f>1.226</f>
        <v>1.226</v>
      </c>
      <c r="D68" s="583" t="inlineStr">
        <is>
          <t>t</t>
        </is>
      </c>
      <c r="E68" s="584">
        <f>RATES!$D$29</f>
        <v>20500.0</v>
      </c>
      <c r="F68" s="571">
        <f>C68*E68</f>
        <v>25133.0</v>
      </c>
      <c r="G68" s="585" t="inlineStr">
        <is>
          <t>1.226</t>
        </is>
      </c>
    </row>
    <row r="69"/>
    <row r="70" ht="24" customHeight="1" s="12">
      <c r="A70" s="567" t="inlineStr">
        <is>
          <t>T</t>
        </is>
      </c>
      <c r="B70" s="581" t="inlineStr">
        <is>
          <t>16mm diameter in beams</t>
        </is>
      </c>
      <c r="C70" s="582">
        <f>1.219</f>
        <v>1.219</v>
      </c>
      <c r="D70" s="583" t="inlineStr">
        <is>
          <t>t</t>
        </is>
      </c>
      <c r="E70" s="584">
        <f>RATES!$D$31</f>
        <v>19500.0</v>
      </c>
      <c r="F70" s="571">
        <f>C70*E70</f>
        <v>23770.5</v>
      </c>
      <c r="G70" s="585" t="inlineStr">
        <is>
          <t>1.219</t>
        </is>
      </c>
    </row>
    <row r="71"/>
    <row r="72" ht="24" customHeight="1" s="12">
      <c r="A72" s="567" t="inlineStr">
        <is>
          <t>U</t>
        </is>
      </c>
      <c r="B72" s="581" t="inlineStr">
        <is>
          <t>20mm diameter in beams</t>
        </is>
      </c>
      <c r="C72" s="582">
        <f>0.810</f>
        <v>0.81</v>
      </c>
      <c r="D72" s="583" t="inlineStr">
        <is>
          <t>t</t>
        </is>
      </c>
      <c r="E72" s="584">
        <f>RATES!$D$32</f>
        <v>19000.0</v>
      </c>
      <c r="F72" s="571">
        <f>C72*E72</f>
        <v>15390.000000000002</v>
      </c>
      <c r="G72" s="585" t="inlineStr">
        <is>
          <t>0.810</t>
        </is>
      </c>
    </row>
    <row r="73"/>
    <row r="74" ht="24" customHeight="1" s="12">
      <c r="A74" s="567" t="inlineStr">
        <is>
          <t>V</t>
        </is>
      </c>
      <c r="B74" s="581" t="inlineStr">
        <is>
          <t>25mm diameter in beams</t>
        </is>
      </c>
      <c r="C74" s="582">
        <f>4.057</f>
        <v>4.057</v>
      </c>
      <c r="D74" s="583" t="inlineStr">
        <is>
          <t>t</t>
        </is>
      </c>
      <c r="E74" s="584">
        <f>RATES!$D$33</f>
        <v>19000.0</v>
      </c>
      <c r="F74" s="571">
        <f>C74*E74</f>
        <v>77083.00000000001</v>
      </c>
      <c r="G74" s="585" t="inlineStr">
        <is>
          <t>4.057</t>
        </is>
      </c>
    </row>
    <row r="75"/>
    <row r="76" ht="24" customHeight="1" s="12">
      <c r="A76" s="567" t="inlineStr">
        <is>
          <t>W</t>
        </is>
      </c>
      <c r="B76" s="581" t="inlineStr">
        <is>
          <t>10mm diameter in shear &amp; lift walls (links)</t>
        </is>
      </c>
      <c r="C76" s="582">
        <f>1.442+0.636</f>
        <v>2.078</v>
      </c>
      <c r="D76" s="583" t="inlineStr">
        <is>
          <t>t</t>
        </is>
      </c>
      <c r="E76" s="584">
        <f>RATES!$D$29</f>
        <v>20500.0</v>
      </c>
      <c r="F76" s="571">
        <f>C76*E76</f>
        <v>42599.0</v>
      </c>
      <c r="G76" s="585" t="inlineStr">
        <is>
          <t>1.442+0.636</t>
        </is>
      </c>
    </row>
    <row r="77"/>
    <row r="78" ht="24" customHeight="1" s="12">
      <c r="A78" s="567" t="inlineStr">
        <is>
          <t>X</t>
        </is>
      </c>
      <c r="B78" s="581" t="inlineStr">
        <is>
          <t>12mm diameter in shear, lift &amp; ramp walls</t>
        </is>
      </c>
      <c r="C78" s="582">
        <f>1.917+0.866</f>
        <v>2.783</v>
      </c>
      <c r="D78" s="583" t="inlineStr">
        <is>
          <t>t</t>
        </is>
      </c>
      <c r="E78" s="584">
        <f>RATES!$D$30</f>
        <v>20000.0</v>
      </c>
      <c r="F78" s="571">
        <f>C78*E78</f>
        <v>55660.0</v>
      </c>
      <c r="G78" s="585" t="inlineStr">
        <is>
          <t>1.917+0.866</t>
        </is>
      </c>
    </row>
    <row r="79"/>
    <row r="80" ht="24" customHeight="1" s="12">
      <c r="A80" s="567" t="inlineStr">
        <is>
          <t>Y</t>
        </is>
      </c>
      <c r="B80" s="581" t="inlineStr">
        <is>
          <t>20mm diameter in shear &amp; lift walls</t>
        </is>
      </c>
      <c r="C80" s="582">
        <f>6.904+3.320</f>
        <v>10.224</v>
      </c>
      <c r="D80" s="583" t="inlineStr">
        <is>
          <t>t</t>
        </is>
      </c>
      <c r="E80" s="584">
        <f>RATES!$D$32</f>
        <v>19000.0</v>
      </c>
      <c r="F80" s="571">
        <f>C80*E80</f>
        <v>194256.0</v>
      </c>
      <c r="G80" s="585" t="inlineStr">
        <is>
          <t>6.904+3.320</t>
        </is>
      </c>
    </row>
    <row r="81"/>
    <row r="82" ht="24" customHeight="1" s="12">
      <c r="A82" s="567" t="inlineStr">
        <is>
          <t>Z</t>
        </is>
      </c>
      <c r="B82" s="581" t="inlineStr">
        <is>
          <t>12mm diameter in stairs</t>
        </is>
      </c>
      <c r="C82" s="582">
        <f>0.880</f>
        <v>0.88</v>
      </c>
      <c r="D82" s="583" t="inlineStr">
        <is>
          <t>t</t>
        </is>
      </c>
      <c r="E82" s="584">
        <f>RATES!$D$30</f>
        <v>20000.0</v>
      </c>
      <c r="F82" s="571">
        <f>C82*E82</f>
        <v>17600.0</v>
      </c>
      <c r="G82" s="585" t="inlineStr">
        <is>
          <t>0.880</t>
        </is>
      </c>
    </row>
    <row r="83"/>
    <row r="84" ht="24" customHeight="1" s="12">
      <c r="A84" s="567" t="inlineStr">
        <is>
          <t>A</t>
        </is>
      </c>
      <c r="B84" s="581" t="inlineStr">
        <is>
          <t>16mm diameter in stairs</t>
        </is>
      </c>
      <c r="C84" s="582">
        <f>1.434</f>
        <v>1.434</v>
      </c>
      <c r="D84" s="583" t="inlineStr">
        <is>
          <t>t</t>
        </is>
      </c>
      <c r="E84" s="584">
        <f>RATES!$D$31</f>
        <v>19500.0</v>
      </c>
      <c r="F84" s="571">
        <f>C84*E84</f>
        <v>27963.0</v>
      </c>
      <c r="G84" s="585" t="inlineStr">
        <is>
          <t>1.434</t>
        </is>
      </c>
    </row>
    <row r="85"/>
    <row r="86" ht="24" customHeight="1" s="12">
      <c r="A86" s="567" t="inlineStr">
        <is>
          <t>B</t>
        </is>
      </c>
      <c r="B86" s="581" t="inlineStr">
        <is>
          <t>12mm diameter for suspended slab</t>
        </is>
      </c>
      <c r="C86" s="582">
        <f>36.276</f>
        <v>36.276</v>
      </c>
      <c r="D86" s="583" t="inlineStr">
        <is>
          <t>t</t>
        </is>
      </c>
      <c r="E86" s="584">
        <f>RATES!$D$30</f>
        <v>20000.0</v>
      </c>
      <c r="F86" s="571">
        <f>C86*E86</f>
        <v>725520.0000000001</v>
      </c>
      <c r="G86" s="585" t="inlineStr">
        <is>
          <t>36.276</t>
        </is>
      </c>
    </row>
    <row r="87"/>
    <row r="88" ht="24" customHeight="1" s="12">
      <c r="A88" s="567" t="inlineStr">
        <is>
          <t>C</t>
        </is>
      </c>
      <c r="B88" s="581" t="inlineStr">
        <is>
          <t>16mm diameter for suspended slab</t>
        </is>
      </c>
      <c r="C88" s="582">
        <f>0.148</f>
        <v>0.148</v>
      </c>
      <c r="D88" s="583" t="inlineStr">
        <is>
          <t>t</t>
        </is>
      </c>
      <c r="E88" s="584">
        <f>RATES!$D$31</f>
        <v>19500.0</v>
      </c>
      <c r="F88" s="571">
        <f>C88*E88</f>
        <v>2886.0</v>
      </c>
      <c r="G88" s="585" t="inlineStr">
        <is>
          <t>0.148</t>
        </is>
      </c>
    </row>
    <row r="89"/>
    <row r="90">
      <c r="A90" s="572" t="n"/>
      <c r="B90" s="586" t="str">
        <f>B31</f>
        <v>ELEMENT NO. 1: IN SITU CONCRETE/LARGE PRECAST CONCRETE</v>
      </c>
      <c r="C90" s="574" t="n"/>
      <c r="D90" s="574" t="n"/>
      <c r="E90" s="587" t="n"/>
      <c r="F90" s="576">
        <f>SUM(F33:F89)</f>
        <v>2565762.610875</v>
      </c>
    </row>
    <row r="91">
      <c r="B91" s="559" t="inlineStr">
        <is>
          <t>Carried to Bill Summary</t>
        </is>
      </c>
    </row>
    <row r="92"/>
    <row r="93"/>
    <row r="94">
      <c r="A94" s="577" t="n"/>
      <c r="B94" s="578" t="inlineStr">
        <is>
          <t>ELEMENT NO. 2: MASONRY</t>
        </is>
      </c>
      <c r="C94" s="569" t="n"/>
      <c r="D94" s="569" t="n"/>
      <c r="E94" s="570" t="n"/>
      <c r="F94" s="579" t="n"/>
    </row>
    <row r="95"/>
    <row r="96" ht="24" customHeight="1" s="12">
      <c r="A96" s="577" t="n"/>
      <c r="B96" s="580" t="inlineStr">
        <is>
          <t>F10 BRICK/BLOCK WALL - Solid sandcrete blockwork in cement and sand (1:4) mortar as described in:</t>
        </is>
      </c>
      <c r="C96" s="569" t="n"/>
      <c r="D96" s="569" t="n"/>
      <c r="E96" s="570" t="n"/>
      <c r="F96" s="579" t="n"/>
    </row>
    <row r="97" ht="24" customHeight="1" s="12">
      <c r="A97" s="567" t="inlineStr">
        <is>
          <t>A</t>
        </is>
      </c>
      <c r="B97" s="581" t="inlineStr">
        <is>
          <t>150mm thick wall</t>
        </is>
      </c>
      <c r="C97" s="582">
        <f>354.0*3.05+(6*1*(3.05-2.2)+11*0.9*(3.05-2.2)+16*0.75*(3.05-2.2)+1*0.7*(3.05-2.2)+2*1.2*(3.05-2.2)+2*1*(3.05-2.2)+2*1*(3.05-2.2)+1*0.9*(3.05-2.2)+1*1.5*(3.05-2.2)+2*0.9*(3.05-2.2)+4*0.75*(3.05-2.2)+1*0.45*(3.05-2.2)+3*0.6*(3.05-2.2)+1*3*(3.05-2.2)+3*1.6*(3.05-2.2)+2*1.3*(3.05-2.2)+3*1.8*(3.05-2.2)+1*1.2*(3.05-2.2)+4*1.8*(3.05-1.3)+8*0.9*(3.05-1.3)+1*1.8*(3.05-1.6)+2*1.2*(3.05-1.9)+6*1.2*(3.05-1.15)+1*1.2*(3.05-1.2)+5*1.5*(3.05-1.3)+3*1.5*(3.05-1.15)+1*3*(3.05-1.6)+2*1.8*(3.05-1.9)+1*0.75*(3.05-1.3)+10*0.9*(3.05-0.6)+4*0.75*(3.05-0.6)+1*0.6*(3.05-0.6)+1*1.2*(3.05-0.6))*0.919</f>
        <v>1230.40681</v>
      </c>
      <c r="D97" s="583" t="inlineStr">
        <is>
          <t>m2</t>
        </is>
      </c>
      <c r="E97" s="584">
        <f>RATES!$D$46</f>
        <v>215.0</v>
      </c>
      <c r="F97" s="571">
        <f>C97*E97</f>
        <v>264537.46415</v>
      </c>
      <c r="G97" s="585" t="inlineStr">
        <is>
          <t>354.0*3.05+(6*1*(3.05-2.2)+11*0.9*(3.05-2.2)+16*0.75*(3.05-2.2)+1*0.7*(3.05-2.2)+2*1.2*(3.05-2.2)+2*1*(3.05-2.2)+2*1*(3.05-2.2)+1*0.9*(3.05-2.2)+1*1.5*(3.05-2.2)+2*0.9*(3.05-2.2)+4*0.75*(3.05-2.2)+1*0.45*(3.05-2.2)+3*0.6*(3.05-2.2)+1*3*(3.05-2.2)+...</t>
        </is>
      </c>
    </row>
    <row r="98"/>
    <row r="99" ht="24" customHeight="1" s="12">
      <c r="A99" s="567" t="inlineStr">
        <is>
          <t>B</t>
        </is>
      </c>
      <c r="B99" s="581" t="inlineStr">
        <is>
          <t>200mm thick wall</t>
        </is>
      </c>
      <c r="C99" s="582">
        <f>31.1*3.05+(6*1*(3.05-2.2)+11*0.9*(3.05-2.2)+16*0.75*(3.05-2.2)+1*0.7*(3.05-2.2)+2*1.2*(3.05-2.2)+2*1*(3.05-2.2)+2*1*(3.05-2.2)+1*0.9*(3.05-2.2)+1*1.5*(3.05-2.2)+2*0.9*(3.05-2.2)+4*0.75*(3.05-2.2)+1*0.45*(3.05-2.2)+3*0.6*(3.05-2.2)+1*3*(3.05-2.2)+3*1.6*(3.05-2.2)+2*1.3*(3.05-2.2)+3*1.8*(3.05-2.2)+1*1.2*(3.05-2.2)+4*1.8*(3.05-1.3)+8*0.9*(3.05-1.3)+1*1.8*(3.05-1.6)+2*1.2*(3.05-1.9)+6*1.2*(3.05-1.15)+1*1.2*(3.05-1.2)+5*1.5*(3.05-1.3)+3*1.5*(3.05-1.15)+1*3*(3.05-1.6)+2*1.8*(3.05-1.9)+1*0.75*(3.05-1.3)+10*0.9*(3.05-0.6)+4*0.75*(3.05-0.6)+1*0.6*(3.05-0.6)+1*1.2*(3.05-0.6))*0.081</f>
        <v>108.13819</v>
      </c>
      <c r="D99" s="583" t="inlineStr">
        <is>
          <t>m2</t>
        </is>
      </c>
      <c r="E99" s="584">
        <f>RATES!$D$47</f>
        <v>265.0</v>
      </c>
      <c r="F99" s="571">
        <f>C99*E99</f>
        <v>28656.620349999997</v>
      </c>
      <c r="G99" s="585" t="inlineStr">
        <is>
          <t>31.1*3.05+(6*1*(3.05-2.2)+11*0.9*(3.05-2.2)+16*0.75*(3.05-2.2)+1*0.7*(3.05-2.2)+2*1.2*(3.05-2.2)+2*1*(3.05-2.2)+2*1*(3.05-2.2)+1*0.9*(3.05-2.2)+1*1.5*(3.05-2.2)+2*0.9*(3.05-2.2)+4*0.75*(3.05-2.2)+1*0.45*(3.05-2.2)+3*0.6*(3.05-2.2)+1*3*(3.05-2.2)+3...</t>
        </is>
      </c>
    </row>
    <row r="100"/>
    <row r="101">
      <c r="A101" s="572" t="n"/>
      <c r="B101" s="586" t="str">
        <f>B94</f>
        <v>ELEMENT NO. 2: MASONRY</v>
      </c>
      <c r="C101" s="574" t="n"/>
      <c r="D101" s="574" t="n"/>
      <c r="E101" s="587" t="n"/>
      <c r="F101" s="576">
        <f>SUM(F96:F100)</f>
        <v>293194.0845</v>
      </c>
    </row>
    <row r="102">
      <c r="B102" s="559" t="inlineStr">
        <is>
          <t>Carried to Bill Summary</t>
        </is>
      </c>
    </row>
    <row r="103"/>
    <row r="104"/>
    <row r="105">
      <c r="A105" s="577" t="n"/>
      <c r="B105" s="578" t="inlineStr">
        <is>
          <t>ELEMENT NO. 4: WINDOWS/DOORS</t>
        </is>
      </c>
      <c r="C105" s="569" t="n"/>
      <c r="D105" s="569" t="n"/>
      <c r="E105" s="570" t="n"/>
      <c r="F105" s="579" t="n"/>
    </row>
    <row r="106"/>
    <row r="107" ht="48" customHeight="1" s="12">
      <c r="A107" s="577" t="n"/>
      <c r="B107" s="580" t="inlineStr">
        <is>
          <t>L20 DOORS - Supply and fix the following door assemblies complete with frames, ironmongery sets to steel doors and all accessories:</t>
        </is>
      </c>
      <c r="C107" s="569" t="n"/>
      <c r="D107" s="569" t="n"/>
      <c r="E107" s="570" t="n"/>
      <c r="F107" s="579" t="n"/>
    </row>
    <row r="108" ht="24" customHeight="1" s="12">
      <c r="A108" s="567" t="inlineStr">
        <is>
          <t>A</t>
        </is>
      </c>
      <c r="B108" s="581" t="inlineStr">
        <is>
          <t>1000mm x 2200mm 1-hour fire-rated galvanised steel single-leaf security door assembly (D2)</t>
        </is>
      </c>
      <c r="C108" s="582">
        <f>6</f>
        <v>6.0</v>
      </c>
      <c r="D108" s="583" t="inlineStr">
        <is>
          <t>nr</t>
        </is>
      </c>
      <c r="E108" s="584">
        <f>RATES!$D$75</f>
        <v>7800.0</v>
      </c>
      <c r="F108" s="571">
        <f>C108*E108</f>
        <v>46800.0</v>
      </c>
      <c r="G108" s="585" t="inlineStr">
        <is>
          <t>6</t>
        </is>
      </c>
    </row>
    <row r="109"/>
    <row r="110" ht="24" customHeight="1" s="12">
      <c r="A110" s="567" t="inlineStr">
        <is>
          <t>B</t>
        </is>
      </c>
      <c r="B110" s="581" t="inlineStr">
        <is>
          <t>900mm x 2200mm single leaf timber panel door (D3)</t>
        </is>
      </c>
      <c r="C110" s="582">
        <f>11</f>
        <v>11.0</v>
      </c>
      <c r="D110" s="583" t="inlineStr">
        <is>
          <t>nr</t>
        </is>
      </c>
      <c r="E110" s="584">
        <f>RATES!$D$76</f>
        <v>3400.0</v>
      </c>
      <c r="F110" s="571">
        <f>C110*E110</f>
        <v>37400.0</v>
      </c>
      <c r="G110" s="585" t="inlineStr">
        <is>
          <t>11</t>
        </is>
      </c>
    </row>
    <row r="111"/>
    <row r="112" ht="24" customHeight="1" s="12">
      <c r="A112" s="567" t="inlineStr">
        <is>
          <t>C</t>
        </is>
      </c>
      <c r="B112" s="581" t="inlineStr">
        <is>
          <t>750mm x 2200mm single leaf timber flush door (D6)</t>
        </is>
      </c>
      <c r="C112" s="582">
        <f>16</f>
        <v>16.0</v>
      </c>
      <c r="D112" s="583" t="inlineStr">
        <is>
          <t>nr</t>
        </is>
      </c>
      <c r="E112" s="584">
        <f>RATES!$D$79</f>
        <v>1900.0</v>
      </c>
      <c r="F112" s="571">
        <f>C112*E112</f>
        <v>30400.0</v>
      </c>
      <c r="G112" s="585" t="inlineStr">
        <is>
          <t>16</t>
        </is>
      </c>
    </row>
    <row r="113"/>
    <row r="114" ht="24" customHeight="1" s="12">
      <c r="A114" s="567" t="inlineStr">
        <is>
          <t>D</t>
        </is>
      </c>
      <c r="B114" s="581" t="inlineStr">
        <is>
          <t>700mm x 2200mm single-leaf 2-hour fire-rated galvanised steel door (D7)</t>
        </is>
      </c>
      <c r="C114" s="582">
        <f>1</f>
        <v>1.0</v>
      </c>
      <c r="D114" s="583" t="inlineStr">
        <is>
          <t>nr</t>
        </is>
      </c>
      <c r="E114" s="584">
        <f>RATES!$D$80</f>
        <v>6800.0</v>
      </c>
      <c r="F114" s="571">
        <f>C114*E114</f>
        <v>6800.0</v>
      </c>
      <c r="G114" s="585" t="inlineStr">
        <is>
          <t>1</t>
        </is>
      </c>
    </row>
    <row r="115"/>
    <row r="116" ht="24" customHeight="1" s="12">
      <c r="A116" s="567" t="inlineStr">
        <is>
          <t>E</t>
        </is>
      </c>
      <c r="B116" s="581" t="inlineStr">
        <is>
          <t>1200mm x 2200mm 1-hour fire-rated leaf-and-a-half galvanised steel security door assembly (D8)</t>
        </is>
      </c>
      <c r="C116" s="582">
        <f>2</f>
        <v>2.0</v>
      </c>
      <c r="D116" s="583" t="inlineStr">
        <is>
          <t>nr</t>
        </is>
      </c>
      <c r="E116" s="584">
        <f>RATES!$D$81</f>
        <v>9800.0</v>
      </c>
      <c r="F116" s="571">
        <f>C116*E116</f>
        <v>19600.0</v>
      </c>
      <c r="G116" s="585" t="inlineStr">
        <is>
          <t>2</t>
        </is>
      </c>
    </row>
    <row r="117"/>
    <row r="118" ht="48" customHeight="1" s="12">
      <c r="A118" s="567" t="inlineStr">
        <is>
          <t>F</t>
        </is>
      </c>
      <c r="B118" s="581" t="inlineStr">
        <is>
          <t>1000mm x 2200mm 1-hour fire-rated galvanised steel single-leaf security door assembly - emergency stairs (ED1)</t>
        </is>
      </c>
      <c r="C118" s="582">
        <f>2</f>
        <v>2.0</v>
      </c>
      <c r="D118" s="583" t="inlineStr">
        <is>
          <t>nr</t>
        </is>
      </c>
      <c r="E118" s="584">
        <f>RATES!$D$82</f>
        <v>7200.0</v>
      </c>
      <c r="F118" s="571">
        <f>C118*E118</f>
        <v>14400.0</v>
      </c>
      <c r="G118" s="585" t="inlineStr">
        <is>
          <t>2</t>
        </is>
      </c>
    </row>
    <row r="119"/>
    <row r="120" ht="48" customHeight="1" s="12">
      <c r="A120" s="567" t="inlineStr">
        <is>
          <t>G</t>
        </is>
      </c>
      <c r="B120" s="581" t="inlineStr">
        <is>
          <t>1000mm x 2200mm 1-hour fire-rated galvanised steel single-leaf security door with translucent glass panel (ED2)</t>
        </is>
      </c>
      <c r="C120" s="582">
        <f>2</f>
        <v>2.0</v>
      </c>
      <c r="D120" s="583" t="inlineStr">
        <is>
          <t>nr</t>
        </is>
      </c>
      <c r="E120" s="584">
        <f>RATES!$D$83</f>
        <v>8100.0</v>
      </c>
      <c r="F120" s="571">
        <f>C120*E120</f>
        <v>16200.0</v>
      </c>
      <c r="G120" s="585" t="inlineStr">
        <is>
          <t>2</t>
        </is>
      </c>
    </row>
    <row r="121"/>
    <row r="122" ht="24" customHeight="1" s="12">
      <c r="A122" s="567" t="inlineStr">
        <is>
          <t>H</t>
        </is>
      </c>
      <c r="B122" s="581" t="inlineStr">
        <is>
          <t>900mm x 2200mm 1-hour fire-rated galvanised steel single-leaf security door assembly (D9)</t>
        </is>
      </c>
      <c r="C122" s="582">
        <f>1</f>
        <v>1.0</v>
      </c>
      <c r="D122" s="583" t="inlineStr">
        <is>
          <t>nr</t>
        </is>
      </c>
      <c r="E122" s="584">
        <f>RATES!$D$84</f>
        <v>6900.0</v>
      </c>
      <c r="F122" s="571">
        <f>C122*E122</f>
        <v>6900.0</v>
      </c>
      <c r="G122" s="585" t="inlineStr">
        <is>
          <t>1</t>
        </is>
      </c>
    </row>
    <row r="123"/>
    <row r="124" ht="24" customHeight="1" s="12">
      <c r="A124" s="567" t="inlineStr">
        <is>
          <t>J</t>
        </is>
      </c>
      <c r="B124" s="581" t="inlineStr">
        <is>
          <t>1500mm x 2200mm timber bi-fold door (FD1)</t>
        </is>
      </c>
      <c r="C124" s="582">
        <f>1</f>
        <v>1.0</v>
      </c>
      <c r="D124" s="583" t="inlineStr">
        <is>
          <t>nr</t>
        </is>
      </c>
      <c r="E124" s="584">
        <f>RATES!$D$86</f>
        <v>4600.0</v>
      </c>
      <c r="F124" s="571">
        <f>C124*E124</f>
        <v>4600.0</v>
      </c>
      <c r="G124" s="585" t="inlineStr">
        <is>
          <t>1</t>
        </is>
      </c>
    </row>
    <row r="125"/>
    <row r="126" ht="24" customHeight="1" s="12">
      <c r="A126" s="567" t="inlineStr">
        <is>
          <t>K</t>
        </is>
      </c>
      <c r="B126" s="581" t="inlineStr">
        <is>
          <t>900mm x 2200mm screw-fixed galvanised steel service access panel (M1)</t>
        </is>
      </c>
      <c r="C126" s="582">
        <f>2</f>
        <v>2.0</v>
      </c>
      <c r="D126" s="583" t="inlineStr">
        <is>
          <t>nr</t>
        </is>
      </c>
      <c r="E126" s="584">
        <f>RATES!$D$87</f>
        <v>2900.0</v>
      </c>
      <c r="F126" s="571">
        <f>C126*E126</f>
        <v>5800.0</v>
      </c>
      <c r="G126" s="585" t="inlineStr">
        <is>
          <t>2</t>
        </is>
      </c>
    </row>
    <row r="127"/>
    <row r="128" ht="24" customHeight="1" s="12">
      <c r="A128" s="567" t="inlineStr">
        <is>
          <t>L</t>
        </is>
      </c>
      <c r="B128" s="581" t="inlineStr">
        <is>
          <t>750mm x 2200mm screw-fixed galvanised steel service access panel (M2)</t>
        </is>
      </c>
      <c r="C128" s="582">
        <f>4</f>
        <v>4.0</v>
      </c>
      <c r="D128" s="583" t="inlineStr">
        <is>
          <t>nr</t>
        </is>
      </c>
      <c r="E128" s="584">
        <f>RATES!$D$88</f>
        <v>2600.0</v>
      </c>
      <c r="F128" s="571">
        <f>C128*E128</f>
        <v>10400.0</v>
      </c>
      <c r="G128" s="585" t="inlineStr">
        <is>
          <t>4</t>
        </is>
      </c>
    </row>
    <row r="129"/>
    <row r="130" ht="24" customHeight="1" s="12">
      <c r="A130" s="567" t="inlineStr">
        <is>
          <t>M</t>
        </is>
      </c>
      <c r="B130" s="581" t="inlineStr">
        <is>
          <t>450mm x 2200mm screw-fixed galvanised steel service access panel (M3)</t>
        </is>
      </c>
      <c r="C130" s="582">
        <f>1</f>
        <v>1.0</v>
      </c>
      <c r="D130" s="583" t="inlineStr">
        <is>
          <t>nr</t>
        </is>
      </c>
      <c r="E130" s="584">
        <f>RATES!$D$89</f>
        <v>1900.0</v>
      </c>
      <c r="F130" s="571">
        <f>C130*E130</f>
        <v>1900.0</v>
      </c>
      <c r="G130" s="585" t="inlineStr">
        <is>
          <t>1</t>
        </is>
      </c>
    </row>
    <row r="131"/>
    <row r="132" ht="24" customHeight="1" s="12">
      <c r="A132" s="567" t="inlineStr">
        <is>
          <t>N</t>
        </is>
      </c>
      <c r="B132" s="581" t="inlineStr">
        <is>
          <t>600mm x 2200mm screw-fixed galvanised steel service access panel (M5)</t>
        </is>
      </c>
      <c r="C132" s="582">
        <f>3</f>
        <v>3.0</v>
      </c>
      <c r="D132" s="583" t="inlineStr">
        <is>
          <t>nr</t>
        </is>
      </c>
      <c r="E132" s="584">
        <f>RATES!$D$90</f>
        <v>2200.0</v>
      </c>
      <c r="F132" s="571">
        <f>C132*E132</f>
        <v>6600.0</v>
      </c>
      <c r="G132" s="585" t="inlineStr">
        <is>
          <t>3</t>
        </is>
      </c>
    </row>
    <row r="133"/>
    <row r="134" ht="24" customHeight="1" s="12">
      <c r="A134" s="567" t="inlineStr">
        <is>
          <t>P</t>
        </is>
      </c>
      <c r="B134" s="581" t="inlineStr">
        <is>
          <t>3000mm x 2200mm 3-panel galvanised steel framed tempered glass sliding door (SD1)</t>
        </is>
      </c>
      <c r="C134" s="582">
        <f>1</f>
        <v>1.0</v>
      </c>
      <c r="D134" s="583" t="inlineStr">
        <is>
          <t>nr</t>
        </is>
      </c>
      <c r="E134" s="584">
        <f>RATES!$D$94</f>
        <v>14500.0</v>
      </c>
      <c r="F134" s="571">
        <f>C134*E134</f>
        <v>14500.0</v>
      </c>
      <c r="G134" s="585" t="inlineStr">
        <is>
          <t>1</t>
        </is>
      </c>
    </row>
    <row r="135"/>
    <row r="136" ht="24" customHeight="1" s="12">
      <c r="A136" s="567" t="inlineStr">
        <is>
          <t>Q</t>
        </is>
      </c>
      <c r="B136" s="581" t="inlineStr">
        <is>
          <t>1600mm x 2200mm 2-panel galvanised steel framed tempered glass sliding door (SD2)</t>
        </is>
      </c>
      <c r="C136" s="582">
        <f>3</f>
        <v>3.0</v>
      </c>
      <c r="D136" s="583" t="inlineStr">
        <is>
          <t>nr</t>
        </is>
      </c>
      <c r="E136" s="584">
        <f>RATES!$D$95</f>
        <v>8800.0</v>
      </c>
      <c r="F136" s="571">
        <f>C136*E136</f>
        <v>26400.0</v>
      </c>
      <c r="G136" s="585" t="inlineStr">
        <is>
          <t>3</t>
        </is>
      </c>
    </row>
    <row r="137"/>
    <row r="138" ht="24" customHeight="1" s="12">
      <c r="A138" s="567" t="inlineStr">
        <is>
          <t>R</t>
        </is>
      </c>
      <c r="B138" s="581" t="inlineStr">
        <is>
          <t>1300mm x 2200mm 2-panel galvanised steel framed tempered glass sliding door (SD3)</t>
        </is>
      </c>
      <c r="C138" s="582">
        <f>2</f>
        <v>2.0</v>
      </c>
      <c r="D138" s="583" t="inlineStr">
        <is>
          <t>nr</t>
        </is>
      </c>
      <c r="E138" s="584">
        <f>RATES!$D$96</f>
        <v>7600.0</v>
      </c>
      <c r="F138" s="571">
        <f>C138*E138</f>
        <v>15200.0</v>
      </c>
      <c r="G138" s="585" t="inlineStr">
        <is>
          <t>2</t>
        </is>
      </c>
    </row>
    <row r="139"/>
    <row r="140" ht="24" customHeight="1" s="12">
      <c r="A140" s="567" t="inlineStr">
        <is>
          <t>S</t>
        </is>
      </c>
      <c r="B140" s="581" t="inlineStr">
        <is>
          <t>1800mm x 2200mm 2-panel galvanised steel framed tempered glass sliding door (SD4)</t>
        </is>
      </c>
      <c r="C140" s="582">
        <f>3</f>
        <v>3.0</v>
      </c>
      <c r="D140" s="583" t="inlineStr">
        <is>
          <t>nr</t>
        </is>
      </c>
      <c r="E140" s="584">
        <f>RATES!$D$97</f>
        <v>9300.0</v>
      </c>
      <c r="F140" s="571">
        <f>C140*E140</f>
        <v>27900.0</v>
      </c>
      <c r="G140" s="585" t="inlineStr">
        <is>
          <t>3</t>
        </is>
      </c>
    </row>
    <row r="141"/>
    <row r="142" ht="24" customHeight="1" s="12">
      <c r="A142" s="567" t="inlineStr">
        <is>
          <t>T</t>
        </is>
      </c>
      <c r="B142" s="581" t="inlineStr">
        <is>
          <t>1200mm x 2200mm 2-panel galvanised steel framed tempered glass sliding door (SD5)</t>
        </is>
      </c>
      <c r="C142" s="582">
        <f>1</f>
        <v>1.0</v>
      </c>
      <c r="D142" s="583" t="inlineStr">
        <is>
          <t>nr</t>
        </is>
      </c>
      <c r="E142" s="584">
        <f>RATES!$D$98</f>
        <v>7200.0</v>
      </c>
      <c r="F142" s="571">
        <f>C142*E142</f>
        <v>7200.0</v>
      </c>
      <c r="G142" s="585" t="inlineStr">
        <is>
          <t>1</t>
        </is>
      </c>
    </row>
    <row r="143"/>
    <row r="144" ht="24" customHeight="1" s="12">
      <c r="A144" s="567" t="inlineStr">
        <is>
          <t>U</t>
        </is>
      </c>
      <c r="B144" s="581" t="inlineStr">
        <is>
          <t>50mm x 150mm frames (to timber doors)</t>
        </is>
      </c>
      <c r="C144" s="582">
        <f>11*(2*2.2+0.9)+16*(2*2.2+0.75)+1*(2*2.2+1.5)</f>
        <v>146.60000000000002</v>
      </c>
      <c r="D144" s="583" t="inlineStr">
        <is>
          <t>m</t>
        </is>
      </c>
      <c r="E144" s="584">
        <f>RATES!$D$100</f>
        <v>125.0</v>
      </c>
      <c r="F144" s="571">
        <f>C144*E144</f>
        <v>18325.000000000004</v>
      </c>
      <c r="G144" s="585" t="inlineStr">
        <is>
          <t>11*(2*2.2+0.9)+16*(2*2.2+0.75)+1*(2*2.2+1.5)</t>
        </is>
      </c>
    </row>
    <row r="145"/>
    <row r="146" ht="24" customHeight="1" s="12">
      <c r="A146" s="567" t="inlineStr">
        <is>
          <t>V</t>
        </is>
      </c>
      <c r="B146" s="581" t="inlineStr">
        <is>
          <t>50mm x 12mm door stop</t>
        </is>
      </c>
      <c r="C146" s="582">
        <f>11*(2*2.2+0.9)+16*(2*2.2+0.75)+1*(2*2.2+1.5)</f>
        <v>146.60000000000002</v>
      </c>
      <c r="D146" s="583" t="inlineStr">
        <is>
          <t>m</t>
        </is>
      </c>
      <c r="E146" s="584">
        <f>RATES!$D$101</f>
        <v>28.0</v>
      </c>
      <c r="F146" s="571">
        <f>C146*E146</f>
        <v>4104.800000000001</v>
      </c>
      <c r="G146" s="585" t="inlineStr">
        <is>
          <t>11*(2*2.2+0.9)+16*(2*2.2+0.75)+1*(2*2.2+1.5)</t>
        </is>
      </c>
    </row>
    <row r="147"/>
    <row r="148" ht="48" customHeight="1" s="12">
      <c r="A148" s="577" t="n"/>
      <c r="B148" s="580" t="inlineStr">
        <is>
          <t>Ironmongery - Supply and fix the following approved ironmongery to hardwood with accompanying patented screws:</t>
        </is>
      </c>
      <c r="C148" s="569" t="n"/>
      <c r="D148" s="569" t="n"/>
      <c r="E148" s="570" t="n"/>
      <c r="F148" s="579" t="n"/>
    </row>
    <row r="149" ht="24" customHeight="1" s="12">
      <c r="A149" s="567" t="inlineStr">
        <is>
          <t>W</t>
        </is>
      </c>
      <c r="B149" s="581" t="inlineStr">
        <is>
          <t>Pair 100mm brass butt hinges</t>
        </is>
      </c>
      <c r="C149" s="582">
        <f>41</f>
        <v>41.0</v>
      </c>
      <c r="D149" s="583" t="inlineStr">
        <is>
          <t>pr</t>
        </is>
      </c>
      <c r="E149" s="584">
        <f>RATES!$D$102</f>
        <v>125.0</v>
      </c>
      <c r="F149" s="571">
        <f>C149*E149</f>
        <v>5125.0</v>
      </c>
      <c r="G149" s="585" t="inlineStr">
        <is>
          <t>41</t>
        </is>
      </c>
    </row>
    <row r="150"/>
    <row r="151" ht="24" customHeight="1" s="12">
      <c r="A151" s="567" t="inlineStr">
        <is>
          <t>X</t>
        </is>
      </c>
      <c r="B151" s="581" t="inlineStr">
        <is>
          <t>Ordinary locks</t>
        </is>
      </c>
      <c r="C151" s="582">
        <f>11</f>
        <v>11.0</v>
      </c>
      <c r="D151" s="583" t="inlineStr">
        <is>
          <t>nr</t>
        </is>
      </c>
      <c r="E151" s="584">
        <f>RATES!$D$103</f>
        <v>480.0</v>
      </c>
      <c r="F151" s="571">
        <f>C151*E151</f>
        <v>5280.0</v>
      </c>
      <c r="G151" s="585" t="inlineStr">
        <is>
          <t>11</t>
        </is>
      </c>
    </row>
    <row r="152"/>
    <row r="153" ht="24" customHeight="1" s="12">
      <c r="A153" s="567" t="inlineStr">
        <is>
          <t>Y</t>
        </is>
      </c>
      <c r="B153" s="581" t="inlineStr">
        <is>
          <t>Approved high quality mortice indicator lock</t>
        </is>
      </c>
      <c r="C153" s="582">
        <f>16</f>
        <v>16.0</v>
      </c>
      <c r="D153" s="583" t="inlineStr">
        <is>
          <t>nr</t>
        </is>
      </c>
      <c r="E153" s="584">
        <f>RATES!$D$104</f>
        <v>560.0</v>
      </c>
      <c r="F153" s="571">
        <f>C153*E153</f>
        <v>8960.0</v>
      </c>
      <c r="G153" s="585" t="inlineStr">
        <is>
          <t>16</t>
        </is>
      </c>
    </row>
    <row r="154"/>
    <row r="155" ht="72" customHeight="1" s="12">
      <c r="A155" s="577" t="n"/>
      <c r="B155"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55" s="569" t="n"/>
      <c r="D155" s="569" t="n"/>
      <c r="E155" s="570" t="n"/>
      <c r="F155" s="579" t="n"/>
    </row>
    <row r="156" ht="24" customHeight="1" s="12">
      <c r="A156" s="567" t="inlineStr">
        <is>
          <t>Z</t>
        </is>
      </c>
      <c r="B156" s="581" t="inlineStr">
        <is>
          <t>2 bay alu. framed glass sliding window 1800mm x 1300mm (W2)</t>
        </is>
      </c>
      <c r="C156" s="582">
        <f>4</f>
        <v>4.0</v>
      </c>
      <c r="D156" s="583" t="inlineStr">
        <is>
          <t>nr</t>
        </is>
      </c>
      <c r="E156" s="584">
        <f>RATES!$D$109</f>
        <v>3861.0000000000005</v>
      </c>
      <c r="F156" s="571">
        <f>C156*E156</f>
        <v>15444.000000000002</v>
      </c>
      <c r="G156" s="585" t="inlineStr">
        <is>
          <t>4</t>
        </is>
      </c>
    </row>
    <row r="157"/>
    <row r="158" ht="24" customHeight="1" s="12">
      <c r="A158" s="567" t="inlineStr">
        <is>
          <t>A</t>
        </is>
      </c>
      <c r="B158" s="581" t="inlineStr">
        <is>
          <t>1 bay alu. framed glass awning window 900mm x 1300mm (W4)</t>
        </is>
      </c>
      <c r="C158" s="582">
        <f>8</f>
        <v>8.0</v>
      </c>
      <c r="D158" s="583" t="inlineStr">
        <is>
          <t>nr</t>
        </is>
      </c>
      <c r="E158" s="584">
        <f>RATES!$D$111</f>
        <v>1930.5000000000002</v>
      </c>
      <c r="F158" s="571">
        <f>C158*E158</f>
        <v>15444.000000000002</v>
      </c>
      <c r="G158" s="585" t="inlineStr">
        <is>
          <t>8</t>
        </is>
      </c>
    </row>
    <row r="159"/>
    <row r="160" ht="24" customHeight="1" s="12">
      <c r="A160" s="567" t="inlineStr">
        <is>
          <t>B</t>
        </is>
      </c>
      <c r="B160" s="581" t="inlineStr">
        <is>
          <t>2 bay alu. framed glass sliding window 1800mm x 1600mm (W7)</t>
        </is>
      </c>
      <c r="C160" s="582">
        <f>1</f>
        <v>1.0</v>
      </c>
      <c r="D160" s="583" t="inlineStr">
        <is>
          <t>nr</t>
        </is>
      </c>
      <c r="E160" s="584">
        <f>RATES!$D$114</f>
        <v>4752.000000000001</v>
      </c>
      <c r="F160" s="571">
        <f>C160*E160</f>
        <v>4752.000000000001</v>
      </c>
      <c r="G160" s="585" t="inlineStr">
        <is>
          <t>1</t>
        </is>
      </c>
    </row>
    <row r="161"/>
    <row r="162" ht="24" customHeight="1" s="12">
      <c r="A162" s="567" t="inlineStr">
        <is>
          <t>C</t>
        </is>
      </c>
      <c r="B162" s="581" t="inlineStr">
        <is>
          <t>1 x 3 bay alu. framed glass awning window 1200mm x 1900mm (W8)</t>
        </is>
      </c>
      <c r="C162" s="582">
        <f>2</f>
        <v>2.0</v>
      </c>
      <c r="D162" s="583" t="inlineStr">
        <is>
          <t>nr</t>
        </is>
      </c>
      <c r="E162" s="584">
        <f>RATES!$D$115</f>
        <v>3761.9999999999995</v>
      </c>
      <c r="F162" s="571">
        <f>C162*E162</f>
        <v>7523.999999999999</v>
      </c>
      <c r="G162" s="585" t="inlineStr">
        <is>
          <t>2</t>
        </is>
      </c>
    </row>
    <row r="163"/>
    <row r="164" ht="24" customHeight="1" s="12">
      <c r="A164" s="567" t="inlineStr">
        <is>
          <t>D</t>
        </is>
      </c>
      <c r="B164" s="581" t="inlineStr">
        <is>
          <t>2 bay alu. framed glass sliding window 1200mm x 1150mm (W9)</t>
        </is>
      </c>
      <c r="C164" s="582">
        <f>6</f>
        <v>6.0</v>
      </c>
      <c r="D164" s="583" t="inlineStr">
        <is>
          <t>nr</t>
        </is>
      </c>
      <c r="E164" s="584">
        <f>RATES!$D$116</f>
        <v>2277.0</v>
      </c>
      <c r="F164" s="571">
        <f>C164*E164</f>
        <v>13662.0</v>
      </c>
      <c r="G164" s="585" t="inlineStr">
        <is>
          <t>6</t>
        </is>
      </c>
    </row>
    <row r="165"/>
    <row r="166" ht="24" customHeight="1" s="12">
      <c r="A166" s="567" t="inlineStr">
        <is>
          <t>E</t>
        </is>
      </c>
      <c r="B166" s="581" t="inlineStr">
        <is>
          <t>2 bay alu. framed glass sliding window 1200mm x 1200mm (W10)</t>
        </is>
      </c>
      <c r="C166" s="582">
        <f>1</f>
        <v>1.0</v>
      </c>
      <c r="D166" s="583" t="inlineStr">
        <is>
          <t>nr</t>
        </is>
      </c>
      <c r="E166" s="584">
        <f>RATES!$D$117</f>
        <v>2376.0</v>
      </c>
      <c r="F166" s="571">
        <f>C166*E166</f>
        <v>2376.0</v>
      </c>
      <c r="G166" s="585" t="inlineStr">
        <is>
          <t>1</t>
        </is>
      </c>
    </row>
    <row r="167"/>
    <row r="168" ht="24" customHeight="1" s="12">
      <c r="A168" s="567" t="inlineStr">
        <is>
          <t>F</t>
        </is>
      </c>
      <c r="B168" s="581" t="inlineStr">
        <is>
          <t>2 bay alu. framed glass sliding window 1500mm x 1300mm (W11)</t>
        </is>
      </c>
      <c r="C168" s="582">
        <f>5</f>
        <v>5.0</v>
      </c>
      <c r="D168" s="583" t="inlineStr">
        <is>
          <t>nr</t>
        </is>
      </c>
      <c r="E168" s="584">
        <f>RATES!$D$118</f>
        <v>3217.5000000000005</v>
      </c>
      <c r="F168" s="571">
        <f>C168*E168</f>
        <v>16087.500000000002</v>
      </c>
      <c r="G168" s="585" t="inlineStr">
        <is>
          <t>5</t>
        </is>
      </c>
    </row>
    <row r="169"/>
    <row r="170" ht="24" customHeight="1" s="12">
      <c r="A170" s="567" t="inlineStr">
        <is>
          <t>G</t>
        </is>
      </c>
      <c r="B170" s="581" t="inlineStr">
        <is>
          <t>2 bay alu. framed glass sliding window 1500mm x 1150mm (W12)</t>
        </is>
      </c>
      <c r="C170" s="582">
        <f>3</f>
        <v>3.0</v>
      </c>
      <c r="D170" s="583" t="inlineStr">
        <is>
          <t>nr</t>
        </is>
      </c>
      <c r="E170" s="584">
        <f>RATES!$D$119</f>
        <v>2846.25</v>
      </c>
      <c r="F170" s="571">
        <f>C170*E170</f>
        <v>8538.75</v>
      </c>
      <c r="G170" s="585" t="inlineStr">
        <is>
          <t>3</t>
        </is>
      </c>
    </row>
    <row r="171"/>
    <row r="172" ht="24" customHeight="1" s="12">
      <c r="A172" s="567" t="inlineStr">
        <is>
          <t>H</t>
        </is>
      </c>
      <c r="B172" s="581" t="inlineStr">
        <is>
          <t>3 bay alu. framed glass sliding window 3000mm x 1600mm (W15)</t>
        </is>
      </c>
      <c r="C172" s="582">
        <f>1</f>
        <v>1.0</v>
      </c>
      <c r="D172" s="583" t="inlineStr">
        <is>
          <t>nr</t>
        </is>
      </c>
      <c r="E172" s="584">
        <f>RATES!$D$122</f>
        <v>7920.000000000001</v>
      </c>
      <c r="F172" s="571">
        <f>C172*E172</f>
        <v>7920.000000000001</v>
      </c>
      <c r="G172" s="585" t="inlineStr">
        <is>
          <t>1</t>
        </is>
      </c>
    </row>
    <row r="173"/>
    <row r="174" ht="24" customHeight="1" s="12">
      <c r="A174" s="567" t="inlineStr">
        <is>
          <t>J</t>
        </is>
      </c>
      <c r="B174" s="581" t="inlineStr">
        <is>
          <t>2 x 3 alu. framed glass awning window 1800mm x 1900mm (W17)</t>
        </is>
      </c>
      <c r="C174" s="582">
        <f>2</f>
        <v>2.0</v>
      </c>
      <c r="D174" s="583" t="inlineStr">
        <is>
          <t>nr</t>
        </is>
      </c>
      <c r="E174" s="584">
        <f>RATES!$D$124</f>
        <v>5643.0</v>
      </c>
      <c r="F174" s="571">
        <f>C174*E174</f>
        <v>11286.0</v>
      </c>
      <c r="G174" s="585" t="inlineStr">
        <is>
          <t>2</t>
        </is>
      </c>
    </row>
    <row r="175"/>
    <row r="176" ht="24" customHeight="1" s="12">
      <c r="A176" s="567" t="inlineStr">
        <is>
          <t>K</t>
        </is>
      </c>
      <c r="B176" s="581" t="inlineStr">
        <is>
          <t>1 bay alu. framed glass awning window 750mm x 1300mm (W18)</t>
        </is>
      </c>
      <c r="C176" s="582">
        <f>1</f>
        <v>1.0</v>
      </c>
      <c r="D176" s="583" t="inlineStr">
        <is>
          <t>nr</t>
        </is>
      </c>
      <c r="E176" s="584">
        <f>RATES!$D$125</f>
        <v>1608.7500000000002</v>
      </c>
      <c r="F176" s="571">
        <f>C176*E176</f>
        <v>1608.7500000000002</v>
      </c>
      <c r="G176" s="585" t="inlineStr">
        <is>
          <t>1</t>
        </is>
      </c>
    </row>
    <row r="177"/>
    <row r="178" ht="24" customHeight="1" s="12">
      <c r="A178" s="567" t="inlineStr">
        <is>
          <t>L</t>
        </is>
      </c>
      <c r="B178" s="581" t="inlineStr">
        <is>
          <t>2 bay alu. framed glass sliding window 900mm x 600mm (HW1)</t>
        </is>
      </c>
      <c r="C178" s="582">
        <f>10</f>
        <v>10.0</v>
      </c>
      <c r="D178" s="583" t="inlineStr">
        <is>
          <t>nr</t>
        </is>
      </c>
      <c r="E178" s="584">
        <f>RATES!$D$128</f>
        <v>891.0000000000001</v>
      </c>
      <c r="F178" s="571">
        <f>C178*E178</f>
        <v>8910.000000000002</v>
      </c>
      <c r="G178" s="585" t="inlineStr">
        <is>
          <t>10</t>
        </is>
      </c>
    </row>
    <row r="179"/>
    <row r="180" ht="24" customHeight="1" s="12">
      <c r="A180" s="567" t="inlineStr">
        <is>
          <t>M</t>
        </is>
      </c>
      <c r="B180" s="581" t="inlineStr">
        <is>
          <t>2 bay alu. framed glass sliding window 750mm x 600mm (HW2)</t>
        </is>
      </c>
      <c r="C180" s="582">
        <f>4</f>
        <v>4.0</v>
      </c>
      <c r="D180" s="583" t="inlineStr">
        <is>
          <t>nr</t>
        </is>
      </c>
      <c r="E180" s="584">
        <f>RATES!$D$129</f>
        <v>742.4999999999999</v>
      </c>
      <c r="F180" s="571">
        <f>C180*E180</f>
        <v>2969.9999999999995</v>
      </c>
      <c r="G180" s="585" t="inlineStr">
        <is>
          <t>4</t>
        </is>
      </c>
    </row>
    <row r="181"/>
    <row r="182" ht="24" customHeight="1" s="12">
      <c r="A182" s="567" t="inlineStr">
        <is>
          <t>N</t>
        </is>
      </c>
      <c r="B182" s="581" t="inlineStr">
        <is>
          <t>2 bay alu. framed glass sliding window 600mm x 600mm (HW3)</t>
        </is>
      </c>
      <c r="C182" s="582">
        <f>1</f>
        <v>1.0</v>
      </c>
      <c r="D182" s="583" t="inlineStr">
        <is>
          <t>nr</t>
        </is>
      </c>
      <c r="E182" s="584">
        <f>RATES!$D$130</f>
        <v>594.0</v>
      </c>
      <c r="F182" s="571">
        <f>C182*E182</f>
        <v>594.0</v>
      </c>
      <c r="G182" s="585" t="inlineStr">
        <is>
          <t>1</t>
        </is>
      </c>
    </row>
    <row r="183"/>
    <row r="184" ht="24" customHeight="1" s="12">
      <c r="A184" s="567" t="inlineStr">
        <is>
          <t>P</t>
        </is>
      </c>
      <c r="B184" s="581" t="inlineStr">
        <is>
          <t>2 bay alu. framed glass sliding window 1200mm x 600mm (HW4)</t>
        </is>
      </c>
      <c r="C184" s="582">
        <f>1</f>
        <v>1.0</v>
      </c>
      <c r="D184" s="583" t="inlineStr">
        <is>
          <t>nr</t>
        </is>
      </c>
      <c r="E184" s="584">
        <f>RATES!$D$131</f>
        <v>1188.0</v>
      </c>
      <c r="F184" s="571">
        <f>C184*E184</f>
        <v>1188.0</v>
      </c>
      <c r="G184" s="585" t="inlineStr">
        <is>
          <t>1</t>
        </is>
      </c>
    </row>
    <row r="185"/>
    <row r="186">
      <c r="A186" s="572" t="n"/>
      <c r="B186" s="586" t="str">
        <f>B105</f>
        <v>ELEMENT NO. 4: WINDOWS/DOORS</v>
      </c>
      <c r="C186" s="574" t="n"/>
      <c r="D186" s="574" t="n"/>
      <c r="E186" s="587" t="n"/>
      <c r="F186" s="576">
        <f>SUM(F107:F185)</f>
        <v>459099.8</v>
      </c>
    </row>
    <row r="187">
      <c r="B187" s="559" t="inlineStr">
        <is>
          <t>Carried to Bill Summary</t>
        </is>
      </c>
    </row>
    <row r="188"/>
    <row r="189"/>
    <row r="190">
      <c r="A190" s="577" t="n"/>
      <c r="B190" s="578" t="inlineStr">
        <is>
          <t>ELEMENT NO. 5: FLOOR FINISHES</t>
        </is>
      </c>
      <c r="C190" s="569" t="n"/>
      <c r="D190" s="569" t="n"/>
      <c r="E190" s="570" t="n"/>
      <c r="F190" s="579" t="n"/>
    </row>
    <row r="191"/>
    <row r="192" ht="24" customHeight="1" s="12">
      <c r="A192" s="577" t="n"/>
      <c r="B192" s="580" t="inlineStr">
        <is>
          <t>M10/M40 FLOOR FINISHES</t>
        </is>
      </c>
      <c r="C192" s="569" t="n"/>
      <c r="D192" s="569" t="n"/>
      <c r="E192" s="570" t="n"/>
      <c r="F192" s="579" t="n"/>
    </row>
    <row r="193" ht="24" customHeight="1" s="12">
      <c r="A193" s="567" t="inlineStr">
        <is>
          <t>A</t>
        </is>
      </c>
      <c r="B193" s="581" t="inlineStr">
        <is>
          <t>25mm cement and sand (1:3) screeded finish laid level on concrete and finished smooth with steel trowel</t>
        </is>
      </c>
      <c r="C193" s="582">
        <f>647.8</f>
        <v>647.8</v>
      </c>
      <c r="D193" s="583" t="inlineStr">
        <is>
          <t>m2</t>
        </is>
      </c>
      <c r="E193" s="584">
        <f>RATES!$D$50</f>
        <v>68.0</v>
      </c>
      <c r="F193" s="571">
        <f>C193*E193</f>
        <v>44050.399999999994</v>
      </c>
      <c r="G193" s="585" t="inlineStr">
        <is>
          <t>647.8</t>
        </is>
      </c>
    </row>
    <row r="194"/>
    <row r="195" ht="24" customHeight="1" s="12">
      <c r="A195" s="567" t="inlineStr">
        <is>
          <t>B</t>
        </is>
      </c>
      <c r="B195" s="581" t="inlineStr">
        <is>
          <t>12mm cement and sand (1:4) screeded bed laid level on concrete floor to receive floor tiles</t>
        </is>
      </c>
      <c r="C195" s="582">
        <f>647.8+(2*1.8*3.0+22*0.15*1.8+2.2*3.75+1.8*3.75)+(2*1.8*3.0+22*0.15*1.8+2.2*3.75+1.8*3.75)</f>
        <v>711.28</v>
      </c>
      <c r="D195" s="583" t="inlineStr">
        <is>
          <t>m2</t>
        </is>
      </c>
      <c r="E195" s="584">
        <f>RATES!$D$51</f>
        <v>48.0</v>
      </c>
      <c r="F195" s="571">
        <f>C195*E195</f>
        <v>34141.44</v>
      </c>
      <c r="G195" s="585" t="inlineStr">
        <is>
          <t>647.8+(2*1.8*3.0+22*0.15*1.8+2.2*3.75+1.8*3.75)+(2*1.8*3.0+22*0.15*1.8+2.2*3.75+1.8*3.75)</t>
        </is>
      </c>
    </row>
    <row r="196"/>
    <row r="197" ht="24" customHeight="1" s="12">
      <c r="A197" s="567" t="inlineStr">
        <is>
          <t>C</t>
        </is>
      </c>
      <c r="B197" s="581" t="inlineStr">
        <is>
          <t>400x400mm non-slip porcelain floor tiles to washrooms &amp; WCs, adhesive, grout and cutting</t>
        </is>
      </c>
      <c r="C197" s="582">
        <f>45.4</f>
        <v>45.4</v>
      </c>
      <c r="D197" s="583" t="inlineStr">
        <is>
          <t>m2</t>
        </is>
      </c>
      <c r="E197" s="584">
        <f>RATES!$D$53</f>
        <v>230.0</v>
      </c>
      <c r="F197" s="571">
        <f>C197*E197</f>
        <v>10442.0</v>
      </c>
      <c r="G197" s="585" t="inlineStr">
        <is>
          <t>45.4</t>
        </is>
      </c>
    </row>
    <row r="198"/>
    <row r="199" ht="24" customHeight="1" s="12">
      <c r="A199" s="567" t="inlineStr">
        <is>
          <t>D</t>
        </is>
      </c>
      <c r="B199" s="581" t="inlineStr">
        <is>
          <t>500x500mm matte R11 porcelain tiles to staircases (treads, risers and landings)</t>
        </is>
      </c>
      <c r="C199" s="582">
        <f>(2*1.8*3.0+22*0.15*1.8+2.2*3.75+1.8*3.75)+(2*1.8*3.0+22*0.15*1.8+2.2*3.75+1.8*3.75)</f>
        <v>63.480000000000004</v>
      </c>
      <c r="D199" s="583" t="inlineStr">
        <is>
          <t>m2</t>
        </is>
      </c>
      <c r="E199" s="584">
        <f>RATES!$D$54</f>
        <v>270.0</v>
      </c>
      <c r="F199" s="571">
        <f>C199*E199</f>
        <v>17139.600000000002</v>
      </c>
      <c r="G199" s="585" t="inlineStr">
        <is>
          <t>(2*1.8*3.0+22*0.15*1.8+2.2*3.75+1.8*3.75)+(2*1.8*3.0+22*0.15*1.8+2.2*3.75+1.8*3.75)</t>
        </is>
      </c>
    </row>
    <row r="200"/>
    <row r="201" ht="24" customHeight="1" s="12">
      <c r="A201" s="567" t="inlineStr">
        <is>
          <t>E</t>
        </is>
      </c>
      <c r="B201" s="581" t="inlineStr">
        <is>
          <t>600x600mm semi-polished porcelain floor tiles to habitable rooms, shops &amp; offices</t>
        </is>
      </c>
      <c r="C201" s="582">
        <f>414.5</f>
        <v>414.5</v>
      </c>
      <c r="D201" s="583" t="inlineStr">
        <is>
          <t>m2</t>
        </is>
      </c>
      <c r="E201" s="584">
        <f>RATES!$D$55</f>
        <v>265.0</v>
      </c>
      <c r="F201" s="571">
        <f>C201*E201</f>
        <v>109842.5</v>
      </c>
      <c r="G201" s="585" t="inlineStr">
        <is>
          <t>414.5</t>
        </is>
      </c>
    </row>
    <row r="202"/>
    <row r="203" ht="24" customHeight="1" s="12">
      <c r="A203" s="567" t="inlineStr">
        <is>
          <t>F</t>
        </is>
      </c>
      <c r="B203" s="581" t="inlineStr">
        <is>
          <t>600x1200mm semi-polished porcelain floor tiles to stair/lift lobbies &amp; reception</t>
        </is>
      </c>
      <c r="C203" s="582">
        <f>23.2</f>
        <v>23.2</v>
      </c>
      <c r="D203" s="583" t="inlineStr">
        <is>
          <t>m2</t>
        </is>
      </c>
      <c r="E203" s="584">
        <f>RATES!$D$56</f>
        <v>330.0</v>
      </c>
      <c r="F203" s="571">
        <f>C203*E203</f>
        <v>7656.0</v>
      </c>
      <c r="G203" s="585" t="inlineStr">
        <is>
          <t>23.2</t>
        </is>
      </c>
    </row>
    <row r="204"/>
    <row r="205" ht="24" customHeight="1" s="12">
      <c r="A205" s="567" t="inlineStr">
        <is>
          <t>G</t>
        </is>
      </c>
      <c r="B205" s="581" t="inlineStr">
        <is>
          <t>600x600mm non-slip R11 porcelain tiles to corridors, terraces, verandah &amp; service areas</t>
        </is>
      </c>
      <c r="C205" s="582">
        <f>164.8</f>
        <v>164.8</v>
      </c>
      <c r="D205" s="583" t="inlineStr">
        <is>
          <t>m2</t>
        </is>
      </c>
      <c r="E205" s="584">
        <f>RATES!$D$57</f>
        <v>250.0</v>
      </c>
      <c r="F205" s="571">
        <f>C205*E205</f>
        <v>41200.0</v>
      </c>
      <c r="G205" s="585" t="inlineStr">
        <is>
          <t>164.8</t>
        </is>
      </c>
    </row>
    <row r="206"/>
    <row r="207">
      <c r="A207" s="572" t="n"/>
      <c r="B207" s="586" t="str">
        <f>B190</f>
        <v>ELEMENT NO. 5: FLOOR FINISHES</v>
      </c>
      <c r="C207" s="574" t="n"/>
      <c r="D207" s="574" t="n"/>
      <c r="E207" s="587" t="n"/>
      <c r="F207" s="576">
        <f>SUM(F192:F206)</f>
        <v>264471.94</v>
      </c>
    </row>
    <row r="208">
      <c r="B208" s="559" t="inlineStr">
        <is>
          <t>Carried to Bill Summary</t>
        </is>
      </c>
    </row>
    <row r="209"/>
    <row r="210"/>
    <row r="211">
      <c r="A211" s="577" t="n"/>
      <c r="B211" s="578" t="inlineStr">
        <is>
          <t>ELEMENT NO. 6: WALL FINISHES</t>
        </is>
      </c>
      <c r="C211" s="569" t="n"/>
      <c r="D211" s="569" t="n"/>
      <c r="E211" s="570" t="n"/>
      <c r="F211" s="579" t="n"/>
    </row>
    <row r="212"/>
    <row r="213" ht="48" customHeight="1" s="12">
      <c r="A213" s="577" t="n"/>
      <c r="B213" s="580" t="inlineStr">
        <is>
          <t>M20 PLASTERED/RENDERED COATINGS - 12.5mm cement and sand (1:3) rendering as described on blockwork or concrete to:</t>
        </is>
      </c>
      <c r="C213" s="569" t="n"/>
      <c r="D213" s="569" t="n"/>
      <c r="E213" s="570" t="n"/>
      <c r="F213" s="579" t="n"/>
    </row>
    <row r="214" ht="24" customHeight="1" s="12">
      <c r="A214" s="567" t="inlineStr">
        <is>
          <t>A</t>
        </is>
      </c>
      <c r="B214" s="581" t="inlineStr">
        <is>
          <t>Interior walls</t>
        </is>
      </c>
      <c r="C214" s="582">
        <f>(2*(354.0+31.1)+2*39.8-16.8-181.8)*3.05-45.4/3.8*8.0*3.05-2*(6*1*2.2+11*0.9*2.2+16*0.75*2.2+1*0.7*2.2+2*1.2*2.2+2*1*2.2+2*1*2.2+1*0.9*2.2+1*1.5*2.2+2*0.9*2.2+4*0.75*2.2+1*0.45*2.2+3*0.6*2.2+1*3*2.2+3*1.6*2.2+2*1.3*2.2+3*1.8*2.2+1*1.2*2.2)-(4*1.8*1.3+8*0.9*1.3+1*1.8*1.6+2*1.2*1.9+6*1.2*1.15+1*1.2*1.2+5*1.5*1.3+3*1.5*1.15+1*3*1.6+2*1.8*1.9+1*0.75*1.3+10*0.9*0.6+4*0.75*0.6+1*0.6*0.6+1*1.2*0.6)</f>
        <v>1352.564210526316</v>
      </c>
      <c r="D214" s="583" t="inlineStr">
        <is>
          <t>m2</t>
        </is>
      </c>
      <c r="E214" s="584">
        <f>RATES!$D$48</f>
        <v>78.0</v>
      </c>
      <c r="F214" s="571">
        <f>C214*E214</f>
        <v>105500.00842105264</v>
      </c>
      <c r="G214" s="585" t="inlineStr">
        <is>
          <t>(2*(354.0+31.1)+2*39.8-16.8-181.8)*3.05-45.4/3.8*8.0*3.05-2*(6*1*2.2+11*0.9*2.2+16*0.75*2.2+1*0.7*2.2+2*1.2*2.2+2*1*2.2+2*1*2.2+1*0.9*2.2+1*1.5*2.2+2*0.9*2.2+4*0.75*2.2+1*0.45*2.2+3*0.6*2.2+1*3*2.2+3*1.6*2.2+2*1.3*2.2+3*1.8*2.2+1*1.2*2.2)-(4*1.8*1...</t>
        </is>
      </c>
    </row>
    <row r="215"/>
    <row r="216" ht="24" customHeight="1" s="12">
      <c r="A216" s="567" t="inlineStr">
        <is>
          <t>B</t>
        </is>
      </c>
      <c r="B216" s="581" t="inlineStr">
        <is>
          <t>Interior partitions and washrooms</t>
        </is>
      </c>
      <c r="C216" s="582">
        <f>45.4/3.8*8.0*3.05-45.4/3.8*0.75*2.2</f>
        <v>271.80263157894734</v>
      </c>
      <c r="D216" s="583" t="inlineStr">
        <is>
          <t>m2</t>
        </is>
      </c>
      <c r="E216" s="584">
        <f>RATES!$D$48</f>
        <v>78.0</v>
      </c>
      <c r="F216" s="571">
        <f>C216*E216</f>
        <v>21200.605263157893</v>
      </c>
      <c r="G216" s="585" t="inlineStr">
        <is>
          <t>45.4/3.8*8.0*3.05-45.4/3.8*0.75*2.2</t>
        </is>
      </c>
    </row>
    <row r="217"/>
    <row r="218" ht="24" customHeight="1" s="12">
      <c r="A218" s="567" t="inlineStr">
        <is>
          <t>C</t>
        </is>
      </c>
      <c r="B218" s="581" t="inlineStr">
        <is>
          <t>External walls</t>
        </is>
      </c>
      <c r="C218" s="582">
        <f>181.8*3.3-(4*1.8*1.3+8*0.9*1.3+1*1.8*1.6+2*1.2*1.9+6*1.2*1.15+1*1.2*1.2+5*1.5*1.3+3*1.5*1.15+1*3*1.6+2*1.8*1.9+1*0.75*1.3+10*0.9*0.6+4*0.75*0.6+1*0.6*0.6+1*1.2*0.6)</f>
        <v>528.24</v>
      </c>
      <c r="D218" s="583" t="inlineStr">
        <is>
          <t>m2</t>
        </is>
      </c>
      <c r="E218" s="584">
        <f>RATES!$D$49</f>
        <v>88.0</v>
      </c>
      <c r="F218" s="571">
        <f>C218*E218</f>
        <v>46485.12</v>
      </c>
      <c r="G218" s="585" t="inlineStr">
        <is>
          <t>181.8*3.3-(4*1.8*1.3+8*0.9*1.3+1*1.8*1.6+2*1.2*1.9+6*1.2*1.15+1*1.2*1.2+5*1.5*1.3+3*1.5*1.15+1*3*1.6+2*1.8*1.9+1*0.75*1.3+10*0.9*0.6+4*0.75*0.6+1*0.6*0.6+1*1.2*0.6)</t>
        </is>
      </c>
    </row>
    <row r="219"/>
    <row r="220" ht="24" customHeight="1" s="12">
      <c r="A220" s="567" t="inlineStr">
        <is>
          <t>D</t>
        </is>
      </c>
      <c r="B220" s="581" t="inlineStr">
        <is>
          <t>12mm cement and sand (1:4) screeded backing to receive wall tiles</t>
        </is>
      </c>
      <c r="C220" s="582">
        <f>45.4/3.8*8.0*2.4-45.4/3.8*0.75*2.2</f>
        <v>209.67631578947368</v>
      </c>
      <c r="D220" s="583" t="inlineStr">
        <is>
          <t>m2</t>
        </is>
      </c>
      <c r="E220" s="584">
        <f>RATES!$D$52</f>
        <v>55.0</v>
      </c>
      <c r="F220" s="571">
        <f>C220*E220</f>
        <v>11532.197368421052</v>
      </c>
      <c r="G220" s="585" t="inlineStr">
        <is>
          <t>45.4/3.8*8.0*2.4-45.4/3.8*0.75*2.2</t>
        </is>
      </c>
    </row>
    <row r="221"/>
    <row r="222" ht="24" customHeight="1" s="12">
      <c r="A222" s="567" t="inlineStr">
        <is>
          <t>E</t>
        </is>
      </c>
      <c r="B222" s="581" t="inlineStr">
        <is>
          <t>Ceramic/porcelain wall tiles to washrooms to 2.4m high, adhesive &amp; grout (type TBC)</t>
        </is>
      </c>
      <c r="C222" s="582">
        <f>45.4/3.8*8.0*2.4-45.4/3.8*0.75*2.2</f>
        <v>209.67631578947368</v>
      </c>
      <c r="D222" s="583" t="inlineStr">
        <is>
          <t>m2</t>
        </is>
      </c>
      <c r="E222" s="584">
        <f>RATES!$D$60</f>
        <v>240.0</v>
      </c>
      <c r="F222" s="571">
        <f>C222*E222</f>
        <v>50322.31578947368</v>
      </c>
      <c r="G222" s="585" t="inlineStr">
        <is>
          <t>45.4/3.8*8.0*2.4-45.4/3.8*0.75*2.2</t>
        </is>
      </c>
    </row>
    <row r="223"/>
    <row r="224">
      <c r="A224" s="572" t="n"/>
      <c r="B224" s="586" t="str">
        <f>B211</f>
        <v>ELEMENT NO. 6: WALL FINISHES</v>
      </c>
      <c r="C224" s="574" t="n"/>
      <c r="D224" s="574" t="n"/>
      <c r="E224" s="587" t="n"/>
      <c r="F224" s="576">
        <f>SUM(F213:F223)</f>
        <v>235040.24684210526</v>
      </c>
    </row>
    <row r="225">
      <c r="B225" s="559" t="inlineStr">
        <is>
          <t>Carried to Bill Summary</t>
        </is>
      </c>
    </row>
    <row r="226"/>
    <row r="227"/>
    <row r="228">
      <c r="A228" s="577" t="n"/>
      <c r="B228" s="578" t="inlineStr">
        <is>
          <t>ELEMENT NO. 7: PAINTING AND DECORATING</t>
        </is>
      </c>
      <c r="C228" s="569" t="n"/>
      <c r="D228" s="569" t="n"/>
      <c r="E228" s="570" t="n"/>
      <c r="F228" s="579" t="n"/>
    </row>
    <row r="229"/>
    <row r="230" ht="24" customHeight="1" s="12">
      <c r="A230" s="577" t="n"/>
      <c r="B230" s="580" t="inlineStr">
        <is>
          <t>M60 PAINTING - Prepare and apply two undercoats and finishing coat of emulsion paint on:</t>
        </is>
      </c>
      <c r="C230" s="569" t="n"/>
      <c r="D230" s="569" t="n"/>
      <c r="E230" s="570" t="n"/>
      <c r="F230" s="579" t="n"/>
    </row>
    <row r="231" ht="24" customHeight="1" s="12">
      <c r="A231" s="567" t="inlineStr">
        <is>
          <t>A</t>
        </is>
      </c>
      <c r="B231" s="581" t="inlineStr">
        <is>
          <t>Interior walls</t>
        </is>
      </c>
      <c r="C231" s="582">
        <f>(2*(354.0+31.1)+2*39.8-16.8-181.8)*3.05-45.4/3.8*8.0*3.05-2*(6*1*2.2+11*0.9*2.2+16*0.75*2.2+1*0.7*2.2+2*1.2*2.2+2*1*2.2+2*1*2.2+1*0.9*2.2+1*1.5*2.2+2*0.9*2.2+4*0.75*2.2+1*0.45*2.2+3*0.6*2.2+1*3*2.2+3*1.6*2.2+2*1.3*2.2+3*1.8*2.2+1*1.2*2.2)-(4*1.8*1.3+8*0.9*1.3+1*1.8*1.6+2*1.2*1.9+6*1.2*1.15+1*1.2*1.2+5*1.5*1.3+3*1.5*1.15+1*3*1.6+2*1.8*1.9+1*0.75*1.3+10*0.9*0.6+4*0.75*0.6+1*0.6*0.6+1*1.2*0.6)</f>
        <v>1352.564210526316</v>
      </c>
      <c r="D231" s="583" t="inlineStr">
        <is>
          <t>m2</t>
        </is>
      </c>
      <c r="E231" s="584">
        <f>RATES!$D$61</f>
        <v>45.0</v>
      </c>
      <c r="F231" s="571">
        <f>C231*E231</f>
        <v>60865.38947368422</v>
      </c>
      <c r="G231" s="585" t="inlineStr">
        <is>
          <t>(2*(354.0+31.1)+2*39.8-16.8-181.8)*3.05-45.4/3.8*8.0*3.05-2*(6*1*2.2+11*0.9*2.2+16*0.75*2.2+1*0.7*2.2+2*1.2*2.2+2*1*2.2+2*1*2.2+1*0.9*2.2+1*1.5*2.2+2*0.9*2.2+4*0.75*2.2+1*0.45*2.2+3*0.6*2.2+1*3*2.2+3*1.6*2.2+2*1.3*2.2+3*1.8*2.2+1*1.2*2.2)-(4*1.8*1...</t>
        </is>
      </c>
    </row>
    <row r="232"/>
    <row r="233" ht="24" customHeight="1" s="12">
      <c r="A233" s="567" t="inlineStr">
        <is>
          <t>B</t>
        </is>
      </c>
      <c r="B233" s="581" t="inlineStr">
        <is>
          <t>Interior partitions and washrooms (above wall tiling)</t>
        </is>
      </c>
      <c r="C233" s="582">
        <f>(45.4/3.8*8.0*3.05-45.4/3.8*0.75*2.2)-(45.4/3.8*8.0*2.4-45.4/3.8*0.75*2.2)</f>
        <v>62.126315789473665</v>
      </c>
      <c r="D233" s="583" t="inlineStr">
        <is>
          <t>m2</t>
        </is>
      </c>
      <c r="E233" s="584">
        <f>RATES!$D$61</f>
        <v>45.0</v>
      </c>
      <c r="F233" s="571">
        <f>C233*E233</f>
        <v>2795.684210526315</v>
      </c>
      <c r="G233" s="585" t="inlineStr">
        <is>
          <t>(45.4/3.8*8.0*3.05-45.4/3.8*0.75*2.2)-(45.4/3.8*8.0*2.4-45.4/3.8*0.75*2.2)</t>
        </is>
      </c>
    </row>
    <row r="234"/>
    <row r="235" ht="24" customHeight="1" s="12">
      <c r="A235" s="567" t="inlineStr">
        <is>
          <t>C</t>
        </is>
      </c>
      <c r="B235" s="581" t="inlineStr">
        <is>
          <t>Exterior walls</t>
        </is>
      </c>
      <c r="C235" s="582">
        <f>181.8*3.3-(4*1.8*1.3+8*0.9*1.3+1*1.8*1.6+2*1.2*1.9+6*1.2*1.15+1*1.2*1.2+5*1.5*1.3+3*1.5*1.15+1*3*1.6+2*1.8*1.9+1*0.75*1.3+10*0.9*0.6+4*0.75*0.6+1*0.6*0.6+1*1.2*0.6)</f>
        <v>528.24</v>
      </c>
      <c r="D235" s="583" t="inlineStr">
        <is>
          <t>m2</t>
        </is>
      </c>
      <c r="E235" s="584">
        <f>RATES!$D$62</f>
        <v>62.0</v>
      </c>
      <c r="F235" s="571">
        <f>C235*E235</f>
        <v>32750.88</v>
      </c>
      <c r="G235" s="585" t="inlineStr">
        <is>
          <t>181.8*3.3-(4*1.8*1.3+8*0.9*1.3+1*1.8*1.6+2*1.2*1.9+6*1.2*1.15+1*1.2*1.2+5*1.5*1.3+3*1.5*1.15+1*3*1.6+2*1.8*1.9+1*0.75*1.3+10*0.9*0.6+4*0.75*0.6+1*0.6*0.6+1*1.2*0.6)</t>
        </is>
      </c>
    </row>
    <row r="236"/>
    <row r="237" ht="24" customHeight="1" s="12">
      <c r="A237" s="567" t="inlineStr">
        <is>
          <t>D</t>
        </is>
      </c>
      <c r="B237" s="581" t="inlineStr">
        <is>
          <t>Soffit of plaster board ceilings</t>
        </is>
      </c>
      <c r="C237" s="582">
        <f>602.4</f>
        <v>602.4</v>
      </c>
      <c r="D237" s="583" t="inlineStr">
        <is>
          <t>m2</t>
        </is>
      </c>
      <c r="E237" s="584">
        <f>RATES!$D$63</f>
        <v>48.0</v>
      </c>
      <c r="F237" s="571">
        <f>C237*E237</f>
        <v>28915.199999999997</v>
      </c>
      <c r="G237" s="585" t="inlineStr">
        <is>
          <t>602.4</t>
        </is>
      </c>
    </row>
    <row r="238"/>
    <row r="239" ht="24" customHeight="1" s="12">
      <c r="A239" s="567" t="inlineStr">
        <is>
          <t>E</t>
        </is>
      </c>
      <c r="B239" s="581" t="inlineStr">
        <is>
          <t>Soffit of plaster board ceilings for washrooms</t>
        </is>
      </c>
      <c r="C239" s="582">
        <f>45.4</f>
        <v>45.4</v>
      </c>
      <c r="D239" s="583" t="inlineStr">
        <is>
          <t>m2</t>
        </is>
      </c>
      <c r="E239" s="584">
        <f>RATES!$D$63</f>
        <v>48.0</v>
      </c>
      <c r="F239" s="571">
        <f>C239*E239</f>
        <v>2179.2</v>
      </c>
      <c r="G239" s="585" t="inlineStr">
        <is>
          <t>45.4</t>
        </is>
      </c>
    </row>
    <row r="240"/>
    <row r="241" ht="48" customHeight="1" s="12">
      <c r="A241" s="567" t="inlineStr">
        <is>
          <t>F</t>
        </is>
      </c>
      <c r="B241" s="581" t="inlineStr">
        <is>
          <t>Knot, prime, stop and apply two undercoats and one finishing coat of gloss oil paint on general surfaces of woodwork</t>
        </is>
      </c>
      <c r="C241" s="582">
        <f>11*0.9*2.2*2+16*0.75*2.2*2+1*1.5*2.2*2+(11*(2*2.2+0.9)+16*(2*2.2+0.75)+1*(2*2.2+1.5))*0.25</f>
        <v>139.61</v>
      </c>
      <c r="D241" s="583" t="inlineStr">
        <is>
          <t>m2</t>
        </is>
      </c>
      <c r="E241" s="584">
        <f>RATES!$D$64</f>
        <v>72.0</v>
      </c>
      <c r="F241" s="571">
        <f>C241*E241</f>
        <v>10051.920000000002</v>
      </c>
      <c r="G241" s="585" t="inlineStr">
        <is>
          <t>11*0.9*2.2*2+16*0.75*2.2*2+1*1.5*2.2*2+(11*(2*2.2+0.9)+16*(2*2.2+0.75)+1*(2*2.2+1.5))*0.25</t>
        </is>
      </c>
    </row>
    <row r="242"/>
    <row r="243" ht="48" customHeight="1" s="12">
      <c r="A243" s="567" t="inlineStr">
        <is>
          <t>G</t>
        </is>
      </c>
      <c r="B243" s="581" t="inlineStr">
        <is>
          <t>Prepare and apply one coat of aluminium primer on mild steel burglar-proof bars (measured over window opening area)</t>
        </is>
      </c>
      <c r="C243" s="582">
        <f>4*1.8*1.3+8*0.9*1.3+1*1.8*1.6+2*1.2*1.9+6*1.2*1.15+1*1.2*1.2+5*1.5*1.3+3*1.5*1.15+1*3*1.6+2*1.8*1.9+1*0.75*1.3+10*0.9*0.6+4*0.75*0.6+1*0.6*0.6+1*1.2*0.6</f>
        <v>71.69999999999999</v>
      </c>
      <c r="D243" s="583" t="inlineStr">
        <is>
          <t>m2</t>
        </is>
      </c>
      <c r="E243" s="584">
        <f>RATES!$D$65</f>
        <v>40.0</v>
      </c>
      <c r="F243" s="571">
        <f>C243*E243</f>
        <v>2867.9999999999995</v>
      </c>
      <c r="G243" s="585" t="inlineStr">
        <is>
          <t>4*1.8*1.3+8*0.9*1.3+1*1.8*1.6+2*1.2*1.9+6*1.2*1.15+1*1.2*1.2+5*1.5*1.3+3*1.5*1.15+1*3*1.6+2*1.8*1.9+1*0.75*1.3+10*0.9*0.6+4*0.75*0.6+1*0.6*0.6+1*1.2*0.6</t>
        </is>
      </c>
    </row>
    <row r="244"/>
    <row r="245">
      <c r="A245" s="572" t="n"/>
      <c r="B245" s="586" t="str">
        <f>B228</f>
        <v>ELEMENT NO. 7: PAINTING AND DECORATING</v>
      </c>
      <c r="C245" s="574" t="n"/>
      <c r="D245" s="574" t="n"/>
      <c r="E245" s="587" t="n"/>
      <c r="F245" s="576">
        <f>SUM(F230:F244)</f>
        <v>140426.27368421052</v>
      </c>
    </row>
    <row r="246">
      <c r="B246" s="559" t="inlineStr">
        <is>
          <t>Carried to Bill Summary</t>
        </is>
      </c>
    </row>
    <row r="247"/>
    <row r="248"/>
    <row r="249">
      <c r="B249"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6.xml><?xml version="1.0" encoding="utf-8"?>
<worksheet xmlns="http://schemas.openxmlformats.org/spreadsheetml/2006/main">
  <sheetPr>
    <outlinePr summaryBelow="1" summaryRight="1"/>
    <pageSetUpPr fitToPage="1"/>
  </sheetPr>
  <dimension ref="A1:G212"/>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ELEVENTH LEVEL - ROOF TOP TERRACE</t>
        </is>
      </c>
    </row>
    <row r="10"/>
    <row r="11">
      <c r="B11" s="566" t="inlineStr">
        <is>
          <t>BILL SUMMARY</t>
        </is>
      </c>
    </row>
    <row r="12"/>
    <row r="13">
      <c r="A13" s="567" t="inlineStr">
        <is>
          <t>A</t>
        </is>
      </c>
      <c r="B13" s="568" t="inlineStr">
        <is>
          <t>ELEMENT NO. 1: IN SITU CONCRETE/LARGE PRECAST CONCRETE</t>
        </is>
      </c>
      <c r="C13" s="569" t="n"/>
      <c r="D13" s="569" t="n"/>
      <c r="E13" s="570" t="n"/>
      <c r="F13" s="571">
        <f>F86</f>
        <v>2362939.72875</v>
      </c>
    </row>
    <row r="14"/>
    <row r="15">
      <c r="A15" s="567" t="inlineStr">
        <is>
          <t>B</t>
        </is>
      </c>
      <c r="B15" s="568" t="inlineStr">
        <is>
          <t>ELEMENT NO. 2: MASONRY</t>
        </is>
      </c>
      <c r="C15" s="569" t="n"/>
      <c r="D15" s="569" t="n"/>
      <c r="E15" s="570" t="n"/>
      <c r="F15" s="571">
        <f>F97</f>
        <v>66159.51249999998</v>
      </c>
    </row>
    <row r="16"/>
    <row r="17">
      <c r="A17" s="567" t="inlineStr">
        <is>
          <t>C</t>
        </is>
      </c>
      <c r="B17" s="568" t="inlineStr">
        <is>
          <t>ELEMENT NO. 3: WATERPROOFING</t>
        </is>
      </c>
      <c r="C17" s="569" t="n"/>
      <c r="D17" s="569" t="n"/>
      <c r="E17" s="570" t="n"/>
      <c r="F17" s="571">
        <f>F112</f>
        <v>197130.2</v>
      </c>
    </row>
    <row r="18"/>
    <row r="19">
      <c r="A19" s="567" t="inlineStr">
        <is>
          <t>D</t>
        </is>
      </c>
      <c r="B19" s="568" t="inlineStr">
        <is>
          <t>ELEMENT NO. 4: WINDOWS/DOORS</t>
        </is>
      </c>
      <c r="C19" s="569" t="n"/>
      <c r="D19" s="569" t="n"/>
      <c r="E19" s="570" t="n"/>
      <c r="F19" s="571">
        <f>F149</f>
        <v>97516.9</v>
      </c>
    </row>
    <row r="20"/>
    <row r="21">
      <c r="A21" s="567" t="inlineStr">
        <is>
          <t>E</t>
        </is>
      </c>
      <c r="B21" s="568" t="inlineStr">
        <is>
          <t>ELEMENT NO. 5: FLOOR FINISHES</t>
        </is>
      </c>
      <c r="C21" s="569" t="n"/>
      <c r="D21" s="569" t="n"/>
      <c r="E21" s="570" t="n"/>
      <c r="F21" s="571">
        <f>F170</f>
        <v>269854.9</v>
      </c>
    </row>
    <row r="22"/>
    <row r="23">
      <c r="A23" s="567" t="inlineStr">
        <is>
          <t>F</t>
        </is>
      </c>
      <c r="B23" s="568" t="inlineStr">
        <is>
          <t>ELEMENT NO. 6: WALL FINISHES</t>
        </is>
      </c>
      <c r="C23" s="569" t="n"/>
      <c r="D23" s="569" t="n"/>
      <c r="E23" s="570" t="n"/>
      <c r="F23" s="571">
        <f>F187</f>
        <v>92272.67210526316</v>
      </c>
    </row>
    <row r="24"/>
    <row r="25">
      <c r="A25" s="567" t="inlineStr">
        <is>
          <t>G</t>
        </is>
      </c>
      <c r="B25" s="568" t="inlineStr">
        <is>
          <t>ELEMENT NO. 7: PAINTING AND DECORATING</t>
        </is>
      </c>
      <c r="C25" s="569" t="n"/>
      <c r="D25" s="569" t="n"/>
      <c r="E25" s="570" t="n"/>
      <c r="F25" s="571">
        <f>F208</f>
        <v>56411.264210526315</v>
      </c>
    </row>
    <row r="26"/>
    <row r="27">
      <c r="A27" s="572" t="n"/>
      <c r="B27" s="573" t="str">
        <f>B9</f>
        <v> ELEVENTH LEVEL - ROOF TOP TERRACE</v>
      </c>
      <c r="C27" s="574" t="n"/>
      <c r="D27" s="574" t="n"/>
      <c r="E27" s="575" t="inlineStr">
        <is>
          <t>GHC</t>
        </is>
      </c>
      <c r="F27" s="576">
        <f>SUM(F13:F26)</f>
        <v>3142285.1775657893</v>
      </c>
    </row>
    <row r="28">
      <c r="B28" s="559" t="inlineStr">
        <is>
          <t>To Bill General Summary</t>
        </is>
      </c>
    </row>
    <row r="29"/>
    <row r="30"/>
    <row r="31">
      <c r="B31" s="565" t="inlineStr">
        <is>
          <t>BILL NR. 14 - ROOF TOP TERRACE</t>
        </is>
      </c>
    </row>
    <row r="32"/>
    <row r="33">
      <c r="A33" s="577" t="n"/>
      <c r="B33" s="578" t="inlineStr">
        <is>
          <t>ELEMENT NO. 1: IN SITU CONCRETE/LARGE PRECAST CONCRETE</t>
        </is>
      </c>
      <c r="C33" s="569" t="n"/>
      <c r="D33" s="569" t="n"/>
      <c r="E33" s="570" t="n"/>
      <c r="F33" s="579" t="n"/>
    </row>
    <row r="34"/>
    <row r="35" ht="24" customHeight="1" s="12">
      <c r="A35" s="577" t="n"/>
      <c r="B35" s="580" t="inlineStr">
        <is>
          <t>Vibrated in-situ concrete C40 as described in:</t>
        </is>
      </c>
      <c r="C35" s="569" t="n"/>
      <c r="D35" s="569" t="n"/>
      <c r="E35" s="570" t="n"/>
      <c r="F35" s="579" t="n"/>
    </row>
    <row r="36" ht="24" customHeight="1" s="12">
      <c r="A36" s="567" t="inlineStr">
        <is>
          <t>A</t>
        </is>
      </c>
      <c r="B36" s="581" t="inlineStr">
        <is>
          <t>Suspended slab 250mm thick</t>
        </is>
      </c>
      <c r="C36" s="582">
        <f>868.1*0.25</f>
        <v>217.025</v>
      </c>
      <c r="D36" s="583" t="inlineStr">
        <is>
          <t>m3</t>
        </is>
      </c>
      <c r="E36" s="584">
        <f>RATES!$D$22</f>
        <v>2650.0</v>
      </c>
      <c r="F36" s="571">
        <f>C36*E36</f>
        <v>575116.25</v>
      </c>
      <c r="G36" s="585" t="inlineStr">
        <is>
          <t>868.1*0.25</t>
        </is>
      </c>
    </row>
    <row r="37"/>
    <row r="38" ht="24" customHeight="1" s="12">
      <c r="A38" s="567" t="inlineStr">
        <is>
          <t>B</t>
        </is>
      </c>
      <c r="B38" s="581" t="inlineStr">
        <is>
          <t>Beams (downstands below slab)</t>
        </is>
      </c>
      <c r="C38" s="582">
        <f>125.7*0.3*0.35+14.2*0.2*0.35</f>
        <v>14.192499999999999</v>
      </c>
      <c r="D38" s="583" t="inlineStr">
        <is>
          <t>m3</t>
        </is>
      </c>
      <c r="E38" s="584">
        <f>RATES!$D$23</f>
        <v>2700.0</v>
      </c>
      <c r="F38" s="571">
        <f>C38*E38</f>
        <v>38319.75</v>
      </c>
      <c r="G38" s="585" t="inlineStr">
        <is>
          <t>125.7*0.3*0.35+14.2*0.2*0.35</t>
        </is>
      </c>
    </row>
    <row r="39"/>
    <row r="40" ht="24" customHeight="1" s="12">
      <c r="A40" s="567" t="inlineStr">
        <is>
          <t>C</t>
        </is>
      </c>
      <c r="B40" s="581" t="inlineStr">
        <is>
          <t>Columns</t>
        </is>
      </c>
      <c r="C40" s="582">
        <f>2*0.75*0.5*2.9+1*1.2*0.3*2.9</f>
        <v>3.219</v>
      </c>
      <c r="D40" s="583" t="inlineStr">
        <is>
          <t>m3</t>
        </is>
      </c>
      <c r="E40" s="584">
        <f>RATES!$D$21</f>
        <v>2800.0</v>
      </c>
      <c r="F40" s="571">
        <f>C40*E40</f>
        <v>9013.199999999999</v>
      </c>
      <c r="G40" s="585" t="inlineStr">
        <is>
          <t>2*0.75*0.5*2.9+1*1.2*0.3*2.9</t>
        </is>
      </c>
    </row>
    <row r="41"/>
    <row r="42" ht="24" customHeight="1" s="12">
      <c r="A42" s="567" t="inlineStr">
        <is>
          <t>D</t>
        </is>
      </c>
      <c r="B42" s="581" t="inlineStr">
        <is>
          <t>Concrete wall - shear walls to main &amp; emergency stair cores, 250mm thick</t>
        </is>
      </c>
      <c r="C42" s="582">
        <f>22.05*2.9*0.25+25.57*2.9*0.25</f>
        <v>34.524499999999996</v>
      </c>
      <c r="D42" s="583" t="inlineStr">
        <is>
          <t>m3</t>
        </is>
      </c>
      <c r="E42" s="584">
        <f>RATES!$D$20</f>
        <v>2750.0</v>
      </c>
      <c r="F42" s="571">
        <f>C42*E42</f>
        <v>94942.37499999999</v>
      </c>
      <c r="G42" s="585" t="inlineStr">
        <is>
          <t>22.05*2.9*0.25+25.57*2.9*0.25</t>
        </is>
      </c>
    </row>
    <row r="43"/>
    <row r="44" ht="24" customHeight="1" s="12">
      <c r="A44" s="567" t="inlineStr">
        <is>
          <t>E</t>
        </is>
      </c>
      <c r="B44" s="581" t="inlineStr">
        <is>
          <t>Concrete wall - lift walls, 250mm thick</t>
        </is>
      </c>
      <c r="C44" s="582">
        <f>21.825*2.9*0.25</f>
        <v>15.823125</v>
      </c>
      <c r="D44" s="583" t="inlineStr">
        <is>
          <t>m3</t>
        </is>
      </c>
      <c r="E44" s="584">
        <f>RATES!$D$20</f>
        <v>2750.0</v>
      </c>
      <c r="F44" s="571">
        <f>C44*E44</f>
        <v>43513.59375</v>
      </c>
      <c r="G44" s="585" t="inlineStr">
        <is>
          <t>21.825*2.9*0.25</t>
        </is>
      </c>
    </row>
    <row r="45"/>
    <row r="46" ht="24" customHeight="1" s="12">
      <c r="A46" s="567" t="inlineStr">
        <is>
          <t>F</t>
        </is>
      </c>
      <c r="B46" s="581" t="inlineStr">
        <is>
          <t>Lintels 150 x 225mm over door and window openings</t>
        </is>
      </c>
      <c r="C46" s="582">
        <f>(7*(0.9+0.3)+8*(0.75+0.3)+1*(0.7+0.3)+2*(1+0.3)+1*(0.9+0.3)+5*(0.9+0.3)+2*(0.75+0.3)+1*(0.6+0.3)+1*(1.2+0.3))*0.15*0.225</f>
        <v>1.0833750000000002</v>
      </c>
      <c r="D46" s="583" t="inlineStr">
        <is>
          <t>m3</t>
        </is>
      </c>
      <c r="E46" s="584">
        <f>RATES!$D$25</f>
        <v>2600.0</v>
      </c>
      <c r="F46" s="571">
        <f>C46*E46</f>
        <v>2816.7750000000005</v>
      </c>
      <c r="G46" s="585" t="inlineStr">
        <is>
          <t>(7*(0.9+0.3)+8*(0.75+0.3)+1*(0.7+0.3)+2*(1+0.3)+1*(0.9+0.3)+5*(0.9+0.3)+2*(0.75+0.3)+1*(0.6+0.3)+1*(1.2+0.3))*0.15*0.225</t>
        </is>
      </c>
    </row>
    <row r="47"/>
    <row r="48" ht="24" customHeight="1" s="12">
      <c r="A48" s="567" t="inlineStr">
        <is>
          <t>G</t>
        </is>
      </c>
      <c r="B48" s="581" t="inlineStr">
        <is>
          <t>Copings 300 x 150mm to parapets</t>
        </is>
      </c>
      <c r="C48" s="582">
        <f>182.5*0.3*0.15</f>
        <v>8.2125</v>
      </c>
      <c r="D48" s="583" t="inlineStr">
        <is>
          <t>m3</t>
        </is>
      </c>
      <c r="E48" s="584">
        <f>RATES!$D$26</f>
        <v>2600.0</v>
      </c>
      <c r="F48" s="571">
        <f>C48*E48</f>
        <v>21352.5</v>
      </c>
      <c r="G48" s="585" t="inlineStr">
        <is>
          <t>182.5*0.3*0.15</t>
        </is>
      </c>
    </row>
    <row r="49"/>
    <row r="50" ht="24" customHeight="1" s="12">
      <c r="A50" s="577" t="n"/>
      <c r="B50" s="580" t="inlineStr">
        <is>
          <t>E20 FORMWORK - Formwork as described to:</t>
        </is>
      </c>
      <c r="C50" s="569" t="n"/>
      <c r="D50" s="569" t="n"/>
      <c r="E50" s="570" t="n"/>
      <c r="F50" s="579" t="n"/>
    </row>
    <row r="51" ht="24" customHeight="1" s="12">
      <c r="A51" s="567" t="inlineStr">
        <is>
          <t>H</t>
        </is>
      </c>
      <c r="B51" s="581" t="inlineStr">
        <is>
          <t>Soffits of suspended slab</t>
        </is>
      </c>
      <c r="C51" s="582">
        <f>868.1</f>
        <v>868.1</v>
      </c>
      <c r="D51" s="583" t="inlineStr">
        <is>
          <t>m2</t>
        </is>
      </c>
      <c r="E51" s="584">
        <f>RATES!$D$38</f>
        <v>170.0</v>
      </c>
      <c r="F51" s="571">
        <f>C51*E51</f>
        <v>147577.0</v>
      </c>
      <c r="G51" s="585" t="inlineStr">
        <is>
          <t>868.1</t>
        </is>
      </c>
    </row>
    <row r="52"/>
    <row r="53" ht="24" customHeight="1" s="12">
      <c r="A53" s="567" t="inlineStr">
        <is>
          <t>J</t>
        </is>
      </c>
      <c r="B53" s="581" t="inlineStr">
        <is>
          <t>Edges of suspended slab 250mm high</t>
        </is>
      </c>
      <c r="C53" s="582">
        <f>252.9</f>
        <v>252.9</v>
      </c>
      <c r="D53" s="583" t="inlineStr">
        <is>
          <t>m</t>
        </is>
      </c>
      <c r="E53" s="584">
        <f>RATES!$D$40</f>
        <v>65.0</v>
      </c>
      <c r="F53" s="571">
        <f>C53*E53</f>
        <v>16438.5</v>
      </c>
      <c r="G53" s="585" t="inlineStr">
        <is>
          <t>252.9</t>
        </is>
      </c>
    </row>
    <row r="54"/>
    <row r="55" ht="24" customHeight="1" s="12">
      <c r="A55" s="567" t="inlineStr">
        <is>
          <t>K</t>
        </is>
      </c>
      <c r="B55" s="581" t="inlineStr">
        <is>
          <t>Sides and soffits of beams</t>
        </is>
      </c>
      <c r="C55" s="582">
        <f>125.7*(2*0.35+0.3)+14.2*(2*0.35+0.2)</f>
        <v>138.48</v>
      </c>
      <c r="D55" s="583" t="inlineStr">
        <is>
          <t>m2</t>
        </is>
      </c>
      <c r="E55" s="584">
        <f>RATES!$D$39</f>
        <v>200.0</v>
      </c>
      <c r="F55" s="571">
        <f>C55*E55</f>
        <v>27695.999999999996</v>
      </c>
      <c r="G55" s="585" t="inlineStr">
        <is>
          <t>125.7*(2*0.35+0.3)+14.2*(2*0.35+0.2)</t>
        </is>
      </c>
    </row>
    <row r="56"/>
    <row r="57" ht="24" customHeight="1" s="12">
      <c r="A57" s="567" t="inlineStr">
        <is>
          <t>L</t>
        </is>
      </c>
      <c r="B57" s="581" t="inlineStr">
        <is>
          <t>Columns</t>
        </is>
      </c>
      <c r="C57" s="582">
        <f>2*2*(0.75+0.5)*2.9+1*2*(1.2+0.3)*2.9</f>
        <v>23.2</v>
      </c>
      <c r="D57" s="583" t="inlineStr">
        <is>
          <t>m2</t>
        </is>
      </c>
      <c r="E57" s="584">
        <f>RATES!$D$37</f>
        <v>190.0</v>
      </c>
      <c r="F57" s="571">
        <f>C57*E57</f>
        <v>4408.0</v>
      </c>
      <c r="G57" s="585" t="inlineStr">
        <is>
          <t>2*2*(0.75+0.5)*2.9+1*2*(1.2+0.3)*2.9</t>
        </is>
      </c>
    </row>
    <row r="58"/>
    <row r="59" ht="24" customHeight="1" s="12">
      <c r="A59" s="567" t="inlineStr">
        <is>
          <t>M</t>
        </is>
      </c>
      <c r="B59" s="581" t="inlineStr">
        <is>
          <t>Concrete wall (both faces)</t>
        </is>
      </c>
      <c r="C59" s="582">
        <f>2*22.05*2.9+2*21.825*2.9+2*25.57*2.9</f>
        <v>402.78099999999995</v>
      </c>
      <c r="D59" s="583" t="inlineStr">
        <is>
          <t>m2</t>
        </is>
      </c>
      <c r="E59" s="584">
        <f>RATES!$D$36</f>
        <v>185.0</v>
      </c>
      <c r="F59" s="571">
        <f>C59*E59</f>
        <v>74514.48499999999</v>
      </c>
      <c r="G59" s="585" t="inlineStr">
        <is>
          <t>2*22.05*2.9+2*21.825*2.9+2*25.57*2.9</t>
        </is>
      </c>
    </row>
    <row r="60"/>
    <row r="61" ht="24" customHeight="1" s="12">
      <c r="A61" s="567" t="inlineStr">
        <is>
          <t>N</t>
        </is>
      </c>
      <c r="B61" s="581" t="inlineStr">
        <is>
          <t>Side and soffits of lintel / coping</t>
        </is>
      </c>
      <c r="C61" s="582">
        <f>(7*(0.9+0.3)+8*(0.75+0.3)+1*(0.7+0.3)+2*(1+0.3)+1*(0.9+0.3)+5*(0.9+0.3)+2*(0.75+0.3)+1*(0.6+0.3)+1*(1.2+0.3))*(2*0.225+0.15)+182.5*2*0.15</f>
        <v>74.01</v>
      </c>
      <c r="D61" s="583" t="inlineStr">
        <is>
          <t>m2</t>
        </is>
      </c>
      <c r="E61" s="584">
        <f>RATES!$D$43</f>
        <v>180.0</v>
      </c>
      <c r="F61" s="571">
        <f>C61*E61</f>
        <v>13321.800000000001</v>
      </c>
      <c r="G61" s="585" t="inlineStr">
        <is>
          <t>(7*(0.9+0.3)+8*(0.75+0.3)+1*(0.7+0.3)+2*(1+0.3)+1*(0.9+0.3)+5*(0.9+0.3)+2*(0.75+0.3)+1*(0.6+0.3)+1*(1.2+0.3))*(2*0.225+0.15)+182.5*2*0.15</t>
        </is>
      </c>
    </row>
    <row r="62"/>
    <row r="63" ht="24" customHeight="1" s="12">
      <c r="A63" s="577" t="n"/>
      <c r="B63" s="580" t="inlineStr">
        <is>
          <t>E30 REINFORCEMENT - High tensile yield round bar reinforcement (standard) to BS 4449:</t>
        </is>
      </c>
      <c r="C63" s="569" t="n"/>
      <c r="D63" s="569" t="n"/>
      <c r="E63" s="570" t="n"/>
      <c r="F63" s="579" t="n"/>
    </row>
    <row r="64" ht="24" customHeight="1" s="12">
      <c r="A64" s="567" t="inlineStr">
        <is>
          <t>P</t>
        </is>
      </c>
      <c r="B64" s="581" t="inlineStr">
        <is>
          <t>10mm diameter in columns</t>
        </is>
      </c>
      <c r="C64" s="582">
        <f>0.210</f>
        <v>0.21</v>
      </c>
      <c r="D64" s="583" t="inlineStr">
        <is>
          <t>t</t>
        </is>
      </c>
      <c r="E64" s="584">
        <f>RATES!$D$29</f>
        <v>20500.0</v>
      </c>
      <c r="F64" s="571">
        <f>C64*E64</f>
        <v>4305.0</v>
      </c>
      <c r="G64" s="585" t="inlineStr">
        <is>
          <t>0.210</t>
        </is>
      </c>
    </row>
    <row r="65"/>
    <row r="66" ht="24" customHeight="1" s="12">
      <c r="A66" s="567" t="inlineStr">
        <is>
          <t>Q</t>
        </is>
      </c>
      <c r="B66" s="581" t="inlineStr">
        <is>
          <t>20mm diameter in columns</t>
        </is>
      </c>
      <c r="C66" s="582">
        <f>0.426</f>
        <v>0.426</v>
      </c>
      <c r="D66" s="583" t="inlineStr">
        <is>
          <t>t</t>
        </is>
      </c>
      <c r="E66" s="584">
        <f>RATES!$D$32</f>
        <v>19000.0</v>
      </c>
      <c r="F66" s="571">
        <f>C66*E66</f>
        <v>8094.0</v>
      </c>
      <c r="G66" s="585" t="inlineStr">
        <is>
          <t>0.426</t>
        </is>
      </c>
    </row>
    <row r="67"/>
    <row r="68" ht="24" customHeight="1" s="12">
      <c r="A68" s="567" t="inlineStr">
        <is>
          <t>R</t>
        </is>
      </c>
      <c r="B68" s="581" t="inlineStr">
        <is>
          <t>10mm diameter in beams (links)</t>
        </is>
      </c>
      <c r="C68" s="582">
        <f>1.311</f>
        <v>1.311</v>
      </c>
      <c r="D68" s="583" t="inlineStr">
        <is>
          <t>t</t>
        </is>
      </c>
      <c r="E68" s="584">
        <f>RATES!$D$29</f>
        <v>20500.0</v>
      </c>
      <c r="F68" s="571">
        <f>C68*E68</f>
        <v>26875.5</v>
      </c>
      <c r="G68" s="585" t="inlineStr">
        <is>
          <t>1.311</t>
        </is>
      </c>
    </row>
    <row r="69"/>
    <row r="70" ht="24" customHeight="1" s="12">
      <c r="A70" s="567" t="inlineStr">
        <is>
          <t>S</t>
        </is>
      </c>
      <c r="B70" s="581" t="inlineStr">
        <is>
          <t>16mm diameter in beams</t>
        </is>
      </c>
      <c r="C70" s="582">
        <f>1.256</f>
        <v>1.256</v>
      </c>
      <c r="D70" s="583" t="inlineStr">
        <is>
          <t>t</t>
        </is>
      </c>
      <c r="E70" s="584">
        <f>RATES!$D$31</f>
        <v>19500.0</v>
      </c>
      <c r="F70" s="571">
        <f>C70*E70</f>
        <v>24492.0</v>
      </c>
      <c r="G70" s="585" t="inlineStr">
        <is>
          <t>1.256</t>
        </is>
      </c>
    </row>
    <row r="71"/>
    <row r="72" ht="24" customHeight="1" s="12">
      <c r="A72" s="567" t="inlineStr">
        <is>
          <t>T</t>
        </is>
      </c>
      <c r="B72" s="581" t="inlineStr">
        <is>
          <t>20mm diameter in beams</t>
        </is>
      </c>
      <c r="C72" s="582">
        <f>1.064</f>
        <v>1.064</v>
      </c>
      <c r="D72" s="583" t="inlineStr">
        <is>
          <t>t</t>
        </is>
      </c>
      <c r="E72" s="584">
        <f>RATES!$D$32</f>
        <v>19000.0</v>
      </c>
      <c r="F72" s="571">
        <f>C72*E72</f>
        <v>20216.0</v>
      </c>
      <c r="G72" s="585" t="inlineStr">
        <is>
          <t>1.064</t>
        </is>
      </c>
    </row>
    <row r="73"/>
    <row r="74" ht="24" customHeight="1" s="12">
      <c r="A74" s="567" t="inlineStr">
        <is>
          <t>U</t>
        </is>
      </c>
      <c r="B74" s="581" t="inlineStr">
        <is>
          <t>25mm diameter in beams</t>
        </is>
      </c>
      <c r="C74" s="582">
        <f>3.622</f>
        <v>3.622</v>
      </c>
      <c r="D74" s="583" t="inlineStr">
        <is>
          <t>t</t>
        </is>
      </c>
      <c r="E74" s="584">
        <f>RATES!$D$33</f>
        <v>19000.0</v>
      </c>
      <c r="F74" s="571">
        <f>C74*E74</f>
        <v>68818.0</v>
      </c>
      <c r="G74" s="585" t="inlineStr">
        <is>
          <t>3.622</t>
        </is>
      </c>
    </row>
    <row r="75"/>
    <row r="76" ht="24" customHeight="1" s="12">
      <c r="A76" s="567" t="inlineStr">
        <is>
          <t>V</t>
        </is>
      </c>
      <c r="B76" s="581" t="inlineStr">
        <is>
          <t>10mm diameter in shear &amp; lift walls (links)</t>
        </is>
      </c>
      <c r="C76" s="582">
        <f>1.377+0.607</f>
        <v>1.984</v>
      </c>
      <c r="D76" s="583" t="inlineStr">
        <is>
          <t>t</t>
        </is>
      </c>
      <c r="E76" s="584">
        <f>RATES!$D$29</f>
        <v>20500.0</v>
      </c>
      <c r="F76" s="571">
        <f>C76*E76</f>
        <v>40672.0</v>
      </c>
      <c r="G76" s="585" t="inlineStr">
        <is>
          <t>1.377+0.607</t>
        </is>
      </c>
    </row>
    <row r="77"/>
    <row r="78" ht="24" customHeight="1" s="12">
      <c r="A78" s="567" t="inlineStr">
        <is>
          <t>W</t>
        </is>
      </c>
      <c r="B78" s="581" t="inlineStr">
        <is>
          <t>12mm diameter in shear, lift &amp; ramp walls</t>
        </is>
      </c>
      <c r="C78" s="582">
        <f>1.821+0.822</f>
        <v>2.643</v>
      </c>
      <c r="D78" s="583" t="inlineStr">
        <is>
          <t>t</t>
        </is>
      </c>
      <c r="E78" s="584">
        <f>RATES!$D$30</f>
        <v>20000.0</v>
      </c>
      <c r="F78" s="571">
        <f>C78*E78</f>
        <v>52859.99999999999</v>
      </c>
      <c r="G78" s="585" t="inlineStr">
        <is>
          <t>1.821+0.822</t>
        </is>
      </c>
    </row>
    <row r="79"/>
    <row r="80" ht="24" customHeight="1" s="12">
      <c r="A80" s="567" t="inlineStr">
        <is>
          <t>X</t>
        </is>
      </c>
      <c r="B80" s="581" t="inlineStr">
        <is>
          <t>20mm diameter in shear &amp; lift walls</t>
        </is>
      </c>
      <c r="C80" s="582">
        <f>6.652+3.199</f>
        <v>9.850999999999999</v>
      </c>
      <c r="D80" s="583" t="inlineStr">
        <is>
          <t>t</t>
        </is>
      </c>
      <c r="E80" s="584">
        <f>RATES!$D$32</f>
        <v>19000.0</v>
      </c>
      <c r="F80" s="571">
        <f>C80*E80</f>
        <v>187168.99999999997</v>
      </c>
      <c r="G80" s="585" t="inlineStr">
        <is>
          <t>6.652+3.199</t>
        </is>
      </c>
    </row>
    <row r="81"/>
    <row r="82" ht="24" customHeight="1" s="12">
      <c r="A82" s="567" t="inlineStr">
        <is>
          <t>Y</t>
        </is>
      </c>
      <c r="B82" s="581" t="inlineStr">
        <is>
          <t>12mm diameter for suspended slab</t>
        </is>
      </c>
      <c r="C82" s="582">
        <f>42.841</f>
        <v>42.841</v>
      </c>
      <c r="D82" s="583" t="inlineStr">
        <is>
          <t>t</t>
        </is>
      </c>
      <c r="E82" s="584">
        <f>RATES!$D$30</f>
        <v>20000.0</v>
      </c>
      <c r="F82" s="571">
        <f>C82*E82</f>
        <v>856820.0</v>
      </c>
      <c r="G82" s="585" t="inlineStr">
        <is>
          <t>42.841</t>
        </is>
      </c>
    </row>
    <row r="83"/>
    <row r="84" ht="24" customHeight="1" s="12">
      <c r="A84" s="567" t="inlineStr">
        <is>
          <t>Z</t>
        </is>
      </c>
      <c r="B84" s="581" t="inlineStr">
        <is>
          <t>16mm diameter for suspended slab</t>
        </is>
      </c>
      <c r="C84" s="582">
        <f>0.184</f>
        <v>0.184</v>
      </c>
      <c r="D84" s="583" t="inlineStr">
        <is>
          <t>t</t>
        </is>
      </c>
      <c r="E84" s="584">
        <f>RATES!$D$31</f>
        <v>19500.0</v>
      </c>
      <c r="F84" s="571">
        <f>C84*E84</f>
        <v>3588.0</v>
      </c>
      <c r="G84" s="585" t="inlineStr">
        <is>
          <t>0.184</t>
        </is>
      </c>
    </row>
    <row r="85"/>
    <row r="86">
      <c r="A86" s="572" t="n"/>
      <c r="B86" s="586" t="str">
        <f>B33</f>
        <v>ELEMENT NO. 1: IN SITU CONCRETE/LARGE PRECAST CONCRETE</v>
      </c>
      <c r="C86" s="574" t="n"/>
      <c r="D86" s="574" t="n"/>
      <c r="E86" s="587" t="n"/>
      <c r="F86" s="576">
        <f>SUM(F35:F85)</f>
        <v>2362939.72875</v>
      </c>
    </row>
    <row r="87">
      <c r="B87" s="559" t="inlineStr">
        <is>
          <t>Carried to Bill Summary</t>
        </is>
      </c>
    </row>
    <row r="88"/>
    <row r="89"/>
    <row r="90">
      <c r="A90" s="577" t="n"/>
      <c r="B90" s="578" t="inlineStr">
        <is>
          <t>ELEMENT NO. 2: MASONRY</t>
        </is>
      </c>
      <c r="C90" s="569" t="n"/>
      <c r="D90" s="569" t="n"/>
      <c r="E90" s="570" t="n"/>
      <c r="F90" s="579" t="n"/>
    </row>
    <row r="91"/>
    <row r="92" ht="24" customHeight="1" s="12">
      <c r="A92" s="577" t="n"/>
      <c r="B92" s="580" t="inlineStr">
        <is>
          <t>F10 BRICK/BLOCK WALL - Solid sandcrete blockwork in cement and sand (1:4) mortar as described in:</t>
        </is>
      </c>
      <c r="C92" s="569" t="n"/>
      <c r="D92" s="569" t="n"/>
      <c r="E92" s="570" t="n"/>
      <c r="F92" s="579" t="n"/>
    </row>
    <row r="93" ht="24" customHeight="1" s="12">
      <c r="A93" s="567" t="inlineStr">
        <is>
          <t>A</t>
        </is>
      </c>
      <c r="B93" s="581" t="inlineStr">
        <is>
          <t>150mm thick wall</t>
        </is>
      </c>
      <c r="C93" s="582">
        <f>82.0*2.9+(7*0.9*(3.05-2.2)+8*0.75*(3.05-2.2)+1*0.7*(3.05-2.2)+2*1*(3.05-2.2)+1*0.9*(3.05-2.2)+5*0.9*(3.05-0.6)+2*0.75*(3.05-0.6)+1*0.6*(3.05-0.6)+1*1.2*(3.05-0.6))*0.890</f>
        <v>266.83624999999995</v>
      </c>
      <c r="D93" s="583" t="inlineStr">
        <is>
          <t>m2</t>
        </is>
      </c>
      <c r="E93" s="584">
        <f>RATES!$D$46</f>
        <v>215.0</v>
      </c>
      <c r="F93" s="571">
        <f>C93*E93</f>
        <v>57369.79374999999</v>
      </c>
      <c r="G93" s="585" t="inlineStr">
        <is>
          <t>82.0*2.9+(7*0.9*(3.05-2.2)+8*0.75*(3.05-2.2)+1*0.7*(3.05-2.2)+2*1*(3.05-2.2)+1*0.9*(3.05-2.2)+5*0.9*(3.05-0.6)+2*0.75*(3.05-0.6)+1*0.6*(3.05-0.6)+1*1.2*(3.05-0.6))*0.890</t>
        </is>
      </c>
    </row>
    <row r="94"/>
    <row r="95" ht="24" customHeight="1" s="12">
      <c r="A95" s="567" t="inlineStr">
        <is>
          <t>B</t>
        </is>
      </c>
      <c r="B95" s="581" t="inlineStr">
        <is>
          <t>200mm thick wall</t>
        </is>
      </c>
      <c r="C95" s="582">
        <f>10.2*2.9+(7*0.9*(3.05-2.2)+8*0.75*(3.05-2.2)+1*0.7*(3.05-2.2)+2*1*(3.05-2.2)+1*0.9*(3.05-2.2)+5*0.9*(3.05-0.6)+2*0.75*(3.05-0.6)+1*0.6*(3.05-0.6)+1*1.2*(3.05-0.6))*0.110</f>
        <v>33.168749999999996</v>
      </c>
      <c r="D95" s="583" t="inlineStr">
        <is>
          <t>m2</t>
        </is>
      </c>
      <c r="E95" s="584">
        <f>RATES!$D$47</f>
        <v>265.0</v>
      </c>
      <c r="F95" s="571">
        <f>C95*E95</f>
        <v>8789.718749999998</v>
      </c>
      <c r="G95" s="585" t="inlineStr">
        <is>
          <t>10.2*2.9+(7*0.9*(3.05-2.2)+8*0.75*(3.05-2.2)+1*0.7*(3.05-2.2)+2*1*(3.05-2.2)+1*0.9*(3.05-2.2)+5*0.9*(3.05-0.6)+2*0.75*(3.05-0.6)+1*0.6*(3.05-0.6)+1*1.2*(3.05-0.6))*0.110</t>
        </is>
      </c>
    </row>
    <row r="96"/>
    <row r="97">
      <c r="A97" s="572" t="n"/>
      <c r="B97" s="586" t="str">
        <f>B90</f>
        <v>ELEMENT NO. 2: MASONRY</v>
      </c>
      <c r="C97" s="574" t="n"/>
      <c r="D97" s="574" t="n"/>
      <c r="E97" s="587" t="n"/>
      <c r="F97" s="576">
        <f>SUM(F92:F96)</f>
        <v>66159.51249999998</v>
      </c>
    </row>
    <row r="98">
      <c r="B98" s="559" t="inlineStr">
        <is>
          <t>Carried to Bill Summary</t>
        </is>
      </c>
    </row>
    <row r="99"/>
    <row r="100"/>
    <row r="101">
      <c r="A101" s="577" t="n"/>
      <c r="B101" s="578" t="inlineStr">
        <is>
          <t>ELEMENT NO. 3: WATERPROOFING</t>
        </is>
      </c>
      <c r="C101" s="569" t="n"/>
      <c r="D101" s="569" t="n"/>
      <c r="E101" s="570" t="n"/>
      <c r="F101" s="579" t="n"/>
    </row>
    <row r="102"/>
    <row r="103" ht="24" customHeight="1" s="12">
      <c r="A103" s="577" t="n"/>
      <c r="B103" s="580" t="inlineStr">
        <is>
          <t>WATERPROOFING</t>
        </is>
      </c>
      <c r="C103" s="569" t="n"/>
      <c r="D103" s="569" t="n"/>
      <c r="E103" s="570" t="n"/>
      <c r="F103" s="579" t="n"/>
    </row>
    <row r="104" ht="24" customHeight="1" s="12">
      <c r="A104" s="567" t="inlineStr">
        <is>
          <t>A</t>
        </is>
      </c>
      <c r="B104" s="581" t="inlineStr">
        <is>
          <t>Liquid/applied waterproofing to roofs, terraces and wet external areas</t>
        </is>
      </c>
      <c r="C104" s="582">
        <f>412.1</f>
        <v>412.1</v>
      </c>
      <c r="D104" s="583" t="inlineStr">
        <is>
          <t>m2</t>
        </is>
      </c>
      <c r="E104" s="584">
        <f>RATES!$D$68</f>
        <v>165.0</v>
      </c>
      <c r="F104" s="571">
        <f>C104*E104</f>
        <v>67996.5</v>
      </c>
      <c r="G104" s="585" t="inlineStr">
        <is>
          <t>412.1</t>
        </is>
      </c>
    </row>
    <row r="105"/>
    <row r="106" ht="24" customHeight="1" s="12">
      <c r="A106" s="567" t="inlineStr">
        <is>
          <t>B</t>
        </is>
      </c>
      <c r="B106" s="581" t="inlineStr">
        <is>
          <t>Protective cement-sand screed over waterproofing</t>
        </is>
      </c>
      <c r="C106" s="582">
        <f>412.1</f>
        <v>412.1</v>
      </c>
      <c r="D106" s="583" t="inlineStr">
        <is>
          <t>m2</t>
        </is>
      </c>
      <c r="E106" s="584">
        <f>RATES!$D$69</f>
        <v>72.0</v>
      </c>
      <c r="F106" s="571">
        <f>C106*E106</f>
        <v>29671.2</v>
      </c>
      <c r="G106" s="585" t="inlineStr">
        <is>
          <t>412.1</t>
        </is>
      </c>
    </row>
    <row r="107"/>
    <row r="108" ht="24" customHeight="1" s="12">
      <c r="A108" s="567" t="inlineStr">
        <is>
          <t>C</t>
        </is>
      </c>
      <c r="B108" s="581" t="inlineStr">
        <is>
          <t>Metal/aluminium flashings, upstands and counterflashings</t>
        </is>
      </c>
      <c r="C108" s="582">
        <f>182.5</f>
        <v>182.5</v>
      </c>
      <c r="D108" s="583" t="inlineStr">
        <is>
          <t>m</t>
        </is>
      </c>
      <c r="E108" s="584">
        <f>RATES!$D$70</f>
        <v>185.0</v>
      </c>
      <c r="F108" s="571">
        <f>C108*E108</f>
        <v>33762.5</v>
      </c>
      <c r="G108" s="585" t="inlineStr">
        <is>
          <t>182.5</t>
        </is>
      </c>
    </row>
    <row r="109"/>
    <row r="110" ht="24" customHeight="1" s="12">
      <c r="A110" s="567" t="inlineStr">
        <is>
          <t>D</t>
        </is>
      </c>
      <c r="B110" s="581" t="inlineStr">
        <is>
          <t>Roof/terrace gutters and concealed drainage channels</t>
        </is>
      </c>
      <c r="C110" s="582">
        <f>182.5</f>
        <v>182.5</v>
      </c>
      <c r="D110" s="583" t="inlineStr">
        <is>
          <t>m</t>
        </is>
      </c>
      <c r="E110" s="584">
        <f>RATES!$D$71</f>
        <v>360.0</v>
      </c>
      <c r="F110" s="571">
        <f>C110*E110</f>
        <v>65700.0</v>
      </c>
      <c r="G110" s="585" t="inlineStr">
        <is>
          <t>182.5</t>
        </is>
      </c>
    </row>
    <row r="111"/>
    <row r="112">
      <c r="A112" s="572" t="n"/>
      <c r="B112" s="586" t="str">
        <f>B101</f>
        <v>ELEMENT NO. 3: WATERPROOFING</v>
      </c>
      <c r="C112" s="574" t="n"/>
      <c r="D112" s="574" t="n"/>
      <c r="E112" s="587" t="n"/>
      <c r="F112" s="576">
        <f>SUM(F103:F111)</f>
        <v>197130.2</v>
      </c>
    </row>
    <row r="113">
      <c r="B113" s="559" t="inlineStr">
        <is>
          <t>Carried to Bill Summary</t>
        </is>
      </c>
    </row>
    <row r="114"/>
    <row r="115"/>
    <row r="116">
      <c r="A116" s="577" t="n"/>
      <c r="B116" s="578" t="inlineStr">
        <is>
          <t>ELEMENT NO. 4: WINDOWS/DOORS</t>
        </is>
      </c>
      <c r="C116" s="569" t="n"/>
      <c r="D116" s="569" t="n"/>
      <c r="E116" s="570" t="n"/>
      <c r="F116" s="579" t="n"/>
    </row>
    <row r="117"/>
    <row r="118" ht="48" customHeight="1" s="12">
      <c r="A118" s="577" t="n"/>
      <c r="B118" s="580" t="inlineStr">
        <is>
          <t>L20 DOORS - Supply and fix the following door assemblies complete with frames, ironmongery sets to steel doors and all accessories:</t>
        </is>
      </c>
      <c r="C118" s="569" t="n"/>
      <c r="D118" s="569" t="n"/>
      <c r="E118" s="570" t="n"/>
      <c r="F118" s="579" t="n"/>
    </row>
    <row r="119" ht="24" customHeight="1" s="12">
      <c r="A119" s="567" t="inlineStr">
        <is>
          <t>A</t>
        </is>
      </c>
      <c r="B119" s="581" t="inlineStr">
        <is>
          <t>900mm x 2200mm single leaf timber panel door (D3)</t>
        </is>
      </c>
      <c r="C119" s="582">
        <f>7</f>
        <v>7.0</v>
      </c>
      <c r="D119" s="583" t="inlineStr">
        <is>
          <t>nr</t>
        </is>
      </c>
      <c r="E119" s="584">
        <f>RATES!$D$76</f>
        <v>3400.0</v>
      </c>
      <c r="F119" s="571">
        <f>C119*E119</f>
        <v>23800.0</v>
      </c>
      <c r="G119" s="585" t="inlineStr">
        <is>
          <t>7</t>
        </is>
      </c>
    </row>
    <row r="120"/>
    <row r="121" ht="24" customHeight="1" s="12">
      <c r="A121" s="567" t="inlineStr">
        <is>
          <t>B</t>
        </is>
      </c>
      <c r="B121" s="581" t="inlineStr">
        <is>
          <t>750mm x 2200mm single leaf timber flush door (D6)</t>
        </is>
      </c>
      <c r="C121" s="582">
        <f>8</f>
        <v>8.0</v>
      </c>
      <c r="D121" s="583" t="inlineStr">
        <is>
          <t>nr</t>
        </is>
      </c>
      <c r="E121" s="584">
        <f>RATES!$D$79</f>
        <v>1900.0</v>
      </c>
      <c r="F121" s="571">
        <f>C121*E121</f>
        <v>15200.0</v>
      </c>
      <c r="G121" s="585" t="inlineStr">
        <is>
          <t>8</t>
        </is>
      </c>
    </row>
    <row r="122"/>
    <row r="123" ht="24" customHeight="1" s="12">
      <c r="A123" s="567" t="inlineStr">
        <is>
          <t>C</t>
        </is>
      </c>
      <c r="B123" s="581" t="inlineStr">
        <is>
          <t>700mm x 2200mm single-leaf 2-hour fire-rated galvanised steel door (D7)</t>
        </is>
      </c>
      <c r="C123" s="582">
        <f>1</f>
        <v>1.0</v>
      </c>
      <c r="D123" s="583" t="inlineStr">
        <is>
          <t>nr</t>
        </is>
      </c>
      <c r="E123" s="584">
        <f>RATES!$D$80</f>
        <v>6800.0</v>
      </c>
      <c r="F123" s="571">
        <f>C123*E123</f>
        <v>6800.0</v>
      </c>
      <c r="G123" s="585" t="inlineStr">
        <is>
          <t>1</t>
        </is>
      </c>
    </row>
    <row r="124"/>
    <row r="125" ht="48" customHeight="1" s="12">
      <c r="A125" s="567" t="inlineStr">
        <is>
          <t>D</t>
        </is>
      </c>
      <c r="B125" s="581" t="inlineStr">
        <is>
          <t>1000mm x 2200mm 1-hour fire-rated galvanised steel single-leaf security door assembly - emergency stairs (ED1)</t>
        </is>
      </c>
      <c r="C125" s="582">
        <f>2</f>
        <v>2.0</v>
      </c>
      <c r="D125" s="583" t="inlineStr">
        <is>
          <t>nr</t>
        </is>
      </c>
      <c r="E125" s="584">
        <f>RATES!$D$82</f>
        <v>7200.0</v>
      </c>
      <c r="F125" s="571">
        <f>C125*E125</f>
        <v>14400.0</v>
      </c>
      <c r="G125" s="585" t="inlineStr">
        <is>
          <t>2</t>
        </is>
      </c>
    </row>
    <row r="126"/>
    <row r="127" ht="24" customHeight="1" s="12">
      <c r="A127" s="567" t="inlineStr">
        <is>
          <t>E</t>
        </is>
      </c>
      <c r="B127" s="581" t="inlineStr">
        <is>
          <t>900mm x 2200mm 1-hour fire-rated galvanised steel single-leaf security door assembly (D9)</t>
        </is>
      </c>
      <c r="C127" s="582">
        <f>1</f>
        <v>1.0</v>
      </c>
      <c r="D127" s="583" t="inlineStr">
        <is>
          <t>nr</t>
        </is>
      </c>
      <c r="E127" s="584">
        <f>RATES!$D$84</f>
        <v>6900.0</v>
      </c>
      <c r="F127" s="571">
        <f>C127*E127</f>
        <v>6900.0</v>
      </c>
      <c r="G127" s="585" t="inlineStr">
        <is>
          <t>1</t>
        </is>
      </c>
    </row>
    <row r="128"/>
    <row r="129" ht="24" customHeight="1" s="12">
      <c r="A129" s="567" t="inlineStr">
        <is>
          <t>F</t>
        </is>
      </c>
      <c r="B129" s="581" t="inlineStr">
        <is>
          <t>50mm x 150mm frames (to timber doors)</t>
        </is>
      </c>
      <c r="C129" s="582">
        <f>7*(2*2.2+0.9)+8*(2*2.2+0.75)</f>
        <v>78.30000000000001</v>
      </c>
      <c r="D129" s="583" t="inlineStr">
        <is>
          <t>m</t>
        </is>
      </c>
      <c r="E129" s="584">
        <f>RATES!$D$100</f>
        <v>125.0</v>
      </c>
      <c r="F129" s="571">
        <f>C129*E129</f>
        <v>9787.500000000002</v>
      </c>
      <c r="G129" s="585" t="inlineStr">
        <is>
          <t>7*(2*2.2+0.9)+8*(2*2.2+0.75)</t>
        </is>
      </c>
    </row>
    <row r="130"/>
    <row r="131" ht="24" customHeight="1" s="12">
      <c r="A131" s="567" t="inlineStr">
        <is>
          <t>G</t>
        </is>
      </c>
      <c r="B131" s="581" t="inlineStr">
        <is>
          <t>50mm x 12mm door stop</t>
        </is>
      </c>
      <c r="C131" s="582">
        <f>7*(2*2.2+0.9)+8*(2*2.2+0.75)</f>
        <v>78.30000000000001</v>
      </c>
      <c r="D131" s="583" t="inlineStr">
        <is>
          <t>m</t>
        </is>
      </c>
      <c r="E131" s="584">
        <f>RATES!$D$101</f>
        <v>28.0</v>
      </c>
      <c r="F131" s="571">
        <f>C131*E131</f>
        <v>2192.4000000000005</v>
      </c>
      <c r="G131" s="585" t="inlineStr">
        <is>
          <t>7*(2*2.2+0.9)+8*(2*2.2+0.75)</t>
        </is>
      </c>
    </row>
    <row r="132"/>
    <row r="133" ht="48" customHeight="1" s="12">
      <c r="A133" s="577" t="n"/>
      <c r="B133" s="580" t="inlineStr">
        <is>
          <t>Ironmongery - Supply and fix the following approved ironmongery to hardwood with accompanying patented screws:</t>
        </is>
      </c>
      <c r="C133" s="569" t="n"/>
      <c r="D133" s="569" t="n"/>
      <c r="E133" s="570" t="n"/>
      <c r="F133" s="579" t="n"/>
    </row>
    <row r="134" ht="24" customHeight="1" s="12">
      <c r="A134" s="567" t="inlineStr">
        <is>
          <t>H</t>
        </is>
      </c>
      <c r="B134" s="581" t="inlineStr">
        <is>
          <t>Pair 100mm brass butt hinges</t>
        </is>
      </c>
      <c r="C134" s="582">
        <f>23</f>
        <v>23.0</v>
      </c>
      <c r="D134" s="583" t="inlineStr">
        <is>
          <t>pr</t>
        </is>
      </c>
      <c r="E134" s="584">
        <f>RATES!$D$102</f>
        <v>125.0</v>
      </c>
      <c r="F134" s="571">
        <f>C134*E134</f>
        <v>2875.0</v>
      </c>
      <c r="G134" s="585" t="inlineStr">
        <is>
          <t>23</t>
        </is>
      </c>
    </row>
    <row r="135"/>
    <row r="136" ht="24" customHeight="1" s="12">
      <c r="A136" s="567" t="inlineStr">
        <is>
          <t>J</t>
        </is>
      </c>
      <c r="B136" s="581" t="inlineStr">
        <is>
          <t>Ordinary locks</t>
        </is>
      </c>
      <c r="C136" s="582">
        <f>7</f>
        <v>7.0</v>
      </c>
      <c r="D136" s="583" t="inlineStr">
        <is>
          <t>nr</t>
        </is>
      </c>
      <c r="E136" s="584">
        <f>RATES!$D$103</f>
        <v>480.0</v>
      </c>
      <c r="F136" s="571">
        <f>C136*E136</f>
        <v>3360.0</v>
      </c>
      <c r="G136" s="585" t="inlineStr">
        <is>
          <t>7</t>
        </is>
      </c>
    </row>
    <row r="137"/>
    <row r="138" ht="24" customHeight="1" s="12">
      <c r="A138" s="567" t="inlineStr">
        <is>
          <t>K</t>
        </is>
      </c>
      <c r="B138" s="581" t="inlineStr">
        <is>
          <t>Approved high quality mortice indicator lock</t>
        </is>
      </c>
      <c r="C138" s="582">
        <f>8</f>
        <v>8.0</v>
      </c>
      <c r="D138" s="583" t="inlineStr">
        <is>
          <t>nr</t>
        </is>
      </c>
      <c r="E138" s="584">
        <f>RATES!$D$104</f>
        <v>560.0</v>
      </c>
      <c r="F138" s="571">
        <f>C138*E138</f>
        <v>4480.0</v>
      </c>
      <c r="G138" s="585" t="inlineStr">
        <is>
          <t>8</t>
        </is>
      </c>
    </row>
    <row r="139"/>
    <row r="140" ht="72" customHeight="1" s="12">
      <c r="A140" s="577" t="n"/>
      <c r="B140" s="580" t="inlineStr">
        <is>
          <t>ALUMINIUM GLAZED WINDOWS - Supply and install Italian extruded aluminium glazed windows, ALCOA R50 series, powder coated aluminium profile, glazed with 6mm tinted reflective glass secured onto galvanized steel sub-frames, complete with all accessories as per Architect's detail:</t>
        </is>
      </c>
      <c r="C140" s="569" t="n"/>
      <c r="D140" s="569" t="n"/>
      <c r="E140" s="570" t="n"/>
      <c r="F140" s="579" t="n"/>
    </row>
    <row r="141" ht="24" customHeight="1" s="12">
      <c r="A141" s="567" t="inlineStr">
        <is>
          <t>L</t>
        </is>
      </c>
      <c r="B141" s="581" t="inlineStr">
        <is>
          <t>2 bay alu. framed glass sliding window 900mm x 600mm (HW1)</t>
        </is>
      </c>
      <c r="C141" s="582">
        <f>5</f>
        <v>5.0</v>
      </c>
      <c r="D141" s="583" t="inlineStr">
        <is>
          <t>nr</t>
        </is>
      </c>
      <c r="E141" s="584">
        <f>RATES!$D$128</f>
        <v>891.0000000000001</v>
      </c>
      <c r="F141" s="571">
        <f>C141*E141</f>
        <v>4455.000000000001</v>
      </c>
      <c r="G141" s="585" t="inlineStr">
        <is>
          <t>5</t>
        </is>
      </c>
    </row>
    <row r="142"/>
    <row r="143" ht="24" customHeight="1" s="12">
      <c r="A143" s="567" t="inlineStr">
        <is>
          <t>M</t>
        </is>
      </c>
      <c r="B143" s="581" t="inlineStr">
        <is>
          <t>2 bay alu. framed glass sliding window 750mm x 600mm (HW2)</t>
        </is>
      </c>
      <c r="C143" s="582">
        <f>2</f>
        <v>2.0</v>
      </c>
      <c r="D143" s="583" t="inlineStr">
        <is>
          <t>nr</t>
        </is>
      </c>
      <c r="E143" s="584">
        <f>RATES!$D$129</f>
        <v>742.4999999999999</v>
      </c>
      <c r="F143" s="571">
        <f>C143*E143</f>
        <v>1484.9999999999998</v>
      </c>
      <c r="G143" s="585" t="inlineStr">
        <is>
          <t>2</t>
        </is>
      </c>
    </row>
    <row r="144"/>
    <row r="145" ht="24" customHeight="1" s="12">
      <c r="A145" s="567" t="inlineStr">
        <is>
          <t>N</t>
        </is>
      </c>
      <c r="B145" s="581" t="inlineStr">
        <is>
          <t>2 bay alu. framed glass sliding window 600mm x 600mm (HW3)</t>
        </is>
      </c>
      <c r="C145" s="582">
        <f>1</f>
        <v>1.0</v>
      </c>
      <c r="D145" s="583" t="inlineStr">
        <is>
          <t>nr</t>
        </is>
      </c>
      <c r="E145" s="584">
        <f>RATES!$D$130</f>
        <v>594.0</v>
      </c>
      <c r="F145" s="571">
        <f>C145*E145</f>
        <v>594.0</v>
      </c>
      <c r="G145" s="585" t="inlineStr">
        <is>
          <t>1</t>
        </is>
      </c>
    </row>
    <row r="146"/>
    <row r="147" ht="24" customHeight="1" s="12">
      <c r="A147" s="567" t="inlineStr">
        <is>
          <t>P</t>
        </is>
      </c>
      <c r="B147" s="581" t="inlineStr">
        <is>
          <t>2 bay alu. framed glass sliding window 1200mm x 600mm (HW4)</t>
        </is>
      </c>
      <c r="C147" s="582">
        <f>1</f>
        <v>1.0</v>
      </c>
      <c r="D147" s="583" t="inlineStr">
        <is>
          <t>nr</t>
        </is>
      </c>
      <c r="E147" s="584">
        <f>RATES!$D$131</f>
        <v>1188.0</v>
      </c>
      <c r="F147" s="571">
        <f>C147*E147</f>
        <v>1188.0</v>
      </c>
      <c r="G147" s="585" t="inlineStr">
        <is>
          <t>1</t>
        </is>
      </c>
    </row>
    <row r="148"/>
    <row r="149">
      <c r="A149" s="572" t="n"/>
      <c r="B149" s="586" t="str">
        <f>B116</f>
        <v>ELEMENT NO. 4: WINDOWS/DOORS</v>
      </c>
      <c r="C149" s="574" t="n"/>
      <c r="D149" s="574" t="n"/>
      <c r="E149" s="587" t="n"/>
      <c r="F149" s="576">
        <f>SUM(F118:F148)</f>
        <v>97516.9</v>
      </c>
    </row>
    <row r="150">
      <c r="B150" s="559" t="inlineStr">
        <is>
          <t>Carried to Bill Summary</t>
        </is>
      </c>
    </row>
    <row r="151"/>
    <row r="152"/>
    <row r="153">
      <c r="A153" s="577" t="n"/>
      <c r="B153" s="578" t="inlineStr">
        <is>
          <t>ELEMENT NO. 5: FLOOR FINISHES</t>
        </is>
      </c>
      <c r="C153" s="569" t="n"/>
      <c r="D153" s="569" t="n"/>
      <c r="E153" s="570" t="n"/>
      <c r="F153" s="579" t="n"/>
    </row>
    <row r="154"/>
    <row r="155" ht="24" customHeight="1" s="12">
      <c r="A155" s="577" t="n"/>
      <c r="B155" s="580" t="inlineStr">
        <is>
          <t>M10/M40 FLOOR FINISHES</t>
        </is>
      </c>
      <c r="C155" s="569" t="n"/>
      <c r="D155" s="569" t="n"/>
      <c r="E155" s="570" t="n"/>
      <c r="F155" s="579" t="n"/>
    </row>
    <row r="156" ht="24" customHeight="1" s="12">
      <c r="A156" s="567" t="inlineStr">
        <is>
          <t>A</t>
        </is>
      </c>
      <c r="B156" s="581" t="inlineStr">
        <is>
          <t>25mm cement and sand (1:3) screeded finish laid level on concrete and finished smooth with steel trowel</t>
        </is>
      </c>
      <c r="C156" s="582">
        <f>319.4</f>
        <v>319.4</v>
      </c>
      <c r="D156" s="583" t="inlineStr">
        <is>
          <t>m2</t>
        </is>
      </c>
      <c r="E156" s="584">
        <f>RATES!$D$50</f>
        <v>68.0</v>
      </c>
      <c r="F156" s="571">
        <f>C156*E156</f>
        <v>21719.199999999997</v>
      </c>
      <c r="G156" s="585" t="inlineStr">
        <is>
          <t>319.4</t>
        </is>
      </c>
    </row>
    <row r="157"/>
    <row r="158" ht="24" customHeight="1" s="12">
      <c r="A158" s="567" t="inlineStr">
        <is>
          <t>B</t>
        </is>
      </c>
      <c r="B158" s="581" t="inlineStr">
        <is>
          <t>12mm cement and sand (1:4) screeded bed laid level on concrete floor to receive floor tiles</t>
        </is>
      </c>
      <c r="C158" s="582">
        <f>319.4</f>
        <v>319.4</v>
      </c>
      <c r="D158" s="583" t="inlineStr">
        <is>
          <t>m2</t>
        </is>
      </c>
      <c r="E158" s="584">
        <f>RATES!$D$51</f>
        <v>48.0</v>
      </c>
      <c r="F158" s="571">
        <f>C158*E158</f>
        <v>15331.199999999999</v>
      </c>
      <c r="G158" s="585" t="inlineStr">
        <is>
          <t>319.4</t>
        </is>
      </c>
    </row>
    <row r="159"/>
    <row r="160" ht="24" customHeight="1" s="12">
      <c r="A160" s="567" t="inlineStr">
        <is>
          <t>C</t>
        </is>
      </c>
      <c r="B160" s="581" t="inlineStr">
        <is>
          <t>400x400mm non-slip porcelain floor tiles to washrooms &amp; WCs, adhesive, grout and cutting</t>
        </is>
      </c>
      <c r="C160" s="582">
        <f>24.2</f>
        <v>24.2</v>
      </c>
      <c r="D160" s="583" t="inlineStr">
        <is>
          <t>m2</t>
        </is>
      </c>
      <c r="E160" s="584">
        <f>RATES!$D$53</f>
        <v>230.0</v>
      </c>
      <c r="F160" s="571">
        <f>C160*E160</f>
        <v>5566.0</v>
      </c>
      <c r="G160" s="585" t="inlineStr">
        <is>
          <t>24.2</t>
        </is>
      </c>
    </row>
    <row r="161"/>
    <row r="162" ht="24" customHeight="1" s="12">
      <c r="A162" s="567" t="inlineStr">
        <is>
          <t>D</t>
        </is>
      </c>
      <c r="B162" s="581" t="inlineStr">
        <is>
          <t>600x600mm semi-polished porcelain floor tiles to habitable rooms, shops &amp; offices</t>
        </is>
      </c>
      <c r="C162" s="582">
        <f>235.9</f>
        <v>235.9</v>
      </c>
      <c r="D162" s="583" t="inlineStr">
        <is>
          <t>m2</t>
        </is>
      </c>
      <c r="E162" s="584">
        <f>RATES!$D$55</f>
        <v>265.0</v>
      </c>
      <c r="F162" s="571">
        <f>C162*E162</f>
        <v>62513.5</v>
      </c>
      <c r="G162" s="585" t="inlineStr">
        <is>
          <t>235.9</t>
        </is>
      </c>
    </row>
    <row r="163"/>
    <row r="164" ht="24" customHeight="1" s="12">
      <c r="A164" s="567" t="inlineStr">
        <is>
          <t>E</t>
        </is>
      </c>
      <c r="B164" s="581" t="inlineStr">
        <is>
          <t>600x1200mm semi-polished porcelain floor tiles to stair/lift lobbies &amp; reception</t>
        </is>
      </c>
      <c r="C164" s="582">
        <f>19.3</f>
        <v>19.3</v>
      </c>
      <c r="D164" s="583" t="inlineStr">
        <is>
          <t>m2</t>
        </is>
      </c>
      <c r="E164" s="584">
        <f>RATES!$D$56</f>
        <v>330.0</v>
      </c>
      <c r="F164" s="571">
        <f>C164*E164</f>
        <v>6369.0</v>
      </c>
      <c r="G164" s="585" t="inlineStr">
        <is>
          <t>19.3</t>
        </is>
      </c>
    </row>
    <row r="165"/>
    <row r="166" ht="24" customHeight="1" s="12">
      <c r="A166" s="567" t="inlineStr">
        <is>
          <t>F</t>
        </is>
      </c>
      <c r="B166" s="581" t="inlineStr">
        <is>
          <t>600x600mm non-slip R11 porcelain tiles to corridors, terraces, verandah &amp; service areas</t>
        </is>
      </c>
      <c r="C166" s="582">
        <f>40.0</f>
        <v>40.0</v>
      </c>
      <c r="D166" s="583" t="inlineStr">
        <is>
          <t>m2</t>
        </is>
      </c>
      <c r="E166" s="584">
        <f>RATES!$D$57</f>
        <v>250.0</v>
      </c>
      <c r="F166" s="571">
        <f>C166*E166</f>
        <v>10000.0</v>
      </c>
      <c r="G166" s="585" t="inlineStr">
        <is>
          <t>40.0</t>
        </is>
      </c>
    </row>
    <row r="167"/>
    <row r="168" ht="24" customHeight="1" s="12">
      <c r="A168" s="567" t="inlineStr">
        <is>
          <t>G</t>
        </is>
      </c>
      <c r="B168" s="581" t="inlineStr">
        <is>
          <t>Interlocking composite tiles to roof-top outdoor sitting &amp; play areas</t>
        </is>
      </c>
      <c r="C168" s="582">
        <f>412.1</f>
        <v>412.1</v>
      </c>
      <c r="D168" s="583" t="inlineStr">
        <is>
          <t>m2</t>
        </is>
      </c>
      <c r="E168" s="584">
        <f>RATES!$D$58</f>
        <v>360.0</v>
      </c>
      <c r="F168" s="571">
        <f>C168*E168</f>
        <v>148356.0</v>
      </c>
      <c r="G168" s="585" t="inlineStr">
        <is>
          <t>412.1</t>
        </is>
      </c>
    </row>
    <row r="169"/>
    <row r="170">
      <c r="A170" s="572" t="n"/>
      <c r="B170" s="586" t="str">
        <f>B153</f>
        <v>ELEMENT NO. 5: FLOOR FINISHES</v>
      </c>
      <c r="C170" s="574" t="n"/>
      <c r="D170" s="574" t="n"/>
      <c r="E170" s="587" t="n"/>
      <c r="F170" s="576">
        <f>SUM(F155:F169)</f>
        <v>269854.9</v>
      </c>
    </row>
    <row r="171">
      <c r="B171" s="559" t="inlineStr">
        <is>
          <t>Carried to Bill Summary</t>
        </is>
      </c>
    </row>
    <row r="172"/>
    <row r="173"/>
    <row r="174">
      <c r="A174" s="577" t="n"/>
      <c r="B174" s="578" t="inlineStr">
        <is>
          <t>ELEMENT NO. 6: WALL FINISHES</t>
        </is>
      </c>
      <c r="C174" s="569" t="n"/>
      <c r="D174" s="569" t="n"/>
      <c r="E174" s="570" t="n"/>
      <c r="F174" s="579" t="n"/>
    </row>
    <row r="175"/>
    <row r="176" ht="48" customHeight="1" s="12">
      <c r="A176" s="577" t="n"/>
      <c r="B176" s="580" t="inlineStr">
        <is>
          <t>M20 PLASTERED/RENDERED COATINGS - 12.5mm cement and sand (1:3) rendering as described on blockwork or concrete to:</t>
        </is>
      </c>
      <c r="C176" s="569" t="n"/>
      <c r="D176" s="569" t="n"/>
      <c r="E176" s="570" t="n"/>
      <c r="F176" s="579" t="n"/>
    </row>
    <row r="177" ht="24" customHeight="1" s="12">
      <c r="A177" s="567" t="inlineStr">
        <is>
          <t>A</t>
        </is>
      </c>
      <c r="B177" s="581" t="inlineStr">
        <is>
          <t>Interior walls</t>
        </is>
      </c>
      <c r="C177" s="582">
        <f>(2*(82.0+10.2)+2*42.3-16.8-182.5)*2.9-24.2/3.8*8.0*2.9-2*(7*0.9*2.2+8*0.75*2.2+1*0.7*2.2+2*1*2.2+1*0.9*2.2)-(5*0.9*0.6+2*0.75*0.6+1*0.6*0.6+1*1.2*0.6)</f>
        <v>-20.25736842105264</v>
      </c>
      <c r="D177" s="583" t="inlineStr">
        <is>
          <t>m2</t>
        </is>
      </c>
      <c r="E177" s="584">
        <f>RATES!$D$48</f>
        <v>78.0</v>
      </c>
      <c r="F177" s="571">
        <f>C177*E177</f>
        <v>-1580.074736842106</v>
      </c>
      <c r="G177" s="585" t="inlineStr">
        <is>
          <t>(2*(82.0+10.2)+2*42.3-16.8-182.5)*2.9-24.2/3.8*8.0*2.9-2*(7*0.9*2.2+8*0.75*2.2+1*0.7*2.2+2*1*2.2+1*0.9*2.2)-(5*0.9*0.6+2*0.75*0.6+1*0.6*0.6+1*1.2*0.6)</t>
        </is>
      </c>
    </row>
    <row r="178"/>
    <row r="179" ht="24" customHeight="1" s="12">
      <c r="A179" s="567" t="inlineStr">
        <is>
          <t>B</t>
        </is>
      </c>
      <c r="B179" s="581" t="inlineStr">
        <is>
          <t>Interior partitions and washrooms</t>
        </is>
      </c>
      <c r="C179" s="582">
        <f>24.2/3.8*8.0*2.9-24.2/3.8*0.75*2.2</f>
        <v>137.2394736842105</v>
      </c>
      <c r="D179" s="583" t="inlineStr">
        <is>
          <t>m2</t>
        </is>
      </c>
      <c r="E179" s="584">
        <f>RATES!$D$48</f>
        <v>78.0</v>
      </c>
      <c r="F179" s="571">
        <f>C179*E179</f>
        <v>10704.67894736842</v>
      </c>
      <c r="G179" s="585" t="inlineStr">
        <is>
          <t>24.2/3.8*8.0*2.9-24.2/3.8*0.75*2.2</t>
        </is>
      </c>
    </row>
    <row r="180"/>
    <row r="181" ht="24" customHeight="1" s="12">
      <c r="A181" s="567" t="inlineStr">
        <is>
          <t>C</t>
        </is>
      </c>
      <c r="B181" s="581" t="inlineStr">
        <is>
          <t>External walls</t>
        </is>
      </c>
      <c r="C181" s="582">
        <f>182.5*3.15-(5*0.9*0.6+2*0.75*0.6+1*0.6*0.6+1*1.2*0.6)</f>
        <v>570.195</v>
      </c>
      <c r="D181" s="583" t="inlineStr">
        <is>
          <t>m2</t>
        </is>
      </c>
      <c r="E181" s="584">
        <f>RATES!$D$49</f>
        <v>88.0</v>
      </c>
      <c r="F181" s="571">
        <f>C181*E181</f>
        <v>50177.16</v>
      </c>
      <c r="G181" s="585" t="inlineStr">
        <is>
          <t>182.5*3.15-(5*0.9*0.6+2*0.75*0.6+1*0.6*0.6+1*1.2*0.6)</t>
        </is>
      </c>
    </row>
    <row r="182"/>
    <row r="183" ht="24" customHeight="1" s="12">
      <c r="A183" s="567" t="inlineStr">
        <is>
          <t>D</t>
        </is>
      </c>
      <c r="B183" s="581" t="inlineStr">
        <is>
          <t>12mm cement and sand (1:4) screeded backing to receive wall tiles</t>
        </is>
      </c>
      <c r="C183" s="582">
        <f>24.2/3.8*8.0*2.4-24.2/3.8*0.75*2.2</f>
        <v>111.76578947368421</v>
      </c>
      <c r="D183" s="583" t="inlineStr">
        <is>
          <t>m2</t>
        </is>
      </c>
      <c r="E183" s="584">
        <f>RATES!$D$52</f>
        <v>55.0</v>
      </c>
      <c r="F183" s="571">
        <f>C183*E183</f>
        <v>6147.118421052632</v>
      </c>
      <c r="G183" s="585" t="inlineStr">
        <is>
          <t>24.2/3.8*8.0*2.4-24.2/3.8*0.75*2.2</t>
        </is>
      </c>
    </row>
    <row r="184"/>
    <row r="185" ht="24" customHeight="1" s="12">
      <c r="A185" s="567" t="inlineStr">
        <is>
          <t>E</t>
        </is>
      </c>
      <c r="B185" s="581" t="inlineStr">
        <is>
          <t>Ceramic/porcelain wall tiles to washrooms to 2.4m high, adhesive &amp; grout (type TBC)</t>
        </is>
      </c>
      <c r="C185" s="582">
        <f>24.2/3.8*8.0*2.4-24.2/3.8*0.75*2.2</f>
        <v>111.76578947368421</v>
      </c>
      <c r="D185" s="583" t="inlineStr">
        <is>
          <t>m2</t>
        </is>
      </c>
      <c r="E185" s="584">
        <f>RATES!$D$60</f>
        <v>240.0</v>
      </c>
      <c r="F185" s="571">
        <f>C185*E185</f>
        <v>26823.78947368421</v>
      </c>
      <c r="G185" s="585" t="inlineStr">
        <is>
          <t>24.2/3.8*8.0*2.4-24.2/3.8*0.75*2.2</t>
        </is>
      </c>
    </row>
    <row r="186"/>
    <row r="187">
      <c r="A187" s="572" t="n"/>
      <c r="B187" s="586" t="str">
        <f>B174</f>
        <v>ELEMENT NO. 6: WALL FINISHES</v>
      </c>
      <c r="C187" s="574" t="n"/>
      <c r="D187" s="574" t="n"/>
      <c r="E187" s="587" t="n"/>
      <c r="F187" s="576">
        <f>SUM(F176:F186)</f>
        <v>92272.67210526316</v>
      </c>
    </row>
    <row r="188">
      <c r="B188" s="559" t="inlineStr">
        <is>
          <t>Carried to Bill Summary</t>
        </is>
      </c>
    </row>
    <row r="189"/>
    <row r="190"/>
    <row r="191">
      <c r="A191" s="577" t="n"/>
      <c r="B191" s="578" t="inlineStr">
        <is>
          <t>ELEMENT NO. 7: PAINTING AND DECORATING</t>
        </is>
      </c>
      <c r="C191" s="569" t="n"/>
      <c r="D191" s="569" t="n"/>
      <c r="E191" s="570" t="n"/>
      <c r="F191" s="579" t="n"/>
    </row>
    <row r="192"/>
    <row r="193" ht="24" customHeight="1" s="12">
      <c r="A193" s="577" t="n"/>
      <c r="B193" s="580" t="inlineStr">
        <is>
          <t>M60 PAINTING - Prepare and apply two undercoats and finishing coat of emulsion paint on:</t>
        </is>
      </c>
      <c r="C193" s="569" t="n"/>
      <c r="D193" s="569" t="n"/>
      <c r="E193" s="570" t="n"/>
      <c r="F193" s="579" t="n"/>
    </row>
    <row r="194" ht="24" customHeight="1" s="12">
      <c r="A194" s="567" t="inlineStr">
        <is>
          <t>A</t>
        </is>
      </c>
      <c r="B194" s="581" t="inlineStr">
        <is>
          <t>Interior walls</t>
        </is>
      </c>
      <c r="C194" s="582">
        <f>(2*(82.0+10.2)+2*42.3-16.8-182.5)*2.9-24.2/3.8*8.0*2.9-2*(7*0.9*2.2+8*0.75*2.2+1*0.7*2.2+2*1*2.2+1*0.9*2.2)-(5*0.9*0.6+2*0.75*0.6+1*0.6*0.6+1*1.2*0.6)</f>
        <v>-20.25736842105264</v>
      </c>
      <c r="D194" s="583" t="inlineStr">
        <is>
          <t>m2</t>
        </is>
      </c>
      <c r="E194" s="584">
        <f>RATES!$D$61</f>
        <v>45.0</v>
      </c>
      <c r="F194" s="571">
        <f>C194*E194</f>
        <v>-911.5815789473688</v>
      </c>
      <c r="G194" s="585" t="inlineStr">
        <is>
          <t>(2*(82.0+10.2)+2*42.3-16.8-182.5)*2.9-24.2/3.8*8.0*2.9-2*(7*0.9*2.2+8*0.75*2.2+1*0.7*2.2+2*1*2.2+1*0.9*2.2)-(5*0.9*0.6+2*0.75*0.6+1*0.6*0.6+1*1.2*0.6)</t>
        </is>
      </c>
    </row>
    <row r="195"/>
    <row r="196" ht="24" customHeight="1" s="12">
      <c r="A196" s="567" t="inlineStr">
        <is>
          <t>B</t>
        </is>
      </c>
      <c r="B196" s="581" t="inlineStr">
        <is>
          <t>Interior partitions and washrooms (above wall tiling)</t>
        </is>
      </c>
      <c r="C196" s="582">
        <f>(24.2/3.8*8.0*2.9-24.2/3.8*0.75*2.2)-(24.2/3.8*8.0*2.4-24.2/3.8*0.75*2.2)</f>
        <v>25.4736842105263</v>
      </c>
      <c r="D196" s="583" t="inlineStr">
        <is>
          <t>m2</t>
        </is>
      </c>
      <c r="E196" s="584">
        <f>RATES!$D$61</f>
        <v>45.0</v>
      </c>
      <c r="F196" s="571">
        <f>C196*E196</f>
        <v>1146.3157894736835</v>
      </c>
      <c r="G196" s="585" t="inlineStr">
        <is>
          <t>(24.2/3.8*8.0*2.9-24.2/3.8*0.75*2.2)-(24.2/3.8*8.0*2.4-24.2/3.8*0.75*2.2)</t>
        </is>
      </c>
    </row>
    <row r="197"/>
    <row r="198" ht="24" customHeight="1" s="12">
      <c r="A198" s="567" t="inlineStr">
        <is>
          <t>C</t>
        </is>
      </c>
      <c r="B198" s="581" t="inlineStr">
        <is>
          <t>Exterior walls</t>
        </is>
      </c>
      <c r="C198" s="582">
        <f>182.5*3.15-(5*0.9*0.6+2*0.75*0.6+1*0.6*0.6+1*1.2*0.6)</f>
        <v>570.195</v>
      </c>
      <c r="D198" s="583" t="inlineStr">
        <is>
          <t>m2</t>
        </is>
      </c>
      <c r="E198" s="584">
        <f>RATES!$D$62</f>
        <v>62.0</v>
      </c>
      <c r="F198" s="571">
        <f>C198*E198</f>
        <v>35352.090000000004</v>
      </c>
      <c r="G198" s="585" t="inlineStr">
        <is>
          <t>182.5*3.15-(5*0.9*0.6+2*0.75*0.6+1*0.6*0.6+1*1.2*0.6)</t>
        </is>
      </c>
    </row>
    <row r="199"/>
    <row r="200" ht="24" customHeight="1" s="12">
      <c r="A200" s="567" t="inlineStr">
        <is>
          <t>D</t>
        </is>
      </c>
      <c r="B200" s="581" t="inlineStr">
        <is>
          <t>Soffit of plaster board ceilings</t>
        </is>
      </c>
      <c r="C200" s="582">
        <f>295.2</f>
        <v>295.2</v>
      </c>
      <c r="D200" s="583" t="inlineStr">
        <is>
          <t>m2</t>
        </is>
      </c>
      <c r="E200" s="584">
        <f>RATES!$D$63</f>
        <v>48.0</v>
      </c>
      <c r="F200" s="571">
        <f>C200*E200</f>
        <v>14169.599999999999</v>
      </c>
      <c r="G200" s="585" t="inlineStr">
        <is>
          <t>295.2</t>
        </is>
      </c>
    </row>
    <row r="201"/>
    <row r="202" ht="24" customHeight="1" s="12">
      <c r="A202" s="567" t="inlineStr">
        <is>
          <t>E</t>
        </is>
      </c>
      <c r="B202" s="581" t="inlineStr">
        <is>
          <t>Soffit of plaster board ceilings for washrooms</t>
        </is>
      </c>
      <c r="C202" s="582">
        <f>24.2</f>
        <v>24.2</v>
      </c>
      <c r="D202" s="583" t="inlineStr">
        <is>
          <t>m2</t>
        </is>
      </c>
      <c r="E202" s="584">
        <f>RATES!$D$63</f>
        <v>48.0</v>
      </c>
      <c r="F202" s="571">
        <f>C202*E202</f>
        <v>1161.6</v>
      </c>
      <c r="G202" s="585" t="inlineStr">
        <is>
          <t>24.2</t>
        </is>
      </c>
    </row>
    <row r="203"/>
    <row r="204" ht="48" customHeight="1" s="12">
      <c r="A204" s="567" t="inlineStr">
        <is>
          <t>F</t>
        </is>
      </c>
      <c r="B204" s="581" t="inlineStr">
        <is>
          <t>Knot, prime, stop and apply two undercoats and one finishing coat of gloss oil paint on general surfaces of woodwork</t>
        </is>
      </c>
      <c r="C204" s="582">
        <f>7*0.9*2.2*2+8*0.75*2.2*2+(7*(2*2.2+0.9)+8*(2*2.2+0.75))*0.25</f>
        <v>73.69500000000001</v>
      </c>
      <c r="D204" s="583" t="inlineStr">
        <is>
          <t>m2</t>
        </is>
      </c>
      <c r="E204" s="584">
        <f>RATES!$D$64</f>
        <v>72.0</v>
      </c>
      <c r="F204" s="571">
        <f>C204*E204</f>
        <v>5306.040000000001</v>
      </c>
      <c r="G204" s="585" t="inlineStr">
        <is>
          <t>7*0.9*2.2*2+8*0.75*2.2*2+(7*(2*2.2+0.9)+8*(2*2.2+0.75))*0.25</t>
        </is>
      </c>
    </row>
    <row r="205"/>
    <row r="206" ht="48" customHeight="1" s="12">
      <c r="A206" s="567" t="inlineStr">
        <is>
          <t>G</t>
        </is>
      </c>
      <c r="B206" s="581" t="inlineStr">
        <is>
          <t>Prepare and apply one coat of aluminium primer on mild steel burglar-proof bars (measured over window opening area)</t>
        </is>
      </c>
      <c r="C206" s="582">
        <f>5*0.9*0.6+2*0.75*0.6+1*0.6*0.6+1*1.2*0.6</f>
        <v>4.68</v>
      </c>
      <c r="D206" s="583" t="inlineStr">
        <is>
          <t>m2</t>
        </is>
      </c>
      <c r="E206" s="584">
        <f>RATES!$D$65</f>
        <v>40.0</v>
      </c>
      <c r="F206" s="571">
        <f>C206*E206</f>
        <v>187.2</v>
      </c>
      <c r="G206" s="585" t="inlineStr">
        <is>
          <t>5*0.9*0.6+2*0.75*0.6+1*0.6*0.6+1*1.2*0.6</t>
        </is>
      </c>
    </row>
    <row r="207"/>
    <row r="208">
      <c r="A208" s="572" t="n"/>
      <c r="B208" s="586" t="str">
        <f>B191</f>
        <v>ELEMENT NO. 7: PAINTING AND DECORATING</v>
      </c>
      <c r="C208" s="574" t="n"/>
      <c r="D208" s="574" t="n"/>
      <c r="E208" s="587" t="n"/>
      <c r="F208" s="576">
        <f>SUM(F193:F207)</f>
        <v>56411.264210526315</v>
      </c>
    </row>
    <row r="209">
      <c r="B209" s="559" t="inlineStr">
        <is>
          <t>Carried to Bill Summary</t>
        </is>
      </c>
    </row>
    <row r="210"/>
    <row r="211"/>
    <row r="212">
      <c r="B212"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7.xml><?xml version="1.0" encoding="utf-8"?>
<worksheet xmlns="http://schemas.openxmlformats.org/spreadsheetml/2006/main">
  <sheetPr>
    <outlinePr summaryBelow="1" summaryRight="1"/>
    <pageSetUpPr fitToPage="1"/>
  </sheetPr>
  <dimension ref="A1:G94"/>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TWELFTH LEVEL - ROOF LEVEL &amp; TOP OF LIFT CORE</t>
        </is>
      </c>
    </row>
    <row r="10"/>
    <row r="11">
      <c r="B11" s="566" t="inlineStr">
        <is>
          <t>BILL SUMMARY</t>
        </is>
      </c>
    </row>
    <row r="12"/>
    <row r="13">
      <c r="A13" s="567" t="inlineStr">
        <is>
          <t>A</t>
        </is>
      </c>
      <c r="B13" s="568" t="inlineStr">
        <is>
          <t>ELEMENT NO. 1: IN SITU CONCRETE/LARGE PRECAST CONCRETE</t>
        </is>
      </c>
      <c r="C13" s="569" t="n"/>
      <c r="D13" s="569" t="n"/>
      <c r="E13" s="570" t="n"/>
      <c r="F13" s="571">
        <f>F64</f>
        <v>521243.796875</v>
      </c>
    </row>
    <row r="14"/>
    <row r="15">
      <c r="A15" s="567" t="inlineStr">
        <is>
          <t>B</t>
        </is>
      </c>
      <c r="B15" s="568" t="inlineStr">
        <is>
          <t>ELEMENT NO. 2: MASONRY</t>
        </is>
      </c>
      <c r="C15" s="569" t="n"/>
      <c r="D15" s="569" t="n"/>
      <c r="E15" s="570" t="n"/>
      <c r="F15" s="571">
        <f>F75</f>
        <v>22569.600000000002</v>
      </c>
    </row>
    <row r="16"/>
    <row r="17">
      <c r="A17" s="567" t="inlineStr">
        <is>
          <t>C</t>
        </is>
      </c>
      <c r="B17" s="568" t="inlineStr">
        <is>
          <t>ELEMENT NO. 3: WATERPROOFING</t>
        </is>
      </c>
      <c r="C17" s="569" t="n"/>
      <c r="D17" s="569" t="n"/>
      <c r="E17" s="570" t="n"/>
      <c r="F17" s="571">
        <f>F90</f>
        <v>112299.70000000001</v>
      </c>
    </row>
    <row r="18"/>
    <row r="19">
      <c r="A19" s="572" t="n"/>
      <c r="B19" s="573" t="str">
        <f>B9</f>
        <v> TWELFTH LEVEL - ROOF LEVEL &amp; TOP OF LIFT CORE</v>
      </c>
      <c r="C19" s="574" t="n"/>
      <c r="D19" s="574" t="n"/>
      <c r="E19" s="575" t="inlineStr">
        <is>
          <t>GHC</t>
        </is>
      </c>
      <c r="F19" s="576">
        <f>SUM(F13:F18)</f>
        <v>656113.096875</v>
      </c>
    </row>
    <row r="20">
      <c r="B20" s="559" t="inlineStr">
        <is>
          <t>To Bill General Summary</t>
        </is>
      </c>
    </row>
    <row r="21"/>
    <row r="22"/>
    <row r="23">
      <c r="B23" s="565" t="inlineStr">
        <is>
          <t>BILL NR. 15 - ROOF LEVEL</t>
        </is>
      </c>
    </row>
    <row r="24"/>
    <row r="25">
      <c r="A25" s="577" t="n"/>
      <c r="B25" s="578" t="inlineStr">
        <is>
          <t>ELEMENT NO. 1: IN SITU CONCRETE/LARGE PRECAST CONCRETE</t>
        </is>
      </c>
      <c r="C25" s="569" t="n"/>
      <c r="D25" s="569" t="n"/>
      <c r="E25" s="570" t="n"/>
      <c r="F25" s="579" t="n"/>
    </row>
    <row r="26"/>
    <row r="27" ht="24" customHeight="1" s="12">
      <c r="A27" s="577" t="n"/>
      <c r="B27" s="580" t="inlineStr">
        <is>
          <t>Vibrated in-situ concrete C40 as described in:</t>
        </is>
      </c>
      <c r="C27" s="569" t="n"/>
      <c r="D27" s="569" t="n"/>
      <c r="E27" s="570" t="n"/>
      <c r="F27" s="579" t="n"/>
    </row>
    <row r="28" ht="24" customHeight="1" s="12">
      <c r="A28" s="567" t="inlineStr">
        <is>
          <t>A</t>
        </is>
      </c>
      <c r="B28" s="581" t="inlineStr">
        <is>
          <t>Suspended roof slab 150mm thick (roof level &amp; top of lift core)</t>
        </is>
      </c>
      <c r="C28" s="582">
        <f>176.3*0.15+16.3*0.15</f>
        <v>28.89</v>
      </c>
      <c r="D28" s="583" t="inlineStr">
        <is>
          <t>m3</t>
        </is>
      </c>
      <c r="E28" s="584">
        <f>RATES!$D$22</f>
        <v>2650.0</v>
      </c>
      <c r="F28" s="571">
        <f>C28*E28</f>
        <v>76558.5</v>
      </c>
      <c r="G28" s="585" t="inlineStr">
        <is>
          <t>176.3*0.15+16.3*0.15</t>
        </is>
      </c>
    </row>
    <row r="29"/>
    <row r="30" ht="24" customHeight="1" s="12">
      <c r="A30" s="567" t="inlineStr">
        <is>
          <t>B</t>
        </is>
      </c>
      <c r="B30" s="581" t="inlineStr">
        <is>
          <t>Beams (downstands below slab)</t>
        </is>
      </c>
      <c r="C30" s="582">
        <f>31.4*0.25*0.45+34.0*0.2*0.3</f>
        <v>5.5725</v>
      </c>
      <c r="D30" s="583" t="inlineStr">
        <is>
          <t>m3</t>
        </is>
      </c>
      <c r="E30" s="584">
        <f>RATES!$D$23</f>
        <v>2700.0</v>
      </c>
      <c r="F30" s="571">
        <f>C30*E30</f>
        <v>15045.75</v>
      </c>
      <c r="G30" s="585" t="inlineStr">
        <is>
          <t>31.4*0.25*0.45+34.0*0.2*0.3</t>
        </is>
      </c>
    </row>
    <row r="31"/>
    <row r="32" ht="24" customHeight="1" s="12">
      <c r="A32" s="567" t="inlineStr">
        <is>
          <t>C</t>
        </is>
      </c>
      <c r="B32" s="581" t="inlineStr">
        <is>
          <t>Concrete wall - lift walls, 250mm thick</t>
        </is>
      </c>
      <c r="C32" s="582">
        <f>21.825*4.05*0.25</f>
        <v>22.0978125</v>
      </c>
      <c r="D32" s="583" t="inlineStr">
        <is>
          <t>m3</t>
        </is>
      </c>
      <c r="E32" s="584">
        <f>RATES!$D$20</f>
        <v>2750.0</v>
      </c>
      <c r="F32" s="571">
        <f>C32*E32</f>
        <v>60768.984375</v>
      </c>
      <c r="G32" s="585" t="inlineStr">
        <is>
          <t>21.825*4.05*0.25</t>
        </is>
      </c>
    </row>
    <row r="33"/>
    <row r="34" ht="24" customHeight="1" s="12">
      <c r="A34" s="567" t="inlineStr">
        <is>
          <t>D</t>
        </is>
      </c>
      <c r="B34" s="581" t="inlineStr">
        <is>
          <t>Copings 300 x 150mm to parapets</t>
        </is>
      </c>
      <c r="C34" s="582">
        <f>(105.0+17.3)*0.3*0.15</f>
        <v>5.5035</v>
      </c>
      <c r="D34" s="583" t="inlineStr">
        <is>
          <t>m3</t>
        </is>
      </c>
      <c r="E34" s="584">
        <f>RATES!$D$26</f>
        <v>2600.0</v>
      </c>
      <c r="F34" s="571">
        <f>C34*E34</f>
        <v>14309.1</v>
      </c>
      <c r="G34" s="585" t="inlineStr">
        <is>
          <t>(105.0+17.3)*0.3*0.15</t>
        </is>
      </c>
    </row>
    <row r="35"/>
    <row r="36" ht="24" customHeight="1" s="12">
      <c r="A36" s="577" t="n"/>
      <c r="B36" s="580" t="inlineStr">
        <is>
          <t>E20 FORMWORK - Formwork as described to:</t>
        </is>
      </c>
      <c r="C36" s="569" t="n"/>
      <c r="D36" s="569" t="n"/>
      <c r="E36" s="570" t="n"/>
      <c r="F36" s="579" t="n"/>
    </row>
    <row r="37" ht="24" customHeight="1" s="12">
      <c r="A37" s="567" t="inlineStr">
        <is>
          <t>E</t>
        </is>
      </c>
      <c r="B37" s="581" t="inlineStr">
        <is>
          <t>Soffits of suspended slab</t>
        </is>
      </c>
      <c r="C37" s="582">
        <f>176.3+16.3</f>
        <v>192.60000000000002</v>
      </c>
      <c r="D37" s="583" t="inlineStr">
        <is>
          <t>m2</t>
        </is>
      </c>
      <c r="E37" s="584">
        <f>RATES!$D$38</f>
        <v>170.0</v>
      </c>
      <c r="F37" s="571">
        <f>C37*E37</f>
        <v>32742.000000000004</v>
      </c>
      <c r="G37" s="585" t="inlineStr">
        <is>
          <t>176.3+16.3</t>
        </is>
      </c>
    </row>
    <row r="38"/>
    <row r="39" ht="24" customHeight="1" s="12">
      <c r="A39" s="567" t="inlineStr">
        <is>
          <t>F</t>
        </is>
      </c>
      <c r="B39" s="581" t="inlineStr">
        <is>
          <t>Edges of suspended slab 250mm high</t>
        </is>
      </c>
      <c r="C39" s="582">
        <f>159.3+17.3</f>
        <v>176.60000000000002</v>
      </c>
      <c r="D39" s="583" t="inlineStr">
        <is>
          <t>m</t>
        </is>
      </c>
      <c r="E39" s="584">
        <f>RATES!$D$40</f>
        <v>65.0</v>
      </c>
      <c r="F39" s="571">
        <f>C39*E39</f>
        <v>11479.000000000002</v>
      </c>
      <c r="G39" s="585" t="inlineStr">
        <is>
          <t>159.3+17.3</t>
        </is>
      </c>
    </row>
    <row r="40"/>
    <row r="41" ht="24" customHeight="1" s="12">
      <c r="A41" s="567" t="inlineStr">
        <is>
          <t>G</t>
        </is>
      </c>
      <c r="B41" s="581" t="inlineStr">
        <is>
          <t>Sides and soffits of beams</t>
        </is>
      </c>
      <c r="C41" s="582">
        <f>31.4*(2*0.45+0.25)+34.0*(2*0.3+0.2)</f>
        <v>63.309999999999995</v>
      </c>
      <c r="D41" s="583" t="inlineStr">
        <is>
          <t>m2</t>
        </is>
      </c>
      <c r="E41" s="584">
        <f>RATES!$D$39</f>
        <v>200.0</v>
      </c>
      <c r="F41" s="571">
        <f>C41*E41</f>
        <v>12661.999999999998</v>
      </c>
      <c r="G41" s="585" t="inlineStr">
        <is>
          <t>31.4*(2*0.45+0.25)+34.0*(2*0.3+0.2)</t>
        </is>
      </c>
    </row>
    <row r="42"/>
    <row r="43" ht="24" customHeight="1" s="12">
      <c r="A43" s="567" t="inlineStr">
        <is>
          <t>H</t>
        </is>
      </c>
      <c r="B43" s="581" t="inlineStr">
        <is>
          <t>Concrete wall (both faces)</t>
        </is>
      </c>
      <c r="C43" s="582">
        <f>2*21.825*4.05</f>
        <v>176.7825</v>
      </c>
      <c r="D43" s="583" t="inlineStr">
        <is>
          <t>m2</t>
        </is>
      </c>
      <c r="E43" s="584">
        <f>RATES!$D$36</f>
        <v>185.0</v>
      </c>
      <c r="F43" s="571">
        <f>C43*E43</f>
        <v>32704.7625</v>
      </c>
      <c r="G43" s="585" t="inlineStr">
        <is>
          <t>2*21.825*4.05</t>
        </is>
      </c>
    </row>
    <row r="44"/>
    <row r="45" ht="24" customHeight="1" s="12">
      <c r="A45" s="567" t="inlineStr">
        <is>
          <t>J</t>
        </is>
      </c>
      <c r="B45" s="581" t="inlineStr">
        <is>
          <t>Side and soffits of lintel / coping</t>
        </is>
      </c>
      <c r="C45" s="582">
        <f>(105.0+17.3)*2*0.15</f>
        <v>36.69</v>
      </c>
      <c r="D45" s="583" t="inlineStr">
        <is>
          <t>m2</t>
        </is>
      </c>
      <c r="E45" s="584">
        <f>RATES!$D$43</f>
        <v>180.0</v>
      </c>
      <c r="F45" s="571">
        <f>C45*E45</f>
        <v>6604.2</v>
      </c>
      <c r="G45" s="585" t="inlineStr">
        <is>
          <t>(105.0+17.3)*2*0.15</t>
        </is>
      </c>
    </row>
    <row r="46"/>
    <row r="47" ht="24" customHeight="1" s="12">
      <c r="A47" s="577" t="n"/>
      <c r="B47" s="580" t="inlineStr">
        <is>
          <t>E30 REINFORCEMENT - High tensile yield round bar reinforcement (standard) to BS 4449:</t>
        </is>
      </c>
      <c r="C47" s="569" t="n"/>
      <c r="D47" s="569" t="n"/>
      <c r="E47" s="570" t="n"/>
      <c r="F47" s="579" t="n"/>
    </row>
    <row r="48" ht="24" customHeight="1" s="12">
      <c r="A48" s="567" t="inlineStr">
        <is>
          <t>K</t>
        </is>
      </c>
      <c r="B48" s="581" t="inlineStr">
        <is>
          <t>10mm diameter in beams (links)</t>
        </is>
      </c>
      <c r="C48" s="582">
        <f>0.694</f>
        <v>0.694</v>
      </c>
      <c r="D48" s="583" t="inlineStr">
        <is>
          <t>t</t>
        </is>
      </c>
      <c r="E48" s="584">
        <f>RATES!$D$29</f>
        <v>20500.0</v>
      </c>
      <c r="F48" s="571">
        <f>C48*E48</f>
        <v>14226.999999999998</v>
      </c>
      <c r="G48" s="585" t="inlineStr">
        <is>
          <t>0.694</t>
        </is>
      </c>
    </row>
    <row r="49"/>
    <row r="50" ht="24" customHeight="1" s="12">
      <c r="A50" s="567" t="inlineStr">
        <is>
          <t>L</t>
        </is>
      </c>
      <c r="B50" s="581" t="inlineStr">
        <is>
          <t>16mm diameter in beams</t>
        </is>
      </c>
      <c r="C50" s="582">
        <f>0.960</f>
        <v>0.96</v>
      </c>
      <c r="D50" s="583" t="inlineStr">
        <is>
          <t>t</t>
        </is>
      </c>
      <c r="E50" s="584">
        <f>RATES!$D$31</f>
        <v>19500.0</v>
      </c>
      <c r="F50" s="571">
        <f>C50*E50</f>
        <v>18720.0</v>
      </c>
      <c r="G50" s="585" t="inlineStr">
        <is>
          <t>0.960</t>
        </is>
      </c>
    </row>
    <row r="51"/>
    <row r="52" ht="24" customHeight="1" s="12">
      <c r="A52" s="567" t="inlineStr">
        <is>
          <t>M</t>
        </is>
      </c>
      <c r="B52" s="581" t="inlineStr">
        <is>
          <t>20mm diameter in beams</t>
        </is>
      </c>
      <c r="C52" s="582">
        <f>1.010</f>
        <v>1.01</v>
      </c>
      <c r="D52" s="583" t="inlineStr">
        <is>
          <t>t</t>
        </is>
      </c>
      <c r="E52" s="584">
        <f>RATES!$D$32</f>
        <v>19000.0</v>
      </c>
      <c r="F52" s="571">
        <f>C52*E52</f>
        <v>19190.0</v>
      </c>
      <c r="G52" s="585" t="inlineStr">
        <is>
          <t>1.010</t>
        </is>
      </c>
    </row>
    <row r="53"/>
    <row r="54" ht="24" customHeight="1" s="12">
      <c r="A54" s="567" t="inlineStr">
        <is>
          <t>N</t>
        </is>
      </c>
      <c r="B54" s="581" t="inlineStr">
        <is>
          <t>25mm diameter in beams</t>
        </is>
      </c>
      <c r="C54" s="582">
        <f>0.323</f>
        <v>0.323</v>
      </c>
      <c r="D54" s="583" t="inlineStr">
        <is>
          <t>t</t>
        </is>
      </c>
      <c r="E54" s="584">
        <f>RATES!$D$33</f>
        <v>19000.0</v>
      </c>
      <c r="F54" s="571">
        <f>C54*E54</f>
        <v>6137.0</v>
      </c>
      <c r="G54" s="585" t="inlineStr">
        <is>
          <t>0.323</t>
        </is>
      </c>
    </row>
    <row r="55"/>
    <row r="56" ht="24" customHeight="1" s="12">
      <c r="A56" s="567" t="inlineStr">
        <is>
          <t>P</t>
        </is>
      </c>
      <c r="B56" s="581" t="inlineStr">
        <is>
          <t>10mm diameter in shear &amp; lift walls (links)</t>
        </is>
      </c>
      <c r="C56" s="582">
        <f>0.809</f>
        <v>0.809</v>
      </c>
      <c r="D56" s="583" t="inlineStr">
        <is>
          <t>t</t>
        </is>
      </c>
      <c r="E56" s="584">
        <f>RATES!$D$29</f>
        <v>20500.0</v>
      </c>
      <c r="F56" s="571">
        <f>C56*E56</f>
        <v>16584.5</v>
      </c>
      <c r="G56" s="585" t="inlineStr">
        <is>
          <t>0.809</t>
        </is>
      </c>
    </row>
    <row r="57"/>
    <row r="58" ht="24" customHeight="1" s="12">
      <c r="A58" s="567" t="inlineStr">
        <is>
          <t>Q</t>
        </is>
      </c>
      <c r="B58" s="581" t="inlineStr">
        <is>
          <t>12mm diameter in shear, lift &amp; ramp walls</t>
        </is>
      </c>
      <c r="C58" s="582">
        <f>0.390</f>
        <v>0.39</v>
      </c>
      <c r="D58" s="583" t="inlineStr">
        <is>
          <t>t</t>
        </is>
      </c>
      <c r="E58" s="584">
        <f>RATES!$D$30</f>
        <v>20000.0</v>
      </c>
      <c r="F58" s="571">
        <f>C58*E58</f>
        <v>7800.0</v>
      </c>
      <c r="G58" s="585" t="inlineStr">
        <is>
          <t>0.390</t>
        </is>
      </c>
    </row>
    <row r="59"/>
    <row r="60" ht="24" customHeight="1" s="12">
      <c r="A60" s="567" t="inlineStr">
        <is>
          <t>R</t>
        </is>
      </c>
      <c r="B60" s="581" t="inlineStr">
        <is>
          <t>20mm diameter in shear &amp; lift walls</t>
        </is>
      </c>
      <c r="C60" s="582">
        <f>4.049</f>
        <v>4.049</v>
      </c>
      <c r="D60" s="583" t="inlineStr">
        <is>
          <t>t</t>
        </is>
      </c>
      <c r="E60" s="584">
        <f>RATES!$D$32</f>
        <v>19000.0</v>
      </c>
      <c r="F60" s="571">
        <f>C60*E60</f>
        <v>76931.0</v>
      </c>
      <c r="G60" s="585" t="inlineStr">
        <is>
          <t>4.049</t>
        </is>
      </c>
    </row>
    <row r="61"/>
    <row r="62" ht="24" customHeight="1" s="12">
      <c r="A62" s="567" t="inlineStr">
        <is>
          <t>S</t>
        </is>
      </c>
      <c r="B62" s="581" t="inlineStr">
        <is>
          <t>12mm diameter for suspended slab</t>
        </is>
      </c>
      <c r="C62" s="582">
        <f>4.573+0.366</f>
        <v>4.939</v>
      </c>
      <c r="D62" s="583" t="inlineStr">
        <is>
          <t>t</t>
        </is>
      </c>
      <c r="E62" s="584">
        <f>RATES!$D$30</f>
        <v>20000.0</v>
      </c>
      <c r="F62" s="571">
        <f>C62*E62</f>
        <v>98780.0</v>
      </c>
      <c r="G62" s="585" t="inlineStr">
        <is>
          <t>4.573+0.366</t>
        </is>
      </c>
    </row>
    <row r="63"/>
    <row r="64">
      <c r="A64" s="572" t="n"/>
      <c r="B64" s="586" t="str">
        <f>B25</f>
        <v>ELEMENT NO. 1: IN SITU CONCRETE/LARGE PRECAST CONCRETE</v>
      </c>
      <c r="C64" s="574" t="n"/>
      <c r="D64" s="574" t="n"/>
      <c r="E64" s="587" t="n"/>
      <c r="F64" s="576">
        <f>SUM(F27:F63)</f>
        <v>521243.796875</v>
      </c>
    </row>
    <row r="65">
      <c r="B65" s="559" t="inlineStr">
        <is>
          <t>Carried to Bill Summary</t>
        </is>
      </c>
    </row>
    <row r="66"/>
    <row r="67"/>
    <row r="68">
      <c r="A68" s="577" t="n"/>
      <c r="B68" s="578" t="inlineStr">
        <is>
          <t>ELEMENT NO. 2: MASONRY</t>
        </is>
      </c>
      <c r="C68" s="569" t="n"/>
      <c r="D68" s="569" t="n"/>
      <c r="E68" s="570" t="n"/>
      <c r="F68" s="579" t="n"/>
    </row>
    <row r="69"/>
    <row r="70" ht="24" customHeight="1" s="12">
      <c r="A70" s="577" t="n"/>
      <c r="B70" s="580" t="inlineStr">
        <is>
          <t>F10 BRICK/BLOCK WALL - Solid sandcrete blockwork in cement and sand (1:4) mortar as described in:</t>
        </is>
      </c>
      <c r="C70" s="569" t="n"/>
      <c r="D70" s="569" t="n"/>
      <c r="E70" s="570" t="n"/>
      <c r="F70" s="579" t="n"/>
    </row>
    <row r="71" ht="24" customHeight="1" s="12">
      <c r="A71" s="567" t="inlineStr">
        <is>
          <t>A</t>
        </is>
      </c>
      <c r="B71" s="581" t="inlineStr">
        <is>
          <t>150mm thick wall</t>
        </is>
      </c>
      <c r="C71" s="582">
        <f>6.5*1.2</f>
        <v>7.8</v>
      </c>
      <c r="D71" s="583" t="inlineStr">
        <is>
          <t>m2</t>
        </is>
      </c>
      <c r="E71" s="584">
        <f>RATES!$D$46</f>
        <v>215.0</v>
      </c>
      <c r="F71" s="571">
        <f>C71*E71</f>
        <v>1677.0</v>
      </c>
      <c r="G71" s="585" t="inlineStr">
        <is>
          <t>6.5*1.2</t>
        </is>
      </c>
    </row>
    <row r="72"/>
    <row r="73" ht="24" customHeight="1" s="12">
      <c r="A73" s="567" t="inlineStr">
        <is>
          <t>B</t>
        </is>
      </c>
      <c r="B73" s="581" t="inlineStr">
        <is>
          <t>200mm thick wall</t>
        </is>
      </c>
      <c r="C73" s="582">
        <f>65.7*1.2</f>
        <v>78.84</v>
      </c>
      <c r="D73" s="583" t="inlineStr">
        <is>
          <t>m2</t>
        </is>
      </c>
      <c r="E73" s="584">
        <f>RATES!$D$47</f>
        <v>265.0</v>
      </c>
      <c r="F73" s="571">
        <f>C73*E73</f>
        <v>20892.600000000002</v>
      </c>
      <c r="G73" s="585" t="inlineStr">
        <is>
          <t>65.7*1.2</t>
        </is>
      </c>
    </row>
    <row r="74"/>
    <row r="75">
      <c r="A75" s="572" t="n"/>
      <c r="B75" s="586" t="str">
        <f>B68</f>
        <v>ELEMENT NO. 2: MASONRY</v>
      </c>
      <c r="C75" s="574" t="n"/>
      <c r="D75" s="574" t="n"/>
      <c r="E75" s="587" t="n"/>
      <c r="F75" s="576">
        <f>SUM(F70:F74)</f>
        <v>22569.600000000002</v>
      </c>
    </row>
    <row r="76">
      <c r="B76" s="559" t="inlineStr">
        <is>
          <t>Carried to Bill Summary</t>
        </is>
      </c>
    </row>
    <row r="77"/>
    <row r="78"/>
    <row r="79">
      <c r="A79" s="577" t="n"/>
      <c r="B79" s="578" t="inlineStr">
        <is>
          <t>ELEMENT NO. 3: WATERPROOFING</t>
        </is>
      </c>
      <c r="C79" s="569" t="n"/>
      <c r="D79" s="569" t="n"/>
      <c r="E79" s="570" t="n"/>
      <c r="F79" s="579" t="n"/>
    </row>
    <row r="80"/>
    <row r="81" ht="24" customHeight="1" s="12">
      <c r="A81" s="577" t="n"/>
      <c r="B81" s="580" t="inlineStr">
        <is>
          <t>WATERPROOFING</t>
        </is>
      </c>
      <c r="C81" s="569" t="n"/>
      <c r="D81" s="569" t="n"/>
      <c r="E81" s="570" t="n"/>
      <c r="F81" s="579" t="n"/>
    </row>
    <row r="82" ht="24" customHeight="1" s="12">
      <c r="A82" s="567" t="inlineStr">
        <is>
          <t>A</t>
        </is>
      </c>
      <c r="B82" s="581" t="inlineStr">
        <is>
          <t>Liquid/applied waterproofing to roofs, terraces and wet external areas</t>
        </is>
      </c>
      <c r="C82" s="582">
        <f>176.3+16.3</f>
        <v>192.60000000000002</v>
      </c>
      <c r="D82" s="583" t="inlineStr">
        <is>
          <t>m2</t>
        </is>
      </c>
      <c r="E82" s="584">
        <f>RATES!$D$68</f>
        <v>165.0</v>
      </c>
      <c r="F82" s="571">
        <f>C82*E82</f>
        <v>31779.000000000004</v>
      </c>
      <c r="G82" s="585" t="inlineStr">
        <is>
          <t>176.3+16.3</t>
        </is>
      </c>
    </row>
    <row r="83"/>
    <row r="84" ht="24" customHeight="1" s="12">
      <c r="A84" s="567" t="inlineStr">
        <is>
          <t>B</t>
        </is>
      </c>
      <c r="B84" s="581" t="inlineStr">
        <is>
          <t>Protective cement-sand screed over waterproofing</t>
        </is>
      </c>
      <c r="C84" s="582">
        <f>176.3+16.3</f>
        <v>192.60000000000002</v>
      </c>
      <c r="D84" s="583" t="inlineStr">
        <is>
          <t>m2</t>
        </is>
      </c>
      <c r="E84" s="584">
        <f>RATES!$D$69</f>
        <v>72.0</v>
      </c>
      <c r="F84" s="571">
        <f>C84*E84</f>
        <v>13867.2</v>
      </c>
      <c r="G84" s="585" t="inlineStr">
        <is>
          <t>176.3+16.3</t>
        </is>
      </c>
    </row>
    <row r="85"/>
    <row r="86" ht="24" customHeight="1" s="12">
      <c r="A86" s="567" t="inlineStr">
        <is>
          <t>C</t>
        </is>
      </c>
      <c r="B86" s="581" t="inlineStr">
        <is>
          <t>Metal/aluminium flashings, upstands and counterflashings</t>
        </is>
      </c>
      <c r="C86" s="582">
        <f>105.0+17.3</f>
        <v>122.3</v>
      </c>
      <c r="D86" s="583" t="inlineStr">
        <is>
          <t>m</t>
        </is>
      </c>
      <c r="E86" s="584">
        <f>RATES!$D$70</f>
        <v>185.0</v>
      </c>
      <c r="F86" s="571">
        <f>C86*E86</f>
        <v>22625.5</v>
      </c>
      <c r="G86" s="585" t="inlineStr">
        <is>
          <t>105.0+17.3</t>
        </is>
      </c>
    </row>
    <row r="87"/>
    <row r="88" ht="24" customHeight="1" s="12">
      <c r="A88" s="567" t="inlineStr">
        <is>
          <t>D</t>
        </is>
      </c>
      <c r="B88" s="581" t="inlineStr">
        <is>
          <t>Roof/terrace gutters and concealed drainage channels</t>
        </is>
      </c>
      <c r="C88" s="582">
        <f>105.0+17.3</f>
        <v>122.3</v>
      </c>
      <c r="D88" s="583" t="inlineStr">
        <is>
          <t>m</t>
        </is>
      </c>
      <c r="E88" s="584">
        <f>RATES!$D$71</f>
        <v>360.0</v>
      </c>
      <c r="F88" s="571">
        <f>C88*E88</f>
        <v>44028.0</v>
      </c>
      <c r="G88" s="585" t="inlineStr">
        <is>
          <t>105.0+17.3</t>
        </is>
      </c>
    </row>
    <row r="89"/>
    <row r="90">
      <c r="A90" s="572" t="n"/>
      <c r="B90" s="586" t="str">
        <f>B79</f>
        <v>ELEMENT NO. 3: WATERPROOFING</v>
      </c>
      <c r="C90" s="574" t="n"/>
      <c r="D90" s="574" t="n"/>
      <c r="E90" s="587" t="n"/>
      <c r="F90" s="576">
        <f>SUM(F81:F89)</f>
        <v>112299.70000000001</v>
      </c>
    </row>
    <row r="91">
      <c r="B91" s="559" t="inlineStr">
        <is>
          <t>Carried to Bill Summary</t>
        </is>
      </c>
    </row>
    <row r="92"/>
    <row r="93"/>
    <row r="94">
      <c r="B94" s="588" t="inlineStr">
        <is>
          <t>Doors and windows: schedules ARCH-501/502 give building totals only (no tags on plans); quantities are allocated to floors pro-rata to measured habitable / washroom areas. Building totals equal the schedules.</t>
        </is>
      </c>
    </row>
  </sheetData>
  <pageMargins left="0.75" right="0.75" top="1" bottom="1" header="0.5" footer="0.5"/>
  <pageSetup orientation="portrait" fitToHeight="0" fitToWidth="1"/>
</worksheet>
</file>

<file path=xl/worksheets/sheet18.xml><?xml version="1.0" encoding="utf-8"?>
<worksheet xmlns="http://schemas.openxmlformats.org/spreadsheetml/2006/main">
  <sheetPr>
    <outlinePr summaryBelow="1" summaryRight="1"/>
    <pageSetUpPr fitToPage="1"/>
  </sheetPr>
  <dimension ref="A1:G49"/>
  <sheetViews>
    <sheetView workbookViewId="0">
      <pane ySplit="5" topLeftCell="A6" activePane="bottomLeft" state="frozen"/>
      <selection pane="bottomLeft" activeCell="A1" sqref="A1"/>
    </sheetView>
  </sheetViews>
  <sheetFormatPr baseColWidth="8" defaultRowHeight="15"/>
  <cols>
    <col width="13.3" customWidth="1" style="12" min="1" max="1"/>
    <col width="120" customWidth="1" style="12" min="2" max="2"/>
    <col width="18" customWidth="1" style="12" min="3" max="3"/>
    <col width="12" customWidth="1" style="12" min="4" max="4"/>
    <col width="20" customWidth="1" style="12" min="5" max="5"/>
    <col width="26" customWidth="1" style="12" min="6" max="6"/>
    <col width="70" customWidth="1" style="12" min="7" max="7"/>
  </cols>
  <sheetData>
    <row r="1">
      <c r="A1" s="559" t="str">
        <f>'PRELIMS &amp; GEN. ITEMS'!A2</f>
        <v>PROJECT: BLOCK N REDEVELOPMENT</v>
      </c>
    </row>
    <row r="2">
      <c r="A2" s="559" t="str">
        <f>'PRELIMS &amp; GEN. ITEMS'!A3</f>
        <v>LOCATION: KANESHIE</v>
      </c>
    </row>
    <row r="3">
      <c r="A3" s="559" t="str">
        <f>'PRELIMS &amp; GEN. ITEMS'!A4</f>
        <v>CLIENT: STATE HOUSING LIMITED</v>
      </c>
    </row>
    <row r="4">
      <c r="A4" s="559" t="str">
        <f>'PRELIMS &amp; GEN. ITEMS'!A5</f>
        <v>DATE:9/30/2026</v>
      </c>
    </row>
    <row r="5">
      <c r="A5" s="560" t="inlineStr">
        <is>
          <t>ITEM</t>
        </is>
      </c>
      <c r="B5" s="561" t="inlineStr">
        <is>
          <t>DESCRIPTION</t>
        </is>
      </c>
      <c r="C5" s="562" t="inlineStr">
        <is>
          <t>QTY</t>
        </is>
      </c>
      <c r="D5" s="562" t="inlineStr">
        <is>
          <t>UNIT</t>
        </is>
      </c>
      <c r="E5" s="562" t="inlineStr">
        <is>
          <t>RATE</t>
        </is>
      </c>
      <c r="F5" s="563" t="inlineStr">
        <is>
          <t>AMOUNT - GHC</t>
        </is>
      </c>
      <c r="G5" s="564" t="inlineStr">
        <is>
          <t>Measurement basis / calculation</t>
        </is>
      </c>
    </row>
    <row r="6"/>
    <row r="7">
      <c r="B7" s="565" t="inlineStr">
        <is>
          <t xml:space="preserve"> MAIN BUILDING</t>
        </is>
      </c>
    </row>
    <row r="8"/>
    <row r="9">
      <c r="B9" s="565" t="inlineStr">
        <is>
          <t xml:space="preserve"> LIFTS AND PROVISIONAL SUMS</t>
        </is>
      </c>
    </row>
    <row r="10"/>
    <row r="11">
      <c r="B11" s="566" t="inlineStr">
        <is>
          <t>BILL SUMMARY</t>
        </is>
      </c>
    </row>
    <row r="12"/>
    <row r="13">
      <c r="A13" s="567" t="inlineStr">
        <is>
          <t>A</t>
        </is>
      </c>
      <c r="B13" s="568" t="inlineStr">
        <is>
          <t>LIFTS</t>
        </is>
      </c>
      <c r="C13" s="569" t="n"/>
      <c r="D13" s="569" t="n"/>
      <c r="E13" s="570" t="n"/>
      <c r="F13" s="571">
        <f>F28</f>
        <v>2500000.0</v>
      </c>
    </row>
    <row r="14"/>
    <row r="15">
      <c r="A15" s="567" t="inlineStr">
        <is>
          <t>B</t>
        </is>
      </c>
      <c r="B15" s="568" t="inlineStr">
        <is>
          <t>PROVISIONAL SUMS</t>
        </is>
      </c>
      <c r="C15" s="569" t="n"/>
      <c r="D15" s="569" t="n"/>
      <c r="E15" s="570" t="n"/>
      <c r="F15" s="571">
        <f>F45</f>
        <v>6270000.0</v>
      </c>
    </row>
    <row r="16"/>
    <row r="17">
      <c r="A17" s="572" t="n"/>
      <c r="B17" s="573" t="str">
        <f>B9</f>
        <v> LIFTS AND PROVISIONAL SUMS</v>
      </c>
      <c r="C17" s="574" t="n"/>
      <c r="D17" s="574" t="n"/>
      <c r="E17" s="575" t="inlineStr">
        <is>
          <t>GHC</t>
        </is>
      </c>
      <c r="F17" s="576">
        <f>SUM(F13:F16)</f>
        <v>8770000.0</v>
      </c>
    </row>
    <row r="18">
      <c r="B18" s="559" t="inlineStr">
        <is>
          <t>To Bill General Summary</t>
        </is>
      </c>
    </row>
    <row r="19"/>
    <row r="20"/>
    <row r="21">
      <c r="B21" s="565" t="inlineStr">
        <is>
          <t>BILL NR. 16 - LIFTS AND PROVISIONAL SUMS</t>
        </is>
      </c>
    </row>
    <row r="22"/>
    <row r="23">
      <c r="A23" s="577" t="n"/>
      <c r="B23" s="578" t="inlineStr">
        <is>
          <t>LIFTS</t>
        </is>
      </c>
      <c r="C23" s="569" t="n"/>
      <c r="D23" s="569" t="n"/>
      <c r="E23" s="570" t="n"/>
      <c r="F23" s="579" t="n"/>
    </row>
    <row r="24"/>
    <row r="25" ht="24" customHeight="1" s="12">
      <c r="A25" s="577" t="n"/>
      <c r="B25" s="580" t="inlineStr">
        <is>
          <t>Lift installation</t>
        </is>
      </c>
      <c r="C25" s="569" t="n"/>
      <c r="D25" s="569" t="n"/>
      <c r="E25" s="570" t="n"/>
      <c r="F25" s="579" t="n"/>
    </row>
    <row r="26" ht="48" customHeight="1" s="12">
      <c r="A26" s="567" t="inlineStr">
        <is>
          <t>A</t>
        </is>
      </c>
      <c r="B26" s="581" t="inlineStr">
        <is>
          <t>1000kg stainless steel car finish passenger lift for 12 passengers, serving all floors, complete (LIFT 1 &amp; LIFT 2)</t>
        </is>
      </c>
      <c r="C26" s="582">
        <f>2</f>
        <v>2.0</v>
      </c>
      <c r="D26" s="583" t="inlineStr">
        <is>
          <t>nr</t>
        </is>
      </c>
      <c r="E26" s="584">
        <f>RATES!$D$134</f>
        <v>1250000.0</v>
      </c>
      <c r="F26" s="571">
        <f>C26*E26</f>
        <v>2500000.0</v>
      </c>
      <c r="G26" s="585" t="inlineStr">
        <is>
          <t>2</t>
        </is>
      </c>
    </row>
    <row r="27"/>
    <row r="28">
      <c r="A28" s="572" t="n"/>
      <c r="B28" s="586" t="str">
        <f>B23</f>
        <v>LIFTS</v>
      </c>
      <c r="C28" s="574" t="n"/>
      <c r="D28" s="574" t="n"/>
      <c r="E28" s="587" t="n"/>
      <c r="F28" s="576">
        <f>SUM(F25:F27)</f>
        <v>2500000.0</v>
      </c>
    </row>
    <row r="29">
      <c r="B29" s="559" t="inlineStr">
        <is>
          <t>Carried to Bill Summary</t>
        </is>
      </c>
    </row>
    <row r="30"/>
    <row r="31"/>
    <row r="32">
      <c r="A32" s="577" t="n"/>
      <c r="B32" s="578" t="inlineStr">
        <is>
          <t>PROVISIONAL SUMS</t>
        </is>
      </c>
      <c r="C32" s="569" t="n"/>
      <c r="D32" s="569" t="n"/>
      <c r="E32" s="570" t="n"/>
      <c r="F32" s="579" t="n"/>
    </row>
    <row r="33"/>
    <row r="34" ht="24" customHeight="1" s="12">
      <c r="A34" s="577" t="n"/>
      <c r="B34" s="580" t="inlineStr">
        <is>
          <t>Provide the following provisional sums:</t>
        </is>
      </c>
      <c r="C34" s="569" t="n"/>
      <c r="D34" s="569" t="n"/>
      <c r="E34" s="570" t="n"/>
      <c r="F34" s="579" t="n"/>
    </row>
    <row r="35" ht="24" customHeight="1" s="12">
      <c r="A35" s="567" t="inlineStr">
        <is>
          <t>A</t>
        </is>
      </c>
      <c r="B35" s="581" t="inlineStr">
        <is>
          <t>Provisional sum for joinery, wall cladding, balustrade and other fitting works</t>
        </is>
      </c>
      <c r="C35" s="582">
        <f>1</f>
        <v>1.0</v>
      </c>
      <c r="D35" s="583" t="inlineStr">
        <is>
          <t>item</t>
        </is>
      </c>
      <c r="E35" s="584">
        <f>RATES!$D$135</f>
        <v>1500000.0</v>
      </c>
      <c r="F35" s="571">
        <f>C35*E35</f>
        <v>1500000.0</v>
      </c>
      <c r="G35" s="585" t="inlineStr">
        <is>
          <t>1</t>
        </is>
      </c>
    </row>
    <row r="36"/>
    <row r="37" ht="24" customHeight="1" s="12">
      <c r="A37" s="567" t="inlineStr">
        <is>
          <t>B</t>
        </is>
      </c>
      <c r="B37" s="581" t="inlineStr">
        <is>
          <t>Provisional sum for furniture and equipment (wardrobes, kitchen cabinets, reception desk and chairs)</t>
        </is>
      </c>
      <c r="C37" s="582">
        <f>1</f>
        <v>1.0</v>
      </c>
      <c r="D37" s="583" t="inlineStr">
        <is>
          <t>item</t>
        </is>
      </c>
      <c r="E37" s="584">
        <f>RATES!$D$136</f>
        <v>2500000.0</v>
      </c>
      <c r="F37" s="571">
        <f>C37*E37</f>
        <v>2500000.0</v>
      </c>
      <c r="G37" s="585" t="inlineStr">
        <is>
          <t>1</t>
        </is>
      </c>
    </row>
    <row r="38"/>
    <row r="39" ht="48" customHeight="1" s="12">
      <c r="A39" s="567" t="inlineStr">
        <is>
          <t>C</t>
        </is>
      </c>
      <c r="B39" s="581" t="inlineStr">
        <is>
          <t>Provisional sum for external works / external infrastructure / signage (Axonopus compressus, kerbs, boundary structures, aprons, street lights, flood lights)</t>
        </is>
      </c>
      <c r="C39" s="582">
        <f>1</f>
        <v>1.0</v>
      </c>
      <c r="D39" s="583" t="inlineStr">
        <is>
          <t>item</t>
        </is>
      </c>
      <c r="E39" s="584">
        <f>RATES!$D$137</f>
        <v>1800000.0</v>
      </c>
      <c r="F39" s="571">
        <f>C39*E39</f>
        <v>1800000.0</v>
      </c>
      <c r="G39" s="585" t="inlineStr">
        <is>
          <t>1</t>
        </is>
      </c>
    </row>
    <row r="40"/>
    <row r="41" ht="24" customHeight="1" s="12">
      <c r="A41" s="567" t="inlineStr">
        <is>
          <t>D</t>
        </is>
      </c>
      <c r="B41" s="581" t="inlineStr">
        <is>
          <t>Provisional sum for septic tank and other connections</t>
        </is>
      </c>
      <c r="C41" s="582">
        <f>1</f>
        <v>1.0</v>
      </c>
      <c r="D41" s="583" t="inlineStr">
        <is>
          <t>item</t>
        </is>
      </c>
      <c r="E41" s="584">
        <f>RATES!$D$138</f>
        <v>350000.0</v>
      </c>
      <c r="F41" s="571">
        <f>C41*E41</f>
        <v>350000.0</v>
      </c>
      <c r="G41" s="585" t="inlineStr">
        <is>
          <t>1</t>
        </is>
      </c>
    </row>
    <row r="42"/>
    <row r="43" ht="24" customHeight="1" s="12">
      <c r="A43" s="567" t="inlineStr">
        <is>
          <t>E</t>
        </is>
      </c>
      <c r="B43" s="581" t="inlineStr">
        <is>
          <t>Allow a sum for metal collapsible burglar-proofing to ground floor windows including painting</t>
        </is>
      </c>
      <c r="C43" s="582">
        <f>1</f>
        <v>1.0</v>
      </c>
      <c r="D43" s="583" t="inlineStr">
        <is>
          <t>item</t>
        </is>
      </c>
      <c r="E43" s="584">
        <f>RATES!$D$139</f>
        <v>120000.0</v>
      </c>
      <c r="F43" s="571">
        <f>C43*E43</f>
        <v>120000.0</v>
      </c>
      <c r="G43" s="585" t="inlineStr">
        <is>
          <t>1</t>
        </is>
      </c>
    </row>
    <row r="44"/>
    <row r="45">
      <c r="A45" s="572" t="n"/>
      <c r="B45" s="586" t="str">
        <f>B32</f>
        <v>PROVISIONAL SUMS</v>
      </c>
      <c r="C45" s="574" t="n"/>
      <c r="D45" s="574" t="n"/>
      <c r="E45" s="587" t="n"/>
      <c r="F45" s="576">
        <f>SUM(F34:F44)</f>
        <v>6270000.0</v>
      </c>
    </row>
    <row r="46">
      <c r="B46" s="559" t="inlineStr">
        <is>
          <t>Carried to Bill Summary</t>
        </is>
      </c>
    </row>
    <row r="47"/>
    <row r="48"/>
    <row r="49">
      <c r="B49" s="588" t="inlineStr">
        <is>
          <t>Service/goods lift in the lump BOQ is not shown on the drawings (only two lift shafts) - omitted pending confirmation.</t>
        </is>
      </c>
    </row>
  </sheetData>
  <pageMargins left="0.75" right="0.75" top="1" bottom="1" header="0.5" footer="0.5"/>
  <pageSetup orientation="portrait" fitToHeight="0" fitToWidth="1"/>
</worksheet>
</file>

<file path=xl/worksheets/sheet19.xml><?xml version="1.0" encoding="utf-8"?>
<worksheet xmlns="http://schemas.openxmlformats.org/spreadsheetml/2006/main">
  <sheetPr>
    <outlinePr summaryBelow="1" summaryRight="1"/>
    <pageSetUpPr/>
  </sheetPr>
  <dimension ref="A1:E168"/>
  <sheetViews>
    <sheetView workbookViewId="0">
      <pane ySplit="4" topLeftCell="A5" activePane="bottomLeft" state="frozen"/>
      <selection pane="bottomLeft" activeCell="A1" sqref="A1"/>
    </sheetView>
  </sheetViews>
  <sheetFormatPr baseColWidth="8" defaultRowHeight="15"/>
  <cols>
    <col width="12" customWidth="1" style="12" min="1" max="1"/>
    <col width="62" customWidth="1" style="12" min="2" max="2"/>
    <col width="8" customWidth="1" style="12" min="3" max="3"/>
    <col width="18" customWidth="1" style="12" min="4" max="4"/>
    <col width="40" customWidth="1" style="12" min="5" max="5"/>
  </cols>
  <sheetData>
    <row r="1">
      <c r="A1" s="589" t="inlineStr">
        <is>
          <t>RATE LIBRARY - GHANA CEDIS (GHS)</t>
        </is>
      </c>
    </row>
    <row r="2" ht="45" customHeight="1" s="12">
      <c r="A2" s="590" t="inlineStr">
        <is>
          <t>All BOQ rates link to column D below. Change a rate here and every floor bill, bill summary and the General Summary update automatically. Rates are estimates at September 2026 Accra prices, supply &amp; fix, excl. levies/taxes.</t>
        </is>
      </c>
    </row>
    <row r="3"/>
    <row r="4">
      <c r="A4" s="591" t="inlineStr">
        <is>
          <t>CODE</t>
        </is>
      </c>
      <c r="B4" s="591" t="inlineStr">
        <is>
          <t>DESCRIPTION</t>
        </is>
      </c>
      <c r="C4" s="591" t="inlineStr">
        <is>
          <t>UNIT</t>
        </is>
      </c>
      <c r="D4" s="591" t="inlineStr">
        <is>
          <t>RATE (GHS)</t>
        </is>
      </c>
      <c r="E4" s="591" t="inlineStr">
        <is>
          <t>BASIS</t>
        </is>
      </c>
    </row>
    <row r="5"/>
    <row r="6">
      <c r="B6" s="592" t="inlineStr">
        <is>
          <t>SUBSTRUCTURE / EARTHWORKS</t>
        </is>
      </c>
    </row>
    <row r="7">
      <c r="A7" s="593" t="inlineStr">
        <is>
          <t>R_CLR</t>
        </is>
      </c>
      <c r="B7" s="593" t="inlineStr">
        <is>
          <t>Clear site of vegetation, grub up roots and dispose</t>
        </is>
      </c>
      <c r="C7" s="593" t="inlineStr">
        <is>
          <t>m2</t>
        </is>
      </c>
      <c r="D7" s="594" t="n">
        <v>15</v>
      </c>
      <c r="E7" s="595" t="inlineStr">
        <is>
          <t>Machine &amp; labour</t>
        </is>
      </c>
    </row>
    <row r="8">
      <c r="A8" s="593" t="inlineStr">
        <is>
          <t>R_TOP</t>
        </is>
      </c>
      <c r="B8" s="593" t="inlineStr">
        <is>
          <t>Excavate oversite avg 150mm deep, deposit on site</t>
        </is>
      </c>
      <c r="C8" s="593" t="inlineStr">
        <is>
          <t>m2</t>
        </is>
      </c>
      <c r="D8" s="594" t="n">
        <v>28</v>
      </c>
      <c r="E8" s="595" t="inlineStr"/>
    </row>
    <row r="9">
      <c r="A9" s="593" t="inlineStr">
        <is>
          <t>R_EXC</t>
        </is>
      </c>
      <c r="B9" s="593" t="inlineStr">
        <is>
          <t>Excavate to reduce levels max 4.00m deep (machine)</t>
        </is>
      </c>
      <c r="C9" s="593" t="inlineStr">
        <is>
          <t>m3</t>
        </is>
      </c>
      <c r="D9" s="594" t="n">
        <v>85</v>
      </c>
      <c r="E9" s="595" t="inlineStr"/>
    </row>
    <row r="10">
      <c r="A10" s="593" t="inlineStr">
        <is>
          <t>R_FILL1</t>
        </is>
      </c>
      <c r="B10" s="593" t="inlineStr">
        <is>
          <t>Imported fill over raft incl. membrane/geogrid, compacted</t>
        </is>
      </c>
      <c r="C10" s="593" t="inlineStr">
        <is>
          <t>m3</t>
        </is>
      </c>
      <c r="D10" s="594" t="n">
        <v>220</v>
      </c>
      <c r="E10" s="595" t="inlineStr"/>
    </row>
    <row r="11">
      <c r="A11" s="593" t="inlineStr">
        <is>
          <t>R_FILL2</t>
        </is>
      </c>
      <c r="B11" s="593" t="inlineStr">
        <is>
          <t>Crushed rock fill in 300mm compacted layers with geogrid</t>
        </is>
      </c>
      <c r="C11" s="593" t="inlineStr">
        <is>
          <t>m3</t>
        </is>
      </c>
      <c r="D11" s="594" t="n">
        <v>480</v>
      </c>
      <c r="E11" s="595" t="inlineStr"/>
    </row>
    <row r="12">
      <c r="A12" s="593" t="inlineStr">
        <is>
          <t>R_BACK</t>
        </is>
      </c>
      <c r="B12" s="593" t="inlineStr">
        <is>
          <t>Backfill with selected excavated material, compacted</t>
        </is>
      </c>
      <c r="C12" s="593" t="inlineStr">
        <is>
          <t>m3</t>
        </is>
      </c>
      <c r="D12" s="594" t="n">
        <v>60</v>
      </c>
      <c r="E12" s="595" t="inlineStr"/>
    </row>
    <row r="13">
      <c r="A13" s="593" t="inlineStr">
        <is>
          <t>R_DISP</t>
        </is>
      </c>
      <c r="B13" s="593" t="inlineStr">
        <is>
          <t>Load and cart away surplus material</t>
        </is>
      </c>
      <c r="C13" s="593" t="inlineStr">
        <is>
          <t>m3</t>
        </is>
      </c>
      <c r="D13" s="594" t="n">
        <v>75</v>
      </c>
      <c r="E13" s="595" t="inlineStr"/>
    </row>
    <row r="14">
      <c r="A14" s="593" t="inlineStr">
        <is>
          <t>R_HARD</t>
        </is>
      </c>
      <c r="B14" s="593" t="inlineStr">
        <is>
          <t>Hardcore filling 150mm, compacted</t>
        </is>
      </c>
      <c r="C14" s="593" t="inlineStr">
        <is>
          <t>m3</t>
        </is>
      </c>
      <c r="D14" s="594" t="n">
        <v>260</v>
      </c>
      <c r="E14" s="595" t="inlineStr"/>
    </row>
    <row r="15">
      <c r="A15" s="593" t="inlineStr">
        <is>
          <t>R_BLIND</t>
        </is>
      </c>
      <c r="B15" s="593" t="inlineStr">
        <is>
          <t>Plain concrete C15 blinding</t>
        </is>
      </c>
      <c r="C15" s="593" t="inlineStr">
        <is>
          <t>m3</t>
        </is>
      </c>
      <c r="D15" s="594" t="n">
        <v>1650</v>
      </c>
      <c r="E15" s="595" t="inlineStr"/>
    </row>
    <row r="16">
      <c r="A16" s="593" t="inlineStr">
        <is>
          <t>R_BED</t>
        </is>
      </c>
      <c r="B16" s="593" t="inlineStr">
        <is>
          <t>Concrete bed 150mm</t>
        </is>
      </c>
      <c r="C16" s="593" t="inlineStr">
        <is>
          <t>m3</t>
        </is>
      </c>
      <c r="D16" s="594" t="n">
        <v>2150</v>
      </c>
      <c r="E16" s="595" t="inlineStr"/>
    </row>
    <row r="17"/>
    <row r="18">
      <c r="B18" s="592" t="inlineStr">
        <is>
          <t>IN-SITU CONCRETE C40 (supply, place, vibrate, cure)</t>
        </is>
      </c>
    </row>
    <row r="19">
      <c r="A19" s="593" t="inlineStr">
        <is>
          <t>R_CRAFT</t>
        </is>
      </c>
      <c r="B19" s="593" t="inlineStr">
        <is>
          <t>C40 concrete in raft</t>
        </is>
      </c>
      <c r="C19" s="593" t="inlineStr">
        <is>
          <t>m3</t>
        </is>
      </c>
      <c r="D19" s="594" t="n">
        <v>2550</v>
      </c>
      <c r="E19" s="595" t="inlineStr"/>
    </row>
    <row r="20">
      <c r="A20" s="593" t="inlineStr">
        <is>
          <t>R_CWALL</t>
        </is>
      </c>
      <c r="B20" s="593" t="inlineStr">
        <is>
          <t>C40 concrete in walls</t>
        </is>
      </c>
      <c r="C20" s="593" t="inlineStr">
        <is>
          <t>m3</t>
        </is>
      </c>
      <c r="D20" s="594" t="n">
        <v>2750</v>
      </c>
      <c r="E20" s="595" t="inlineStr"/>
    </row>
    <row r="21">
      <c r="A21" s="593" t="inlineStr">
        <is>
          <t>R_CCOL</t>
        </is>
      </c>
      <c r="B21" s="593" t="inlineStr">
        <is>
          <t>C40 concrete in columns</t>
        </is>
      </c>
      <c r="C21" s="593" t="inlineStr">
        <is>
          <t>m3</t>
        </is>
      </c>
      <c r="D21" s="594" t="n">
        <v>2800</v>
      </c>
      <c r="E21" s="595" t="inlineStr"/>
    </row>
    <row r="22">
      <c r="A22" s="593" t="inlineStr">
        <is>
          <t>R_CSLAB</t>
        </is>
      </c>
      <c r="B22" s="593" t="inlineStr">
        <is>
          <t>C40 concrete in suspended slabs</t>
        </is>
      </c>
      <c r="C22" s="593" t="inlineStr">
        <is>
          <t>m3</t>
        </is>
      </c>
      <c r="D22" s="594" t="n">
        <v>2650</v>
      </c>
      <c r="E22" s="595" t="inlineStr"/>
    </row>
    <row r="23">
      <c r="A23" s="593" t="inlineStr">
        <is>
          <t>R_CBEAM</t>
        </is>
      </c>
      <c r="B23" s="593" t="inlineStr">
        <is>
          <t>C40 concrete in beams</t>
        </is>
      </c>
      <c r="C23" s="593" t="inlineStr">
        <is>
          <t>m3</t>
        </is>
      </c>
      <c r="D23" s="594" t="n">
        <v>2700</v>
      </c>
      <c r="E23" s="595" t="inlineStr"/>
    </row>
    <row r="24">
      <c r="A24" s="593" t="inlineStr">
        <is>
          <t>R_CSTAIR</t>
        </is>
      </c>
      <c r="B24" s="593" t="inlineStr">
        <is>
          <t>C40 concrete in stairs</t>
        </is>
      </c>
      <c r="C24" s="593" t="inlineStr">
        <is>
          <t>m3</t>
        </is>
      </c>
      <c r="D24" s="594" t="n">
        <v>2850</v>
      </c>
      <c r="E24" s="595" t="inlineStr"/>
    </row>
    <row r="25">
      <c r="A25" s="593" t="inlineStr">
        <is>
          <t>R_CLINT</t>
        </is>
      </c>
      <c r="B25" s="593" t="inlineStr">
        <is>
          <t>Concrete in lintels</t>
        </is>
      </c>
      <c r="C25" s="593" t="inlineStr">
        <is>
          <t>m3</t>
        </is>
      </c>
      <c r="D25" s="594" t="n">
        <v>2600</v>
      </c>
      <c r="E25" s="595" t="inlineStr"/>
    </row>
    <row r="26">
      <c r="A26" s="593" t="inlineStr">
        <is>
          <t>R_CCOP</t>
        </is>
      </c>
      <c r="B26" s="593" t="inlineStr">
        <is>
          <t>Concrete in copings</t>
        </is>
      </c>
      <c r="C26" s="593" t="inlineStr">
        <is>
          <t>m3</t>
        </is>
      </c>
      <c r="D26" s="594" t="n">
        <v>2600</v>
      </c>
      <c r="E26" s="595" t="inlineStr"/>
    </row>
    <row r="27"/>
    <row r="28">
      <c r="B28" s="592" t="inlineStr">
        <is>
          <t>REINFORCEMENT (supply, cut, bend, fix incl. tying wire)</t>
        </is>
      </c>
    </row>
    <row r="29">
      <c r="A29" s="593" t="inlineStr">
        <is>
          <t>R_Y10</t>
        </is>
      </c>
      <c r="B29" s="593" t="inlineStr">
        <is>
          <t>High yield bar 10mm</t>
        </is>
      </c>
      <c r="C29" s="593" t="inlineStr">
        <is>
          <t>t</t>
        </is>
      </c>
      <c r="D29" s="594" t="n">
        <v>20500</v>
      </c>
      <c r="E29" s="595" t="inlineStr">
        <is>
          <t>GHS per tonne</t>
        </is>
      </c>
    </row>
    <row r="30">
      <c r="A30" s="593" t="inlineStr">
        <is>
          <t>R_Y12</t>
        </is>
      </c>
      <c r="B30" s="593" t="inlineStr">
        <is>
          <t>High yield bar 12mm</t>
        </is>
      </c>
      <c r="C30" s="593" t="inlineStr">
        <is>
          <t>t</t>
        </is>
      </c>
      <c r="D30" s="594" t="n">
        <v>20000</v>
      </c>
      <c r="E30" s="595" t="inlineStr"/>
    </row>
    <row r="31">
      <c r="A31" s="593" t="inlineStr">
        <is>
          <t>R_Y16</t>
        </is>
      </c>
      <c r="B31" s="593" t="inlineStr">
        <is>
          <t>High yield bar 16mm</t>
        </is>
      </c>
      <c r="C31" s="593" t="inlineStr">
        <is>
          <t>t</t>
        </is>
      </c>
      <c r="D31" s="594" t="n">
        <v>19500</v>
      </c>
      <c r="E31" s="595" t="inlineStr"/>
    </row>
    <row r="32">
      <c r="A32" s="593" t="inlineStr">
        <is>
          <t>R_Y20</t>
        </is>
      </c>
      <c r="B32" s="593" t="inlineStr">
        <is>
          <t>High yield bar 20mm</t>
        </is>
      </c>
      <c r="C32" s="593" t="inlineStr">
        <is>
          <t>t</t>
        </is>
      </c>
      <c r="D32" s="594" t="n">
        <v>19000</v>
      </c>
      <c r="E32" s="595" t="inlineStr"/>
    </row>
    <row r="33">
      <c r="A33" s="593" t="inlineStr">
        <is>
          <t>R_Y25</t>
        </is>
      </c>
      <c r="B33" s="593" t="inlineStr">
        <is>
          <t>High yield bar 25mm</t>
        </is>
      </c>
      <c r="C33" s="593" t="inlineStr">
        <is>
          <t>t</t>
        </is>
      </c>
      <c r="D33" s="594" t="n">
        <v>19000</v>
      </c>
      <c r="E33" s="595" t="inlineStr"/>
    </row>
    <row r="34"/>
    <row r="35">
      <c r="B35" s="592" t="inlineStr">
        <is>
          <t>FORMWORK</t>
        </is>
      </c>
    </row>
    <row r="36">
      <c r="A36" s="593" t="inlineStr">
        <is>
          <t>R_FWALL</t>
        </is>
      </c>
      <c r="B36" s="593" t="inlineStr">
        <is>
          <t>Formwork to walls</t>
        </is>
      </c>
      <c r="C36" s="593" t="inlineStr">
        <is>
          <t>m2</t>
        </is>
      </c>
      <c r="D36" s="594" t="n">
        <v>185</v>
      </c>
      <c r="E36" s="595" t="inlineStr"/>
    </row>
    <row r="37">
      <c r="A37" s="593" t="inlineStr">
        <is>
          <t>R_FCOL</t>
        </is>
      </c>
      <c r="B37" s="593" t="inlineStr">
        <is>
          <t>Formwork to columns</t>
        </is>
      </c>
      <c r="C37" s="593" t="inlineStr">
        <is>
          <t>m2</t>
        </is>
      </c>
      <c r="D37" s="594" t="n">
        <v>190</v>
      </c>
      <c r="E37" s="595" t="inlineStr"/>
    </row>
    <row r="38">
      <c r="A38" s="593" t="inlineStr">
        <is>
          <t>R_FSLAB</t>
        </is>
      </c>
      <c r="B38" s="593" t="inlineStr">
        <is>
          <t>Formwork to slab soffits incl. props</t>
        </is>
      </c>
      <c r="C38" s="593" t="inlineStr">
        <is>
          <t>m2</t>
        </is>
      </c>
      <c r="D38" s="594" t="n">
        <v>170</v>
      </c>
      <c r="E38" s="595" t="inlineStr"/>
    </row>
    <row r="39">
      <c r="A39" s="593" t="inlineStr">
        <is>
          <t>R_FBEAM</t>
        </is>
      </c>
      <c r="B39" s="593" t="inlineStr">
        <is>
          <t>Formwork to beam sides &amp; soffits</t>
        </is>
      </c>
      <c r="C39" s="593" t="inlineStr">
        <is>
          <t>m2</t>
        </is>
      </c>
      <c r="D39" s="594" t="n">
        <v>200</v>
      </c>
      <c r="E39" s="595" t="inlineStr"/>
    </row>
    <row r="40">
      <c r="A40" s="593" t="inlineStr">
        <is>
          <t>R_FEDGE</t>
        </is>
      </c>
      <c r="B40" s="593" t="inlineStr">
        <is>
          <t>Formwork to edges not exceeding 250mm high</t>
        </is>
      </c>
      <c r="C40" s="593" t="inlineStr">
        <is>
          <t>m</t>
        </is>
      </c>
      <c r="D40" s="594" t="n">
        <v>65</v>
      </c>
      <c r="E40" s="595" t="inlineStr"/>
    </row>
    <row r="41">
      <c r="A41" s="593" t="inlineStr">
        <is>
          <t>R_FRAFT</t>
        </is>
      </c>
      <c r="B41" s="593" t="inlineStr">
        <is>
          <t>Formwork to raft edges</t>
        </is>
      </c>
      <c r="C41" s="593" t="inlineStr">
        <is>
          <t>m2</t>
        </is>
      </c>
      <c r="D41" s="594" t="n">
        <v>150</v>
      </c>
      <c r="E41" s="595" t="inlineStr"/>
    </row>
    <row r="42">
      <c r="A42" s="593" t="inlineStr">
        <is>
          <t>R_FSTAIR</t>
        </is>
      </c>
      <c r="B42" s="593" t="inlineStr">
        <is>
          <t>Formwork to stairs</t>
        </is>
      </c>
      <c r="C42" s="593" t="inlineStr">
        <is>
          <t>m2</t>
        </is>
      </c>
      <c r="D42" s="594" t="n">
        <v>230</v>
      </c>
      <c r="E42" s="595" t="inlineStr"/>
    </row>
    <row r="43">
      <c r="A43" s="593" t="inlineStr">
        <is>
          <t>R_FLINT</t>
        </is>
      </c>
      <c r="B43" s="593" t="inlineStr">
        <is>
          <t>Formwork to lintels / copings</t>
        </is>
      </c>
      <c r="C43" s="593" t="inlineStr">
        <is>
          <t>m2</t>
        </is>
      </c>
      <c r="D43" s="594" t="n">
        <v>180</v>
      </c>
      <c r="E43" s="595" t="inlineStr"/>
    </row>
    <row r="44"/>
    <row r="45">
      <c r="B45" s="592" t="inlineStr">
        <is>
          <t>MASONRY &amp; FINISHES</t>
        </is>
      </c>
    </row>
    <row r="46">
      <c r="A46" s="593" t="inlineStr">
        <is>
          <t>R_B150</t>
        </is>
      </c>
      <c r="B46" s="593" t="inlineStr">
        <is>
          <t>150mm sandcrete blockwork</t>
        </is>
      </c>
      <c r="C46" s="593" t="inlineStr">
        <is>
          <t>m2</t>
        </is>
      </c>
      <c r="D46" s="594" t="n">
        <v>215</v>
      </c>
      <c r="E46" s="595" t="inlineStr"/>
    </row>
    <row r="47">
      <c r="A47" s="593" t="inlineStr">
        <is>
          <t>R_B200</t>
        </is>
      </c>
      <c r="B47" s="593" t="inlineStr">
        <is>
          <t>200mm sandcrete blockwork</t>
        </is>
      </c>
      <c r="C47" s="593" t="inlineStr">
        <is>
          <t>m2</t>
        </is>
      </c>
      <c r="D47" s="594" t="n">
        <v>265</v>
      </c>
      <c r="E47" s="595" t="inlineStr"/>
    </row>
    <row r="48">
      <c r="A48" s="593" t="inlineStr">
        <is>
          <t>R_REND</t>
        </is>
      </c>
      <c r="B48" s="593" t="inlineStr">
        <is>
          <t>12.5mm cement &amp; sand rendering</t>
        </is>
      </c>
      <c r="C48" s="593" t="inlineStr">
        <is>
          <t>m2</t>
        </is>
      </c>
      <c r="D48" s="594" t="n">
        <v>78</v>
      </c>
      <c r="E48" s="595" t="inlineStr"/>
    </row>
    <row r="49">
      <c r="A49" s="593" t="inlineStr">
        <is>
          <t>R_RENDX</t>
        </is>
      </c>
      <c r="B49" s="593" t="inlineStr">
        <is>
          <t>External rendering</t>
        </is>
      </c>
      <c r="C49" s="593" t="inlineStr">
        <is>
          <t>m2</t>
        </is>
      </c>
      <c r="D49" s="594" t="n">
        <v>88</v>
      </c>
      <c r="E49" s="595" t="inlineStr"/>
    </row>
    <row r="50">
      <c r="A50" s="593" t="inlineStr">
        <is>
          <t>R_SCR25</t>
        </is>
      </c>
      <c r="B50" s="593" t="inlineStr">
        <is>
          <t>25mm screed</t>
        </is>
      </c>
      <c r="C50" s="593" t="inlineStr">
        <is>
          <t>m2</t>
        </is>
      </c>
      <c r="D50" s="594" t="n">
        <v>68</v>
      </c>
      <c r="E50" s="595" t="inlineStr"/>
    </row>
    <row r="51">
      <c r="A51" s="593" t="inlineStr">
        <is>
          <t>R_BED12</t>
        </is>
      </c>
      <c r="B51" s="593" t="inlineStr">
        <is>
          <t>12mm screeded bed to receive floor tiles</t>
        </is>
      </c>
      <c r="C51" s="593" t="inlineStr">
        <is>
          <t>m2</t>
        </is>
      </c>
      <c r="D51" s="594" t="n">
        <v>48</v>
      </c>
      <c r="E51" s="595" t="inlineStr"/>
    </row>
    <row r="52">
      <c r="A52" s="593" t="inlineStr">
        <is>
          <t>R_BACK12</t>
        </is>
      </c>
      <c r="B52" s="593" t="inlineStr">
        <is>
          <t>12mm backing to receive wall tiles</t>
        </is>
      </c>
      <c r="C52" s="593" t="inlineStr">
        <is>
          <t>m2</t>
        </is>
      </c>
      <c r="D52" s="594" t="n">
        <v>55</v>
      </c>
      <c r="E52" s="595" t="inlineStr"/>
    </row>
    <row r="53">
      <c r="A53" s="593" t="inlineStr">
        <is>
          <t>R_T40</t>
        </is>
      </c>
      <c r="B53" s="593" t="inlineStr">
        <is>
          <t>400x400 non-slip porcelain tiles</t>
        </is>
      </c>
      <c r="C53" s="593" t="inlineStr">
        <is>
          <t>m2</t>
        </is>
      </c>
      <c r="D53" s="594" t="n">
        <v>230</v>
      </c>
      <c r="E53" s="595" t="inlineStr">
        <is>
          <t>Supply &amp; fix</t>
        </is>
      </c>
    </row>
    <row r="54">
      <c r="A54" s="593" t="inlineStr">
        <is>
          <t>R_T50</t>
        </is>
      </c>
      <c r="B54" s="593" t="inlineStr">
        <is>
          <t>500x500 matte R11 porcelain tiles to stairs</t>
        </is>
      </c>
      <c r="C54" s="593" t="inlineStr">
        <is>
          <t>m2</t>
        </is>
      </c>
      <c r="D54" s="594" t="n">
        <v>270</v>
      </c>
      <c r="E54" s="595" t="inlineStr"/>
    </row>
    <row r="55">
      <c r="A55" s="593" t="inlineStr">
        <is>
          <t>R_T60S</t>
        </is>
      </c>
      <c r="B55" s="593" t="inlineStr">
        <is>
          <t>600x600 semi-polished porcelain tiles</t>
        </is>
      </c>
      <c r="C55" s="593" t="inlineStr">
        <is>
          <t>m2</t>
        </is>
      </c>
      <c r="D55" s="594" t="n">
        <v>265</v>
      </c>
      <c r="E55" s="595" t="inlineStr"/>
    </row>
    <row r="56">
      <c r="A56" s="593" t="inlineStr">
        <is>
          <t>R_T120</t>
        </is>
      </c>
      <c r="B56" s="593" t="inlineStr">
        <is>
          <t>600x1200 semi-polished porcelain tiles</t>
        </is>
      </c>
      <c r="C56" s="593" t="inlineStr">
        <is>
          <t>m2</t>
        </is>
      </c>
      <c r="D56" s="594" t="n">
        <v>330</v>
      </c>
      <c r="E56" s="595" t="inlineStr"/>
    </row>
    <row r="57">
      <c r="A57" s="593" t="inlineStr">
        <is>
          <t>R_T60N</t>
        </is>
      </c>
      <c r="B57" s="593" t="inlineStr">
        <is>
          <t>600x600 non-slip R11 porcelain tiles</t>
        </is>
      </c>
      <c r="C57" s="593" t="inlineStr">
        <is>
          <t>m2</t>
        </is>
      </c>
      <c r="D57" s="594" t="n">
        <v>250</v>
      </c>
      <c r="E57" s="595" t="inlineStr"/>
    </row>
    <row r="58">
      <c r="A58" s="593" t="inlineStr">
        <is>
          <t>R_TINT</t>
        </is>
      </c>
      <c r="B58" s="593" t="inlineStr">
        <is>
          <t>Interlocking composite tiles</t>
        </is>
      </c>
      <c r="C58" s="593" t="inlineStr">
        <is>
          <t>m2</t>
        </is>
      </c>
      <c r="D58" s="594" t="n">
        <v>360</v>
      </c>
      <c r="E58" s="595" t="inlineStr"/>
    </row>
    <row r="59">
      <c r="A59" s="593" t="inlineStr">
        <is>
          <t>R_PU</t>
        </is>
      </c>
      <c r="B59" s="593" t="inlineStr">
        <is>
          <t>PU resin screed / coating</t>
        </is>
      </c>
      <c r="C59" s="593" t="inlineStr">
        <is>
          <t>m2</t>
        </is>
      </c>
      <c r="D59" s="594" t="n">
        <v>290</v>
      </c>
      <c r="E59" s="595" t="inlineStr"/>
    </row>
    <row r="60">
      <c r="A60" s="593" t="inlineStr">
        <is>
          <t>R_WT</t>
        </is>
      </c>
      <c r="B60" s="593" t="inlineStr">
        <is>
          <t>Wall tiles to washrooms</t>
        </is>
      </c>
      <c r="C60" s="593" t="inlineStr">
        <is>
          <t>m2</t>
        </is>
      </c>
      <c r="D60" s="594" t="n">
        <v>240</v>
      </c>
      <c r="E60" s="595" t="inlineStr"/>
    </row>
    <row r="61">
      <c r="A61" s="593" t="inlineStr">
        <is>
          <t>R_EMUL</t>
        </is>
      </c>
      <c r="B61" s="593" t="inlineStr">
        <is>
          <t>Emulsion paint (2 undercoats + finish)</t>
        </is>
      </c>
      <c r="C61" s="593" t="inlineStr">
        <is>
          <t>m2</t>
        </is>
      </c>
      <c r="D61" s="594" t="n">
        <v>45</v>
      </c>
      <c r="E61" s="595" t="inlineStr"/>
    </row>
    <row r="62">
      <c r="A62" s="593" t="inlineStr">
        <is>
          <t>R_EXTP</t>
        </is>
      </c>
      <c r="B62" s="593" t="inlineStr">
        <is>
          <t>Exterior paint</t>
        </is>
      </c>
      <c r="C62" s="593" t="inlineStr">
        <is>
          <t>m2</t>
        </is>
      </c>
      <c r="D62" s="594" t="n">
        <v>62</v>
      </c>
      <c r="E62" s="595" t="inlineStr"/>
    </row>
    <row r="63">
      <c r="A63" s="593" t="inlineStr">
        <is>
          <t>R_CEILP</t>
        </is>
      </c>
      <c r="B63" s="593" t="inlineStr">
        <is>
          <t>Emulsion to plasterboard soffits</t>
        </is>
      </c>
      <c r="C63" s="593" t="inlineStr">
        <is>
          <t>m2</t>
        </is>
      </c>
      <c r="D63" s="594" t="n">
        <v>48</v>
      </c>
      <c r="E63" s="595" t="inlineStr"/>
    </row>
    <row r="64">
      <c r="A64" s="593" t="inlineStr">
        <is>
          <t>R_GLOSS</t>
        </is>
      </c>
      <c r="B64" s="593" t="inlineStr">
        <is>
          <t>Gloss oil paint to woodwork</t>
        </is>
      </c>
      <c r="C64" s="593" t="inlineStr">
        <is>
          <t>m2</t>
        </is>
      </c>
      <c r="D64" s="594" t="n">
        <v>72</v>
      </c>
      <c r="E64" s="595" t="inlineStr"/>
    </row>
    <row r="65">
      <c r="A65" s="593" t="inlineStr">
        <is>
          <t>R_PRIM</t>
        </is>
      </c>
      <c r="B65" s="593" t="inlineStr">
        <is>
          <t>Aluminium primer to burglar-proof bars</t>
        </is>
      </c>
      <c r="C65" s="593" t="inlineStr">
        <is>
          <t>m2</t>
        </is>
      </c>
      <c r="D65" s="594" t="n">
        <v>40</v>
      </c>
      <c r="E65" s="595" t="inlineStr"/>
    </row>
    <row r="66"/>
    <row r="67">
      <c r="B67" s="592" t="inlineStr">
        <is>
          <t>WATERPROOFING</t>
        </is>
      </c>
    </row>
    <row r="68">
      <c r="A68" s="593" t="inlineStr">
        <is>
          <t>R_WP</t>
        </is>
      </c>
      <c r="B68" s="593" t="inlineStr">
        <is>
          <t>Liquid applied waterproofing</t>
        </is>
      </c>
      <c r="C68" s="593" t="inlineStr">
        <is>
          <t>m2</t>
        </is>
      </c>
      <c r="D68" s="594" t="n">
        <v>165</v>
      </c>
      <c r="E68" s="595" t="inlineStr"/>
    </row>
    <row r="69">
      <c r="A69" s="593" t="inlineStr">
        <is>
          <t>R_WPS</t>
        </is>
      </c>
      <c r="B69" s="593" t="inlineStr">
        <is>
          <t>Protective screed over waterproofing</t>
        </is>
      </c>
      <c r="C69" s="593" t="inlineStr">
        <is>
          <t>m2</t>
        </is>
      </c>
      <c r="D69" s="594" t="n">
        <v>72</v>
      </c>
      <c r="E69" s="595" t="inlineStr"/>
    </row>
    <row r="70">
      <c r="A70" s="593" t="inlineStr">
        <is>
          <t>R_FLASH</t>
        </is>
      </c>
      <c r="B70" s="593" t="inlineStr">
        <is>
          <t>Flashings, upstands &amp; counter-flashings</t>
        </is>
      </c>
      <c r="C70" s="593" t="inlineStr">
        <is>
          <t>m</t>
        </is>
      </c>
      <c r="D70" s="594" t="n">
        <v>185</v>
      </c>
      <c r="E70" s="595" t="inlineStr"/>
    </row>
    <row r="71">
      <c r="A71" s="593" t="inlineStr">
        <is>
          <t>R_GUT</t>
        </is>
      </c>
      <c r="B71" s="593" t="inlineStr">
        <is>
          <t>Gutters / drainage channels</t>
        </is>
      </c>
      <c r="C71" s="593" t="inlineStr">
        <is>
          <t>m</t>
        </is>
      </c>
      <c r="D71" s="594" t="n">
        <v>360</v>
      </c>
      <c r="E71" s="595" t="inlineStr"/>
    </row>
    <row r="72"/>
    <row r="73">
      <c r="B73" s="592" t="inlineStr">
        <is>
          <t>DOORS (supply &amp; fix complete with frames/assemblies)</t>
        </is>
      </c>
    </row>
    <row r="74">
      <c r="A74" s="593" t="inlineStr">
        <is>
          <t>R_D1</t>
        </is>
      </c>
      <c r="B74" s="593" t="inlineStr">
        <is>
          <t>Door D1 1800x2400</t>
        </is>
      </c>
      <c r="C74" s="593" t="inlineStr">
        <is>
          <t>nr</t>
        </is>
      </c>
      <c r="D74" s="594" t="n">
        <v>18500</v>
      </c>
      <c r="E74" s="595" t="inlineStr"/>
    </row>
    <row r="75">
      <c r="A75" s="593" t="inlineStr">
        <is>
          <t>R_D2</t>
        </is>
      </c>
      <c r="B75" s="593" t="inlineStr">
        <is>
          <t>Door D2 1000x2200</t>
        </is>
      </c>
      <c r="C75" s="593" t="inlineStr">
        <is>
          <t>nr</t>
        </is>
      </c>
      <c r="D75" s="594" t="n">
        <v>7800</v>
      </c>
      <c r="E75" s="595" t="inlineStr"/>
    </row>
    <row r="76">
      <c r="A76" s="593" t="inlineStr">
        <is>
          <t>R_D3</t>
        </is>
      </c>
      <c r="B76" s="593" t="inlineStr">
        <is>
          <t>Door D3 900x2200</t>
        </is>
      </c>
      <c r="C76" s="593" t="inlineStr">
        <is>
          <t>nr</t>
        </is>
      </c>
      <c r="D76" s="594" t="n">
        <v>3400</v>
      </c>
      <c r="E76" s="595" t="inlineStr"/>
    </row>
    <row r="77">
      <c r="A77" s="593" t="inlineStr">
        <is>
          <t>R_D4</t>
        </is>
      </c>
      <c r="B77" s="593" t="inlineStr">
        <is>
          <t>Door D4 900x2350</t>
        </is>
      </c>
      <c r="C77" s="593" t="inlineStr">
        <is>
          <t>nr</t>
        </is>
      </c>
      <c r="D77" s="594" t="n">
        <v>3900</v>
      </c>
      <c r="E77" s="595" t="inlineStr"/>
    </row>
    <row r="78">
      <c r="A78" s="593" t="inlineStr">
        <is>
          <t>R_D5</t>
        </is>
      </c>
      <c r="B78" s="593" t="inlineStr">
        <is>
          <t>Door D5 3200x2200</t>
        </is>
      </c>
      <c r="C78" s="593" t="inlineStr">
        <is>
          <t>nr</t>
        </is>
      </c>
      <c r="D78" s="594" t="n">
        <v>16500</v>
      </c>
      <c r="E78" s="595" t="inlineStr"/>
    </row>
    <row r="79">
      <c r="A79" s="593" t="inlineStr">
        <is>
          <t>R_D6</t>
        </is>
      </c>
      <c r="B79" s="593" t="inlineStr">
        <is>
          <t>Door D6 750x2200</t>
        </is>
      </c>
      <c r="C79" s="593" t="inlineStr">
        <is>
          <t>nr</t>
        </is>
      </c>
      <c r="D79" s="594" t="n">
        <v>1900</v>
      </c>
      <c r="E79" s="595" t="inlineStr"/>
    </row>
    <row r="80">
      <c r="A80" s="593" t="inlineStr">
        <is>
          <t>R_D7</t>
        </is>
      </c>
      <c r="B80" s="593" t="inlineStr">
        <is>
          <t>Door D7 700x2200</t>
        </is>
      </c>
      <c r="C80" s="593" t="inlineStr">
        <is>
          <t>nr</t>
        </is>
      </c>
      <c r="D80" s="594" t="n">
        <v>6800</v>
      </c>
      <c r="E80" s="595" t="inlineStr"/>
    </row>
    <row r="81">
      <c r="A81" s="593" t="inlineStr">
        <is>
          <t>R_D8</t>
        </is>
      </c>
      <c r="B81" s="593" t="inlineStr">
        <is>
          <t>Door D8 1200x2200</t>
        </is>
      </c>
      <c r="C81" s="593" t="inlineStr">
        <is>
          <t>nr</t>
        </is>
      </c>
      <c r="D81" s="594" t="n">
        <v>9800</v>
      </c>
      <c r="E81" s="595" t="inlineStr"/>
    </row>
    <row r="82">
      <c r="A82" s="593" t="inlineStr">
        <is>
          <t>R_ED1</t>
        </is>
      </c>
      <c r="B82" s="593" t="inlineStr">
        <is>
          <t>Door ED1 1000x2200</t>
        </is>
      </c>
      <c r="C82" s="593" t="inlineStr">
        <is>
          <t>nr</t>
        </is>
      </c>
      <c r="D82" s="594" t="n">
        <v>7200</v>
      </c>
      <c r="E82" s="595" t="inlineStr"/>
    </row>
    <row r="83">
      <c r="A83" s="593" t="inlineStr">
        <is>
          <t>R_ED2</t>
        </is>
      </c>
      <c r="B83" s="593" t="inlineStr">
        <is>
          <t>Door ED2 1000x2200</t>
        </is>
      </c>
      <c r="C83" s="593" t="inlineStr">
        <is>
          <t>nr</t>
        </is>
      </c>
      <c r="D83" s="594" t="n">
        <v>8100</v>
      </c>
      <c r="E83" s="595" t="inlineStr"/>
    </row>
    <row r="84">
      <c r="A84" s="593" t="inlineStr">
        <is>
          <t>R_D9</t>
        </is>
      </c>
      <c r="B84" s="593" t="inlineStr">
        <is>
          <t>Door D9 900x2200</t>
        </is>
      </c>
      <c r="C84" s="593" t="inlineStr">
        <is>
          <t>nr</t>
        </is>
      </c>
      <c r="D84" s="594" t="n">
        <v>6900</v>
      </c>
      <c r="E84" s="595" t="inlineStr"/>
    </row>
    <row r="85">
      <c r="A85" s="593" t="inlineStr">
        <is>
          <t>R_MD1</t>
        </is>
      </c>
      <c r="B85" s="593" t="inlineStr">
        <is>
          <t>Door MD1 1800x2200</t>
        </is>
      </c>
      <c r="C85" s="593" t="inlineStr">
        <is>
          <t>nr</t>
        </is>
      </c>
      <c r="D85" s="594" t="n">
        <v>14500</v>
      </c>
      <c r="E85" s="595" t="inlineStr"/>
    </row>
    <row r="86">
      <c r="A86" s="593" t="inlineStr">
        <is>
          <t>R_FD1</t>
        </is>
      </c>
      <c r="B86" s="593" t="inlineStr">
        <is>
          <t>Door FD1 1500x2200</t>
        </is>
      </c>
      <c r="C86" s="593" t="inlineStr">
        <is>
          <t>nr</t>
        </is>
      </c>
      <c r="D86" s="594" t="n">
        <v>4600</v>
      </c>
      <c r="E86" s="595" t="inlineStr"/>
    </row>
    <row r="87">
      <c r="A87" s="593" t="inlineStr">
        <is>
          <t>R_M1</t>
        </is>
      </c>
      <c r="B87" s="593" t="inlineStr">
        <is>
          <t>Door M1 900x2200</t>
        </is>
      </c>
      <c r="C87" s="593" t="inlineStr">
        <is>
          <t>nr</t>
        </is>
      </c>
      <c r="D87" s="594" t="n">
        <v>2900</v>
      </c>
      <c r="E87" s="595" t="inlineStr"/>
    </row>
    <row r="88">
      <c r="A88" s="593" t="inlineStr">
        <is>
          <t>R_M2</t>
        </is>
      </c>
      <c r="B88" s="593" t="inlineStr">
        <is>
          <t>Door M2 750x2200</t>
        </is>
      </c>
      <c r="C88" s="593" t="inlineStr">
        <is>
          <t>nr</t>
        </is>
      </c>
      <c r="D88" s="594" t="n">
        <v>2600</v>
      </c>
      <c r="E88" s="595" t="inlineStr"/>
    </row>
    <row r="89">
      <c r="A89" s="593" t="inlineStr">
        <is>
          <t>R_M3</t>
        </is>
      </c>
      <c r="B89" s="593" t="inlineStr">
        <is>
          <t>Door M3 450x2200</t>
        </is>
      </c>
      <c r="C89" s="593" t="inlineStr">
        <is>
          <t>nr</t>
        </is>
      </c>
      <c r="D89" s="594" t="n">
        <v>1900</v>
      </c>
      <c r="E89" s="595" t="inlineStr"/>
    </row>
    <row r="90">
      <c r="A90" s="593" t="inlineStr">
        <is>
          <t>R_M5</t>
        </is>
      </c>
      <c r="B90" s="593" t="inlineStr">
        <is>
          <t>Door M5 600x2200</t>
        </is>
      </c>
      <c r="C90" s="593" t="inlineStr">
        <is>
          <t>nr</t>
        </is>
      </c>
      <c r="D90" s="594" t="n">
        <v>2200</v>
      </c>
      <c r="E90" s="595" t="inlineStr"/>
    </row>
    <row r="91">
      <c r="A91" s="593" t="inlineStr">
        <is>
          <t>R_GD1</t>
        </is>
      </c>
      <c r="B91" s="593" t="inlineStr">
        <is>
          <t>Door GD1 1800x2200</t>
        </is>
      </c>
      <c r="C91" s="593" t="inlineStr">
        <is>
          <t>nr</t>
        </is>
      </c>
      <c r="D91" s="594" t="n">
        <v>12500</v>
      </c>
      <c r="E91" s="595" t="inlineStr"/>
    </row>
    <row r="92">
      <c r="A92" s="593" t="inlineStr">
        <is>
          <t>R_DW1</t>
        </is>
      </c>
      <c r="B92" s="593" t="inlineStr">
        <is>
          <t>Door DW1 2400x2200</t>
        </is>
      </c>
      <c r="C92" s="593" t="inlineStr">
        <is>
          <t>nr</t>
        </is>
      </c>
      <c r="D92" s="594" t="n">
        <v>15500</v>
      </c>
      <c r="E92" s="595" t="inlineStr"/>
    </row>
    <row r="93">
      <c r="A93" s="593" t="inlineStr">
        <is>
          <t>R_DW2</t>
        </is>
      </c>
      <c r="B93" s="593" t="inlineStr">
        <is>
          <t>Door DW2 5050x2200</t>
        </is>
      </c>
      <c r="C93" s="593" t="inlineStr">
        <is>
          <t>nr</t>
        </is>
      </c>
      <c r="D93" s="594" t="n">
        <v>33000</v>
      </c>
      <c r="E93" s="595" t="inlineStr"/>
    </row>
    <row r="94">
      <c r="A94" s="593" t="inlineStr">
        <is>
          <t>R_SD1</t>
        </is>
      </c>
      <c r="B94" s="593" t="inlineStr">
        <is>
          <t>Door SD1 3000x2200</t>
        </is>
      </c>
      <c r="C94" s="593" t="inlineStr">
        <is>
          <t>nr</t>
        </is>
      </c>
      <c r="D94" s="594" t="n">
        <v>14500</v>
      </c>
      <c r="E94" s="595" t="inlineStr"/>
    </row>
    <row r="95">
      <c r="A95" s="593" t="inlineStr">
        <is>
          <t>R_SD2</t>
        </is>
      </c>
      <c r="B95" s="593" t="inlineStr">
        <is>
          <t>Door SD2 1600x2200</t>
        </is>
      </c>
      <c r="C95" s="593" t="inlineStr">
        <is>
          <t>nr</t>
        </is>
      </c>
      <c r="D95" s="594" t="n">
        <v>8800</v>
      </c>
      <c r="E95" s="595" t="inlineStr"/>
    </row>
    <row r="96">
      <c r="A96" s="593" t="inlineStr">
        <is>
          <t>R_SD3</t>
        </is>
      </c>
      <c r="B96" s="593" t="inlineStr">
        <is>
          <t>Door SD3 1300x2200</t>
        </is>
      </c>
      <c r="C96" s="593" t="inlineStr">
        <is>
          <t>nr</t>
        </is>
      </c>
      <c r="D96" s="594" t="n">
        <v>7600</v>
      </c>
      <c r="E96" s="595" t="inlineStr"/>
    </row>
    <row r="97">
      <c r="A97" s="593" t="inlineStr">
        <is>
          <t>R_SD4</t>
        </is>
      </c>
      <c r="B97" s="593" t="inlineStr">
        <is>
          <t>Door SD4 1800x2200</t>
        </is>
      </c>
      <c r="C97" s="593" t="inlineStr">
        <is>
          <t>nr</t>
        </is>
      </c>
      <c r="D97" s="594" t="n">
        <v>9300</v>
      </c>
      <c r="E97" s="595" t="inlineStr"/>
    </row>
    <row r="98">
      <c r="A98" s="593" t="inlineStr">
        <is>
          <t>R_SD5</t>
        </is>
      </c>
      <c r="B98" s="593" t="inlineStr">
        <is>
          <t>Door SD5 1200x2200</t>
        </is>
      </c>
      <c r="C98" s="593" t="inlineStr">
        <is>
          <t>nr</t>
        </is>
      </c>
      <c r="D98" s="594" t="n">
        <v>7200</v>
      </c>
      <c r="E98" s="595" t="inlineStr"/>
    </row>
    <row r="99">
      <c r="A99" s="593" t="inlineStr">
        <is>
          <t>R_RD1</t>
        </is>
      </c>
      <c r="B99" s="593" t="inlineStr">
        <is>
          <t>Door RD1 4200x2157</t>
        </is>
      </c>
      <c r="C99" s="593" t="inlineStr">
        <is>
          <t>nr</t>
        </is>
      </c>
      <c r="D99" s="594" t="n">
        <v>23000</v>
      </c>
      <c r="E99" s="595" t="inlineStr"/>
    </row>
    <row r="100">
      <c r="A100" s="593" t="inlineStr">
        <is>
          <t>R_FRAME</t>
        </is>
      </c>
      <c r="B100" s="593" t="inlineStr">
        <is>
          <t>50x150 hardwood door frames</t>
        </is>
      </c>
      <c r="C100" s="593" t="inlineStr">
        <is>
          <t>m</t>
        </is>
      </c>
      <c r="D100" s="594" t="n">
        <v>125</v>
      </c>
      <c r="E100" s="595" t="inlineStr"/>
    </row>
    <row r="101">
      <c r="A101" s="593" t="inlineStr">
        <is>
          <t>R_STOP</t>
        </is>
      </c>
      <c r="B101" s="593" t="inlineStr">
        <is>
          <t>50x12 door stops</t>
        </is>
      </c>
      <c r="C101" s="593" t="inlineStr">
        <is>
          <t>m</t>
        </is>
      </c>
      <c r="D101" s="594" t="n">
        <v>28</v>
      </c>
      <c r="E101" s="595" t="inlineStr"/>
    </row>
    <row r="102">
      <c r="A102" s="593" t="inlineStr">
        <is>
          <t>R_HINGE</t>
        </is>
      </c>
      <c r="B102" s="593" t="inlineStr">
        <is>
          <t>Pair 100mm brass butt hinges</t>
        </is>
      </c>
      <c r="C102" s="593" t="inlineStr">
        <is>
          <t>pr</t>
        </is>
      </c>
      <c r="D102" s="594" t="n">
        <v>125</v>
      </c>
      <c r="E102" s="595" t="inlineStr"/>
    </row>
    <row r="103">
      <c r="A103" s="593" t="inlineStr">
        <is>
          <t>R_LOCK</t>
        </is>
      </c>
      <c r="B103" s="593" t="inlineStr">
        <is>
          <t>Ordinary mortice lock</t>
        </is>
      </c>
      <c r="C103" s="593" t="inlineStr">
        <is>
          <t>nr</t>
        </is>
      </c>
      <c r="D103" s="594" t="n">
        <v>480</v>
      </c>
      <c r="E103" s="595" t="inlineStr"/>
    </row>
    <row r="104">
      <c r="A104" s="593" t="inlineStr">
        <is>
          <t>R_ILOCK</t>
        </is>
      </c>
      <c r="B104" s="593" t="inlineStr">
        <is>
          <t>Mortice indicator lock</t>
        </is>
      </c>
      <c r="C104" s="593" t="inlineStr">
        <is>
          <t>nr</t>
        </is>
      </c>
      <c r="D104" s="594" t="n">
        <v>560</v>
      </c>
      <c r="E104" s="595" t="inlineStr"/>
    </row>
    <row r="105"/>
    <row r="106">
      <c r="B106" s="592" t="inlineStr">
        <is>
          <t>WINDOWS (aluminium, rate = window area x base rate)</t>
        </is>
      </c>
    </row>
    <row r="107">
      <c r="A107" s="593" t="inlineStr">
        <is>
          <t>R_WBASE</t>
        </is>
      </c>
      <c r="B107" s="593" t="inlineStr">
        <is>
          <t>Aluminium glazed windows - base rate per m2</t>
        </is>
      </c>
      <c r="C107" s="593" t="inlineStr">
        <is>
          <t>m2</t>
        </is>
      </c>
      <c r="D107" s="594" t="n">
        <v>1650</v>
      </c>
      <c r="E107" s="595" t="inlineStr">
        <is>
          <t>Change this to re-price all windows</t>
        </is>
      </c>
    </row>
    <row r="108">
      <c r="A108" s="593" t="inlineStr">
        <is>
          <t>R_W1</t>
        </is>
      </c>
      <c r="B108" s="593" t="inlineStr">
        <is>
          <t>Window W1 3600x1900</t>
        </is>
      </c>
      <c r="C108" s="593" t="inlineStr">
        <is>
          <t>nr</t>
        </is>
      </c>
      <c r="D108" s="596">
        <f>3.6*1.9*D107</f>
        <v>11286.0</v>
      </c>
      <c r="E108" s="595" t="inlineStr">
        <is>
          <t>Linked to base rate</t>
        </is>
      </c>
    </row>
    <row r="109">
      <c r="A109" s="593" t="inlineStr">
        <is>
          <t>R_W2</t>
        </is>
      </c>
      <c r="B109" s="593" t="inlineStr">
        <is>
          <t>Window W2 1800x1300</t>
        </is>
      </c>
      <c r="C109" s="593" t="inlineStr">
        <is>
          <t>nr</t>
        </is>
      </c>
      <c r="D109" s="596">
        <f>1.8*1.3*D107</f>
        <v>3861.0000000000005</v>
      </c>
      <c r="E109" s="595" t="inlineStr">
        <is>
          <t>Linked to base rate</t>
        </is>
      </c>
    </row>
    <row r="110">
      <c r="A110" s="593" t="inlineStr">
        <is>
          <t>R_W3</t>
        </is>
      </c>
      <c r="B110" s="593" t="inlineStr">
        <is>
          <t>Window W3 1800x1500</t>
        </is>
      </c>
      <c r="C110" s="593" t="inlineStr">
        <is>
          <t>nr</t>
        </is>
      </c>
      <c r="D110" s="596">
        <f>1.8*1.5*D107</f>
        <v>4455.0</v>
      </c>
      <c r="E110" s="595" t="inlineStr">
        <is>
          <t>Linked to base rate</t>
        </is>
      </c>
    </row>
    <row r="111">
      <c r="A111" s="593" t="inlineStr">
        <is>
          <t>R_W4</t>
        </is>
      </c>
      <c r="B111" s="593" t="inlineStr">
        <is>
          <t>Window W4 900x1300</t>
        </is>
      </c>
      <c r="C111" s="593" t="inlineStr">
        <is>
          <t>nr</t>
        </is>
      </c>
      <c r="D111" s="596">
        <f>0.9*1.3*D107</f>
        <v>1930.5000000000002</v>
      </c>
      <c r="E111" s="595" t="inlineStr">
        <is>
          <t>Linked to base rate</t>
        </is>
      </c>
    </row>
    <row r="112">
      <c r="A112" s="593" t="inlineStr">
        <is>
          <t>R_W5</t>
        </is>
      </c>
      <c r="B112" s="593" t="inlineStr">
        <is>
          <t>Window W5 1800x1900</t>
        </is>
      </c>
      <c r="C112" s="593" t="inlineStr">
        <is>
          <t>nr</t>
        </is>
      </c>
      <c r="D112" s="596">
        <f>1.8*1.9*D107</f>
        <v>5643.0</v>
      </c>
      <c r="E112" s="595" t="inlineStr">
        <is>
          <t>Linked to base rate</t>
        </is>
      </c>
    </row>
    <row r="113">
      <c r="A113" s="593" t="inlineStr">
        <is>
          <t>R_W6</t>
        </is>
      </c>
      <c r="B113" s="593" t="inlineStr">
        <is>
          <t>Window W6 3500x1500</t>
        </is>
      </c>
      <c r="C113" s="593" t="inlineStr">
        <is>
          <t>nr</t>
        </is>
      </c>
      <c r="D113" s="596">
        <f>3.5*1.5*D107</f>
        <v>8662.5</v>
      </c>
      <c r="E113" s="595" t="inlineStr">
        <is>
          <t>Linked to base rate</t>
        </is>
      </c>
    </row>
    <row r="114">
      <c r="A114" s="593" t="inlineStr">
        <is>
          <t>R_W7</t>
        </is>
      </c>
      <c r="B114" s="593" t="inlineStr">
        <is>
          <t>Window W7 1800x1600</t>
        </is>
      </c>
      <c r="C114" s="593" t="inlineStr">
        <is>
          <t>nr</t>
        </is>
      </c>
      <c r="D114" s="596">
        <f>1.8*1.6*D107</f>
        <v>4752.000000000001</v>
      </c>
      <c r="E114" s="595" t="inlineStr">
        <is>
          <t>Linked to base rate</t>
        </is>
      </c>
    </row>
    <row r="115">
      <c r="A115" s="593" t="inlineStr">
        <is>
          <t>R_W8</t>
        </is>
      </c>
      <c r="B115" s="593" t="inlineStr">
        <is>
          <t>Window W8 1200x1900</t>
        </is>
      </c>
      <c r="C115" s="593" t="inlineStr">
        <is>
          <t>nr</t>
        </is>
      </c>
      <c r="D115" s="596">
        <f>1.2*1.9*D107</f>
        <v>3761.9999999999995</v>
      </c>
      <c r="E115" s="595" t="inlineStr">
        <is>
          <t>Linked to base rate</t>
        </is>
      </c>
    </row>
    <row r="116">
      <c r="A116" s="593" t="inlineStr">
        <is>
          <t>R_W9</t>
        </is>
      </c>
      <c r="B116" s="593" t="inlineStr">
        <is>
          <t>Window W9 1200x1150</t>
        </is>
      </c>
      <c r="C116" s="593" t="inlineStr">
        <is>
          <t>nr</t>
        </is>
      </c>
      <c r="D116" s="596">
        <f>1.2*1.15*D107</f>
        <v>2277.0</v>
      </c>
      <c r="E116" s="595" t="inlineStr">
        <is>
          <t>Linked to base rate</t>
        </is>
      </c>
    </row>
    <row r="117">
      <c r="A117" s="593" t="inlineStr">
        <is>
          <t>R_W10</t>
        </is>
      </c>
      <c r="B117" s="593" t="inlineStr">
        <is>
          <t>Window W10 1200x1200</t>
        </is>
      </c>
      <c r="C117" s="593" t="inlineStr">
        <is>
          <t>nr</t>
        </is>
      </c>
      <c r="D117" s="596">
        <f>1.2*1.2*D107</f>
        <v>2376.0</v>
      </c>
      <c r="E117" s="595" t="inlineStr">
        <is>
          <t>Linked to base rate</t>
        </is>
      </c>
    </row>
    <row r="118">
      <c r="A118" s="593" t="inlineStr">
        <is>
          <t>R_W11</t>
        </is>
      </c>
      <c r="B118" s="593" t="inlineStr">
        <is>
          <t>Window W11 1500x1300</t>
        </is>
      </c>
      <c r="C118" s="593" t="inlineStr">
        <is>
          <t>nr</t>
        </is>
      </c>
      <c r="D118" s="596">
        <f>1.5*1.3*D107</f>
        <v>3217.5000000000005</v>
      </c>
      <c r="E118" s="595" t="inlineStr">
        <is>
          <t>Linked to base rate</t>
        </is>
      </c>
    </row>
    <row r="119">
      <c r="A119" s="593" t="inlineStr">
        <is>
          <t>R_W12</t>
        </is>
      </c>
      <c r="B119" s="593" t="inlineStr">
        <is>
          <t>Window W12 1500x1150</t>
        </is>
      </c>
      <c r="C119" s="593" t="inlineStr">
        <is>
          <t>nr</t>
        </is>
      </c>
      <c r="D119" s="596">
        <f>1.5*1.15*D107</f>
        <v>2846.25</v>
      </c>
      <c r="E119" s="595" t="inlineStr">
        <is>
          <t>Linked to base rate</t>
        </is>
      </c>
    </row>
    <row r="120">
      <c r="A120" s="593" t="inlineStr">
        <is>
          <t>R_W13</t>
        </is>
      </c>
      <c r="B120" s="593" t="inlineStr">
        <is>
          <t>Window W13 2400x1300</t>
        </is>
      </c>
      <c r="C120" s="593" t="inlineStr">
        <is>
          <t>nr</t>
        </is>
      </c>
      <c r="D120" s="596">
        <f>2.4*1.3*D107</f>
        <v>5148.0</v>
      </c>
      <c r="E120" s="595" t="inlineStr">
        <is>
          <t>Linked to base rate</t>
        </is>
      </c>
    </row>
    <row r="121">
      <c r="A121" s="593" t="inlineStr">
        <is>
          <t>R_W14</t>
        </is>
      </c>
      <c r="B121" s="593" t="inlineStr">
        <is>
          <t>Window W14 3600x2200</t>
        </is>
      </c>
      <c r="C121" s="593" t="inlineStr">
        <is>
          <t>nr</t>
        </is>
      </c>
      <c r="D121" s="596">
        <f>3.6*2.2*D107</f>
        <v>13068.000000000002</v>
      </c>
      <c r="E121" s="595" t="inlineStr">
        <is>
          <t>Linked to base rate</t>
        </is>
      </c>
    </row>
    <row r="122">
      <c r="A122" s="593" t="inlineStr">
        <is>
          <t>R_W15</t>
        </is>
      </c>
      <c r="B122" s="593" t="inlineStr">
        <is>
          <t>Window W15 3000x1600</t>
        </is>
      </c>
      <c r="C122" s="593" t="inlineStr">
        <is>
          <t>nr</t>
        </is>
      </c>
      <c r="D122" s="596">
        <f>3*1.6*D107</f>
        <v>7920.000000000001</v>
      </c>
      <c r="E122" s="595" t="inlineStr">
        <is>
          <t>Linked to base rate</t>
        </is>
      </c>
    </row>
    <row r="123">
      <c r="A123" s="593" t="inlineStr">
        <is>
          <t>R_W16</t>
        </is>
      </c>
      <c r="B123" s="593" t="inlineStr">
        <is>
          <t>Window W16 2400x1900</t>
        </is>
      </c>
      <c r="C123" s="593" t="inlineStr">
        <is>
          <t>nr</t>
        </is>
      </c>
      <c r="D123" s="596">
        <f>2.4*1.9*D107</f>
        <v>7523.999999999999</v>
      </c>
      <c r="E123" s="595" t="inlineStr">
        <is>
          <t>Linked to base rate</t>
        </is>
      </c>
    </row>
    <row r="124">
      <c r="A124" s="593" t="inlineStr">
        <is>
          <t>R_W17</t>
        </is>
      </c>
      <c r="B124" s="593" t="inlineStr">
        <is>
          <t>Window W17 1800x1900</t>
        </is>
      </c>
      <c r="C124" s="593" t="inlineStr">
        <is>
          <t>nr</t>
        </is>
      </c>
      <c r="D124" s="596">
        <f>1.8*1.9*D107</f>
        <v>5643.0</v>
      </c>
      <c r="E124" s="595" t="inlineStr">
        <is>
          <t>Linked to base rate</t>
        </is>
      </c>
    </row>
    <row r="125">
      <c r="A125" s="593" t="inlineStr">
        <is>
          <t>R_W18</t>
        </is>
      </c>
      <c r="B125" s="593" t="inlineStr">
        <is>
          <t>Window W18 750x1300</t>
        </is>
      </c>
      <c r="C125" s="593" t="inlineStr">
        <is>
          <t>nr</t>
        </is>
      </c>
      <c r="D125" s="596">
        <f>0.75*1.3*D107</f>
        <v>1608.7500000000002</v>
      </c>
      <c r="E125" s="595" t="inlineStr">
        <is>
          <t>Linked to base rate</t>
        </is>
      </c>
    </row>
    <row r="126">
      <c r="A126" s="593" t="inlineStr">
        <is>
          <t>R_W19</t>
        </is>
      </c>
      <c r="B126" s="593" t="inlineStr">
        <is>
          <t>Window W19 2100x900</t>
        </is>
      </c>
      <c r="C126" s="593" t="inlineStr">
        <is>
          <t>nr</t>
        </is>
      </c>
      <c r="D126" s="596">
        <f>2.1*0.9*D107</f>
        <v>3118.5</v>
      </c>
      <c r="E126" s="595" t="inlineStr">
        <is>
          <t>Linked to base rate</t>
        </is>
      </c>
    </row>
    <row r="127">
      <c r="A127" s="593" t="inlineStr">
        <is>
          <t>R_W20</t>
        </is>
      </c>
      <c r="B127" s="593" t="inlineStr">
        <is>
          <t>Window W20 1450x1900</t>
        </is>
      </c>
      <c r="C127" s="593" t="inlineStr">
        <is>
          <t>nr</t>
        </is>
      </c>
      <c r="D127" s="596">
        <f>1.45*1.9*D107</f>
        <v>4545.75</v>
      </c>
      <c r="E127" s="595" t="inlineStr">
        <is>
          <t>Linked to base rate</t>
        </is>
      </c>
    </row>
    <row r="128">
      <c r="A128" s="593" t="inlineStr">
        <is>
          <t>R_HW1</t>
        </is>
      </c>
      <c r="B128" s="593" t="inlineStr">
        <is>
          <t>Window HW1 900x600</t>
        </is>
      </c>
      <c r="C128" s="593" t="inlineStr">
        <is>
          <t>nr</t>
        </is>
      </c>
      <c r="D128" s="596">
        <f>0.9*0.6*D107</f>
        <v>891.0000000000001</v>
      </c>
      <c r="E128" s="595" t="inlineStr">
        <is>
          <t>Linked to base rate</t>
        </is>
      </c>
    </row>
    <row r="129">
      <c r="A129" s="593" t="inlineStr">
        <is>
          <t>R_HW2</t>
        </is>
      </c>
      <c r="B129" s="593" t="inlineStr">
        <is>
          <t>Window HW2 750x600</t>
        </is>
      </c>
      <c r="C129" s="593" t="inlineStr">
        <is>
          <t>nr</t>
        </is>
      </c>
      <c r="D129" s="596">
        <f>0.75*0.6*D107</f>
        <v>742.4999999999999</v>
      </c>
      <c r="E129" s="595" t="inlineStr">
        <is>
          <t>Linked to base rate</t>
        </is>
      </c>
    </row>
    <row r="130">
      <c r="A130" s="593" t="inlineStr">
        <is>
          <t>R_HW3</t>
        </is>
      </c>
      <c r="B130" s="593" t="inlineStr">
        <is>
          <t>Window HW3 600x600</t>
        </is>
      </c>
      <c r="C130" s="593" t="inlineStr">
        <is>
          <t>nr</t>
        </is>
      </c>
      <c r="D130" s="596">
        <f>0.6*0.6*D107</f>
        <v>594.0</v>
      </c>
      <c r="E130" s="595" t="inlineStr">
        <is>
          <t>Linked to base rate</t>
        </is>
      </c>
    </row>
    <row r="131">
      <c r="A131" s="593" t="inlineStr">
        <is>
          <t>R_HW4</t>
        </is>
      </c>
      <c r="B131" s="593" t="inlineStr">
        <is>
          <t>Window HW4 1200x600</t>
        </is>
      </c>
      <c r="C131" s="593" t="inlineStr">
        <is>
          <t>nr</t>
        </is>
      </c>
      <c r="D131" s="596">
        <f>1.2*0.6*D107</f>
        <v>1188.0</v>
      </c>
      <c r="E131" s="595" t="inlineStr">
        <is>
          <t>Linked to base rate</t>
        </is>
      </c>
    </row>
    <row r="132"/>
    <row r="133">
      <c r="B133" s="592" t="inlineStr">
        <is>
          <t>LIFTS &amp; PROVISIONAL SUMS</t>
        </is>
      </c>
    </row>
    <row r="134">
      <c r="A134" s="593" t="inlineStr">
        <is>
          <t>R_LIFT</t>
        </is>
      </c>
      <c r="B134" s="593" t="inlineStr">
        <is>
          <t>1000kg 12-passenger lift, stainless steel car, installed</t>
        </is>
      </c>
      <c r="C134" s="593" t="inlineStr">
        <is>
          <t>nr</t>
        </is>
      </c>
      <c r="D134" s="594" t="n">
        <v>1250000</v>
      </c>
      <c r="E134" s="595" t="inlineStr"/>
    </row>
    <row r="135">
      <c r="A135" s="593" t="inlineStr">
        <is>
          <t>PS_JOIN</t>
        </is>
      </c>
      <c r="B135" s="593" t="inlineStr">
        <is>
          <t>PS - joinery, wall cladding, balustrades &amp; fittings</t>
        </is>
      </c>
      <c r="C135" s="593" t="inlineStr">
        <is>
          <t>item</t>
        </is>
      </c>
      <c r="D135" s="594" t="n">
        <v>1500000</v>
      </c>
      <c r="E135" s="595" t="inlineStr">
        <is>
          <t>Provisional sum</t>
        </is>
      </c>
    </row>
    <row r="136">
      <c r="A136" s="593" t="inlineStr">
        <is>
          <t>PS_FURN</t>
        </is>
      </c>
      <c r="B136" s="593" t="inlineStr">
        <is>
          <t>PS - furniture &amp; equipment</t>
        </is>
      </c>
      <c r="C136" s="593" t="inlineStr">
        <is>
          <t>item</t>
        </is>
      </c>
      <c r="D136" s="594" t="n">
        <v>2500000</v>
      </c>
      <c r="E136" s="595" t="inlineStr"/>
    </row>
    <row r="137">
      <c r="A137" s="593" t="inlineStr">
        <is>
          <t>PS_EXT</t>
        </is>
      </c>
      <c r="B137" s="593" t="inlineStr">
        <is>
          <t>PS - external works, infrastructure &amp; signage</t>
        </is>
      </c>
      <c r="C137" s="593" t="inlineStr">
        <is>
          <t>item</t>
        </is>
      </c>
      <c r="D137" s="594" t="n">
        <v>1800000</v>
      </c>
      <c r="E137" s="595" t="inlineStr"/>
    </row>
    <row r="138">
      <c r="A138" s="593" t="inlineStr">
        <is>
          <t>PS_SEPT</t>
        </is>
      </c>
      <c r="B138" s="593" t="inlineStr">
        <is>
          <t>PS - septic tank &amp; connections</t>
        </is>
      </c>
      <c r="C138" s="593" t="inlineStr">
        <is>
          <t>item</t>
        </is>
      </c>
      <c r="D138" s="594" t="n">
        <v>350000</v>
      </c>
      <c r="E138" s="595" t="inlineStr"/>
    </row>
    <row r="139">
      <c r="A139" s="593" t="inlineStr">
        <is>
          <t>PS_BURG</t>
        </is>
      </c>
      <c r="B139" s="593" t="inlineStr">
        <is>
          <t>PS - collapsible burglar-proofing to GF windows</t>
        </is>
      </c>
      <c r="C139" s="593" t="inlineStr">
        <is>
          <t>item</t>
        </is>
      </c>
      <c r="D139" s="594" t="n">
        <v>120000</v>
      </c>
      <c r="E139" s="595" t="inlineStr"/>
    </row>
    <row r="140"/>
    <row r="141">
      <c r="B141" s="592" t="inlineStr">
        <is>
          <t>PRELIMINARIES (lump sums)</t>
        </is>
      </c>
    </row>
    <row r="142">
      <c r="A142" s="593" t="inlineStr">
        <is>
          <t>P_PG</t>
        </is>
      </c>
      <c r="B142" s="593" t="inlineStr">
        <is>
          <t>Performance guarantee</t>
        </is>
      </c>
      <c r="C142" s="593" t="inlineStr">
        <is>
          <t>item</t>
        </is>
      </c>
      <c r="D142" s="594" t="n">
        <v>250000</v>
      </c>
      <c r="E142" s="595" t="inlineStr">
        <is>
          <t>Lump sum</t>
        </is>
      </c>
    </row>
    <row r="143">
      <c r="A143" s="593" t="inlineStr">
        <is>
          <t>P_APG</t>
        </is>
      </c>
      <c r="B143" s="593" t="inlineStr">
        <is>
          <t>Advance payment guarantee</t>
        </is>
      </c>
      <c r="C143" s="593" t="inlineStr">
        <is>
          <t>item</t>
        </is>
      </c>
      <c r="D143" s="594" t="n">
        <v>150000</v>
      </c>
      <c r="E143" s="595" t="inlineStr">
        <is>
          <t>Lump sum</t>
        </is>
      </c>
    </row>
    <row r="144">
      <c r="A144" s="593" t="inlineStr">
        <is>
          <t>P_INS</t>
        </is>
      </c>
      <c r="B144" s="593" t="inlineStr">
        <is>
          <t>All risks insurance</t>
        </is>
      </c>
      <c r="C144" s="593" t="inlineStr">
        <is>
          <t>item</t>
        </is>
      </c>
      <c r="D144" s="594" t="n">
        <v>450000</v>
      </c>
      <c r="E144" s="595" t="inlineStr">
        <is>
          <t>Lump sum</t>
        </is>
      </c>
    </row>
    <row r="145">
      <c r="A145" s="593" t="inlineStr">
        <is>
          <t>P_SET</t>
        </is>
      </c>
      <c r="B145" s="593" t="inlineStr">
        <is>
          <t>Setting out the works</t>
        </is>
      </c>
      <c r="C145" s="593" t="inlineStr">
        <is>
          <t>item</t>
        </is>
      </c>
      <c r="D145" s="594" t="n">
        <v>60000</v>
      </c>
      <c r="E145" s="595" t="inlineStr">
        <is>
          <t>Lump sum</t>
        </is>
      </c>
    </row>
    <row r="146">
      <c r="A146" s="593" t="inlineStr">
        <is>
          <t>P_SIGN</t>
        </is>
      </c>
      <c r="B146" s="593" t="inlineStr">
        <is>
          <t>Project signboard</t>
        </is>
      </c>
      <c r="C146" s="593" t="inlineStr">
        <is>
          <t>item</t>
        </is>
      </c>
      <c r="D146" s="594" t="n">
        <v>25000</v>
      </c>
      <c r="E146" s="595" t="inlineStr">
        <is>
          <t>Lump sum</t>
        </is>
      </c>
    </row>
    <row r="147">
      <c r="A147" s="593" t="inlineStr">
        <is>
          <t>P_TRANS</t>
        </is>
      </c>
      <c r="B147" s="593" t="inlineStr">
        <is>
          <t>Transport for workpeople</t>
        </is>
      </c>
      <c r="C147" s="593" t="inlineStr">
        <is>
          <t>item</t>
        </is>
      </c>
      <c r="D147" s="594" t="n">
        <v>180000</v>
      </c>
      <c r="E147" s="595" t="inlineStr">
        <is>
          <t>Lump sum</t>
        </is>
      </c>
    </row>
    <row r="148">
      <c r="A148" s="593" t="inlineStr">
        <is>
          <t>P_SURV</t>
        </is>
      </c>
      <c r="B148" s="593" t="inlineStr">
        <is>
          <t>Surveying equipment</t>
        </is>
      </c>
      <c r="C148" s="593" t="inlineStr">
        <is>
          <t>item</t>
        </is>
      </c>
      <c r="D148" s="594" t="n">
        <v>40000</v>
      </c>
      <c r="E148" s="595" t="inlineStr">
        <is>
          <t>Lump sum</t>
        </is>
      </c>
    </row>
    <row r="149">
      <c r="A149" s="593" t="inlineStr">
        <is>
          <t>P_PLANT</t>
        </is>
      </c>
      <c r="B149" s="593" t="inlineStr">
        <is>
          <t>Plant, tools &amp; vehicles (crane, hoists)</t>
        </is>
      </c>
      <c r="C149" s="593" t="inlineStr">
        <is>
          <t>item</t>
        </is>
      </c>
      <c r="D149" s="594" t="n">
        <v>1800000</v>
      </c>
      <c r="E149" s="595" t="inlineStr">
        <is>
          <t>Lump sum</t>
        </is>
      </c>
    </row>
    <row r="150">
      <c r="A150" s="593" t="inlineStr">
        <is>
          <t>P_SUP</t>
        </is>
      </c>
      <c r="B150" s="593" t="inlineStr">
        <is>
          <t>Contractor supervision</t>
        </is>
      </c>
      <c r="C150" s="593" t="inlineStr">
        <is>
          <t>item</t>
        </is>
      </c>
      <c r="D150" s="594" t="n">
        <v>1200000</v>
      </c>
      <c r="E150" s="595" t="inlineStr">
        <is>
          <t>Lump sum</t>
        </is>
      </c>
    </row>
    <row r="151">
      <c r="A151" s="593" t="inlineStr">
        <is>
          <t>P_OFF</t>
        </is>
      </c>
      <c r="B151" s="593" t="inlineStr">
        <is>
          <t>Temporary office accommodation</t>
        </is>
      </c>
      <c r="C151" s="593" t="inlineStr">
        <is>
          <t>item</t>
        </is>
      </c>
      <c r="D151" s="594" t="n">
        <v>150000</v>
      </c>
      <c r="E151" s="595" t="inlineStr">
        <is>
          <t>Lump sum</t>
        </is>
      </c>
    </row>
    <row r="152">
      <c r="A152" s="593" t="inlineStr">
        <is>
          <t>P_FENCE</t>
        </is>
      </c>
      <c r="B152" s="593" t="inlineStr">
        <is>
          <t>Temporary fencing &amp; hoardings</t>
        </is>
      </c>
      <c r="C152" s="593" t="inlineStr">
        <is>
          <t>item</t>
        </is>
      </c>
      <c r="D152" s="594" t="n">
        <v>220000</v>
      </c>
      <c r="E152" s="595" t="inlineStr">
        <is>
          <t>Lump sum</t>
        </is>
      </c>
    </row>
    <row r="153">
      <c r="A153" s="593" t="inlineStr">
        <is>
          <t>P_ROAD</t>
        </is>
      </c>
      <c r="B153" s="593" t="inlineStr">
        <is>
          <t>Temporary roads &amp; hardstandings</t>
        </is>
      </c>
      <c r="C153" s="593" t="inlineStr">
        <is>
          <t>item</t>
        </is>
      </c>
      <c r="D153" s="594" t="n">
        <v>80000</v>
      </c>
      <c r="E153" s="595" t="inlineStr">
        <is>
          <t>Lump sum</t>
        </is>
      </c>
    </row>
    <row r="154">
      <c r="A154" s="593" t="inlineStr">
        <is>
          <t>P_SAN</t>
        </is>
      </c>
      <c r="B154" s="593" t="inlineStr">
        <is>
          <t>Temporary sanitary accommodation</t>
        </is>
      </c>
      <c r="C154" s="593" t="inlineStr">
        <is>
          <t>item</t>
        </is>
      </c>
      <c r="D154" s="594" t="n">
        <v>60000</v>
      </c>
      <c r="E154" s="595" t="inlineStr">
        <is>
          <t>Lump sum</t>
        </is>
      </c>
    </row>
    <row r="155">
      <c r="A155" s="593" t="inlineStr">
        <is>
          <t>P_MEET</t>
        </is>
      </c>
      <c r="B155" s="593" t="inlineStr">
        <is>
          <t>Site meetings</t>
        </is>
      </c>
      <c r="C155" s="593" t="inlineStr">
        <is>
          <t>item</t>
        </is>
      </c>
      <c r="D155" s="594" t="n">
        <v>36000</v>
      </c>
      <c r="E155" s="595" t="inlineStr">
        <is>
          <t>Lump sum</t>
        </is>
      </c>
    </row>
    <row r="156">
      <c r="A156" s="593" t="inlineStr">
        <is>
          <t>P_AID</t>
        </is>
      </c>
      <c r="B156" s="593" t="inlineStr">
        <is>
          <t>First aid equipment</t>
        </is>
      </c>
      <c r="C156" s="593" t="inlineStr">
        <is>
          <t>item</t>
        </is>
      </c>
      <c r="D156" s="594" t="n">
        <v>15000</v>
      </c>
      <c r="E156" s="595" t="inlineStr">
        <is>
          <t>Lump sum</t>
        </is>
      </c>
    </row>
    <row r="157">
      <c r="A157" s="593" t="inlineStr">
        <is>
          <t>P_SEC</t>
        </is>
      </c>
      <c r="B157" s="593" t="inlineStr">
        <is>
          <t>Site security</t>
        </is>
      </c>
      <c r="C157" s="593" t="inlineStr">
        <is>
          <t>item</t>
        </is>
      </c>
      <c r="D157" s="594" t="n">
        <v>240000</v>
      </c>
      <c r="E157" s="595" t="inlineStr">
        <is>
          <t>Lump sum</t>
        </is>
      </c>
    </row>
    <row r="158">
      <c r="A158" s="593" t="inlineStr">
        <is>
          <t>P_PROT</t>
        </is>
      </c>
      <c r="B158" s="593" t="inlineStr">
        <is>
          <t>Protection of works</t>
        </is>
      </c>
      <c r="C158" s="593" t="inlineStr">
        <is>
          <t>item</t>
        </is>
      </c>
      <c r="D158" s="594" t="n">
        <v>80000</v>
      </c>
      <c r="E158" s="595" t="inlineStr">
        <is>
          <t>Lump sum</t>
        </is>
      </c>
    </row>
    <row r="159">
      <c r="A159" s="593" t="inlineStr">
        <is>
          <t>P_WATER</t>
        </is>
      </c>
      <c r="B159" s="593" t="inlineStr">
        <is>
          <t>Water for the works</t>
        </is>
      </c>
      <c r="C159" s="593" t="inlineStr">
        <is>
          <t>item</t>
        </is>
      </c>
      <c r="D159" s="594" t="n">
        <v>150000</v>
      </c>
      <c r="E159" s="595" t="inlineStr">
        <is>
          <t>Lump sum</t>
        </is>
      </c>
    </row>
    <row r="160">
      <c r="A160" s="593" t="inlineStr">
        <is>
          <t>P_POWER</t>
        </is>
      </c>
      <c r="B160" s="593" t="inlineStr">
        <is>
          <t>Temporary lighting &amp; power</t>
        </is>
      </c>
      <c r="C160" s="593" t="inlineStr">
        <is>
          <t>item</t>
        </is>
      </c>
      <c r="D160" s="594" t="n">
        <v>300000</v>
      </c>
      <c r="E160" s="595" t="inlineStr">
        <is>
          <t>Lump sum</t>
        </is>
      </c>
    </row>
    <row r="161">
      <c r="A161" s="593" t="inlineStr">
        <is>
          <t>P_HSE</t>
        </is>
      </c>
      <c r="B161" s="593" t="inlineStr">
        <is>
          <t>Safety, health &amp; welfare</t>
        </is>
      </c>
      <c r="C161" s="593" t="inlineStr">
        <is>
          <t>item</t>
        </is>
      </c>
      <c r="D161" s="594" t="n">
        <v>120000</v>
      </c>
      <c r="E161" s="595" t="inlineStr">
        <is>
          <t>Lump sum</t>
        </is>
      </c>
    </row>
    <row r="162">
      <c r="A162" s="593" t="inlineStr">
        <is>
          <t>P_PPE</t>
        </is>
      </c>
      <c r="B162" s="593" t="inlineStr">
        <is>
          <t>Hard hats &amp; protective clothing</t>
        </is>
      </c>
      <c r="C162" s="593" t="inlineStr">
        <is>
          <t>item</t>
        </is>
      </c>
      <c r="D162" s="594" t="n">
        <v>60000</v>
      </c>
      <c r="E162" s="595" t="inlineStr">
        <is>
          <t>Lump sum</t>
        </is>
      </c>
    </row>
    <row r="163">
      <c r="A163" s="593" t="inlineStr">
        <is>
          <t>P_DEWAT</t>
        </is>
      </c>
      <c r="B163" s="593" t="inlineStr">
        <is>
          <t>Removing water</t>
        </is>
      </c>
      <c r="C163" s="593" t="inlineStr">
        <is>
          <t>item</t>
        </is>
      </c>
      <c r="D163" s="594" t="n">
        <v>150000</v>
      </c>
      <c r="E163" s="595" t="inlineStr">
        <is>
          <t>Lump sum</t>
        </is>
      </c>
    </row>
    <row r="164">
      <c r="A164" s="593" t="inlineStr">
        <is>
          <t>P_RUBB</t>
        </is>
      </c>
      <c r="B164" s="593" t="inlineStr">
        <is>
          <t>Removing rubbish</t>
        </is>
      </c>
      <c r="C164" s="593" t="inlineStr">
        <is>
          <t>item</t>
        </is>
      </c>
      <c r="D164" s="594" t="n">
        <v>120000</v>
      </c>
      <c r="E164" s="595" t="inlineStr">
        <is>
          <t>Lump sum</t>
        </is>
      </c>
    </row>
    <row r="165">
      <c r="A165" s="593" t="inlineStr">
        <is>
          <t>P_PHOTO</t>
        </is>
      </c>
      <c r="B165" s="593" t="inlineStr">
        <is>
          <t>Progress photographs</t>
        </is>
      </c>
      <c r="C165" s="593" t="inlineStr">
        <is>
          <t>item</t>
        </is>
      </c>
      <c r="D165" s="594" t="n">
        <v>12000</v>
      </c>
      <c r="E165" s="595" t="inlineStr">
        <is>
          <t>Lump sum</t>
        </is>
      </c>
    </row>
    <row r="166">
      <c r="A166" s="593" t="inlineStr">
        <is>
          <t>P_TEST</t>
        </is>
      </c>
      <c r="B166" s="593" t="inlineStr">
        <is>
          <t>Testing of materials</t>
        </is>
      </c>
      <c r="C166" s="593" t="inlineStr">
        <is>
          <t>item</t>
        </is>
      </c>
      <c r="D166" s="594" t="n">
        <v>90000</v>
      </c>
      <c r="E166" s="595" t="inlineStr">
        <is>
          <t>Lump sum</t>
        </is>
      </c>
    </row>
    <row r="167">
      <c r="A167" s="593" t="inlineStr">
        <is>
          <t>P_OM</t>
        </is>
      </c>
      <c r="B167" s="593" t="inlineStr">
        <is>
          <t>Operating &amp; maintenance manuals</t>
        </is>
      </c>
      <c r="C167" s="593" t="inlineStr">
        <is>
          <t>item</t>
        </is>
      </c>
      <c r="D167" s="594" t="n">
        <v>25000</v>
      </c>
      <c r="E167" s="595" t="inlineStr">
        <is>
          <t>Lump sum</t>
        </is>
      </c>
    </row>
    <row r="168">
      <c r="A168" s="593" t="inlineStr">
        <is>
          <t>P_HAND</t>
        </is>
      </c>
      <c r="B168" s="593" t="inlineStr">
        <is>
          <t>Handover of completed works &amp; cleaning</t>
        </is>
      </c>
      <c r="C168" s="593" t="inlineStr">
        <is>
          <t>item</t>
        </is>
      </c>
      <c r="D168" s="594" t="n">
        <v>60000</v>
      </c>
      <c r="E168" s="595" t="inlineStr">
        <is>
          <t>Lump sum</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Build</dc:creator>
  <dcterms:created xsi:type="dcterms:W3CDTF">2026-09-30T14:17:29Z</dcterms:created>
  <dcterms:modified xsi:type="dcterms:W3CDTF">2026-10-01T11:46:13Z</dcterms:modified>
  <cp:lastModifiedBy>Build</cp:lastModifiedBy>
</cp:coreProperties>
</file>